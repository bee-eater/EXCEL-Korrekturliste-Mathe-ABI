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DieseArbeitsmappe" defaultThemeVersion="124226"/>
  <mc:AlternateContent xmlns:mc="http://schemas.openxmlformats.org/markup-compatibility/2006">
    <mc:Choice Requires="x15">
      <x15ac:absPath xmlns:x15ac="http://schemas.microsoft.com/office/spreadsheetml/2010/11/ac" url="D:\Projects\AUT-EX\EXCEL-Korrekturliste-Mathe-ABI\"/>
    </mc:Choice>
  </mc:AlternateContent>
  <xr:revisionPtr revIDLastSave="0" documentId="13_ncr:1_{666E4A89-2DED-472B-8C35-712DF3B02FB4}" xr6:coauthVersionLast="47" xr6:coauthVersionMax="47" xr10:uidLastSave="{00000000-0000-0000-0000-000000000000}"/>
  <bookViews>
    <workbookView xWindow="-108" yWindow="-108" windowWidth="30936" windowHeight="16776" activeTab="9" xr2:uid="{00000000-000D-0000-FFFF-FFFF00000000}"/>
  </bookViews>
  <sheets>
    <sheet name="Noten" sheetId="2994" r:id="rId1"/>
    <sheet name="Analysis A" sheetId="2987" r:id="rId2"/>
    <sheet name="Analysis B" sheetId="2988" r:id="rId3"/>
    <sheet name="Stochastik A" sheetId="2989" r:id="rId4"/>
    <sheet name="Stochastik B" sheetId="2990" r:id="rId5"/>
    <sheet name="Geometrie A" sheetId="2991" r:id="rId6"/>
    <sheet name="Geometrie B" sheetId="2992" r:id="rId7"/>
    <sheet name="Wahlaufgaben" sheetId="2993" r:id="rId8"/>
    <sheet name="ConfigW" sheetId="2995" r:id="rId9"/>
    <sheet name="Config" sheetId="14" r:id="rId10"/>
    <sheet name="Notenspiegel" sheetId="11" r:id="rId11"/>
    <sheet name="TestData" sheetId="1707" state="hidden" r:id="rId12"/>
  </sheets>
  <functionGroups builtInGroupCount="19"/>
  <definedNames>
    <definedName name="_xlnm._FilterDatabase" localSheetId="9" hidden="1">Config!$V$40:$V$44</definedName>
    <definedName name="PupilBlock" localSheetId="1">'Analysis A'!$C$7:$J$75</definedName>
    <definedName name="PupilBlock" localSheetId="2">'Analysis B'!$C$7:$N$75</definedName>
    <definedName name="PupilBlock" localSheetId="5">'Geometrie A'!$C$7:$F$75</definedName>
    <definedName name="PupilBlock" localSheetId="6">'Geometrie B'!$C$7:$I$75</definedName>
    <definedName name="PupilBlock" localSheetId="3">'Stochastik A'!$C$7:$E$75</definedName>
    <definedName name="PupilBlock" localSheetId="4">'Stochastik B'!$C$7:$I$75</definedName>
    <definedName name="PupilBlock" localSheetId="7">Wahlaufgaben!$C$7:$I$75</definedName>
    <definedName name="PupilBlock">#REF!</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 i="2994" l="1"/>
  <c r="C7" i="2987"/>
  <c r="J7" i="2987"/>
  <c r="D7" i="2994"/>
  <c r="C7" i="2988"/>
  <c r="N7" i="2988"/>
  <c r="E7" i="2994"/>
  <c r="C7" i="2989"/>
  <c r="E7" i="2989"/>
  <c r="F7" i="2994"/>
  <c r="C7" i="2990"/>
  <c r="I7" i="2990"/>
  <c r="G7" i="2994"/>
  <c r="C7" i="2993"/>
  <c r="I7" i="2993"/>
  <c r="J7" i="2994"/>
  <c r="C7" i="2992"/>
  <c r="I7" i="2992"/>
  <c r="I7" i="2994"/>
  <c r="C7" i="2991"/>
  <c r="F7" i="2991"/>
  <c r="H7" i="2994"/>
  <c r="K7" i="2994"/>
  <c r="L7" i="2994"/>
  <c r="C8" i="2994"/>
  <c r="C10" i="2987"/>
  <c r="J10" i="2987"/>
  <c r="D8" i="2994"/>
  <c r="C10" i="2988"/>
  <c r="N10" i="2988"/>
  <c r="E8" i="2994"/>
  <c r="C10" i="2989"/>
  <c r="E10" i="2989"/>
  <c r="F8" i="2994"/>
  <c r="C10" i="2990"/>
  <c r="I10" i="2990"/>
  <c r="G8" i="2994"/>
  <c r="C10" i="2993"/>
  <c r="I10" i="2993"/>
  <c r="J8" i="2994"/>
  <c r="C10" i="2992"/>
  <c r="I10" i="2992"/>
  <c r="I8" i="2994"/>
  <c r="C10" i="2991"/>
  <c r="F10" i="2991"/>
  <c r="H8" i="2994"/>
  <c r="K8" i="2994"/>
  <c r="L8" i="2994"/>
  <c r="C9" i="2994"/>
  <c r="C13" i="2987"/>
  <c r="J13" i="2987"/>
  <c r="D9" i="2994"/>
  <c r="C13" i="2988"/>
  <c r="N13" i="2988"/>
  <c r="E9" i="2994"/>
  <c r="C13" i="2989"/>
  <c r="E13" i="2989"/>
  <c r="F9" i="2994"/>
  <c r="C13" i="2990"/>
  <c r="I13" i="2990"/>
  <c r="G9" i="2994"/>
  <c r="C13" i="2993"/>
  <c r="I13" i="2993"/>
  <c r="J9" i="2994"/>
  <c r="C13" i="2992"/>
  <c r="I13" i="2992"/>
  <c r="I9" i="2994"/>
  <c r="C13" i="2991"/>
  <c r="F13" i="2991"/>
  <c r="H9" i="2994"/>
  <c r="K9" i="2994"/>
  <c r="L9" i="2994"/>
  <c r="C10" i="2994"/>
  <c r="C16" i="2987"/>
  <c r="J16" i="2987"/>
  <c r="D10" i="2994"/>
  <c r="C16" i="2988"/>
  <c r="N16" i="2988"/>
  <c r="E10" i="2994"/>
  <c r="C16" i="2989"/>
  <c r="E16" i="2989"/>
  <c r="F10" i="2994"/>
  <c r="C16" i="2990"/>
  <c r="I16" i="2990"/>
  <c r="G10" i="2994"/>
  <c r="C16" i="2993"/>
  <c r="I16" i="2993"/>
  <c r="J10" i="2994"/>
  <c r="C16" i="2992"/>
  <c r="I16" i="2992"/>
  <c r="I10" i="2994"/>
  <c r="C16" i="2991"/>
  <c r="F16" i="2991"/>
  <c r="H10" i="2994"/>
  <c r="K10" i="2994"/>
  <c r="L10" i="2994"/>
  <c r="C29" i="2994"/>
  <c r="C19" i="2987"/>
  <c r="C22" i="2987"/>
  <c r="C25" i="2987"/>
  <c r="J75" i="2987"/>
  <c r="J74" i="2987"/>
  <c r="J73" i="2987"/>
  <c r="C73" i="2987"/>
  <c r="J72" i="2987"/>
  <c r="J71" i="2987"/>
  <c r="J70" i="2987"/>
  <c r="C70" i="2987"/>
  <c r="J69" i="2987"/>
  <c r="J68" i="2987"/>
  <c r="J67" i="2987"/>
  <c r="C67" i="2987"/>
  <c r="J66" i="2987"/>
  <c r="J65" i="2987"/>
  <c r="J64" i="2987"/>
  <c r="C64" i="2987"/>
  <c r="J63" i="2987"/>
  <c r="J62" i="2987"/>
  <c r="J61" i="2987"/>
  <c r="C61" i="2987"/>
  <c r="J60" i="2987"/>
  <c r="J59" i="2987"/>
  <c r="J58" i="2987"/>
  <c r="C58" i="2987"/>
  <c r="J57" i="2987"/>
  <c r="J56" i="2987"/>
  <c r="J55" i="2987"/>
  <c r="C55" i="2987"/>
  <c r="J54" i="2987"/>
  <c r="J53" i="2987"/>
  <c r="J52" i="2987"/>
  <c r="C52" i="2987"/>
  <c r="J51" i="2987"/>
  <c r="J50" i="2987"/>
  <c r="J49" i="2987"/>
  <c r="C49" i="2987"/>
  <c r="J48" i="2987"/>
  <c r="J47" i="2987"/>
  <c r="J46" i="2987"/>
  <c r="C46" i="2987"/>
  <c r="J45" i="2987"/>
  <c r="J44" i="2987"/>
  <c r="J43" i="2987"/>
  <c r="C43" i="2987"/>
  <c r="J42" i="2987"/>
  <c r="J41" i="2987"/>
  <c r="J40" i="2987"/>
  <c r="C40" i="2987"/>
  <c r="J39" i="2987"/>
  <c r="J38" i="2987"/>
  <c r="J37" i="2987"/>
  <c r="C37" i="2987"/>
  <c r="J36" i="2987"/>
  <c r="J35" i="2987"/>
  <c r="J34" i="2987"/>
  <c r="C34" i="2987"/>
  <c r="J33" i="2987"/>
  <c r="J32" i="2987"/>
  <c r="J31" i="2987"/>
  <c r="C31" i="2987"/>
  <c r="J30" i="2987"/>
  <c r="J29" i="2987"/>
  <c r="J28" i="2987"/>
  <c r="C28" i="2987"/>
  <c r="J27" i="2987"/>
  <c r="J26" i="2987"/>
  <c r="J25" i="2987"/>
  <c r="J24" i="2987"/>
  <c r="J23" i="2987"/>
  <c r="J22" i="2987"/>
  <c r="J21" i="2987"/>
  <c r="J20" i="2987"/>
  <c r="J19" i="2987"/>
  <c r="J18" i="2987"/>
  <c r="J17" i="2987"/>
  <c r="J15" i="2987"/>
  <c r="J14" i="2987"/>
  <c r="J12" i="2987"/>
  <c r="J11" i="2987"/>
  <c r="J9" i="2987"/>
  <c r="J8" i="2987"/>
  <c r="D29" i="2994"/>
  <c r="C19" i="2988"/>
  <c r="C22" i="2988"/>
  <c r="C25" i="2988"/>
  <c r="C28" i="2988"/>
  <c r="N75" i="2988"/>
  <c r="N74" i="2988"/>
  <c r="N73" i="2988"/>
  <c r="C73" i="2988"/>
  <c r="N72" i="2988"/>
  <c r="N71" i="2988"/>
  <c r="N70" i="2988"/>
  <c r="C70" i="2988"/>
  <c r="N69" i="2988"/>
  <c r="N68" i="2988"/>
  <c r="N67" i="2988"/>
  <c r="C67" i="2988"/>
  <c r="N66" i="2988"/>
  <c r="N65" i="2988"/>
  <c r="N64" i="2988"/>
  <c r="C64" i="2988"/>
  <c r="N63" i="2988"/>
  <c r="N62" i="2988"/>
  <c r="N61" i="2988"/>
  <c r="C61" i="2988"/>
  <c r="N60" i="2988"/>
  <c r="N59" i="2988"/>
  <c r="N58" i="2988"/>
  <c r="C58" i="2988"/>
  <c r="N57" i="2988"/>
  <c r="N56" i="2988"/>
  <c r="N55" i="2988"/>
  <c r="C55" i="2988"/>
  <c r="N54" i="2988"/>
  <c r="N53" i="2988"/>
  <c r="N52" i="2988"/>
  <c r="C52" i="2988"/>
  <c r="N51" i="2988"/>
  <c r="N50" i="2988"/>
  <c r="N49" i="2988"/>
  <c r="C49" i="2988"/>
  <c r="N48" i="2988"/>
  <c r="N47" i="2988"/>
  <c r="N46" i="2988"/>
  <c r="C46" i="2988"/>
  <c r="N45" i="2988"/>
  <c r="N44" i="2988"/>
  <c r="N43" i="2988"/>
  <c r="C43" i="2988"/>
  <c r="N42" i="2988"/>
  <c r="N41" i="2988"/>
  <c r="N40" i="2988"/>
  <c r="C40" i="2988"/>
  <c r="N39" i="2988"/>
  <c r="N38" i="2988"/>
  <c r="N37" i="2988"/>
  <c r="C37" i="2988"/>
  <c r="N36" i="2988"/>
  <c r="N35" i="2988"/>
  <c r="N34" i="2988"/>
  <c r="C34" i="2988"/>
  <c r="N33" i="2988"/>
  <c r="N32" i="2988"/>
  <c r="N31" i="2988"/>
  <c r="C31" i="2988"/>
  <c r="N30" i="2988"/>
  <c r="N29" i="2988"/>
  <c r="N28" i="2988"/>
  <c r="N27" i="2988"/>
  <c r="N26" i="2988"/>
  <c r="N25" i="2988"/>
  <c r="N24" i="2988"/>
  <c r="N23" i="2988"/>
  <c r="N22" i="2988"/>
  <c r="N21" i="2988"/>
  <c r="N20" i="2988"/>
  <c r="N19" i="2988"/>
  <c r="N18" i="2988"/>
  <c r="N17" i="2988"/>
  <c r="N15" i="2988"/>
  <c r="N14" i="2988"/>
  <c r="N12" i="2988"/>
  <c r="N11" i="2988"/>
  <c r="N9" i="2988"/>
  <c r="N8" i="2988"/>
  <c r="E29" i="2994"/>
  <c r="C19" i="2989"/>
  <c r="C22" i="2989"/>
  <c r="C25" i="2989"/>
  <c r="C28" i="2989"/>
  <c r="E75" i="2989"/>
  <c r="E74" i="2989"/>
  <c r="E73" i="2989"/>
  <c r="C73" i="2989"/>
  <c r="E72" i="2989"/>
  <c r="E71" i="2989"/>
  <c r="E70" i="2989"/>
  <c r="C70" i="2989"/>
  <c r="E69" i="2989"/>
  <c r="E68" i="2989"/>
  <c r="E67" i="2989"/>
  <c r="C67" i="2989"/>
  <c r="E66" i="2989"/>
  <c r="E65" i="2989"/>
  <c r="E64" i="2989"/>
  <c r="C64" i="2989"/>
  <c r="E63" i="2989"/>
  <c r="E62" i="2989"/>
  <c r="E61" i="2989"/>
  <c r="C61" i="2989"/>
  <c r="E60" i="2989"/>
  <c r="E59" i="2989"/>
  <c r="E58" i="2989"/>
  <c r="C58" i="2989"/>
  <c r="E57" i="2989"/>
  <c r="E56" i="2989"/>
  <c r="E55" i="2989"/>
  <c r="C55" i="2989"/>
  <c r="E54" i="2989"/>
  <c r="E53" i="2989"/>
  <c r="E52" i="2989"/>
  <c r="C52" i="2989"/>
  <c r="E51" i="2989"/>
  <c r="E50" i="2989"/>
  <c r="E49" i="2989"/>
  <c r="C49" i="2989"/>
  <c r="E48" i="2989"/>
  <c r="E47" i="2989"/>
  <c r="E46" i="2989"/>
  <c r="C46" i="2989"/>
  <c r="E45" i="2989"/>
  <c r="E44" i="2989"/>
  <c r="E43" i="2989"/>
  <c r="C43" i="2989"/>
  <c r="E42" i="2989"/>
  <c r="E41" i="2989"/>
  <c r="E40" i="2989"/>
  <c r="C40" i="2989"/>
  <c r="E39" i="2989"/>
  <c r="E38" i="2989"/>
  <c r="E37" i="2989"/>
  <c r="C37" i="2989"/>
  <c r="E36" i="2989"/>
  <c r="E35" i="2989"/>
  <c r="E34" i="2989"/>
  <c r="C34" i="2989"/>
  <c r="E33" i="2989"/>
  <c r="E32" i="2989"/>
  <c r="E31" i="2989"/>
  <c r="C31" i="2989"/>
  <c r="E30" i="2989"/>
  <c r="E29" i="2989"/>
  <c r="E28" i="2989"/>
  <c r="E27" i="2989"/>
  <c r="E26" i="2989"/>
  <c r="E25" i="2989"/>
  <c r="E24" i="2989"/>
  <c r="E23" i="2989"/>
  <c r="E22" i="2989"/>
  <c r="E21" i="2989"/>
  <c r="E20" i="2989"/>
  <c r="E19" i="2989"/>
  <c r="E18" i="2989"/>
  <c r="E17" i="2989"/>
  <c r="E15" i="2989"/>
  <c r="E14" i="2989"/>
  <c r="E12" i="2989"/>
  <c r="E9" i="2989"/>
  <c r="E8" i="2989"/>
  <c r="F29" i="2994"/>
  <c r="C19" i="2990"/>
  <c r="C22" i="2990"/>
  <c r="C25" i="2990"/>
  <c r="C28" i="2990"/>
  <c r="I75" i="2990"/>
  <c r="I74" i="2990"/>
  <c r="I73" i="2990"/>
  <c r="C73" i="2990"/>
  <c r="I72" i="2990"/>
  <c r="I71" i="2990"/>
  <c r="I70" i="2990"/>
  <c r="C70" i="2990"/>
  <c r="I69" i="2990"/>
  <c r="I68" i="2990"/>
  <c r="I67" i="2990"/>
  <c r="C67" i="2990"/>
  <c r="I66" i="2990"/>
  <c r="I65" i="2990"/>
  <c r="I64" i="2990"/>
  <c r="C64" i="2990"/>
  <c r="I63" i="2990"/>
  <c r="I62" i="2990"/>
  <c r="I61" i="2990"/>
  <c r="C61" i="2990"/>
  <c r="I60" i="2990"/>
  <c r="I59" i="2990"/>
  <c r="I58" i="2990"/>
  <c r="C58" i="2990"/>
  <c r="I57" i="2990"/>
  <c r="I56" i="2990"/>
  <c r="I55" i="2990"/>
  <c r="C55" i="2990"/>
  <c r="I54" i="2990"/>
  <c r="I53" i="2990"/>
  <c r="I52" i="2990"/>
  <c r="C52" i="2990"/>
  <c r="I51" i="2990"/>
  <c r="I50" i="2990"/>
  <c r="I49" i="2990"/>
  <c r="C49" i="2990"/>
  <c r="I48" i="2990"/>
  <c r="I47" i="2990"/>
  <c r="I46" i="2990"/>
  <c r="C46" i="2990"/>
  <c r="I45" i="2990"/>
  <c r="I44" i="2990"/>
  <c r="I43" i="2990"/>
  <c r="C43" i="2990"/>
  <c r="I42" i="2990"/>
  <c r="I41" i="2990"/>
  <c r="I40" i="2990"/>
  <c r="C40" i="2990"/>
  <c r="I39" i="2990"/>
  <c r="I38" i="2990"/>
  <c r="I37" i="2990"/>
  <c r="C37" i="2990"/>
  <c r="I36" i="2990"/>
  <c r="I35" i="2990"/>
  <c r="I34" i="2990"/>
  <c r="C34" i="2990"/>
  <c r="I33" i="2990"/>
  <c r="I32" i="2990"/>
  <c r="I31" i="2990"/>
  <c r="C31" i="2990"/>
  <c r="I30" i="2990"/>
  <c r="I29" i="2990"/>
  <c r="I28" i="2990"/>
  <c r="I27" i="2990"/>
  <c r="I26" i="2990"/>
  <c r="I25" i="2990"/>
  <c r="I24" i="2990"/>
  <c r="I23" i="2990"/>
  <c r="I22" i="2990"/>
  <c r="I21" i="2990"/>
  <c r="I20" i="2990"/>
  <c r="I19" i="2990"/>
  <c r="I18" i="2990"/>
  <c r="I17" i="2990"/>
  <c r="I15" i="2990"/>
  <c r="I14" i="2990"/>
  <c r="I12" i="2990"/>
  <c r="I11" i="2990"/>
  <c r="I9" i="2990"/>
  <c r="I8" i="2990"/>
  <c r="G29" i="2994"/>
  <c r="C19" i="2993"/>
  <c r="C22" i="2993"/>
  <c r="C25" i="2993"/>
  <c r="C28" i="2993"/>
  <c r="I75" i="2993"/>
  <c r="I74" i="2993"/>
  <c r="I73" i="2993"/>
  <c r="C73" i="2993"/>
  <c r="I72" i="2993"/>
  <c r="I71" i="2993"/>
  <c r="I70" i="2993"/>
  <c r="C70" i="2993"/>
  <c r="I69" i="2993"/>
  <c r="I68" i="2993"/>
  <c r="I67" i="2993"/>
  <c r="C67" i="2993"/>
  <c r="I66" i="2993"/>
  <c r="I65" i="2993"/>
  <c r="I64" i="2993"/>
  <c r="C64" i="2993"/>
  <c r="I63" i="2993"/>
  <c r="I62" i="2993"/>
  <c r="I61" i="2993"/>
  <c r="C61" i="2993"/>
  <c r="I60" i="2993"/>
  <c r="I59" i="2993"/>
  <c r="I58" i="2993"/>
  <c r="C58" i="2993"/>
  <c r="I57" i="2993"/>
  <c r="I56" i="2993"/>
  <c r="I55" i="2993"/>
  <c r="C55" i="2993"/>
  <c r="I54" i="2993"/>
  <c r="I53" i="2993"/>
  <c r="I52" i="2993"/>
  <c r="C52" i="2993"/>
  <c r="I51" i="2993"/>
  <c r="I50" i="2993"/>
  <c r="I49" i="2993"/>
  <c r="C49" i="2993"/>
  <c r="I48" i="2993"/>
  <c r="I47" i="2993"/>
  <c r="I46" i="2993"/>
  <c r="C46" i="2993"/>
  <c r="I45" i="2993"/>
  <c r="I44" i="2993"/>
  <c r="I43" i="2993"/>
  <c r="C43" i="2993"/>
  <c r="I42" i="2993"/>
  <c r="I41" i="2993"/>
  <c r="I40" i="2993"/>
  <c r="C40" i="2993"/>
  <c r="I39" i="2993"/>
  <c r="I38" i="2993"/>
  <c r="I37" i="2993"/>
  <c r="C37" i="2993"/>
  <c r="I36" i="2993"/>
  <c r="I35" i="2993"/>
  <c r="I34" i="2993"/>
  <c r="C34" i="2993"/>
  <c r="I33" i="2993"/>
  <c r="I32" i="2993"/>
  <c r="I31" i="2993"/>
  <c r="C31" i="2993"/>
  <c r="I30" i="2993"/>
  <c r="I29" i="2993"/>
  <c r="I28" i="2993"/>
  <c r="I27" i="2993"/>
  <c r="I26" i="2993"/>
  <c r="I25" i="2993"/>
  <c r="I24" i="2993"/>
  <c r="I23" i="2993"/>
  <c r="I22" i="2993"/>
  <c r="I21" i="2993"/>
  <c r="I20" i="2993"/>
  <c r="I19" i="2993"/>
  <c r="I18" i="2993"/>
  <c r="I17" i="2993"/>
  <c r="I15" i="2993"/>
  <c r="I14" i="2993"/>
  <c r="I12" i="2993"/>
  <c r="I11" i="2993"/>
  <c r="I9" i="2993"/>
  <c r="I8" i="2993"/>
  <c r="J29" i="2994"/>
  <c r="C19" i="2992"/>
  <c r="C22" i="2992"/>
  <c r="C25" i="2992"/>
  <c r="C28" i="2992"/>
  <c r="I75" i="2992"/>
  <c r="I74" i="2992"/>
  <c r="I73" i="2992"/>
  <c r="C73" i="2992"/>
  <c r="I72" i="2992"/>
  <c r="I71" i="2992"/>
  <c r="I70" i="2992"/>
  <c r="C70" i="2992"/>
  <c r="I69" i="2992"/>
  <c r="I68" i="2992"/>
  <c r="I67" i="2992"/>
  <c r="C67" i="2992"/>
  <c r="I66" i="2992"/>
  <c r="I65" i="2992"/>
  <c r="I64" i="2992"/>
  <c r="C64" i="2992"/>
  <c r="I63" i="2992"/>
  <c r="I62" i="2992"/>
  <c r="I61" i="2992"/>
  <c r="C61" i="2992"/>
  <c r="I60" i="2992"/>
  <c r="I59" i="2992"/>
  <c r="I58" i="2992"/>
  <c r="C58" i="2992"/>
  <c r="I57" i="2992"/>
  <c r="I56" i="2992"/>
  <c r="I55" i="2992"/>
  <c r="C55" i="2992"/>
  <c r="I54" i="2992"/>
  <c r="I53" i="2992"/>
  <c r="I52" i="2992"/>
  <c r="C52" i="2992"/>
  <c r="I51" i="2992"/>
  <c r="I50" i="2992"/>
  <c r="I49" i="2992"/>
  <c r="C49" i="2992"/>
  <c r="I48" i="2992"/>
  <c r="I47" i="2992"/>
  <c r="I46" i="2992"/>
  <c r="C46" i="2992"/>
  <c r="I45" i="2992"/>
  <c r="I44" i="2992"/>
  <c r="I43" i="2992"/>
  <c r="C43" i="2992"/>
  <c r="I42" i="2992"/>
  <c r="I41" i="2992"/>
  <c r="I40" i="2992"/>
  <c r="C40" i="2992"/>
  <c r="I39" i="2992"/>
  <c r="I38" i="2992"/>
  <c r="I37" i="2992"/>
  <c r="C37" i="2992"/>
  <c r="I36" i="2992"/>
  <c r="I35" i="2992"/>
  <c r="I34" i="2992"/>
  <c r="C34" i="2992"/>
  <c r="I33" i="2992"/>
  <c r="I32" i="2992"/>
  <c r="I31" i="2992"/>
  <c r="C31" i="2992"/>
  <c r="I30" i="2992"/>
  <c r="I29" i="2992"/>
  <c r="I28" i="2992"/>
  <c r="I27" i="2992"/>
  <c r="I26" i="2992"/>
  <c r="I25" i="2992"/>
  <c r="I24" i="2992"/>
  <c r="I23" i="2992"/>
  <c r="I22" i="2992"/>
  <c r="I21" i="2992"/>
  <c r="I20" i="2992"/>
  <c r="I19" i="2992"/>
  <c r="I18" i="2992"/>
  <c r="I17" i="2992"/>
  <c r="I15" i="2992"/>
  <c r="I14" i="2992"/>
  <c r="I12" i="2992"/>
  <c r="I11" i="2992"/>
  <c r="I9" i="2992"/>
  <c r="I8" i="2992"/>
  <c r="I29" i="2994"/>
  <c r="C19" i="2991"/>
  <c r="C22" i="2991"/>
  <c r="C25" i="2991"/>
  <c r="C28" i="2991"/>
  <c r="F75" i="2991"/>
  <c r="F74" i="2991"/>
  <c r="F73" i="2991"/>
  <c r="C73" i="2991"/>
  <c r="F72" i="2991"/>
  <c r="F71" i="2991"/>
  <c r="F70" i="2991"/>
  <c r="C70" i="2991"/>
  <c r="F69" i="2991"/>
  <c r="F68" i="2991"/>
  <c r="F67" i="2991"/>
  <c r="C67" i="2991"/>
  <c r="F66" i="2991"/>
  <c r="F65" i="2991"/>
  <c r="F64" i="2991"/>
  <c r="C64" i="2991"/>
  <c r="F63" i="2991"/>
  <c r="F62" i="2991"/>
  <c r="F61" i="2991"/>
  <c r="C61" i="2991"/>
  <c r="F60" i="2991"/>
  <c r="F59" i="2991"/>
  <c r="F58" i="2991"/>
  <c r="C58" i="2991"/>
  <c r="F57" i="2991"/>
  <c r="F56" i="2991"/>
  <c r="F55" i="2991"/>
  <c r="C55" i="2991"/>
  <c r="F54" i="2991"/>
  <c r="F53" i="2991"/>
  <c r="F52" i="2991"/>
  <c r="C52" i="2991"/>
  <c r="F51" i="2991"/>
  <c r="F50" i="2991"/>
  <c r="F49" i="2991"/>
  <c r="C49" i="2991"/>
  <c r="F48" i="2991"/>
  <c r="F47" i="2991"/>
  <c r="F46" i="2991"/>
  <c r="C46" i="2991"/>
  <c r="F45" i="2991"/>
  <c r="F44" i="2991"/>
  <c r="F43" i="2991"/>
  <c r="C43" i="2991"/>
  <c r="F42" i="2991"/>
  <c r="F41" i="2991"/>
  <c r="F40" i="2991"/>
  <c r="C40" i="2991"/>
  <c r="F39" i="2991"/>
  <c r="F38" i="2991"/>
  <c r="F37" i="2991"/>
  <c r="C37" i="2991"/>
  <c r="F36" i="2991"/>
  <c r="F35" i="2991"/>
  <c r="F34" i="2991"/>
  <c r="C34" i="2991"/>
  <c r="F33" i="2991"/>
  <c r="F32" i="2991"/>
  <c r="F31" i="2991"/>
  <c r="C31" i="2991"/>
  <c r="F30" i="2991"/>
  <c r="F29" i="2991"/>
  <c r="F28" i="2991"/>
  <c r="F27" i="2991"/>
  <c r="F26" i="2991"/>
  <c r="F25" i="2991"/>
  <c r="F24" i="2991"/>
  <c r="F23" i="2991"/>
  <c r="F22" i="2991"/>
  <c r="F21" i="2991"/>
  <c r="F20" i="2991"/>
  <c r="F19" i="2991"/>
  <c r="F18" i="2991"/>
  <c r="F17" i="2991"/>
  <c r="F15" i="2991"/>
  <c r="F14" i="2991"/>
  <c r="F12" i="2991"/>
  <c r="F11" i="2991"/>
  <c r="F9" i="2991"/>
  <c r="F8" i="2991"/>
  <c r="H29" i="2994"/>
  <c r="K29" i="2994"/>
  <c r="L29" i="2994"/>
  <c r="C28" i="2994"/>
  <c r="D28" i="2994"/>
  <c r="E28" i="2994"/>
  <c r="F28" i="2994"/>
  <c r="G28" i="2994"/>
  <c r="J28" i="2994"/>
  <c r="I28" i="2994"/>
  <c r="H28" i="2994"/>
  <c r="K28" i="2994"/>
  <c r="L28" i="2994"/>
  <c r="C27" i="2994"/>
  <c r="D27" i="2994"/>
  <c r="E27" i="2994"/>
  <c r="F27" i="2994"/>
  <c r="G27" i="2994"/>
  <c r="J27" i="2994"/>
  <c r="I27" i="2994"/>
  <c r="H27" i="2994"/>
  <c r="K27" i="2994"/>
  <c r="L27" i="2994"/>
  <c r="C26" i="2994"/>
  <c r="D26" i="2994"/>
  <c r="E26" i="2994"/>
  <c r="F26" i="2994"/>
  <c r="G26" i="2994"/>
  <c r="J26" i="2994"/>
  <c r="I26" i="2994"/>
  <c r="H26" i="2994"/>
  <c r="K26" i="2994"/>
  <c r="L26" i="2994"/>
  <c r="C25" i="2994"/>
  <c r="D25" i="2994"/>
  <c r="E25" i="2994"/>
  <c r="F25" i="2994"/>
  <c r="G25" i="2994"/>
  <c r="J25" i="2994"/>
  <c r="I25" i="2994"/>
  <c r="H25" i="2994"/>
  <c r="K25" i="2994"/>
  <c r="L25" i="2994"/>
  <c r="C24" i="2994"/>
  <c r="D24" i="2994"/>
  <c r="E24" i="2994"/>
  <c r="F24" i="2994"/>
  <c r="G24" i="2994"/>
  <c r="J24" i="2994"/>
  <c r="I24" i="2994"/>
  <c r="H24" i="2994"/>
  <c r="K24" i="2994"/>
  <c r="L24" i="2994"/>
  <c r="C23" i="2994"/>
  <c r="D23" i="2994"/>
  <c r="E23" i="2994"/>
  <c r="F23" i="2994"/>
  <c r="G23" i="2994"/>
  <c r="J23" i="2994"/>
  <c r="I23" i="2994"/>
  <c r="H23" i="2994"/>
  <c r="K23" i="2994"/>
  <c r="L23" i="2994"/>
  <c r="C22" i="2994"/>
  <c r="D22" i="2994"/>
  <c r="E22" i="2994"/>
  <c r="F22" i="2994"/>
  <c r="G22" i="2994"/>
  <c r="J22" i="2994"/>
  <c r="I22" i="2994"/>
  <c r="H22" i="2994"/>
  <c r="K22" i="2994"/>
  <c r="L22" i="2994"/>
  <c r="C21" i="2994"/>
  <c r="D21" i="2994"/>
  <c r="E21" i="2994"/>
  <c r="F21" i="2994"/>
  <c r="G21" i="2994"/>
  <c r="J21" i="2994"/>
  <c r="I21" i="2994"/>
  <c r="H21" i="2994"/>
  <c r="K21" i="2994"/>
  <c r="L21" i="2994"/>
  <c r="C20" i="2994"/>
  <c r="D20" i="2994"/>
  <c r="E20" i="2994"/>
  <c r="F20" i="2994"/>
  <c r="G20" i="2994"/>
  <c r="J20" i="2994"/>
  <c r="I20" i="2994"/>
  <c r="H20" i="2994"/>
  <c r="K20" i="2994"/>
  <c r="L20" i="2994"/>
  <c r="C19" i="2994"/>
  <c r="D19" i="2994"/>
  <c r="E19" i="2994"/>
  <c r="F19" i="2994"/>
  <c r="G19" i="2994"/>
  <c r="J19" i="2994"/>
  <c r="I19" i="2994"/>
  <c r="H19" i="2994"/>
  <c r="K19" i="2994"/>
  <c r="L19" i="2994"/>
  <c r="C18" i="2994"/>
  <c r="D18" i="2994"/>
  <c r="E18" i="2994"/>
  <c r="F18" i="2994"/>
  <c r="G18" i="2994"/>
  <c r="J18" i="2994"/>
  <c r="I18" i="2994"/>
  <c r="H18" i="2994"/>
  <c r="K18" i="2994"/>
  <c r="L18" i="2994"/>
  <c r="C17" i="2994"/>
  <c r="D17" i="2994"/>
  <c r="E17" i="2994"/>
  <c r="F17" i="2994"/>
  <c r="G17" i="2994"/>
  <c r="J17" i="2994"/>
  <c r="I17" i="2994"/>
  <c r="H17" i="2994"/>
  <c r="K17" i="2994"/>
  <c r="L17" i="2994"/>
  <c r="C16" i="2994"/>
  <c r="D16" i="2994"/>
  <c r="E16" i="2994"/>
  <c r="F16" i="2994"/>
  <c r="G16" i="2994"/>
  <c r="J16" i="2994"/>
  <c r="I16" i="2994"/>
  <c r="H16" i="2994"/>
  <c r="K16" i="2994"/>
  <c r="L16" i="2994"/>
  <c r="C15" i="2994"/>
  <c r="D15" i="2994"/>
  <c r="E15" i="2994"/>
  <c r="F15" i="2994"/>
  <c r="G15" i="2994"/>
  <c r="J15" i="2994"/>
  <c r="I15" i="2994"/>
  <c r="H15" i="2994"/>
  <c r="K15" i="2994"/>
  <c r="L15" i="2994"/>
  <c r="C14" i="2994"/>
  <c r="D14" i="2994"/>
  <c r="E14" i="2994"/>
  <c r="F14" i="2994"/>
  <c r="G14" i="2994"/>
  <c r="J14" i="2994"/>
  <c r="I14" i="2994"/>
  <c r="H14" i="2994"/>
  <c r="K14" i="2994"/>
  <c r="L14" i="2994"/>
  <c r="C13" i="2994"/>
  <c r="D13" i="2994"/>
  <c r="E13" i="2994"/>
  <c r="F13" i="2994"/>
  <c r="G13" i="2994"/>
  <c r="J13" i="2994"/>
  <c r="I13" i="2994"/>
  <c r="H13" i="2994"/>
  <c r="K13" i="2994"/>
  <c r="L13" i="2994"/>
  <c r="C12" i="2994"/>
  <c r="D12" i="2994"/>
  <c r="E12" i="2994"/>
  <c r="F12" i="2994"/>
  <c r="G12" i="2994"/>
  <c r="J12" i="2994"/>
  <c r="I12" i="2994"/>
  <c r="H12" i="2994"/>
  <c r="K12" i="2994"/>
  <c r="L12" i="2994"/>
  <c r="C11" i="2994"/>
  <c r="D11" i="2994"/>
  <c r="E11" i="2994"/>
  <c r="F11" i="2994"/>
  <c r="G11" i="2994"/>
  <c r="J11" i="2994"/>
  <c r="I11" i="2994"/>
  <c r="H11" i="2994"/>
  <c r="K11" i="2994"/>
  <c r="L11" i="2994"/>
  <c r="L30" i="2994"/>
  <c r="G21" i="14"/>
  <c r="I21" i="14"/>
  <c r="K21" i="14"/>
  <c r="M21" i="14"/>
  <c r="Q21" i="14"/>
  <c r="O21" i="14"/>
  <c r="D5" i="2995"/>
  <c r="E5" i="2995"/>
  <c r="F5" i="2995"/>
  <c r="G5" i="2995"/>
  <c r="H5" i="2995"/>
  <c r="C7" i="2995"/>
  <c r="C8" i="2995"/>
  <c r="C9" i="2995"/>
  <c r="C10" i="2995"/>
  <c r="C11" i="2995"/>
  <c r="C12" i="2995"/>
  <c r="C13" i="2995"/>
  <c r="C14" i="2995"/>
  <c r="C15" i="2995"/>
  <c r="C16" i="2995"/>
  <c r="C17" i="2995"/>
  <c r="C18" i="2995"/>
  <c r="C19" i="2995"/>
  <c r="C20" i="2995"/>
  <c r="C21" i="2995"/>
  <c r="C22" i="2995"/>
  <c r="C23" i="2995"/>
  <c r="C24" i="2995"/>
  <c r="C25" i="2995"/>
  <c r="C26" i="2995"/>
  <c r="C27" i="2995"/>
  <c r="C28" i="2995"/>
  <c r="C29" i="2995"/>
  <c r="H2" i="2995"/>
  <c r="B2" i="2995"/>
  <c r="E3" i="11"/>
  <c r="E26" i="11"/>
  <c r="E71" i="11"/>
  <c r="E76" i="11"/>
  <c r="E102" i="11"/>
  <c r="E120" i="11"/>
  <c r="E136" i="11"/>
  <c r="E134" i="11"/>
  <c r="E133" i="11"/>
  <c r="E131" i="11"/>
  <c r="E129" i="11"/>
  <c r="N7" i="2994"/>
  <c r="E21" i="11"/>
  <c r="E56" i="11"/>
  <c r="E66" i="11"/>
  <c r="E80" i="11"/>
  <c r="E87" i="11"/>
  <c r="E105" i="11"/>
  <c r="E119" i="11"/>
  <c r="E121" i="11"/>
  <c r="N8" i="2994"/>
  <c r="E24" i="11"/>
  <c r="E47" i="11"/>
  <c r="E52" i="11"/>
  <c r="E68" i="11"/>
  <c r="E77" i="11"/>
  <c r="N9" i="2994"/>
  <c r="E28" i="11"/>
  <c r="E74" i="11"/>
  <c r="E79" i="11"/>
  <c r="E97" i="11"/>
  <c r="E104" i="11"/>
  <c r="E143" i="11"/>
  <c r="N10" i="2994"/>
  <c r="E31" i="11"/>
  <c r="E88" i="11"/>
  <c r="E95" i="11"/>
  <c r="N11" i="2994"/>
  <c r="E94" i="11"/>
  <c r="E100" i="11"/>
  <c r="E130" i="11"/>
  <c r="E164" i="11"/>
  <c r="E180" i="11"/>
  <c r="N12" i="2994"/>
  <c r="E73" i="11"/>
  <c r="E83" i="11"/>
  <c r="E109" i="11"/>
  <c r="E139" i="11"/>
  <c r="E153" i="11"/>
  <c r="N13" i="2994"/>
  <c r="E54" i="11"/>
  <c r="E64" i="11"/>
  <c r="E81" i="11"/>
  <c r="E89" i="11"/>
  <c r="E115" i="11"/>
  <c r="N14" i="2994"/>
  <c r="E23" i="11"/>
  <c r="E60" i="11"/>
  <c r="E86" i="11"/>
  <c r="E103" i="11"/>
  <c r="N15" i="2994"/>
  <c r="E9" i="11"/>
  <c r="E44" i="11"/>
  <c r="E46" i="11"/>
  <c r="E63" i="11"/>
  <c r="N16" i="2994"/>
  <c r="E16" i="11"/>
  <c r="E43" i="11"/>
  <c r="E90" i="11"/>
  <c r="N17" i="2994"/>
  <c r="E85" i="11"/>
  <c r="E96" i="11"/>
  <c r="E123" i="11"/>
  <c r="E135" i="11"/>
  <c r="N18" i="2994"/>
  <c r="E72" i="11"/>
  <c r="E82" i="11"/>
  <c r="E93" i="11"/>
  <c r="E108" i="11"/>
  <c r="E124" i="11"/>
  <c r="N19" i="2994"/>
  <c r="E30" i="11"/>
  <c r="E61" i="11"/>
  <c r="E138" i="11"/>
  <c r="N20" i="2994"/>
  <c r="E27" i="11"/>
  <c r="E118" i="11"/>
  <c r="E126" i="11"/>
  <c r="N21" i="2994"/>
  <c r="E18" i="11"/>
  <c r="E62" i="11"/>
  <c r="N22" i="2994"/>
  <c r="E5" i="11"/>
  <c r="E53" i="11"/>
  <c r="N23" i="2994"/>
  <c r="E55" i="11"/>
  <c r="N24" i="2994"/>
  <c r="E22" i="11"/>
  <c r="E51" i="11"/>
  <c r="E75" i="11"/>
  <c r="E106" i="11"/>
  <c r="E122" i="11"/>
  <c r="N25" i="2994"/>
  <c r="E91" i="11"/>
  <c r="E125" i="11"/>
  <c r="E145" i="11"/>
  <c r="N26" i="2994"/>
  <c r="E113" i="11"/>
  <c r="E165" i="11"/>
  <c r="N27" i="2994"/>
  <c r="E65" i="11"/>
  <c r="N28" i="2994"/>
  <c r="E17" i="11"/>
  <c r="E49" i="11"/>
  <c r="E59" i="11"/>
  <c r="E98" i="11"/>
  <c r="E114" i="11"/>
  <c r="N29" i="2994"/>
  <c r="D6" i="2994"/>
  <c r="D30" i="2994"/>
  <c r="E6" i="2994"/>
  <c r="E30" i="2994"/>
  <c r="F6" i="2994"/>
  <c r="F30" i="2994"/>
  <c r="G6" i="2994"/>
  <c r="G30" i="2994"/>
  <c r="H6" i="2994"/>
  <c r="H30" i="2994"/>
  <c r="I6" i="2994"/>
  <c r="I30" i="2994"/>
  <c r="J6" i="2994"/>
  <c r="J30" i="2994"/>
  <c r="M7" i="2994"/>
  <c r="M8" i="2994"/>
  <c r="M9" i="2994"/>
  <c r="M10" i="2994"/>
  <c r="M11" i="2994"/>
  <c r="M12" i="2994"/>
  <c r="M13" i="2994"/>
  <c r="M14" i="2994"/>
  <c r="M15" i="2994"/>
  <c r="M16" i="2994"/>
  <c r="M17" i="2994"/>
  <c r="M18" i="2994"/>
  <c r="M19" i="2994"/>
  <c r="M20" i="2994"/>
  <c r="M21" i="2994"/>
  <c r="M22" i="2994"/>
  <c r="M23" i="2994"/>
  <c r="M24" i="2994"/>
  <c r="M25" i="2994"/>
  <c r="M26" i="2994"/>
  <c r="M27" i="2994"/>
  <c r="M28" i="2994"/>
  <c r="M29" i="2994"/>
  <c r="K6" i="2994"/>
  <c r="M2" i="2994"/>
  <c r="B2" i="2994"/>
  <c r="D6" i="2993"/>
  <c r="D76" i="2993"/>
  <c r="E6" i="2993"/>
  <c r="E76" i="2993"/>
  <c r="F6" i="2993"/>
  <c r="F76" i="2993"/>
  <c r="G6" i="2993"/>
  <c r="G76" i="2993"/>
  <c r="H6" i="2993"/>
  <c r="H76" i="2993"/>
  <c r="I6" i="2993"/>
  <c r="D5" i="2993"/>
  <c r="E5" i="2993"/>
  <c r="F5" i="2993"/>
  <c r="G5" i="2993"/>
  <c r="H5" i="2993"/>
  <c r="I2" i="2993"/>
  <c r="B2" i="2993"/>
  <c r="D6" i="2992"/>
  <c r="D76" i="2992"/>
  <c r="E6" i="2992"/>
  <c r="E76" i="2992"/>
  <c r="F6" i="2992"/>
  <c r="F76" i="2992"/>
  <c r="G6" i="2992"/>
  <c r="G76" i="2992"/>
  <c r="H6" i="2992"/>
  <c r="H76" i="2992"/>
  <c r="I6" i="2992"/>
  <c r="D5" i="2992"/>
  <c r="E5" i="2992"/>
  <c r="F5" i="2992"/>
  <c r="G5" i="2992"/>
  <c r="H5" i="2992"/>
  <c r="I2" i="2992"/>
  <c r="B2" i="2992"/>
  <c r="D6" i="2991"/>
  <c r="D76" i="2991"/>
  <c r="E6" i="2991"/>
  <c r="E76" i="2991"/>
  <c r="F6" i="2991"/>
  <c r="D5" i="2991"/>
  <c r="E5" i="2991"/>
  <c r="F2" i="2991"/>
  <c r="B2" i="2991"/>
  <c r="D6" i="2990"/>
  <c r="D76" i="2990"/>
  <c r="E6" i="2990"/>
  <c r="E76" i="2990"/>
  <c r="F6" i="2990"/>
  <c r="F76" i="2990"/>
  <c r="G6" i="2990"/>
  <c r="G76" i="2990"/>
  <c r="H6" i="2990"/>
  <c r="H76" i="2990"/>
  <c r="I6" i="2990"/>
  <c r="D5" i="2990"/>
  <c r="E5" i="2990"/>
  <c r="F5" i="2990"/>
  <c r="G5" i="2990"/>
  <c r="H5" i="2990"/>
  <c r="I2" i="2990"/>
  <c r="B2" i="2990"/>
  <c r="D6" i="2989"/>
  <c r="D76" i="2989"/>
  <c r="E6" i="2989"/>
  <c r="D5" i="2989"/>
  <c r="E2" i="2989"/>
  <c r="B2" i="2989"/>
  <c r="D6" i="2988"/>
  <c r="D76" i="2988"/>
  <c r="E6" i="2988"/>
  <c r="E76" i="2988"/>
  <c r="F6" i="2988"/>
  <c r="F76" i="2988"/>
  <c r="G6" i="2988"/>
  <c r="G76" i="2988"/>
  <c r="H6" i="2988"/>
  <c r="H76" i="2988"/>
  <c r="I6" i="2988"/>
  <c r="I76" i="2988"/>
  <c r="J6" i="2988"/>
  <c r="J76" i="2988"/>
  <c r="K6" i="2988"/>
  <c r="K76" i="2988"/>
  <c r="L6" i="2988"/>
  <c r="L76" i="2988"/>
  <c r="M6" i="2988"/>
  <c r="M76" i="2988"/>
  <c r="N6" i="2988"/>
  <c r="D5" i="2988"/>
  <c r="E5" i="2988"/>
  <c r="F5" i="2988"/>
  <c r="G5" i="2988"/>
  <c r="H5" i="2988"/>
  <c r="I5" i="2988"/>
  <c r="J5" i="2988"/>
  <c r="K5" i="2988"/>
  <c r="L5" i="2988"/>
  <c r="M5" i="2988"/>
  <c r="N2" i="2988"/>
  <c r="B2" i="2988"/>
  <c r="D6" i="2987"/>
  <c r="D76" i="2987"/>
  <c r="E6" i="2987"/>
  <c r="E76" i="2987"/>
  <c r="F6" i="2987"/>
  <c r="F76" i="2987"/>
  <c r="G6" i="2987"/>
  <c r="G76" i="2987"/>
  <c r="H6" i="2987"/>
  <c r="H76" i="2987"/>
  <c r="I6" i="2987"/>
  <c r="I76" i="2987"/>
  <c r="J6" i="2987"/>
  <c r="D5" i="2987"/>
  <c r="E5" i="2987"/>
  <c r="F5" i="2987"/>
  <c r="G5" i="2987"/>
  <c r="H5" i="2987"/>
  <c r="I5" i="2987"/>
  <c r="J2" i="2987"/>
  <c r="B2" i="2987"/>
  <c r="E40" i="11"/>
  <c r="E116" i="11"/>
  <c r="E35" i="11"/>
  <c r="E70" i="11"/>
  <c r="E101" i="11"/>
  <c r="E111" i="11"/>
  <c r="E19" i="11"/>
  <c r="E84" i="11"/>
  <c r="E15" i="11"/>
  <c r="E141" i="11"/>
  <c r="E107" i="11"/>
  <c r="E110" i="11"/>
  <c r="E137" i="11"/>
  <c r="E146" i="11"/>
  <c r="E42" i="11"/>
  <c r="E147" i="11"/>
  <c r="E78" i="11"/>
  <c r="E39" i="11"/>
  <c r="E25" i="11"/>
  <c r="E38" i="11"/>
  <c r="E92" i="11"/>
  <c r="E11" i="11"/>
  <c r="E34" i="11"/>
  <c r="E48" i="11"/>
  <c r="E37" i="11"/>
  <c r="E69" i="11"/>
  <c r="E67" i="11"/>
  <c r="E50" i="11"/>
  <c r="E33" i="11"/>
  <c r="E13" i="11"/>
  <c r="E142" i="11"/>
  <c r="E99" i="11"/>
  <c r="E112" i="11"/>
  <c r="E29" i="11"/>
  <c r="E157" i="11"/>
  <c r="E57" i="11"/>
  <c r="E117" i="11"/>
  <c r="E36" i="11"/>
  <c r="E32" i="11"/>
  <c r="E58" i="11"/>
  <c r="E151" i="11"/>
  <c r="E176" i="11"/>
  <c r="E132" i="11"/>
  <c r="E128" i="11"/>
  <c r="R21" i="14"/>
  <c r="E7" i="11"/>
  <c r="E181" i="11"/>
  <c r="E160" i="11"/>
  <c r="E198" i="11"/>
  <c r="E149" i="11"/>
  <c r="E148" i="11"/>
  <c r="E161" i="11"/>
  <c r="E20" i="11"/>
  <c r="E127" i="11"/>
  <c r="E159" i="11"/>
  <c r="E174" i="11"/>
  <c r="E167" i="11"/>
  <c r="E183" i="11"/>
  <c r="E223" i="11"/>
  <c r="E168" i="11"/>
  <c r="E144" i="11"/>
  <c r="E163" i="11"/>
  <c r="P21" i="14"/>
  <c r="H21" i="14"/>
  <c r="F21" i="14"/>
  <c r="E185" i="11"/>
  <c r="E178" i="11"/>
  <c r="E197" i="11"/>
  <c r="E237" i="11"/>
  <c r="E154" i="11"/>
  <c r="E140" i="11"/>
  <c r="E173" i="11"/>
  <c r="E193" i="11"/>
  <c r="E293" i="11"/>
  <c r="E292" i="11"/>
  <c r="E291" i="11"/>
  <c r="E290" i="11"/>
  <c r="E289" i="11"/>
  <c r="E288" i="11"/>
  <c r="E287" i="11"/>
  <c r="E286" i="11"/>
  <c r="E285" i="11"/>
  <c r="E284" i="11"/>
  <c r="E283" i="11"/>
  <c r="E282" i="11"/>
  <c r="E281" i="11"/>
  <c r="E280" i="11"/>
  <c r="E279" i="11"/>
  <c r="E278" i="11"/>
  <c r="E277" i="11"/>
  <c r="E276" i="11"/>
  <c r="E275" i="11"/>
  <c r="E274" i="11"/>
  <c r="E273" i="11"/>
  <c r="E272" i="11"/>
  <c r="E271" i="11"/>
  <c r="E270" i="11"/>
  <c r="E269" i="11"/>
  <c r="E268" i="11"/>
  <c r="E267" i="11"/>
  <c r="E266" i="11"/>
  <c r="E265" i="11"/>
  <c r="E264" i="11"/>
  <c r="E263" i="11"/>
  <c r="E262" i="11"/>
  <c r="E261" i="11"/>
  <c r="E260" i="11"/>
  <c r="E259" i="11"/>
  <c r="E258" i="11"/>
  <c r="E257" i="11"/>
  <c r="E256" i="11"/>
  <c r="E255" i="11"/>
  <c r="E254" i="11"/>
  <c r="E253" i="11"/>
  <c r="E252" i="11"/>
  <c r="E251" i="11"/>
  <c r="E250" i="11"/>
  <c r="E249" i="11"/>
  <c r="E248" i="11"/>
  <c r="E247" i="11"/>
  <c r="E246" i="11"/>
  <c r="E245" i="11"/>
  <c r="E244" i="11"/>
  <c r="E4" i="11"/>
  <c r="E243" i="11"/>
  <c r="E242" i="11"/>
  <c r="E241" i="11"/>
  <c r="E240" i="11"/>
  <c r="E239" i="11"/>
  <c r="E238" i="11"/>
  <c r="E236" i="11"/>
  <c r="E235" i="11"/>
  <c r="E234" i="11"/>
  <c r="E233" i="11"/>
  <c r="E232" i="11"/>
  <c r="E231" i="11"/>
  <c r="E230" i="11"/>
  <c r="E229" i="11"/>
  <c r="E228" i="11"/>
  <c r="E227" i="11"/>
  <c r="E226" i="11"/>
  <c r="E225" i="11"/>
  <c r="E224" i="11"/>
  <c r="E222" i="11"/>
  <c r="E221" i="11"/>
  <c r="E220" i="11"/>
  <c r="E219" i="11"/>
  <c r="E218" i="11"/>
  <c r="E217" i="11"/>
  <c r="E216" i="11"/>
  <c r="E215" i="11"/>
  <c r="E214" i="11"/>
  <c r="E213" i="11"/>
  <c r="E212" i="11"/>
  <c r="E211" i="11"/>
  <c r="E210" i="11"/>
  <c r="E209" i="11"/>
  <c r="E208" i="11"/>
  <c r="E207" i="11"/>
  <c r="E206" i="11"/>
  <c r="E205" i="11"/>
  <c r="E204" i="11"/>
  <c r="E203" i="11"/>
  <c r="E202" i="11"/>
  <c r="E201" i="11"/>
  <c r="E200" i="11"/>
  <c r="E199" i="11"/>
  <c r="E196" i="11"/>
  <c r="E195" i="11"/>
  <c r="E194" i="11"/>
  <c r="E192" i="11"/>
  <c r="E191" i="11"/>
  <c r="E190" i="11"/>
  <c r="E189" i="11"/>
  <c r="E188" i="11"/>
  <c r="E187" i="11"/>
  <c r="E186" i="11"/>
  <c r="E184" i="11"/>
  <c r="E182" i="11"/>
  <c r="E179" i="11"/>
  <c r="E177" i="11"/>
  <c r="E175" i="11"/>
  <c r="E172" i="11"/>
  <c r="E171" i="11"/>
  <c r="E170" i="11"/>
  <c r="E169" i="11"/>
  <c r="E166" i="11"/>
  <c r="E162" i="11"/>
  <c r="E158" i="11"/>
  <c r="E156" i="11"/>
  <c r="E155" i="11"/>
  <c r="E152" i="11"/>
  <c r="E150" i="11"/>
  <c r="E45" i="11"/>
  <c r="E41" i="11"/>
  <c r="E14" i="11"/>
  <c r="E12" i="11"/>
  <c r="E10" i="11"/>
  <c r="E8" i="11"/>
  <c r="E6" i="11"/>
  <c r="N21" i="14"/>
  <c r="J21" i="14"/>
  <c r="L21" i="14"/>
  <c r="C45" i="14"/>
  <c r="M30" i="2994" a="1"/>
  <c r="M30" i="299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krausertm</author>
  </authors>
  <commentList>
    <comment ref="T2" authorId="0" shapeId="0" xr:uid="{00000000-0006-0000-0700-000001000000}">
      <text>
        <r>
          <rPr>
            <sz val="9"/>
            <color indexed="81"/>
            <rFont val="Segoe UI"/>
            <family val="2"/>
          </rPr>
          <t>Der Name des Examens kann hier eingetragen werden. Bspw. Abitur, 1. Schulaufgabe, Stehgreifaufgabe, ...</t>
        </r>
      </text>
    </comment>
    <comment ref="T4" authorId="0" shapeId="0" xr:uid="{00000000-0006-0000-0700-000002000000}">
      <text>
        <r>
          <rPr>
            <sz val="9"/>
            <color indexed="81"/>
            <rFont val="Segoe UI"/>
            <family val="2"/>
          </rPr>
          <t>In dieser Zeile können die Teilgebiete des Examens eingetragen werden. Pro Teilgebiet wird ein Notenblatt mit Spalten für die jeweiligen Aufgaben erzeugt. Es können bis zu 6 Teilgebiete angelegt werden.</t>
        </r>
      </text>
    </comment>
    <comment ref="T6" authorId="0" shapeId="0" xr:uid="{00000000-0006-0000-0700-000003000000}">
      <text>
        <r>
          <rPr>
            <sz val="9"/>
            <color indexed="81"/>
            <rFont val="Segoe UI"/>
            <family val="2"/>
          </rPr>
          <t>In diesem Bereich werden die Aufgaben der Teilgebiete (linke Spalte) sowie die dafür vergebenen Punkte (rechte Spalte) eingetragen. Es sind bis zu 15 Aufgaben pro Teilgebiet möglich.</t>
        </r>
      </text>
    </comment>
    <comment ref="S21" authorId="0" shapeId="0" xr:uid="{155C4121-3387-4718-A1EE-AD4B5FB80D79}">
      <text>
        <r>
          <rPr>
            <sz val="9"/>
            <color indexed="81"/>
            <rFont val="Segoe UI"/>
            <family val="2"/>
          </rPr>
          <t>Die anderen Blätter verwenden die Punktzahl hier als Referenz! Bspw. das Gesamtnotenblatt! Es wird also für Wahlaufgaben nicht die Summe aller wählbaren Aufgaben, sondern der maximal pro Schüler zu erreichende Wert fix hinterlegt!</t>
        </r>
      </text>
    </comment>
    <comment ref="T22" authorId="0" shapeId="0" xr:uid="{A62C7A42-5ED6-42E2-8400-1D10DD9A5A95}">
      <text>
        <r>
          <rPr>
            <sz val="9"/>
            <color indexed="81"/>
            <rFont val="Segoe UI"/>
            <family val="2"/>
          </rPr>
          <t>Wahlaufgaben? Ist hier "Ja" angewählt, können die Aufgaben pro Schüler nach dem Erstellen der Tabellen auf dem Tab "ConfigW" an- und abgewählt werden.</t>
        </r>
      </text>
    </comment>
    <comment ref="I27" authorId="0" shapeId="0" xr:uid="{607C5AC7-F126-4559-B723-0C14F53C2BCB}">
      <text>
        <r>
          <rPr>
            <sz val="9"/>
            <color indexed="81"/>
            <rFont val="Segoe UI"/>
            <family val="2"/>
          </rPr>
          <t>Wird hier ein Name eingetragen, werden beim Erzeugen der Tabellen entsprechende Zeilen für den ZK angelegt!</t>
        </r>
      </text>
    </comment>
    <comment ref="I28" authorId="0" shapeId="0" xr:uid="{DDCD2850-8F03-46F5-B1C2-E7B66D9D3C23}">
      <text>
        <r>
          <rPr>
            <sz val="9"/>
            <color indexed="81"/>
            <rFont val="Segoe UI"/>
            <family val="2"/>
          </rPr>
          <t>Wird hier ein Name eingetragen, werden beim Erzeugen der Tabellen entsprechende Zeilen für den DK angelegt!</t>
        </r>
      </text>
    </comment>
    <comment ref="W40" authorId="0" shapeId="0" xr:uid="{83B934CC-3A83-4A1C-BBF8-F40507CC12C7}">
      <text>
        <r>
          <rPr>
            <sz val="9"/>
            <color indexed="81"/>
            <rFont val="Segoe UI"/>
            <family val="2"/>
          </rPr>
          <t>Ist diese Option aktiviert (1), so springt die Tabelle nach einer Punkteeingabe direkt in das nächste Feld für des selben Typs (EK,ZK,DK) und am Ende wieder nach oben.</t>
        </r>
      </text>
    </comment>
    <comment ref="W41" authorId="0" shapeId="0" xr:uid="{4BD76716-55ED-44E9-A100-A9DB4E02F54E}">
      <text>
        <r>
          <rPr>
            <sz val="9"/>
            <color indexed="81"/>
            <rFont val="Segoe UI"/>
            <family val="2"/>
          </rPr>
          <t>Ist diese Option aktiviert (1), so springt die Tabelle nach dem Löschen einer Punktezelle direkt in das nächste Feld für des selben Typs (EK,ZK,DK) und am Ende wieder nach oben.</t>
        </r>
      </text>
    </comment>
  </commentList>
</comments>
</file>

<file path=xl/sharedStrings.xml><?xml version="1.0" encoding="utf-8"?>
<sst xmlns="http://schemas.openxmlformats.org/spreadsheetml/2006/main" count="796" uniqueCount="138">
  <si>
    <t>Punkte</t>
  </si>
  <si>
    <t>Note</t>
  </si>
  <si>
    <t>1a</t>
  </si>
  <si>
    <t>4a</t>
  </si>
  <si>
    <t>4b</t>
  </si>
  <si>
    <t>2a</t>
  </si>
  <si>
    <t>Klasse</t>
  </si>
  <si>
    <t>Nachname</t>
  </si>
  <si>
    <t>Vorname</t>
  </si>
  <si>
    <t>Analysis A</t>
  </si>
  <si>
    <t>Analysis B</t>
  </si>
  <si>
    <t>Stochastik A</t>
  </si>
  <si>
    <t>Stochastik B</t>
  </si>
  <si>
    <t>Geometrie A</t>
  </si>
  <si>
    <t>Geometrie B</t>
  </si>
  <si>
    <t>Aufgabe</t>
  </si>
  <si>
    <t>1b</t>
  </si>
  <si>
    <t>2</t>
  </si>
  <si>
    <t>3</t>
  </si>
  <si>
    <t>1</t>
  </si>
  <si>
    <t>Marvin</t>
  </si>
  <si>
    <t>Kurs</t>
  </si>
  <si>
    <t>Datum</t>
  </si>
  <si>
    <t>1c</t>
  </si>
  <si>
    <t>1d</t>
  </si>
  <si>
    <t>1e</t>
  </si>
  <si>
    <t>1f</t>
  </si>
  <si>
    <t>1g</t>
  </si>
  <si>
    <t>1h</t>
  </si>
  <si>
    <t>2b</t>
  </si>
  <si>
    <t>Kursltr</t>
  </si>
  <si>
    <t>Notenpkt</t>
  </si>
  <si>
    <t xml:space="preserve">Info: Hier kann der Notenspiegel eingetragen werden. Die folgenden Werte sind in die Spalten einzutragen:
Spalte B: Erreichte Punktzahl (0-x)
Spalte C: Die Notenpunkte (0-15)
Spalte D: Die Schulnote (6-1) 
Die maximale Länge sind 300 Einträge!
Markierung auf der Notenübersicht:
Auf der Notenübersicht werden Schüler hervorgehoben, die einen bzw. zwei Punkteschritte (also 1 bzw. 2 Zeilen) von der nächst besseren oder auch nächst schlechteren Note entfernt sind. Die Farben haben dabei folgende Bedeutung:
</t>
  </si>
  <si>
    <t>Der Schüler ist zwei Schritte von der nächst besseren Note entfernt</t>
  </si>
  <si>
    <t>Der Schüler ist einen Schritt von der nächst besseren Note entfernt</t>
  </si>
  <si>
    <t>Der Schüler ist einen Schritt über der nächst schlechteren Note</t>
  </si>
  <si>
    <t>Der Schüler ist zwei Schritte über der nächst schlechteren Note</t>
  </si>
  <si>
    <t>Simon</t>
  </si>
  <si>
    <t>Lilian</t>
  </si>
  <si>
    <t>Leonie</t>
  </si>
  <si>
    <t>Cedric</t>
  </si>
  <si>
    <t>Annabell</t>
  </si>
  <si>
    <t>Stefanie</t>
  </si>
  <si>
    <t>Damian</t>
  </si>
  <si>
    <t>Meik</t>
  </si>
  <si>
    <t>Tomas</t>
  </si>
  <si>
    <t>Linn</t>
  </si>
  <si>
    <t>Amely</t>
  </si>
  <si>
    <t>Melvin</t>
  </si>
  <si>
    <t>Jean</t>
  </si>
  <si>
    <t>Leonardo</t>
  </si>
  <si>
    <t>Nicholas</t>
  </si>
  <si>
    <t>Vivienne</t>
  </si>
  <si>
    <t>Mads</t>
  </si>
  <si>
    <t>Raphael</t>
  </si>
  <si>
    <t>Emmely</t>
  </si>
  <si>
    <t>Karin</t>
  </si>
  <si>
    <t>Ingo</t>
  </si>
  <si>
    <t>Höfer</t>
  </si>
  <si>
    <t>Töpfer</t>
  </si>
  <si>
    <t>Fleischmann</t>
  </si>
  <si>
    <t>Drescher</t>
  </si>
  <si>
    <t>Baumgarten</t>
  </si>
  <si>
    <t>Traut</t>
  </si>
  <si>
    <t>Menke</t>
  </si>
  <si>
    <t>Carroll</t>
  </si>
  <si>
    <t>Hennings</t>
  </si>
  <si>
    <t>Walters</t>
  </si>
  <si>
    <t>Junker</t>
  </si>
  <si>
    <t>Stephens</t>
  </si>
  <si>
    <t>Cremer</t>
  </si>
  <si>
    <t>Nash</t>
  </si>
  <si>
    <t>Schön</t>
  </si>
  <si>
    <t>Sigl</t>
  </si>
  <si>
    <t>Kainz</t>
  </si>
  <si>
    <t>Hartmann</t>
  </si>
  <si>
    <t>Ullmann</t>
  </si>
  <si>
    <t>Hartl</t>
  </si>
  <si>
    <t>Klotz</t>
  </si>
  <si>
    <t>Ehlers</t>
  </si>
  <si>
    <t>Lindemann</t>
  </si>
  <si>
    <t>Name</t>
  </si>
  <si>
    <t>Summe</t>
  </si>
  <si>
    <t>Noten</t>
  </si>
  <si>
    <t>uiiii</t>
  </si>
  <si>
    <t>ø</t>
  </si>
  <si>
    <t>Ulrich</t>
  </si>
  <si>
    <t>K1</t>
  </si>
  <si>
    <t>?</t>
  </si>
  <si>
    <t>Anleitung:</t>
  </si>
  <si>
    <t>1.</t>
  </si>
  <si>
    <t>2.</t>
  </si>
  <si>
    <t>3.</t>
  </si>
  <si>
    <t>4.</t>
  </si>
  <si>
    <t>5.</t>
  </si>
  <si>
    <t>6.</t>
  </si>
  <si>
    <t>Mathe Abitur</t>
  </si>
  <si>
    <r>
      <rPr>
        <b/>
        <sz val="10"/>
        <rFont val="Arial"/>
        <family val="2"/>
      </rPr>
      <t xml:space="preserve">Hinweis: Nach dem erzeugen der Tabellen darf / kann </t>
    </r>
    <r>
      <rPr>
        <b/>
        <sz val="10"/>
        <color rgb="FFFF0000"/>
        <rFont val="Arial"/>
        <family val="2"/>
      </rPr>
      <t xml:space="preserve">NICHT </t>
    </r>
    <r>
      <rPr>
        <b/>
        <sz val="10"/>
        <rFont val="Arial"/>
        <family val="2"/>
      </rPr>
      <t>mehr verändert werden:</t>
    </r>
    <r>
      <rPr>
        <sz val="10"/>
        <rFont val="Arial"/>
        <family val="2"/>
      </rPr>
      <t xml:space="preserve">
- die Anzahl der Schüler
- die Anzahl der Teilaufgaben
- die Anzahl der Aufgaben der jeweiligen Teilaufgabe
- Die Bezeichnungen der Teilgebiete
Falls es doch einmal nötig sein sollte einen der o.g. nicht änderbaren Parameter anzupassen, speichern Sie bitte ihre bereits eingetragenen Punkte auf den Notenblättern in einer </t>
    </r>
    <r>
      <rPr>
        <b/>
        <sz val="10"/>
        <rFont val="Arial"/>
        <family val="2"/>
      </rPr>
      <t>neuen Excel-Datei</t>
    </r>
    <r>
      <rPr>
        <sz val="10"/>
        <rFont val="Arial"/>
        <family val="2"/>
      </rPr>
      <t xml:space="preserve"> und kopieren diese nach dem neu erstellen wieder an die richtigen Stellen zurück.
</t>
    </r>
    <r>
      <rPr>
        <b/>
        <sz val="10"/>
        <rFont val="Arial"/>
        <family val="2"/>
      </rPr>
      <t>Es kann noch geändert werden:</t>
    </r>
    <r>
      <rPr>
        <sz val="10"/>
        <rFont val="Arial"/>
        <family val="2"/>
      </rPr>
      <t xml:space="preserve">
- Die Namen der Schüler
- Die Bezeichnungen der Aufgaben und des Examens
- Die vergebenen Punkte für die Aufgaben</t>
    </r>
  </si>
  <si>
    <t>GitHub Releases (für neue Versionen)</t>
  </si>
  <si>
    <t>Lizenz: GNU GPLv3.</t>
  </si>
  <si>
    <t>5-</t>
  </si>
  <si>
    <t>5</t>
  </si>
  <si>
    <t>5+</t>
  </si>
  <si>
    <t>4-</t>
  </si>
  <si>
    <t>4</t>
  </si>
  <si>
    <t>4+</t>
  </si>
  <si>
    <t>3-</t>
  </si>
  <si>
    <t>3+</t>
  </si>
  <si>
    <t>2-</t>
  </si>
  <si>
    <t>2+</t>
  </si>
  <si>
    <t>1-</t>
  </si>
  <si>
    <t>1+</t>
  </si>
  <si>
    <t>Wahlaufgaben</t>
  </si>
  <si>
    <t>6</t>
  </si>
  <si>
    <t>7a</t>
  </si>
  <si>
    <t>7b</t>
  </si>
  <si>
    <t>8</t>
  </si>
  <si>
    <t>9</t>
  </si>
  <si>
    <t>Nein</t>
  </si>
  <si>
    <t>Ja</t>
  </si>
  <si>
    <t>x</t>
  </si>
  <si>
    <t>7.</t>
  </si>
  <si>
    <t>Über den Button "Alles löschen ... " können die Beispielinhalte entfernt werden.
Schülernamen, sowie Teilgebiete, Aufgaben und Punkte in die beiden Tabellen eintragen.
Wahlaufgaben können in der dafür vorgesehenen Spalte eingetragen werden.
Den Notenschlüssel auf dem Blatt "Notenspiegel" hinterlegen. (Beschreibung siehe dort)
Über den Button "Tabellen erzeugen" die Notenblätter generieren.
Falls Wahlaufgaben vorhanden sind, die gewählten Aufgaben pro Schüler auf  Blatt ConfigW eingeben.
Die erreichten Punkte der Schüler für die einzelnen Aufgaben auf den Notenblättern eintragen.
Über den Button "Schülerpunktzahlen-Druckseite erzeugen" die Druckansicht generieren und ausrducken, falls gewünscht.</t>
  </si>
  <si>
    <t>8.</t>
  </si>
  <si>
    <t>Wahlfachkonfiguration</t>
  </si>
  <si>
    <t>In nebenstehender Tabelle, alle gewählten Aufgaben des Schülers mit "x" selektieren. Anschließend den 'Wahlaufgaben aktualisieren' Button auf der Config-Seite anklicken!</t>
  </si>
  <si>
    <t>ZK</t>
  </si>
  <si>
    <t>DK</t>
  </si>
  <si>
    <t>Diese Buttons blenden die Zeilen für ZK/DK ein bzw. aus!</t>
  </si>
  <si>
    <t>ZK/DK:</t>
  </si>
  <si>
    <t>-</t>
  </si>
  <si>
    <t>Wird bei ZK/DK etwas eingetragen (Wert ist irrelevant!) so werden entsprechende Zeilen für ZK/DK angelegt!
Über die Buttons (EK, ZK, DK, Alle) können die jeweiligen Zeilen ein- und ausgeblendet werden. Bereits eingetragene Punktezahlen des ZK/DK bleiben so erhalten!
Über die Buttons  "ZK/DK anlegen" und "ZK/DK löschen" lassen sich die Zeilen für ZK/DK jederzeit einfügen und löschen, ohne die Hauptkorrektur zu beeinflussen.
Über die Buttons "ZK importieren" und "DK importieren" können die Korrekturwerte eines ZK/DK in die eigene Hauptkorrekturliste importiert werden. Das kann helfen wenn Teile der Arbeit während der noch laufenden Korrektur an den ZK/DK weitergegeben werden! Es sollte immer nur ZK in die Hauptliste und DK in ZK bzw. die Hauptliste übernommen werden!</t>
  </si>
  <si>
    <t>Emma</t>
  </si>
  <si>
    <t>Philipp</t>
  </si>
  <si>
    <t>Optionen</t>
  </si>
  <si>
    <t>Zu nächster Aufgabe navigieren nach Eingabe</t>
  </si>
  <si>
    <t>Zu nächster Aufgabe navigieren nach Löschen</t>
  </si>
  <si>
    <t>Pre-Release! v2.2.0-beta3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</si>
</sst>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0"/>
      <name val="Arial"/>
    </font>
    <font>
      <b/>
      <sz val="12"/>
      <name val="Arial"/>
      <family val="2"/>
    </font>
    <font>
      <sz val="10"/>
      <name val="Arial"/>
      <family val="2"/>
    </font>
    <font>
      <b/>
      <sz val="10"/>
      <name val="Arial"/>
      <family val="2"/>
    </font>
    <font>
      <sz val="8"/>
      <name val="Arial"/>
      <family val="2"/>
    </font>
    <font>
      <sz val="10"/>
      <color theme="0" tint="-4.9989318521683403E-2"/>
      <name val="Arial"/>
      <family val="2"/>
    </font>
    <font>
      <sz val="10"/>
      <name val="Arial"/>
      <family val="2"/>
    </font>
    <font>
      <sz val="9"/>
      <color indexed="81"/>
      <name val="Segoe UI"/>
      <family val="2"/>
    </font>
    <font>
      <b/>
      <sz val="10"/>
      <color rgb="FFFF0000"/>
      <name val="Arial"/>
      <family val="2"/>
    </font>
    <font>
      <u/>
      <sz val="10"/>
      <color theme="10"/>
      <name val="Arial"/>
      <family val="2"/>
    </font>
    <font>
      <sz val="8"/>
      <name val="Arial"/>
      <family val="2"/>
    </font>
    <font>
      <b/>
      <sz val="8"/>
      <color rgb="FF00B0F0"/>
      <name val="Arial"/>
      <family val="2"/>
    </font>
    <font>
      <b/>
      <sz val="10"/>
      <color rgb="FFAF5000"/>
      <name val="Arial"/>
      <family val="2"/>
    </font>
    <font>
      <sz val="9"/>
      <name val="Arial"/>
      <family val="2"/>
    </font>
  </fonts>
  <fills count="17">
    <fill>
      <patternFill patternType="none"/>
    </fill>
    <fill>
      <patternFill patternType="gray125"/>
    </fill>
    <fill>
      <patternFill patternType="solid">
        <fgColor theme="6" tint="0.3999755851924192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92D050"/>
        <bgColor indexed="64"/>
      </patternFill>
    </fill>
    <fill>
      <patternFill patternType="solid">
        <fgColor rgb="FFCDFFBD"/>
        <bgColor indexed="64"/>
      </patternFill>
    </fill>
    <fill>
      <patternFill patternType="solid">
        <fgColor rgb="FFFF9797"/>
        <bgColor indexed="64"/>
      </patternFill>
    </fill>
    <fill>
      <patternFill patternType="solid">
        <fgColor rgb="FFFF0000"/>
        <bgColor indexed="64"/>
      </patternFill>
    </fill>
    <fill>
      <patternFill patternType="solid">
        <fgColor rgb="FFF0F0F0"/>
        <bgColor indexed="64"/>
      </patternFill>
    </fill>
    <fill>
      <patternFill patternType="solid">
        <fgColor rgb="FFC4D79B"/>
        <bgColor indexed="64"/>
      </patternFill>
    </fill>
    <fill>
      <patternFill patternType="solid">
        <fgColor rgb="FFD9D9D9"/>
        <bgColor indexed="64"/>
      </patternFill>
    </fill>
    <fill>
      <patternFill patternType="solid">
        <fgColor rgb="FFFFFFFF"/>
        <bgColor indexed="64"/>
      </patternFill>
    </fill>
    <fill>
      <patternFill patternType="solid">
        <fgColor rgb="FFE8E8E8"/>
        <bgColor indexed="64"/>
      </patternFill>
    </fill>
    <fill>
      <patternFill patternType="solid">
        <fgColor rgb="FFFFDCDC"/>
        <bgColor indexed="64"/>
      </patternFill>
    </fill>
    <fill>
      <patternFill patternType="solid">
        <fgColor rgb="FFE6FFE6"/>
        <bgColor indexed="64"/>
      </patternFill>
    </fill>
  </fills>
  <borders count="90">
    <border>
      <left/>
      <right/>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bottom style="thin">
        <color indexed="64"/>
      </bottom>
      <diagonal/>
    </border>
    <border>
      <left style="thin">
        <color indexed="64"/>
      </left>
      <right/>
      <top style="thin">
        <color indexed="64"/>
      </top>
      <bottom style="thin">
        <color theme="0" tint="-4.9989318521683403E-2"/>
      </bottom>
      <diagonal/>
    </border>
    <border>
      <left/>
      <right style="medium">
        <color indexed="64"/>
      </right>
      <top style="thin">
        <color indexed="64"/>
      </top>
      <bottom style="thin">
        <color theme="0" tint="-4.9989318521683403E-2"/>
      </bottom>
      <diagonal/>
    </border>
    <border>
      <left style="thin">
        <color indexed="64"/>
      </left>
      <right/>
      <top style="thin">
        <color theme="0" tint="-4.9989318521683403E-2"/>
      </top>
      <bottom style="thin">
        <color theme="0" tint="-4.9989318521683403E-2"/>
      </bottom>
      <diagonal/>
    </border>
    <border>
      <left/>
      <right style="medium">
        <color indexed="64"/>
      </right>
      <top style="thin">
        <color theme="0" tint="-4.9989318521683403E-2"/>
      </top>
      <bottom style="thin">
        <color theme="0" tint="-4.9989318521683403E-2"/>
      </bottom>
      <diagonal/>
    </border>
    <border>
      <left style="thin">
        <color indexed="64"/>
      </left>
      <right/>
      <top style="thin">
        <color theme="0" tint="-4.9989318521683403E-2"/>
      </top>
      <bottom style="medium">
        <color indexed="64"/>
      </bottom>
      <diagonal/>
    </border>
    <border>
      <left/>
      <right style="medium">
        <color indexed="64"/>
      </right>
      <top style="thin">
        <color theme="0" tint="-4.9989318521683403E-2"/>
      </top>
      <bottom style="medium">
        <color indexed="64"/>
      </bottom>
      <diagonal/>
    </border>
    <border>
      <left style="medium">
        <color indexed="64"/>
      </left>
      <right style="thin">
        <color theme="2"/>
      </right>
      <top/>
      <bottom/>
      <diagonal/>
    </border>
    <border>
      <left style="thin">
        <color theme="2"/>
      </left>
      <right style="medium">
        <color indexed="64"/>
      </right>
      <top/>
      <bottom/>
      <diagonal/>
    </border>
    <border>
      <left/>
      <right style="thin">
        <color theme="2"/>
      </right>
      <top/>
      <bottom/>
      <diagonal/>
    </border>
    <border>
      <left style="thin">
        <color theme="2"/>
      </left>
      <right style="thin">
        <color theme="0" tint="-0.34998626667073579"/>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thin">
        <color theme="0" tint="-0.34998626667073579"/>
      </right>
      <top/>
      <bottom style="thin">
        <color indexed="64"/>
      </bottom>
      <diagonal/>
    </border>
    <border>
      <left/>
      <right style="thin">
        <color theme="0" tint="-0.34998626667073579"/>
      </right>
      <top/>
      <bottom/>
      <diagonal/>
    </border>
    <border>
      <left style="medium">
        <color indexed="8"/>
      </left>
      <right/>
      <top/>
      <bottom/>
      <diagonal/>
    </border>
    <border>
      <left style="medium">
        <color indexed="8"/>
      </left>
      <right/>
      <top style="medium">
        <color indexed="8"/>
      </top>
      <bottom/>
      <diagonal/>
    </border>
    <border>
      <left/>
      <right/>
      <top style="medium">
        <color indexed="8"/>
      </top>
      <bottom/>
      <diagonal/>
    </border>
    <border>
      <left/>
      <right style="medium">
        <color indexed="8"/>
      </right>
      <top/>
      <bottom/>
      <diagonal/>
    </border>
    <border>
      <left/>
      <right style="medium">
        <color indexed="8"/>
      </right>
      <top style="medium">
        <color indexed="8"/>
      </top>
      <bottom/>
      <diagonal/>
    </border>
    <border>
      <left style="medium">
        <color indexed="8"/>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8"/>
      </left>
      <right style="medium">
        <color indexed="8"/>
      </right>
      <top style="medium">
        <color indexed="8"/>
      </top>
      <bottom/>
      <diagonal/>
    </border>
    <border>
      <left style="medium">
        <color indexed="8"/>
      </left>
      <right style="medium">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indexed="8"/>
      </left>
      <right/>
      <top style="medium">
        <color indexed="8"/>
      </top>
      <bottom style="medium">
        <color indexed="8"/>
      </bottom>
      <diagonal/>
    </border>
    <border>
      <left style="thin">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thin">
        <color indexed="8"/>
      </right>
      <top style="medium">
        <color indexed="8"/>
      </top>
      <bottom style="thin">
        <color indexed="8"/>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thin">
        <color theme="0" tint="-0.34998626667073579"/>
      </left>
      <right/>
      <top/>
      <bottom/>
      <diagonal/>
    </border>
    <border>
      <left style="thin">
        <color theme="0" tint="-0.34998626667073579"/>
      </left>
      <right/>
      <top/>
      <bottom style="medium">
        <color indexed="64"/>
      </bottom>
      <diagonal/>
    </border>
    <border>
      <left/>
      <right style="thin">
        <color theme="0" tint="-0.34998626667073579"/>
      </right>
      <top/>
      <bottom style="medium">
        <color indexed="64"/>
      </bottom>
      <diagonal/>
    </border>
    <border>
      <left style="medium">
        <color indexed="64"/>
      </left>
      <right style="thin">
        <color theme="2"/>
      </right>
      <top/>
      <bottom style="thin">
        <color indexed="64"/>
      </bottom>
      <diagonal/>
    </border>
    <border>
      <left style="thin">
        <color theme="2"/>
      </left>
      <right style="thin">
        <color theme="0" tint="-0.34998626667073579"/>
      </right>
      <top/>
      <bottom style="thin">
        <color indexed="64"/>
      </bottom>
      <diagonal/>
    </border>
    <border>
      <left/>
      <right style="thin">
        <color theme="2"/>
      </right>
      <top/>
      <bottom style="thin">
        <color indexed="64"/>
      </bottom>
      <diagonal/>
    </border>
    <border>
      <left style="thin">
        <color theme="2"/>
      </left>
      <right style="medium">
        <color indexed="64"/>
      </right>
      <top/>
      <bottom style="thin">
        <color indexed="64"/>
      </bottom>
      <diagonal/>
    </border>
    <border>
      <left style="thin">
        <color indexed="8"/>
      </left>
      <right style="medium">
        <color indexed="8"/>
      </right>
      <top style="medium">
        <color indexed="8"/>
      </top>
      <bottom style="medium">
        <color indexed="8"/>
      </bottom>
      <diagonal/>
    </border>
    <border>
      <left style="medium">
        <color indexed="8"/>
      </left>
      <right style="thin">
        <color indexed="8"/>
      </right>
      <top style="medium">
        <color indexed="8"/>
      </top>
      <bottom style="medium">
        <color indexed="8"/>
      </bottom>
      <diagonal/>
    </border>
    <border>
      <left style="medium">
        <color indexed="8"/>
      </left>
      <right style="thin">
        <color indexed="8"/>
      </right>
      <top style="medium">
        <color indexed="8"/>
      </top>
      <bottom/>
      <diagonal/>
    </border>
    <border>
      <left style="thin">
        <color indexed="8"/>
      </left>
      <right style="medium">
        <color indexed="8"/>
      </right>
      <top style="medium">
        <color indexed="8"/>
      </top>
      <bottom/>
      <diagonal/>
    </border>
    <border>
      <left style="thin">
        <color indexed="8"/>
      </left>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medium">
        <color indexed="8"/>
      </left>
      <right style="thin">
        <color indexed="8"/>
      </right>
      <top/>
      <bottom style="medium">
        <color indexed="8"/>
      </bottom>
      <diagonal/>
    </border>
    <border>
      <left style="thin">
        <color indexed="8"/>
      </left>
      <right style="thin">
        <color indexed="8"/>
      </right>
      <top/>
      <bottom style="medium">
        <color indexed="8"/>
      </bottom>
      <diagonal/>
    </border>
    <border>
      <left style="thin">
        <color indexed="8"/>
      </left>
      <right/>
      <top/>
      <bottom style="medium">
        <color indexed="8"/>
      </bottom>
      <diagonal/>
    </border>
    <border>
      <left style="medium">
        <color indexed="8"/>
      </left>
      <right style="medium">
        <color indexed="8"/>
      </right>
      <top/>
      <bottom style="medium">
        <color indexed="8"/>
      </bottom>
      <diagonal/>
    </border>
    <border>
      <left style="medium">
        <color indexed="8"/>
      </left>
      <right style="medium">
        <color indexed="8"/>
      </right>
      <top/>
      <bottom/>
      <diagonal/>
    </border>
    <border>
      <left style="thin">
        <color indexed="8"/>
      </left>
      <right/>
      <top/>
      <bottom/>
      <diagonal/>
    </border>
    <border>
      <left style="thin">
        <color indexed="8"/>
      </left>
      <right style="thin">
        <color indexed="8"/>
      </right>
      <top/>
      <bottom/>
      <diagonal/>
    </border>
    <border>
      <left style="medium">
        <color indexed="8"/>
      </left>
      <right style="thin">
        <color indexed="8"/>
      </right>
      <top/>
      <bottom/>
      <diagonal/>
    </border>
    <border>
      <left style="medium">
        <color indexed="8"/>
      </left>
      <right style="thin">
        <color indexed="8"/>
      </right>
      <top/>
      <bottom style="hair">
        <color rgb="FFE8E8E8"/>
      </bottom>
      <diagonal/>
    </border>
    <border>
      <left style="thin">
        <color indexed="8"/>
      </left>
      <right style="thin">
        <color indexed="8"/>
      </right>
      <top/>
      <bottom style="hair">
        <color rgb="FFE8E8E8"/>
      </bottom>
      <diagonal/>
    </border>
    <border>
      <left style="medium">
        <color indexed="8"/>
      </left>
      <right style="medium">
        <color indexed="8"/>
      </right>
      <top/>
      <bottom style="hair">
        <color rgb="FFE8E8E8"/>
      </bottom>
      <diagonal/>
    </border>
    <border>
      <left style="medium">
        <color indexed="8"/>
      </left>
      <right style="thin">
        <color indexed="8"/>
      </right>
      <top/>
      <bottom style="hair">
        <color rgb="FFD9D9D9"/>
      </bottom>
      <diagonal/>
    </border>
    <border>
      <left style="thin">
        <color indexed="8"/>
      </left>
      <right style="thin">
        <color indexed="8"/>
      </right>
      <top/>
      <bottom style="hair">
        <color rgb="FFD9D9D9"/>
      </bottom>
      <diagonal/>
    </border>
    <border>
      <left style="medium">
        <color indexed="8"/>
      </left>
      <right style="medium">
        <color indexed="8"/>
      </right>
      <top/>
      <bottom style="hair">
        <color rgb="FFD9D9D9"/>
      </bottom>
      <diagonal/>
    </border>
    <border>
      <left style="medium">
        <color indexed="8"/>
      </left>
      <right style="medium">
        <color indexed="8"/>
      </right>
      <top style="medium">
        <color indexed="8"/>
      </top>
      <bottom style="hair">
        <color rgb="FFE8E8E8"/>
      </bottom>
      <diagonal/>
    </border>
    <border>
      <left style="medium">
        <color indexed="8"/>
      </left>
      <right style="thin">
        <color indexed="8"/>
      </right>
      <top style="medium">
        <color indexed="8"/>
      </top>
      <bottom style="hair">
        <color rgb="FFE8E8E8"/>
      </bottom>
      <diagonal/>
    </border>
    <border>
      <left style="thin">
        <color indexed="8"/>
      </left>
      <right style="thin">
        <color indexed="8"/>
      </right>
      <top style="medium">
        <color indexed="8"/>
      </top>
      <bottom style="hair">
        <color rgb="FFE8E8E8"/>
      </bottom>
      <diagonal/>
    </border>
    <border>
      <left style="thin">
        <color indexed="8"/>
      </left>
      <right/>
      <top style="medium">
        <color indexed="8"/>
      </top>
      <bottom style="hair">
        <color rgb="FFE8E8E8"/>
      </bottom>
      <diagonal/>
    </border>
    <border>
      <left style="thin">
        <color indexed="8"/>
      </left>
      <right/>
      <top/>
      <bottom style="hair">
        <color rgb="FFE8E8E8"/>
      </bottom>
      <diagonal/>
    </border>
    <border>
      <left style="thin">
        <color indexed="8"/>
      </left>
      <right/>
      <top/>
      <bottom style="hair">
        <color rgb="FFD9D9D9"/>
      </bottom>
      <diagonal/>
    </border>
    <border>
      <left style="medium">
        <color indexed="8"/>
      </left>
      <right style="thin">
        <color indexed="8"/>
      </right>
      <top style="thin">
        <color indexed="8"/>
      </top>
      <bottom style="hair">
        <color rgb="FFD9D9D9"/>
      </bottom>
      <diagonal/>
    </border>
    <border>
      <left style="thin">
        <color indexed="8"/>
      </left>
      <right style="thin">
        <color indexed="8"/>
      </right>
      <top style="thin">
        <color indexed="8"/>
      </top>
      <bottom style="hair">
        <color rgb="FFD9D9D9"/>
      </bottom>
      <diagonal/>
    </border>
    <border>
      <left style="thin">
        <color indexed="8"/>
      </left>
      <right/>
      <top style="thin">
        <color indexed="8"/>
      </top>
      <bottom style="hair">
        <color rgb="FFD9D9D9"/>
      </bottom>
      <diagonal/>
    </border>
    <border>
      <left style="medium">
        <color indexed="8"/>
      </left>
      <right style="medium">
        <color indexed="8"/>
      </right>
      <top style="thin">
        <color indexed="8"/>
      </top>
      <bottom style="hair">
        <color rgb="FFD9D9D9"/>
      </bottom>
      <diagonal/>
    </border>
    <border>
      <left style="medium">
        <color indexed="8"/>
      </left>
      <right style="thin">
        <color indexed="8"/>
      </right>
      <top style="thin">
        <color indexed="8"/>
      </top>
      <bottom style="hair">
        <color rgb="FFE8E8E8"/>
      </bottom>
      <diagonal/>
    </border>
    <border>
      <left style="thin">
        <color indexed="8"/>
      </left>
      <right style="thin">
        <color indexed="8"/>
      </right>
      <top style="thin">
        <color indexed="8"/>
      </top>
      <bottom style="hair">
        <color rgb="FFE8E8E8"/>
      </bottom>
      <diagonal/>
    </border>
    <border>
      <left style="thin">
        <color indexed="8"/>
      </left>
      <right/>
      <top style="thin">
        <color indexed="8"/>
      </top>
      <bottom style="hair">
        <color rgb="FFE8E8E8"/>
      </bottom>
      <diagonal/>
    </border>
    <border>
      <left style="medium">
        <color indexed="8"/>
      </left>
      <right style="medium">
        <color indexed="8"/>
      </right>
      <top style="thin">
        <color indexed="8"/>
      </top>
      <bottom style="hair">
        <color rgb="FFE8E8E8"/>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s>
  <cellStyleXfs count="5">
    <xf numFmtId="0" fontId="0" fillId="0" borderId="0"/>
    <xf numFmtId="9" fontId="6" fillId="0" borderId="0" applyFont="0" applyFill="0" applyBorder="0" applyAlignment="0" applyProtection="0"/>
    <xf numFmtId="0" fontId="9" fillId="0" borderId="0" applyNumberFormat="0" applyFill="0" applyBorder="0" applyAlignment="0" applyProtection="0"/>
    <xf numFmtId="0" fontId="2" fillId="0" borderId="0"/>
    <xf numFmtId="9" fontId="2" fillId="0" borderId="0" applyFont="0" applyFill="0" applyBorder="0" applyAlignment="0" applyProtection="0"/>
  </cellStyleXfs>
  <cellXfs count="297">
    <xf numFmtId="0" fontId="0" fillId="0" borderId="0" xfId="0"/>
    <xf numFmtId="0" fontId="0" fillId="0" borderId="0" xfId="0" applyAlignment="1">
      <alignment horizontal="center"/>
    </xf>
    <xf numFmtId="49" fontId="0" fillId="0" borderId="0" xfId="0" applyNumberFormat="1" applyAlignment="1">
      <alignment horizontal="center"/>
    </xf>
    <xf numFmtId="0" fontId="0" fillId="4" borderId="0" xfId="0" applyFill="1"/>
    <xf numFmtId="0" fontId="0" fillId="5" borderId="5" xfId="0" applyFill="1" applyBorder="1"/>
    <xf numFmtId="0" fontId="0" fillId="5" borderId="8" xfId="0" applyFill="1" applyBorder="1" applyAlignment="1">
      <alignment horizontal="center"/>
    </xf>
    <xf numFmtId="0" fontId="0" fillId="5" borderId="9" xfId="0" applyFill="1" applyBorder="1" applyAlignment="1">
      <alignment horizontal="center"/>
    </xf>
    <xf numFmtId="0" fontId="4" fillId="5" borderId="10" xfId="0" applyFont="1" applyFill="1" applyBorder="1" applyAlignment="1">
      <alignment horizontal="center" vertical="center"/>
    </xf>
    <xf numFmtId="0" fontId="4" fillId="5" borderId="1" xfId="0" applyFont="1" applyFill="1" applyBorder="1" applyAlignment="1">
      <alignment horizontal="center" vertical="center"/>
    </xf>
    <xf numFmtId="0" fontId="4" fillId="5" borderId="7" xfId="0" applyFont="1" applyFill="1" applyBorder="1" applyAlignment="1">
      <alignment horizontal="center" vertical="center"/>
    </xf>
    <xf numFmtId="0" fontId="5" fillId="4" borderId="0" xfId="0" applyFont="1" applyFill="1" applyAlignment="1">
      <alignment horizontal="center"/>
    </xf>
    <xf numFmtId="49" fontId="2" fillId="3" borderId="17" xfId="0" applyNumberFormat="1" applyFont="1" applyFill="1" applyBorder="1" applyAlignment="1" applyProtection="1">
      <alignment horizontal="center"/>
      <protection locked="0"/>
    </xf>
    <xf numFmtId="49" fontId="2" fillId="3" borderId="19" xfId="0" applyNumberFormat="1" applyFont="1" applyFill="1" applyBorder="1" applyAlignment="1" applyProtection="1">
      <alignment horizontal="center"/>
      <protection locked="0"/>
    </xf>
    <xf numFmtId="0" fontId="2" fillId="3" borderId="13" xfId="0" applyFont="1" applyFill="1" applyBorder="1" applyProtection="1">
      <protection locked="0"/>
    </xf>
    <xf numFmtId="0" fontId="2" fillId="3" borderId="14" xfId="0" applyFont="1" applyFill="1" applyBorder="1" applyProtection="1">
      <protection locked="0"/>
    </xf>
    <xf numFmtId="0" fontId="2" fillId="3" borderId="15" xfId="0" applyFont="1" applyFill="1" applyBorder="1" applyProtection="1">
      <protection locked="0"/>
    </xf>
    <xf numFmtId="0" fontId="2" fillId="3" borderId="16" xfId="0" applyFont="1" applyFill="1" applyBorder="1" applyProtection="1">
      <protection locked="0"/>
    </xf>
    <xf numFmtId="0" fontId="3" fillId="5" borderId="1" xfId="0" applyFont="1" applyFill="1" applyBorder="1" applyAlignment="1">
      <alignment horizontal="center"/>
    </xf>
    <xf numFmtId="0" fontId="3" fillId="5" borderId="7" xfId="0" applyFont="1" applyFill="1" applyBorder="1" applyAlignment="1">
      <alignment horizontal="center"/>
    </xf>
    <xf numFmtId="0" fontId="2" fillId="3" borderId="6" xfId="0" applyFont="1" applyFill="1" applyBorder="1" applyAlignment="1">
      <alignment horizontal="centerContinuous"/>
    </xf>
    <xf numFmtId="0" fontId="4" fillId="5" borderId="24" xfId="0" applyFont="1" applyFill="1" applyBorder="1" applyAlignment="1">
      <alignment horizontal="center" vertical="center"/>
    </xf>
    <xf numFmtId="0" fontId="2" fillId="3" borderId="25" xfId="0" applyFont="1" applyFill="1" applyBorder="1" applyAlignment="1">
      <alignment horizontal="centerContinuous"/>
    </xf>
    <xf numFmtId="0" fontId="3" fillId="5" borderId="2" xfId="0" applyFont="1" applyFill="1" applyBorder="1" applyAlignment="1">
      <alignment horizontal="left"/>
    </xf>
    <xf numFmtId="0" fontId="3" fillId="5" borderId="5" xfId="0" applyFont="1" applyFill="1" applyBorder="1" applyAlignment="1">
      <alignment horizontal="left"/>
    </xf>
    <xf numFmtId="0" fontId="3" fillId="5" borderId="23" xfId="0" applyFont="1" applyFill="1" applyBorder="1" applyAlignment="1">
      <alignment horizontal="left"/>
    </xf>
    <xf numFmtId="0" fontId="2" fillId="3" borderId="25" xfId="0" applyFont="1" applyFill="1" applyBorder="1" applyAlignment="1">
      <alignment horizontal="left"/>
    </xf>
    <xf numFmtId="0" fontId="2" fillId="3" borderId="5" xfId="0" applyFont="1" applyFill="1" applyBorder="1" applyAlignment="1" applyProtection="1">
      <alignment horizontal="left"/>
      <protection locked="0"/>
    </xf>
    <xf numFmtId="0" fontId="2" fillId="0" borderId="0" xfId="0" applyFont="1" applyAlignment="1">
      <alignment horizontal="center"/>
    </xf>
    <xf numFmtId="0" fontId="2" fillId="2" borderId="2" xfId="0" applyFont="1" applyFill="1" applyBorder="1" applyAlignment="1">
      <alignment horizontal="center"/>
    </xf>
    <xf numFmtId="49" fontId="2" fillId="2" borderId="3" xfId="0" applyNumberFormat="1" applyFont="1" applyFill="1" applyBorder="1" applyAlignment="1">
      <alignment horizontal="center"/>
    </xf>
    <xf numFmtId="0" fontId="2" fillId="2" borderId="4" xfId="0" applyFont="1" applyFill="1" applyBorder="1" applyAlignment="1">
      <alignment horizontal="center"/>
    </xf>
    <xf numFmtId="0" fontId="2" fillId="0" borderId="0" xfId="0" applyFont="1" applyAlignment="1">
      <alignment vertical="top" wrapText="1"/>
    </xf>
    <xf numFmtId="0" fontId="0" fillId="0" borderId="0" xfId="0" applyAlignment="1">
      <alignment vertical="top" wrapText="1"/>
    </xf>
    <xf numFmtId="0" fontId="2" fillId="3" borderId="20" xfId="0" applyFont="1" applyFill="1" applyBorder="1" applyAlignment="1" applyProtection="1">
      <alignment horizontal="center"/>
      <protection locked="0"/>
    </xf>
    <xf numFmtId="0" fontId="2" fillId="3" borderId="18" xfId="0" applyFont="1" applyFill="1" applyBorder="1" applyAlignment="1" applyProtection="1">
      <alignment horizontal="center"/>
      <protection locked="0"/>
    </xf>
    <xf numFmtId="0" fontId="0" fillId="3" borderId="2" xfId="0" applyFill="1" applyBorder="1" applyAlignment="1" applyProtection="1">
      <alignment horizontal="center"/>
      <protection locked="0"/>
    </xf>
    <xf numFmtId="0" fontId="0" fillId="3" borderId="3" xfId="0" applyFill="1" applyBorder="1" applyAlignment="1" applyProtection="1">
      <alignment horizontal="center"/>
      <protection locked="0"/>
    </xf>
    <xf numFmtId="49" fontId="0" fillId="3" borderId="4" xfId="0" applyNumberFormat="1" applyFill="1" applyBorder="1" applyAlignment="1" applyProtection="1">
      <alignment horizontal="center"/>
      <protection locked="0"/>
    </xf>
    <xf numFmtId="0" fontId="0" fillId="3" borderId="5" xfId="0" applyFill="1" applyBorder="1" applyAlignment="1" applyProtection="1">
      <alignment horizontal="center"/>
      <protection locked="0"/>
    </xf>
    <xf numFmtId="0" fontId="0" fillId="3" borderId="0" xfId="0" applyFill="1" applyAlignment="1" applyProtection="1">
      <alignment horizontal="center"/>
      <protection locked="0"/>
    </xf>
    <xf numFmtId="49" fontId="0" fillId="3" borderId="6" xfId="0" applyNumberFormat="1" applyFill="1" applyBorder="1" applyAlignment="1" applyProtection="1">
      <alignment horizontal="center"/>
      <protection locked="0"/>
    </xf>
    <xf numFmtId="49" fontId="2" fillId="3" borderId="6" xfId="0" applyNumberFormat="1" applyFont="1" applyFill="1" applyBorder="1" applyAlignment="1" applyProtection="1">
      <alignment horizontal="center"/>
      <protection locked="0"/>
    </xf>
    <xf numFmtId="49" fontId="2" fillId="3" borderId="6" xfId="0" quotePrefix="1" applyNumberFormat="1" applyFont="1" applyFill="1" applyBorder="1" applyAlignment="1" applyProtection="1">
      <alignment horizontal="center"/>
      <protection locked="0"/>
    </xf>
    <xf numFmtId="49" fontId="0" fillId="3" borderId="0" xfId="0" applyNumberFormat="1" applyFill="1" applyAlignment="1" applyProtection="1">
      <alignment horizontal="center"/>
      <protection locked="0"/>
    </xf>
    <xf numFmtId="0" fontId="0" fillId="3" borderId="6" xfId="0" applyFill="1" applyBorder="1" applyAlignment="1" applyProtection="1">
      <alignment horizontal="center"/>
      <protection locked="0"/>
    </xf>
    <xf numFmtId="0" fontId="0" fillId="3" borderId="23" xfId="0" applyFill="1" applyBorder="1" applyAlignment="1" applyProtection="1">
      <alignment horizontal="center"/>
      <protection locked="0"/>
    </xf>
    <xf numFmtId="49" fontId="0" fillId="3" borderId="21" xfId="0" applyNumberFormat="1" applyFill="1" applyBorder="1" applyAlignment="1" applyProtection="1">
      <alignment horizontal="center"/>
      <protection locked="0"/>
    </xf>
    <xf numFmtId="0" fontId="0" fillId="3" borderId="22" xfId="0" applyFill="1" applyBorder="1" applyAlignment="1" applyProtection="1">
      <alignment horizontal="center"/>
      <protection locked="0"/>
    </xf>
    <xf numFmtId="0" fontId="2" fillId="5" borderId="5" xfId="0" applyFont="1" applyFill="1" applyBorder="1" applyAlignment="1">
      <alignment vertical="top" wrapText="1"/>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0" xfId="0" applyFont="1" applyFill="1" applyAlignment="1">
      <alignment vertical="top"/>
    </xf>
    <xf numFmtId="0" fontId="2" fillId="6" borderId="5" xfId="0" applyFont="1" applyFill="1" applyBorder="1" applyAlignment="1">
      <alignment vertical="top"/>
    </xf>
    <xf numFmtId="0" fontId="2" fillId="5" borderId="6" xfId="0" applyFont="1" applyFill="1" applyBorder="1" applyAlignment="1">
      <alignment vertical="top"/>
    </xf>
    <xf numFmtId="0" fontId="2" fillId="7" borderId="5" xfId="0" applyFont="1" applyFill="1" applyBorder="1" applyAlignment="1">
      <alignment vertical="top"/>
    </xf>
    <xf numFmtId="0" fontId="2" fillId="5" borderId="23" xfId="0" applyFont="1" applyFill="1" applyBorder="1" applyAlignment="1">
      <alignment vertical="top"/>
    </xf>
    <xf numFmtId="0" fontId="2" fillId="5" borderId="21" xfId="0" applyFont="1" applyFill="1" applyBorder="1" applyAlignment="1">
      <alignment vertical="top"/>
    </xf>
    <xf numFmtId="0" fontId="2" fillId="5" borderId="22" xfId="0" applyFont="1" applyFill="1" applyBorder="1" applyAlignment="1">
      <alignment vertical="top"/>
    </xf>
    <xf numFmtId="0" fontId="2" fillId="8" borderId="5" xfId="0" applyFont="1" applyFill="1" applyBorder="1" applyAlignment="1">
      <alignment vertical="top"/>
    </xf>
    <xf numFmtId="0" fontId="2" fillId="9" borderId="5" xfId="0" applyFont="1" applyFill="1" applyBorder="1" applyAlignment="1">
      <alignment vertical="top"/>
    </xf>
    <xf numFmtId="0" fontId="2" fillId="0" borderId="0" xfId="0" applyFont="1" applyAlignment="1">
      <alignment vertical="top"/>
    </xf>
    <xf numFmtId="0" fontId="0" fillId="0" borderId="0" xfId="0" applyProtection="1">
      <protection locked="0"/>
    </xf>
    <xf numFmtId="0" fontId="0" fillId="13" borderId="36" xfId="0" applyFill="1" applyBorder="1" applyAlignment="1" applyProtection="1">
      <alignment horizontal="center" vertical="center"/>
      <protection locked="0"/>
    </xf>
    <xf numFmtId="0" fontId="0" fillId="13" borderId="38" xfId="0" applyFill="1" applyBorder="1" applyAlignment="1" applyProtection="1">
      <alignment horizontal="center" vertical="center"/>
      <protection locked="0"/>
    </xf>
    <xf numFmtId="0" fontId="0" fillId="13" borderId="39" xfId="0" applyFill="1" applyBorder="1" applyAlignment="1" applyProtection="1">
      <alignment horizontal="center" vertical="center"/>
      <protection locked="0"/>
    </xf>
    <xf numFmtId="0" fontId="0" fillId="13" borderId="40" xfId="0" applyFill="1" applyBorder="1" applyAlignment="1" applyProtection="1">
      <alignment horizontal="center" vertical="center"/>
      <protection locked="0"/>
    </xf>
    <xf numFmtId="0" fontId="0" fillId="13" borderId="41" xfId="0" applyFill="1" applyBorder="1" applyAlignment="1" applyProtection="1">
      <alignment horizontal="center" vertical="center"/>
      <protection locked="0"/>
    </xf>
    <xf numFmtId="0" fontId="0" fillId="13" borderId="42" xfId="0" applyFill="1" applyBorder="1" applyAlignment="1" applyProtection="1">
      <alignment horizontal="center" vertical="center"/>
      <protection locked="0"/>
    </xf>
    <xf numFmtId="9" fontId="0" fillId="12" borderId="31" xfId="1" applyFont="1" applyFill="1" applyBorder="1" applyAlignment="1" applyProtection="1">
      <alignment horizontal="center" vertical="center"/>
    </xf>
    <xf numFmtId="9" fontId="0" fillId="12" borderId="32" xfId="1" applyFont="1" applyFill="1" applyBorder="1" applyAlignment="1" applyProtection="1">
      <alignment horizontal="center" vertical="center"/>
    </xf>
    <xf numFmtId="2" fontId="0" fillId="12" borderId="32" xfId="1" applyNumberFormat="1" applyFont="1" applyFill="1" applyBorder="1" applyAlignment="1" applyProtection="1">
      <alignment horizontal="center" vertical="center"/>
    </xf>
    <xf numFmtId="49" fontId="2" fillId="4" borderId="17" xfId="0" applyNumberFormat="1" applyFont="1" applyFill="1" applyBorder="1" applyAlignment="1" applyProtection="1">
      <alignment horizontal="center"/>
      <protection locked="0"/>
    </xf>
    <xf numFmtId="0" fontId="2" fillId="4" borderId="20" xfId="0" applyFont="1" applyFill="1" applyBorder="1" applyAlignment="1" applyProtection="1">
      <alignment horizontal="center"/>
      <protection locked="0"/>
    </xf>
    <xf numFmtId="49" fontId="2" fillId="4" borderId="19" xfId="0" applyNumberFormat="1" applyFont="1" applyFill="1" applyBorder="1" applyAlignment="1" applyProtection="1">
      <alignment horizontal="center"/>
      <protection locked="0"/>
    </xf>
    <xf numFmtId="0" fontId="2" fillId="4" borderId="18" xfId="0" applyFont="1" applyFill="1" applyBorder="1" applyAlignment="1" applyProtection="1">
      <alignment horizontal="center"/>
      <protection locked="0"/>
    </xf>
    <xf numFmtId="0" fontId="2" fillId="4" borderId="11" xfId="0" applyFont="1" applyFill="1" applyBorder="1" applyProtection="1">
      <protection locked="0"/>
    </xf>
    <xf numFmtId="0" fontId="2" fillId="4" borderId="12" xfId="0" applyFont="1" applyFill="1" applyBorder="1" applyProtection="1">
      <protection locked="0"/>
    </xf>
    <xf numFmtId="0" fontId="2" fillId="4" borderId="13" xfId="0" applyFont="1" applyFill="1" applyBorder="1" applyProtection="1">
      <protection locked="0"/>
    </xf>
    <xf numFmtId="0" fontId="2" fillId="4" borderId="14" xfId="0" applyFont="1" applyFill="1" applyBorder="1" applyProtection="1">
      <protection locked="0"/>
    </xf>
    <xf numFmtId="0" fontId="3" fillId="4" borderId="0" xfId="0" applyFont="1" applyFill="1" applyAlignment="1">
      <alignment horizontal="center"/>
    </xf>
    <xf numFmtId="0" fontId="3" fillId="5" borderId="5" xfId="0" applyFont="1" applyFill="1" applyBorder="1" applyAlignment="1">
      <alignment vertical="top" wrapText="1"/>
    </xf>
    <xf numFmtId="2" fontId="0" fillId="12" borderId="33" xfId="1" applyNumberFormat="1" applyFont="1" applyFill="1" applyBorder="1" applyAlignment="1" applyProtection="1">
      <alignment horizontal="center" vertical="center"/>
    </xf>
    <xf numFmtId="1" fontId="4" fillId="4" borderId="0" xfId="0" applyNumberFormat="1" applyFont="1" applyFill="1" applyAlignment="1">
      <alignment horizontal="center"/>
    </xf>
    <xf numFmtId="0" fontId="2" fillId="3" borderId="0" xfId="0" applyFont="1" applyFill="1" applyAlignment="1" applyProtection="1">
      <alignment horizontal="left"/>
      <protection locked="0"/>
    </xf>
    <xf numFmtId="0" fontId="4" fillId="4" borderId="0" xfId="0" applyFont="1" applyFill="1" applyAlignment="1">
      <alignment horizontal="center"/>
    </xf>
    <xf numFmtId="0" fontId="4" fillId="4" borderId="5" xfId="0" applyFont="1" applyFill="1" applyBorder="1" applyAlignment="1">
      <alignment horizontal="center"/>
    </xf>
    <xf numFmtId="0" fontId="4" fillId="4" borderId="46" xfId="0" applyFont="1" applyFill="1" applyBorder="1" applyAlignment="1">
      <alignment horizontal="center"/>
    </xf>
    <xf numFmtId="1" fontId="4" fillId="4" borderId="25" xfId="0" applyNumberFormat="1" applyFont="1" applyFill="1" applyBorder="1" applyAlignment="1">
      <alignment horizontal="center"/>
    </xf>
    <xf numFmtId="49" fontId="2" fillId="3" borderId="49" xfId="0" applyNumberFormat="1" applyFont="1" applyFill="1" applyBorder="1" applyAlignment="1" applyProtection="1">
      <alignment horizontal="center"/>
      <protection locked="0"/>
    </xf>
    <xf numFmtId="0" fontId="2" fillId="3" borderId="50" xfId="0" applyFont="1" applyFill="1" applyBorder="1" applyAlignment="1" applyProtection="1">
      <alignment horizontal="center"/>
      <protection locked="0"/>
    </xf>
    <xf numFmtId="49" fontId="2" fillId="3" borderId="51" xfId="0" applyNumberFormat="1" applyFont="1" applyFill="1" applyBorder="1" applyAlignment="1" applyProtection="1">
      <alignment horizontal="center"/>
      <protection locked="0"/>
    </xf>
    <xf numFmtId="0" fontId="2" fillId="3" borderId="52" xfId="0" applyFont="1" applyFill="1" applyBorder="1" applyAlignment="1" applyProtection="1">
      <alignment horizontal="center"/>
      <protection locked="0"/>
    </xf>
    <xf numFmtId="0" fontId="0" fillId="5" borderId="23" xfId="0" applyFill="1" applyBorder="1"/>
    <xf numFmtId="1" fontId="11" fillId="3" borderId="6" xfId="0" applyNumberFormat="1" applyFont="1" applyFill="1" applyBorder="1" applyAlignment="1" applyProtection="1">
      <alignment horizontal="center"/>
      <protection locked="0"/>
    </xf>
    <xf numFmtId="0" fontId="3" fillId="4" borderId="0" xfId="0" applyFont="1" applyFill="1"/>
    <xf numFmtId="0" fontId="2" fillId="13" borderId="41" xfId="0" applyFont="1" applyFill="1" applyBorder="1" applyAlignment="1" applyProtection="1">
      <alignment horizontal="center" vertical="center"/>
      <protection locked="0"/>
    </xf>
    <xf numFmtId="0" fontId="2" fillId="13" borderId="57" xfId="0" applyFont="1" applyFill="1" applyBorder="1" applyAlignment="1" applyProtection="1">
      <alignment horizontal="center" vertical="center"/>
      <protection locked="0"/>
    </xf>
    <xf numFmtId="0" fontId="3" fillId="5" borderId="5" xfId="0" quotePrefix="1" applyFont="1" applyFill="1" applyBorder="1" applyAlignment="1">
      <alignment vertical="top" wrapText="1"/>
    </xf>
    <xf numFmtId="0" fontId="0" fillId="10" borderId="0" xfId="0" applyFill="1"/>
    <xf numFmtId="0" fontId="3" fillId="11" borderId="27" xfId="0" applyFont="1" applyFill="1" applyBorder="1" applyAlignment="1">
      <alignment horizontal="left" vertical="center"/>
    </xf>
    <xf numFmtId="0" fontId="3" fillId="11" borderId="28" xfId="0" applyFont="1" applyFill="1" applyBorder="1" applyAlignment="1">
      <alignment horizontal="left" vertical="center"/>
    </xf>
    <xf numFmtId="0" fontId="3" fillId="11" borderId="28" xfId="0" applyFont="1" applyFill="1" applyBorder="1" applyAlignment="1">
      <alignment horizontal="right" vertical="center"/>
    </xf>
    <xf numFmtId="0" fontId="3" fillId="11" borderId="30" xfId="0" applyFont="1" applyFill="1" applyBorder="1" applyAlignment="1">
      <alignment horizontal="right" vertical="center"/>
    </xf>
    <xf numFmtId="0" fontId="1" fillId="11" borderId="26" xfId="0" applyFont="1" applyFill="1" applyBorder="1" applyAlignment="1">
      <alignment horizontal="centerContinuous" vertical="center"/>
    </xf>
    <xf numFmtId="0" fontId="1" fillId="11" borderId="0" xfId="0" applyFont="1" applyFill="1" applyAlignment="1">
      <alignment horizontal="centerContinuous" vertical="center"/>
    </xf>
    <xf numFmtId="0" fontId="1" fillId="11" borderId="29" xfId="0" applyFont="1" applyFill="1" applyBorder="1" applyAlignment="1">
      <alignment horizontal="centerContinuous" vertical="center"/>
    </xf>
    <xf numFmtId="0" fontId="1" fillId="11" borderId="32" xfId="0" applyFont="1" applyFill="1" applyBorder="1" applyAlignment="1">
      <alignment horizontal="centerContinuous" vertical="center"/>
    </xf>
    <xf numFmtId="0" fontId="1" fillId="11" borderId="33" xfId="0" applyFont="1" applyFill="1" applyBorder="1" applyAlignment="1">
      <alignment horizontal="centerContinuous" vertical="center"/>
    </xf>
    <xf numFmtId="0" fontId="0" fillId="12" borderId="27" xfId="0" applyFill="1" applyBorder="1"/>
    <xf numFmtId="0" fontId="0" fillId="12" borderId="26" xfId="0" applyFill="1" applyBorder="1"/>
    <xf numFmtId="0" fontId="0" fillId="12" borderId="30" xfId="0" applyFill="1" applyBorder="1"/>
    <xf numFmtId="0" fontId="0" fillId="12" borderId="29" xfId="0" applyFill="1" applyBorder="1"/>
    <xf numFmtId="0" fontId="0" fillId="12" borderId="26" xfId="0" applyFill="1" applyBorder="1" applyAlignment="1">
      <alignment horizontal="center"/>
    </xf>
    <xf numFmtId="0" fontId="0" fillId="12" borderId="34" xfId="0" applyFill="1" applyBorder="1" applyAlignment="1">
      <alignment horizontal="center"/>
    </xf>
    <xf numFmtId="0" fontId="0" fillId="12" borderId="35" xfId="0" applyFill="1" applyBorder="1" applyAlignment="1">
      <alignment horizontal="center"/>
    </xf>
    <xf numFmtId="0" fontId="0" fillId="12" borderId="36" xfId="0" applyFill="1" applyBorder="1"/>
    <xf numFmtId="0" fontId="4" fillId="10" borderId="0" xfId="0" applyFont="1" applyFill="1"/>
    <xf numFmtId="0" fontId="0" fillId="14" borderId="36" xfId="0" applyFill="1" applyBorder="1"/>
    <xf numFmtId="0" fontId="0" fillId="12" borderId="37" xfId="0" applyFill="1" applyBorder="1" applyAlignment="1">
      <alignment horizontal="center" vertical="center"/>
    </xf>
    <xf numFmtId="9" fontId="0" fillId="12" borderId="31" xfId="0" applyNumberFormat="1" applyFill="1" applyBorder="1" applyAlignment="1">
      <alignment horizontal="center" vertical="center"/>
    </xf>
    <xf numFmtId="9" fontId="0" fillId="12" borderId="32" xfId="0" applyNumberFormat="1" applyFill="1" applyBorder="1" applyAlignment="1">
      <alignment horizontal="center" vertical="center"/>
    </xf>
    <xf numFmtId="9" fontId="0" fillId="12" borderId="33" xfId="0" applyNumberFormat="1" applyFill="1" applyBorder="1" applyAlignment="1">
      <alignment horizontal="center" vertical="center"/>
    </xf>
    <xf numFmtId="0" fontId="0" fillId="12" borderId="56" xfId="0" applyFill="1" applyBorder="1" applyAlignment="1">
      <alignment horizontal="center" vertical="center"/>
    </xf>
    <xf numFmtId="0" fontId="0" fillId="14" borderId="56" xfId="0" applyFill="1" applyBorder="1" applyAlignment="1">
      <alignment horizontal="center" vertical="center"/>
    </xf>
    <xf numFmtId="49" fontId="0" fillId="12" borderId="35" xfId="0" applyNumberFormat="1" applyFill="1" applyBorder="1" applyAlignment="1">
      <alignment horizontal="center"/>
    </xf>
    <xf numFmtId="1" fontId="0" fillId="12" borderId="34" xfId="0" applyNumberFormat="1" applyFill="1" applyBorder="1" applyAlignment="1">
      <alignment horizontal="center"/>
    </xf>
    <xf numFmtId="0" fontId="0" fillId="12" borderId="27" xfId="0" applyFill="1" applyBorder="1" applyAlignment="1">
      <alignment horizontal="center"/>
    </xf>
    <xf numFmtId="0" fontId="0" fillId="12" borderId="37" xfId="0" applyFill="1" applyBorder="1" applyAlignment="1">
      <alignment horizontal="center"/>
    </xf>
    <xf numFmtId="0" fontId="0" fillId="12" borderId="30" xfId="0" applyFill="1" applyBorder="1" applyAlignment="1">
      <alignment horizontal="center"/>
    </xf>
    <xf numFmtId="0" fontId="0" fillId="12" borderId="29" xfId="0" applyFill="1" applyBorder="1" applyAlignment="1">
      <alignment horizontal="center"/>
    </xf>
    <xf numFmtId="0" fontId="0" fillId="12" borderId="36" xfId="0" applyFill="1" applyBorder="1" applyAlignment="1">
      <alignment horizontal="center" vertical="center"/>
    </xf>
    <xf numFmtId="0" fontId="0" fillId="12" borderId="38" xfId="0" applyFill="1" applyBorder="1" applyAlignment="1">
      <alignment horizontal="center" vertical="center"/>
    </xf>
    <xf numFmtId="0" fontId="0" fillId="14" borderId="36" xfId="0" applyFill="1" applyBorder="1" applyAlignment="1">
      <alignment horizontal="center" vertical="center"/>
    </xf>
    <xf numFmtId="0" fontId="0" fillId="14" borderId="37" xfId="0" applyFill="1" applyBorder="1" applyAlignment="1">
      <alignment horizontal="center" vertical="center"/>
    </xf>
    <xf numFmtId="0" fontId="0" fillId="12" borderId="55" xfId="0" applyFill="1" applyBorder="1" applyAlignment="1">
      <alignment horizontal="center" vertical="center"/>
    </xf>
    <xf numFmtId="0" fontId="0" fillId="14" borderId="55" xfId="0" applyFill="1" applyBorder="1" applyAlignment="1">
      <alignment horizontal="center" vertical="center"/>
    </xf>
    <xf numFmtId="0" fontId="0" fillId="12" borderId="38" xfId="0" applyFill="1" applyBorder="1"/>
    <xf numFmtId="0" fontId="0" fillId="12" borderId="41" xfId="0" applyFill="1" applyBorder="1"/>
    <xf numFmtId="0" fontId="0" fillId="12" borderId="41" xfId="0" applyFill="1" applyBorder="1" applyAlignment="1">
      <alignment horizontal="center" vertical="center"/>
    </xf>
    <xf numFmtId="0" fontId="0" fillId="12" borderId="43" xfId="0" applyFill="1" applyBorder="1"/>
    <xf numFmtId="0" fontId="0" fillId="14" borderId="44" xfId="0" applyFill="1" applyBorder="1"/>
    <xf numFmtId="0" fontId="0" fillId="12" borderId="44" xfId="0" applyFill="1" applyBorder="1"/>
    <xf numFmtId="0" fontId="0" fillId="12" borderId="45" xfId="0" applyFill="1" applyBorder="1"/>
    <xf numFmtId="1" fontId="0" fillId="12" borderId="27" xfId="0" applyNumberFormat="1" applyFill="1" applyBorder="1" applyAlignment="1">
      <alignment horizontal="center"/>
    </xf>
    <xf numFmtId="0" fontId="0" fillId="12" borderId="34" xfId="0" applyFill="1" applyBorder="1" applyAlignment="1">
      <alignment horizontal="center" wrapText="1"/>
    </xf>
    <xf numFmtId="0" fontId="0" fillId="12" borderId="58" xfId="0" applyFill="1" applyBorder="1" applyAlignment="1">
      <alignment horizontal="center" vertical="center"/>
    </xf>
    <xf numFmtId="0" fontId="4" fillId="13" borderId="65" xfId="0" applyFont="1" applyFill="1" applyBorder="1" applyAlignment="1" applyProtection="1">
      <alignment horizontal="center" vertical="center"/>
      <protection locked="0"/>
    </xf>
    <xf numFmtId="0" fontId="4" fillId="13" borderId="64" xfId="0" applyFont="1" applyFill="1" applyBorder="1" applyAlignment="1" applyProtection="1">
      <alignment horizontal="center" vertical="center"/>
      <protection locked="0"/>
    </xf>
    <xf numFmtId="0" fontId="4" fillId="12" borderId="63" xfId="0" applyFont="1" applyFill="1" applyBorder="1" applyAlignment="1">
      <alignment horizontal="center" vertical="center"/>
    </xf>
    <xf numFmtId="0" fontId="4" fillId="12" borderId="69" xfId="0" applyFont="1" applyFill="1" applyBorder="1" applyAlignment="1">
      <alignment horizontal="center" vertical="center"/>
    </xf>
    <xf numFmtId="0" fontId="4" fillId="12" borderId="62" xfId="0" applyFont="1" applyFill="1" applyBorder="1" applyAlignment="1">
      <alignment horizontal="center" vertical="center"/>
    </xf>
    <xf numFmtId="0" fontId="4" fillId="14" borderId="63" xfId="0" applyFont="1" applyFill="1" applyBorder="1" applyAlignment="1">
      <alignment horizontal="center" vertical="center"/>
    </xf>
    <xf numFmtId="0" fontId="4" fillId="14" borderId="72" xfId="0" applyFont="1" applyFill="1" applyBorder="1" applyAlignment="1">
      <alignment horizontal="center" vertical="center"/>
    </xf>
    <xf numFmtId="0" fontId="4" fillId="12" borderId="59" xfId="0" applyFont="1" applyFill="1" applyBorder="1" applyAlignment="1">
      <alignment horizontal="right"/>
    </xf>
    <xf numFmtId="0" fontId="4" fillId="13" borderId="60" xfId="0" applyFont="1" applyFill="1" applyBorder="1" applyAlignment="1" applyProtection="1">
      <alignment horizontal="center" vertical="center"/>
      <protection locked="0"/>
    </xf>
    <xf numFmtId="0" fontId="4" fillId="13" borderId="61" xfId="0" applyFont="1" applyFill="1" applyBorder="1" applyAlignment="1" applyProtection="1">
      <alignment horizontal="center" vertical="center"/>
      <protection locked="0"/>
    </xf>
    <xf numFmtId="0" fontId="4" fillId="12" borderId="60" xfId="0" applyFont="1" applyFill="1" applyBorder="1" applyAlignment="1">
      <alignment horizontal="right"/>
    </xf>
    <xf numFmtId="0" fontId="0" fillId="12" borderId="74" xfId="0" applyFill="1" applyBorder="1"/>
    <xf numFmtId="0" fontId="0" fillId="12" borderId="75" xfId="0" applyFill="1" applyBorder="1"/>
    <xf numFmtId="0" fontId="0" fillId="12" borderId="73" xfId="0" applyFill="1" applyBorder="1" applyAlignment="1">
      <alignment horizontal="center" vertical="center"/>
    </xf>
    <xf numFmtId="0" fontId="4" fillId="12" borderId="67" xfId="0" applyFont="1" applyFill="1" applyBorder="1" applyAlignment="1">
      <alignment horizontal="right"/>
    </xf>
    <xf numFmtId="0" fontId="4" fillId="12" borderId="68" xfId="0" applyFont="1" applyFill="1" applyBorder="1" applyAlignment="1">
      <alignment horizontal="right"/>
    </xf>
    <xf numFmtId="0" fontId="4" fillId="13" borderId="68" xfId="0" applyFont="1" applyFill="1" applyBorder="1" applyAlignment="1" applyProtection="1">
      <alignment horizontal="center" vertical="center"/>
      <protection locked="0"/>
    </xf>
    <xf numFmtId="0" fontId="4" fillId="13" borderId="77" xfId="0" applyFont="1" applyFill="1" applyBorder="1" applyAlignment="1" applyProtection="1">
      <alignment horizontal="center" vertical="center"/>
      <protection locked="0"/>
    </xf>
    <xf numFmtId="0" fontId="4" fillId="12" borderId="66" xfId="0" applyFont="1" applyFill="1" applyBorder="1" applyAlignment="1">
      <alignment horizontal="right"/>
    </xf>
    <xf numFmtId="0" fontId="4" fillId="12" borderId="65" xfId="0" applyFont="1" applyFill="1" applyBorder="1" applyAlignment="1">
      <alignment horizontal="right"/>
    </xf>
    <xf numFmtId="0" fontId="4" fillId="14" borderId="70" xfId="0" applyFont="1" applyFill="1" applyBorder="1" applyAlignment="1">
      <alignment horizontal="right"/>
    </xf>
    <xf numFmtId="0" fontId="4" fillId="14" borderId="71" xfId="0" applyFont="1" applyFill="1" applyBorder="1" applyAlignment="1">
      <alignment horizontal="right"/>
    </xf>
    <xf numFmtId="0" fontId="4" fillId="13" borderId="71" xfId="0" applyFont="1" applyFill="1" applyBorder="1" applyAlignment="1" applyProtection="1">
      <alignment horizontal="center" vertical="center"/>
      <protection locked="0"/>
    </xf>
    <xf numFmtId="0" fontId="4" fillId="13" borderId="78" xfId="0" applyFont="1" applyFill="1" applyBorder="1" applyAlignment="1" applyProtection="1">
      <alignment horizontal="center" vertical="center"/>
      <protection locked="0"/>
    </xf>
    <xf numFmtId="0" fontId="0" fillId="14" borderId="79" xfId="0" applyFill="1" applyBorder="1"/>
    <xf numFmtId="0" fontId="0" fillId="14" borderId="80" xfId="0" applyFill="1" applyBorder="1"/>
    <xf numFmtId="0" fontId="0" fillId="14" borderId="82" xfId="0" applyFill="1" applyBorder="1" applyAlignment="1">
      <alignment horizontal="center" vertical="center"/>
    </xf>
    <xf numFmtId="0" fontId="4" fillId="14" borderId="66" xfId="0" applyFont="1" applyFill="1" applyBorder="1" applyAlignment="1">
      <alignment horizontal="right"/>
    </xf>
    <xf numFmtId="0" fontId="4" fillId="14" borderId="65" xfId="0" applyFont="1" applyFill="1" applyBorder="1" applyAlignment="1">
      <alignment horizontal="right"/>
    </xf>
    <xf numFmtId="0" fontId="0" fillId="12" borderId="83" xfId="0" applyFill="1" applyBorder="1"/>
    <xf numFmtId="0" fontId="0" fillId="12" borderId="84" xfId="0" applyFill="1" applyBorder="1"/>
    <xf numFmtId="0" fontId="0" fillId="12" borderId="86" xfId="0" applyFill="1" applyBorder="1" applyAlignment="1">
      <alignment horizontal="center" vertical="center"/>
    </xf>
    <xf numFmtId="0" fontId="2" fillId="13" borderId="75" xfId="0" applyFont="1" applyFill="1" applyBorder="1" applyAlignment="1" applyProtection="1">
      <alignment horizontal="center" vertical="center"/>
      <protection locked="0"/>
    </xf>
    <xf numFmtId="0" fontId="2" fillId="13" borderId="76" xfId="0" applyFont="1" applyFill="1" applyBorder="1" applyAlignment="1" applyProtection="1">
      <alignment horizontal="center" vertical="center"/>
      <protection locked="0"/>
    </xf>
    <xf numFmtId="0" fontId="2" fillId="13" borderId="80" xfId="0" applyFont="1" applyFill="1" applyBorder="1" applyAlignment="1" applyProtection="1">
      <alignment horizontal="center" vertical="center"/>
      <protection locked="0"/>
    </xf>
    <xf numFmtId="0" fontId="2" fillId="13" borderId="81" xfId="0" applyFont="1" applyFill="1" applyBorder="1" applyAlignment="1" applyProtection="1">
      <alignment horizontal="center" vertical="center"/>
      <protection locked="0"/>
    </xf>
    <xf numFmtId="0" fontId="2" fillId="13" borderId="84" xfId="0" applyFont="1" applyFill="1" applyBorder="1" applyAlignment="1" applyProtection="1">
      <alignment horizontal="center" vertical="center"/>
      <protection locked="0"/>
    </xf>
    <xf numFmtId="0" fontId="2" fillId="13" borderId="85" xfId="0" applyFont="1" applyFill="1" applyBorder="1" applyAlignment="1" applyProtection="1">
      <alignment horizontal="center" vertical="center"/>
      <protection locked="0"/>
    </xf>
    <xf numFmtId="0" fontId="4" fillId="15" borderId="78" xfId="0" applyFont="1" applyFill="1" applyBorder="1" applyAlignment="1" applyProtection="1">
      <alignment horizontal="center" vertical="center"/>
      <protection locked="0"/>
    </xf>
    <xf numFmtId="0" fontId="0" fillId="6" borderId="55" xfId="0" applyFill="1" applyBorder="1" applyAlignment="1">
      <alignment horizontal="center" vertical="center"/>
    </xf>
    <xf numFmtId="0" fontId="0" fillId="6" borderId="56" xfId="0" applyFill="1" applyBorder="1" applyAlignment="1">
      <alignment horizontal="center" vertical="center"/>
    </xf>
    <xf numFmtId="0" fontId="0" fillId="8" borderId="55" xfId="0" applyFill="1" applyBorder="1" applyAlignment="1">
      <alignment horizontal="center" vertical="center"/>
    </xf>
    <xf numFmtId="0" fontId="0" fillId="8" borderId="56" xfId="0" applyFill="1" applyBorder="1" applyAlignment="1">
      <alignment horizontal="center" vertical="center"/>
    </xf>
    <xf numFmtId="0" fontId="0" fillId="9" borderId="55" xfId="0" applyFill="1" applyBorder="1" applyAlignment="1">
      <alignment horizontal="center" vertical="center"/>
    </xf>
    <xf numFmtId="0" fontId="0" fillId="9" borderId="56" xfId="0" applyFill="1" applyBorder="1" applyAlignment="1">
      <alignment horizontal="center" vertical="center"/>
    </xf>
    <xf numFmtId="0" fontId="0" fillId="7" borderId="55" xfId="0" applyFill="1" applyBorder="1" applyAlignment="1">
      <alignment horizontal="center" vertical="center"/>
    </xf>
    <xf numFmtId="0" fontId="0" fillId="7" borderId="56" xfId="0" applyFill="1" applyBorder="1" applyAlignment="1">
      <alignment horizontal="center" vertical="center"/>
    </xf>
    <xf numFmtId="0" fontId="0" fillId="7" borderId="54" xfId="0" applyFill="1" applyBorder="1" applyAlignment="1">
      <alignment horizontal="center" vertical="center"/>
    </xf>
    <xf numFmtId="0" fontId="0" fillId="7" borderId="53" xfId="0" applyFill="1" applyBorder="1" applyAlignment="1">
      <alignment horizontal="center" vertical="center"/>
    </xf>
    <xf numFmtId="0" fontId="4" fillId="15" borderId="68" xfId="0" applyFont="1" applyFill="1" applyBorder="1" applyAlignment="1" applyProtection="1">
      <alignment horizontal="center" vertical="center"/>
      <protection locked="0"/>
    </xf>
    <xf numFmtId="0" fontId="4" fillId="16" borderId="68" xfId="0" applyFont="1" applyFill="1" applyBorder="1" applyAlignment="1" applyProtection="1">
      <alignment horizontal="center" vertical="center"/>
      <protection locked="0"/>
    </xf>
    <xf numFmtId="0" fontId="4" fillId="16" borderId="65" xfId="0" applyFont="1" applyFill="1" applyBorder="1" applyAlignment="1" applyProtection="1">
      <alignment horizontal="center" vertical="center"/>
      <protection locked="0"/>
    </xf>
    <xf numFmtId="0" fontId="4" fillId="15" borderId="65" xfId="0" applyFont="1" applyFill="1" applyBorder="1" applyAlignment="1" applyProtection="1">
      <alignment horizontal="center" vertical="center"/>
      <protection locked="0"/>
    </xf>
    <xf numFmtId="0" fontId="4" fillId="15" borderId="71" xfId="0" applyFont="1" applyFill="1" applyBorder="1" applyAlignment="1" applyProtection="1">
      <alignment horizontal="center" vertical="center"/>
      <protection locked="0"/>
    </xf>
    <xf numFmtId="0" fontId="4" fillId="16" borderId="71" xfId="0" applyFont="1" applyFill="1" applyBorder="1" applyAlignment="1" applyProtection="1">
      <alignment horizontal="center" vertical="center"/>
      <protection locked="0"/>
    </xf>
    <xf numFmtId="0" fontId="13" fillId="4" borderId="5" xfId="0" applyFont="1" applyFill="1" applyBorder="1" applyAlignment="1">
      <alignment horizontal="center" vertical="center"/>
    </xf>
    <xf numFmtId="0" fontId="13" fillId="4" borderId="23" xfId="0" applyFont="1" applyFill="1" applyBorder="1" applyAlignment="1">
      <alignment horizontal="center" vertical="center"/>
    </xf>
    <xf numFmtId="0" fontId="13" fillId="3" borderId="88" xfId="0" applyFont="1" applyFill="1" applyBorder="1" applyAlignment="1" applyProtection="1">
      <alignment horizontal="center" vertical="center"/>
      <protection locked="0"/>
    </xf>
    <xf numFmtId="0" fontId="0" fillId="10" borderId="27" xfId="0" applyFill="1" applyBorder="1" applyAlignment="1">
      <alignment horizontal="left" vertical="center" wrapText="1"/>
    </xf>
    <xf numFmtId="0" fontId="0" fillId="0" borderId="28" xfId="0" applyBorder="1" applyAlignment="1">
      <alignment horizontal="left" vertical="center" wrapText="1"/>
    </xf>
    <xf numFmtId="0" fontId="0" fillId="0" borderId="30" xfId="0" applyBorder="1" applyAlignment="1">
      <alignment horizontal="left" vertical="center" wrapText="1"/>
    </xf>
    <xf numFmtId="0" fontId="0" fillId="0" borderId="26" xfId="0" applyBorder="1" applyAlignment="1">
      <alignment horizontal="left" vertical="center" wrapText="1"/>
    </xf>
    <xf numFmtId="0" fontId="0" fillId="0" borderId="0" xfId="0" applyAlignment="1">
      <alignment horizontal="left" vertical="center" wrapText="1"/>
    </xf>
    <xf numFmtId="0" fontId="0" fillId="0" borderId="29" xfId="0" applyBorder="1" applyAlignment="1">
      <alignment horizontal="left" vertical="center" wrapText="1"/>
    </xf>
    <xf numFmtId="0" fontId="0" fillId="0" borderId="31" xfId="0" applyBorder="1" applyAlignment="1">
      <alignment horizontal="left" vertical="center" wrapText="1"/>
    </xf>
    <xf numFmtId="0" fontId="0" fillId="0" borderId="32" xfId="0" applyBorder="1" applyAlignment="1">
      <alignment horizontal="left" vertical="center" wrapText="1"/>
    </xf>
    <xf numFmtId="0" fontId="0" fillId="0" borderId="33" xfId="0" applyBorder="1" applyAlignment="1">
      <alignment horizontal="left" vertical="center" wrapText="1"/>
    </xf>
    <xf numFmtId="0" fontId="3" fillId="5" borderId="2" xfId="0" applyFont="1" applyFill="1" applyBorder="1" applyAlignment="1">
      <alignment horizontal="left" vertical="top" wrapText="1"/>
    </xf>
    <xf numFmtId="0" fontId="3" fillId="5" borderId="3" xfId="0" applyFont="1" applyFill="1" applyBorder="1" applyAlignment="1">
      <alignment horizontal="left" vertical="top" wrapText="1"/>
    </xf>
    <xf numFmtId="0" fontId="3" fillId="5" borderId="4" xfId="0" applyFont="1" applyFill="1" applyBorder="1" applyAlignment="1">
      <alignment horizontal="left" vertical="top" wrapText="1"/>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21" xfId="0" applyFont="1" applyFill="1" applyBorder="1" applyAlignment="1">
      <alignment vertical="top" wrapText="1"/>
    </xf>
    <xf numFmtId="0" fontId="2" fillId="5" borderId="22" xfId="0" applyFont="1" applyFill="1" applyBorder="1" applyAlignment="1">
      <alignment vertical="top" wrapText="1"/>
    </xf>
    <xf numFmtId="0" fontId="2" fillId="5" borderId="2" xfId="0" applyFont="1" applyFill="1" applyBorder="1" applyAlignment="1">
      <alignment horizontal="left" vertical="top" wrapText="1"/>
    </xf>
    <xf numFmtId="0" fontId="2" fillId="5" borderId="3" xfId="0" applyFont="1" applyFill="1" applyBorder="1" applyAlignment="1">
      <alignment horizontal="left" vertical="top" wrapText="1"/>
    </xf>
    <xf numFmtId="0" fontId="2" fillId="5" borderId="4" xfId="0" applyFont="1" applyFill="1" applyBorder="1" applyAlignment="1">
      <alignment horizontal="left" vertical="top" wrapText="1"/>
    </xf>
    <xf numFmtId="0" fontId="2" fillId="5" borderId="5" xfId="0" applyFont="1" applyFill="1" applyBorder="1" applyAlignment="1">
      <alignment horizontal="left" vertical="top" wrapText="1"/>
    </xf>
    <xf numFmtId="0" fontId="2" fillId="5" borderId="0" xfId="0" applyFont="1" applyFill="1" applyAlignment="1">
      <alignment horizontal="left" vertical="top" wrapText="1"/>
    </xf>
    <xf numFmtId="0" fontId="2" fillId="5" borderId="6" xfId="0" applyFont="1" applyFill="1" applyBorder="1" applyAlignment="1">
      <alignment horizontal="left" vertical="top" wrapText="1"/>
    </xf>
    <xf numFmtId="0" fontId="2" fillId="5" borderId="23" xfId="0" applyFont="1" applyFill="1" applyBorder="1" applyAlignment="1">
      <alignment horizontal="left" vertical="top" wrapText="1"/>
    </xf>
    <xf numFmtId="0" fontId="2" fillId="5" borderId="21" xfId="0" applyFont="1" applyFill="1" applyBorder="1" applyAlignment="1">
      <alignment horizontal="left" vertical="top" wrapText="1"/>
    </xf>
    <xf numFmtId="0" fontId="2" fillId="5" borderId="22" xfId="0" applyFont="1" applyFill="1" applyBorder="1" applyAlignment="1">
      <alignment horizontal="left" vertical="top" wrapText="1"/>
    </xf>
    <xf numFmtId="14" fontId="2" fillId="3" borderId="3" xfId="0" applyNumberFormat="1" applyFont="1" applyFill="1" applyBorder="1" applyAlignment="1" applyProtection="1">
      <alignment horizontal="left"/>
      <protection locked="0"/>
    </xf>
    <xf numFmtId="14" fontId="2" fillId="3" borderId="4" xfId="0" applyNumberFormat="1" applyFont="1" applyFill="1" applyBorder="1" applyAlignment="1" applyProtection="1">
      <alignment horizontal="left"/>
      <protection locked="0"/>
    </xf>
    <xf numFmtId="0" fontId="9" fillId="5" borderId="2" xfId="2" applyFill="1" applyBorder="1" applyAlignment="1" applyProtection="1">
      <alignment horizontal="center"/>
      <protection locked="0"/>
    </xf>
    <xf numFmtId="0" fontId="9" fillId="5" borderId="3" xfId="2" applyFill="1" applyBorder="1" applyAlignment="1" applyProtection="1">
      <alignment horizontal="center"/>
      <protection locked="0"/>
    </xf>
    <xf numFmtId="0" fontId="9" fillId="5" borderId="4" xfId="2" applyFill="1" applyBorder="1" applyAlignment="1" applyProtection="1">
      <alignment horizontal="center"/>
      <protection locked="0"/>
    </xf>
    <xf numFmtId="0" fontId="9" fillId="5" borderId="5" xfId="2" applyFill="1" applyBorder="1" applyAlignment="1" applyProtection="1">
      <alignment horizontal="center"/>
      <protection locked="0"/>
    </xf>
    <xf numFmtId="0" fontId="9" fillId="5" borderId="0" xfId="2" applyFill="1" applyBorder="1" applyAlignment="1" applyProtection="1">
      <alignment horizontal="center"/>
      <protection locked="0"/>
    </xf>
    <xf numFmtId="0" fontId="9" fillId="5" borderId="6" xfId="2" applyFill="1" applyBorder="1" applyAlignment="1" applyProtection="1">
      <alignment horizontal="center"/>
      <protection locked="0"/>
    </xf>
    <xf numFmtId="0" fontId="12" fillId="5" borderId="23" xfId="0" applyFont="1" applyFill="1" applyBorder="1" applyAlignment="1" applyProtection="1">
      <alignment horizontal="center"/>
      <protection locked="0"/>
    </xf>
    <xf numFmtId="0" fontId="3" fillId="5" borderId="21" xfId="0" applyFont="1" applyFill="1" applyBorder="1" applyAlignment="1" applyProtection="1">
      <alignment horizontal="center"/>
      <protection locked="0"/>
    </xf>
    <xf numFmtId="0" fontId="3" fillId="5" borderId="22" xfId="0" applyFont="1" applyFill="1" applyBorder="1" applyAlignment="1" applyProtection="1">
      <alignment horizontal="center"/>
      <protection locked="0"/>
    </xf>
    <xf numFmtId="0" fontId="1" fillId="2" borderId="2" xfId="0" applyFont="1" applyFill="1" applyBorder="1" applyAlignment="1" applyProtection="1">
      <alignment horizontal="center" vertical="center"/>
      <protection locked="0"/>
    </xf>
    <xf numFmtId="0" fontId="1" fillId="2" borderId="3" xfId="0" applyFont="1" applyFill="1" applyBorder="1" applyAlignment="1" applyProtection="1">
      <alignment horizontal="center" vertical="center"/>
      <protection locked="0"/>
    </xf>
    <xf numFmtId="0" fontId="1" fillId="2" borderId="4" xfId="0" applyFont="1" applyFill="1" applyBorder="1" applyAlignment="1" applyProtection="1">
      <alignment horizontal="center" vertical="center"/>
      <protection locked="0"/>
    </xf>
    <xf numFmtId="0" fontId="1" fillId="2" borderId="5" xfId="0"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6" xfId="0" applyFont="1" applyFill="1" applyBorder="1" applyAlignment="1" applyProtection="1">
      <alignment horizontal="center" vertical="center"/>
      <protection locked="0"/>
    </xf>
    <xf numFmtId="49" fontId="4" fillId="4" borderId="23" xfId="0" applyNumberFormat="1" applyFont="1" applyFill="1" applyBorder="1" applyAlignment="1">
      <alignment horizontal="center"/>
    </xf>
    <xf numFmtId="49" fontId="4" fillId="4" borderId="48" xfId="0" applyNumberFormat="1" applyFont="1" applyFill="1" applyBorder="1" applyAlignment="1">
      <alignment horizontal="center"/>
    </xf>
    <xf numFmtId="49" fontId="4" fillId="4" borderId="47" xfId="0" applyNumberFormat="1" applyFont="1" applyFill="1" applyBorder="1" applyAlignment="1">
      <alignment horizontal="center"/>
    </xf>
    <xf numFmtId="0" fontId="0" fillId="4" borderId="21" xfId="0" applyFill="1" applyBorder="1" applyAlignment="1">
      <alignment horizontal="left"/>
    </xf>
    <xf numFmtId="0" fontId="0" fillId="4" borderId="22" xfId="0" applyFill="1" applyBorder="1" applyAlignment="1">
      <alignment horizontal="left"/>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0" xfId="0" applyFont="1" applyFill="1" applyAlignment="1">
      <alignment horizontal="center" vertical="center"/>
    </xf>
    <xf numFmtId="0" fontId="1" fillId="2" borderId="6" xfId="0" applyFont="1" applyFill="1" applyBorder="1" applyAlignment="1">
      <alignment horizontal="center" vertical="center"/>
    </xf>
    <xf numFmtId="0" fontId="2" fillId="3" borderId="0" xfId="0" applyFont="1" applyFill="1" applyAlignment="1" applyProtection="1">
      <alignment horizontal="left"/>
      <protection locked="0"/>
    </xf>
    <xf numFmtId="0" fontId="2" fillId="3" borderId="6" xfId="0" applyFont="1" applyFill="1" applyBorder="1" applyAlignment="1" applyProtection="1">
      <alignment horizontal="left"/>
      <protection locked="0"/>
    </xf>
    <xf numFmtId="49" fontId="4" fillId="4" borderId="22" xfId="0" applyNumberFormat="1" applyFont="1" applyFill="1" applyBorder="1" applyAlignment="1">
      <alignment horizontal="center"/>
    </xf>
    <xf numFmtId="0" fontId="2" fillId="3" borderId="21" xfId="0" applyFont="1" applyFill="1" applyBorder="1" applyAlignment="1" applyProtection="1">
      <alignment horizontal="left"/>
      <protection locked="0"/>
    </xf>
    <xf numFmtId="0" fontId="2" fillId="3" borderId="22" xfId="0" applyFont="1" applyFill="1" applyBorder="1" applyAlignment="1" applyProtection="1">
      <alignment horizontal="left"/>
      <protection locked="0"/>
    </xf>
    <xf numFmtId="0" fontId="4" fillId="5" borderId="2" xfId="0" applyFont="1" applyFill="1" applyBorder="1" applyAlignment="1">
      <alignment horizontal="left" vertical="center" wrapText="1"/>
    </xf>
    <xf numFmtId="0" fontId="4" fillId="5" borderId="3" xfId="0" applyFont="1" applyFill="1" applyBorder="1" applyAlignment="1">
      <alignment horizontal="left" vertical="center" wrapText="1"/>
    </xf>
    <xf numFmtId="0" fontId="4" fillId="5" borderId="4" xfId="0" applyFont="1" applyFill="1" applyBorder="1" applyAlignment="1">
      <alignment horizontal="left" vertical="center" wrapText="1"/>
    </xf>
    <xf numFmtId="0" fontId="4" fillId="5" borderId="23" xfId="0" applyFont="1" applyFill="1" applyBorder="1" applyAlignment="1">
      <alignment horizontal="left" vertical="center" wrapText="1"/>
    </xf>
    <xf numFmtId="0" fontId="4" fillId="5" borderId="21" xfId="0" applyFont="1" applyFill="1" applyBorder="1" applyAlignment="1">
      <alignment horizontal="left" vertical="center" wrapText="1"/>
    </xf>
    <xf numFmtId="0" fontId="4" fillId="5" borderId="22" xfId="0" applyFont="1" applyFill="1" applyBorder="1" applyAlignment="1">
      <alignment horizontal="left" vertical="center" wrapText="1"/>
    </xf>
    <xf numFmtId="0" fontId="3" fillId="4" borderId="2" xfId="0" applyFont="1" applyFill="1" applyBorder="1" applyAlignment="1">
      <alignment horizontal="center" vertical="center"/>
    </xf>
    <xf numFmtId="0" fontId="3" fillId="4" borderId="3" xfId="0" applyFont="1" applyFill="1" applyBorder="1" applyAlignment="1">
      <alignment horizontal="center" vertical="center"/>
    </xf>
    <xf numFmtId="0" fontId="3" fillId="4" borderId="4" xfId="0" applyFont="1" applyFill="1" applyBorder="1" applyAlignment="1">
      <alignment horizontal="center" vertical="center"/>
    </xf>
    <xf numFmtId="0" fontId="3" fillId="4" borderId="10" xfId="0" applyFont="1" applyFill="1" applyBorder="1" applyAlignment="1">
      <alignment horizontal="center" vertical="center"/>
    </xf>
    <xf numFmtId="0" fontId="3" fillId="4" borderId="1" xfId="0" applyFont="1" applyFill="1" applyBorder="1" applyAlignment="1">
      <alignment horizontal="center" vertical="center"/>
    </xf>
    <xf numFmtId="0" fontId="3" fillId="4" borderId="7" xfId="0" applyFont="1" applyFill="1" applyBorder="1" applyAlignment="1">
      <alignment horizontal="center" vertical="center"/>
    </xf>
    <xf numFmtId="0" fontId="4" fillId="4" borderId="87" xfId="0" applyFont="1" applyFill="1" applyBorder="1" applyAlignment="1">
      <alignment horizontal="left"/>
    </xf>
    <xf numFmtId="0" fontId="4" fillId="4" borderId="89" xfId="0" applyFont="1" applyFill="1" applyBorder="1" applyAlignment="1">
      <alignment horizontal="left"/>
    </xf>
    <xf numFmtId="0" fontId="0" fillId="4" borderId="0" xfId="0" applyFill="1" applyAlignment="1">
      <alignment horizontal="left"/>
    </xf>
    <xf numFmtId="0" fontId="0" fillId="4" borderId="6" xfId="0" applyFill="1" applyBorder="1" applyAlignment="1">
      <alignment horizontal="left"/>
    </xf>
    <xf numFmtId="0" fontId="2" fillId="12" borderId="75" xfId="0" applyFont="1" applyFill="1" applyBorder="1" applyAlignment="1" applyProtection="1">
      <alignment horizontal="center" vertical="center"/>
    </xf>
    <xf numFmtId="0" fontId="2" fillId="12" borderId="76" xfId="0" applyFont="1" applyFill="1" applyBorder="1" applyAlignment="1" applyProtection="1">
      <alignment horizontal="center" vertical="center"/>
    </xf>
    <xf numFmtId="0" fontId="2" fillId="14" borderId="80" xfId="0" applyFont="1" applyFill="1" applyBorder="1" applyAlignment="1" applyProtection="1">
      <alignment horizontal="center" vertical="center"/>
    </xf>
    <xf numFmtId="0" fontId="2" fillId="14" borderId="81" xfId="0" applyFont="1" applyFill="1" applyBorder="1" applyAlignment="1" applyProtection="1">
      <alignment horizontal="center" vertical="center"/>
    </xf>
    <xf numFmtId="0" fontId="2" fillId="12" borderId="84" xfId="0" applyFont="1" applyFill="1" applyBorder="1" applyAlignment="1" applyProtection="1">
      <alignment horizontal="center" vertical="center"/>
    </xf>
    <xf numFmtId="0" fontId="2" fillId="12" borderId="85" xfId="0" applyFont="1" applyFill="1" applyBorder="1" applyAlignment="1" applyProtection="1">
      <alignment horizontal="center" vertical="center"/>
    </xf>
    <xf numFmtId="0" fontId="2" fillId="12" borderId="41" xfId="0" applyFont="1" applyFill="1" applyBorder="1" applyAlignment="1" applyProtection="1">
      <alignment horizontal="center" vertical="center"/>
    </xf>
    <xf numFmtId="0" fontId="2" fillId="12" borderId="57" xfId="0" applyFont="1" applyFill="1" applyBorder="1" applyAlignment="1" applyProtection="1">
      <alignment horizontal="center" vertical="center"/>
    </xf>
    <xf numFmtId="0" fontId="4" fillId="12" borderId="68" xfId="0" applyFont="1" applyFill="1" applyBorder="1" applyAlignment="1" applyProtection="1">
      <alignment horizontal="center" vertical="center"/>
    </xf>
    <xf numFmtId="0" fontId="4" fillId="12" borderId="65" xfId="0" applyFont="1" applyFill="1" applyBorder="1" applyAlignment="1" applyProtection="1">
      <alignment horizontal="center" vertical="center"/>
    </xf>
    <xf numFmtId="0" fontId="4" fillId="14" borderId="71" xfId="0" applyFont="1" applyFill="1" applyBorder="1" applyAlignment="1" applyProtection="1">
      <alignment horizontal="center" vertical="center"/>
    </xf>
    <xf numFmtId="0" fontId="4" fillId="14" borderId="65" xfId="0" applyFont="1" applyFill="1" applyBorder="1" applyAlignment="1" applyProtection="1">
      <alignment horizontal="center" vertical="center"/>
    </xf>
    <xf numFmtId="0" fontId="4" fillId="12" borderId="60" xfId="0" applyFont="1" applyFill="1" applyBorder="1" applyAlignment="1" applyProtection="1">
      <alignment horizontal="center" vertical="center"/>
    </xf>
    <xf numFmtId="0" fontId="4" fillId="12" borderId="77" xfId="0" applyFont="1" applyFill="1" applyBorder="1" applyAlignment="1" applyProtection="1">
      <alignment horizontal="center" vertical="center"/>
    </xf>
    <xf numFmtId="0" fontId="4" fillId="12" borderId="64" xfId="0" applyFont="1" applyFill="1" applyBorder="1" applyAlignment="1" applyProtection="1">
      <alignment horizontal="center" vertical="center"/>
    </xf>
    <xf numFmtId="0" fontId="4" fillId="14" borderId="78" xfId="0" applyFont="1" applyFill="1" applyBorder="1" applyAlignment="1" applyProtection="1">
      <alignment horizontal="center" vertical="center"/>
    </xf>
    <xf numFmtId="0" fontId="4" fillId="14" borderId="64" xfId="0" applyFont="1" applyFill="1" applyBorder="1" applyAlignment="1" applyProtection="1">
      <alignment horizontal="center" vertical="center"/>
    </xf>
    <xf numFmtId="0" fontId="4" fillId="12" borderId="61" xfId="0" applyFont="1" applyFill="1" applyBorder="1" applyAlignment="1" applyProtection="1">
      <alignment horizontal="center" vertical="center"/>
    </xf>
    <xf numFmtId="0" fontId="4" fillId="15" borderId="64" xfId="0" applyFont="1" applyFill="1" applyBorder="1" applyAlignment="1" applyProtection="1">
      <alignment horizontal="center" vertical="center"/>
      <protection locked="0"/>
    </xf>
  </cellXfs>
  <cellStyles count="5">
    <cellStyle name="Link" xfId="2" builtinId="8"/>
    <cellStyle name="Prozent" xfId="1" builtinId="5"/>
    <cellStyle name="Prozent 2" xfId="4" xr:uid="{1507025D-B0F1-4420-901D-8726DF6DD13E}"/>
    <cellStyle name="Standard" xfId="0" builtinId="0"/>
    <cellStyle name="Standard 2" xfId="3" xr:uid="{8A3FEE63-99CF-4E9F-A246-50C9DB79BB51}"/>
  </cellStyles>
  <dxfs count="0"/>
  <tableStyles count="0" defaultTableStyle="TableStyleMedium2" defaultPivotStyle="PivotStyleLight16"/>
  <colors>
    <mruColors>
      <color rgb="FFFFDDDD"/>
      <color rgb="FFFFD9D9"/>
      <color rgb="FFE5FFE5"/>
      <color rgb="FFFFFF99"/>
      <color rgb="FFFCFC9A"/>
      <color rgb="FFFF0000"/>
      <color rgb="FFFF0097"/>
      <color rgb="FFFF9797"/>
      <color rgb="FFCDFFBD"/>
      <color rgb="FF92D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8.emf"/><Relationship Id="rId7" Type="http://schemas.openxmlformats.org/officeDocument/2006/relationships/image" Target="../media/image2.emf"/><Relationship Id="rId12" Type="http://schemas.openxmlformats.org/officeDocument/2006/relationships/image" Target="../media/image12.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3.emf"/><Relationship Id="rId11" Type="http://schemas.openxmlformats.org/officeDocument/2006/relationships/image" Target="../media/image11.emf"/><Relationship Id="rId5" Type="http://schemas.openxmlformats.org/officeDocument/2006/relationships/image" Target="../media/image4.emf"/><Relationship Id="rId10" Type="http://schemas.openxmlformats.org/officeDocument/2006/relationships/image" Target="../media/image10.emf"/><Relationship Id="rId4" Type="http://schemas.openxmlformats.org/officeDocument/2006/relationships/image" Target="../media/image5.emf"/><Relationship Id="rId9"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3</xdr:col>
      <xdr:colOff>0</xdr:colOff>
      <xdr:row>12</xdr:row>
      <xdr:rowOff>0</xdr:rowOff>
    </xdr:from>
    <xdr:to>
      <xdr:col>4</xdr:col>
      <xdr:colOff>0</xdr:colOff>
      <xdr:row>13</xdr:row>
      <xdr:rowOff>0</xdr:rowOff>
    </xdr:to>
    <xdr:grpSp>
      <xdr:nvGrpSpPr>
        <xdr:cNvPr id="4092" name="Cross_D13">
          <a:extLst>
            <a:ext uri="{FF2B5EF4-FFF2-40B4-BE49-F238E27FC236}">
              <a16:creationId xmlns:a16="http://schemas.microsoft.com/office/drawing/2014/main" id="{1E466AF8-E7F0-16AD-C2D0-7DD7A504811C}"/>
            </a:ext>
          </a:extLst>
        </xdr:cNvPr>
        <xdr:cNvGrpSpPr/>
      </xdr:nvGrpSpPr>
      <xdr:grpSpPr>
        <a:xfrm>
          <a:off x="2232660" y="2499360"/>
          <a:ext cx="594360" cy="228600"/>
          <a:chOff x="2232660" y="2499360"/>
          <a:chExt cx="594360" cy="228600"/>
        </a:xfrm>
      </xdr:grpSpPr>
      <xdr:cxnSp macro="">
        <xdr:nvCxnSpPr>
          <xdr:cNvPr id="4090" name="Gerader Verbinder 4089">
            <a:extLst>
              <a:ext uri="{FF2B5EF4-FFF2-40B4-BE49-F238E27FC236}">
                <a16:creationId xmlns:a16="http://schemas.microsoft.com/office/drawing/2014/main" id="{FD22F92A-E26E-B735-F66F-4895030A655A}"/>
              </a:ext>
            </a:extLst>
          </xdr:cNvPr>
          <xdr:cNvCxnSpPr/>
        </xdr:nvCxnSpPr>
        <xdr:spPr>
          <a:xfrm>
            <a:off x="2232660" y="24993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091" name="Gerader Verbinder 4090">
            <a:extLst>
              <a:ext uri="{FF2B5EF4-FFF2-40B4-BE49-F238E27FC236}">
                <a16:creationId xmlns:a16="http://schemas.microsoft.com/office/drawing/2014/main" id="{75D484CB-F09E-656F-7295-05B0B238F35F}"/>
              </a:ext>
            </a:extLst>
          </xdr:cNvPr>
          <xdr:cNvCxnSpPr/>
        </xdr:nvCxnSpPr>
        <xdr:spPr>
          <a:xfrm flipH="1">
            <a:off x="2232660" y="24993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13</xdr:row>
      <xdr:rowOff>0</xdr:rowOff>
    </xdr:from>
    <xdr:to>
      <xdr:col>4</xdr:col>
      <xdr:colOff>0</xdr:colOff>
      <xdr:row>14</xdr:row>
      <xdr:rowOff>0</xdr:rowOff>
    </xdr:to>
    <xdr:grpSp>
      <xdr:nvGrpSpPr>
        <xdr:cNvPr id="4095" name="Cross_D14">
          <a:extLst>
            <a:ext uri="{FF2B5EF4-FFF2-40B4-BE49-F238E27FC236}">
              <a16:creationId xmlns:a16="http://schemas.microsoft.com/office/drawing/2014/main" id="{6D5407B7-0FBA-7404-B5F2-D12A2C4BDF33}"/>
            </a:ext>
          </a:extLst>
        </xdr:cNvPr>
        <xdr:cNvGrpSpPr/>
      </xdr:nvGrpSpPr>
      <xdr:grpSpPr>
        <a:xfrm>
          <a:off x="2232660" y="2727960"/>
          <a:ext cx="594360" cy="167640"/>
          <a:chOff x="2232660" y="2727960"/>
          <a:chExt cx="594360" cy="167640"/>
        </a:xfrm>
      </xdr:grpSpPr>
      <xdr:cxnSp macro="">
        <xdr:nvCxnSpPr>
          <xdr:cNvPr id="4093" name="Gerader Verbinder 4092">
            <a:extLst>
              <a:ext uri="{FF2B5EF4-FFF2-40B4-BE49-F238E27FC236}">
                <a16:creationId xmlns:a16="http://schemas.microsoft.com/office/drawing/2014/main" id="{348AEE94-3301-50F8-02A7-557E61DDB9DC}"/>
              </a:ext>
            </a:extLst>
          </xdr:cNvPr>
          <xdr:cNvCxnSpPr/>
        </xdr:nvCxnSpPr>
        <xdr:spPr>
          <a:xfrm>
            <a:off x="2232660" y="27279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094" name="Gerader Verbinder 4093">
            <a:extLst>
              <a:ext uri="{FF2B5EF4-FFF2-40B4-BE49-F238E27FC236}">
                <a16:creationId xmlns:a16="http://schemas.microsoft.com/office/drawing/2014/main" id="{61C83C48-1E79-E2F5-4EE9-CDB2AC6999E5}"/>
              </a:ext>
            </a:extLst>
          </xdr:cNvPr>
          <xdr:cNvCxnSpPr/>
        </xdr:nvCxnSpPr>
        <xdr:spPr>
          <a:xfrm flipH="1">
            <a:off x="2232660" y="27279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14</xdr:row>
      <xdr:rowOff>0</xdr:rowOff>
    </xdr:from>
    <xdr:to>
      <xdr:col>4</xdr:col>
      <xdr:colOff>0</xdr:colOff>
      <xdr:row>15</xdr:row>
      <xdr:rowOff>0</xdr:rowOff>
    </xdr:to>
    <xdr:grpSp>
      <xdr:nvGrpSpPr>
        <xdr:cNvPr id="3586" name="Cross_D15">
          <a:extLst>
            <a:ext uri="{FF2B5EF4-FFF2-40B4-BE49-F238E27FC236}">
              <a16:creationId xmlns:a16="http://schemas.microsoft.com/office/drawing/2014/main" id="{192269DE-A636-5F18-4EAE-526552EDD698}"/>
            </a:ext>
          </a:extLst>
        </xdr:cNvPr>
        <xdr:cNvGrpSpPr/>
      </xdr:nvGrpSpPr>
      <xdr:grpSpPr>
        <a:xfrm>
          <a:off x="2232660" y="2895600"/>
          <a:ext cx="594360" cy="167640"/>
          <a:chOff x="2232660" y="2895600"/>
          <a:chExt cx="594360" cy="167640"/>
        </a:xfrm>
      </xdr:grpSpPr>
      <xdr:cxnSp macro="">
        <xdr:nvCxnSpPr>
          <xdr:cNvPr id="3584" name="Gerader Verbinder 3583">
            <a:extLst>
              <a:ext uri="{FF2B5EF4-FFF2-40B4-BE49-F238E27FC236}">
                <a16:creationId xmlns:a16="http://schemas.microsoft.com/office/drawing/2014/main" id="{76005A0F-7A6F-D9C9-95C0-89E9ADD58EEC}"/>
              </a:ext>
            </a:extLst>
          </xdr:cNvPr>
          <xdr:cNvCxnSpPr/>
        </xdr:nvCxnSpPr>
        <xdr:spPr>
          <a:xfrm>
            <a:off x="2232660" y="28956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585" name="Gerader Verbinder 3584">
            <a:extLst>
              <a:ext uri="{FF2B5EF4-FFF2-40B4-BE49-F238E27FC236}">
                <a16:creationId xmlns:a16="http://schemas.microsoft.com/office/drawing/2014/main" id="{417270B0-1711-A95B-E6A5-CFB371BBE3FD}"/>
              </a:ext>
            </a:extLst>
          </xdr:cNvPr>
          <xdr:cNvCxnSpPr/>
        </xdr:nvCxnSpPr>
        <xdr:spPr>
          <a:xfrm flipH="1">
            <a:off x="2232660" y="28956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21</xdr:row>
      <xdr:rowOff>0</xdr:rowOff>
    </xdr:from>
    <xdr:to>
      <xdr:col>4</xdr:col>
      <xdr:colOff>0</xdr:colOff>
      <xdr:row>22</xdr:row>
      <xdr:rowOff>0</xdr:rowOff>
    </xdr:to>
    <xdr:grpSp>
      <xdr:nvGrpSpPr>
        <xdr:cNvPr id="3589" name="Cross_D22">
          <a:extLst>
            <a:ext uri="{FF2B5EF4-FFF2-40B4-BE49-F238E27FC236}">
              <a16:creationId xmlns:a16="http://schemas.microsoft.com/office/drawing/2014/main" id="{CE194842-7BD3-DD68-9C3A-CE2A4206BA24}"/>
            </a:ext>
          </a:extLst>
        </xdr:cNvPr>
        <xdr:cNvGrpSpPr/>
      </xdr:nvGrpSpPr>
      <xdr:grpSpPr>
        <a:xfrm>
          <a:off x="2232660" y="4191000"/>
          <a:ext cx="594360" cy="228600"/>
          <a:chOff x="2232660" y="4191000"/>
          <a:chExt cx="594360" cy="228600"/>
        </a:xfrm>
      </xdr:grpSpPr>
      <xdr:cxnSp macro="">
        <xdr:nvCxnSpPr>
          <xdr:cNvPr id="3587" name="Gerader Verbinder 3586">
            <a:extLst>
              <a:ext uri="{FF2B5EF4-FFF2-40B4-BE49-F238E27FC236}">
                <a16:creationId xmlns:a16="http://schemas.microsoft.com/office/drawing/2014/main" id="{D92E1D34-64FC-D845-6208-7F2AEBE1166F}"/>
              </a:ext>
            </a:extLst>
          </xdr:cNvPr>
          <xdr:cNvCxnSpPr/>
        </xdr:nvCxnSpPr>
        <xdr:spPr>
          <a:xfrm>
            <a:off x="2232660" y="41910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588" name="Gerader Verbinder 3587">
            <a:extLst>
              <a:ext uri="{FF2B5EF4-FFF2-40B4-BE49-F238E27FC236}">
                <a16:creationId xmlns:a16="http://schemas.microsoft.com/office/drawing/2014/main" id="{7BF30997-FBDE-0C38-5DF4-C7C74C093F20}"/>
              </a:ext>
            </a:extLst>
          </xdr:cNvPr>
          <xdr:cNvCxnSpPr/>
        </xdr:nvCxnSpPr>
        <xdr:spPr>
          <a:xfrm flipH="1">
            <a:off x="2232660" y="41910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22</xdr:row>
      <xdr:rowOff>0</xdr:rowOff>
    </xdr:from>
    <xdr:to>
      <xdr:col>4</xdr:col>
      <xdr:colOff>0</xdr:colOff>
      <xdr:row>23</xdr:row>
      <xdr:rowOff>0</xdr:rowOff>
    </xdr:to>
    <xdr:grpSp>
      <xdr:nvGrpSpPr>
        <xdr:cNvPr id="3592" name="Cross_D23">
          <a:extLst>
            <a:ext uri="{FF2B5EF4-FFF2-40B4-BE49-F238E27FC236}">
              <a16:creationId xmlns:a16="http://schemas.microsoft.com/office/drawing/2014/main" id="{58C1664E-9677-7BE2-A115-8FAB99CBDDE1}"/>
            </a:ext>
          </a:extLst>
        </xdr:cNvPr>
        <xdr:cNvGrpSpPr/>
      </xdr:nvGrpSpPr>
      <xdr:grpSpPr>
        <a:xfrm>
          <a:off x="2232660" y="4419600"/>
          <a:ext cx="594360" cy="167640"/>
          <a:chOff x="2232660" y="4419600"/>
          <a:chExt cx="594360" cy="167640"/>
        </a:xfrm>
      </xdr:grpSpPr>
      <xdr:cxnSp macro="">
        <xdr:nvCxnSpPr>
          <xdr:cNvPr id="3590" name="Gerader Verbinder 3589">
            <a:extLst>
              <a:ext uri="{FF2B5EF4-FFF2-40B4-BE49-F238E27FC236}">
                <a16:creationId xmlns:a16="http://schemas.microsoft.com/office/drawing/2014/main" id="{076C35F9-9292-761B-395E-3A6E94DC4D17}"/>
              </a:ext>
            </a:extLst>
          </xdr:cNvPr>
          <xdr:cNvCxnSpPr/>
        </xdr:nvCxnSpPr>
        <xdr:spPr>
          <a:xfrm>
            <a:off x="2232660" y="44196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591" name="Gerader Verbinder 3590">
            <a:extLst>
              <a:ext uri="{FF2B5EF4-FFF2-40B4-BE49-F238E27FC236}">
                <a16:creationId xmlns:a16="http://schemas.microsoft.com/office/drawing/2014/main" id="{67F612CA-F437-293B-4B90-6AAC5042EC8E}"/>
              </a:ext>
            </a:extLst>
          </xdr:cNvPr>
          <xdr:cNvCxnSpPr/>
        </xdr:nvCxnSpPr>
        <xdr:spPr>
          <a:xfrm flipH="1">
            <a:off x="2232660" y="44196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23</xdr:row>
      <xdr:rowOff>0</xdr:rowOff>
    </xdr:from>
    <xdr:to>
      <xdr:col>4</xdr:col>
      <xdr:colOff>0</xdr:colOff>
      <xdr:row>24</xdr:row>
      <xdr:rowOff>0</xdr:rowOff>
    </xdr:to>
    <xdr:grpSp>
      <xdr:nvGrpSpPr>
        <xdr:cNvPr id="3595" name="Cross_D24">
          <a:extLst>
            <a:ext uri="{FF2B5EF4-FFF2-40B4-BE49-F238E27FC236}">
              <a16:creationId xmlns:a16="http://schemas.microsoft.com/office/drawing/2014/main" id="{7B4A3FBF-93BD-FA87-82F5-560C99644539}"/>
            </a:ext>
          </a:extLst>
        </xdr:cNvPr>
        <xdr:cNvGrpSpPr/>
      </xdr:nvGrpSpPr>
      <xdr:grpSpPr>
        <a:xfrm>
          <a:off x="2232660" y="4587240"/>
          <a:ext cx="594360" cy="167640"/>
          <a:chOff x="2232660" y="4587240"/>
          <a:chExt cx="594360" cy="167640"/>
        </a:xfrm>
      </xdr:grpSpPr>
      <xdr:cxnSp macro="">
        <xdr:nvCxnSpPr>
          <xdr:cNvPr id="3593" name="Gerader Verbinder 3592">
            <a:extLst>
              <a:ext uri="{FF2B5EF4-FFF2-40B4-BE49-F238E27FC236}">
                <a16:creationId xmlns:a16="http://schemas.microsoft.com/office/drawing/2014/main" id="{893890CD-C223-B4D3-8FCE-4A6F294D371E}"/>
              </a:ext>
            </a:extLst>
          </xdr:cNvPr>
          <xdr:cNvCxnSpPr/>
        </xdr:nvCxnSpPr>
        <xdr:spPr>
          <a:xfrm>
            <a:off x="2232660" y="45872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594" name="Gerader Verbinder 3593">
            <a:extLst>
              <a:ext uri="{FF2B5EF4-FFF2-40B4-BE49-F238E27FC236}">
                <a16:creationId xmlns:a16="http://schemas.microsoft.com/office/drawing/2014/main" id="{92037D16-4F41-EF32-0AF6-95140803418E}"/>
              </a:ext>
            </a:extLst>
          </xdr:cNvPr>
          <xdr:cNvCxnSpPr/>
        </xdr:nvCxnSpPr>
        <xdr:spPr>
          <a:xfrm flipH="1">
            <a:off x="2232660" y="45872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24</xdr:row>
      <xdr:rowOff>0</xdr:rowOff>
    </xdr:from>
    <xdr:to>
      <xdr:col>4</xdr:col>
      <xdr:colOff>0</xdr:colOff>
      <xdr:row>25</xdr:row>
      <xdr:rowOff>0</xdr:rowOff>
    </xdr:to>
    <xdr:grpSp>
      <xdr:nvGrpSpPr>
        <xdr:cNvPr id="3598" name="Cross_D25">
          <a:extLst>
            <a:ext uri="{FF2B5EF4-FFF2-40B4-BE49-F238E27FC236}">
              <a16:creationId xmlns:a16="http://schemas.microsoft.com/office/drawing/2014/main" id="{28AB97DE-8AA8-0C39-8680-F3B9970AEDE8}"/>
            </a:ext>
          </a:extLst>
        </xdr:cNvPr>
        <xdr:cNvGrpSpPr/>
      </xdr:nvGrpSpPr>
      <xdr:grpSpPr>
        <a:xfrm>
          <a:off x="2232660" y="4754880"/>
          <a:ext cx="594360" cy="228600"/>
          <a:chOff x="2232660" y="4754880"/>
          <a:chExt cx="594360" cy="228600"/>
        </a:xfrm>
      </xdr:grpSpPr>
      <xdr:cxnSp macro="">
        <xdr:nvCxnSpPr>
          <xdr:cNvPr id="3596" name="Gerader Verbinder 3595">
            <a:extLst>
              <a:ext uri="{FF2B5EF4-FFF2-40B4-BE49-F238E27FC236}">
                <a16:creationId xmlns:a16="http://schemas.microsoft.com/office/drawing/2014/main" id="{89F81B3A-5202-21B6-8AFA-FDD7CCC07279}"/>
              </a:ext>
            </a:extLst>
          </xdr:cNvPr>
          <xdr:cNvCxnSpPr/>
        </xdr:nvCxnSpPr>
        <xdr:spPr>
          <a:xfrm>
            <a:off x="2232660" y="47548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597" name="Gerader Verbinder 3596">
            <a:extLst>
              <a:ext uri="{FF2B5EF4-FFF2-40B4-BE49-F238E27FC236}">
                <a16:creationId xmlns:a16="http://schemas.microsoft.com/office/drawing/2014/main" id="{425A4ADA-1911-9445-7DB3-65310B90D263}"/>
              </a:ext>
            </a:extLst>
          </xdr:cNvPr>
          <xdr:cNvCxnSpPr/>
        </xdr:nvCxnSpPr>
        <xdr:spPr>
          <a:xfrm flipH="1">
            <a:off x="2232660" y="47548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25</xdr:row>
      <xdr:rowOff>0</xdr:rowOff>
    </xdr:from>
    <xdr:to>
      <xdr:col>4</xdr:col>
      <xdr:colOff>0</xdr:colOff>
      <xdr:row>26</xdr:row>
      <xdr:rowOff>0</xdr:rowOff>
    </xdr:to>
    <xdr:grpSp>
      <xdr:nvGrpSpPr>
        <xdr:cNvPr id="3601" name="Cross_D26">
          <a:extLst>
            <a:ext uri="{FF2B5EF4-FFF2-40B4-BE49-F238E27FC236}">
              <a16:creationId xmlns:a16="http://schemas.microsoft.com/office/drawing/2014/main" id="{99109D65-650D-5409-F17B-87BCAAFD5D77}"/>
            </a:ext>
          </a:extLst>
        </xdr:cNvPr>
        <xdr:cNvGrpSpPr/>
      </xdr:nvGrpSpPr>
      <xdr:grpSpPr>
        <a:xfrm>
          <a:off x="2232660" y="4983480"/>
          <a:ext cx="594360" cy="167640"/>
          <a:chOff x="2232660" y="4983480"/>
          <a:chExt cx="594360" cy="167640"/>
        </a:xfrm>
      </xdr:grpSpPr>
      <xdr:cxnSp macro="">
        <xdr:nvCxnSpPr>
          <xdr:cNvPr id="3599" name="Gerader Verbinder 3598">
            <a:extLst>
              <a:ext uri="{FF2B5EF4-FFF2-40B4-BE49-F238E27FC236}">
                <a16:creationId xmlns:a16="http://schemas.microsoft.com/office/drawing/2014/main" id="{B2880C87-F87B-0D56-B961-D1BA6EF6C2F9}"/>
              </a:ext>
            </a:extLst>
          </xdr:cNvPr>
          <xdr:cNvCxnSpPr/>
        </xdr:nvCxnSpPr>
        <xdr:spPr>
          <a:xfrm>
            <a:off x="2232660" y="49834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600" name="Gerader Verbinder 3599">
            <a:extLst>
              <a:ext uri="{FF2B5EF4-FFF2-40B4-BE49-F238E27FC236}">
                <a16:creationId xmlns:a16="http://schemas.microsoft.com/office/drawing/2014/main" id="{ECC893B1-9A21-7CD5-09BA-2B108D8068A2}"/>
              </a:ext>
            </a:extLst>
          </xdr:cNvPr>
          <xdr:cNvCxnSpPr/>
        </xdr:nvCxnSpPr>
        <xdr:spPr>
          <a:xfrm flipH="1">
            <a:off x="2232660" y="49834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26</xdr:row>
      <xdr:rowOff>0</xdr:rowOff>
    </xdr:from>
    <xdr:to>
      <xdr:col>4</xdr:col>
      <xdr:colOff>0</xdr:colOff>
      <xdr:row>27</xdr:row>
      <xdr:rowOff>0</xdr:rowOff>
    </xdr:to>
    <xdr:grpSp>
      <xdr:nvGrpSpPr>
        <xdr:cNvPr id="3604" name="Cross_D27">
          <a:extLst>
            <a:ext uri="{FF2B5EF4-FFF2-40B4-BE49-F238E27FC236}">
              <a16:creationId xmlns:a16="http://schemas.microsoft.com/office/drawing/2014/main" id="{69C15060-9BB7-B438-2513-0A65B0335AB7}"/>
            </a:ext>
          </a:extLst>
        </xdr:cNvPr>
        <xdr:cNvGrpSpPr/>
      </xdr:nvGrpSpPr>
      <xdr:grpSpPr>
        <a:xfrm>
          <a:off x="2232660" y="5151120"/>
          <a:ext cx="594360" cy="167640"/>
          <a:chOff x="2232660" y="5151120"/>
          <a:chExt cx="594360" cy="167640"/>
        </a:xfrm>
      </xdr:grpSpPr>
      <xdr:cxnSp macro="">
        <xdr:nvCxnSpPr>
          <xdr:cNvPr id="3602" name="Gerader Verbinder 3601">
            <a:extLst>
              <a:ext uri="{FF2B5EF4-FFF2-40B4-BE49-F238E27FC236}">
                <a16:creationId xmlns:a16="http://schemas.microsoft.com/office/drawing/2014/main" id="{E439EABA-D6FC-B7D9-1EA6-A353979B3F22}"/>
              </a:ext>
            </a:extLst>
          </xdr:cNvPr>
          <xdr:cNvCxnSpPr/>
        </xdr:nvCxnSpPr>
        <xdr:spPr>
          <a:xfrm>
            <a:off x="2232660" y="51511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603" name="Gerader Verbinder 3602">
            <a:extLst>
              <a:ext uri="{FF2B5EF4-FFF2-40B4-BE49-F238E27FC236}">
                <a16:creationId xmlns:a16="http://schemas.microsoft.com/office/drawing/2014/main" id="{90301325-15BD-4D31-8EDA-91E0BD689FB6}"/>
              </a:ext>
            </a:extLst>
          </xdr:cNvPr>
          <xdr:cNvCxnSpPr/>
        </xdr:nvCxnSpPr>
        <xdr:spPr>
          <a:xfrm flipH="1">
            <a:off x="2232660" y="51511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27</xdr:row>
      <xdr:rowOff>0</xdr:rowOff>
    </xdr:from>
    <xdr:to>
      <xdr:col>4</xdr:col>
      <xdr:colOff>0</xdr:colOff>
      <xdr:row>28</xdr:row>
      <xdr:rowOff>0</xdr:rowOff>
    </xdr:to>
    <xdr:grpSp>
      <xdr:nvGrpSpPr>
        <xdr:cNvPr id="3607" name="Cross_D28">
          <a:extLst>
            <a:ext uri="{FF2B5EF4-FFF2-40B4-BE49-F238E27FC236}">
              <a16:creationId xmlns:a16="http://schemas.microsoft.com/office/drawing/2014/main" id="{F557FF9F-43E5-8D5E-DEFD-044D6F4C3277}"/>
            </a:ext>
          </a:extLst>
        </xdr:cNvPr>
        <xdr:cNvGrpSpPr/>
      </xdr:nvGrpSpPr>
      <xdr:grpSpPr>
        <a:xfrm>
          <a:off x="2232660" y="5318760"/>
          <a:ext cx="594360" cy="228600"/>
          <a:chOff x="2232660" y="5318760"/>
          <a:chExt cx="594360" cy="228600"/>
        </a:xfrm>
      </xdr:grpSpPr>
      <xdr:cxnSp macro="">
        <xdr:nvCxnSpPr>
          <xdr:cNvPr id="3605" name="Gerader Verbinder 3604">
            <a:extLst>
              <a:ext uri="{FF2B5EF4-FFF2-40B4-BE49-F238E27FC236}">
                <a16:creationId xmlns:a16="http://schemas.microsoft.com/office/drawing/2014/main" id="{838791A3-1612-1156-E4AD-BA8E59A628C0}"/>
              </a:ext>
            </a:extLst>
          </xdr:cNvPr>
          <xdr:cNvCxnSpPr/>
        </xdr:nvCxnSpPr>
        <xdr:spPr>
          <a:xfrm>
            <a:off x="2232660" y="53187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606" name="Gerader Verbinder 3605">
            <a:extLst>
              <a:ext uri="{FF2B5EF4-FFF2-40B4-BE49-F238E27FC236}">
                <a16:creationId xmlns:a16="http://schemas.microsoft.com/office/drawing/2014/main" id="{9F0881C6-8CDF-7496-F8F9-98B0E0EA236C}"/>
              </a:ext>
            </a:extLst>
          </xdr:cNvPr>
          <xdr:cNvCxnSpPr/>
        </xdr:nvCxnSpPr>
        <xdr:spPr>
          <a:xfrm flipH="1">
            <a:off x="2232660" y="53187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28</xdr:row>
      <xdr:rowOff>0</xdr:rowOff>
    </xdr:from>
    <xdr:to>
      <xdr:col>4</xdr:col>
      <xdr:colOff>0</xdr:colOff>
      <xdr:row>29</xdr:row>
      <xdr:rowOff>0</xdr:rowOff>
    </xdr:to>
    <xdr:grpSp>
      <xdr:nvGrpSpPr>
        <xdr:cNvPr id="3610" name="Cross_D29">
          <a:extLst>
            <a:ext uri="{FF2B5EF4-FFF2-40B4-BE49-F238E27FC236}">
              <a16:creationId xmlns:a16="http://schemas.microsoft.com/office/drawing/2014/main" id="{0551A89A-875F-E52C-286F-A4427EF1A9DA}"/>
            </a:ext>
          </a:extLst>
        </xdr:cNvPr>
        <xdr:cNvGrpSpPr/>
      </xdr:nvGrpSpPr>
      <xdr:grpSpPr>
        <a:xfrm>
          <a:off x="2232660" y="5547360"/>
          <a:ext cx="594360" cy="167640"/>
          <a:chOff x="2232660" y="5547360"/>
          <a:chExt cx="594360" cy="167640"/>
        </a:xfrm>
      </xdr:grpSpPr>
      <xdr:cxnSp macro="">
        <xdr:nvCxnSpPr>
          <xdr:cNvPr id="3608" name="Gerader Verbinder 3607">
            <a:extLst>
              <a:ext uri="{FF2B5EF4-FFF2-40B4-BE49-F238E27FC236}">
                <a16:creationId xmlns:a16="http://schemas.microsoft.com/office/drawing/2014/main" id="{7E652F26-13D0-E031-2CBB-9E7ECCCB10AE}"/>
              </a:ext>
            </a:extLst>
          </xdr:cNvPr>
          <xdr:cNvCxnSpPr/>
        </xdr:nvCxnSpPr>
        <xdr:spPr>
          <a:xfrm>
            <a:off x="2232660" y="5547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609" name="Gerader Verbinder 3608">
            <a:extLst>
              <a:ext uri="{FF2B5EF4-FFF2-40B4-BE49-F238E27FC236}">
                <a16:creationId xmlns:a16="http://schemas.microsoft.com/office/drawing/2014/main" id="{D4490E07-0285-6F2A-7890-9EB8367CB44C}"/>
              </a:ext>
            </a:extLst>
          </xdr:cNvPr>
          <xdr:cNvCxnSpPr/>
        </xdr:nvCxnSpPr>
        <xdr:spPr>
          <a:xfrm flipH="1">
            <a:off x="2232660" y="5547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29</xdr:row>
      <xdr:rowOff>0</xdr:rowOff>
    </xdr:from>
    <xdr:to>
      <xdr:col>4</xdr:col>
      <xdr:colOff>0</xdr:colOff>
      <xdr:row>30</xdr:row>
      <xdr:rowOff>0</xdr:rowOff>
    </xdr:to>
    <xdr:grpSp>
      <xdr:nvGrpSpPr>
        <xdr:cNvPr id="3613" name="Cross_D30">
          <a:extLst>
            <a:ext uri="{FF2B5EF4-FFF2-40B4-BE49-F238E27FC236}">
              <a16:creationId xmlns:a16="http://schemas.microsoft.com/office/drawing/2014/main" id="{ED486E99-EEA4-17A3-1990-B2285C54D4AB}"/>
            </a:ext>
          </a:extLst>
        </xdr:cNvPr>
        <xdr:cNvGrpSpPr/>
      </xdr:nvGrpSpPr>
      <xdr:grpSpPr>
        <a:xfrm>
          <a:off x="2232660" y="5715000"/>
          <a:ext cx="594360" cy="167640"/>
          <a:chOff x="2232660" y="5715000"/>
          <a:chExt cx="594360" cy="167640"/>
        </a:xfrm>
      </xdr:grpSpPr>
      <xdr:cxnSp macro="">
        <xdr:nvCxnSpPr>
          <xdr:cNvPr id="3611" name="Gerader Verbinder 3610">
            <a:extLst>
              <a:ext uri="{FF2B5EF4-FFF2-40B4-BE49-F238E27FC236}">
                <a16:creationId xmlns:a16="http://schemas.microsoft.com/office/drawing/2014/main" id="{CA1A3F24-083C-8F00-89A0-2667A5FE34C0}"/>
              </a:ext>
            </a:extLst>
          </xdr:cNvPr>
          <xdr:cNvCxnSpPr/>
        </xdr:nvCxnSpPr>
        <xdr:spPr>
          <a:xfrm>
            <a:off x="2232660" y="5715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612" name="Gerader Verbinder 3611">
            <a:extLst>
              <a:ext uri="{FF2B5EF4-FFF2-40B4-BE49-F238E27FC236}">
                <a16:creationId xmlns:a16="http://schemas.microsoft.com/office/drawing/2014/main" id="{74E375A6-63A0-8552-D3A0-5CB67260A415}"/>
              </a:ext>
            </a:extLst>
          </xdr:cNvPr>
          <xdr:cNvCxnSpPr/>
        </xdr:nvCxnSpPr>
        <xdr:spPr>
          <a:xfrm flipH="1">
            <a:off x="2232660" y="5715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33</xdr:row>
      <xdr:rowOff>0</xdr:rowOff>
    </xdr:from>
    <xdr:to>
      <xdr:col>4</xdr:col>
      <xdr:colOff>0</xdr:colOff>
      <xdr:row>34</xdr:row>
      <xdr:rowOff>0</xdr:rowOff>
    </xdr:to>
    <xdr:grpSp>
      <xdr:nvGrpSpPr>
        <xdr:cNvPr id="3616" name="Cross_D34">
          <a:extLst>
            <a:ext uri="{FF2B5EF4-FFF2-40B4-BE49-F238E27FC236}">
              <a16:creationId xmlns:a16="http://schemas.microsoft.com/office/drawing/2014/main" id="{6EC3DF8F-E9A0-1894-EB6B-9614C8DB61F1}"/>
            </a:ext>
          </a:extLst>
        </xdr:cNvPr>
        <xdr:cNvGrpSpPr/>
      </xdr:nvGrpSpPr>
      <xdr:grpSpPr>
        <a:xfrm>
          <a:off x="2232660" y="6446520"/>
          <a:ext cx="594360" cy="228600"/>
          <a:chOff x="2232660" y="6446520"/>
          <a:chExt cx="594360" cy="228600"/>
        </a:xfrm>
      </xdr:grpSpPr>
      <xdr:cxnSp macro="">
        <xdr:nvCxnSpPr>
          <xdr:cNvPr id="3614" name="Gerader Verbinder 3613">
            <a:extLst>
              <a:ext uri="{FF2B5EF4-FFF2-40B4-BE49-F238E27FC236}">
                <a16:creationId xmlns:a16="http://schemas.microsoft.com/office/drawing/2014/main" id="{7B7C5DB3-D447-D04D-EC84-19DA877D98C6}"/>
              </a:ext>
            </a:extLst>
          </xdr:cNvPr>
          <xdr:cNvCxnSpPr/>
        </xdr:nvCxnSpPr>
        <xdr:spPr>
          <a:xfrm>
            <a:off x="2232660" y="64465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615" name="Gerader Verbinder 3614">
            <a:extLst>
              <a:ext uri="{FF2B5EF4-FFF2-40B4-BE49-F238E27FC236}">
                <a16:creationId xmlns:a16="http://schemas.microsoft.com/office/drawing/2014/main" id="{3C28EBD5-5AEE-C8DD-E639-5A6EA3C08E0B}"/>
              </a:ext>
            </a:extLst>
          </xdr:cNvPr>
          <xdr:cNvCxnSpPr/>
        </xdr:nvCxnSpPr>
        <xdr:spPr>
          <a:xfrm flipH="1">
            <a:off x="2232660" y="64465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34</xdr:row>
      <xdr:rowOff>0</xdr:rowOff>
    </xdr:from>
    <xdr:to>
      <xdr:col>4</xdr:col>
      <xdr:colOff>0</xdr:colOff>
      <xdr:row>35</xdr:row>
      <xdr:rowOff>0</xdr:rowOff>
    </xdr:to>
    <xdr:grpSp>
      <xdr:nvGrpSpPr>
        <xdr:cNvPr id="3619" name="Cross_D35">
          <a:extLst>
            <a:ext uri="{FF2B5EF4-FFF2-40B4-BE49-F238E27FC236}">
              <a16:creationId xmlns:a16="http://schemas.microsoft.com/office/drawing/2014/main" id="{4D1B8B26-6D20-75DA-3ED1-82CBC8F1A313}"/>
            </a:ext>
          </a:extLst>
        </xdr:cNvPr>
        <xdr:cNvGrpSpPr/>
      </xdr:nvGrpSpPr>
      <xdr:grpSpPr>
        <a:xfrm>
          <a:off x="2232660" y="6675120"/>
          <a:ext cx="594360" cy="167640"/>
          <a:chOff x="2232660" y="6675120"/>
          <a:chExt cx="594360" cy="167640"/>
        </a:xfrm>
      </xdr:grpSpPr>
      <xdr:cxnSp macro="">
        <xdr:nvCxnSpPr>
          <xdr:cNvPr id="3617" name="Gerader Verbinder 3616">
            <a:extLst>
              <a:ext uri="{FF2B5EF4-FFF2-40B4-BE49-F238E27FC236}">
                <a16:creationId xmlns:a16="http://schemas.microsoft.com/office/drawing/2014/main" id="{46AE7B0F-84A4-0406-13E9-9261029500A0}"/>
              </a:ext>
            </a:extLst>
          </xdr:cNvPr>
          <xdr:cNvCxnSpPr/>
        </xdr:nvCxnSpPr>
        <xdr:spPr>
          <a:xfrm>
            <a:off x="2232660" y="66751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618" name="Gerader Verbinder 3617">
            <a:extLst>
              <a:ext uri="{FF2B5EF4-FFF2-40B4-BE49-F238E27FC236}">
                <a16:creationId xmlns:a16="http://schemas.microsoft.com/office/drawing/2014/main" id="{6979D77D-83E3-A930-C230-84E92CC25C73}"/>
              </a:ext>
            </a:extLst>
          </xdr:cNvPr>
          <xdr:cNvCxnSpPr/>
        </xdr:nvCxnSpPr>
        <xdr:spPr>
          <a:xfrm flipH="1">
            <a:off x="2232660" y="66751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35</xdr:row>
      <xdr:rowOff>0</xdr:rowOff>
    </xdr:from>
    <xdr:to>
      <xdr:col>4</xdr:col>
      <xdr:colOff>0</xdr:colOff>
      <xdr:row>36</xdr:row>
      <xdr:rowOff>0</xdr:rowOff>
    </xdr:to>
    <xdr:grpSp>
      <xdr:nvGrpSpPr>
        <xdr:cNvPr id="3622" name="Cross_D36">
          <a:extLst>
            <a:ext uri="{FF2B5EF4-FFF2-40B4-BE49-F238E27FC236}">
              <a16:creationId xmlns:a16="http://schemas.microsoft.com/office/drawing/2014/main" id="{EECA8458-3F3D-1259-629B-78D7C2E44CCC}"/>
            </a:ext>
          </a:extLst>
        </xdr:cNvPr>
        <xdr:cNvGrpSpPr/>
      </xdr:nvGrpSpPr>
      <xdr:grpSpPr>
        <a:xfrm>
          <a:off x="2232660" y="6842760"/>
          <a:ext cx="594360" cy="167640"/>
          <a:chOff x="2232660" y="6842760"/>
          <a:chExt cx="594360" cy="167640"/>
        </a:xfrm>
      </xdr:grpSpPr>
      <xdr:cxnSp macro="">
        <xdr:nvCxnSpPr>
          <xdr:cNvPr id="3620" name="Gerader Verbinder 3619">
            <a:extLst>
              <a:ext uri="{FF2B5EF4-FFF2-40B4-BE49-F238E27FC236}">
                <a16:creationId xmlns:a16="http://schemas.microsoft.com/office/drawing/2014/main" id="{7B1A551E-4CF5-A3F1-F329-977A1F02D7D7}"/>
              </a:ext>
            </a:extLst>
          </xdr:cNvPr>
          <xdr:cNvCxnSpPr/>
        </xdr:nvCxnSpPr>
        <xdr:spPr>
          <a:xfrm>
            <a:off x="2232660" y="68427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621" name="Gerader Verbinder 3620">
            <a:extLst>
              <a:ext uri="{FF2B5EF4-FFF2-40B4-BE49-F238E27FC236}">
                <a16:creationId xmlns:a16="http://schemas.microsoft.com/office/drawing/2014/main" id="{847545A7-3AAF-65F2-5A4F-C7B185F796BF}"/>
              </a:ext>
            </a:extLst>
          </xdr:cNvPr>
          <xdr:cNvCxnSpPr/>
        </xdr:nvCxnSpPr>
        <xdr:spPr>
          <a:xfrm flipH="1">
            <a:off x="2232660" y="68427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45</xdr:row>
      <xdr:rowOff>0</xdr:rowOff>
    </xdr:from>
    <xdr:to>
      <xdr:col>4</xdr:col>
      <xdr:colOff>0</xdr:colOff>
      <xdr:row>46</xdr:row>
      <xdr:rowOff>0</xdr:rowOff>
    </xdr:to>
    <xdr:grpSp>
      <xdr:nvGrpSpPr>
        <xdr:cNvPr id="3625" name="Cross_D46">
          <a:extLst>
            <a:ext uri="{FF2B5EF4-FFF2-40B4-BE49-F238E27FC236}">
              <a16:creationId xmlns:a16="http://schemas.microsoft.com/office/drawing/2014/main" id="{F0BA3DC3-4EC3-DC8E-8C66-E1D37919BD90}"/>
            </a:ext>
          </a:extLst>
        </xdr:cNvPr>
        <xdr:cNvGrpSpPr/>
      </xdr:nvGrpSpPr>
      <xdr:grpSpPr>
        <a:xfrm>
          <a:off x="2232660" y="8702040"/>
          <a:ext cx="594360" cy="228600"/>
          <a:chOff x="2232660" y="8702040"/>
          <a:chExt cx="594360" cy="228600"/>
        </a:xfrm>
      </xdr:grpSpPr>
      <xdr:cxnSp macro="">
        <xdr:nvCxnSpPr>
          <xdr:cNvPr id="3623" name="Gerader Verbinder 3622">
            <a:extLst>
              <a:ext uri="{FF2B5EF4-FFF2-40B4-BE49-F238E27FC236}">
                <a16:creationId xmlns:a16="http://schemas.microsoft.com/office/drawing/2014/main" id="{02DCE79F-DE9E-C507-8C6D-E9DB96D6F3EF}"/>
              </a:ext>
            </a:extLst>
          </xdr:cNvPr>
          <xdr:cNvCxnSpPr/>
        </xdr:nvCxnSpPr>
        <xdr:spPr>
          <a:xfrm>
            <a:off x="2232660" y="87020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624" name="Gerader Verbinder 3623">
            <a:extLst>
              <a:ext uri="{FF2B5EF4-FFF2-40B4-BE49-F238E27FC236}">
                <a16:creationId xmlns:a16="http://schemas.microsoft.com/office/drawing/2014/main" id="{83EA41CB-F968-CB59-7056-ACA9B10D249C}"/>
              </a:ext>
            </a:extLst>
          </xdr:cNvPr>
          <xdr:cNvCxnSpPr/>
        </xdr:nvCxnSpPr>
        <xdr:spPr>
          <a:xfrm flipH="1">
            <a:off x="2232660" y="87020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46</xdr:row>
      <xdr:rowOff>0</xdr:rowOff>
    </xdr:from>
    <xdr:to>
      <xdr:col>4</xdr:col>
      <xdr:colOff>0</xdr:colOff>
      <xdr:row>47</xdr:row>
      <xdr:rowOff>0</xdr:rowOff>
    </xdr:to>
    <xdr:grpSp>
      <xdr:nvGrpSpPr>
        <xdr:cNvPr id="3628" name="Cross_D47">
          <a:extLst>
            <a:ext uri="{FF2B5EF4-FFF2-40B4-BE49-F238E27FC236}">
              <a16:creationId xmlns:a16="http://schemas.microsoft.com/office/drawing/2014/main" id="{A4C6154D-5DD4-CB6D-180F-D9716F282617}"/>
            </a:ext>
          </a:extLst>
        </xdr:cNvPr>
        <xdr:cNvGrpSpPr/>
      </xdr:nvGrpSpPr>
      <xdr:grpSpPr>
        <a:xfrm>
          <a:off x="2232660" y="8930640"/>
          <a:ext cx="594360" cy="167640"/>
          <a:chOff x="2232660" y="8930640"/>
          <a:chExt cx="594360" cy="167640"/>
        </a:xfrm>
      </xdr:grpSpPr>
      <xdr:cxnSp macro="">
        <xdr:nvCxnSpPr>
          <xdr:cNvPr id="3626" name="Gerader Verbinder 3625">
            <a:extLst>
              <a:ext uri="{FF2B5EF4-FFF2-40B4-BE49-F238E27FC236}">
                <a16:creationId xmlns:a16="http://schemas.microsoft.com/office/drawing/2014/main" id="{71447084-6D56-F286-53D2-E3BF88211EC0}"/>
              </a:ext>
            </a:extLst>
          </xdr:cNvPr>
          <xdr:cNvCxnSpPr/>
        </xdr:nvCxnSpPr>
        <xdr:spPr>
          <a:xfrm>
            <a:off x="2232660" y="8930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627" name="Gerader Verbinder 3626">
            <a:extLst>
              <a:ext uri="{FF2B5EF4-FFF2-40B4-BE49-F238E27FC236}">
                <a16:creationId xmlns:a16="http://schemas.microsoft.com/office/drawing/2014/main" id="{794601F1-F677-45AB-D562-A9334ED618AA}"/>
              </a:ext>
            </a:extLst>
          </xdr:cNvPr>
          <xdr:cNvCxnSpPr/>
        </xdr:nvCxnSpPr>
        <xdr:spPr>
          <a:xfrm flipH="1">
            <a:off x="2232660" y="8930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47</xdr:row>
      <xdr:rowOff>0</xdr:rowOff>
    </xdr:from>
    <xdr:to>
      <xdr:col>4</xdr:col>
      <xdr:colOff>0</xdr:colOff>
      <xdr:row>48</xdr:row>
      <xdr:rowOff>0</xdr:rowOff>
    </xdr:to>
    <xdr:grpSp>
      <xdr:nvGrpSpPr>
        <xdr:cNvPr id="3631" name="Cross_D48">
          <a:extLst>
            <a:ext uri="{FF2B5EF4-FFF2-40B4-BE49-F238E27FC236}">
              <a16:creationId xmlns:a16="http://schemas.microsoft.com/office/drawing/2014/main" id="{12FC044C-390F-89D6-0277-51F87CB76B1C}"/>
            </a:ext>
          </a:extLst>
        </xdr:cNvPr>
        <xdr:cNvGrpSpPr/>
      </xdr:nvGrpSpPr>
      <xdr:grpSpPr>
        <a:xfrm>
          <a:off x="2232660" y="9098280"/>
          <a:ext cx="594360" cy="167640"/>
          <a:chOff x="2232660" y="9098280"/>
          <a:chExt cx="594360" cy="167640"/>
        </a:xfrm>
      </xdr:grpSpPr>
      <xdr:cxnSp macro="">
        <xdr:nvCxnSpPr>
          <xdr:cNvPr id="3629" name="Gerader Verbinder 3628">
            <a:extLst>
              <a:ext uri="{FF2B5EF4-FFF2-40B4-BE49-F238E27FC236}">
                <a16:creationId xmlns:a16="http://schemas.microsoft.com/office/drawing/2014/main" id="{E5839B4E-780D-4F41-C148-0245DDE7F912}"/>
              </a:ext>
            </a:extLst>
          </xdr:cNvPr>
          <xdr:cNvCxnSpPr/>
        </xdr:nvCxnSpPr>
        <xdr:spPr>
          <a:xfrm>
            <a:off x="2232660" y="9098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630" name="Gerader Verbinder 3629">
            <a:extLst>
              <a:ext uri="{FF2B5EF4-FFF2-40B4-BE49-F238E27FC236}">
                <a16:creationId xmlns:a16="http://schemas.microsoft.com/office/drawing/2014/main" id="{055AA16D-C85B-311D-0E7F-BBFEC8C2D05D}"/>
              </a:ext>
            </a:extLst>
          </xdr:cNvPr>
          <xdr:cNvCxnSpPr/>
        </xdr:nvCxnSpPr>
        <xdr:spPr>
          <a:xfrm flipH="1">
            <a:off x="2232660" y="9098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48</xdr:row>
      <xdr:rowOff>0</xdr:rowOff>
    </xdr:from>
    <xdr:to>
      <xdr:col>4</xdr:col>
      <xdr:colOff>0</xdr:colOff>
      <xdr:row>49</xdr:row>
      <xdr:rowOff>0</xdr:rowOff>
    </xdr:to>
    <xdr:grpSp>
      <xdr:nvGrpSpPr>
        <xdr:cNvPr id="3094" name="Cross_D49">
          <a:extLst>
            <a:ext uri="{FF2B5EF4-FFF2-40B4-BE49-F238E27FC236}">
              <a16:creationId xmlns:a16="http://schemas.microsoft.com/office/drawing/2014/main" id="{A65359B9-0AA6-0CD7-9926-1F33D566683E}"/>
            </a:ext>
          </a:extLst>
        </xdr:cNvPr>
        <xdr:cNvGrpSpPr/>
      </xdr:nvGrpSpPr>
      <xdr:grpSpPr>
        <a:xfrm>
          <a:off x="2232660" y="9265920"/>
          <a:ext cx="594360" cy="228600"/>
          <a:chOff x="2232660" y="9265920"/>
          <a:chExt cx="594360" cy="228600"/>
        </a:xfrm>
      </xdr:grpSpPr>
      <xdr:cxnSp macro="">
        <xdr:nvCxnSpPr>
          <xdr:cNvPr id="3632" name="Gerader Verbinder 3631">
            <a:extLst>
              <a:ext uri="{FF2B5EF4-FFF2-40B4-BE49-F238E27FC236}">
                <a16:creationId xmlns:a16="http://schemas.microsoft.com/office/drawing/2014/main" id="{573880EA-7489-AD4D-D2B0-B59B512F7E74}"/>
              </a:ext>
            </a:extLst>
          </xdr:cNvPr>
          <xdr:cNvCxnSpPr/>
        </xdr:nvCxnSpPr>
        <xdr:spPr>
          <a:xfrm>
            <a:off x="2232660" y="92659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633" name="Gerader Verbinder 3632">
            <a:extLst>
              <a:ext uri="{FF2B5EF4-FFF2-40B4-BE49-F238E27FC236}">
                <a16:creationId xmlns:a16="http://schemas.microsoft.com/office/drawing/2014/main" id="{00A7427A-7905-E851-54EB-D6FEB8E24D5B}"/>
              </a:ext>
            </a:extLst>
          </xdr:cNvPr>
          <xdr:cNvCxnSpPr/>
        </xdr:nvCxnSpPr>
        <xdr:spPr>
          <a:xfrm flipH="1">
            <a:off x="2232660" y="92659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49</xdr:row>
      <xdr:rowOff>0</xdr:rowOff>
    </xdr:from>
    <xdr:to>
      <xdr:col>4</xdr:col>
      <xdr:colOff>0</xdr:colOff>
      <xdr:row>50</xdr:row>
      <xdr:rowOff>0</xdr:rowOff>
    </xdr:to>
    <xdr:grpSp>
      <xdr:nvGrpSpPr>
        <xdr:cNvPr id="3097" name="Cross_D50">
          <a:extLst>
            <a:ext uri="{FF2B5EF4-FFF2-40B4-BE49-F238E27FC236}">
              <a16:creationId xmlns:a16="http://schemas.microsoft.com/office/drawing/2014/main" id="{7856AB74-8871-AB52-FD90-882F1FDEAA2F}"/>
            </a:ext>
          </a:extLst>
        </xdr:cNvPr>
        <xdr:cNvGrpSpPr/>
      </xdr:nvGrpSpPr>
      <xdr:grpSpPr>
        <a:xfrm>
          <a:off x="2232660" y="9494520"/>
          <a:ext cx="594360" cy="167640"/>
          <a:chOff x="2232660" y="9494520"/>
          <a:chExt cx="594360" cy="167640"/>
        </a:xfrm>
      </xdr:grpSpPr>
      <xdr:cxnSp macro="">
        <xdr:nvCxnSpPr>
          <xdr:cNvPr id="3095" name="Gerader Verbinder 3094">
            <a:extLst>
              <a:ext uri="{FF2B5EF4-FFF2-40B4-BE49-F238E27FC236}">
                <a16:creationId xmlns:a16="http://schemas.microsoft.com/office/drawing/2014/main" id="{0D83965A-05F1-9E44-97EF-8B957CB8DFBE}"/>
              </a:ext>
            </a:extLst>
          </xdr:cNvPr>
          <xdr:cNvCxnSpPr/>
        </xdr:nvCxnSpPr>
        <xdr:spPr>
          <a:xfrm>
            <a:off x="2232660" y="94945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096" name="Gerader Verbinder 3095">
            <a:extLst>
              <a:ext uri="{FF2B5EF4-FFF2-40B4-BE49-F238E27FC236}">
                <a16:creationId xmlns:a16="http://schemas.microsoft.com/office/drawing/2014/main" id="{CEB8FC29-7208-F93C-7C61-024186D5BFF8}"/>
              </a:ext>
            </a:extLst>
          </xdr:cNvPr>
          <xdr:cNvCxnSpPr/>
        </xdr:nvCxnSpPr>
        <xdr:spPr>
          <a:xfrm flipH="1">
            <a:off x="2232660" y="94945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50</xdr:row>
      <xdr:rowOff>0</xdr:rowOff>
    </xdr:from>
    <xdr:to>
      <xdr:col>4</xdr:col>
      <xdr:colOff>0</xdr:colOff>
      <xdr:row>51</xdr:row>
      <xdr:rowOff>0</xdr:rowOff>
    </xdr:to>
    <xdr:grpSp>
      <xdr:nvGrpSpPr>
        <xdr:cNvPr id="3100" name="Cross_D51">
          <a:extLst>
            <a:ext uri="{FF2B5EF4-FFF2-40B4-BE49-F238E27FC236}">
              <a16:creationId xmlns:a16="http://schemas.microsoft.com/office/drawing/2014/main" id="{F03E9FA7-2EE5-1A5C-B18C-964EB103D41E}"/>
            </a:ext>
          </a:extLst>
        </xdr:cNvPr>
        <xdr:cNvGrpSpPr/>
      </xdr:nvGrpSpPr>
      <xdr:grpSpPr>
        <a:xfrm>
          <a:off x="2232660" y="9662160"/>
          <a:ext cx="594360" cy="167640"/>
          <a:chOff x="2232660" y="9662160"/>
          <a:chExt cx="594360" cy="167640"/>
        </a:xfrm>
      </xdr:grpSpPr>
      <xdr:cxnSp macro="">
        <xdr:nvCxnSpPr>
          <xdr:cNvPr id="3098" name="Gerader Verbinder 3097">
            <a:extLst>
              <a:ext uri="{FF2B5EF4-FFF2-40B4-BE49-F238E27FC236}">
                <a16:creationId xmlns:a16="http://schemas.microsoft.com/office/drawing/2014/main" id="{4B9D1382-E50D-15F4-294A-49E35907D6DA}"/>
              </a:ext>
            </a:extLst>
          </xdr:cNvPr>
          <xdr:cNvCxnSpPr/>
        </xdr:nvCxnSpPr>
        <xdr:spPr>
          <a:xfrm>
            <a:off x="2232660" y="96621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099" name="Gerader Verbinder 3098">
            <a:extLst>
              <a:ext uri="{FF2B5EF4-FFF2-40B4-BE49-F238E27FC236}">
                <a16:creationId xmlns:a16="http://schemas.microsoft.com/office/drawing/2014/main" id="{B5690896-FAD3-E8D8-C3EB-F896871B2D4A}"/>
              </a:ext>
            </a:extLst>
          </xdr:cNvPr>
          <xdr:cNvCxnSpPr/>
        </xdr:nvCxnSpPr>
        <xdr:spPr>
          <a:xfrm flipH="1">
            <a:off x="2232660" y="96621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51</xdr:row>
      <xdr:rowOff>0</xdr:rowOff>
    </xdr:from>
    <xdr:to>
      <xdr:col>4</xdr:col>
      <xdr:colOff>0</xdr:colOff>
      <xdr:row>52</xdr:row>
      <xdr:rowOff>0</xdr:rowOff>
    </xdr:to>
    <xdr:grpSp>
      <xdr:nvGrpSpPr>
        <xdr:cNvPr id="3103" name="Cross_D52">
          <a:extLst>
            <a:ext uri="{FF2B5EF4-FFF2-40B4-BE49-F238E27FC236}">
              <a16:creationId xmlns:a16="http://schemas.microsoft.com/office/drawing/2014/main" id="{CD813813-C7E8-CDA4-9CD2-F04ED2A181E5}"/>
            </a:ext>
          </a:extLst>
        </xdr:cNvPr>
        <xdr:cNvGrpSpPr/>
      </xdr:nvGrpSpPr>
      <xdr:grpSpPr>
        <a:xfrm>
          <a:off x="2232660" y="9829800"/>
          <a:ext cx="594360" cy="228600"/>
          <a:chOff x="2232660" y="9829800"/>
          <a:chExt cx="594360" cy="228600"/>
        </a:xfrm>
      </xdr:grpSpPr>
      <xdr:cxnSp macro="">
        <xdr:nvCxnSpPr>
          <xdr:cNvPr id="3101" name="Gerader Verbinder 3100">
            <a:extLst>
              <a:ext uri="{FF2B5EF4-FFF2-40B4-BE49-F238E27FC236}">
                <a16:creationId xmlns:a16="http://schemas.microsoft.com/office/drawing/2014/main" id="{E50AD07B-4B65-989E-E77F-2D6B6227B8EC}"/>
              </a:ext>
            </a:extLst>
          </xdr:cNvPr>
          <xdr:cNvCxnSpPr/>
        </xdr:nvCxnSpPr>
        <xdr:spPr>
          <a:xfrm>
            <a:off x="2232660" y="98298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102" name="Gerader Verbinder 3101">
            <a:extLst>
              <a:ext uri="{FF2B5EF4-FFF2-40B4-BE49-F238E27FC236}">
                <a16:creationId xmlns:a16="http://schemas.microsoft.com/office/drawing/2014/main" id="{A20D7AD8-2FE0-B512-3D9D-6B22EE1C3E2D}"/>
              </a:ext>
            </a:extLst>
          </xdr:cNvPr>
          <xdr:cNvCxnSpPr/>
        </xdr:nvCxnSpPr>
        <xdr:spPr>
          <a:xfrm flipH="1">
            <a:off x="2232660" y="98298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52</xdr:row>
      <xdr:rowOff>0</xdr:rowOff>
    </xdr:from>
    <xdr:to>
      <xdr:col>4</xdr:col>
      <xdr:colOff>0</xdr:colOff>
      <xdr:row>53</xdr:row>
      <xdr:rowOff>0</xdr:rowOff>
    </xdr:to>
    <xdr:grpSp>
      <xdr:nvGrpSpPr>
        <xdr:cNvPr id="3106" name="Cross_D53">
          <a:extLst>
            <a:ext uri="{FF2B5EF4-FFF2-40B4-BE49-F238E27FC236}">
              <a16:creationId xmlns:a16="http://schemas.microsoft.com/office/drawing/2014/main" id="{A29BFA88-049E-91B1-62A5-0AA1549A842F}"/>
            </a:ext>
          </a:extLst>
        </xdr:cNvPr>
        <xdr:cNvGrpSpPr/>
      </xdr:nvGrpSpPr>
      <xdr:grpSpPr>
        <a:xfrm>
          <a:off x="2232660" y="10058400"/>
          <a:ext cx="594360" cy="167640"/>
          <a:chOff x="2232660" y="10058400"/>
          <a:chExt cx="594360" cy="167640"/>
        </a:xfrm>
      </xdr:grpSpPr>
      <xdr:cxnSp macro="">
        <xdr:nvCxnSpPr>
          <xdr:cNvPr id="3104" name="Gerader Verbinder 3103">
            <a:extLst>
              <a:ext uri="{FF2B5EF4-FFF2-40B4-BE49-F238E27FC236}">
                <a16:creationId xmlns:a16="http://schemas.microsoft.com/office/drawing/2014/main" id="{BEB6E0B3-F4F2-8C4D-CA4F-EFA454606436}"/>
              </a:ext>
            </a:extLst>
          </xdr:cNvPr>
          <xdr:cNvCxnSpPr/>
        </xdr:nvCxnSpPr>
        <xdr:spPr>
          <a:xfrm>
            <a:off x="2232660" y="100584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105" name="Gerader Verbinder 3104">
            <a:extLst>
              <a:ext uri="{FF2B5EF4-FFF2-40B4-BE49-F238E27FC236}">
                <a16:creationId xmlns:a16="http://schemas.microsoft.com/office/drawing/2014/main" id="{6A1CB270-937B-A4EA-B3EA-86FB894AC8DF}"/>
              </a:ext>
            </a:extLst>
          </xdr:cNvPr>
          <xdr:cNvCxnSpPr/>
        </xdr:nvCxnSpPr>
        <xdr:spPr>
          <a:xfrm flipH="1">
            <a:off x="2232660" y="100584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53</xdr:row>
      <xdr:rowOff>0</xdr:rowOff>
    </xdr:from>
    <xdr:to>
      <xdr:col>4</xdr:col>
      <xdr:colOff>0</xdr:colOff>
      <xdr:row>54</xdr:row>
      <xdr:rowOff>0</xdr:rowOff>
    </xdr:to>
    <xdr:grpSp>
      <xdr:nvGrpSpPr>
        <xdr:cNvPr id="3109" name="Cross_D54">
          <a:extLst>
            <a:ext uri="{FF2B5EF4-FFF2-40B4-BE49-F238E27FC236}">
              <a16:creationId xmlns:a16="http://schemas.microsoft.com/office/drawing/2014/main" id="{5D1A3D37-3E76-E5A9-4F69-899644D8CFAE}"/>
            </a:ext>
          </a:extLst>
        </xdr:cNvPr>
        <xdr:cNvGrpSpPr/>
      </xdr:nvGrpSpPr>
      <xdr:grpSpPr>
        <a:xfrm>
          <a:off x="2232660" y="10226040"/>
          <a:ext cx="594360" cy="167640"/>
          <a:chOff x="2232660" y="10226040"/>
          <a:chExt cx="594360" cy="167640"/>
        </a:xfrm>
      </xdr:grpSpPr>
      <xdr:cxnSp macro="">
        <xdr:nvCxnSpPr>
          <xdr:cNvPr id="3107" name="Gerader Verbinder 3106">
            <a:extLst>
              <a:ext uri="{FF2B5EF4-FFF2-40B4-BE49-F238E27FC236}">
                <a16:creationId xmlns:a16="http://schemas.microsoft.com/office/drawing/2014/main" id="{2C011AED-37E6-55A1-386E-C4D653338C5E}"/>
              </a:ext>
            </a:extLst>
          </xdr:cNvPr>
          <xdr:cNvCxnSpPr/>
        </xdr:nvCxnSpPr>
        <xdr:spPr>
          <a:xfrm>
            <a:off x="2232660" y="102260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108" name="Gerader Verbinder 3107">
            <a:extLst>
              <a:ext uri="{FF2B5EF4-FFF2-40B4-BE49-F238E27FC236}">
                <a16:creationId xmlns:a16="http://schemas.microsoft.com/office/drawing/2014/main" id="{28273923-20F2-5F7A-4599-609F0568EAA2}"/>
              </a:ext>
            </a:extLst>
          </xdr:cNvPr>
          <xdr:cNvCxnSpPr/>
        </xdr:nvCxnSpPr>
        <xdr:spPr>
          <a:xfrm flipH="1">
            <a:off x="2232660" y="102260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57</xdr:row>
      <xdr:rowOff>0</xdr:rowOff>
    </xdr:from>
    <xdr:to>
      <xdr:col>4</xdr:col>
      <xdr:colOff>0</xdr:colOff>
      <xdr:row>58</xdr:row>
      <xdr:rowOff>0</xdr:rowOff>
    </xdr:to>
    <xdr:grpSp>
      <xdr:nvGrpSpPr>
        <xdr:cNvPr id="3112" name="Cross_D58">
          <a:extLst>
            <a:ext uri="{FF2B5EF4-FFF2-40B4-BE49-F238E27FC236}">
              <a16:creationId xmlns:a16="http://schemas.microsoft.com/office/drawing/2014/main" id="{4A707FFD-E6B1-9E3B-951B-F4C7F354743F}"/>
            </a:ext>
          </a:extLst>
        </xdr:cNvPr>
        <xdr:cNvGrpSpPr/>
      </xdr:nvGrpSpPr>
      <xdr:grpSpPr>
        <a:xfrm>
          <a:off x="2232660" y="10957560"/>
          <a:ext cx="594360" cy="228600"/>
          <a:chOff x="2232660" y="10957560"/>
          <a:chExt cx="594360" cy="228600"/>
        </a:xfrm>
      </xdr:grpSpPr>
      <xdr:cxnSp macro="">
        <xdr:nvCxnSpPr>
          <xdr:cNvPr id="3110" name="Gerader Verbinder 3109">
            <a:extLst>
              <a:ext uri="{FF2B5EF4-FFF2-40B4-BE49-F238E27FC236}">
                <a16:creationId xmlns:a16="http://schemas.microsoft.com/office/drawing/2014/main" id="{3AC99CB8-AACD-C8DB-247C-A8C469B2228F}"/>
              </a:ext>
            </a:extLst>
          </xdr:cNvPr>
          <xdr:cNvCxnSpPr/>
        </xdr:nvCxnSpPr>
        <xdr:spPr>
          <a:xfrm>
            <a:off x="2232660" y="109575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111" name="Gerader Verbinder 3110">
            <a:extLst>
              <a:ext uri="{FF2B5EF4-FFF2-40B4-BE49-F238E27FC236}">
                <a16:creationId xmlns:a16="http://schemas.microsoft.com/office/drawing/2014/main" id="{F82A418A-D866-0907-89F3-5DB4298A79EC}"/>
              </a:ext>
            </a:extLst>
          </xdr:cNvPr>
          <xdr:cNvCxnSpPr/>
        </xdr:nvCxnSpPr>
        <xdr:spPr>
          <a:xfrm flipH="1">
            <a:off x="2232660" y="109575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58</xdr:row>
      <xdr:rowOff>0</xdr:rowOff>
    </xdr:from>
    <xdr:to>
      <xdr:col>4</xdr:col>
      <xdr:colOff>0</xdr:colOff>
      <xdr:row>59</xdr:row>
      <xdr:rowOff>0</xdr:rowOff>
    </xdr:to>
    <xdr:grpSp>
      <xdr:nvGrpSpPr>
        <xdr:cNvPr id="3115" name="Cross_D59">
          <a:extLst>
            <a:ext uri="{FF2B5EF4-FFF2-40B4-BE49-F238E27FC236}">
              <a16:creationId xmlns:a16="http://schemas.microsoft.com/office/drawing/2014/main" id="{5B0F6F7C-135C-F132-E6B8-DE30D4934852}"/>
            </a:ext>
          </a:extLst>
        </xdr:cNvPr>
        <xdr:cNvGrpSpPr/>
      </xdr:nvGrpSpPr>
      <xdr:grpSpPr>
        <a:xfrm>
          <a:off x="2232660" y="11186160"/>
          <a:ext cx="594360" cy="167640"/>
          <a:chOff x="2232660" y="11186160"/>
          <a:chExt cx="594360" cy="167640"/>
        </a:xfrm>
      </xdr:grpSpPr>
      <xdr:cxnSp macro="">
        <xdr:nvCxnSpPr>
          <xdr:cNvPr id="3113" name="Gerader Verbinder 3112">
            <a:extLst>
              <a:ext uri="{FF2B5EF4-FFF2-40B4-BE49-F238E27FC236}">
                <a16:creationId xmlns:a16="http://schemas.microsoft.com/office/drawing/2014/main" id="{71A1F5A0-61BA-AB1A-C49B-7F105EE36871}"/>
              </a:ext>
            </a:extLst>
          </xdr:cNvPr>
          <xdr:cNvCxnSpPr/>
        </xdr:nvCxnSpPr>
        <xdr:spPr>
          <a:xfrm>
            <a:off x="2232660" y="111861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114" name="Gerader Verbinder 3113">
            <a:extLst>
              <a:ext uri="{FF2B5EF4-FFF2-40B4-BE49-F238E27FC236}">
                <a16:creationId xmlns:a16="http://schemas.microsoft.com/office/drawing/2014/main" id="{6B33FBB7-B230-81B3-62CB-50E0C2B84234}"/>
              </a:ext>
            </a:extLst>
          </xdr:cNvPr>
          <xdr:cNvCxnSpPr/>
        </xdr:nvCxnSpPr>
        <xdr:spPr>
          <a:xfrm flipH="1">
            <a:off x="2232660" y="111861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59</xdr:row>
      <xdr:rowOff>0</xdr:rowOff>
    </xdr:from>
    <xdr:to>
      <xdr:col>4</xdr:col>
      <xdr:colOff>0</xdr:colOff>
      <xdr:row>60</xdr:row>
      <xdr:rowOff>0</xdr:rowOff>
    </xdr:to>
    <xdr:grpSp>
      <xdr:nvGrpSpPr>
        <xdr:cNvPr id="3118" name="Cross_D60">
          <a:extLst>
            <a:ext uri="{FF2B5EF4-FFF2-40B4-BE49-F238E27FC236}">
              <a16:creationId xmlns:a16="http://schemas.microsoft.com/office/drawing/2014/main" id="{C162A594-A231-5F4F-6A40-7A59D3E2E47A}"/>
            </a:ext>
          </a:extLst>
        </xdr:cNvPr>
        <xdr:cNvGrpSpPr/>
      </xdr:nvGrpSpPr>
      <xdr:grpSpPr>
        <a:xfrm>
          <a:off x="2232660" y="11353800"/>
          <a:ext cx="594360" cy="167640"/>
          <a:chOff x="2232660" y="11353800"/>
          <a:chExt cx="594360" cy="167640"/>
        </a:xfrm>
      </xdr:grpSpPr>
      <xdr:cxnSp macro="">
        <xdr:nvCxnSpPr>
          <xdr:cNvPr id="3116" name="Gerader Verbinder 3115">
            <a:extLst>
              <a:ext uri="{FF2B5EF4-FFF2-40B4-BE49-F238E27FC236}">
                <a16:creationId xmlns:a16="http://schemas.microsoft.com/office/drawing/2014/main" id="{E8CA7B42-3082-EED3-29F1-7D21AD4D6B77}"/>
              </a:ext>
            </a:extLst>
          </xdr:cNvPr>
          <xdr:cNvCxnSpPr/>
        </xdr:nvCxnSpPr>
        <xdr:spPr>
          <a:xfrm>
            <a:off x="2232660" y="113538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117" name="Gerader Verbinder 3116">
            <a:extLst>
              <a:ext uri="{FF2B5EF4-FFF2-40B4-BE49-F238E27FC236}">
                <a16:creationId xmlns:a16="http://schemas.microsoft.com/office/drawing/2014/main" id="{0BD8D680-BA70-CDB7-8C8C-CBE02608AFD6}"/>
              </a:ext>
            </a:extLst>
          </xdr:cNvPr>
          <xdr:cNvCxnSpPr/>
        </xdr:nvCxnSpPr>
        <xdr:spPr>
          <a:xfrm flipH="1">
            <a:off x="2232660" y="113538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60</xdr:row>
      <xdr:rowOff>0</xdr:rowOff>
    </xdr:from>
    <xdr:to>
      <xdr:col>4</xdr:col>
      <xdr:colOff>0</xdr:colOff>
      <xdr:row>61</xdr:row>
      <xdr:rowOff>0</xdr:rowOff>
    </xdr:to>
    <xdr:grpSp>
      <xdr:nvGrpSpPr>
        <xdr:cNvPr id="3121" name="Cross_D61">
          <a:extLst>
            <a:ext uri="{FF2B5EF4-FFF2-40B4-BE49-F238E27FC236}">
              <a16:creationId xmlns:a16="http://schemas.microsoft.com/office/drawing/2014/main" id="{8C5FAAED-C14A-FCE6-75BA-671451688689}"/>
            </a:ext>
          </a:extLst>
        </xdr:cNvPr>
        <xdr:cNvGrpSpPr/>
      </xdr:nvGrpSpPr>
      <xdr:grpSpPr>
        <a:xfrm>
          <a:off x="2232660" y="11521440"/>
          <a:ext cx="594360" cy="228600"/>
          <a:chOff x="2232660" y="11521440"/>
          <a:chExt cx="594360" cy="228600"/>
        </a:xfrm>
      </xdr:grpSpPr>
      <xdr:cxnSp macro="">
        <xdr:nvCxnSpPr>
          <xdr:cNvPr id="3119" name="Gerader Verbinder 3118">
            <a:extLst>
              <a:ext uri="{FF2B5EF4-FFF2-40B4-BE49-F238E27FC236}">
                <a16:creationId xmlns:a16="http://schemas.microsoft.com/office/drawing/2014/main" id="{2F98F710-32A4-257A-5A28-93F366625439}"/>
              </a:ext>
            </a:extLst>
          </xdr:cNvPr>
          <xdr:cNvCxnSpPr/>
        </xdr:nvCxnSpPr>
        <xdr:spPr>
          <a:xfrm>
            <a:off x="2232660" y="115214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120" name="Gerader Verbinder 3119">
            <a:extLst>
              <a:ext uri="{FF2B5EF4-FFF2-40B4-BE49-F238E27FC236}">
                <a16:creationId xmlns:a16="http://schemas.microsoft.com/office/drawing/2014/main" id="{2332C5BE-0111-F6D6-4781-B7A13CA98BAF}"/>
              </a:ext>
            </a:extLst>
          </xdr:cNvPr>
          <xdr:cNvCxnSpPr/>
        </xdr:nvCxnSpPr>
        <xdr:spPr>
          <a:xfrm flipH="1">
            <a:off x="2232660" y="115214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61</xdr:row>
      <xdr:rowOff>0</xdr:rowOff>
    </xdr:from>
    <xdr:to>
      <xdr:col>4</xdr:col>
      <xdr:colOff>0</xdr:colOff>
      <xdr:row>62</xdr:row>
      <xdr:rowOff>0</xdr:rowOff>
    </xdr:to>
    <xdr:grpSp>
      <xdr:nvGrpSpPr>
        <xdr:cNvPr id="3124" name="Cross_D62">
          <a:extLst>
            <a:ext uri="{FF2B5EF4-FFF2-40B4-BE49-F238E27FC236}">
              <a16:creationId xmlns:a16="http://schemas.microsoft.com/office/drawing/2014/main" id="{2D5E40CA-65D0-D5E3-FE5C-8810CC9957D2}"/>
            </a:ext>
          </a:extLst>
        </xdr:cNvPr>
        <xdr:cNvGrpSpPr/>
      </xdr:nvGrpSpPr>
      <xdr:grpSpPr>
        <a:xfrm>
          <a:off x="2232660" y="11750040"/>
          <a:ext cx="594360" cy="167640"/>
          <a:chOff x="2232660" y="11750040"/>
          <a:chExt cx="594360" cy="167640"/>
        </a:xfrm>
      </xdr:grpSpPr>
      <xdr:cxnSp macro="">
        <xdr:nvCxnSpPr>
          <xdr:cNvPr id="3122" name="Gerader Verbinder 3121">
            <a:extLst>
              <a:ext uri="{FF2B5EF4-FFF2-40B4-BE49-F238E27FC236}">
                <a16:creationId xmlns:a16="http://schemas.microsoft.com/office/drawing/2014/main" id="{E5588105-8C03-78D1-2BD6-2886E2190C2F}"/>
              </a:ext>
            </a:extLst>
          </xdr:cNvPr>
          <xdr:cNvCxnSpPr/>
        </xdr:nvCxnSpPr>
        <xdr:spPr>
          <a:xfrm>
            <a:off x="2232660" y="117500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123" name="Gerader Verbinder 3122">
            <a:extLst>
              <a:ext uri="{FF2B5EF4-FFF2-40B4-BE49-F238E27FC236}">
                <a16:creationId xmlns:a16="http://schemas.microsoft.com/office/drawing/2014/main" id="{CAC0D5E9-B783-0DE7-EA1E-24B2EDBB45C4}"/>
              </a:ext>
            </a:extLst>
          </xdr:cNvPr>
          <xdr:cNvCxnSpPr/>
        </xdr:nvCxnSpPr>
        <xdr:spPr>
          <a:xfrm flipH="1">
            <a:off x="2232660" y="117500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62</xdr:row>
      <xdr:rowOff>0</xdr:rowOff>
    </xdr:from>
    <xdr:to>
      <xdr:col>4</xdr:col>
      <xdr:colOff>0</xdr:colOff>
      <xdr:row>63</xdr:row>
      <xdr:rowOff>0</xdr:rowOff>
    </xdr:to>
    <xdr:grpSp>
      <xdr:nvGrpSpPr>
        <xdr:cNvPr id="3127" name="Cross_D63">
          <a:extLst>
            <a:ext uri="{FF2B5EF4-FFF2-40B4-BE49-F238E27FC236}">
              <a16:creationId xmlns:a16="http://schemas.microsoft.com/office/drawing/2014/main" id="{0E5D1187-B13B-C453-C31F-6A5314F0E87A}"/>
            </a:ext>
          </a:extLst>
        </xdr:cNvPr>
        <xdr:cNvGrpSpPr/>
      </xdr:nvGrpSpPr>
      <xdr:grpSpPr>
        <a:xfrm>
          <a:off x="2232660" y="11917680"/>
          <a:ext cx="594360" cy="167640"/>
          <a:chOff x="2232660" y="11917680"/>
          <a:chExt cx="594360" cy="167640"/>
        </a:xfrm>
      </xdr:grpSpPr>
      <xdr:cxnSp macro="">
        <xdr:nvCxnSpPr>
          <xdr:cNvPr id="3125" name="Gerader Verbinder 3124">
            <a:extLst>
              <a:ext uri="{FF2B5EF4-FFF2-40B4-BE49-F238E27FC236}">
                <a16:creationId xmlns:a16="http://schemas.microsoft.com/office/drawing/2014/main" id="{AE1A046C-B09A-7FDF-772E-6361CD8D3FDE}"/>
              </a:ext>
            </a:extLst>
          </xdr:cNvPr>
          <xdr:cNvCxnSpPr/>
        </xdr:nvCxnSpPr>
        <xdr:spPr>
          <a:xfrm>
            <a:off x="2232660" y="11917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126" name="Gerader Verbinder 3125">
            <a:extLst>
              <a:ext uri="{FF2B5EF4-FFF2-40B4-BE49-F238E27FC236}">
                <a16:creationId xmlns:a16="http://schemas.microsoft.com/office/drawing/2014/main" id="{B69D0DAA-2C91-966A-740B-512448798DC0}"/>
              </a:ext>
            </a:extLst>
          </xdr:cNvPr>
          <xdr:cNvCxnSpPr/>
        </xdr:nvCxnSpPr>
        <xdr:spPr>
          <a:xfrm flipH="1">
            <a:off x="2232660" y="11917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9</xdr:row>
      <xdr:rowOff>0</xdr:rowOff>
    </xdr:from>
    <xdr:to>
      <xdr:col>5</xdr:col>
      <xdr:colOff>0</xdr:colOff>
      <xdr:row>10</xdr:row>
      <xdr:rowOff>0</xdr:rowOff>
    </xdr:to>
    <xdr:grpSp>
      <xdr:nvGrpSpPr>
        <xdr:cNvPr id="3130" name="Cross_E10">
          <a:extLst>
            <a:ext uri="{FF2B5EF4-FFF2-40B4-BE49-F238E27FC236}">
              <a16:creationId xmlns:a16="http://schemas.microsoft.com/office/drawing/2014/main" id="{860B34DE-1601-FC73-34F7-9C5EC1A75532}"/>
            </a:ext>
          </a:extLst>
        </xdr:cNvPr>
        <xdr:cNvGrpSpPr/>
      </xdr:nvGrpSpPr>
      <xdr:grpSpPr>
        <a:xfrm>
          <a:off x="2827020" y="1935480"/>
          <a:ext cx="594360" cy="228600"/>
          <a:chOff x="2827020" y="1935480"/>
          <a:chExt cx="594360" cy="228600"/>
        </a:xfrm>
      </xdr:grpSpPr>
      <xdr:cxnSp macro="">
        <xdr:nvCxnSpPr>
          <xdr:cNvPr id="3128" name="Gerader Verbinder 3127">
            <a:extLst>
              <a:ext uri="{FF2B5EF4-FFF2-40B4-BE49-F238E27FC236}">
                <a16:creationId xmlns:a16="http://schemas.microsoft.com/office/drawing/2014/main" id="{EE56BCF1-BA01-A665-5E27-B0C21EEDF879}"/>
              </a:ext>
            </a:extLst>
          </xdr:cNvPr>
          <xdr:cNvCxnSpPr/>
        </xdr:nvCxnSpPr>
        <xdr:spPr>
          <a:xfrm>
            <a:off x="2827020" y="19354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129" name="Gerader Verbinder 3128">
            <a:extLst>
              <a:ext uri="{FF2B5EF4-FFF2-40B4-BE49-F238E27FC236}">
                <a16:creationId xmlns:a16="http://schemas.microsoft.com/office/drawing/2014/main" id="{0D7D4EB3-4A01-0020-B659-90D7BFAAE251}"/>
              </a:ext>
            </a:extLst>
          </xdr:cNvPr>
          <xdr:cNvCxnSpPr/>
        </xdr:nvCxnSpPr>
        <xdr:spPr>
          <a:xfrm flipH="1">
            <a:off x="2827020" y="19354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10</xdr:row>
      <xdr:rowOff>0</xdr:rowOff>
    </xdr:from>
    <xdr:to>
      <xdr:col>5</xdr:col>
      <xdr:colOff>0</xdr:colOff>
      <xdr:row>11</xdr:row>
      <xdr:rowOff>0</xdr:rowOff>
    </xdr:to>
    <xdr:grpSp>
      <xdr:nvGrpSpPr>
        <xdr:cNvPr id="3133" name="Cross_E11">
          <a:extLst>
            <a:ext uri="{FF2B5EF4-FFF2-40B4-BE49-F238E27FC236}">
              <a16:creationId xmlns:a16="http://schemas.microsoft.com/office/drawing/2014/main" id="{D6D86F6C-09C2-809A-4AFE-49B7D9826CD1}"/>
            </a:ext>
          </a:extLst>
        </xdr:cNvPr>
        <xdr:cNvGrpSpPr/>
      </xdr:nvGrpSpPr>
      <xdr:grpSpPr>
        <a:xfrm>
          <a:off x="2827020" y="2164080"/>
          <a:ext cx="594360" cy="167640"/>
          <a:chOff x="2827020" y="2164080"/>
          <a:chExt cx="594360" cy="167640"/>
        </a:xfrm>
      </xdr:grpSpPr>
      <xdr:cxnSp macro="">
        <xdr:nvCxnSpPr>
          <xdr:cNvPr id="3131" name="Gerader Verbinder 3130">
            <a:extLst>
              <a:ext uri="{FF2B5EF4-FFF2-40B4-BE49-F238E27FC236}">
                <a16:creationId xmlns:a16="http://schemas.microsoft.com/office/drawing/2014/main" id="{0AC58F83-8B90-2057-6328-004A6F27172E}"/>
              </a:ext>
            </a:extLst>
          </xdr:cNvPr>
          <xdr:cNvCxnSpPr/>
        </xdr:nvCxnSpPr>
        <xdr:spPr>
          <a:xfrm>
            <a:off x="2827020" y="21640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132" name="Gerader Verbinder 3131">
            <a:extLst>
              <a:ext uri="{FF2B5EF4-FFF2-40B4-BE49-F238E27FC236}">
                <a16:creationId xmlns:a16="http://schemas.microsoft.com/office/drawing/2014/main" id="{A8F64C5F-FF45-FF37-2592-E011AFE4CAF2}"/>
              </a:ext>
            </a:extLst>
          </xdr:cNvPr>
          <xdr:cNvCxnSpPr/>
        </xdr:nvCxnSpPr>
        <xdr:spPr>
          <a:xfrm flipH="1">
            <a:off x="2827020" y="21640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11</xdr:row>
      <xdr:rowOff>0</xdr:rowOff>
    </xdr:from>
    <xdr:to>
      <xdr:col>5</xdr:col>
      <xdr:colOff>0</xdr:colOff>
      <xdr:row>12</xdr:row>
      <xdr:rowOff>0</xdr:rowOff>
    </xdr:to>
    <xdr:grpSp>
      <xdr:nvGrpSpPr>
        <xdr:cNvPr id="4096" name="Cross_E12">
          <a:extLst>
            <a:ext uri="{FF2B5EF4-FFF2-40B4-BE49-F238E27FC236}">
              <a16:creationId xmlns:a16="http://schemas.microsoft.com/office/drawing/2014/main" id="{C6A017F9-5FFB-11B1-127A-69EDC7E2BBB3}"/>
            </a:ext>
          </a:extLst>
        </xdr:cNvPr>
        <xdr:cNvGrpSpPr/>
      </xdr:nvGrpSpPr>
      <xdr:grpSpPr>
        <a:xfrm>
          <a:off x="2827020" y="2331720"/>
          <a:ext cx="594360" cy="167640"/>
          <a:chOff x="2827020" y="2331720"/>
          <a:chExt cx="594360" cy="167640"/>
        </a:xfrm>
      </xdr:grpSpPr>
      <xdr:cxnSp macro="">
        <xdr:nvCxnSpPr>
          <xdr:cNvPr id="3134" name="Gerader Verbinder 3133">
            <a:extLst>
              <a:ext uri="{FF2B5EF4-FFF2-40B4-BE49-F238E27FC236}">
                <a16:creationId xmlns:a16="http://schemas.microsoft.com/office/drawing/2014/main" id="{6A2C46DD-9603-0B57-6080-008D47CCF200}"/>
              </a:ext>
            </a:extLst>
          </xdr:cNvPr>
          <xdr:cNvCxnSpPr/>
        </xdr:nvCxnSpPr>
        <xdr:spPr>
          <a:xfrm>
            <a:off x="2827020" y="2331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135" name="Gerader Verbinder 3134">
            <a:extLst>
              <a:ext uri="{FF2B5EF4-FFF2-40B4-BE49-F238E27FC236}">
                <a16:creationId xmlns:a16="http://schemas.microsoft.com/office/drawing/2014/main" id="{195E972F-6A94-19D5-02A0-F2C416C6402A}"/>
              </a:ext>
            </a:extLst>
          </xdr:cNvPr>
          <xdr:cNvCxnSpPr/>
        </xdr:nvCxnSpPr>
        <xdr:spPr>
          <a:xfrm flipH="1">
            <a:off x="2827020" y="2331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12</xdr:row>
      <xdr:rowOff>0</xdr:rowOff>
    </xdr:from>
    <xdr:to>
      <xdr:col>5</xdr:col>
      <xdr:colOff>0</xdr:colOff>
      <xdr:row>13</xdr:row>
      <xdr:rowOff>0</xdr:rowOff>
    </xdr:to>
    <xdr:grpSp>
      <xdr:nvGrpSpPr>
        <xdr:cNvPr id="4099" name="Cross_E13">
          <a:extLst>
            <a:ext uri="{FF2B5EF4-FFF2-40B4-BE49-F238E27FC236}">
              <a16:creationId xmlns:a16="http://schemas.microsoft.com/office/drawing/2014/main" id="{2CFF6C73-619B-749E-9D9C-B1A681C23E58}"/>
            </a:ext>
          </a:extLst>
        </xdr:cNvPr>
        <xdr:cNvGrpSpPr/>
      </xdr:nvGrpSpPr>
      <xdr:grpSpPr>
        <a:xfrm>
          <a:off x="2827020" y="2499360"/>
          <a:ext cx="594360" cy="228600"/>
          <a:chOff x="2827020" y="2499360"/>
          <a:chExt cx="594360" cy="228600"/>
        </a:xfrm>
      </xdr:grpSpPr>
      <xdr:cxnSp macro="">
        <xdr:nvCxnSpPr>
          <xdr:cNvPr id="4097" name="Gerader Verbinder 4096">
            <a:extLst>
              <a:ext uri="{FF2B5EF4-FFF2-40B4-BE49-F238E27FC236}">
                <a16:creationId xmlns:a16="http://schemas.microsoft.com/office/drawing/2014/main" id="{D42E413F-D9A8-3D99-F94C-79E2648A978F}"/>
              </a:ext>
            </a:extLst>
          </xdr:cNvPr>
          <xdr:cNvCxnSpPr/>
        </xdr:nvCxnSpPr>
        <xdr:spPr>
          <a:xfrm>
            <a:off x="2827020" y="24993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098" name="Gerader Verbinder 4097">
            <a:extLst>
              <a:ext uri="{FF2B5EF4-FFF2-40B4-BE49-F238E27FC236}">
                <a16:creationId xmlns:a16="http://schemas.microsoft.com/office/drawing/2014/main" id="{8D1C6434-3F1A-5B26-F46C-A42C97F34758}"/>
              </a:ext>
            </a:extLst>
          </xdr:cNvPr>
          <xdr:cNvCxnSpPr/>
        </xdr:nvCxnSpPr>
        <xdr:spPr>
          <a:xfrm flipH="1">
            <a:off x="2827020" y="24993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13</xdr:row>
      <xdr:rowOff>0</xdr:rowOff>
    </xdr:from>
    <xdr:to>
      <xdr:col>5</xdr:col>
      <xdr:colOff>0</xdr:colOff>
      <xdr:row>14</xdr:row>
      <xdr:rowOff>0</xdr:rowOff>
    </xdr:to>
    <xdr:grpSp>
      <xdr:nvGrpSpPr>
        <xdr:cNvPr id="4102" name="Cross_E14">
          <a:extLst>
            <a:ext uri="{FF2B5EF4-FFF2-40B4-BE49-F238E27FC236}">
              <a16:creationId xmlns:a16="http://schemas.microsoft.com/office/drawing/2014/main" id="{52134908-E54D-1B6D-FB98-2F0675E07586}"/>
            </a:ext>
          </a:extLst>
        </xdr:cNvPr>
        <xdr:cNvGrpSpPr/>
      </xdr:nvGrpSpPr>
      <xdr:grpSpPr>
        <a:xfrm>
          <a:off x="2827020" y="2727960"/>
          <a:ext cx="594360" cy="167640"/>
          <a:chOff x="2827020" y="2727960"/>
          <a:chExt cx="594360" cy="167640"/>
        </a:xfrm>
      </xdr:grpSpPr>
      <xdr:cxnSp macro="">
        <xdr:nvCxnSpPr>
          <xdr:cNvPr id="4100" name="Gerader Verbinder 4099">
            <a:extLst>
              <a:ext uri="{FF2B5EF4-FFF2-40B4-BE49-F238E27FC236}">
                <a16:creationId xmlns:a16="http://schemas.microsoft.com/office/drawing/2014/main" id="{F212B9BD-72C1-7748-006D-2D25F5D6D492}"/>
              </a:ext>
            </a:extLst>
          </xdr:cNvPr>
          <xdr:cNvCxnSpPr/>
        </xdr:nvCxnSpPr>
        <xdr:spPr>
          <a:xfrm>
            <a:off x="2827020" y="27279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01" name="Gerader Verbinder 4100">
            <a:extLst>
              <a:ext uri="{FF2B5EF4-FFF2-40B4-BE49-F238E27FC236}">
                <a16:creationId xmlns:a16="http://schemas.microsoft.com/office/drawing/2014/main" id="{7E08306A-282E-D5B6-6B54-6A291BF04087}"/>
              </a:ext>
            </a:extLst>
          </xdr:cNvPr>
          <xdr:cNvCxnSpPr/>
        </xdr:nvCxnSpPr>
        <xdr:spPr>
          <a:xfrm flipH="1">
            <a:off x="2827020" y="27279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14</xdr:row>
      <xdr:rowOff>0</xdr:rowOff>
    </xdr:from>
    <xdr:to>
      <xdr:col>5</xdr:col>
      <xdr:colOff>0</xdr:colOff>
      <xdr:row>15</xdr:row>
      <xdr:rowOff>0</xdr:rowOff>
    </xdr:to>
    <xdr:grpSp>
      <xdr:nvGrpSpPr>
        <xdr:cNvPr id="4105" name="Cross_E15">
          <a:extLst>
            <a:ext uri="{FF2B5EF4-FFF2-40B4-BE49-F238E27FC236}">
              <a16:creationId xmlns:a16="http://schemas.microsoft.com/office/drawing/2014/main" id="{BB5B6AAE-7CD9-5E62-8B44-6308AD60839D}"/>
            </a:ext>
          </a:extLst>
        </xdr:cNvPr>
        <xdr:cNvGrpSpPr/>
      </xdr:nvGrpSpPr>
      <xdr:grpSpPr>
        <a:xfrm>
          <a:off x="2827020" y="2895600"/>
          <a:ext cx="594360" cy="167640"/>
          <a:chOff x="2827020" y="2895600"/>
          <a:chExt cx="594360" cy="167640"/>
        </a:xfrm>
      </xdr:grpSpPr>
      <xdr:cxnSp macro="">
        <xdr:nvCxnSpPr>
          <xdr:cNvPr id="4103" name="Gerader Verbinder 4102">
            <a:extLst>
              <a:ext uri="{FF2B5EF4-FFF2-40B4-BE49-F238E27FC236}">
                <a16:creationId xmlns:a16="http://schemas.microsoft.com/office/drawing/2014/main" id="{6EEEC785-9023-F262-B530-64FA70726CB8}"/>
              </a:ext>
            </a:extLst>
          </xdr:cNvPr>
          <xdr:cNvCxnSpPr/>
        </xdr:nvCxnSpPr>
        <xdr:spPr>
          <a:xfrm>
            <a:off x="2827020" y="28956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04" name="Gerader Verbinder 4103">
            <a:extLst>
              <a:ext uri="{FF2B5EF4-FFF2-40B4-BE49-F238E27FC236}">
                <a16:creationId xmlns:a16="http://schemas.microsoft.com/office/drawing/2014/main" id="{9A177E75-7E90-2B1F-4BCF-A78BE39E92D3}"/>
              </a:ext>
            </a:extLst>
          </xdr:cNvPr>
          <xdr:cNvCxnSpPr/>
        </xdr:nvCxnSpPr>
        <xdr:spPr>
          <a:xfrm flipH="1">
            <a:off x="2827020" y="28956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18</xdr:row>
      <xdr:rowOff>0</xdr:rowOff>
    </xdr:from>
    <xdr:to>
      <xdr:col>5</xdr:col>
      <xdr:colOff>0</xdr:colOff>
      <xdr:row>19</xdr:row>
      <xdr:rowOff>0</xdr:rowOff>
    </xdr:to>
    <xdr:grpSp>
      <xdr:nvGrpSpPr>
        <xdr:cNvPr id="4108" name="Cross_E19">
          <a:extLst>
            <a:ext uri="{FF2B5EF4-FFF2-40B4-BE49-F238E27FC236}">
              <a16:creationId xmlns:a16="http://schemas.microsoft.com/office/drawing/2014/main" id="{B758FF61-046D-EEB2-FE28-4741C8B014F0}"/>
            </a:ext>
          </a:extLst>
        </xdr:cNvPr>
        <xdr:cNvGrpSpPr/>
      </xdr:nvGrpSpPr>
      <xdr:grpSpPr>
        <a:xfrm>
          <a:off x="2827020" y="3627120"/>
          <a:ext cx="594360" cy="228600"/>
          <a:chOff x="2827020" y="3627120"/>
          <a:chExt cx="594360" cy="228600"/>
        </a:xfrm>
      </xdr:grpSpPr>
      <xdr:cxnSp macro="">
        <xdr:nvCxnSpPr>
          <xdr:cNvPr id="4106" name="Gerader Verbinder 4105">
            <a:extLst>
              <a:ext uri="{FF2B5EF4-FFF2-40B4-BE49-F238E27FC236}">
                <a16:creationId xmlns:a16="http://schemas.microsoft.com/office/drawing/2014/main" id="{EC92551F-10C4-439A-EDE3-9B9EDC897CB3}"/>
              </a:ext>
            </a:extLst>
          </xdr:cNvPr>
          <xdr:cNvCxnSpPr/>
        </xdr:nvCxnSpPr>
        <xdr:spPr>
          <a:xfrm>
            <a:off x="2827020" y="36271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07" name="Gerader Verbinder 4106">
            <a:extLst>
              <a:ext uri="{FF2B5EF4-FFF2-40B4-BE49-F238E27FC236}">
                <a16:creationId xmlns:a16="http://schemas.microsoft.com/office/drawing/2014/main" id="{9DE9E3C8-D99E-B2A9-1E23-70D64ED404BF}"/>
              </a:ext>
            </a:extLst>
          </xdr:cNvPr>
          <xdr:cNvCxnSpPr/>
        </xdr:nvCxnSpPr>
        <xdr:spPr>
          <a:xfrm flipH="1">
            <a:off x="2827020" y="36271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19</xdr:row>
      <xdr:rowOff>0</xdr:rowOff>
    </xdr:from>
    <xdr:to>
      <xdr:col>5</xdr:col>
      <xdr:colOff>0</xdr:colOff>
      <xdr:row>20</xdr:row>
      <xdr:rowOff>0</xdr:rowOff>
    </xdr:to>
    <xdr:grpSp>
      <xdr:nvGrpSpPr>
        <xdr:cNvPr id="4111" name="Cross_E20">
          <a:extLst>
            <a:ext uri="{FF2B5EF4-FFF2-40B4-BE49-F238E27FC236}">
              <a16:creationId xmlns:a16="http://schemas.microsoft.com/office/drawing/2014/main" id="{264457B6-F4D3-1CD4-4552-17C1AA586EE4}"/>
            </a:ext>
          </a:extLst>
        </xdr:cNvPr>
        <xdr:cNvGrpSpPr/>
      </xdr:nvGrpSpPr>
      <xdr:grpSpPr>
        <a:xfrm>
          <a:off x="2827020" y="3855720"/>
          <a:ext cx="594360" cy="167640"/>
          <a:chOff x="2827020" y="3855720"/>
          <a:chExt cx="594360" cy="167640"/>
        </a:xfrm>
      </xdr:grpSpPr>
      <xdr:cxnSp macro="">
        <xdr:nvCxnSpPr>
          <xdr:cNvPr id="4109" name="Gerader Verbinder 4108">
            <a:extLst>
              <a:ext uri="{FF2B5EF4-FFF2-40B4-BE49-F238E27FC236}">
                <a16:creationId xmlns:a16="http://schemas.microsoft.com/office/drawing/2014/main" id="{3FFCA110-B578-B57D-0622-5B28F684320A}"/>
              </a:ext>
            </a:extLst>
          </xdr:cNvPr>
          <xdr:cNvCxnSpPr/>
        </xdr:nvCxnSpPr>
        <xdr:spPr>
          <a:xfrm>
            <a:off x="2827020" y="3855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10" name="Gerader Verbinder 4109">
            <a:extLst>
              <a:ext uri="{FF2B5EF4-FFF2-40B4-BE49-F238E27FC236}">
                <a16:creationId xmlns:a16="http://schemas.microsoft.com/office/drawing/2014/main" id="{CEBB2D9F-B77D-28A4-2EED-50C2C0E1C15C}"/>
              </a:ext>
            </a:extLst>
          </xdr:cNvPr>
          <xdr:cNvCxnSpPr/>
        </xdr:nvCxnSpPr>
        <xdr:spPr>
          <a:xfrm flipH="1">
            <a:off x="2827020" y="3855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20</xdr:row>
      <xdr:rowOff>0</xdr:rowOff>
    </xdr:from>
    <xdr:to>
      <xdr:col>5</xdr:col>
      <xdr:colOff>0</xdr:colOff>
      <xdr:row>21</xdr:row>
      <xdr:rowOff>0</xdr:rowOff>
    </xdr:to>
    <xdr:grpSp>
      <xdr:nvGrpSpPr>
        <xdr:cNvPr id="4114" name="Cross_E21">
          <a:extLst>
            <a:ext uri="{FF2B5EF4-FFF2-40B4-BE49-F238E27FC236}">
              <a16:creationId xmlns:a16="http://schemas.microsoft.com/office/drawing/2014/main" id="{43FFFCE7-1A92-CE81-397F-1637D3F3779C}"/>
            </a:ext>
          </a:extLst>
        </xdr:cNvPr>
        <xdr:cNvGrpSpPr/>
      </xdr:nvGrpSpPr>
      <xdr:grpSpPr>
        <a:xfrm>
          <a:off x="2827020" y="4023360"/>
          <a:ext cx="594360" cy="167640"/>
          <a:chOff x="2827020" y="4023360"/>
          <a:chExt cx="594360" cy="167640"/>
        </a:xfrm>
      </xdr:grpSpPr>
      <xdr:cxnSp macro="">
        <xdr:nvCxnSpPr>
          <xdr:cNvPr id="4112" name="Gerader Verbinder 4111">
            <a:extLst>
              <a:ext uri="{FF2B5EF4-FFF2-40B4-BE49-F238E27FC236}">
                <a16:creationId xmlns:a16="http://schemas.microsoft.com/office/drawing/2014/main" id="{B2ADE196-3CE9-C843-1FEF-B410E6F59132}"/>
              </a:ext>
            </a:extLst>
          </xdr:cNvPr>
          <xdr:cNvCxnSpPr/>
        </xdr:nvCxnSpPr>
        <xdr:spPr>
          <a:xfrm>
            <a:off x="2827020" y="4023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13" name="Gerader Verbinder 4112">
            <a:extLst>
              <a:ext uri="{FF2B5EF4-FFF2-40B4-BE49-F238E27FC236}">
                <a16:creationId xmlns:a16="http://schemas.microsoft.com/office/drawing/2014/main" id="{6EC638E8-615F-C02E-12AE-1E86DC868017}"/>
              </a:ext>
            </a:extLst>
          </xdr:cNvPr>
          <xdr:cNvCxnSpPr/>
        </xdr:nvCxnSpPr>
        <xdr:spPr>
          <a:xfrm flipH="1">
            <a:off x="2827020" y="4023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27</xdr:row>
      <xdr:rowOff>0</xdr:rowOff>
    </xdr:from>
    <xdr:to>
      <xdr:col>5</xdr:col>
      <xdr:colOff>0</xdr:colOff>
      <xdr:row>28</xdr:row>
      <xdr:rowOff>0</xdr:rowOff>
    </xdr:to>
    <xdr:grpSp>
      <xdr:nvGrpSpPr>
        <xdr:cNvPr id="4117" name="Cross_E28">
          <a:extLst>
            <a:ext uri="{FF2B5EF4-FFF2-40B4-BE49-F238E27FC236}">
              <a16:creationId xmlns:a16="http://schemas.microsoft.com/office/drawing/2014/main" id="{026F3656-ED4F-2FFE-E4ED-9FC630D4596C}"/>
            </a:ext>
          </a:extLst>
        </xdr:cNvPr>
        <xdr:cNvGrpSpPr/>
      </xdr:nvGrpSpPr>
      <xdr:grpSpPr>
        <a:xfrm>
          <a:off x="2827020" y="5318760"/>
          <a:ext cx="594360" cy="228600"/>
          <a:chOff x="2827020" y="5318760"/>
          <a:chExt cx="594360" cy="228600"/>
        </a:xfrm>
      </xdr:grpSpPr>
      <xdr:cxnSp macro="">
        <xdr:nvCxnSpPr>
          <xdr:cNvPr id="4115" name="Gerader Verbinder 4114">
            <a:extLst>
              <a:ext uri="{FF2B5EF4-FFF2-40B4-BE49-F238E27FC236}">
                <a16:creationId xmlns:a16="http://schemas.microsoft.com/office/drawing/2014/main" id="{7DDC9DA6-DA94-D32E-A3E1-C224E116C902}"/>
              </a:ext>
            </a:extLst>
          </xdr:cNvPr>
          <xdr:cNvCxnSpPr/>
        </xdr:nvCxnSpPr>
        <xdr:spPr>
          <a:xfrm>
            <a:off x="2827020" y="53187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16" name="Gerader Verbinder 4115">
            <a:extLst>
              <a:ext uri="{FF2B5EF4-FFF2-40B4-BE49-F238E27FC236}">
                <a16:creationId xmlns:a16="http://schemas.microsoft.com/office/drawing/2014/main" id="{F14DB7C7-ACC4-B395-F4C9-F87584C988D3}"/>
              </a:ext>
            </a:extLst>
          </xdr:cNvPr>
          <xdr:cNvCxnSpPr/>
        </xdr:nvCxnSpPr>
        <xdr:spPr>
          <a:xfrm flipH="1">
            <a:off x="2827020" y="53187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28</xdr:row>
      <xdr:rowOff>0</xdr:rowOff>
    </xdr:from>
    <xdr:to>
      <xdr:col>5</xdr:col>
      <xdr:colOff>0</xdr:colOff>
      <xdr:row>29</xdr:row>
      <xdr:rowOff>0</xdr:rowOff>
    </xdr:to>
    <xdr:grpSp>
      <xdr:nvGrpSpPr>
        <xdr:cNvPr id="4120" name="Cross_E29">
          <a:extLst>
            <a:ext uri="{FF2B5EF4-FFF2-40B4-BE49-F238E27FC236}">
              <a16:creationId xmlns:a16="http://schemas.microsoft.com/office/drawing/2014/main" id="{D2A34009-B0BE-4F2D-8E60-1DEF862BF328}"/>
            </a:ext>
          </a:extLst>
        </xdr:cNvPr>
        <xdr:cNvGrpSpPr/>
      </xdr:nvGrpSpPr>
      <xdr:grpSpPr>
        <a:xfrm>
          <a:off x="2827020" y="5547360"/>
          <a:ext cx="594360" cy="167640"/>
          <a:chOff x="2827020" y="5547360"/>
          <a:chExt cx="594360" cy="167640"/>
        </a:xfrm>
      </xdr:grpSpPr>
      <xdr:cxnSp macro="">
        <xdr:nvCxnSpPr>
          <xdr:cNvPr id="4118" name="Gerader Verbinder 4117">
            <a:extLst>
              <a:ext uri="{FF2B5EF4-FFF2-40B4-BE49-F238E27FC236}">
                <a16:creationId xmlns:a16="http://schemas.microsoft.com/office/drawing/2014/main" id="{C7E2D619-EA41-358E-1E26-253811E2663A}"/>
              </a:ext>
            </a:extLst>
          </xdr:cNvPr>
          <xdr:cNvCxnSpPr/>
        </xdr:nvCxnSpPr>
        <xdr:spPr>
          <a:xfrm>
            <a:off x="2827020" y="5547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19" name="Gerader Verbinder 4118">
            <a:extLst>
              <a:ext uri="{FF2B5EF4-FFF2-40B4-BE49-F238E27FC236}">
                <a16:creationId xmlns:a16="http://schemas.microsoft.com/office/drawing/2014/main" id="{4335B12B-E438-1A36-7B00-8B53CBFFCEA1}"/>
              </a:ext>
            </a:extLst>
          </xdr:cNvPr>
          <xdr:cNvCxnSpPr/>
        </xdr:nvCxnSpPr>
        <xdr:spPr>
          <a:xfrm flipH="1">
            <a:off x="2827020" y="5547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29</xdr:row>
      <xdr:rowOff>0</xdr:rowOff>
    </xdr:from>
    <xdr:to>
      <xdr:col>5</xdr:col>
      <xdr:colOff>0</xdr:colOff>
      <xdr:row>30</xdr:row>
      <xdr:rowOff>0</xdr:rowOff>
    </xdr:to>
    <xdr:grpSp>
      <xdr:nvGrpSpPr>
        <xdr:cNvPr id="4123" name="Cross_E30">
          <a:extLst>
            <a:ext uri="{FF2B5EF4-FFF2-40B4-BE49-F238E27FC236}">
              <a16:creationId xmlns:a16="http://schemas.microsoft.com/office/drawing/2014/main" id="{A94D5DD1-3F13-C4C6-2E1B-5AB8FF579D86}"/>
            </a:ext>
          </a:extLst>
        </xdr:cNvPr>
        <xdr:cNvGrpSpPr/>
      </xdr:nvGrpSpPr>
      <xdr:grpSpPr>
        <a:xfrm>
          <a:off x="2827020" y="5715000"/>
          <a:ext cx="594360" cy="167640"/>
          <a:chOff x="2827020" y="5715000"/>
          <a:chExt cx="594360" cy="167640"/>
        </a:xfrm>
      </xdr:grpSpPr>
      <xdr:cxnSp macro="">
        <xdr:nvCxnSpPr>
          <xdr:cNvPr id="4121" name="Gerader Verbinder 4120">
            <a:extLst>
              <a:ext uri="{FF2B5EF4-FFF2-40B4-BE49-F238E27FC236}">
                <a16:creationId xmlns:a16="http://schemas.microsoft.com/office/drawing/2014/main" id="{D25C9FCD-514D-D182-7441-EEC5FE736403}"/>
              </a:ext>
            </a:extLst>
          </xdr:cNvPr>
          <xdr:cNvCxnSpPr/>
        </xdr:nvCxnSpPr>
        <xdr:spPr>
          <a:xfrm>
            <a:off x="2827020" y="5715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22" name="Gerader Verbinder 4121">
            <a:extLst>
              <a:ext uri="{FF2B5EF4-FFF2-40B4-BE49-F238E27FC236}">
                <a16:creationId xmlns:a16="http://schemas.microsoft.com/office/drawing/2014/main" id="{97CCF40A-3610-95AB-A180-1A3042204F67}"/>
              </a:ext>
            </a:extLst>
          </xdr:cNvPr>
          <xdr:cNvCxnSpPr/>
        </xdr:nvCxnSpPr>
        <xdr:spPr>
          <a:xfrm flipH="1">
            <a:off x="2827020" y="5715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36</xdr:row>
      <xdr:rowOff>0</xdr:rowOff>
    </xdr:from>
    <xdr:to>
      <xdr:col>5</xdr:col>
      <xdr:colOff>0</xdr:colOff>
      <xdr:row>37</xdr:row>
      <xdr:rowOff>0</xdr:rowOff>
    </xdr:to>
    <xdr:grpSp>
      <xdr:nvGrpSpPr>
        <xdr:cNvPr id="4126" name="Cross_E37">
          <a:extLst>
            <a:ext uri="{FF2B5EF4-FFF2-40B4-BE49-F238E27FC236}">
              <a16:creationId xmlns:a16="http://schemas.microsoft.com/office/drawing/2014/main" id="{CA44A546-C3E7-6974-1E51-87A5C22B3FDA}"/>
            </a:ext>
          </a:extLst>
        </xdr:cNvPr>
        <xdr:cNvGrpSpPr/>
      </xdr:nvGrpSpPr>
      <xdr:grpSpPr>
        <a:xfrm>
          <a:off x="2827020" y="7010400"/>
          <a:ext cx="594360" cy="228600"/>
          <a:chOff x="2827020" y="7010400"/>
          <a:chExt cx="594360" cy="228600"/>
        </a:xfrm>
      </xdr:grpSpPr>
      <xdr:cxnSp macro="">
        <xdr:nvCxnSpPr>
          <xdr:cNvPr id="4124" name="Gerader Verbinder 4123">
            <a:extLst>
              <a:ext uri="{FF2B5EF4-FFF2-40B4-BE49-F238E27FC236}">
                <a16:creationId xmlns:a16="http://schemas.microsoft.com/office/drawing/2014/main" id="{AB9E1532-799B-B0C5-0700-C746AE1FA0A6}"/>
              </a:ext>
            </a:extLst>
          </xdr:cNvPr>
          <xdr:cNvCxnSpPr/>
        </xdr:nvCxnSpPr>
        <xdr:spPr>
          <a:xfrm>
            <a:off x="2827020" y="70104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25" name="Gerader Verbinder 4124">
            <a:extLst>
              <a:ext uri="{FF2B5EF4-FFF2-40B4-BE49-F238E27FC236}">
                <a16:creationId xmlns:a16="http://schemas.microsoft.com/office/drawing/2014/main" id="{A1ED6057-A1A6-B4E4-3A6E-8A46374B7F3D}"/>
              </a:ext>
            </a:extLst>
          </xdr:cNvPr>
          <xdr:cNvCxnSpPr/>
        </xdr:nvCxnSpPr>
        <xdr:spPr>
          <a:xfrm flipH="1">
            <a:off x="2827020" y="70104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37</xdr:row>
      <xdr:rowOff>0</xdr:rowOff>
    </xdr:from>
    <xdr:to>
      <xdr:col>5</xdr:col>
      <xdr:colOff>0</xdr:colOff>
      <xdr:row>38</xdr:row>
      <xdr:rowOff>0</xdr:rowOff>
    </xdr:to>
    <xdr:grpSp>
      <xdr:nvGrpSpPr>
        <xdr:cNvPr id="4129" name="Cross_E38">
          <a:extLst>
            <a:ext uri="{FF2B5EF4-FFF2-40B4-BE49-F238E27FC236}">
              <a16:creationId xmlns:a16="http://schemas.microsoft.com/office/drawing/2014/main" id="{11594E7D-B750-1932-3E4E-8056488802E0}"/>
            </a:ext>
          </a:extLst>
        </xdr:cNvPr>
        <xdr:cNvGrpSpPr/>
      </xdr:nvGrpSpPr>
      <xdr:grpSpPr>
        <a:xfrm>
          <a:off x="2827020" y="7239000"/>
          <a:ext cx="594360" cy="167640"/>
          <a:chOff x="2827020" y="7239000"/>
          <a:chExt cx="594360" cy="167640"/>
        </a:xfrm>
      </xdr:grpSpPr>
      <xdr:cxnSp macro="">
        <xdr:nvCxnSpPr>
          <xdr:cNvPr id="4127" name="Gerader Verbinder 4126">
            <a:extLst>
              <a:ext uri="{FF2B5EF4-FFF2-40B4-BE49-F238E27FC236}">
                <a16:creationId xmlns:a16="http://schemas.microsoft.com/office/drawing/2014/main" id="{AFF567A2-074E-A8A3-3F54-C4F2B144D5FB}"/>
              </a:ext>
            </a:extLst>
          </xdr:cNvPr>
          <xdr:cNvCxnSpPr/>
        </xdr:nvCxnSpPr>
        <xdr:spPr>
          <a:xfrm>
            <a:off x="2827020" y="7239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28" name="Gerader Verbinder 4127">
            <a:extLst>
              <a:ext uri="{FF2B5EF4-FFF2-40B4-BE49-F238E27FC236}">
                <a16:creationId xmlns:a16="http://schemas.microsoft.com/office/drawing/2014/main" id="{6F545952-4906-0C02-B806-F4CF8082429A}"/>
              </a:ext>
            </a:extLst>
          </xdr:cNvPr>
          <xdr:cNvCxnSpPr/>
        </xdr:nvCxnSpPr>
        <xdr:spPr>
          <a:xfrm flipH="1">
            <a:off x="2827020" y="7239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38</xdr:row>
      <xdr:rowOff>0</xdr:rowOff>
    </xdr:from>
    <xdr:to>
      <xdr:col>5</xdr:col>
      <xdr:colOff>0</xdr:colOff>
      <xdr:row>39</xdr:row>
      <xdr:rowOff>0</xdr:rowOff>
    </xdr:to>
    <xdr:grpSp>
      <xdr:nvGrpSpPr>
        <xdr:cNvPr id="4132" name="Cross_E39">
          <a:extLst>
            <a:ext uri="{FF2B5EF4-FFF2-40B4-BE49-F238E27FC236}">
              <a16:creationId xmlns:a16="http://schemas.microsoft.com/office/drawing/2014/main" id="{FA3CA20D-FD3D-C4CA-18BE-117DE26469CF}"/>
            </a:ext>
          </a:extLst>
        </xdr:cNvPr>
        <xdr:cNvGrpSpPr/>
      </xdr:nvGrpSpPr>
      <xdr:grpSpPr>
        <a:xfrm>
          <a:off x="2827020" y="7406640"/>
          <a:ext cx="594360" cy="167640"/>
          <a:chOff x="2827020" y="7406640"/>
          <a:chExt cx="594360" cy="167640"/>
        </a:xfrm>
      </xdr:grpSpPr>
      <xdr:cxnSp macro="">
        <xdr:nvCxnSpPr>
          <xdr:cNvPr id="4130" name="Gerader Verbinder 4129">
            <a:extLst>
              <a:ext uri="{FF2B5EF4-FFF2-40B4-BE49-F238E27FC236}">
                <a16:creationId xmlns:a16="http://schemas.microsoft.com/office/drawing/2014/main" id="{4A0347A9-EEB5-3DB7-3D65-45536E8862D0}"/>
              </a:ext>
            </a:extLst>
          </xdr:cNvPr>
          <xdr:cNvCxnSpPr/>
        </xdr:nvCxnSpPr>
        <xdr:spPr>
          <a:xfrm>
            <a:off x="2827020" y="7406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31" name="Gerader Verbinder 4130">
            <a:extLst>
              <a:ext uri="{FF2B5EF4-FFF2-40B4-BE49-F238E27FC236}">
                <a16:creationId xmlns:a16="http://schemas.microsoft.com/office/drawing/2014/main" id="{8522D54F-ECA7-4E53-64C9-10AB1D5083C3}"/>
              </a:ext>
            </a:extLst>
          </xdr:cNvPr>
          <xdr:cNvCxnSpPr/>
        </xdr:nvCxnSpPr>
        <xdr:spPr>
          <a:xfrm flipH="1">
            <a:off x="2827020" y="7406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39</xdr:row>
      <xdr:rowOff>0</xdr:rowOff>
    </xdr:from>
    <xdr:to>
      <xdr:col>5</xdr:col>
      <xdr:colOff>0</xdr:colOff>
      <xdr:row>40</xdr:row>
      <xdr:rowOff>0</xdr:rowOff>
    </xdr:to>
    <xdr:grpSp>
      <xdr:nvGrpSpPr>
        <xdr:cNvPr id="4135" name="Cross_E40">
          <a:extLst>
            <a:ext uri="{FF2B5EF4-FFF2-40B4-BE49-F238E27FC236}">
              <a16:creationId xmlns:a16="http://schemas.microsoft.com/office/drawing/2014/main" id="{3DDFD764-2BD8-DFE4-3F08-5B48A836AC34}"/>
            </a:ext>
          </a:extLst>
        </xdr:cNvPr>
        <xdr:cNvGrpSpPr/>
      </xdr:nvGrpSpPr>
      <xdr:grpSpPr>
        <a:xfrm>
          <a:off x="2827020" y="7574280"/>
          <a:ext cx="594360" cy="228600"/>
          <a:chOff x="2827020" y="7574280"/>
          <a:chExt cx="594360" cy="228600"/>
        </a:xfrm>
      </xdr:grpSpPr>
      <xdr:cxnSp macro="">
        <xdr:nvCxnSpPr>
          <xdr:cNvPr id="4133" name="Gerader Verbinder 4132">
            <a:extLst>
              <a:ext uri="{FF2B5EF4-FFF2-40B4-BE49-F238E27FC236}">
                <a16:creationId xmlns:a16="http://schemas.microsoft.com/office/drawing/2014/main" id="{033DDB3C-0E42-26E2-1EEB-0DC6802A5EDD}"/>
              </a:ext>
            </a:extLst>
          </xdr:cNvPr>
          <xdr:cNvCxnSpPr/>
        </xdr:nvCxnSpPr>
        <xdr:spPr>
          <a:xfrm>
            <a:off x="2827020" y="75742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34" name="Gerader Verbinder 4133">
            <a:extLst>
              <a:ext uri="{FF2B5EF4-FFF2-40B4-BE49-F238E27FC236}">
                <a16:creationId xmlns:a16="http://schemas.microsoft.com/office/drawing/2014/main" id="{3584FF98-F8E7-5EC6-1C17-E2577EA62CB3}"/>
              </a:ext>
            </a:extLst>
          </xdr:cNvPr>
          <xdr:cNvCxnSpPr/>
        </xdr:nvCxnSpPr>
        <xdr:spPr>
          <a:xfrm flipH="1">
            <a:off x="2827020" y="75742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40</xdr:row>
      <xdr:rowOff>0</xdr:rowOff>
    </xdr:from>
    <xdr:to>
      <xdr:col>5</xdr:col>
      <xdr:colOff>0</xdr:colOff>
      <xdr:row>41</xdr:row>
      <xdr:rowOff>0</xdr:rowOff>
    </xdr:to>
    <xdr:grpSp>
      <xdr:nvGrpSpPr>
        <xdr:cNvPr id="4138" name="Cross_E41">
          <a:extLst>
            <a:ext uri="{FF2B5EF4-FFF2-40B4-BE49-F238E27FC236}">
              <a16:creationId xmlns:a16="http://schemas.microsoft.com/office/drawing/2014/main" id="{A7EB543C-67D9-7DE3-6E66-A88F6509E344}"/>
            </a:ext>
          </a:extLst>
        </xdr:cNvPr>
        <xdr:cNvGrpSpPr/>
      </xdr:nvGrpSpPr>
      <xdr:grpSpPr>
        <a:xfrm>
          <a:off x="2827020" y="7802880"/>
          <a:ext cx="594360" cy="167640"/>
          <a:chOff x="2827020" y="7802880"/>
          <a:chExt cx="594360" cy="167640"/>
        </a:xfrm>
      </xdr:grpSpPr>
      <xdr:cxnSp macro="">
        <xdr:nvCxnSpPr>
          <xdr:cNvPr id="4136" name="Gerader Verbinder 4135">
            <a:extLst>
              <a:ext uri="{FF2B5EF4-FFF2-40B4-BE49-F238E27FC236}">
                <a16:creationId xmlns:a16="http://schemas.microsoft.com/office/drawing/2014/main" id="{22A1F54D-913D-7DEC-48CB-D38F8471C573}"/>
              </a:ext>
            </a:extLst>
          </xdr:cNvPr>
          <xdr:cNvCxnSpPr/>
        </xdr:nvCxnSpPr>
        <xdr:spPr>
          <a:xfrm>
            <a:off x="2827020" y="78028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37" name="Gerader Verbinder 4136">
            <a:extLst>
              <a:ext uri="{FF2B5EF4-FFF2-40B4-BE49-F238E27FC236}">
                <a16:creationId xmlns:a16="http://schemas.microsoft.com/office/drawing/2014/main" id="{FCE028AF-7DED-DCB0-A3FA-30A142D4489C}"/>
              </a:ext>
            </a:extLst>
          </xdr:cNvPr>
          <xdr:cNvCxnSpPr/>
        </xdr:nvCxnSpPr>
        <xdr:spPr>
          <a:xfrm flipH="1">
            <a:off x="2827020" y="78028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41</xdr:row>
      <xdr:rowOff>0</xdr:rowOff>
    </xdr:from>
    <xdr:to>
      <xdr:col>5</xdr:col>
      <xdr:colOff>0</xdr:colOff>
      <xdr:row>42</xdr:row>
      <xdr:rowOff>0</xdr:rowOff>
    </xdr:to>
    <xdr:grpSp>
      <xdr:nvGrpSpPr>
        <xdr:cNvPr id="4141" name="Cross_E42">
          <a:extLst>
            <a:ext uri="{FF2B5EF4-FFF2-40B4-BE49-F238E27FC236}">
              <a16:creationId xmlns:a16="http://schemas.microsoft.com/office/drawing/2014/main" id="{F009CE41-9B81-2CEB-71E3-B196A3DD9E9B}"/>
            </a:ext>
          </a:extLst>
        </xdr:cNvPr>
        <xdr:cNvGrpSpPr/>
      </xdr:nvGrpSpPr>
      <xdr:grpSpPr>
        <a:xfrm>
          <a:off x="2827020" y="7970520"/>
          <a:ext cx="594360" cy="167640"/>
          <a:chOff x="2827020" y="7970520"/>
          <a:chExt cx="594360" cy="167640"/>
        </a:xfrm>
      </xdr:grpSpPr>
      <xdr:cxnSp macro="">
        <xdr:nvCxnSpPr>
          <xdr:cNvPr id="4139" name="Gerader Verbinder 4138">
            <a:extLst>
              <a:ext uri="{FF2B5EF4-FFF2-40B4-BE49-F238E27FC236}">
                <a16:creationId xmlns:a16="http://schemas.microsoft.com/office/drawing/2014/main" id="{F48589FE-E356-E74C-EAD2-E3E5903C4FAF}"/>
              </a:ext>
            </a:extLst>
          </xdr:cNvPr>
          <xdr:cNvCxnSpPr/>
        </xdr:nvCxnSpPr>
        <xdr:spPr>
          <a:xfrm>
            <a:off x="2827020" y="79705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40" name="Gerader Verbinder 4139">
            <a:extLst>
              <a:ext uri="{FF2B5EF4-FFF2-40B4-BE49-F238E27FC236}">
                <a16:creationId xmlns:a16="http://schemas.microsoft.com/office/drawing/2014/main" id="{8BADBC50-3E12-7138-B4C2-8774DCACFEEE}"/>
              </a:ext>
            </a:extLst>
          </xdr:cNvPr>
          <xdr:cNvCxnSpPr/>
        </xdr:nvCxnSpPr>
        <xdr:spPr>
          <a:xfrm flipH="1">
            <a:off x="2827020" y="79705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42</xdr:row>
      <xdr:rowOff>0</xdr:rowOff>
    </xdr:from>
    <xdr:to>
      <xdr:col>5</xdr:col>
      <xdr:colOff>0</xdr:colOff>
      <xdr:row>43</xdr:row>
      <xdr:rowOff>0</xdr:rowOff>
    </xdr:to>
    <xdr:grpSp>
      <xdr:nvGrpSpPr>
        <xdr:cNvPr id="4144" name="Cross_E43">
          <a:extLst>
            <a:ext uri="{FF2B5EF4-FFF2-40B4-BE49-F238E27FC236}">
              <a16:creationId xmlns:a16="http://schemas.microsoft.com/office/drawing/2014/main" id="{AB09A185-AB69-5E06-8F20-EA024576DB78}"/>
            </a:ext>
          </a:extLst>
        </xdr:cNvPr>
        <xdr:cNvGrpSpPr/>
      </xdr:nvGrpSpPr>
      <xdr:grpSpPr>
        <a:xfrm>
          <a:off x="2827020" y="8138160"/>
          <a:ext cx="594360" cy="228600"/>
          <a:chOff x="2827020" y="8138160"/>
          <a:chExt cx="594360" cy="228600"/>
        </a:xfrm>
      </xdr:grpSpPr>
      <xdr:cxnSp macro="">
        <xdr:nvCxnSpPr>
          <xdr:cNvPr id="4142" name="Gerader Verbinder 4141">
            <a:extLst>
              <a:ext uri="{FF2B5EF4-FFF2-40B4-BE49-F238E27FC236}">
                <a16:creationId xmlns:a16="http://schemas.microsoft.com/office/drawing/2014/main" id="{BBEE86D2-33C7-5E15-5785-551785AEFBB2}"/>
              </a:ext>
            </a:extLst>
          </xdr:cNvPr>
          <xdr:cNvCxnSpPr/>
        </xdr:nvCxnSpPr>
        <xdr:spPr>
          <a:xfrm>
            <a:off x="2827020" y="81381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43" name="Gerader Verbinder 4142">
            <a:extLst>
              <a:ext uri="{FF2B5EF4-FFF2-40B4-BE49-F238E27FC236}">
                <a16:creationId xmlns:a16="http://schemas.microsoft.com/office/drawing/2014/main" id="{C830734C-6BEA-FFBF-BFB9-5B269A9B9071}"/>
              </a:ext>
            </a:extLst>
          </xdr:cNvPr>
          <xdr:cNvCxnSpPr/>
        </xdr:nvCxnSpPr>
        <xdr:spPr>
          <a:xfrm flipH="1">
            <a:off x="2827020" y="81381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43</xdr:row>
      <xdr:rowOff>0</xdr:rowOff>
    </xdr:from>
    <xdr:to>
      <xdr:col>5</xdr:col>
      <xdr:colOff>0</xdr:colOff>
      <xdr:row>44</xdr:row>
      <xdr:rowOff>0</xdr:rowOff>
    </xdr:to>
    <xdr:grpSp>
      <xdr:nvGrpSpPr>
        <xdr:cNvPr id="4147" name="Cross_E44">
          <a:extLst>
            <a:ext uri="{FF2B5EF4-FFF2-40B4-BE49-F238E27FC236}">
              <a16:creationId xmlns:a16="http://schemas.microsoft.com/office/drawing/2014/main" id="{803DF132-CCFE-F167-CA86-DD81A49BE8F4}"/>
            </a:ext>
          </a:extLst>
        </xdr:cNvPr>
        <xdr:cNvGrpSpPr/>
      </xdr:nvGrpSpPr>
      <xdr:grpSpPr>
        <a:xfrm>
          <a:off x="2827020" y="8366760"/>
          <a:ext cx="594360" cy="167640"/>
          <a:chOff x="2827020" y="8366760"/>
          <a:chExt cx="594360" cy="167640"/>
        </a:xfrm>
      </xdr:grpSpPr>
      <xdr:cxnSp macro="">
        <xdr:nvCxnSpPr>
          <xdr:cNvPr id="4145" name="Gerader Verbinder 4144">
            <a:extLst>
              <a:ext uri="{FF2B5EF4-FFF2-40B4-BE49-F238E27FC236}">
                <a16:creationId xmlns:a16="http://schemas.microsoft.com/office/drawing/2014/main" id="{CCB42ABC-643E-A246-1437-B7CCF72F60EA}"/>
              </a:ext>
            </a:extLst>
          </xdr:cNvPr>
          <xdr:cNvCxnSpPr/>
        </xdr:nvCxnSpPr>
        <xdr:spPr>
          <a:xfrm>
            <a:off x="2827020" y="83667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46" name="Gerader Verbinder 4145">
            <a:extLst>
              <a:ext uri="{FF2B5EF4-FFF2-40B4-BE49-F238E27FC236}">
                <a16:creationId xmlns:a16="http://schemas.microsoft.com/office/drawing/2014/main" id="{A6C3196A-E768-F773-09D9-E2AF5541D01B}"/>
              </a:ext>
            </a:extLst>
          </xdr:cNvPr>
          <xdr:cNvCxnSpPr/>
        </xdr:nvCxnSpPr>
        <xdr:spPr>
          <a:xfrm flipH="1">
            <a:off x="2827020" y="83667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44</xdr:row>
      <xdr:rowOff>0</xdr:rowOff>
    </xdr:from>
    <xdr:to>
      <xdr:col>5</xdr:col>
      <xdr:colOff>0</xdr:colOff>
      <xdr:row>45</xdr:row>
      <xdr:rowOff>0</xdr:rowOff>
    </xdr:to>
    <xdr:grpSp>
      <xdr:nvGrpSpPr>
        <xdr:cNvPr id="4150" name="Cross_E45">
          <a:extLst>
            <a:ext uri="{FF2B5EF4-FFF2-40B4-BE49-F238E27FC236}">
              <a16:creationId xmlns:a16="http://schemas.microsoft.com/office/drawing/2014/main" id="{0B9E6653-3CA0-54B8-F47F-79892E7BD211}"/>
            </a:ext>
          </a:extLst>
        </xdr:cNvPr>
        <xdr:cNvGrpSpPr/>
      </xdr:nvGrpSpPr>
      <xdr:grpSpPr>
        <a:xfrm>
          <a:off x="2827020" y="8534400"/>
          <a:ext cx="594360" cy="167640"/>
          <a:chOff x="2827020" y="8534400"/>
          <a:chExt cx="594360" cy="167640"/>
        </a:xfrm>
      </xdr:grpSpPr>
      <xdr:cxnSp macro="">
        <xdr:nvCxnSpPr>
          <xdr:cNvPr id="4148" name="Gerader Verbinder 4147">
            <a:extLst>
              <a:ext uri="{FF2B5EF4-FFF2-40B4-BE49-F238E27FC236}">
                <a16:creationId xmlns:a16="http://schemas.microsoft.com/office/drawing/2014/main" id="{F39F25CD-9251-16A0-74AD-428C565609D4}"/>
              </a:ext>
            </a:extLst>
          </xdr:cNvPr>
          <xdr:cNvCxnSpPr/>
        </xdr:nvCxnSpPr>
        <xdr:spPr>
          <a:xfrm>
            <a:off x="2827020" y="85344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49" name="Gerader Verbinder 4148">
            <a:extLst>
              <a:ext uri="{FF2B5EF4-FFF2-40B4-BE49-F238E27FC236}">
                <a16:creationId xmlns:a16="http://schemas.microsoft.com/office/drawing/2014/main" id="{707A6DB9-9113-71B4-03FB-5A00F601EC53}"/>
              </a:ext>
            </a:extLst>
          </xdr:cNvPr>
          <xdr:cNvCxnSpPr/>
        </xdr:nvCxnSpPr>
        <xdr:spPr>
          <a:xfrm flipH="1">
            <a:off x="2827020" y="85344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45</xdr:row>
      <xdr:rowOff>0</xdr:rowOff>
    </xdr:from>
    <xdr:to>
      <xdr:col>5</xdr:col>
      <xdr:colOff>0</xdr:colOff>
      <xdr:row>46</xdr:row>
      <xdr:rowOff>0</xdr:rowOff>
    </xdr:to>
    <xdr:grpSp>
      <xdr:nvGrpSpPr>
        <xdr:cNvPr id="4153" name="Cross_E46">
          <a:extLst>
            <a:ext uri="{FF2B5EF4-FFF2-40B4-BE49-F238E27FC236}">
              <a16:creationId xmlns:a16="http://schemas.microsoft.com/office/drawing/2014/main" id="{E8F7463A-C899-48CF-FE8C-2D27189C4065}"/>
            </a:ext>
          </a:extLst>
        </xdr:cNvPr>
        <xdr:cNvGrpSpPr/>
      </xdr:nvGrpSpPr>
      <xdr:grpSpPr>
        <a:xfrm>
          <a:off x="2827020" y="8702040"/>
          <a:ext cx="594360" cy="228600"/>
          <a:chOff x="2827020" y="8702040"/>
          <a:chExt cx="594360" cy="228600"/>
        </a:xfrm>
      </xdr:grpSpPr>
      <xdr:cxnSp macro="">
        <xdr:nvCxnSpPr>
          <xdr:cNvPr id="4151" name="Gerader Verbinder 4150">
            <a:extLst>
              <a:ext uri="{FF2B5EF4-FFF2-40B4-BE49-F238E27FC236}">
                <a16:creationId xmlns:a16="http://schemas.microsoft.com/office/drawing/2014/main" id="{D677D133-5C3D-F252-ED08-01232B74BE3C}"/>
              </a:ext>
            </a:extLst>
          </xdr:cNvPr>
          <xdr:cNvCxnSpPr/>
        </xdr:nvCxnSpPr>
        <xdr:spPr>
          <a:xfrm>
            <a:off x="2827020" y="87020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52" name="Gerader Verbinder 4151">
            <a:extLst>
              <a:ext uri="{FF2B5EF4-FFF2-40B4-BE49-F238E27FC236}">
                <a16:creationId xmlns:a16="http://schemas.microsoft.com/office/drawing/2014/main" id="{6DAC2020-2424-896D-A7F1-337DF99CC9EF}"/>
              </a:ext>
            </a:extLst>
          </xdr:cNvPr>
          <xdr:cNvCxnSpPr/>
        </xdr:nvCxnSpPr>
        <xdr:spPr>
          <a:xfrm flipH="1">
            <a:off x="2827020" y="87020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46</xdr:row>
      <xdr:rowOff>0</xdr:rowOff>
    </xdr:from>
    <xdr:to>
      <xdr:col>5</xdr:col>
      <xdr:colOff>0</xdr:colOff>
      <xdr:row>47</xdr:row>
      <xdr:rowOff>0</xdr:rowOff>
    </xdr:to>
    <xdr:grpSp>
      <xdr:nvGrpSpPr>
        <xdr:cNvPr id="4156" name="Cross_E47">
          <a:extLst>
            <a:ext uri="{FF2B5EF4-FFF2-40B4-BE49-F238E27FC236}">
              <a16:creationId xmlns:a16="http://schemas.microsoft.com/office/drawing/2014/main" id="{D3127D53-1528-F564-E700-9450057A3590}"/>
            </a:ext>
          </a:extLst>
        </xdr:cNvPr>
        <xdr:cNvGrpSpPr/>
      </xdr:nvGrpSpPr>
      <xdr:grpSpPr>
        <a:xfrm>
          <a:off x="2827020" y="8930640"/>
          <a:ext cx="594360" cy="167640"/>
          <a:chOff x="2827020" y="8930640"/>
          <a:chExt cx="594360" cy="167640"/>
        </a:xfrm>
      </xdr:grpSpPr>
      <xdr:cxnSp macro="">
        <xdr:nvCxnSpPr>
          <xdr:cNvPr id="4154" name="Gerader Verbinder 4153">
            <a:extLst>
              <a:ext uri="{FF2B5EF4-FFF2-40B4-BE49-F238E27FC236}">
                <a16:creationId xmlns:a16="http://schemas.microsoft.com/office/drawing/2014/main" id="{3B416BD1-A071-533B-C0ED-E4183660B515}"/>
              </a:ext>
            </a:extLst>
          </xdr:cNvPr>
          <xdr:cNvCxnSpPr/>
        </xdr:nvCxnSpPr>
        <xdr:spPr>
          <a:xfrm>
            <a:off x="2827020" y="8930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55" name="Gerader Verbinder 4154">
            <a:extLst>
              <a:ext uri="{FF2B5EF4-FFF2-40B4-BE49-F238E27FC236}">
                <a16:creationId xmlns:a16="http://schemas.microsoft.com/office/drawing/2014/main" id="{56CCF897-FA22-ACF3-03D4-0900B9210203}"/>
              </a:ext>
            </a:extLst>
          </xdr:cNvPr>
          <xdr:cNvCxnSpPr/>
        </xdr:nvCxnSpPr>
        <xdr:spPr>
          <a:xfrm flipH="1">
            <a:off x="2827020" y="8930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47</xdr:row>
      <xdr:rowOff>0</xdr:rowOff>
    </xdr:from>
    <xdr:to>
      <xdr:col>5</xdr:col>
      <xdr:colOff>0</xdr:colOff>
      <xdr:row>48</xdr:row>
      <xdr:rowOff>0</xdr:rowOff>
    </xdr:to>
    <xdr:grpSp>
      <xdr:nvGrpSpPr>
        <xdr:cNvPr id="4159" name="Cross_E48">
          <a:extLst>
            <a:ext uri="{FF2B5EF4-FFF2-40B4-BE49-F238E27FC236}">
              <a16:creationId xmlns:a16="http://schemas.microsoft.com/office/drawing/2014/main" id="{E0D9FBBD-4C8D-A9F8-E3D4-63474D3B2D45}"/>
            </a:ext>
          </a:extLst>
        </xdr:cNvPr>
        <xdr:cNvGrpSpPr/>
      </xdr:nvGrpSpPr>
      <xdr:grpSpPr>
        <a:xfrm>
          <a:off x="2827020" y="9098280"/>
          <a:ext cx="594360" cy="167640"/>
          <a:chOff x="2827020" y="9098280"/>
          <a:chExt cx="594360" cy="167640"/>
        </a:xfrm>
      </xdr:grpSpPr>
      <xdr:cxnSp macro="">
        <xdr:nvCxnSpPr>
          <xdr:cNvPr id="4157" name="Gerader Verbinder 4156">
            <a:extLst>
              <a:ext uri="{FF2B5EF4-FFF2-40B4-BE49-F238E27FC236}">
                <a16:creationId xmlns:a16="http://schemas.microsoft.com/office/drawing/2014/main" id="{F7810E40-8EDC-8C62-A4E4-55A9E6A0C009}"/>
              </a:ext>
            </a:extLst>
          </xdr:cNvPr>
          <xdr:cNvCxnSpPr/>
        </xdr:nvCxnSpPr>
        <xdr:spPr>
          <a:xfrm>
            <a:off x="2827020" y="9098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58" name="Gerader Verbinder 4157">
            <a:extLst>
              <a:ext uri="{FF2B5EF4-FFF2-40B4-BE49-F238E27FC236}">
                <a16:creationId xmlns:a16="http://schemas.microsoft.com/office/drawing/2014/main" id="{1CEACE59-4374-C4E3-360E-4A9EEED8F9C4}"/>
              </a:ext>
            </a:extLst>
          </xdr:cNvPr>
          <xdr:cNvCxnSpPr/>
        </xdr:nvCxnSpPr>
        <xdr:spPr>
          <a:xfrm flipH="1">
            <a:off x="2827020" y="9098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54</xdr:row>
      <xdr:rowOff>0</xdr:rowOff>
    </xdr:from>
    <xdr:to>
      <xdr:col>5</xdr:col>
      <xdr:colOff>0</xdr:colOff>
      <xdr:row>55</xdr:row>
      <xdr:rowOff>0</xdr:rowOff>
    </xdr:to>
    <xdr:grpSp>
      <xdr:nvGrpSpPr>
        <xdr:cNvPr id="4162" name="Cross_E55">
          <a:extLst>
            <a:ext uri="{FF2B5EF4-FFF2-40B4-BE49-F238E27FC236}">
              <a16:creationId xmlns:a16="http://schemas.microsoft.com/office/drawing/2014/main" id="{3E1EFD5B-3323-48B2-27E3-E89AF6F39434}"/>
            </a:ext>
          </a:extLst>
        </xdr:cNvPr>
        <xdr:cNvGrpSpPr/>
      </xdr:nvGrpSpPr>
      <xdr:grpSpPr>
        <a:xfrm>
          <a:off x="2827020" y="10393680"/>
          <a:ext cx="594360" cy="228600"/>
          <a:chOff x="2827020" y="10393680"/>
          <a:chExt cx="594360" cy="228600"/>
        </a:xfrm>
      </xdr:grpSpPr>
      <xdr:cxnSp macro="">
        <xdr:nvCxnSpPr>
          <xdr:cNvPr id="4160" name="Gerader Verbinder 4159">
            <a:extLst>
              <a:ext uri="{FF2B5EF4-FFF2-40B4-BE49-F238E27FC236}">
                <a16:creationId xmlns:a16="http://schemas.microsoft.com/office/drawing/2014/main" id="{D4C994AF-61C9-6DFD-E16E-889B8D6504BB}"/>
              </a:ext>
            </a:extLst>
          </xdr:cNvPr>
          <xdr:cNvCxnSpPr/>
        </xdr:nvCxnSpPr>
        <xdr:spPr>
          <a:xfrm>
            <a:off x="2827020" y="103936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61" name="Gerader Verbinder 4160">
            <a:extLst>
              <a:ext uri="{FF2B5EF4-FFF2-40B4-BE49-F238E27FC236}">
                <a16:creationId xmlns:a16="http://schemas.microsoft.com/office/drawing/2014/main" id="{6313560C-3306-827C-48CF-99F22C6498B0}"/>
              </a:ext>
            </a:extLst>
          </xdr:cNvPr>
          <xdr:cNvCxnSpPr/>
        </xdr:nvCxnSpPr>
        <xdr:spPr>
          <a:xfrm flipH="1">
            <a:off x="2827020" y="103936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55</xdr:row>
      <xdr:rowOff>0</xdr:rowOff>
    </xdr:from>
    <xdr:to>
      <xdr:col>5</xdr:col>
      <xdr:colOff>0</xdr:colOff>
      <xdr:row>56</xdr:row>
      <xdr:rowOff>0</xdr:rowOff>
    </xdr:to>
    <xdr:grpSp>
      <xdr:nvGrpSpPr>
        <xdr:cNvPr id="4165" name="Cross_E56">
          <a:extLst>
            <a:ext uri="{FF2B5EF4-FFF2-40B4-BE49-F238E27FC236}">
              <a16:creationId xmlns:a16="http://schemas.microsoft.com/office/drawing/2014/main" id="{F15485D4-EB78-1349-E15B-C072E86B5D27}"/>
            </a:ext>
          </a:extLst>
        </xdr:cNvPr>
        <xdr:cNvGrpSpPr/>
      </xdr:nvGrpSpPr>
      <xdr:grpSpPr>
        <a:xfrm>
          <a:off x="2827020" y="10622280"/>
          <a:ext cx="594360" cy="167640"/>
          <a:chOff x="2827020" y="10622280"/>
          <a:chExt cx="594360" cy="167640"/>
        </a:xfrm>
      </xdr:grpSpPr>
      <xdr:cxnSp macro="">
        <xdr:nvCxnSpPr>
          <xdr:cNvPr id="4163" name="Gerader Verbinder 4162">
            <a:extLst>
              <a:ext uri="{FF2B5EF4-FFF2-40B4-BE49-F238E27FC236}">
                <a16:creationId xmlns:a16="http://schemas.microsoft.com/office/drawing/2014/main" id="{165141D1-C37C-25BE-9CE5-25217CEFE52A}"/>
              </a:ext>
            </a:extLst>
          </xdr:cNvPr>
          <xdr:cNvCxnSpPr/>
        </xdr:nvCxnSpPr>
        <xdr:spPr>
          <a:xfrm>
            <a:off x="2827020" y="10622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64" name="Gerader Verbinder 4163">
            <a:extLst>
              <a:ext uri="{FF2B5EF4-FFF2-40B4-BE49-F238E27FC236}">
                <a16:creationId xmlns:a16="http://schemas.microsoft.com/office/drawing/2014/main" id="{5020E33E-7D80-7821-DDBF-15E0D5140F8E}"/>
              </a:ext>
            </a:extLst>
          </xdr:cNvPr>
          <xdr:cNvCxnSpPr/>
        </xdr:nvCxnSpPr>
        <xdr:spPr>
          <a:xfrm flipH="1">
            <a:off x="2827020" y="10622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56</xdr:row>
      <xdr:rowOff>0</xdr:rowOff>
    </xdr:from>
    <xdr:to>
      <xdr:col>5</xdr:col>
      <xdr:colOff>0</xdr:colOff>
      <xdr:row>57</xdr:row>
      <xdr:rowOff>0</xdr:rowOff>
    </xdr:to>
    <xdr:grpSp>
      <xdr:nvGrpSpPr>
        <xdr:cNvPr id="4168" name="Cross_E57">
          <a:extLst>
            <a:ext uri="{FF2B5EF4-FFF2-40B4-BE49-F238E27FC236}">
              <a16:creationId xmlns:a16="http://schemas.microsoft.com/office/drawing/2014/main" id="{4111BF90-F44E-2877-A19A-D231524BEDDC}"/>
            </a:ext>
          </a:extLst>
        </xdr:cNvPr>
        <xdr:cNvGrpSpPr/>
      </xdr:nvGrpSpPr>
      <xdr:grpSpPr>
        <a:xfrm>
          <a:off x="2827020" y="10789920"/>
          <a:ext cx="594360" cy="167640"/>
          <a:chOff x="2827020" y="10789920"/>
          <a:chExt cx="594360" cy="167640"/>
        </a:xfrm>
      </xdr:grpSpPr>
      <xdr:cxnSp macro="">
        <xdr:nvCxnSpPr>
          <xdr:cNvPr id="4166" name="Gerader Verbinder 4165">
            <a:extLst>
              <a:ext uri="{FF2B5EF4-FFF2-40B4-BE49-F238E27FC236}">
                <a16:creationId xmlns:a16="http://schemas.microsoft.com/office/drawing/2014/main" id="{8D1F5F3A-BFE6-1C31-1FAF-FE9C4B4F9789}"/>
              </a:ext>
            </a:extLst>
          </xdr:cNvPr>
          <xdr:cNvCxnSpPr/>
        </xdr:nvCxnSpPr>
        <xdr:spPr>
          <a:xfrm>
            <a:off x="2827020" y="107899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67" name="Gerader Verbinder 4166">
            <a:extLst>
              <a:ext uri="{FF2B5EF4-FFF2-40B4-BE49-F238E27FC236}">
                <a16:creationId xmlns:a16="http://schemas.microsoft.com/office/drawing/2014/main" id="{DD08BE98-A505-1A6B-725D-B9890D041575}"/>
              </a:ext>
            </a:extLst>
          </xdr:cNvPr>
          <xdr:cNvCxnSpPr/>
        </xdr:nvCxnSpPr>
        <xdr:spPr>
          <a:xfrm flipH="1">
            <a:off x="2827020" y="107899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57</xdr:row>
      <xdr:rowOff>0</xdr:rowOff>
    </xdr:from>
    <xdr:to>
      <xdr:col>5</xdr:col>
      <xdr:colOff>0</xdr:colOff>
      <xdr:row>58</xdr:row>
      <xdr:rowOff>0</xdr:rowOff>
    </xdr:to>
    <xdr:grpSp>
      <xdr:nvGrpSpPr>
        <xdr:cNvPr id="4171" name="Cross_E58">
          <a:extLst>
            <a:ext uri="{FF2B5EF4-FFF2-40B4-BE49-F238E27FC236}">
              <a16:creationId xmlns:a16="http://schemas.microsoft.com/office/drawing/2014/main" id="{D89C7BB9-2005-8700-5F43-D0A818B7B23A}"/>
            </a:ext>
          </a:extLst>
        </xdr:cNvPr>
        <xdr:cNvGrpSpPr/>
      </xdr:nvGrpSpPr>
      <xdr:grpSpPr>
        <a:xfrm>
          <a:off x="2827020" y="10957560"/>
          <a:ext cx="594360" cy="228600"/>
          <a:chOff x="2827020" y="10957560"/>
          <a:chExt cx="594360" cy="228600"/>
        </a:xfrm>
      </xdr:grpSpPr>
      <xdr:cxnSp macro="">
        <xdr:nvCxnSpPr>
          <xdr:cNvPr id="4169" name="Gerader Verbinder 4168">
            <a:extLst>
              <a:ext uri="{FF2B5EF4-FFF2-40B4-BE49-F238E27FC236}">
                <a16:creationId xmlns:a16="http://schemas.microsoft.com/office/drawing/2014/main" id="{6F7492AD-3A2B-7F9E-4E34-7E35613107DA}"/>
              </a:ext>
            </a:extLst>
          </xdr:cNvPr>
          <xdr:cNvCxnSpPr/>
        </xdr:nvCxnSpPr>
        <xdr:spPr>
          <a:xfrm>
            <a:off x="2827020" y="109575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70" name="Gerader Verbinder 4169">
            <a:extLst>
              <a:ext uri="{FF2B5EF4-FFF2-40B4-BE49-F238E27FC236}">
                <a16:creationId xmlns:a16="http://schemas.microsoft.com/office/drawing/2014/main" id="{1C6279B6-49CB-C556-C4CB-5FCEBD85037D}"/>
              </a:ext>
            </a:extLst>
          </xdr:cNvPr>
          <xdr:cNvCxnSpPr/>
        </xdr:nvCxnSpPr>
        <xdr:spPr>
          <a:xfrm flipH="1">
            <a:off x="2827020" y="109575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58</xdr:row>
      <xdr:rowOff>0</xdr:rowOff>
    </xdr:from>
    <xdr:to>
      <xdr:col>5</xdr:col>
      <xdr:colOff>0</xdr:colOff>
      <xdr:row>59</xdr:row>
      <xdr:rowOff>0</xdr:rowOff>
    </xdr:to>
    <xdr:grpSp>
      <xdr:nvGrpSpPr>
        <xdr:cNvPr id="4174" name="Cross_E59">
          <a:extLst>
            <a:ext uri="{FF2B5EF4-FFF2-40B4-BE49-F238E27FC236}">
              <a16:creationId xmlns:a16="http://schemas.microsoft.com/office/drawing/2014/main" id="{64A3352C-8898-1A35-DE6A-87F5E767F2F5}"/>
            </a:ext>
          </a:extLst>
        </xdr:cNvPr>
        <xdr:cNvGrpSpPr/>
      </xdr:nvGrpSpPr>
      <xdr:grpSpPr>
        <a:xfrm>
          <a:off x="2827020" y="11186160"/>
          <a:ext cx="594360" cy="167640"/>
          <a:chOff x="2827020" y="11186160"/>
          <a:chExt cx="594360" cy="167640"/>
        </a:xfrm>
      </xdr:grpSpPr>
      <xdr:cxnSp macro="">
        <xdr:nvCxnSpPr>
          <xdr:cNvPr id="4172" name="Gerader Verbinder 4171">
            <a:extLst>
              <a:ext uri="{FF2B5EF4-FFF2-40B4-BE49-F238E27FC236}">
                <a16:creationId xmlns:a16="http://schemas.microsoft.com/office/drawing/2014/main" id="{AF0B0CB0-63AA-1FAF-FCCB-F47DFE742804}"/>
              </a:ext>
            </a:extLst>
          </xdr:cNvPr>
          <xdr:cNvCxnSpPr/>
        </xdr:nvCxnSpPr>
        <xdr:spPr>
          <a:xfrm>
            <a:off x="2827020" y="111861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73" name="Gerader Verbinder 4172">
            <a:extLst>
              <a:ext uri="{FF2B5EF4-FFF2-40B4-BE49-F238E27FC236}">
                <a16:creationId xmlns:a16="http://schemas.microsoft.com/office/drawing/2014/main" id="{14C1B033-2DF6-402C-5381-DDC080A57B48}"/>
              </a:ext>
            </a:extLst>
          </xdr:cNvPr>
          <xdr:cNvCxnSpPr/>
        </xdr:nvCxnSpPr>
        <xdr:spPr>
          <a:xfrm flipH="1">
            <a:off x="2827020" y="111861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59</xdr:row>
      <xdr:rowOff>0</xdr:rowOff>
    </xdr:from>
    <xdr:to>
      <xdr:col>5</xdr:col>
      <xdr:colOff>0</xdr:colOff>
      <xdr:row>60</xdr:row>
      <xdr:rowOff>0</xdr:rowOff>
    </xdr:to>
    <xdr:grpSp>
      <xdr:nvGrpSpPr>
        <xdr:cNvPr id="4177" name="Cross_E60">
          <a:extLst>
            <a:ext uri="{FF2B5EF4-FFF2-40B4-BE49-F238E27FC236}">
              <a16:creationId xmlns:a16="http://schemas.microsoft.com/office/drawing/2014/main" id="{974CD8FB-8D3F-AE82-430B-75196706E560}"/>
            </a:ext>
          </a:extLst>
        </xdr:cNvPr>
        <xdr:cNvGrpSpPr/>
      </xdr:nvGrpSpPr>
      <xdr:grpSpPr>
        <a:xfrm>
          <a:off x="2827020" y="11353800"/>
          <a:ext cx="594360" cy="167640"/>
          <a:chOff x="2827020" y="11353800"/>
          <a:chExt cx="594360" cy="167640"/>
        </a:xfrm>
      </xdr:grpSpPr>
      <xdr:cxnSp macro="">
        <xdr:nvCxnSpPr>
          <xdr:cNvPr id="4175" name="Gerader Verbinder 4174">
            <a:extLst>
              <a:ext uri="{FF2B5EF4-FFF2-40B4-BE49-F238E27FC236}">
                <a16:creationId xmlns:a16="http://schemas.microsoft.com/office/drawing/2014/main" id="{AAD5D735-40DD-07C8-C534-A0BC74677DCE}"/>
              </a:ext>
            </a:extLst>
          </xdr:cNvPr>
          <xdr:cNvCxnSpPr/>
        </xdr:nvCxnSpPr>
        <xdr:spPr>
          <a:xfrm>
            <a:off x="2827020" y="113538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76" name="Gerader Verbinder 4175">
            <a:extLst>
              <a:ext uri="{FF2B5EF4-FFF2-40B4-BE49-F238E27FC236}">
                <a16:creationId xmlns:a16="http://schemas.microsoft.com/office/drawing/2014/main" id="{46651231-7D11-4328-D794-AA4DAD9B36A0}"/>
              </a:ext>
            </a:extLst>
          </xdr:cNvPr>
          <xdr:cNvCxnSpPr/>
        </xdr:nvCxnSpPr>
        <xdr:spPr>
          <a:xfrm flipH="1">
            <a:off x="2827020" y="113538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60</xdr:row>
      <xdr:rowOff>0</xdr:rowOff>
    </xdr:from>
    <xdr:to>
      <xdr:col>5</xdr:col>
      <xdr:colOff>0</xdr:colOff>
      <xdr:row>61</xdr:row>
      <xdr:rowOff>0</xdr:rowOff>
    </xdr:to>
    <xdr:grpSp>
      <xdr:nvGrpSpPr>
        <xdr:cNvPr id="4180" name="Cross_E61">
          <a:extLst>
            <a:ext uri="{FF2B5EF4-FFF2-40B4-BE49-F238E27FC236}">
              <a16:creationId xmlns:a16="http://schemas.microsoft.com/office/drawing/2014/main" id="{AE97DE49-476E-7AA8-6D17-A13AE0183D56}"/>
            </a:ext>
          </a:extLst>
        </xdr:cNvPr>
        <xdr:cNvGrpSpPr/>
      </xdr:nvGrpSpPr>
      <xdr:grpSpPr>
        <a:xfrm>
          <a:off x="2827020" y="11521440"/>
          <a:ext cx="594360" cy="228600"/>
          <a:chOff x="2827020" y="11521440"/>
          <a:chExt cx="594360" cy="228600"/>
        </a:xfrm>
      </xdr:grpSpPr>
      <xdr:cxnSp macro="">
        <xdr:nvCxnSpPr>
          <xdr:cNvPr id="4178" name="Gerader Verbinder 4177">
            <a:extLst>
              <a:ext uri="{FF2B5EF4-FFF2-40B4-BE49-F238E27FC236}">
                <a16:creationId xmlns:a16="http://schemas.microsoft.com/office/drawing/2014/main" id="{A3570B21-C8A0-7CDE-296C-FB1560EA3063}"/>
              </a:ext>
            </a:extLst>
          </xdr:cNvPr>
          <xdr:cNvCxnSpPr/>
        </xdr:nvCxnSpPr>
        <xdr:spPr>
          <a:xfrm>
            <a:off x="2827020" y="115214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79" name="Gerader Verbinder 4178">
            <a:extLst>
              <a:ext uri="{FF2B5EF4-FFF2-40B4-BE49-F238E27FC236}">
                <a16:creationId xmlns:a16="http://schemas.microsoft.com/office/drawing/2014/main" id="{435744AB-E814-9CE0-79C9-1CDCDB07600F}"/>
              </a:ext>
            </a:extLst>
          </xdr:cNvPr>
          <xdr:cNvCxnSpPr/>
        </xdr:nvCxnSpPr>
        <xdr:spPr>
          <a:xfrm flipH="1">
            <a:off x="2827020" y="115214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61</xdr:row>
      <xdr:rowOff>0</xdr:rowOff>
    </xdr:from>
    <xdr:to>
      <xdr:col>5</xdr:col>
      <xdr:colOff>0</xdr:colOff>
      <xdr:row>62</xdr:row>
      <xdr:rowOff>0</xdr:rowOff>
    </xdr:to>
    <xdr:grpSp>
      <xdr:nvGrpSpPr>
        <xdr:cNvPr id="4183" name="Cross_E62">
          <a:extLst>
            <a:ext uri="{FF2B5EF4-FFF2-40B4-BE49-F238E27FC236}">
              <a16:creationId xmlns:a16="http://schemas.microsoft.com/office/drawing/2014/main" id="{D8399051-0EA7-B079-47FB-204143235C4D}"/>
            </a:ext>
          </a:extLst>
        </xdr:cNvPr>
        <xdr:cNvGrpSpPr/>
      </xdr:nvGrpSpPr>
      <xdr:grpSpPr>
        <a:xfrm>
          <a:off x="2827020" y="11750040"/>
          <a:ext cx="594360" cy="167640"/>
          <a:chOff x="2827020" y="11750040"/>
          <a:chExt cx="594360" cy="167640"/>
        </a:xfrm>
      </xdr:grpSpPr>
      <xdr:cxnSp macro="">
        <xdr:nvCxnSpPr>
          <xdr:cNvPr id="4181" name="Gerader Verbinder 4180">
            <a:extLst>
              <a:ext uri="{FF2B5EF4-FFF2-40B4-BE49-F238E27FC236}">
                <a16:creationId xmlns:a16="http://schemas.microsoft.com/office/drawing/2014/main" id="{0E76673E-09CA-BD98-2B35-6BFA8761647F}"/>
              </a:ext>
            </a:extLst>
          </xdr:cNvPr>
          <xdr:cNvCxnSpPr/>
        </xdr:nvCxnSpPr>
        <xdr:spPr>
          <a:xfrm>
            <a:off x="2827020" y="117500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82" name="Gerader Verbinder 4181">
            <a:extLst>
              <a:ext uri="{FF2B5EF4-FFF2-40B4-BE49-F238E27FC236}">
                <a16:creationId xmlns:a16="http://schemas.microsoft.com/office/drawing/2014/main" id="{A05DE708-2605-740D-4C90-79912EAB0DB3}"/>
              </a:ext>
            </a:extLst>
          </xdr:cNvPr>
          <xdr:cNvCxnSpPr/>
        </xdr:nvCxnSpPr>
        <xdr:spPr>
          <a:xfrm flipH="1">
            <a:off x="2827020" y="117500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62</xdr:row>
      <xdr:rowOff>0</xdr:rowOff>
    </xdr:from>
    <xdr:to>
      <xdr:col>5</xdr:col>
      <xdr:colOff>0</xdr:colOff>
      <xdr:row>63</xdr:row>
      <xdr:rowOff>0</xdr:rowOff>
    </xdr:to>
    <xdr:grpSp>
      <xdr:nvGrpSpPr>
        <xdr:cNvPr id="4186" name="Cross_E63">
          <a:extLst>
            <a:ext uri="{FF2B5EF4-FFF2-40B4-BE49-F238E27FC236}">
              <a16:creationId xmlns:a16="http://schemas.microsoft.com/office/drawing/2014/main" id="{10A12961-B5E4-3FDD-184F-81B0CAC34D2C}"/>
            </a:ext>
          </a:extLst>
        </xdr:cNvPr>
        <xdr:cNvGrpSpPr/>
      </xdr:nvGrpSpPr>
      <xdr:grpSpPr>
        <a:xfrm>
          <a:off x="2827020" y="11917680"/>
          <a:ext cx="594360" cy="167640"/>
          <a:chOff x="2827020" y="11917680"/>
          <a:chExt cx="594360" cy="167640"/>
        </a:xfrm>
      </xdr:grpSpPr>
      <xdr:cxnSp macro="">
        <xdr:nvCxnSpPr>
          <xdr:cNvPr id="4184" name="Gerader Verbinder 4183">
            <a:extLst>
              <a:ext uri="{FF2B5EF4-FFF2-40B4-BE49-F238E27FC236}">
                <a16:creationId xmlns:a16="http://schemas.microsoft.com/office/drawing/2014/main" id="{EBC0A657-0A5C-D1FE-C12D-4CB214AF6ABE}"/>
              </a:ext>
            </a:extLst>
          </xdr:cNvPr>
          <xdr:cNvCxnSpPr/>
        </xdr:nvCxnSpPr>
        <xdr:spPr>
          <a:xfrm>
            <a:off x="2827020" y="11917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85" name="Gerader Verbinder 4184">
            <a:extLst>
              <a:ext uri="{FF2B5EF4-FFF2-40B4-BE49-F238E27FC236}">
                <a16:creationId xmlns:a16="http://schemas.microsoft.com/office/drawing/2014/main" id="{344D0DE9-F120-2D1E-22EA-2141DCF6DFDE}"/>
              </a:ext>
            </a:extLst>
          </xdr:cNvPr>
          <xdr:cNvCxnSpPr/>
        </xdr:nvCxnSpPr>
        <xdr:spPr>
          <a:xfrm flipH="1">
            <a:off x="2827020" y="11917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69</xdr:row>
      <xdr:rowOff>0</xdr:rowOff>
    </xdr:from>
    <xdr:to>
      <xdr:col>5</xdr:col>
      <xdr:colOff>0</xdr:colOff>
      <xdr:row>70</xdr:row>
      <xdr:rowOff>0</xdr:rowOff>
    </xdr:to>
    <xdr:grpSp>
      <xdr:nvGrpSpPr>
        <xdr:cNvPr id="4189" name="Cross_E70">
          <a:extLst>
            <a:ext uri="{FF2B5EF4-FFF2-40B4-BE49-F238E27FC236}">
              <a16:creationId xmlns:a16="http://schemas.microsoft.com/office/drawing/2014/main" id="{AB3FF4DA-709F-87C2-3C6F-D47DAA5FE393}"/>
            </a:ext>
          </a:extLst>
        </xdr:cNvPr>
        <xdr:cNvGrpSpPr/>
      </xdr:nvGrpSpPr>
      <xdr:grpSpPr>
        <a:xfrm>
          <a:off x="2827020" y="13213080"/>
          <a:ext cx="594360" cy="228600"/>
          <a:chOff x="2827020" y="13213080"/>
          <a:chExt cx="594360" cy="228600"/>
        </a:xfrm>
      </xdr:grpSpPr>
      <xdr:cxnSp macro="">
        <xdr:nvCxnSpPr>
          <xdr:cNvPr id="4187" name="Gerader Verbinder 4186">
            <a:extLst>
              <a:ext uri="{FF2B5EF4-FFF2-40B4-BE49-F238E27FC236}">
                <a16:creationId xmlns:a16="http://schemas.microsoft.com/office/drawing/2014/main" id="{22880F65-1C50-E66B-1A3C-91FA139C582D}"/>
              </a:ext>
            </a:extLst>
          </xdr:cNvPr>
          <xdr:cNvCxnSpPr/>
        </xdr:nvCxnSpPr>
        <xdr:spPr>
          <a:xfrm>
            <a:off x="2827020" y="132130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88" name="Gerader Verbinder 4187">
            <a:extLst>
              <a:ext uri="{FF2B5EF4-FFF2-40B4-BE49-F238E27FC236}">
                <a16:creationId xmlns:a16="http://schemas.microsoft.com/office/drawing/2014/main" id="{BB53C9DC-7BFF-C750-8840-89A8680FA9DD}"/>
              </a:ext>
            </a:extLst>
          </xdr:cNvPr>
          <xdr:cNvCxnSpPr/>
        </xdr:nvCxnSpPr>
        <xdr:spPr>
          <a:xfrm flipH="1">
            <a:off x="2827020" y="132130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70</xdr:row>
      <xdr:rowOff>0</xdr:rowOff>
    </xdr:from>
    <xdr:to>
      <xdr:col>5</xdr:col>
      <xdr:colOff>0</xdr:colOff>
      <xdr:row>71</xdr:row>
      <xdr:rowOff>0</xdr:rowOff>
    </xdr:to>
    <xdr:grpSp>
      <xdr:nvGrpSpPr>
        <xdr:cNvPr id="4192" name="Cross_E71">
          <a:extLst>
            <a:ext uri="{FF2B5EF4-FFF2-40B4-BE49-F238E27FC236}">
              <a16:creationId xmlns:a16="http://schemas.microsoft.com/office/drawing/2014/main" id="{31B9C4A6-A213-B8EC-4466-A9BC27658954}"/>
            </a:ext>
          </a:extLst>
        </xdr:cNvPr>
        <xdr:cNvGrpSpPr/>
      </xdr:nvGrpSpPr>
      <xdr:grpSpPr>
        <a:xfrm>
          <a:off x="2827020" y="13441680"/>
          <a:ext cx="594360" cy="167640"/>
          <a:chOff x="2827020" y="13441680"/>
          <a:chExt cx="594360" cy="167640"/>
        </a:xfrm>
      </xdr:grpSpPr>
      <xdr:cxnSp macro="">
        <xdr:nvCxnSpPr>
          <xdr:cNvPr id="4190" name="Gerader Verbinder 4189">
            <a:extLst>
              <a:ext uri="{FF2B5EF4-FFF2-40B4-BE49-F238E27FC236}">
                <a16:creationId xmlns:a16="http://schemas.microsoft.com/office/drawing/2014/main" id="{11F77087-87A2-12CF-509E-9BE4D0590E1C}"/>
              </a:ext>
            </a:extLst>
          </xdr:cNvPr>
          <xdr:cNvCxnSpPr/>
        </xdr:nvCxnSpPr>
        <xdr:spPr>
          <a:xfrm>
            <a:off x="2827020" y="13441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91" name="Gerader Verbinder 4190">
            <a:extLst>
              <a:ext uri="{FF2B5EF4-FFF2-40B4-BE49-F238E27FC236}">
                <a16:creationId xmlns:a16="http://schemas.microsoft.com/office/drawing/2014/main" id="{E9E72406-968C-E959-BE79-8D3F6860650C}"/>
              </a:ext>
            </a:extLst>
          </xdr:cNvPr>
          <xdr:cNvCxnSpPr/>
        </xdr:nvCxnSpPr>
        <xdr:spPr>
          <a:xfrm flipH="1">
            <a:off x="2827020" y="13441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71</xdr:row>
      <xdr:rowOff>0</xdr:rowOff>
    </xdr:from>
    <xdr:to>
      <xdr:col>5</xdr:col>
      <xdr:colOff>0</xdr:colOff>
      <xdr:row>72</xdr:row>
      <xdr:rowOff>1</xdr:rowOff>
    </xdr:to>
    <xdr:grpSp>
      <xdr:nvGrpSpPr>
        <xdr:cNvPr id="4195" name="Cross_E72">
          <a:extLst>
            <a:ext uri="{FF2B5EF4-FFF2-40B4-BE49-F238E27FC236}">
              <a16:creationId xmlns:a16="http://schemas.microsoft.com/office/drawing/2014/main" id="{620218A7-43CF-0A8D-A859-F981DDAE3DA5}"/>
            </a:ext>
          </a:extLst>
        </xdr:cNvPr>
        <xdr:cNvGrpSpPr/>
      </xdr:nvGrpSpPr>
      <xdr:grpSpPr>
        <a:xfrm>
          <a:off x="2827020" y="13609320"/>
          <a:ext cx="594360" cy="167641"/>
          <a:chOff x="2827020" y="13609320"/>
          <a:chExt cx="594360" cy="167641"/>
        </a:xfrm>
      </xdr:grpSpPr>
      <xdr:cxnSp macro="">
        <xdr:nvCxnSpPr>
          <xdr:cNvPr id="4193" name="Gerader Verbinder 4192">
            <a:extLst>
              <a:ext uri="{FF2B5EF4-FFF2-40B4-BE49-F238E27FC236}">
                <a16:creationId xmlns:a16="http://schemas.microsoft.com/office/drawing/2014/main" id="{C7EDA2D2-3B71-91E0-54EA-ECF02EC75F92}"/>
              </a:ext>
            </a:extLst>
          </xdr:cNvPr>
          <xdr:cNvCxnSpPr/>
        </xdr:nvCxnSpPr>
        <xdr:spPr>
          <a:xfrm>
            <a:off x="2827020" y="13609320"/>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94" name="Gerader Verbinder 4193">
            <a:extLst>
              <a:ext uri="{FF2B5EF4-FFF2-40B4-BE49-F238E27FC236}">
                <a16:creationId xmlns:a16="http://schemas.microsoft.com/office/drawing/2014/main" id="{DC559C65-39D5-7221-E333-168FED2B0D39}"/>
              </a:ext>
            </a:extLst>
          </xdr:cNvPr>
          <xdr:cNvCxnSpPr/>
        </xdr:nvCxnSpPr>
        <xdr:spPr>
          <a:xfrm flipH="1">
            <a:off x="2827020" y="13609320"/>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72</xdr:row>
      <xdr:rowOff>1</xdr:rowOff>
    </xdr:from>
    <xdr:to>
      <xdr:col>5</xdr:col>
      <xdr:colOff>0</xdr:colOff>
      <xdr:row>73</xdr:row>
      <xdr:rowOff>1</xdr:rowOff>
    </xdr:to>
    <xdr:grpSp>
      <xdr:nvGrpSpPr>
        <xdr:cNvPr id="4198" name="Cross_E73">
          <a:extLst>
            <a:ext uri="{FF2B5EF4-FFF2-40B4-BE49-F238E27FC236}">
              <a16:creationId xmlns:a16="http://schemas.microsoft.com/office/drawing/2014/main" id="{868312FA-6C78-EEE8-F9DA-196D58D612FB}"/>
            </a:ext>
          </a:extLst>
        </xdr:cNvPr>
        <xdr:cNvGrpSpPr/>
      </xdr:nvGrpSpPr>
      <xdr:grpSpPr>
        <a:xfrm>
          <a:off x="2827020" y="13776961"/>
          <a:ext cx="594360" cy="228600"/>
          <a:chOff x="2827020" y="13776961"/>
          <a:chExt cx="594360" cy="228600"/>
        </a:xfrm>
      </xdr:grpSpPr>
      <xdr:cxnSp macro="">
        <xdr:nvCxnSpPr>
          <xdr:cNvPr id="4196" name="Gerader Verbinder 4195">
            <a:extLst>
              <a:ext uri="{FF2B5EF4-FFF2-40B4-BE49-F238E27FC236}">
                <a16:creationId xmlns:a16="http://schemas.microsoft.com/office/drawing/2014/main" id="{4BC6AEEA-3B94-5776-7260-75610A0D085F}"/>
              </a:ext>
            </a:extLst>
          </xdr:cNvPr>
          <xdr:cNvCxnSpPr/>
        </xdr:nvCxnSpPr>
        <xdr:spPr>
          <a:xfrm>
            <a:off x="2827020" y="13776961"/>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97" name="Gerader Verbinder 4196">
            <a:extLst>
              <a:ext uri="{FF2B5EF4-FFF2-40B4-BE49-F238E27FC236}">
                <a16:creationId xmlns:a16="http://schemas.microsoft.com/office/drawing/2014/main" id="{17131192-5B0F-25E2-EA25-536613ACFC30}"/>
              </a:ext>
            </a:extLst>
          </xdr:cNvPr>
          <xdr:cNvCxnSpPr/>
        </xdr:nvCxnSpPr>
        <xdr:spPr>
          <a:xfrm flipH="1">
            <a:off x="2827020" y="13776961"/>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73</xdr:row>
      <xdr:rowOff>1</xdr:rowOff>
    </xdr:from>
    <xdr:to>
      <xdr:col>5</xdr:col>
      <xdr:colOff>0</xdr:colOff>
      <xdr:row>74</xdr:row>
      <xdr:rowOff>0</xdr:rowOff>
    </xdr:to>
    <xdr:grpSp>
      <xdr:nvGrpSpPr>
        <xdr:cNvPr id="4201" name="Cross_E74">
          <a:extLst>
            <a:ext uri="{FF2B5EF4-FFF2-40B4-BE49-F238E27FC236}">
              <a16:creationId xmlns:a16="http://schemas.microsoft.com/office/drawing/2014/main" id="{A795A0AA-BE93-64D1-91BD-35F8548C1924}"/>
            </a:ext>
          </a:extLst>
        </xdr:cNvPr>
        <xdr:cNvGrpSpPr/>
      </xdr:nvGrpSpPr>
      <xdr:grpSpPr>
        <a:xfrm>
          <a:off x="2827020" y="14005561"/>
          <a:ext cx="594360" cy="167639"/>
          <a:chOff x="2827020" y="14005561"/>
          <a:chExt cx="594360" cy="167639"/>
        </a:xfrm>
      </xdr:grpSpPr>
      <xdr:cxnSp macro="">
        <xdr:nvCxnSpPr>
          <xdr:cNvPr id="4199" name="Gerader Verbinder 4198">
            <a:extLst>
              <a:ext uri="{FF2B5EF4-FFF2-40B4-BE49-F238E27FC236}">
                <a16:creationId xmlns:a16="http://schemas.microsoft.com/office/drawing/2014/main" id="{645969DF-CA79-9E78-0DC0-37599FEBE0F9}"/>
              </a:ext>
            </a:extLst>
          </xdr:cNvPr>
          <xdr:cNvCxnSpPr/>
        </xdr:nvCxnSpPr>
        <xdr:spPr>
          <a:xfrm>
            <a:off x="2827020" y="14005561"/>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00" name="Gerader Verbinder 4199">
            <a:extLst>
              <a:ext uri="{FF2B5EF4-FFF2-40B4-BE49-F238E27FC236}">
                <a16:creationId xmlns:a16="http://schemas.microsoft.com/office/drawing/2014/main" id="{DE9A3BDD-C1D7-286D-A911-56500070BB96}"/>
              </a:ext>
            </a:extLst>
          </xdr:cNvPr>
          <xdr:cNvCxnSpPr/>
        </xdr:nvCxnSpPr>
        <xdr:spPr>
          <a:xfrm flipH="1">
            <a:off x="2827020" y="14005561"/>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74</xdr:row>
      <xdr:rowOff>0</xdr:rowOff>
    </xdr:from>
    <xdr:to>
      <xdr:col>5</xdr:col>
      <xdr:colOff>0</xdr:colOff>
      <xdr:row>74</xdr:row>
      <xdr:rowOff>167639</xdr:rowOff>
    </xdr:to>
    <xdr:grpSp>
      <xdr:nvGrpSpPr>
        <xdr:cNvPr id="4204" name="Cross_E75">
          <a:extLst>
            <a:ext uri="{FF2B5EF4-FFF2-40B4-BE49-F238E27FC236}">
              <a16:creationId xmlns:a16="http://schemas.microsoft.com/office/drawing/2014/main" id="{D9C888BE-D19F-CAD3-2873-41B217C4F3C5}"/>
            </a:ext>
          </a:extLst>
        </xdr:cNvPr>
        <xdr:cNvGrpSpPr/>
      </xdr:nvGrpSpPr>
      <xdr:grpSpPr>
        <a:xfrm>
          <a:off x="2827020" y="14173200"/>
          <a:ext cx="594360" cy="167639"/>
          <a:chOff x="2827020" y="14173200"/>
          <a:chExt cx="594360" cy="167639"/>
        </a:xfrm>
      </xdr:grpSpPr>
      <xdr:cxnSp macro="">
        <xdr:nvCxnSpPr>
          <xdr:cNvPr id="4202" name="Gerader Verbinder 4201">
            <a:extLst>
              <a:ext uri="{FF2B5EF4-FFF2-40B4-BE49-F238E27FC236}">
                <a16:creationId xmlns:a16="http://schemas.microsoft.com/office/drawing/2014/main" id="{D295B9C7-CAEB-8B2C-937A-0631CEDD7D4F}"/>
              </a:ext>
            </a:extLst>
          </xdr:cNvPr>
          <xdr:cNvCxnSpPr/>
        </xdr:nvCxnSpPr>
        <xdr:spPr>
          <a:xfrm>
            <a:off x="2827020" y="14173200"/>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03" name="Gerader Verbinder 4202">
            <a:extLst>
              <a:ext uri="{FF2B5EF4-FFF2-40B4-BE49-F238E27FC236}">
                <a16:creationId xmlns:a16="http://schemas.microsoft.com/office/drawing/2014/main" id="{58A845D5-1199-DDDB-054E-036C9A3A2B9E}"/>
              </a:ext>
            </a:extLst>
          </xdr:cNvPr>
          <xdr:cNvCxnSpPr/>
        </xdr:nvCxnSpPr>
        <xdr:spPr>
          <a:xfrm flipH="1">
            <a:off x="2827020" y="14173200"/>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9</xdr:row>
      <xdr:rowOff>0</xdr:rowOff>
    </xdr:from>
    <xdr:to>
      <xdr:col>6</xdr:col>
      <xdr:colOff>0</xdr:colOff>
      <xdr:row>10</xdr:row>
      <xdr:rowOff>0</xdr:rowOff>
    </xdr:to>
    <xdr:grpSp>
      <xdr:nvGrpSpPr>
        <xdr:cNvPr id="4207" name="Cross_F10">
          <a:extLst>
            <a:ext uri="{FF2B5EF4-FFF2-40B4-BE49-F238E27FC236}">
              <a16:creationId xmlns:a16="http://schemas.microsoft.com/office/drawing/2014/main" id="{2BFC337A-6EE4-EBD5-1C65-4DCB5EB96152}"/>
            </a:ext>
          </a:extLst>
        </xdr:cNvPr>
        <xdr:cNvGrpSpPr/>
      </xdr:nvGrpSpPr>
      <xdr:grpSpPr>
        <a:xfrm>
          <a:off x="3421380" y="1935480"/>
          <a:ext cx="594360" cy="228600"/>
          <a:chOff x="3421380" y="1935480"/>
          <a:chExt cx="594360" cy="228600"/>
        </a:xfrm>
      </xdr:grpSpPr>
      <xdr:cxnSp macro="">
        <xdr:nvCxnSpPr>
          <xdr:cNvPr id="4205" name="Gerader Verbinder 4204">
            <a:extLst>
              <a:ext uri="{FF2B5EF4-FFF2-40B4-BE49-F238E27FC236}">
                <a16:creationId xmlns:a16="http://schemas.microsoft.com/office/drawing/2014/main" id="{8E251FCE-2593-4F7D-DBF9-39684E4891DA}"/>
              </a:ext>
            </a:extLst>
          </xdr:cNvPr>
          <xdr:cNvCxnSpPr/>
        </xdr:nvCxnSpPr>
        <xdr:spPr>
          <a:xfrm>
            <a:off x="3421380" y="19354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06" name="Gerader Verbinder 4205">
            <a:extLst>
              <a:ext uri="{FF2B5EF4-FFF2-40B4-BE49-F238E27FC236}">
                <a16:creationId xmlns:a16="http://schemas.microsoft.com/office/drawing/2014/main" id="{1AC24D9F-BDB1-C7E4-4267-8C039AAB67C4}"/>
              </a:ext>
            </a:extLst>
          </xdr:cNvPr>
          <xdr:cNvCxnSpPr/>
        </xdr:nvCxnSpPr>
        <xdr:spPr>
          <a:xfrm flipH="1">
            <a:off x="3421380" y="19354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10</xdr:row>
      <xdr:rowOff>0</xdr:rowOff>
    </xdr:from>
    <xdr:to>
      <xdr:col>6</xdr:col>
      <xdr:colOff>0</xdr:colOff>
      <xdr:row>11</xdr:row>
      <xdr:rowOff>0</xdr:rowOff>
    </xdr:to>
    <xdr:grpSp>
      <xdr:nvGrpSpPr>
        <xdr:cNvPr id="4210" name="Cross_F11">
          <a:extLst>
            <a:ext uri="{FF2B5EF4-FFF2-40B4-BE49-F238E27FC236}">
              <a16:creationId xmlns:a16="http://schemas.microsoft.com/office/drawing/2014/main" id="{8A92C3A1-BD3B-6F76-2B39-E8B828E889A0}"/>
            </a:ext>
          </a:extLst>
        </xdr:cNvPr>
        <xdr:cNvGrpSpPr/>
      </xdr:nvGrpSpPr>
      <xdr:grpSpPr>
        <a:xfrm>
          <a:off x="3421380" y="2164080"/>
          <a:ext cx="594360" cy="167640"/>
          <a:chOff x="3421380" y="2164080"/>
          <a:chExt cx="594360" cy="167640"/>
        </a:xfrm>
      </xdr:grpSpPr>
      <xdr:cxnSp macro="">
        <xdr:nvCxnSpPr>
          <xdr:cNvPr id="4208" name="Gerader Verbinder 4207">
            <a:extLst>
              <a:ext uri="{FF2B5EF4-FFF2-40B4-BE49-F238E27FC236}">
                <a16:creationId xmlns:a16="http://schemas.microsoft.com/office/drawing/2014/main" id="{D38B44B2-B3B7-7DC1-D318-204CE9D28B3E}"/>
              </a:ext>
            </a:extLst>
          </xdr:cNvPr>
          <xdr:cNvCxnSpPr/>
        </xdr:nvCxnSpPr>
        <xdr:spPr>
          <a:xfrm>
            <a:off x="3421380" y="21640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09" name="Gerader Verbinder 4208">
            <a:extLst>
              <a:ext uri="{FF2B5EF4-FFF2-40B4-BE49-F238E27FC236}">
                <a16:creationId xmlns:a16="http://schemas.microsoft.com/office/drawing/2014/main" id="{D9FF81FC-2A80-2EAB-64FD-5D89F929DD4A}"/>
              </a:ext>
            </a:extLst>
          </xdr:cNvPr>
          <xdr:cNvCxnSpPr/>
        </xdr:nvCxnSpPr>
        <xdr:spPr>
          <a:xfrm flipH="1">
            <a:off x="3421380" y="21640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11</xdr:row>
      <xdr:rowOff>0</xdr:rowOff>
    </xdr:from>
    <xdr:to>
      <xdr:col>6</xdr:col>
      <xdr:colOff>0</xdr:colOff>
      <xdr:row>12</xdr:row>
      <xdr:rowOff>0</xdr:rowOff>
    </xdr:to>
    <xdr:grpSp>
      <xdr:nvGrpSpPr>
        <xdr:cNvPr id="4213" name="Cross_F12">
          <a:extLst>
            <a:ext uri="{FF2B5EF4-FFF2-40B4-BE49-F238E27FC236}">
              <a16:creationId xmlns:a16="http://schemas.microsoft.com/office/drawing/2014/main" id="{68F6C72B-5726-816F-E272-BBAF1E8FA55C}"/>
            </a:ext>
          </a:extLst>
        </xdr:cNvPr>
        <xdr:cNvGrpSpPr/>
      </xdr:nvGrpSpPr>
      <xdr:grpSpPr>
        <a:xfrm>
          <a:off x="3421380" y="2331720"/>
          <a:ext cx="594360" cy="167640"/>
          <a:chOff x="3421380" y="2331720"/>
          <a:chExt cx="594360" cy="167640"/>
        </a:xfrm>
      </xdr:grpSpPr>
      <xdr:cxnSp macro="">
        <xdr:nvCxnSpPr>
          <xdr:cNvPr id="4211" name="Gerader Verbinder 4210">
            <a:extLst>
              <a:ext uri="{FF2B5EF4-FFF2-40B4-BE49-F238E27FC236}">
                <a16:creationId xmlns:a16="http://schemas.microsoft.com/office/drawing/2014/main" id="{F6BFA8A6-8300-5E6C-9142-78C623F6F366}"/>
              </a:ext>
            </a:extLst>
          </xdr:cNvPr>
          <xdr:cNvCxnSpPr/>
        </xdr:nvCxnSpPr>
        <xdr:spPr>
          <a:xfrm>
            <a:off x="3421380" y="2331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12" name="Gerader Verbinder 4211">
            <a:extLst>
              <a:ext uri="{FF2B5EF4-FFF2-40B4-BE49-F238E27FC236}">
                <a16:creationId xmlns:a16="http://schemas.microsoft.com/office/drawing/2014/main" id="{DB805829-4DF4-81EA-6E8A-8A50CC92C1A7}"/>
              </a:ext>
            </a:extLst>
          </xdr:cNvPr>
          <xdr:cNvCxnSpPr/>
        </xdr:nvCxnSpPr>
        <xdr:spPr>
          <a:xfrm flipH="1">
            <a:off x="3421380" y="2331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12</xdr:row>
      <xdr:rowOff>0</xdr:rowOff>
    </xdr:from>
    <xdr:to>
      <xdr:col>6</xdr:col>
      <xdr:colOff>0</xdr:colOff>
      <xdr:row>13</xdr:row>
      <xdr:rowOff>0</xdr:rowOff>
    </xdr:to>
    <xdr:grpSp>
      <xdr:nvGrpSpPr>
        <xdr:cNvPr id="4216" name="Cross_F13">
          <a:extLst>
            <a:ext uri="{FF2B5EF4-FFF2-40B4-BE49-F238E27FC236}">
              <a16:creationId xmlns:a16="http://schemas.microsoft.com/office/drawing/2014/main" id="{10BE363D-6EA3-1724-AB47-C42CEE65C406}"/>
            </a:ext>
          </a:extLst>
        </xdr:cNvPr>
        <xdr:cNvGrpSpPr/>
      </xdr:nvGrpSpPr>
      <xdr:grpSpPr>
        <a:xfrm>
          <a:off x="3421380" y="2499360"/>
          <a:ext cx="594360" cy="228600"/>
          <a:chOff x="3421380" y="2499360"/>
          <a:chExt cx="594360" cy="228600"/>
        </a:xfrm>
      </xdr:grpSpPr>
      <xdr:cxnSp macro="">
        <xdr:nvCxnSpPr>
          <xdr:cNvPr id="4214" name="Gerader Verbinder 4213">
            <a:extLst>
              <a:ext uri="{FF2B5EF4-FFF2-40B4-BE49-F238E27FC236}">
                <a16:creationId xmlns:a16="http://schemas.microsoft.com/office/drawing/2014/main" id="{4E6A84BF-F2A7-A77C-122F-8D543818E2D4}"/>
              </a:ext>
            </a:extLst>
          </xdr:cNvPr>
          <xdr:cNvCxnSpPr/>
        </xdr:nvCxnSpPr>
        <xdr:spPr>
          <a:xfrm>
            <a:off x="3421380" y="24993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15" name="Gerader Verbinder 4214">
            <a:extLst>
              <a:ext uri="{FF2B5EF4-FFF2-40B4-BE49-F238E27FC236}">
                <a16:creationId xmlns:a16="http://schemas.microsoft.com/office/drawing/2014/main" id="{98F4DE60-F32A-BFCE-912D-950D8658F256}"/>
              </a:ext>
            </a:extLst>
          </xdr:cNvPr>
          <xdr:cNvCxnSpPr/>
        </xdr:nvCxnSpPr>
        <xdr:spPr>
          <a:xfrm flipH="1">
            <a:off x="3421380" y="24993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13</xdr:row>
      <xdr:rowOff>0</xdr:rowOff>
    </xdr:from>
    <xdr:to>
      <xdr:col>6</xdr:col>
      <xdr:colOff>0</xdr:colOff>
      <xdr:row>14</xdr:row>
      <xdr:rowOff>0</xdr:rowOff>
    </xdr:to>
    <xdr:grpSp>
      <xdr:nvGrpSpPr>
        <xdr:cNvPr id="4219" name="Cross_F14">
          <a:extLst>
            <a:ext uri="{FF2B5EF4-FFF2-40B4-BE49-F238E27FC236}">
              <a16:creationId xmlns:a16="http://schemas.microsoft.com/office/drawing/2014/main" id="{9536018A-F2EB-F8A5-5F32-7E72B98BEDD5}"/>
            </a:ext>
          </a:extLst>
        </xdr:cNvPr>
        <xdr:cNvGrpSpPr/>
      </xdr:nvGrpSpPr>
      <xdr:grpSpPr>
        <a:xfrm>
          <a:off x="3421380" y="2727960"/>
          <a:ext cx="594360" cy="167640"/>
          <a:chOff x="3421380" y="2727960"/>
          <a:chExt cx="594360" cy="167640"/>
        </a:xfrm>
      </xdr:grpSpPr>
      <xdr:cxnSp macro="">
        <xdr:nvCxnSpPr>
          <xdr:cNvPr id="4217" name="Gerader Verbinder 4216">
            <a:extLst>
              <a:ext uri="{FF2B5EF4-FFF2-40B4-BE49-F238E27FC236}">
                <a16:creationId xmlns:a16="http://schemas.microsoft.com/office/drawing/2014/main" id="{8CD15D56-6EDF-047A-B8FA-DADF67545C5E}"/>
              </a:ext>
            </a:extLst>
          </xdr:cNvPr>
          <xdr:cNvCxnSpPr/>
        </xdr:nvCxnSpPr>
        <xdr:spPr>
          <a:xfrm>
            <a:off x="3421380" y="27279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18" name="Gerader Verbinder 4217">
            <a:extLst>
              <a:ext uri="{FF2B5EF4-FFF2-40B4-BE49-F238E27FC236}">
                <a16:creationId xmlns:a16="http://schemas.microsoft.com/office/drawing/2014/main" id="{DE36371E-9E22-8F2F-6D70-4207267BA923}"/>
              </a:ext>
            </a:extLst>
          </xdr:cNvPr>
          <xdr:cNvCxnSpPr/>
        </xdr:nvCxnSpPr>
        <xdr:spPr>
          <a:xfrm flipH="1">
            <a:off x="3421380" y="27279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14</xdr:row>
      <xdr:rowOff>0</xdr:rowOff>
    </xdr:from>
    <xdr:to>
      <xdr:col>6</xdr:col>
      <xdr:colOff>0</xdr:colOff>
      <xdr:row>15</xdr:row>
      <xdr:rowOff>0</xdr:rowOff>
    </xdr:to>
    <xdr:grpSp>
      <xdr:nvGrpSpPr>
        <xdr:cNvPr id="4222" name="Cross_F15">
          <a:extLst>
            <a:ext uri="{FF2B5EF4-FFF2-40B4-BE49-F238E27FC236}">
              <a16:creationId xmlns:a16="http://schemas.microsoft.com/office/drawing/2014/main" id="{0FDE14B9-A7D8-6A89-0B15-9BD44CE53D26}"/>
            </a:ext>
          </a:extLst>
        </xdr:cNvPr>
        <xdr:cNvGrpSpPr/>
      </xdr:nvGrpSpPr>
      <xdr:grpSpPr>
        <a:xfrm>
          <a:off x="3421380" y="2895600"/>
          <a:ext cx="594360" cy="167640"/>
          <a:chOff x="3421380" y="2895600"/>
          <a:chExt cx="594360" cy="167640"/>
        </a:xfrm>
      </xdr:grpSpPr>
      <xdr:cxnSp macro="">
        <xdr:nvCxnSpPr>
          <xdr:cNvPr id="4220" name="Gerader Verbinder 4219">
            <a:extLst>
              <a:ext uri="{FF2B5EF4-FFF2-40B4-BE49-F238E27FC236}">
                <a16:creationId xmlns:a16="http://schemas.microsoft.com/office/drawing/2014/main" id="{141FCD37-7631-88C2-15B1-926BCD463118}"/>
              </a:ext>
            </a:extLst>
          </xdr:cNvPr>
          <xdr:cNvCxnSpPr/>
        </xdr:nvCxnSpPr>
        <xdr:spPr>
          <a:xfrm>
            <a:off x="3421380" y="28956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21" name="Gerader Verbinder 4220">
            <a:extLst>
              <a:ext uri="{FF2B5EF4-FFF2-40B4-BE49-F238E27FC236}">
                <a16:creationId xmlns:a16="http://schemas.microsoft.com/office/drawing/2014/main" id="{6EA475BE-3A4C-1308-9E76-515EE24B2F16}"/>
              </a:ext>
            </a:extLst>
          </xdr:cNvPr>
          <xdr:cNvCxnSpPr/>
        </xdr:nvCxnSpPr>
        <xdr:spPr>
          <a:xfrm flipH="1">
            <a:off x="3421380" y="28956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18</xdr:row>
      <xdr:rowOff>0</xdr:rowOff>
    </xdr:from>
    <xdr:to>
      <xdr:col>6</xdr:col>
      <xdr:colOff>0</xdr:colOff>
      <xdr:row>19</xdr:row>
      <xdr:rowOff>0</xdr:rowOff>
    </xdr:to>
    <xdr:grpSp>
      <xdr:nvGrpSpPr>
        <xdr:cNvPr id="4225" name="Cross_F19">
          <a:extLst>
            <a:ext uri="{FF2B5EF4-FFF2-40B4-BE49-F238E27FC236}">
              <a16:creationId xmlns:a16="http://schemas.microsoft.com/office/drawing/2014/main" id="{F5E69D8A-A6F2-53AC-1678-99852ABC910A}"/>
            </a:ext>
          </a:extLst>
        </xdr:cNvPr>
        <xdr:cNvGrpSpPr/>
      </xdr:nvGrpSpPr>
      <xdr:grpSpPr>
        <a:xfrm>
          <a:off x="3421380" y="3627120"/>
          <a:ext cx="594360" cy="228600"/>
          <a:chOff x="3421380" y="3627120"/>
          <a:chExt cx="594360" cy="228600"/>
        </a:xfrm>
      </xdr:grpSpPr>
      <xdr:cxnSp macro="">
        <xdr:nvCxnSpPr>
          <xdr:cNvPr id="4223" name="Gerader Verbinder 4222">
            <a:extLst>
              <a:ext uri="{FF2B5EF4-FFF2-40B4-BE49-F238E27FC236}">
                <a16:creationId xmlns:a16="http://schemas.microsoft.com/office/drawing/2014/main" id="{689C10E6-3877-3678-4114-676DACB31382}"/>
              </a:ext>
            </a:extLst>
          </xdr:cNvPr>
          <xdr:cNvCxnSpPr/>
        </xdr:nvCxnSpPr>
        <xdr:spPr>
          <a:xfrm>
            <a:off x="3421380" y="36271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24" name="Gerader Verbinder 4223">
            <a:extLst>
              <a:ext uri="{FF2B5EF4-FFF2-40B4-BE49-F238E27FC236}">
                <a16:creationId xmlns:a16="http://schemas.microsoft.com/office/drawing/2014/main" id="{00089C65-A3B5-BBC8-BA89-E04211AC7749}"/>
              </a:ext>
            </a:extLst>
          </xdr:cNvPr>
          <xdr:cNvCxnSpPr/>
        </xdr:nvCxnSpPr>
        <xdr:spPr>
          <a:xfrm flipH="1">
            <a:off x="3421380" y="36271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19</xdr:row>
      <xdr:rowOff>0</xdr:rowOff>
    </xdr:from>
    <xdr:to>
      <xdr:col>6</xdr:col>
      <xdr:colOff>0</xdr:colOff>
      <xdr:row>20</xdr:row>
      <xdr:rowOff>0</xdr:rowOff>
    </xdr:to>
    <xdr:grpSp>
      <xdr:nvGrpSpPr>
        <xdr:cNvPr id="4228" name="Cross_F20">
          <a:extLst>
            <a:ext uri="{FF2B5EF4-FFF2-40B4-BE49-F238E27FC236}">
              <a16:creationId xmlns:a16="http://schemas.microsoft.com/office/drawing/2014/main" id="{837A4309-87FF-7EDE-02EE-95796316495F}"/>
            </a:ext>
          </a:extLst>
        </xdr:cNvPr>
        <xdr:cNvGrpSpPr/>
      </xdr:nvGrpSpPr>
      <xdr:grpSpPr>
        <a:xfrm>
          <a:off x="3421380" y="3855720"/>
          <a:ext cx="594360" cy="167640"/>
          <a:chOff x="3421380" y="3855720"/>
          <a:chExt cx="594360" cy="167640"/>
        </a:xfrm>
      </xdr:grpSpPr>
      <xdr:cxnSp macro="">
        <xdr:nvCxnSpPr>
          <xdr:cNvPr id="4226" name="Gerader Verbinder 4225">
            <a:extLst>
              <a:ext uri="{FF2B5EF4-FFF2-40B4-BE49-F238E27FC236}">
                <a16:creationId xmlns:a16="http://schemas.microsoft.com/office/drawing/2014/main" id="{B0E1B511-33E1-7BCB-C4B4-F55D3A59A77A}"/>
              </a:ext>
            </a:extLst>
          </xdr:cNvPr>
          <xdr:cNvCxnSpPr/>
        </xdr:nvCxnSpPr>
        <xdr:spPr>
          <a:xfrm>
            <a:off x="3421380" y="3855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27" name="Gerader Verbinder 4226">
            <a:extLst>
              <a:ext uri="{FF2B5EF4-FFF2-40B4-BE49-F238E27FC236}">
                <a16:creationId xmlns:a16="http://schemas.microsoft.com/office/drawing/2014/main" id="{6D7C9499-B795-4746-4075-390D49F55096}"/>
              </a:ext>
            </a:extLst>
          </xdr:cNvPr>
          <xdr:cNvCxnSpPr/>
        </xdr:nvCxnSpPr>
        <xdr:spPr>
          <a:xfrm flipH="1">
            <a:off x="3421380" y="3855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20</xdr:row>
      <xdr:rowOff>0</xdr:rowOff>
    </xdr:from>
    <xdr:to>
      <xdr:col>6</xdr:col>
      <xdr:colOff>0</xdr:colOff>
      <xdr:row>21</xdr:row>
      <xdr:rowOff>0</xdr:rowOff>
    </xdr:to>
    <xdr:grpSp>
      <xdr:nvGrpSpPr>
        <xdr:cNvPr id="4231" name="Cross_F21">
          <a:extLst>
            <a:ext uri="{FF2B5EF4-FFF2-40B4-BE49-F238E27FC236}">
              <a16:creationId xmlns:a16="http://schemas.microsoft.com/office/drawing/2014/main" id="{A7393380-DDD1-CAD9-1985-DF8617AE93CE}"/>
            </a:ext>
          </a:extLst>
        </xdr:cNvPr>
        <xdr:cNvGrpSpPr/>
      </xdr:nvGrpSpPr>
      <xdr:grpSpPr>
        <a:xfrm>
          <a:off x="3421380" y="4023360"/>
          <a:ext cx="594360" cy="167640"/>
          <a:chOff x="3421380" y="4023360"/>
          <a:chExt cx="594360" cy="167640"/>
        </a:xfrm>
      </xdr:grpSpPr>
      <xdr:cxnSp macro="">
        <xdr:nvCxnSpPr>
          <xdr:cNvPr id="4229" name="Gerader Verbinder 4228">
            <a:extLst>
              <a:ext uri="{FF2B5EF4-FFF2-40B4-BE49-F238E27FC236}">
                <a16:creationId xmlns:a16="http://schemas.microsoft.com/office/drawing/2014/main" id="{352D9E42-BDC1-73C0-1D28-52347D8956D1}"/>
              </a:ext>
            </a:extLst>
          </xdr:cNvPr>
          <xdr:cNvCxnSpPr/>
        </xdr:nvCxnSpPr>
        <xdr:spPr>
          <a:xfrm>
            <a:off x="3421380" y="4023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30" name="Gerader Verbinder 4229">
            <a:extLst>
              <a:ext uri="{FF2B5EF4-FFF2-40B4-BE49-F238E27FC236}">
                <a16:creationId xmlns:a16="http://schemas.microsoft.com/office/drawing/2014/main" id="{EA79A5B9-1C18-FA66-5FF3-C5598AD392F7}"/>
              </a:ext>
            </a:extLst>
          </xdr:cNvPr>
          <xdr:cNvCxnSpPr/>
        </xdr:nvCxnSpPr>
        <xdr:spPr>
          <a:xfrm flipH="1">
            <a:off x="3421380" y="4023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27</xdr:row>
      <xdr:rowOff>0</xdr:rowOff>
    </xdr:from>
    <xdr:to>
      <xdr:col>6</xdr:col>
      <xdr:colOff>0</xdr:colOff>
      <xdr:row>28</xdr:row>
      <xdr:rowOff>0</xdr:rowOff>
    </xdr:to>
    <xdr:grpSp>
      <xdr:nvGrpSpPr>
        <xdr:cNvPr id="4234" name="Cross_F28">
          <a:extLst>
            <a:ext uri="{FF2B5EF4-FFF2-40B4-BE49-F238E27FC236}">
              <a16:creationId xmlns:a16="http://schemas.microsoft.com/office/drawing/2014/main" id="{D05E19D4-6C56-15CF-919A-DA2994E41DF5}"/>
            </a:ext>
          </a:extLst>
        </xdr:cNvPr>
        <xdr:cNvGrpSpPr/>
      </xdr:nvGrpSpPr>
      <xdr:grpSpPr>
        <a:xfrm>
          <a:off x="3421380" y="5318760"/>
          <a:ext cx="594360" cy="228600"/>
          <a:chOff x="3421380" y="5318760"/>
          <a:chExt cx="594360" cy="228600"/>
        </a:xfrm>
      </xdr:grpSpPr>
      <xdr:cxnSp macro="">
        <xdr:nvCxnSpPr>
          <xdr:cNvPr id="4232" name="Gerader Verbinder 4231">
            <a:extLst>
              <a:ext uri="{FF2B5EF4-FFF2-40B4-BE49-F238E27FC236}">
                <a16:creationId xmlns:a16="http://schemas.microsoft.com/office/drawing/2014/main" id="{B6C6CD0E-F7C9-C433-183E-73F34182B9D1}"/>
              </a:ext>
            </a:extLst>
          </xdr:cNvPr>
          <xdr:cNvCxnSpPr/>
        </xdr:nvCxnSpPr>
        <xdr:spPr>
          <a:xfrm>
            <a:off x="3421380" y="53187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33" name="Gerader Verbinder 4232">
            <a:extLst>
              <a:ext uri="{FF2B5EF4-FFF2-40B4-BE49-F238E27FC236}">
                <a16:creationId xmlns:a16="http://schemas.microsoft.com/office/drawing/2014/main" id="{AC481807-D678-CFED-21B2-51212C68F0C5}"/>
              </a:ext>
            </a:extLst>
          </xdr:cNvPr>
          <xdr:cNvCxnSpPr/>
        </xdr:nvCxnSpPr>
        <xdr:spPr>
          <a:xfrm flipH="1">
            <a:off x="3421380" y="53187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28</xdr:row>
      <xdr:rowOff>0</xdr:rowOff>
    </xdr:from>
    <xdr:to>
      <xdr:col>6</xdr:col>
      <xdr:colOff>0</xdr:colOff>
      <xdr:row>29</xdr:row>
      <xdr:rowOff>0</xdr:rowOff>
    </xdr:to>
    <xdr:grpSp>
      <xdr:nvGrpSpPr>
        <xdr:cNvPr id="4237" name="Cross_F29">
          <a:extLst>
            <a:ext uri="{FF2B5EF4-FFF2-40B4-BE49-F238E27FC236}">
              <a16:creationId xmlns:a16="http://schemas.microsoft.com/office/drawing/2014/main" id="{31D78F0A-A64D-56E1-933E-4117DAE8A3A5}"/>
            </a:ext>
          </a:extLst>
        </xdr:cNvPr>
        <xdr:cNvGrpSpPr/>
      </xdr:nvGrpSpPr>
      <xdr:grpSpPr>
        <a:xfrm>
          <a:off x="3421380" y="5547360"/>
          <a:ext cx="594360" cy="167640"/>
          <a:chOff x="3421380" y="5547360"/>
          <a:chExt cx="594360" cy="167640"/>
        </a:xfrm>
      </xdr:grpSpPr>
      <xdr:cxnSp macro="">
        <xdr:nvCxnSpPr>
          <xdr:cNvPr id="4235" name="Gerader Verbinder 4234">
            <a:extLst>
              <a:ext uri="{FF2B5EF4-FFF2-40B4-BE49-F238E27FC236}">
                <a16:creationId xmlns:a16="http://schemas.microsoft.com/office/drawing/2014/main" id="{18D5F869-601F-5079-57CF-BF63D55BD59D}"/>
              </a:ext>
            </a:extLst>
          </xdr:cNvPr>
          <xdr:cNvCxnSpPr/>
        </xdr:nvCxnSpPr>
        <xdr:spPr>
          <a:xfrm>
            <a:off x="3421380" y="5547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36" name="Gerader Verbinder 4235">
            <a:extLst>
              <a:ext uri="{FF2B5EF4-FFF2-40B4-BE49-F238E27FC236}">
                <a16:creationId xmlns:a16="http://schemas.microsoft.com/office/drawing/2014/main" id="{00F76173-32E2-B592-3207-15F1BC07E0DE}"/>
              </a:ext>
            </a:extLst>
          </xdr:cNvPr>
          <xdr:cNvCxnSpPr/>
        </xdr:nvCxnSpPr>
        <xdr:spPr>
          <a:xfrm flipH="1">
            <a:off x="3421380" y="5547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29</xdr:row>
      <xdr:rowOff>0</xdr:rowOff>
    </xdr:from>
    <xdr:to>
      <xdr:col>6</xdr:col>
      <xdr:colOff>0</xdr:colOff>
      <xdr:row>30</xdr:row>
      <xdr:rowOff>0</xdr:rowOff>
    </xdr:to>
    <xdr:grpSp>
      <xdr:nvGrpSpPr>
        <xdr:cNvPr id="4240" name="Cross_F30">
          <a:extLst>
            <a:ext uri="{FF2B5EF4-FFF2-40B4-BE49-F238E27FC236}">
              <a16:creationId xmlns:a16="http://schemas.microsoft.com/office/drawing/2014/main" id="{DF33C065-668C-2914-C779-F697EF2A0CA5}"/>
            </a:ext>
          </a:extLst>
        </xdr:cNvPr>
        <xdr:cNvGrpSpPr/>
      </xdr:nvGrpSpPr>
      <xdr:grpSpPr>
        <a:xfrm>
          <a:off x="3421380" y="5715000"/>
          <a:ext cx="594360" cy="167640"/>
          <a:chOff x="3421380" y="5715000"/>
          <a:chExt cx="594360" cy="167640"/>
        </a:xfrm>
      </xdr:grpSpPr>
      <xdr:cxnSp macro="">
        <xdr:nvCxnSpPr>
          <xdr:cNvPr id="4238" name="Gerader Verbinder 4237">
            <a:extLst>
              <a:ext uri="{FF2B5EF4-FFF2-40B4-BE49-F238E27FC236}">
                <a16:creationId xmlns:a16="http://schemas.microsoft.com/office/drawing/2014/main" id="{14C7FFE2-CF62-FA40-C6B3-E13D6C5AC10C}"/>
              </a:ext>
            </a:extLst>
          </xdr:cNvPr>
          <xdr:cNvCxnSpPr/>
        </xdr:nvCxnSpPr>
        <xdr:spPr>
          <a:xfrm>
            <a:off x="3421380" y="5715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39" name="Gerader Verbinder 4238">
            <a:extLst>
              <a:ext uri="{FF2B5EF4-FFF2-40B4-BE49-F238E27FC236}">
                <a16:creationId xmlns:a16="http://schemas.microsoft.com/office/drawing/2014/main" id="{C620156A-213B-AD95-33DE-590CC6F81187}"/>
              </a:ext>
            </a:extLst>
          </xdr:cNvPr>
          <xdr:cNvCxnSpPr/>
        </xdr:nvCxnSpPr>
        <xdr:spPr>
          <a:xfrm flipH="1">
            <a:off x="3421380" y="5715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36</xdr:row>
      <xdr:rowOff>0</xdr:rowOff>
    </xdr:from>
    <xdr:to>
      <xdr:col>6</xdr:col>
      <xdr:colOff>0</xdr:colOff>
      <xdr:row>37</xdr:row>
      <xdr:rowOff>0</xdr:rowOff>
    </xdr:to>
    <xdr:grpSp>
      <xdr:nvGrpSpPr>
        <xdr:cNvPr id="4243" name="Cross_F37">
          <a:extLst>
            <a:ext uri="{FF2B5EF4-FFF2-40B4-BE49-F238E27FC236}">
              <a16:creationId xmlns:a16="http://schemas.microsoft.com/office/drawing/2014/main" id="{A50CC5AE-EB9A-AD0B-4DB4-F360464420F4}"/>
            </a:ext>
          </a:extLst>
        </xdr:cNvPr>
        <xdr:cNvGrpSpPr/>
      </xdr:nvGrpSpPr>
      <xdr:grpSpPr>
        <a:xfrm>
          <a:off x="3421380" y="7010400"/>
          <a:ext cx="594360" cy="228600"/>
          <a:chOff x="3421380" y="7010400"/>
          <a:chExt cx="594360" cy="228600"/>
        </a:xfrm>
      </xdr:grpSpPr>
      <xdr:cxnSp macro="">
        <xdr:nvCxnSpPr>
          <xdr:cNvPr id="4241" name="Gerader Verbinder 4240">
            <a:extLst>
              <a:ext uri="{FF2B5EF4-FFF2-40B4-BE49-F238E27FC236}">
                <a16:creationId xmlns:a16="http://schemas.microsoft.com/office/drawing/2014/main" id="{C3DDC406-E2E6-0772-15E5-44AC7ED8D68C}"/>
              </a:ext>
            </a:extLst>
          </xdr:cNvPr>
          <xdr:cNvCxnSpPr/>
        </xdr:nvCxnSpPr>
        <xdr:spPr>
          <a:xfrm>
            <a:off x="3421380" y="70104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42" name="Gerader Verbinder 4241">
            <a:extLst>
              <a:ext uri="{FF2B5EF4-FFF2-40B4-BE49-F238E27FC236}">
                <a16:creationId xmlns:a16="http://schemas.microsoft.com/office/drawing/2014/main" id="{C7C721FF-67EE-2EBF-3EC8-A3A3BAC1A03E}"/>
              </a:ext>
            </a:extLst>
          </xdr:cNvPr>
          <xdr:cNvCxnSpPr/>
        </xdr:nvCxnSpPr>
        <xdr:spPr>
          <a:xfrm flipH="1">
            <a:off x="3421380" y="70104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37</xdr:row>
      <xdr:rowOff>0</xdr:rowOff>
    </xdr:from>
    <xdr:to>
      <xdr:col>6</xdr:col>
      <xdr:colOff>0</xdr:colOff>
      <xdr:row>38</xdr:row>
      <xdr:rowOff>0</xdr:rowOff>
    </xdr:to>
    <xdr:grpSp>
      <xdr:nvGrpSpPr>
        <xdr:cNvPr id="4246" name="Cross_F38">
          <a:extLst>
            <a:ext uri="{FF2B5EF4-FFF2-40B4-BE49-F238E27FC236}">
              <a16:creationId xmlns:a16="http://schemas.microsoft.com/office/drawing/2014/main" id="{E08A7F2C-FAB5-665F-04A2-3016739F0A7D}"/>
            </a:ext>
          </a:extLst>
        </xdr:cNvPr>
        <xdr:cNvGrpSpPr/>
      </xdr:nvGrpSpPr>
      <xdr:grpSpPr>
        <a:xfrm>
          <a:off x="3421380" y="7239000"/>
          <a:ext cx="594360" cy="167640"/>
          <a:chOff x="3421380" y="7239000"/>
          <a:chExt cx="594360" cy="167640"/>
        </a:xfrm>
      </xdr:grpSpPr>
      <xdr:cxnSp macro="">
        <xdr:nvCxnSpPr>
          <xdr:cNvPr id="4244" name="Gerader Verbinder 4243">
            <a:extLst>
              <a:ext uri="{FF2B5EF4-FFF2-40B4-BE49-F238E27FC236}">
                <a16:creationId xmlns:a16="http://schemas.microsoft.com/office/drawing/2014/main" id="{A8FCB891-C165-03E0-7466-49002F2F467F}"/>
              </a:ext>
            </a:extLst>
          </xdr:cNvPr>
          <xdr:cNvCxnSpPr/>
        </xdr:nvCxnSpPr>
        <xdr:spPr>
          <a:xfrm>
            <a:off x="3421380" y="7239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45" name="Gerader Verbinder 4244">
            <a:extLst>
              <a:ext uri="{FF2B5EF4-FFF2-40B4-BE49-F238E27FC236}">
                <a16:creationId xmlns:a16="http://schemas.microsoft.com/office/drawing/2014/main" id="{AD224913-BF70-FA77-0B7D-42CAD44975E8}"/>
              </a:ext>
            </a:extLst>
          </xdr:cNvPr>
          <xdr:cNvCxnSpPr/>
        </xdr:nvCxnSpPr>
        <xdr:spPr>
          <a:xfrm flipH="1">
            <a:off x="3421380" y="7239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38</xdr:row>
      <xdr:rowOff>0</xdr:rowOff>
    </xdr:from>
    <xdr:to>
      <xdr:col>6</xdr:col>
      <xdr:colOff>0</xdr:colOff>
      <xdr:row>39</xdr:row>
      <xdr:rowOff>0</xdr:rowOff>
    </xdr:to>
    <xdr:grpSp>
      <xdr:nvGrpSpPr>
        <xdr:cNvPr id="4249" name="Cross_F39">
          <a:extLst>
            <a:ext uri="{FF2B5EF4-FFF2-40B4-BE49-F238E27FC236}">
              <a16:creationId xmlns:a16="http://schemas.microsoft.com/office/drawing/2014/main" id="{79ACCB95-85EF-23B7-6560-B61BB55F1F0E}"/>
            </a:ext>
          </a:extLst>
        </xdr:cNvPr>
        <xdr:cNvGrpSpPr/>
      </xdr:nvGrpSpPr>
      <xdr:grpSpPr>
        <a:xfrm>
          <a:off x="3421380" y="7406640"/>
          <a:ext cx="594360" cy="167640"/>
          <a:chOff x="3421380" y="7406640"/>
          <a:chExt cx="594360" cy="167640"/>
        </a:xfrm>
      </xdr:grpSpPr>
      <xdr:cxnSp macro="">
        <xdr:nvCxnSpPr>
          <xdr:cNvPr id="4247" name="Gerader Verbinder 4246">
            <a:extLst>
              <a:ext uri="{FF2B5EF4-FFF2-40B4-BE49-F238E27FC236}">
                <a16:creationId xmlns:a16="http://schemas.microsoft.com/office/drawing/2014/main" id="{72413D8D-01F1-73B5-C1CC-94808A52E897}"/>
              </a:ext>
            </a:extLst>
          </xdr:cNvPr>
          <xdr:cNvCxnSpPr/>
        </xdr:nvCxnSpPr>
        <xdr:spPr>
          <a:xfrm>
            <a:off x="3421380" y="7406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48" name="Gerader Verbinder 4247">
            <a:extLst>
              <a:ext uri="{FF2B5EF4-FFF2-40B4-BE49-F238E27FC236}">
                <a16:creationId xmlns:a16="http://schemas.microsoft.com/office/drawing/2014/main" id="{0923B07C-D594-30A4-E3D8-2694AACA875D}"/>
              </a:ext>
            </a:extLst>
          </xdr:cNvPr>
          <xdr:cNvCxnSpPr/>
        </xdr:nvCxnSpPr>
        <xdr:spPr>
          <a:xfrm flipH="1">
            <a:off x="3421380" y="7406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39</xdr:row>
      <xdr:rowOff>0</xdr:rowOff>
    </xdr:from>
    <xdr:to>
      <xdr:col>6</xdr:col>
      <xdr:colOff>0</xdr:colOff>
      <xdr:row>40</xdr:row>
      <xdr:rowOff>0</xdr:rowOff>
    </xdr:to>
    <xdr:grpSp>
      <xdr:nvGrpSpPr>
        <xdr:cNvPr id="4252" name="Cross_F40">
          <a:extLst>
            <a:ext uri="{FF2B5EF4-FFF2-40B4-BE49-F238E27FC236}">
              <a16:creationId xmlns:a16="http://schemas.microsoft.com/office/drawing/2014/main" id="{3AD0CDCA-04FD-DE5B-1E05-5C86B9B10942}"/>
            </a:ext>
          </a:extLst>
        </xdr:cNvPr>
        <xdr:cNvGrpSpPr/>
      </xdr:nvGrpSpPr>
      <xdr:grpSpPr>
        <a:xfrm>
          <a:off x="3421380" y="7574280"/>
          <a:ext cx="594360" cy="228600"/>
          <a:chOff x="3421380" y="7574280"/>
          <a:chExt cx="594360" cy="228600"/>
        </a:xfrm>
      </xdr:grpSpPr>
      <xdr:cxnSp macro="">
        <xdr:nvCxnSpPr>
          <xdr:cNvPr id="4250" name="Gerader Verbinder 4249">
            <a:extLst>
              <a:ext uri="{FF2B5EF4-FFF2-40B4-BE49-F238E27FC236}">
                <a16:creationId xmlns:a16="http://schemas.microsoft.com/office/drawing/2014/main" id="{700D4501-8501-3134-7BE2-B3CF25B5F009}"/>
              </a:ext>
            </a:extLst>
          </xdr:cNvPr>
          <xdr:cNvCxnSpPr/>
        </xdr:nvCxnSpPr>
        <xdr:spPr>
          <a:xfrm>
            <a:off x="3421380" y="75742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51" name="Gerader Verbinder 4250">
            <a:extLst>
              <a:ext uri="{FF2B5EF4-FFF2-40B4-BE49-F238E27FC236}">
                <a16:creationId xmlns:a16="http://schemas.microsoft.com/office/drawing/2014/main" id="{17037A2E-50AB-2AFA-3D34-3ABDF13AE7BF}"/>
              </a:ext>
            </a:extLst>
          </xdr:cNvPr>
          <xdr:cNvCxnSpPr/>
        </xdr:nvCxnSpPr>
        <xdr:spPr>
          <a:xfrm flipH="1">
            <a:off x="3421380" y="75742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40</xdr:row>
      <xdr:rowOff>0</xdr:rowOff>
    </xdr:from>
    <xdr:to>
      <xdr:col>6</xdr:col>
      <xdr:colOff>0</xdr:colOff>
      <xdr:row>41</xdr:row>
      <xdr:rowOff>0</xdr:rowOff>
    </xdr:to>
    <xdr:grpSp>
      <xdr:nvGrpSpPr>
        <xdr:cNvPr id="4255" name="Cross_F41">
          <a:extLst>
            <a:ext uri="{FF2B5EF4-FFF2-40B4-BE49-F238E27FC236}">
              <a16:creationId xmlns:a16="http://schemas.microsoft.com/office/drawing/2014/main" id="{BE3F6430-BAC5-4CB8-6A08-507FDD98D5A0}"/>
            </a:ext>
          </a:extLst>
        </xdr:cNvPr>
        <xdr:cNvGrpSpPr/>
      </xdr:nvGrpSpPr>
      <xdr:grpSpPr>
        <a:xfrm>
          <a:off x="3421380" y="7802880"/>
          <a:ext cx="594360" cy="167640"/>
          <a:chOff x="3421380" y="7802880"/>
          <a:chExt cx="594360" cy="167640"/>
        </a:xfrm>
      </xdr:grpSpPr>
      <xdr:cxnSp macro="">
        <xdr:nvCxnSpPr>
          <xdr:cNvPr id="4253" name="Gerader Verbinder 4252">
            <a:extLst>
              <a:ext uri="{FF2B5EF4-FFF2-40B4-BE49-F238E27FC236}">
                <a16:creationId xmlns:a16="http://schemas.microsoft.com/office/drawing/2014/main" id="{9B2C744A-3CB1-2A75-6673-82BE73F85E14}"/>
              </a:ext>
            </a:extLst>
          </xdr:cNvPr>
          <xdr:cNvCxnSpPr/>
        </xdr:nvCxnSpPr>
        <xdr:spPr>
          <a:xfrm>
            <a:off x="3421380" y="78028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54" name="Gerader Verbinder 4253">
            <a:extLst>
              <a:ext uri="{FF2B5EF4-FFF2-40B4-BE49-F238E27FC236}">
                <a16:creationId xmlns:a16="http://schemas.microsoft.com/office/drawing/2014/main" id="{425815A0-017F-8D94-6FF7-FA476F9D87A4}"/>
              </a:ext>
            </a:extLst>
          </xdr:cNvPr>
          <xdr:cNvCxnSpPr/>
        </xdr:nvCxnSpPr>
        <xdr:spPr>
          <a:xfrm flipH="1">
            <a:off x="3421380" y="78028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41</xdr:row>
      <xdr:rowOff>0</xdr:rowOff>
    </xdr:from>
    <xdr:to>
      <xdr:col>6</xdr:col>
      <xdr:colOff>0</xdr:colOff>
      <xdr:row>42</xdr:row>
      <xdr:rowOff>0</xdr:rowOff>
    </xdr:to>
    <xdr:grpSp>
      <xdr:nvGrpSpPr>
        <xdr:cNvPr id="4258" name="Cross_F42">
          <a:extLst>
            <a:ext uri="{FF2B5EF4-FFF2-40B4-BE49-F238E27FC236}">
              <a16:creationId xmlns:a16="http://schemas.microsoft.com/office/drawing/2014/main" id="{1AD8E985-C87D-A2FA-940C-158226F8CA4B}"/>
            </a:ext>
          </a:extLst>
        </xdr:cNvPr>
        <xdr:cNvGrpSpPr/>
      </xdr:nvGrpSpPr>
      <xdr:grpSpPr>
        <a:xfrm>
          <a:off x="3421380" y="7970520"/>
          <a:ext cx="594360" cy="167640"/>
          <a:chOff x="3421380" y="7970520"/>
          <a:chExt cx="594360" cy="167640"/>
        </a:xfrm>
      </xdr:grpSpPr>
      <xdr:cxnSp macro="">
        <xdr:nvCxnSpPr>
          <xdr:cNvPr id="4256" name="Gerader Verbinder 4255">
            <a:extLst>
              <a:ext uri="{FF2B5EF4-FFF2-40B4-BE49-F238E27FC236}">
                <a16:creationId xmlns:a16="http://schemas.microsoft.com/office/drawing/2014/main" id="{6BC48BE5-AC3A-ECFD-2FE6-3420A2B63EE7}"/>
              </a:ext>
            </a:extLst>
          </xdr:cNvPr>
          <xdr:cNvCxnSpPr/>
        </xdr:nvCxnSpPr>
        <xdr:spPr>
          <a:xfrm>
            <a:off x="3421380" y="79705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57" name="Gerader Verbinder 4256">
            <a:extLst>
              <a:ext uri="{FF2B5EF4-FFF2-40B4-BE49-F238E27FC236}">
                <a16:creationId xmlns:a16="http://schemas.microsoft.com/office/drawing/2014/main" id="{0033BC66-12E9-934C-0E77-5067C766E5C6}"/>
              </a:ext>
            </a:extLst>
          </xdr:cNvPr>
          <xdr:cNvCxnSpPr/>
        </xdr:nvCxnSpPr>
        <xdr:spPr>
          <a:xfrm flipH="1">
            <a:off x="3421380" y="79705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42</xdr:row>
      <xdr:rowOff>0</xdr:rowOff>
    </xdr:from>
    <xdr:to>
      <xdr:col>6</xdr:col>
      <xdr:colOff>0</xdr:colOff>
      <xdr:row>43</xdr:row>
      <xdr:rowOff>0</xdr:rowOff>
    </xdr:to>
    <xdr:grpSp>
      <xdr:nvGrpSpPr>
        <xdr:cNvPr id="4261" name="Cross_F43">
          <a:extLst>
            <a:ext uri="{FF2B5EF4-FFF2-40B4-BE49-F238E27FC236}">
              <a16:creationId xmlns:a16="http://schemas.microsoft.com/office/drawing/2014/main" id="{8BF3CC07-7ED2-2B22-05CF-DD7721C3359C}"/>
            </a:ext>
          </a:extLst>
        </xdr:cNvPr>
        <xdr:cNvGrpSpPr/>
      </xdr:nvGrpSpPr>
      <xdr:grpSpPr>
        <a:xfrm>
          <a:off x="3421380" y="8138160"/>
          <a:ext cx="594360" cy="228600"/>
          <a:chOff x="3421380" y="8138160"/>
          <a:chExt cx="594360" cy="228600"/>
        </a:xfrm>
      </xdr:grpSpPr>
      <xdr:cxnSp macro="">
        <xdr:nvCxnSpPr>
          <xdr:cNvPr id="4259" name="Gerader Verbinder 4258">
            <a:extLst>
              <a:ext uri="{FF2B5EF4-FFF2-40B4-BE49-F238E27FC236}">
                <a16:creationId xmlns:a16="http://schemas.microsoft.com/office/drawing/2014/main" id="{46B183E3-8CE7-E3AD-3C3E-501D63C43FFE}"/>
              </a:ext>
            </a:extLst>
          </xdr:cNvPr>
          <xdr:cNvCxnSpPr/>
        </xdr:nvCxnSpPr>
        <xdr:spPr>
          <a:xfrm>
            <a:off x="3421380" y="81381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60" name="Gerader Verbinder 4259">
            <a:extLst>
              <a:ext uri="{FF2B5EF4-FFF2-40B4-BE49-F238E27FC236}">
                <a16:creationId xmlns:a16="http://schemas.microsoft.com/office/drawing/2014/main" id="{26DE97F9-334C-9CBA-E998-9CC7FFCB6E1F}"/>
              </a:ext>
            </a:extLst>
          </xdr:cNvPr>
          <xdr:cNvCxnSpPr/>
        </xdr:nvCxnSpPr>
        <xdr:spPr>
          <a:xfrm flipH="1">
            <a:off x="3421380" y="81381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43</xdr:row>
      <xdr:rowOff>0</xdr:rowOff>
    </xdr:from>
    <xdr:to>
      <xdr:col>6</xdr:col>
      <xdr:colOff>0</xdr:colOff>
      <xdr:row>44</xdr:row>
      <xdr:rowOff>0</xdr:rowOff>
    </xdr:to>
    <xdr:grpSp>
      <xdr:nvGrpSpPr>
        <xdr:cNvPr id="4264" name="Cross_F44">
          <a:extLst>
            <a:ext uri="{FF2B5EF4-FFF2-40B4-BE49-F238E27FC236}">
              <a16:creationId xmlns:a16="http://schemas.microsoft.com/office/drawing/2014/main" id="{40852C83-1465-CAE3-363F-0AAF72B5857F}"/>
            </a:ext>
          </a:extLst>
        </xdr:cNvPr>
        <xdr:cNvGrpSpPr/>
      </xdr:nvGrpSpPr>
      <xdr:grpSpPr>
        <a:xfrm>
          <a:off x="3421380" y="8366760"/>
          <a:ext cx="594360" cy="167640"/>
          <a:chOff x="3421380" y="8366760"/>
          <a:chExt cx="594360" cy="167640"/>
        </a:xfrm>
      </xdr:grpSpPr>
      <xdr:cxnSp macro="">
        <xdr:nvCxnSpPr>
          <xdr:cNvPr id="4262" name="Gerader Verbinder 4261">
            <a:extLst>
              <a:ext uri="{FF2B5EF4-FFF2-40B4-BE49-F238E27FC236}">
                <a16:creationId xmlns:a16="http://schemas.microsoft.com/office/drawing/2014/main" id="{222F9157-8823-7482-3C6C-F1C67C0AF0F8}"/>
              </a:ext>
            </a:extLst>
          </xdr:cNvPr>
          <xdr:cNvCxnSpPr/>
        </xdr:nvCxnSpPr>
        <xdr:spPr>
          <a:xfrm>
            <a:off x="3421380" y="83667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63" name="Gerader Verbinder 4262">
            <a:extLst>
              <a:ext uri="{FF2B5EF4-FFF2-40B4-BE49-F238E27FC236}">
                <a16:creationId xmlns:a16="http://schemas.microsoft.com/office/drawing/2014/main" id="{2762EEE1-0837-27B8-B71E-EBD7CCD5DC2E}"/>
              </a:ext>
            </a:extLst>
          </xdr:cNvPr>
          <xdr:cNvCxnSpPr/>
        </xdr:nvCxnSpPr>
        <xdr:spPr>
          <a:xfrm flipH="1">
            <a:off x="3421380" y="83667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44</xdr:row>
      <xdr:rowOff>0</xdr:rowOff>
    </xdr:from>
    <xdr:to>
      <xdr:col>6</xdr:col>
      <xdr:colOff>0</xdr:colOff>
      <xdr:row>45</xdr:row>
      <xdr:rowOff>0</xdr:rowOff>
    </xdr:to>
    <xdr:grpSp>
      <xdr:nvGrpSpPr>
        <xdr:cNvPr id="4267" name="Cross_F45">
          <a:extLst>
            <a:ext uri="{FF2B5EF4-FFF2-40B4-BE49-F238E27FC236}">
              <a16:creationId xmlns:a16="http://schemas.microsoft.com/office/drawing/2014/main" id="{DBB20A03-FBDF-B4E5-D572-0E412394EA02}"/>
            </a:ext>
          </a:extLst>
        </xdr:cNvPr>
        <xdr:cNvGrpSpPr/>
      </xdr:nvGrpSpPr>
      <xdr:grpSpPr>
        <a:xfrm>
          <a:off x="3421380" y="8534400"/>
          <a:ext cx="594360" cy="167640"/>
          <a:chOff x="3421380" y="8534400"/>
          <a:chExt cx="594360" cy="167640"/>
        </a:xfrm>
      </xdr:grpSpPr>
      <xdr:cxnSp macro="">
        <xdr:nvCxnSpPr>
          <xdr:cNvPr id="4265" name="Gerader Verbinder 4264">
            <a:extLst>
              <a:ext uri="{FF2B5EF4-FFF2-40B4-BE49-F238E27FC236}">
                <a16:creationId xmlns:a16="http://schemas.microsoft.com/office/drawing/2014/main" id="{FDBCEB88-2BB0-C5DE-3BE1-7F62E39AA187}"/>
              </a:ext>
            </a:extLst>
          </xdr:cNvPr>
          <xdr:cNvCxnSpPr/>
        </xdr:nvCxnSpPr>
        <xdr:spPr>
          <a:xfrm>
            <a:off x="3421380" y="85344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66" name="Gerader Verbinder 4265">
            <a:extLst>
              <a:ext uri="{FF2B5EF4-FFF2-40B4-BE49-F238E27FC236}">
                <a16:creationId xmlns:a16="http://schemas.microsoft.com/office/drawing/2014/main" id="{D6D68118-EDCD-3736-858F-822CF7911961}"/>
              </a:ext>
            </a:extLst>
          </xdr:cNvPr>
          <xdr:cNvCxnSpPr/>
        </xdr:nvCxnSpPr>
        <xdr:spPr>
          <a:xfrm flipH="1">
            <a:off x="3421380" y="85344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45</xdr:row>
      <xdr:rowOff>0</xdr:rowOff>
    </xdr:from>
    <xdr:to>
      <xdr:col>6</xdr:col>
      <xdr:colOff>0</xdr:colOff>
      <xdr:row>46</xdr:row>
      <xdr:rowOff>0</xdr:rowOff>
    </xdr:to>
    <xdr:grpSp>
      <xdr:nvGrpSpPr>
        <xdr:cNvPr id="4270" name="Cross_F46">
          <a:extLst>
            <a:ext uri="{FF2B5EF4-FFF2-40B4-BE49-F238E27FC236}">
              <a16:creationId xmlns:a16="http://schemas.microsoft.com/office/drawing/2014/main" id="{E9CDC3F1-3C45-CEA8-2FD3-88B407CE3ED6}"/>
            </a:ext>
          </a:extLst>
        </xdr:cNvPr>
        <xdr:cNvGrpSpPr/>
      </xdr:nvGrpSpPr>
      <xdr:grpSpPr>
        <a:xfrm>
          <a:off x="3421380" y="8702040"/>
          <a:ext cx="594360" cy="228600"/>
          <a:chOff x="3421380" y="8702040"/>
          <a:chExt cx="594360" cy="228600"/>
        </a:xfrm>
      </xdr:grpSpPr>
      <xdr:cxnSp macro="">
        <xdr:nvCxnSpPr>
          <xdr:cNvPr id="4268" name="Gerader Verbinder 4267">
            <a:extLst>
              <a:ext uri="{FF2B5EF4-FFF2-40B4-BE49-F238E27FC236}">
                <a16:creationId xmlns:a16="http://schemas.microsoft.com/office/drawing/2014/main" id="{A5BC1015-A22E-EED2-026B-B739225EC937}"/>
              </a:ext>
            </a:extLst>
          </xdr:cNvPr>
          <xdr:cNvCxnSpPr/>
        </xdr:nvCxnSpPr>
        <xdr:spPr>
          <a:xfrm>
            <a:off x="3421380" y="87020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69" name="Gerader Verbinder 4268">
            <a:extLst>
              <a:ext uri="{FF2B5EF4-FFF2-40B4-BE49-F238E27FC236}">
                <a16:creationId xmlns:a16="http://schemas.microsoft.com/office/drawing/2014/main" id="{6E3FF20C-2F7C-203B-73B0-2C6CBD45D938}"/>
              </a:ext>
            </a:extLst>
          </xdr:cNvPr>
          <xdr:cNvCxnSpPr/>
        </xdr:nvCxnSpPr>
        <xdr:spPr>
          <a:xfrm flipH="1">
            <a:off x="3421380" y="87020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46</xdr:row>
      <xdr:rowOff>0</xdr:rowOff>
    </xdr:from>
    <xdr:to>
      <xdr:col>6</xdr:col>
      <xdr:colOff>0</xdr:colOff>
      <xdr:row>47</xdr:row>
      <xdr:rowOff>0</xdr:rowOff>
    </xdr:to>
    <xdr:grpSp>
      <xdr:nvGrpSpPr>
        <xdr:cNvPr id="4273" name="Cross_F47">
          <a:extLst>
            <a:ext uri="{FF2B5EF4-FFF2-40B4-BE49-F238E27FC236}">
              <a16:creationId xmlns:a16="http://schemas.microsoft.com/office/drawing/2014/main" id="{A05C4BD4-8A28-1596-A84D-4B06718B796A}"/>
            </a:ext>
          </a:extLst>
        </xdr:cNvPr>
        <xdr:cNvGrpSpPr/>
      </xdr:nvGrpSpPr>
      <xdr:grpSpPr>
        <a:xfrm>
          <a:off x="3421380" y="8930640"/>
          <a:ext cx="594360" cy="167640"/>
          <a:chOff x="3421380" y="8930640"/>
          <a:chExt cx="594360" cy="167640"/>
        </a:xfrm>
      </xdr:grpSpPr>
      <xdr:cxnSp macro="">
        <xdr:nvCxnSpPr>
          <xdr:cNvPr id="4271" name="Gerader Verbinder 4270">
            <a:extLst>
              <a:ext uri="{FF2B5EF4-FFF2-40B4-BE49-F238E27FC236}">
                <a16:creationId xmlns:a16="http://schemas.microsoft.com/office/drawing/2014/main" id="{C97631B2-27A4-77CC-75F0-00C6A187241C}"/>
              </a:ext>
            </a:extLst>
          </xdr:cNvPr>
          <xdr:cNvCxnSpPr/>
        </xdr:nvCxnSpPr>
        <xdr:spPr>
          <a:xfrm>
            <a:off x="3421380" y="8930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72" name="Gerader Verbinder 4271">
            <a:extLst>
              <a:ext uri="{FF2B5EF4-FFF2-40B4-BE49-F238E27FC236}">
                <a16:creationId xmlns:a16="http://schemas.microsoft.com/office/drawing/2014/main" id="{8A88681F-CAD5-EC63-8568-CBCC429497C8}"/>
              </a:ext>
            </a:extLst>
          </xdr:cNvPr>
          <xdr:cNvCxnSpPr/>
        </xdr:nvCxnSpPr>
        <xdr:spPr>
          <a:xfrm flipH="1">
            <a:off x="3421380" y="8930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47</xdr:row>
      <xdr:rowOff>0</xdr:rowOff>
    </xdr:from>
    <xdr:to>
      <xdr:col>6</xdr:col>
      <xdr:colOff>0</xdr:colOff>
      <xdr:row>48</xdr:row>
      <xdr:rowOff>0</xdr:rowOff>
    </xdr:to>
    <xdr:grpSp>
      <xdr:nvGrpSpPr>
        <xdr:cNvPr id="4276" name="Cross_F48">
          <a:extLst>
            <a:ext uri="{FF2B5EF4-FFF2-40B4-BE49-F238E27FC236}">
              <a16:creationId xmlns:a16="http://schemas.microsoft.com/office/drawing/2014/main" id="{6A7D97FF-67FD-9AEE-32C1-9B7F768852FB}"/>
            </a:ext>
          </a:extLst>
        </xdr:cNvPr>
        <xdr:cNvGrpSpPr/>
      </xdr:nvGrpSpPr>
      <xdr:grpSpPr>
        <a:xfrm>
          <a:off x="3421380" y="9098280"/>
          <a:ext cx="594360" cy="167640"/>
          <a:chOff x="3421380" y="9098280"/>
          <a:chExt cx="594360" cy="167640"/>
        </a:xfrm>
      </xdr:grpSpPr>
      <xdr:cxnSp macro="">
        <xdr:nvCxnSpPr>
          <xdr:cNvPr id="4274" name="Gerader Verbinder 4273">
            <a:extLst>
              <a:ext uri="{FF2B5EF4-FFF2-40B4-BE49-F238E27FC236}">
                <a16:creationId xmlns:a16="http://schemas.microsoft.com/office/drawing/2014/main" id="{B085FEB9-A72C-2243-CA6D-98D4D301AEB6}"/>
              </a:ext>
            </a:extLst>
          </xdr:cNvPr>
          <xdr:cNvCxnSpPr/>
        </xdr:nvCxnSpPr>
        <xdr:spPr>
          <a:xfrm>
            <a:off x="3421380" y="9098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75" name="Gerader Verbinder 4274">
            <a:extLst>
              <a:ext uri="{FF2B5EF4-FFF2-40B4-BE49-F238E27FC236}">
                <a16:creationId xmlns:a16="http://schemas.microsoft.com/office/drawing/2014/main" id="{41B4B8DF-FE19-9FCF-A5F6-FE49C32BBFD3}"/>
              </a:ext>
            </a:extLst>
          </xdr:cNvPr>
          <xdr:cNvCxnSpPr/>
        </xdr:nvCxnSpPr>
        <xdr:spPr>
          <a:xfrm flipH="1">
            <a:off x="3421380" y="9098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54</xdr:row>
      <xdr:rowOff>0</xdr:rowOff>
    </xdr:from>
    <xdr:to>
      <xdr:col>6</xdr:col>
      <xdr:colOff>0</xdr:colOff>
      <xdr:row>55</xdr:row>
      <xdr:rowOff>0</xdr:rowOff>
    </xdr:to>
    <xdr:grpSp>
      <xdr:nvGrpSpPr>
        <xdr:cNvPr id="4279" name="Cross_F55">
          <a:extLst>
            <a:ext uri="{FF2B5EF4-FFF2-40B4-BE49-F238E27FC236}">
              <a16:creationId xmlns:a16="http://schemas.microsoft.com/office/drawing/2014/main" id="{9EA2D86D-A9C9-4FB4-EF87-31A0A2DBF927}"/>
            </a:ext>
          </a:extLst>
        </xdr:cNvPr>
        <xdr:cNvGrpSpPr/>
      </xdr:nvGrpSpPr>
      <xdr:grpSpPr>
        <a:xfrm>
          <a:off x="3421380" y="10393680"/>
          <a:ext cx="594360" cy="228600"/>
          <a:chOff x="3421380" y="10393680"/>
          <a:chExt cx="594360" cy="228600"/>
        </a:xfrm>
      </xdr:grpSpPr>
      <xdr:cxnSp macro="">
        <xdr:nvCxnSpPr>
          <xdr:cNvPr id="4277" name="Gerader Verbinder 4276">
            <a:extLst>
              <a:ext uri="{FF2B5EF4-FFF2-40B4-BE49-F238E27FC236}">
                <a16:creationId xmlns:a16="http://schemas.microsoft.com/office/drawing/2014/main" id="{9188040C-A45B-85E2-9307-A0EB9257A398}"/>
              </a:ext>
            </a:extLst>
          </xdr:cNvPr>
          <xdr:cNvCxnSpPr/>
        </xdr:nvCxnSpPr>
        <xdr:spPr>
          <a:xfrm>
            <a:off x="3421380" y="103936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78" name="Gerader Verbinder 4277">
            <a:extLst>
              <a:ext uri="{FF2B5EF4-FFF2-40B4-BE49-F238E27FC236}">
                <a16:creationId xmlns:a16="http://schemas.microsoft.com/office/drawing/2014/main" id="{AE6C8BBD-26DF-D2BD-C821-C7CAF321FE97}"/>
              </a:ext>
            </a:extLst>
          </xdr:cNvPr>
          <xdr:cNvCxnSpPr/>
        </xdr:nvCxnSpPr>
        <xdr:spPr>
          <a:xfrm flipH="1">
            <a:off x="3421380" y="103936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55</xdr:row>
      <xdr:rowOff>0</xdr:rowOff>
    </xdr:from>
    <xdr:to>
      <xdr:col>6</xdr:col>
      <xdr:colOff>0</xdr:colOff>
      <xdr:row>56</xdr:row>
      <xdr:rowOff>0</xdr:rowOff>
    </xdr:to>
    <xdr:grpSp>
      <xdr:nvGrpSpPr>
        <xdr:cNvPr id="4282" name="Cross_F56">
          <a:extLst>
            <a:ext uri="{FF2B5EF4-FFF2-40B4-BE49-F238E27FC236}">
              <a16:creationId xmlns:a16="http://schemas.microsoft.com/office/drawing/2014/main" id="{B4C19713-CCC8-0C87-944C-E15B4C418E1F}"/>
            </a:ext>
          </a:extLst>
        </xdr:cNvPr>
        <xdr:cNvGrpSpPr/>
      </xdr:nvGrpSpPr>
      <xdr:grpSpPr>
        <a:xfrm>
          <a:off x="3421380" y="10622280"/>
          <a:ext cx="594360" cy="167640"/>
          <a:chOff x="3421380" y="10622280"/>
          <a:chExt cx="594360" cy="167640"/>
        </a:xfrm>
      </xdr:grpSpPr>
      <xdr:cxnSp macro="">
        <xdr:nvCxnSpPr>
          <xdr:cNvPr id="4280" name="Gerader Verbinder 4279">
            <a:extLst>
              <a:ext uri="{FF2B5EF4-FFF2-40B4-BE49-F238E27FC236}">
                <a16:creationId xmlns:a16="http://schemas.microsoft.com/office/drawing/2014/main" id="{A578DA12-2D59-C393-AE3F-D389DE9F1731}"/>
              </a:ext>
            </a:extLst>
          </xdr:cNvPr>
          <xdr:cNvCxnSpPr/>
        </xdr:nvCxnSpPr>
        <xdr:spPr>
          <a:xfrm>
            <a:off x="3421380" y="10622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81" name="Gerader Verbinder 4280">
            <a:extLst>
              <a:ext uri="{FF2B5EF4-FFF2-40B4-BE49-F238E27FC236}">
                <a16:creationId xmlns:a16="http://schemas.microsoft.com/office/drawing/2014/main" id="{A8C6553C-262E-FBDB-D438-B45AEEAE8698}"/>
              </a:ext>
            </a:extLst>
          </xdr:cNvPr>
          <xdr:cNvCxnSpPr/>
        </xdr:nvCxnSpPr>
        <xdr:spPr>
          <a:xfrm flipH="1">
            <a:off x="3421380" y="10622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56</xdr:row>
      <xdr:rowOff>0</xdr:rowOff>
    </xdr:from>
    <xdr:to>
      <xdr:col>6</xdr:col>
      <xdr:colOff>0</xdr:colOff>
      <xdr:row>57</xdr:row>
      <xdr:rowOff>0</xdr:rowOff>
    </xdr:to>
    <xdr:grpSp>
      <xdr:nvGrpSpPr>
        <xdr:cNvPr id="4285" name="Cross_F57">
          <a:extLst>
            <a:ext uri="{FF2B5EF4-FFF2-40B4-BE49-F238E27FC236}">
              <a16:creationId xmlns:a16="http://schemas.microsoft.com/office/drawing/2014/main" id="{181BAEEB-C75E-0840-E8B7-C9FF2239AF50}"/>
            </a:ext>
          </a:extLst>
        </xdr:cNvPr>
        <xdr:cNvGrpSpPr/>
      </xdr:nvGrpSpPr>
      <xdr:grpSpPr>
        <a:xfrm>
          <a:off x="3421380" y="10789920"/>
          <a:ext cx="594360" cy="167640"/>
          <a:chOff x="3421380" y="10789920"/>
          <a:chExt cx="594360" cy="167640"/>
        </a:xfrm>
      </xdr:grpSpPr>
      <xdr:cxnSp macro="">
        <xdr:nvCxnSpPr>
          <xdr:cNvPr id="4283" name="Gerader Verbinder 4282">
            <a:extLst>
              <a:ext uri="{FF2B5EF4-FFF2-40B4-BE49-F238E27FC236}">
                <a16:creationId xmlns:a16="http://schemas.microsoft.com/office/drawing/2014/main" id="{F0F46962-0F00-2E99-F565-53B6A053362F}"/>
              </a:ext>
            </a:extLst>
          </xdr:cNvPr>
          <xdr:cNvCxnSpPr/>
        </xdr:nvCxnSpPr>
        <xdr:spPr>
          <a:xfrm>
            <a:off x="3421380" y="107899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84" name="Gerader Verbinder 4283">
            <a:extLst>
              <a:ext uri="{FF2B5EF4-FFF2-40B4-BE49-F238E27FC236}">
                <a16:creationId xmlns:a16="http://schemas.microsoft.com/office/drawing/2014/main" id="{38C84349-1700-0600-B8CA-6AE5C6D0D7AA}"/>
              </a:ext>
            </a:extLst>
          </xdr:cNvPr>
          <xdr:cNvCxnSpPr/>
        </xdr:nvCxnSpPr>
        <xdr:spPr>
          <a:xfrm flipH="1">
            <a:off x="3421380" y="107899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57</xdr:row>
      <xdr:rowOff>0</xdr:rowOff>
    </xdr:from>
    <xdr:to>
      <xdr:col>6</xdr:col>
      <xdr:colOff>0</xdr:colOff>
      <xdr:row>58</xdr:row>
      <xdr:rowOff>0</xdr:rowOff>
    </xdr:to>
    <xdr:grpSp>
      <xdr:nvGrpSpPr>
        <xdr:cNvPr id="4288" name="Cross_F58">
          <a:extLst>
            <a:ext uri="{FF2B5EF4-FFF2-40B4-BE49-F238E27FC236}">
              <a16:creationId xmlns:a16="http://schemas.microsoft.com/office/drawing/2014/main" id="{74E0F72D-6B30-BD78-1781-D097E8DA4AF9}"/>
            </a:ext>
          </a:extLst>
        </xdr:cNvPr>
        <xdr:cNvGrpSpPr/>
      </xdr:nvGrpSpPr>
      <xdr:grpSpPr>
        <a:xfrm>
          <a:off x="3421380" y="10957560"/>
          <a:ext cx="594360" cy="228600"/>
          <a:chOff x="3421380" y="10957560"/>
          <a:chExt cx="594360" cy="228600"/>
        </a:xfrm>
      </xdr:grpSpPr>
      <xdr:cxnSp macro="">
        <xdr:nvCxnSpPr>
          <xdr:cNvPr id="4286" name="Gerader Verbinder 4285">
            <a:extLst>
              <a:ext uri="{FF2B5EF4-FFF2-40B4-BE49-F238E27FC236}">
                <a16:creationId xmlns:a16="http://schemas.microsoft.com/office/drawing/2014/main" id="{381CEA3D-297C-FDEA-73E7-62FFA81615B1}"/>
              </a:ext>
            </a:extLst>
          </xdr:cNvPr>
          <xdr:cNvCxnSpPr/>
        </xdr:nvCxnSpPr>
        <xdr:spPr>
          <a:xfrm>
            <a:off x="3421380" y="109575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87" name="Gerader Verbinder 4286">
            <a:extLst>
              <a:ext uri="{FF2B5EF4-FFF2-40B4-BE49-F238E27FC236}">
                <a16:creationId xmlns:a16="http://schemas.microsoft.com/office/drawing/2014/main" id="{D6CCAC83-57C2-0675-79A2-4E2CAFF158AB}"/>
              </a:ext>
            </a:extLst>
          </xdr:cNvPr>
          <xdr:cNvCxnSpPr/>
        </xdr:nvCxnSpPr>
        <xdr:spPr>
          <a:xfrm flipH="1">
            <a:off x="3421380" y="109575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58</xdr:row>
      <xdr:rowOff>0</xdr:rowOff>
    </xdr:from>
    <xdr:to>
      <xdr:col>6</xdr:col>
      <xdr:colOff>0</xdr:colOff>
      <xdr:row>59</xdr:row>
      <xdr:rowOff>0</xdr:rowOff>
    </xdr:to>
    <xdr:grpSp>
      <xdr:nvGrpSpPr>
        <xdr:cNvPr id="4291" name="Cross_F59">
          <a:extLst>
            <a:ext uri="{FF2B5EF4-FFF2-40B4-BE49-F238E27FC236}">
              <a16:creationId xmlns:a16="http://schemas.microsoft.com/office/drawing/2014/main" id="{5576C4A7-4E00-DD00-50E3-CB8AF26CF217}"/>
            </a:ext>
          </a:extLst>
        </xdr:cNvPr>
        <xdr:cNvGrpSpPr/>
      </xdr:nvGrpSpPr>
      <xdr:grpSpPr>
        <a:xfrm>
          <a:off x="3421380" y="11186160"/>
          <a:ext cx="594360" cy="167640"/>
          <a:chOff x="3421380" y="11186160"/>
          <a:chExt cx="594360" cy="167640"/>
        </a:xfrm>
      </xdr:grpSpPr>
      <xdr:cxnSp macro="">
        <xdr:nvCxnSpPr>
          <xdr:cNvPr id="4289" name="Gerader Verbinder 4288">
            <a:extLst>
              <a:ext uri="{FF2B5EF4-FFF2-40B4-BE49-F238E27FC236}">
                <a16:creationId xmlns:a16="http://schemas.microsoft.com/office/drawing/2014/main" id="{A6E93CB3-DBEB-1CBB-F9EB-CCDF5664A229}"/>
              </a:ext>
            </a:extLst>
          </xdr:cNvPr>
          <xdr:cNvCxnSpPr/>
        </xdr:nvCxnSpPr>
        <xdr:spPr>
          <a:xfrm>
            <a:off x="3421380" y="111861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90" name="Gerader Verbinder 4289">
            <a:extLst>
              <a:ext uri="{FF2B5EF4-FFF2-40B4-BE49-F238E27FC236}">
                <a16:creationId xmlns:a16="http://schemas.microsoft.com/office/drawing/2014/main" id="{25E29D66-C851-DD53-8D11-5552D22CC577}"/>
              </a:ext>
            </a:extLst>
          </xdr:cNvPr>
          <xdr:cNvCxnSpPr/>
        </xdr:nvCxnSpPr>
        <xdr:spPr>
          <a:xfrm flipH="1">
            <a:off x="3421380" y="111861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59</xdr:row>
      <xdr:rowOff>0</xdr:rowOff>
    </xdr:from>
    <xdr:to>
      <xdr:col>6</xdr:col>
      <xdr:colOff>0</xdr:colOff>
      <xdr:row>60</xdr:row>
      <xdr:rowOff>0</xdr:rowOff>
    </xdr:to>
    <xdr:grpSp>
      <xdr:nvGrpSpPr>
        <xdr:cNvPr id="4294" name="Cross_F60">
          <a:extLst>
            <a:ext uri="{FF2B5EF4-FFF2-40B4-BE49-F238E27FC236}">
              <a16:creationId xmlns:a16="http://schemas.microsoft.com/office/drawing/2014/main" id="{0298331A-D3D1-0E37-2152-5516BDF3C0CD}"/>
            </a:ext>
          </a:extLst>
        </xdr:cNvPr>
        <xdr:cNvGrpSpPr/>
      </xdr:nvGrpSpPr>
      <xdr:grpSpPr>
        <a:xfrm>
          <a:off x="3421380" y="11353800"/>
          <a:ext cx="594360" cy="167640"/>
          <a:chOff x="3421380" y="11353800"/>
          <a:chExt cx="594360" cy="167640"/>
        </a:xfrm>
      </xdr:grpSpPr>
      <xdr:cxnSp macro="">
        <xdr:nvCxnSpPr>
          <xdr:cNvPr id="4292" name="Gerader Verbinder 4291">
            <a:extLst>
              <a:ext uri="{FF2B5EF4-FFF2-40B4-BE49-F238E27FC236}">
                <a16:creationId xmlns:a16="http://schemas.microsoft.com/office/drawing/2014/main" id="{1EA8A878-2887-55B4-A7E3-9FD21D58F8EF}"/>
              </a:ext>
            </a:extLst>
          </xdr:cNvPr>
          <xdr:cNvCxnSpPr/>
        </xdr:nvCxnSpPr>
        <xdr:spPr>
          <a:xfrm>
            <a:off x="3421380" y="113538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93" name="Gerader Verbinder 4292">
            <a:extLst>
              <a:ext uri="{FF2B5EF4-FFF2-40B4-BE49-F238E27FC236}">
                <a16:creationId xmlns:a16="http://schemas.microsoft.com/office/drawing/2014/main" id="{AD0C49CE-F463-3C84-4805-F3CCF24093DC}"/>
              </a:ext>
            </a:extLst>
          </xdr:cNvPr>
          <xdr:cNvCxnSpPr/>
        </xdr:nvCxnSpPr>
        <xdr:spPr>
          <a:xfrm flipH="1">
            <a:off x="3421380" y="113538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60</xdr:row>
      <xdr:rowOff>0</xdr:rowOff>
    </xdr:from>
    <xdr:to>
      <xdr:col>6</xdr:col>
      <xdr:colOff>0</xdr:colOff>
      <xdr:row>61</xdr:row>
      <xdr:rowOff>0</xdr:rowOff>
    </xdr:to>
    <xdr:grpSp>
      <xdr:nvGrpSpPr>
        <xdr:cNvPr id="4297" name="Cross_F61">
          <a:extLst>
            <a:ext uri="{FF2B5EF4-FFF2-40B4-BE49-F238E27FC236}">
              <a16:creationId xmlns:a16="http://schemas.microsoft.com/office/drawing/2014/main" id="{C4D1ED92-E7E8-1738-4180-9B6956DF0B7F}"/>
            </a:ext>
          </a:extLst>
        </xdr:cNvPr>
        <xdr:cNvGrpSpPr/>
      </xdr:nvGrpSpPr>
      <xdr:grpSpPr>
        <a:xfrm>
          <a:off x="3421380" y="11521440"/>
          <a:ext cx="594360" cy="228600"/>
          <a:chOff x="3421380" y="11521440"/>
          <a:chExt cx="594360" cy="228600"/>
        </a:xfrm>
      </xdr:grpSpPr>
      <xdr:cxnSp macro="">
        <xdr:nvCxnSpPr>
          <xdr:cNvPr id="4295" name="Gerader Verbinder 4294">
            <a:extLst>
              <a:ext uri="{FF2B5EF4-FFF2-40B4-BE49-F238E27FC236}">
                <a16:creationId xmlns:a16="http://schemas.microsoft.com/office/drawing/2014/main" id="{64B94407-9A35-3C31-C811-7263A7864E39}"/>
              </a:ext>
            </a:extLst>
          </xdr:cNvPr>
          <xdr:cNvCxnSpPr/>
        </xdr:nvCxnSpPr>
        <xdr:spPr>
          <a:xfrm>
            <a:off x="3421380" y="115214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96" name="Gerader Verbinder 4295">
            <a:extLst>
              <a:ext uri="{FF2B5EF4-FFF2-40B4-BE49-F238E27FC236}">
                <a16:creationId xmlns:a16="http://schemas.microsoft.com/office/drawing/2014/main" id="{21EA790D-79E5-D6E8-9B5C-163D61C1CB17}"/>
              </a:ext>
            </a:extLst>
          </xdr:cNvPr>
          <xdr:cNvCxnSpPr/>
        </xdr:nvCxnSpPr>
        <xdr:spPr>
          <a:xfrm flipH="1">
            <a:off x="3421380" y="115214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61</xdr:row>
      <xdr:rowOff>0</xdr:rowOff>
    </xdr:from>
    <xdr:to>
      <xdr:col>6</xdr:col>
      <xdr:colOff>0</xdr:colOff>
      <xdr:row>62</xdr:row>
      <xdr:rowOff>0</xdr:rowOff>
    </xdr:to>
    <xdr:grpSp>
      <xdr:nvGrpSpPr>
        <xdr:cNvPr id="4300" name="Cross_F62">
          <a:extLst>
            <a:ext uri="{FF2B5EF4-FFF2-40B4-BE49-F238E27FC236}">
              <a16:creationId xmlns:a16="http://schemas.microsoft.com/office/drawing/2014/main" id="{49956CD4-55FC-98FA-880B-DB91DE7D08BD}"/>
            </a:ext>
          </a:extLst>
        </xdr:cNvPr>
        <xdr:cNvGrpSpPr/>
      </xdr:nvGrpSpPr>
      <xdr:grpSpPr>
        <a:xfrm>
          <a:off x="3421380" y="11750040"/>
          <a:ext cx="594360" cy="167640"/>
          <a:chOff x="3421380" y="11750040"/>
          <a:chExt cx="594360" cy="167640"/>
        </a:xfrm>
      </xdr:grpSpPr>
      <xdr:cxnSp macro="">
        <xdr:nvCxnSpPr>
          <xdr:cNvPr id="4298" name="Gerader Verbinder 4297">
            <a:extLst>
              <a:ext uri="{FF2B5EF4-FFF2-40B4-BE49-F238E27FC236}">
                <a16:creationId xmlns:a16="http://schemas.microsoft.com/office/drawing/2014/main" id="{C5E56C52-3FA8-8571-448B-2472E393507A}"/>
              </a:ext>
            </a:extLst>
          </xdr:cNvPr>
          <xdr:cNvCxnSpPr/>
        </xdr:nvCxnSpPr>
        <xdr:spPr>
          <a:xfrm>
            <a:off x="3421380" y="117500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99" name="Gerader Verbinder 4298">
            <a:extLst>
              <a:ext uri="{FF2B5EF4-FFF2-40B4-BE49-F238E27FC236}">
                <a16:creationId xmlns:a16="http://schemas.microsoft.com/office/drawing/2014/main" id="{2235A31B-0993-EC78-4B32-04DB00518B03}"/>
              </a:ext>
            </a:extLst>
          </xdr:cNvPr>
          <xdr:cNvCxnSpPr/>
        </xdr:nvCxnSpPr>
        <xdr:spPr>
          <a:xfrm flipH="1">
            <a:off x="3421380" y="117500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62</xdr:row>
      <xdr:rowOff>0</xdr:rowOff>
    </xdr:from>
    <xdr:to>
      <xdr:col>6</xdr:col>
      <xdr:colOff>0</xdr:colOff>
      <xdr:row>63</xdr:row>
      <xdr:rowOff>0</xdr:rowOff>
    </xdr:to>
    <xdr:grpSp>
      <xdr:nvGrpSpPr>
        <xdr:cNvPr id="4303" name="Cross_F63">
          <a:extLst>
            <a:ext uri="{FF2B5EF4-FFF2-40B4-BE49-F238E27FC236}">
              <a16:creationId xmlns:a16="http://schemas.microsoft.com/office/drawing/2014/main" id="{86D38A06-69D2-3A43-E15F-FC3E4DB892F8}"/>
            </a:ext>
          </a:extLst>
        </xdr:cNvPr>
        <xdr:cNvGrpSpPr/>
      </xdr:nvGrpSpPr>
      <xdr:grpSpPr>
        <a:xfrm>
          <a:off x="3421380" y="11917680"/>
          <a:ext cx="594360" cy="167640"/>
          <a:chOff x="3421380" y="11917680"/>
          <a:chExt cx="594360" cy="167640"/>
        </a:xfrm>
      </xdr:grpSpPr>
      <xdr:cxnSp macro="">
        <xdr:nvCxnSpPr>
          <xdr:cNvPr id="4301" name="Gerader Verbinder 4300">
            <a:extLst>
              <a:ext uri="{FF2B5EF4-FFF2-40B4-BE49-F238E27FC236}">
                <a16:creationId xmlns:a16="http://schemas.microsoft.com/office/drawing/2014/main" id="{07085D59-4564-5B85-B22F-72F24C6F6FA7}"/>
              </a:ext>
            </a:extLst>
          </xdr:cNvPr>
          <xdr:cNvCxnSpPr/>
        </xdr:nvCxnSpPr>
        <xdr:spPr>
          <a:xfrm>
            <a:off x="3421380" y="11917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02" name="Gerader Verbinder 4301">
            <a:extLst>
              <a:ext uri="{FF2B5EF4-FFF2-40B4-BE49-F238E27FC236}">
                <a16:creationId xmlns:a16="http://schemas.microsoft.com/office/drawing/2014/main" id="{DABD2BA5-3063-A4A0-377A-9E5150EEF4AA}"/>
              </a:ext>
            </a:extLst>
          </xdr:cNvPr>
          <xdr:cNvCxnSpPr/>
        </xdr:nvCxnSpPr>
        <xdr:spPr>
          <a:xfrm flipH="1">
            <a:off x="3421380" y="11917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69</xdr:row>
      <xdr:rowOff>0</xdr:rowOff>
    </xdr:from>
    <xdr:to>
      <xdr:col>6</xdr:col>
      <xdr:colOff>0</xdr:colOff>
      <xdr:row>70</xdr:row>
      <xdr:rowOff>0</xdr:rowOff>
    </xdr:to>
    <xdr:grpSp>
      <xdr:nvGrpSpPr>
        <xdr:cNvPr id="4306" name="Cross_F70">
          <a:extLst>
            <a:ext uri="{FF2B5EF4-FFF2-40B4-BE49-F238E27FC236}">
              <a16:creationId xmlns:a16="http://schemas.microsoft.com/office/drawing/2014/main" id="{59ECE50B-C2A6-6789-EABC-9023C6B4DCC2}"/>
            </a:ext>
          </a:extLst>
        </xdr:cNvPr>
        <xdr:cNvGrpSpPr/>
      </xdr:nvGrpSpPr>
      <xdr:grpSpPr>
        <a:xfrm>
          <a:off x="3421380" y="13213080"/>
          <a:ext cx="594360" cy="228600"/>
          <a:chOff x="3421380" y="13213080"/>
          <a:chExt cx="594360" cy="228600"/>
        </a:xfrm>
      </xdr:grpSpPr>
      <xdr:cxnSp macro="">
        <xdr:nvCxnSpPr>
          <xdr:cNvPr id="4304" name="Gerader Verbinder 4303">
            <a:extLst>
              <a:ext uri="{FF2B5EF4-FFF2-40B4-BE49-F238E27FC236}">
                <a16:creationId xmlns:a16="http://schemas.microsoft.com/office/drawing/2014/main" id="{FD6CB095-2863-A2E8-F655-526B10585828}"/>
              </a:ext>
            </a:extLst>
          </xdr:cNvPr>
          <xdr:cNvCxnSpPr/>
        </xdr:nvCxnSpPr>
        <xdr:spPr>
          <a:xfrm>
            <a:off x="3421380" y="132130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05" name="Gerader Verbinder 4304">
            <a:extLst>
              <a:ext uri="{FF2B5EF4-FFF2-40B4-BE49-F238E27FC236}">
                <a16:creationId xmlns:a16="http://schemas.microsoft.com/office/drawing/2014/main" id="{30070D22-BA5B-6E2F-F6CB-190A8F13083D}"/>
              </a:ext>
            </a:extLst>
          </xdr:cNvPr>
          <xdr:cNvCxnSpPr/>
        </xdr:nvCxnSpPr>
        <xdr:spPr>
          <a:xfrm flipH="1">
            <a:off x="3421380" y="132130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70</xdr:row>
      <xdr:rowOff>0</xdr:rowOff>
    </xdr:from>
    <xdr:to>
      <xdr:col>6</xdr:col>
      <xdr:colOff>0</xdr:colOff>
      <xdr:row>71</xdr:row>
      <xdr:rowOff>0</xdr:rowOff>
    </xdr:to>
    <xdr:grpSp>
      <xdr:nvGrpSpPr>
        <xdr:cNvPr id="4309" name="Cross_F71">
          <a:extLst>
            <a:ext uri="{FF2B5EF4-FFF2-40B4-BE49-F238E27FC236}">
              <a16:creationId xmlns:a16="http://schemas.microsoft.com/office/drawing/2014/main" id="{5C8053E5-0DB9-6A0B-2F03-C21A3F402B30}"/>
            </a:ext>
          </a:extLst>
        </xdr:cNvPr>
        <xdr:cNvGrpSpPr/>
      </xdr:nvGrpSpPr>
      <xdr:grpSpPr>
        <a:xfrm>
          <a:off x="3421380" y="13441680"/>
          <a:ext cx="594360" cy="167640"/>
          <a:chOff x="3421380" y="13441680"/>
          <a:chExt cx="594360" cy="167640"/>
        </a:xfrm>
      </xdr:grpSpPr>
      <xdr:cxnSp macro="">
        <xdr:nvCxnSpPr>
          <xdr:cNvPr id="4307" name="Gerader Verbinder 4306">
            <a:extLst>
              <a:ext uri="{FF2B5EF4-FFF2-40B4-BE49-F238E27FC236}">
                <a16:creationId xmlns:a16="http://schemas.microsoft.com/office/drawing/2014/main" id="{A68E2E3D-3D05-3C5C-1EB7-6E785FDCA2BF}"/>
              </a:ext>
            </a:extLst>
          </xdr:cNvPr>
          <xdr:cNvCxnSpPr/>
        </xdr:nvCxnSpPr>
        <xdr:spPr>
          <a:xfrm>
            <a:off x="3421380" y="13441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08" name="Gerader Verbinder 4307">
            <a:extLst>
              <a:ext uri="{FF2B5EF4-FFF2-40B4-BE49-F238E27FC236}">
                <a16:creationId xmlns:a16="http://schemas.microsoft.com/office/drawing/2014/main" id="{F1AB2710-4CF3-2199-B1BE-C6944CF2E8AD}"/>
              </a:ext>
            </a:extLst>
          </xdr:cNvPr>
          <xdr:cNvCxnSpPr/>
        </xdr:nvCxnSpPr>
        <xdr:spPr>
          <a:xfrm flipH="1">
            <a:off x="3421380" y="13441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71</xdr:row>
      <xdr:rowOff>0</xdr:rowOff>
    </xdr:from>
    <xdr:to>
      <xdr:col>6</xdr:col>
      <xdr:colOff>0</xdr:colOff>
      <xdr:row>72</xdr:row>
      <xdr:rowOff>1</xdr:rowOff>
    </xdr:to>
    <xdr:grpSp>
      <xdr:nvGrpSpPr>
        <xdr:cNvPr id="4312" name="Cross_F72">
          <a:extLst>
            <a:ext uri="{FF2B5EF4-FFF2-40B4-BE49-F238E27FC236}">
              <a16:creationId xmlns:a16="http://schemas.microsoft.com/office/drawing/2014/main" id="{50C06A30-7144-59D5-94BE-7A8452724D9C}"/>
            </a:ext>
          </a:extLst>
        </xdr:cNvPr>
        <xdr:cNvGrpSpPr/>
      </xdr:nvGrpSpPr>
      <xdr:grpSpPr>
        <a:xfrm>
          <a:off x="3421380" y="13609320"/>
          <a:ext cx="594360" cy="167641"/>
          <a:chOff x="3421380" y="13609320"/>
          <a:chExt cx="594360" cy="167641"/>
        </a:xfrm>
      </xdr:grpSpPr>
      <xdr:cxnSp macro="">
        <xdr:nvCxnSpPr>
          <xdr:cNvPr id="4310" name="Gerader Verbinder 4309">
            <a:extLst>
              <a:ext uri="{FF2B5EF4-FFF2-40B4-BE49-F238E27FC236}">
                <a16:creationId xmlns:a16="http://schemas.microsoft.com/office/drawing/2014/main" id="{8352D7BD-CC84-40CF-98EE-B1A421C64F89}"/>
              </a:ext>
            </a:extLst>
          </xdr:cNvPr>
          <xdr:cNvCxnSpPr/>
        </xdr:nvCxnSpPr>
        <xdr:spPr>
          <a:xfrm>
            <a:off x="3421380" y="13609320"/>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11" name="Gerader Verbinder 4310">
            <a:extLst>
              <a:ext uri="{FF2B5EF4-FFF2-40B4-BE49-F238E27FC236}">
                <a16:creationId xmlns:a16="http://schemas.microsoft.com/office/drawing/2014/main" id="{2097CADE-80C7-4032-237C-141D312BFB1B}"/>
              </a:ext>
            </a:extLst>
          </xdr:cNvPr>
          <xdr:cNvCxnSpPr/>
        </xdr:nvCxnSpPr>
        <xdr:spPr>
          <a:xfrm flipH="1">
            <a:off x="3421380" y="13609320"/>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72</xdr:row>
      <xdr:rowOff>1</xdr:rowOff>
    </xdr:from>
    <xdr:to>
      <xdr:col>6</xdr:col>
      <xdr:colOff>0</xdr:colOff>
      <xdr:row>73</xdr:row>
      <xdr:rowOff>1</xdr:rowOff>
    </xdr:to>
    <xdr:grpSp>
      <xdr:nvGrpSpPr>
        <xdr:cNvPr id="4315" name="Cross_F73">
          <a:extLst>
            <a:ext uri="{FF2B5EF4-FFF2-40B4-BE49-F238E27FC236}">
              <a16:creationId xmlns:a16="http://schemas.microsoft.com/office/drawing/2014/main" id="{28328342-75F8-4EF9-4817-A38ED289EE05}"/>
            </a:ext>
          </a:extLst>
        </xdr:cNvPr>
        <xdr:cNvGrpSpPr/>
      </xdr:nvGrpSpPr>
      <xdr:grpSpPr>
        <a:xfrm>
          <a:off x="3421380" y="13776961"/>
          <a:ext cx="594360" cy="228600"/>
          <a:chOff x="3421380" y="13776961"/>
          <a:chExt cx="594360" cy="228600"/>
        </a:xfrm>
      </xdr:grpSpPr>
      <xdr:cxnSp macro="">
        <xdr:nvCxnSpPr>
          <xdr:cNvPr id="4313" name="Gerader Verbinder 4312">
            <a:extLst>
              <a:ext uri="{FF2B5EF4-FFF2-40B4-BE49-F238E27FC236}">
                <a16:creationId xmlns:a16="http://schemas.microsoft.com/office/drawing/2014/main" id="{DA797E85-A4B7-60F0-DF74-9B5DCE83C4F1}"/>
              </a:ext>
            </a:extLst>
          </xdr:cNvPr>
          <xdr:cNvCxnSpPr/>
        </xdr:nvCxnSpPr>
        <xdr:spPr>
          <a:xfrm>
            <a:off x="3421380" y="13776961"/>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14" name="Gerader Verbinder 4313">
            <a:extLst>
              <a:ext uri="{FF2B5EF4-FFF2-40B4-BE49-F238E27FC236}">
                <a16:creationId xmlns:a16="http://schemas.microsoft.com/office/drawing/2014/main" id="{5C713407-B91A-D001-4852-43DBC788FDF2}"/>
              </a:ext>
            </a:extLst>
          </xdr:cNvPr>
          <xdr:cNvCxnSpPr/>
        </xdr:nvCxnSpPr>
        <xdr:spPr>
          <a:xfrm flipH="1">
            <a:off x="3421380" y="13776961"/>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73</xdr:row>
      <xdr:rowOff>1</xdr:rowOff>
    </xdr:from>
    <xdr:to>
      <xdr:col>6</xdr:col>
      <xdr:colOff>0</xdr:colOff>
      <xdr:row>74</xdr:row>
      <xdr:rowOff>0</xdr:rowOff>
    </xdr:to>
    <xdr:grpSp>
      <xdr:nvGrpSpPr>
        <xdr:cNvPr id="4318" name="Cross_F74">
          <a:extLst>
            <a:ext uri="{FF2B5EF4-FFF2-40B4-BE49-F238E27FC236}">
              <a16:creationId xmlns:a16="http://schemas.microsoft.com/office/drawing/2014/main" id="{8602EAA2-203C-BCEA-57F0-2074BAB44071}"/>
            </a:ext>
          </a:extLst>
        </xdr:cNvPr>
        <xdr:cNvGrpSpPr/>
      </xdr:nvGrpSpPr>
      <xdr:grpSpPr>
        <a:xfrm>
          <a:off x="3421380" y="14005561"/>
          <a:ext cx="594360" cy="167639"/>
          <a:chOff x="3421380" y="14005561"/>
          <a:chExt cx="594360" cy="167639"/>
        </a:xfrm>
      </xdr:grpSpPr>
      <xdr:cxnSp macro="">
        <xdr:nvCxnSpPr>
          <xdr:cNvPr id="4316" name="Gerader Verbinder 4315">
            <a:extLst>
              <a:ext uri="{FF2B5EF4-FFF2-40B4-BE49-F238E27FC236}">
                <a16:creationId xmlns:a16="http://schemas.microsoft.com/office/drawing/2014/main" id="{5E630DD5-29ED-1398-1F42-3077B529DB9A}"/>
              </a:ext>
            </a:extLst>
          </xdr:cNvPr>
          <xdr:cNvCxnSpPr/>
        </xdr:nvCxnSpPr>
        <xdr:spPr>
          <a:xfrm>
            <a:off x="3421380" y="14005561"/>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17" name="Gerader Verbinder 4316">
            <a:extLst>
              <a:ext uri="{FF2B5EF4-FFF2-40B4-BE49-F238E27FC236}">
                <a16:creationId xmlns:a16="http://schemas.microsoft.com/office/drawing/2014/main" id="{54959575-33AA-7FDE-02C3-35ED6DB08879}"/>
              </a:ext>
            </a:extLst>
          </xdr:cNvPr>
          <xdr:cNvCxnSpPr/>
        </xdr:nvCxnSpPr>
        <xdr:spPr>
          <a:xfrm flipH="1">
            <a:off x="3421380" y="14005561"/>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74</xdr:row>
      <xdr:rowOff>0</xdr:rowOff>
    </xdr:from>
    <xdr:to>
      <xdr:col>6</xdr:col>
      <xdr:colOff>0</xdr:colOff>
      <xdr:row>74</xdr:row>
      <xdr:rowOff>167639</xdr:rowOff>
    </xdr:to>
    <xdr:grpSp>
      <xdr:nvGrpSpPr>
        <xdr:cNvPr id="4321" name="Cross_F75">
          <a:extLst>
            <a:ext uri="{FF2B5EF4-FFF2-40B4-BE49-F238E27FC236}">
              <a16:creationId xmlns:a16="http://schemas.microsoft.com/office/drawing/2014/main" id="{9FC80296-4A89-9561-0BC5-4A75067F41CD}"/>
            </a:ext>
          </a:extLst>
        </xdr:cNvPr>
        <xdr:cNvGrpSpPr/>
      </xdr:nvGrpSpPr>
      <xdr:grpSpPr>
        <a:xfrm>
          <a:off x="3421380" y="14173200"/>
          <a:ext cx="594360" cy="167639"/>
          <a:chOff x="3421380" y="14173200"/>
          <a:chExt cx="594360" cy="167639"/>
        </a:xfrm>
      </xdr:grpSpPr>
      <xdr:cxnSp macro="">
        <xdr:nvCxnSpPr>
          <xdr:cNvPr id="4319" name="Gerader Verbinder 4318">
            <a:extLst>
              <a:ext uri="{FF2B5EF4-FFF2-40B4-BE49-F238E27FC236}">
                <a16:creationId xmlns:a16="http://schemas.microsoft.com/office/drawing/2014/main" id="{D5AD9580-07FA-D999-BFF5-64E45594E718}"/>
              </a:ext>
            </a:extLst>
          </xdr:cNvPr>
          <xdr:cNvCxnSpPr/>
        </xdr:nvCxnSpPr>
        <xdr:spPr>
          <a:xfrm>
            <a:off x="3421380" y="14173200"/>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20" name="Gerader Verbinder 4319">
            <a:extLst>
              <a:ext uri="{FF2B5EF4-FFF2-40B4-BE49-F238E27FC236}">
                <a16:creationId xmlns:a16="http://schemas.microsoft.com/office/drawing/2014/main" id="{44A3F1EC-7E4A-8F43-C9A7-FAE270DA980F}"/>
              </a:ext>
            </a:extLst>
          </xdr:cNvPr>
          <xdr:cNvCxnSpPr/>
        </xdr:nvCxnSpPr>
        <xdr:spPr>
          <a:xfrm flipH="1">
            <a:off x="3421380" y="14173200"/>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xdr:row>
      <xdr:rowOff>0</xdr:rowOff>
    </xdr:from>
    <xdr:to>
      <xdr:col>7</xdr:col>
      <xdr:colOff>0</xdr:colOff>
      <xdr:row>7</xdr:row>
      <xdr:rowOff>0</xdr:rowOff>
    </xdr:to>
    <xdr:grpSp>
      <xdr:nvGrpSpPr>
        <xdr:cNvPr id="4324" name="Cross_G7">
          <a:extLst>
            <a:ext uri="{FF2B5EF4-FFF2-40B4-BE49-F238E27FC236}">
              <a16:creationId xmlns:a16="http://schemas.microsoft.com/office/drawing/2014/main" id="{5739CC1C-30E2-E4C2-2330-BC5F9BD31729}"/>
            </a:ext>
          </a:extLst>
        </xdr:cNvPr>
        <xdr:cNvGrpSpPr/>
      </xdr:nvGrpSpPr>
      <xdr:grpSpPr>
        <a:xfrm>
          <a:off x="4015740" y="1371600"/>
          <a:ext cx="594360" cy="228600"/>
          <a:chOff x="4015740" y="1371600"/>
          <a:chExt cx="594360" cy="228600"/>
        </a:xfrm>
      </xdr:grpSpPr>
      <xdr:cxnSp macro="">
        <xdr:nvCxnSpPr>
          <xdr:cNvPr id="4322" name="Gerader Verbinder 4321">
            <a:extLst>
              <a:ext uri="{FF2B5EF4-FFF2-40B4-BE49-F238E27FC236}">
                <a16:creationId xmlns:a16="http://schemas.microsoft.com/office/drawing/2014/main" id="{9CF732C7-55C5-3544-B40B-20E69EF63102}"/>
              </a:ext>
            </a:extLst>
          </xdr:cNvPr>
          <xdr:cNvCxnSpPr/>
        </xdr:nvCxnSpPr>
        <xdr:spPr>
          <a:xfrm>
            <a:off x="4015740" y="13716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23" name="Gerader Verbinder 4322">
            <a:extLst>
              <a:ext uri="{FF2B5EF4-FFF2-40B4-BE49-F238E27FC236}">
                <a16:creationId xmlns:a16="http://schemas.microsoft.com/office/drawing/2014/main" id="{C2092DAA-7493-D38F-D88B-174EBDAAEFA1}"/>
              </a:ext>
            </a:extLst>
          </xdr:cNvPr>
          <xdr:cNvCxnSpPr/>
        </xdr:nvCxnSpPr>
        <xdr:spPr>
          <a:xfrm flipH="1">
            <a:off x="4015740" y="13716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7</xdr:row>
      <xdr:rowOff>0</xdr:rowOff>
    </xdr:from>
    <xdr:to>
      <xdr:col>7</xdr:col>
      <xdr:colOff>0</xdr:colOff>
      <xdr:row>8</xdr:row>
      <xdr:rowOff>0</xdr:rowOff>
    </xdr:to>
    <xdr:grpSp>
      <xdr:nvGrpSpPr>
        <xdr:cNvPr id="4327" name="Cross_G8">
          <a:extLst>
            <a:ext uri="{FF2B5EF4-FFF2-40B4-BE49-F238E27FC236}">
              <a16:creationId xmlns:a16="http://schemas.microsoft.com/office/drawing/2014/main" id="{1C52FED0-D1FE-1ADB-AA2B-9E2D6787DBA3}"/>
            </a:ext>
          </a:extLst>
        </xdr:cNvPr>
        <xdr:cNvGrpSpPr/>
      </xdr:nvGrpSpPr>
      <xdr:grpSpPr>
        <a:xfrm>
          <a:off x="4015740" y="1600200"/>
          <a:ext cx="594360" cy="167640"/>
          <a:chOff x="4015740" y="1600200"/>
          <a:chExt cx="594360" cy="167640"/>
        </a:xfrm>
      </xdr:grpSpPr>
      <xdr:cxnSp macro="">
        <xdr:nvCxnSpPr>
          <xdr:cNvPr id="4325" name="Gerader Verbinder 4324">
            <a:extLst>
              <a:ext uri="{FF2B5EF4-FFF2-40B4-BE49-F238E27FC236}">
                <a16:creationId xmlns:a16="http://schemas.microsoft.com/office/drawing/2014/main" id="{F7B424BC-5655-3F84-AD8C-0FEA490126A9}"/>
              </a:ext>
            </a:extLst>
          </xdr:cNvPr>
          <xdr:cNvCxnSpPr/>
        </xdr:nvCxnSpPr>
        <xdr:spPr>
          <a:xfrm>
            <a:off x="4015740" y="16002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26" name="Gerader Verbinder 4325">
            <a:extLst>
              <a:ext uri="{FF2B5EF4-FFF2-40B4-BE49-F238E27FC236}">
                <a16:creationId xmlns:a16="http://schemas.microsoft.com/office/drawing/2014/main" id="{9D5D3E8E-881F-C6AB-AE77-F9662E188C46}"/>
              </a:ext>
            </a:extLst>
          </xdr:cNvPr>
          <xdr:cNvCxnSpPr/>
        </xdr:nvCxnSpPr>
        <xdr:spPr>
          <a:xfrm flipH="1">
            <a:off x="4015740" y="16002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8</xdr:row>
      <xdr:rowOff>0</xdr:rowOff>
    </xdr:from>
    <xdr:to>
      <xdr:col>7</xdr:col>
      <xdr:colOff>0</xdr:colOff>
      <xdr:row>9</xdr:row>
      <xdr:rowOff>0</xdr:rowOff>
    </xdr:to>
    <xdr:grpSp>
      <xdr:nvGrpSpPr>
        <xdr:cNvPr id="4330" name="Cross_G9">
          <a:extLst>
            <a:ext uri="{FF2B5EF4-FFF2-40B4-BE49-F238E27FC236}">
              <a16:creationId xmlns:a16="http://schemas.microsoft.com/office/drawing/2014/main" id="{1D1B80DA-36EF-8520-A27C-546537418711}"/>
            </a:ext>
          </a:extLst>
        </xdr:cNvPr>
        <xdr:cNvGrpSpPr/>
      </xdr:nvGrpSpPr>
      <xdr:grpSpPr>
        <a:xfrm>
          <a:off x="4015740" y="1767840"/>
          <a:ext cx="594360" cy="167640"/>
          <a:chOff x="4015740" y="1767840"/>
          <a:chExt cx="594360" cy="167640"/>
        </a:xfrm>
      </xdr:grpSpPr>
      <xdr:cxnSp macro="">
        <xdr:nvCxnSpPr>
          <xdr:cNvPr id="4328" name="Gerader Verbinder 4327">
            <a:extLst>
              <a:ext uri="{FF2B5EF4-FFF2-40B4-BE49-F238E27FC236}">
                <a16:creationId xmlns:a16="http://schemas.microsoft.com/office/drawing/2014/main" id="{F944D76A-8F1E-D3B4-1FD7-527975BDB76B}"/>
              </a:ext>
            </a:extLst>
          </xdr:cNvPr>
          <xdr:cNvCxnSpPr/>
        </xdr:nvCxnSpPr>
        <xdr:spPr>
          <a:xfrm>
            <a:off x="4015740" y="17678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29" name="Gerader Verbinder 4328">
            <a:extLst>
              <a:ext uri="{FF2B5EF4-FFF2-40B4-BE49-F238E27FC236}">
                <a16:creationId xmlns:a16="http://schemas.microsoft.com/office/drawing/2014/main" id="{0986468A-027D-6F56-7920-D87AF987CCF9}"/>
              </a:ext>
            </a:extLst>
          </xdr:cNvPr>
          <xdr:cNvCxnSpPr/>
        </xdr:nvCxnSpPr>
        <xdr:spPr>
          <a:xfrm flipH="1">
            <a:off x="4015740" y="17678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15</xdr:row>
      <xdr:rowOff>0</xdr:rowOff>
    </xdr:from>
    <xdr:to>
      <xdr:col>7</xdr:col>
      <xdr:colOff>0</xdr:colOff>
      <xdr:row>16</xdr:row>
      <xdr:rowOff>0</xdr:rowOff>
    </xdr:to>
    <xdr:grpSp>
      <xdr:nvGrpSpPr>
        <xdr:cNvPr id="4333" name="Cross_G16">
          <a:extLst>
            <a:ext uri="{FF2B5EF4-FFF2-40B4-BE49-F238E27FC236}">
              <a16:creationId xmlns:a16="http://schemas.microsoft.com/office/drawing/2014/main" id="{0B245240-3D20-200D-542A-00DA89B206B2}"/>
            </a:ext>
          </a:extLst>
        </xdr:cNvPr>
        <xdr:cNvGrpSpPr/>
      </xdr:nvGrpSpPr>
      <xdr:grpSpPr>
        <a:xfrm>
          <a:off x="4015740" y="3063240"/>
          <a:ext cx="594360" cy="228600"/>
          <a:chOff x="4015740" y="3063240"/>
          <a:chExt cx="594360" cy="228600"/>
        </a:xfrm>
      </xdr:grpSpPr>
      <xdr:cxnSp macro="">
        <xdr:nvCxnSpPr>
          <xdr:cNvPr id="4331" name="Gerader Verbinder 4330">
            <a:extLst>
              <a:ext uri="{FF2B5EF4-FFF2-40B4-BE49-F238E27FC236}">
                <a16:creationId xmlns:a16="http://schemas.microsoft.com/office/drawing/2014/main" id="{77BD6E6A-5B25-1337-B5DC-E1D29DF305F9}"/>
              </a:ext>
            </a:extLst>
          </xdr:cNvPr>
          <xdr:cNvCxnSpPr/>
        </xdr:nvCxnSpPr>
        <xdr:spPr>
          <a:xfrm>
            <a:off x="4015740" y="30632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32" name="Gerader Verbinder 4331">
            <a:extLst>
              <a:ext uri="{FF2B5EF4-FFF2-40B4-BE49-F238E27FC236}">
                <a16:creationId xmlns:a16="http://schemas.microsoft.com/office/drawing/2014/main" id="{E4413782-D06B-A63C-B434-72F280CC5628}"/>
              </a:ext>
            </a:extLst>
          </xdr:cNvPr>
          <xdr:cNvCxnSpPr/>
        </xdr:nvCxnSpPr>
        <xdr:spPr>
          <a:xfrm flipH="1">
            <a:off x="4015740" y="30632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16</xdr:row>
      <xdr:rowOff>0</xdr:rowOff>
    </xdr:from>
    <xdr:to>
      <xdr:col>7</xdr:col>
      <xdr:colOff>0</xdr:colOff>
      <xdr:row>17</xdr:row>
      <xdr:rowOff>0</xdr:rowOff>
    </xdr:to>
    <xdr:grpSp>
      <xdr:nvGrpSpPr>
        <xdr:cNvPr id="4336" name="Cross_G17">
          <a:extLst>
            <a:ext uri="{FF2B5EF4-FFF2-40B4-BE49-F238E27FC236}">
              <a16:creationId xmlns:a16="http://schemas.microsoft.com/office/drawing/2014/main" id="{D8B0C926-81E0-A1A7-A782-61D4A4D9F6E8}"/>
            </a:ext>
          </a:extLst>
        </xdr:cNvPr>
        <xdr:cNvGrpSpPr/>
      </xdr:nvGrpSpPr>
      <xdr:grpSpPr>
        <a:xfrm>
          <a:off x="4015740" y="3291840"/>
          <a:ext cx="594360" cy="167640"/>
          <a:chOff x="4015740" y="3291840"/>
          <a:chExt cx="594360" cy="167640"/>
        </a:xfrm>
      </xdr:grpSpPr>
      <xdr:cxnSp macro="">
        <xdr:nvCxnSpPr>
          <xdr:cNvPr id="4334" name="Gerader Verbinder 4333">
            <a:extLst>
              <a:ext uri="{FF2B5EF4-FFF2-40B4-BE49-F238E27FC236}">
                <a16:creationId xmlns:a16="http://schemas.microsoft.com/office/drawing/2014/main" id="{CDB9E1AB-5879-0FE4-B591-A36C6F82C6C5}"/>
              </a:ext>
            </a:extLst>
          </xdr:cNvPr>
          <xdr:cNvCxnSpPr/>
        </xdr:nvCxnSpPr>
        <xdr:spPr>
          <a:xfrm>
            <a:off x="4015740" y="32918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35" name="Gerader Verbinder 4334">
            <a:extLst>
              <a:ext uri="{FF2B5EF4-FFF2-40B4-BE49-F238E27FC236}">
                <a16:creationId xmlns:a16="http://schemas.microsoft.com/office/drawing/2014/main" id="{78608A5D-EA1E-9751-EA58-73698350B056}"/>
              </a:ext>
            </a:extLst>
          </xdr:cNvPr>
          <xdr:cNvCxnSpPr/>
        </xdr:nvCxnSpPr>
        <xdr:spPr>
          <a:xfrm flipH="1">
            <a:off x="4015740" y="32918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17</xdr:row>
      <xdr:rowOff>0</xdr:rowOff>
    </xdr:from>
    <xdr:to>
      <xdr:col>7</xdr:col>
      <xdr:colOff>0</xdr:colOff>
      <xdr:row>18</xdr:row>
      <xdr:rowOff>0</xdr:rowOff>
    </xdr:to>
    <xdr:grpSp>
      <xdr:nvGrpSpPr>
        <xdr:cNvPr id="4339" name="Cross_G18">
          <a:extLst>
            <a:ext uri="{FF2B5EF4-FFF2-40B4-BE49-F238E27FC236}">
              <a16:creationId xmlns:a16="http://schemas.microsoft.com/office/drawing/2014/main" id="{F8A12FC2-53E4-EB68-DD55-F30BACEFF297}"/>
            </a:ext>
          </a:extLst>
        </xdr:cNvPr>
        <xdr:cNvGrpSpPr/>
      </xdr:nvGrpSpPr>
      <xdr:grpSpPr>
        <a:xfrm>
          <a:off x="4015740" y="3459480"/>
          <a:ext cx="594360" cy="167640"/>
          <a:chOff x="4015740" y="3459480"/>
          <a:chExt cx="594360" cy="167640"/>
        </a:xfrm>
      </xdr:grpSpPr>
      <xdr:cxnSp macro="">
        <xdr:nvCxnSpPr>
          <xdr:cNvPr id="4337" name="Gerader Verbinder 4336">
            <a:extLst>
              <a:ext uri="{FF2B5EF4-FFF2-40B4-BE49-F238E27FC236}">
                <a16:creationId xmlns:a16="http://schemas.microsoft.com/office/drawing/2014/main" id="{47124A80-9EAA-3C7D-9B5A-4F98EF1AE455}"/>
              </a:ext>
            </a:extLst>
          </xdr:cNvPr>
          <xdr:cNvCxnSpPr/>
        </xdr:nvCxnSpPr>
        <xdr:spPr>
          <a:xfrm>
            <a:off x="4015740" y="34594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38" name="Gerader Verbinder 4337">
            <a:extLst>
              <a:ext uri="{FF2B5EF4-FFF2-40B4-BE49-F238E27FC236}">
                <a16:creationId xmlns:a16="http://schemas.microsoft.com/office/drawing/2014/main" id="{0E86DB41-C8AE-5A42-366A-673B29306E2C}"/>
              </a:ext>
            </a:extLst>
          </xdr:cNvPr>
          <xdr:cNvCxnSpPr/>
        </xdr:nvCxnSpPr>
        <xdr:spPr>
          <a:xfrm flipH="1">
            <a:off x="4015740" y="34594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24</xdr:row>
      <xdr:rowOff>0</xdr:rowOff>
    </xdr:from>
    <xdr:to>
      <xdr:col>7</xdr:col>
      <xdr:colOff>0</xdr:colOff>
      <xdr:row>25</xdr:row>
      <xdr:rowOff>0</xdr:rowOff>
    </xdr:to>
    <xdr:grpSp>
      <xdr:nvGrpSpPr>
        <xdr:cNvPr id="4342" name="Cross_G25">
          <a:extLst>
            <a:ext uri="{FF2B5EF4-FFF2-40B4-BE49-F238E27FC236}">
              <a16:creationId xmlns:a16="http://schemas.microsoft.com/office/drawing/2014/main" id="{376E00CB-3196-FC5A-BC91-03A45DA9B96A}"/>
            </a:ext>
          </a:extLst>
        </xdr:cNvPr>
        <xdr:cNvGrpSpPr/>
      </xdr:nvGrpSpPr>
      <xdr:grpSpPr>
        <a:xfrm>
          <a:off x="4015740" y="4754880"/>
          <a:ext cx="594360" cy="228600"/>
          <a:chOff x="4015740" y="4754880"/>
          <a:chExt cx="594360" cy="228600"/>
        </a:xfrm>
      </xdr:grpSpPr>
      <xdr:cxnSp macro="">
        <xdr:nvCxnSpPr>
          <xdr:cNvPr id="4340" name="Gerader Verbinder 4339">
            <a:extLst>
              <a:ext uri="{FF2B5EF4-FFF2-40B4-BE49-F238E27FC236}">
                <a16:creationId xmlns:a16="http://schemas.microsoft.com/office/drawing/2014/main" id="{747C5392-1144-4A60-8D83-A97F7920660A}"/>
              </a:ext>
            </a:extLst>
          </xdr:cNvPr>
          <xdr:cNvCxnSpPr/>
        </xdr:nvCxnSpPr>
        <xdr:spPr>
          <a:xfrm>
            <a:off x="4015740" y="47548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41" name="Gerader Verbinder 4340">
            <a:extLst>
              <a:ext uri="{FF2B5EF4-FFF2-40B4-BE49-F238E27FC236}">
                <a16:creationId xmlns:a16="http://schemas.microsoft.com/office/drawing/2014/main" id="{0C273C27-FFAC-0FFA-B7F2-1191F396A169}"/>
              </a:ext>
            </a:extLst>
          </xdr:cNvPr>
          <xdr:cNvCxnSpPr/>
        </xdr:nvCxnSpPr>
        <xdr:spPr>
          <a:xfrm flipH="1">
            <a:off x="4015740" y="47548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25</xdr:row>
      <xdr:rowOff>0</xdr:rowOff>
    </xdr:from>
    <xdr:to>
      <xdr:col>7</xdr:col>
      <xdr:colOff>0</xdr:colOff>
      <xdr:row>26</xdr:row>
      <xdr:rowOff>0</xdr:rowOff>
    </xdr:to>
    <xdr:grpSp>
      <xdr:nvGrpSpPr>
        <xdr:cNvPr id="4345" name="Cross_G26">
          <a:extLst>
            <a:ext uri="{FF2B5EF4-FFF2-40B4-BE49-F238E27FC236}">
              <a16:creationId xmlns:a16="http://schemas.microsoft.com/office/drawing/2014/main" id="{60F25297-59A2-B927-3D74-0390AEF526E1}"/>
            </a:ext>
          </a:extLst>
        </xdr:cNvPr>
        <xdr:cNvGrpSpPr/>
      </xdr:nvGrpSpPr>
      <xdr:grpSpPr>
        <a:xfrm>
          <a:off x="4015740" y="4983480"/>
          <a:ext cx="594360" cy="167640"/>
          <a:chOff x="4015740" y="4983480"/>
          <a:chExt cx="594360" cy="167640"/>
        </a:xfrm>
      </xdr:grpSpPr>
      <xdr:cxnSp macro="">
        <xdr:nvCxnSpPr>
          <xdr:cNvPr id="4343" name="Gerader Verbinder 4342">
            <a:extLst>
              <a:ext uri="{FF2B5EF4-FFF2-40B4-BE49-F238E27FC236}">
                <a16:creationId xmlns:a16="http://schemas.microsoft.com/office/drawing/2014/main" id="{882F98D0-2749-2CED-A08B-8163ED1923B3}"/>
              </a:ext>
            </a:extLst>
          </xdr:cNvPr>
          <xdr:cNvCxnSpPr/>
        </xdr:nvCxnSpPr>
        <xdr:spPr>
          <a:xfrm>
            <a:off x="4015740" y="49834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44" name="Gerader Verbinder 4343">
            <a:extLst>
              <a:ext uri="{FF2B5EF4-FFF2-40B4-BE49-F238E27FC236}">
                <a16:creationId xmlns:a16="http://schemas.microsoft.com/office/drawing/2014/main" id="{10CB9E2A-EF3D-4551-AC4E-E09176E9C181}"/>
              </a:ext>
            </a:extLst>
          </xdr:cNvPr>
          <xdr:cNvCxnSpPr/>
        </xdr:nvCxnSpPr>
        <xdr:spPr>
          <a:xfrm flipH="1">
            <a:off x="4015740" y="49834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26</xdr:row>
      <xdr:rowOff>0</xdr:rowOff>
    </xdr:from>
    <xdr:to>
      <xdr:col>7</xdr:col>
      <xdr:colOff>0</xdr:colOff>
      <xdr:row>27</xdr:row>
      <xdr:rowOff>0</xdr:rowOff>
    </xdr:to>
    <xdr:grpSp>
      <xdr:nvGrpSpPr>
        <xdr:cNvPr id="4348" name="Cross_G27">
          <a:extLst>
            <a:ext uri="{FF2B5EF4-FFF2-40B4-BE49-F238E27FC236}">
              <a16:creationId xmlns:a16="http://schemas.microsoft.com/office/drawing/2014/main" id="{8EC29CD8-DC18-5BAA-28DD-547DAFAF1771}"/>
            </a:ext>
          </a:extLst>
        </xdr:cNvPr>
        <xdr:cNvGrpSpPr/>
      </xdr:nvGrpSpPr>
      <xdr:grpSpPr>
        <a:xfrm>
          <a:off x="4015740" y="5151120"/>
          <a:ext cx="594360" cy="167640"/>
          <a:chOff x="4015740" y="5151120"/>
          <a:chExt cx="594360" cy="167640"/>
        </a:xfrm>
      </xdr:grpSpPr>
      <xdr:cxnSp macro="">
        <xdr:nvCxnSpPr>
          <xdr:cNvPr id="4346" name="Gerader Verbinder 4345">
            <a:extLst>
              <a:ext uri="{FF2B5EF4-FFF2-40B4-BE49-F238E27FC236}">
                <a16:creationId xmlns:a16="http://schemas.microsoft.com/office/drawing/2014/main" id="{25FB04DD-0416-22BA-10C2-67FA8D8E6087}"/>
              </a:ext>
            </a:extLst>
          </xdr:cNvPr>
          <xdr:cNvCxnSpPr/>
        </xdr:nvCxnSpPr>
        <xdr:spPr>
          <a:xfrm>
            <a:off x="4015740" y="51511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47" name="Gerader Verbinder 4346">
            <a:extLst>
              <a:ext uri="{FF2B5EF4-FFF2-40B4-BE49-F238E27FC236}">
                <a16:creationId xmlns:a16="http://schemas.microsoft.com/office/drawing/2014/main" id="{90F8154B-E0E6-28BA-CD91-EA09BF02BA3B}"/>
              </a:ext>
            </a:extLst>
          </xdr:cNvPr>
          <xdr:cNvCxnSpPr/>
        </xdr:nvCxnSpPr>
        <xdr:spPr>
          <a:xfrm flipH="1">
            <a:off x="4015740" y="51511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30</xdr:row>
      <xdr:rowOff>0</xdr:rowOff>
    </xdr:from>
    <xdr:to>
      <xdr:col>7</xdr:col>
      <xdr:colOff>0</xdr:colOff>
      <xdr:row>31</xdr:row>
      <xdr:rowOff>0</xdr:rowOff>
    </xdr:to>
    <xdr:grpSp>
      <xdr:nvGrpSpPr>
        <xdr:cNvPr id="4351" name="Cross_G31">
          <a:extLst>
            <a:ext uri="{FF2B5EF4-FFF2-40B4-BE49-F238E27FC236}">
              <a16:creationId xmlns:a16="http://schemas.microsoft.com/office/drawing/2014/main" id="{4B44079C-F2CB-98F7-B814-164F741B9740}"/>
            </a:ext>
          </a:extLst>
        </xdr:cNvPr>
        <xdr:cNvGrpSpPr/>
      </xdr:nvGrpSpPr>
      <xdr:grpSpPr>
        <a:xfrm>
          <a:off x="4015740" y="5882640"/>
          <a:ext cx="594360" cy="228600"/>
          <a:chOff x="4015740" y="5882640"/>
          <a:chExt cx="594360" cy="228600"/>
        </a:xfrm>
      </xdr:grpSpPr>
      <xdr:cxnSp macro="">
        <xdr:nvCxnSpPr>
          <xdr:cNvPr id="4349" name="Gerader Verbinder 4348">
            <a:extLst>
              <a:ext uri="{FF2B5EF4-FFF2-40B4-BE49-F238E27FC236}">
                <a16:creationId xmlns:a16="http://schemas.microsoft.com/office/drawing/2014/main" id="{35855507-46CB-DB02-5677-38320A316CB5}"/>
              </a:ext>
            </a:extLst>
          </xdr:cNvPr>
          <xdr:cNvCxnSpPr/>
        </xdr:nvCxnSpPr>
        <xdr:spPr>
          <a:xfrm>
            <a:off x="4015740" y="58826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50" name="Gerader Verbinder 4349">
            <a:extLst>
              <a:ext uri="{FF2B5EF4-FFF2-40B4-BE49-F238E27FC236}">
                <a16:creationId xmlns:a16="http://schemas.microsoft.com/office/drawing/2014/main" id="{44963AE6-1923-53C0-EC61-4B8E2E89AF0A}"/>
              </a:ext>
            </a:extLst>
          </xdr:cNvPr>
          <xdr:cNvCxnSpPr/>
        </xdr:nvCxnSpPr>
        <xdr:spPr>
          <a:xfrm flipH="1">
            <a:off x="4015740" y="58826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31</xdr:row>
      <xdr:rowOff>0</xdr:rowOff>
    </xdr:from>
    <xdr:to>
      <xdr:col>7</xdr:col>
      <xdr:colOff>0</xdr:colOff>
      <xdr:row>32</xdr:row>
      <xdr:rowOff>0</xdr:rowOff>
    </xdr:to>
    <xdr:grpSp>
      <xdr:nvGrpSpPr>
        <xdr:cNvPr id="4354" name="Cross_G32">
          <a:extLst>
            <a:ext uri="{FF2B5EF4-FFF2-40B4-BE49-F238E27FC236}">
              <a16:creationId xmlns:a16="http://schemas.microsoft.com/office/drawing/2014/main" id="{1614F5BC-702C-A3FA-3A3E-ADAC4165ED77}"/>
            </a:ext>
          </a:extLst>
        </xdr:cNvPr>
        <xdr:cNvGrpSpPr/>
      </xdr:nvGrpSpPr>
      <xdr:grpSpPr>
        <a:xfrm>
          <a:off x="4015740" y="6111240"/>
          <a:ext cx="594360" cy="167640"/>
          <a:chOff x="4015740" y="6111240"/>
          <a:chExt cx="594360" cy="167640"/>
        </a:xfrm>
      </xdr:grpSpPr>
      <xdr:cxnSp macro="">
        <xdr:nvCxnSpPr>
          <xdr:cNvPr id="4352" name="Gerader Verbinder 4351">
            <a:extLst>
              <a:ext uri="{FF2B5EF4-FFF2-40B4-BE49-F238E27FC236}">
                <a16:creationId xmlns:a16="http://schemas.microsoft.com/office/drawing/2014/main" id="{B63AB54B-F359-3003-1616-819BDFB9E796}"/>
              </a:ext>
            </a:extLst>
          </xdr:cNvPr>
          <xdr:cNvCxnSpPr/>
        </xdr:nvCxnSpPr>
        <xdr:spPr>
          <a:xfrm>
            <a:off x="4015740" y="61112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53" name="Gerader Verbinder 4352">
            <a:extLst>
              <a:ext uri="{FF2B5EF4-FFF2-40B4-BE49-F238E27FC236}">
                <a16:creationId xmlns:a16="http://schemas.microsoft.com/office/drawing/2014/main" id="{B96A808D-0EDD-F335-5FAB-2F20F2065BE3}"/>
              </a:ext>
            </a:extLst>
          </xdr:cNvPr>
          <xdr:cNvCxnSpPr/>
        </xdr:nvCxnSpPr>
        <xdr:spPr>
          <a:xfrm flipH="1">
            <a:off x="4015740" y="61112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32</xdr:row>
      <xdr:rowOff>0</xdr:rowOff>
    </xdr:from>
    <xdr:to>
      <xdr:col>7</xdr:col>
      <xdr:colOff>0</xdr:colOff>
      <xdr:row>33</xdr:row>
      <xdr:rowOff>0</xdr:rowOff>
    </xdr:to>
    <xdr:grpSp>
      <xdr:nvGrpSpPr>
        <xdr:cNvPr id="4357" name="Cross_G33">
          <a:extLst>
            <a:ext uri="{FF2B5EF4-FFF2-40B4-BE49-F238E27FC236}">
              <a16:creationId xmlns:a16="http://schemas.microsoft.com/office/drawing/2014/main" id="{09BAB0EA-0669-0A68-70D8-B646B902C536}"/>
            </a:ext>
          </a:extLst>
        </xdr:cNvPr>
        <xdr:cNvGrpSpPr/>
      </xdr:nvGrpSpPr>
      <xdr:grpSpPr>
        <a:xfrm>
          <a:off x="4015740" y="6278880"/>
          <a:ext cx="594360" cy="167640"/>
          <a:chOff x="4015740" y="6278880"/>
          <a:chExt cx="594360" cy="167640"/>
        </a:xfrm>
      </xdr:grpSpPr>
      <xdr:cxnSp macro="">
        <xdr:nvCxnSpPr>
          <xdr:cNvPr id="4355" name="Gerader Verbinder 4354">
            <a:extLst>
              <a:ext uri="{FF2B5EF4-FFF2-40B4-BE49-F238E27FC236}">
                <a16:creationId xmlns:a16="http://schemas.microsoft.com/office/drawing/2014/main" id="{09689F19-9D19-4ECA-09C6-A8D4651F73D0}"/>
              </a:ext>
            </a:extLst>
          </xdr:cNvPr>
          <xdr:cNvCxnSpPr/>
        </xdr:nvCxnSpPr>
        <xdr:spPr>
          <a:xfrm>
            <a:off x="4015740" y="62788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56" name="Gerader Verbinder 4355">
            <a:extLst>
              <a:ext uri="{FF2B5EF4-FFF2-40B4-BE49-F238E27FC236}">
                <a16:creationId xmlns:a16="http://schemas.microsoft.com/office/drawing/2014/main" id="{D74A9EEB-7063-9DEA-ECD4-AF2D41B7BC90}"/>
              </a:ext>
            </a:extLst>
          </xdr:cNvPr>
          <xdr:cNvCxnSpPr/>
        </xdr:nvCxnSpPr>
        <xdr:spPr>
          <a:xfrm flipH="1">
            <a:off x="4015740" y="62788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42</xdr:row>
      <xdr:rowOff>0</xdr:rowOff>
    </xdr:from>
    <xdr:to>
      <xdr:col>7</xdr:col>
      <xdr:colOff>0</xdr:colOff>
      <xdr:row>43</xdr:row>
      <xdr:rowOff>0</xdr:rowOff>
    </xdr:to>
    <xdr:grpSp>
      <xdr:nvGrpSpPr>
        <xdr:cNvPr id="4360" name="Cross_G43">
          <a:extLst>
            <a:ext uri="{FF2B5EF4-FFF2-40B4-BE49-F238E27FC236}">
              <a16:creationId xmlns:a16="http://schemas.microsoft.com/office/drawing/2014/main" id="{DE051BBE-F64C-19FE-00A5-C05C110C9E42}"/>
            </a:ext>
          </a:extLst>
        </xdr:cNvPr>
        <xdr:cNvGrpSpPr/>
      </xdr:nvGrpSpPr>
      <xdr:grpSpPr>
        <a:xfrm>
          <a:off x="4015740" y="8138160"/>
          <a:ext cx="594360" cy="228600"/>
          <a:chOff x="4015740" y="8138160"/>
          <a:chExt cx="594360" cy="228600"/>
        </a:xfrm>
      </xdr:grpSpPr>
      <xdr:cxnSp macro="">
        <xdr:nvCxnSpPr>
          <xdr:cNvPr id="4358" name="Gerader Verbinder 4357">
            <a:extLst>
              <a:ext uri="{FF2B5EF4-FFF2-40B4-BE49-F238E27FC236}">
                <a16:creationId xmlns:a16="http://schemas.microsoft.com/office/drawing/2014/main" id="{ECFCA467-9B41-EE91-783C-F0C5EE1293FB}"/>
              </a:ext>
            </a:extLst>
          </xdr:cNvPr>
          <xdr:cNvCxnSpPr/>
        </xdr:nvCxnSpPr>
        <xdr:spPr>
          <a:xfrm>
            <a:off x="4015740" y="81381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59" name="Gerader Verbinder 4358">
            <a:extLst>
              <a:ext uri="{FF2B5EF4-FFF2-40B4-BE49-F238E27FC236}">
                <a16:creationId xmlns:a16="http://schemas.microsoft.com/office/drawing/2014/main" id="{B66E0A5C-ED77-0441-C290-84D5C4FE9DD0}"/>
              </a:ext>
            </a:extLst>
          </xdr:cNvPr>
          <xdr:cNvCxnSpPr/>
        </xdr:nvCxnSpPr>
        <xdr:spPr>
          <a:xfrm flipH="1">
            <a:off x="4015740" y="81381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43</xdr:row>
      <xdr:rowOff>0</xdr:rowOff>
    </xdr:from>
    <xdr:to>
      <xdr:col>7</xdr:col>
      <xdr:colOff>0</xdr:colOff>
      <xdr:row>44</xdr:row>
      <xdr:rowOff>0</xdr:rowOff>
    </xdr:to>
    <xdr:grpSp>
      <xdr:nvGrpSpPr>
        <xdr:cNvPr id="4363" name="Cross_G44">
          <a:extLst>
            <a:ext uri="{FF2B5EF4-FFF2-40B4-BE49-F238E27FC236}">
              <a16:creationId xmlns:a16="http://schemas.microsoft.com/office/drawing/2014/main" id="{16168773-6FD0-DE76-FB63-E1CD45A1F747}"/>
            </a:ext>
          </a:extLst>
        </xdr:cNvPr>
        <xdr:cNvGrpSpPr/>
      </xdr:nvGrpSpPr>
      <xdr:grpSpPr>
        <a:xfrm>
          <a:off x="4015740" y="8366760"/>
          <a:ext cx="594360" cy="167640"/>
          <a:chOff x="4015740" y="8366760"/>
          <a:chExt cx="594360" cy="167640"/>
        </a:xfrm>
      </xdr:grpSpPr>
      <xdr:cxnSp macro="">
        <xdr:nvCxnSpPr>
          <xdr:cNvPr id="4361" name="Gerader Verbinder 4360">
            <a:extLst>
              <a:ext uri="{FF2B5EF4-FFF2-40B4-BE49-F238E27FC236}">
                <a16:creationId xmlns:a16="http://schemas.microsoft.com/office/drawing/2014/main" id="{0728B73F-8783-6187-4A1E-819F05692569}"/>
              </a:ext>
            </a:extLst>
          </xdr:cNvPr>
          <xdr:cNvCxnSpPr/>
        </xdr:nvCxnSpPr>
        <xdr:spPr>
          <a:xfrm>
            <a:off x="4015740" y="83667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62" name="Gerader Verbinder 4361">
            <a:extLst>
              <a:ext uri="{FF2B5EF4-FFF2-40B4-BE49-F238E27FC236}">
                <a16:creationId xmlns:a16="http://schemas.microsoft.com/office/drawing/2014/main" id="{E2C5CD42-6311-D4CB-8BFF-CAF2CF59BFF4}"/>
              </a:ext>
            </a:extLst>
          </xdr:cNvPr>
          <xdr:cNvCxnSpPr/>
        </xdr:nvCxnSpPr>
        <xdr:spPr>
          <a:xfrm flipH="1">
            <a:off x="4015740" y="83667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44</xdr:row>
      <xdr:rowOff>0</xdr:rowOff>
    </xdr:from>
    <xdr:to>
      <xdr:col>7</xdr:col>
      <xdr:colOff>0</xdr:colOff>
      <xdr:row>45</xdr:row>
      <xdr:rowOff>0</xdr:rowOff>
    </xdr:to>
    <xdr:grpSp>
      <xdr:nvGrpSpPr>
        <xdr:cNvPr id="4366" name="Cross_G45">
          <a:extLst>
            <a:ext uri="{FF2B5EF4-FFF2-40B4-BE49-F238E27FC236}">
              <a16:creationId xmlns:a16="http://schemas.microsoft.com/office/drawing/2014/main" id="{7545630C-CD74-9D62-4B56-493D397CABB3}"/>
            </a:ext>
          </a:extLst>
        </xdr:cNvPr>
        <xdr:cNvGrpSpPr/>
      </xdr:nvGrpSpPr>
      <xdr:grpSpPr>
        <a:xfrm>
          <a:off x="4015740" y="8534400"/>
          <a:ext cx="594360" cy="167640"/>
          <a:chOff x="4015740" y="8534400"/>
          <a:chExt cx="594360" cy="167640"/>
        </a:xfrm>
      </xdr:grpSpPr>
      <xdr:cxnSp macro="">
        <xdr:nvCxnSpPr>
          <xdr:cNvPr id="4364" name="Gerader Verbinder 4363">
            <a:extLst>
              <a:ext uri="{FF2B5EF4-FFF2-40B4-BE49-F238E27FC236}">
                <a16:creationId xmlns:a16="http://schemas.microsoft.com/office/drawing/2014/main" id="{711491CC-F21A-8E7E-E2E4-01BB4E87BCDE}"/>
              </a:ext>
            </a:extLst>
          </xdr:cNvPr>
          <xdr:cNvCxnSpPr/>
        </xdr:nvCxnSpPr>
        <xdr:spPr>
          <a:xfrm>
            <a:off x="4015740" y="85344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65" name="Gerader Verbinder 4364">
            <a:extLst>
              <a:ext uri="{FF2B5EF4-FFF2-40B4-BE49-F238E27FC236}">
                <a16:creationId xmlns:a16="http://schemas.microsoft.com/office/drawing/2014/main" id="{5E19384D-C690-39C8-0B69-26009F02928F}"/>
              </a:ext>
            </a:extLst>
          </xdr:cNvPr>
          <xdr:cNvCxnSpPr/>
        </xdr:nvCxnSpPr>
        <xdr:spPr>
          <a:xfrm flipH="1">
            <a:off x="4015740" y="85344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48</xdr:row>
      <xdr:rowOff>0</xdr:rowOff>
    </xdr:from>
    <xdr:to>
      <xdr:col>7</xdr:col>
      <xdr:colOff>0</xdr:colOff>
      <xdr:row>49</xdr:row>
      <xdr:rowOff>0</xdr:rowOff>
    </xdr:to>
    <xdr:grpSp>
      <xdr:nvGrpSpPr>
        <xdr:cNvPr id="4369" name="Cross_G49">
          <a:extLst>
            <a:ext uri="{FF2B5EF4-FFF2-40B4-BE49-F238E27FC236}">
              <a16:creationId xmlns:a16="http://schemas.microsoft.com/office/drawing/2014/main" id="{AB582E9F-481B-790F-5C05-BE86D7D66B3B}"/>
            </a:ext>
          </a:extLst>
        </xdr:cNvPr>
        <xdr:cNvGrpSpPr/>
      </xdr:nvGrpSpPr>
      <xdr:grpSpPr>
        <a:xfrm>
          <a:off x="4015740" y="9265920"/>
          <a:ext cx="594360" cy="228600"/>
          <a:chOff x="4015740" y="9265920"/>
          <a:chExt cx="594360" cy="228600"/>
        </a:xfrm>
      </xdr:grpSpPr>
      <xdr:cxnSp macro="">
        <xdr:nvCxnSpPr>
          <xdr:cNvPr id="4367" name="Gerader Verbinder 4366">
            <a:extLst>
              <a:ext uri="{FF2B5EF4-FFF2-40B4-BE49-F238E27FC236}">
                <a16:creationId xmlns:a16="http://schemas.microsoft.com/office/drawing/2014/main" id="{209E94C4-7A86-381F-1C29-683C2A37F162}"/>
              </a:ext>
            </a:extLst>
          </xdr:cNvPr>
          <xdr:cNvCxnSpPr/>
        </xdr:nvCxnSpPr>
        <xdr:spPr>
          <a:xfrm>
            <a:off x="4015740" y="92659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68" name="Gerader Verbinder 4367">
            <a:extLst>
              <a:ext uri="{FF2B5EF4-FFF2-40B4-BE49-F238E27FC236}">
                <a16:creationId xmlns:a16="http://schemas.microsoft.com/office/drawing/2014/main" id="{1148CB16-F6F2-FD6C-90E8-00507CE08C0F}"/>
              </a:ext>
            </a:extLst>
          </xdr:cNvPr>
          <xdr:cNvCxnSpPr/>
        </xdr:nvCxnSpPr>
        <xdr:spPr>
          <a:xfrm flipH="1">
            <a:off x="4015740" y="92659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49</xdr:row>
      <xdr:rowOff>0</xdr:rowOff>
    </xdr:from>
    <xdr:to>
      <xdr:col>7</xdr:col>
      <xdr:colOff>0</xdr:colOff>
      <xdr:row>50</xdr:row>
      <xdr:rowOff>0</xdr:rowOff>
    </xdr:to>
    <xdr:grpSp>
      <xdr:nvGrpSpPr>
        <xdr:cNvPr id="4372" name="Cross_G50">
          <a:extLst>
            <a:ext uri="{FF2B5EF4-FFF2-40B4-BE49-F238E27FC236}">
              <a16:creationId xmlns:a16="http://schemas.microsoft.com/office/drawing/2014/main" id="{9267F58C-D27E-E884-FC63-78F271198905}"/>
            </a:ext>
          </a:extLst>
        </xdr:cNvPr>
        <xdr:cNvGrpSpPr/>
      </xdr:nvGrpSpPr>
      <xdr:grpSpPr>
        <a:xfrm>
          <a:off x="4015740" y="9494520"/>
          <a:ext cx="594360" cy="167640"/>
          <a:chOff x="4015740" y="9494520"/>
          <a:chExt cx="594360" cy="167640"/>
        </a:xfrm>
      </xdr:grpSpPr>
      <xdr:cxnSp macro="">
        <xdr:nvCxnSpPr>
          <xdr:cNvPr id="4370" name="Gerader Verbinder 4369">
            <a:extLst>
              <a:ext uri="{FF2B5EF4-FFF2-40B4-BE49-F238E27FC236}">
                <a16:creationId xmlns:a16="http://schemas.microsoft.com/office/drawing/2014/main" id="{45480DF6-2C05-B956-7359-D120DEEBD262}"/>
              </a:ext>
            </a:extLst>
          </xdr:cNvPr>
          <xdr:cNvCxnSpPr/>
        </xdr:nvCxnSpPr>
        <xdr:spPr>
          <a:xfrm>
            <a:off x="4015740" y="94945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71" name="Gerader Verbinder 4370">
            <a:extLst>
              <a:ext uri="{FF2B5EF4-FFF2-40B4-BE49-F238E27FC236}">
                <a16:creationId xmlns:a16="http://schemas.microsoft.com/office/drawing/2014/main" id="{F11CD9DD-BAC1-5265-A311-FDCF5A7DF34A}"/>
              </a:ext>
            </a:extLst>
          </xdr:cNvPr>
          <xdr:cNvCxnSpPr/>
        </xdr:nvCxnSpPr>
        <xdr:spPr>
          <a:xfrm flipH="1">
            <a:off x="4015740" y="94945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50</xdr:row>
      <xdr:rowOff>0</xdr:rowOff>
    </xdr:from>
    <xdr:to>
      <xdr:col>7</xdr:col>
      <xdr:colOff>0</xdr:colOff>
      <xdr:row>51</xdr:row>
      <xdr:rowOff>0</xdr:rowOff>
    </xdr:to>
    <xdr:grpSp>
      <xdr:nvGrpSpPr>
        <xdr:cNvPr id="4375" name="Cross_G51">
          <a:extLst>
            <a:ext uri="{FF2B5EF4-FFF2-40B4-BE49-F238E27FC236}">
              <a16:creationId xmlns:a16="http://schemas.microsoft.com/office/drawing/2014/main" id="{42028FA4-59F2-5C0F-EA43-7EB63072775E}"/>
            </a:ext>
          </a:extLst>
        </xdr:cNvPr>
        <xdr:cNvGrpSpPr/>
      </xdr:nvGrpSpPr>
      <xdr:grpSpPr>
        <a:xfrm>
          <a:off x="4015740" y="9662160"/>
          <a:ext cx="594360" cy="167640"/>
          <a:chOff x="4015740" y="9662160"/>
          <a:chExt cx="594360" cy="167640"/>
        </a:xfrm>
      </xdr:grpSpPr>
      <xdr:cxnSp macro="">
        <xdr:nvCxnSpPr>
          <xdr:cNvPr id="4373" name="Gerader Verbinder 4372">
            <a:extLst>
              <a:ext uri="{FF2B5EF4-FFF2-40B4-BE49-F238E27FC236}">
                <a16:creationId xmlns:a16="http://schemas.microsoft.com/office/drawing/2014/main" id="{F6B81CAA-5DF2-8278-39C7-08BDE0CD2F4C}"/>
              </a:ext>
            </a:extLst>
          </xdr:cNvPr>
          <xdr:cNvCxnSpPr/>
        </xdr:nvCxnSpPr>
        <xdr:spPr>
          <a:xfrm>
            <a:off x="4015740" y="96621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74" name="Gerader Verbinder 4373">
            <a:extLst>
              <a:ext uri="{FF2B5EF4-FFF2-40B4-BE49-F238E27FC236}">
                <a16:creationId xmlns:a16="http://schemas.microsoft.com/office/drawing/2014/main" id="{C2423B6E-23E3-5C24-7CB7-74C67FA8524D}"/>
              </a:ext>
            </a:extLst>
          </xdr:cNvPr>
          <xdr:cNvCxnSpPr/>
        </xdr:nvCxnSpPr>
        <xdr:spPr>
          <a:xfrm flipH="1">
            <a:off x="4015740" y="96621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63</xdr:row>
      <xdr:rowOff>0</xdr:rowOff>
    </xdr:from>
    <xdr:to>
      <xdr:col>7</xdr:col>
      <xdr:colOff>0</xdr:colOff>
      <xdr:row>64</xdr:row>
      <xdr:rowOff>0</xdr:rowOff>
    </xdr:to>
    <xdr:grpSp>
      <xdr:nvGrpSpPr>
        <xdr:cNvPr id="4378" name="Cross_G64">
          <a:extLst>
            <a:ext uri="{FF2B5EF4-FFF2-40B4-BE49-F238E27FC236}">
              <a16:creationId xmlns:a16="http://schemas.microsoft.com/office/drawing/2014/main" id="{B76C056F-0D7B-FE78-59D9-5B71220A973B}"/>
            </a:ext>
          </a:extLst>
        </xdr:cNvPr>
        <xdr:cNvGrpSpPr/>
      </xdr:nvGrpSpPr>
      <xdr:grpSpPr>
        <a:xfrm>
          <a:off x="4015740" y="12085320"/>
          <a:ext cx="594360" cy="228600"/>
          <a:chOff x="4015740" y="12085320"/>
          <a:chExt cx="594360" cy="228600"/>
        </a:xfrm>
      </xdr:grpSpPr>
      <xdr:cxnSp macro="">
        <xdr:nvCxnSpPr>
          <xdr:cNvPr id="4376" name="Gerader Verbinder 4375">
            <a:extLst>
              <a:ext uri="{FF2B5EF4-FFF2-40B4-BE49-F238E27FC236}">
                <a16:creationId xmlns:a16="http://schemas.microsoft.com/office/drawing/2014/main" id="{A2B44288-4A41-5935-1D93-472DA3ACCC2B}"/>
              </a:ext>
            </a:extLst>
          </xdr:cNvPr>
          <xdr:cNvCxnSpPr/>
        </xdr:nvCxnSpPr>
        <xdr:spPr>
          <a:xfrm>
            <a:off x="4015740" y="120853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77" name="Gerader Verbinder 4376">
            <a:extLst>
              <a:ext uri="{FF2B5EF4-FFF2-40B4-BE49-F238E27FC236}">
                <a16:creationId xmlns:a16="http://schemas.microsoft.com/office/drawing/2014/main" id="{D62859C3-815A-2617-E4F5-E74F69345947}"/>
              </a:ext>
            </a:extLst>
          </xdr:cNvPr>
          <xdr:cNvCxnSpPr/>
        </xdr:nvCxnSpPr>
        <xdr:spPr>
          <a:xfrm flipH="1">
            <a:off x="4015740" y="120853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64</xdr:row>
      <xdr:rowOff>0</xdr:rowOff>
    </xdr:from>
    <xdr:to>
      <xdr:col>7</xdr:col>
      <xdr:colOff>0</xdr:colOff>
      <xdr:row>65</xdr:row>
      <xdr:rowOff>0</xdr:rowOff>
    </xdr:to>
    <xdr:grpSp>
      <xdr:nvGrpSpPr>
        <xdr:cNvPr id="4381" name="Cross_G65">
          <a:extLst>
            <a:ext uri="{FF2B5EF4-FFF2-40B4-BE49-F238E27FC236}">
              <a16:creationId xmlns:a16="http://schemas.microsoft.com/office/drawing/2014/main" id="{F430EEBA-7F6D-3D37-14E1-7F17E041B1B1}"/>
            </a:ext>
          </a:extLst>
        </xdr:cNvPr>
        <xdr:cNvGrpSpPr/>
      </xdr:nvGrpSpPr>
      <xdr:grpSpPr>
        <a:xfrm>
          <a:off x="4015740" y="12313920"/>
          <a:ext cx="594360" cy="167640"/>
          <a:chOff x="4015740" y="12313920"/>
          <a:chExt cx="594360" cy="167640"/>
        </a:xfrm>
      </xdr:grpSpPr>
      <xdr:cxnSp macro="">
        <xdr:nvCxnSpPr>
          <xdr:cNvPr id="4379" name="Gerader Verbinder 4378">
            <a:extLst>
              <a:ext uri="{FF2B5EF4-FFF2-40B4-BE49-F238E27FC236}">
                <a16:creationId xmlns:a16="http://schemas.microsoft.com/office/drawing/2014/main" id="{B76EE555-D4DA-844A-3006-4FDE71E5176B}"/>
              </a:ext>
            </a:extLst>
          </xdr:cNvPr>
          <xdr:cNvCxnSpPr/>
        </xdr:nvCxnSpPr>
        <xdr:spPr>
          <a:xfrm>
            <a:off x="4015740" y="123139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80" name="Gerader Verbinder 4379">
            <a:extLst>
              <a:ext uri="{FF2B5EF4-FFF2-40B4-BE49-F238E27FC236}">
                <a16:creationId xmlns:a16="http://schemas.microsoft.com/office/drawing/2014/main" id="{017D1534-1B85-595D-6F6D-B6B228A65C52}"/>
              </a:ext>
            </a:extLst>
          </xdr:cNvPr>
          <xdr:cNvCxnSpPr/>
        </xdr:nvCxnSpPr>
        <xdr:spPr>
          <a:xfrm flipH="1">
            <a:off x="4015740" y="123139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65</xdr:row>
      <xdr:rowOff>0</xdr:rowOff>
    </xdr:from>
    <xdr:to>
      <xdr:col>7</xdr:col>
      <xdr:colOff>0</xdr:colOff>
      <xdr:row>66</xdr:row>
      <xdr:rowOff>0</xdr:rowOff>
    </xdr:to>
    <xdr:grpSp>
      <xdr:nvGrpSpPr>
        <xdr:cNvPr id="4384" name="Cross_G66">
          <a:extLst>
            <a:ext uri="{FF2B5EF4-FFF2-40B4-BE49-F238E27FC236}">
              <a16:creationId xmlns:a16="http://schemas.microsoft.com/office/drawing/2014/main" id="{8D0FC6FD-6930-EE34-E189-DB21D32B156B}"/>
            </a:ext>
          </a:extLst>
        </xdr:cNvPr>
        <xdr:cNvGrpSpPr/>
      </xdr:nvGrpSpPr>
      <xdr:grpSpPr>
        <a:xfrm>
          <a:off x="4015740" y="12481560"/>
          <a:ext cx="594360" cy="167640"/>
          <a:chOff x="4015740" y="12481560"/>
          <a:chExt cx="594360" cy="167640"/>
        </a:xfrm>
      </xdr:grpSpPr>
      <xdr:cxnSp macro="">
        <xdr:nvCxnSpPr>
          <xdr:cNvPr id="4382" name="Gerader Verbinder 4381">
            <a:extLst>
              <a:ext uri="{FF2B5EF4-FFF2-40B4-BE49-F238E27FC236}">
                <a16:creationId xmlns:a16="http://schemas.microsoft.com/office/drawing/2014/main" id="{F3A75C3D-CF64-F7D6-169D-615BA3CB7C59}"/>
              </a:ext>
            </a:extLst>
          </xdr:cNvPr>
          <xdr:cNvCxnSpPr/>
        </xdr:nvCxnSpPr>
        <xdr:spPr>
          <a:xfrm>
            <a:off x="4015740" y="124815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83" name="Gerader Verbinder 4382">
            <a:extLst>
              <a:ext uri="{FF2B5EF4-FFF2-40B4-BE49-F238E27FC236}">
                <a16:creationId xmlns:a16="http://schemas.microsoft.com/office/drawing/2014/main" id="{FF73C6D2-4E09-C95C-7A3A-1463EEB26E55}"/>
              </a:ext>
            </a:extLst>
          </xdr:cNvPr>
          <xdr:cNvCxnSpPr/>
        </xdr:nvCxnSpPr>
        <xdr:spPr>
          <a:xfrm flipH="1">
            <a:off x="4015740" y="124815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66</xdr:row>
      <xdr:rowOff>0</xdr:rowOff>
    </xdr:from>
    <xdr:to>
      <xdr:col>7</xdr:col>
      <xdr:colOff>0</xdr:colOff>
      <xdr:row>67</xdr:row>
      <xdr:rowOff>0</xdr:rowOff>
    </xdr:to>
    <xdr:grpSp>
      <xdr:nvGrpSpPr>
        <xdr:cNvPr id="4387" name="Cross_G67">
          <a:extLst>
            <a:ext uri="{FF2B5EF4-FFF2-40B4-BE49-F238E27FC236}">
              <a16:creationId xmlns:a16="http://schemas.microsoft.com/office/drawing/2014/main" id="{B71156AF-EC3C-C018-31A4-F7953119C585}"/>
            </a:ext>
          </a:extLst>
        </xdr:cNvPr>
        <xdr:cNvGrpSpPr/>
      </xdr:nvGrpSpPr>
      <xdr:grpSpPr>
        <a:xfrm>
          <a:off x="4015740" y="12649200"/>
          <a:ext cx="594360" cy="228600"/>
          <a:chOff x="4015740" y="12649200"/>
          <a:chExt cx="594360" cy="228600"/>
        </a:xfrm>
      </xdr:grpSpPr>
      <xdr:cxnSp macro="">
        <xdr:nvCxnSpPr>
          <xdr:cNvPr id="4385" name="Gerader Verbinder 4384">
            <a:extLst>
              <a:ext uri="{FF2B5EF4-FFF2-40B4-BE49-F238E27FC236}">
                <a16:creationId xmlns:a16="http://schemas.microsoft.com/office/drawing/2014/main" id="{D3CA428E-C491-8251-2AE5-4F0375BC44FA}"/>
              </a:ext>
            </a:extLst>
          </xdr:cNvPr>
          <xdr:cNvCxnSpPr/>
        </xdr:nvCxnSpPr>
        <xdr:spPr>
          <a:xfrm>
            <a:off x="4015740" y="126492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86" name="Gerader Verbinder 4385">
            <a:extLst>
              <a:ext uri="{FF2B5EF4-FFF2-40B4-BE49-F238E27FC236}">
                <a16:creationId xmlns:a16="http://schemas.microsoft.com/office/drawing/2014/main" id="{9AE1BFCC-6167-623A-D637-569BD689F9F6}"/>
              </a:ext>
            </a:extLst>
          </xdr:cNvPr>
          <xdr:cNvCxnSpPr/>
        </xdr:nvCxnSpPr>
        <xdr:spPr>
          <a:xfrm flipH="1">
            <a:off x="4015740" y="126492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67</xdr:row>
      <xdr:rowOff>0</xdr:rowOff>
    </xdr:from>
    <xdr:to>
      <xdr:col>7</xdr:col>
      <xdr:colOff>0</xdr:colOff>
      <xdr:row>67</xdr:row>
      <xdr:rowOff>167639</xdr:rowOff>
    </xdr:to>
    <xdr:grpSp>
      <xdr:nvGrpSpPr>
        <xdr:cNvPr id="4390" name="Cross_G68">
          <a:extLst>
            <a:ext uri="{FF2B5EF4-FFF2-40B4-BE49-F238E27FC236}">
              <a16:creationId xmlns:a16="http://schemas.microsoft.com/office/drawing/2014/main" id="{51622DFB-96BD-F8CC-697D-255D1EB1AC20}"/>
            </a:ext>
          </a:extLst>
        </xdr:cNvPr>
        <xdr:cNvGrpSpPr/>
      </xdr:nvGrpSpPr>
      <xdr:grpSpPr>
        <a:xfrm>
          <a:off x="4015740" y="12877800"/>
          <a:ext cx="594360" cy="167639"/>
          <a:chOff x="4015740" y="12877800"/>
          <a:chExt cx="594360" cy="167639"/>
        </a:xfrm>
      </xdr:grpSpPr>
      <xdr:cxnSp macro="">
        <xdr:nvCxnSpPr>
          <xdr:cNvPr id="4388" name="Gerader Verbinder 4387">
            <a:extLst>
              <a:ext uri="{FF2B5EF4-FFF2-40B4-BE49-F238E27FC236}">
                <a16:creationId xmlns:a16="http://schemas.microsoft.com/office/drawing/2014/main" id="{2C877D43-7280-001C-5B90-9E21B89B621E}"/>
              </a:ext>
            </a:extLst>
          </xdr:cNvPr>
          <xdr:cNvCxnSpPr/>
        </xdr:nvCxnSpPr>
        <xdr:spPr>
          <a:xfrm>
            <a:off x="4015740" y="12877800"/>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89" name="Gerader Verbinder 4388">
            <a:extLst>
              <a:ext uri="{FF2B5EF4-FFF2-40B4-BE49-F238E27FC236}">
                <a16:creationId xmlns:a16="http://schemas.microsoft.com/office/drawing/2014/main" id="{8CE6C60B-450E-6B21-4F34-2A89BB980084}"/>
              </a:ext>
            </a:extLst>
          </xdr:cNvPr>
          <xdr:cNvCxnSpPr/>
        </xdr:nvCxnSpPr>
        <xdr:spPr>
          <a:xfrm flipH="1">
            <a:off x="4015740" y="12877800"/>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67</xdr:row>
      <xdr:rowOff>167639</xdr:rowOff>
    </xdr:from>
    <xdr:to>
      <xdr:col>7</xdr:col>
      <xdr:colOff>0</xdr:colOff>
      <xdr:row>69</xdr:row>
      <xdr:rowOff>0</xdr:rowOff>
    </xdr:to>
    <xdr:grpSp>
      <xdr:nvGrpSpPr>
        <xdr:cNvPr id="4393" name="Cross_G69">
          <a:extLst>
            <a:ext uri="{FF2B5EF4-FFF2-40B4-BE49-F238E27FC236}">
              <a16:creationId xmlns:a16="http://schemas.microsoft.com/office/drawing/2014/main" id="{20312584-D72E-C2DC-A218-62E9C3C7A93F}"/>
            </a:ext>
          </a:extLst>
        </xdr:cNvPr>
        <xdr:cNvGrpSpPr/>
      </xdr:nvGrpSpPr>
      <xdr:grpSpPr>
        <a:xfrm>
          <a:off x="4015740" y="13045439"/>
          <a:ext cx="594360" cy="167641"/>
          <a:chOff x="4015740" y="13045439"/>
          <a:chExt cx="594360" cy="167641"/>
        </a:xfrm>
      </xdr:grpSpPr>
      <xdr:cxnSp macro="">
        <xdr:nvCxnSpPr>
          <xdr:cNvPr id="4391" name="Gerader Verbinder 4390">
            <a:extLst>
              <a:ext uri="{FF2B5EF4-FFF2-40B4-BE49-F238E27FC236}">
                <a16:creationId xmlns:a16="http://schemas.microsoft.com/office/drawing/2014/main" id="{C5C72BB1-0D07-F7AD-FEB4-BFF6ADF0C9FF}"/>
              </a:ext>
            </a:extLst>
          </xdr:cNvPr>
          <xdr:cNvCxnSpPr/>
        </xdr:nvCxnSpPr>
        <xdr:spPr>
          <a:xfrm>
            <a:off x="4015740" y="13045439"/>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92" name="Gerader Verbinder 4391">
            <a:extLst>
              <a:ext uri="{FF2B5EF4-FFF2-40B4-BE49-F238E27FC236}">
                <a16:creationId xmlns:a16="http://schemas.microsoft.com/office/drawing/2014/main" id="{30739177-FC59-0C57-FE28-FA9CFA0F4371}"/>
              </a:ext>
            </a:extLst>
          </xdr:cNvPr>
          <xdr:cNvCxnSpPr/>
        </xdr:nvCxnSpPr>
        <xdr:spPr>
          <a:xfrm flipH="1">
            <a:off x="4015740" y="13045439"/>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69</xdr:row>
      <xdr:rowOff>0</xdr:rowOff>
    </xdr:from>
    <xdr:to>
      <xdr:col>7</xdr:col>
      <xdr:colOff>0</xdr:colOff>
      <xdr:row>70</xdr:row>
      <xdr:rowOff>0</xdr:rowOff>
    </xdr:to>
    <xdr:grpSp>
      <xdr:nvGrpSpPr>
        <xdr:cNvPr id="4396" name="Cross_G70">
          <a:extLst>
            <a:ext uri="{FF2B5EF4-FFF2-40B4-BE49-F238E27FC236}">
              <a16:creationId xmlns:a16="http://schemas.microsoft.com/office/drawing/2014/main" id="{54669430-EAB0-CD89-C19F-EEAF456D9302}"/>
            </a:ext>
          </a:extLst>
        </xdr:cNvPr>
        <xdr:cNvGrpSpPr/>
      </xdr:nvGrpSpPr>
      <xdr:grpSpPr>
        <a:xfrm>
          <a:off x="4015740" y="13213080"/>
          <a:ext cx="594360" cy="228600"/>
          <a:chOff x="4015740" y="13213080"/>
          <a:chExt cx="594360" cy="228600"/>
        </a:xfrm>
      </xdr:grpSpPr>
      <xdr:cxnSp macro="">
        <xdr:nvCxnSpPr>
          <xdr:cNvPr id="4394" name="Gerader Verbinder 4393">
            <a:extLst>
              <a:ext uri="{FF2B5EF4-FFF2-40B4-BE49-F238E27FC236}">
                <a16:creationId xmlns:a16="http://schemas.microsoft.com/office/drawing/2014/main" id="{6BB72743-A371-751A-030C-5803257B99DA}"/>
              </a:ext>
            </a:extLst>
          </xdr:cNvPr>
          <xdr:cNvCxnSpPr/>
        </xdr:nvCxnSpPr>
        <xdr:spPr>
          <a:xfrm>
            <a:off x="4015740" y="132130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95" name="Gerader Verbinder 4394">
            <a:extLst>
              <a:ext uri="{FF2B5EF4-FFF2-40B4-BE49-F238E27FC236}">
                <a16:creationId xmlns:a16="http://schemas.microsoft.com/office/drawing/2014/main" id="{D42E2A98-6759-A817-BF8A-FDF60A6522D0}"/>
              </a:ext>
            </a:extLst>
          </xdr:cNvPr>
          <xdr:cNvCxnSpPr/>
        </xdr:nvCxnSpPr>
        <xdr:spPr>
          <a:xfrm flipH="1">
            <a:off x="4015740" y="132130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70</xdr:row>
      <xdr:rowOff>0</xdr:rowOff>
    </xdr:from>
    <xdr:to>
      <xdr:col>7</xdr:col>
      <xdr:colOff>0</xdr:colOff>
      <xdr:row>71</xdr:row>
      <xdr:rowOff>0</xdr:rowOff>
    </xdr:to>
    <xdr:grpSp>
      <xdr:nvGrpSpPr>
        <xdr:cNvPr id="4399" name="Cross_G71">
          <a:extLst>
            <a:ext uri="{FF2B5EF4-FFF2-40B4-BE49-F238E27FC236}">
              <a16:creationId xmlns:a16="http://schemas.microsoft.com/office/drawing/2014/main" id="{DAAA671A-7F1B-773B-C70F-1B2CD0E78413}"/>
            </a:ext>
          </a:extLst>
        </xdr:cNvPr>
        <xdr:cNvGrpSpPr/>
      </xdr:nvGrpSpPr>
      <xdr:grpSpPr>
        <a:xfrm>
          <a:off x="4015740" y="13441680"/>
          <a:ext cx="594360" cy="167640"/>
          <a:chOff x="4015740" y="13441680"/>
          <a:chExt cx="594360" cy="167640"/>
        </a:xfrm>
      </xdr:grpSpPr>
      <xdr:cxnSp macro="">
        <xdr:nvCxnSpPr>
          <xdr:cNvPr id="4397" name="Gerader Verbinder 4396">
            <a:extLst>
              <a:ext uri="{FF2B5EF4-FFF2-40B4-BE49-F238E27FC236}">
                <a16:creationId xmlns:a16="http://schemas.microsoft.com/office/drawing/2014/main" id="{87C636CC-761F-0228-4F30-0A0F8C3DF529}"/>
              </a:ext>
            </a:extLst>
          </xdr:cNvPr>
          <xdr:cNvCxnSpPr/>
        </xdr:nvCxnSpPr>
        <xdr:spPr>
          <a:xfrm>
            <a:off x="4015740" y="13441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98" name="Gerader Verbinder 4397">
            <a:extLst>
              <a:ext uri="{FF2B5EF4-FFF2-40B4-BE49-F238E27FC236}">
                <a16:creationId xmlns:a16="http://schemas.microsoft.com/office/drawing/2014/main" id="{11A56CF3-26CF-AC89-F032-071D3C77FA78}"/>
              </a:ext>
            </a:extLst>
          </xdr:cNvPr>
          <xdr:cNvCxnSpPr/>
        </xdr:nvCxnSpPr>
        <xdr:spPr>
          <a:xfrm flipH="1">
            <a:off x="4015740" y="13441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71</xdr:row>
      <xdr:rowOff>0</xdr:rowOff>
    </xdr:from>
    <xdr:to>
      <xdr:col>7</xdr:col>
      <xdr:colOff>0</xdr:colOff>
      <xdr:row>72</xdr:row>
      <xdr:rowOff>1</xdr:rowOff>
    </xdr:to>
    <xdr:grpSp>
      <xdr:nvGrpSpPr>
        <xdr:cNvPr id="4402" name="Cross_G72">
          <a:extLst>
            <a:ext uri="{FF2B5EF4-FFF2-40B4-BE49-F238E27FC236}">
              <a16:creationId xmlns:a16="http://schemas.microsoft.com/office/drawing/2014/main" id="{283F9CF1-A5EA-8C74-5B36-870980B63992}"/>
            </a:ext>
          </a:extLst>
        </xdr:cNvPr>
        <xdr:cNvGrpSpPr/>
      </xdr:nvGrpSpPr>
      <xdr:grpSpPr>
        <a:xfrm>
          <a:off x="4015740" y="13609320"/>
          <a:ext cx="594360" cy="167641"/>
          <a:chOff x="4015740" y="13609320"/>
          <a:chExt cx="594360" cy="167641"/>
        </a:xfrm>
      </xdr:grpSpPr>
      <xdr:cxnSp macro="">
        <xdr:nvCxnSpPr>
          <xdr:cNvPr id="4400" name="Gerader Verbinder 4399">
            <a:extLst>
              <a:ext uri="{FF2B5EF4-FFF2-40B4-BE49-F238E27FC236}">
                <a16:creationId xmlns:a16="http://schemas.microsoft.com/office/drawing/2014/main" id="{D2A8D919-A0A8-4FD4-6A9E-EAF68C1D0D92}"/>
              </a:ext>
            </a:extLst>
          </xdr:cNvPr>
          <xdr:cNvCxnSpPr/>
        </xdr:nvCxnSpPr>
        <xdr:spPr>
          <a:xfrm>
            <a:off x="4015740" y="13609320"/>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01" name="Gerader Verbinder 4400">
            <a:extLst>
              <a:ext uri="{FF2B5EF4-FFF2-40B4-BE49-F238E27FC236}">
                <a16:creationId xmlns:a16="http://schemas.microsoft.com/office/drawing/2014/main" id="{D3FB4E5B-E380-948C-CC94-D12C6E621930}"/>
              </a:ext>
            </a:extLst>
          </xdr:cNvPr>
          <xdr:cNvCxnSpPr/>
        </xdr:nvCxnSpPr>
        <xdr:spPr>
          <a:xfrm flipH="1">
            <a:off x="4015740" y="13609320"/>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xdr:row>
      <xdr:rowOff>0</xdr:rowOff>
    </xdr:from>
    <xdr:to>
      <xdr:col>8</xdr:col>
      <xdr:colOff>0</xdr:colOff>
      <xdr:row>7</xdr:row>
      <xdr:rowOff>0</xdr:rowOff>
    </xdr:to>
    <xdr:grpSp>
      <xdr:nvGrpSpPr>
        <xdr:cNvPr id="4405" name="Cross_H7">
          <a:extLst>
            <a:ext uri="{FF2B5EF4-FFF2-40B4-BE49-F238E27FC236}">
              <a16:creationId xmlns:a16="http://schemas.microsoft.com/office/drawing/2014/main" id="{F4C8104D-E1D0-BB16-6582-5F377DDEDC41}"/>
            </a:ext>
          </a:extLst>
        </xdr:cNvPr>
        <xdr:cNvGrpSpPr/>
      </xdr:nvGrpSpPr>
      <xdr:grpSpPr>
        <a:xfrm>
          <a:off x="4610100" y="1371600"/>
          <a:ext cx="594360" cy="228600"/>
          <a:chOff x="4610100" y="1371600"/>
          <a:chExt cx="594360" cy="228600"/>
        </a:xfrm>
      </xdr:grpSpPr>
      <xdr:cxnSp macro="">
        <xdr:nvCxnSpPr>
          <xdr:cNvPr id="4403" name="Gerader Verbinder 4402">
            <a:extLst>
              <a:ext uri="{FF2B5EF4-FFF2-40B4-BE49-F238E27FC236}">
                <a16:creationId xmlns:a16="http://schemas.microsoft.com/office/drawing/2014/main" id="{62E26E72-7C27-4DF1-CB45-BE7AF4F6B73C}"/>
              </a:ext>
            </a:extLst>
          </xdr:cNvPr>
          <xdr:cNvCxnSpPr/>
        </xdr:nvCxnSpPr>
        <xdr:spPr>
          <a:xfrm>
            <a:off x="4610100" y="13716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04" name="Gerader Verbinder 4403">
            <a:extLst>
              <a:ext uri="{FF2B5EF4-FFF2-40B4-BE49-F238E27FC236}">
                <a16:creationId xmlns:a16="http://schemas.microsoft.com/office/drawing/2014/main" id="{6F0036C9-0DFF-A6CA-13EC-C8C17C522D93}"/>
              </a:ext>
            </a:extLst>
          </xdr:cNvPr>
          <xdr:cNvCxnSpPr/>
        </xdr:nvCxnSpPr>
        <xdr:spPr>
          <a:xfrm flipH="1">
            <a:off x="4610100" y="13716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xdr:row>
      <xdr:rowOff>0</xdr:rowOff>
    </xdr:from>
    <xdr:to>
      <xdr:col>8</xdr:col>
      <xdr:colOff>0</xdr:colOff>
      <xdr:row>8</xdr:row>
      <xdr:rowOff>0</xdr:rowOff>
    </xdr:to>
    <xdr:grpSp>
      <xdr:nvGrpSpPr>
        <xdr:cNvPr id="4408" name="Cross_H8">
          <a:extLst>
            <a:ext uri="{FF2B5EF4-FFF2-40B4-BE49-F238E27FC236}">
              <a16:creationId xmlns:a16="http://schemas.microsoft.com/office/drawing/2014/main" id="{828FB625-58F8-1336-CDC0-F6D925357CBA}"/>
            </a:ext>
          </a:extLst>
        </xdr:cNvPr>
        <xdr:cNvGrpSpPr/>
      </xdr:nvGrpSpPr>
      <xdr:grpSpPr>
        <a:xfrm>
          <a:off x="4610100" y="1600200"/>
          <a:ext cx="594360" cy="167640"/>
          <a:chOff x="4610100" y="1600200"/>
          <a:chExt cx="594360" cy="167640"/>
        </a:xfrm>
      </xdr:grpSpPr>
      <xdr:cxnSp macro="">
        <xdr:nvCxnSpPr>
          <xdr:cNvPr id="4406" name="Gerader Verbinder 4405">
            <a:extLst>
              <a:ext uri="{FF2B5EF4-FFF2-40B4-BE49-F238E27FC236}">
                <a16:creationId xmlns:a16="http://schemas.microsoft.com/office/drawing/2014/main" id="{55663723-90F3-D67F-5651-23046F6D3067}"/>
              </a:ext>
            </a:extLst>
          </xdr:cNvPr>
          <xdr:cNvCxnSpPr/>
        </xdr:nvCxnSpPr>
        <xdr:spPr>
          <a:xfrm>
            <a:off x="4610100" y="16002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07" name="Gerader Verbinder 4406">
            <a:extLst>
              <a:ext uri="{FF2B5EF4-FFF2-40B4-BE49-F238E27FC236}">
                <a16:creationId xmlns:a16="http://schemas.microsoft.com/office/drawing/2014/main" id="{616EC64D-2669-DA35-B52D-AB68351AEE61}"/>
              </a:ext>
            </a:extLst>
          </xdr:cNvPr>
          <xdr:cNvCxnSpPr/>
        </xdr:nvCxnSpPr>
        <xdr:spPr>
          <a:xfrm flipH="1">
            <a:off x="4610100" y="16002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8</xdr:row>
      <xdr:rowOff>0</xdr:rowOff>
    </xdr:from>
    <xdr:to>
      <xdr:col>8</xdr:col>
      <xdr:colOff>0</xdr:colOff>
      <xdr:row>9</xdr:row>
      <xdr:rowOff>0</xdr:rowOff>
    </xdr:to>
    <xdr:grpSp>
      <xdr:nvGrpSpPr>
        <xdr:cNvPr id="4411" name="Cross_H9">
          <a:extLst>
            <a:ext uri="{FF2B5EF4-FFF2-40B4-BE49-F238E27FC236}">
              <a16:creationId xmlns:a16="http://schemas.microsoft.com/office/drawing/2014/main" id="{4AE2562B-4391-2BF9-A06C-072CD807BB52}"/>
            </a:ext>
          </a:extLst>
        </xdr:cNvPr>
        <xdr:cNvGrpSpPr/>
      </xdr:nvGrpSpPr>
      <xdr:grpSpPr>
        <a:xfrm>
          <a:off x="4610100" y="1767840"/>
          <a:ext cx="594360" cy="167640"/>
          <a:chOff x="4610100" y="1767840"/>
          <a:chExt cx="594360" cy="167640"/>
        </a:xfrm>
      </xdr:grpSpPr>
      <xdr:cxnSp macro="">
        <xdr:nvCxnSpPr>
          <xdr:cNvPr id="4409" name="Gerader Verbinder 4408">
            <a:extLst>
              <a:ext uri="{FF2B5EF4-FFF2-40B4-BE49-F238E27FC236}">
                <a16:creationId xmlns:a16="http://schemas.microsoft.com/office/drawing/2014/main" id="{30318446-7407-F139-ABB6-DEA9E9619CD0}"/>
              </a:ext>
            </a:extLst>
          </xdr:cNvPr>
          <xdr:cNvCxnSpPr/>
        </xdr:nvCxnSpPr>
        <xdr:spPr>
          <a:xfrm>
            <a:off x="4610100" y="17678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10" name="Gerader Verbinder 4409">
            <a:extLst>
              <a:ext uri="{FF2B5EF4-FFF2-40B4-BE49-F238E27FC236}">
                <a16:creationId xmlns:a16="http://schemas.microsoft.com/office/drawing/2014/main" id="{FB521B03-A4C3-A4D4-4201-CE31F608674F}"/>
              </a:ext>
            </a:extLst>
          </xdr:cNvPr>
          <xdr:cNvCxnSpPr/>
        </xdr:nvCxnSpPr>
        <xdr:spPr>
          <a:xfrm flipH="1">
            <a:off x="4610100" y="17678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9</xdr:row>
      <xdr:rowOff>0</xdr:rowOff>
    </xdr:from>
    <xdr:to>
      <xdr:col>8</xdr:col>
      <xdr:colOff>0</xdr:colOff>
      <xdr:row>10</xdr:row>
      <xdr:rowOff>0</xdr:rowOff>
    </xdr:to>
    <xdr:grpSp>
      <xdr:nvGrpSpPr>
        <xdr:cNvPr id="4414" name="Cross_H10">
          <a:extLst>
            <a:ext uri="{FF2B5EF4-FFF2-40B4-BE49-F238E27FC236}">
              <a16:creationId xmlns:a16="http://schemas.microsoft.com/office/drawing/2014/main" id="{4513804D-62E7-C3F8-454E-1AA91E64D778}"/>
            </a:ext>
          </a:extLst>
        </xdr:cNvPr>
        <xdr:cNvGrpSpPr/>
      </xdr:nvGrpSpPr>
      <xdr:grpSpPr>
        <a:xfrm>
          <a:off x="4610100" y="1935480"/>
          <a:ext cx="594360" cy="228600"/>
          <a:chOff x="4610100" y="1935480"/>
          <a:chExt cx="594360" cy="228600"/>
        </a:xfrm>
      </xdr:grpSpPr>
      <xdr:cxnSp macro="">
        <xdr:nvCxnSpPr>
          <xdr:cNvPr id="4412" name="Gerader Verbinder 4411">
            <a:extLst>
              <a:ext uri="{FF2B5EF4-FFF2-40B4-BE49-F238E27FC236}">
                <a16:creationId xmlns:a16="http://schemas.microsoft.com/office/drawing/2014/main" id="{412709F3-31C7-AABF-2883-73F86D4889A2}"/>
              </a:ext>
            </a:extLst>
          </xdr:cNvPr>
          <xdr:cNvCxnSpPr/>
        </xdr:nvCxnSpPr>
        <xdr:spPr>
          <a:xfrm>
            <a:off x="4610100" y="19354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13" name="Gerader Verbinder 4412">
            <a:extLst>
              <a:ext uri="{FF2B5EF4-FFF2-40B4-BE49-F238E27FC236}">
                <a16:creationId xmlns:a16="http://schemas.microsoft.com/office/drawing/2014/main" id="{3C09EB59-91E6-4E16-CCCE-83F6A2372F7C}"/>
              </a:ext>
            </a:extLst>
          </xdr:cNvPr>
          <xdr:cNvCxnSpPr/>
        </xdr:nvCxnSpPr>
        <xdr:spPr>
          <a:xfrm flipH="1">
            <a:off x="4610100" y="19354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10</xdr:row>
      <xdr:rowOff>0</xdr:rowOff>
    </xdr:from>
    <xdr:to>
      <xdr:col>8</xdr:col>
      <xdr:colOff>0</xdr:colOff>
      <xdr:row>11</xdr:row>
      <xdr:rowOff>0</xdr:rowOff>
    </xdr:to>
    <xdr:grpSp>
      <xdr:nvGrpSpPr>
        <xdr:cNvPr id="4417" name="Cross_H11">
          <a:extLst>
            <a:ext uri="{FF2B5EF4-FFF2-40B4-BE49-F238E27FC236}">
              <a16:creationId xmlns:a16="http://schemas.microsoft.com/office/drawing/2014/main" id="{1233FDBE-C42A-CA23-C34F-530300ED8973}"/>
            </a:ext>
          </a:extLst>
        </xdr:cNvPr>
        <xdr:cNvGrpSpPr/>
      </xdr:nvGrpSpPr>
      <xdr:grpSpPr>
        <a:xfrm>
          <a:off x="4610100" y="2164080"/>
          <a:ext cx="594360" cy="167640"/>
          <a:chOff x="4610100" y="2164080"/>
          <a:chExt cx="594360" cy="167640"/>
        </a:xfrm>
      </xdr:grpSpPr>
      <xdr:cxnSp macro="">
        <xdr:nvCxnSpPr>
          <xdr:cNvPr id="4415" name="Gerader Verbinder 4414">
            <a:extLst>
              <a:ext uri="{FF2B5EF4-FFF2-40B4-BE49-F238E27FC236}">
                <a16:creationId xmlns:a16="http://schemas.microsoft.com/office/drawing/2014/main" id="{8BCCCD3B-1CB0-5301-41BE-19A57DB0E7E7}"/>
              </a:ext>
            </a:extLst>
          </xdr:cNvPr>
          <xdr:cNvCxnSpPr/>
        </xdr:nvCxnSpPr>
        <xdr:spPr>
          <a:xfrm>
            <a:off x="4610100" y="21640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16" name="Gerader Verbinder 4415">
            <a:extLst>
              <a:ext uri="{FF2B5EF4-FFF2-40B4-BE49-F238E27FC236}">
                <a16:creationId xmlns:a16="http://schemas.microsoft.com/office/drawing/2014/main" id="{406DE3B2-6DF9-5AE1-6212-619246F2CD13}"/>
              </a:ext>
            </a:extLst>
          </xdr:cNvPr>
          <xdr:cNvCxnSpPr/>
        </xdr:nvCxnSpPr>
        <xdr:spPr>
          <a:xfrm flipH="1">
            <a:off x="4610100" y="21640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11</xdr:row>
      <xdr:rowOff>0</xdr:rowOff>
    </xdr:from>
    <xdr:to>
      <xdr:col>8</xdr:col>
      <xdr:colOff>0</xdr:colOff>
      <xdr:row>12</xdr:row>
      <xdr:rowOff>0</xdr:rowOff>
    </xdr:to>
    <xdr:grpSp>
      <xdr:nvGrpSpPr>
        <xdr:cNvPr id="4420" name="Cross_H12">
          <a:extLst>
            <a:ext uri="{FF2B5EF4-FFF2-40B4-BE49-F238E27FC236}">
              <a16:creationId xmlns:a16="http://schemas.microsoft.com/office/drawing/2014/main" id="{B26EED7F-0D55-8061-33EC-87AD69E272C2}"/>
            </a:ext>
          </a:extLst>
        </xdr:cNvPr>
        <xdr:cNvGrpSpPr/>
      </xdr:nvGrpSpPr>
      <xdr:grpSpPr>
        <a:xfrm>
          <a:off x="4610100" y="2331720"/>
          <a:ext cx="594360" cy="167640"/>
          <a:chOff x="4610100" y="2331720"/>
          <a:chExt cx="594360" cy="167640"/>
        </a:xfrm>
      </xdr:grpSpPr>
      <xdr:cxnSp macro="">
        <xdr:nvCxnSpPr>
          <xdr:cNvPr id="4418" name="Gerader Verbinder 4417">
            <a:extLst>
              <a:ext uri="{FF2B5EF4-FFF2-40B4-BE49-F238E27FC236}">
                <a16:creationId xmlns:a16="http://schemas.microsoft.com/office/drawing/2014/main" id="{881D02B1-3126-E651-2CE1-0AFEDD0A6C34}"/>
              </a:ext>
            </a:extLst>
          </xdr:cNvPr>
          <xdr:cNvCxnSpPr/>
        </xdr:nvCxnSpPr>
        <xdr:spPr>
          <a:xfrm>
            <a:off x="4610100" y="2331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19" name="Gerader Verbinder 4418">
            <a:extLst>
              <a:ext uri="{FF2B5EF4-FFF2-40B4-BE49-F238E27FC236}">
                <a16:creationId xmlns:a16="http://schemas.microsoft.com/office/drawing/2014/main" id="{77BAF045-757E-E4DF-6B7B-4CAAAC2DD282}"/>
              </a:ext>
            </a:extLst>
          </xdr:cNvPr>
          <xdr:cNvCxnSpPr/>
        </xdr:nvCxnSpPr>
        <xdr:spPr>
          <a:xfrm flipH="1">
            <a:off x="4610100" y="2331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15</xdr:row>
      <xdr:rowOff>0</xdr:rowOff>
    </xdr:from>
    <xdr:to>
      <xdr:col>8</xdr:col>
      <xdr:colOff>0</xdr:colOff>
      <xdr:row>16</xdr:row>
      <xdr:rowOff>0</xdr:rowOff>
    </xdr:to>
    <xdr:grpSp>
      <xdr:nvGrpSpPr>
        <xdr:cNvPr id="4423" name="Cross_H16">
          <a:extLst>
            <a:ext uri="{FF2B5EF4-FFF2-40B4-BE49-F238E27FC236}">
              <a16:creationId xmlns:a16="http://schemas.microsoft.com/office/drawing/2014/main" id="{79DB2BE7-AF12-776B-FC29-6F67706679A3}"/>
            </a:ext>
          </a:extLst>
        </xdr:cNvPr>
        <xdr:cNvGrpSpPr/>
      </xdr:nvGrpSpPr>
      <xdr:grpSpPr>
        <a:xfrm>
          <a:off x="4610100" y="3063240"/>
          <a:ext cx="594360" cy="228600"/>
          <a:chOff x="4610100" y="3063240"/>
          <a:chExt cx="594360" cy="228600"/>
        </a:xfrm>
      </xdr:grpSpPr>
      <xdr:cxnSp macro="">
        <xdr:nvCxnSpPr>
          <xdr:cNvPr id="4421" name="Gerader Verbinder 4420">
            <a:extLst>
              <a:ext uri="{FF2B5EF4-FFF2-40B4-BE49-F238E27FC236}">
                <a16:creationId xmlns:a16="http://schemas.microsoft.com/office/drawing/2014/main" id="{C63F5C51-8400-9645-77F9-25CB5AB01AF4}"/>
              </a:ext>
            </a:extLst>
          </xdr:cNvPr>
          <xdr:cNvCxnSpPr/>
        </xdr:nvCxnSpPr>
        <xdr:spPr>
          <a:xfrm>
            <a:off x="4610100" y="30632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22" name="Gerader Verbinder 4421">
            <a:extLst>
              <a:ext uri="{FF2B5EF4-FFF2-40B4-BE49-F238E27FC236}">
                <a16:creationId xmlns:a16="http://schemas.microsoft.com/office/drawing/2014/main" id="{63D0332B-9427-D424-85CA-DB39D6F41745}"/>
              </a:ext>
            </a:extLst>
          </xdr:cNvPr>
          <xdr:cNvCxnSpPr/>
        </xdr:nvCxnSpPr>
        <xdr:spPr>
          <a:xfrm flipH="1">
            <a:off x="4610100" y="30632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16</xdr:row>
      <xdr:rowOff>0</xdr:rowOff>
    </xdr:from>
    <xdr:to>
      <xdr:col>8</xdr:col>
      <xdr:colOff>0</xdr:colOff>
      <xdr:row>17</xdr:row>
      <xdr:rowOff>0</xdr:rowOff>
    </xdr:to>
    <xdr:grpSp>
      <xdr:nvGrpSpPr>
        <xdr:cNvPr id="4426" name="Cross_H17">
          <a:extLst>
            <a:ext uri="{FF2B5EF4-FFF2-40B4-BE49-F238E27FC236}">
              <a16:creationId xmlns:a16="http://schemas.microsoft.com/office/drawing/2014/main" id="{D0A74B97-F06E-1B94-E22A-EB6769DDB25C}"/>
            </a:ext>
          </a:extLst>
        </xdr:cNvPr>
        <xdr:cNvGrpSpPr/>
      </xdr:nvGrpSpPr>
      <xdr:grpSpPr>
        <a:xfrm>
          <a:off x="4610100" y="3291840"/>
          <a:ext cx="594360" cy="167640"/>
          <a:chOff x="4610100" y="3291840"/>
          <a:chExt cx="594360" cy="167640"/>
        </a:xfrm>
      </xdr:grpSpPr>
      <xdr:cxnSp macro="">
        <xdr:nvCxnSpPr>
          <xdr:cNvPr id="4424" name="Gerader Verbinder 4423">
            <a:extLst>
              <a:ext uri="{FF2B5EF4-FFF2-40B4-BE49-F238E27FC236}">
                <a16:creationId xmlns:a16="http://schemas.microsoft.com/office/drawing/2014/main" id="{B785A459-BB96-2301-38C3-BADD742C95C6}"/>
              </a:ext>
            </a:extLst>
          </xdr:cNvPr>
          <xdr:cNvCxnSpPr/>
        </xdr:nvCxnSpPr>
        <xdr:spPr>
          <a:xfrm>
            <a:off x="4610100" y="32918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25" name="Gerader Verbinder 4424">
            <a:extLst>
              <a:ext uri="{FF2B5EF4-FFF2-40B4-BE49-F238E27FC236}">
                <a16:creationId xmlns:a16="http://schemas.microsoft.com/office/drawing/2014/main" id="{B12338BA-919E-E5DB-82C4-D7E228037F93}"/>
              </a:ext>
            </a:extLst>
          </xdr:cNvPr>
          <xdr:cNvCxnSpPr/>
        </xdr:nvCxnSpPr>
        <xdr:spPr>
          <a:xfrm flipH="1">
            <a:off x="4610100" y="32918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17</xdr:row>
      <xdr:rowOff>0</xdr:rowOff>
    </xdr:from>
    <xdr:to>
      <xdr:col>8</xdr:col>
      <xdr:colOff>0</xdr:colOff>
      <xdr:row>18</xdr:row>
      <xdr:rowOff>0</xdr:rowOff>
    </xdr:to>
    <xdr:grpSp>
      <xdr:nvGrpSpPr>
        <xdr:cNvPr id="4429" name="Cross_H18">
          <a:extLst>
            <a:ext uri="{FF2B5EF4-FFF2-40B4-BE49-F238E27FC236}">
              <a16:creationId xmlns:a16="http://schemas.microsoft.com/office/drawing/2014/main" id="{A11A48C4-1385-E89B-5B1F-6B64133587C8}"/>
            </a:ext>
          </a:extLst>
        </xdr:cNvPr>
        <xdr:cNvGrpSpPr/>
      </xdr:nvGrpSpPr>
      <xdr:grpSpPr>
        <a:xfrm>
          <a:off x="4610100" y="3459480"/>
          <a:ext cx="594360" cy="167640"/>
          <a:chOff x="4610100" y="3459480"/>
          <a:chExt cx="594360" cy="167640"/>
        </a:xfrm>
      </xdr:grpSpPr>
      <xdr:cxnSp macro="">
        <xdr:nvCxnSpPr>
          <xdr:cNvPr id="4427" name="Gerader Verbinder 4426">
            <a:extLst>
              <a:ext uri="{FF2B5EF4-FFF2-40B4-BE49-F238E27FC236}">
                <a16:creationId xmlns:a16="http://schemas.microsoft.com/office/drawing/2014/main" id="{2E34E129-666F-14B5-C12D-6F1E36FEBDDD}"/>
              </a:ext>
            </a:extLst>
          </xdr:cNvPr>
          <xdr:cNvCxnSpPr/>
        </xdr:nvCxnSpPr>
        <xdr:spPr>
          <a:xfrm>
            <a:off x="4610100" y="34594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28" name="Gerader Verbinder 4427">
            <a:extLst>
              <a:ext uri="{FF2B5EF4-FFF2-40B4-BE49-F238E27FC236}">
                <a16:creationId xmlns:a16="http://schemas.microsoft.com/office/drawing/2014/main" id="{D8370EB6-EC49-32D1-C1CA-75FE47717134}"/>
              </a:ext>
            </a:extLst>
          </xdr:cNvPr>
          <xdr:cNvCxnSpPr/>
        </xdr:nvCxnSpPr>
        <xdr:spPr>
          <a:xfrm flipH="1">
            <a:off x="4610100" y="34594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18</xdr:row>
      <xdr:rowOff>0</xdr:rowOff>
    </xdr:from>
    <xdr:to>
      <xdr:col>8</xdr:col>
      <xdr:colOff>0</xdr:colOff>
      <xdr:row>19</xdr:row>
      <xdr:rowOff>0</xdr:rowOff>
    </xdr:to>
    <xdr:grpSp>
      <xdr:nvGrpSpPr>
        <xdr:cNvPr id="4432" name="Cross_H19">
          <a:extLst>
            <a:ext uri="{FF2B5EF4-FFF2-40B4-BE49-F238E27FC236}">
              <a16:creationId xmlns:a16="http://schemas.microsoft.com/office/drawing/2014/main" id="{CF9F73FD-C29B-554A-BD28-D377838B7859}"/>
            </a:ext>
          </a:extLst>
        </xdr:cNvPr>
        <xdr:cNvGrpSpPr/>
      </xdr:nvGrpSpPr>
      <xdr:grpSpPr>
        <a:xfrm>
          <a:off x="4610100" y="3627120"/>
          <a:ext cx="594360" cy="228600"/>
          <a:chOff x="4610100" y="3627120"/>
          <a:chExt cx="594360" cy="228600"/>
        </a:xfrm>
      </xdr:grpSpPr>
      <xdr:cxnSp macro="">
        <xdr:nvCxnSpPr>
          <xdr:cNvPr id="4430" name="Gerader Verbinder 4429">
            <a:extLst>
              <a:ext uri="{FF2B5EF4-FFF2-40B4-BE49-F238E27FC236}">
                <a16:creationId xmlns:a16="http://schemas.microsoft.com/office/drawing/2014/main" id="{0AA27939-B131-8DEE-B063-415898756532}"/>
              </a:ext>
            </a:extLst>
          </xdr:cNvPr>
          <xdr:cNvCxnSpPr/>
        </xdr:nvCxnSpPr>
        <xdr:spPr>
          <a:xfrm>
            <a:off x="4610100" y="36271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31" name="Gerader Verbinder 4430">
            <a:extLst>
              <a:ext uri="{FF2B5EF4-FFF2-40B4-BE49-F238E27FC236}">
                <a16:creationId xmlns:a16="http://schemas.microsoft.com/office/drawing/2014/main" id="{A7505A7F-E5AC-94D3-A96E-F14C804EB72D}"/>
              </a:ext>
            </a:extLst>
          </xdr:cNvPr>
          <xdr:cNvCxnSpPr/>
        </xdr:nvCxnSpPr>
        <xdr:spPr>
          <a:xfrm flipH="1">
            <a:off x="4610100" y="36271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19</xdr:row>
      <xdr:rowOff>0</xdr:rowOff>
    </xdr:from>
    <xdr:to>
      <xdr:col>8</xdr:col>
      <xdr:colOff>0</xdr:colOff>
      <xdr:row>20</xdr:row>
      <xdr:rowOff>0</xdr:rowOff>
    </xdr:to>
    <xdr:grpSp>
      <xdr:nvGrpSpPr>
        <xdr:cNvPr id="4435" name="Cross_H20">
          <a:extLst>
            <a:ext uri="{FF2B5EF4-FFF2-40B4-BE49-F238E27FC236}">
              <a16:creationId xmlns:a16="http://schemas.microsoft.com/office/drawing/2014/main" id="{9D56A542-19B9-D6DB-239D-BAE0807918D2}"/>
            </a:ext>
          </a:extLst>
        </xdr:cNvPr>
        <xdr:cNvGrpSpPr/>
      </xdr:nvGrpSpPr>
      <xdr:grpSpPr>
        <a:xfrm>
          <a:off x="4610100" y="3855720"/>
          <a:ext cx="594360" cy="167640"/>
          <a:chOff x="4610100" y="3855720"/>
          <a:chExt cx="594360" cy="167640"/>
        </a:xfrm>
      </xdr:grpSpPr>
      <xdr:cxnSp macro="">
        <xdr:nvCxnSpPr>
          <xdr:cNvPr id="4433" name="Gerader Verbinder 4432">
            <a:extLst>
              <a:ext uri="{FF2B5EF4-FFF2-40B4-BE49-F238E27FC236}">
                <a16:creationId xmlns:a16="http://schemas.microsoft.com/office/drawing/2014/main" id="{3E89366E-7FB9-4BC2-C0BA-AF71B2467A75}"/>
              </a:ext>
            </a:extLst>
          </xdr:cNvPr>
          <xdr:cNvCxnSpPr/>
        </xdr:nvCxnSpPr>
        <xdr:spPr>
          <a:xfrm>
            <a:off x="4610100" y="3855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34" name="Gerader Verbinder 4433">
            <a:extLst>
              <a:ext uri="{FF2B5EF4-FFF2-40B4-BE49-F238E27FC236}">
                <a16:creationId xmlns:a16="http://schemas.microsoft.com/office/drawing/2014/main" id="{38D3A23B-CD9C-6C63-3131-433F866D4DB5}"/>
              </a:ext>
            </a:extLst>
          </xdr:cNvPr>
          <xdr:cNvCxnSpPr/>
        </xdr:nvCxnSpPr>
        <xdr:spPr>
          <a:xfrm flipH="1">
            <a:off x="4610100" y="3855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20</xdr:row>
      <xdr:rowOff>0</xdr:rowOff>
    </xdr:from>
    <xdr:to>
      <xdr:col>8</xdr:col>
      <xdr:colOff>0</xdr:colOff>
      <xdr:row>21</xdr:row>
      <xdr:rowOff>0</xdr:rowOff>
    </xdr:to>
    <xdr:grpSp>
      <xdr:nvGrpSpPr>
        <xdr:cNvPr id="4438" name="Cross_H21">
          <a:extLst>
            <a:ext uri="{FF2B5EF4-FFF2-40B4-BE49-F238E27FC236}">
              <a16:creationId xmlns:a16="http://schemas.microsoft.com/office/drawing/2014/main" id="{D248BAA5-BDF4-3D33-A924-1279EB5AB342}"/>
            </a:ext>
          </a:extLst>
        </xdr:cNvPr>
        <xdr:cNvGrpSpPr/>
      </xdr:nvGrpSpPr>
      <xdr:grpSpPr>
        <a:xfrm>
          <a:off x="4610100" y="4023360"/>
          <a:ext cx="594360" cy="167640"/>
          <a:chOff x="4610100" y="4023360"/>
          <a:chExt cx="594360" cy="167640"/>
        </a:xfrm>
      </xdr:grpSpPr>
      <xdr:cxnSp macro="">
        <xdr:nvCxnSpPr>
          <xdr:cNvPr id="4436" name="Gerader Verbinder 4435">
            <a:extLst>
              <a:ext uri="{FF2B5EF4-FFF2-40B4-BE49-F238E27FC236}">
                <a16:creationId xmlns:a16="http://schemas.microsoft.com/office/drawing/2014/main" id="{68A63838-50C5-FFF5-2472-563EEB3FDD1B}"/>
              </a:ext>
            </a:extLst>
          </xdr:cNvPr>
          <xdr:cNvCxnSpPr/>
        </xdr:nvCxnSpPr>
        <xdr:spPr>
          <a:xfrm>
            <a:off x="4610100" y="4023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37" name="Gerader Verbinder 4436">
            <a:extLst>
              <a:ext uri="{FF2B5EF4-FFF2-40B4-BE49-F238E27FC236}">
                <a16:creationId xmlns:a16="http://schemas.microsoft.com/office/drawing/2014/main" id="{49AA0907-41D1-4020-7590-90F73ABDB660}"/>
              </a:ext>
            </a:extLst>
          </xdr:cNvPr>
          <xdr:cNvCxnSpPr/>
        </xdr:nvCxnSpPr>
        <xdr:spPr>
          <a:xfrm flipH="1">
            <a:off x="4610100" y="4023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21</xdr:row>
      <xdr:rowOff>0</xdr:rowOff>
    </xdr:from>
    <xdr:to>
      <xdr:col>8</xdr:col>
      <xdr:colOff>0</xdr:colOff>
      <xdr:row>22</xdr:row>
      <xdr:rowOff>0</xdr:rowOff>
    </xdr:to>
    <xdr:grpSp>
      <xdr:nvGrpSpPr>
        <xdr:cNvPr id="4441" name="Cross_H22">
          <a:extLst>
            <a:ext uri="{FF2B5EF4-FFF2-40B4-BE49-F238E27FC236}">
              <a16:creationId xmlns:a16="http://schemas.microsoft.com/office/drawing/2014/main" id="{C4BDF605-FD1F-854C-8C1C-A0E7367368F7}"/>
            </a:ext>
          </a:extLst>
        </xdr:cNvPr>
        <xdr:cNvGrpSpPr/>
      </xdr:nvGrpSpPr>
      <xdr:grpSpPr>
        <a:xfrm>
          <a:off x="4610100" y="4191000"/>
          <a:ext cx="594360" cy="228600"/>
          <a:chOff x="4610100" y="4191000"/>
          <a:chExt cx="594360" cy="228600"/>
        </a:xfrm>
      </xdr:grpSpPr>
      <xdr:cxnSp macro="">
        <xdr:nvCxnSpPr>
          <xdr:cNvPr id="4439" name="Gerader Verbinder 4438">
            <a:extLst>
              <a:ext uri="{FF2B5EF4-FFF2-40B4-BE49-F238E27FC236}">
                <a16:creationId xmlns:a16="http://schemas.microsoft.com/office/drawing/2014/main" id="{7F6F1825-424D-A12A-8E38-7EEDD681C2AA}"/>
              </a:ext>
            </a:extLst>
          </xdr:cNvPr>
          <xdr:cNvCxnSpPr/>
        </xdr:nvCxnSpPr>
        <xdr:spPr>
          <a:xfrm>
            <a:off x="4610100" y="41910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40" name="Gerader Verbinder 4439">
            <a:extLst>
              <a:ext uri="{FF2B5EF4-FFF2-40B4-BE49-F238E27FC236}">
                <a16:creationId xmlns:a16="http://schemas.microsoft.com/office/drawing/2014/main" id="{85D037AD-C9D5-0197-B151-62544F194C6B}"/>
              </a:ext>
            </a:extLst>
          </xdr:cNvPr>
          <xdr:cNvCxnSpPr/>
        </xdr:nvCxnSpPr>
        <xdr:spPr>
          <a:xfrm flipH="1">
            <a:off x="4610100" y="41910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22</xdr:row>
      <xdr:rowOff>0</xdr:rowOff>
    </xdr:from>
    <xdr:to>
      <xdr:col>8</xdr:col>
      <xdr:colOff>0</xdr:colOff>
      <xdr:row>23</xdr:row>
      <xdr:rowOff>0</xdr:rowOff>
    </xdr:to>
    <xdr:grpSp>
      <xdr:nvGrpSpPr>
        <xdr:cNvPr id="4444" name="Cross_H23">
          <a:extLst>
            <a:ext uri="{FF2B5EF4-FFF2-40B4-BE49-F238E27FC236}">
              <a16:creationId xmlns:a16="http://schemas.microsoft.com/office/drawing/2014/main" id="{7029A9A9-5FDF-96FA-5DBF-C5F7BD24E132}"/>
            </a:ext>
          </a:extLst>
        </xdr:cNvPr>
        <xdr:cNvGrpSpPr/>
      </xdr:nvGrpSpPr>
      <xdr:grpSpPr>
        <a:xfrm>
          <a:off x="4610100" y="4419600"/>
          <a:ext cx="594360" cy="167640"/>
          <a:chOff x="4610100" y="4419600"/>
          <a:chExt cx="594360" cy="167640"/>
        </a:xfrm>
      </xdr:grpSpPr>
      <xdr:cxnSp macro="">
        <xdr:nvCxnSpPr>
          <xdr:cNvPr id="4442" name="Gerader Verbinder 4441">
            <a:extLst>
              <a:ext uri="{FF2B5EF4-FFF2-40B4-BE49-F238E27FC236}">
                <a16:creationId xmlns:a16="http://schemas.microsoft.com/office/drawing/2014/main" id="{F8285B49-5CA8-63C0-F3B5-855934C01696}"/>
              </a:ext>
            </a:extLst>
          </xdr:cNvPr>
          <xdr:cNvCxnSpPr/>
        </xdr:nvCxnSpPr>
        <xdr:spPr>
          <a:xfrm>
            <a:off x="4610100" y="44196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43" name="Gerader Verbinder 4442">
            <a:extLst>
              <a:ext uri="{FF2B5EF4-FFF2-40B4-BE49-F238E27FC236}">
                <a16:creationId xmlns:a16="http://schemas.microsoft.com/office/drawing/2014/main" id="{E7936585-6818-840C-4FCC-CCFFE93C3162}"/>
              </a:ext>
            </a:extLst>
          </xdr:cNvPr>
          <xdr:cNvCxnSpPr/>
        </xdr:nvCxnSpPr>
        <xdr:spPr>
          <a:xfrm flipH="1">
            <a:off x="4610100" y="44196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23</xdr:row>
      <xdr:rowOff>0</xdr:rowOff>
    </xdr:from>
    <xdr:to>
      <xdr:col>8</xdr:col>
      <xdr:colOff>0</xdr:colOff>
      <xdr:row>24</xdr:row>
      <xdr:rowOff>0</xdr:rowOff>
    </xdr:to>
    <xdr:grpSp>
      <xdr:nvGrpSpPr>
        <xdr:cNvPr id="4447" name="Cross_H24">
          <a:extLst>
            <a:ext uri="{FF2B5EF4-FFF2-40B4-BE49-F238E27FC236}">
              <a16:creationId xmlns:a16="http://schemas.microsoft.com/office/drawing/2014/main" id="{CF709C95-9AD8-0843-826C-F9EA249EBFF8}"/>
            </a:ext>
          </a:extLst>
        </xdr:cNvPr>
        <xdr:cNvGrpSpPr/>
      </xdr:nvGrpSpPr>
      <xdr:grpSpPr>
        <a:xfrm>
          <a:off x="4610100" y="4587240"/>
          <a:ext cx="594360" cy="167640"/>
          <a:chOff x="4610100" y="4587240"/>
          <a:chExt cx="594360" cy="167640"/>
        </a:xfrm>
      </xdr:grpSpPr>
      <xdr:cxnSp macro="">
        <xdr:nvCxnSpPr>
          <xdr:cNvPr id="4445" name="Gerader Verbinder 4444">
            <a:extLst>
              <a:ext uri="{FF2B5EF4-FFF2-40B4-BE49-F238E27FC236}">
                <a16:creationId xmlns:a16="http://schemas.microsoft.com/office/drawing/2014/main" id="{D365467E-B741-5F55-EB2C-174AE51351C6}"/>
              </a:ext>
            </a:extLst>
          </xdr:cNvPr>
          <xdr:cNvCxnSpPr/>
        </xdr:nvCxnSpPr>
        <xdr:spPr>
          <a:xfrm>
            <a:off x="4610100" y="45872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46" name="Gerader Verbinder 4445">
            <a:extLst>
              <a:ext uri="{FF2B5EF4-FFF2-40B4-BE49-F238E27FC236}">
                <a16:creationId xmlns:a16="http://schemas.microsoft.com/office/drawing/2014/main" id="{B7FC3C90-1244-F345-CB0E-88DFF854618A}"/>
              </a:ext>
            </a:extLst>
          </xdr:cNvPr>
          <xdr:cNvCxnSpPr/>
        </xdr:nvCxnSpPr>
        <xdr:spPr>
          <a:xfrm flipH="1">
            <a:off x="4610100" y="45872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30</xdr:row>
      <xdr:rowOff>0</xdr:rowOff>
    </xdr:from>
    <xdr:to>
      <xdr:col>8</xdr:col>
      <xdr:colOff>0</xdr:colOff>
      <xdr:row>31</xdr:row>
      <xdr:rowOff>0</xdr:rowOff>
    </xdr:to>
    <xdr:grpSp>
      <xdr:nvGrpSpPr>
        <xdr:cNvPr id="4450" name="Cross_H31">
          <a:extLst>
            <a:ext uri="{FF2B5EF4-FFF2-40B4-BE49-F238E27FC236}">
              <a16:creationId xmlns:a16="http://schemas.microsoft.com/office/drawing/2014/main" id="{F5B4EEEC-9496-DDC9-35E2-50AA658D9911}"/>
            </a:ext>
          </a:extLst>
        </xdr:cNvPr>
        <xdr:cNvGrpSpPr/>
      </xdr:nvGrpSpPr>
      <xdr:grpSpPr>
        <a:xfrm>
          <a:off x="4610100" y="5882640"/>
          <a:ext cx="594360" cy="228600"/>
          <a:chOff x="4610100" y="5882640"/>
          <a:chExt cx="594360" cy="228600"/>
        </a:xfrm>
      </xdr:grpSpPr>
      <xdr:cxnSp macro="">
        <xdr:nvCxnSpPr>
          <xdr:cNvPr id="4448" name="Gerader Verbinder 4447">
            <a:extLst>
              <a:ext uri="{FF2B5EF4-FFF2-40B4-BE49-F238E27FC236}">
                <a16:creationId xmlns:a16="http://schemas.microsoft.com/office/drawing/2014/main" id="{D4AF95F9-020F-82C8-0800-A6F23E53DFA6}"/>
              </a:ext>
            </a:extLst>
          </xdr:cNvPr>
          <xdr:cNvCxnSpPr/>
        </xdr:nvCxnSpPr>
        <xdr:spPr>
          <a:xfrm>
            <a:off x="4610100" y="58826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49" name="Gerader Verbinder 4448">
            <a:extLst>
              <a:ext uri="{FF2B5EF4-FFF2-40B4-BE49-F238E27FC236}">
                <a16:creationId xmlns:a16="http://schemas.microsoft.com/office/drawing/2014/main" id="{63516D61-A57B-6DA2-462F-E5431F5FA02A}"/>
              </a:ext>
            </a:extLst>
          </xdr:cNvPr>
          <xdr:cNvCxnSpPr/>
        </xdr:nvCxnSpPr>
        <xdr:spPr>
          <a:xfrm flipH="1">
            <a:off x="4610100" y="58826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31</xdr:row>
      <xdr:rowOff>0</xdr:rowOff>
    </xdr:from>
    <xdr:to>
      <xdr:col>8</xdr:col>
      <xdr:colOff>0</xdr:colOff>
      <xdr:row>32</xdr:row>
      <xdr:rowOff>0</xdr:rowOff>
    </xdr:to>
    <xdr:grpSp>
      <xdr:nvGrpSpPr>
        <xdr:cNvPr id="4453" name="Cross_H32">
          <a:extLst>
            <a:ext uri="{FF2B5EF4-FFF2-40B4-BE49-F238E27FC236}">
              <a16:creationId xmlns:a16="http://schemas.microsoft.com/office/drawing/2014/main" id="{6B31DA85-C3D5-F4D1-F7EE-41DDF1408BCD}"/>
            </a:ext>
          </a:extLst>
        </xdr:cNvPr>
        <xdr:cNvGrpSpPr/>
      </xdr:nvGrpSpPr>
      <xdr:grpSpPr>
        <a:xfrm>
          <a:off x="4610100" y="6111240"/>
          <a:ext cx="594360" cy="167640"/>
          <a:chOff x="4610100" y="6111240"/>
          <a:chExt cx="594360" cy="167640"/>
        </a:xfrm>
      </xdr:grpSpPr>
      <xdr:cxnSp macro="">
        <xdr:nvCxnSpPr>
          <xdr:cNvPr id="4451" name="Gerader Verbinder 4450">
            <a:extLst>
              <a:ext uri="{FF2B5EF4-FFF2-40B4-BE49-F238E27FC236}">
                <a16:creationId xmlns:a16="http://schemas.microsoft.com/office/drawing/2014/main" id="{842E85BB-9D34-379B-F0F5-35C1D9BA9CCC}"/>
              </a:ext>
            </a:extLst>
          </xdr:cNvPr>
          <xdr:cNvCxnSpPr/>
        </xdr:nvCxnSpPr>
        <xdr:spPr>
          <a:xfrm>
            <a:off x="4610100" y="61112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52" name="Gerader Verbinder 4451">
            <a:extLst>
              <a:ext uri="{FF2B5EF4-FFF2-40B4-BE49-F238E27FC236}">
                <a16:creationId xmlns:a16="http://schemas.microsoft.com/office/drawing/2014/main" id="{1E0729B4-720E-285F-DC67-0ED8DE4CB32F}"/>
              </a:ext>
            </a:extLst>
          </xdr:cNvPr>
          <xdr:cNvCxnSpPr/>
        </xdr:nvCxnSpPr>
        <xdr:spPr>
          <a:xfrm flipH="1">
            <a:off x="4610100" y="61112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32</xdr:row>
      <xdr:rowOff>0</xdr:rowOff>
    </xdr:from>
    <xdr:to>
      <xdr:col>8</xdr:col>
      <xdr:colOff>0</xdr:colOff>
      <xdr:row>33</xdr:row>
      <xdr:rowOff>0</xdr:rowOff>
    </xdr:to>
    <xdr:grpSp>
      <xdr:nvGrpSpPr>
        <xdr:cNvPr id="4456" name="Cross_H33">
          <a:extLst>
            <a:ext uri="{FF2B5EF4-FFF2-40B4-BE49-F238E27FC236}">
              <a16:creationId xmlns:a16="http://schemas.microsoft.com/office/drawing/2014/main" id="{85F440D4-8816-F019-F639-33B83362E916}"/>
            </a:ext>
          </a:extLst>
        </xdr:cNvPr>
        <xdr:cNvGrpSpPr/>
      </xdr:nvGrpSpPr>
      <xdr:grpSpPr>
        <a:xfrm>
          <a:off x="4610100" y="6278880"/>
          <a:ext cx="594360" cy="167640"/>
          <a:chOff x="4610100" y="6278880"/>
          <a:chExt cx="594360" cy="167640"/>
        </a:xfrm>
      </xdr:grpSpPr>
      <xdr:cxnSp macro="">
        <xdr:nvCxnSpPr>
          <xdr:cNvPr id="4454" name="Gerader Verbinder 4453">
            <a:extLst>
              <a:ext uri="{FF2B5EF4-FFF2-40B4-BE49-F238E27FC236}">
                <a16:creationId xmlns:a16="http://schemas.microsoft.com/office/drawing/2014/main" id="{1055D9AC-0A3B-5C18-3A8D-8A0896D0C0F4}"/>
              </a:ext>
            </a:extLst>
          </xdr:cNvPr>
          <xdr:cNvCxnSpPr/>
        </xdr:nvCxnSpPr>
        <xdr:spPr>
          <a:xfrm>
            <a:off x="4610100" y="62788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55" name="Gerader Verbinder 4454">
            <a:extLst>
              <a:ext uri="{FF2B5EF4-FFF2-40B4-BE49-F238E27FC236}">
                <a16:creationId xmlns:a16="http://schemas.microsoft.com/office/drawing/2014/main" id="{BB7A5423-8EB9-0919-CCD0-BA90FF84FBBA}"/>
              </a:ext>
            </a:extLst>
          </xdr:cNvPr>
          <xdr:cNvCxnSpPr/>
        </xdr:nvCxnSpPr>
        <xdr:spPr>
          <a:xfrm flipH="1">
            <a:off x="4610100" y="62788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33</xdr:row>
      <xdr:rowOff>0</xdr:rowOff>
    </xdr:from>
    <xdr:to>
      <xdr:col>8</xdr:col>
      <xdr:colOff>0</xdr:colOff>
      <xdr:row>34</xdr:row>
      <xdr:rowOff>0</xdr:rowOff>
    </xdr:to>
    <xdr:grpSp>
      <xdr:nvGrpSpPr>
        <xdr:cNvPr id="4459" name="Cross_H34">
          <a:extLst>
            <a:ext uri="{FF2B5EF4-FFF2-40B4-BE49-F238E27FC236}">
              <a16:creationId xmlns:a16="http://schemas.microsoft.com/office/drawing/2014/main" id="{A86BB377-FD51-9ED0-069D-FFEB723FBF15}"/>
            </a:ext>
          </a:extLst>
        </xdr:cNvPr>
        <xdr:cNvGrpSpPr/>
      </xdr:nvGrpSpPr>
      <xdr:grpSpPr>
        <a:xfrm>
          <a:off x="4610100" y="6446520"/>
          <a:ext cx="594360" cy="228600"/>
          <a:chOff x="4610100" y="6446520"/>
          <a:chExt cx="594360" cy="228600"/>
        </a:xfrm>
      </xdr:grpSpPr>
      <xdr:cxnSp macro="">
        <xdr:nvCxnSpPr>
          <xdr:cNvPr id="4457" name="Gerader Verbinder 4456">
            <a:extLst>
              <a:ext uri="{FF2B5EF4-FFF2-40B4-BE49-F238E27FC236}">
                <a16:creationId xmlns:a16="http://schemas.microsoft.com/office/drawing/2014/main" id="{E0D0BDD8-04B4-A606-CA2F-9D3FC36D05A5}"/>
              </a:ext>
            </a:extLst>
          </xdr:cNvPr>
          <xdr:cNvCxnSpPr/>
        </xdr:nvCxnSpPr>
        <xdr:spPr>
          <a:xfrm>
            <a:off x="4610100" y="64465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58" name="Gerader Verbinder 4457">
            <a:extLst>
              <a:ext uri="{FF2B5EF4-FFF2-40B4-BE49-F238E27FC236}">
                <a16:creationId xmlns:a16="http://schemas.microsoft.com/office/drawing/2014/main" id="{C07874AE-7B9E-7ACB-3759-CF88D8F0B176}"/>
              </a:ext>
            </a:extLst>
          </xdr:cNvPr>
          <xdr:cNvCxnSpPr/>
        </xdr:nvCxnSpPr>
        <xdr:spPr>
          <a:xfrm flipH="1">
            <a:off x="4610100" y="64465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34</xdr:row>
      <xdr:rowOff>0</xdr:rowOff>
    </xdr:from>
    <xdr:to>
      <xdr:col>8</xdr:col>
      <xdr:colOff>0</xdr:colOff>
      <xdr:row>35</xdr:row>
      <xdr:rowOff>0</xdr:rowOff>
    </xdr:to>
    <xdr:grpSp>
      <xdr:nvGrpSpPr>
        <xdr:cNvPr id="4462" name="Cross_H35">
          <a:extLst>
            <a:ext uri="{FF2B5EF4-FFF2-40B4-BE49-F238E27FC236}">
              <a16:creationId xmlns:a16="http://schemas.microsoft.com/office/drawing/2014/main" id="{8DD7255D-1682-F539-B3A8-E39CE646B542}"/>
            </a:ext>
          </a:extLst>
        </xdr:cNvPr>
        <xdr:cNvGrpSpPr/>
      </xdr:nvGrpSpPr>
      <xdr:grpSpPr>
        <a:xfrm>
          <a:off x="4610100" y="6675120"/>
          <a:ext cx="594360" cy="167640"/>
          <a:chOff x="4610100" y="6675120"/>
          <a:chExt cx="594360" cy="167640"/>
        </a:xfrm>
      </xdr:grpSpPr>
      <xdr:cxnSp macro="">
        <xdr:nvCxnSpPr>
          <xdr:cNvPr id="4460" name="Gerader Verbinder 4459">
            <a:extLst>
              <a:ext uri="{FF2B5EF4-FFF2-40B4-BE49-F238E27FC236}">
                <a16:creationId xmlns:a16="http://schemas.microsoft.com/office/drawing/2014/main" id="{E57E3220-0479-C508-825A-4A18F0DE75DA}"/>
              </a:ext>
            </a:extLst>
          </xdr:cNvPr>
          <xdr:cNvCxnSpPr/>
        </xdr:nvCxnSpPr>
        <xdr:spPr>
          <a:xfrm>
            <a:off x="4610100" y="66751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61" name="Gerader Verbinder 4460">
            <a:extLst>
              <a:ext uri="{FF2B5EF4-FFF2-40B4-BE49-F238E27FC236}">
                <a16:creationId xmlns:a16="http://schemas.microsoft.com/office/drawing/2014/main" id="{4D85F2E5-DFDD-CE61-B3F5-EA209BCFF219}"/>
              </a:ext>
            </a:extLst>
          </xdr:cNvPr>
          <xdr:cNvCxnSpPr/>
        </xdr:nvCxnSpPr>
        <xdr:spPr>
          <a:xfrm flipH="1">
            <a:off x="4610100" y="66751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35</xdr:row>
      <xdr:rowOff>0</xdr:rowOff>
    </xdr:from>
    <xdr:to>
      <xdr:col>8</xdr:col>
      <xdr:colOff>0</xdr:colOff>
      <xdr:row>36</xdr:row>
      <xdr:rowOff>0</xdr:rowOff>
    </xdr:to>
    <xdr:grpSp>
      <xdr:nvGrpSpPr>
        <xdr:cNvPr id="4465" name="Cross_H36">
          <a:extLst>
            <a:ext uri="{FF2B5EF4-FFF2-40B4-BE49-F238E27FC236}">
              <a16:creationId xmlns:a16="http://schemas.microsoft.com/office/drawing/2014/main" id="{4C050BA7-AB99-3574-4BCA-E2B58657399B}"/>
            </a:ext>
          </a:extLst>
        </xdr:cNvPr>
        <xdr:cNvGrpSpPr/>
      </xdr:nvGrpSpPr>
      <xdr:grpSpPr>
        <a:xfrm>
          <a:off x="4610100" y="6842760"/>
          <a:ext cx="594360" cy="167640"/>
          <a:chOff x="4610100" y="6842760"/>
          <a:chExt cx="594360" cy="167640"/>
        </a:xfrm>
      </xdr:grpSpPr>
      <xdr:cxnSp macro="">
        <xdr:nvCxnSpPr>
          <xdr:cNvPr id="4463" name="Gerader Verbinder 4462">
            <a:extLst>
              <a:ext uri="{FF2B5EF4-FFF2-40B4-BE49-F238E27FC236}">
                <a16:creationId xmlns:a16="http://schemas.microsoft.com/office/drawing/2014/main" id="{C1D537FB-3941-CB25-B26F-9E203AC2E399}"/>
              </a:ext>
            </a:extLst>
          </xdr:cNvPr>
          <xdr:cNvCxnSpPr/>
        </xdr:nvCxnSpPr>
        <xdr:spPr>
          <a:xfrm>
            <a:off x="4610100" y="68427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64" name="Gerader Verbinder 4463">
            <a:extLst>
              <a:ext uri="{FF2B5EF4-FFF2-40B4-BE49-F238E27FC236}">
                <a16:creationId xmlns:a16="http://schemas.microsoft.com/office/drawing/2014/main" id="{296BD19A-6719-9F67-83FA-850F283C60D4}"/>
              </a:ext>
            </a:extLst>
          </xdr:cNvPr>
          <xdr:cNvCxnSpPr/>
        </xdr:nvCxnSpPr>
        <xdr:spPr>
          <a:xfrm flipH="1">
            <a:off x="4610100" y="68427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36</xdr:row>
      <xdr:rowOff>0</xdr:rowOff>
    </xdr:from>
    <xdr:to>
      <xdr:col>8</xdr:col>
      <xdr:colOff>0</xdr:colOff>
      <xdr:row>37</xdr:row>
      <xdr:rowOff>0</xdr:rowOff>
    </xdr:to>
    <xdr:grpSp>
      <xdr:nvGrpSpPr>
        <xdr:cNvPr id="4468" name="Cross_H37">
          <a:extLst>
            <a:ext uri="{FF2B5EF4-FFF2-40B4-BE49-F238E27FC236}">
              <a16:creationId xmlns:a16="http://schemas.microsoft.com/office/drawing/2014/main" id="{34C53A4B-E229-9D20-B47F-19A34F56C47A}"/>
            </a:ext>
          </a:extLst>
        </xdr:cNvPr>
        <xdr:cNvGrpSpPr/>
      </xdr:nvGrpSpPr>
      <xdr:grpSpPr>
        <a:xfrm>
          <a:off x="4610100" y="7010400"/>
          <a:ext cx="594360" cy="228600"/>
          <a:chOff x="4610100" y="7010400"/>
          <a:chExt cx="594360" cy="228600"/>
        </a:xfrm>
      </xdr:grpSpPr>
      <xdr:cxnSp macro="">
        <xdr:nvCxnSpPr>
          <xdr:cNvPr id="4466" name="Gerader Verbinder 4465">
            <a:extLst>
              <a:ext uri="{FF2B5EF4-FFF2-40B4-BE49-F238E27FC236}">
                <a16:creationId xmlns:a16="http://schemas.microsoft.com/office/drawing/2014/main" id="{9FE94B9E-844E-5A28-19FD-4223C1881425}"/>
              </a:ext>
            </a:extLst>
          </xdr:cNvPr>
          <xdr:cNvCxnSpPr/>
        </xdr:nvCxnSpPr>
        <xdr:spPr>
          <a:xfrm>
            <a:off x="4610100" y="70104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67" name="Gerader Verbinder 4466">
            <a:extLst>
              <a:ext uri="{FF2B5EF4-FFF2-40B4-BE49-F238E27FC236}">
                <a16:creationId xmlns:a16="http://schemas.microsoft.com/office/drawing/2014/main" id="{BA5E69A3-6877-FE27-0009-A820E095B996}"/>
              </a:ext>
            </a:extLst>
          </xdr:cNvPr>
          <xdr:cNvCxnSpPr/>
        </xdr:nvCxnSpPr>
        <xdr:spPr>
          <a:xfrm flipH="1">
            <a:off x="4610100" y="70104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37</xdr:row>
      <xdr:rowOff>0</xdr:rowOff>
    </xdr:from>
    <xdr:to>
      <xdr:col>8</xdr:col>
      <xdr:colOff>0</xdr:colOff>
      <xdr:row>38</xdr:row>
      <xdr:rowOff>0</xdr:rowOff>
    </xdr:to>
    <xdr:grpSp>
      <xdr:nvGrpSpPr>
        <xdr:cNvPr id="4471" name="Cross_H38">
          <a:extLst>
            <a:ext uri="{FF2B5EF4-FFF2-40B4-BE49-F238E27FC236}">
              <a16:creationId xmlns:a16="http://schemas.microsoft.com/office/drawing/2014/main" id="{764DF671-5E12-F65B-1DA0-AD6E0E1494BF}"/>
            </a:ext>
          </a:extLst>
        </xdr:cNvPr>
        <xdr:cNvGrpSpPr/>
      </xdr:nvGrpSpPr>
      <xdr:grpSpPr>
        <a:xfrm>
          <a:off x="4610100" y="7239000"/>
          <a:ext cx="594360" cy="167640"/>
          <a:chOff x="4610100" y="7239000"/>
          <a:chExt cx="594360" cy="167640"/>
        </a:xfrm>
      </xdr:grpSpPr>
      <xdr:cxnSp macro="">
        <xdr:nvCxnSpPr>
          <xdr:cNvPr id="4469" name="Gerader Verbinder 4468">
            <a:extLst>
              <a:ext uri="{FF2B5EF4-FFF2-40B4-BE49-F238E27FC236}">
                <a16:creationId xmlns:a16="http://schemas.microsoft.com/office/drawing/2014/main" id="{ED1829D9-7DBB-E92A-8686-5F2128BA8032}"/>
              </a:ext>
            </a:extLst>
          </xdr:cNvPr>
          <xdr:cNvCxnSpPr/>
        </xdr:nvCxnSpPr>
        <xdr:spPr>
          <a:xfrm>
            <a:off x="4610100" y="7239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70" name="Gerader Verbinder 4469">
            <a:extLst>
              <a:ext uri="{FF2B5EF4-FFF2-40B4-BE49-F238E27FC236}">
                <a16:creationId xmlns:a16="http://schemas.microsoft.com/office/drawing/2014/main" id="{D8CE8743-6386-5D84-775C-E1CB8D402542}"/>
              </a:ext>
            </a:extLst>
          </xdr:cNvPr>
          <xdr:cNvCxnSpPr/>
        </xdr:nvCxnSpPr>
        <xdr:spPr>
          <a:xfrm flipH="1">
            <a:off x="4610100" y="7239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38</xdr:row>
      <xdr:rowOff>0</xdr:rowOff>
    </xdr:from>
    <xdr:to>
      <xdr:col>8</xdr:col>
      <xdr:colOff>0</xdr:colOff>
      <xdr:row>39</xdr:row>
      <xdr:rowOff>0</xdr:rowOff>
    </xdr:to>
    <xdr:grpSp>
      <xdr:nvGrpSpPr>
        <xdr:cNvPr id="4474" name="Cross_H39">
          <a:extLst>
            <a:ext uri="{FF2B5EF4-FFF2-40B4-BE49-F238E27FC236}">
              <a16:creationId xmlns:a16="http://schemas.microsoft.com/office/drawing/2014/main" id="{5BA0BA5C-4B06-E34A-8E9B-D6BC723DED61}"/>
            </a:ext>
          </a:extLst>
        </xdr:cNvPr>
        <xdr:cNvGrpSpPr/>
      </xdr:nvGrpSpPr>
      <xdr:grpSpPr>
        <a:xfrm>
          <a:off x="4610100" y="7406640"/>
          <a:ext cx="594360" cy="167640"/>
          <a:chOff x="4610100" y="7406640"/>
          <a:chExt cx="594360" cy="167640"/>
        </a:xfrm>
      </xdr:grpSpPr>
      <xdr:cxnSp macro="">
        <xdr:nvCxnSpPr>
          <xdr:cNvPr id="4472" name="Gerader Verbinder 4471">
            <a:extLst>
              <a:ext uri="{FF2B5EF4-FFF2-40B4-BE49-F238E27FC236}">
                <a16:creationId xmlns:a16="http://schemas.microsoft.com/office/drawing/2014/main" id="{3016E595-6748-FB88-D921-968EA4EBAB36}"/>
              </a:ext>
            </a:extLst>
          </xdr:cNvPr>
          <xdr:cNvCxnSpPr/>
        </xdr:nvCxnSpPr>
        <xdr:spPr>
          <a:xfrm>
            <a:off x="4610100" y="7406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73" name="Gerader Verbinder 4472">
            <a:extLst>
              <a:ext uri="{FF2B5EF4-FFF2-40B4-BE49-F238E27FC236}">
                <a16:creationId xmlns:a16="http://schemas.microsoft.com/office/drawing/2014/main" id="{D08D67FB-7096-78D0-6E01-C8F0548191AA}"/>
              </a:ext>
            </a:extLst>
          </xdr:cNvPr>
          <xdr:cNvCxnSpPr/>
        </xdr:nvCxnSpPr>
        <xdr:spPr>
          <a:xfrm flipH="1">
            <a:off x="4610100" y="7406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39</xdr:row>
      <xdr:rowOff>0</xdr:rowOff>
    </xdr:from>
    <xdr:to>
      <xdr:col>8</xdr:col>
      <xdr:colOff>0</xdr:colOff>
      <xdr:row>40</xdr:row>
      <xdr:rowOff>0</xdr:rowOff>
    </xdr:to>
    <xdr:grpSp>
      <xdr:nvGrpSpPr>
        <xdr:cNvPr id="4477" name="Cross_H40">
          <a:extLst>
            <a:ext uri="{FF2B5EF4-FFF2-40B4-BE49-F238E27FC236}">
              <a16:creationId xmlns:a16="http://schemas.microsoft.com/office/drawing/2014/main" id="{256EC1D0-09F3-3839-655D-B9C864204CF1}"/>
            </a:ext>
          </a:extLst>
        </xdr:cNvPr>
        <xdr:cNvGrpSpPr/>
      </xdr:nvGrpSpPr>
      <xdr:grpSpPr>
        <a:xfrm>
          <a:off x="4610100" y="7574280"/>
          <a:ext cx="594360" cy="228600"/>
          <a:chOff x="4610100" y="7574280"/>
          <a:chExt cx="594360" cy="228600"/>
        </a:xfrm>
      </xdr:grpSpPr>
      <xdr:cxnSp macro="">
        <xdr:nvCxnSpPr>
          <xdr:cNvPr id="4475" name="Gerader Verbinder 4474">
            <a:extLst>
              <a:ext uri="{FF2B5EF4-FFF2-40B4-BE49-F238E27FC236}">
                <a16:creationId xmlns:a16="http://schemas.microsoft.com/office/drawing/2014/main" id="{572294C6-E734-10E9-2EA9-271248C02069}"/>
              </a:ext>
            </a:extLst>
          </xdr:cNvPr>
          <xdr:cNvCxnSpPr/>
        </xdr:nvCxnSpPr>
        <xdr:spPr>
          <a:xfrm>
            <a:off x="4610100" y="75742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76" name="Gerader Verbinder 4475">
            <a:extLst>
              <a:ext uri="{FF2B5EF4-FFF2-40B4-BE49-F238E27FC236}">
                <a16:creationId xmlns:a16="http://schemas.microsoft.com/office/drawing/2014/main" id="{8D9AC5E8-79B9-BE92-7DDD-B4D3062D4E61}"/>
              </a:ext>
            </a:extLst>
          </xdr:cNvPr>
          <xdr:cNvCxnSpPr/>
        </xdr:nvCxnSpPr>
        <xdr:spPr>
          <a:xfrm flipH="1">
            <a:off x="4610100" y="75742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40</xdr:row>
      <xdr:rowOff>0</xdr:rowOff>
    </xdr:from>
    <xdr:to>
      <xdr:col>8</xdr:col>
      <xdr:colOff>0</xdr:colOff>
      <xdr:row>41</xdr:row>
      <xdr:rowOff>0</xdr:rowOff>
    </xdr:to>
    <xdr:grpSp>
      <xdr:nvGrpSpPr>
        <xdr:cNvPr id="4480" name="Cross_H41">
          <a:extLst>
            <a:ext uri="{FF2B5EF4-FFF2-40B4-BE49-F238E27FC236}">
              <a16:creationId xmlns:a16="http://schemas.microsoft.com/office/drawing/2014/main" id="{70DF0D50-D39F-9075-F195-E5670AC87BF4}"/>
            </a:ext>
          </a:extLst>
        </xdr:cNvPr>
        <xdr:cNvGrpSpPr/>
      </xdr:nvGrpSpPr>
      <xdr:grpSpPr>
        <a:xfrm>
          <a:off x="4610100" y="7802880"/>
          <a:ext cx="594360" cy="167640"/>
          <a:chOff x="4610100" y="7802880"/>
          <a:chExt cx="594360" cy="167640"/>
        </a:xfrm>
      </xdr:grpSpPr>
      <xdr:cxnSp macro="">
        <xdr:nvCxnSpPr>
          <xdr:cNvPr id="4478" name="Gerader Verbinder 4477">
            <a:extLst>
              <a:ext uri="{FF2B5EF4-FFF2-40B4-BE49-F238E27FC236}">
                <a16:creationId xmlns:a16="http://schemas.microsoft.com/office/drawing/2014/main" id="{20476904-E37C-97FC-9C30-7DDFDA4C9B3D}"/>
              </a:ext>
            </a:extLst>
          </xdr:cNvPr>
          <xdr:cNvCxnSpPr/>
        </xdr:nvCxnSpPr>
        <xdr:spPr>
          <a:xfrm>
            <a:off x="4610100" y="78028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79" name="Gerader Verbinder 4478">
            <a:extLst>
              <a:ext uri="{FF2B5EF4-FFF2-40B4-BE49-F238E27FC236}">
                <a16:creationId xmlns:a16="http://schemas.microsoft.com/office/drawing/2014/main" id="{FCB99F49-8780-2DDE-5BF3-589F9ACC8A3F}"/>
              </a:ext>
            </a:extLst>
          </xdr:cNvPr>
          <xdr:cNvCxnSpPr/>
        </xdr:nvCxnSpPr>
        <xdr:spPr>
          <a:xfrm flipH="1">
            <a:off x="4610100" y="78028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41</xdr:row>
      <xdr:rowOff>0</xdr:rowOff>
    </xdr:from>
    <xdr:to>
      <xdr:col>8</xdr:col>
      <xdr:colOff>0</xdr:colOff>
      <xdr:row>42</xdr:row>
      <xdr:rowOff>0</xdr:rowOff>
    </xdr:to>
    <xdr:grpSp>
      <xdr:nvGrpSpPr>
        <xdr:cNvPr id="4483" name="Cross_H42">
          <a:extLst>
            <a:ext uri="{FF2B5EF4-FFF2-40B4-BE49-F238E27FC236}">
              <a16:creationId xmlns:a16="http://schemas.microsoft.com/office/drawing/2014/main" id="{E22FD164-BD84-1B16-8F6B-B7AA90D9EA1C}"/>
            </a:ext>
          </a:extLst>
        </xdr:cNvPr>
        <xdr:cNvGrpSpPr/>
      </xdr:nvGrpSpPr>
      <xdr:grpSpPr>
        <a:xfrm>
          <a:off x="4610100" y="7970520"/>
          <a:ext cx="594360" cy="167640"/>
          <a:chOff x="4610100" y="7970520"/>
          <a:chExt cx="594360" cy="167640"/>
        </a:xfrm>
      </xdr:grpSpPr>
      <xdr:cxnSp macro="">
        <xdr:nvCxnSpPr>
          <xdr:cNvPr id="4481" name="Gerader Verbinder 4480">
            <a:extLst>
              <a:ext uri="{FF2B5EF4-FFF2-40B4-BE49-F238E27FC236}">
                <a16:creationId xmlns:a16="http://schemas.microsoft.com/office/drawing/2014/main" id="{852985D0-A80B-209B-1677-FB4959F31178}"/>
              </a:ext>
            </a:extLst>
          </xdr:cNvPr>
          <xdr:cNvCxnSpPr/>
        </xdr:nvCxnSpPr>
        <xdr:spPr>
          <a:xfrm>
            <a:off x="4610100" y="79705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82" name="Gerader Verbinder 4481">
            <a:extLst>
              <a:ext uri="{FF2B5EF4-FFF2-40B4-BE49-F238E27FC236}">
                <a16:creationId xmlns:a16="http://schemas.microsoft.com/office/drawing/2014/main" id="{519E0585-BD65-B0B4-B42E-B3B83E5864C8}"/>
              </a:ext>
            </a:extLst>
          </xdr:cNvPr>
          <xdr:cNvCxnSpPr/>
        </xdr:nvCxnSpPr>
        <xdr:spPr>
          <a:xfrm flipH="1">
            <a:off x="4610100" y="79705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51</xdr:row>
      <xdr:rowOff>0</xdr:rowOff>
    </xdr:from>
    <xdr:to>
      <xdr:col>8</xdr:col>
      <xdr:colOff>0</xdr:colOff>
      <xdr:row>52</xdr:row>
      <xdr:rowOff>0</xdr:rowOff>
    </xdr:to>
    <xdr:grpSp>
      <xdr:nvGrpSpPr>
        <xdr:cNvPr id="4486" name="Cross_H52">
          <a:extLst>
            <a:ext uri="{FF2B5EF4-FFF2-40B4-BE49-F238E27FC236}">
              <a16:creationId xmlns:a16="http://schemas.microsoft.com/office/drawing/2014/main" id="{C10FCDE9-4134-BC1E-7365-56A8C13A1771}"/>
            </a:ext>
          </a:extLst>
        </xdr:cNvPr>
        <xdr:cNvGrpSpPr/>
      </xdr:nvGrpSpPr>
      <xdr:grpSpPr>
        <a:xfrm>
          <a:off x="4610100" y="9829800"/>
          <a:ext cx="594360" cy="228600"/>
          <a:chOff x="4610100" y="9829800"/>
          <a:chExt cx="594360" cy="228600"/>
        </a:xfrm>
      </xdr:grpSpPr>
      <xdr:cxnSp macro="">
        <xdr:nvCxnSpPr>
          <xdr:cNvPr id="4484" name="Gerader Verbinder 4483">
            <a:extLst>
              <a:ext uri="{FF2B5EF4-FFF2-40B4-BE49-F238E27FC236}">
                <a16:creationId xmlns:a16="http://schemas.microsoft.com/office/drawing/2014/main" id="{A926027B-9C32-4D68-09C7-1E9737E0D8D3}"/>
              </a:ext>
            </a:extLst>
          </xdr:cNvPr>
          <xdr:cNvCxnSpPr/>
        </xdr:nvCxnSpPr>
        <xdr:spPr>
          <a:xfrm>
            <a:off x="4610100" y="98298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85" name="Gerader Verbinder 4484">
            <a:extLst>
              <a:ext uri="{FF2B5EF4-FFF2-40B4-BE49-F238E27FC236}">
                <a16:creationId xmlns:a16="http://schemas.microsoft.com/office/drawing/2014/main" id="{A32E5E27-8784-D2E4-A1A0-00AB5333E7E8}"/>
              </a:ext>
            </a:extLst>
          </xdr:cNvPr>
          <xdr:cNvCxnSpPr/>
        </xdr:nvCxnSpPr>
        <xdr:spPr>
          <a:xfrm flipH="1">
            <a:off x="4610100" y="98298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52</xdr:row>
      <xdr:rowOff>0</xdr:rowOff>
    </xdr:from>
    <xdr:to>
      <xdr:col>8</xdr:col>
      <xdr:colOff>0</xdr:colOff>
      <xdr:row>53</xdr:row>
      <xdr:rowOff>0</xdr:rowOff>
    </xdr:to>
    <xdr:grpSp>
      <xdr:nvGrpSpPr>
        <xdr:cNvPr id="4489" name="Cross_H53">
          <a:extLst>
            <a:ext uri="{FF2B5EF4-FFF2-40B4-BE49-F238E27FC236}">
              <a16:creationId xmlns:a16="http://schemas.microsoft.com/office/drawing/2014/main" id="{D885958C-92AA-8562-02F0-866DD1C68452}"/>
            </a:ext>
          </a:extLst>
        </xdr:cNvPr>
        <xdr:cNvGrpSpPr/>
      </xdr:nvGrpSpPr>
      <xdr:grpSpPr>
        <a:xfrm>
          <a:off x="4610100" y="10058400"/>
          <a:ext cx="594360" cy="167640"/>
          <a:chOff x="4610100" y="10058400"/>
          <a:chExt cx="594360" cy="167640"/>
        </a:xfrm>
      </xdr:grpSpPr>
      <xdr:cxnSp macro="">
        <xdr:nvCxnSpPr>
          <xdr:cNvPr id="4487" name="Gerader Verbinder 4486">
            <a:extLst>
              <a:ext uri="{FF2B5EF4-FFF2-40B4-BE49-F238E27FC236}">
                <a16:creationId xmlns:a16="http://schemas.microsoft.com/office/drawing/2014/main" id="{148C4068-945E-4E8C-92CD-461E36356DA3}"/>
              </a:ext>
            </a:extLst>
          </xdr:cNvPr>
          <xdr:cNvCxnSpPr/>
        </xdr:nvCxnSpPr>
        <xdr:spPr>
          <a:xfrm>
            <a:off x="4610100" y="100584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88" name="Gerader Verbinder 4487">
            <a:extLst>
              <a:ext uri="{FF2B5EF4-FFF2-40B4-BE49-F238E27FC236}">
                <a16:creationId xmlns:a16="http://schemas.microsoft.com/office/drawing/2014/main" id="{CF4E07EF-57D5-0B56-68EC-6C8D0580AC22}"/>
              </a:ext>
            </a:extLst>
          </xdr:cNvPr>
          <xdr:cNvCxnSpPr/>
        </xdr:nvCxnSpPr>
        <xdr:spPr>
          <a:xfrm flipH="1">
            <a:off x="4610100" y="100584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53</xdr:row>
      <xdr:rowOff>0</xdr:rowOff>
    </xdr:from>
    <xdr:to>
      <xdr:col>8</xdr:col>
      <xdr:colOff>0</xdr:colOff>
      <xdr:row>54</xdr:row>
      <xdr:rowOff>0</xdr:rowOff>
    </xdr:to>
    <xdr:grpSp>
      <xdr:nvGrpSpPr>
        <xdr:cNvPr id="4492" name="Cross_H54">
          <a:extLst>
            <a:ext uri="{FF2B5EF4-FFF2-40B4-BE49-F238E27FC236}">
              <a16:creationId xmlns:a16="http://schemas.microsoft.com/office/drawing/2014/main" id="{AF8A4857-7BEC-06DB-1EE2-7D1FA2EA1BEE}"/>
            </a:ext>
          </a:extLst>
        </xdr:cNvPr>
        <xdr:cNvGrpSpPr/>
      </xdr:nvGrpSpPr>
      <xdr:grpSpPr>
        <a:xfrm>
          <a:off x="4610100" y="10226040"/>
          <a:ext cx="594360" cy="167640"/>
          <a:chOff x="4610100" y="10226040"/>
          <a:chExt cx="594360" cy="167640"/>
        </a:xfrm>
      </xdr:grpSpPr>
      <xdr:cxnSp macro="">
        <xdr:nvCxnSpPr>
          <xdr:cNvPr id="4490" name="Gerader Verbinder 4489">
            <a:extLst>
              <a:ext uri="{FF2B5EF4-FFF2-40B4-BE49-F238E27FC236}">
                <a16:creationId xmlns:a16="http://schemas.microsoft.com/office/drawing/2014/main" id="{F5EDEF01-BE66-3E4D-4233-1D0919960A8D}"/>
              </a:ext>
            </a:extLst>
          </xdr:cNvPr>
          <xdr:cNvCxnSpPr/>
        </xdr:nvCxnSpPr>
        <xdr:spPr>
          <a:xfrm>
            <a:off x="4610100" y="102260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91" name="Gerader Verbinder 4490">
            <a:extLst>
              <a:ext uri="{FF2B5EF4-FFF2-40B4-BE49-F238E27FC236}">
                <a16:creationId xmlns:a16="http://schemas.microsoft.com/office/drawing/2014/main" id="{7BD67CBC-D0D1-DC7A-7713-4F99C9AD79FC}"/>
              </a:ext>
            </a:extLst>
          </xdr:cNvPr>
          <xdr:cNvCxnSpPr/>
        </xdr:nvCxnSpPr>
        <xdr:spPr>
          <a:xfrm flipH="1">
            <a:off x="4610100" y="102260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54</xdr:row>
      <xdr:rowOff>0</xdr:rowOff>
    </xdr:from>
    <xdr:to>
      <xdr:col>8</xdr:col>
      <xdr:colOff>0</xdr:colOff>
      <xdr:row>55</xdr:row>
      <xdr:rowOff>0</xdr:rowOff>
    </xdr:to>
    <xdr:grpSp>
      <xdr:nvGrpSpPr>
        <xdr:cNvPr id="4495" name="Cross_H55">
          <a:extLst>
            <a:ext uri="{FF2B5EF4-FFF2-40B4-BE49-F238E27FC236}">
              <a16:creationId xmlns:a16="http://schemas.microsoft.com/office/drawing/2014/main" id="{F5572315-018B-CD0F-0C83-0D45C28B6FE4}"/>
            </a:ext>
          </a:extLst>
        </xdr:cNvPr>
        <xdr:cNvGrpSpPr/>
      </xdr:nvGrpSpPr>
      <xdr:grpSpPr>
        <a:xfrm>
          <a:off x="4610100" y="10393680"/>
          <a:ext cx="594360" cy="228600"/>
          <a:chOff x="4610100" y="10393680"/>
          <a:chExt cx="594360" cy="228600"/>
        </a:xfrm>
      </xdr:grpSpPr>
      <xdr:cxnSp macro="">
        <xdr:nvCxnSpPr>
          <xdr:cNvPr id="4493" name="Gerader Verbinder 4492">
            <a:extLst>
              <a:ext uri="{FF2B5EF4-FFF2-40B4-BE49-F238E27FC236}">
                <a16:creationId xmlns:a16="http://schemas.microsoft.com/office/drawing/2014/main" id="{096A8975-0D20-F4D8-74B5-348FDAEBBB39}"/>
              </a:ext>
            </a:extLst>
          </xdr:cNvPr>
          <xdr:cNvCxnSpPr/>
        </xdr:nvCxnSpPr>
        <xdr:spPr>
          <a:xfrm>
            <a:off x="4610100" y="103936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94" name="Gerader Verbinder 4493">
            <a:extLst>
              <a:ext uri="{FF2B5EF4-FFF2-40B4-BE49-F238E27FC236}">
                <a16:creationId xmlns:a16="http://schemas.microsoft.com/office/drawing/2014/main" id="{2661A2F0-A555-0051-20AB-A05F443749A8}"/>
              </a:ext>
            </a:extLst>
          </xdr:cNvPr>
          <xdr:cNvCxnSpPr/>
        </xdr:nvCxnSpPr>
        <xdr:spPr>
          <a:xfrm flipH="1">
            <a:off x="4610100" y="103936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55</xdr:row>
      <xdr:rowOff>0</xdr:rowOff>
    </xdr:from>
    <xdr:to>
      <xdr:col>8</xdr:col>
      <xdr:colOff>0</xdr:colOff>
      <xdr:row>56</xdr:row>
      <xdr:rowOff>0</xdr:rowOff>
    </xdr:to>
    <xdr:grpSp>
      <xdr:nvGrpSpPr>
        <xdr:cNvPr id="4498" name="Cross_H56">
          <a:extLst>
            <a:ext uri="{FF2B5EF4-FFF2-40B4-BE49-F238E27FC236}">
              <a16:creationId xmlns:a16="http://schemas.microsoft.com/office/drawing/2014/main" id="{E1534D57-AE3B-47D2-6F7B-AEA32C1EE15B}"/>
            </a:ext>
          </a:extLst>
        </xdr:cNvPr>
        <xdr:cNvGrpSpPr/>
      </xdr:nvGrpSpPr>
      <xdr:grpSpPr>
        <a:xfrm>
          <a:off x="4610100" y="10622280"/>
          <a:ext cx="594360" cy="167640"/>
          <a:chOff x="4610100" y="10622280"/>
          <a:chExt cx="594360" cy="167640"/>
        </a:xfrm>
      </xdr:grpSpPr>
      <xdr:cxnSp macro="">
        <xdr:nvCxnSpPr>
          <xdr:cNvPr id="4496" name="Gerader Verbinder 4495">
            <a:extLst>
              <a:ext uri="{FF2B5EF4-FFF2-40B4-BE49-F238E27FC236}">
                <a16:creationId xmlns:a16="http://schemas.microsoft.com/office/drawing/2014/main" id="{45ABE91B-59C9-5446-E229-B61D06A35774}"/>
              </a:ext>
            </a:extLst>
          </xdr:cNvPr>
          <xdr:cNvCxnSpPr/>
        </xdr:nvCxnSpPr>
        <xdr:spPr>
          <a:xfrm>
            <a:off x="4610100" y="10622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97" name="Gerader Verbinder 4496">
            <a:extLst>
              <a:ext uri="{FF2B5EF4-FFF2-40B4-BE49-F238E27FC236}">
                <a16:creationId xmlns:a16="http://schemas.microsoft.com/office/drawing/2014/main" id="{DE6D3175-D73D-1886-E3CC-3A99FFEDDED6}"/>
              </a:ext>
            </a:extLst>
          </xdr:cNvPr>
          <xdr:cNvCxnSpPr/>
        </xdr:nvCxnSpPr>
        <xdr:spPr>
          <a:xfrm flipH="1">
            <a:off x="4610100" y="10622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56</xdr:row>
      <xdr:rowOff>0</xdr:rowOff>
    </xdr:from>
    <xdr:to>
      <xdr:col>8</xdr:col>
      <xdr:colOff>0</xdr:colOff>
      <xdr:row>57</xdr:row>
      <xdr:rowOff>0</xdr:rowOff>
    </xdr:to>
    <xdr:grpSp>
      <xdr:nvGrpSpPr>
        <xdr:cNvPr id="4501" name="Cross_H57">
          <a:extLst>
            <a:ext uri="{FF2B5EF4-FFF2-40B4-BE49-F238E27FC236}">
              <a16:creationId xmlns:a16="http://schemas.microsoft.com/office/drawing/2014/main" id="{53D8E7FD-8501-D605-B32A-2B7E0A925428}"/>
            </a:ext>
          </a:extLst>
        </xdr:cNvPr>
        <xdr:cNvGrpSpPr/>
      </xdr:nvGrpSpPr>
      <xdr:grpSpPr>
        <a:xfrm>
          <a:off x="4610100" y="10789920"/>
          <a:ext cx="594360" cy="167640"/>
          <a:chOff x="4610100" y="10789920"/>
          <a:chExt cx="594360" cy="167640"/>
        </a:xfrm>
      </xdr:grpSpPr>
      <xdr:cxnSp macro="">
        <xdr:nvCxnSpPr>
          <xdr:cNvPr id="4499" name="Gerader Verbinder 4498">
            <a:extLst>
              <a:ext uri="{FF2B5EF4-FFF2-40B4-BE49-F238E27FC236}">
                <a16:creationId xmlns:a16="http://schemas.microsoft.com/office/drawing/2014/main" id="{3AFB44CF-6589-8FEC-AE3D-BCB8858A1F82}"/>
              </a:ext>
            </a:extLst>
          </xdr:cNvPr>
          <xdr:cNvCxnSpPr/>
        </xdr:nvCxnSpPr>
        <xdr:spPr>
          <a:xfrm>
            <a:off x="4610100" y="107899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500" name="Gerader Verbinder 4499">
            <a:extLst>
              <a:ext uri="{FF2B5EF4-FFF2-40B4-BE49-F238E27FC236}">
                <a16:creationId xmlns:a16="http://schemas.microsoft.com/office/drawing/2014/main" id="{5D115C70-1921-395F-78E5-478988A0D251}"/>
              </a:ext>
            </a:extLst>
          </xdr:cNvPr>
          <xdr:cNvCxnSpPr/>
        </xdr:nvCxnSpPr>
        <xdr:spPr>
          <a:xfrm flipH="1">
            <a:off x="4610100" y="107899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63</xdr:row>
      <xdr:rowOff>0</xdr:rowOff>
    </xdr:from>
    <xdr:to>
      <xdr:col>8</xdr:col>
      <xdr:colOff>0</xdr:colOff>
      <xdr:row>64</xdr:row>
      <xdr:rowOff>0</xdr:rowOff>
    </xdr:to>
    <xdr:grpSp>
      <xdr:nvGrpSpPr>
        <xdr:cNvPr id="4504" name="Cross_H64">
          <a:extLst>
            <a:ext uri="{FF2B5EF4-FFF2-40B4-BE49-F238E27FC236}">
              <a16:creationId xmlns:a16="http://schemas.microsoft.com/office/drawing/2014/main" id="{883FAC4D-EA96-FC7F-E578-81358222594A}"/>
            </a:ext>
          </a:extLst>
        </xdr:cNvPr>
        <xdr:cNvGrpSpPr/>
      </xdr:nvGrpSpPr>
      <xdr:grpSpPr>
        <a:xfrm>
          <a:off x="4610100" y="12085320"/>
          <a:ext cx="594360" cy="228600"/>
          <a:chOff x="4610100" y="12085320"/>
          <a:chExt cx="594360" cy="228600"/>
        </a:xfrm>
      </xdr:grpSpPr>
      <xdr:cxnSp macro="">
        <xdr:nvCxnSpPr>
          <xdr:cNvPr id="4502" name="Gerader Verbinder 4501">
            <a:extLst>
              <a:ext uri="{FF2B5EF4-FFF2-40B4-BE49-F238E27FC236}">
                <a16:creationId xmlns:a16="http://schemas.microsoft.com/office/drawing/2014/main" id="{DA862C2E-AAC2-978A-2D88-133A72419CFC}"/>
              </a:ext>
            </a:extLst>
          </xdr:cNvPr>
          <xdr:cNvCxnSpPr/>
        </xdr:nvCxnSpPr>
        <xdr:spPr>
          <a:xfrm>
            <a:off x="4610100" y="120853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503" name="Gerader Verbinder 4502">
            <a:extLst>
              <a:ext uri="{FF2B5EF4-FFF2-40B4-BE49-F238E27FC236}">
                <a16:creationId xmlns:a16="http://schemas.microsoft.com/office/drawing/2014/main" id="{09023204-0438-E9E1-C32A-C1DA58048145}"/>
              </a:ext>
            </a:extLst>
          </xdr:cNvPr>
          <xdr:cNvCxnSpPr/>
        </xdr:nvCxnSpPr>
        <xdr:spPr>
          <a:xfrm flipH="1">
            <a:off x="4610100" y="120853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64</xdr:row>
      <xdr:rowOff>0</xdr:rowOff>
    </xdr:from>
    <xdr:to>
      <xdr:col>8</xdr:col>
      <xdr:colOff>0</xdr:colOff>
      <xdr:row>65</xdr:row>
      <xdr:rowOff>0</xdr:rowOff>
    </xdr:to>
    <xdr:grpSp>
      <xdr:nvGrpSpPr>
        <xdr:cNvPr id="4507" name="Cross_H65">
          <a:extLst>
            <a:ext uri="{FF2B5EF4-FFF2-40B4-BE49-F238E27FC236}">
              <a16:creationId xmlns:a16="http://schemas.microsoft.com/office/drawing/2014/main" id="{0FDC533A-7B97-4FD9-4199-EC61F522DBFC}"/>
            </a:ext>
          </a:extLst>
        </xdr:cNvPr>
        <xdr:cNvGrpSpPr/>
      </xdr:nvGrpSpPr>
      <xdr:grpSpPr>
        <a:xfrm>
          <a:off x="4610100" y="12313920"/>
          <a:ext cx="594360" cy="167640"/>
          <a:chOff x="4610100" y="12313920"/>
          <a:chExt cx="594360" cy="167640"/>
        </a:xfrm>
      </xdr:grpSpPr>
      <xdr:cxnSp macro="">
        <xdr:nvCxnSpPr>
          <xdr:cNvPr id="4505" name="Gerader Verbinder 4504">
            <a:extLst>
              <a:ext uri="{FF2B5EF4-FFF2-40B4-BE49-F238E27FC236}">
                <a16:creationId xmlns:a16="http://schemas.microsoft.com/office/drawing/2014/main" id="{5A660CE2-1C58-33A1-5C97-BD0216D3A34C}"/>
              </a:ext>
            </a:extLst>
          </xdr:cNvPr>
          <xdr:cNvCxnSpPr/>
        </xdr:nvCxnSpPr>
        <xdr:spPr>
          <a:xfrm>
            <a:off x="4610100" y="123139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506" name="Gerader Verbinder 4505">
            <a:extLst>
              <a:ext uri="{FF2B5EF4-FFF2-40B4-BE49-F238E27FC236}">
                <a16:creationId xmlns:a16="http://schemas.microsoft.com/office/drawing/2014/main" id="{1EF01CB5-5E1C-140F-774D-D1213E534A93}"/>
              </a:ext>
            </a:extLst>
          </xdr:cNvPr>
          <xdr:cNvCxnSpPr/>
        </xdr:nvCxnSpPr>
        <xdr:spPr>
          <a:xfrm flipH="1">
            <a:off x="4610100" y="123139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65</xdr:row>
      <xdr:rowOff>0</xdr:rowOff>
    </xdr:from>
    <xdr:to>
      <xdr:col>8</xdr:col>
      <xdr:colOff>0</xdr:colOff>
      <xdr:row>66</xdr:row>
      <xdr:rowOff>0</xdr:rowOff>
    </xdr:to>
    <xdr:grpSp>
      <xdr:nvGrpSpPr>
        <xdr:cNvPr id="4510" name="Cross_H66">
          <a:extLst>
            <a:ext uri="{FF2B5EF4-FFF2-40B4-BE49-F238E27FC236}">
              <a16:creationId xmlns:a16="http://schemas.microsoft.com/office/drawing/2014/main" id="{E55B4BA9-9524-0C84-AD40-1E018A4C2D2C}"/>
            </a:ext>
          </a:extLst>
        </xdr:cNvPr>
        <xdr:cNvGrpSpPr/>
      </xdr:nvGrpSpPr>
      <xdr:grpSpPr>
        <a:xfrm>
          <a:off x="4610100" y="12481560"/>
          <a:ext cx="594360" cy="167640"/>
          <a:chOff x="4610100" y="12481560"/>
          <a:chExt cx="594360" cy="167640"/>
        </a:xfrm>
      </xdr:grpSpPr>
      <xdr:cxnSp macro="">
        <xdr:nvCxnSpPr>
          <xdr:cNvPr id="4508" name="Gerader Verbinder 4507">
            <a:extLst>
              <a:ext uri="{FF2B5EF4-FFF2-40B4-BE49-F238E27FC236}">
                <a16:creationId xmlns:a16="http://schemas.microsoft.com/office/drawing/2014/main" id="{2E8A6288-FF63-1E5F-3ED7-A3FF93A63539}"/>
              </a:ext>
            </a:extLst>
          </xdr:cNvPr>
          <xdr:cNvCxnSpPr/>
        </xdr:nvCxnSpPr>
        <xdr:spPr>
          <a:xfrm>
            <a:off x="4610100" y="124815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509" name="Gerader Verbinder 4508">
            <a:extLst>
              <a:ext uri="{FF2B5EF4-FFF2-40B4-BE49-F238E27FC236}">
                <a16:creationId xmlns:a16="http://schemas.microsoft.com/office/drawing/2014/main" id="{C5CFEEE0-3E48-C3B2-735D-E4258445E91E}"/>
              </a:ext>
            </a:extLst>
          </xdr:cNvPr>
          <xdr:cNvCxnSpPr/>
        </xdr:nvCxnSpPr>
        <xdr:spPr>
          <a:xfrm flipH="1">
            <a:off x="4610100" y="124815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66</xdr:row>
      <xdr:rowOff>0</xdr:rowOff>
    </xdr:from>
    <xdr:to>
      <xdr:col>8</xdr:col>
      <xdr:colOff>0</xdr:colOff>
      <xdr:row>67</xdr:row>
      <xdr:rowOff>0</xdr:rowOff>
    </xdr:to>
    <xdr:grpSp>
      <xdr:nvGrpSpPr>
        <xdr:cNvPr id="4513" name="Cross_H67">
          <a:extLst>
            <a:ext uri="{FF2B5EF4-FFF2-40B4-BE49-F238E27FC236}">
              <a16:creationId xmlns:a16="http://schemas.microsoft.com/office/drawing/2014/main" id="{823D6359-073D-0E28-C79A-9E67EAE1C9F4}"/>
            </a:ext>
          </a:extLst>
        </xdr:cNvPr>
        <xdr:cNvGrpSpPr/>
      </xdr:nvGrpSpPr>
      <xdr:grpSpPr>
        <a:xfrm>
          <a:off x="4610100" y="12649200"/>
          <a:ext cx="594360" cy="228600"/>
          <a:chOff x="4610100" y="12649200"/>
          <a:chExt cx="594360" cy="228600"/>
        </a:xfrm>
      </xdr:grpSpPr>
      <xdr:cxnSp macro="">
        <xdr:nvCxnSpPr>
          <xdr:cNvPr id="4511" name="Gerader Verbinder 4510">
            <a:extLst>
              <a:ext uri="{FF2B5EF4-FFF2-40B4-BE49-F238E27FC236}">
                <a16:creationId xmlns:a16="http://schemas.microsoft.com/office/drawing/2014/main" id="{A50FD7F5-F160-AFE6-A89C-47227667016D}"/>
              </a:ext>
            </a:extLst>
          </xdr:cNvPr>
          <xdr:cNvCxnSpPr/>
        </xdr:nvCxnSpPr>
        <xdr:spPr>
          <a:xfrm>
            <a:off x="4610100" y="126492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512" name="Gerader Verbinder 4511">
            <a:extLst>
              <a:ext uri="{FF2B5EF4-FFF2-40B4-BE49-F238E27FC236}">
                <a16:creationId xmlns:a16="http://schemas.microsoft.com/office/drawing/2014/main" id="{DE5D8EB8-F856-0CF9-5066-E1590DE3AC8C}"/>
              </a:ext>
            </a:extLst>
          </xdr:cNvPr>
          <xdr:cNvCxnSpPr/>
        </xdr:nvCxnSpPr>
        <xdr:spPr>
          <a:xfrm flipH="1">
            <a:off x="4610100" y="126492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67</xdr:row>
      <xdr:rowOff>0</xdr:rowOff>
    </xdr:from>
    <xdr:to>
      <xdr:col>8</xdr:col>
      <xdr:colOff>0</xdr:colOff>
      <xdr:row>67</xdr:row>
      <xdr:rowOff>167639</xdr:rowOff>
    </xdr:to>
    <xdr:grpSp>
      <xdr:nvGrpSpPr>
        <xdr:cNvPr id="4516" name="Cross_H68">
          <a:extLst>
            <a:ext uri="{FF2B5EF4-FFF2-40B4-BE49-F238E27FC236}">
              <a16:creationId xmlns:a16="http://schemas.microsoft.com/office/drawing/2014/main" id="{B9CCC6C4-4B73-9D17-8652-DDF5D2CE6662}"/>
            </a:ext>
          </a:extLst>
        </xdr:cNvPr>
        <xdr:cNvGrpSpPr/>
      </xdr:nvGrpSpPr>
      <xdr:grpSpPr>
        <a:xfrm>
          <a:off x="4610100" y="12877800"/>
          <a:ext cx="594360" cy="167639"/>
          <a:chOff x="4610100" y="12877800"/>
          <a:chExt cx="594360" cy="167639"/>
        </a:xfrm>
      </xdr:grpSpPr>
      <xdr:cxnSp macro="">
        <xdr:nvCxnSpPr>
          <xdr:cNvPr id="4514" name="Gerader Verbinder 4513">
            <a:extLst>
              <a:ext uri="{FF2B5EF4-FFF2-40B4-BE49-F238E27FC236}">
                <a16:creationId xmlns:a16="http://schemas.microsoft.com/office/drawing/2014/main" id="{35766236-9B83-ADAC-5C70-5FAD087986EF}"/>
              </a:ext>
            </a:extLst>
          </xdr:cNvPr>
          <xdr:cNvCxnSpPr/>
        </xdr:nvCxnSpPr>
        <xdr:spPr>
          <a:xfrm>
            <a:off x="4610100" y="12877800"/>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515" name="Gerader Verbinder 4514">
            <a:extLst>
              <a:ext uri="{FF2B5EF4-FFF2-40B4-BE49-F238E27FC236}">
                <a16:creationId xmlns:a16="http://schemas.microsoft.com/office/drawing/2014/main" id="{A88EEA51-23E2-7F87-5ECB-D40275468531}"/>
              </a:ext>
            </a:extLst>
          </xdr:cNvPr>
          <xdr:cNvCxnSpPr/>
        </xdr:nvCxnSpPr>
        <xdr:spPr>
          <a:xfrm flipH="1">
            <a:off x="4610100" y="12877800"/>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67</xdr:row>
      <xdr:rowOff>167639</xdr:rowOff>
    </xdr:from>
    <xdr:to>
      <xdr:col>8</xdr:col>
      <xdr:colOff>0</xdr:colOff>
      <xdr:row>69</xdr:row>
      <xdr:rowOff>0</xdr:rowOff>
    </xdr:to>
    <xdr:grpSp>
      <xdr:nvGrpSpPr>
        <xdr:cNvPr id="4519" name="Cross_H69">
          <a:extLst>
            <a:ext uri="{FF2B5EF4-FFF2-40B4-BE49-F238E27FC236}">
              <a16:creationId xmlns:a16="http://schemas.microsoft.com/office/drawing/2014/main" id="{FD2603D5-4167-5199-11C3-40FFDB9512B4}"/>
            </a:ext>
          </a:extLst>
        </xdr:cNvPr>
        <xdr:cNvGrpSpPr/>
      </xdr:nvGrpSpPr>
      <xdr:grpSpPr>
        <a:xfrm>
          <a:off x="4610100" y="13045439"/>
          <a:ext cx="594360" cy="167641"/>
          <a:chOff x="4610100" y="13045439"/>
          <a:chExt cx="594360" cy="167641"/>
        </a:xfrm>
      </xdr:grpSpPr>
      <xdr:cxnSp macro="">
        <xdr:nvCxnSpPr>
          <xdr:cNvPr id="4517" name="Gerader Verbinder 4516">
            <a:extLst>
              <a:ext uri="{FF2B5EF4-FFF2-40B4-BE49-F238E27FC236}">
                <a16:creationId xmlns:a16="http://schemas.microsoft.com/office/drawing/2014/main" id="{073F887E-694E-F171-6CA2-92690C1E287E}"/>
              </a:ext>
            </a:extLst>
          </xdr:cNvPr>
          <xdr:cNvCxnSpPr/>
        </xdr:nvCxnSpPr>
        <xdr:spPr>
          <a:xfrm>
            <a:off x="4610100" y="13045439"/>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518" name="Gerader Verbinder 4517">
            <a:extLst>
              <a:ext uri="{FF2B5EF4-FFF2-40B4-BE49-F238E27FC236}">
                <a16:creationId xmlns:a16="http://schemas.microsoft.com/office/drawing/2014/main" id="{DD02329D-3690-F49F-64E3-DBA83EFE96A2}"/>
              </a:ext>
            </a:extLst>
          </xdr:cNvPr>
          <xdr:cNvCxnSpPr/>
        </xdr:nvCxnSpPr>
        <xdr:spPr>
          <a:xfrm flipH="1">
            <a:off x="4610100" y="13045439"/>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72</xdr:row>
      <xdr:rowOff>1</xdr:rowOff>
    </xdr:from>
    <xdr:to>
      <xdr:col>8</xdr:col>
      <xdr:colOff>0</xdr:colOff>
      <xdr:row>73</xdr:row>
      <xdr:rowOff>1</xdr:rowOff>
    </xdr:to>
    <xdr:grpSp>
      <xdr:nvGrpSpPr>
        <xdr:cNvPr id="4522" name="Cross_H73">
          <a:extLst>
            <a:ext uri="{FF2B5EF4-FFF2-40B4-BE49-F238E27FC236}">
              <a16:creationId xmlns:a16="http://schemas.microsoft.com/office/drawing/2014/main" id="{DB3FE20D-D3F0-EF3D-E9EE-887EF688014C}"/>
            </a:ext>
          </a:extLst>
        </xdr:cNvPr>
        <xdr:cNvGrpSpPr/>
      </xdr:nvGrpSpPr>
      <xdr:grpSpPr>
        <a:xfrm>
          <a:off x="4610100" y="13776961"/>
          <a:ext cx="594360" cy="228600"/>
          <a:chOff x="4610100" y="13776961"/>
          <a:chExt cx="594360" cy="228600"/>
        </a:xfrm>
      </xdr:grpSpPr>
      <xdr:cxnSp macro="">
        <xdr:nvCxnSpPr>
          <xdr:cNvPr id="4520" name="Gerader Verbinder 4519">
            <a:extLst>
              <a:ext uri="{FF2B5EF4-FFF2-40B4-BE49-F238E27FC236}">
                <a16:creationId xmlns:a16="http://schemas.microsoft.com/office/drawing/2014/main" id="{8B138846-3B6A-27BD-B963-FD5493B91B63}"/>
              </a:ext>
            </a:extLst>
          </xdr:cNvPr>
          <xdr:cNvCxnSpPr/>
        </xdr:nvCxnSpPr>
        <xdr:spPr>
          <a:xfrm>
            <a:off x="4610100" y="13776961"/>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521" name="Gerader Verbinder 4520">
            <a:extLst>
              <a:ext uri="{FF2B5EF4-FFF2-40B4-BE49-F238E27FC236}">
                <a16:creationId xmlns:a16="http://schemas.microsoft.com/office/drawing/2014/main" id="{127951F3-3654-A6D5-AD1A-93EE592B4175}"/>
              </a:ext>
            </a:extLst>
          </xdr:cNvPr>
          <xdr:cNvCxnSpPr/>
        </xdr:nvCxnSpPr>
        <xdr:spPr>
          <a:xfrm flipH="1">
            <a:off x="4610100" y="13776961"/>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73</xdr:row>
      <xdr:rowOff>1</xdr:rowOff>
    </xdr:from>
    <xdr:to>
      <xdr:col>8</xdr:col>
      <xdr:colOff>0</xdr:colOff>
      <xdr:row>74</xdr:row>
      <xdr:rowOff>0</xdr:rowOff>
    </xdr:to>
    <xdr:grpSp>
      <xdr:nvGrpSpPr>
        <xdr:cNvPr id="4525" name="Cross_H74">
          <a:extLst>
            <a:ext uri="{FF2B5EF4-FFF2-40B4-BE49-F238E27FC236}">
              <a16:creationId xmlns:a16="http://schemas.microsoft.com/office/drawing/2014/main" id="{92B1EB5B-D98C-92FB-6620-7CEC160723BF}"/>
            </a:ext>
          </a:extLst>
        </xdr:cNvPr>
        <xdr:cNvGrpSpPr/>
      </xdr:nvGrpSpPr>
      <xdr:grpSpPr>
        <a:xfrm>
          <a:off x="4610100" y="14005561"/>
          <a:ext cx="594360" cy="167639"/>
          <a:chOff x="4610100" y="14005561"/>
          <a:chExt cx="594360" cy="167639"/>
        </a:xfrm>
      </xdr:grpSpPr>
      <xdr:cxnSp macro="">
        <xdr:nvCxnSpPr>
          <xdr:cNvPr id="4523" name="Gerader Verbinder 4522">
            <a:extLst>
              <a:ext uri="{FF2B5EF4-FFF2-40B4-BE49-F238E27FC236}">
                <a16:creationId xmlns:a16="http://schemas.microsoft.com/office/drawing/2014/main" id="{CD600C9C-C076-F6F9-3A08-F4A495B7C2A8}"/>
              </a:ext>
            </a:extLst>
          </xdr:cNvPr>
          <xdr:cNvCxnSpPr/>
        </xdr:nvCxnSpPr>
        <xdr:spPr>
          <a:xfrm>
            <a:off x="4610100" y="14005561"/>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524" name="Gerader Verbinder 4523">
            <a:extLst>
              <a:ext uri="{FF2B5EF4-FFF2-40B4-BE49-F238E27FC236}">
                <a16:creationId xmlns:a16="http://schemas.microsoft.com/office/drawing/2014/main" id="{FCDAE938-9700-D756-087C-2C9EDEC003D6}"/>
              </a:ext>
            </a:extLst>
          </xdr:cNvPr>
          <xdr:cNvCxnSpPr/>
        </xdr:nvCxnSpPr>
        <xdr:spPr>
          <a:xfrm flipH="1">
            <a:off x="4610100" y="14005561"/>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74</xdr:row>
      <xdr:rowOff>0</xdr:rowOff>
    </xdr:from>
    <xdr:to>
      <xdr:col>8</xdr:col>
      <xdr:colOff>0</xdr:colOff>
      <xdr:row>74</xdr:row>
      <xdr:rowOff>167639</xdr:rowOff>
    </xdr:to>
    <xdr:grpSp>
      <xdr:nvGrpSpPr>
        <xdr:cNvPr id="4528" name="Cross_H75">
          <a:extLst>
            <a:ext uri="{FF2B5EF4-FFF2-40B4-BE49-F238E27FC236}">
              <a16:creationId xmlns:a16="http://schemas.microsoft.com/office/drawing/2014/main" id="{5BB1EE92-C945-03B2-2E8F-1DB08C19F15A}"/>
            </a:ext>
          </a:extLst>
        </xdr:cNvPr>
        <xdr:cNvGrpSpPr/>
      </xdr:nvGrpSpPr>
      <xdr:grpSpPr>
        <a:xfrm>
          <a:off x="4610100" y="14173200"/>
          <a:ext cx="594360" cy="167639"/>
          <a:chOff x="4610100" y="14173200"/>
          <a:chExt cx="594360" cy="167639"/>
        </a:xfrm>
      </xdr:grpSpPr>
      <xdr:cxnSp macro="">
        <xdr:nvCxnSpPr>
          <xdr:cNvPr id="4526" name="Gerader Verbinder 4525">
            <a:extLst>
              <a:ext uri="{FF2B5EF4-FFF2-40B4-BE49-F238E27FC236}">
                <a16:creationId xmlns:a16="http://schemas.microsoft.com/office/drawing/2014/main" id="{8239FF69-DD75-CF02-C677-BD0270E6E35F}"/>
              </a:ext>
            </a:extLst>
          </xdr:cNvPr>
          <xdr:cNvCxnSpPr/>
        </xdr:nvCxnSpPr>
        <xdr:spPr>
          <a:xfrm>
            <a:off x="4610100" y="14173200"/>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527" name="Gerader Verbinder 4526">
            <a:extLst>
              <a:ext uri="{FF2B5EF4-FFF2-40B4-BE49-F238E27FC236}">
                <a16:creationId xmlns:a16="http://schemas.microsoft.com/office/drawing/2014/main" id="{9E8C11F7-605E-7D5F-6881-BF2B89FA2604}"/>
              </a:ext>
            </a:extLst>
          </xdr:cNvPr>
          <xdr:cNvCxnSpPr/>
        </xdr:nvCxnSpPr>
        <xdr:spPr>
          <a:xfrm flipH="1">
            <a:off x="4610100" y="14173200"/>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0</xdr:colOff>
          <xdr:row>29</xdr:row>
          <xdr:rowOff>68580</xdr:rowOff>
        </xdr:from>
        <xdr:to>
          <xdr:col>23</xdr:col>
          <xdr:colOff>434340</xdr:colOff>
          <xdr:row>32</xdr:row>
          <xdr:rowOff>99060</xdr:rowOff>
        </xdr:to>
        <xdr:sp macro="" textlink="">
          <xdr:nvSpPr>
            <xdr:cNvPr id="10243" name="cmdCreateTables" hidden="1">
              <a:extLst>
                <a:ext uri="{63B3BB69-23CF-44E3-9099-C40C66FF867C}">
                  <a14:compatExt spid="_x0000_s10243"/>
                </a:ext>
                <a:ext uri="{FF2B5EF4-FFF2-40B4-BE49-F238E27FC236}">
                  <a16:creationId xmlns:a16="http://schemas.microsoft.com/office/drawing/2014/main" id="{00000000-0008-0000-09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33</xdr:row>
          <xdr:rowOff>0</xdr:rowOff>
        </xdr:from>
        <xdr:to>
          <xdr:col>25</xdr:col>
          <xdr:colOff>358140</xdr:colOff>
          <xdr:row>36</xdr:row>
          <xdr:rowOff>30480</xdr:rowOff>
        </xdr:to>
        <xdr:sp macro="" textlink="">
          <xdr:nvSpPr>
            <xdr:cNvPr id="10244" name="cmdCreateResults" hidden="1">
              <a:extLst>
                <a:ext uri="{63B3BB69-23CF-44E3-9099-C40C66FF867C}">
                  <a14:compatExt spid="_x0000_s10244"/>
                </a:ext>
                <a:ext uri="{FF2B5EF4-FFF2-40B4-BE49-F238E27FC236}">
                  <a16:creationId xmlns:a16="http://schemas.microsoft.com/office/drawing/2014/main" id="{00000000-0008-0000-09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29</xdr:row>
          <xdr:rowOff>68580</xdr:rowOff>
        </xdr:from>
        <xdr:to>
          <xdr:col>25</xdr:col>
          <xdr:colOff>358140</xdr:colOff>
          <xdr:row>32</xdr:row>
          <xdr:rowOff>99060</xdr:rowOff>
        </xdr:to>
        <xdr:sp macro="" textlink="">
          <xdr:nvSpPr>
            <xdr:cNvPr id="10246" name="cmdClearAll" hidden="1">
              <a:extLst>
                <a:ext uri="{63B3BB69-23CF-44E3-9099-C40C66FF867C}">
                  <a14:compatExt spid="_x0000_s10246"/>
                </a:ext>
                <a:ext uri="{FF2B5EF4-FFF2-40B4-BE49-F238E27FC236}">
                  <a16:creationId xmlns:a16="http://schemas.microsoft.com/office/drawing/2014/main" id="{00000000-0008-0000-09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0</xdr:colOff>
          <xdr:row>33</xdr:row>
          <xdr:rowOff>0</xdr:rowOff>
        </xdr:from>
        <xdr:to>
          <xdr:col>23</xdr:col>
          <xdr:colOff>434340</xdr:colOff>
          <xdr:row>36</xdr:row>
          <xdr:rowOff>30480</xdr:rowOff>
        </xdr:to>
        <xdr:sp macro="" textlink="">
          <xdr:nvSpPr>
            <xdr:cNvPr id="10276" name="btnSelExUpdate" hidden="1">
              <a:extLst>
                <a:ext uri="{63B3BB69-23CF-44E3-9099-C40C66FF867C}">
                  <a14:compatExt spid="_x0000_s10276"/>
                </a:ext>
                <a:ext uri="{FF2B5EF4-FFF2-40B4-BE49-F238E27FC236}">
                  <a16:creationId xmlns:a16="http://schemas.microsoft.com/office/drawing/2014/main" id="{00000000-0008-0000-0900-0000242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441960</xdr:colOff>
          <xdr:row>27</xdr:row>
          <xdr:rowOff>0</xdr:rowOff>
        </xdr:from>
        <xdr:to>
          <xdr:col>9</xdr:col>
          <xdr:colOff>388620</xdr:colOff>
          <xdr:row>28</xdr:row>
          <xdr:rowOff>160020</xdr:rowOff>
        </xdr:to>
        <xdr:sp macro="" textlink="">
          <xdr:nvSpPr>
            <xdr:cNvPr id="10277" name="cmdEK" hidden="1">
              <a:extLst>
                <a:ext uri="{63B3BB69-23CF-44E3-9099-C40C66FF867C}">
                  <a14:compatExt spid="_x0000_s10277"/>
                </a:ext>
                <a:ext uri="{FF2B5EF4-FFF2-40B4-BE49-F238E27FC236}">
                  <a16:creationId xmlns:a16="http://schemas.microsoft.com/office/drawing/2014/main" id="{00000000-0008-0000-0900-00002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441960</xdr:colOff>
          <xdr:row>27</xdr:row>
          <xdr:rowOff>0</xdr:rowOff>
        </xdr:from>
        <xdr:to>
          <xdr:col>10</xdr:col>
          <xdr:colOff>388620</xdr:colOff>
          <xdr:row>28</xdr:row>
          <xdr:rowOff>160020</xdr:rowOff>
        </xdr:to>
        <xdr:sp macro="" textlink="">
          <xdr:nvSpPr>
            <xdr:cNvPr id="10278" name="cmdZK" hidden="1">
              <a:extLst>
                <a:ext uri="{63B3BB69-23CF-44E3-9099-C40C66FF867C}">
                  <a14:compatExt spid="_x0000_s10278"/>
                </a:ext>
                <a:ext uri="{FF2B5EF4-FFF2-40B4-BE49-F238E27FC236}">
                  <a16:creationId xmlns:a16="http://schemas.microsoft.com/office/drawing/2014/main" id="{00000000-0008-0000-0900-00002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0</xdr:colOff>
          <xdr:row>27</xdr:row>
          <xdr:rowOff>0</xdr:rowOff>
        </xdr:from>
        <xdr:to>
          <xdr:col>11</xdr:col>
          <xdr:colOff>403860</xdr:colOff>
          <xdr:row>28</xdr:row>
          <xdr:rowOff>160020</xdr:rowOff>
        </xdr:to>
        <xdr:sp macro="" textlink="">
          <xdr:nvSpPr>
            <xdr:cNvPr id="10279" name="cmdDK" hidden="1">
              <a:extLst>
                <a:ext uri="{63B3BB69-23CF-44E3-9099-C40C66FF867C}">
                  <a14:compatExt spid="_x0000_s10279"/>
                </a:ext>
                <a:ext uri="{FF2B5EF4-FFF2-40B4-BE49-F238E27FC236}">
                  <a16:creationId xmlns:a16="http://schemas.microsoft.com/office/drawing/2014/main" id="{00000000-0008-0000-0900-00002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0</xdr:colOff>
          <xdr:row>27</xdr:row>
          <xdr:rowOff>0</xdr:rowOff>
        </xdr:from>
        <xdr:to>
          <xdr:col>12</xdr:col>
          <xdr:colOff>403860</xdr:colOff>
          <xdr:row>28</xdr:row>
          <xdr:rowOff>160020</xdr:rowOff>
        </xdr:to>
        <xdr:sp macro="" textlink="">
          <xdr:nvSpPr>
            <xdr:cNvPr id="10280" name="cmdAK" hidden="1">
              <a:extLst>
                <a:ext uri="{63B3BB69-23CF-44E3-9099-C40C66FF867C}">
                  <a14:compatExt spid="_x0000_s10280"/>
                </a:ext>
                <a:ext uri="{FF2B5EF4-FFF2-40B4-BE49-F238E27FC236}">
                  <a16:creationId xmlns:a16="http://schemas.microsoft.com/office/drawing/2014/main" id="{00000000-0008-0000-0900-00002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0</xdr:colOff>
          <xdr:row>29</xdr:row>
          <xdr:rowOff>68580</xdr:rowOff>
        </xdr:from>
        <xdr:to>
          <xdr:col>29</xdr:col>
          <xdr:colOff>441960</xdr:colOff>
          <xdr:row>32</xdr:row>
          <xdr:rowOff>99060</xdr:rowOff>
        </xdr:to>
        <xdr:sp macro="" textlink="">
          <xdr:nvSpPr>
            <xdr:cNvPr id="10285" name="cmdAddZKDK" hidden="1">
              <a:extLst>
                <a:ext uri="{63B3BB69-23CF-44E3-9099-C40C66FF867C}">
                  <a14:compatExt spid="_x0000_s10285"/>
                </a:ext>
                <a:ext uri="{FF2B5EF4-FFF2-40B4-BE49-F238E27FC236}">
                  <a16:creationId xmlns:a16="http://schemas.microsoft.com/office/drawing/2014/main" id="{00000000-0008-0000-0900-00002D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518160</xdr:colOff>
          <xdr:row>29</xdr:row>
          <xdr:rowOff>68580</xdr:rowOff>
        </xdr:from>
        <xdr:to>
          <xdr:col>31</xdr:col>
          <xdr:colOff>342900</xdr:colOff>
          <xdr:row>32</xdr:row>
          <xdr:rowOff>99060</xdr:rowOff>
        </xdr:to>
        <xdr:sp macro="" textlink="">
          <xdr:nvSpPr>
            <xdr:cNvPr id="10287" name="cmdDelZKDK" hidden="1">
              <a:extLst>
                <a:ext uri="{63B3BB69-23CF-44E3-9099-C40C66FF867C}">
                  <a14:compatExt spid="_x0000_s10287"/>
                </a:ext>
                <a:ext uri="{FF2B5EF4-FFF2-40B4-BE49-F238E27FC236}">
                  <a16:creationId xmlns:a16="http://schemas.microsoft.com/office/drawing/2014/main" id="{00000000-0008-0000-0900-00002F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0</xdr:colOff>
          <xdr:row>33</xdr:row>
          <xdr:rowOff>0</xdr:rowOff>
        </xdr:from>
        <xdr:to>
          <xdr:col>29</xdr:col>
          <xdr:colOff>441960</xdr:colOff>
          <xdr:row>36</xdr:row>
          <xdr:rowOff>30480</xdr:rowOff>
        </xdr:to>
        <xdr:sp macro="" textlink="">
          <xdr:nvSpPr>
            <xdr:cNvPr id="10288" name="cmdImportZK" hidden="1">
              <a:extLst>
                <a:ext uri="{63B3BB69-23CF-44E3-9099-C40C66FF867C}">
                  <a14:compatExt spid="_x0000_s10288"/>
                </a:ext>
                <a:ext uri="{FF2B5EF4-FFF2-40B4-BE49-F238E27FC236}">
                  <a16:creationId xmlns:a16="http://schemas.microsoft.com/office/drawing/2014/main" id="{00000000-0008-0000-0900-000030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518160</xdr:colOff>
          <xdr:row>33</xdr:row>
          <xdr:rowOff>0</xdr:rowOff>
        </xdr:from>
        <xdr:to>
          <xdr:col>31</xdr:col>
          <xdr:colOff>342900</xdr:colOff>
          <xdr:row>36</xdr:row>
          <xdr:rowOff>30480</xdr:rowOff>
        </xdr:to>
        <xdr:sp macro="" textlink="">
          <xdr:nvSpPr>
            <xdr:cNvPr id="10289" name="cmdImportDK" hidden="1">
              <a:extLst>
                <a:ext uri="{63B3BB69-23CF-44E3-9099-C40C66FF867C}">
                  <a14:compatExt spid="_x0000_s10289"/>
                </a:ext>
                <a:ext uri="{FF2B5EF4-FFF2-40B4-BE49-F238E27FC236}">
                  <a16:creationId xmlns:a16="http://schemas.microsoft.com/office/drawing/2014/main" id="{00000000-0008-0000-0900-00003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xml"/><Relationship Id="rId13" Type="http://schemas.openxmlformats.org/officeDocument/2006/relationships/image" Target="../media/image4.emf"/><Relationship Id="rId18" Type="http://schemas.openxmlformats.org/officeDocument/2006/relationships/control" Target="../activeX/activeX7.xml"/><Relationship Id="rId26" Type="http://schemas.openxmlformats.org/officeDocument/2006/relationships/control" Target="../activeX/activeX11.xml"/><Relationship Id="rId3" Type="http://schemas.openxmlformats.org/officeDocument/2006/relationships/printerSettings" Target="../printerSettings/printerSettings2.bin"/><Relationship Id="rId21" Type="http://schemas.openxmlformats.org/officeDocument/2006/relationships/image" Target="../media/image8.emf"/><Relationship Id="rId7" Type="http://schemas.openxmlformats.org/officeDocument/2006/relationships/image" Target="../media/image1.emf"/><Relationship Id="rId12" Type="http://schemas.openxmlformats.org/officeDocument/2006/relationships/control" Target="../activeX/activeX4.xml"/><Relationship Id="rId17" Type="http://schemas.openxmlformats.org/officeDocument/2006/relationships/image" Target="../media/image6.emf"/><Relationship Id="rId25" Type="http://schemas.openxmlformats.org/officeDocument/2006/relationships/image" Target="../media/image10.emf"/><Relationship Id="rId2" Type="http://schemas.openxmlformats.org/officeDocument/2006/relationships/hyperlink" Target="https://github.com/bee-eater/EXCEL-Korrekturliste-Mathe-ABI/blob/master/LICENSE" TargetMode="External"/><Relationship Id="rId16" Type="http://schemas.openxmlformats.org/officeDocument/2006/relationships/control" Target="../activeX/activeX6.xml"/><Relationship Id="rId20" Type="http://schemas.openxmlformats.org/officeDocument/2006/relationships/control" Target="../activeX/activeX8.xml"/><Relationship Id="rId29" Type="http://schemas.openxmlformats.org/officeDocument/2006/relationships/image" Target="../media/image12.emf"/><Relationship Id="rId1" Type="http://schemas.openxmlformats.org/officeDocument/2006/relationships/hyperlink" Target="https://github.com/bee-eater/EXCEL-Korrekturliste-Mathe-ABI/releases" TargetMode="External"/><Relationship Id="rId6" Type="http://schemas.openxmlformats.org/officeDocument/2006/relationships/control" Target="../activeX/activeX1.xml"/><Relationship Id="rId11" Type="http://schemas.openxmlformats.org/officeDocument/2006/relationships/image" Target="../media/image3.emf"/><Relationship Id="rId24" Type="http://schemas.openxmlformats.org/officeDocument/2006/relationships/control" Target="../activeX/activeX10.xml"/><Relationship Id="rId5" Type="http://schemas.openxmlformats.org/officeDocument/2006/relationships/vmlDrawing" Target="../drawings/vmlDrawing1.vml"/><Relationship Id="rId15" Type="http://schemas.openxmlformats.org/officeDocument/2006/relationships/image" Target="../media/image5.emf"/><Relationship Id="rId23" Type="http://schemas.openxmlformats.org/officeDocument/2006/relationships/image" Target="../media/image9.emf"/><Relationship Id="rId28" Type="http://schemas.openxmlformats.org/officeDocument/2006/relationships/control" Target="../activeX/activeX12.xml"/><Relationship Id="rId10" Type="http://schemas.openxmlformats.org/officeDocument/2006/relationships/control" Target="../activeX/activeX3.xml"/><Relationship Id="rId19" Type="http://schemas.openxmlformats.org/officeDocument/2006/relationships/image" Target="../media/image7.emf"/><Relationship Id="rId4" Type="http://schemas.openxmlformats.org/officeDocument/2006/relationships/drawing" Target="../drawings/drawing2.xml"/><Relationship Id="rId9" Type="http://schemas.openxmlformats.org/officeDocument/2006/relationships/image" Target="../media/image2.emf"/><Relationship Id="rId14" Type="http://schemas.openxmlformats.org/officeDocument/2006/relationships/control" Target="../activeX/activeX5.xml"/><Relationship Id="rId22" Type="http://schemas.openxmlformats.org/officeDocument/2006/relationships/control" Target="../activeX/activeX9.xml"/><Relationship Id="rId27" Type="http://schemas.openxmlformats.org/officeDocument/2006/relationships/image" Target="../media/image11.emf"/><Relationship Id="rId30"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53733E-84D4-42D1-A35A-83197C7A7B66}">
  <sheetPr codeName="Tabelle8">
    <tabColor rgb="FF00B0F0"/>
  </sheetPr>
  <dimension ref="B1:N100"/>
  <sheetViews>
    <sheetView workbookViewId="0"/>
  </sheetViews>
  <sheetFormatPr baseColWidth="10" defaultColWidth="11.5546875" defaultRowHeight="13.2" x14ac:dyDescent="0.25"/>
  <cols>
    <col min="1" max="2" width="3.44140625" style="98" customWidth="1"/>
    <col min="3" max="3" width="25.6640625" style="98" customWidth="1"/>
    <col min="4" max="10" width="11.6640625" style="98" customWidth="1"/>
    <col min="11" max="13" width="8.6640625" style="98" customWidth="1"/>
    <col min="14" max="14" width="8.6640625" style="98" hidden="1" customWidth="1"/>
    <col min="15" max="16384" width="11.5546875" style="98"/>
  </cols>
  <sheetData>
    <row r="1" spans="2:14" ht="18" customHeight="1" thickBot="1" x14ac:dyDescent="0.3"/>
    <row r="2" spans="2:14" ht="18" customHeight="1" x14ac:dyDescent="0.25">
      <c r="B2" s="99" t="str">
        <f>Config!F2&amp;" "&amp;YEAR(Config!G24)</f>
        <v>Mathe Abitur 2026</v>
      </c>
      <c r="C2" s="100"/>
      <c r="D2" s="100"/>
      <c r="E2" s="100"/>
      <c r="F2" s="101"/>
      <c r="G2" s="101"/>
      <c r="H2" s="101"/>
      <c r="I2" s="101"/>
      <c r="J2" s="101"/>
      <c r="K2" s="101"/>
      <c r="L2" s="101"/>
      <c r="M2" s="102" t="str">
        <f>"Kurs "&amp;Config!G26</f>
        <v>Kurs K1</v>
      </c>
    </row>
    <row r="3" spans="2:14" ht="18" customHeight="1" x14ac:dyDescent="0.25">
      <c r="B3" s="103" t="s">
        <v>83</v>
      </c>
      <c r="C3" s="104"/>
      <c r="D3" s="104"/>
      <c r="E3" s="104"/>
      <c r="F3" s="104"/>
      <c r="G3" s="104"/>
      <c r="H3" s="104"/>
      <c r="I3" s="104"/>
      <c r="J3" s="104"/>
      <c r="K3" s="104"/>
      <c r="L3" s="104"/>
      <c r="M3" s="105"/>
    </row>
    <row r="4" spans="2:14" ht="18" customHeight="1" thickBot="1" x14ac:dyDescent="0.3">
      <c r="B4" s="103"/>
      <c r="C4" s="104"/>
      <c r="D4" s="106"/>
      <c r="E4" s="106"/>
      <c r="F4" s="106"/>
      <c r="G4" s="106"/>
      <c r="H4" s="106"/>
      <c r="I4" s="106"/>
      <c r="J4" s="106"/>
      <c r="K4" s="106"/>
      <c r="L4" s="104"/>
      <c r="M4" s="105"/>
    </row>
    <row r="5" spans="2:14" ht="18" customHeight="1" thickBot="1" x14ac:dyDescent="0.3">
      <c r="B5" s="108"/>
      <c r="C5" s="110"/>
      <c r="D5" s="114" t="s">
        <v>9</v>
      </c>
      <c r="E5" s="114" t="s">
        <v>10</v>
      </c>
      <c r="F5" s="114" t="s">
        <v>11</v>
      </c>
      <c r="G5" s="114" t="s">
        <v>12</v>
      </c>
      <c r="H5" s="114" t="s">
        <v>13</v>
      </c>
      <c r="I5" s="114" t="s">
        <v>14</v>
      </c>
      <c r="J5" s="114" t="s">
        <v>112</v>
      </c>
      <c r="K5" s="127" t="s">
        <v>82</v>
      </c>
      <c r="L5" s="126"/>
      <c r="M5" s="128"/>
    </row>
    <row r="6" spans="2:14" ht="18" customHeight="1" thickBot="1" x14ac:dyDescent="0.3">
      <c r="B6" s="109"/>
      <c r="C6" s="111" t="s">
        <v>81</v>
      </c>
      <c r="D6" s="125">
        <f>Config!G21</f>
        <v>15</v>
      </c>
      <c r="E6" s="125">
        <f>Config!I21</f>
        <v>30</v>
      </c>
      <c r="F6" s="125">
        <f>Config!K21</f>
        <v>5</v>
      </c>
      <c r="G6" s="125">
        <f>Config!M21</f>
        <v>17</v>
      </c>
      <c r="H6" s="125">
        <f>Config!O21</f>
        <v>5</v>
      </c>
      <c r="I6" s="125">
        <f>Config!Q21</f>
        <v>18</v>
      </c>
      <c r="J6" s="125">
        <f>Config!S21</f>
        <v>10</v>
      </c>
      <c r="K6" s="143">
        <f t="shared" ref="K6:K29" si="0">SUM(D6:J6)</f>
        <v>100</v>
      </c>
      <c r="L6" s="112" t="s">
        <v>0</v>
      </c>
      <c r="M6" s="129" t="s">
        <v>1</v>
      </c>
      <c r="N6" s="98" t="s">
        <v>84</v>
      </c>
    </row>
    <row r="7" spans="2:14" ht="18" customHeight="1" thickBot="1" x14ac:dyDescent="0.3">
      <c r="B7" s="139">
        <v>1</v>
      </c>
      <c r="C7" s="136" t="str">
        <f>Config!C5&amp;", "&amp;Config!D5</f>
        <v>Höfer, Simon</v>
      </c>
      <c r="D7" s="131">
        <f>VLOOKUP(C7,'Analysis A'!PupilBlock,8,0)</f>
        <v>11</v>
      </c>
      <c r="E7" s="131">
        <f>VLOOKUP(C7,'Analysis B'!PupilBlock,12,0)</f>
        <v>22.5</v>
      </c>
      <c r="F7" s="131">
        <f>VLOOKUP(C7,'Stochastik A'!PupilBlock,3,0)</f>
        <v>2.5</v>
      </c>
      <c r="G7" s="131">
        <f>VLOOKUP(C7,'Stochastik B'!PupilBlock,7,0)</f>
        <v>13</v>
      </c>
      <c r="H7" s="131">
        <f>VLOOKUP(C7,'Geometrie A'!PupilBlock,4,0)</f>
        <v>0</v>
      </c>
      <c r="I7" s="131">
        <f>VLOOKUP(C7,'Geometrie B'!PupilBlock,7,0)</f>
        <v>9</v>
      </c>
      <c r="J7" s="131">
        <f>VLOOKUP(C7,Wahlaufgaben!PupilBlock,7,0)</f>
        <v>7</v>
      </c>
      <c r="K7" s="118">
        <f t="shared" si="0"/>
        <v>65</v>
      </c>
      <c r="L7" s="185">
        <f>VLOOKUP(VALUE(K7),Notenspiegel!$B$3:$C$302,2,0)</f>
        <v>9</v>
      </c>
      <c r="M7" s="186" t="str">
        <f>VLOOKUP(VALUE(K7),Notenspiegel!$B$3:$D$302,3,0)</f>
        <v>3+</v>
      </c>
      <c r="N7" s="98" t="str">
        <f>VLOOKUP(VALUE(K7),Notenspiegel!$B$3:$E$302,4,0)</f>
        <v>--</v>
      </c>
    </row>
    <row r="8" spans="2:14" ht="18" customHeight="1" thickBot="1" x14ac:dyDescent="0.3">
      <c r="B8" s="140">
        <v>2</v>
      </c>
      <c r="C8" s="117" t="str">
        <f>Config!C6&amp;", "&amp;Config!D6</f>
        <v>Töpfer, Lilian</v>
      </c>
      <c r="D8" s="132">
        <f>VLOOKUP(C8,'Analysis A'!PupilBlock,8,0)</f>
        <v>9</v>
      </c>
      <c r="E8" s="132">
        <f>VLOOKUP(C8,'Analysis B'!PupilBlock,12,0)</f>
        <v>17.5</v>
      </c>
      <c r="F8" s="132">
        <f>VLOOKUP(C8,'Stochastik A'!PupilBlock,3,0)</f>
        <v>5</v>
      </c>
      <c r="G8" s="132">
        <f>VLOOKUP(C8,'Stochastik B'!PupilBlock,7,0)</f>
        <v>7</v>
      </c>
      <c r="H8" s="132">
        <f>VLOOKUP(C8,'Geometrie A'!PupilBlock,4,0)</f>
        <v>3.5</v>
      </c>
      <c r="I8" s="132">
        <f>VLOOKUP(C8,'Geometrie B'!PupilBlock,7,0)</f>
        <v>9</v>
      </c>
      <c r="J8" s="132">
        <f>VLOOKUP(C8,Wahlaufgaben!PupilBlock,7,0)</f>
        <v>8</v>
      </c>
      <c r="K8" s="133">
        <f t="shared" si="0"/>
        <v>59</v>
      </c>
      <c r="L8" s="187">
        <f>VLOOKUP(VALUE(K8),Notenspiegel!$B$3:$C$302,2,0)</f>
        <v>7</v>
      </c>
      <c r="M8" s="188" t="str">
        <f>VLOOKUP(VALUE(K8),Notenspiegel!$B$3:$D$302,3,0)</f>
        <v>3-</v>
      </c>
      <c r="N8" s="98" t="str">
        <f>VLOOKUP(VALUE(K8),Notenspiegel!$B$3:$E$302,4,0)</f>
        <v>+</v>
      </c>
    </row>
    <row r="9" spans="2:14" ht="18" customHeight="1" thickBot="1" x14ac:dyDescent="0.3">
      <c r="B9" s="141">
        <v>3</v>
      </c>
      <c r="C9" s="115" t="str">
        <f>Config!C7&amp;", "&amp;Config!D7</f>
        <v>Fleischmann, Leonie</v>
      </c>
      <c r="D9" s="130">
        <f>VLOOKUP(C9,'Analysis A'!PupilBlock,8,0)</f>
        <v>10.5</v>
      </c>
      <c r="E9" s="130">
        <f>VLOOKUP(C9,'Analysis B'!PupilBlock,12,0)</f>
        <v>11.5</v>
      </c>
      <c r="F9" s="130">
        <f>VLOOKUP(C9,'Stochastik A'!PupilBlock,3,0)</f>
        <v>2.5</v>
      </c>
      <c r="G9" s="130">
        <f>VLOOKUP(C9,'Stochastik B'!PupilBlock,7,0)</f>
        <v>8</v>
      </c>
      <c r="H9" s="130">
        <f>VLOOKUP(C9,'Geometrie A'!PupilBlock,4,0)</f>
        <v>4.5</v>
      </c>
      <c r="I9" s="130">
        <f>VLOOKUP(C9,'Geometrie B'!PupilBlock,7,0)</f>
        <v>14</v>
      </c>
      <c r="J9" s="130">
        <f>VLOOKUP(C9,Wahlaufgaben!PupilBlock,7,0)</f>
        <v>8</v>
      </c>
      <c r="K9" s="118">
        <f t="shared" si="0"/>
        <v>59</v>
      </c>
      <c r="L9" s="187">
        <f>VLOOKUP(VALUE(K9),Notenspiegel!$B$3:$C$302,2,0)</f>
        <v>7</v>
      </c>
      <c r="M9" s="188" t="str">
        <f>VLOOKUP(VALUE(K9),Notenspiegel!$B$3:$D$302,3,0)</f>
        <v>3-</v>
      </c>
      <c r="N9" s="98" t="str">
        <f>VLOOKUP(VALUE(K9),Notenspiegel!$B$3:$E$302,4,0)</f>
        <v>+</v>
      </c>
    </row>
    <row r="10" spans="2:14" ht="18" customHeight="1" thickBot="1" x14ac:dyDescent="0.3">
      <c r="B10" s="140">
        <v>4</v>
      </c>
      <c r="C10" s="117" t="str">
        <f>Config!C8&amp;", "&amp;Config!D8</f>
        <v>Drescher, Cedric</v>
      </c>
      <c r="D10" s="132">
        <f>VLOOKUP(C10,'Analysis A'!PupilBlock,8,0)</f>
        <v>12.5</v>
      </c>
      <c r="E10" s="132">
        <f>VLOOKUP(C10,'Analysis B'!PupilBlock,12,0)</f>
        <v>23</v>
      </c>
      <c r="F10" s="132">
        <f>VLOOKUP(C10,'Stochastik A'!PupilBlock,3,0)</f>
        <v>2.5</v>
      </c>
      <c r="G10" s="132">
        <f>VLOOKUP(C10,'Stochastik B'!PupilBlock,7,0)</f>
        <v>9</v>
      </c>
      <c r="H10" s="132">
        <f>VLOOKUP(C10,'Geometrie A'!PupilBlock,4,0)</f>
        <v>3.5</v>
      </c>
      <c r="I10" s="132">
        <f>VLOOKUP(C10,'Geometrie B'!PupilBlock,7,0)</f>
        <v>13.5</v>
      </c>
      <c r="J10" s="132">
        <f>VLOOKUP(C10,Wahlaufgaben!PupilBlock,7,0)</f>
        <v>6</v>
      </c>
      <c r="K10" s="133">
        <f t="shared" si="0"/>
        <v>70</v>
      </c>
      <c r="L10" s="185">
        <f>VLOOKUP(VALUE(K10),Notenspiegel!$B$3:$C$302,2,0)</f>
        <v>10</v>
      </c>
      <c r="M10" s="186" t="str">
        <f>VLOOKUP(VALUE(K10),Notenspiegel!$B$3:$D$302,3,0)</f>
        <v>2-</v>
      </c>
      <c r="N10" s="98" t="str">
        <f>VLOOKUP(VALUE(K10),Notenspiegel!$B$3:$E$302,4,0)</f>
        <v>--</v>
      </c>
    </row>
    <row r="11" spans="2:14" ht="18" customHeight="1" thickBot="1" x14ac:dyDescent="0.3">
      <c r="B11" s="141">
        <v>5</v>
      </c>
      <c r="C11" s="115" t="str">
        <f>Config!C9&amp;", "&amp;Config!D9</f>
        <v>Baumgarten, Annabell</v>
      </c>
      <c r="D11" s="130">
        <f>VLOOKUP(C11,'Analysis A'!PupilBlock,8,0)</f>
        <v>14</v>
      </c>
      <c r="E11" s="130">
        <f>VLOOKUP(C11,'Analysis B'!PupilBlock,12,0)</f>
        <v>21.5</v>
      </c>
      <c r="F11" s="130">
        <f>VLOOKUP(C11,'Stochastik A'!PupilBlock,3,0)</f>
        <v>2.5</v>
      </c>
      <c r="G11" s="130">
        <f>VLOOKUP(C11,'Stochastik B'!PupilBlock,7,0)</f>
        <v>4.5</v>
      </c>
      <c r="H11" s="130">
        <f>VLOOKUP(C11,'Geometrie A'!PupilBlock,4,0)</f>
        <v>3.5</v>
      </c>
      <c r="I11" s="130">
        <f>VLOOKUP(C11,'Geometrie B'!PupilBlock,7,0)</f>
        <v>12</v>
      </c>
      <c r="J11" s="130">
        <f>VLOOKUP(C11,Wahlaufgaben!PupilBlock,7,0)</f>
        <v>6</v>
      </c>
      <c r="K11" s="118">
        <f t="shared" si="0"/>
        <v>64</v>
      </c>
      <c r="L11" s="187">
        <f>VLOOKUP(VALUE(K11),Notenspiegel!$B$3:$C$302,2,0)</f>
        <v>8</v>
      </c>
      <c r="M11" s="188" t="str">
        <f>VLOOKUP(VALUE(K11),Notenspiegel!$B$3:$D$302,3,0)</f>
        <v>3</v>
      </c>
      <c r="N11" s="98" t="str">
        <f>VLOOKUP(VALUE(K11),Notenspiegel!$B$3:$E$302,4,0)</f>
        <v>+</v>
      </c>
    </row>
    <row r="12" spans="2:14" ht="18" customHeight="1" thickBot="1" x14ac:dyDescent="0.3">
      <c r="B12" s="140">
        <v>6</v>
      </c>
      <c r="C12" s="117" t="str">
        <f>Config!C10&amp;", "&amp;Config!D10</f>
        <v>Traut, Stefanie</v>
      </c>
      <c r="D12" s="132">
        <f>VLOOKUP(C12,'Analysis A'!PupilBlock,8,0)</f>
        <v>12.5</v>
      </c>
      <c r="E12" s="132">
        <f>VLOOKUP(C12,'Analysis B'!PupilBlock,12,0)</f>
        <v>33</v>
      </c>
      <c r="F12" s="132">
        <f>VLOOKUP(C12,'Stochastik A'!PupilBlock,3,0)</f>
        <v>3</v>
      </c>
      <c r="G12" s="132">
        <f>VLOOKUP(C12,'Stochastik B'!PupilBlock,7,0)</f>
        <v>10.5</v>
      </c>
      <c r="H12" s="132">
        <f>VLOOKUP(C12,'Geometrie A'!PupilBlock,4,0)</f>
        <v>4.5</v>
      </c>
      <c r="I12" s="132">
        <f>VLOOKUP(C12,'Geometrie B'!PupilBlock,7,0)</f>
        <v>17</v>
      </c>
      <c r="J12" s="132">
        <f>VLOOKUP(C12,Wahlaufgaben!PupilBlock,7,0)</f>
        <v>8</v>
      </c>
      <c r="K12" s="133">
        <f t="shared" si="0"/>
        <v>88.5</v>
      </c>
      <c r="L12" s="135">
        <f>VLOOKUP(VALUE(K12),Notenspiegel!$B$3:$C$302,2,0)</f>
        <v>13</v>
      </c>
      <c r="M12" s="123" t="str">
        <f>VLOOKUP(VALUE(K12),Notenspiegel!$B$3:$D$302,3,0)</f>
        <v>1-</v>
      </c>
      <c r="N12" s="98" t="str">
        <f>VLOOKUP(VALUE(K12),Notenspiegel!$B$3:$E$302,4,0)</f>
        <v/>
      </c>
    </row>
    <row r="13" spans="2:14" ht="18" customHeight="1" thickBot="1" x14ac:dyDescent="0.3">
      <c r="B13" s="141">
        <v>7</v>
      </c>
      <c r="C13" s="115" t="str">
        <f>Config!C11&amp;", "&amp;Config!D11</f>
        <v>Menke, Damian</v>
      </c>
      <c r="D13" s="130">
        <f>VLOOKUP(C13,'Analysis A'!PupilBlock,8,0)</f>
        <v>12.5</v>
      </c>
      <c r="E13" s="130">
        <f>VLOOKUP(C13,'Analysis B'!PupilBlock,12,0)</f>
        <v>22.5</v>
      </c>
      <c r="F13" s="130">
        <f>VLOOKUP(C13,'Stochastik A'!PupilBlock,3,0)</f>
        <v>5</v>
      </c>
      <c r="G13" s="130">
        <f>VLOOKUP(C13,'Stochastik B'!PupilBlock,7,0)</f>
        <v>8.5</v>
      </c>
      <c r="H13" s="130">
        <f>VLOOKUP(C13,'Geometrie A'!PupilBlock,4,0)</f>
        <v>4.5</v>
      </c>
      <c r="I13" s="130">
        <f>VLOOKUP(C13,'Geometrie B'!PupilBlock,7,0)</f>
        <v>15</v>
      </c>
      <c r="J13" s="130">
        <f>VLOOKUP(C13,Wahlaufgaben!PupilBlock,7,0)</f>
        <v>7</v>
      </c>
      <c r="K13" s="118">
        <f t="shared" si="0"/>
        <v>75</v>
      </c>
      <c r="L13" s="185">
        <f>VLOOKUP(VALUE(K13),Notenspiegel!$B$3:$C$302,2,0)</f>
        <v>11</v>
      </c>
      <c r="M13" s="186" t="str">
        <f>VLOOKUP(VALUE(K13),Notenspiegel!$B$3:$D$302,3,0)</f>
        <v>2</v>
      </c>
      <c r="N13" s="98" t="str">
        <f>VLOOKUP(VALUE(K13),Notenspiegel!$B$3:$E$302,4,0)</f>
        <v>--</v>
      </c>
    </row>
    <row r="14" spans="2:14" ht="18" customHeight="1" thickBot="1" x14ac:dyDescent="0.3">
      <c r="B14" s="140">
        <v>8</v>
      </c>
      <c r="C14" s="117" t="str">
        <f>Config!C12&amp;", "&amp;Config!D12</f>
        <v>Carroll, Meik</v>
      </c>
      <c r="D14" s="132">
        <f>VLOOKUP(C14,'Analysis A'!PupilBlock,8,0)</f>
        <v>9</v>
      </c>
      <c r="E14" s="132">
        <f>VLOOKUP(C14,'Analysis B'!PupilBlock,12,0)</f>
        <v>16.5</v>
      </c>
      <c r="F14" s="132">
        <f>VLOOKUP(C14,'Stochastik A'!PupilBlock,3,0)</f>
        <v>5</v>
      </c>
      <c r="G14" s="132">
        <f>VLOOKUP(C14,'Stochastik B'!PupilBlock,7,0)</f>
        <v>8.5</v>
      </c>
      <c r="H14" s="132">
        <f>VLOOKUP(C14,'Geometrie A'!PupilBlock,4,0)</f>
        <v>4</v>
      </c>
      <c r="I14" s="132">
        <f>VLOOKUP(C14,'Geometrie B'!PupilBlock,7,0)</f>
        <v>13</v>
      </c>
      <c r="J14" s="132">
        <f>VLOOKUP(C14,Wahlaufgaben!PupilBlock,7,0)</f>
        <v>7</v>
      </c>
      <c r="K14" s="133">
        <f t="shared" si="0"/>
        <v>63</v>
      </c>
      <c r="L14" s="135">
        <f>VLOOKUP(VALUE(K14),Notenspiegel!$B$3:$C$302,2,0)</f>
        <v>8</v>
      </c>
      <c r="M14" s="123" t="str">
        <f>VLOOKUP(VALUE(K14),Notenspiegel!$B$3:$D$302,3,0)</f>
        <v>3</v>
      </c>
      <c r="N14" s="98" t="str">
        <f>VLOOKUP(VALUE(K14),Notenspiegel!$B$3:$E$302,4,0)</f>
        <v/>
      </c>
    </row>
    <row r="15" spans="2:14" ht="18" customHeight="1" thickBot="1" x14ac:dyDescent="0.3">
      <c r="B15" s="141">
        <v>9</v>
      </c>
      <c r="C15" s="115" t="str">
        <f>Config!C13&amp;", "&amp;Config!D13</f>
        <v>Hennings, Tomas</v>
      </c>
      <c r="D15" s="130">
        <f>VLOOKUP(C15,'Analysis A'!PupilBlock,8,0)</f>
        <v>10</v>
      </c>
      <c r="E15" s="130">
        <f>VLOOKUP(C15,'Analysis B'!PupilBlock,12,0)</f>
        <v>14.5</v>
      </c>
      <c r="F15" s="130">
        <f>VLOOKUP(C15,'Stochastik A'!PupilBlock,3,0)</f>
        <v>4</v>
      </c>
      <c r="G15" s="130">
        <f>VLOOKUP(C15,'Stochastik B'!PupilBlock,7,0)</f>
        <v>13</v>
      </c>
      <c r="H15" s="130">
        <f>VLOOKUP(C15,'Geometrie A'!PupilBlock,4,0)</f>
        <v>4.5</v>
      </c>
      <c r="I15" s="130">
        <f>VLOOKUP(C15,'Geometrie B'!PupilBlock,7,0)</f>
        <v>4</v>
      </c>
      <c r="J15" s="130">
        <f>VLOOKUP(C15,Wahlaufgaben!PupilBlock,7,0)</f>
        <v>8</v>
      </c>
      <c r="K15" s="118">
        <f t="shared" si="0"/>
        <v>58</v>
      </c>
      <c r="L15" s="134">
        <f>VLOOKUP(VALUE(K15),Notenspiegel!$B$3:$C$302,2,0)</f>
        <v>7</v>
      </c>
      <c r="M15" s="122" t="str">
        <f>VLOOKUP(VALUE(K15),Notenspiegel!$B$3:$D$302,3,0)</f>
        <v>3-</v>
      </c>
      <c r="N15" s="98" t="str">
        <f>VLOOKUP(VALUE(K15),Notenspiegel!$B$3:$E$302,4,0)</f>
        <v/>
      </c>
    </row>
    <row r="16" spans="2:14" ht="18" customHeight="1" thickBot="1" x14ac:dyDescent="0.3">
      <c r="B16" s="140">
        <v>10</v>
      </c>
      <c r="C16" s="117" t="str">
        <f>Config!C14&amp;", "&amp;Config!D14</f>
        <v>Walters, Linn</v>
      </c>
      <c r="D16" s="132">
        <f>VLOOKUP(C16,'Analysis A'!PupilBlock,8,0)</f>
        <v>3</v>
      </c>
      <c r="E16" s="132">
        <f>VLOOKUP(C16,'Analysis B'!PupilBlock,12,0)</f>
        <v>7</v>
      </c>
      <c r="F16" s="132">
        <f>VLOOKUP(C16,'Stochastik A'!PupilBlock,3,0)</f>
        <v>2.5</v>
      </c>
      <c r="G16" s="132">
        <f>VLOOKUP(C16,'Stochastik B'!PupilBlock,7,0)</f>
        <v>8</v>
      </c>
      <c r="H16" s="132">
        <f>VLOOKUP(C16,'Geometrie A'!PupilBlock,4,0)</f>
        <v>1</v>
      </c>
      <c r="I16" s="132">
        <f>VLOOKUP(C16,'Geometrie B'!PupilBlock,7,0)</f>
        <v>8.5</v>
      </c>
      <c r="J16" s="132">
        <f>VLOOKUP(C16,Wahlaufgaben!PupilBlock,7,0)</f>
        <v>8</v>
      </c>
      <c r="K16" s="133">
        <f t="shared" si="0"/>
        <v>38</v>
      </c>
      <c r="L16" s="135">
        <f>VLOOKUP(VALUE(K16),Notenspiegel!$B$3:$C$302,2,0)</f>
        <v>3</v>
      </c>
      <c r="M16" s="123" t="str">
        <f>VLOOKUP(VALUE(K16),Notenspiegel!$B$3:$D$302,3,0)</f>
        <v>5+</v>
      </c>
      <c r="N16" s="98" t="str">
        <f>VLOOKUP(VALUE(K16),Notenspiegel!$B$3:$E$302,4,0)</f>
        <v/>
      </c>
    </row>
    <row r="17" spans="2:14" ht="18" customHeight="1" thickBot="1" x14ac:dyDescent="0.3">
      <c r="B17" s="141">
        <v>11</v>
      </c>
      <c r="C17" s="115" t="str">
        <f>Config!C15&amp;", "&amp;Config!D15</f>
        <v>Junker, Amely</v>
      </c>
      <c r="D17" s="130">
        <f>VLOOKUP(C17,'Analysis A'!PupilBlock,8,0)</f>
        <v>6.5</v>
      </c>
      <c r="E17" s="130">
        <f>VLOOKUP(C17,'Analysis B'!PupilBlock,12,0)</f>
        <v>13.5</v>
      </c>
      <c r="F17" s="130">
        <f>VLOOKUP(C17,'Stochastik A'!PupilBlock,3,0)</f>
        <v>2</v>
      </c>
      <c r="G17" s="130">
        <f>VLOOKUP(C17,'Stochastik B'!PupilBlock,7,0)</f>
        <v>6.5</v>
      </c>
      <c r="H17" s="130">
        <f>VLOOKUP(C17,'Geometrie A'!PupilBlock,4,0)</f>
        <v>2</v>
      </c>
      <c r="I17" s="130">
        <f>VLOOKUP(C17,'Geometrie B'!PupilBlock,7,0)</f>
        <v>13</v>
      </c>
      <c r="J17" s="130">
        <f>VLOOKUP(C17,Wahlaufgaben!PupilBlock,7,0)</f>
        <v>6</v>
      </c>
      <c r="K17" s="118">
        <f t="shared" si="0"/>
        <v>49.5</v>
      </c>
      <c r="L17" s="189">
        <f>VLOOKUP(VALUE(K17),Notenspiegel!$B$3:$C$302,2,0)</f>
        <v>5</v>
      </c>
      <c r="M17" s="190" t="str">
        <f>VLOOKUP(VALUE(K17),Notenspiegel!$B$3:$D$302,3,0)</f>
        <v>4</v>
      </c>
      <c r="N17" s="98" t="str">
        <f>VLOOKUP(VALUE(K17),Notenspiegel!$B$3:$E$302,4,0)</f>
        <v>++</v>
      </c>
    </row>
    <row r="18" spans="2:14" ht="18" customHeight="1" thickBot="1" x14ac:dyDescent="0.3">
      <c r="B18" s="140">
        <v>12</v>
      </c>
      <c r="C18" s="117" t="str">
        <f>Config!C16&amp;", "&amp;Config!D16</f>
        <v>Stephens, Melvin</v>
      </c>
      <c r="D18" s="132">
        <f>VLOOKUP(C18,'Analysis A'!PupilBlock,8,0)</f>
        <v>11.5</v>
      </c>
      <c r="E18" s="132">
        <f>VLOOKUP(C18,'Analysis B'!PupilBlock,12,0)</f>
        <v>27</v>
      </c>
      <c r="F18" s="132">
        <f>VLOOKUP(C18,'Stochastik A'!PupilBlock,3,0)</f>
        <v>2.5</v>
      </c>
      <c r="G18" s="132">
        <f>VLOOKUP(C18,'Stochastik B'!PupilBlock,7,0)</f>
        <v>5.5</v>
      </c>
      <c r="H18" s="132">
        <f>VLOOKUP(C18,'Geometrie A'!PupilBlock,4,0)</f>
        <v>0.5</v>
      </c>
      <c r="I18" s="132">
        <f>VLOOKUP(C18,'Geometrie B'!PupilBlock,7,0)</f>
        <v>13</v>
      </c>
      <c r="J18" s="132">
        <f>VLOOKUP(C18,Wahlaufgaben!PupilBlock,7,0)</f>
        <v>6</v>
      </c>
      <c r="K18" s="133">
        <f t="shared" si="0"/>
        <v>66</v>
      </c>
      <c r="L18" s="135">
        <f>VLOOKUP(VALUE(K18),Notenspiegel!$B$3:$C$302,2,0)</f>
        <v>9</v>
      </c>
      <c r="M18" s="123" t="str">
        <f>VLOOKUP(VALUE(K18),Notenspiegel!$B$3:$D$302,3,0)</f>
        <v>3+</v>
      </c>
      <c r="N18" s="98" t="str">
        <f>VLOOKUP(VALUE(K18),Notenspiegel!$B$3:$E$302,4,0)</f>
        <v/>
      </c>
    </row>
    <row r="19" spans="2:14" ht="18" customHeight="1" thickBot="1" x14ac:dyDescent="0.3">
      <c r="B19" s="141">
        <v>13</v>
      </c>
      <c r="C19" s="115" t="str">
        <f>Config!C17&amp;", "&amp;Config!D17</f>
        <v>Cremer, Marvin</v>
      </c>
      <c r="D19" s="130">
        <f>VLOOKUP(C19,'Analysis A'!PupilBlock,8,0)</f>
        <v>12.5</v>
      </c>
      <c r="E19" s="130">
        <f>VLOOKUP(C19,'Analysis B'!PupilBlock,12,0)</f>
        <v>22</v>
      </c>
      <c r="F19" s="130">
        <f>VLOOKUP(C19,'Stochastik A'!PupilBlock,3,0)</f>
        <v>5</v>
      </c>
      <c r="G19" s="130">
        <f>VLOOKUP(C19,'Stochastik B'!PupilBlock,7,0)</f>
        <v>5.5</v>
      </c>
      <c r="H19" s="130">
        <f>VLOOKUP(C19,'Geometrie A'!PupilBlock,4,0)</f>
        <v>4.5</v>
      </c>
      <c r="I19" s="130">
        <f>VLOOKUP(C19,'Geometrie B'!PupilBlock,7,0)</f>
        <v>3</v>
      </c>
      <c r="J19" s="130">
        <f>VLOOKUP(C19,Wahlaufgaben!PupilBlock,7,0)</f>
        <v>8</v>
      </c>
      <c r="K19" s="118">
        <f t="shared" si="0"/>
        <v>60.5</v>
      </c>
      <c r="L19" s="191">
        <f>VLOOKUP(VALUE(K19),Notenspiegel!$B$3:$C$302,2,0)</f>
        <v>8</v>
      </c>
      <c r="M19" s="192" t="str">
        <f>VLOOKUP(VALUE(K19),Notenspiegel!$B$3:$D$302,3,0)</f>
        <v>3</v>
      </c>
      <c r="N19" s="98" t="str">
        <f>VLOOKUP(VALUE(K19),Notenspiegel!$B$3:$E$302,4,0)</f>
        <v>-</v>
      </c>
    </row>
    <row r="20" spans="2:14" ht="18" customHeight="1" thickBot="1" x14ac:dyDescent="0.3">
      <c r="B20" s="140">
        <v>14</v>
      </c>
      <c r="C20" s="117" t="str">
        <f>Config!C18&amp;", "&amp;Config!D18</f>
        <v>Nash, Jean</v>
      </c>
      <c r="D20" s="132">
        <f>VLOOKUP(C20,'Analysis A'!PupilBlock,8,0)</f>
        <v>13.5</v>
      </c>
      <c r="E20" s="132">
        <f>VLOOKUP(C20,'Analysis B'!PupilBlock,12,0)</f>
        <v>15.5</v>
      </c>
      <c r="F20" s="132">
        <f>VLOOKUP(C20,'Stochastik A'!PupilBlock,3,0)</f>
        <v>5</v>
      </c>
      <c r="G20" s="132">
        <f>VLOOKUP(C20,'Stochastik B'!PupilBlock,7,0)</f>
        <v>8</v>
      </c>
      <c r="H20" s="132">
        <f>VLOOKUP(C20,'Geometrie A'!PupilBlock,4,0)</f>
        <v>4</v>
      </c>
      <c r="I20" s="132">
        <f>VLOOKUP(C20,'Geometrie B'!PupilBlock,7,0)</f>
        <v>14.5</v>
      </c>
      <c r="J20" s="132">
        <f>VLOOKUP(C20,Wahlaufgaben!PupilBlock,7,0)</f>
        <v>7</v>
      </c>
      <c r="K20" s="133">
        <f t="shared" si="0"/>
        <v>67.5</v>
      </c>
      <c r="L20" s="135">
        <f>VLOOKUP(VALUE(K20),Notenspiegel!$B$3:$C$302,2,0)</f>
        <v>9</v>
      </c>
      <c r="M20" s="123" t="str">
        <f>VLOOKUP(VALUE(K20),Notenspiegel!$B$3:$D$302,3,0)</f>
        <v>3+</v>
      </c>
      <c r="N20" s="98" t="str">
        <f>VLOOKUP(VALUE(K20),Notenspiegel!$B$3:$E$302,4,0)</f>
        <v/>
      </c>
    </row>
    <row r="21" spans="2:14" ht="18" customHeight="1" thickBot="1" x14ac:dyDescent="0.3">
      <c r="B21" s="141">
        <v>15</v>
      </c>
      <c r="C21" s="115" t="str">
        <f>Config!C19&amp;", "&amp;Config!D19</f>
        <v>Schön, Leonardo</v>
      </c>
      <c r="D21" s="130">
        <f>VLOOKUP(C21,'Analysis A'!PupilBlock,8,0)</f>
        <v>12</v>
      </c>
      <c r="E21" s="130">
        <f>VLOOKUP(C21,'Analysis B'!PupilBlock,12,0)</f>
        <v>23.5</v>
      </c>
      <c r="F21" s="130">
        <f>VLOOKUP(C21,'Stochastik A'!PupilBlock,3,0)</f>
        <v>2.5</v>
      </c>
      <c r="G21" s="130">
        <f>VLOOKUP(C21,'Stochastik B'!PupilBlock,7,0)</f>
        <v>8</v>
      </c>
      <c r="H21" s="130">
        <f>VLOOKUP(C21,'Geometrie A'!PupilBlock,4,0)</f>
        <v>5</v>
      </c>
      <c r="I21" s="130">
        <f>VLOOKUP(C21,'Geometrie B'!PupilBlock,7,0)</f>
        <v>6.5</v>
      </c>
      <c r="J21" s="130">
        <f>VLOOKUP(C21,Wahlaufgaben!PupilBlock,7,0)</f>
        <v>4</v>
      </c>
      <c r="K21" s="118">
        <f t="shared" si="0"/>
        <v>61.5</v>
      </c>
      <c r="L21" s="134">
        <f>VLOOKUP(VALUE(K21),Notenspiegel!$B$3:$C$302,2,0)</f>
        <v>8</v>
      </c>
      <c r="M21" s="122" t="str">
        <f>VLOOKUP(VALUE(K21),Notenspiegel!$B$3:$D$302,3,0)</f>
        <v>3</v>
      </c>
      <c r="N21" s="98" t="str">
        <f>VLOOKUP(VALUE(K21),Notenspiegel!$B$3:$E$302,4,0)</f>
        <v/>
      </c>
    </row>
    <row r="22" spans="2:14" ht="18" customHeight="1" thickBot="1" x14ac:dyDescent="0.3">
      <c r="B22" s="140">
        <v>16</v>
      </c>
      <c r="C22" s="117" t="str">
        <f>Config!C20&amp;", "&amp;Config!D20</f>
        <v>Sigl, Nicholas</v>
      </c>
      <c r="D22" s="132">
        <f>VLOOKUP(C22,'Analysis A'!PupilBlock,8,0)</f>
        <v>7.5</v>
      </c>
      <c r="E22" s="132">
        <f>VLOOKUP(C22,'Analysis B'!PupilBlock,12,0)</f>
        <v>22</v>
      </c>
      <c r="F22" s="132">
        <f>VLOOKUP(C22,'Stochastik A'!PupilBlock,3,0)</f>
        <v>5</v>
      </c>
      <c r="G22" s="132">
        <f>VLOOKUP(C22,'Stochastik B'!PupilBlock,7,0)</f>
        <v>0</v>
      </c>
      <c r="H22" s="132">
        <f>VLOOKUP(C22,'Geometrie A'!PupilBlock,4,0)</f>
        <v>4.5</v>
      </c>
      <c r="I22" s="132">
        <f>VLOOKUP(C22,'Geometrie B'!PupilBlock,7,0)</f>
        <v>6</v>
      </c>
      <c r="J22" s="132">
        <f>VLOOKUP(C22,Wahlaufgaben!PupilBlock,7,0)</f>
        <v>8</v>
      </c>
      <c r="K22" s="133">
        <f t="shared" si="0"/>
        <v>53</v>
      </c>
      <c r="L22" s="135">
        <f>VLOOKUP(VALUE(K22),Notenspiegel!$B$3:$C$302,2,0)</f>
        <v>6</v>
      </c>
      <c r="M22" s="123" t="str">
        <f>VLOOKUP(VALUE(K22),Notenspiegel!$B$3:$D$302,3,0)</f>
        <v>4+</v>
      </c>
      <c r="N22" s="98" t="str">
        <f>VLOOKUP(VALUE(K22),Notenspiegel!$B$3:$E$302,4,0)</f>
        <v/>
      </c>
    </row>
    <row r="23" spans="2:14" ht="18" customHeight="1" thickBot="1" x14ac:dyDescent="0.3">
      <c r="B23" s="141">
        <v>17</v>
      </c>
      <c r="C23" s="115" t="str">
        <f>Config!C21&amp;", "&amp;Config!D21</f>
        <v>Kainz, Vivienne</v>
      </c>
      <c r="D23" s="130">
        <f>VLOOKUP(C23,'Analysis A'!PupilBlock,8,0)</f>
        <v>1</v>
      </c>
      <c r="E23" s="130">
        <f>VLOOKUP(C23,'Analysis B'!PupilBlock,12,0)</f>
        <v>6.5</v>
      </c>
      <c r="F23" s="130">
        <f>VLOOKUP(C23,'Stochastik A'!PupilBlock,3,0)</f>
        <v>5</v>
      </c>
      <c r="G23" s="130">
        <f>VLOOKUP(C23,'Stochastik B'!PupilBlock,7,0)</f>
        <v>7.5</v>
      </c>
      <c r="H23" s="130">
        <f>VLOOKUP(C23,'Geometrie A'!PupilBlock,4,0)</f>
        <v>5</v>
      </c>
      <c r="I23" s="130">
        <f>VLOOKUP(C23,'Geometrie B'!PupilBlock,7,0)</f>
        <v>4.5</v>
      </c>
      <c r="J23" s="130">
        <f>VLOOKUP(C23,Wahlaufgaben!PupilBlock,7,0)</f>
        <v>10</v>
      </c>
      <c r="K23" s="118">
        <f t="shared" si="0"/>
        <v>39.5</v>
      </c>
      <c r="L23" s="189">
        <f>VLOOKUP(VALUE(K23),Notenspiegel!$B$3:$C$302,2,0)</f>
        <v>3</v>
      </c>
      <c r="M23" s="190" t="str">
        <f>VLOOKUP(VALUE(K23),Notenspiegel!$B$3:$D$302,3,0)</f>
        <v>5+</v>
      </c>
      <c r="N23" s="98" t="str">
        <f>VLOOKUP(VALUE(K23),Notenspiegel!$B$3:$E$302,4,0)</f>
        <v>++</v>
      </c>
    </row>
    <row r="24" spans="2:14" ht="18" customHeight="1" thickBot="1" x14ac:dyDescent="0.3">
      <c r="B24" s="140">
        <v>18</v>
      </c>
      <c r="C24" s="117" t="str">
        <f>Config!C22&amp;", "&amp;Config!D22</f>
        <v>Hartmann, Mads</v>
      </c>
      <c r="D24" s="132">
        <f>VLOOKUP(C24,'Analysis A'!PupilBlock,8,0)</f>
        <v>10</v>
      </c>
      <c r="E24" s="132">
        <f>VLOOKUP(C24,'Analysis B'!PupilBlock,12,0)</f>
        <v>16</v>
      </c>
      <c r="F24" s="132">
        <f>VLOOKUP(C24,'Stochastik A'!PupilBlock,3,0)</f>
        <v>2.5</v>
      </c>
      <c r="G24" s="132">
        <f>VLOOKUP(C24,'Stochastik B'!PupilBlock,7,0)</f>
        <v>7</v>
      </c>
      <c r="H24" s="132">
        <f>VLOOKUP(C24,'Geometrie A'!PupilBlock,4,0)</f>
        <v>1</v>
      </c>
      <c r="I24" s="132">
        <f>VLOOKUP(C24,'Geometrie B'!PupilBlock,7,0)</f>
        <v>14</v>
      </c>
      <c r="J24" s="132">
        <f>VLOOKUP(C24,Wahlaufgaben!PupilBlock,7,0)</f>
        <v>7</v>
      </c>
      <c r="K24" s="133">
        <f t="shared" si="0"/>
        <v>57.5</v>
      </c>
      <c r="L24" s="135">
        <f>VLOOKUP(VALUE(K24),Notenspiegel!$B$3:$C$302,2,0)</f>
        <v>7</v>
      </c>
      <c r="M24" s="123" t="str">
        <f>VLOOKUP(VALUE(K24),Notenspiegel!$B$3:$D$302,3,0)</f>
        <v>3-</v>
      </c>
      <c r="N24" s="98" t="str">
        <f>VLOOKUP(VALUE(K24),Notenspiegel!$B$3:$E$302,4,0)</f>
        <v/>
      </c>
    </row>
    <row r="25" spans="2:14" ht="18" customHeight="1" thickBot="1" x14ac:dyDescent="0.3">
      <c r="B25" s="141">
        <v>19</v>
      </c>
      <c r="C25" s="115" t="str">
        <f>Config!C23&amp;", "&amp;Config!D23</f>
        <v>Ullmann, Raphael</v>
      </c>
      <c r="D25" s="130">
        <f>VLOOKUP(C25,'Analysis A'!PupilBlock,8,0)</f>
        <v>9.5</v>
      </c>
      <c r="E25" s="130">
        <f>VLOOKUP(C25,'Analysis B'!PupilBlock,12,0)</f>
        <v>14.5</v>
      </c>
      <c r="F25" s="130">
        <f>VLOOKUP(C25,'Stochastik A'!PupilBlock,3,0)</f>
        <v>5</v>
      </c>
      <c r="G25" s="130">
        <f>VLOOKUP(C25,'Stochastik B'!PupilBlock,7,0)</f>
        <v>7</v>
      </c>
      <c r="H25" s="130">
        <f>VLOOKUP(C25,'Geometrie A'!PupilBlock,4,0)</f>
        <v>2</v>
      </c>
      <c r="I25" s="130">
        <f>VLOOKUP(C25,'Geometrie B'!PupilBlock,7,0)</f>
        <v>13.5</v>
      </c>
      <c r="J25" s="130">
        <f>VLOOKUP(C25,Wahlaufgaben!PupilBlock,7,0)</f>
        <v>8</v>
      </c>
      <c r="K25" s="118">
        <f t="shared" si="0"/>
        <v>59.5</v>
      </c>
      <c r="L25" s="189">
        <f>VLOOKUP(VALUE(K25),Notenspiegel!$B$3:$C$302,2,0)</f>
        <v>7</v>
      </c>
      <c r="M25" s="190" t="str">
        <f>VLOOKUP(VALUE(K25),Notenspiegel!$B$3:$D$302,3,0)</f>
        <v>3-</v>
      </c>
      <c r="N25" s="98" t="str">
        <f>VLOOKUP(VALUE(K25),Notenspiegel!$B$3:$E$302,4,0)</f>
        <v>++</v>
      </c>
    </row>
    <row r="26" spans="2:14" ht="18" customHeight="1" thickBot="1" x14ac:dyDescent="0.3">
      <c r="B26" s="140">
        <v>20</v>
      </c>
      <c r="C26" s="117" t="str">
        <f>Config!C24&amp;", "&amp;Config!D24</f>
        <v>Hartl, Emmely</v>
      </c>
      <c r="D26" s="132">
        <f>VLOOKUP(C26,'Analysis A'!PupilBlock,8,0)</f>
        <v>13.5</v>
      </c>
      <c r="E26" s="132">
        <f>VLOOKUP(C26,'Analysis B'!PupilBlock,12,0)</f>
        <v>23</v>
      </c>
      <c r="F26" s="132">
        <f>VLOOKUP(C26,'Stochastik A'!PupilBlock,3,0)</f>
        <v>3</v>
      </c>
      <c r="G26" s="132">
        <f>VLOOKUP(C26,'Stochastik B'!PupilBlock,7,0)</f>
        <v>4.5</v>
      </c>
      <c r="H26" s="132">
        <f>VLOOKUP(C26,'Geometrie A'!PupilBlock,4,0)</f>
        <v>2</v>
      </c>
      <c r="I26" s="132">
        <f>VLOOKUP(C26,'Geometrie B'!PupilBlock,7,0)</f>
        <v>15</v>
      </c>
      <c r="J26" s="132">
        <f>VLOOKUP(C26,Wahlaufgaben!PupilBlock,7,0)</f>
        <v>10</v>
      </c>
      <c r="K26" s="133">
        <f t="shared" si="0"/>
        <v>71</v>
      </c>
      <c r="L26" s="135">
        <f>VLOOKUP(VALUE(K26),Notenspiegel!$B$3:$C$302,2,0)</f>
        <v>10</v>
      </c>
      <c r="M26" s="123" t="str">
        <f>VLOOKUP(VALUE(K26),Notenspiegel!$B$3:$D$302,3,0)</f>
        <v>2-</v>
      </c>
      <c r="N26" s="98" t="str">
        <f>VLOOKUP(VALUE(K26),Notenspiegel!$B$3:$E$302,4,0)</f>
        <v/>
      </c>
    </row>
    <row r="27" spans="2:14" ht="18" customHeight="1" thickBot="1" x14ac:dyDescent="0.3">
      <c r="B27" s="141">
        <v>21</v>
      </c>
      <c r="C27" s="115" t="str">
        <f>Config!C25&amp;", "&amp;Config!D25</f>
        <v>Klotz, Karin</v>
      </c>
      <c r="D27" s="130">
        <f>VLOOKUP(C27,'Analysis A'!PupilBlock,8,0)</f>
        <v>13.5</v>
      </c>
      <c r="E27" s="130">
        <f>VLOOKUP(C27,'Analysis B'!PupilBlock,12,0)</f>
        <v>26.5</v>
      </c>
      <c r="F27" s="130">
        <f>VLOOKUP(C27,'Stochastik A'!PupilBlock,3,0)</f>
        <v>4</v>
      </c>
      <c r="G27" s="130">
        <f>VLOOKUP(C27,'Stochastik B'!PupilBlock,7,0)</f>
        <v>6</v>
      </c>
      <c r="H27" s="130">
        <f>VLOOKUP(C27,'Geometrie A'!PupilBlock,4,0)</f>
        <v>5</v>
      </c>
      <c r="I27" s="130">
        <f>VLOOKUP(C27,'Geometrie B'!PupilBlock,7,0)</f>
        <v>16</v>
      </c>
      <c r="J27" s="130">
        <f>VLOOKUP(C27,Wahlaufgaben!PupilBlock,7,0)</f>
        <v>10</v>
      </c>
      <c r="K27" s="118">
        <f t="shared" si="0"/>
        <v>81</v>
      </c>
      <c r="L27" s="134">
        <f>VLOOKUP(VALUE(K27),Notenspiegel!$B$3:$C$302,2,0)</f>
        <v>12</v>
      </c>
      <c r="M27" s="122" t="str">
        <f>VLOOKUP(VALUE(K27),Notenspiegel!$B$3:$D$302,3,0)</f>
        <v>2+</v>
      </c>
      <c r="N27" s="98" t="str">
        <f>VLOOKUP(VALUE(K27),Notenspiegel!$B$3:$E$302,4,0)</f>
        <v/>
      </c>
    </row>
    <row r="28" spans="2:14" ht="18" customHeight="1" thickBot="1" x14ac:dyDescent="0.3">
      <c r="B28" s="140">
        <v>22</v>
      </c>
      <c r="C28" s="117" t="str">
        <f>Config!C26&amp;", "&amp;Config!D26</f>
        <v>Ehlers, Ingo</v>
      </c>
      <c r="D28" s="132">
        <f>VLOOKUP(C28,'Analysis A'!PupilBlock,8,0)</f>
        <v>10</v>
      </c>
      <c r="E28" s="132">
        <f>VLOOKUP(C28,'Analysis B'!PupilBlock,12,0)</f>
        <v>21</v>
      </c>
      <c r="F28" s="132">
        <f>VLOOKUP(C28,'Stochastik A'!PupilBlock,3,0)</f>
        <v>5</v>
      </c>
      <c r="G28" s="132">
        <f>VLOOKUP(C28,'Stochastik B'!PupilBlock,7,0)</f>
        <v>5.5</v>
      </c>
      <c r="H28" s="132">
        <f>VLOOKUP(C28,'Geometrie A'!PupilBlock,4,0)</f>
        <v>5</v>
      </c>
      <c r="I28" s="132">
        <f>VLOOKUP(C28,'Geometrie B'!PupilBlock,7,0)</f>
        <v>14.5</v>
      </c>
      <c r="J28" s="132">
        <f>VLOOKUP(C28,Wahlaufgaben!PupilBlock,7,0)</f>
        <v>7</v>
      </c>
      <c r="K28" s="133">
        <f t="shared" si="0"/>
        <v>68</v>
      </c>
      <c r="L28" s="135">
        <f>VLOOKUP(VALUE(K28),Notenspiegel!$B$3:$C$302,2,0)</f>
        <v>9</v>
      </c>
      <c r="M28" s="123" t="str">
        <f>VLOOKUP(VALUE(K28),Notenspiegel!$B$3:$D$302,3,0)</f>
        <v>3+</v>
      </c>
      <c r="N28" s="98" t="str">
        <f>VLOOKUP(VALUE(K28),Notenspiegel!$B$3:$E$302,4,0)</f>
        <v/>
      </c>
    </row>
    <row r="29" spans="2:14" ht="18" customHeight="1" thickBot="1" x14ac:dyDescent="0.3">
      <c r="B29" s="142">
        <v>23</v>
      </c>
      <c r="C29" s="137" t="str">
        <f>Config!C27&amp;", "&amp;Config!D27</f>
        <v>Lindemann, Mads</v>
      </c>
      <c r="D29" s="138">
        <f>VLOOKUP(C29,'Analysis A'!PupilBlock,8,0)</f>
        <v>7</v>
      </c>
      <c r="E29" s="138">
        <f>VLOOKUP(C29,'Analysis B'!PupilBlock,12,0)</f>
        <v>16</v>
      </c>
      <c r="F29" s="138">
        <f>VLOOKUP(C29,'Stochastik A'!PupilBlock,3,0)</f>
        <v>5</v>
      </c>
      <c r="G29" s="138">
        <f>VLOOKUP(C29,'Stochastik B'!PupilBlock,7,0)</f>
        <v>10</v>
      </c>
      <c r="H29" s="138">
        <f>VLOOKUP(C29,'Geometrie A'!PupilBlock,4,0)</f>
        <v>3</v>
      </c>
      <c r="I29" s="138">
        <f>VLOOKUP(C29,'Geometrie B'!PupilBlock,7,0)</f>
        <v>6.5</v>
      </c>
      <c r="J29" s="138">
        <f>VLOOKUP(C29,Wahlaufgaben!PupilBlock,7,0)</f>
        <v>8</v>
      </c>
      <c r="K29" s="118">
        <f t="shared" si="0"/>
        <v>55.5</v>
      </c>
      <c r="L29" s="193">
        <f>VLOOKUP(VALUE(K29),Notenspiegel!$B$3:$C$302,2,0)</f>
        <v>7</v>
      </c>
      <c r="M29" s="194" t="str">
        <f>VLOOKUP(VALUE(K29),Notenspiegel!$B$3:$D$302,3,0)</f>
        <v>3-</v>
      </c>
      <c r="N29" s="98" t="str">
        <f>VLOOKUP(VALUE(K29),Notenspiegel!$B$3:$E$302,4,0)</f>
        <v>-</v>
      </c>
    </row>
    <row r="30" spans="2:14" ht="18" customHeight="1" thickBot="1" x14ac:dyDescent="0.3">
      <c r="B30" s="68"/>
      <c r="C30" s="69"/>
      <c r="D30" s="69">
        <f t="shared" ref="D30:J30" si="1">SUM(D7:D29)/(23*D6)</f>
        <v>0.672463768115942</v>
      </c>
      <c r="E30" s="69">
        <f t="shared" si="1"/>
        <v>0.63260869565217392</v>
      </c>
      <c r="F30" s="69">
        <f t="shared" si="1"/>
        <v>0.74782608695652175</v>
      </c>
      <c r="G30" s="69">
        <f t="shared" si="1"/>
        <v>0.4373401534526854</v>
      </c>
      <c r="H30" s="69">
        <f t="shared" si="1"/>
        <v>0.66956521739130437</v>
      </c>
      <c r="I30" s="69">
        <f t="shared" si="1"/>
        <v>0.61594202898550721</v>
      </c>
      <c r="J30" s="69">
        <f t="shared" si="1"/>
        <v>0.74782608695652175</v>
      </c>
      <c r="K30" s="69" t="s">
        <v>85</v>
      </c>
      <c r="L30" s="70">
        <f>AVERAGE(L7:L29)</f>
        <v>7.9565217391304346</v>
      </c>
      <c r="M30" s="81">
        <f t="array" ref="M30">AVERAGE(SUBSTITUTE(SUBSTITUTE(M7:M29,"+",""),"-","")*1)</f>
        <v>3</v>
      </c>
    </row>
    <row r="31" spans="2:14" ht="18" customHeight="1" x14ac:dyDescent="0.25"/>
    <row r="32" spans="2:14"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electLockedCells="1"/>
  <dataConsolidate/>
  <pageMargins left="0.7" right="0.7" top="0.78740157499999996" bottom="0.78740157499999996" header="0.3" footer="0.3"/>
  <pageSetup paperSize="9"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AECF4-7034-4B57-821E-4373E7AEB826}">
  <sheetPr codeName="Tabelle1">
    <tabColor rgb="FF92D050"/>
  </sheetPr>
  <dimension ref="B1:J100"/>
  <sheetViews>
    <sheetView workbookViewId="0">
      <selection activeCell="D7" sqref="D7"/>
    </sheetView>
  </sheetViews>
  <sheetFormatPr baseColWidth="10" defaultColWidth="11.5546875" defaultRowHeight="13.2" x14ac:dyDescent="0.25"/>
  <cols>
    <col min="1" max="2" width="3.44140625" style="98" customWidth="1"/>
    <col min="3" max="3" width="25.6640625" style="98" customWidth="1"/>
    <col min="4" max="10" width="8.6640625" style="98" customWidth="1"/>
    <col min="11" max="16384" width="11.5546875" style="98"/>
  </cols>
  <sheetData>
    <row r="1" spans="2:10" ht="18" customHeight="1" thickBot="1" x14ac:dyDescent="0.3"/>
    <row r="2" spans="2:10" ht="18" customHeight="1" x14ac:dyDescent="0.25">
      <c r="B2" s="99" t="str">
        <f>Config!F2&amp;" "&amp;YEAR(Config!G24)</f>
        <v>Mathe Abitur 2026</v>
      </c>
      <c r="C2" s="100"/>
      <c r="D2" s="100"/>
      <c r="E2" s="100"/>
      <c r="F2" s="100"/>
      <c r="G2" s="101"/>
      <c r="H2" s="101"/>
      <c r="I2" s="101"/>
      <c r="J2" s="102" t="str">
        <f>"Kurs "&amp;Config!G26</f>
        <v>Kurs K1</v>
      </c>
    </row>
    <row r="3" spans="2:10" ht="18" customHeight="1" x14ac:dyDescent="0.25">
      <c r="B3" s="103" t="s">
        <v>9</v>
      </c>
      <c r="C3" s="104"/>
      <c r="D3" s="104"/>
      <c r="E3" s="104"/>
      <c r="F3" s="104"/>
      <c r="G3" s="104"/>
      <c r="H3" s="104"/>
      <c r="I3" s="104"/>
      <c r="J3" s="105"/>
    </row>
    <row r="4" spans="2:10" ht="18" customHeight="1" thickBot="1" x14ac:dyDescent="0.3">
      <c r="B4" s="103"/>
      <c r="C4" s="104"/>
      <c r="D4" s="106"/>
      <c r="E4" s="106"/>
      <c r="F4" s="106"/>
      <c r="G4" s="106"/>
      <c r="H4" s="106"/>
      <c r="I4" s="106"/>
      <c r="J4" s="107"/>
    </row>
    <row r="5" spans="2:10" ht="18" customHeight="1" thickBot="1" x14ac:dyDescent="0.3">
      <c r="B5" s="108"/>
      <c r="C5" s="110"/>
      <c r="D5" s="124" t="str">
        <f>Config!F6</f>
        <v>1a</v>
      </c>
      <c r="E5" s="124" t="str">
        <f>Config!F7</f>
        <v>1b</v>
      </c>
      <c r="F5" s="124" t="str">
        <f>Config!F8</f>
        <v>2</v>
      </c>
      <c r="G5" s="124" t="str">
        <f>Config!F9</f>
        <v>3</v>
      </c>
      <c r="H5" s="124" t="str">
        <f>Config!F10</f>
        <v>4a</v>
      </c>
      <c r="I5" s="124" t="str">
        <f>Config!F11</f>
        <v>4b</v>
      </c>
      <c r="J5" s="114" t="s">
        <v>82</v>
      </c>
    </row>
    <row r="6" spans="2:10" ht="18" customHeight="1" thickBot="1" x14ac:dyDescent="0.3">
      <c r="B6" s="109"/>
      <c r="C6" s="111" t="s">
        <v>81</v>
      </c>
      <c r="D6" s="113">
        <f>Config!G6</f>
        <v>2</v>
      </c>
      <c r="E6" s="113">
        <f>Config!G7</f>
        <v>2</v>
      </c>
      <c r="F6" s="113">
        <f>Config!G8</f>
        <v>3</v>
      </c>
      <c r="G6" s="113">
        <f>Config!G9</f>
        <v>3</v>
      </c>
      <c r="H6" s="113">
        <f>Config!G10</f>
        <v>3</v>
      </c>
      <c r="I6" s="113">
        <f>Config!G11</f>
        <v>2</v>
      </c>
      <c r="J6" s="125">
        <f>Config!G21</f>
        <v>15</v>
      </c>
    </row>
    <row r="7" spans="2:10" ht="18" customHeight="1" x14ac:dyDescent="0.25">
      <c r="B7" s="157">
        <v>1</v>
      </c>
      <c r="C7" s="158" t="str">
        <f>Config!C5&amp;", "&amp;Config!D5</f>
        <v>Höfer, Simon</v>
      </c>
      <c r="D7" s="178">
        <v>1</v>
      </c>
      <c r="E7" s="178">
        <v>1</v>
      </c>
      <c r="F7" s="178">
        <v>1.5</v>
      </c>
      <c r="G7" s="178">
        <v>2.5</v>
      </c>
      <c r="H7" s="178">
        <v>3</v>
      </c>
      <c r="I7" s="179">
        <v>2</v>
      </c>
      <c r="J7" s="159">
        <f t="shared" ref="J7:J38" si="0">SUM(D7:I7)</f>
        <v>11</v>
      </c>
    </row>
    <row r="8" spans="2:10" s="116" customFormat="1" ht="13.2" customHeight="1" x14ac:dyDescent="0.2">
      <c r="B8" s="160"/>
      <c r="C8" s="161" t="s">
        <v>126</v>
      </c>
      <c r="D8" s="195">
        <v>0.5</v>
      </c>
      <c r="E8" s="162">
        <v>1</v>
      </c>
      <c r="F8" s="162">
        <v>1.5</v>
      </c>
      <c r="G8" s="196">
        <v>3</v>
      </c>
      <c r="H8" s="162">
        <v>3</v>
      </c>
      <c r="I8" s="163">
        <v>2</v>
      </c>
      <c r="J8" s="149">
        <f t="shared" si="0"/>
        <v>11</v>
      </c>
    </row>
    <row r="9" spans="2:10" s="116" customFormat="1" ht="13.2" customHeight="1" x14ac:dyDescent="0.2">
      <c r="B9" s="164"/>
      <c r="C9" s="165" t="s">
        <v>127</v>
      </c>
      <c r="D9" s="146">
        <v>1</v>
      </c>
      <c r="E9" s="198">
        <v>0.5</v>
      </c>
      <c r="F9" s="197">
        <v>2</v>
      </c>
      <c r="G9" s="146">
        <v>2.5</v>
      </c>
      <c r="H9" s="146">
        <v>3</v>
      </c>
      <c r="I9" s="147">
        <v>2</v>
      </c>
      <c r="J9" s="148">
        <f t="shared" si="0"/>
        <v>11</v>
      </c>
    </row>
    <row r="10" spans="2:10" ht="18" customHeight="1" x14ac:dyDescent="0.25">
      <c r="B10" s="170">
        <v>2</v>
      </c>
      <c r="C10" s="171" t="str">
        <f>Config!C6&amp;", "&amp;Config!D6</f>
        <v>Töpfer, Lilian</v>
      </c>
      <c r="D10" s="180">
        <v>1.5</v>
      </c>
      <c r="E10" s="180">
        <v>2</v>
      </c>
      <c r="F10" s="180">
        <v>0.5</v>
      </c>
      <c r="G10" s="180">
        <v>1</v>
      </c>
      <c r="H10" s="180">
        <v>2</v>
      </c>
      <c r="I10" s="181">
        <v>2</v>
      </c>
      <c r="J10" s="172">
        <f t="shared" si="0"/>
        <v>9</v>
      </c>
    </row>
    <row r="11" spans="2:10" s="116" customFormat="1" ht="13.2" customHeight="1" x14ac:dyDescent="0.2">
      <c r="B11" s="166"/>
      <c r="C11" s="167" t="s">
        <v>126</v>
      </c>
      <c r="D11" s="168">
        <v>1.5</v>
      </c>
      <c r="E11" s="199">
        <v>1.5</v>
      </c>
      <c r="F11" s="200">
        <v>1</v>
      </c>
      <c r="G11" s="168">
        <v>1</v>
      </c>
      <c r="H11" s="200">
        <v>2.5</v>
      </c>
      <c r="I11" s="169">
        <v>2</v>
      </c>
      <c r="J11" s="152">
        <f t="shared" si="0"/>
        <v>9.5</v>
      </c>
    </row>
    <row r="12" spans="2:10" s="116" customFormat="1" ht="13.2" customHeight="1" x14ac:dyDescent="0.2">
      <c r="B12" s="173"/>
      <c r="C12" s="174" t="s">
        <v>127</v>
      </c>
      <c r="D12" s="146">
        <v>1.5</v>
      </c>
      <c r="E12" s="146">
        <v>2</v>
      </c>
      <c r="F12" s="146">
        <v>0.5</v>
      </c>
      <c r="G12" s="146">
        <v>1</v>
      </c>
      <c r="H12" s="197">
        <v>2.5</v>
      </c>
      <c r="I12" s="147">
        <v>2</v>
      </c>
      <c r="J12" s="151">
        <f t="shared" si="0"/>
        <v>9.5</v>
      </c>
    </row>
    <row r="13" spans="2:10" ht="18" customHeight="1" x14ac:dyDescent="0.25">
      <c r="B13" s="175">
        <v>3</v>
      </c>
      <c r="C13" s="176" t="str">
        <f>Config!C7&amp;", "&amp;Config!D7</f>
        <v>Fleischmann, Leonie</v>
      </c>
      <c r="D13" s="182">
        <v>0.5</v>
      </c>
      <c r="E13" s="182">
        <v>1.5</v>
      </c>
      <c r="F13" s="182">
        <v>1.5</v>
      </c>
      <c r="G13" s="182">
        <v>3</v>
      </c>
      <c r="H13" s="182">
        <v>3</v>
      </c>
      <c r="I13" s="183">
        <v>1</v>
      </c>
      <c r="J13" s="177">
        <f t="shared" si="0"/>
        <v>10.5</v>
      </c>
    </row>
    <row r="14" spans="2:10" s="116" customFormat="1" ht="13.2" customHeight="1" x14ac:dyDescent="0.2">
      <c r="B14" s="160"/>
      <c r="C14" s="161" t="s">
        <v>126</v>
      </c>
      <c r="D14" s="162"/>
      <c r="E14" s="162"/>
      <c r="F14" s="162"/>
      <c r="G14" s="162"/>
      <c r="H14" s="162"/>
      <c r="I14" s="163"/>
      <c r="J14" s="149">
        <f t="shared" si="0"/>
        <v>0</v>
      </c>
    </row>
    <row r="15" spans="2:10" s="116" customFormat="1" ht="13.2" customHeight="1" x14ac:dyDescent="0.2">
      <c r="B15" s="164"/>
      <c r="C15" s="165" t="s">
        <v>127</v>
      </c>
      <c r="D15" s="146"/>
      <c r="E15" s="146"/>
      <c r="F15" s="146"/>
      <c r="G15" s="146"/>
      <c r="H15" s="146"/>
      <c r="I15" s="147"/>
      <c r="J15" s="148">
        <f t="shared" si="0"/>
        <v>0</v>
      </c>
    </row>
    <row r="16" spans="2:10" ht="18" customHeight="1" x14ac:dyDescent="0.25">
      <c r="B16" s="170">
        <v>4</v>
      </c>
      <c r="C16" s="171" t="str">
        <f>Config!C8&amp;", "&amp;Config!D8</f>
        <v>Drescher, Cedric</v>
      </c>
      <c r="D16" s="180">
        <v>2</v>
      </c>
      <c r="E16" s="180">
        <v>2</v>
      </c>
      <c r="F16" s="180">
        <v>1</v>
      </c>
      <c r="G16" s="180">
        <v>3</v>
      </c>
      <c r="H16" s="180">
        <v>2.5</v>
      </c>
      <c r="I16" s="181">
        <v>2</v>
      </c>
      <c r="J16" s="172">
        <f t="shared" si="0"/>
        <v>12.5</v>
      </c>
    </row>
    <row r="17" spans="2:10" s="116" customFormat="1" ht="13.2" customHeight="1" x14ac:dyDescent="0.2">
      <c r="B17" s="166"/>
      <c r="C17" s="167" t="s">
        <v>126</v>
      </c>
      <c r="D17" s="168"/>
      <c r="E17" s="168"/>
      <c r="F17" s="168"/>
      <c r="G17" s="168"/>
      <c r="H17" s="168"/>
      <c r="I17" s="169"/>
      <c r="J17" s="152">
        <f t="shared" si="0"/>
        <v>0</v>
      </c>
    </row>
    <row r="18" spans="2:10" s="116" customFormat="1" ht="13.2" customHeight="1" x14ac:dyDescent="0.2">
      <c r="B18" s="173"/>
      <c r="C18" s="174" t="s">
        <v>127</v>
      </c>
      <c r="D18" s="146"/>
      <c r="E18" s="146"/>
      <c r="F18" s="146"/>
      <c r="G18" s="146"/>
      <c r="H18" s="146"/>
      <c r="I18" s="147"/>
      <c r="J18" s="151">
        <f t="shared" si="0"/>
        <v>0</v>
      </c>
    </row>
    <row r="19" spans="2:10" ht="18" customHeight="1" x14ac:dyDescent="0.25">
      <c r="B19" s="175">
        <v>5</v>
      </c>
      <c r="C19" s="176" t="str">
        <f>Config!C9&amp;", "&amp;Config!D9</f>
        <v>Baumgarten, Annabell</v>
      </c>
      <c r="D19" s="182">
        <v>2</v>
      </c>
      <c r="E19" s="182">
        <v>2</v>
      </c>
      <c r="F19" s="182">
        <v>2.5</v>
      </c>
      <c r="G19" s="182">
        <v>3</v>
      </c>
      <c r="H19" s="182">
        <v>2.5</v>
      </c>
      <c r="I19" s="183">
        <v>2</v>
      </c>
      <c r="J19" s="177">
        <f t="shared" si="0"/>
        <v>14</v>
      </c>
    </row>
    <row r="20" spans="2:10" s="116" customFormat="1" ht="13.2" customHeight="1" x14ac:dyDescent="0.2">
      <c r="B20" s="160"/>
      <c r="C20" s="161" t="s">
        <v>126</v>
      </c>
      <c r="D20" s="162"/>
      <c r="E20" s="162"/>
      <c r="F20" s="162"/>
      <c r="G20" s="162"/>
      <c r="H20" s="162"/>
      <c r="I20" s="163"/>
      <c r="J20" s="149">
        <f t="shared" si="0"/>
        <v>0</v>
      </c>
    </row>
    <row r="21" spans="2:10" s="116" customFormat="1" ht="13.2" customHeight="1" x14ac:dyDescent="0.2">
      <c r="B21" s="164"/>
      <c r="C21" s="165" t="s">
        <v>127</v>
      </c>
      <c r="D21" s="146"/>
      <c r="E21" s="146"/>
      <c r="F21" s="146"/>
      <c r="G21" s="146"/>
      <c r="H21" s="146"/>
      <c r="I21" s="147"/>
      <c r="J21" s="148">
        <f t="shared" si="0"/>
        <v>0</v>
      </c>
    </row>
    <row r="22" spans="2:10" ht="18" customHeight="1" x14ac:dyDescent="0.25">
      <c r="B22" s="170">
        <v>6</v>
      </c>
      <c r="C22" s="171" t="str">
        <f>Config!C10&amp;", "&amp;Config!D10</f>
        <v>Traut, Stefanie</v>
      </c>
      <c r="D22" s="180">
        <v>2</v>
      </c>
      <c r="E22" s="180">
        <v>2</v>
      </c>
      <c r="F22" s="180">
        <v>2</v>
      </c>
      <c r="G22" s="180">
        <v>2</v>
      </c>
      <c r="H22" s="180">
        <v>2.5</v>
      </c>
      <c r="I22" s="181">
        <v>2</v>
      </c>
      <c r="J22" s="172">
        <f t="shared" si="0"/>
        <v>12.5</v>
      </c>
    </row>
    <row r="23" spans="2:10" s="116" customFormat="1" ht="13.2" customHeight="1" x14ac:dyDescent="0.2">
      <c r="B23" s="166"/>
      <c r="C23" s="167" t="s">
        <v>126</v>
      </c>
      <c r="D23" s="168"/>
      <c r="E23" s="168"/>
      <c r="F23" s="168"/>
      <c r="G23" s="168"/>
      <c r="H23" s="168"/>
      <c r="I23" s="169"/>
      <c r="J23" s="152">
        <f t="shared" si="0"/>
        <v>0</v>
      </c>
    </row>
    <row r="24" spans="2:10" s="116" customFormat="1" ht="13.2" customHeight="1" x14ac:dyDescent="0.2">
      <c r="B24" s="173"/>
      <c r="C24" s="174" t="s">
        <v>127</v>
      </c>
      <c r="D24" s="146"/>
      <c r="E24" s="146"/>
      <c r="F24" s="146"/>
      <c r="G24" s="146"/>
      <c r="H24" s="146"/>
      <c r="I24" s="147"/>
      <c r="J24" s="151">
        <f t="shared" si="0"/>
        <v>0</v>
      </c>
    </row>
    <row r="25" spans="2:10" ht="18" customHeight="1" x14ac:dyDescent="0.25">
      <c r="B25" s="175">
        <v>7</v>
      </c>
      <c r="C25" s="176" t="str">
        <f>Config!C11&amp;", "&amp;Config!D11</f>
        <v>Menke, Damian</v>
      </c>
      <c r="D25" s="182">
        <v>1</v>
      </c>
      <c r="E25" s="182">
        <v>1.5</v>
      </c>
      <c r="F25" s="182">
        <v>3</v>
      </c>
      <c r="G25" s="182">
        <v>3</v>
      </c>
      <c r="H25" s="182">
        <v>3</v>
      </c>
      <c r="I25" s="183">
        <v>1</v>
      </c>
      <c r="J25" s="177">
        <f t="shared" si="0"/>
        <v>12.5</v>
      </c>
    </row>
    <row r="26" spans="2:10" s="116" customFormat="1" ht="13.2" customHeight="1" x14ac:dyDescent="0.2">
      <c r="B26" s="160"/>
      <c r="C26" s="161" t="s">
        <v>126</v>
      </c>
      <c r="D26" s="162"/>
      <c r="E26" s="162"/>
      <c r="F26" s="162"/>
      <c r="G26" s="162"/>
      <c r="H26" s="162"/>
      <c r="I26" s="163"/>
      <c r="J26" s="149">
        <f t="shared" si="0"/>
        <v>0</v>
      </c>
    </row>
    <row r="27" spans="2:10" s="116" customFormat="1" ht="13.2" customHeight="1" x14ac:dyDescent="0.2">
      <c r="B27" s="164"/>
      <c r="C27" s="165" t="s">
        <v>127</v>
      </c>
      <c r="D27" s="146"/>
      <c r="E27" s="146"/>
      <c r="F27" s="146"/>
      <c r="G27" s="146"/>
      <c r="H27" s="146"/>
      <c r="I27" s="147"/>
      <c r="J27" s="148">
        <f t="shared" si="0"/>
        <v>0</v>
      </c>
    </row>
    <row r="28" spans="2:10" ht="18" customHeight="1" x14ac:dyDescent="0.25">
      <c r="B28" s="170">
        <v>8</v>
      </c>
      <c r="C28" s="171" t="str">
        <f>Config!C12&amp;", "&amp;Config!D12</f>
        <v>Carroll, Meik</v>
      </c>
      <c r="D28" s="180">
        <v>0.5</v>
      </c>
      <c r="E28" s="180">
        <v>2</v>
      </c>
      <c r="F28" s="180">
        <v>1.5</v>
      </c>
      <c r="G28" s="180">
        <v>1</v>
      </c>
      <c r="H28" s="180">
        <v>3</v>
      </c>
      <c r="I28" s="181">
        <v>1</v>
      </c>
      <c r="J28" s="172">
        <f t="shared" si="0"/>
        <v>9</v>
      </c>
    </row>
    <row r="29" spans="2:10" s="116" customFormat="1" ht="13.2" customHeight="1" x14ac:dyDescent="0.2">
      <c r="B29" s="166"/>
      <c r="C29" s="167" t="s">
        <v>126</v>
      </c>
      <c r="D29" s="168"/>
      <c r="E29" s="168"/>
      <c r="F29" s="168"/>
      <c r="G29" s="168"/>
      <c r="H29" s="168"/>
      <c r="I29" s="169"/>
      <c r="J29" s="152">
        <f t="shared" si="0"/>
        <v>0</v>
      </c>
    </row>
    <row r="30" spans="2:10" s="116" customFormat="1" ht="13.2" customHeight="1" x14ac:dyDescent="0.2">
      <c r="B30" s="173"/>
      <c r="C30" s="174" t="s">
        <v>127</v>
      </c>
      <c r="D30" s="146"/>
      <c r="E30" s="146"/>
      <c r="F30" s="146"/>
      <c r="G30" s="146"/>
      <c r="H30" s="146"/>
      <c r="I30" s="147"/>
      <c r="J30" s="151">
        <f t="shared" si="0"/>
        <v>0</v>
      </c>
    </row>
    <row r="31" spans="2:10" ht="18" customHeight="1" x14ac:dyDescent="0.25">
      <c r="B31" s="175">
        <v>9</v>
      </c>
      <c r="C31" s="176" t="str">
        <f>Config!C13&amp;", "&amp;Config!D13</f>
        <v>Hennings, Tomas</v>
      </c>
      <c r="D31" s="182">
        <v>1.5</v>
      </c>
      <c r="E31" s="182">
        <v>2</v>
      </c>
      <c r="F31" s="182">
        <v>1.5</v>
      </c>
      <c r="G31" s="182">
        <v>1</v>
      </c>
      <c r="H31" s="182">
        <v>2</v>
      </c>
      <c r="I31" s="183">
        <v>2</v>
      </c>
      <c r="J31" s="177">
        <f t="shared" si="0"/>
        <v>10</v>
      </c>
    </row>
    <row r="32" spans="2:10" s="116" customFormat="1" ht="13.2" customHeight="1" x14ac:dyDescent="0.2">
      <c r="B32" s="160"/>
      <c r="C32" s="161" t="s">
        <v>126</v>
      </c>
      <c r="D32" s="162"/>
      <c r="E32" s="162"/>
      <c r="F32" s="162"/>
      <c r="G32" s="162"/>
      <c r="H32" s="162"/>
      <c r="I32" s="163"/>
      <c r="J32" s="149">
        <f t="shared" si="0"/>
        <v>0</v>
      </c>
    </row>
    <row r="33" spans="2:10" s="116" customFormat="1" ht="13.2" customHeight="1" x14ac:dyDescent="0.2">
      <c r="B33" s="164"/>
      <c r="C33" s="165" t="s">
        <v>127</v>
      </c>
      <c r="D33" s="146"/>
      <c r="E33" s="146"/>
      <c r="F33" s="146"/>
      <c r="G33" s="146"/>
      <c r="H33" s="146"/>
      <c r="I33" s="147"/>
      <c r="J33" s="148">
        <f t="shared" si="0"/>
        <v>0</v>
      </c>
    </row>
    <row r="34" spans="2:10" ht="18" customHeight="1" x14ac:dyDescent="0.25">
      <c r="B34" s="170">
        <v>10</v>
      </c>
      <c r="C34" s="171" t="str">
        <f>Config!C14&amp;", "&amp;Config!D14</f>
        <v>Walters, Linn</v>
      </c>
      <c r="D34" s="180">
        <v>0.5</v>
      </c>
      <c r="E34" s="180">
        <v>1</v>
      </c>
      <c r="F34" s="180">
        <v>0</v>
      </c>
      <c r="G34" s="180">
        <v>1</v>
      </c>
      <c r="H34" s="180">
        <v>0.5</v>
      </c>
      <c r="I34" s="181">
        <v>0</v>
      </c>
      <c r="J34" s="172">
        <f t="shared" si="0"/>
        <v>3</v>
      </c>
    </row>
    <row r="35" spans="2:10" s="116" customFormat="1" ht="13.2" customHeight="1" x14ac:dyDescent="0.2">
      <c r="B35" s="166"/>
      <c r="C35" s="167" t="s">
        <v>126</v>
      </c>
      <c r="D35" s="168"/>
      <c r="E35" s="168"/>
      <c r="F35" s="168"/>
      <c r="G35" s="168"/>
      <c r="H35" s="168"/>
      <c r="I35" s="169"/>
      <c r="J35" s="152">
        <f t="shared" si="0"/>
        <v>0</v>
      </c>
    </row>
    <row r="36" spans="2:10" s="116" customFormat="1" ht="13.2" customHeight="1" x14ac:dyDescent="0.2">
      <c r="B36" s="173"/>
      <c r="C36" s="174" t="s">
        <v>127</v>
      </c>
      <c r="D36" s="146"/>
      <c r="E36" s="146"/>
      <c r="F36" s="146"/>
      <c r="G36" s="146"/>
      <c r="H36" s="146"/>
      <c r="I36" s="147"/>
      <c r="J36" s="151">
        <f t="shared" si="0"/>
        <v>0</v>
      </c>
    </row>
    <row r="37" spans="2:10" ht="18" customHeight="1" x14ac:dyDescent="0.25">
      <c r="B37" s="175">
        <v>11</v>
      </c>
      <c r="C37" s="176" t="str">
        <f>Config!C15&amp;", "&amp;Config!D15</f>
        <v>Junker, Amely</v>
      </c>
      <c r="D37" s="182">
        <v>0.5</v>
      </c>
      <c r="E37" s="182">
        <v>2</v>
      </c>
      <c r="F37" s="182">
        <v>1.5</v>
      </c>
      <c r="G37" s="182">
        <v>0</v>
      </c>
      <c r="H37" s="182">
        <v>1.5</v>
      </c>
      <c r="I37" s="183">
        <v>1</v>
      </c>
      <c r="J37" s="177">
        <f t="shared" si="0"/>
        <v>6.5</v>
      </c>
    </row>
    <row r="38" spans="2:10" s="116" customFormat="1" ht="13.2" customHeight="1" x14ac:dyDescent="0.2">
      <c r="B38" s="160"/>
      <c r="C38" s="161" t="s">
        <v>126</v>
      </c>
      <c r="D38" s="162"/>
      <c r="E38" s="162"/>
      <c r="F38" s="162"/>
      <c r="G38" s="162"/>
      <c r="H38" s="162"/>
      <c r="I38" s="163"/>
      <c r="J38" s="149">
        <f t="shared" si="0"/>
        <v>0</v>
      </c>
    </row>
    <row r="39" spans="2:10" s="116" customFormat="1" ht="13.2" customHeight="1" x14ac:dyDescent="0.2">
      <c r="B39" s="164"/>
      <c r="C39" s="165" t="s">
        <v>127</v>
      </c>
      <c r="D39" s="146"/>
      <c r="E39" s="146"/>
      <c r="F39" s="146"/>
      <c r="G39" s="146"/>
      <c r="H39" s="146"/>
      <c r="I39" s="147"/>
      <c r="J39" s="148">
        <f t="shared" ref="J39:J70" si="1">SUM(D39:I39)</f>
        <v>0</v>
      </c>
    </row>
    <row r="40" spans="2:10" ht="18" customHeight="1" x14ac:dyDescent="0.25">
      <c r="B40" s="170">
        <v>12</v>
      </c>
      <c r="C40" s="171" t="str">
        <f>Config!C16&amp;", "&amp;Config!D16</f>
        <v>Stephens, Melvin</v>
      </c>
      <c r="D40" s="180">
        <v>2</v>
      </c>
      <c r="E40" s="180">
        <v>2</v>
      </c>
      <c r="F40" s="180">
        <v>1</v>
      </c>
      <c r="G40" s="180">
        <v>3</v>
      </c>
      <c r="H40" s="180">
        <v>1.5</v>
      </c>
      <c r="I40" s="181">
        <v>2</v>
      </c>
      <c r="J40" s="172">
        <f t="shared" si="1"/>
        <v>11.5</v>
      </c>
    </row>
    <row r="41" spans="2:10" s="116" customFormat="1" ht="13.2" customHeight="1" x14ac:dyDescent="0.2">
      <c r="B41" s="166"/>
      <c r="C41" s="167" t="s">
        <v>126</v>
      </c>
      <c r="D41" s="168"/>
      <c r="E41" s="168"/>
      <c r="F41" s="168"/>
      <c r="G41" s="168"/>
      <c r="H41" s="168"/>
      <c r="I41" s="169"/>
      <c r="J41" s="152">
        <f t="shared" si="1"/>
        <v>0</v>
      </c>
    </row>
    <row r="42" spans="2:10" s="116" customFormat="1" ht="13.2" customHeight="1" x14ac:dyDescent="0.2">
      <c r="B42" s="173"/>
      <c r="C42" s="174" t="s">
        <v>127</v>
      </c>
      <c r="D42" s="146"/>
      <c r="E42" s="146"/>
      <c r="F42" s="146"/>
      <c r="G42" s="146"/>
      <c r="H42" s="146"/>
      <c r="I42" s="147"/>
      <c r="J42" s="151">
        <f t="shared" si="1"/>
        <v>0</v>
      </c>
    </row>
    <row r="43" spans="2:10" ht="18" customHeight="1" x14ac:dyDescent="0.25">
      <c r="B43" s="175">
        <v>13</v>
      </c>
      <c r="C43" s="176" t="str">
        <f>Config!C17&amp;", "&amp;Config!D17</f>
        <v>Cremer, Marvin</v>
      </c>
      <c r="D43" s="182">
        <v>1.5</v>
      </c>
      <c r="E43" s="182">
        <v>2</v>
      </c>
      <c r="F43" s="182">
        <v>1.5</v>
      </c>
      <c r="G43" s="182">
        <v>3</v>
      </c>
      <c r="H43" s="182">
        <v>3</v>
      </c>
      <c r="I43" s="183">
        <v>1.5</v>
      </c>
      <c r="J43" s="177">
        <f t="shared" si="1"/>
        <v>12.5</v>
      </c>
    </row>
    <row r="44" spans="2:10" s="116" customFormat="1" ht="13.2" customHeight="1" x14ac:dyDescent="0.2">
      <c r="B44" s="160"/>
      <c r="C44" s="161" t="s">
        <v>126</v>
      </c>
      <c r="D44" s="162"/>
      <c r="E44" s="162"/>
      <c r="F44" s="162"/>
      <c r="G44" s="162"/>
      <c r="H44" s="162"/>
      <c r="I44" s="163"/>
      <c r="J44" s="149">
        <f t="shared" si="1"/>
        <v>0</v>
      </c>
    </row>
    <row r="45" spans="2:10" s="116" customFormat="1" ht="13.2" customHeight="1" x14ac:dyDescent="0.2">
      <c r="B45" s="164"/>
      <c r="C45" s="165" t="s">
        <v>127</v>
      </c>
      <c r="D45" s="146"/>
      <c r="E45" s="146"/>
      <c r="F45" s="146"/>
      <c r="G45" s="146"/>
      <c r="H45" s="146"/>
      <c r="I45" s="147"/>
      <c r="J45" s="148">
        <f t="shared" si="1"/>
        <v>0</v>
      </c>
    </row>
    <row r="46" spans="2:10" ht="18" customHeight="1" x14ac:dyDescent="0.25">
      <c r="B46" s="170">
        <v>14</v>
      </c>
      <c r="C46" s="171" t="str">
        <f>Config!C18&amp;", "&amp;Config!D18</f>
        <v>Nash, Jean</v>
      </c>
      <c r="D46" s="180">
        <v>2</v>
      </c>
      <c r="E46" s="180">
        <v>2</v>
      </c>
      <c r="F46" s="180">
        <v>1.5</v>
      </c>
      <c r="G46" s="180">
        <v>3</v>
      </c>
      <c r="H46" s="180">
        <v>3</v>
      </c>
      <c r="I46" s="181">
        <v>2</v>
      </c>
      <c r="J46" s="172">
        <f t="shared" si="1"/>
        <v>13.5</v>
      </c>
    </row>
    <row r="47" spans="2:10" s="116" customFormat="1" ht="13.2" customHeight="1" x14ac:dyDescent="0.2">
      <c r="B47" s="166"/>
      <c r="C47" s="167" t="s">
        <v>126</v>
      </c>
      <c r="D47" s="168"/>
      <c r="E47" s="168"/>
      <c r="F47" s="168"/>
      <c r="G47" s="168"/>
      <c r="H47" s="168"/>
      <c r="I47" s="169"/>
      <c r="J47" s="152">
        <f t="shared" si="1"/>
        <v>0</v>
      </c>
    </row>
    <row r="48" spans="2:10" s="116" customFormat="1" ht="13.2" customHeight="1" x14ac:dyDescent="0.2">
      <c r="B48" s="173"/>
      <c r="C48" s="174" t="s">
        <v>127</v>
      </c>
      <c r="D48" s="146"/>
      <c r="E48" s="146"/>
      <c r="F48" s="146"/>
      <c r="G48" s="146"/>
      <c r="H48" s="146"/>
      <c r="I48" s="147"/>
      <c r="J48" s="151">
        <f t="shared" si="1"/>
        <v>0</v>
      </c>
    </row>
    <row r="49" spans="2:10" ht="18" customHeight="1" x14ac:dyDescent="0.25">
      <c r="B49" s="175">
        <v>15</v>
      </c>
      <c r="C49" s="176" t="str">
        <f>Config!C19&amp;", "&amp;Config!D19</f>
        <v>Schön, Leonardo</v>
      </c>
      <c r="D49" s="182">
        <v>1</v>
      </c>
      <c r="E49" s="182">
        <v>2</v>
      </c>
      <c r="F49" s="182">
        <v>1.5</v>
      </c>
      <c r="G49" s="182">
        <v>3</v>
      </c>
      <c r="H49" s="182">
        <v>2.5</v>
      </c>
      <c r="I49" s="183">
        <v>2</v>
      </c>
      <c r="J49" s="177">
        <f t="shared" si="1"/>
        <v>12</v>
      </c>
    </row>
    <row r="50" spans="2:10" s="116" customFormat="1" ht="13.2" customHeight="1" x14ac:dyDescent="0.2">
      <c r="B50" s="160"/>
      <c r="C50" s="161" t="s">
        <v>126</v>
      </c>
      <c r="D50" s="162"/>
      <c r="E50" s="162"/>
      <c r="F50" s="162"/>
      <c r="G50" s="162"/>
      <c r="H50" s="162"/>
      <c r="I50" s="163"/>
      <c r="J50" s="149">
        <f t="shared" si="1"/>
        <v>0</v>
      </c>
    </row>
    <row r="51" spans="2:10" s="116" customFormat="1" ht="13.2" customHeight="1" x14ac:dyDescent="0.2">
      <c r="B51" s="164"/>
      <c r="C51" s="165" t="s">
        <v>127</v>
      </c>
      <c r="D51" s="146"/>
      <c r="E51" s="146"/>
      <c r="F51" s="146"/>
      <c r="G51" s="146"/>
      <c r="H51" s="146"/>
      <c r="I51" s="147"/>
      <c r="J51" s="148">
        <f t="shared" si="1"/>
        <v>0</v>
      </c>
    </row>
    <row r="52" spans="2:10" ht="18" customHeight="1" x14ac:dyDescent="0.25">
      <c r="B52" s="170">
        <v>16</v>
      </c>
      <c r="C52" s="171" t="str">
        <f>Config!C20&amp;", "&amp;Config!D20</f>
        <v>Sigl, Nicholas</v>
      </c>
      <c r="D52" s="180">
        <v>2</v>
      </c>
      <c r="E52" s="180">
        <v>0</v>
      </c>
      <c r="F52" s="180">
        <v>1</v>
      </c>
      <c r="G52" s="180">
        <v>1.5</v>
      </c>
      <c r="H52" s="180">
        <v>2</v>
      </c>
      <c r="I52" s="181">
        <v>1</v>
      </c>
      <c r="J52" s="172">
        <f t="shared" si="1"/>
        <v>7.5</v>
      </c>
    </row>
    <row r="53" spans="2:10" s="116" customFormat="1" ht="13.2" customHeight="1" x14ac:dyDescent="0.2">
      <c r="B53" s="166"/>
      <c r="C53" s="167" t="s">
        <v>126</v>
      </c>
      <c r="D53" s="168"/>
      <c r="E53" s="168"/>
      <c r="F53" s="168"/>
      <c r="G53" s="168"/>
      <c r="H53" s="168"/>
      <c r="I53" s="169"/>
      <c r="J53" s="152">
        <f t="shared" si="1"/>
        <v>0</v>
      </c>
    </row>
    <row r="54" spans="2:10" s="116" customFormat="1" ht="13.2" customHeight="1" x14ac:dyDescent="0.2">
      <c r="B54" s="173"/>
      <c r="C54" s="174" t="s">
        <v>127</v>
      </c>
      <c r="D54" s="146"/>
      <c r="E54" s="146"/>
      <c r="F54" s="146"/>
      <c r="G54" s="146"/>
      <c r="H54" s="146"/>
      <c r="I54" s="147"/>
      <c r="J54" s="151">
        <f t="shared" si="1"/>
        <v>0</v>
      </c>
    </row>
    <row r="55" spans="2:10" ht="18" customHeight="1" x14ac:dyDescent="0.25">
      <c r="B55" s="175">
        <v>17</v>
      </c>
      <c r="C55" s="176" t="str">
        <f>Config!C21&amp;", "&amp;Config!D21</f>
        <v>Kainz, Vivienne</v>
      </c>
      <c r="D55" s="182">
        <v>0.5</v>
      </c>
      <c r="E55" s="182">
        <v>0</v>
      </c>
      <c r="F55" s="182">
        <v>0</v>
      </c>
      <c r="G55" s="182">
        <v>0</v>
      </c>
      <c r="H55" s="182">
        <v>0.5</v>
      </c>
      <c r="I55" s="183">
        <v>0</v>
      </c>
      <c r="J55" s="177">
        <f t="shared" si="1"/>
        <v>1</v>
      </c>
    </row>
    <row r="56" spans="2:10" s="116" customFormat="1" ht="13.2" customHeight="1" x14ac:dyDescent="0.2">
      <c r="B56" s="160"/>
      <c r="C56" s="161" t="s">
        <v>126</v>
      </c>
      <c r="D56" s="162"/>
      <c r="E56" s="162"/>
      <c r="F56" s="162"/>
      <c r="G56" s="162"/>
      <c r="H56" s="162"/>
      <c r="I56" s="163"/>
      <c r="J56" s="149">
        <f t="shared" si="1"/>
        <v>0</v>
      </c>
    </row>
    <row r="57" spans="2:10" s="116" customFormat="1" ht="13.2" customHeight="1" x14ac:dyDescent="0.2">
      <c r="B57" s="164"/>
      <c r="C57" s="165" t="s">
        <v>127</v>
      </c>
      <c r="D57" s="146"/>
      <c r="E57" s="146"/>
      <c r="F57" s="146"/>
      <c r="G57" s="146"/>
      <c r="H57" s="146"/>
      <c r="I57" s="147"/>
      <c r="J57" s="148">
        <f t="shared" si="1"/>
        <v>0</v>
      </c>
    </row>
    <row r="58" spans="2:10" ht="18" customHeight="1" x14ac:dyDescent="0.25">
      <c r="B58" s="170">
        <v>18</v>
      </c>
      <c r="C58" s="171" t="str">
        <f>Config!C22&amp;", "&amp;Config!D22</f>
        <v>Hartmann, Mads</v>
      </c>
      <c r="D58" s="180">
        <v>2</v>
      </c>
      <c r="E58" s="180">
        <v>2</v>
      </c>
      <c r="F58" s="180">
        <v>1</v>
      </c>
      <c r="G58" s="180">
        <v>1</v>
      </c>
      <c r="H58" s="180">
        <v>3</v>
      </c>
      <c r="I58" s="181">
        <v>1</v>
      </c>
      <c r="J58" s="172">
        <f t="shared" si="1"/>
        <v>10</v>
      </c>
    </row>
    <row r="59" spans="2:10" s="116" customFormat="1" ht="13.2" customHeight="1" x14ac:dyDescent="0.2">
      <c r="B59" s="166"/>
      <c r="C59" s="167" t="s">
        <v>126</v>
      </c>
      <c r="D59" s="168"/>
      <c r="E59" s="168"/>
      <c r="F59" s="168"/>
      <c r="G59" s="168"/>
      <c r="H59" s="168"/>
      <c r="I59" s="169"/>
      <c r="J59" s="152">
        <f t="shared" si="1"/>
        <v>0</v>
      </c>
    </row>
    <row r="60" spans="2:10" s="116" customFormat="1" ht="13.2" customHeight="1" x14ac:dyDescent="0.2">
      <c r="B60" s="173"/>
      <c r="C60" s="174" t="s">
        <v>127</v>
      </c>
      <c r="D60" s="146"/>
      <c r="E60" s="146"/>
      <c r="F60" s="146"/>
      <c r="G60" s="146"/>
      <c r="H60" s="146"/>
      <c r="I60" s="147"/>
      <c r="J60" s="151">
        <f t="shared" si="1"/>
        <v>0</v>
      </c>
    </row>
    <row r="61" spans="2:10" ht="18" customHeight="1" x14ac:dyDescent="0.25">
      <c r="B61" s="175">
        <v>19</v>
      </c>
      <c r="C61" s="176" t="str">
        <f>Config!C23&amp;", "&amp;Config!D23</f>
        <v>Ullmann, Raphael</v>
      </c>
      <c r="D61" s="182">
        <v>0.5</v>
      </c>
      <c r="E61" s="182">
        <v>2</v>
      </c>
      <c r="F61" s="182">
        <v>1</v>
      </c>
      <c r="G61" s="182">
        <v>2.5</v>
      </c>
      <c r="H61" s="182">
        <v>1.5</v>
      </c>
      <c r="I61" s="183">
        <v>2</v>
      </c>
      <c r="J61" s="177">
        <f t="shared" si="1"/>
        <v>9.5</v>
      </c>
    </row>
    <row r="62" spans="2:10" s="116" customFormat="1" ht="13.2" customHeight="1" x14ac:dyDescent="0.2">
      <c r="B62" s="160"/>
      <c r="C62" s="161" t="s">
        <v>126</v>
      </c>
      <c r="D62" s="162"/>
      <c r="E62" s="162"/>
      <c r="F62" s="162"/>
      <c r="G62" s="162"/>
      <c r="H62" s="162"/>
      <c r="I62" s="163"/>
      <c r="J62" s="149">
        <f t="shared" si="1"/>
        <v>0</v>
      </c>
    </row>
    <row r="63" spans="2:10" s="116" customFormat="1" ht="13.2" customHeight="1" x14ac:dyDescent="0.2">
      <c r="B63" s="164"/>
      <c r="C63" s="165" t="s">
        <v>127</v>
      </c>
      <c r="D63" s="146"/>
      <c r="E63" s="146"/>
      <c r="F63" s="146"/>
      <c r="G63" s="146"/>
      <c r="H63" s="146"/>
      <c r="I63" s="147"/>
      <c r="J63" s="148">
        <f t="shared" si="1"/>
        <v>0</v>
      </c>
    </row>
    <row r="64" spans="2:10" ht="18" customHeight="1" x14ac:dyDescent="0.25">
      <c r="B64" s="170">
        <v>20</v>
      </c>
      <c r="C64" s="171" t="str">
        <f>Config!C24&amp;", "&amp;Config!D24</f>
        <v>Hartl, Emmely</v>
      </c>
      <c r="D64" s="180">
        <v>1</v>
      </c>
      <c r="E64" s="180">
        <v>2</v>
      </c>
      <c r="F64" s="180">
        <v>2.5</v>
      </c>
      <c r="G64" s="180">
        <v>3</v>
      </c>
      <c r="H64" s="180">
        <v>3</v>
      </c>
      <c r="I64" s="181">
        <v>2</v>
      </c>
      <c r="J64" s="172">
        <f t="shared" si="1"/>
        <v>13.5</v>
      </c>
    </row>
    <row r="65" spans="2:10" s="116" customFormat="1" ht="13.2" customHeight="1" x14ac:dyDescent="0.2">
      <c r="B65" s="166"/>
      <c r="C65" s="167" t="s">
        <v>126</v>
      </c>
      <c r="D65" s="168"/>
      <c r="E65" s="168"/>
      <c r="F65" s="168"/>
      <c r="G65" s="168"/>
      <c r="H65" s="168"/>
      <c r="I65" s="169"/>
      <c r="J65" s="152">
        <f t="shared" si="1"/>
        <v>0</v>
      </c>
    </row>
    <row r="66" spans="2:10" s="116" customFormat="1" ht="13.2" customHeight="1" x14ac:dyDescent="0.2">
      <c r="B66" s="173"/>
      <c r="C66" s="174" t="s">
        <v>127</v>
      </c>
      <c r="D66" s="146"/>
      <c r="E66" s="146"/>
      <c r="F66" s="146"/>
      <c r="G66" s="146"/>
      <c r="H66" s="146"/>
      <c r="I66" s="147"/>
      <c r="J66" s="151">
        <f t="shared" si="1"/>
        <v>0</v>
      </c>
    </row>
    <row r="67" spans="2:10" ht="18" customHeight="1" x14ac:dyDescent="0.25">
      <c r="B67" s="175">
        <v>21</v>
      </c>
      <c r="C67" s="176" t="str">
        <f>Config!C25&amp;", "&amp;Config!D25</f>
        <v>Klotz, Karin</v>
      </c>
      <c r="D67" s="182">
        <v>2</v>
      </c>
      <c r="E67" s="182">
        <v>2</v>
      </c>
      <c r="F67" s="182">
        <v>1.5</v>
      </c>
      <c r="G67" s="182">
        <v>3</v>
      </c>
      <c r="H67" s="182">
        <v>3</v>
      </c>
      <c r="I67" s="183">
        <v>2</v>
      </c>
      <c r="J67" s="177">
        <f t="shared" si="1"/>
        <v>13.5</v>
      </c>
    </row>
    <row r="68" spans="2:10" s="116" customFormat="1" ht="13.2" customHeight="1" x14ac:dyDescent="0.2">
      <c r="B68" s="160"/>
      <c r="C68" s="161" t="s">
        <v>126</v>
      </c>
      <c r="D68" s="162"/>
      <c r="E68" s="162"/>
      <c r="F68" s="162"/>
      <c r="G68" s="162"/>
      <c r="H68" s="162"/>
      <c r="I68" s="163"/>
      <c r="J68" s="149">
        <f t="shared" si="1"/>
        <v>0</v>
      </c>
    </row>
    <row r="69" spans="2:10" s="116" customFormat="1" ht="13.2" customHeight="1" x14ac:dyDescent="0.2">
      <c r="B69" s="164"/>
      <c r="C69" s="165" t="s">
        <v>127</v>
      </c>
      <c r="D69" s="146"/>
      <c r="E69" s="146"/>
      <c r="F69" s="146"/>
      <c r="G69" s="146"/>
      <c r="H69" s="146"/>
      <c r="I69" s="147"/>
      <c r="J69" s="148">
        <f t="shared" si="1"/>
        <v>0</v>
      </c>
    </row>
    <row r="70" spans="2:10" ht="18" customHeight="1" x14ac:dyDescent="0.25">
      <c r="B70" s="170">
        <v>22</v>
      </c>
      <c r="C70" s="171" t="str">
        <f>Config!C26&amp;", "&amp;Config!D26</f>
        <v>Ehlers, Ingo</v>
      </c>
      <c r="D70" s="180">
        <v>0.5</v>
      </c>
      <c r="E70" s="180">
        <v>1.5</v>
      </c>
      <c r="F70" s="180">
        <v>1</v>
      </c>
      <c r="G70" s="180">
        <v>3</v>
      </c>
      <c r="H70" s="180">
        <v>3</v>
      </c>
      <c r="I70" s="181">
        <v>1</v>
      </c>
      <c r="J70" s="172">
        <f t="shared" si="1"/>
        <v>10</v>
      </c>
    </row>
    <row r="71" spans="2:10" s="116" customFormat="1" ht="13.2" customHeight="1" x14ac:dyDescent="0.2">
      <c r="B71" s="166"/>
      <c r="C71" s="167" t="s">
        <v>126</v>
      </c>
      <c r="D71" s="168"/>
      <c r="E71" s="168"/>
      <c r="F71" s="168"/>
      <c r="G71" s="168"/>
      <c r="H71" s="168"/>
      <c r="I71" s="169"/>
      <c r="J71" s="152">
        <f t="shared" ref="J71:J75" si="2">SUM(D71:I71)</f>
        <v>0</v>
      </c>
    </row>
    <row r="72" spans="2:10" s="116" customFormat="1" ht="13.2" customHeight="1" x14ac:dyDescent="0.2">
      <c r="B72" s="173"/>
      <c r="C72" s="174" t="s">
        <v>127</v>
      </c>
      <c r="D72" s="146"/>
      <c r="E72" s="146"/>
      <c r="F72" s="146"/>
      <c r="G72" s="146"/>
      <c r="H72" s="146"/>
      <c r="I72" s="147"/>
      <c r="J72" s="151">
        <f t="shared" si="2"/>
        <v>0</v>
      </c>
    </row>
    <row r="73" spans="2:10" ht="18" customHeight="1" thickBot="1" x14ac:dyDescent="0.3">
      <c r="B73" s="142">
        <v>23</v>
      </c>
      <c r="C73" s="137" t="str">
        <f>Config!C27&amp;", "&amp;Config!D27</f>
        <v>Lindemann, Mads</v>
      </c>
      <c r="D73" s="95">
        <v>0.5</v>
      </c>
      <c r="E73" s="95">
        <v>2</v>
      </c>
      <c r="F73" s="95">
        <v>1.5</v>
      </c>
      <c r="G73" s="95">
        <v>0.5</v>
      </c>
      <c r="H73" s="95">
        <v>1.5</v>
      </c>
      <c r="I73" s="96">
        <v>1</v>
      </c>
      <c r="J73" s="145">
        <f t="shared" si="2"/>
        <v>7</v>
      </c>
    </row>
    <row r="74" spans="2:10" s="116" customFormat="1" ht="13.2" customHeight="1" x14ac:dyDescent="0.2">
      <c r="B74" s="160"/>
      <c r="C74" s="161" t="s">
        <v>126</v>
      </c>
      <c r="D74" s="162"/>
      <c r="E74" s="162"/>
      <c r="F74" s="162"/>
      <c r="G74" s="162"/>
      <c r="H74" s="162"/>
      <c r="I74" s="163"/>
      <c r="J74" s="149">
        <f t="shared" si="2"/>
        <v>0</v>
      </c>
    </row>
    <row r="75" spans="2:10" s="116" customFormat="1" ht="13.2" customHeight="1" thickBot="1" x14ac:dyDescent="0.25">
      <c r="B75" s="153"/>
      <c r="C75" s="156" t="s">
        <v>127</v>
      </c>
      <c r="D75" s="154"/>
      <c r="E75" s="154"/>
      <c r="F75" s="154"/>
      <c r="G75" s="154"/>
      <c r="H75" s="154"/>
      <c r="I75" s="155"/>
      <c r="J75" s="150">
        <f t="shared" si="2"/>
        <v>0</v>
      </c>
    </row>
    <row r="76" spans="2:10" ht="18" customHeight="1" thickBot="1" x14ac:dyDescent="0.3">
      <c r="B76" s="119"/>
      <c r="C76" s="120"/>
      <c r="D76" s="120">
        <f>IF(COUNTIFS(D7:D73,"&lt;&gt;",C7:C73,"&lt;&gt;ZK",C7:C73,"&lt;&gt;DK")&lt;&gt;0,SUMIFS(D7:D73,C7:C73,"&lt;&gt;ZK",C7:C73,"&lt;&gt;DK")/(COUNTIFS(D7:D73,"&lt;&gt;",C7:C73,"&lt;&gt;ZK",C7:C73,"&lt;&gt;DK")*D6),0)</f>
        <v>0.61956521739130432</v>
      </c>
      <c r="E76" s="120">
        <f>IF(COUNTIFS(E7:E73,"&lt;&gt;",C7:C73,"&lt;&gt;ZK",C7:C73,"&lt;&gt;DK")&lt;&gt;0,SUMIFS(E7:E73,C7:C73,"&lt;&gt;ZK",C7:C73,"&lt;&gt;DK")/(COUNTIFS(E7:E73,"&lt;&gt;",C7:C73,"&lt;&gt;ZK",C7:C73,"&lt;&gt;DK")*E6),0)</f>
        <v>0.83695652173913049</v>
      </c>
      <c r="F76" s="120">
        <f>IF(COUNTIFS(F7:F73,"&lt;&gt;",C7:C73,"&lt;&gt;ZK",C7:C73,"&lt;&gt;DK")&lt;&gt;0,SUMIFS(F7:F73,C7:C73,"&lt;&gt;ZK",C7:C73,"&lt;&gt;DK")/(COUNTIFS(F7:F73,"&lt;&gt;",C7:C73,"&lt;&gt;ZK",C7:C73,"&lt;&gt;DK")*F6),0)</f>
        <v>0.45652173913043476</v>
      </c>
      <c r="G76" s="120">
        <f>IF(COUNTIFS(G7:G73,"&lt;&gt;",C7:C73,"&lt;&gt;ZK",C7:C73,"&lt;&gt;DK")&lt;&gt;0,SUMIFS(G7:G73,C7:C73,"&lt;&gt;ZK",C7:C73,"&lt;&gt;DK")/(COUNTIFS(G7:G73,"&lt;&gt;",C7:C73,"&lt;&gt;ZK",C7:C73,"&lt;&gt;DK")*G6),0)</f>
        <v>0.6811594202898551</v>
      </c>
      <c r="H76" s="120">
        <f>IF(COUNTIFS(H7:H73,"&lt;&gt;",C7:C73,"&lt;&gt;ZK",C7:C73,"&lt;&gt;DK")&lt;&gt;0,SUMIFS(H7:H73,C7:C73,"&lt;&gt;ZK",C7:C73,"&lt;&gt;DK")/(COUNTIFS(H7:H73,"&lt;&gt;",C7:C73,"&lt;&gt;ZK",C7:C73,"&lt;&gt;DK")*H6),0)</f>
        <v>0.76811594202898548</v>
      </c>
      <c r="I76" s="120">
        <f>IF(COUNTIFS(I7:I73,"&lt;&gt;",C7:C73,"&lt;&gt;ZK",C7:C73,"&lt;&gt;DK")&lt;&gt;0,SUMIFS(I7:I73,C7:C73,"&lt;&gt;ZK",C7:C73,"&lt;&gt;DK")/(COUNTIFS(I7:I73,"&lt;&gt;",C7:C73,"&lt;&gt;ZK",C7:C73,"&lt;&gt;DK")*I6),0)</f>
        <v>0.72826086956521741</v>
      </c>
      <c r="J76" s="121"/>
    </row>
    <row r="77" spans="2:10" ht="18" customHeight="1" x14ac:dyDescent="0.25"/>
    <row r="78" spans="2:10" ht="18" customHeight="1" x14ac:dyDescent="0.25"/>
    <row r="79" spans="2:10" ht="18" customHeight="1" x14ac:dyDescent="0.25"/>
    <row r="80" spans="2:1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electLockedCells="1"/>
  <dataValidations count="6">
    <dataValidation type="decimal" allowBlank="1" showErrorMessage="1" sqref="D7:D75" xr:uid="{C1050670-11B5-440D-85F9-03995A0882AE}">
      <formula1>0</formula1>
      <formula2>$D$6</formula2>
    </dataValidation>
    <dataValidation type="decimal" allowBlank="1" showErrorMessage="1" sqref="E7:E75" xr:uid="{6C2145EB-03D1-4ABC-9492-C8342DA4D4F1}">
      <formula1>0</formula1>
      <formula2>$E$6</formula2>
    </dataValidation>
    <dataValidation type="decimal" allowBlank="1" showErrorMessage="1" sqref="F7:F75" xr:uid="{EBD5F72F-109F-4169-9680-7F883DF8B1B9}">
      <formula1>0</formula1>
      <formula2>$F$6</formula2>
    </dataValidation>
    <dataValidation type="decimal" allowBlank="1" showErrorMessage="1" sqref="G7:G75" xr:uid="{60DA7E16-8BBF-4602-BD4A-414CBABACFBE}">
      <formula1>0</formula1>
      <formula2>$G$6</formula2>
    </dataValidation>
    <dataValidation type="decimal" allowBlank="1" showErrorMessage="1" sqref="H7:H75" xr:uid="{B1D7B81D-DD83-410A-8966-7545066D183D}">
      <formula1>0</formula1>
      <formula2>$H$6</formula2>
    </dataValidation>
    <dataValidation type="decimal" allowBlank="1" showErrorMessage="1" sqref="I7:I75" xr:uid="{AD9C44C9-50F7-4857-93DD-0E15B54A72D1}">
      <formula1>0</formula1>
      <formula2>$I$6</formula2>
    </dataValidation>
  </dataValidation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63FA2-655C-4303-933D-66B3DE21F376}">
  <sheetPr codeName="Tabelle2">
    <tabColor rgb="FF92D050"/>
  </sheetPr>
  <dimension ref="B1:N100"/>
  <sheetViews>
    <sheetView workbookViewId="0">
      <selection activeCell="D8" sqref="D8"/>
    </sheetView>
  </sheetViews>
  <sheetFormatPr baseColWidth="10" defaultColWidth="11.5546875" defaultRowHeight="13.2" x14ac:dyDescent="0.25"/>
  <cols>
    <col min="1" max="2" width="3.44140625" style="98" customWidth="1"/>
    <col min="3" max="3" width="25.6640625" style="98" customWidth="1"/>
    <col min="4" max="14" width="8.6640625" style="98" customWidth="1"/>
    <col min="15" max="16384" width="11.5546875" style="98"/>
  </cols>
  <sheetData>
    <row r="1" spans="2:14" ht="18" customHeight="1" thickBot="1" x14ac:dyDescent="0.3"/>
    <row r="2" spans="2:14" ht="18" customHeight="1" x14ac:dyDescent="0.25">
      <c r="B2" s="99" t="str">
        <f>Config!F2&amp;" "&amp;YEAR(Config!G24)</f>
        <v>Mathe Abitur 2026</v>
      </c>
      <c r="C2" s="100"/>
      <c r="D2" s="100"/>
      <c r="E2" s="100"/>
      <c r="F2" s="100"/>
      <c r="G2" s="100"/>
      <c r="H2" s="100"/>
      <c r="I2" s="101"/>
      <c r="J2" s="101"/>
      <c r="K2" s="101"/>
      <c r="L2" s="101"/>
      <c r="M2" s="101"/>
      <c r="N2" s="102" t="str">
        <f>"Kurs "&amp;Config!G26</f>
        <v>Kurs K1</v>
      </c>
    </row>
    <row r="3" spans="2:14" ht="18" customHeight="1" x14ac:dyDescent="0.25">
      <c r="B3" s="103" t="s">
        <v>10</v>
      </c>
      <c r="C3" s="104"/>
      <c r="D3" s="104"/>
      <c r="E3" s="104"/>
      <c r="F3" s="104"/>
      <c r="G3" s="104"/>
      <c r="H3" s="104"/>
      <c r="I3" s="104"/>
      <c r="J3" s="104"/>
      <c r="K3" s="104"/>
      <c r="L3" s="104"/>
      <c r="M3" s="104"/>
      <c r="N3" s="105"/>
    </row>
    <row r="4" spans="2:14" ht="18" customHeight="1" thickBot="1" x14ac:dyDescent="0.3">
      <c r="B4" s="103"/>
      <c r="C4" s="104"/>
      <c r="D4" s="106"/>
      <c r="E4" s="106"/>
      <c r="F4" s="106"/>
      <c r="G4" s="106"/>
      <c r="H4" s="106"/>
      <c r="I4" s="106"/>
      <c r="J4" s="106"/>
      <c r="K4" s="106"/>
      <c r="L4" s="106"/>
      <c r="M4" s="106"/>
      <c r="N4" s="107"/>
    </row>
    <row r="5" spans="2:14" ht="18" customHeight="1" thickBot="1" x14ac:dyDescent="0.3">
      <c r="B5" s="108"/>
      <c r="C5" s="110"/>
      <c r="D5" s="124" t="str">
        <f>Config!H6</f>
        <v>1a</v>
      </c>
      <c r="E5" s="124" t="str">
        <f>Config!H7</f>
        <v>1b</v>
      </c>
      <c r="F5" s="124" t="str">
        <f>Config!H8</f>
        <v>1c</v>
      </c>
      <c r="G5" s="124" t="str">
        <f>Config!H9</f>
        <v>1d</v>
      </c>
      <c r="H5" s="124" t="str">
        <f>Config!H10</f>
        <v>1e</v>
      </c>
      <c r="I5" s="124" t="str">
        <f>Config!H11</f>
        <v>1f</v>
      </c>
      <c r="J5" s="124" t="str">
        <f>Config!H12</f>
        <v>1g</v>
      </c>
      <c r="K5" s="124" t="str">
        <f>Config!H13</f>
        <v>1h</v>
      </c>
      <c r="L5" s="124" t="str">
        <f>Config!H14</f>
        <v>2a</v>
      </c>
      <c r="M5" s="124" t="str">
        <f>Config!H15</f>
        <v>2b</v>
      </c>
      <c r="N5" s="114" t="s">
        <v>82</v>
      </c>
    </row>
    <row r="6" spans="2:14" ht="18" customHeight="1" thickBot="1" x14ac:dyDescent="0.3">
      <c r="B6" s="109"/>
      <c r="C6" s="111" t="s">
        <v>81</v>
      </c>
      <c r="D6" s="113">
        <f>Config!I6</f>
        <v>2</v>
      </c>
      <c r="E6" s="113">
        <f>Config!I7</f>
        <v>3</v>
      </c>
      <c r="F6" s="113">
        <f>Config!I8</f>
        <v>4</v>
      </c>
      <c r="G6" s="113">
        <f>Config!I9</f>
        <v>3</v>
      </c>
      <c r="H6" s="113">
        <f>Config!I10</f>
        <v>3</v>
      </c>
      <c r="I6" s="113">
        <f>Config!I11</f>
        <v>4</v>
      </c>
      <c r="J6" s="113">
        <f>Config!I12</f>
        <v>3</v>
      </c>
      <c r="K6" s="113">
        <f>Config!I13</f>
        <v>4</v>
      </c>
      <c r="L6" s="113">
        <f>Config!I14</f>
        <v>2</v>
      </c>
      <c r="M6" s="113">
        <f>Config!I15</f>
        <v>2</v>
      </c>
      <c r="N6" s="125">
        <f>Config!I21</f>
        <v>30</v>
      </c>
    </row>
    <row r="7" spans="2:14" ht="18" customHeight="1" x14ac:dyDescent="0.25">
      <c r="B7" s="157">
        <v>1</v>
      </c>
      <c r="C7" s="158" t="str">
        <f>Config!C5&amp;", "&amp;Config!D5</f>
        <v>Höfer, Simon</v>
      </c>
      <c r="D7" s="178">
        <v>1.5</v>
      </c>
      <c r="E7" s="178">
        <v>3</v>
      </c>
      <c r="F7" s="178">
        <v>3</v>
      </c>
      <c r="G7" s="178">
        <v>3</v>
      </c>
      <c r="H7" s="178">
        <v>3</v>
      </c>
      <c r="I7" s="178">
        <v>4</v>
      </c>
      <c r="J7" s="178">
        <v>3</v>
      </c>
      <c r="K7" s="178">
        <v>0</v>
      </c>
      <c r="L7" s="178">
        <v>2</v>
      </c>
      <c r="M7" s="179">
        <v>0</v>
      </c>
      <c r="N7" s="159">
        <f t="shared" ref="N7:N38" si="0">SUM(D7:M7)</f>
        <v>22.5</v>
      </c>
    </row>
    <row r="8" spans="2:14" s="116" customFormat="1" ht="13.2" customHeight="1" x14ac:dyDescent="0.2">
      <c r="B8" s="160"/>
      <c r="C8" s="161" t="s">
        <v>126</v>
      </c>
      <c r="D8" s="162"/>
      <c r="E8" s="162"/>
      <c r="F8" s="162"/>
      <c r="G8" s="162"/>
      <c r="H8" s="162"/>
      <c r="I8" s="162"/>
      <c r="J8" s="162"/>
      <c r="K8" s="162"/>
      <c r="L8" s="162"/>
      <c r="M8" s="163"/>
      <c r="N8" s="149">
        <f t="shared" si="0"/>
        <v>0</v>
      </c>
    </row>
    <row r="9" spans="2:14" s="116" customFormat="1" ht="13.2" customHeight="1" x14ac:dyDescent="0.2">
      <c r="B9" s="164"/>
      <c r="C9" s="165" t="s">
        <v>127</v>
      </c>
      <c r="D9" s="146"/>
      <c r="E9" s="146"/>
      <c r="F9" s="146"/>
      <c r="G9" s="146"/>
      <c r="H9" s="146"/>
      <c r="I9" s="146"/>
      <c r="J9" s="146"/>
      <c r="K9" s="146"/>
      <c r="L9" s="146"/>
      <c r="M9" s="147"/>
      <c r="N9" s="148">
        <f t="shared" si="0"/>
        <v>0</v>
      </c>
    </row>
    <row r="10" spans="2:14" ht="18" customHeight="1" x14ac:dyDescent="0.25">
      <c r="B10" s="170">
        <v>2</v>
      </c>
      <c r="C10" s="171" t="str">
        <f>Config!C6&amp;", "&amp;Config!D6</f>
        <v>Töpfer, Lilian</v>
      </c>
      <c r="D10" s="180">
        <v>0.5</v>
      </c>
      <c r="E10" s="180">
        <v>2.5</v>
      </c>
      <c r="F10" s="180">
        <v>3</v>
      </c>
      <c r="G10" s="180">
        <v>3</v>
      </c>
      <c r="H10" s="180">
        <v>3</v>
      </c>
      <c r="I10" s="180">
        <v>4</v>
      </c>
      <c r="J10" s="180">
        <v>0</v>
      </c>
      <c r="K10" s="180">
        <v>0</v>
      </c>
      <c r="L10" s="180">
        <v>1.5</v>
      </c>
      <c r="M10" s="181">
        <v>0</v>
      </c>
      <c r="N10" s="172">
        <f t="shared" si="0"/>
        <v>17.5</v>
      </c>
    </row>
    <row r="11" spans="2:14" s="116" customFormat="1" ht="13.2" customHeight="1" x14ac:dyDescent="0.2">
      <c r="B11" s="166"/>
      <c r="C11" s="167" t="s">
        <v>126</v>
      </c>
      <c r="D11" s="168"/>
      <c r="E11" s="168"/>
      <c r="F11" s="168"/>
      <c r="G11" s="168"/>
      <c r="H11" s="168"/>
      <c r="I11" s="168"/>
      <c r="J11" s="168"/>
      <c r="K11" s="168"/>
      <c r="L11" s="168"/>
      <c r="M11" s="169"/>
      <c r="N11" s="152">
        <f t="shared" si="0"/>
        <v>0</v>
      </c>
    </row>
    <row r="12" spans="2:14" s="116" customFormat="1" ht="13.2" customHeight="1" x14ac:dyDescent="0.2">
      <c r="B12" s="173"/>
      <c r="C12" s="174" t="s">
        <v>127</v>
      </c>
      <c r="D12" s="146"/>
      <c r="E12" s="146"/>
      <c r="F12" s="146"/>
      <c r="G12" s="146"/>
      <c r="H12" s="146"/>
      <c r="I12" s="146"/>
      <c r="J12" s="146"/>
      <c r="K12" s="146"/>
      <c r="L12" s="146"/>
      <c r="M12" s="147"/>
      <c r="N12" s="151">
        <f t="shared" si="0"/>
        <v>0</v>
      </c>
    </row>
    <row r="13" spans="2:14" ht="18" customHeight="1" x14ac:dyDescent="0.25">
      <c r="B13" s="175">
        <v>3</v>
      </c>
      <c r="C13" s="176" t="str">
        <f>Config!C7&amp;", "&amp;Config!D7</f>
        <v>Fleischmann, Leonie</v>
      </c>
      <c r="D13" s="182">
        <v>1</v>
      </c>
      <c r="E13" s="182">
        <v>2</v>
      </c>
      <c r="F13" s="182">
        <v>0</v>
      </c>
      <c r="G13" s="182">
        <v>1</v>
      </c>
      <c r="H13" s="182">
        <v>3</v>
      </c>
      <c r="I13" s="182">
        <v>2.5</v>
      </c>
      <c r="J13" s="182">
        <v>0</v>
      </c>
      <c r="K13" s="182">
        <v>0</v>
      </c>
      <c r="L13" s="182">
        <v>0</v>
      </c>
      <c r="M13" s="183">
        <v>2</v>
      </c>
      <c r="N13" s="177">
        <f t="shared" si="0"/>
        <v>11.5</v>
      </c>
    </row>
    <row r="14" spans="2:14" s="116" customFormat="1" ht="13.2" customHeight="1" x14ac:dyDescent="0.2">
      <c r="B14" s="160"/>
      <c r="C14" s="161" t="s">
        <v>126</v>
      </c>
      <c r="D14" s="162"/>
      <c r="E14" s="162"/>
      <c r="F14" s="162"/>
      <c r="G14" s="162"/>
      <c r="H14" s="162"/>
      <c r="I14" s="162"/>
      <c r="J14" s="162"/>
      <c r="K14" s="162"/>
      <c r="L14" s="162"/>
      <c r="M14" s="163"/>
      <c r="N14" s="149">
        <f t="shared" si="0"/>
        <v>0</v>
      </c>
    </row>
    <row r="15" spans="2:14" s="116" customFormat="1" ht="13.2" customHeight="1" x14ac:dyDescent="0.2">
      <c r="B15" s="164"/>
      <c r="C15" s="165" t="s">
        <v>127</v>
      </c>
      <c r="D15" s="146"/>
      <c r="E15" s="146"/>
      <c r="F15" s="146"/>
      <c r="G15" s="146"/>
      <c r="H15" s="146"/>
      <c r="I15" s="146"/>
      <c r="J15" s="146"/>
      <c r="K15" s="146"/>
      <c r="L15" s="146"/>
      <c r="M15" s="147"/>
      <c r="N15" s="148">
        <f t="shared" si="0"/>
        <v>0</v>
      </c>
    </row>
    <row r="16" spans="2:14" ht="18" customHeight="1" x14ac:dyDescent="0.25">
      <c r="B16" s="170">
        <v>4</v>
      </c>
      <c r="C16" s="171" t="str">
        <f>Config!C8&amp;", "&amp;Config!D8</f>
        <v>Drescher, Cedric</v>
      </c>
      <c r="D16" s="180">
        <v>1</v>
      </c>
      <c r="E16" s="180">
        <v>3</v>
      </c>
      <c r="F16" s="180">
        <v>3</v>
      </c>
      <c r="G16" s="180">
        <v>3</v>
      </c>
      <c r="H16" s="180">
        <v>3</v>
      </c>
      <c r="I16" s="180">
        <v>4</v>
      </c>
      <c r="J16" s="180">
        <v>1.5</v>
      </c>
      <c r="K16" s="180">
        <v>0</v>
      </c>
      <c r="L16" s="180">
        <v>1.5</v>
      </c>
      <c r="M16" s="181">
        <v>3</v>
      </c>
      <c r="N16" s="172">
        <f t="shared" si="0"/>
        <v>23</v>
      </c>
    </row>
    <row r="17" spans="2:14" s="116" customFormat="1" ht="13.2" customHeight="1" x14ac:dyDescent="0.2">
      <c r="B17" s="166"/>
      <c r="C17" s="167" t="s">
        <v>126</v>
      </c>
      <c r="D17" s="168"/>
      <c r="E17" s="168"/>
      <c r="F17" s="168"/>
      <c r="G17" s="168"/>
      <c r="H17" s="168"/>
      <c r="I17" s="168"/>
      <c r="J17" s="168"/>
      <c r="K17" s="168"/>
      <c r="L17" s="168"/>
      <c r="M17" s="169"/>
      <c r="N17" s="152">
        <f t="shared" si="0"/>
        <v>0</v>
      </c>
    </row>
    <row r="18" spans="2:14" s="116" customFormat="1" ht="13.2" customHeight="1" x14ac:dyDescent="0.2">
      <c r="B18" s="173"/>
      <c r="C18" s="174" t="s">
        <v>127</v>
      </c>
      <c r="D18" s="146"/>
      <c r="E18" s="146"/>
      <c r="F18" s="146"/>
      <c r="G18" s="146"/>
      <c r="H18" s="146"/>
      <c r="I18" s="146"/>
      <c r="J18" s="146"/>
      <c r="K18" s="146"/>
      <c r="L18" s="146"/>
      <c r="M18" s="147"/>
      <c r="N18" s="151">
        <f t="shared" si="0"/>
        <v>0</v>
      </c>
    </row>
    <row r="19" spans="2:14" ht="18" customHeight="1" x14ac:dyDescent="0.25">
      <c r="B19" s="175">
        <v>5</v>
      </c>
      <c r="C19" s="176" t="str">
        <f>Config!C9&amp;", "&amp;Config!D9</f>
        <v>Baumgarten, Annabell</v>
      </c>
      <c r="D19" s="182">
        <v>2</v>
      </c>
      <c r="E19" s="182">
        <v>2</v>
      </c>
      <c r="F19" s="182">
        <v>3.5</v>
      </c>
      <c r="G19" s="182">
        <v>2.5</v>
      </c>
      <c r="H19" s="182">
        <v>2</v>
      </c>
      <c r="I19" s="182">
        <v>1</v>
      </c>
      <c r="J19" s="182">
        <v>0.5</v>
      </c>
      <c r="K19" s="182">
        <v>2.5</v>
      </c>
      <c r="L19" s="182">
        <v>2</v>
      </c>
      <c r="M19" s="183">
        <v>3.5</v>
      </c>
      <c r="N19" s="177">
        <f t="shared" si="0"/>
        <v>21.5</v>
      </c>
    </row>
    <row r="20" spans="2:14" s="116" customFormat="1" ht="13.2" customHeight="1" x14ac:dyDescent="0.2">
      <c r="B20" s="160"/>
      <c r="C20" s="161" t="s">
        <v>126</v>
      </c>
      <c r="D20" s="162"/>
      <c r="E20" s="162"/>
      <c r="F20" s="162"/>
      <c r="G20" s="162"/>
      <c r="H20" s="162"/>
      <c r="I20" s="162"/>
      <c r="J20" s="162"/>
      <c r="K20" s="162"/>
      <c r="L20" s="162"/>
      <c r="M20" s="163"/>
      <c r="N20" s="149">
        <f t="shared" si="0"/>
        <v>0</v>
      </c>
    </row>
    <row r="21" spans="2:14" s="116" customFormat="1" ht="13.2" customHeight="1" x14ac:dyDescent="0.2">
      <c r="B21" s="164"/>
      <c r="C21" s="165" t="s">
        <v>127</v>
      </c>
      <c r="D21" s="146"/>
      <c r="E21" s="146"/>
      <c r="F21" s="146"/>
      <c r="G21" s="146"/>
      <c r="H21" s="146"/>
      <c r="I21" s="146"/>
      <c r="J21" s="146"/>
      <c r="K21" s="146"/>
      <c r="L21" s="146"/>
      <c r="M21" s="147"/>
      <c r="N21" s="148">
        <f t="shared" si="0"/>
        <v>0</v>
      </c>
    </row>
    <row r="22" spans="2:14" ht="18" customHeight="1" x14ac:dyDescent="0.25">
      <c r="B22" s="170">
        <v>6</v>
      </c>
      <c r="C22" s="171" t="str">
        <f>Config!C10&amp;", "&amp;Config!D10</f>
        <v>Traut, Stefanie</v>
      </c>
      <c r="D22" s="180">
        <v>2</v>
      </c>
      <c r="E22" s="180">
        <v>3</v>
      </c>
      <c r="F22" s="180">
        <v>4</v>
      </c>
      <c r="G22" s="180">
        <v>3</v>
      </c>
      <c r="H22" s="180">
        <v>3</v>
      </c>
      <c r="I22" s="180">
        <v>4</v>
      </c>
      <c r="J22" s="180">
        <v>3</v>
      </c>
      <c r="K22" s="180">
        <v>4</v>
      </c>
      <c r="L22" s="180">
        <v>2</v>
      </c>
      <c r="M22" s="181">
        <v>5</v>
      </c>
      <c r="N22" s="172">
        <f t="shared" si="0"/>
        <v>33</v>
      </c>
    </row>
    <row r="23" spans="2:14" s="116" customFormat="1" ht="13.2" customHeight="1" x14ac:dyDescent="0.2">
      <c r="B23" s="166"/>
      <c r="C23" s="167" t="s">
        <v>126</v>
      </c>
      <c r="D23" s="168"/>
      <c r="E23" s="168"/>
      <c r="F23" s="168"/>
      <c r="G23" s="168"/>
      <c r="H23" s="168"/>
      <c r="I23" s="168"/>
      <c r="J23" s="168"/>
      <c r="K23" s="168"/>
      <c r="L23" s="168"/>
      <c r="M23" s="169"/>
      <c r="N23" s="152">
        <f t="shared" si="0"/>
        <v>0</v>
      </c>
    </row>
    <row r="24" spans="2:14" s="116" customFormat="1" ht="13.2" customHeight="1" x14ac:dyDescent="0.2">
      <c r="B24" s="173"/>
      <c r="C24" s="174" t="s">
        <v>127</v>
      </c>
      <c r="D24" s="146"/>
      <c r="E24" s="146"/>
      <c r="F24" s="146"/>
      <c r="G24" s="146"/>
      <c r="H24" s="146"/>
      <c r="I24" s="146"/>
      <c r="J24" s="146"/>
      <c r="K24" s="146"/>
      <c r="L24" s="146"/>
      <c r="M24" s="147"/>
      <c r="N24" s="151">
        <f t="shared" si="0"/>
        <v>0</v>
      </c>
    </row>
    <row r="25" spans="2:14" ht="18" customHeight="1" x14ac:dyDescent="0.25">
      <c r="B25" s="175">
        <v>7</v>
      </c>
      <c r="C25" s="176" t="str">
        <f>Config!C11&amp;", "&amp;Config!D11</f>
        <v>Menke, Damian</v>
      </c>
      <c r="D25" s="182">
        <v>1.5</v>
      </c>
      <c r="E25" s="182">
        <v>2.5</v>
      </c>
      <c r="F25" s="182">
        <v>4</v>
      </c>
      <c r="G25" s="182">
        <v>2</v>
      </c>
      <c r="H25" s="182">
        <v>2</v>
      </c>
      <c r="I25" s="182">
        <v>2.5</v>
      </c>
      <c r="J25" s="182">
        <v>0.5</v>
      </c>
      <c r="K25" s="182">
        <v>3</v>
      </c>
      <c r="L25" s="182">
        <v>1</v>
      </c>
      <c r="M25" s="183">
        <v>3.5</v>
      </c>
      <c r="N25" s="177">
        <f t="shared" si="0"/>
        <v>22.5</v>
      </c>
    </row>
    <row r="26" spans="2:14" s="116" customFormat="1" ht="13.2" customHeight="1" x14ac:dyDescent="0.2">
      <c r="B26" s="160"/>
      <c r="C26" s="161" t="s">
        <v>126</v>
      </c>
      <c r="D26" s="162"/>
      <c r="E26" s="162"/>
      <c r="F26" s="162"/>
      <c r="G26" s="162"/>
      <c r="H26" s="162"/>
      <c r="I26" s="162"/>
      <c r="J26" s="162"/>
      <c r="K26" s="162"/>
      <c r="L26" s="162"/>
      <c r="M26" s="163"/>
      <c r="N26" s="149">
        <f t="shared" si="0"/>
        <v>0</v>
      </c>
    </row>
    <row r="27" spans="2:14" s="116" customFormat="1" ht="13.2" customHeight="1" x14ac:dyDescent="0.2">
      <c r="B27" s="164"/>
      <c r="C27" s="165" t="s">
        <v>127</v>
      </c>
      <c r="D27" s="146"/>
      <c r="E27" s="146"/>
      <c r="F27" s="146"/>
      <c r="G27" s="146"/>
      <c r="H27" s="146"/>
      <c r="I27" s="146"/>
      <c r="J27" s="146"/>
      <c r="K27" s="146"/>
      <c r="L27" s="146"/>
      <c r="M27" s="147"/>
      <c r="N27" s="148">
        <f t="shared" si="0"/>
        <v>0</v>
      </c>
    </row>
    <row r="28" spans="2:14" ht="18" customHeight="1" x14ac:dyDescent="0.25">
      <c r="B28" s="170">
        <v>8</v>
      </c>
      <c r="C28" s="171" t="str">
        <f>Config!C12&amp;", "&amp;Config!D12</f>
        <v>Carroll, Meik</v>
      </c>
      <c r="D28" s="180">
        <v>1.5</v>
      </c>
      <c r="E28" s="180">
        <v>1</v>
      </c>
      <c r="F28" s="180">
        <v>2.5</v>
      </c>
      <c r="G28" s="180">
        <v>3</v>
      </c>
      <c r="H28" s="180">
        <v>3</v>
      </c>
      <c r="I28" s="180">
        <v>3.5</v>
      </c>
      <c r="J28" s="180">
        <v>0</v>
      </c>
      <c r="K28" s="180">
        <v>0</v>
      </c>
      <c r="L28" s="180">
        <v>2</v>
      </c>
      <c r="M28" s="181">
        <v>0</v>
      </c>
      <c r="N28" s="172">
        <f t="shared" si="0"/>
        <v>16.5</v>
      </c>
    </row>
    <row r="29" spans="2:14" s="116" customFormat="1" ht="13.2" customHeight="1" x14ac:dyDescent="0.2">
      <c r="B29" s="166"/>
      <c r="C29" s="167" t="s">
        <v>126</v>
      </c>
      <c r="D29" s="168"/>
      <c r="E29" s="168"/>
      <c r="F29" s="168"/>
      <c r="G29" s="168"/>
      <c r="H29" s="168"/>
      <c r="I29" s="168"/>
      <c r="J29" s="168"/>
      <c r="K29" s="168"/>
      <c r="L29" s="168"/>
      <c r="M29" s="169"/>
      <c r="N29" s="152">
        <f t="shared" si="0"/>
        <v>0</v>
      </c>
    </row>
    <row r="30" spans="2:14" s="116" customFormat="1" ht="13.2" customHeight="1" x14ac:dyDescent="0.2">
      <c r="B30" s="173"/>
      <c r="C30" s="174" t="s">
        <v>127</v>
      </c>
      <c r="D30" s="146"/>
      <c r="E30" s="146"/>
      <c r="F30" s="146"/>
      <c r="G30" s="146"/>
      <c r="H30" s="146"/>
      <c r="I30" s="146"/>
      <c r="J30" s="146"/>
      <c r="K30" s="146"/>
      <c r="L30" s="146"/>
      <c r="M30" s="147"/>
      <c r="N30" s="151">
        <f t="shared" si="0"/>
        <v>0</v>
      </c>
    </row>
    <row r="31" spans="2:14" ht="18" customHeight="1" x14ac:dyDescent="0.25">
      <c r="B31" s="175">
        <v>9</v>
      </c>
      <c r="C31" s="176" t="str">
        <f>Config!C13&amp;", "&amp;Config!D13</f>
        <v>Hennings, Tomas</v>
      </c>
      <c r="D31" s="182">
        <v>1.5</v>
      </c>
      <c r="E31" s="182">
        <v>3</v>
      </c>
      <c r="F31" s="182">
        <v>4</v>
      </c>
      <c r="G31" s="182">
        <v>3</v>
      </c>
      <c r="H31" s="182">
        <v>2</v>
      </c>
      <c r="I31" s="182">
        <v>1</v>
      </c>
      <c r="J31" s="182">
        <v>0</v>
      </c>
      <c r="K31" s="182">
        <v>0</v>
      </c>
      <c r="L31" s="182">
        <v>0</v>
      </c>
      <c r="M31" s="183">
        <v>0</v>
      </c>
      <c r="N31" s="177">
        <f t="shared" si="0"/>
        <v>14.5</v>
      </c>
    </row>
    <row r="32" spans="2:14" s="116" customFormat="1" ht="13.2" customHeight="1" x14ac:dyDescent="0.2">
      <c r="B32" s="160"/>
      <c r="C32" s="161" t="s">
        <v>126</v>
      </c>
      <c r="D32" s="162"/>
      <c r="E32" s="162"/>
      <c r="F32" s="162"/>
      <c r="G32" s="162"/>
      <c r="H32" s="162"/>
      <c r="I32" s="162"/>
      <c r="J32" s="162"/>
      <c r="K32" s="162"/>
      <c r="L32" s="162"/>
      <c r="M32" s="163"/>
      <c r="N32" s="149">
        <f t="shared" si="0"/>
        <v>0</v>
      </c>
    </row>
    <row r="33" spans="2:14" s="116" customFormat="1" ht="13.2" customHeight="1" x14ac:dyDescent="0.2">
      <c r="B33" s="164"/>
      <c r="C33" s="165" t="s">
        <v>127</v>
      </c>
      <c r="D33" s="146"/>
      <c r="E33" s="146"/>
      <c r="F33" s="146"/>
      <c r="G33" s="146"/>
      <c r="H33" s="146"/>
      <c r="I33" s="146"/>
      <c r="J33" s="146"/>
      <c r="K33" s="146"/>
      <c r="L33" s="146"/>
      <c r="M33" s="147"/>
      <c r="N33" s="148">
        <f t="shared" si="0"/>
        <v>0</v>
      </c>
    </row>
    <row r="34" spans="2:14" ht="18" customHeight="1" x14ac:dyDescent="0.25">
      <c r="B34" s="170">
        <v>10</v>
      </c>
      <c r="C34" s="171" t="str">
        <f>Config!C14&amp;", "&amp;Config!D14</f>
        <v>Walters, Linn</v>
      </c>
      <c r="D34" s="180">
        <v>0</v>
      </c>
      <c r="E34" s="180">
        <v>1.5</v>
      </c>
      <c r="F34" s="180">
        <v>2.5</v>
      </c>
      <c r="G34" s="180">
        <v>0</v>
      </c>
      <c r="H34" s="180">
        <v>1</v>
      </c>
      <c r="I34" s="180">
        <v>1</v>
      </c>
      <c r="J34" s="180">
        <v>0</v>
      </c>
      <c r="K34" s="180">
        <v>0</v>
      </c>
      <c r="L34" s="180">
        <v>1</v>
      </c>
      <c r="M34" s="181">
        <v>0</v>
      </c>
      <c r="N34" s="172">
        <f t="shared" si="0"/>
        <v>7</v>
      </c>
    </row>
    <row r="35" spans="2:14" s="116" customFormat="1" ht="13.2" customHeight="1" x14ac:dyDescent="0.2">
      <c r="B35" s="166"/>
      <c r="C35" s="167" t="s">
        <v>126</v>
      </c>
      <c r="D35" s="168"/>
      <c r="E35" s="168"/>
      <c r="F35" s="168"/>
      <c r="G35" s="168"/>
      <c r="H35" s="168"/>
      <c r="I35" s="168"/>
      <c r="J35" s="168"/>
      <c r="K35" s="168"/>
      <c r="L35" s="168"/>
      <c r="M35" s="169"/>
      <c r="N35" s="152">
        <f t="shared" si="0"/>
        <v>0</v>
      </c>
    </row>
    <row r="36" spans="2:14" s="116" customFormat="1" ht="13.2" customHeight="1" x14ac:dyDescent="0.2">
      <c r="B36" s="173"/>
      <c r="C36" s="174" t="s">
        <v>127</v>
      </c>
      <c r="D36" s="146"/>
      <c r="E36" s="146"/>
      <c r="F36" s="146"/>
      <c r="G36" s="146"/>
      <c r="H36" s="146"/>
      <c r="I36" s="146"/>
      <c r="J36" s="146"/>
      <c r="K36" s="146"/>
      <c r="L36" s="146"/>
      <c r="M36" s="147"/>
      <c r="N36" s="151">
        <f t="shared" si="0"/>
        <v>0</v>
      </c>
    </row>
    <row r="37" spans="2:14" ht="18" customHeight="1" x14ac:dyDescent="0.25">
      <c r="B37" s="175">
        <v>11</v>
      </c>
      <c r="C37" s="176" t="str">
        <f>Config!C15&amp;", "&amp;Config!D15</f>
        <v>Junker, Amely</v>
      </c>
      <c r="D37" s="182">
        <v>1</v>
      </c>
      <c r="E37" s="182">
        <v>1.5</v>
      </c>
      <c r="F37" s="182">
        <v>4</v>
      </c>
      <c r="G37" s="182">
        <v>1.5</v>
      </c>
      <c r="H37" s="182">
        <v>2</v>
      </c>
      <c r="I37" s="182">
        <v>3.5</v>
      </c>
      <c r="J37" s="182">
        <v>0</v>
      </c>
      <c r="K37" s="182">
        <v>0</v>
      </c>
      <c r="L37" s="182">
        <v>0</v>
      </c>
      <c r="M37" s="183">
        <v>0</v>
      </c>
      <c r="N37" s="177">
        <f t="shared" si="0"/>
        <v>13.5</v>
      </c>
    </row>
    <row r="38" spans="2:14" s="116" customFormat="1" ht="13.2" customHeight="1" x14ac:dyDescent="0.2">
      <c r="B38" s="160"/>
      <c r="C38" s="161" t="s">
        <v>126</v>
      </c>
      <c r="D38" s="162"/>
      <c r="E38" s="162"/>
      <c r="F38" s="162"/>
      <c r="G38" s="162"/>
      <c r="H38" s="162"/>
      <c r="I38" s="162"/>
      <c r="J38" s="162"/>
      <c r="K38" s="162"/>
      <c r="L38" s="162"/>
      <c r="M38" s="163"/>
      <c r="N38" s="149">
        <f t="shared" si="0"/>
        <v>0</v>
      </c>
    </row>
    <row r="39" spans="2:14" s="116" customFormat="1" ht="13.2" customHeight="1" x14ac:dyDescent="0.2">
      <c r="B39" s="164"/>
      <c r="C39" s="165" t="s">
        <v>127</v>
      </c>
      <c r="D39" s="146"/>
      <c r="E39" s="146"/>
      <c r="F39" s="146"/>
      <c r="G39" s="146"/>
      <c r="H39" s="146"/>
      <c r="I39" s="146"/>
      <c r="J39" s="146"/>
      <c r="K39" s="146"/>
      <c r="L39" s="146"/>
      <c r="M39" s="147"/>
      <c r="N39" s="148">
        <f t="shared" ref="N39:N70" si="1">SUM(D39:M39)</f>
        <v>0</v>
      </c>
    </row>
    <row r="40" spans="2:14" ht="18" customHeight="1" x14ac:dyDescent="0.25">
      <c r="B40" s="170">
        <v>12</v>
      </c>
      <c r="C40" s="171" t="str">
        <f>Config!C16&amp;", "&amp;Config!D16</f>
        <v>Stephens, Melvin</v>
      </c>
      <c r="D40" s="180">
        <v>2</v>
      </c>
      <c r="E40" s="180">
        <v>3</v>
      </c>
      <c r="F40" s="180">
        <v>4</v>
      </c>
      <c r="G40" s="180">
        <v>3</v>
      </c>
      <c r="H40" s="180">
        <v>3</v>
      </c>
      <c r="I40" s="180">
        <v>4</v>
      </c>
      <c r="J40" s="180">
        <v>3</v>
      </c>
      <c r="K40" s="180">
        <v>0</v>
      </c>
      <c r="L40" s="180">
        <v>2</v>
      </c>
      <c r="M40" s="181">
        <v>3</v>
      </c>
      <c r="N40" s="172">
        <f t="shared" si="1"/>
        <v>27</v>
      </c>
    </row>
    <row r="41" spans="2:14" s="116" customFormat="1" ht="13.2" customHeight="1" x14ac:dyDescent="0.2">
      <c r="B41" s="166"/>
      <c r="C41" s="167" t="s">
        <v>126</v>
      </c>
      <c r="D41" s="168"/>
      <c r="E41" s="168"/>
      <c r="F41" s="168"/>
      <c r="G41" s="168"/>
      <c r="H41" s="168"/>
      <c r="I41" s="168"/>
      <c r="J41" s="168"/>
      <c r="K41" s="168"/>
      <c r="L41" s="168"/>
      <c r="M41" s="169"/>
      <c r="N41" s="152">
        <f t="shared" si="1"/>
        <v>0</v>
      </c>
    </row>
    <row r="42" spans="2:14" s="116" customFormat="1" ht="13.2" customHeight="1" x14ac:dyDescent="0.2">
      <c r="B42" s="173"/>
      <c r="C42" s="174" t="s">
        <v>127</v>
      </c>
      <c r="D42" s="146"/>
      <c r="E42" s="146"/>
      <c r="F42" s="146"/>
      <c r="G42" s="146"/>
      <c r="H42" s="146"/>
      <c r="I42" s="146"/>
      <c r="J42" s="146"/>
      <c r="K42" s="146"/>
      <c r="L42" s="146"/>
      <c r="M42" s="147"/>
      <c r="N42" s="151">
        <f t="shared" si="1"/>
        <v>0</v>
      </c>
    </row>
    <row r="43" spans="2:14" ht="18" customHeight="1" x14ac:dyDescent="0.25">
      <c r="B43" s="175">
        <v>13</v>
      </c>
      <c r="C43" s="176" t="str">
        <f>Config!C17&amp;", "&amp;Config!D17</f>
        <v>Cremer, Marvin</v>
      </c>
      <c r="D43" s="182">
        <v>0.5</v>
      </c>
      <c r="E43" s="182">
        <v>1.5</v>
      </c>
      <c r="F43" s="182">
        <v>4</v>
      </c>
      <c r="G43" s="182">
        <v>3</v>
      </c>
      <c r="H43" s="182">
        <v>3</v>
      </c>
      <c r="I43" s="182">
        <v>3.5</v>
      </c>
      <c r="J43" s="182">
        <v>0</v>
      </c>
      <c r="K43" s="182">
        <v>0</v>
      </c>
      <c r="L43" s="182">
        <v>2</v>
      </c>
      <c r="M43" s="183">
        <v>4.5</v>
      </c>
      <c r="N43" s="177">
        <f t="shared" si="1"/>
        <v>22</v>
      </c>
    </row>
    <row r="44" spans="2:14" s="116" customFormat="1" ht="13.2" customHeight="1" x14ac:dyDescent="0.2">
      <c r="B44" s="160"/>
      <c r="C44" s="161" t="s">
        <v>126</v>
      </c>
      <c r="D44" s="162"/>
      <c r="E44" s="162"/>
      <c r="F44" s="162"/>
      <c r="G44" s="162"/>
      <c r="H44" s="162"/>
      <c r="I44" s="162"/>
      <c r="J44" s="162"/>
      <c r="K44" s="162"/>
      <c r="L44" s="162"/>
      <c r="M44" s="163"/>
      <c r="N44" s="149">
        <f t="shared" si="1"/>
        <v>0</v>
      </c>
    </row>
    <row r="45" spans="2:14" s="116" customFormat="1" ht="13.2" customHeight="1" x14ac:dyDescent="0.2">
      <c r="B45" s="164"/>
      <c r="C45" s="165" t="s">
        <v>127</v>
      </c>
      <c r="D45" s="146"/>
      <c r="E45" s="146"/>
      <c r="F45" s="146"/>
      <c r="G45" s="146"/>
      <c r="H45" s="146"/>
      <c r="I45" s="146"/>
      <c r="J45" s="146"/>
      <c r="K45" s="146"/>
      <c r="L45" s="146"/>
      <c r="M45" s="147"/>
      <c r="N45" s="148">
        <f t="shared" si="1"/>
        <v>0</v>
      </c>
    </row>
    <row r="46" spans="2:14" ht="18" customHeight="1" x14ac:dyDescent="0.25">
      <c r="B46" s="170">
        <v>14</v>
      </c>
      <c r="C46" s="171" t="str">
        <f>Config!C18&amp;", "&amp;Config!D18</f>
        <v>Nash, Jean</v>
      </c>
      <c r="D46" s="180">
        <v>1.5</v>
      </c>
      <c r="E46" s="180">
        <v>2.5</v>
      </c>
      <c r="F46" s="180">
        <v>3</v>
      </c>
      <c r="G46" s="180">
        <v>2.5</v>
      </c>
      <c r="H46" s="180">
        <v>2</v>
      </c>
      <c r="I46" s="180">
        <v>4</v>
      </c>
      <c r="J46" s="180">
        <v>0</v>
      </c>
      <c r="K46" s="180">
        <v>0</v>
      </c>
      <c r="L46" s="180">
        <v>0</v>
      </c>
      <c r="M46" s="181">
        <v>0</v>
      </c>
      <c r="N46" s="172">
        <f t="shared" si="1"/>
        <v>15.5</v>
      </c>
    </row>
    <row r="47" spans="2:14" s="116" customFormat="1" ht="13.2" customHeight="1" x14ac:dyDescent="0.2">
      <c r="B47" s="166"/>
      <c r="C47" s="167" t="s">
        <v>126</v>
      </c>
      <c r="D47" s="168"/>
      <c r="E47" s="168"/>
      <c r="F47" s="168"/>
      <c r="G47" s="168"/>
      <c r="H47" s="168"/>
      <c r="I47" s="168"/>
      <c r="J47" s="168"/>
      <c r="K47" s="168"/>
      <c r="L47" s="168"/>
      <c r="M47" s="169"/>
      <c r="N47" s="152">
        <f t="shared" si="1"/>
        <v>0</v>
      </c>
    </row>
    <row r="48" spans="2:14" s="116" customFormat="1" ht="13.2" customHeight="1" x14ac:dyDescent="0.2">
      <c r="B48" s="173"/>
      <c r="C48" s="174" t="s">
        <v>127</v>
      </c>
      <c r="D48" s="146"/>
      <c r="E48" s="146"/>
      <c r="F48" s="146"/>
      <c r="G48" s="146"/>
      <c r="H48" s="146"/>
      <c r="I48" s="146"/>
      <c r="J48" s="146"/>
      <c r="K48" s="146"/>
      <c r="L48" s="146"/>
      <c r="M48" s="147"/>
      <c r="N48" s="151">
        <f t="shared" si="1"/>
        <v>0</v>
      </c>
    </row>
    <row r="49" spans="2:14" ht="18" customHeight="1" x14ac:dyDescent="0.25">
      <c r="B49" s="175">
        <v>15</v>
      </c>
      <c r="C49" s="176" t="str">
        <f>Config!C19&amp;", "&amp;Config!D19</f>
        <v>Schön, Leonardo</v>
      </c>
      <c r="D49" s="182">
        <v>1.5</v>
      </c>
      <c r="E49" s="182">
        <v>3</v>
      </c>
      <c r="F49" s="182">
        <v>4</v>
      </c>
      <c r="G49" s="182">
        <v>3</v>
      </c>
      <c r="H49" s="182">
        <v>2.5</v>
      </c>
      <c r="I49" s="182">
        <v>3.5</v>
      </c>
      <c r="J49" s="182">
        <v>0.5</v>
      </c>
      <c r="K49" s="182">
        <v>0</v>
      </c>
      <c r="L49" s="182">
        <v>2</v>
      </c>
      <c r="M49" s="183">
        <v>3.5</v>
      </c>
      <c r="N49" s="177">
        <f t="shared" si="1"/>
        <v>23.5</v>
      </c>
    </row>
    <row r="50" spans="2:14" s="116" customFormat="1" ht="13.2" customHeight="1" x14ac:dyDescent="0.2">
      <c r="B50" s="160"/>
      <c r="C50" s="161" t="s">
        <v>126</v>
      </c>
      <c r="D50" s="162"/>
      <c r="E50" s="162"/>
      <c r="F50" s="162"/>
      <c r="G50" s="162"/>
      <c r="H50" s="162"/>
      <c r="I50" s="162"/>
      <c r="J50" s="162"/>
      <c r="K50" s="162"/>
      <c r="L50" s="162"/>
      <c r="M50" s="163"/>
      <c r="N50" s="149">
        <f t="shared" si="1"/>
        <v>0</v>
      </c>
    </row>
    <row r="51" spans="2:14" s="116" customFormat="1" ht="13.2" customHeight="1" x14ac:dyDescent="0.2">
      <c r="B51" s="164"/>
      <c r="C51" s="165" t="s">
        <v>127</v>
      </c>
      <c r="D51" s="146"/>
      <c r="E51" s="146"/>
      <c r="F51" s="146"/>
      <c r="G51" s="146"/>
      <c r="H51" s="146"/>
      <c r="I51" s="146"/>
      <c r="J51" s="146"/>
      <c r="K51" s="146"/>
      <c r="L51" s="146"/>
      <c r="M51" s="147"/>
      <c r="N51" s="148">
        <f t="shared" si="1"/>
        <v>0</v>
      </c>
    </row>
    <row r="52" spans="2:14" ht="18" customHeight="1" x14ac:dyDescent="0.25">
      <c r="B52" s="170">
        <v>16</v>
      </c>
      <c r="C52" s="171" t="str">
        <f>Config!C20&amp;", "&amp;Config!D20</f>
        <v>Sigl, Nicholas</v>
      </c>
      <c r="D52" s="180">
        <v>1.5</v>
      </c>
      <c r="E52" s="180">
        <v>3</v>
      </c>
      <c r="F52" s="180">
        <v>4</v>
      </c>
      <c r="G52" s="180">
        <v>3</v>
      </c>
      <c r="H52" s="180">
        <v>3</v>
      </c>
      <c r="I52" s="180">
        <v>4</v>
      </c>
      <c r="J52" s="180">
        <v>0</v>
      </c>
      <c r="K52" s="180">
        <v>1.5</v>
      </c>
      <c r="L52" s="180">
        <v>0</v>
      </c>
      <c r="M52" s="181">
        <v>2</v>
      </c>
      <c r="N52" s="172">
        <f t="shared" si="1"/>
        <v>22</v>
      </c>
    </row>
    <row r="53" spans="2:14" s="116" customFormat="1" ht="13.2" customHeight="1" x14ac:dyDescent="0.2">
      <c r="B53" s="166"/>
      <c r="C53" s="167" t="s">
        <v>126</v>
      </c>
      <c r="D53" s="168"/>
      <c r="E53" s="168"/>
      <c r="F53" s="168"/>
      <c r="G53" s="168"/>
      <c r="H53" s="168"/>
      <c r="I53" s="168"/>
      <c r="J53" s="168"/>
      <c r="K53" s="168"/>
      <c r="L53" s="168"/>
      <c r="M53" s="169"/>
      <c r="N53" s="152">
        <f t="shared" si="1"/>
        <v>0</v>
      </c>
    </row>
    <row r="54" spans="2:14" s="116" customFormat="1" ht="13.2" customHeight="1" x14ac:dyDescent="0.2">
      <c r="B54" s="173"/>
      <c r="C54" s="174" t="s">
        <v>127</v>
      </c>
      <c r="D54" s="146"/>
      <c r="E54" s="146"/>
      <c r="F54" s="146"/>
      <c r="G54" s="146"/>
      <c r="H54" s="146"/>
      <c r="I54" s="146"/>
      <c r="J54" s="146"/>
      <c r="K54" s="146"/>
      <c r="L54" s="146"/>
      <c r="M54" s="147"/>
      <c r="N54" s="151">
        <f t="shared" si="1"/>
        <v>0</v>
      </c>
    </row>
    <row r="55" spans="2:14" ht="18" customHeight="1" x14ac:dyDescent="0.25">
      <c r="B55" s="175">
        <v>17</v>
      </c>
      <c r="C55" s="176" t="str">
        <f>Config!C21&amp;", "&amp;Config!D21</f>
        <v>Kainz, Vivienne</v>
      </c>
      <c r="D55" s="182">
        <v>1.5</v>
      </c>
      <c r="E55" s="182">
        <v>1.5</v>
      </c>
      <c r="F55" s="182">
        <v>0</v>
      </c>
      <c r="G55" s="182">
        <v>1.5</v>
      </c>
      <c r="H55" s="182">
        <v>1</v>
      </c>
      <c r="I55" s="182">
        <v>1</v>
      </c>
      <c r="J55" s="182">
        <v>0</v>
      </c>
      <c r="K55" s="182">
        <v>0</v>
      </c>
      <c r="L55" s="182">
        <v>0</v>
      </c>
      <c r="M55" s="183">
        <v>0</v>
      </c>
      <c r="N55" s="177">
        <f t="shared" si="1"/>
        <v>6.5</v>
      </c>
    </row>
    <row r="56" spans="2:14" s="116" customFormat="1" ht="13.2" customHeight="1" x14ac:dyDescent="0.2">
      <c r="B56" s="160"/>
      <c r="C56" s="161" t="s">
        <v>126</v>
      </c>
      <c r="D56" s="162"/>
      <c r="E56" s="162"/>
      <c r="F56" s="162"/>
      <c r="G56" s="162"/>
      <c r="H56" s="162"/>
      <c r="I56" s="162"/>
      <c r="J56" s="162"/>
      <c r="K56" s="162"/>
      <c r="L56" s="162"/>
      <c r="M56" s="163"/>
      <c r="N56" s="149">
        <f t="shared" si="1"/>
        <v>0</v>
      </c>
    </row>
    <row r="57" spans="2:14" s="116" customFormat="1" ht="13.2" customHeight="1" x14ac:dyDescent="0.2">
      <c r="B57" s="164"/>
      <c r="C57" s="165" t="s">
        <v>127</v>
      </c>
      <c r="D57" s="146"/>
      <c r="E57" s="146"/>
      <c r="F57" s="146"/>
      <c r="G57" s="146"/>
      <c r="H57" s="146"/>
      <c r="I57" s="146"/>
      <c r="J57" s="146"/>
      <c r="K57" s="146"/>
      <c r="L57" s="146"/>
      <c r="M57" s="147"/>
      <c r="N57" s="148">
        <f t="shared" si="1"/>
        <v>0</v>
      </c>
    </row>
    <row r="58" spans="2:14" ht="18" customHeight="1" x14ac:dyDescent="0.25">
      <c r="B58" s="170">
        <v>18</v>
      </c>
      <c r="C58" s="171" t="str">
        <f>Config!C22&amp;", "&amp;Config!D22</f>
        <v>Hartmann, Mads</v>
      </c>
      <c r="D58" s="180">
        <v>1</v>
      </c>
      <c r="E58" s="180">
        <v>2.5</v>
      </c>
      <c r="F58" s="180">
        <v>2</v>
      </c>
      <c r="G58" s="180">
        <v>3</v>
      </c>
      <c r="H58" s="180">
        <v>2.5</v>
      </c>
      <c r="I58" s="180">
        <v>3.5</v>
      </c>
      <c r="J58" s="180">
        <v>0</v>
      </c>
      <c r="K58" s="180">
        <v>0</v>
      </c>
      <c r="L58" s="180">
        <v>1.5</v>
      </c>
      <c r="M58" s="181">
        <v>0</v>
      </c>
      <c r="N58" s="172">
        <f t="shared" si="1"/>
        <v>16</v>
      </c>
    </row>
    <row r="59" spans="2:14" s="116" customFormat="1" ht="13.2" customHeight="1" x14ac:dyDescent="0.2">
      <c r="B59" s="166"/>
      <c r="C59" s="167" t="s">
        <v>126</v>
      </c>
      <c r="D59" s="168"/>
      <c r="E59" s="168"/>
      <c r="F59" s="168"/>
      <c r="G59" s="168"/>
      <c r="H59" s="168"/>
      <c r="I59" s="168"/>
      <c r="J59" s="168"/>
      <c r="K59" s="168"/>
      <c r="L59" s="168"/>
      <c r="M59" s="169"/>
      <c r="N59" s="152">
        <f t="shared" si="1"/>
        <v>0</v>
      </c>
    </row>
    <row r="60" spans="2:14" s="116" customFormat="1" ht="13.2" customHeight="1" x14ac:dyDescent="0.2">
      <c r="B60" s="173"/>
      <c r="C60" s="174" t="s">
        <v>127</v>
      </c>
      <c r="D60" s="146"/>
      <c r="E60" s="146"/>
      <c r="F60" s="146"/>
      <c r="G60" s="146"/>
      <c r="H60" s="146"/>
      <c r="I60" s="146"/>
      <c r="J60" s="146"/>
      <c r="K60" s="146"/>
      <c r="L60" s="146"/>
      <c r="M60" s="147"/>
      <c r="N60" s="151">
        <f t="shared" si="1"/>
        <v>0</v>
      </c>
    </row>
    <row r="61" spans="2:14" ht="18" customHeight="1" x14ac:dyDescent="0.25">
      <c r="B61" s="175">
        <v>19</v>
      </c>
      <c r="C61" s="176" t="str">
        <f>Config!C23&amp;", "&amp;Config!D23</f>
        <v>Ullmann, Raphael</v>
      </c>
      <c r="D61" s="182">
        <v>1.5</v>
      </c>
      <c r="E61" s="182">
        <v>2</v>
      </c>
      <c r="F61" s="182">
        <v>3</v>
      </c>
      <c r="G61" s="182">
        <v>0.5</v>
      </c>
      <c r="H61" s="182">
        <v>1</v>
      </c>
      <c r="I61" s="182">
        <v>4</v>
      </c>
      <c r="J61" s="182">
        <v>0.5</v>
      </c>
      <c r="K61" s="182">
        <v>0</v>
      </c>
      <c r="L61" s="182">
        <v>2</v>
      </c>
      <c r="M61" s="183">
        <v>0</v>
      </c>
      <c r="N61" s="177">
        <f t="shared" si="1"/>
        <v>14.5</v>
      </c>
    </row>
    <row r="62" spans="2:14" s="116" customFormat="1" ht="13.2" customHeight="1" x14ac:dyDescent="0.2">
      <c r="B62" s="160"/>
      <c r="C62" s="161" t="s">
        <v>126</v>
      </c>
      <c r="D62" s="162"/>
      <c r="E62" s="162"/>
      <c r="F62" s="162"/>
      <c r="G62" s="162"/>
      <c r="H62" s="162"/>
      <c r="I62" s="162"/>
      <c r="J62" s="162"/>
      <c r="K62" s="162"/>
      <c r="L62" s="162"/>
      <c r="M62" s="163"/>
      <c r="N62" s="149">
        <f t="shared" si="1"/>
        <v>0</v>
      </c>
    </row>
    <row r="63" spans="2:14" s="116" customFormat="1" ht="13.2" customHeight="1" x14ac:dyDescent="0.2">
      <c r="B63" s="164"/>
      <c r="C63" s="165" t="s">
        <v>127</v>
      </c>
      <c r="D63" s="146"/>
      <c r="E63" s="146"/>
      <c r="F63" s="146"/>
      <c r="G63" s="146"/>
      <c r="H63" s="146"/>
      <c r="I63" s="146"/>
      <c r="J63" s="146"/>
      <c r="K63" s="146"/>
      <c r="L63" s="146"/>
      <c r="M63" s="147"/>
      <c r="N63" s="148">
        <f t="shared" si="1"/>
        <v>0</v>
      </c>
    </row>
    <row r="64" spans="2:14" ht="18" customHeight="1" x14ac:dyDescent="0.25">
      <c r="B64" s="170">
        <v>20</v>
      </c>
      <c r="C64" s="171" t="str">
        <f>Config!C24&amp;", "&amp;Config!D24</f>
        <v>Hartl, Emmely</v>
      </c>
      <c r="D64" s="180">
        <v>1.5</v>
      </c>
      <c r="E64" s="180">
        <v>3</v>
      </c>
      <c r="F64" s="180">
        <v>3.5</v>
      </c>
      <c r="G64" s="180">
        <v>2.5</v>
      </c>
      <c r="H64" s="180">
        <v>2</v>
      </c>
      <c r="I64" s="180">
        <v>3.5</v>
      </c>
      <c r="J64" s="180">
        <v>2</v>
      </c>
      <c r="K64" s="180">
        <v>0</v>
      </c>
      <c r="L64" s="180">
        <v>1.5</v>
      </c>
      <c r="M64" s="181">
        <v>3.5</v>
      </c>
      <c r="N64" s="172">
        <f t="shared" si="1"/>
        <v>23</v>
      </c>
    </row>
    <row r="65" spans="2:14" s="116" customFormat="1" ht="13.2" customHeight="1" x14ac:dyDescent="0.2">
      <c r="B65" s="166"/>
      <c r="C65" s="167" t="s">
        <v>126</v>
      </c>
      <c r="D65" s="168"/>
      <c r="E65" s="168"/>
      <c r="F65" s="168"/>
      <c r="G65" s="168"/>
      <c r="H65" s="168"/>
      <c r="I65" s="168"/>
      <c r="J65" s="168"/>
      <c r="K65" s="168"/>
      <c r="L65" s="168"/>
      <c r="M65" s="169"/>
      <c r="N65" s="152">
        <f t="shared" si="1"/>
        <v>0</v>
      </c>
    </row>
    <row r="66" spans="2:14" s="116" customFormat="1" ht="13.2" customHeight="1" x14ac:dyDescent="0.2">
      <c r="B66" s="173"/>
      <c r="C66" s="174" t="s">
        <v>127</v>
      </c>
      <c r="D66" s="146"/>
      <c r="E66" s="146"/>
      <c r="F66" s="146"/>
      <c r="G66" s="146"/>
      <c r="H66" s="146"/>
      <c r="I66" s="146"/>
      <c r="J66" s="146"/>
      <c r="K66" s="146"/>
      <c r="L66" s="146"/>
      <c r="M66" s="147"/>
      <c r="N66" s="151">
        <f t="shared" si="1"/>
        <v>0</v>
      </c>
    </row>
    <row r="67" spans="2:14" ht="18" customHeight="1" x14ac:dyDescent="0.25">
      <c r="B67" s="175">
        <v>21</v>
      </c>
      <c r="C67" s="176" t="str">
        <f>Config!C25&amp;", "&amp;Config!D25</f>
        <v>Klotz, Karin</v>
      </c>
      <c r="D67" s="182">
        <v>2</v>
      </c>
      <c r="E67" s="182">
        <v>2.5</v>
      </c>
      <c r="F67" s="182">
        <v>4</v>
      </c>
      <c r="G67" s="182">
        <v>3</v>
      </c>
      <c r="H67" s="182">
        <v>2.5</v>
      </c>
      <c r="I67" s="182">
        <v>3</v>
      </c>
      <c r="J67" s="182">
        <v>3</v>
      </c>
      <c r="K67" s="182">
        <v>0</v>
      </c>
      <c r="L67" s="182">
        <v>2</v>
      </c>
      <c r="M67" s="183">
        <v>4.5</v>
      </c>
      <c r="N67" s="177">
        <f t="shared" si="1"/>
        <v>26.5</v>
      </c>
    </row>
    <row r="68" spans="2:14" s="116" customFormat="1" ht="13.2" customHeight="1" x14ac:dyDescent="0.2">
      <c r="B68" s="160"/>
      <c r="C68" s="161" t="s">
        <v>126</v>
      </c>
      <c r="D68" s="162"/>
      <c r="E68" s="162"/>
      <c r="F68" s="162"/>
      <c r="G68" s="162"/>
      <c r="H68" s="162"/>
      <c r="I68" s="162"/>
      <c r="J68" s="162"/>
      <c r="K68" s="162"/>
      <c r="L68" s="162"/>
      <c r="M68" s="163"/>
      <c r="N68" s="149">
        <f t="shared" si="1"/>
        <v>0</v>
      </c>
    </row>
    <row r="69" spans="2:14" s="116" customFormat="1" ht="13.2" customHeight="1" x14ac:dyDescent="0.2">
      <c r="B69" s="164"/>
      <c r="C69" s="165" t="s">
        <v>127</v>
      </c>
      <c r="D69" s="146"/>
      <c r="E69" s="146"/>
      <c r="F69" s="146"/>
      <c r="G69" s="146"/>
      <c r="H69" s="146"/>
      <c r="I69" s="146"/>
      <c r="J69" s="146"/>
      <c r="K69" s="146"/>
      <c r="L69" s="146"/>
      <c r="M69" s="147"/>
      <c r="N69" s="148">
        <f t="shared" si="1"/>
        <v>0</v>
      </c>
    </row>
    <row r="70" spans="2:14" ht="18" customHeight="1" x14ac:dyDescent="0.25">
      <c r="B70" s="170">
        <v>22</v>
      </c>
      <c r="C70" s="171" t="str">
        <f>Config!C26&amp;", "&amp;Config!D26</f>
        <v>Ehlers, Ingo</v>
      </c>
      <c r="D70" s="180">
        <v>0.5</v>
      </c>
      <c r="E70" s="180">
        <v>3</v>
      </c>
      <c r="F70" s="180">
        <v>4</v>
      </c>
      <c r="G70" s="180">
        <v>2</v>
      </c>
      <c r="H70" s="180">
        <v>2.5</v>
      </c>
      <c r="I70" s="180">
        <v>3</v>
      </c>
      <c r="J70" s="180">
        <v>1.5</v>
      </c>
      <c r="K70" s="180">
        <v>0</v>
      </c>
      <c r="L70" s="180">
        <v>2</v>
      </c>
      <c r="M70" s="181">
        <v>2.5</v>
      </c>
      <c r="N70" s="172">
        <f t="shared" si="1"/>
        <v>21</v>
      </c>
    </row>
    <row r="71" spans="2:14" s="116" customFormat="1" ht="13.2" customHeight="1" x14ac:dyDescent="0.2">
      <c r="B71" s="166"/>
      <c r="C71" s="167" t="s">
        <v>126</v>
      </c>
      <c r="D71" s="168"/>
      <c r="E71" s="168"/>
      <c r="F71" s="168"/>
      <c r="G71" s="168"/>
      <c r="H71" s="168"/>
      <c r="I71" s="168"/>
      <c r="J71" s="168"/>
      <c r="K71" s="168"/>
      <c r="L71" s="168"/>
      <c r="M71" s="169"/>
      <c r="N71" s="152">
        <f t="shared" ref="N71:N75" si="2">SUM(D71:M71)</f>
        <v>0</v>
      </c>
    </row>
    <row r="72" spans="2:14" s="116" customFormat="1" ht="13.2" customHeight="1" x14ac:dyDescent="0.2">
      <c r="B72" s="173"/>
      <c r="C72" s="174" t="s">
        <v>127</v>
      </c>
      <c r="D72" s="146"/>
      <c r="E72" s="146"/>
      <c r="F72" s="146"/>
      <c r="G72" s="146"/>
      <c r="H72" s="146"/>
      <c r="I72" s="146"/>
      <c r="J72" s="146"/>
      <c r="K72" s="146"/>
      <c r="L72" s="146"/>
      <c r="M72" s="147"/>
      <c r="N72" s="151">
        <f t="shared" si="2"/>
        <v>0</v>
      </c>
    </row>
    <row r="73" spans="2:14" ht="18" customHeight="1" thickBot="1" x14ac:dyDescent="0.3">
      <c r="B73" s="142">
        <v>23</v>
      </c>
      <c r="C73" s="137" t="str">
        <f>Config!C27&amp;", "&amp;Config!D27</f>
        <v>Lindemann, Mads</v>
      </c>
      <c r="D73" s="95">
        <v>1</v>
      </c>
      <c r="E73" s="95">
        <v>2.5</v>
      </c>
      <c r="F73" s="95">
        <v>3.5</v>
      </c>
      <c r="G73" s="95">
        <v>3</v>
      </c>
      <c r="H73" s="95">
        <v>2</v>
      </c>
      <c r="I73" s="95">
        <v>4</v>
      </c>
      <c r="J73" s="95">
        <v>0</v>
      </c>
      <c r="K73" s="95">
        <v>0</v>
      </c>
      <c r="L73" s="95">
        <v>0</v>
      </c>
      <c r="M73" s="96">
        <v>0</v>
      </c>
      <c r="N73" s="145">
        <f t="shared" si="2"/>
        <v>16</v>
      </c>
    </row>
    <row r="74" spans="2:14" s="116" customFormat="1" ht="13.2" customHeight="1" x14ac:dyDescent="0.2">
      <c r="B74" s="160"/>
      <c r="C74" s="161" t="s">
        <v>126</v>
      </c>
      <c r="D74" s="162"/>
      <c r="E74" s="162"/>
      <c r="F74" s="162"/>
      <c r="G74" s="162"/>
      <c r="H74" s="162"/>
      <c r="I74" s="162"/>
      <c r="J74" s="162"/>
      <c r="K74" s="162"/>
      <c r="L74" s="162"/>
      <c r="M74" s="163"/>
      <c r="N74" s="149">
        <f t="shared" si="2"/>
        <v>0</v>
      </c>
    </row>
    <row r="75" spans="2:14" s="116" customFormat="1" ht="13.2" customHeight="1" thickBot="1" x14ac:dyDescent="0.25">
      <c r="B75" s="153"/>
      <c r="C75" s="156" t="s">
        <v>127</v>
      </c>
      <c r="D75" s="154"/>
      <c r="E75" s="154"/>
      <c r="F75" s="154"/>
      <c r="G75" s="154"/>
      <c r="H75" s="154"/>
      <c r="I75" s="154"/>
      <c r="J75" s="154"/>
      <c r="K75" s="154"/>
      <c r="L75" s="154"/>
      <c r="M75" s="155"/>
      <c r="N75" s="150">
        <f t="shared" si="2"/>
        <v>0</v>
      </c>
    </row>
    <row r="76" spans="2:14" ht="18" customHeight="1" thickBot="1" x14ac:dyDescent="0.3">
      <c r="B76" s="119"/>
      <c r="C76" s="120"/>
      <c r="D76" s="120">
        <f>IF(COUNTIFS(D7:D73,"&lt;&gt;",C7:C73,"&lt;&gt;ZK",C7:C73,"&lt;&gt;DK")&lt;&gt;0,SUMIFS(D7:D73,C7:C73,"&lt;&gt;ZK",C7:C73,"&lt;&gt;DK")/(COUNTIFS(D7:D73,"&lt;&gt;",C7:C73,"&lt;&gt;ZK",C7:C73,"&lt;&gt;DK")*D6),0)</f>
        <v>0.64130434782608692</v>
      </c>
      <c r="E76" s="120">
        <f>IF(COUNTIFS(E7:E73,"&lt;&gt;",C7:C73,"&lt;&gt;ZK",C7:C73,"&lt;&gt;DK")&lt;&gt;0,SUMIFS(E7:E73,C7:C73,"&lt;&gt;ZK",C7:C73,"&lt;&gt;DK")/(COUNTIFS(E7:E73,"&lt;&gt;",C7:C73,"&lt;&gt;ZK",C7:C73,"&lt;&gt;DK")*E6),0)</f>
        <v>0.79710144927536231</v>
      </c>
      <c r="F76" s="120">
        <f>IF(COUNTIFS(F7:F73,"&lt;&gt;",C7:C73,"&lt;&gt;ZK",C7:C73,"&lt;&gt;DK")&lt;&gt;0,SUMIFS(F7:F73,C7:C73,"&lt;&gt;ZK",C7:C73,"&lt;&gt;DK")/(COUNTIFS(F7:F73,"&lt;&gt;",C7:C73,"&lt;&gt;ZK",C7:C73,"&lt;&gt;DK")*F6),0)</f>
        <v>0.78804347826086951</v>
      </c>
      <c r="G76" s="120">
        <f>IF(COUNTIFS(G7:G73,"&lt;&gt;",C7:C73,"&lt;&gt;ZK",C7:C73,"&lt;&gt;DK")&lt;&gt;0,SUMIFS(G7:G73,C7:C73,"&lt;&gt;ZK",C7:C73,"&lt;&gt;DK")/(COUNTIFS(G7:G73,"&lt;&gt;",C7:C73,"&lt;&gt;ZK",C7:C73,"&lt;&gt;DK")*G6),0)</f>
        <v>0.79710144927536231</v>
      </c>
      <c r="H76" s="120">
        <f>IF(COUNTIFS(H7:H73,"&lt;&gt;",C7:C73,"&lt;&gt;ZK",C7:C73,"&lt;&gt;DK")&lt;&gt;0,SUMIFS(H7:H73,C7:C73,"&lt;&gt;ZK",C7:C73,"&lt;&gt;DK")/(COUNTIFS(H7:H73,"&lt;&gt;",C7:C73,"&lt;&gt;ZK",C7:C73,"&lt;&gt;DK")*H6),0)</f>
        <v>0.78260869565217395</v>
      </c>
      <c r="I76" s="120">
        <f>IF(COUNTIFS(I7:I73,"&lt;&gt;",C7:C73,"&lt;&gt;ZK",C7:C73,"&lt;&gt;DK")&lt;&gt;0,SUMIFS(I7:I73,C7:C73,"&lt;&gt;ZK",C7:C73,"&lt;&gt;DK")/(COUNTIFS(I7:I73,"&lt;&gt;",C7:C73,"&lt;&gt;ZK",C7:C73,"&lt;&gt;DK")*I6),0)</f>
        <v>0.78260869565217395</v>
      </c>
      <c r="J76" s="120">
        <f>IF(COUNTIFS(J7:J73,"&lt;&gt;",C7:C73,"&lt;&gt;ZK",C7:C73,"&lt;&gt;DK")&lt;&gt;0,SUMIFS(J7:J73,C7:C73,"&lt;&gt;ZK",C7:C73,"&lt;&gt;DK")/(COUNTIFS(J7:J73,"&lt;&gt;",C7:C73,"&lt;&gt;ZK",C7:C73,"&lt;&gt;DK")*J6),0)</f>
        <v>0.27536231884057971</v>
      </c>
      <c r="K76" s="120">
        <f>IF(COUNTIFS(K7:K73,"&lt;&gt;",C7:C73,"&lt;&gt;ZK",C7:C73,"&lt;&gt;DK")&lt;&gt;0,SUMIFS(K7:K73,C7:C73,"&lt;&gt;ZK",C7:C73,"&lt;&gt;DK")/(COUNTIFS(K7:K73,"&lt;&gt;",C7:C73,"&lt;&gt;ZK",C7:C73,"&lt;&gt;DK")*K6),0)</f>
        <v>0.11956521739130435</v>
      </c>
      <c r="L76" s="120">
        <f>IF(COUNTIFS(L7:L73,"&lt;&gt;",C7:C73,"&lt;&gt;ZK",C7:C73,"&lt;&gt;DK")&lt;&gt;0,SUMIFS(L7:L73,C7:C73,"&lt;&gt;ZK",C7:C73,"&lt;&gt;DK")/(COUNTIFS(L7:L73,"&lt;&gt;",C7:C73,"&lt;&gt;ZK",C7:C73,"&lt;&gt;DK")*L6),0)</f>
        <v>0.60869565217391308</v>
      </c>
      <c r="M76" s="120">
        <f>IF(COUNTIFS(M7:M73,"&lt;&gt;",C7:C73,"&lt;&gt;ZK",C7:C73,"&lt;&gt;DK")&lt;&gt;0,SUMIFS(M7:M73,C7:C73,"&lt;&gt;ZK",C7:C73,"&lt;&gt;DK")/(COUNTIFS(M7:M73,"&lt;&gt;",C7:C73,"&lt;&gt;ZK",C7:C73,"&lt;&gt;DK")*M6),0)</f>
        <v>0.88043478260869568</v>
      </c>
      <c r="N76" s="121"/>
    </row>
    <row r="77" spans="2:14" ht="18" customHeight="1" x14ac:dyDescent="0.25"/>
    <row r="78" spans="2:14" ht="18" customHeight="1" x14ac:dyDescent="0.25"/>
    <row r="79" spans="2:14" ht="18" customHeight="1" x14ac:dyDescent="0.25"/>
    <row r="80" spans="2:14"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electLockedCells="1"/>
  <dataValidations count="10">
    <dataValidation type="decimal" allowBlank="1" showErrorMessage="1" sqref="D7:D75" xr:uid="{874FF4F8-71DB-4466-9E1A-83C9EA8DDFEB}">
      <formula1>0</formula1>
      <formula2>$D$6</formula2>
    </dataValidation>
    <dataValidation type="decimal" allowBlank="1" showErrorMessage="1" sqref="E7:E75" xr:uid="{F3A0D915-4705-4ABA-BD91-B132DBCE0A61}">
      <formula1>0</formula1>
      <formula2>$E$6</formula2>
    </dataValidation>
    <dataValidation type="decimal" allowBlank="1" showErrorMessage="1" sqref="F7:F75" xr:uid="{7B036392-1682-4521-825A-07496D5B3ADB}">
      <formula1>0</formula1>
      <formula2>$F$6</formula2>
    </dataValidation>
    <dataValidation type="decimal" allowBlank="1" showErrorMessage="1" sqref="G7:G75" xr:uid="{CD0793F8-0346-43AF-8C03-704DE4DCBA03}">
      <formula1>0</formula1>
      <formula2>$G$6</formula2>
    </dataValidation>
    <dataValidation type="decimal" allowBlank="1" showErrorMessage="1" sqref="H7:H75" xr:uid="{C704A20F-A292-403F-BAD9-64981909BDB3}">
      <formula1>0</formula1>
      <formula2>$H$6</formula2>
    </dataValidation>
    <dataValidation type="decimal" allowBlank="1" showErrorMessage="1" sqref="I7:I75" xr:uid="{3A6793CA-2AF9-46E1-83FD-FC313595831C}">
      <formula1>0</formula1>
      <formula2>$I$6</formula2>
    </dataValidation>
    <dataValidation type="decimal" allowBlank="1" showErrorMessage="1" sqref="J7:J75" xr:uid="{BC54545C-D409-4C6C-A4E8-E9AFA70F1020}">
      <formula1>0</formula1>
      <formula2>$J$6</formula2>
    </dataValidation>
    <dataValidation type="decimal" allowBlank="1" showErrorMessage="1" sqref="K7:K75" xr:uid="{3BD50FA4-C62D-474F-B0F2-1C40E9384FD9}">
      <formula1>0</formula1>
      <formula2>$K$6</formula2>
    </dataValidation>
    <dataValidation type="decimal" allowBlank="1" showErrorMessage="1" sqref="L7:L75" xr:uid="{8A0F86E8-ED57-4817-952B-FFCC43664586}">
      <formula1>0</formula1>
      <formula2>$L$6</formula2>
    </dataValidation>
    <dataValidation type="decimal" allowBlank="1" showErrorMessage="1" sqref="M7:M75" xr:uid="{8B0B83C4-26DC-4AD0-95D4-60EC74F155B0}">
      <formula1>0</formula1>
      <formula2>$M$6</formula2>
    </dataValidation>
  </dataValidations>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8A0D4E-59C7-46CE-8401-67A00F367F2A}">
  <sheetPr codeName="Tabelle3">
    <tabColor rgb="FF92D050"/>
  </sheetPr>
  <dimension ref="B1:E100"/>
  <sheetViews>
    <sheetView workbookViewId="0">
      <selection activeCell="D8" sqref="D8"/>
    </sheetView>
  </sheetViews>
  <sheetFormatPr baseColWidth="10" defaultColWidth="11.5546875" defaultRowHeight="13.2" x14ac:dyDescent="0.25"/>
  <cols>
    <col min="1" max="2" width="3.44140625" style="98" customWidth="1"/>
    <col min="3" max="3" width="25.6640625" style="98" customWidth="1"/>
    <col min="4" max="5" width="8.6640625" style="98" customWidth="1"/>
    <col min="6" max="16384" width="11.5546875" style="98"/>
  </cols>
  <sheetData>
    <row r="1" spans="2:5" ht="18" customHeight="1" thickBot="1" x14ac:dyDescent="0.3"/>
    <row r="2" spans="2:5" ht="18" customHeight="1" x14ac:dyDescent="0.25">
      <c r="B2" s="99" t="str">
        <f>Config!F2&amp;" "&amp;YEAR(Config!G24)</f>
        <v>Mathe Abitur 2026</v>
      </c>
      <c r="C2" s="100"/>
      <c r="D2" s="101"/>
      <c r="E2" s="102" t="str">
        <f>"Kurs "&amp;Config!G26</f>
        <v>Kurs K1</v>
      </c>
    </row>
    <row r="3" spans="2:5" ht="18" customHeight="1" x14ac:dyDescent="0.25">
      <c r="B3" s="103" t="s">
        <v>11</v>
      </c>
      <c r="C3" s="104"/>
      <c r="D3" s="104"/>
      <c r="E3" s="105"/>
    </row>
    <row r="4" spans="2:5" ht="18" customHeight="1" thickBot="1" x14ac:dyDescent="0.3">
      <c r="B4" s="103"/>
      <c r="C4" s="104"/>
      <c r="D4" s="106"/>
      <c r="E4" s="107"/>
    </row>
    <row r="5" spans="2:5" ht="18" customHeight="1" thickBot="1" x14ac:dyDescent="0.3">
      <c r="B5" s="108"/>
      <c r="C5" s="110"/>
      <c r="D5" s="124" t="str">
        <f>Config!J6</f>
        <v>1</v>
      </c>
      <c r="E5" s="114" t="s">
        <v>82</v>
      </c>
    </row>
    <row r="6" spans="2:5" ht="18" customHeight="1" thickBot="1" x14ac:dyDescent="0.3">
      <c r="B6" s="109"/>
      <c r="C6" s="111" t="s">
        <v>81</v>
      </c>
      <c r="D6" s="113">
        <f>Config!K6</f>
        <v>5</v>
      </c>
      <c r="E6" s="125">
        <f>Config!K21</f>
        <v>5</v>
      </c>
    </row>
    <row r="7" spans="2:5" ht="18" customHeight="1" x14ac:dyDescent="0.25">
      <c r="B7" s="157">
        <v>1</v>
      </c>
      <c r="C7" s="158" t="str">
        <f>Config!C5&amp;", "&amp;Config!D5</f>
        <v>Höfer, Simon</v>
      </c>
      <c r="D7" s="179">
        <v>2.5</v>
      </c>
      <c r="E7" s="159">
        <f t="shared" ref="E7:E38" si="0">SUM(D7:D7)</f>
        <v>2.5</v>
      </c>
    </row>
    <row r="8" spans="2:5" s="116" customFormat="1" ht="13.2" customHeight="1" x14ac:dyDescent="0.2">
      <c r="B8" s="160"/>
      <c r="C8" s="161" t="s">
        <v>126</v>
      </c>
      <c r="D8" s="163"/>
      <c r="E8" s="149">
        <f t="shared" si="0"/>
        <v>0</v>
      </c>
    </row>
    <row r="9" spans="2:5" s="116" customFormat="1" ht="13.2" customHeight="1" x14ac:dyDescent="0.2">
      <c r="B9" s="164"/>
      <c r="C9" s="165" t="s">
        <v>127</v>
      </c>
      <c r="D9" s="147"/>
      <c r="E9" s="148">
        <f t="shared" si="0"/>
        <v>0</v>
      </c>
    </row>
    <row r="10" spans="2:5" ht="18" customHeight="1" x14ac:dyDescent="0.25">
      <c r="B10" s="170">
        <v>2</v>
      </c>
      <c r="C10" s="171" t="str">
        <f>Config!C6&amp;", "&amp;Config!D6</f>
        <v>Töpfer, Lilian</v>
      </c>
      <c r="D10" s="181">
        <v>5</v>
      </c>
      <c r="E10" s="172">
        <f t="shared" si="0"/>
        <v>5</v>
      </c>
    </row>
    <row r="11" spans="2:5" s="116" customFormat="1" ht="13.2" customHeight="1" x14ac:dyDescent="0.2">
      <c r="B11" s="166"/>
      <c r="C11" s="167" t="s">
        <v>126</v>
      </c>
      <c r="D11" s="169"/>
      <c r="E11" s="152">
        <v>1</v>
      </c>
    </row>
    <row r="12" spans="2:5" s="116" customFormat="1" ht="13.2" customHeight="1" x14ac:dyDescent="0.2">
      <c r="B12" s="173"/>
      <c r="C12" s="174" t="s">
        <v>127</v>
      </c>
      <c r="D12" s="147"/>
      <c r="E12" s="151">
        <f t="shared" si="0"/>
        <v>0</v>
      </c>
    </row>
    <row r="13" spans="2:5" ht="18" customHeight="1" x14ac:dyDescent="0.25">
      <c r="B13" s="175">
        <v>3</v>
      </c>
      <c r="C13" s="176" t="str">
        <f>Config!C7&amp;", "&amp;Config!D7</f>
        <v>Fleischmann, Leonie</v>
      </c>
      <c r="D13" s="183">
        <v>2.5</v>
      </c>
      <c r="E13" s="177">
        <f t="shared" si="0"/>
        <v>2.5</v>
      </c>
    </row>
    <row r="14" spans="2:5" s="116" customFormat="1" ht="13.2" customHeight="1" x14ac:dyDescent="0.2">
      <c r="B14" s="160"/>
      <c r="C14" s="161" t="s">
        <v>126</v>
      </c>
      <c r="D14" s="163"/>
      <c r="E14" s="149">
        <f t="shared" si="0"/>
        <v>0</v>
      </c>
    </row>
    <row r="15" spans="2:5" s="116" customFormat="1" ht="13.2" customHeight="1" x14ac:dyDescent="0.2">
      <c r="B15" s="164"/>
      <c r="C15" s="165" t="s">
        <v>127</v>
      </c>
      <c r="D15" s="147"/>
      <c r="E15" s="148">
        <f t="shared" si="0"/>
        <v>0</v>
      </c>
    </row>
    <row r="16" spans="2:5" ht="18" customHeight="1" x14ac:dyDescent="0.25">
      <c r="B16" s="170">
        <v>4</v>
      </c>
      <c r="C16" s="171" t="str">
        <f>Config!C8&amp;", "&amp;Config!D8</f>
        <v>Drescher, Cedric</v>
      </c>
      <c r="D16" s="181">
        <v>2.5</v>
      </c>
      <c r="E16" s="172">
        <f t="shared" si="0"/>
        <v>2.5</v>
      </c>
    </row>
    <row r="17" spans="2:5" s="116" customFormat="1" ht="13.2" customHeight="1" x14ac:dyDescent="0.2">
      <c r="B17" s="166"/>
      <c r="C17" s="167" t="s">
        <v>126</v>
      </c>
      <c r="D17" s="169"/>
      <c r="E17" s="152">
        <f t="shared" si="0"/>
        <v>0</v>
      </c>
    </row>
    <row r="18" spans="2:5" s="116" customFormat="1" ht="13.2" customHeight="1" x14ac:dyDescent="0.2">
      <c r="B18" s="173"/>
      <c r="C18" s="174" t="s">
        <v>127</v>
      </c>
      <c r="D18" s="147"/>
      <c r="E18" s="151">
        <f t="shared" si="0"/>
        <v>0</v>
      </c>
    </row>
    <row r="19" spans="2:5" ht="18" customHeight="1" x14ac:dyDescent="0.25">
      <c r="B19" s="175">
        <v>5</v>
      </c>
      <c r="C19" s="176" t="str">
        <f>Config!C9&amp;", "&amp;Config!D9</f>
        <v>Baumgarten, Annabell</v>
      </c>
      <c r="D19" s="183">
        <v>2.5</v>
      </c>
      <c r="E19" s="177">
        <f t="shared" si="0"/>
        <v>2.5</v>
      </c>
    </row>
    <row r="20" spans="2:5" s="116" customFormat="1" ht="13.2" customHeight="1" x14ac:dyDescent="0.2">
      <c r="B20" s="160"/>
      <c r="C20" s="161" t="s">
        <v>126</v>
      </c>
      <c r="D20" s="163"/>
      <c r="E20" s="149">
        <f t="shared" si="0"/>
        <v>0</v>
      </c>
    </row>
    <row r="21" spans="2:5" s="116" customFormat="1" ht="13.2" customHeight="1" x14ac:dyDescent="0.2">
      <c r="B21" s="164"/>
      <c r="C21" s="165" t="s">
        <v>127</v>
      </c>
      <c r="D21" s="147"/>
      <c r="E21" s="148">
        <f t="shared" si="0"/>
        <v>0</v>
      </c>
    </row>
    <row r="22" spans="2:5" ht="18" customHeight="1" x14ac:dyDescent="0.25">
      <c r="B22" s="170">
        <v>6</v>
      </c>
      <c r="C22" s="171" t="str">
        <f>Config!C10&amp;", "&amp;Config!D10</f>
        <v>Traut, Stefanie</v>
      </c>
      <c r="D22" s="181">
        <v>3</v>
      </c>
      <c r="E22" s="172">
        <f t="shared" si="0"/>
        <v>3</v>
      </c>
    </row>
    <row r="23" spans="2:5" s="116" customFormat="1" ht="13.2" customHeight="1" x14ac:dyDescent="0.2">
      <c r="B23" s="166"/>
      <c r="C23" s="167" t="s">
        <v>126</v>
      </c>
      <c r="D23" s="169"/>
      <c r="E23" s="152">
        <f t="shared" si="0"/>
        <v>0</v>
      </c>
    </row>
    <row r="24" spans="2:5" s="116" customFormat="1" ht="13.2" customHeight="1" x14ac:dyDescent="0.2">
      <c r="B24" s="173"/>
      <c r="C24" s="174" t="s">
        <v>127</v>
      </c>
      <c r="D24" s="147"/>
      <c r="E24" s="151">
        <f t="shared" si="0"/>
        <v>0</v>
      </c>
    </row>
    <row r="25" spans="2:5" ht="18" customHeight="1" x14ac:dyDescent="0.25">
      <c r="B25" s="175">
        <v>7</v>
      </c>
      <c r="C25" s="176" t="str">
        <f>Config!C11&amp;", "&amp;Config!D11</f>
        <v>Menke, Damian</v>
      </c>
      <c r="D25" s="183">
        <v>5</v>
      </c>
      <c r="E25" s="177">
        <f t="shared" si="0"/>
        <v>5</v>
      </c>
    </row>
    <row r="26" spans="2:5" s="116" customFormat="1" ht="13.2" customHeight="1" x14ac:dyDescent="0.2">
      <c r="B26" s="160"/>
      <c r="C26" s="161" t="s">
        <v>126</v>
      </c>
      <c r="D26" s="163"/>
      <c r="E26" s="149">
        <f t="shared" si="0"/>
        <v>0</v>
      </c>
    </row>
    <row r="27" spans="2:5" s="116" customFormat="1" ht="13.2" customHeight="1" x14ac:dyDescent="0.2">
      <c r="B27" s="164"/>
      <c r="C27" s="165" t="s">
        <v>127</v>
      </c>
      <c r="D27" s="147"/>
      <c r="E27" s="148">
        <f t="shared" si="0"/>
        <v>0</v>
      </c>
    </row>
    <row r="28" spans="2:5" ht="18" customHeight="1" x14ac:dyDescent="0.25">
      <c r="B28" s="170">
        <v>8</v>
      </c>
      <c r="C28" s="171" t="str">
        <f>Config!C12&amp;", "&amp;Config!D12</f>
        <v>Carroll, Meik</v>
      </c>
      <c r="D28" s="181">
        <v>5</v>
      </c>
      <c r="E28" s="172">
        <f t="shared" si="0"/>
        <v>5</v>
      </c>
    </row>
    <row r="29" spans="2:5" s="116" customFormat="1" ht="13.2" customHeight="1" x14ac:dyDescent="0.2">
      <c r="B29" s="166"/>
      <c r="C29" s="167" t="s">
        <v>126</v>
      </c>
      <c r="D29" s="169"/>
      <c r="E29" s="152">
        <f t="shared" si="0"/>
        <v>0</v>
      </c>
    </row>
    <row r="30" spans="2:5" s="116" customFormat="1" ht="13.2" customHeight="1" x14ac:dyDescent="0.2">
      <c r="B30" s="173"/>
      <c r="C30" s="174" t="s">
        <v>127</v>
      </c>
      <c r="D30" s="147"/>
      <c r="E30" s="151">
        <f t="shared" si="0"/>
        <v>0</v>
      </c>
    </row>
    <row r="31" spans="2:5" ht="18" customHeight="1" x14ac:dyDescent="0.25">
      <c r="B31" s="175">
        <v>9</v>
      </c>
      <c r="C31" s="176" t="str">
        <f>Config!C13&amp;", "&amp;Config!D13</f>
        <v>Hennings, Tomas</v>
      </c>
      <c r="D31" s="183">
        <v>4</v>
      </c>
      <c r="E31" s="177">
        <f t="shared" si="0"/>
        <v>4</v>
      </c>
    </row>
    <row r="32" spans="2:5" s="116" customFormat="1" ht="13.2" customHeight="1" x14ac:dyDescent="0.2">
      <c r="B32" s="160"/>
      <c r="C32" s="161" t="s">
        <v>126</v>
      </c>
      <c r="D32" s="163"/>
      <c r="E32" s="149">
        <f t="shared" si="0"/>
        <v>0</v>
      </c>
    </row>
    <row r="33" spans="2:5" s="116" customFormat="1" ht="13.2" customHeight="1" x14ac:dyDescent="0.2">
      <c r="B33" s="164"/>
      <c r="C33" s="165" t="s">
        <v>127</v>
      </c>
      <c r="D33" s="147"/>
      <c r="E33" s="148">
        <f t="shared" si="0"/>
        <v>0</v>
      </c>
    </row>
    <row r="34" spans="2:5" ht="18" customHeight="1" x14ac:dyDescent="0.25">
      <c r="B34" s="170">
        <v>10</v>
      </c>
      <c r="C34" s="171" t="str">
        <f>Config!C14&amp;", "&amp;Config!D14</f>
        <v>Walters, Linn</v>
      </c>
      <c r="D34" s="181">
        <v>2.5</v>
      </c>
      <c r="E34" s="172">
        <f t="shared" si="0"/>
        <v>2.5</v>
      </c>
    </row>
    <row r="35" spans="2:5" s="116" customFormat="1" ht="13.2" customHeight="1" x14ac:dyDescent="0.2">
      <c r="B35" s="166"/>
      <c r="C35" s="167" t="s">
        <v>126</v>
      </c>
      <c r="D35" s="169"/>
      <c r="E35" s="152">
        <f t="shared" si="0"/>
        <v>0</v>
      </c>
    </row>
    <row r="36" spans="2:5" s="116" customFormat="1" ht="13.2" customHeight="1" x14ac:dyDescent="0.2">
      <c r="B36" s="173"/>
      <c r="C36" s="174" t="s">
        <v>127</v>
      </c>
      <c r="D36" s="147"/>
      <c r="E36" s="151">
        <f t="shared" si="0"/>
        <v>0</v>
      </c>
    </row>
    <row r="37" spans="2:5" ht="18" customHeight="1" x14ac:dyDescent="0.25">
      <c r="B37" s="175">
        <v>11</v>
      </c>
      <c r="C37" s="176" t="str">
        <f>Config!C15&amp;", "&amp;Config!D15</f>
        <v>Junker, Amely</v>
      </c>
      <c r="D37" s="183">
        <v>2</v>
      </c>
      <c r="E37" s="177">
        <f t="shared" si="0"/>
        <v>2</v>
      </c>
    </row>
    <row r="38" spans="2:5" s="116" customFormat="1" ht="13.2" customHeight="1" x14ac:dyDescent="0.2">
      <c r="B38" s="160"/>
      <c r="C38" s="161" t="s">
        <v>126</v>
      </c>
      <c r="D38" s="163"/>
      <c r="E38" s="149">
        <f t="shared" si="0"/>
        <v>0</v>
      </c>
    </row>
    <row r="39" spans="2:5" s="116" customFormat="1" ht="13.2" customHeight="1" x14ac:dyDescent="0.2">
      <c r="B39" s="164"/>
      <c r="C39" s="165" t="s">
        <v>127</v>
      </c>
      <c r="D39" s="147"/>
      <c r="E39" s="148">
        <f t="shared" ref="E39:E70" si="1">SUM(D39:D39)</f>
        <v>0</v>
      </c>
    </row>
    <row r="40" spans="2:5" ht="18" customHeight="1" x14ac:dyDescent="0.25">
      <c r="B40" s="170">
        <v>12</v>
      </c>
      <c r="C40" s="171" t="str">
        <f>Config!C16&amp;", "&amp;Config!D16</f>
        <v>Stephens, Melvin</v>
      </c>
      <c r="D40" s="181">
        <v>2.5</v>
      </c>
      <c r="E40" s="172">
        <f t="shared" si="1"/>
        <v>2.5</v>
      </c>
    </row>
    <row r="41" spans="2:5" s="116" customFormat="1" ht="13.2" customHeight="1" x14ac:dyDescent="0.2">
      <c r="B41" s="166"/>
      <c r="C41" s="167" t="s">
        <v>126</v>
      </c>
      <c r="D41" s="169"/>
      <c r="E41" s="152">
        <f t="shared" si="1"/>
        <v>0</v>
      </c>
    </row>
    <row r="42" spans="2:5" s="116" customFormat="1" ht="13.2" customHeight="1" x14ac:dyDescent="0.2">
      <c r="B42" s="173"/>
      <c r="C42" s="174" t="s">
        <v>127</v>
      </c>
      <c r="D42" s="147"/>
      <c r="E42" s="151">
        <f t="shared" si="1"/>
        <v>0</v>
      </c>
    </row>
    <row r="43" spans="2:5" ht="18" customHeight="1" x14ac:dyDescent="0.25">
      <c r="B43" s="175">
        <v>13</v>
      </c>
      <c r="C43" s="176" t="str">
        <f>Config!C17&amp;", "&amp;Config!D17</f>
        <v>Cremer, Marvin</v>
      </c>
      <c r="D43" s="183">
        <v>5</v>
      </c>
      <c r="E43" s="177">
        <f t="shared" si="1"/>
        <v>5</v>
      </c>
    </row>
    <row r="44" spans="2:5" s="116" customFormat="1" ht="13.2" customHeight="1" x14ac:dyDescent="0.2">
      <c r="B44" s="160"/>
      <c r="C44" s="161" t="s">
        <v>126</v>
      </c>
      <c r="D44" s="163"/>
      <c r="E44" s="149">
        <f t="shared" si="1"/>
        <v>0</v>
      </c>
    </row>
    <row r="45" spans="2:5" s="116" customFormat="1" ht="13.2" customHeight="1" x14ac:dyDescent="0.2">
      <c r="B45" s="164"/>
      <c r="C45" s="165" t="s">
        <v>127</v>
      </c>
      <c r="D45" s="147"/>
      <c r="E45" s="148">
        <f t="shared" si="1"/>
        <v>0</v>
      </c>
    </row>
    <row r="46" spans="2:5" ht="18" customHeight="1" x14ac:dyDescent="0.25">
      <c r="B46" s="170">
        <v>14</v>
      </c>
      <c r="C46" s="171" t="str">
        <f>Config!C18&amp;", "&amp;Config!D18</f>
        <v>Nash, Jean</v>
      </c>
      <c r="D46" s="181">
        <v>5</v>
      </c>
      <c r="E46" s="172">
        <f t="shared" si="1"/>
        <v>5</v>
      </c>
    </row>
    <row r="47" spans="2:5" s="116" customFormat="1" ht="13.2" customHeight="1" x14ac:dyDescent="0.2">
      <c r="B47" s="166"/>
      <c r="C47" s="167" t="s">
        <v>126</v>
      </c>
      <c r="D47" s="169"/>
      <c r="E47" s="152">
        <f t="shared" si="1"/>
        <v>0</v>
      </c>
    </row>
    <row r="48" spans="2:5" s="116" customFormat="1" ht="13.2" customHeight="1" x14ac:dyDescent="0.2">
      <c r="B48" s="173"/>
      <c r="C48" s="174" t="s">
        <v>127</v>
      </c>
      <c r="D48" s="147"/>
      <c r="E48" s="151">
        <f t="shared" si="1"/>
        <v>0</v>
      </c>
    </row>
    <row r="49" spans="2:5" ht="18" customHeight="1" x14ac:dyDescent="0.25">
      <c r="B49" s="175">
        <v>15</v>
      </c>
      <c r="C49" s="176" t="str">
        <f>Config!C19&amp;", "&amp;Config!D19</f>
        <v>Schön, Leonardo</v>
      </c>
      <c r="D49" s="183">
        <v>2.5</v>
      </c>
      <c r="E49" s="177">
        <f t="shared" si="1"/>
        <v>2.5</v>
      </c>
    </row>
    <row r="50" spans="2:5" s="116" customFormat="1" ht="13.2" customHeight="1" x14ac:dyDescent="0.2">
      <c r="B50" s="160"/>
      <c r="C50" s="161" t="s">
        <v>126</v>
      </c>
      <c r="D50" s="163"/>
      <c r="E50" s="149">
        <f t="shared" si="1"/>
        <v>0</v>
      </c>
    </row>
    <row r="51" spans="2:5" s="116" customFormat="1" ht="13.2" customHeight="1" x14ac:dyDescent="0.2">
      <c r="B51" s="164"/>
      <c r="C51" s="165" t="s">
        <v>127</v>
      </c>
      <c r="D51" s="147"/>
      <c r="E51" s="148">
        <f t="shared" si="1"/>
        <v>0</v>
      </c>
    </row>
    <row r="52" spans="2:5" ht="18" customHeight="1" x14ac:dyDescent="0.25">
      <c r="B52" s="170">
        <v>16</v>
      </c>
      <c r="C52" s="171" t="str">
        <f>Config!C20&amp;", "&amp;Config!D20</f>
        <v>Sigl, Nicholas</v>
      </c>
      <c r="D52" s="181">
        <v>5</v>
      </c>
      <c r="E52" s="172">
        <f t="shared" si="1"/>
        <v>5</v>
      </c>
    </row>
    <row r="53" spans="2:5" s="116" customFormat="1" ht="13.2" customHeight="1" x14ac:dyDescent="0.2">
      <c r="B53" s="166"/>
      <c r="C53" s="167" t="s">
        <v>126</v>
      </c>
      <c r="D53" s="169"/>
      <c r="E53" s="152">
        <f t="shared" si="1"/>
        <v>0</v>
      </c>
    </row>
    <row r="54" spans="2:5" s="116" customFormat="1" ht="13.2" customHeight="1" x14ac:dyDescent="0.2">
      <c r="B54" s="173"/>
      <c r="C54" s="174" t="s">
        <v>127</v>
      </c>
      <c r="D54" s="147"/>
      <c r="E54" s="151">
        <f t="shared" si="1"/>
        <v>0</v>
      </c>
    </row>
    <row r="55" spans="2:5" ht="18" customHeight="1" x14ac:dyDescent="0.25">
      <c r="B55" s="175">
        <v>17</v>
      </c>
      <c r="C55" s="176" t="str">
        <f>Config!C21&amp;", "&amp;Config!D21</f>
        <v>Kainz, Vivienne</v>
      </c>
      <c r="D55" s="183">
        <v>5</v>
      </c>
      <c r="E55" s="177">
        <f t="shared" si="1"/>
        <v>5</v>
      </c>
    </row>
    <row r="56" spans="2:5" s="116" customFormat="1" ht="13.2" customHeight="1" x14ac:dyDescent="0.2">
      <c r="B56" s="160"/>
      <c r="C56" s="161" t="s">
        <v>126</v>
      </c>
      <c r="D56" s="163"/>
      <c r="E56" s="149">
        <f t="shared" si="1"/>
        <v>0</v>
      </c>
    </row>
    <row r="57" spans="2:5" s="116" customFormat="1" ht="13.2" customHeight="1" x14ac:dyDescent="0.2">
      <c r="B57" s="164"/>
      <c r="C57" s="165" t="s">
        <v>127</v>
      </c>
      <c r="D57" s="147"/>
      <c r="E57" s="148">
        <f t="shared" si="1"/>
        <v>0</v>
      </c>
    </row>
    <row r="58" spans="2:5" ht="18" customHeight="1" x14ac:dyDescent="0.25">
      <c r="B58" s="170">
        <v>18</v>
      </c>
      <c r="C58" s="171" t="str">
        <f>Config!C22&amp;", "&amp;Config!D22</f>
        <v>Hartmann, Mads</v>
      </c>
      <c r="D58" s="181">
        <v>2.5</v>
      </c>
      <c r="E58" s="172">
        <f t="shared" si="1"/>
        <v>2.5</v>
      </c>
    </row>
    <row r="59" spans="2:5" s="116" customFormat="1" ht="13.2" customHeight="1" x14ac:dyDescent="0.2">
      <c r="B59" s="166"/>
      <c r="C59" s="167" t="s">
        <v>126</v>
      </c>
      <c r="D59" s="169"/>
      <c r="E59" s="152">
        <f t="shared" si="1"/>
        <v>0</v>
      </c>
    </row>
    <row r="60" spans="2:5" s="116" customFormat="1" ht="13.2" customHeight="1" x14ac:dyDescent="0.2">
      <c r="B60" s="173"/>
      <c r="C60" s="174" t="s">
        <v>127</v>
      </c>
      <c r="D60" s="147"/>
      <c r="E60" s="151">
        <f t="shared" si="1"/>
        <v>0</v>
      </c>
    </row>
    <row r="61" spans="2:5" ht="18" customHeight="1" x14ac:dyDescent="0.25">
      <c r="B61" s="175">
        <v>19</v>
      </c>
      <c r="C61" s="176" t="str">
        <f>Config!C23&amp;", "&amp;Config!D23</f>
        <v>Ullmann, Raphael</v>
      </c>
      <c r="D61" s="183">
        <v>5</v>
      </c>
      <c r="E61" s="177">
        <f t="shared" si="1"/>
        <v>5</v>
      </c>
    </row>
    <row r="62" spans="2:5" s="116" customFormat="1" ht="13.2" customHeight="1" x14ac:dyDescent="0.2">
      <c r="B62" s="160"/>
      <c r="C62" s="161" t="s">
        <v>126</v>
      </c>
      <c r="D62" s="163"/>
      <c r="E62" s="149">
        <f t="shared" si="1"/>
        <v>0</v>
      </c>
    </row>
    <row r="63" spans="2:5" s="116" customFormat="1" ht="13.2" customHeight="1" x14ac:dyDescent="0.2">
      <c r="B63" s="164"/>
      <c r="C63" s="165" t="s">
        <v>127</v>
      </c>
      <c r="D63" s="147"/>
      <c r="E63" s="148">
        <f t="shared" si="1"/>
        <v>0</v>
      </c>
    </row>
    <row r="64" spans="2:5" ht="18" customHeight="1" x14ac:dyDescent="0.25">
      <c r="B64" s="170">
        <v>20</v>
      </c>
      <c r="C64" s="171" t="str">
        <f>Config!C24&amp;", "&amp;Config!D24</f>
        <v>Hartl, Emmely</v>
      </c>
      <c r="D64" s="181">
        <v>3</v>
      </c>
      <c r="E64" s="172">
        <f t="shared" si="1"/>
        <v>3</v>
      </c>
    </row>
    <row r="65" spans="2:5" s="116" customFormat="1" ht="13.2" customHeight="1" x14ac:dyDescent="0.2">
      <c r="B65" s="166"/>
      <c r="C65" s="167" t="s">
        <v>126</v>
      </c>
      <c r="D65" s="169"/>
      <c r="E65" s="152">
        <f t="shared" si="1"/>
        <v>0</v>
      </c>
    </row>
    <row r="66" spans="2:5" s="116" customFormat="1" ht="13.2" customHeight="1" x14ac:dyDescent="0.2">
      <c r="B66" s="173"/>
      <c r="C66" s="174" t="s">
        <v>127</v>
      </c>
      <c r="D66" s="147"/>
      <c r="E66" s="151">
        <f t="shared" si="1"/>
        <v>0</v>
      </c>
    </row>
    <row r="67" spans="2:5" ht="18" customHeight="1" x14ac:dyDescent="0.25">
      <c r="B67" s="175">
        <v>21</v>
      </c>
      <c r="C67" s="176" t="str">
        <f>Config!C25&amp;", "&amp;Config!D25</f>
        <v>Klotz, Karin</v>
      </c>
      <c r="D67" s="183">
        <v>4</v>
      </c>
      <c r="E67" s="177">
        <f t="shared" si="1"/>
        <v>4</v>
      </c>
    </row>
    <row r="68" spans="2:5" s="116" customFormat="1" ht="13.2" customHeight="1" x14ac:dyDescent="0.2">
      <c r="B68" s="160"/>
      <c r="C68" s="161" t="s">
        <v>126</v>
      </c>
      <c r="D68" s="163"/>
      <c r="E68" s="149">
        <f t="shared" si="1"/>
        <v>0</v>
      </c>
    </row>
    <row r="69" spans="2:5" s="116" customFormat="1" ht="13.2" customHeight="1" x14ac:dyDescent="0.2">
      <c r="B69" s="164"/>
      <c r="C69" s="165" t="s">
        <v>127</v>
      </c>
      <c r="D69" s="147"/>
      <c r="E69" s="148">
        <f t="shared" si="1"/>
        <v>0</v>
      </c>
    </row>
    <row r="70" spans="2:5" ht="18" customHeight="1" x14ac:dyDescent="0.25">
      <c r="B70" s="170">
        <v>22</v>
      </c>
      <c r="C70" s="171" t="str">
        <f>Config!C26&amp;", "&amp;Config!D26</f>
        <v>Ehlers, Ingo</v>
      </c>
      <c r="D70" s="181">
        <v>5</v>
      </c>
      <c r="E70" s="172">
        <f t="shared" si="1"/>
        <v>5</v>
      </c>
    </row>
    <row r="71" spans="2:5" s="116" customFormat="1" ht="13.2" customHeight="1" x14ac:dyDescent="0.2">
      <c r="B71" s="166"/>
      <c r="C71" s="167" t="s">
        <v>126</v>
      </c>
      <c r="D71" s="169"/>
      <c r="E71" s="152">
        <f t="shared" ref="E71:E75" si="2">SUM(D71:D71)</f>
        <v>0</v>
      </c>
    </row>
    <row r="72" spans="2:5" s="116" customFormat="1" ht="13.2" customHeight="1" x14ac:dyDescent="0.2">
      <c r="B72" s="173"/>
      <c r="C72" s="174" t="s">
        <v>127</v>
      </c>
      <c r="D72" s="147"/>
      <c r="E72" s="151">
        <f t="shared" si="2"/>
        <v>0</v>
      </c>
    </row>
    <row r="73" spans="2:5" ht="18" customHeight="1" thickBot="1" x14ac:dyDescent="0.3">
      <c r="B73" s="142">
        <v>23</v>
      </c>
      <c r="C73" s="137" t="str">
        <f>Config!C27&amp;", "&amp;Config!D27</f>
        <v>Lindemann, Mads</v>
      </c>
      <c r="D73" s="96">
        <v>5</v>
      </c>
      <c r="E73" s="145">
        <f t="shared" si="2"/>
        <v>5</v>
      </c>
    </row>
    <row r="74" spans="2:5" s="116" customFormat="1" ht="13.2" customHeight="1" x14ac:dyDescent="0.2">
      <c r="B74" s="160"/>
      <c r="C74" s="161" t="s">
        <v>126</v>
      </c>
      <c r="D74" s="163"/>
      <c r="E74" s="149">
        <f t="shared" si="2"/>
        <v>0</v>
      </c>
    </row>
    <row r="75" spans="2:5" s="116" customFormat="1" ht="13.2" customHeight="1" thickBot="1" x14ac:dyDescent="0.25">
      <c r="B75" s="153"/>
      <c r="C75" s="156" t="s">
        <v>127</v>
      </c>
      <c r="D75" s="155"/>
      <c r="E75" s="150">
        <f t="shared" si="2"/>
        <v>0</v>
      </c>
    </row>
    <row r="76" spans="2:5" ht="18" customHeight="1" thickBot="1" x14ac:dyDescent="0.3">
      <c r="B76" s="119"/>
      <c r="C76" s="120"/>
      <c r="D76" s="120">
        <f>IF(COUNTIFS(D7:D73,"&lt;&gt;",C7:C73,"&lt;&gt;ZK",C7:C73,"&lt;&gt;DK")&lt;&gt;0,SUMIFS(D7:D73,C7:C73,"&lt;&gt;ZK",C7:C73,"&lt;&gt;DK")/(COUNTIFS(D7:D73,"&lt;&gt;",C7:C73,"&lt;&gt;ZK",C7:C73,"&lt;&gt;DK")*D6),0)</f>
        <v>0.74782608695652175</v>
      </c>
      <c r="E76" s="121"/>
    </row>
    <row r="77" spans="2:5" ht="18" customHeight="1" x14ac:dyDescent="0.25"/>
    <row r="78" spans="2:5" ht="18" customHeight="1" x14ac:dyDescent="0.25"/>
    <row r="79" spans="2:5" ht="18" customHeight="1" x14ac:dyDescent="0.25"/>
    <row r="80" spans="2:5"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electLockedCells="1"/>
  <dataValidations count="1">
    <dataValidation type="decimal" allowBlank="1" showErrorMessage="1" sqref="D7:D75" xr:uid="{4118106A-3701-44F6-BA20-381781B9B05E}">
      <formula1>0</formula1>
      <formula2>$D$6</formula2>
    </dataValidation>
  </dataValidation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42AE-3981-4F5D-87C6-840F8FD2DADF}">
  <sheetPr codeName="Tabelle4">
    <tabColor rgb="FF92D050"/>
  </sheetPr>
  <dimension ref="B1:I100"/>
  <sheetViews>
    <sheetView workbookViewId="0">
      <selection activeCell="D8" sqref="D8"/>
    </sheetView>
  </sheetViews>
  <sheetFormatPr baseColWidth="10" defaultColWidth="11.5546875" defaultRowHeight="13.2" x14ac:dyDescent="0.25"/>
  <cols>
    <col min="1" max="2" width="3.44140625" style="98" customWidth="1"/>
    <col min="3" max="3" width="25.6640625" style="98" customWidth="1"/>
    <col min="4" max="9" width="8.6640625" style="98" customWidth="1"/>
    <col min="10" max="16384" width="11.5546875" style="98"/>
  </cols>
  <sheetData>
    <row r="1" spans="2:9" ht="18" customHeight="1" thickBot="1" x14ac:dyDescent="0.3"/>
    <row r="2" spans="2:9" ht="18" customHeight="1" x14ac:dyDescent="0.25">
      <c r="B2" s="99" t="str">
        <f>Config!F2&amp;" "&amp;YEAR(Config!G24)</f>
        <v>Mathe Abitur 2026</v>
      </c>
      <c r="C2" s="100"/>
      <c r="D2" s="100"/>
      <c r="E2" s="100"/>
      <c r="F2" s="101"/>
      <c r="G2" s="101"/>
      <c r="H2" s="101"/>
      <c r="I2" s="102" t="str">
        <f>"Kurs "&amp;Config!G26</f>
        <v>Kurs K1</v>
      </c>
    </row>
    <row r="3" spans="2:9" ht="18" customHeight="1" x14ac:dyDescent="0.25">
      <c r="B3" s="103" t="s">
        <v>12</v>
      </c>
      <c r="C3" s="104"/>
      <c r="D3" s="104"/>
      <c r="E3" s="104"/>
      <c r="F3" s="104"/>
      <c r="G3" s="104"/>
      <c r="H3" s="104"/>
      <c r="I3" s="105"/>
    </row>
    <row r="4" spans="2:9" ht="18" customHeight="1" thickBot="1" x14ac:dyDescent="0.3">
      <c r="B4" s="103"/>
      <c r="C4" s="104"/>
      <c r="D4" s="106"/>
      <c r="E4" s="106"/>
      <c r="F4" s="106"/>
      <c r="G4" s="106"/>
      <c r="H4" s="106"/>
      <c r="I4" s="107"/>
    </row>
    <row r="5" spans="2:9" ht="18" customHeight="1" thickBot="1" x14ac:dyDescent="0.3">
      <c r="B5" s="108"/>
      <c r="C5" s="110"/>
      <c r="D5" s="124" t="str">
        <f>Config!L6</f>
        <v>1a</v>
      </c>
      <c r="E5" s="124" t="str">
        <f>Config!L7</f>
        <v>1b</v>
      </c>
      <c r="F5" s="124" t="str">
        <f>Config!L8</f>
        <v>1c</v>
      </c>
      <c r="G5" s="124" t="str">
        <f>Config!L9</f>
        <v>1d</v>
      </c>
      <c r="H5" s="124" t="str">
        <f>Config!L10</f>
        <v>2</v>
      </c>
      <c r="I5" s="114" t="s">
        <v>82</v>
      </c>
    </row>
    <row r="6" spans="2:9" ht="18" customHeight="1" thickBot="1" x14ac:dyDescent="0.3">
      <c r="B6" s="109"/>
      <c r="C6" s="111" t="s">
        <v>81</v>
      </c>
      <c r="D6" s="113">
        <f>Config!M6</f>
        <v>2</v>
      </c>
      <c r="E6" s="113">
        <f>Config!M7</f>
        <v>2</v>
      </c>
      <c r="F6" s="113">
        <f>Config!M8</f>
        <v>2</v>
      </c>
      <c r="G6" s="113">
        <f>Config!M9</f>
        <v>4</v>
      </c>
      <c r="H6" s="113">
        <f>Config!M10</f>
        <v>7</v>
      </c>
      <c r="I6" s="125">
        <f>Config!M21</f>
        <v>17</v>
      </c>
    </row>
    <row r="7" spans="2:9" ht="18" customHeight="1" x14ac:dyDescent="0.25">
      <c r="B7" s="157">
        <v>1</v>
      </c>
      <c r="C7" s="158" t="str">
        <f>Config!C5&amp;", "&amp;Config!D5</f>
        <v>Höfer, Simon</v>
      </c>
      <c r="D7" s="178">
        <v>2</v>
      </c>
      <c r="E7" s="178">
        <v>2</v>
      </c>
      <c r="F7" s="178">
        <v>2</v>
      </c>
      <c r="G7" s="178">
        <v>4</v>
      </c>
      <c r="H7" s="179">
        <v>3</v>
      </c>
      <c r="I7" s="159">
        <f t="shared" ref="I7:I38" si="0">SUM(D7:H7)</f>
        <v>13</v>
      </c>
    </row>
    <row r="8" spans="2:9" s="116" customFormat="1" ht="13.2" customHeight="1" x14ac:dyDescent="0.2">
      <c r="B8" s="160"/>
      <c r="C8" s="161" t="s">
        <v>126</v>
      </c>
      <c r="D8" s="162"/>
      <c r="E8" s="162"/>
      <c r="F8" s="162"/>
      <c r="G8" s="162"/>
      <c r="H8" s="163"/>
      <c r="I8" s="149">
        <f t="shared" si="0"/>
        <v>0</v>
      </c>
    </row>
    <row r="9" spans="2:9" s="116" customFormat="1" ht="13.2" customHeight="1" x14ac:dyDescent="0.2">
      <c r="B9" s="164"/>
      <c r="C9" s="165" t="s">
        <v>127</v>
      </c>
      <c r="D9" s="146"/>
      <c r="E9" s="146"/>
      <c r="F9" s="146"/>
      <c r="G9" s="146"/>
      <c r="H9" s="147"/>
      <c r="I9" s="148">
        <f t="shared" si="0"/>
        <v>0</v>
      </c>
    </row>
    <row r="10" spans="2:9" ht="18" customHeight="1" x14ac:dyDescent="0.25">
      <c r="B10" s="170">
        <v>2</v>
      </c>
      <c r="C10" s="171" t="str">
        <f>Config!C6&amp;", "&amp;Config!D6</f>
        <v>Töpfer, Lilian</v>
      </c>
      <c r="D10" s="180">
        <v>1</v>
      </c>
      <c r="E10" s="180">
        <v>2</v>
      </c>
      <c r="F10" s="180">
        <v>1</v>
      </c>
      <c r="G10" s="180">
        <v>2</v>
      </c>
      <c r="H10" s="181">
        <v>1</v>
      </c>
      <c r="I10" s="172">
        <f t="shared" si="0"/>
        <v>7</v>
      </c>
    </row>
    <row r="11" spans="2:9" s="116" customFormat="1" ht="13.2" customHeight="1" x14ac:dyDescent="0.2">
      <c r="B11" s="166"/>
      <c r="C11" s="167" t="s">
        <v>126</v>
      </c>
      <c r="D11" s="168"/>
      <c r="E11" s="168"/>
      <c r="F11" s="168"/>
      <c r="G11" s="168"/>
      <c r="H11" s="169"/>
      <c r="I11" s="152">
        <f t="shared" si="0"/>
        <v>0</v>
      </c>
    </row>
    <row r="12" spans="2:9" s="116" customFormat="1" ht="13.2" customHeight="1" x14ac:dyDescent="0.2">
      <c r="B12" s="173"/>
      <c r="C12" s="174" t="s">
        <v>127</v>
      </c>
      <c r="D12" s="146"/>
      <c r="E12" s="146"/>
      <c r="F12" s="146"/>
      <c r="G12" s="146"/>
      <c r="H12" s="147"/>
      <c r="I12" s="151">
        <f t="shared" si="0"/>
        <v>0</v>
      </c>
    </row>
    <row r="13" spans="2:9" ht="18" customHeight="1" x14ac:dyDescent="0.25">
      <c r="B13" s="175">
        <v>3</v>
      </c>
      <c r="C13" s="176" t="str">
        <f>Config!C7&amp;", "&amp;Config!D7</f>
        <v>Fleischmann, Leonie</v>
      </c>
      <c r="D13" s="182">
        <v>2</v>
      </c>
      <c r="E13" s="182">
        <v>2</v>
      </c>
      <c r="F13" s="182">
        <v>1</v>
      </c>
      <c r="G13" s="182">
        <v>3</v>
      </c>
      <c r="H13" s="183">
        <v>0</v>
      </c>
      <c r="I13" s="177">
        <f t="shared" si="0"/>
        <v>8</v>
      </c>
    </row>
    <row r="14" spans="2:9" s="116" customFormat="1" ht="13.2" customHeight="1" x14ac:dyDescent="0.2">
      <c r="B14" s="160"/>
      <c r="C14" s="161" t="s">
        <v>126</v>
      </c>
      <c r="D14" s="162"/>
      <c r="E14" s="162"/>
      <c r="F14" s="162"/>
      <c r="G14" s="162"/>
      <c r="H14" s="163"/>
      <c r="I14" s="149">
        <f t="shared" si="0"/>
        <v>0</v>
      </c>
    </row>
    <row r="15" spans="2:9" s="116" customFormat="1" ht="13.2" customHeight="1" x14ac:dyDescent="0.2">
      <c r="B15" s="164"/>
      <c r="C15" s="165" t="s">
        <v>127</v>
      </c>
      <c r="D15" s="146"/>
      <c r="E15" s="146"/>
      <c r="F15" s="146"/>
      <c r="G15" s="146"/>
      <c r="H15" s="147"/>
      <c r="I15" s="148">
        <f t="shared" si="0"/>
        <v>0</v>
      </c>
    </row>
    <row r="16" spans="2:9" ht="18" customHeight="1" x14ac:dyDescent="0.25">
      <c r="B16" s="170">
        <v>4</v>
      </c>
      <c r="C16" s="171" t="str">
        <f>Config!C8&amp;", "&amp;Config!D8</f>
        <v>Drescher, Cedric</v>
      </c>
      <c r="D16" s="180">
        <v>2</v>
      </c>
      <c r="E16" s="180">
        <v>2</v>
      </c>
      <c r="F16" s="180">
        <v>1</v>
      </c>
      <c r="G16" s="180">
        <v>4</v>
      </c>
      <c r="H16" s="181">
        <v>0</v>
      </c>
      <c r="I16" s="172">
        <f t="shared" si="0"/>
        <v>9</v>
      </c>
    </row>
    <row r="17" spans="2:9" s="116" customFormat="1" ht="13.2" customHeight="1" x14ac:dyDescent="0.2">
      <c r="B17" s="166"/>
      <c r="C17" s="167" t="s">
        <v>126</v>
      </c>
      <c r="D17" s="168"/>
      <c r="E17" s="168"/>
      <c r="F17" s="168"/>
      <c r="G17" s="168"/>
      <c r="H17" s="169"/>
      <c r="I17" s="152">
        <f t="shared" si="0"/>
        <v>0</v>
      </c>
    </row>
    <row r="18" spans="2:9" s="116" customFormat="1" ht="13.2" customHeight="1" x14ac:dyDescent="0.2">
      <c r="B18" s="173"/>
      <c r="C18" s="174" t="s">
        <v>127</v>
      </c>
      <c r="D18" s="146"/>
      <c r="E18" s="146"/>
      <c r="F18" s="146"/>
      <c r="G18" s="146"/>
      <c r="H18" s="147"/>
      <c r="I18" s="151">
        <f t="shared" si="0"/>
        <v>0</v>
      </c>
    </row>
    <row r="19" spans="2:9" ht="18" customHeight="1" x14ac:dyDescent="0.25">
      <c r="B19" s="175">
        <v>5</v>
      </c>
      <c r="C19" s="176" t="str">
        <f>Config!C9&amp;", "&amp;Config!D9</f>
        <v>Baumgarten, Annabell</v>
      </c>
      <c r="D19" s="182">
        <v>1</v>
      </c>
      <c r="E19" s="182">
        <v>1</v>
      </c>
      <c r="F19" s="182">
        <v>1</v>
      </c>
      <c r="G19" s="182">
        <v>1.5</v>
      </c>
      <c r="H19" s="183">
        <v>0</v>
      </c>
      <c r="I19" s="177">
        <f t="shared" si="0"/>
        <v>4.5</v>
      </c>
    </row>
    <row r="20" spans="2:9" s="116" customFormat="1" ht="13.2" customHeight="1" x14ac:dyDescent="0.2">
      <c r="B20" s="160"/>
      <c r="C20" s="161" t="s">
        <v>126</v>
      </c>
      <c r="D20" s="162"/>
      <c r="E20" s="162"/>
      <c r="F20" s="162"/>
      <c r="G20" s="162"/>
      <c r="H20" s="163"/>
      <c r="I20" s="149">
        <f t="shared" si="0"/>
        <v>0</v>
      </c>
    </row>
    <row r="21" spans="2:9" s="116" customFormat="1" ht="13.2" customHeight="1" x14ac:dyDescent="0.2">
      <c r="B21" s="164"/>
      <c r="C21" s="165" t="s">
        <v>127</v>
      </c>
      <c r="D21" s="146"/>
      <c r="E21" s="146"/>
      <c r="F21" s="146"/>
      <c r="G21" s="146"/>
      <c r="H21" s="147"/>
      <c r="I21" s="148">
        <f t="shared" si="0"/>
        <v>0</v>
      </c>
    </row>
    <row r="22" spans="2:9" ht="18" customHeight="1" x14ac:dyDescent="0.25">
      <c r="B22" s="170">
        <v>6</v>
      </c>
      <c r="C22" s="171" t="str">
        <f>Config!C10&amp;", "&amp;Config!D10</f>
        <v>Traut, Stefanie</v>
      </c>
      <c r="D22" s="180">
        <v>2</v>
      </c>
      <c r="E22" s="180">
        <v>0.5</v>
      </c>
      <c r="F22" s="180">
        <v>1</v>
      </c>
      <c r="G22" s="180">
        <v>4</v>
      </c>
      <c r="H22" s="181">
        <v>3</v>
      </c>
      <c r="I22" s="172">
        <f t="shared" si="0"/>
        <v>10.5</v>
      </c>
    </row>
    <row r="23" spans="2:9" s="116" customFormat="1" ht="13.2" customHeight="1" x14ac:dyDescent="0.2">
      <c r="B23" s="166"/>
      <c r="C23" s="167" t="s">
        <v>126</v>
      </c>
      <c r="D23" s="168"/>
      <c r="E23" s="168"/>
      <c r="F23" s="168"/>
      <c r="G23" s="168"/>
      <c r="H23" s="169"/>
      <c r="I23" s="152">
        <f t="shared" si="0"/>
        <v>0</v>
      </c>
    </row>
    <row r="24" spans="2:9" s="116" customFormat="1" ht="13.2" customHeight="1" x14ac:dyDescent="0.2">
      <c r="B24" s="173"/>
      <c r="C24" s="174" t="s">
        <v>127</v>
      </c>
      <c r="D24" s="146"/>
      <c r="E24" s="146"/>
      <c r="F24" s="146"/>
      <c r="G24" s="146"/>
      <c r="H24" s="147"/>
      <c r="I24" s="151">
        <f t="shared" si="0"/>
        <v>0</v>
      </c>
    </row>
    <row r="25" spans="2:9" ht="18" customHeight="1" x14ac:dyDescent="0.25">
      <c r="B25" s="175">
        <v>7</v>
      </c>
      <c r="C25" s="176" t="str">
        <f>Config!C11&amp;", "&amp;Config!D11</f>
        <v>Menke, Damian</v>
      </c>
      <c r="D25" s="182">
        <v>2</v>
      </c>
      <c r="E25" s="182">
        <v>2</v>
      </c>
      <c r="F25" s="182">
        <v>2</v>
      </c>
      <c r="G25" s="182">
        <v>2.5</v>
      </c>
      <c r="H25" s="183">
        <v>0</v>
      </c>
      <c r="I25" s="177">
        <f t="shared" si="0"/>
        <v>8.5</v>
      </c>
    </row>
    <row r="26" spans="2:9" s="116" customFormat="1" ht="13.2" customHeight="1" x14ac:dyDescent="0.2">
      <c r="B26" s="160"/>
      <c r="C26" s="161" t="s">
        <v>126</v>
      </c>
      <c r="D26" s="162"/>
      <c r="E26" s="162"/>
      <c r="F26" s="162"/>
      <c r="G26" s="162"/>
      <c r="H26" s="163"/>
      <c r="I26" s="149">
        <f t="shared" si="0"/>
        <v>0</v>
      </c>
    </row>
    <row r="27" spans="2:9" s="116" customFormat="1" ht="13.2" customHeight="1" x14ac:dyDescent="0.2">
      <c r="B27" s="164"/>
      <c r="C27" s="165" t="s">
        <v>127</v>
      </c>
      <c r="D27" s="146"/>
      <c r="E27" s="146"/>
      <c r="F27" s="146"/>
      <c r="G27" s="146"/>
      <c r="H27" s="147"/>
      <c r="I27" s="148">
        <f t="shared" si="0"/>
        <v>0</v>
      </c>
    </row>
    <row r="28" spans="2:9" ht="18" customHeight="1" x14ac:dyDescent="0.25">
      <c r="B28" s="170">
        <v>8</v>
      </c>
      <c r="C28" s="171" t="str">
        <f>Config!C12&amp;", "&amp;Config!D12</f>
        <v>Carroll, Meik</v>
      </c>
      <c r="D28" s="180">
        <v>2</v>
      </c>
      <c r="E28" s="180">
        <v>2</v>
      </c>
      <c r="F28" s="180">
        <v>2</v>
      </c>
      <c r="G28" s="180">
        <v>2</v>
      </c>
      <c r="H28" s="181">
        <v>0.5</v>
      </c>
      <c r="I28" s="172">
        <f t="shared" si="0"/>
        <v>8.5</v>
      </c>
    </row>
    <row r="29" spans="2:9" s="116" customFormat="1" ht="13.2" customHeight="1" x14ac:dyDescent="0.2">
      <c r="B29" s="166"/>
      <c r="C29" s="167" t="s">
        <v>126</v>
      </c>
      <c r="D29" s="168"/>
      <c r="E29" s="168"/>
      <c r="F29" s="168"/>
      <c r="G29" s="168"/>
      <c r="H29" s="169"/>
      <c r="I29" s="152">
        <f t="shared" si="0"/>
        <v>0</v>
      </c>
    </row>
    <row r="30" spans="2:9" s="116" customFormat="1" ht="13.2" customHeight="1" x14ac:dyDescent="0.2">
      <c r="B30" s="173"/>
      <c r="C30" s="174" t="s">
        <v>127</v>
      </c>
      <c r="D30" s="146"/>
      <c r="E30" s="146"/>
      <c r="F30" s="146"/>
      <c r="G30" s="146"/>
      <c r="H30" s="147"/>
      <c r="I30" s="151">
        <f t="shared" si="0"/>
        <v>0</v>
      </c>
    </row>
    <row r="31" spans="2:9" ht="18" customHeight="1" x14ac:dyDescent="0.25">
      <c r="B31" s="175">
        <v>9</v>
      </c>
      <c r="C31" s="176" t="str">
        <f>Config!C13&amp;", "&amp;Config!D13</f>
        <v>Hennings, Tomas</v>
      </c>
      <c r="D31" s="182">
        <v>2</v>
      </c>
      <c r="E31" s="182">
        <v>2</v>
      </c>
      <c r="F31" s="182">
        <v>2</v>
      </c>
      <c r="G31" s="182">
        <v>4</v>
      </c>
      <c r="H31" s="183">
        <v>3</v>
      </c>
      <c r="I31" s="177">
        <f t="shared" si="0"/>
        <v>13</v>
      </c>
    </row>
    <row r="32" spans="2:9" s="116" customFormat="1" ht="13.2" customHeight="1" x14ac:dyDescent="0.2">
      <c r="B32" s="160"/>
      <c r="C32" s="161" t="s">
        <v>126</v>
      </c>
      <c r="D32" s="162"/>
      <c r="E32" s="162"/>
      <c r="F32" s="162"/>
      <c r="G32" s="162"/>
      <c r="H32" s="163"/>
      <c r="I32" s="149">
        <f t="shared" si="0"/>
        <v>0</v>
      </c>
    </row>
    <row r="33" spans="2:9" s="116" customFormat="1" ht="13.2" customHeight="1" x14ac:dyDescent="0.2">
      <c r="B33" s="164"/>
      <c r="C33" s="165" t="s">
        <v>127</v>
      </c>
      <c r="D33" s="146"/>
      <c r="E33" s="146"/>
      <c r="F33" s="146"/>
      <c r="G33" s="146"/>
      <c r="H33" s="147"/>
      <c r="I33" s="148">
        <f t="shared" si="0"/>
        <v>0</v>
      </c>
    </row>
    <row r="34" spans="2:9" ht="18" customHeight="1" x14ac:dyDescent="0.25">
      <c r="B34" s="170">
        <v>10</v>
      </c>
      <c r="C34" s="171" t="str">
        <f>Config!C14&amp;", "&amp;Config!D14</f>
        <v>Walters, Linn</v>
      </c>
      <c r="D34" s="180">
        <v>2</v>
      </c>
      <c r="E34" s="180">
        <v>2</v>
      </c>
      <c r="F34" s="180">
        <v>2</v>
      </c>
      <c r="G34" s="180">
        <v>2</v>
      </c>
      <c r="H34" s="181">
        <v>0</v>
      </c>
      <c r="I34" s="172">
        <f t="shared" si="0"/>
        <v>8</v>
      </c>
    </row>
    <row r="35" spans="2:9" s="116" customFormat="1" ht="13.2" customHeight="1" x14ac:dyDescent="0.2">
      <c r="B35" s="166"/>
      <c r="C35" s="167" t="s">
        <v>126</v>
      </c>
      <c r="D35" s="168"/>
      <c r="E35" s="168"/>
      <c r="F35" s="168"/>
      <c r="G35" s="168"/>
      <c r="H35" s="169"/>
      <c r="I35" s="152">
        <f t="shared" si="0"/>
        <v>0</v>
      </c>
    </row>
    <row r="36" spans="2:9" s="116" customFormat="1" ht="13.2" customHeight="1" x14ac:dyDescent="0.2">
      <c r="B36" s="173"/>
      <c r="C36" s="174" t="s">
        <v>127</v>
      </c>
      <c r="D36" s="146"/>
      <c r="E36" s="146"/>
      <c r="F36" s="146"/>
      <c r="G36" s="146"/>
      <c r="H36" s="147"/>
      <c r="I36" s="151">
        <f t="shared" si="0"/>
        <v>0</v>
      </c>
    </row>
    <row r="37" spans="2:9" ht="18" customHeight="1" x14ac:dyDescent="0.25">
      <c r="B37" s="175">
        <v>11</v>
      </c>
      <c r="C37" s="176" t="str">
        <f>Config!C15&amp;", "&amp;Config!D15</f>
        <v>Junker, Amely</v>
      </c>
      <c r="D37" s="182">
        <v>1</v>
      </c>
      <c r="E37" s="182">
        <v>0</v>
      </c>
      <c r="F37" s="182">
        <v>2</v>
      </c>
      <c r="G37" s="182">
        <v>1.5</v>
      </c>
      <c r="H37" s="183">
        <v>2</v>
      </c>
      <c r="I37" s="177">
        <f t="shared" si="0"/>
        <v>6.5</v>
      </c>
    </row>
    <row r="38" spans="2:9" s="116" customFormat="1" ht="13.2" customHeight="1" x14ac:dyDescent="0.2">
      <c r="B38" s="160"/>
      <c r="C38" s="161" t="s">
        <v>126</v>
      </c>
      <c r="D38" s="162"/>
      <c r="E38" s="162"/>
      <c r="F38" s="162"/>
      <c r="G38" s="162"/>
      <c r="H38" s="163"/>
      <c r="I38" s="149">
        <f t="shared" si="0"/>
        <v>0</v>
      </c>
    </row>
    <row r="39" spans="2:9" s="116" customFormat="1" ht="13.2" customHeight="1" x14ac:dyDescent="0.2">
      <c r="B39" s="164"/>
      <c r="C39" s="165" t="s">
        <v>127</v>
      </c>
      <c r="D39" s="146"/>
      <c r="E39" s="146"/>
      <c r="F39" s="146"/>
      <c r="G39" s="146"/>
      <c r="H39" s="147"/>
      <c r="I39" s="148">
        <f t="shared" ref="I39:I70" si="1">SUM(D39:H39)</f>
        <v>0</v>
      </c>
    </row>
    <row r="40" spans="2:9" ht="18" customHeight="1" x14ac:dyDescent="0.25">
      <c r="B40" s="170">
        <v>12</v>
      </c>
      <c r="C40" s="171" t="str">
        <f>Config!C16&amp;", "&amp;Config!D16</f>
        <v>Stephens, Melvin</v>
      </c>
      <c r="D40" s="180">
        <v>2</v>
      </c>
      <c r="E40" s="180">
        <v>2</v>
      </c>
      <c r="F40" s="180">
        <v>1</v>
      </c>
      <c r="G40" s="180">
        <v>0.5</v>
      </c>
      <c r="H40" s="181">
        <v>0</v>
      </c>
      <c r="I40" s="172">
        <f t="shared" si="1"/>
        <v>5.5</v>
      </c>
    </row>
    <row r="41" spans="2:9" s="116" customFormat="1" ht="13.2" customHeight="1" x14ac:dyDescent="0.2">
      <c r="B41" s="166"/>
      <c r="C41" s="167" t="s">
        <v>126</v>
      </c>
      <c r="D41" s="168"/>
      <c r="E41" s="168"/>
      <c r="F41" s="168"/>
      <c r="G41" s="168"/>
      <c r="H41" s="169"/>
      <c r="I41" s="152">
        <f t="shared" si="1"/>
        <v>0</v>
      </c>
    </row>
    <row r="42" spans="2:9" s="116" customFormat="1" ht="13.2" customHeight="1" x14ac:dyDescent="0.2">
      <c r="B42" s="173"/>
      <c r="C42" s="174" t="s">
        <v>127</v>
      </c>
      <c r="D42" s="146"/>
      <c r="E42" s="146"/>
      <c r="F42" s="146"/>
      <c r="G42" s="146"/>
      <c r="H42" s="147"/>
      <c r="I42" s="151">
        <f t="shared" si="1"/>
        <v>0</v>
      </c>
    </row>
    <row r="43" spans="2:9" ht="18" customHeight="1" x14ac:dyDescent="0.25">
      <c r="B43" s="175">
        <v>13</v>
      </c>
      <c r="C43" s="176" t="str">
        <f>Config!C17&amp;", "&amp;Config!D17</f>
        <v>Cremer, Marvin</v>
      </c>
      <c r="D43" s="182">
        <v>2</v>
      </c>
      <c r="E43" s="182">
        <v>0</v>
      </c>
      <c r="F43" s="182">
        <v>1.5</v>
      </c>
      <c r="G43" s="182">
        <v>0</v>
      </c>
      <c r="H43" s="183">
        <v>2</v>
      </c>
      <c r="I43" s="177">
        <f t="shared" si="1"/>
        <v>5.5</v>
      </c>
    </row>
    <row r="44" spans="2:9" s="116" customFormat="1" ht="13.2" customHeight="1" x14ac:dyDescent="0.2">
      <c r="B44" s="160"/>
      <c r="C44" s="161" t="s">
        <v>126</v>
      </c>
      <c r="D44" s="162"/>
      <c r="E44" s="162"/>
      <c r="F44" s="162"/>
      <c r="G44" s="162"/>
      <c r="H44" s="163"/>
      <c r="I44" s="149">
        <f t="shared" si="1"/>
        <v>0</v>
      </c>
    </row>
    <row r="45" spans="2:9" s="116" customFormat="1" ht="13.2" customHeight="1" x14ac:dyDescent="0.2">
      <c r="B45" s="164"/>
      <c r="C45" s="165" t="s">
        <v>127</v>
      </c>
      <c r="D45" s="146"/>
      <c r="E45" s="146"/>
      <c r="F45" s="146"/>
      <c r="G45" s="146"/>
      <c r="H45" s="147"/>
      <c r="I45" s="148">
        <f t="shared" si="1"/>
        <v>0</v>
      </c>
    </row>
    <row r="46" spans="2:9" ht="18" customHeight="1" x14ac:dyDescent="0.25">
      <c r="B46" s="170">
        <v>14</v>
      </c>
      <c r="C46" s="171" t="str">
        <f>Config!C18&amp;", "&amp;Config!D18</f>
        <v>Nash, Jean</v>
      </c>
      <c r="D46" s="180">
        <v>2</v>
      </c>
      <c r="E46" s="180">
        <v>0</v>
      </c>
      <c r="F46" s="180">
        <v>1</v>
      </c>
      <c r="G46" s="180">
        <v>2</v>
      </c>
      <c r="H46" s="181">
        <v>3</v>
      </c>
      <c r="I46" s="172">
        <f t="shared" si="1"/>
        <v>8</v>
      </c>
    </row>
    <row r="47" spans="2:9" s="116" customFormat="1" ht="13.2" customHeight="1" x14ac:dyDescent="0.2">
      <c r="B47" s="166"/>
      <c r="C47" s="167" t="s">
        <v>126</v>
      </c>
      <c r="D47" s="168"/>
      <c r="E47" s="168"/>
      <c r="F47" s="168"/>
      <c r="G47" s="168"/>
      <c r="H47" s="169"/>
      <c r="I47" s="152">
        <f t="shared" si="1"/>
        <v>0</v>
      </c>
    </row>
    <row r="48" spans="2:9" s="116" customFormat="1" ht="13.2" customHeight="1" x14ac:dyDescent="0.2">
      <c r="B48" s="173"/>
      <c r="C48" s="174" t="s">
        <v>127</v>
      </c>
      <c r="D48" s="146"/>
      <c r="E48" s="146"/>
      <c r="F48" s="146"/>
      <c r="G48" s="146"/>
      <c r="H48" s="147"/>
      <c r="I48" s="151">
        <f t="shared" si="1"/>
        <v>0</v>
      </c>
    </row>
    <row r="49" spans="2:9" ht="18" customHeight="1" x14ac:dyDescent="0.25">
      <c r="B49" s="175">
        <v>15</v>
      </c>
      <c r="C49" s="176" t="str">
        <f>Config!C19&amp;", "&amp;Config!D19</f>
        <v>Schön, Leonardo</v>
      </c>
      <c r="D49" s="182">
        <v>2</v>
      </c>
      <c r="E49" s="182">
        <v>0.5</v>
      </c>
      <c r="F49" s="182">
        <v>1.5</v>
      </c>
      <c r="G49" s="182">
        <v>3</v>
      </c>
      <c r="H49" s="183">
        <v>1</v>
      </c>
      <c r="I49" s="177">
        <f t="shared" si="1"/>
        <v>8</v>
      </c>
    </row>
    <row r="50" spans="2:9" s="116" customFormat="1" ht="13.2" customHeight="1" x14ac:dyDescent="0.2">
      <c r="B50" s="160"/>
      <c r="C50" s="161" t="s">
        <v>126</v>
      </c>
      <c r="D50" s="162"/>
      <c r="E50" s="162"/>
      <c r="F50" s="162"/>
      <c r="G50" s="162"/>
      <c r="H50" s="163"/>
      <c r="I50" s="149">
        <f t="shared" si="1"/>
        <v>0</v>
      </c>
    </row>
    <row r="51" spans="2:9" s="116" customFormat="1" ht="13.2" customHeight="1" x14ac:dyDescent="0.2">
      <c r="B51" s="164"/>
      <c r="C51" s="165" t="s">
        <v>127</v>
      </c>
      <c r="D51" s="146"/>
      <c r="E51" s="146"/>
      <c r="F51" s="146"/>
      <c r="G51" s="146"/>
      <c r="H51" s="147"/>
      <c r="I51" s="148">
        <f t="shared" si="1"/>
        <v>0</v>
      </c>
    </row>
    <row r="52" spans="2:9" ht="18" customHeight="1" x14ac:dyDescent="0.25">
      <c r="B52" s="170">
        <v>16</v>
      </c>
      <c r="C52" s="171" t="str">
        <f>Config!C20&amp;", "&amp;Config!D20</f>
        <v>Sigl, Nicholas</v>
      </c>
      <c r="D52" s="180">
        <v>0</v>
      </c>
      <c r="E52" s="180">
        <v>0</v>
      </c>
      <c r="F52" s="180">
        <v>0</v>
      </c>
      <c r="G52" s="180">
        <v>0</v>
      </c>
      <c r="H52" s="181">
        <v>0</v>
      </c>
      <c r="I52" s="172">
        <f t="shared" si="1"/>
        <v>0</v>
      </c>
    </row>
    <row r="53" spans="2:9" s="116" customFormat="1" ht="13.2" customHeight="1" x14ac:dyDescent="0.2">
      <c r="B53" s="166"/>
      <c r="C53" s="167" t="s">
        <v>126</v>
      </c>
      <c r="D53" s="168"/>
      <c r="E53" s="168"/>
      <c r="F53" s="168"/>
      <c r="G53" s="168"/>
      <c r="H53" s="169"/>
      <c r="I53" s="152">
        <f t="shared" si="1"/>
        <v>0</v>
      </c>
    </row>
    <row r="54" spans="2:9" s="116" customFormat="1" ht="13.2" customHeight="1" x14ac:dyDescent="0.2">
      <c r="B54" s="173"/>
      <c r="C54" s="174" t="s">
        <v>127</v>
      </c>
      <c r="D54" s="146"/>
      <c r="E54" s="146"/>
      <c r="F54" s="146"/>
      <c r="G54" s="146"/>
      <c r="H54" s="147"/>
      <c r="I54" s="151">
        <f t="shared" si="1"/>
        <v>0</v>
      </c>
    </row>
    <row r="55" spans="2:9" ht="18" customHeight="1" x14ac:dyDescent="0.25">
      <c r="B55" s="175">
        <v>17</v>
      </c>
      <c r="C55" s="176" t="str">
        <f>Config!C21&amp;", "&amp;Config!D21</f>
        <v>Kainz, Vivienne</v>
      </c>
      <c r="D55" s="182">
        <v>1</v>
      </c>
      <c r="E55" s="182">
        <v>1</v>
      </c>
      <c r="F55" s="182">
        <v>1.5</v>
      </c>
      <c r="G55" s="182">
        <v>1</v>
      </c>
      <c r="H55" s="183">
        <v>3</v>
      </c>
      <c r="I55" s="177">
        <f t="shared" si="1"/>
        <v>7.5</v>
      </c>
    </row>
    <row r="56" spans="2:9" s="116" customFormat="1" ht="13.2" customHeight="1" x14ac:dyDescent="0.2">
      <c r="B56" s="160"/>
      <c r="C56" s="161" t="s">
        <v>126</v>
      </c>
      <c r="D56" s="162"/>
      <c r="E56" s="162"/>
      <c r="F56" s="162"/>
      <c r="G56" s="162"/>
      <c r="H56" s="163"/>
      <c r="I56" s="149">
        <f t="shared" si="1"/>
        <v>0</v>
      </c>
    </row>
    <row r="57" spans="2:9" s="116" customFormat="1" ht="13.2" customHeight="1" x14ac:dyDescent="0.2">
      <c r="B57" s="164"/>
      <c r="C57" s="165" t="s">
        <v>127</v>
      </c>
      <c r="D57" s="146"/>
      <c r="E57" s="146"/>
      <c r="F57" s="146"/>
      <c r="G57" s="146"/>
      <c r="H57" s="147"/>
      <c r="I57" s="148">
        <f t="shared" si="1"/>
        <v>0</v>
      </c>
    </row>
    <row r="58" spans="2:9" ht="18" customHeight="1" x14ac:dyDescent="0.25">
      <c r="B58" s="170">
        <v>18</v>
      </c>
      <c r="C58" s="171" t="str">
        <f>Config!C22&amp;", "&amp;Config!D22</f>
        <v>Hartmann, Mads</v>
      </c>
      <c r="D58" s="180">
        <v>2</v>
      </c>
      <c r="E58" s="180">
        <v>2</v>
      </c>
      <c r="F58" s="180">
        <v>1</v>
      </c>
      <c r="G58" s="180">
        <v>2</v>
      </c>
      <c r="H58" s="181">
        <v>0</v>
      </c>
      <c r="I58" s="172">
        <f t="shared" si="1"/>
        <v>7</v>
      </c>
    </row>
    <row r="59" spans="2:9" s="116" customFormat="1" ht="13.2" customHeight="1" x14ac:dyDescent="0.2">
      <c r="B59" s="166"/>
      <c r="C59" s="167" t="s">
        <v>126</v>
      </c>
      <c r="D59" s="168"/>
      <c r="E59" s="168"/>
      <c r="F59" s="168"/>
      <c r="G59" s="168"/>
      <c r="H59" s="169"/>
      <c r="I59" s="152">
        <f t="shared" si="1"/>
        <v>0</v>
      </c>
    </row>
    <row r="60" spans="2:9" s="116" customFormat="1" ht="13.2" customHeight="1" x14ac:dyDescent="0.2">
      <c r="B60" s="173"/>
      <c r="C60" s="174" t="s">
        <v>127</v>
      </c>
      <c r="D60" s="146"/>
      <c r="E60" s="146"/>
      <c r="F60" s="146"/>
      <c r="G60" s="146"/>
      <c r="H60" s="147"/>
      <c r="I60" s="151">
        <f t="shared" si="1"/>
        <v>0</v>
      </c>
    </row>
    <row r="61" spans="2:9" ht="18" customHeight="1" x14ac:dyDescent="0.25">
      <c r="B61" s="175">
        <v>19</v>
      </c>
      <c r="C61" s="176" t="str">
        <f>Config!C23&amp;", "&amp;Config!D23</f>
        <v>Ullmann, Raphael</v>
      </c>
      <c r="D61" s="182">
        <v>2</v>
      </c>
      <c r="E61" s="182">
        <v>0.5</v>
      </c>
      <c r="F61" s="182">
        <v>1.5</v>
      </c>
      <c r="G61" s="182">
        <v>2</v>
      </c>
      <c r="H61" s="183">
        <v>1</v>
      </c>
      <c r="I61" s="177">
        <f t="shared" si="1"/>
        <v>7</v>
      </c>
    </row>
    <row r="62" spans="2:9" s="116" customFormat="1" ht="13.2" customHeight="1" x14ac:dyDescent="0.2">
      <c r="B62" s="160"/>
      <c r="C62" s="161" t="s">
        <v>126</v>
      </c>
      <c r="D62" s="162"/>
      <c r="E62" s="162"/>
      <c r="F62" s="162"/>
      <c r="G62" s="162"/>
      <c r="H62" s="163"/>
      <c r="I62" s="149">
        <f t="shared" si="1"/>
        <v>0</v>
      </c>
    </row>
    <row r="63" spans="2:9" s="116" customFormat="1" ht="13.2" customHeight="1" x14ac:dyDescent="0.2">
      <c r="B63" s="164"/>
      <c r="C63" s="165" t="s">
        <v>127</v>
      </c>
      <c r="D63" s="146"/>
      <c r="E63" s="146"/>
      <c r="F63" s="146"/>
      <c r="G63" s="146"/>
      <c r="H63" s="147"/>
      <c r="I63" s="148">
        <f t="shared" si="1"/>
        <v>0</v>
      </c>
    </row>
    <row r="64" spans="2:9" ht="18" customHeight="1" x14ac:dyDescent="0.25">
      <c r="B64" s="170">
        <v>20</v>
      </c>
      <c r="C64" s="171" t="str">
        <f>Config!C24&amp;", "&amp;Config!D24</f>
        <v>Hartl, Emmely</v>
      </c>
      <c r="D64" s="180">
        <v>2</v>
      </c>
      <c r="E64" s="180">
        <v>0.5</v>
      </c>
      <c r="F64" s="180">
        <v>2</v>
      </c>
      <c r="G64" s="180">
        <v>0</v>
      </c>
      <c r="H64" s="181">
        <v>0</v>
      </c>
      <c r="I64" s="172">
        <f t="shared" si="1"/>
        <v>4.5</v>
      </c>
    </row>
    <row r="65" spans="2:9" s="116" customFormat="1" ht="13.2" customHeight="1" x14ac:dyDescent="0.2">
      <c r="B65" s="166"/>
      <c r="C65" s="167" t="s">
        <v>126</v>
      </c>
      <c r="D65" s="168"/>
      <c r="E65" s="168"/>
      <c r="F65" s="168"/>
      <c r="G65" s="168"/>
      <c r="H65" s="169"/>
      <c r="I65" s="152">
        <f t="shared" si="1"/>
        <v>0</v>
      </c>
    </row>
    <row r="66" spans="2:9" s="116" customFormat="1" ht="13.2" customHeight="1" x14ac:dyDescent="0.2">
      <c r="B66" s="173"/>
      <c r="C66" s="174" t="s">
        <v>127</v>
      </c>
      <c r="D66" s="146"/>
      <c r="E66" s="146"/>
      <c r="F66" s="146"/>
      <c r="G66" s="146"/>
      <c r="H66" s="147"/>
      <c r="I66" s="151">
        <f t="shared" si="1"/>
        <v>0</v>
      </c>
    </row>
    <row r="67" spans="2:9" ht="18" customHeight="1" x14ac:dyDescent="0.25">
      <c r="B67" s="175">
        <v>21</v>
      </c>
      <c r="C67" s="176" t="str">
        <f>Config!C25&amp;", "&amp;Config!D25</f>
        <v>Klotz, Karin</v>
      </c>
      <c r="D67" s="182">
        <v>1</v>
      </c>
      <c r="E67" s="182">
        <v>2</v>
      </c>
      <c r="F67" s="182">
        <v>1</v>
      </c>
      <c r="G67" s="182">
        <v>2</v>
      </c>
      <c r="H67" s="183">
        <v>0</v>
      </c>
      <c r="I67" s="177">
        <f t="shared" si="1"/>
        <v>6</v>
      </c>
    </row>
    <row r="68" spans="2:9" s="116" customFormat="1" ht="13.2" customHeight="1" x14ac:dyDescent="0.2">
      <c r="B68" s="160"/>
      <c r="C68" s="161" t="s">
        <v>126</v>
      </c>
      <c r="D68" s="162"/>
      <c r="E68" s="162"/>
      <c r="F68" s="162"/>
      <c r="G68" s="162"/>
      <c r="H68" s="163"/>
      <c r="I68" s="149">
        <f t="shared" si="1"/>
        <v>0</v>
      </c>
    </row>
    <row r="69" spans="2:9" s="116" customFormat="1" ht="13.2" customHeight="1" x14ac:dyDescent="0.2">
      <c r="B69" s="164"/>
      <c r="C69" s="165" t="s">
        <v>127</v>
      </c>
      <c r="D69" s="146"/>
      <c r="E69" s="146"/>
      <c r="F69" s="146"/>
      <c r="G69" s="146"/>
      <c r="H69" s="147"/>
      <c r="I69" s="148">
        <f t="shared" si="1"/>
        <v>0</v>
      </c>
    </row>
    <row r="70" spans="2:9" ht="18" customHeight="1" x14ac:dyDescent="0.25">
      <c r="B70" s="170">
        <v>22</v>
      </c>
      <c r="C70" s="171" t="str">
        <f>Config!C26&amp;", "&amp;Config!D26</f>
        <v>Ehlers, Ingo</v>
      </c>
      <c r="D70" s="180">
        <v>2</v>
      </c>
      <c r="E70" s="180">
        <v>0</v>
      </c>
      <c r="F70" s="180">
        <v>2</v>
      </c>
      <c r="G70" s="180">
        <v>1.5</v>
      </c>
      <c r="H70" s="181">
        <v>0</v>
      </c>
      <c r="I70" s="172">
        <f t="shared" si="1"/>
        <v>5.5</v>
      </c>
    </row>
    <row r="71" spans="2:9" s="116" customFormat="1" ht="13.2" customHeight="1" x14ac:dyDescent="0.2">
      <c r="B71" s="166"/>
      <c r="C71" s="167" t="s">
        <v>126</v>
      </c>
      <c r="D71" s="168"/>
      <c r="E71" s="168"/>
      <c r="F71" s="168"/>
      <c r="G71" s="168"/>
      <c r="H71" s="169"/>
      <c r="I71" s="152">
        <f t="shared" ref="I71:I75" si="2">SUM(D71:H71)</f>
        <v>0</v>
      </c>
    </row>
    <row r="72" spans="2:9" s="116" customFormat="1" ht="13.2" customHeight="1" x14ac:dyDescent="0.2">
      <c r="B72" s="173"/>
      <c r="C72" s="174" t="s">
        <v>127</v>
      </c>
      <c r="D72" s="146"/>
      <c r="E72" s="146"/>
      <c r="F72" s="146"/>
      <c r="G72" s="146"/>
      <c r="H72" s="147"/>
      <c r="I72" s="151">
        <f t="shared" si="2"/>
        <v>0</v>
      </c>
    </row>
    <row r="73" spans="2:9" ht="18" customHeight="1" thickBot="1" x14ac:dyDescent="0.3">
      <c r="B73" s="142">
        <v>23</v>
      </c>
      <c r="C73" s="137" t="str">
        <f>Config!C27&amp;", "&amp;Config!D27</f>
        <v>Lindemann, Mads</v>
      </c>
      <c r="D73" s="95">
        <v>2</v>
      </c>
      <c r="E73" s="95">
        <v>2</v>
      </c>
      <c r="F73" s="95">
        <v>2</v>
      </c>
      <c r="G73" s="95">
        <v>4</v>
      </c>
      <c r="H73" s="96">
        <v>0</v>
      </c>
      <c r="I73" s="145">
        <f t="shared" si="2"/>
        <v>10</v>
      </c>
    </row>
    <row r="74" spans="2:9" s="116" customFormat="1" ht="13.2" customHeight="1" x14ac:dyDescent="0.2">
      <c r="B74" s="160"/>
      <c r="C74" s="161" t="s">
        <v>126</v>
      </c>
      <c r="D74" s="162"/>
      <c r="E74" s="162"/>
      <c r="F74" s="162"/>
      <c r="G74" s="162"/>
      <c r="H74" s="163"/>
      <c r="I74" s="149">
        <f t="shared" si="2"/>
        <v>0</v>
      </c>
    </row>
    <row r="75" spans="2:9" s="116" customFormat="1" ht="13.2" customHeight="1" thickBot="1" x14ac:dyDescent="0.25">
      <c r="B75" s="153"/>
      <c r="C75" s="156" t="s">
        <v>127</v>
      </c>
      <c r="D75" s="154"/>
      <c r="E75" s="154"/>
      <c r="F75" s="154"/>
      <c r="G75" s="154"/>
      <c r="H75" s="155"/>
      <c r="I75" s="150">
        <f t="shared" si="2"/>
        <v>0</v>
      </c>
    </row>
    <row r="76" spans="2:9" ht="18" customHeight="1" thickBot="1" x14ac:dyDescent="0.3">
      <c r="B76" s="119"/>
      <c r="C76" s="120"/>
      <c r="D76" s="120">
        <f>IF(COUNTIFS(D7:D73,"&lt;&gt;",C7:C73,"&lt;&gt;ZK",C7:C73,"&lt;&gt;DK")&lt;&gt;0,SUMIFS(D7:D73,C7:C73,"&lt;&gt;ZK",C7:C73,"&lt;&gt;DK")/(COUNTIFS(D7:D73,"&lt;&gt;",C7:C73,"&lt;&gt;ZK",C7:C73,"&lt;&gt;DK")*D6),0)</f>
        <v>0.84782608695652173</v>
      </c>
      <c r="E76" s="120">
        <f>IF(COUNTIFS(E7:E73,"&lt;&gt;",C7:C73,"&lt;&gt;ZK",C7:C73,"&lt;&gt;DK")&lt;&gt;0,SUMIFS(E7:E73,C7:C73,"&lt;&gt;ZK",C7:C73,"&lt;&gt;DK")/(COUNTIFS(E7:E73,"&lt;&gt;",C7:C73,"&lt;&gt;ZK",C7:C73,"&lt;&gt;DK")*E6),0)</f>
        <v>0.60869565217391308</v>
      </c>
      <c r="F76" s="120">
        <f>IF(COUNTIFS(F7:F73,"&lt;&gt;",C7:C73,"&lt;&gt;ZK",C7:C73,"&lt;&gt;DK")&lt;&gt;0,SUMIFS(F7:F73,C7:C73,"&lt;&gt;ZK",C7:C73,"&lt;&gt;DK")/(COUNTIFS(F7:F73,"&lt;&gt;",C7:C73,"&lt;&gt;ZK",C7:C73,"&lt;&gt;DK")*F6),0)</f>
        <v>0.71739130434782605</v>
      </c>
      <c r="G76" s="120">
        <f>IF(COUNTIFS(G7:G73,"&lt;&gt;",C7:C73,"&lt;&gt;ZK",C7:C73,"&lt;&gt;DK")&lt;&gt;0,SUMIFS(G7:G73,C7:C73,"&lt;&gt;ZK",C7:C73,"&lt;&gt;DK")/(COUNTIFS(G7:G73,"&lt;&gt;",C7:C73,"&lt;&gt;ZK",C7:C73,"&lt;&gt;DK")*G6),0)</f>
        <v>0.52717391304347827</v>
      </c>
      <c r="H76" s="120">
        <f>IF(COUNTIFS(H7:H73,"&lt;&gt;",C7:C73,"&lt;&gt;ZK",C7:C73,"&lt;&gt;DK")&lt;&gt;0,SUMIFS(H7:H73,C7:C73,"&lt;&gt;ZK",C7:C73,"&lt;&gt;DK")/(COUNTIFS(H7:H73,"&lt;&gt;",C7:C73,"&lt;&gt;ZK",C7:C73,"&lt;&gt;DK")*H6),0)</f>
        <v>0.13975155279503104</v>
      </c>
      <c r="I76" s="121"/>
    </row>
    <row r="77" spans="2:9" ht="18" customHeight="1" x14ac:dyDescent="0.25"/>
    <row r="78" spans="2:9" ht="18" customHeight="1" x14ac:dyDescent="0.25"/>
    <row r="79" spans="2:9" ht="18" customHeight="1" x14ac:dyDescent="0.25"/>
    <row r="80" spans="2:9"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electLockedCells="1"/>
  <dataValidations count="5">
    <dataValidation type="decimal" allowBlank="1" showErrorMessage="1" sqref="D7:D75" xr:uid="{227C5B74-5567-4EEF-81FC-93E5F19A9E41}">
      <formula1>0</formula1>
      <formula2>$D$6</formula2>
    </dataValidation>
    <dataValidation type="decimal" allowBlank="1" showErrorMessage="1" sqref="E7:E75" xr:uid="{C9262354-9CD1-4D00-86A2-C8802C99F699}">
      <formula1>0</formula1>
      <formula2>$E$6</formula2>
    </dataValidation>
    <dataValidation type="decimal" allowBlank="1" showErrorMessage="1" sqref="F7:F75" xr:uid="{F7DF0CBE-F581-4B85-B01B-A59C3A238E73}">
      <formula1>0</formula1>
      <formula2>$F$6</formula2>
    </dataValidation>
    <dataValidation type="decimal" allowBlank="1" showErrorMessage="1" sqref="G7:G75" xr:uid="{0D5D8469-C246-44F8-8445-32FFB3C92F51}">
      <formula1>0</formula1>
      <formula2>$G$6</formula2>
    </dataValidation>
    <dataValidation type="decimal" allowBlank="1" showErrorMessage="1" sqref="H7:H75" xr:uid="{7356ED7F-7F80-4D0C-8034-CF4D3DD9A798}">
      <formula1>0</formula1>
      <formula2>$H$6</formula2>
    </dataValidation>
  </dataValidation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B05A1-78EE-4CE0-9910-1D738BBE7362}">
  <sheetPr codeName="Tabelle5">
    <tabColor rgb="FF92D050"/>
  </sheetPr>
  <dimension ref="B1:F100"/>
  <sheetViews>
    <sheetView workbookViewId="0">
      <selection activeCell="E29" sqref="E29"/>
    </sheetView>
  </sheetViews>
  <sheetFormatPr baseColWidth="10" defaultColWidth="11.5546875" defaultRowHeight="13.2" x14ac:dyDescent="0.25"/>
  <cols>
    <col min="1" max="2" width="3.44140625" style="98" customWidth="1"/>
    <col min="3" max="3" width="25.6640625" style="98" customWidth="1"/>
    <col min="4" max="6" width="8.6640625" style="98" customWidth="1"/>
    <col min="7" max="16384" width="11.5546875" style="98"/>
  </cols>
  <sheetData>
    <row r="1" spans="2:6" ht="18" customHeight="1" thickBot="1" x14ac:dyDescent="0.3"/>
    <row r="2" spans="2:6" ht="18" customHeight="1" x14ac:dyDescent="0.25">
      <c r="B2" s="99" t="str">
        <f>Config!F2&amp;" "&amp;YEAR(Config!G24)</f>
        <v>Mathe Abitur 2026</v>
      </c>
      <c r="C2" s="100"/>
      <c r="D2" s="100"/>
      <c r="E2" s="101"/>
      <c r="F2" s="102" t="str">
        <f>"Kurs "&amp;Config!G26</f>
        <v>Kurs K1</v>
      </c>
    </row>
    <row r="3" spans="2:6" ht="18" customHeight="1" x14ac:dyDescent="0.25">
      <c r="B3" s="103" t="s">
        <v>13</v>
      </c>
      <c r="C3" s="104"/>
      <c r="D3" s="104"/>
      <c r="E3" s="104"/>
      <c r="F3" s="105"/>
    </row>
    <row r="4" spans="2:6" ht="18" customHeight="1" thickBot="1" x14ac:dyDescent="0.3">
      <c r="B4" s="103"/>
      <c r="C4" s="104"/>
      <c r="D4" s="106"/>
      <c r="E4" s="106"/>
      <c r="F4" s="107"/>
    </row>
    <row r="5" spans="2:6" ht="18" customHeight="1" thickBot="1" x14ac:dyDescent="0.3">
      <c r="B5" s="108"/>
      <c r="C5" s="110"/>
      <c r="D5" s="124" t="str">
        <f>Config!N6</f>
        <v>1a</v>
      </c>
      <c r="E5" s="124" t="str">
        <f>Config!N7</f>
        <v>1b</v>
      </c>
      <c r="F5" s="114" t="s">
        <v>82</v>
      </c>
    </row>
    <row r="6" spans="2:6" ht="18" customHeight="1" thickBot="1" x14ac:dyDescent="0.3">
      <c r="B6" s="109"/>
      <c r="C6" s="111" t="s">
        <v>81</v>
      </c>
      <c r="D6" s="113">
        <f>Config!O6</f>
        <v>2</v>
      </c>
      <c r="E6" s="113">
        <f>Config!O7</f>
        <v>3</v>
      </c>
      <c r="F6" s="125">
        <f>Config!O21</f>
        <v>5</v>
      </c>
    </row>
    <row r="7" spans="2:6" ht="18" customHeight="1" x14ac:dyDescent="0.25">
      <c r="B7" s="157">
        <v>1</v>
      </c>
      <c r="C7" s="158" t="str">
        <f>Config!C5&amp;", "&amp;Config!D5</f>
        <v>Höfer, Simon</v>
      </c>
      <c r="D7" s="178">
        <v>0</v>
      </c>
      <c r="E7" s="179">
        <v>0</v>
      </c>
      <c r="F7" s="159">
        <f t="shared" ref="F7:F38" si="0">SUM(D7:E7)</f>
        <v>0</v>
      </c>
    </row>
    <row r="8" spans="2:6" s="116" customFormat="1" ht="13.2" customHeight="1" x14ac:dyDescent="0.2">
      <c r="B8" s="160"/>
      <c r="C8" s="161" t="s">
        <v>126</v>
      </c>
      <c r="D8" s="162">
        <v>0</v>
      </c>
      <c r="E8" s="163">
        <v>0</v>
      </c>
      <c r="F8" s="149">
        <f t="shared" si="0"/>
        <v>0</v>
      </c>
    </row>
    <row r="9" spans="2:6" s="116" customFormat="1" ht="13.2" customHeight="1" x14ac:dyDescent="0.2">
      <c r="B9" s="164"/>
      <c r="C9" s="165" t="s">
        <v>127</v>
      </c>
      <c r="D9" s="146"/>
      <c r="E9" s="147"/>
      <c r="F9" s="148">
        <f t="shared" si="0"/>
        <v>0</v>
      </c>
    </row>
    <row r="10" spans="2:6" ht="18" customHeight="1" x14ac:dyDescent="0.25">
      <c r="B10" s="170">
        <v>2</v>
      </c>
      <c r="C10" s="171" t="str">
        <f>Config!C6&amp;", "&amp;Config!D6</f>
        <v>Töpfer, Lilian</v>
      </c>
      <c r="D10" s="180">
        <v>1.5</v>
      </c>
      <c r="E10" s="181">
        <v>2</v>
      </c>
      <c r="F10" s="172">
        <f t="shared" si="0"/>
        <v>3.5</v>
      </c>
    </row>
    <row r="11" spans="2:6" s="116" customFormat="1" ht="13.2" customHeight="1" x14ac:dyDescent="0.2">
      <c r="B11" s="166"/>
      <c r="C11" s="167" t="s">
        <v>126</v>
      </c>
      <c r="D11" s="168">
        <v>1.5</v>
      </c>
      <c r="E11" s="184">
        <v>1.5</v>
      </c>
      <c r="F11" s="152">
        <f t="shared" si="0"/>
        <v>3</v>
      </c>
    </row>
    <row r="12" spans="2:6" s="116" customFormat="1" ht="13.2" customHeight="1" x14ac:dyDescent="0.2">
      <c r="B12" s="173"/>
      <c r="C12" s="174" t="s">
        <v>127</v>
      </c>
      <c r="D12" s="146"/>
      <c r="E12" s="147"/>
      <c r="F12" s="151">
        <f t="shared" si="0"/>
        <v>0</v>
      </c>
    </row>
    <row r="13" spans="2:6" ht="18" customHeight="1" x14ac:dyDescent="0.25">
      <c r="B13" s="175">
        <v>3</v>
      </c>
      <c r="C13" s="176" t="str">
        <f>Config!C7&amp;", "&amp;Config!D7</f>
        <v>Fleischmann, Leonie</v>
      </c>
      <c r="D13" s="182">
        <v>2</v>
      </c>
      <c r="E13" s="183">
        <v>2.5</v>
      </c>
      <c r="F13" s="177">
        <f t="shared" si="0"/>
        <v>4.5</v>
      </c>
    </row>
    <row r="14" spans="2:6" s="116" customFormat="1" ht="13.2" customHeight="1" x14ac:dyDescent="0.2">
      <c r="B14" s="160"/>
      <c r="C14" s="161" t="s">
        <v>126</v>
      </c>
      <c r="D14" s="162"/>
      <c r="E14" s="163"/>
      <c r="F14" s="149">
        <f t="shared" si="0"/>
        <v>0</v>
      </c>
    </row>
    <row r="15" spans="2:6" s="116" customFormat="1" ht="13.2" customHeight="1" x14ac:dyDescent="0.2">
      <c r="B15" s="164"/>
      <c r="C15" s="165" t="s">
        <v>127</v>
      </c>
      <c r="D15" s="146"/>
      <c r="E15" s="147"/>
      <c r="F15" s="148">
        <f t="shared" si="0"/>
        <v>0</v>
      </c>
    </row>
    <row r="16" spans="2:6" ht="18" customHeight="1" x14ac:dyDescent="0.25">
      <c r="B16" s="170">
        <v>4</v>
      </c>
      <c r="C16" s="171" t="str">
        <f>Config!C8&amp;", "&amp;Config!D8</f>
        <v>Drescher, Cedric</v>
      </c>
      <c r="D16" s="180">
        <v>2</v>
      </c>
      <c r="E16" s="181">
        <v>1.5</v>
      </c>
      <c r="F16" s="172">
        <f t="shared" si="0"/>
        <v>3.5</v>
      </c>
    </row>
    <row r="17" spans="2:6" s="116" customFormat="1" ht="13.2" customHeight="1" x14ac:dyDescent="0.2">
      <c r="B17" s="166"/>
      <c r="C17" s="167" t="s">
        <v>126</v>
      </c>
      <c r="D17" s="168"/>
      <c r="E17" s="169"/>
      <c r="F17" s="152">
        <f t="shared" si="0"/>
        <v>0</v>
      </c>
    </row>
    <row r="18" spans="2:6" s="116" customFormat="1" ht="13.2" customHeight="1" x14ac:dyDescent="0.2">
      <c r="B18" s="173"/>
      <c r="C18" s="174" t="s">
        <v>127</v>
      </c>
      <c r="D18" s="146"/>
      <c r="E18" s="147"/>
      <c r="F18" s="151">
        <f t="shared" si="0"/>
        <v>0</v>
      </c>
    </row>
    <row r="19" spans="2:6" ht="18" customHeight="1" x14ac:dyDescent="0.25">
      <c r="B19" s="175">
        <v>5</v>
      </c>
      <c r="C19" s="176" t="str">
        <f>Config!C9&amp;", "&amp;Config!D9</f>
        <v>Baumgarten, Annabell</v>
      </c>
      <c r="D19" s="182">
        <v>1.5</v>
      </c>
      <c r="E19" s="183">
        <v>2</v>
      </c>
      <c r="F19" s="177">
        <f t="shared" si="0"/>
        <v>3.5</v>
      </c>
    </row>
    <row r="20" spans="2:6" s="116" customFormat="1" ht="13.2" customHeight="1" x14ac:dyDescent="0.2">
      <c r="B20" s="160"/>
      <c r="C20" s="161" t="s">
        <v>126</v>
      </c>
      <c r="D20" s="162"/>
      <c r="E20" s="163"/>
      <c r="F20" s="149">
        <f t="shared" si="0"/>
        <v>0</v>
      </c>
    </row>
    <row r="21" spans="2:6" s="116" customFormat="1" ht="13.2" customHeight="1" x14ac:dyDescent="0.2">
      <c r="B21" s="164"/>
      <c r="C21" s="165" t="s">
        <v>127</v>
      </c>
      <c r="D21" s="146"/>
      <c r="E21" s="147"/>
      <c r="F21" s="148">
        <f t="shared" si="0"/>
        <v>0</v>
      </c>
    </row>
    <row r="22" spans="2:6" ht="18" customHeight="1" x14ac:dyDescent="0.25">
      <c r="B22" s="170">
        <v>6</v>
      </c>
      <c r="C22" s="171" t="str">
        <f>Config!C10&amp;", "&amp;Config!D10</f>
        <v>Traut, Stefanie</v>
      </c>
      <c r="D22" s="180">
        <v>1.5</v>
      </c>
      <c r="E22" s="181">
        <v>3</v>
      </c>
      <c r="F22" s="172">
        <f t="shared" si="0"/>
        <v>4.5</v>
      </c>
    </row>
    <row r="23" spans="2:6" s="116" customFormat="1" ht="13.2" customHeight="1" x14ac:dyDescent="0.2">
      <c r="B23" s="166"/>
      <c r="C23" s="167" t="s">
        <v>126</v>
      </c>
      <c r="D23" s="168"/>
      <c r="E23" s="169"/>
      <c r="F23" s="152">
        <f t="shared" si="0"/>
        <v>0</v>
      </c>
    </row>
    <row r="24" spans="2:6" s="116" customFormat="1" ht="13.2" customHeight="1" x14ac:dyDescent="0.2">
      <c r="B24" s="173"/>
      <c r="C24" s="174" t="s">
        <v>127</v>
      </c>
      <c r="D24" s="146"/>
      <c r="E24" s="147"/>
      <c r="F24" s="151">
        <f t="shared" si="0"/>
        <v>0</v>
      </c>
    </row>
    <row r="25" spans="2:6" ht="18" customHeight="1" x14ac:dyDescent="0.25">
      <c r="B25" s="175">
        <v>7</v>
      </c>
      <c r="C25" s="176" t="str">
        <f>Config!C11&amp;", "&amp;Config!D11</f>
        <v>Menke, Damian</v>
      </c>
      <c r="D25" s="182">
        <v>2</v>
      </c>
      <c r="E25" s="183">
        <v>2.5</v>
      </c>
      <c r="F25" s="177">
        <f t="shared" si="0"/>
        <v>4.5</v>
      </c>
    </row>
    <row r="26" spans="2:6" s="116" customFormat="1" ht="13.2" customHeight="1" x14ac:dyDescent="0.2">
      <c r="B26" s="160"/>
      <c r="C26" s="161" t="s">
        <v>126</v>
      </c>
      <c r="D26" s="162"/>
      <c r="E26" s="163"/>
      <c r="F26" s="149">
        <f t="shared" si="0"/>
        <v>0</v>
      </c>
    </row>
    <row r="27" spans="2:6" s="116" customFormat="1" ht="13.2" customHeight="1" x14ac:dyDescent="0.2">
      <c r="B27" s="164"/>
      <c r="C27" s="165" t="s">
        <v>127</v>
      </c>
      <c r="D27" s="146"/>
      <c r="E27" s="147"/>
      <c r="F27" s="148">
        <f t="shared" si="0"/>
        <v>0</v>
      </c>
    </row>
    <row r="28" spans="2:6" ht="18" customHeight="1" x14ac:dyDescent="0.25">
      <c r="B28" s="170">
        <v>8</v>
      </c>
      <c r="C28" s="171" t="str">
        <f>Config!C12&amp;", "&amp;Config!D12</f>
        <v>Carroll, Meik</v>
      </c>
      <c r="D28" s="180">
        <v>2</v>
      </c>
      <c r="E28" s="181">
        <v>2</v>
      </c>
      <c r="F28" s="172">
        <f t="shared" si="0"/>
        <v>4</v>
      </c>
    </row>
    <row r="29" spans="2:6" s="116" customFormat="1" ht="13.2" customHeight="1" x14ac:dyDescent="0.2">
      <c r="B29" s="166"/>
      <c r="C29" s="167" t="s">
        <v>126</v>
      </c>
      <c r="D29" s="168"/>
      <c r="E29" s="169"/>
      <c r="F29" s="152">
        <f t="shared" si="0"/>
        <v>0</v>
      </c>
    </row>
    <row r="30" spans="2:6" s="116" customFormat="1" ht="13.2" customHeight="1" x14ac:dyDescent="0.2">
      <c r="B30" s="173"/>
      <c r="C30" s="174" t="s">
        <v>127</v>
      </c>
      <c r="D30" s="146"/>
      <c r="E30" s="147"/>
      <c r="F30" s="151">
        <f t="shared" si="0"/>
        <v>0</v>
      </c>
    </row>
    <row r="31" spans="2:6" ht="18" customHeight="1" x14ac:dyDescent="0.25">
      <c r="B31" s="175">
        <v>9</v>
      </c>
      <c r="C31" s="176" t="str">
        <f>Config!C13&amp;", "&amp;Config!D13</f>
        <v>Hennings, Tomas</v>
      </c>
      <c r="D31" s="182">
        <v>1.5</v>
      </c>
      <c r="E31" s="183">
        <v>3</v>
      </c>
      <c r="F31" s="177">
        <f t="shared" si="0"/>
        <v>4.5</v>
      </c>
    </row>
    <row r="32" spans="2:6" s="116" customFormat="1" ht="13.2" customHeight="1" x14ac:dyDescent="0.2">
      <c r="B32" s="160"/>
      <c r="C32" s="161" t="s">
        <v>126</v>
      </c>
      <c r="D32" s="162"/>
      <c r="E32" s="163"/>
      <c r="F32" s="149">
        <f t="shared" si="0"/>
        <v>0</v>
      </c>
    </row>
    <row r="33" spans="2:6" s="116" customFormat="1" ht="13.2" customHeight="1" x14ac:dyDescent="0.2">
      <c r="B33" s="164"/>
      <c r="C33" s="165" t="s">
        <v>127</v>
      </c>
      <c r="D33" s="146"/>
      <c r="E33" s="147"/>
      <c r="F33" s="148">
        <f t="shared" si="0"/>
        <v>0</v>
      </c>
    </row>
    <row r="34" spans="2:6" ht="18" customHeight="1" x14ac:dyDescent="0.25">
      <c r="B34" s="170">
        <v>10</v>
      </c>
      <c r="C34" s="171" t="str">
        <f>Config!C14&amp;", "&amp;Config!D14</f>
        <v>Walters, Linn</v>
      </c>
      <c r="D34" s="180">
        <v>1</v>
      </c>
      <c r="E34" s="181">
        <v>0</v>
      </c>
      <c r="F34" s="172">
        <f t="shared" si="0"/>
        <v>1</v>
      </c>
    </row>
    <row r="35" spans="2:6" s="116" customFormat="1" ht="13.2" customHeight="1" x14ac:dyDescent="0.2">
      <c r="B35" s="166"/>
      <c r="C35" s="167" t="s">
        <v>126</v>
      </c>
      <c r="D35" s="168"/>
      <c r="E35" s="169"/>
      <c r="F35" s="152">
        <f t="shared" si="0"/>
        <v>0</v>
      </c>
    </row>
    <row r="36" spans="2:6" s="116" customFormat="1" ht="13.2" customHeight="1" x14ac:dyDescent="0.2">
      <c r="B36" s="173"/>
      <c r="C36" s="174" t="s">
        <v>127</v>
      </c>
      <c r="D36" s="146"/>
      <c r="E36" s="147"/>
      <c r="F36" s="151">
        <f t="shared" si="0"/>
        <v>0</v>
      </c>
    </row>
    <row r="37" spans="2:6" ht="18" customHeight="1" x14ac:dyDescent="0.25">
      <c r="B37" s="175">
        <v>11</v>
      </c>
      <c r="C37" s="176" t="str">
        <f>Config!C15&amp;", "&amp;Config!D15</f>
        <v>Junker, Amely</v>
      </c>
      <c r="D37" s="182">
        <v>2</v>
      </c>
      <c r="E37" s="183">
        <v>0</v>
      </c>
      <c r="F37" s="177">
        <f t="shared" si="0"/>
        <v>2</v>
      </c>
    </row>
    <row r="38" spans="2:6" s="116" customFormat="1" ht="13.2" customHeight="1" x14ac:dyDescent="0.2">
      <c r="B38" s="160"/>
      <c r="C38" s="161" t="s">
        <v>126</v>
      </c>
      <c r="D38" s="162"/>
      <c r="E38" s="163"/>
      <c r="F38" s="149">
        <f t="shared" si="0"/>
        <v>0</v>
      </c>
    </row>
    <row r="39" spans="2:6" s="116" customFormat="1" ht="13.2" customHeight="1" x14ac:dyDescent="0.2">
      <c r="B39" s="164"/>
      <c r="C39" s="165" t="s">
        <v>127</v>
      </c>
      <c r="D39" s="146"/>
      <c r="E39" s="147"/>
      <c r="F39" s="148">
        <f t="shared" ref="F39:F70" si="1">SUM(D39:E39)</f>
        <v>0</v>
      </c>
    </row>
    <row r="40" spans="2:6" ht="18" customHeight="1" x14ac:dyDescent="0.25">
      <c r="B40" s="170">
        <v>12</v>
      </c>
      <c r="C40" s="171" t="str">
        <f>Config!C16&amp;", "&amp;Config!D16</f>
        <v>Stephens, Melvin</v>
      </c>
      <c r="D40" s="180">
        <v>0.5</v>
      </c>
      <c r="E40" s="181">
        <v>0</v>
      </c>
      <c r="F40" s="172">
        <f t="shared" si="1"/>
        <v>0.5</v>
      </c>
    </row>
    <row r="41" spans="2:6" s="116" customFormat="1" ht="13.2" customHeight="1" x14ac:dyDescent="0.2">
      <c r="B41" s="166"/>
      <c r="C41" s="167" t="s">
        <v>126</v>
      </c>
      <c r="D41" s="168"/>
      <c r="E41" s="169"/>
      <c r="F41" s="152">
        <f t="shared" si="1"/>
        <v>0</v>
      </c>
    </row>
    <row r="42" spans="2:6" s="116" customFormat="1" ht="13.2" customHeight="1" x14ac:dyDescent="0.2">
      <c r="B42" s="173"/>
      <c r="C42" s="174" t="s">
        <v>127</v>
      </c>
      <c r="D42" s="146"/>
      <c r="E42" s="147"/>
      <c r="F42" s="151">
        <f t="shared" si="1"/>
        <v>0</v>
      </c>
    </row>
    <row r="43" spans="2:6" ht="18" customHeight="1" x14ac:dyDescent="0.25">
      <c r="B43" s="175">
        <v>13</v>
      </c>
      <c r="C43" s="176" t="str">
        <f>Config!C17&amp;", "&amp;Config!D17</f>
        <v>Cremer, Marvin</v>
      </c>
      <c r="D43" s="182">
        <v>1.5</v>
      </c>
      <c r="E43" s="183">
        <v>3</v>
      </c>
      <c r="F43" s="177">
        <f t="shared" si="1"/>
        <v>4.5</v>
      </c>
    </row>
    <row r="44" spans="2:6" s="116" customFormat="1" ht="13.2" customHeight="1" x14ac:dyDescent="0.2">
      <c r="B44" s="160"/>
      <c r="C44" s="161" t="s">
        <v>126</v>
      </c>
      <c r="D44" s="162"/>
      <c r="E44" s="163"/>
      <c r="F44" s="149">
        <f t="shared" si="1"/>
        <v>0</v>
      </c>
    </row>
    <row r="45" spans="2:6" s="116" customFormat="1" ht="13.2" customHeight="1" x14ac:dyDescent="0.2">
      <c r="B45" s="164"/>
      <c r="C45" s="165" t="s">
        <v>127</v>
      </c>
      <c r="D45" s="146"/>
      <c r="E45" s="147"/>
      <c r="F45" s="148">
        <f t="shared" si="1"/>
        <v>0</v>
      </c>
    </row>
    <row r="46" spans="2:6" ht="18" customHeight="1" x14ac:dyDescent="0.25">
      <c r="B46" s="170">
        <v>14</v>
      </c>
      <c r="C46" s="171" t="str">
        <f>Config!C18&amp;", "&amp;Config!D18</f>
        <v>Nash, Jean</v>
      </c>
      <c r="D46" s="180">
        <v>2</v>
      </c>
      <c r="E46" s="181">
        <v>2</v>
      </c>
      <c r="F46" s="172">
        <f t="shared" si="1"/>
        <v>4</v>
      </c>
    </row>
    <row r="47" spans="2:6" s="116" customFormat="1" ht="13.2" customHeight="1" x14ac:dyDescent="0.2">
      <c r="B47" s="166"/>
      <c r="C47" s="167" t="s">
        <v>126</v>
      </c>
      <c r="D47" s="168"/>
      <c r="E47" s="169"/>
      <c r="F47" s="152">
        <f t="shared" si="1"/>
        <v>0</v>
      </c>
    </row>
    <row r="48" spans="2:6" s="116" customFormat="1" ht="13.2" customHeight="1" x14ac:dyDescent="0.2">
      <c r="B48" s="173"/>
      <c r="C48" s="174" t="s">
        <v>127</v>
      </c>
      <c r="D48" s="146"/>
      <c r="E48" s="147"/>
      <c r="F48" s="151">
        <f t="shared" si="1"/>
        <v>0</v>
      </c>
    </row>
    <row r="49" spans="2:6" ht="18" customHeight="1" x14ac:dyDescent="0.25">
      <c r="B49" s="175">
        <v>15</v>
      </c>
      <c r="C49" s="176" t="str">
        <f>Config!C19&amp;", "&amp;Config!D19</f>
        <v>Schön, Leonardo</v>
      </c>
      <c r="D49" s="182">
        <v>2</v>
      </c>
      <c r="E49" s="183">
        <v>3</v>
      </c>
      <c r="F49" s="177">
        <f t="shared" si="1"/>
        <v>5</v>
      </c>
    </row>
    <row r="50" spans="2:6" s="116" customFormat="1" ht="13.2" customHeight="1" x14ac:dyDescent="0.2">
      <c r="B50" s="160"/>
      <c r="C50" s="161" t="s">
        <v>126</v>
      </c>
      <c r="D50" s="162"/>
      <c r="E50" s="163"/>
      <c r="F50" s="149">
        <f t="shared" si="1"/>
        <v>0</v>
      </c>
    </row>
    <row r="51" spans="2:6" s="116" customFormat="1" ht="13.2" customHeight="1" x14ac:dyDescent="0.2">
      <c r="B51" s="164"/>
      <c r="C51" s="165" t="s">
        <v>127</v>
      </c>
      <c r="D51" s="146"/>
      <c r="E51" s="147"/>
      <c r="F51" s="148">
        <f t="shared" si="1"/>
        <v>0</v>
      </c>
    </row>
    <row r="52" spans="2:6" ht="18" customHeight="1" x14ac:dyDescent="0.25">
      <c r="B52" s="170">
        <v>16</v>
      </c>
      <c r="C52" s="171" t="str">
        <f>Config!C20&amp;", "&amp;Config!D20</f>
        <v>Sigl, Nicholas</v>
      </c>
      <c r="D52" s="180">
        <v>2</v>
      </c>
      <c r="E52" s="181">
        <v>2.5</v>
      </c>
      <c r="F52" s="172">
        <f t="shared" si="1"/>
        <v>4.5</v>
      </c>
    </row>
    <row r="53" spans="2:6" s="116" customFormat="1" ht="13.2" customHeight="1" x14ac:dyDescent="0.2">
      <c r="B53" s="166"/>
      <c r="C53" s="167" t="s">
        <v>126</v>
      </c>
      <c r="D53" s="168"/>
      <c r="E53" s="169"/>
      <c r="F53" s="152">
        <f t="shared" si="1"/>
        <v>0</v>
      </c>
    </row>
    <row r="54" spans="2:6" s="116" customFormat="1" ht="13.2" customHeight="1" x14ac:dyDescent="0.2">
      <c r="B54" s="173"/>
      <c r="C54" s="174" t="s">
        <v>127</v>
      </c>
      <c r="D54" s="146"/>
      <c r="E54" s="147"/>
      <c r="F54" s="151">
        <f t="shared" si="1"/>
        <v>0</v>
      </c>
    </row>
    <row r="55" spans="2:6" ht="18" customHeight="1" x14ac:dyDescent="0.25">
      <c r="B55" s="175">
        <v>17</v>
      </c>
      <c r="C55" s="176" t="str">
        <f>Config!C21&amp;", "&amp;Config!D21</f>
        <v>Kainz, Vivienne</v>
      </c>
      <c r="D55" s="182">
        <v>2</v>
      </c>
      <c r="E55" s="183">
        <v>3</v>
      </c>
      <c r="F55" s="177">
        <f t="shared" si="1"/>
        <v>5</v>
      </c>
    </row>
    <row r="56" spans="2:6" s="116" customFormat="1" ht="13.2" customHeight="1" x14ac:dyDescent="0.2">
      <c r="B56" s="160"/>
      <c r="C56" s="161" t="s">
        <v>126</v>
      </c>
      <c r="D56" s="162"/>
      <c r="E56" s="163"/>
      <c r="F56" s="149">
        <f t="shared" si="1"/>
        <v>0</v>
      </c>
    </row>
    <row r="57" spans="2:6" s="116" customFormat="1" ht="13.2" customHeight="1" x14ac:dyDescent="0.2">
      <c r="B57" s="164"/>
      <c r="C57" s="165" t="s">
        <v>127</v>
      </c>
      <c r="D57" s="146"/>
      <c r="E57" s="147"/>
      <c r="F57" s="148">
        <f t="shared" si="1"/>
        <v>0</v>
      </c>
    </row>
    <row r="58" spans="2:6" ht="18" customHeight="1" x14ac:dyDescent="0.25">
      <c r="B58" s="170">
        <v>18</v>
      </c>
      <c r="C58" s="171" t="str">
        <f>Config!C22&amp;", "&amp;Config!D22</f>
        <v>Hartmann, Mads</v>
      </c>
      <c r="D58" s="180">
        <v>1</v>
      </c>
      <c r="E58" s="181">
        <v>0</v>
      </c>
      <c r="F58" s="172">
        <f t="shared" si="1"/>
        <v>1</v>
      </c>
    </row>
    <row r="59" spans="2:6" s="116" customFormat="1" ht="13.2" customHeight="1" x14ac:dyDescent="0.2">
      <c r="B59" s="166"/>
      <c r="C59" s="167" t="s">
        <v>126</v>
      </c>
      <c r="D59" s="168"/>
      <c r="E59" s="169"/>
      <c r="F59" s="152">
        <f t="shared" si="1"/>
        <v>0</v>
      </c>
    </row>
    <row r="60" spans="2:6" s="116" customFormat="1" ht="13.2" customHeight="1" x14ac:dyDescent="0.2">
      <c r="B60" s="173"/>
      <c r="C60" s="174" t="s">
        <v>127</v>
      </c>
      <c r="D60" s="146"/>
      <c r="E60" s="147"/>
      <c r="F60" s="151">
        <f t="shared" si="1"/>
        <v>0</v>
      </c>
    </row>
    <row r="61" spans="2:6" ht="18" customHeight="1" x14ac:dyDescent="0.25">
      <c r="B61" s="175">
        <v>19</v>
      </c>
      <c r="C61" s="176" t="str">
        <f>Config!C23&amp;", "&amp;Config!D23</f>
        <v>Ullmann, Raphael</v>
      </c>
      <c r="D61" s="182">
        <v>2</v>
      </c>
      <c r="E61" s="183">
        <v>0</v>
      </c>
      <c r="F61" s="177">
        <f t="shared" si="1"/>
        <v>2</v>
      </c>
    </row>
    <row r="62" spans="2:6" s="116" customFormat="1" ht="13.2" customHeight="1" x14ac:dyDescent="0.2">
      <c r="B62" s="160"/>
      <c r="C62" s="161" t="s">
        <v>126</v>
      </c>
      <c r="D62" s="162"/>
      <c r="E62" s="163"/>
      <c r="F62" s="149">
        <f t="shared" si="1"/>
        <v>0</v>
      </c>
    </row>
    <row r="63" spans="2:6" s="116" customFormat="1" ht="13.2" customHeight="1" x14ac:dyDescent="0.2">
      <c r="B63" s="164"/>
      <c r="C63" s="165" t="s">
        <v>127</v>
      </c>
      <c r="D63" s="146"/>
      <c r="E63" s="147"/>
      <c r="F63" s="148">
        <f t="shared" si="1"/>
        <v>0</v>
      </c>
    </row>
    <row r="64" spans="2:6" ht="18" customHeight="1" x14ac:dyDescent="0.25">
      <c r="B64" s="170">
        <v>20</v>
      </c>
      <c r="C64" s="171" t="str">
        <f>Config!C24&amp;", "&amp;Config!D24</f>
        <v>Hartl, Emmely</v>
      </c>
      <c r="D64" s="180">
        <v>2</v>
      </c>
      <c r="E64" s="181">
        <v>0</v>
      </c>
      <c r="F64" s="172">
        <f t="shared" si="1"/>
        <v>2</v>
      </c>
    </row>
    <row r="65" spans="2:6" s="116" customFormat="1" ht="13.2" customHeight="1" x14ac:dyDescent="0.2">
      <c r="B65" s="166"/>
      <c r="C65" s="167" t="s">
        <v>126</v>
      </c>
      <c r="D65" s="168"/>
      <c r="E65" s="169"/>
      <c r="F65" s="152">
        <f t="shared" si="1"/>
        <v>0</v>
      </c>
    </row>
    <row r="66" spans="2:6" s="116" customFormat="1" ht="13.2" customHeight="1" x14ac:dyDescent="0.2">
      <c r="B66" s="173"/>
      <c r="C66" s="174" t="s">
        <v>127</v>
      </c>
      <c r="D66" s="146"/>
      <c r="E66" s="147"/>
      <c r="F66" s="151">
        <f t="shared" si="1"/>
        <v>0</v>
      </c>
    </row>
    <row r="67" spans="2:6" ht="18" customHeight="1" x14ac:dyDescent="0.25">
      <c r="B67" s="175">
        <v>21</v>
      </c>
      <c r="C67" s="176" t="str">
        <f>Config!C25&amp;", "&amp;Config!D25</f>
        <v>Klotz, Karin</v>
      </c>
      <c r="D67" s="182">
        <v>2</v>
      </c>
      <c r="E67" s="183">
        <v>3</v>
      </c>
      <c r="F67" s="177">
        <f t="shared" si="1"/>
        <v>5</v>
      </c>
    </row>
    <row r="68" spans="2:6" s="116" customFormat="1" ht="13.2" customHeight="1" x14ac:dyDescent="0.2">
      <c r="B68" s="160"/>
      <c r="C68" s="161" t="s">
        <v>126</v>
      </c>
      <c r="D68" s="162"/>
      <c r="E68" s="163"/>
      <c r="F68" s="149">
        <f t="shared" si="1"/>
        <v>0</v>
      </c>
    </row>
    <row r="69" spans="2:6" s="116" customFormat="1" ht="13.2" customHeight="1" x14ac:dyDescent="0.2">
      <c r="B69" s="164"/>
      <c r="C69" s="165" t="s">
        <v>127</v>
      </c>
      <c r="D69" s="146"/>
      <c r="E69" s="147"/>
      <c r="F69" s="148">
        <f t="shared" si="1"/>
        <v>0</v>
      </c>
    </row>
    <row r="70" spans="2:6" ht="18" customHeight="1" x14ac:dyDescent="0.25">
      <c r="B70" s="170">
        <v>22</v>
      </c>
      <c r="C70" s="171" t="str">
        <f>Config!C26&amp;", "&amp;Config!D26</f>
        <v>Ehlers, Ingo</v>
      </c>
      <c r="D70" s="180">
        <v>2</v>
      </c>
      <c r="E70" s="181">
        <v>3</v>
      </c>
      <c r="F70" s="172">
        <f t="shared" si="1"/>
        <v>5</v>
      </c>
    </row>
    <row r="71" spans="2:6" s="116" customFormat="1" ht="13.2" customHeight="1" x14ac:dyDescent="0.2">
      <c r="B71" s="166"/>
      <c r="C71" s="167" t="s">
        <v>126</v>
      </c>
      <c r="D71" s="168"/>
      <c r="E71" s="169"/>
      <c r="F71" s="152">
        <f t="shared" ref="F71:F75" si="2">SUM(D71:E71)</f>
        <v>0</v>
      </c>
    </row>
    <row r="72" spans="2:6" s="116" customFormat="1" ht="13.2" customHeight="1" x14ac:dyDescent="0.2">
      <c r="B72" s="173"/>
      <c r="C72" s="174" t="s">
        <v>127</v>
      </c>
      <c r="D72" s="146"/>
      <c r="E72" s="147"/>
      <c r="F72" s="151">
        <f t="shared" si="2"/>
        <v>0</v>
      </c>
    </row>
    <row r="73" spans="2:6" ht="18" customHeight="1" thickBot="1" x14ac:dyDescent="0.3">
      <c r="B73" s="142">
        <v>23</v>
      </c>
      <c r="C73" s="137" t="str">
        <f>Config!C27&amp;", "&amp;Config!D27</f>
        <v>Lindemann, Mads</v>
      </c>
      <c r="D73" s="95">
        <v>2</v>
      </c>
      <c r="E73" s="96">
        <v>1</v>
      </c>
      <c r="F73" s="145">
        <f t="shared" si="2"/>
        <v>3</v>
      </c>
    </row>
    <row r="74" spans="2:6" s="116" customFormat="1" ht="13.2" customHeight="1" x14ac:dyDescent="0.2">
      <c r="B74" s="160"/>
      <c r="C74" s="161" t="s">
        <v>126</v>
      </c>
      <c r="D74" s="162"/>
      <c r="E74" s="163"/>
      <c r="F74" s="149">
        <f t="shared" si="2"/>
        <v>0</v>
      </c>
    </row>
    <row r="75" spans="2:6" s="116" customFormat="1" ht="13.2" customHeight="1" thickBot="1" x14ac:dyDescent="0.25">
      <c r="B75" s="153"/>
      <c r="C75" s="156" t="s">
        <v>127</v>
      </c>
      <c r="D75" s="154"/>
      <c r="E75" s="155"/>
      <c r="F75" s="150">
        <f t="shared" si="2"/>
        <v>0</v>
      </c>
    </row>
    <row r="76" spans="2:6" ht="18" customHeight="1" thickBot="1" x14ac:dyDescent="0.3">
      <c r="B76" s="119"/>
      <c r="C76" s="120"/>
      <c r="D76" s="120">
        <f>IF(COUNTIFS(D7:D73,"&lt;&gt;",C7:C73,"&lt;&gt;ZK",C7:C73,"&lt;&gt;DK")&lt;&gt;0,SUMIFS(D7:D73,C7:C73,"&lt;&gt;ZK",C7:C73,"&lt;&gt;DK")/(COUNTIFS(D7:D73,"&lt;&gt;",C7:C73,"&lt;&gt;ZK",C7:C73,"&lt;&gt;DK")*D6),0)</f>
        <v>0.82608695652173914</v>
      </c>
      <c r="E76" s="120">
        <f>IF(COUNTIFS(E7:E73,"&lt;&gt;",C7:C73,"&lt;&gt;ZK",C7:C73,"&lt;&gt;DK")&lt;&gt;0,SUMIFS(E7:E73,C7:C73,"&lt;&gt;ZK",C7:C73,"&lt;&gt;DK")/(COUNTIFS(E7:E73,"&lt;&gt;",C7:C73,"&lt;&gt;ZK",C7:C73,"&lt;&gt;DK")*E6),0)</f>
        <v>0.56521739130434778</v>
      </c>
      <c r="F76" s="121"/>
    </row>
    <row r="77" spans="2:6" ht="18" customHeight="1" x14ac:dyDescent="0.25"/>
    <row r="78" spans="2:6" ht="18" customHeight="1" x14ac:dyDescent="0.25"/>
    <row r="79" spans="2:6" ht="18" customHeight="1" x14ac:dyDescent="0.25"/>
    <row r="80" spans="2:6"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electLockedCells="1"/>
  <dataValidations count="2">
    <dataValidation type="decimal" allowBlank="1" showErrorMessage="1" sqref="D7:D75" xr:uid="{175966EB-922B-4F8F-BFB8-2A65D8B0B098}">
      <formula1>0</formula1>
      <formula2>$D$6</formula2>
    </dataValidation>
    <dataValidation type="decimal" allowBlank="1" showErrorMessage="1" sqref="E7:E75" xr:uid="{8DF27EE0-5EB9-4A8B-948A-C8DAE9D847E4}">
      <formula1>0</formula1>
      <formula2>$E$6</formula2>
    </dataValidation>
  </dataValidation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B4F5D1-D302-488E-8362-C6BD3D966EE4}">
  <sheetPr codeName="Tabelle6">
    <tabColor rgb="FF92D050"/>
  </sheetPr>
  <dimension ref="B1:I100"/>
  <sheetViews>
    <sheetView workbookViewId="0">
      <selection activeCell="D8" sqref="D8"/>
    </sheetView>
  </sheetViews>
  <sheetFormatPr baseColWidth="10" defaultColWidth="11.5546875" defaultRowHeight="13.2" x14ac:dyDescent="0.25"/>
  <cols>
    <col min="1" max="2" width="3.44140625" style="98" customWidth="1"/>
    <col min="3" max="3" width="25.6640625" style="98" customWidth="1"/>
    <col min="4" max="9" width="8.6640625" style="98" customWidth="1"/>
    <col min="10" max="16384" width="11.5546875" style="98"/>
  </cols>
  <sheetData>
    <row r="1" spans="2:9" ht="18" customHeight="1" thickBot="1" x14ac:dyDescent="0.3"/>
    <row r="2" spans="2:9" ht="18" customHeight="1" x14ac:dyDescent="0.25">
      <c r="B2" s="99" t="str">
        <f>Config!F2&amp;" "&amp;YEAR(Config!G24)</f>
        <v>Mathe Abitur 2026</v>
      </c>
      <c r="C2" s="100"/>
      <c r="D2" s="100"/>
      <c r="E2" s="100"/>
      <c r="F2" s="101"/>
      <c r="G2" s="101"/>
      <c r="H2" s="101"/>
      <c r="I2" s="102" t="str">
        <f>"Kurs "&amp;Config!G26</f>
        <v>Kurs K1</v>
      </c>
    </row>
    <row r="3" spans="2:9" ht="18" customHeight="1" x14ac:dyDescent="0.25">
      <c r="B3" s="103" t="s">
        <v>14</v>
      </c>
      <c r="C3" s="104"/>
      <c r="D3" s="104"/>
      <c r="E3" s="104"/>
      <c r="F3" s="104"/>
      <c r="G3" s="104"/>
      <c r="H3" s="104"/>
      <c r="I3" s="105"/>
    </row>
    <row r="4" spans="2:9" ht="18" customHeight="1" thickBot="1" x14ac:dyDescent="0.3">
      <c r="B4" s="103"/>
      <c r="C4" s="104"/>
      <c r="D4" s="106"/>
      <c r="E4" s="106"/>
      <c r="F4" s="106"/>
      <c r="G4" s="106"/>
      <c r="H4" s="106"/>
      <c r="I4" s="107"/>
    </row>
    <row r="5" spans="2:9" ht="18" customHeight="1" thickBot="1" x14ac:dyDescent="0.3">
      <c r="B5" s="108"/>
      <c r="C5" s="110"/>
      <c r="D5" s="124" t="str">
        <f>Config!P6</f>
        <v>1a</v>
      </c>
      <c r="E5" s="124" t="str">
        <f>Config!P7</f>
        <v>1b</v>
      </c>
      <c r="F5" s="124" t="str">
        <f>Config!P8</f>
        <v>1c</v>
      </c>
      <c r="G5" s="124" t="str">
        <f>Config!P9</f>
        <v>1d</v>
      </c>
      <c r="H5" s="124" t="str">
        <f>Config!P10</f>
        <v>1e</v>
      </c>
      <c r="I5" s="114" t="s">
        <v>82</v>
      </c>
    </row>
    <row r="6" spans="2:9" ht="18" customHeight="1" thickBot="1" x14ac:dyDescent="0.3">
      <c r="B6" s="109"/>
      <c r="C6" s="111" t="s">
        <v>81</v>
      </c>
      <c r="D6" s="113">
        <f>Config!Q6</f>
        <v>4</v>
      </c>
      <c r="E6" s="113">
        <f>Config!Q7</f>
        <v>3</v>
      </c>
      <c r="F6" s="113">
        <f>Config!Q8</f>
        <v>4</v>
      </c>
      <c r="G6" s="113">
        <f>Config!Q9</f>
        <v>3</v>
      </c>
      <c r="H6" s="113">
        <f>Config!Q10</f>
        <v>4</v>
      </c>
      <c r="I6" s="125">
        <f>Config!Q21</f>
        <v>18</v>
      </c>
    </row>
    <row r="7" spans="2:9" ht="18" customHeight="1" x14ac:dyDescent="0.25">
      <c r="B7" s="157">
        <v>1</v>
      </c>
      <c r="C7" s="158" t="str">
        <f>Config!C5&amp;", "&amp;Config!D5</f>
        <v>Höfer, Simon</v>
      </c>
      <c r="D7" s="178">
        <v>4</v>
      </c>
      <c r="E7" s="178">
        <v>2</v>
      </c>
      <c r="F7" s="178">
        <v>2</v>
      </c>
      <c r="G7" s="178">
        <v>0.5</v>
      </c>
      <c r="H7" s="179">
        <v>0.5</v>
      </c>
      <c r="I7" s="159">
        <f t="shared" ref="I7:I38" si="0">SUM(D7:H7)</f>
        <v>9</v>
      </c>
    </row>
    <row r="8" spans="2:9" s="116" customFormat="1" ht="13.2" customHeight="1" x14ac:dyDescent="0.2">
      <c r="B8" s="160"/>
      <c r="C8" s="161" t="s">
        <v>126</v>
      </c>
      <c r="D8" s="162">
        <v>4</v>
      </c>
      <c r="E8" s="162">
        <v>2</v>
      </c>
      <c r="F8" s="162">
        <v>2</v>
      </c>
      <c r="G8" s="162">
        <v>0.5</v>
      </c>
      <c r="H8" s="163">
        <v>0.5</v>
      </c>
      <c r="I8" s="149">
        <f t="shared" si="0"/>
        <v>9</v>
      </c>
    </row>
    <row r="9" spans="2:9" s="116" customFormat="1" ht="13.2" customHeight="1" x14ac:dyDescent="0.2">
      <c r="B9" s="164"/>
      <c r="C9" s="165" t="s">
        <v>127</v>
      </c>
      <c r="D9" s="146"/>
      <c r="E9" s="146"/>
      <c r="F9" s="146"/>
      <c r="G9" s="146"/>
      <c r="H9" s="147"/>
      <c r="I9" s="148">
        <f t="shared" si="0"/>
        <v>0</v>
      </c>
    </row>
    <row r="10" spans="2:9" ht="18" customHeight="1" x14ac:dyDescent="0.25">
      <c r="B10" s="170">
        <v>2</v>
      </c>
      <c r="C10" s="171" t="str">
        <f>Config!C6&amp;", "&amp;Config!D6</f>
        <v>Töpfer, Lilian</v>
      </c>
      <c r="D10" s="180">
        <v>4</v>
      </c>
      <c r="E10" s="180">
        <v>0</v>
      </c>
      <c r="F10" s="180">
        <v>2.5</v>
      </c>
      <c r="G10" s="180">
        <v>0.5</v>
      </c>
      <c r="H10" s="181">
        <v>2</v>
      </c>
      <c r="I10" s="172">
        <f t="shared" si="0"/>
        <v>9</v>
      </c>
    </row>
    <row r="11" spans="2:9" s="116" customFormat="1" ht="13.2" customHeight="1" x14ac:dyDescent="0.2">
      <c r="B11" s="166"/>
      <c r="C11" s="167" t="s">
        <v>126</v>
      </c>
      <c r="D11" s="199">
        <v>3</v>
      </c>
      <c r="E11" s="200">
        <v>1</v>
      </c>
      <c r="F11" s="199">
        <v>1.5</v>
      </c>
      <c r="G11" s="168">
        <v>0.5</v>
      </c>
      <c r="H11" s="184">
        <v>1</v>
      </c>
      <c r="I11" s="152">
        <f t="shared" si="0"/>
        <v>7</v>
      </c>
    </row>
    <row r="12" spans="2:9" s="116" customFormat="1" ht="13.2" customHeight="1" x14ac:dyDescent="0.2">
      <c r="B12" s="173"/>
      <c r="C12" s="174" t="s">
        <v>127</v>
      </c>
      <c r="D12" s="146"/>
      <c r="E12" s="146"/>
      <c r="F12" s="146"/>
      <c r="G12" s="146"/>
      <c r="H12" s="147"/>
      <c r="I12" s="151">
        <f t="shared" si="0"/>
        <v>0</v>
      </c>
    </row>
    <row r="13" spans="2:9" ht="18" customHeight="1" x14ac:dyDescent="0.25">
      <c r="B13" s="175">
        <v>3</v>
      </c>
      <c r="C13" s="176" t="str">
        <f>Config!C7&amp;", "&amp;Config!D7</f>
        <v>Fleischmann, Leonie</v>
      </c>
      <c r="D13" s="182">
        <v>4</v>
      </c>
      <c r="E13" s="182">
        <v>2</v>
      </c>
      <c r="F13" s="182">
        <v>3</v>
      </c>
      <c r="G13" s="182">
        <v>2</v>
      </c>
      <c r="H13" s="183">
        <v>3</v>
      </c>
      <c r="I13" s="177">
        <f t="shared" si="0"/>
        <v>14</v>
      </c>
    </row>
    <row r="14" spans="2:9" s="116" customFormat="1" ht="13.2" customHeight="1" x14ac:dyDescent="0.2">
      <c r="B14" s="160"/>
      <c r="C14" s="161" t="s">
        <v>126</v>
      </c>
      <c r="D14" s="162"/>
      <c r="E14" s="162"/>
      <c r="F14" s="162"/>
      <c r="G14" s="162"/>
      <c r="H14" s="163"/>
      <c r="I14" s="149">
        <f t="shared" si="0"/>
        <v>0</v>
      </c>
    </row>
    <row r="15" spans="2:9" s="116" customFormat="1" ht="13.2" customHeight="1" x14ac:dyDescent="0.2">
      <c r="B15" s="164"/>
      <c r="C15" s="165" t="s">
        <v>127</v>
      </c>
      <c r="D15" s="146"/>
      <c r="E15" s="146"/>
      <c r="F15" s="146"/>
      <c r="G15" s="146"/>
      <c r="H15" s="147"/>
      <c r="I15" s="148">
        <f t="shared" si="0"/>
        <v>0</v>
      </c>
    </row>
    <row r="16" spans="2:9" ht="18" customHeight="1" x14ac:dyDescent="0.25">
      <c r="B16" s="170">
        <v>4</v>
      </c>
      <c r="C16" s="171" t="str">
        <f>Config!C8&amp;", "&amp;Config!D8</f>
        <v>Drescher, Cedric</v>
      </c>
      <c r="D16" s="180">
        <v>4</v>
      </c>
      <c r="E16" s="180">
        <v>2</v>
      </c>
      <c r="F16" s="180">
        <v>3.5</v>
      </c>
      <c r="G16" s="180">
        <v>0</v>
      </c>
      <c r="H16" s="181">
        <v>4</v>
      </c>
      <c r="I16" s="172">
        <f t="shared" si="0"/>
        <v>13.5</v>
      </c>
    </row>
    <row r="17" spans="2:9" s="116" customFormat="1" ht="13.2" customHeight="1" x14ac:dyDescent="0.2">
      <c r="B17" s="166"/>
      <c r="C17" s="167" t="s">
        <v>126</v>
      </c>
      <c r="D17" s="168"/>
      <c r="E17" s="168"/>
      <c r="F17" s="168"/>
      <c r="G17" s="168"/>
      <c r="H17" s="169"/>
      <c r="I17" s="152">
        <f t="shared" si="0"/>
        <v>0</v>
      </c>
    </row>
    <row r="18" spans="2:9" s="116" customFormat="1" ht="13.2" customHeight="1" x14ac:dyDescent="0.2">
      <c r="B18" s="173"/>
      <c r="C18" s="174" t="s">
        <v>127</v>
      </c>
      <c r="D18" s="146"/>
      <c r="E18" s="146"/>
      <c r="F18" s="146"/>
      <c r="G18" s="146"/>
      <c r="H18" s="147"/>
      <c r="I18" s="151">
        <f t="shared" si="0"/>
        <v>0</v>
      </c>
    </row>
    <row r="19" spans="2:9" ht="18" customHeight="1" x14ac:dyDescent="0.25">
      <c r="B19" s="175">
        <v>5</v>
      </c>
      <c r="C19" s="176" t="str">
        <f>Config!C9&amp;", "&amp;Config!D9</f>
        <v>Baumgarten, Annabell</v>
      </c>
      <c r="D19" s="182">
        <v>4</v>
      </c>
      <c r="E19" s="182">
        <v>2</v>
      </c>
      <c r="F19" s="182">
        <v>3</v>
      </c>
      <c r="G19" s="182">
        <v>0</v>
      </c>
      <c r="H19" s="183">
        <v>3</v>
      </c>
      <c r="I19" s="177">
        <f t="shared" si="0"/>
        <v>12</v>
      </c>
    </row>
    <row r="20" spans="2:9" s="116" customFormat="1" ht="13.2" customHeight="1" x14ac:dyDescent="0.2">
      <c r="B20" s="160"/>
      <c r="C20" s="161" t="s">
        <v>126</v>
      </c>
      <c r="D20" s="162"/>
      <c r="E20" s="162"/>
      <c r="F20" s="162"/>
      <c r="G20" s="162"/>
      <c r="H20" s="163"/>
      <c r="I20" s="149">
        <f t="shared" si="0"/>
        <v>0</v>
      </c>
    </row>
    <row r="21" spans="2:9" s="116" customFormat="1" ht="13.2" customHeight="1" x14ac:dyDescent="0.2">
      <c r="B21" s="164"/>
      <c r="C21" s="165" t="s">
        <v>127</v>
      </c>
      <c r="D21" s="146"/>
      <c r="E21" s="146"/>
      <c r="F21" s="146"/>
      <c r="G21" s="146"/>
      <c r="H21" s="147"/>
      <c r="I21" s="148">
        <f t="shared" si="0"/>
        <v>0</v>
      </c>
    </row>
    <row r="22" spans="2:9" ht="18" customHeight="1" x14ac:dyDescent="0.25">
      <c r="B22" s="170">
        <v>6</v>
      </c>
      <c r="C22" s="171" t="str">
        <f>Config!C10&amp;", "&amp;Config!D10</f>
        <v>Traut, Stefanie</v>
      </c>
      <c r="D22" s="180">
        <v>4</v>
      </c>
      <c r="E22" s="180">
        <v>3</v>
      </c>
      <c r="F22" s="180">
        <v>4</v>
      </c>
      <c r="G22" s="180">
        <v>2</v>
      </c>
      <c r="H22" s="181">
        <v>4</v>
      </c>
      <c r="I22" s="172">
        <f t="shared" si="0"/>
        <v>17</v>
      </c>
    </row>
    <row r="23" spans="2:9" s="116" customFormat="1" ht="13.2" customHeight="1" x14ac:dyDescent="0.2">
      <c r="B23" s="166"/>
      <c r="C23" s="167" t="s">
        <v>126</v>
      </c>
      <c r="D23" s="168"/>
      <c r="E23" s="168"/>
      <c r="F23" s="168"/>
      <c r="G23" s="168"/>
      <c r="H23" s="169"/>
      <c r="I23" s="152">
        <f t="shared" si="0"/>
        <v>0</v>
      </c>
    </row>
    <row r="24" spans="2:9" s="116" customFormat="1" ht="13.2" customHeight="1" x14ac:dyDescent="0.2">
      <c r="B24" s="173"/>
      <c r="C24" s="174" t="s">
        <v>127</v>
      </c>
      <c r="D24" s="146"/>
      <c r="E24" s="146"/>
      <c r="F24" s="146"/>
      <c r="G24" s="146"/>
      <c r="H24" s="147"/>
      <c r="I24" s="151">
        <f t="shared" si="0"/>
        <v>0</v>
      </c>
    </row>
    <row r="25" spans="2:9" ht="18" customHeight="1" x14ac:dyDescent="0.25">
      <c r="B25" s="175">
        <v>7</v>
      </c>
      <c r="C25" s="176" t="str">
        <f>Config!C11&amp;", "&amp;Config!D11</f>
        <v>Menke, Damian</v>
      </c>
      <c r="D25" s="182">
        <v>4</v>
      </c>
      <c r="E25" s="182">
        <v>3</v>
      </c>
      <c r="F25" s="182">
        <v>3.5</v>
      </c>
      <c r="G25" s="182">
        <v>0.5</v>
      </c>
      <c r="H25" s="183">
        <v>4</v>
      </c>
      <c r="I25" s="177">
        <f t="shared" si="0"/>
        <v>15</v>
      </c>
    </row>
    <row r="26" spans="2:9" s="116" customFormat="1" ht="13.2" customHeight="1" x14ac:dyDescent="0.2">
      <c r="B26" s="160"/>
      <c r="C26" s="161" t="s">
        <v>126</v>
      </c>
      <c r="D26" s="162"/>
      <c r="E26" s="162"/>
      <c r="F26" s="162"/>
      <c r="G26" s="162"/>
      <c r="H26" s="163"/>
      <c r="I26" s="149">
        <f t="shared" si="0"/>
        <v>0</v>
      </c>
    </row>
    <row r="27" spans="2:9" s="116" customFormat="1" ht="13.2" customHeight="1" x14ac:dyDescent="0.2">
      <c r="B27" s="164"/>
      <c r="C27" s="165" t="s">
        <v>127</v>
      </c>
      <c r="D27" s="146"/>
      <c r="E27" s="146"/>
      <c r="F27" s="146"/>
      <c r="G27" s="146"/>
      <c r="H27" s="147"/>
      <c r="I27" s="148">
        <f t="shared" si="0"/>
        <v>0</v>
      </c>
    </row>
    <row r="28" spans="2:9" ht="18" customHeight="1" x14ac:dyDescent="0.25">
      <c r="B28" s="170">
        <v>8</v>
      </c>
      <c r="C28" s="171" t="str">
        <f>Config!C12&amp;", "&amp;Config!D12</f>
        <v>Carroll, Meik</v>
      </c>
      <c r="D28" s="180">
        <v>3.5</v>
      </c>
      <c r="E28" s="180">
        <v>2</v>
      </c>
      <c r="F28" s="180">
        <v>3.5</v>
      </c>
      <c r="G28" s="180">
        <v>2</v>
      </c>
      <c r="H28" s="181">
        <v>2</v>
      </c>
      <c r="I28" s="172">
        <f t="shared" si="0"/>
        <v>13</v>
      </c>
    </row>
    <row r="29" spans="2:9" s="116" customFormat="1" ht="13.2" customHeight="1" x14ac:dyDescent="0.2">
      <c r="B29" s="166"/>
      <c r="C29" s="167" t="s">
        <v>126</v>
      </c>
      <c r="D29" s="168"/>
      <c r="E29" s="168"/>
      <c r="F29" s="168"/>
      <c r="G29" s="168"/>
      <c r="H29" s="169"/>
      <c r="I29" s="152">
        <f t="shared" si="0"/>
        <v>0</v>
      </c>
    </row>
    <row r="30" spans="2:9" s="116" customFormat="1" ht="13.2" customHeight="1" x14ac:dyDescent="0.2">
      <c r="B30" s="173"/>
      <c r="C30" s="174" t="s">
        <v>127</v>
      </c>
      <c r="D30" s="146"/>
      <c r="E30" s="146"/>
      <c r="F30" s="146"/>
      <c r="G30" s="146"/>
      <c r="H30" s="147"/>
      <c r="I30" s="151">
        <f t="shared" si="0"/>
        <v>0</v>
      </c>
    </row>
    <row r="31" spans="2:9" ht="18" customHeight="1" x14ac:dyDescent="0.25">
      <c r="B31" s="175">
        <v>9</v>
      </c>
      <c r="C31" s="176" t="str">
        <f>Config!C13&amp;", "&amp;Config!D13</f>
        <v>Hennings, Tomas</v>
      </c>
      <c r="D31" s="182">
        <v>2</v>
      </c>
      <c r="E31" s="182">
        <v>0</v>
      </c>
      <c r="F31" s="182">
        <v>1</v>
      </c>
      <c r="G31" s="182">
        <v>1</v>
      </c>
      <c r="H31" s="183">
        <v>0</v>
      </c>
      <c r="I31" s="177">
        <f t="shared" si="0"/>
        <v>4</v>
      </c>
    </row>
    <row r="32" spans="2:9" s="116" customFormat="1" ht="13.2" customHeight="1" x14ac:dyDescent="0.2">
      <c r="B32" s="160"/>
      <c r="C32" s="161" t="s">
        <v>126</v>
      </c>
      <c r="D32" s="162"/>
      <c r="E32" s="162"/>
      <c r="F32" s="162"/>
      <c r="G32" s="162"/>
      <c r="H32" s="163"/>
      <c r="I32" s="149">
        <f t="shared" si="0"/>
        <v>0</v>
      </c>
    </row>
    <row r="33" spans="2:9" s="116" customFormat="1" ht="13.2" customHeight="1" x14ac:dyDescent="0.2">
      <c r="B33" s="164"/>
      <c r="C33" s="165" t="s">
        <v>127</v>
      </c>
      <c r="D33" s="146"/>
      <c r="E33" s="146"/>
      <c r="F33" s="146"/>
      <c r="G33" s="146"/>
      <c r="H33" s="147"/>
      <c r="I33" s="148">
        <f t="shared" si="0"/>
        <v>0</v>
      </c>
    </row>
    <row r="34" spans="2:9" ht="18" customHeight="1" x14ac:dyDescent="0.25">
      <c r="B34" s="170">
        <v>10</v>
      </c>
      <c r="C34" s="171" t="str">
        <f>Config!C14&amp;", "&amp;Config!D14</f>
        <v>Walters, Linn</v>
      </c>
      <c r="D34" s="180">
        <v>2.5</v>
      </c>
      <c r="E34" s="180">
        <v>1</v>
      </c>
      <c r="F34" s="180">
        <v>3</v>
      </c>
      <c r="G34" s="180">
        <v>2</v>
      </c>
      <c r="H34" s="181">
        <v>0</v>
      </c>
      <c r="I34" s="172">
        <f t="shared" si="0"/>
        <v>8.5</v>
      </c>
    </row>
    <row r="35" spans="2:9" s="116" customFormat="1" ht="13.2" customHeight="1" x14ac:dyDescent="0.2">
      <c r="B35" s="166"/>
      <c r="C35" s="167" t="s">
        <v>126</v>
      </c>
      <c r="D35" s="168"/>
      <c r="E35" s="168"/>
      <c r="F35" s="168"/>
      <c r="G35" s="168"/>
      <c r="H35" s="169"/>
      <c r="I35" s="152">
        <f t="shared" si="0"/>
        <v>0</v>
      </c>
    </row>
    <row r="36" spans="2:9" s="116" customFormat="1" ht="13.2" customHeight="1" x14ac:dyDescent="0.2">
      <c r="B36" s="173"/>
      <c r="C36" s="174" t="s">
        <v>127</v>
      </c>
      <c r="D36" s="146"/>
      <c r="E36" s="146"/>
      <c r="F36" s="146"/>
      <c r="G36" s="146"/>
      <c r="H36" s="147"/>
      <c r="I36" s="151">
        <f t="shared" si="0"/>
        <v>0</v>
      </c>
    </row>
    <row r="37" spans="2:9" ht="18" customHeight="1" x14ac:dyDescent="0.25">
      <c r="B37" s="175">
        <v>11</v>
      </c>
      <c r="C37" s="176" t="str">
        <f>Config!C15&amp;", "&amp;Config!D15</f>
        <v>Junker, Amely</v>
      </c>
      <c r="D37" s="182">
        <v>4</v>
      </c>
      <c r="E37" s="182">
        <v>3</v>
      </c>
      <c r="F37" s="182">
        <v>2</v>
      </c>
      <c r="G37" s="182">
        <v>2</v>
      </c>
      <c r="H37" s="183">
        <v>2</v>
      </c>
      <c r="I37" s="177">
        <f t="shared" si="0"/>
        <v>13</v>
      </c>
    </row>
    <row r="38" spans="2:9" s="116" customFormat="1" ht="13.2" customHeight="1" x14ac:dyDescent="0.2">
      <c r="B38" s="160"/>
      <c r="C38" s="161" t="s">
        <v>126</v>
      </c>
      <c r="D38" s="162"/>
      <c r="E38" s="162"/>
      <c r="F38" s="162"/>
      <c r="G38" s="162"/>
      <c r="H38" s="163"/>
      <c r="I38" s="149">
        <f t="shared" si="0"/>
        <v>0</v>
      </c>
    </row>
    <row r="39" spans="2:9" s="116" customFormat="1" ht="13.2" customHeight="1" x14ac:dyDescent="0.2">
      <c r="B39" s="164"/>
      <c r="C39" s="165" t="s">
        <v>127</v>
      </c>
      <c r="D39" s="146"/>
      <c r="E39" s="146"/>
      <c r="F39" s="146"/>
      <c r="G39" s="146"/>
      <c r="H39" s="147"/>
      <c r="I39" s="148">
        <f t="shared" ref="I39:I70" si="1">SUM(D39:H39)</f>
        <v>0</v>
      </c>
    </row>
    <row r="40" spans="2:9" ht="18" customHeight="1" x14ac:dyDescent="0.25">
      <c r="B40" s="170">
        <v>12</v>
      </c>
      <c r="C40" s="171" t="str">
        <f>Config!C16&amp;", "&amp;Config!D16</f>
        <v>Stephens, Melvin</v>
      </c>
      <c r="D40" s="180">
        <v>4</v>
      </c>
      <c r="E40" s="180">
        <v>2</v>
      </c>
      <c r="F40" s="180">
        <v>3</v>
      </c>
      <c r="G40" s="180">
        <v>2</v>
      </c>
      <c r="H40" s="181">
        <v>2</v>
      </c>
      <c r="I40" s="172">
        <f t="shared" si="1"/>
        <v>13</v>
      </c>
    </row>
    <row r="41" spans="2:9" s="116" customFormat="1" ht="13.2" customHeight="1" x14ac:dyDescent="0.2">
      <c r="B41" s="166"/>
      <c r="C41" s="167" t="s">
        <v>126</v>
      </c>
      <c r="D41" s="168"/>
      <c r="E41" s="168"/>
      <c r="F41" s="168"/>
      <c r="G41" s="168"/>
      <c r="H41" s="169"/>
      <c r="I41" s="152">
        <f t="shared" si="1"/>
        <v>0</v>
      </c>
    </row>
    <row r="42" spans="2:9" s="116" customFormat="1" ht="13.2" customHeight="1" x14ac:dyDescent="0.2">
      <c r="B42" s="173"/>
      <c r="C42" s="174" t="s">
        <v>127</v>
      </c>
      <c r="D42" s="146"/>
      <c r="E42" s="146"/>
      <c r="F42" s="146"/>
      <c r="G42" s="146"/>
      <c r="H42" s="147"/>
      <c r="I42" s="151">
        <f t="shared" si="1"/>
        <v>0</v>
      </c>
    </row>
    <row r="43" spans="2:9" ht="18" customHeight="1" x14ac:dyDescent="0.25">
      <c r="B43" s="175">
        <v>13</v>
      </c>
      <c r="C43" s="176" t="str">
        <f>Config!C17&amp;", "&amp;Config!D17</f>
        <v>Cremer, Marvin</v>
      </c>
      <c r="D43" s="182">
        <v>3</v>
      </c>
      <c r="E43" s="182">
        <v>0</v>
      </c>
      <c r="F43" s="182">
        <v>0</v>
      </c>
      <c r="G43" s="182">
        <v>0</v>
      </c>
      <c r="H43" s="183">
        <v>0</v>
      </c>
      <c r="I43" s="177">
        <f t="shared" si="1"/>
        <v>3</v>
      </c>
    </row>
    <row r="44" spans="2:9" s="116" customFormat="1" ht="13.2" customHeight="1" x14ac:dyDescent="0.2">
      <c r="B44" s="160"/>
      <c r="C44" s="161" t="s">
        <v>126</v>
      </c>
      <c r="D44" s="162"/>
      <c r="E44" s="162"/>
      <c r="F44" s="162"/>
      <c r="G44" s="162"/>
      <c r="H44" s="163"/>
      <c r="I44" s="149">
        <f t="shared" si="1"/>
        <v>0</v>
      </c>
    </row>
    <row r="45" spans="2:9" s="116" customFormat="1" ht="13.2" customHeight="1" x14ac:dyDescent="0.2">
      <c r="B45" s="164"/>
      <c r="C45" s="165" t="s">
        <v>127</v>
      </c>
      <c r="D45" s="146"/>
      <c r="E45" s="146"/>
      <c r="F45" s="146"/>
      <c r="G45" s="146"/>
      <c r="H45" s="147"/>
      <c r="I45" s="148">
        <f t="shared" si="1"/>
        <v>0</v>
      </c>
    </row>
    <row r="46" spans="2:9" ht="18" customHeight="1" x14ac:dyDescent="0.25">
      <c r="B46" s="170">
        <v>14</v>
      </c>
      <c r="C46" s="171" t="str">
        <f>Config!C18&amp;", "&amp;Config!D18</f>
        <v>Nash, Jean</v>
      </c>
      <c r="D46" s="180">
        <v>4</v>
      </c>
      <c r="E46" s="180">
        <v>3</v>
      </c>
      <c r="F46" s="180">
        <v>2</v>
      </c>
      <c r="G46" s="180">
        <v>2</v>
      </c>
      <c r="H46" s="181">
        <v>3.5</v>
      </c>
      <c r="I46" s="172">
        <f t="shared" si="1"/>
        <v>14.5</v>
      </c>
    </row>
    <row r="47" spans="2:9" s="116" customFormat="1" ht="13.2" customHeight="1" x14ac:dyDescent="0.2">
      <c r="B47" s="166"/>
      <c r="C47" s="167" t="s">
        <v>126</v>
      </c>
      <c r="D47" s="168"/>
      <c r="E47" s="168"/>
      <c r="F47" s="168"/>
      <c r="G47" s="168"/>
      <c r="H47" s="169"/>
      <c r="I47" s="152">
        <f t="shared" si="1"/>
        <v>0</v>
      </c>
    </row>
    <row r="48" spans="2:9" s="116" customFormat="1" ht="13.2" customHeight="1" x14ac:dyDescent="0.2">
      <c r="B48" s="173"/>
      <c r="C48" s="174" t="s">
        <v>127</v>
      </c>
      <c r="D48" s="146"/>
      <c r="E48" s="146"/>
      <c r="F48" s="146"/>
      <c r="G48" s="146"/>
      <c r="H48" s="147"/>
      <c r="I48" s="151">
        <f t="shared" si="1"/>
        <v>0</v>
      </c>
    </row>
    <row r="49" spans="2:9" ht="18" customHeight="1" x14ac:dyDescent="0.25">
      <c r="B49" s="175">
        <v>15</v>
      </c>
      <c r="C49" s="176" t="str">
        <f>Config!C19&amp;", "&amp;Config!D19</f>
        <v>Schön, Leonardo</v>
      </c>
      <c r="D49" s="182">
        <v>4</v>
      </c>
      <c r="E49" s="182">
        <v>1</v>
      </c>
      <c r="F49" s="182">
        <v>1</v>
      </c>
      <c r="G49" s="182">
        <v>0.5</v>
      </c>
      <c r="H49" s="183">
        <v>0</v>
      </c>
      <c r="I49" s="177">
        <f t="shared" si="1"/>
        <v>6.5</v>
      </c>
    </row>
    <row r="50" spans="2:9" s="116" customFormat="1" ht="13.2" customHeight="1" x14ac:dyDescent="0.2">
      <c r="B50" s="160"/>
      <c r="C50" s="161" t="s">
        <v>126</v>
      </c>
      <c r="D50" s="162"/>
      <c r="E50" s="162"/>
      <c r="F50" s="162"/>
      <c r="G50" s="162"/>
      <c r="H50" s="163"/>
      <c r="I50" s="149">
        <f t="shared" si="1"/>
        <v>0</v>
      </c>
    </row>
    <row r="51" spans="2:9" s="116" customFormat="1" ht="13.2" customHeight="1" x14ac:dyDescent="0.2">
      <c r="B51" s="164"/>
      <c r="C51" s="165" t="s">
        <v>127</v>
      </c>
      <c r="D51" s="146"/>
      <c r="E51" s="146"/>
      <c r="F51" s="146"/>
      <c r="G51" s="146"/>
      <c r="H51" s="147"/>
      <c r="I51" s="148">
        <f t="shared" si="1"/>
        <v>0</v>
      </c>
    </row>
    <row r="52" spans="2:9" ht="18" customHeight="1" x14ac:dyDescent="0.25">
      <c r="B52" s="170">
        <v>16</v>
      </c>
      <c r="C52" s="171" t="str">
        <f>Config!C20&amp;", "&amp;Config!D20</f>
        <v>Sigl, Nicholas</v>
      </c>
      <c r="D52" s="180">
        <v>4</v>
      </c>
      <c r="E52" s="180">
        <v>0.5</v>
      </c>
      <c r="F52" s="180">
        <v>1</v>
      </c>
      <c r="G52" s="180">
        <v>0.5</v>
      </c>
      <c r="H52" s="181">
        <v>0</v>
      </c>
      <c r="I52" s="172">
        <f t="shared" si="1"/>
        <v>6</v>
      </c>
    </row>
    <row r="53" spans="2:9" s="116" customFormat="1" ht="13.2" customHeight="1" x14ac:dyDescent="0.2">
      <c r="B53" s="166"/>
      <c r="C53" s="167" t="s">
        <v>126</v>
      </c>
      <c r="D53" s="168"/>
      <c r="E53" s="168"/>
      <c r="F53" s="168"/>
      <c r="G53" s="168"/>
      <c r="H53" s="169"/>
      <c r="I53" s="152">
        <f t="shared" si="1"/>
        <v>0</v>
      </c>
    </row>
    <row r="54" spans="2:9" s="116" customFormat="1" ht="13.2" customHeight="1" x14ac:dyDescent="0.2">
      <c r="B54" s="173"/>
      <c r="C54" s="174" t="s">
        <v>127</v>
      </c>
      <c r="D54" s="146"/>
      <c r="E54" s="146"/>
      <c r="F54" s="146"/>
      <c r="G54" s="146"/>
      <c r="H54" s="147"/>
      <c r="I54" s="151">
        <f t="shared" si="1"/>
        <v>0</v>
      </c>
    </row>
    <row r="55" spans="2:9" ht="18" customHeight="1" x14ac:dyDescent="0.25">
      <c r="B55" s="175">
        <v>17</v>
      </c>
      <c r="C55" s="176" t="str">
        <f>Config!C21&amp;", "&amp;Config!D21</f>
        <v>Kainz, Vivienne</v>
      </c>
      <c r="D55" s="182">
        <v>2</v>
      </c>
      <c r="E55" s="182">
        <v>0</v>
      </c>
      <c r="F55" s="182">
        <v>1</v>
      </c>
      <c r="G55" s="182">
        <v>1.5</v>
      </c>
      <c r="H55" s="183">
        <v>0</v>
      </c>
      <c r="I55" s="177">
        <f t="shared" si="1"/>
        <v>4.5</v>
      </c>
    </row>
    <row r="56" spans="2:9" s="116" customFormat="1" ht="13.2" customHeight="1" x14ac:dyDescent="0.2">
      <c r="B56" s="160"/>
      <c r="C56" s="161" t="s">
        <v>126</v>
      </c>
      <c r="D56" s="162"/>
      <c r="E56" s="162"/>
      <c r="F56" s="162"/>
      <c r="G56" s="162"/>
      <c r="H56" s="163"/>
      <c r="I56" s="149">
        <f t="shared" si="1"/>
        <v>0</v>
      </c>
    </row>
    <row r="57" spans="2:9" s="116" customFormat="1" ht="13.2" customHeight="1" x14ac:dyDescent="0.2">
      <c r="B57" s="164"/>
      <c r="C57" s="165" t="s">
        <v>127</v>
      </c>
      <c r="D57" s="146"/>
      <c r="E57" s="146"/>
      <c r="F57" s="146"/>
      <c r="G57" s="146"/>
      <c r="H57" s="147"/>
      <c r="I57" s="148">
        <f t="shared" si="1"/>
        <v>0</v>
      </c>
    </row>
    <row r="58" spans="2:9" ht="18" customHeight="1" x14ac:dyDescent="0.25">
      <c r="B58" s="170">
        <v>18</v>
      </c>
      <c r="C58" s="171" t="str">
        <f>Config!C22&amp;", "&amp;Config!D22</f>
        <v>Hartmann, Mads</v>
      </c>
      <c r="D58" s="180">
        <v>4</v>
      </c>
      <c r="E58" s="180">
        <v>3</v>
      </c>
      <c r="F58" s="180">
        <v>3</v>
      </c>
      <c r="G58" s="180">
        <v>0</v>
      </c>
      <c r="H58" s="181">
        <v>4</v>
      </c>
      <c r="I58" s="172">
        <f t="shared" si="1"/>
        <v>14</v>
      </c>
    </row>
    <row r="59" spans="2:9" s="116" customFormat="1" ht="13.2" customHeight="1" x14ac:dyDescent="0.2">
      <c r="B59" s="166"/>
      <c r="C59" s="167" t="s">
        <v>126</v>
      </c>
      <c r="D59" s="168"/>
      <c r="E59" s="168"/>
      <c r="F59" s="168"/>
      <c r="G59" s="168"/>
      <c r="H59" s="169"/>
      <c r="I59" s="152">
        <f t="shared" si="1"/>
        <v>0</v>
      </c>
    </row>
    <row r="60" spans="2:9" s="116" customFormat="1" ht="13.2" customHeight="1" x14ac:dyDescent="0.2">
      <c r="B60" s="173"/>
      <c r="C60" s="174" t="s">
        <v>127</v>
      </c>
      <c r="D60" s="146"/>
      <c r="E60" s="146"/>
      <c r="F60" s="146"/>
      <c r="G60" s="146"/>
      <c r="H60" s="147"/>
      <c r="I60" s="151">
        <f t="shared" si="1"/>
        <v>0</v>
      </c>
    </row>
    <row r="61" spans="2:9" ht="18" customHeight="1" x14ac:dyDescent="0.25">
      <c r="B61" s="175">
        <v>19</v>
      </c>
      <c r="C61" s="176" t="str">
        <f>Config!C23&amp;", "&amp;Config!D23</f>
        <v>Ullmann, Raphael</v>
      </c>
      <c r="D61" s="182">
        <v>4</v>
      </c>
      <c r="E61" s="182">
        <v>1</v>
      </c>
      <c r="F61" s="182">
        <v>3</v>
      </c>
      <c r="G61" s="182">
        <v>2</v>
      </c>
      <c r="H61" s="183">
        <v>3.5</v>
      </c>
      <c r="I61" s="177">
        <f t="shared" si="1"/>
        <v>13.5</v>
      </c>
    </row>
    <row r="62" spans="2:9" s="116" customFormat="1" ht="13.2" customHeight="1" x14ac:dyDescent="0.2">
      <c r="B62" s="160"/>
      <c r="C62" s="161" t="s">
        <v>126</v>
      </c>
      <c r="D62" s="162"/>
      <c r="E62" s="162"/>
      <c r="F62" s="162"/>
      <c r="G62" s="162"/>
      <c r="H62" s="163"/>
      <c r="I62" s="149">
        <f t="shared" si="1"/>
        <v>0</v>
      </c>
    </row>
    <row r="63" spans="2:9" s="116" customFormat="1" ht="13.2" customHeight="1" x14ac:dyDescent="0.2">
      <c r="B63" s="164"/>
      <c r="C63" s="165" t="s">
        <v>127</v>
      </c>
      <c r="D63" s="146"/>
      <c r="E63" s="146"/>
      <c r="F63" s="146"/>
      <c r="G63" s="146"/>
      <c r="H63" s="147"/>
      <c r="I63" s="148">
        <f t="shared" si="1"/>
        <v>0</v>
      </c>
    </row>
    <row r="64" spans="2:9" ht="18" customHeight="1" x14ac:dyDescent="0.25">
      <c r="B64" s="170">
        <v>20</v>
      </c>
      <c r="C64" s="171" t="str">
        <f>Config!C24&amp;", "&amp;Config!D24</f>
        <v>Hartl, Emmely</v>
      </c>
      <c r="D64" s="180">
        <v>4</v>
      </c>
      <c r="E64" s="180">
        <v>2</v>
      </c>
      <c r="F64" s="180">
        <v>3</v>
      </c>
      <c r="G64" s="180">
        <v>2</v>
      </c>
      <c r="H64" s="181">
        <v>4</v>
      </c>
      <c r="I64" s="172">
        <f t="shared" si="1"/>
        <v>15</v>
      </c>
    </row>
    <row r="65" spans="2:9" s="116" customFormat="1" ht="13.2" customHeight="1" x14ac:dyDescent="0.2">
      <c r="B65" s="166"/>
      <c r="C65" s="167" t="s">
        <v>126</v>
      </c>
      <c r="D65" s="168"/>
      <c r="E65" s="168"/>
      <c r="F65" s="168"/>
      <c r="G65" s="168"/>
      <c r="H65" s="169"/>
      <c r="I65" s="152">
        <f t="shared" si="1"/>
        <v>0</v>
      </c>
    </row>
    <row r="66" spans="2:9" s="116" customFormat="1" ht="13.2" customHeight="1" x14ac:dyDescent="0.2">
      <c r="B66" s="173"/>
      <c r="C66" s="174" t="s">
        <v>127</v>
      </c>
      <c r="D66" s="146"/>
      <c r="E66" s="146"/>
      <c r="F66" s="146"/>
      <c r="G66" s="146"/>
      <c r="H66" s="147"/>
      <c r="I66" s="151">
        <f t="shared" si="1"/>
        <v>0</v>
      </c>
    </row>
    <row r="67" spans="2:9" ht="18" customHeight="1" x14ac:dyDescent="0.25">
      <c r="B67" s="175">
        <v>21</v>
      </c>
      <c r="C67" s="176" t="str">
        <f>Config!C25&amp;", "&amp;Config!D25</f>
        <v>Klotz, Karin</v>
      </c>
      <c r="D67" s="182">
        <v>4</v>
      </c>
      <c r="E67" s="182">
        <v>3</v>
      </c>
      <c r="F67" s="182">
        <v>4</v>
      </c>
      <c r="G67" s="182">
        <v>2</v>
      </c>
      <c r="H67" s="183">
        <v>3</v>
      </c>
      <c r="I67" s="177">
        <f t="shared" si="1"/>
        <v>16</v>
      </c>
    </row>
    <row r="68" spans="2:9" s="116" customFormat="1" ht="13.2" customHeight="1" x14ac:dyDescent="0.2">
      <c r="B68" s="160"/>
      <c r="C68" s="161" t="s">
        <v>126</v>
      </c>
      <c r="D68" s="162"/>
      <c r="E68" s="162"/>
      <c r="F68" s="162"/>
      <c r="G68" s="162"/>
      <c r="H68" s="163"/>
      <c r="I68" s="149">
        <f t="shared" si="1"/>
        <v>0</v>
      </c>
    </row>
    <row r="69" spans="2:9" s="116" customFormat="1" ht="13.2" customHeight="1" x14ac:dyDescent="0.2">
      <c r="B69" s="164"/>
      <c r="C69" s="165" t="s">
        <v>127</v>
      </c>
      <c r="D69" s="146"/>
      <c r="E69" s="146"/>
      <c r="F69" s="146"/>
      <c r="G69" s="146"/>
      <c r="H69" s="147"/>
      <c r="I69" s="148">
        <f t="shared" si="1"/>
        <v>0</v>
      </c>
    </row>
    <row r="70" spans="2:9" ht="18" customHeight="1" x14ac:dyDescent="0.25">
      <c r="B70" s="170">
        <v>22</v>
      </c>
      <c r="C70" s="171" t="str">
        <f>Config!C26&amp;", "&amp;Config!D26</f>
        <v>Ehlers, Ingo</v>
      </c>
      <c r="D70" s="180">
        <v>4</v>
      </c>
      <c r="E70" s="180">
        <v>2</v>
      </c>
      <c r="F70" s="180">
        <v>4</v>
      </c>
      <c r="G70" s="180">
        <v>2</v>
      </c>
      <c r="H70" s="181">
        <v>2.5</v>
      </c>
      <c r="I70" s="172">
        <f t="shared" si="1"/>
        <v>14.5</v>
      </c>
    </row>
    <row r="71" spans="2:9" s="116" customFormat="1" ht="13.2" customHeight="1" x14ac:dyDescent="0.2">
      <c r="B71" s="166"/>
      <c r="C71" s="167" t="s">
        <v>126</v>
      </c>
      <c r="D71" s="168"/>
      <c r="E71" s="168"/>
      <c r="F71" s="168"/>
      <c r="G71" s="168"/>
      <c r="H71" s="169"/>
      <c r="I71" s="152">
        <f t="shared" ref="I71:I75" si="2">SUM(D71:H71)</f>
        <v>0</v>
      </c>
    </row>
    <row r="72" spans="2:9" s="116" customFormat="1" ht="13.2" customHeight="1" x14ac:dyDescent="0.2">
      <c r="B72" s="173"/>
      <c r="C72" s="174" t="s">
        <v>127</v>
      </c>
      <c r="D72" s="146"/>
      <c r="E72" s="146"/>
      <c r="F72" s="146"/>
      <c r="G72" s="146"/>
      <c r="H72" s="147"/>
      <c r="I72" s="151">
        <f t="shared" si="2"/>
        <v>0</v>
      </c>
    </row>
    <row r="73" spans="2:9" ht="18" customHeight="1" thickBot="1" x14ac:dyDescent="0.3">
      <c r="B73" s="142">
        <v>23</v>
      </c>
      <c r="C73" s="137" t="str">
        <f>Config!C27&amp;", "&amp;Config!D27</f>
        <v>Lindemann, Mads</v>
      </c>
      <c r="D73" s="95">
        <v>4</v>
      </c>
      <c r="E73" s="95">
        <v>0</v>
      </c>
      <c r="F73" s="95">
        <v>2</v>
      </c>
      <c r="G73" s="95">
        <v>0.5</v>
      </c>
      <c r="H73" s="96">
        <v>0</v>
      </c>
      <c r="I73" s="145">
        <f t="shared" si="2"/>
        <v>6.5</v>
      </c>
    </row>
    <row r="74" spans="2:9" s="116" customFormat="1" ht="13.2" customHeight="1" x14ac:dyDescent="0.2">
      <c r="B74" s="160"/>
      <c r="C74" s="161" t="s">
        <v>126</v>
      </c>
      <c r="D74" s="162"/>
      <c r="E74" s="162"/>
      <c r="F74" s="162"/>
      <c r="G74" s="162"/>
      <c r="H74" s="163"/>
      <c r="I74" s="149">
        <f t="shared" si="2"/>
        <v>0</v>
      </c>
    </row>
    <row r="75" spans="2:9" s="116" customFormat="1" ht="13.2" customHeight="1" thickBot="1" x14ac:dyDescent="0.25">
      <c r="B75" s="153"/>
      <c r="C75" s="156" t="s">
        <v>127</v>
      </c>
      <c r="D75" s="154"/>
      <c r="E75" s="154"/>
      <c r="F75" s="154"/>
      <c r="G75" s="154"/>
      <c r="H75" s="155"/>
      <c r="I75" s="150">
        <f t="shared" si="2"/>
        <v>0</v>
      </c>
    </row>
    <row r="76" spans="2:9" ht="18" customHeight="1" thickBot="1" x14ac:dyDescent="0.3">
      <c r="B76" s="119"/>
      <c r="C76" s="120"/>
      <c r="D76" s="120">
        <f>IF(COUNTIFS(D7:D73,"&lt;&gt;",C7:C73,"&lt;&gt;ZK",C7:C73,"&lt;&gt;DK")&lt;&gt;0,SUMIFS(D7:D73,C7:C73,"&lt;&gt;ZK",C7:C73,"&lt;&gt;DK")/(COUNTIFS(D7:D73,"&lt;&gt;",C7:C73,"&lt;&gt;ZK",C7:C73,"&lt;&gt;DK")*D6),0)</f>
        <v>0.92391304347826086</v>
      </c>
      <c r="E76" s="120">
        <f>IF(COUNTIFS(E7:E73,"&lt;&gt;",C7:C73,"&lt;&gt;ZK",C7:C73,"&lt;&gt;DK")&lt;&gt;0,SUMIFS(E7:E73,C7:C73,"&lt;&gt;ZK",C7:C73,"&lt;&gt;DK")/(COUNTIFS(E7:E73,"&lt;&gt;",C7:C73,"&lt;&gt;ZK",C7:C73,"&lt;&gt;DK")*E6),0)</f>
        <v>0.54347826086956519</v>
      </c>
      <c r="F76" s="120">
        <f>IF(COUNTIFS(F7:F73,"&lt;&gt;",C7:C73,"&lt;&gt;ZK",C7:C73,"&lt;&gt;DK")&lt;&gt;0,SUMIFS(F7:F73,C7:C73,"&lt;&gt;ZK",C7:C73,"&lt;&gt;DK")/(COUNTIFS(F7:F73,"&lt;&gt;",C7:C73,"&lt;&gt;ZK",C7:C73,"&lt;&gt;DK")*F6),0)</f>
        <v>0.63043478260869568</v>
      </c>
      <c r="G76" s="120">
        <f>IF(COUNTIFS(G7:G73,"&lt;&gt;",C7:C73,"&lt;&gt;ZK",C7:C73,"&lt;&gt;DK")&lt;&gt;0,SUMIFS(G7:G73,C7:C73,"&lt;&gt;ZK",C7:C73,"&lt;&gt;DK")/(COUNTIFS(G7:G73,"&lt;&gt;",C7:C73,"&lt;&gt;ZK",C7:C73,"&lt;&gt;DK")*G6),0)</f>
        <v>0.39855072463768115</v>
      </c>
      <c r="H76" s="120">
        <f>IF(COUNTIFS(H7:H73,"&lt;&gt;",C7:C73,"&lt;&gt;ZK",C7:C73,"&lt;&gt;DK")&lt;&gt;0,SUMIFS(H7:H73,C7:C73,"&lt;&gt;ZK",C7:C73,"&lt;&gt;DK")/(COUNTIFS(H7:H73,"&lt;&gt;",C7:C73,"&lt;&gt;ZK",C7:C73,"&lt;&gt;DK")*H6),0)</f>
        <v>0.51086956521739135</v>
      </c>
      <c r="I76" s="121"/>
    </row>
    <row r="77" spans="2:9" ht="18" customHeight="1" x14ac:dyDescent="0.25"/>
    <row r="78" spans="2:9" ht="18" customHeight="1" x14ac:dyDescent="0.25"/>
    <row r="79" spans="2:9" ht="18" customHeight="1" x14ac:dyDescent="0.25"/>
    <row r="80" spans="2:9"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electLockedCells="1"/>
  <dataValidations count="5">
    <dataValidation type="decimal" allowBlank="1" showErrorMessage="1" sqref="D7:D75" xr:uid="{7539F855-6E01-4600-B5E2-33D2E0346948}">
      <formula1>0</formula1>
      <formula2>$D$6</formula2>
    </dataValidation>
    <dataValidation type="decimal" allowBlank="1" showErrorMessage="1" sqref="E7:E75" xr:uid="{38B35D7C-C11B-4394-AFAE-2ED2E6F8C8D6}">
      <formula1>0</formula1>
      <formula2>$E$6</formula2>
    </dataValidation>
    <dataValidation type="decimal" allowBlank="1" showErrorMessage="1" sqref="F7:F75" xr:uid="{C1CD3525-9CC7-4225-9DA9-ECB9F9CFD959}">
      <formula1>0</formula1>
      <formula2>$F$6</formula2>
    </dataValidation>
    <dataValidation type="decimal" allowBlank="1" showErrorMessage="1" sqref="G7:G75" xr:uid="{02447C01-EE5D-437A-AA75-2A8BD4B0DF58}">
      <formula1>0</formula1>
      <formula2>$G$6</formula2>
    </dataValidation>
    <dataValidation type="decimal" allowBlank="1" showErrorMessage="1" sqref="H7:H75" xr:uid="{296A63BE-03AE-4D7D-A18C-94B27708607F}">
      <formula1>0</formula1>
      <formula2>$H$6</formula2>
    </dataValidation>
  </dataValidation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4B3D3B-2B32-4058-AC6A-E4CEA67A1656}">
  <sheetPr codeName="Tabelle7">
    <tabColor rgb="FF92D050"/>
  </sheetPr>
  <dimension ref="B1:I100"/>
  <sheetViews>
    <sheetView workbookViewId="0">
      <selection activeCell="D17" sqref="D17"/>
    </sheetView>
  </sheetViews>
  <sheetFormatPr baseColWidth="10" defaultColWidth="11.5546875" defaultRowHeight="13.2" x14ac:dyDescent="0.25"/>
  <cols>
    <col min="1" max="2" width="3.44140625" style="98" customWidth="1"/>
    <col min="3" max="3" width="25.6640625" style="98" customWidth="1"/>
    <col min="4" max="9" width="8.6640625" style="98" customWidth="1"/>
    <col min="10" max="16384" width="11.5546875" style="98"/>
  </cols>
  <sheetData>
    <row r="1" spans="2:9" ht="18" customHeight="1" thickBot="1" x14ac:dyDescent="0.3"/>
    <row r="2" spans="2:9" ht="18" customHeight="1" x14ac:dyDescent="0.25">
      <c r="B2" s="99" t="str">
        <f>Config!F2&amp;" "&amp;YEAR(Config!G24)</f>
        <v>Mathe Abitur 2026</v>
      </c>
      <c r="C2" s="100"/>
      <c r="D2" s="100"/>
      <c r="E2" s="100"/>
      <c r="F2" s="101"/>
      <c r="G2" s="101"/>
      <c r="H2" s="101"/>
      <c r="I2" s="102" t="str">
        <f>"Kurs "&amp;Config!G26</f>
        <v>Kurs K1</v>
      </c>
    </row>
    <row r="3" spans="2:9" ht="18" customHeight="1" x14ac:dyDescent="0.25">
      <c r="B3" s="103" t="s">
        <v>112</v>
      </c>
      <c r="C3" s="104"/>
      <c r="D3" s="104"/>
      <c r="E3" s="104"/>
      <c r="F3" s="104"/>
      <c r="G3" s="104"/>
      <c r="H3" s="104"/>
      <c r="I3" s="105"/>
    </row>
    <row r="4" spans="2:9" ht="18" customHeight="1" thickBot="1" x14ac:dyDescent="0.3">
      <c r="B4" s="103"/>
      <c r="C4" s="104"/>
      <c r="D4" s="106"/>
      <c r="E4" s="106"/>
      <c r="F4" s="106"/>
      <c r="G4" s="106"/>
      <c r="H4" s="106"/>
      <c r="I4" s="107"/>
    </row>
    <row r="5" spans="2:9" ht="18" customHeight="1" thickBot="1" x14ac:dyDescent="0.3">
      <c r="B5" s="108"/>
      <c r="C5" s="110"/>
      <c r="D5" s="124" t="str">
        <f>Config!R6</f>
        <v>6</v>
      </c>
      <c r="E5" s="124" t="str">
        <f>Config!R7</f>
        <v>7a</v>
      </c>
      <c r="F5" s="124" t="str">
        <f>Config!R8</f>
        <v>7b</v>
      </c>
      <c r="G5" s="124" t="str">
        <f>Config!R9</f>
        <v>8</v>
      </c>
      <c r="H5" s="124" t="str">
        <f>Config!R10</f>
        <v>9</v>
      </c>
      <c r="I5" s="114" t="s">
        <v>82</v>
      </c>
    </row>
    <row r="6" spans="2:9" ht="18" customHeight="1" thickBot="1" x14ac:dyDescent="0.3">
      <c r="B6" s="109"/>
      <c r="C6" s="111" t="s">
        <v>81</v>
      </c>
      <c r="D6" s="113">
        <f>Config!S6</f>
        <v>5</v>
      </c>
      <c r="E6" s="113">
        <f>Config!S7</f>
        <v>2</v>
      </c>
      <c r="F6" s="113">
        <f>Config!S8</f>
        <v>3</v>
      </c>
      <c r="G6" s="113">
        <f>Config!S9</f>
        <v>5</v>
      </c>
      <c r="H6" s="113">
        <f>Config!S10</f>
        <v>5</v>
      </c>
      <c r="I6" s="125">
        <f>Config!S21</f>
        <v>10</v>
      </c>
    </row>
    <row r="7" spans="2:9" ht="18" customHeight="1" x14ac:dyDescent="0.25">
      <c r="B7" s="157">
        <v>1</v>
      </c>
      <c r="C7" s="158" t="str">
        <f>Config!C5&amp;", "&amp;Config!D5</f>
        <v>Höfer, Simon</v>
      </c>
      <c r="D7" s="178">
        <v>3</v>
      </c>
      <c r="E7" s="178">
        <v>2</v>
      </c>
      <c r="F7" s="178">
        <v>2</v>
      </c>
      <c r="G7" s="278"/>
      <c r="H7" s="279"/>
      <c r="I7" s="159">
        <f t="shared" ref="I7:I38" si="0">SUM(D7:H7)</f>
        <v>7</v>
      </c>
    </row>
    <row r="8" spans="2:9" s="116" customFormat="1" ht="13.2" customHeight="1" x14ac:dyDescent="0.2">
      <c r="B8" s="160"/>
      <c r="C8" s="161" t="s">
        <v>126</v>
      </c>
      <c r="D8" s="196">
        <v>3.5</v>
      </c>
      <c r="E8" s="162">
        <v>2</v>
      </c>
      <c r="F8" s="162">
        <v>2</v>
      </c>
      <c r="G8" s="286"/>
      <c r="H8" s="291"/>
      <c r="I8" s="149">
        <f t="shared" si="0"/>
        <v>7.5</v>
      </c>
    </row>
    <row r="9" spans="2:9" s="116" customFormat="1" ht="13.2" customHeight="1" x14ac:dyDescent="0.2">
      <c r="B9" s="164"/>
      <c r="C9" s="165" t="s">
        <v>127</v>
      </c>
      <c r="D9" s="197">
        <v>3.5</v>
      </c>
      <c r="E9" s="146">
        <v>2</v>
      </c>
      <c r="F9" s="146">
        <v>2</v>
      </c>
      <c r="G9" s="287"/>
      <c r="H9" s="292"/>
      <c r="I9" s="148">
        <f t="shared" si="0"/>
        <v>7.5</v>
      </c>
    </row>
    <row r="10" spans="2:9" ht="18" customHeight="1" x14ac:dyDescent="0.25">
      <c r="B10" s="170">
        <v>2</v>
      </c>
      <c r="C10" s="171" t="str">
        <f>Config!C6&amp;", "&amp;Config!D6</f>
        <v>Töpfer, Lilian</v>
      </c>
      <c r="D10" s="180">
        <v>4</v>
      </c>
      <c r="E10" s="280"/>
      <c r="F10" s="280"/>
      <c r="G10" s="180">
        <v>4</v>
      </c>
      <c r="H10" s="281"/>
      <c r="I10" s="172">
        <f t="shared" si="0"/>
        <v>8</v>
      </c>
    </row>
    <row r="11" spans="2:9" s="116" customFormat="1" ht="13.2" customHeight="1" x14ac:dyDescent="0.2">
      <c r="B11" s="166"/>
      <c r="C11" s="167" t="s">
        <v>126</v>
      </c>
      <c r="D11" s="199">
        <v>3.5</v>
      </c>
      <c r="E11" s="288"/>
      <c r="F11" s="288"/>
      <c r="G11" s="168">
        <v>4</v>
      </c>
      <c r="H11" s="293"/>
      <c r="I11" s="152">
        <f t="shared" si="0"/>
        <v>7.5</v>
      </c>
    </row>
    <row r="12" spans="2:9" s="116" customFormat="1" ht="13.2" customHeight="1" x14ac:dyDescent="0.2">
      <c r="B12" s="173"/>
      <c r="C12" s="174" t="s">
        <v>127</v>
      </c>
      <c r="D12" s="146">
        <v>4</v>
      </c>
      <c r="E12" s="289"/>
      <c r="F12" s="289"/>
      <c r="G12" s="146">
        <v>4</v>
      </c>
      <c r="H12" s="294"/>
      <c r="I12" s="151">
        <f t="shared" si="0"/>
        <v>8</v>
      </c>
    </row>
    <row r="13" spans="2:9" ht="18" customHeight="1" x14ac:dyDescent="0.25">
      <c r="B13" s="175">
        <v>3</v>
      </c>
      <c r="C13" s="176" t="str">
        <f>Config!C7&amp;", "&amp;Config!D7</f>
        <v>Fleischmann, Leonie</v>
      </c>
      <c r="D13" s="282"/>
      <c r="E13" s="282"/>
      <c r="F13" s="282"/>
      <c r="G13" s="182">
        <v>5</v>
      </c>
      <c r="H13" s="183">
        <v>3</v>
      </c>
      <c r="I13" s="177">
        <f t="shared" si="0"/>
        <v>8</v>
      </c>
    </row>
    <row r="14" spans="2:9" s="116" customFormat="1" ht="13.2" customHeight="1" x14ac:dyDescent="0.2">
      <c r="B14" s="160"/>
      <c r="C14" s="161" t="s">
        <v>126</v>
      </c>
      <c r="D14" s="286"/>
      <c r="E14" s="286"/>
      <c r="F14" s="286"/>
      <c r="G14" s="162">
        <v>5</v>
      </c>
      <c r="H14" s="163">
        <v>3</v>
      </c>
      <c r="I14" s="149">
        <f t="shared" si="0"/>
        <v>8</v>
      </c>
    </row>
    <row r="15" spans="2:9" s="116" customFormat="1" ht="13.2" customHeight="1" x14ac:dyDescent="0.2">
      <c r="B15" s="164"/>
      <c r="C15" s="165" t="s">
        <v>127</v>
      </c>
      <c r="D15" s="287"/>
      <c r="E15" s="287"/>
      <c r="F15" s="287"/>
      <c r="G15" s="146">
        <v>5</v>
      </c>
      <c r="H15" s="296">
        <v>2.5</v>
      </c>
      <c r="I15" s="148">
        <f t="shared" si="0"/>
        <v>7.5</v>
      </c>
    </row>
    <row r="16" spans="2:9" ht="18" customHeight="1" x14ac:dyDescent="0.25">
      <c r="B16" s="170">
        <v>4</v>
      </c>
      <c r="C16" s="171" t="str">
        <f>Config!C8&amp;", "&amp;Config!D8</f>
        <v>Drescher, Cedric</v>
      </c>
      <c r="D16" s="180">
        <v>1</v>
      </c>
      <c r="E16" s="180">
        <v>2</v>
      </c>
      <c r="F16" s="180">
        <v>3</v>
      </c>
      <c r="G16" s="280"/>
      <c r="H16" s="281"/>
      <c r="I16" s="172">
        <f t="shared" si="0"/>
        <v>6</v>
      </c>
    </row>
    <row r="17" spans="2:9" s="116" customFormat="1" ht="13.2" customHeight="1" x14ac:dyDescent="0.2">
      <c r="B17" s="166"/>
      <c r="C17" s="167" t="s">
        <v>126</v>
      </c>
      <c r="D17" s="168">
        <v>1</v>
      </c>
      <c r="E17" s="168">
        <v>2</v>
      </c>
      <c r="F17" s="199">
        <v>2</v>
      </c>
      <c r="G17" s="288"/>
      <c r="H17" s="293"/>
      <c r="I17" s="152">
        <f t="shared" si="0"/>
        <v>5</v>
      </c>
    </row>
    <row r="18" spans="2:9" s="116" customFormat="1" ht="13.2" customHeight="1" x14ac:dyDescent="0.2">
      <c r="B18" s="173"/>
      <c r="C18" s="174" t="s">
        <v>127</v>
      </c>
      <c r="D18" s="146">
        <v>1</v>
      </c>
      <c r="E18" s="146">
        <v>2</v>
      </c>
      <c r="F18" s="198">
        <v>2</v>
      </c>
      <c r="G18" s="289"/>
      <c r="H18" s="294"/>
      <c r="I18" s="151">
        <f t="shared" si="0"/>
        <v>5</v>
      </c>
    </row>
    <row r="19" spans="2:9" ht="18" customHeight="1" x14ac:dyDescent="0.25">
      <c r="B19" s="175">
        <v>5</v>
      </c>
      <c r="C19" s="176" t="str">
        <f>Config!C9&amp;", "&amp;Config!D9</f>
        <v>Baumgarten, Annabell</v>
      </c>
      <c r="D19" s="182">
        <v>1</v>
      </c>
      <c r="E19" s="282"/>
      <c r="F19" s="282"/>
      <c r="G19" s="182">
        <v>5</v>
      </c>
      <c r="H19" s="283"/>
      <c r="I19" s="177">
        <f t="shared" si="0"/>
        <v>6</v>
      </c>
    </row>
    <row r="20" spans="2:9" s="116" customFormat="1" ht="13.2" customHeight="1" x14ac:dyDescent="0.2">
      <c r="B20" s="160"/>
      <c r="C20" s="161" t="s">
        <v>126</v>
      </c>
      <c r="D20" s="162"/>
      <c r="E20" s="286"/>
      <c r="F20" s="286"/>
      <c r="G20" s="162"/>
      <c r="H20" s="291"/>
      <c r="I20" s="149">
        <f t="shared" si="0"/>
        <v>0</v>
      </c>
    </row>
    <row r="21" spans="2:9" s="116" customFormat="1" ht="13.2" customHeight="1" x14ac:dyDescent="0.2">
      <c r="B21" s="164"/>
      <c r="C21" s="165" t="s">
        <v>127</v>
      </c>
      <c r="D21" s="146"/>
      <c r="E21" s="287"/>
      <c r="F21" s="287"/>
      <c r="G21" s="146"/>
      <c r="H21" s="292"/>
      <c r="I21" s="148">
        <f t="shared" si="0"/>
        <v>0</v>
      </c>
    </row>
    <row r="22" spans="2:9" ht="18" customHeight="1" x14ac:dyDescent="0.25">
      <c r="B22" s="170">
        <v>6</v>
      </c>
      <c r="C22" s="171" t="str">
        <f>Config!C10&amp;", "&amp;Config!D10</f>
        <v>Traut, Stefanie</v>
      </c>
      <c r="D22" s="280"/>
      <c r="E22" s="180">
        <v>2</v>
      </c>
      <c r="F22" s="180">
        <v>3</v>
      </c>
      <c r="G22" s="180">
        <v>3</v>
      </c>
      <c r="H22" s="281"/>
      <c r="I22" s="172">
        <f t="shared" si="0"/>
        <v>8</v>
      </c>
    </row>
    <row r="23" spans="2:9" s="116" customFormat="1" ht="13.2" customHeight="1" x14ac:dyDescent="0.2">
      <c r="B23" s="166"/>
      <c r="C23" s="167" t="s">
        <v>126</v>
      </c>
      <c r="D23" s="288"/>
      <c r="E23" s="168"/>
      <c r="F23" s="168"/>
      <c r="G23" s="168"/>
      <c r="H23" s="293"/>
      <c r="I23" s="152">
        <f t="shared" si="0"/>
        <v>0</v>
      </c>
    </row>
    <row r="24" spans="2:9" s="116" customFormat="1" ht="13.2" customHeight="1" x14ac:dyDescent="0.2">
      <c r="B24" s="173"/>
      <c r="C24" s="174" t="s">
        <v>127</v>
      </c>
      <c r="D24" s="289"/>
      <c r="E24" s="146"/>
      <c r="F24" s="146"/>
      <c r="G24" s="146"/>
      <c r="H24" s="294"/>
      <c r="I24" s="151">
        <f t="shared" si="0"/>
        <v>0</v>
      </c>
    </row>
    <row r="25" spans="2:9" ht="18" customHeight="1" x14ac:dyDescent="0.25">
      <c r="B25" s="175">
        <v>7</v>
      </c>
      <c r="C25" s="176" t="str">
        <f>Config!C11&amp;", "&amp;Config!D11</f>
        <v>Menke, Damian</v>
      </c>
      <c r="D25" s="282"/>
      <c r="E25" s="182">
        <v>1</v>
      </c>
      <c r="F25" s="182">
        <v>2</v>
      </c>
      <c r="G25" s="282"/>
      <c r="H25" s="183">
        <v>4</v>
      </c>
      <c r="I25" s="177">
        <f t="shared" si="0"/>
        <v>7</v>
      </c>
    </row>
    <row r="26" spans="2:9" s="116" customFormat="1" ht="13.2" customHeight="1" x14ac:dyDescent="0.2">
      <c r="B26" s="160"/>
      <c r="C26" s="161" t="s">
        <v>126</v>
      </c>
      <c r="D26" s="286"/>
      <c r="E26" s="162"/>
      <c r="F26" s="162"/>
      <c r="G26" s="286"/>
      <c r="H26" s="163"/>
      <c r="I26" s="149">
        <f t="shared" si="0"/>
        <v>0</v>
      </c>
    </row>
    <row r="27" spans="2:9" s="116" customFormat="1" ht="13.2" customHeight="1" x14ac:dyDescent="0.2">
      <c r="B27" s="164"/>
      <c r="C27" s="165" t="s">
        <v>127</v>
      </c>
      <c r="D27" s="287"/>
      <c r="E27" s="146"/>
      <c r="F27" s="146"/>
      <c r="G27" s="287"/>
      <c r="H27" s="147"/>
      <c r="I27" s="148">
        <f t="shared" si="0"/>
        <v>0</v>
      </c>
    </row>
    <row r="28" spans="2:9" ht="18" customHeight="1" x14ac:dyDescent="0.25">
      <c r="B28" s="170">
        <v>8</v>
      </c>
      <c r="C28" s="171" t="str">
        <f>Config!C12&amp;", "&amp;Config!D12</f>
        <v>Carroll, Meik</v>
      </c>
      <c r="D28" s="280"/>
      <c r="E28" s="280"/>
      <c r="F28" s="280"/>
      <c r="G28" s="180">
        <v>4</v>
      </c>
      <c r="H28" s="181">
        <v>3</v>
      </c>
      <c r="I28" s="172">
        <f t="shared" si="0"/>
        <v>7</v>
      </c>
    </row>
    <row r="29" spans="2:9" s="116" customFormat="1" ht="13.2" customHeight="1" x14ac:dyDescent="0.2">
      <c r="B29" s="166"/>
      <c r="C29" s="167" t="s">
        <v>126</v>
      </c>
      <c r="D29" s="288"/>
      <c r="E29" s="288"/>
      <c r="F29" s="288"/>
      <c r="G29" s="168"/>
      <c r="H29" s="169"/>
      <c r="I29" s="152">
        <f t="shared" si="0"/>
        <v>0</v>
      </c>
    </row>
    <row r="30" spans="2:9" s="116" customFormat="1" ht="13.2" customHeight="1" x14ac:dyDescent="0.2">
      <c r="B30" s="173"/>
      <c r="C30" s="174" t="s">
        <v>127</v>
      </c>
      <c r="D30" s="289"/>
      <c r="E30" s="289"/>
      <c r="F30" s="289"/>
      <c r="G30" s="146"/>
      <c r="H30" s="147"/>
      <c r="I30" s="151">
        <f t="shared" si="0"/>
        <v>0</v>
      </c>
    </row>
    <row r="31" spans="2:9" ht="18" customHeight="1" x14ac:dyDescent="0.25">
      <c r="B31" s="175">
        <v>9</v>
      </c>
      <c r="C31" s="176" t="str">
        <f>Config!C13&amp;", "&amp;Config!D13</f>
        <v>Hennings, Tomas</v>
      </c>
      <c r="D31" s="182">
        <v>5</v>
      </c>
      <c r="E31" s="182">
        <v>2</v>
      </c>
      <c r="F31" s="182">
        <v>1</v>
      </c>
      <c r="G31" s="282"/>
      <c r="H31" s="283"/>
      <c r="I31" s="177">
        <f t="shared" si="0"/>
        <v>8</v>
      </c>
    </row>
    <row r="32" spans="2:9" s="116" customFormat="1" ht="13.2" customHeight="1" x14ac:dyDescent="0.2">
      <c r="B32" s="160"/>
      <c r="C32" s="161" t="s">
        <v>126</v>
      </c>
      <c r="D32" s="162"/>
      <c r="E32" s="162"/>
      <c r="F32" s="162"/>
      <c r="G32" s="286"/>
      <c r="H32" s="291"/>
      <c r="I32" s="149">
        <f t="shared" si="0"/>
        <v>0</v>
      </c>
    </row>
    <row r="33" spans="2:9" s="116" customFormat="1" ht="13.2" customHeight="1" x14ac:dyDescent="0.2">
      <c r="B33" s="164"/>
      <c r="C33" s="165" t="s">
        <v>127</v>
      </c>
      <c r="D33" s="146"/>
      <c r="E33" s="146"/>
      <c r="F33" s="146"/>
      <c r="G33" s="287"/>
      <c r="H33" s="292"/>
      <c r="I33" s="148">
        <f t="shared" si="0"/>
        <v>0</v>
      </c>
    </row>
    <row r="34" spans="2:9" ht="18" customHeight="1" x14ac:dyDescent="0.25">
      <c r="B34" s="170">
        <v>10</v>
      </c>
      <c r="C34" s="171" t="str">
        <f>Config!C14&amp;", "&amp;Config!D14</f>
        <v>Walters, Linn</v>
      </c>
      <c r="D34" s="280"/>
      <c r="E34" s="180">
        <v>1</v>
      </c>
      <c r="F34" s="180">
        <v>2</v>
      </c>
      <c r="G34" s="180">
        <v>5</v>
      </c>
      <c r="H34" s="281"/>
      <c r="I34" s="172">
        <f t="shared" si="0"/>
        <v>8</v>
      </c>
    </row>
    <row r="35" spans="2:9" s="116" customFormat="1" ht="13.2" customHeight="1" x14ac:dyDescent="0.2">
      <c r="B35" s="166"/>
      <c r="C35" s="167" t="s">
        <v>126</v>
      </c>
      <c r="D35" s="288"/>
      <c r="E35" s="168"/>
      <c r="F35" s="168"/>
      <c r="G35" s="168"/>
      <c r="H35" s="293"/>
      <c r="I35" s="152">
        <f t="shared" si="0"/>
        <v>0</v>
      </c>
    </row>
    <row r="36" spans="2:9" s="116" customFormat="1" ht="13.2" customHeight="1" x14ac:dyDescent="0.2">
      <c r="B36" s="173"/>
      <c r="C36" s="174" t="s">
        <v>127</v>
      </c>
      <c r="D36" s="289"/>
      <c r="E36" s="146"/>
      <c r="F36" s="146"/>
      <c r="G36" s="146"/>
      <c r="H36" s="294"/>
      <c r="I36" s="151">
        <f t="shared" si="0"/>
        <v>0</v>
      </c>
    </row>
    <row r="37" spans="2:9" ht="18" customHeight="1" x14ac:dyDescent="0.25">
      <c r="B37" s="175">
        <v>11</v>
      </c>
      <c r="C37" s="176" t="str">
        <f>Config!C15&amp;", "&amp;Config!D15</f>
        <v>Junker, Amely</v>
      </c>
      <c r="D37" s="182">
        <v>2</v>
      </c>
      <c r="E37" s="282"/>
      <c r="F37" s="282"/>
      <c r="G37" s="182">
        <v>4</v>
      </c>
      <c r="H37" s="283"/>
      <c r="I37" s="177">
        <f t="shared" si="0"/>
        <v>6</v>
      </c>
    </row>
    <row r="38" spans="2:9" s="116" customFormat="1" ht="13.2" customHeight="1" x14ac:dyDescent="0.2">
      <c r="B38" s="160"/>
      <c r="C38" s="161" t="s">
        <v>126</v>
      </c>
      <c r="D38" s="162"/>
      <c r="E38" s="286"/>
      <c r="F38" s="286"/>
      <c r="G38" s="162"/>
      <c r="H38" s="291"/>
      <c r="I38" s="149">
        <f t="shared" si="0"/>
        <v>0</v>
      </c>
    </row>
    <row r="39" spans="2:9" s="116" customFormat="1" ht="13.2" customHeight="1" x14ac:dyDescent="0.2">
      <c r="B39" s="164"/>
      <c r="C39" s="165" t="s">
        <v>127</v>
      </c>
      <c r="D39" s="146"/>
      <c r="E39" s="287"/>
      <c r="F39" s="287"/>
      <c r="G39" s="146"/>
      <c r="H39" s="292"/>
      <c r="I39" s="148">
        <f t="shared" ref="I39:I70" si="1">SUM(D39:H39)</f>
        <v>0</v>
      </c>
    </row>
    <row r="40" spans="2:9" ht="18" customHeight="1" x14ac:dyDescent="0.25">
      <c r="B40" s="170">
        <v>12</v>
      </c>
      <c r="C40" s="171" t="str">
        <f>Config!C16&amp;", "&amp;Config!D16</f>
        <v>Stephens, Melvin</v>
      </c>
      <c r="D40" s="180">
        <v>5</v>
      </c>
      <c r="E40" s="280"/>
      <c r="F40" s="280"/>
      <c r="G40" s="180">
        <v>1</v>
      </c>
      <c r="H40" s="281"/>
      <c r="I40" s="172">
        <f t="shared" si="1"/>
        <v>6</v>
      </c>
    </row>
    <row r="41" spans="2:9" s="116" customFormat="1" ht="13.2" customHeight="1" x14ac:dyDescent="0.2">
      <c r="B41" s="166"/>
      <c r="C41" s="167" t="s">
        <v>126</v>
      </c>
      <c r="D41" s="168"/>
      <c r="E41" s="288"/>
      <c r="F41" s="288"/>
      <c r="G41" s="168"/>
      <c r="H41" s="293"/>
      <c r="I41" s="152">
        <f t="shared" si="1"/>
        <v>0</v>
      </c>
    </row>
    <row r="42" spans="2:9" s="116" customFormat="1" ht="13.2" customHeight="1" x14ac:dyDescent="0.2">
      <c r="B42" s="173"/>
      <c r="C42" s="174" t="s">
        <v>127</v>
      </c>
      <c r="D42" s="146"/>
      <c r="E42" s="289"/>
      <c r="F42" s="289"/>
      <c r="G42" s="146"/>
      <c r="H42" s="294"/>
      <c r="I42" s="151">
        <f t="shared" si="1"/>
        <v>0</v>
      </c>
    </row>
    <row r="43" spans="2:9" ht="18" customHeight="1" x14ac:dyDescent="0.25">
      <c r="B43" s="175">
        <v>13</v>
      </c>
      <c r="C43" s="176" t="str">
        <f>Config!C17&amp;", "&amp;Config!D17</f>
        <v>Cremer, Marvin</v>
      </c>
      <c r="D43" s="182">
        <v>3</v>
      </c>
      <c r="E43" s="282"/>
      <c r="F43" s="282"/>
      <c r="G43" s="282"/>
      <c r="H43" s="183">
        <v>5</v>
      </c>
      <c r="I43" s="177">
        <f t="shared" si="1"/>
        <v>8</v>
      </c>
    </row>
    <row r="44" spans="2:9" s="116" customFormat="1" ht="13.2" customHeight="1" x14ac:dyDescent="0.2">
      <c r="B44" s="160"/>
      <c r="C44" s="161" t="s">
        <v>126</v>
      </c>
      <c r="D44" s="162"/>
      <c r="E44" s="286"/>
      <c r="F44" s="286"/>
      <c r="G44" s="286"/>
      <c r="H44" s="163"/>
      <c r="I44" s="149">
        <f t="shared" si="1"/>
        <v>0</v>
      </c>
    </row>
    <row r="45" spans="2:9" s="116" customFormat="1" ht="13.2" customHeight="1" x14ac:dyDescent="0.2">
      <c r="B45" s="164"/>
      <c r="C45" s="165" t="s">
        <v>127</v>
      </c>
      <c r="D45" s="146"/>
      <c r="E45" s="287"/>
      <c r="F45" s="287"/>
      <c r="G45" s="287"/>
      <c r="H45" s="147"/>
      <c r="I45" s="148">
        <f t="shared" si="1"/>
        <v>0</v>
      </c>
    </row>
    <row r="46" spans="2:9" ht="18" customHeight="1" x14ac:dyDescent="0.25">
      <c r="B46" s="170">
        <v>14</v>
      </c>
      <c r="C46" s="171" t="str">
        <f>Config!C18&amp;", "&amp;Config!D18</f>
        <v>Nash, Jean</v>
      </c>
      <c r="D46" s="280"/>
      <c r="E46" s="280"/>
      <c r="F46" s="280"/>
      <c r="G46" s="180">
        <v>4</v>
      </c>
      <c r="H46" s="181">
        <v>3</v>
      </c>
      <c r="I46" s="172">
        <f t="shared" si="1"/>
        <v>7</v>
      </c>
    </row>
    <row r="47" spans="2:9" s="116" customFormat="1" ht="13.2" customHeight="1" x14ac:dyDescent="0.2">
      <c r="B47" s="166"/>
      <c r="C47" s="167" t="s">
        <v>126</v>
      </c>
      <c r="D47" s="288"/>
      <c r="E47" s="288"/>
      <c r="F47" s="288"/>
      <c r="G47" s="168"/>
      <c r="H47" s="169"/>
      <c r="I47" s="152">
        <f t="shared" si="1"/>
        <v>0</v>
      </c>
    </row>
    <row r="48" spans="2:9" s="116" customFormat="1" ht="13.2" customHeight="1" x14ac:dyDescent="0.2">
      <c r="B48" s="173"/>
      <c r="C48" s="174" t="s">
        <v>127</v>
      </c>
      <c r="D48" s="289"/>
      <c r="E48" s="289"/>
      <c r="F48" s="289"/>
      <c r="G48" s="146"/>
      <c r="H48" s="147"/>
      <c r="I48" s="151">
        <f t="shared" si="1"/>
        <v>0</v>
      </c>
    </row>
    <row r="49" spans="2:9" ht="18" customHeight="1" x14ac:dyDescent="0.25">
      <c r="B49" s="175">
        <v>15</v>
      </c>
      <c r="C49" s="176" t="str">
        <f>Config!C19&amp;", "&amp;Config!D19</f>
        <v>Schön, Leonardo</v>
      </c>
      <c r="D49" s="282"/>
      <c r="E49" s="182">
        <v>1</v>
      </c>
      <c r="F49" s="182">
        <v>2</v>
      </c>
      <c r="G49" s="282"/>
      <c r="H49" s="183">
        <v>1</v>
      </c>
      <c r="I49" s="177">
        <f t="shared" si="1"/>
        <v>4</v>
      </c>
    </row>
    <row r="50" spans="2:9" s="116" customFormat="1" ht="13.2" customHeight="1" x14ac:dyDescent="0.2">
      <c r="B50" s="160"/>
      <c r="C50" s="161" t="s">
        <v>126</v>
      </c>
      <c r="D50" s="286"/>
      <c r="E50" s="162"/>
      <c r="F50" s="162"/>
      <c r="G50" s="286"/>
      <c r="H50" s="163"/>
      <c r="I50" s="149">
        <f t="shared" si="1"/>
        <v>0</v>
      </c>
    </row>
    <row r="51" spans="2:9" s="116" customFormat="1" ht="13.2" customHeight="1" x14ac:dyDescent="0.2">
      <c r="B51" s="164"/>
      <c r="C51" s="165" t="s">
        <v>127</v>
      </c>
      <c r="D51" s="287"/>
      <c r="E51" s="146"/>
      <c r="F51" s="146"/>
      <c r="G51" s="287"/>
      <c r="H51" s="147"/>
      <c r="I51" s="148">
        <f t="shared" si="1"/>
        <v>0</v>
      </c>
    </row>
    <row r="52" spans="2:9" ht="18" customHeight="1" x14ac:dyDescent="0.25">
      <c r="B52" s="170">
        <v>16</v>
      </c>
      <c r="C52" s="171" t="str">
        <f>Config!C20&amp;", "&amp;Config!D20</f>
        <v>Sigl, Nicholas</v>
      </c>
      <c r="D52" s="280"/>
      <c r="E52" s="180">
        <v>1</v>
      </c>
      <c r="F52" s="180">
        <v>2</v>
      </c>
      <c r="G52" s="180">
        <v>5</v>
      </c>
      <c r="H52" s="281"/>
      <c r="I52" s="172">
        <f t="shared" si="1"/>
        <v>8</v>
      </c>
    </row>
    <row r="53" spans="2:9" s="116" customFormat="1" ht="13.2" customHeight="1" x14ac:dyDescent="0.2">
      <c r="B53" s="166"/>
      <c r="C53" s="167" t="s">
        <v>126</v>
      </c>
      <c r="D53" s="288"/>
      <c r="E53" s="168"/>
      <c r="F53" s="168"/>
      <c r="G53" s="168"/>
      <c r="H53" s="293"/>
      <c r="I53" s="152">
        <f t="shared" si="1"/>
        <v>0</v>
      </c>
    </row>
    <row r="54" spans="2:9" s="116" customFormat="1" ht="13.2" customHeight="1" x14ac:dyDescent="0.2">
      <c r="B54" s="173"/>
      <c r="C54" s="174" t="s">
        <v>127</v>
      </c>
      <c r="D54" s="289"/>
      <c r="E54" s="146"/>
      <c r="F54" s="146"/>
      <c r="G54" s="146"/>
      <c r="H54" s="294"/>
      <c r="I54" s="151">
        <f t="shared" si="1"/>
        <v>0</v>
      </c>
    </row>
    <row r="55" spans="2:9" ht="18" customHeight="1" x14ac:dyDescent="0.25">
      <c r="B55" s="175">
        <v>17</v>
      </c>
      <c r="C55" s="176" t="str">
        <f>Config!C21&amp;", "&amp;Config!D21</f>
        <v>Kainz, Vivienne</v>
      </c>
      <c r="D55" s="182">
        <v>5</v>
      </c>
      <c r="E55" s="282"/>
      <c r="F55" s="282"/>
      <c r="G55" s="182">
        <v>5</v>
      </c>
      <c r="H55" s="283"/>
      <c r="I55" s="177">
        <f t="shared" si="1"/>
        <v>10</v>
      </c>
    </row>
    <row r="56" spans="2:9" s="116" customFormat="1" ht="13.2" customHeight="1" x14ac:dyDescent="0.2">
      <c r="B56" s="160"/>
      <c r="C56" s="161" t="s">
        <v>126</v>
      </c>
      <c r="D56" s="162"/>
      <c r="E56" s="286"/>
      <c r="F56" s="286"/>
      <c r="G56" s="162"/>
      <c r="H56" s="291"/>
      <c r="I56" s="149">
        <f t="shared" si="1"/>
        <v>0</v>
      </c>
    </row>
    <row r="57" spans="2:9" s="116" customFormat="1" ht="13.2" customHeight="1" x14ac:dyDescent="0.2">
      <c r="B57" s="164"/>
      <c r="C57" s="165" t="s">
        <v>127</v>
      </c>
      <c r="D57" s="146"/>
      <c r="E57" s="287"/>
      <c r="F57" s="287"/>
      <c r="G57" s="146"/>
      <c r="H57" s="292"/>
      <c r="I57" s="148">
        <f t="shared" si="1"/>
        <v>0</v>
      </c>
    </row>
    <row r="58" spans="2:9" ht="18" customHeight="1" x14ac:dyDescent="0.25">
      <c r="B58" s="170">
        <v>18</v>
      </c>
      <c r="C58" s="171" t="str">
        <f>Config!C22&amp;", "&amp;Config!D22</f>
        <v>Hartmann, Mads</v>
      </c>
      <c r="D58" s="280"/>
      <c r="E58" s="280"/>
      <c r="F58" s="280"/>
      <c r="G58" s="180">
        <v>3</v>
      </c>
      <c r="H58" s="181">
        <v>4</v>
      </c>
      <c r="I58" s="172">
        <f t="shared" si="1"/>
        <v>7</v>
      </c>
    </row>
    <row r="59" spans="2:9" s="116" customFormat="1" ht="13.2" customHeight="1" x14ac:dyDescent="0.2">
      <c r="B59" s="166"/>
      <c r="C59" s="167" t="s">
        <v>126</v>
      </c>
      <c r="D59" s="288"/>
      <c r="E59" s="288"/>
      <c r="F59" s="288"/>
      <c r="G59" s="168"/>
      <c r="H59" s="169"/>
      <c r="I59" s="152">
        <f t="shared" si="1"/>
        <v>0</v>
      </c>
    </row>
    <row r="60" spans="2:9" s="116" customFormat="1" ht="13.2" customHeight="1" x14ac:dyDescent="0.2">
      <c r="B60" s="173"/>
      <c r="C60" s="174" t="s">
        <v>127</v>
      </c>
      <c r="D60" s="289"/>
      <c r="E60" s="289"/>
      <c r="F60" s="289"/>
      <c r="G60" s="146"/>
      <c r="H60" s="147"/>
      <c r="I60" s="151">
        <f t="shared" si="1"/>
        <v>0</v>
      </c>
    </row>
    <row r="61" spans="2:9" ht="18" customHeight="1" x14ac:dyDescent="0.25">
      <c r="B61" s="175">
        <v>19</v>
      </c>
      <c r="C61" s="176" t="str">
        <f>Config!C23&amp;", "&amp;Config!D23</f>
        <v>Ullmann, Raphael</v>
      </c>
      <c r="D61" s="282"/>
      <c r="E61" s="282"/>
      <c r="F61" s="282"/>
      <c r="G61" s="182">
        <v>5</v>
      </c>
      <c r="H61" s="183">
        <v>3</v>
      </c>
      <c r="I61" s="177">
        <f t="shared" si="1"/>
        <v>8</v>
      </c>
    </row>
    <row r="62" spans="2:9" s="116" customFormat="1" ht="13.2" customHeight="1" x14ac:dyDescent="0.2">
      <c r="B62" s="160"/>
      <c r="C62" s="161" t="s">
        <v>126</v>
      </c>
      <c r="D62" s="286"/>
      <c r="E62" s="286"/>
      <c r="F62" s="286"/>
      <c r="G62" s="162"/>
      <c r="H62" s="163"/>
      <c r="I62" s="149">
        <f t="shared" si="1"/>
        <v>0</v>
      </c>
    </row>
    <row r="63" spans="2:9" s="116" customFormat="1" ht="13.2" customHeight="1" x14ac:dyDescent="0.2">
      <c r="B63" s="164"/>
      <c r="C63" s="165" t="s">
        <v>127</v>
      </c>
      <c r="D63" s="287"/>
      <c r="E63" s="287"/>
      <c r="F63" s="287"/>
      <c r="G63" s="146"/>
      <c r="H63" s="147"/>
      <c r="I63" s="148">
        <f t="shared" si="1"/>
        <v>0</v>
      </c>
    </row>
    <row r="64" spans="2:9" ht="18" customHeight="1" x14ac:dyDescent="0.25">
      <c r="B64" s="170">
        <v>20</v>
      </c>
      <c r="C64" s="171" t="str">
        <f>Config!C24&amp;", "&amp;Config!D24</f>
        <v>Hartl, Emmely</v>
      </c>
      <c r="D64" s="180">
        <v>5</v>
      </c>
      <c r="E64" s="180">
        <v>2</v>
      </c>
      <c r="F64" s="180">
        <v>3</v>
      </c>
      <c r="G64" s="280"/>
      <c r="H64" s="281"/>
      <c r="I64" s="172">
        <f t="shared" si="1"/>
        <v>10</v>
      </c>
    </row>
    <row r="65" spans="2:9" s="116" customFormat="1" ht="13.2" customHeight="1" x14ac:dyDescent="0.2">
      <c r="B65" s="166"/>
      <c r="C65" s="167" t="s">
        <v>126</v>
      </c>
      <c r="D65" s="168"/>
      <c r="E65" s="168"/>
      <c r="F65" s="168"/>
      <c r="G65" s="288"/>
      <c r="H65" s="293"/>
      <c r="I65" s="152">
        <f t="shared" si="1"/>
        <v>0</v>
      </c>
    </row>
    <row r="66" spans="2:9" s="116" customFormat="1" ht="13.2" customHeight="1" x14ac:dyDescent="0.2">
      <c r="B66" s="173"/>
      <c r="C66" s="174" t="s">
        <v>127</v>
      </c>
      <c r="D66" s="146"/>
      <c r="E66" s="146"/>
      <c r="F66" s="146"/>
      <c r="G66" s="289"/>
      <c r="H66" s="294"/>
      <c r="I66" s="151">
        <f t="shared" si="1"/>
        <v>0</v>
      </c>
    </row>
    <row r="67" spans="2:9" ht="18" customHeight="1" x14ac:dyDescent="0.25">
      <c r="B67" s="175">
        <v>21</v>
      </c>
      <c r="C67" s="176" t="str">
        <f>Config!C25&amp;", "&amp;Config!D25</f>
        <v>Klotz, Karin</v>
      </c>
      <c r="D67" s="182">
        <v>5</v>
      </c>
      <c r="E67" s="182">
        <v>2</v>
      </c>
      <c r="F67" s="182">
        <v>3</v>
      </c>
      <c r="G67" s="282"/>
      <c r="H67" s="283"/>
      <c r="I67" s="177">
        <f t="shared" si="1"/>
        <v>10</v>
      </c>
    </row>
    <row r="68" spans="2:9" s="116" customFormat="1" ht="13.2" customHeight="1" x14ac:dyDescent="0.2">
      <c r="B68" s="160"/>
      <c r="C68" s="161" t="s">
        <v>126</v>
      </c>
      <c r="D68" s="162"/>
      <c r="E68" s="162"/>
      <c r="F68" s="162"/>
      <c r="G68" s="286"/>
      <c r="H68" s="291"/>
      <c r="I68" s="149">
        <f t="shared" si="1"/>
        <v>0</v>
      </c>
    </row>
    <row r="69" spans="2:9" s="116" customFormat="1" ht="13.2" customHeight="1" x14ac:dyDescent="0.2">
      <c r="B69" s="164"/>
      <c r="C69" s="165" t="s">
        <v>127</v>
      </c>
      <c r="D69" s="146"/>
      <c r="E69" s="146"/>
      <c r="F69" s="146"/>
      <c r="G69" s="287"/>
      <c r="H69" s="292"/>
      <c r="I69" s="148">
        <f t="shared" si="1"/>
        <v>0</v>
      </c>
    </row>
    <row r="70" spans="2:9" ht="18" customHeight="1" x14ac:dyDescent="0.25">
      <c r="B70" s="170">
        <v>22</v>
      </c>
      <c r="C70" s="171" t="str">
        <f>Config!C26&amp;", "&amp;Config!D26</f>
        <v>Ehlers, Ingo</v>
      </c>
      <c r="D70" s="180">
        <v>2</v>
      </c>
      <c r="E70" s="280"/>
      <c r="F70" s="280"/>
      <c r="G70" s="280"/>
      <c r="H70" s="181">
        <v>5</v>
      </c>
      <c r="I70" s="172">
        <f t="shared" si="1"/>
        <v>7</v>
      </c>
    </row>
    <row r="71" spans="2:9" s="116" customFormat="1" ht="13.2" customHeight="1" x14ac:dyDescent="0.2">
      <c r="B71" s="166"/>
      <c r="C71" s="167" t="s">
        <v>126</v>
      </c>
      <c r="D71" s="168"/>
      <c r="E71" s="288"/>
      <c r="F71" s="288"/>
      <c r="G71" s="288"/>
      <c r="H71" s="169"/>
      <c r="I71" s="152">
        <f t="shared" ref="I71:I75" si="2">SUM(D71:H71)</f>
        <v>0</v>
      </c>
    </row>
    <row r="72" spans="2:9" s="116" customFormat="1" ht="13.2" customHeight="1" x14ac:dyDescent="0.2">
      <c r="B72" s="173"/>
      <c r="C72" s="174" t="s">
        <v>127</v>
      </c>
      <c r="D72" s="146"/>
      <c r="E72" s="289"/>
      <c r="F72" s="289"/>
      <c r="G72" s="289"/>
      <c r="H72" s="147"/>
      <c r="I72" s="151">
        <f t="shared" si="2"/>
        <v>0</v>
      </c>
    </row>
    <row r="73" spans="2:9" ht="18" customHeight="1" thickBot="1" x14ac:dyDescent="0.3">
      <c r="B73" s="142">
        <v>23</v>
      </c>
      <c r="C73" s="137" t="str">
        <f>Config!C27&amp;", "&amp;Config!D27</f>
        <v>Lindemann, Mads</v>
      </c>
      <c r="D73" s="95">
        <v>3</v>
      </c>
      <c r="E73" s="284"/>
      <c r="F73" s="284"/>
      <c r="G73" s="95">
        <v>5</v>
      </c>
      <c r="H73" s="285"/>
      <c r="I73" s="145">
        <f t="shared" si="2"/>
        <v>8</v>
      </c>
    </row>
    <row r="74" spans="2:9" s="116" customFormat="1" ht="13.2" customHeight="1" x14ac:dyDescent="0.2">
      <c r="B74" s="160"/>
      <c r="C74" s="161" t="s">
        <v>126</v>
      </c>
      <c r="D74" s="162"/>
      <c r="E74" s="286"/>
      <c r="F74" s="286"/>
      <c r="G74" s="162"/>
      <c r="H74" s="291"/>
      <c r="I74" s="149">
        <f t="shared" si="2"/>
        <v>0</v>
      </c>
    </row>
    <row r="75" spans="2:9" s="116" customFormat="1" ht="13.2" customHeight="1" thickBot="1" x14ac:dyDescent="0.25">
      <c r="B75" s="153"/>
      <c r="C75" s="156" t="s">
        <v>127</v>
      </c>
      <c r="D75" s="154"/>
      <c r="E75" s="290"/>
      <c r="F75" s="290"/>
      <c r="G75" s="154"/>
      <c r="H75" s="295"/>
      <c r="I75" s="150">
        <f t="shared" si="2"/>
        <v>0</v>
      </c>
    </row>
    <row r="76" spans="2:9" ht="18" customHeight="1" thickBot="1" x14ac:dyDescent="0.3">
      <c r="B76" s="119"/>
      <c r="C76" s="120"/>
      <c r="D76" s="120">
        <f>IF(COUNTIFS(D7:D73,"&lt;&gt;",C7:C73,"&lt;&gt;ZK",C7:C73,"&lt;&gt;DK")&lt;&gt;0,SUMIFS(D7:D73,C7:C73,"&lt;&gt;ZK",C7:C73,"&lt;&gt;DK")/(COUNTIFS(D7:D73,"&lt;&gt;",C7:C73,"&lt;&gt;ZK",C7:C73,"&lt;&gt;DK")*D6),0)</f>
        <v>0.67692307692307696</v>
      </c>
      <c r="E76" s="120">
        <f>IF(COUNTIFS(E7:E73,"&lt;&gt;",C7:C73,"&lt;&gt;ZK",C7:C73,"&lt;&gt;DK")&lt;&gt;0,SUMIFS(E7:E73,C7:C73,"&lt;&gt;ZK",C7:C73,"&lt;&gt;DK")/(COUNTIFS(E7:E73,"&lt;&gt;",C7:C73,"&lt;&gt;ZK",C7:C73,"&lt;&gt;DK")*E6),0)</f>
        <v>0.8</v>
      </c>
      <c r="F76" s="120">
        <f>IF(COUNTIFS(F7:F73,"&lt;&gt;",C7:C73,"&lt;&gt;ZK",C7:C73,"&lt;&gt;DK")&lt;&gt;0,SUMIFS(F7:F73,C7:C73,"&lt;&gt;ZK",C7:C73,"&lt;&gt;DK")/(COUNTIFS(F7:F73,"&lt;&gt;",C7:C73,"&lt;&gt;ZK",C7:C73,"&lt;&gt;DK")*F6),0)</f>
        <v>0.76666666666666672</v>
      </c>
      <c r="G76" s="120">
        <f>IF(COUNTIFS(G7:G73,"&lt;&gt;",C7:C73,"&lt;&gt;ZK",C7:C73,"&lt;&gt;DK")&lt;&gt;0,SUMIFS(G7:G73,C7:C73,"&lt;&gt;ZK",C7:C73,"&lt;&gt;DK")/(COUNTIFS(G7:G73,"&lt;&gt;",C7:C73,"&lt;&gt;ZK",C7:C73,"&lt;&gt;DK")*G6),0)</f>
        <v>0.82857142857142863</v>
      </c>
      <c r="H76" s="120">
        <f>IF(COUNTIFS(H7:H73,"&lt;&gt;",C7:C73,"&lt;&gt;ZK",C7:C73,"&lt;&gt;DK")&lt;&gt;0,SUMIFS(H7:H73,C7:C73,"&lt;&gt;ZK",C7:C73,"&lt;&gt;DK")/(COUNTIFS(H7:H73,"&lt;&gt;",C7:C73,"&lt;&gt;ZK",C7:C73,"&lt;&gt;DK")*H6),0)</f>
        <v>0.68888888888888888</v>
      </c>
      <c r="I76" s="121"/>
    </row>
    <row r="77" spans="2:9" ht="18" customHeight="1" x14ac:dyDescent="0.25"/>
    <row r="78" spans="2:9" ht="18" customHeight="1" x14ac:dyDescent="0.25"/>
    <row r="79" spans="2:9" ht="18" customHeight="1" x14ac:dyDescent="0.25"/>
    <row r="80" spans="2:9"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electLockedCells="1"/>
  <dataValidations count="5">
    <dataValidation type="decimal" allowBlank="1" showErrorMessage="1" sqref="D7:D75" xr:uid="{4F62F5DB-D8C2-481B-A265-48E8D8602C1E}">
      <formula1>0</formula1>
      <formula2>$D$6</formula2>
    </dataValidation>
    <dataValidation type="decimal" allowBlank="1" showErrorMessage="1" sqref="E7:E75" xr:uid="{8FD7501C-FD13-40B7-93A1-58A41815F2D5}">
      <formula1>0</formula1>
      <formula2>$E$6</formula2>
    </dataValidation>
    <dataValidation type="decimal" allowBlank="1" showErrorMessage="1" sqref="F7:F75" xr:uid="{BBB6BDAD-2BE3-44B3-A851-53771BC6FFF7}">
      <formula1>0</formula1>
      <formula2>$F$6</formula2>
    </dataValidation>
    <dataValidation type="decimal" allowBlank="1" showErrorMessage="1" sqref="G7:G75" xr:uid="{3AE333DF-6560-459A-847B-F6AD2F7DDA55}">
      <formula1>0</formula1>
      <formula2>$G$6</formula2>
    </dataValidation>
    <dataValidation type="decimal" allowBlank="1" showErrorMessage="1" sqref="H7:H75" xr:uid="{F3DE39C4-F935-4727-8260-53E3050D961E}">
      <formula1>0</formula1>
      <formula2>$H$6</formula2>
    </dataValidation>
  </dataValidations>
  <pageMargins left="0.7" right="0.7" top="0.78740157499999996" bottom="0.78740157499999996"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6DE1D-D471-4E1B-958E-B8B36DDFF646}">
  <sheetPr codeName="Tabelle11">
    <tabColor rgb="FFFFC000"/>
  </sheetPr>
  <dimension ref="B1:N100"/>
  <sheetViews>
    <sheetView workbookViewId="0">
      <selection activeCell="D28" sqref="D28"/>
    </sheetView>
  </sheetViews>
  <sheetFormatPr baseColWidth="10" defaultColWidth="11.5546875" defaultRowHeight="13.2" x14ac:dyDescent="0.25"/>
  <cols>
    <col min="1" max="2" width="3.44140625" style="98" customWidth="1"/>
    <col min="3" max="3" width="25.6640625" style="98" customWidth="1"/>
    <col min="4" max="8" width="4.6640625" style="98" customWidth="1"/>
    <col min="9" max="9" width="2.6640625" style="98" customWidth="1"/>
    <col min="10" max="16384" width="11.5546875" style="98"/>
  </cols>
  <sheetData>
    <row r="1" spans="2:14" ht="18" customHeight="1" thickBot="1" x14ac:dyDescent="0.3"/>
    <row r="2" spans="2:14" ht="18" customHeight="1" x14ac:dyDescent="0.25">
      <c r="B2" s="99" t="str">
        <f>Config!F2&amp;" "&amp;YEAR(Config!G24)</f>
        <v>Mathe Abitur 2026</v>
      </c>
      <c r="C2" s="100"/>
      <c r="D2" s="100"/>
      <c r="E2" s="100"/>
      <c r="F2" s="101"/>
      <c r="G2" s="101"/>
      <c r="H2" s="102" t="str">
        <f>"Kurs "&amp;Config!G26</f>
        <v>Kurs K1</v>
      </c>
    </row>
    <row r="3" spans="2:14" ht="18" customHeight="1" x14ac:dyDescent="0.25">
      <c r="B3" s="103" t="s">
        <v>124</v>
      </c>
      <c r="C3" s="104"/>
      <c r="D3" s="104"/>
      <c r="E3" s="104"/>
      <c r="F3" s="104"/>
      <c r="G3" s="104"/>
      <c r="H3" s="105"/>
    </row>
    <row r="4" spans="2:14" ht="18" customHeight="1" thickBot="1" x14ac:dyDescent="0.3">
      <c r="B4" s="103"/>
      <c r="C4" s="104"/>
      <c r="D4" s="106"/>
      <c r="E4" s="106"/>
      <c r="F4" s="106"/>
      <c r="G4" s="106"/>
      <c r="H4" s="107"/>
    </row>
    <row r="5" spans="2:14" ht="18" customHeight="1" thickBot="1" x14ac:dyDescent="0.3">
      <c r="B5" s="108"/>
      <c r="C5" s="110"/>
      <c r="D5" s="124" t="str">
        <f>Config!R6</f>
        <v>6</v>
      </c>
      <c r="E5" s="124" t="str">
        <f>Config!R7</f>
        <v>7a</v>
      </c>
      <c r="F5" s="124" t="str">
        <f>Config!R8</f>
        <v>7b</v>
      </c>
      <c r="G5" s="124" t="str">
        <f>Config!R9</f>
        <v>8</v>
      </c>
      <c r="H5" s="124" t="str">
        <f>Config!R10</f>
        <v>9</v>
      </c>
    </row>
    <row r="6" spans="2:14" ht="18" customHeight="1" thickBot="1" x14ac:dyDescent="0.3">
      <c r="B6" s="109"/>
      <c r="C6" s="111" t="s">
        <v>81</v>
      </c>
      <c r="D6" s="144" t="s">
        <v>112</v>
      </c>
      <c r="E6" s="144" t="s">
        <v>112</v>
      </c>
      <c r="F6" s="144" t="s">
        <v>112</v>
      </c>
      <c r="G6" s="144" t="s">
        <v>112</v>
      </c>
      <c r="H6" s="144" t="s">
        <v>112</v>
      </c>
      <c r="J6" s="204" t="s">
        <v>125</v>
      </c>
      <c r="K6" s="205"/>
      <c r="L6" s="205"/>
      <c r="M6" s="205"/>
      <c r="N6" s="206"/>
    </row>
    <row r="7" spans="2:14" ht="18" customHeight="1" x14ac:dyDescent="0.25">
      <c r="B7" s="139">
        <v>1</v>
      </c>
      <c r="C7" s="136" t="str">
        <f>Config!C5&amp;", "&amp;Config!D5</f>
        <v>Höfer, Simon</v>
      </c>
      <c r="D7" s="63" t="s">
        <v>120</v>
      </c>
      <c r="E7" s="63" t="s">
        <v>120</v>
      </c>
      <c r="F7" s="63" t="s">
        <v>120</v>
      </c>
      <c r="G7" s="63"/>
      <c r="H7" s="64"/>
      <c r="J7" s="207"/>
      <c r="K7" s="208"/>
      <c r="L7" s="208"/>
      <c r="M7" s="208"/>
      <c r="N7" s="209"/>
    </row>
    <row r="8" spans="2:14" ht="18" customHeight="1" thickBot="1" x14ac:dyDescent="0.3">
      <c r="B8" s="141">
        <v>2</v>
      </c>
      <c r="C8" s="115" t="str">
        <f>Config!C6&amp;", "&amp;Config!D6</f>
        <v>Töpfer, Lilian</v>
      </c>
      <c r="D8" s="62" t="s">
        <v>120</v>
      </c>
      <c r="E8" s="62"/>
      <c r="F8" s="62"/>
      <c r="G8" s="62" t="s">
        <v>120</v>
      </c>
      <c r="H8" s="65"/>
      <c r="J8" s="210"/>
      <c r="K8" s="211"/>
      <c r="L8" s="211"/>
      <c r="M8" s="211"/>
      <c r="N8" s="212"/>
    </row>
    <row r="9" spans="2:14" ht="18" customHeight="1" x14ac:dyDescent="0.25">
      <c r="B9" s="141">
        <v>3</v>
      </c>
      <c r="C9" s="115" t="str">
        <f>Config!C7&amp;", "&amp;Config!D7</f>
        <v>Fleischmann, Leonie</v>
      </c>
      <c r="D9" s="62"/>
      <c r="E9" s="62"/>
      <c r="F9" s="62"/>
      <c r="G9" s="62" t="s">
        <v>120</v>
      </c>
      <c r="H9" s="65" t="s">
        <v>120</v>
      </c>
    </row>
    <row r="10" spans="2:14" ht="18" customHeight="1" x14ac:dyDescent="0.25">
      <c r="B10" s="141">
        <v>4</v>
      </c>
      <c r="C10" s="115" t="str">
        <f>Config!C8&amp;", "&amp;Config!D8</f>
        <v>Drescher, Cedric</v>
      </c>
      <c r="D10" s="62" t="s">
        <v>120</v>
      </c>
      <c r="E10" s="62" t="s">
        <v>120</v>
      </c>
      <c r="F10" s="62" t="s">
        <v>120</v>
      </c>
      <c r="G10" s="62"/>
      <c r="H10" s="65"/>
    </row>
    <row r="11" spans="2:14" ht="18" customHeight="1" x14ac:dyDescent="0.25">
      <c r="B11" s="141">
        <v>5</v>
      </c>
      <c r="C11" s="115" t="str">
        <f>Config!C9&amp;", "&amp;Config!D9</f>
        <v>Baumgarten, Annabell</v>
      </c>
      <c r="D11" s="62" t="s">
        <v>120</v>
      </c>
      <c r="E11" s="62"/>
      <c r="F11" s="62"/>
      <c r="G11" s="62" t="s">
        <v>120</v>
      </c>
      <c r="H11" s="65"/>
    </row>
    <row r="12" spans="2:14" ht="18" customHeight="1" x14ac:dyDescent="0.25">
      <c r="B12" s="141">
        <v>6</v>
      </c>
      <c r="C12" s="115" t="str">
        <f>Config!C10&amp;", "&amp;Config!D10</f>
        <v>Traut, Stefanie</v>
      </c>
      <c r="D12" s="62"/>
      <c r="E12" s="62" t="s">
        <v>120</v>
      </c>
      <c r="F12" s="62" t="s">
        <v>120</v>
      </c>
      <c r="G12" s="62" t="s">
        <v>120</v>
      </c>
      <c r="H12" s="65"/>
    </row>
    <row r="13" spans="2:14" ht="18" customHeight="1" x14ac:dyDescent="0.25">
      <c r="B13" s="141">
        <v>7</v>
      </c>
      <c r="C13" s="115" t="str">
        <f>Config!C11&amp;", "&amp;Config!D11</f>
        <v>Menke, Damian</v>
      </c>
      <c r="D13" s="62"/>
      <c r="E13" s="62" t="s">
        <v>120</v>
      </c>
      <c r="F13" s="62" t="s">
        <v>120</v>
      </c>
      <c r="G13" s="62"/>
      <c r="H13" s="65" t="s">
        <v>120</v>
      </c>
    </row>
    <row r="14" spans="2:14" ht="18" customHeight="1" x14ac:dyDescent="0.25">
      <c r="B14" s="141">
        <v>8</v>
      </c>
      <c r="C14" s="115" t="str">
        <f>Config!C12&amp;", "&amp;Config!D12</f>
        <v>Carroll, Meik</v>
      </c>
      <c r="D14" s="62"/>
      <c r="E14" s="62"/>
      <c r="F14" s="62"/>
      <c r="G14" s="62" t="s">
        <v>120</v>
      </c>
      <c r="H14" s="65" t="s">
        <v>120</v>
      </c>
    </row>
    <row r="15" spans="2:14" ht="18" customHeight="1" x14ac:dyDescent="0.25">
      <c r="B15" s="141">
        <v>9</v>
      </c>
      <c r="C15" s="115" t="str">
        <f>Config!C13&amp;", "&amp;Config!D13</f>
        <v>Hennings, Tomas</v>
      </c>
      <c r="D15" s="62" t="s">
        <v>120</v>
      </c>
      <c r="E15" s="62" t="s">
        <v>120</v>
      </c>
      <c r="F15" s="62" t="s">
        <v>120</v>
      </c>
      <c r="G15" s="62"/>
      <c r="H15" s="65"/>
    </row>
    <row r="16" spans="2:14" ht="18" customHeight="1" x14ac:dyDescent="0.25">
      <c r="B16" s="141">
        <v>10</v>
      </c>
      <c r="C16" s="115" t="str">
        <f>Config!C14&amp;", "&amp;Config!D14</f>
        <v>Walters, Linn</v>
      </c>
      <c r="D16" s="62"/>
      <c r="E16" s="62" t="s">
        <v>120</v>
      </c>
      <c r="F16" s="62" t="s">
        <v>120</v>
      </c>
      <c r="G16" s="62" t="s">
        <v>120</v>
      </c>
      <c r="H16" s="65"/>
    </row>
    <row r="17" spans="2:8" ht="18" customHeight="1" x14ac:dyDescent="0.25">
      <c r="B17" s="141">
        <v>11</v>
      </c>
      <c r="C17" s="115" t="str">
        <f>Config!C15&amp;", "&amp;Config!D15</f>
        <v>Junker, Amely</v>
      </c>
      <c r="D17" s="62" t="s">
        <v>120</v>
      </c>
      <c r="E17" s="62"/>
      <c r="F17" s="62"/>
      <c r="G17" s="62" t="s">
        <v>120</v>
      </c>
      <c r="H17" s="65"/>
    </row>
    <row r="18" spans="2:8" ht="18" customHeight="1" x14ac:dyDescent="0.25">
      <c r="B18" s="141">
        <v>12</v>
      </c>
      <c r="C18" s="115" t="str">
        <f>Config!C16&amp;", "&amp;Config!D16</f>
        <v>Stephens, Melvin</v>
      </c>
      <c r="D18" s="62" t="s">
        <v>120</v>
      </c>
      <c r="E18" s="62"/>
      <c r="F18" s="62"/>
      <c r="G18" s="62" t="s">
        <v>120</v>
      </c>
      <c r="H18" s="65"/>
    </row>
    <row r="19" spans="2:8" ht="18" customHeight="1" x14ac:dyDescent="0.25">
      <c r="B19" s="141">
        <v>13</v>
      </c>
      <c r="C19" s="115" t="str">
        <f>Config!C17&amp;", "&amp;Config!D17</f>
        <v>Cremer, Marvin</v>
      </c>
      <c r="D19" s="62" t="s">
        <v>120</v>
      </c>
      <c r="E19" s="62"/>
      <c r="F19" s="62"/>
      <c r="G19" s="62"/>
      <c r="H19" s="65" t="s">
        <v>120</v>
      </c>
    </row>
    <row r="20" spans="2:8" ht="18" customHeight="1" x14ac:dyDescent="0.25">
      <c r="B20" s="141">
        <v>14</v>
      </c>
      <c r="C20" s="115" t="str">
        <f>Config!C18&amp;", "&amp;Config!D18</f>
        <v>Nash, Jean</v>
      </c>
      <c r="D20" s="62"/>
      <c r="E20" s="62"/>
      <c r="F20" s="62"/>
      <c r="G20" s="62" t="s">
        <v>120</v>
      </c>
      <c r="H20" s="65" t="s">
        <v>120</v>
      </c>
    </row>
    <row r="21" spans="2:8" ht="18" customHeight="1" x14ac:dyDescent="0.25">
      <c r="B21" s="141">
        <v>15</v>
      </c>
      <c r="C21" s="115" t="str">
        <f>Config!C19&amp;", "&amp;Config!D19</f>
        <v>Schön, Leonardo</v>
      </c>
      <c r="D21" s="62"/>
      <c r="E21" s="62" t="s">
        <v>120</v>
      </c>
      <c r="F21" s="62" t="s">
        <v>120</v>
      </c>
      <c r="G21" s="62"/>
      <c r="H21" s="65" t="s">
        <v>120</v>
      </c>
    </row>
    <row r="22" spans="2:8" ht="18" customHeight="1" x14ac:dyDescent="0.25">
      <c r="B22" s="141">
        <v>16</v>
      </c>
      <c r="C22" s="115" t="str">
        <f>Config!C20&amp;", "&amp;Config!D20</f>
        <v>Sigl, Nicholas</v>
      </c>
      <c r="D22" s="62"/>
      <c r="E22" s="62" t="s">
        <v>120</v>
      </c>
      <c r="F22" s="62" t="s">
        <v>120</v>
      </c>
      <c r="G22" s="62" t="s">
        <v>120</v>
      </c>
      <c r="H22" s="65"/>
    </row>
    <row r="23" spans="2:8" ht="18" customHeight="1" x14ac:dyDescent="0.25">
      <c r="B23" s="141">
        <v>17</v>
      </c>
      <c r="C23" s="115" t="str">
        <f>Config!C21&amp;", "&amp;Config!D21</f>
        <v>Kainz, Vivienne</v>
      </c>
      <c r="D23" s="62" t="s">
        <v>120</v>
      </c>
      <c r="E23" s="62"/>
      <c r="F23" s="62"/>
      <c r="G23" s="62" t="s">
        <v>120</v>
      </c>
      <c r="H23" s="65"/>
    </row>
    <row r="24" spans="2:8" ht="18" customHeight="1" x14ac:dyDescent="0.25">
      <c r="B24" s="141">
        <v>18</v>
      </c>
      <c r="C24" s="115" t="str">
        <f>Config!C22&amp;", "&amp;Config!D22</f>
        <v>Hartmann, Mads</v>
      </c>
      <c r="D24" s="62"/>
      <c r="E24" s="62"/>
      <c r="F24" s="62"/>
      <c r="G24" s="62" t="s">
        <v>120</v>
      </c>
      <c r="H24" s="65" t="s">
        <v>120</v>
      </c>
    </row>
    <row r="25" spans="2:8" ht="18" customHeight="1" x14ac:dyDescent="0.25">
      <c r="B25" s="141">
        <v>19</v>
      </c>
      <c r="C25" s="115" t="str">
        <f>Config!C23&amp;", "&amp;Config!D23</f>
        <v>Ullmann, Raphael</v>
      </c>
      <c r="D25" s="62"/>
      <c r="E25" s="62"/>
      <c r="F25" s="62"/>
      <c r="G25" s="62" t="s">
        <v>120</v>
      </c>
      <c r="H25" s="65" t="s">
        <v>120</v>
      </c>
    </row>
    <row r="26" spans="2:8" ht="18" customHeight="1" x14ac:dyDescent="0.25">
      <c r="B26" s="141">
        <v>20</v>
      </c>
      <c r="C26" s="115" t="str">
        <f>Config!C24&amp;", "&amp;Config!D24</f>
        <v>Hartl, Emmely</v>
      </c>
      <c r="D26" s="62" t="s">
        <v>120</v>
      </c>
      <c r="E26" s="62" t="s">
        <v>120</v>
      </c>
      <c r="F26" s="62" t="s">
        <v>120</v>
      </c>
      <c r="G26" s="62"/>
      <c r="H26" s="65"/>
    </row>
    <row r="27" spans="2:8" ht="18" customHeight="1" x14ac:dyDescent="0.25">
      <c r="B27" s="141">
        <v>21</v>
      </c>
      <c r="C27" s="115" t="str">
        <f>Config!C25&amp;", "&amp;Config!D25</f>
        <v>Klotz, Karin</v>
      </c>
      <c r="D27" s="62" t="s">
        <v>120</v>
      </c>
      <c r="E27" s="62" t="s">
        <v>120</v>
      </c>
      <c r="F27" s="62" t="s">
        <v>120</v>
      </c>
      <c r="G27" s="62"/>
      <c r="H27" s="65"/>
    </row>
    <row r="28" spans="2:8" ht="18" customHeight="1" x14ac:dyDescent="0.25">
      <c r="B28" s="141">
        <v>22</v>
      </c>
      <c r="C28" s="115" t="str">
        <f>Config!C26&amp;", "&amp;Config!D26</f>
        <v>Ehlers, Ingo</v>
      </c>
      <c r="D28" s="62" t="s">
        <v>120</v>
      </c>
      <c r="E28" s="62"/>
      <c r="F28" s="62"/>
      <c r="G28" s="62"/>
      <c r="H28" s="65" t="s">
        <v>120</v>
      </c>
    </row>
    <row r="29" spans="2:8" ht="18" customHeight="1" thickBot="1" x14ac:dyDescent="0.3">
      <c r="B29" s="142">
        <v>23</v>
      </c>
      <c r="C29" s="137" t="str">
        <f>Config!C27&amp;", "&amp;Config!D27</f>
        <v>Lindemann, Mads</v>
      </c>
      <c r="D29" s="66" t="s">
        <v>120</v>
      </c>
      <c r="E29" s="66"/>
      <c r="F29" s="66"/>
      <c r="G29" s="66" t="s">
        <v>120</v>
      </c>
      <c r="H29" s="67"/>
    </row>
    <row r="30" spans="2:8" ht="18" customHeight="1" x14ac:dyDescent="0.25"/>
    <row r="31" spans="2:8" ht="18" customHeight="1" x14ac:dyDescent="0.25"/>
    <row r="32" spans="2:8"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electLockedCells="1"/>
  <mergeCells count="1">
    <mergeCell ref="J6:N8"/>
  </mergeCells>
  <dataValidations count="1">
    <dataValidation type="list" allowBlank="1" showDropDown="1" showInputMessage="1" showErrorMessage="1" sqref="D7:H29" xr:uid="{C268995B-66E9-4C5B-9ABC-5B215B023E1B}">
      <formula1>"x,"</formula1>
    </dataValidation>
  </dataValidation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0">
    <tabColor rgb="FFFFC000"/>
  </sheetPr>
  <dimension ref="B1:AF45"/>
  <sheetViews>
    <sheetView tabSelected="1" zoomScaleNormal="100" workbookViewId="0">
      <selection activeCell="G27" sqref="G27:H27"/>
    </sheetView>
  </sheetViews>
  <sheetFormatPr baseColWidth="10" defaultColWidth="11.44140625" defaultRowHeight="13.2" x14ac:dyDescent="0.25"/>
  <cols>
    <col min="1" max="2" width="3.44140625" style="3" customWidth="1"/>
    <col min="3" max="4" width="17.5546875" style="3" customWidth="1"/>
    <col min="5" max="5" width="4.44140625" style="3" customWidth="1"/>
    <col min="6" max="19" width="6.6640625" style="3" customWidth="1"/>
    <col min="20" max="20" width="2.5546875" style="3" customWidth="1"/>
    <col min="21" max="21" width="2.44140625" style="3" customWidth="1"/>
    <col min="22" max="22" width="2.5546875" style="3" customWidth="1"/>
    <col min="23" max="25" width="11.44140625" style="3"/>
    <col min="26" max="26" width="11.44140625" style="3" customWidth="1"/>
    <col min="27" max="28" width="2.44140625" style="3" customWidth="1"/>
    <col min="29" max="16384" width="11.44140625" style="3"/>
  </cols>
  <sheetData>
    <row r="1" spans="2:32" ht="13.8" thickBot="1" x14ac:dyDescent="0.3"/>
    <row r="2" spans="2:32" ht="13.2" customHeight="1" x14ac:dyDescent="0.25">
      <c r="B2" s="251" t="s">
        <v>6</v>
      </c>
      <c r="C2" s="252"/>
      <c r="D2" s="253"/>
      <c r="F2" s="240" t="s">
        <v>96</v>
      </c>
      <c r="G2" s="241"/>
      <c r="H2" s="241"/>
      <c r="I2" s="241"/>
      <c r="J2" s="241"/>
      <c r="K2" s="241"/>
      <c r="L2" s="241"/>
      <c r="M2" s="241"/>
      <c r="N2" s="241"/>
      <c r="O2" s="241"/>
      <c r="P2" s="241"/>
      <c r="Q2" s="241"/>
      <c r="R2" s="241"/>
      <c r="S2" s="242"/>
      <c r="T2" s="79" t="s">
        <v>88</v>
      </c>
      <c r="V2" s="213" t="s">
        <v>89</v>
      </c>
      <c r="W2" s="214"/>
      <c r="X2" s="214"/>
      <c r="Y2" s="214"/>
      <c r="Z2" s="215"/>
      <c r="AB2" s="213" t="s">
        <v>129</v>
      </c>
      <c r="AC2" s="214"/>
      <c r="AD2" s="214"/>
      <c r="AE2" s="214"/>
      <c r="AF2" s="215"/>
    </row>
    <row r="3" spans="2:32" ht="13.2" customHeight="1" x14ac:dyDescent="0.25">
      <c r="B3" s="254"/>
      <c r="C3" s="255"/>
      <c r="D3" s="256"/>
      <c r="F3" s="243"/>
      <c r="G3" s="244"/>
      <c r="H3" s="244"/>
      <c r="I3" s="244"/>
      <c r="J3" s="244"/>
      <c r="K3" s="244"/>
      <c r="L3" s="244"/>
      <c r="M3" s="244"/>
      <c r="N3" s="244"/>
      <c r="O3" s="244"/>
      <c r="P3" s="244"/>
      <c r="Q3" s="244"/>
      <c r="R3" s="244"/>
      <c r="S3" s="245"/>
      <c r="V3" s="80" t="s">
        <v>90</v>
      </c>
      <c r="W3" s="216" t="s">
        <v>122</v>
      </c>
      <c r="X3" s="216"/>
      <c r="Y3" s="216"/>
      <c r="Z3" s="217"/>
      <c r="AB3" s="97" t="s">
        <v>130</v>
      </c>
      <c r="AC3" s="216" t="s">
        <v>131</v>
      </c>
      <c r="AD3" s="216"/>
      <c r="AE3" s="216"/>
      <c r="AF3" s="217"/>
    </row>
    <row r="4" spans="2:32" ht="13.2" customHeight="1" x14ac:dyDescent="0.25">
      <c r="B4" s="4"/>
      <c r="C4" s="17" t="s">
        <v>7</v>
      </c>
      <c r="D4" s="18" t="s">
        <v>8</v>
      </c>
      <c r="F4" s="26" t="s">
        <v>9</v>
      </c>
      <c r="G4" s="21"/>
      <c r="H4" s="83" t="s">
        <v>10</v>
      </c>
      <c r="I4" s="21"/>
      <c r="J4" s="83" t="s">
        <v>11</v>
      </c>
      <c r="K4" s="21"/>
      <c r="L4" s="83" t="s">
        <v>12</v>
      </c>
      <c r="M4" s="21"/>
      <c r="N4" s="83" t="s">
        <v>13</v>
      </c>
      <c r="O4" s="25"/>
      <c r="P4" s="83" t="s">
        <v>14</v>
      </c>
      <c r="Q4" s="25"/>
      <c r="R4" s="83" t="s">
        <v>112</v>
      </c>
      <c r="S4" s="19"/>
      <c r="T4" s="79" t="s">
        <v>88</v>
      </c>
      <c r="V4" s="80"/>
      <c r="W4" s="216"/>
      <c r="X4" s="216"/>
      <c r="Y4" s="216"/>
      <c r="Z4" s="217"/>
      <c r="AB4" s="80"/>
      <c r="AC4" s="216"/>
      <c r="AD4" s="216"/>
      <c r="AE4" s="216"/>
      <c r="AF4" s="217"/>
    </row>
    <row r="5" spans="2:32" ht="13.2" customHeight="1" x14ac:dyDescent="0.25">
      <c r="B5" s="5">
        <v>1</v>
      </c>
      <c r="C5" s="75" t="s">
        <v>58</v>
      </c>
      <c r="D5" s="76" t="s">
        <v>37</v>
      </c>
      <c r="F5" s="7" t="s">
        <v>15</v>
      </c>
      <c r="G5" s="20" t="s">
        <v>0</v>
      </c>
      <c r="H5" s="8" t="s">
        <v>15</v>
      </c>
      <c r="I5" s="20" t="s">
        <v>0</v>
      </c>
      <c r="J5" s="8" t="s">
        <v>15</v>
      </c>
      <c r="K5" s="20" t="s">
        <v>0</v>
      </c>
      <c r="L5" s="8" t="s">
        <v>15</v>
      </c>
      <c r="M5" s="20" t="s">
        <v>0</v>
      </c>
      <c r="N5" s="8" t="s">
        <v>15</v>
      </c>
      <c r="O5" s="20" t="s">
        <v>0</v>
      </c>
      <c r="P5" s="8" t="s">
        <v>15</v>
      </c>
      <c r="Q5" s="20" t="s">
        <v>0</v>
      </c>
      <c r="R5" s="8" t="s">
        <v>15</v>
      </c>
      <c r="S5" s="9" t="s">
        <v>0</v>
      </c>
      <c r="V5" s="80"/>
      <c r="W5" s="216"/>
      <c r="X5" s="216"/>
      <c r="Y5" s="216"/>
      <c r="Z5" s="217"/>
      <c r="AB5" s="80"/>
      <c r="AC5" s="216"/>
      <c r="AD5" s="216"/>
      <c r="AE5" s="216"/>
      <c r="AF5" s="217"/>
    </row>
    <row r="6" spans="2:32" ht="13.2" customHeight="1" x14ac:dyDescent="0.25">
      <c r="B6" s="5">
        <v>2</v>
      </c>
      <c r="C6" s="13" t="s">
        <v>59</v>
      </c>
      <c r="D6" s="14" t="s">
        <v>38</v>
      </c>
      <c r="F6" s="11" t="s">
        <v>2</v>
      </c>
      <c r="G6" s="33">
        <v>2</v>
      </c>
      <c r="H6" s="12" t="s">
        <v>2</v>
      </c>
      <c r="I6" s="33">
        <v>2</v>
      </c>
      <c r="J6" s="12" t="s">
        <v>19</v>
      </c>
      <c r="K6" s="33">
        <v>5</v>
      </c>
      <c r="L6" s="12" t="s">
        <v>2</v>
      </c>
      <c r="M6" s="33">
        <v>2</v>
      </c>
      <c r="N6" s="12" t="s">
        <v>2</v>
      </c>
      <c r="O6" s="33">
        <v>2</v>
      </c>
      <c r="P6" s="12" t="s">
        <v>2</v>
      </c>
      <c r="Q6" s="33">
        <v>4</v>
      </c>
      <c r="R6" s="12" t="s">
        <v>113</v>
      </c>
      <c r="S6" s="34">
        <v>5</v>
      </c>
      <c r="T6" s="79" t="s">
        <v>88</v>
      </c>
      <c r="V6" s="80" t="s">
        <v>91</v>
      </c>
      <c r="W6" s="216"/>
      <c r="X6" s="216"/>
      <c r="Y6" s="216"/>
      <c r="Z6" s="217"/>
      <c r="AB6" s="97" t="s">
        <v>130</v>
      </c>
      <c r="AC6" s="216"/>
      <c r="AD6" s="216"/>
      <c r="AE6" s="216"/>
      <c r="AF6" s="217"/>
    </row>
    <row r="7" spans="2:32" ht="13.2" customHeight="1" x14ac:dyDescent="0.25">
      <c r="B7" s="5">
        <v>3</v>
      </c>
      <c r="C7" s="77" t="s">
        <v>60</v>
      </c>
      <c r="D7" s="78" t="s">
        <v>39</v>
      </c>
      <c r="F7" s="71" t="s">
        <v>16</v>
      </c>
      <c r="G7" s="72">
        <v>2</v>
      </c>
      <c r="H7" s="73" t="s">
        <v>16</v>
      </c>
      <c r="I7" s="72">
        <v>3</v>
      </c>
      <c r="J7" s="73"/>
      <c r="K7" s="72"/>
      <c r="L7" s="73" t="s">
        <v>16</v>
      </c>
      <c r="M7" s="72">
        <v>2</v>
      </c>
      <c r="N7" s="73" t="s">
        <v>16</v>
      </c>
      <c r="O7" s="72">
        <v>3</v>
      </c>
      <c r="P7" s="73" t="s">
        <v>16</v>
      </c>
      <c r="Q7" s="72">
        <v>3</v>
      </c>
      <c r="R7" s="73" t="s">
        <v>114</v>
      </c>
      <c r="S7" s="74">
        <v>2</v>
      </c>
      <c r="V7" s="80"/>
      <c r="W7" s="216"/>
      <c r="X7" s="216"/>
      <c r="Y7" s="216"/>
      <c r="Z7" s="217"/>
      <c r="AB7" s="80"/>
      <c r="AC7" s="216"/>
      <c r="AD7" s="216"/>
      <c r="AE7" s="216"/>
      <c r="AF7" s="217"/>
    </row>
    <row r="8" spans="2:32" ht="13.2" customHeight="1" x14ac:dyDescent="0.25">
      <c r="B8" s="5">
        <v>4</v>
      </c>
      <c r="C8" s="13" t="s">
        <v>61</v>
      </c>
      <c r="D8" s="14" t="s">
        <v>40</v>
      </c>
      <c r="F8" s="11" t="s">
        <v>17</v>
      </c>
      <c r="G8" s="33">
        <v>3</v>
      </c>
      <c r="H8" s="12" t="s">
        <v>23</v>
      </c>
      <c r="I8" s="33">
        <v>4</v>
      </c>
      <c r="J8" s="12"/>
      <c r="K8" s="33"/>
      <c r="L8" s="12" t="s">
        <v>23</v>
      </c>
      <c r="M8" s="33">
        <v>2</v>
      </c>
      <c r="N8" s="12"/>
      <c r="O8" s="33"/>
      <c r="P8" s="12" t="s">
        <v>23</v>
      </c>
      <c r="Q8" s="33">
        <v>4</v>
      </c>
      <c r="R8" s="12" t="s">
        <v>115</v>
      </c>
      <c r="S8" s="34">
        <v>3</v>
      </c>
      <c r="V8" s="80"/>
      <c r="W8" s="216"/>
      <c r="X8" s="216"/>
      <c r="Y8" s="216"/>
      <c r="Z8" s="217"/>
      <c r="AB8" s="80"/>
      <c r="AC8" s="216"/>
      <c r="AD8" s="216"/>
      <c r="AE8" s="216"/>
      <c r="AF8" s="217"/>
    </row>
    <row r="9" spans="2:32" ht="13.2" customHeight="1" x14ac:dyDescent="0.25">
      <c r="B9" s="5">
        <v>5</v>
      </c>
      <c r="C9" s="77" t="s">
        <v>62</v>
      </c>
      <c r="D9" s="78" t="s">
        <v>41</v>
      </c>
      <c r="F9" s="71" t="s">
        <v>18</v>
      </c>
      <c r="G9" s="72">
        <v>3</v>
      </c>
      <c r="H9" s="73" t="s">
        <v>24</v>
      </c>
      <c r="I9" s="72">
        <v>3</v>
      </c>
      <c r="J9" s="73"/>
      <c r="K9" s="72"/>
      <c r="L9" s="73" t="s">
        <v>24</v>
      </c>
      <c r="M9" s="72">
        <v>4</v>
      </c>
      <c r="N9" s="73"/>
      <c r="O9" s="72"/>
      <c r="P9" s="73" t="s">
        <v>24</v>
      </c>
      <c r="Q9" s="72">
        <v>3</v>
      </c>
      <c r="R9" s="73" t="s">
        <v>116</v>
      </c>
      <c r="S9" s="74">
        <v>5</v>
      </c>
      <c r="V9" s="80" t="s">
        <v>92</v>
      </c>
      <c r="W9" s="216"/>
      <c r="X9" s="216"/>
      <c r="Y9" s="216"/>
      <c r="Z9" s="217"/>
      <c r="AB9" s="97"/>
      <c r="AC9" s="216"/>
      <c r="AD9" s="216"/>
      <c r="AE9" s="216"/>
      <c r="AF9" s="217"/>
    </row>
    <row r="10" spans="2:32" ht="13.2" customHeight="1" x14ac:dyDescent="0.25">
      <c r="B10" s="5">
        <v>6</v>
      </c>
      <c r="C10" s="13" t="s">
        <v>63</v>
      </c>
      <c r="D10" s="14" t="s">
        <v>42</v>
      </c>
      <c r="F10" s="11" t="s">
        <v>3</v>
      </c>
      <c r="G10" s="33">
        <v>3</v>
      </c>
      <c r="H10" s="12" t="s">
        <v>25</v>
      </c>
      <c r="I10" s="33">
        <v>3</v>
      </c>
      <c r="J10" s="12"/>
      <c r="K10" s="33"/>
      <c r="L10" s="12" t="s">
        <v>17</v>
      </c>
      <c r="M10" s="33">
        <v>7</v>
      </c>
      <c r="N10" s="12"/>
      <c r="O10" s="33"/>
      <c r="P10" s="12" t="s">
        <v>25</v>
      </c>
      <c r="Q10" s="33">
        <v>4</v>
      </c>
      <c r="R10" s="12" t="s">
        <v>117</v>
      </c>
      <c r="S10" s="34">
        <v>5</v>
      </c>
      <c r="V10" s="80"/>
      <c r="W10" s="216"/>
      <c r="X10" s="216"/>
      <c r="Y10" s="216"/>
      <c r="Z10" s="217"/>
      <c r="AB10" s="80"/>
      <c r="AC10" s="216"/>
      <c r="AD10" s="216"/>
      <c r="AE10" s="216"/>
      <c r="AF10" s="217"/>
    </row>
    <row r="11" spans="2:32" ht="13.2" customHeight="1" x14ac:dyDescent="0.25">
      <c r="B11" s="5">
        <v>7</v>
      </c>
      <c r="C11" s="77" t="s">
        <v>64</v>
      </c>
      <c r="D11" s="78" t="s">
        <v>43</v>
      </c>
      <c r="F11" s="71" t="s">
        <v>4</v>
      </c>
      <c r="G11" s="72">
        <v>2</v>
      </c>
      <c r="H11" s="73" t="s">
        <v>26</v>
      </c>
      <c r="I11" s="72">
        <v>4</v>
      </c>
      <c r="J11" s="73"/>
      <c r="K11" s="72"/>
      <c r="L11" s="73"/>
      <c r="M11" s="72"/>
      <c r="N11" s="73"/>
      <c r="O11" s="72"/>
      <c r="P11" s="73"/>
      <c r="Q11" s="72"/>
      <c r="R11" s="73"/>
      <c r="S11" s="74"/>
      <c r="V11" s="80"/>
      <c r="W11" s="216"/>
      <c r="X11" s="216"/>
      <c r="Y11" s="216"/>
      <c r="Z11" s="217"/>
      <c r="AB11" s="97" t="s">
        <v>130</v>
      </c>
      <c r="AC11" s="216"/>
      <c r="AD11" s="216"/>
      <c r="AE11" s="216"/>
      <c r="AF11" s="217"/>
    </row>
    <row r="12" spans="2:32" ht="13.2" customHeight="1" x14ac:dyDescent="0.25">
      <c r="B12" s="5">
        <v>8</v>
      </c>
      <c r="C12" s="13" t="s">
        <v>65</v>
      </c>
      <c r="D12" s="14" t="s">
        <v>44</v>
      </c>
      <c r="F12" s="11"/>
      <c r="G12" s="33"/>
      <c r="H12" s="12" t="s">
        <v>27</v>
      </c>
      <c r="I12" s="33">
        <v>3</v>
      </c>
      <c r="J12" s="12"/>
      <c r="K12" s="33"/>
      <c r="L12" s="12"/>
      <c r="M12" s="33"/>
      <c r="N12" s="12"/>
      <c r="O12" s="33"/>
      <c r="P12" s="12"/>
      <c r="Q12" s="33"/>
      <c r="R12" s="12"/>
      <c r="S12" s="34"/>
      <c r="V12" s="80" t="s">
        <v>93</v>
      </c>
      <c r="W12" s="216"/>
      <c r="X12" s="216"/>
      <c r="Y12" s="216"/>
      <c r="Z12" s="217"/>
      <c r="AB12" s="97"/>
      <c r="AC12" s="216"/>
      <c r="AD12" s="216"/>
      <c r="AE12" s="216"/>
      <c r="AF12" s="217"/>
    </row>
    <row r="13" spans="2:32" ht="13.2" customHeight="1" x14ac:dyDescent="0.25">
      <c r="B13" s="5">
        <v>9</v>
      </c>
      <c r="C13" s="77" t="s">
        <v>66</v>
      </c>
      <c r="D13" s="78" t="s">
        <v>45</v>
      </c>
      <c r="F13" s="71"/>
      <c r="G13" s="72"/>
      <c r="H13" s="73" t="s">
        <v>28</v>
      </c>
      <c r="I13" s="72">
        <v>4</v>
      </c>
      <c r="J13" s="73"/>
      <c r="K13" s="72"/>
      <c r="L13" s="73"/>
      <c r="M13" s="72"/>
      <c r="N13" s="73"/>
      <c r="O13" s="72"/>
      <c r="P13" s="73"/>
      <c r="Q13" s="72"/>
      <c r="R13" s="73"/>
      <c r="S13" s="74"/>
      <c r="V13" s="80"/>
      <c r="W13" s="216"/>
      <c r="X13" s="216"/>
      <c r="Y13" s="216"/>
      <c r="Z13" s="217"/>
      <c r="AB13" s="80"/>
      <c r="AC13" s="216"/>
      <c r="AD13" s="216"/>
      <c r="AE13" s="216"/>
      <c r="AF13" s="217"/>
    </row>
    <row r="14" spans="2:32" ht="13.2" customHeight="1" x14ac:dyDescent="0.25">
      <c r="B14" s="5">
        <v>10</v>
      </c>
      <c r="C14" s="13" t="s">
        <v>67</v>
      </c>
      <c r="D14" s="14" t="s">
        <v>46</v>
      </c>
      <c r="F14" s="11"/>
      <c r="G14" s="33"/>
      <c r="H14" s="12" t="s">
        <v>5</v>
      </c>
      <c r="I14" s="33">
        <v>2</v>
      </c>
      <c r="J14" s="12"/>
      <c r="K14" s="33"/>
      <c r="L14" s="12"/>
      <c r="M14" s="33"/>
      <c r="N14" s="12"/>
      <c r="O14" s="33"/>
      <c r="P14" s="12"/>
      <c r="Q14" s="33"/>
      <c r="R14" s="12"/>
      <c r="S14" s="34"/>
      <c r="V14" s="80"/>
      <c r="W14" s="216"/>
      <c r="X14" s="216"/>
      <c r="Y14" s="216"/>
      <c r="Z14" s="217"/>
      <c r="AB14" s="80"/>
      <c r="AC14" s="216"/>
      <c r="AD14" s="216"/>
      <c r="AE14" s="216"/>
      <c r="AF14" s="217"/>
    </row>
    <row r="15" spans="2:32" ht="13.2" customHeight="1" x14ac:dyDescent="0.25">
      <c r="B15" s="5">
        <v>11</v>
      </c>
      <c r="C15" s="77" t="s">
        <v>68</v>
      </c>
      <c r="D15" s="78" t="s">
        <v>47</v>
      </c>
      <c r="F15" s="71"/>
      <c r="G15" s="72"/>
      <c r="H15" s="73" t="s">
        <v>29</v>
      </c>
      <c r="I15" s="72">
        <v>2</v>
      </c>
      <c r="J15" s="73"/>
      <c r="K15" s="72"/>
      <c r="L15" s="73"/>
      <c r="M15" s="72"/>
      <c r="N15" s="73"/>
      <c r="O15" s="72"/>
      <c r="P15" s="73"/>
      <c r="Q15" s="72"/>
      <c r="R15" s="73"/>
      <c r="S15" s="74"/>
      <c r="V15" s="80" t="s">
        <v>94</v>
      </c>
      <c r="W15" s="216"/>
      <c r="X15" s="216"/>
      <c r="Y15" s="216"/>
      <c r="Z15" s="217"/>
      <c r="AB15" s="97"/>
      <c r="AC15" s="216"/>
      <c r="AD15" s="216"/>
      <c r="AE15" s="216"/>
      <c r="AF15" s="217"/>
    </row>
    <row r="16" spans="2:32" ht="13.2" customHeight="1" x14ac:dyDescent="0.25">
      <c r="B16" s="5">
        <v>12</v>
      </c>
      <c r="C16" s="13" t="s">
        <v>69</v>
      </c>
      <c r="D16" s="14" t="s">
        <v>48</v>
      </c>
      <c r="F16" s="11"/>
      <c r="G16" s="33"/>
      <c r="H16" s="12"/>
      <c r="I16" s="33"/>
      <c r="J16" s="12"/>
      <c r="K16" s="33"/>
      <c r="L16" s="12"/>
      <c r="M16" s="33"/>
      <c r="N16" s="12"/>
      <c r="O16" s="33"/>
      <c r="P16" s="12"/>
      <c r="Q16" s="33"/>
      <c r="R16" s="12"/>
      <c r="S16" s="34"/>
      <c r="V16" s="80"/>
      <c r="W16" s="216"/>
      <c r="X16" s="216"/>
      <c r="Y16" s="216"/>
      <c r="Z16" s="217"/>
      <c r="AB16" s="97" t="s">
        <v>130</v>
      </c>
      <c r="AC16" s="216"/>
      <c r="AD16" s="216"/>
      <c r="AE16" s="216"/>
      <c r="AF16" s="217"/>
    </row>
    <row r="17" spans="2:32" ht="13.2" customHeight="1" x14ac:dyDescent="0.25">
      <c r="B17" s="5">
        <v>13</v>
      </c>
      <c r="C17" s="77" t="s">
        <v>70</v>
      </c>
      <c r="D17" s="78" t="s">
        <v>20</v>
      </c>
      <c r="F17" s="71"/>
      <c r="G17" s="72"/>
      <c r="H17" s="73"/>
      <c r="I17" s="72"/>
      <c r="J17" s="73"/>
      <c r="K17" s="72"/>
      <c r="L17" s="73"/>
      <c r="M17" s="72"/>
      <c r="N17" s="73"/>
      <c r="O17" s="72"/>
      <c r="P17" s="73"/>
      <c r="Q17" s="72"/>
      <c r="R17" s="73"/>
      <c r="S17" s="74"/>
      <c r="V17" s="80"/>
      <c r="W17" s="216"/>
      <c r="X17" s="216"/>
      <c r="Y17" s="216"/>
      <c r="Z17" s="217"/>
      <c r="AB17" s="80"/>
      <c r="AC17" s="216"/>
      <c r="AD17" s="216"/>
      <c r="AE17" s="216"/>
      <c r="AF17" s="217"/>
    </row>
    <row r="18" spans="2:32" ht="13.2" customHeight="1" x14ac:dyDescent="0.25">
      <c r="B18" s="5">
        <v>14</v>
      </c>
      <c r="C18" s="13" t="s">
        <v>71</v>
      </c>
      <c r="D18" s="14" t="s">
        <v>49</v>
      </c>
      <c r="F18" s="11"/>
      <c r="G18" s="33"/>
      <c r="H18" s="12"/>
      <c r="I18" s="33"/>
      <c r="J18" s="12"/>
      <c r="K18" s="33"/>
      <c r="L18" s="12"/>
      <c r="M18" s="33"/>
      <c r="N18" s="12"/>
      <c r="O18" s="33"/>
      <c r="P18" s="12"/>
      <c r="Q18" s="33"/>
      <c r="R18" s="12"/>
      <c r="S18" s="34"/>
      <c r="V18" s="80" t="s">
        <v>95</v>
      </c>
      <c r="W18" s="216"/>
      <c r="X18" s="216"/>
      <c r="Y18" s="216"/>
      <c r="Z18" s="217"/>
      <c r="AB18" s="97"/>
      <c r="AC18" s="216"/>
      <c r="AD18" s="216"/>
      <c r="AE18" s="216"/>
      <c r="AF18" s="217"/>
    </row>
    <row r="19" spans="2:32" ht="13.2" customHeight="1" x14ac:dyDescent="0.25">
      <c r="B19" s="5">
        <v>15</v>
      </c>
      <c r="C19" s="77" t="s">
        <v>72</v>
      </c>
      <c r="D19" s="78" t="s">
        <v>50</v>
      </c>
      <c r="F19" s="71"/>
      <c r="G19" s="72"/>
      <c r="H19" s="73"/>
      <c r="I19" s="72"/>
      <c r="J19" s="73"/>
      <c r="K19" s="72"/>
      <c r="L19" s="73"/>
      <c r="M19" s="72"/>
      <c r="N19" s="73"/>
      <c r="O19" s="72"/>
      <c r="P19" s="73"/>
      <c r="Q19" s="72"/>
      <c r="R19" s="73"/>
      <c r="S19" s="74"/>
      <c r="V19" s="80"/>
      <c r="W19" s="216"/>
      <c r="X19" s="216"/>
      <c r="Y19" s="216"/>
      <c r="Z19" s="217"/>
      <c r="AB19" s="80"/>
      <c r="AC19" s="216"/>
      <c r="AD19" s="216"/>
      <c r="AE19" s="216"/>
      <c r="AF19" s="217"/>
    </row>
    <row r="20" spans="2:32" ht="13.2" customHeight="1" x14ac:dyDescent="0.25">
      <c r="B20" s="5">
        <v>16</v>
      </c>
      <c r="C20" s="13" t="s">
        <v>73</v>
      </c>
      <c r="D20" s="14" t="s">
        <v>51</v>
      </c>
      <c r="F20" s="88"/>
      <c r="G20" s="89"/>
      <c r="H20" s="90"/>
      <c r="I20" s="89"/>
      <c r="J20" s="90"/>
      <c r="K20" s="89"/>
      <c r="L20" s="90"/>
      <c r="M20" s="89"/>
      <c r="N20" s="90"/>
      <c r="O20" s="89"/>
      <c r="P20" s="90"/>
      <c r="Q20" s="89"/>
      <c r="R20" s="90"/>
      <c r="S20" s="91"/>
      <c r="V20" s="80"/>
      <c r="W20" s="216"/>
      <c r="X20" s="216"/>
      <c r="Y20" s="216"/>
      <c r="Z20" s="217"/>
      <c r="AB20" s="80"/>
      <c r="AC20" s="216"/>
      <c r="AD20" s="216"/>
      <c r="AE20" s="216"/>
      <c r="AF20" s="217"/>
    </row>
    <row r="21" spans="2:32" ht="13.2" customHeight="1" x14ac:dyDescent="0.25">
      <c r="B21" s="5">
        <v>17</v>
      </c>
      <c r="C21" s="77" t="s">
        <v>74</v>
      </c>
      <c r="D21" s="78" t="s">
        <v>52</v>
      </c>
      <c r="F21" s="85">
        <f>COUNTA(F6:F20)</f>
        <v>6</v>
      </c>
      <c r="G21" s="82">
        <f>SUM(G6:G20)</f>
        <v>15</v>
      </c>
      <c r="H21" s="86">
        <f>COUNTA(H6:H20)</f>
        <v>10</v>
      </c>
      <c r="I21" s="87">
        <f>SUM(I6:I20)</f>
        <v>30</v>
      </c>
      <c r="J21" s="86">
        <f>COUNTA(J6:J20)</f>
        <v>1</v>
      </c>
      <c r="K21" s="87">
        <f>SUM(K6:K20)</f>
        <v>5</v>
      </c>
      <c r="L21" s="86">
        <f>COUNTA(L6:L20)</f>
        <v>5</v>
      </c>
      <c r="M21" s="87">
        <f>SUM(M6:M20)</f>
        <v>17</v>
      </c>
      <c r="N21" s="86">
        <f>COUNTA(N6:N20)</f>
        <v>2</v>
      </c>
      <c r="O21" s="87">
        <f>SUM(O6:O20)</f>
        <v>5</v>
      </c>
      <c r="P21" s="86">
        <f>COUNTA(P6:P20)</f>
        <v>5</v>
      </c>
      <c r="Q21" s="87">
        <f>SUM(Q6:Q20)</f>
        <v>18</v>
      </c>
      <c r="R21" s="84">
        <f>COUNTA(R6:R20)</f>
        <v>5</v>
      </c>
      <c r="S21" s="93">
        <v>10</v>
      </c>
      <c r="T21" s="79"/>
      <c r="V21" s="80" t="s">
        <v>121</v>
      </c>
      <c r="W21" s="216"/>
      <c r="X21" s="216"/>
      <c r="Y21" s="216"/>
      <c r="Z21" s="217"/>
      <c r="AB21" s="97"/>
      <c r="AC21" s="216"/>
      <c r="AD21" s="216"/>
      <c r="AE21" s="216"/>
      <c r="AF21" s="217"/>
    </row>
    <row r="22" spans="2:32" ht="13.8" thickBot="1" x14ac:dyDescent="0.3">
      <c r="B22" s="5">
        <v>18</v>
      </c>
      <c r="C22" s="13" t="s">
        <v>75</v>
      </c>
      <c r="D22" s="14" t="s">
        <v>53</v>
      </c>
      <c r="F22" s="246" t="s">
        <v>118</v>
      </c>
      <c r="G22" s="247"/>
      <c r="H22" s="248" t="s">
        <v>118</v>
      </c>
      <c r="I22" s="247"/>
      <c r="J22" s="248" t="s">
        <v>118</v>
      </c>
      <c r="K22" s="247"/>
      <c r="L22" s="248" t="s">
        <v>118</v>
      </c>
      <c r="M22" s="247"/>
      <c r="N22" s="248" t="s">
        <v>118</v>
      </c>
      <c r="O22" s="247"/>
      <c r="P22" s="248" t="s">
        <v>118</v>
      </c>
      <c r="Q22" s="247"/>
      <c r="R22" s="248" t="s">
        <v>119</v>
      </c>
      <c r="S22" s="259"/>
      <c r="T22" s="79" t="s">
        <v>88</v>
      </c>
      <c r="V22" s="4"/>
      <c r="W22" s="216"/>
      <c r="X22" s="216"/>
      <c r="Y22" s="216"/>
      <c r="Z22" s="217"/>
      <c r="AB22" s="4"/>
      <c r="AC22" s="216"/>
      <c r="AD22" s="216"/>
      <c r="AE22" s="216"/>
      <c r="AF22" s="217"/>
    </row>
    <row r="23" spans="2:32" ht="13.2" customHeight="1" thickBot="1" x14ac:dyDescent="0.3">
      <c r="B23" s="5">
        <v>19</v>
      </c>
      <c r="C23" s="77" t="s">
        <v>76</v>
      </c>
      <c r="D23" s="78" t="s">
        <v>54</v>
      </c>
      <c r="V23" s="4"/>
      <c r="W23" s="216"/>
      <c r="X23" s="216"/>
      <c r="Y23" s="216"/>
      <c r="Z23" s="217"/>
      <c r="AB23" s="4"/>
      <c r="AC23" s="216"/>
      <c r="AD23" s="216"/>
      <c r="AE23" s="216"/>
      <c r="AF23" s="217"/>
    </row>
    <row r="24" spans="2:32" ht="13.2" customHeight="1" x14ac:dyDescent="0.25">
      <c r="B24" s="5">
        <v>20</v>
      </c>
      <c r="C24" s="13" t="s">
        <v>77</v>
      </c>
      <c r="D24" s="14" t="s">
        <v>55</v>
      </c>
      <c r="F24" s="22" t="s">
        <v>22</v>
      </c>
      <c r="G24" s="229">
        <v>46150</v>
      </c>
      <c r="H24" s="230"/>
      <c r="J24" s="231" t="s">
        <v>99</v>
      </c>
      <c r="K24" s="232"/>
      <c r="L24" s="232"/>
      <c r="M24" s="232"/>
      <c r="N24" s="232"/>
      <c r="O24" s="232"/>
      <c r="P24" s="232"/>
      <c r="Q24" s="233"/>
      <c r="V24" s="4" t="s">
        <v>123</v>
      </c>
      <c r="W24" s="216"/>
      <c r="X24" s="216"/>
      <c r="Y24" s="216"/>
      <c r="Z24" s="217"/>
      <c r="AB24" s="97"/>
      <c r="AC24" s="216"/>
      <c r="AD24" s="216"/>
      <c r="AE24" s="216"/>
      <c r="AF24" s="217"/>
    </row>
    <row r="25" spans="2:32" ht="13.2" customHeight="1" x14ac:dyDescent="0.25">
      <c r="B25" s="5">
        <v>21</v>
      </c>
      <c r="C25" s="77" t="s">
        <v>78</v>
      </c>
      <c r="D25" s="78" t="s">
        <v>56</v>
      </c>
      <c r="F25" s="23" t="s">
        <v>30</v>
      </c>
      <c r="G25" s="257" t="s">
        <v>86</v>
      </c>
      <c r="H25" s="258"/>
      <c r="J25" s="234" t="s">
        <v>98</v>
      </c>
      <c r="K25" s="235"/>
      <c r="L25" s="235"/>
      <c r="M25" s="235"/>
      <c r="N25" s="235"/>
      <c r="O25" s="235"/>
      <c r="P25" s="235"/>
      <c r="Q25" s="236"/>
      <c r="V25" s="4"/>
      <c r="W25" s="216"/>
      <c r="X25" s="216"/>
      <c r="Y25" s="216"/>
      <c r="Z25" s="217"/>
      <c r="AB25" s="4"/>
      <c r="AC25" s="216"/>
      <c r="AD25" s="216"/>
      <c r="AE25" s="216"/>
      <c r="AF25" s="217"/>
    </row>
    <row r="26" spans="2:32" ht="13.2" customHeight="1" thickBot="1" x14ac:dyDescent="0.3">
      <c r="B26" s="5">
        <v>22</v>
      </c>
      <c r="C26" s="13" t="s">
        <v>79</v>
      </c>
      <c r="D26" s="14" t="s">
        <v>57</v>
      </c>
      <c r="F26" s="23" t="s">
        <v>21</v>
      </c>
      <c r="G26" s="257" t="s">
        <v>87</v>
      </c>
      <c r="H26" s="258"/>
      <c r="J26" s="237" t="s">
        <v>137</v>
      </c>
      <c r="K26" s="238"/>
      <c r="L26" s="238"/>
      <c r="M26" s="238"/>
      <c r="N26" s="238"/>
      <c r="O26" s="238"/>
      <c r="P26" s="238"/>
      <c r="Q26" s="239"/>
      <c r="V26" s="4"/>
      <c r="W26" s="216"/>
      <c r="X26" s="216"/>
      <c r="Y26" s="216"/>
      <c r="Z26" s="217"/>
      <c r="AB26" s="4"/>
      <c r="AC26" s="216"/>
      <c r="AD26" s="216"/>
      <c r="AE26" s="216"/>
      <c r="AF26" s="217"/>
    </row>
    <row r="27" spans="2:32" ht="13.2" customHeight="1" thickBot="1" x14ac:dyDescent="0.3">
      <c r="B27" s="5">
        <v>23</v>
      </c>
      <c r="C27" s="77" t="s">
        <v>80</v>
      </c>
      <c r="D27" s="78" t="s">
        <v>53</v>
      </c>
      <c r="F27" s="23" t="s">
        <v>126</v>
      </c>
      <c r="G27" s="257" t="s">
        <v>132</v>
      </c>
      <c r="H27" s="258"/>
      <c r="I27" s="94" t="s">
        <v>88</v>
      </c>
      <c r="V27" s="4"/>
      <c r="W27" s="216"/>
      <c r="X27" s="216"/>
      <c r="Y27" s="216"/>
      <c r="Z27" s="217"/>
      <c r="AB27" s="4"/>
      <c r="AC27" s="216"/>
      <c r="AD27" s="216"/>
      <c r="AE27" s="216"/>
      <c r="AF27" s="217"/>
    </row>
    <row r="28" spans="2:32" ht="13.2" customHeight="1" thickBot="1" x14ac:dyDescent="0.3">
      <c r="B28" s="5">
        <v>24</v>
      </c>
      <c r="C28" s="13"/>
      <c r="D28" s="14"/>
      <c r="F28" s="24" t="s">
        <v>127</v>
      </c>
      <c r="G28" s="260" t="s">
        <v>133</v>
      </c>
      <c r="H28" s="261"/>
      <c r="I28" s="94" t="s">
        <v>88</v>
      </c>
      <c r="N28" s="262" t="s">
        <v>128</v>
      </c>
      <c r="O28" s="263"/>
      <c r="P28" s="263"/>
      <c r="Q28" s="264"/>
      <c r="V28" s="4"/>
      <c r="W28" s="216"/>
      <c r="X28" s="216"/>
      <c r="Y28" s="216"/>
      <c r="Z28" s="217"/>
      <c r="AB28" s="4"/>
      <c r="AC28" s="216"/>
      <c r="AD28" s="216"/>
      <c r="AE28" s="216"/>
      <c r="AF28" s="217"/>
    </row>
    <row r="29" spans="2:32" ht="13.2" customHeight="1" thickBot="1" x14ac:dyDescent="0.3">
      <c r="B29" s="5">
        <v>25</v>
      </c>
      <c r="C29" s="77"/>
      <c r="D29" s="78"/>
      <c r="N29" s="265"/>
      <c r="O29" s="266"/>
      <c r="P29" s="266"/>
      <c r="Q29" s="267"/>
      <c r="V29" s="92"/>
      <c r="W29" s="218"/>
      <c r="X29" s="218"/>
      <c r="Y29" s="218"/>
      <c r="Z29" s="219"/>
      <c r="AB29" s="92"/>
      <c r="AC29" s="218"/>
      <c r="AD29" s="218"/>
      <c r="AE29" s="218"/>
      <c r="AF29" s="219"/>
    </row>
    <row r="30" spans="2:32" ht="13.2" customHeight="1" thickBot="1" x14ac:dyDescent="0.3">
      <c r="B30" s="5">
        <v>26</v>
      </c>
      <c r="C30" s="13"/>
      <c r="D30" s="14"/>
    </row>
    <row r="31" spans="2:32" ht="13.2" customHeight="1" x14ac:dyDescent="0.25">
      <c r="B31" s="5">
        <v>27</v>
      </c>
      <c r="C31" s="77"/>
      <c r="D31" s="78"/>
      <c r="F31" s="220" t="s">
        <v>97</v>
      </c>
      <c r="G31" s="221"/>
      <c r="H31" s="221"/>
      <c r="I31" s="221"/>
      <c r="J31" s="221"/>
      <c r="K31" s="221"/>
      <c r="L31" s="221"/>
      <c r="M31" s="221"/>
      <c r="N31" s="221"/>
      <c r="O31" s="221"/>
      <c r="P31" s="221"/>
      <c r="Q31" s="222"/>
    </row>
    <row r="32" spans="2:32" ht="13.2" customHeight="1" x14ac:dyDescent="0.25">
      <c r="B32" s="5">
        <v>28</v>
      </c>
      <c r="C32" s="13"/>
      <c r="D32" s="14"/>
      <c r="F32" s="223"/>
      <c r="G32" s="224"/>
      <c r="H32" s="224"/>
      <c r="I32" s="224"/>
      <c r="J32" s="224"/>
      <c r="K32" s="224"/>
      <c r="L32" s="224"/>
      <c r="M32" s="224"/>
      <c r="N32" s="224"/>
      <c r="O32" s="224"/>
      <c r="P32" s="224"/>
      <c r="Q32" s="225"/>
    </row>
    <row r="33" spans="2:25" ht="13.2" customHeight="1" x14ac:dyDescent="0.25">
      <c r="B33" s="5">
        <v>29</v>
      </c>
      <c r="C33" s="77"/>
      <c r="D33" s="78"/>
      <c r="F33" s="223"/>
      <c r="G33" s="224"/>
      <c r="H33" s="224"/>
      <c r="I33" s="224"/>
      <c r="J33" s="224"/>
      <c r="K33" s="224"/>
      <c r="L33" s="224"/>
      <c r="M33" s="224"/>
      <c r="N33" s="224"/>
      <c r="O33" s="224"/>
      <c r="P33" s="224"/>
      <c r="Q33" s="225"/>
    </row>
    <row r="34" spans="2:25" ht="13.2" customHeight="1" x14ac:dyDescent="0.25">
      <c r="B34" s="5">
        <v>30</v>
      </c>
      <c r="C34" s="13"/>
      <c r="D34" s="14"/>
      <c r="F34" s="223"/>
      <c r="G34" s="224"/>
      <c r="H34" s="224"/>
      <c r="I34" s="224"/>
      <c r="J34" s="224"/>
      <c r="K34" s="224"/>
      <c r="L34" s="224"/>
      <c r="M34" s="224"/>
      <c r="N34" s="224"/>
      <c r="O34" s="224"/>
      <c r="P34" s="224"/>
      <c r="Q34" s="225"/>
    </row>
    <row r="35" spans="2:25" ht="13.2" customHeight="1" x14ac:dyDescent="0.25">
      <c r="B35" s="5">
        <v>31</v>
      </c>
      <c r="C35" s="77"/>
      <c r="D35" s="78"/>
      <c r="F35" s="223"/>
      <c r="G35" s="224"/>
      <c r="H35" s="224"/>
      <c r="I35" s="224"/>
      <c r="J35" s="224"/>
      <c r="K35" s="224"/>
      <c r="L35" s="224"/>
      <c r="M35" s="224"/>
      <c r="N35" s="224"/>
      <c r="O35" s="224"/>
      <c r="P35" s="224"/>
      <c r="Q35" s="225"/>
    </row>
    <row r="36" spans="2:25" ht="13.2" customHeight="1" x14ac:dyDescent="0.25">
      <c r="B36" s="5">
        <v>32</v>
      </c>
      <c r="C36" s="13"/>
      <c r="D36" s="14"/>
      <c r="F36" s="223"/>
      <c r="G36" s="224"/>
      <c r="H36" s="224"/>
      <c r="I36" s="224"/>
      <c r="J36" s="224"/>
      <c r="K36" s="224"/>
      <c r="L36" s="224"/>
      <c r="M36" s="224"/>
      <c r="N36" s="224"/>
      <c r="O36" s="224"/>
      <c r="P36" s="224"/>
      <c r="Q36" s="225"/>
    </row>
    <row r="37" spans="2:25" ht="13.2" customHeight="1" thickBot="1" x14ac:dyDescent="0.3">
      <c r="B37" s="5">
        <v>33</v>
      </c>
      <c r="C37" s="77"/>
      <c r="D37" s="78"/>
      <c r="F37" s="223"/>
      <c r="G37" s="224"/>
      <c r="H37" s="224"/>
      <c r="I37" s="224"/>
      <c r="J37" s="224"/>
      <c r="K37" s="224"/>
      <c r="L37" s="224"/>
      <c r="M37" s="224"/>
      <c r="N37" s="224"/>
      <c r="O37" s="224"/>
      <c r="P37" s="224"/>
      <c r="Q37" s="225"/>
    </row>
    <row r="38" spans="2:25" ht="13.2" customHeight="1" x14ac:dyDescent="0.25">
      <c r="B38" s="5">
        <v>34</v>
      </c>
      <c r="C38" s="13"/>
      <c r="D38" s="14"/>
      <c r="F38" s="223"/>
      <c r="G38" s="224"/>
      <c r="H38" s="224"/>
      <c r="I38" s="224"/>
      <c r="J38" s="224"/>
      <c r="K38" s="224"/>
      <c r="L38" s="224"/>
      <c r="M38" s="224"/>
      <c r="N38" s="224"/>
      <c r="O38" s="224"/>
      <c r="P38" s="224"/>
      <c r="Q38" s="225"/>
      <c r="V38" s="268" t="s">
        <v>134</v>
      </c>
      <c r="W38" s="269"/>
      <c r="X38" s="269"/>
      <c r="Y38" s="270"/>
    </row>
    <row r="39" spans="2:25" ht="13.2" customHeight="1" x14ac:dyDescent="0.25">
      <c r="B39" s="5">
        <v>35</v>
      </c>
      <c r="C39" s="77"/>
      <c r="D39" s="78"/>
      <c r="F39" s="223"/>
      <c r="G39" s="224"/>
      <c r="H39" s="224"/>
      <c r="I39" s="224"/>
      <c r="J39" s="224"/>
      <c r="K39" s="224"/>
      <c r="L39" s="224"/>
      <c r="M39" s="224"/>
      <c r="N39" s="224"/>
      <c r="O39" s="224"/>
      <c r="P39" s="224"/>
      <c r="Q39" s="225"/>
      <c r="V39" s="271"/>
      <c r="W39" s="272"/>
      <c r="X39" s="272"/>
      <c r="Y39" s="273"/>
    </row>
    <row r="40" spans="2:25" ht="13.2" customHeight="1" x14ac:dyDescent="0.25">
      <c r="B40" s="5">
        <v>36</v>
      </c>
      <c r="C40" s="13"/>
      <c r="D40" s="14"/>
      <c r="F40" s="223"/>
      <c r="G40" s="224"/>
      <c r="H40" s="224"/>
      <c r="I40" s="224"/>
      <c r="J40" s="224"/>
      <c r="K40" s="224"/>
      <c r="L40" s="224"/>
      <c r="M40" s="224"/>
      <c r="N40" s="224"/>
      <c r="O40" s="224"/>
      <c r="P40" s="224"/>
      <c r="Q40" s="225"/>
      <c r="V40" s="203">
        <v>1</v>
      </c>
      <c r="W40" s="274" t="s">
        <v>135</v>
      </c>
      <c r="X40" s="274"/>
      <c r="Y40" s="275"/>
    </row>
    <row r="41" spans="2:25" ht="13.2" customHeight="1" x14ac:dyDescent="0.25">
      <c r="B41" s="5">
        <v>37</v>
      </c>
      <c r="C41" s="77"/>
      <c r="D41" s="78"/>
      <c r="F41" s="223"/>
      <c r="G41" s="224"/>
      <c r="H41" s="224"/>
      <c r="I41" s="224"/>
      <c r="J41" s="224"/>
      <c r="K41" s="224"/>
      <c r="L41" s="224"/>
      <c r="M41" s="224"/>
      <c r="N41" s="224"/>
      <c r="O41" s="224"/>
      <c r="P41" s="224"/>
      <c r="Q41" s="225"/>
      <c r="V41" s="203">
        <v>1</v>
      </c>
      <c r="W41" s="274" t="s">
        <v>136</v>
      </c>
      <c r="X41" s="274"/>
      <c r="Y41" s="275"/>
    </row>
    <row r="42" spans="2:25" ht="13.2" customHeight="1" x14ac:dyDescent="0.25">
      <c r="B42" s="5">
        <v>38</v>
      </c>
      <c r="C42" s="13"/>
      <c r="D42" s="14"/>
      <c r="F42" s="223"/>
      <c r="G42" s="224"/>
      <c r="H42" s="224"/>
      <c r="I42" s="224"/>
      <c r="J42" s="224"/>
      <c r="K42" s="224"/>
      <c r="L42" s="224"/>
      <c r="M42" s="224"/>
      <c r="N42" s="224"/>
      <c r="O42" s="224"/>
      <c r="P42" s="224"/>
      <c r="Q42" s="225"/>
      <c r="V42" s="201"/>
      <c r="W42" s="276"/>
      <c r="X42" s="276"/>
      <c r="Y42" s="277"/>
    </row>
    <row r="43" spans="2:25" ht="13.2" customHeight="1" x14ac:dyDescent="0.25">
      <c r="B43" s="5">
        <v>39</v>
      </c>
      <c r="C43" s="77"/>
      <c r="D43" s="78"/>
      <c r="F43" s="223"/>
      <c r="G43" s="224"/>
      <c r="H43" s="224"/>
      <c r="I43" s="224"/>
      <c r="J43" s="224"/>
      <c r="K43" s="224"/>
      <c r="L43" s="224"/>
      <c r="M43" s="224"/>
      <c r="N43" s="224"/>
      <c r="O43" s="224"/>
      <c r="P43" s="224"/>
      <c r="Q43" s="225"/>
      <c r="V43" s="201"/>
      <c r="W43" s="276"/>
      <c r="X43" s="276"/>
      <c r="Y43" s="277"/>
    </row>
    <row r="44" spans="2:25" ht="13.2" customHeight="1" thickBot="1" x14ac:dyDescent="0.3">
      <c r="B44" s="6">
        <v>40</v>
      </c>
      <c r="C44" s="15"/>
      <c r="D44" s="16"/>
      <c r="F44" s="226"/>
      <c r="G44" s="227"/>
      <c r="H44" s="227"/>
      <c r="I44" s="227"/>
      <c r="J44" s="227"/>
      <c r="K44" s="227"/>
      <c r="L44" s="227"/>
      <c r="M44" s="227"/>
      <c r="N44" s="227"/>
      <c r="O44" s="227"/>
      <c r="P44" s="227"/>
      <c r="Q44" s="228"/>
      <c r="V44" s="202"/>
      <c r="W44" s="249"/>
      <c r="X44" s="249"/>
      <c r="Y44" s="250"/>
    </row>
    <row r="45" spans="2:25" x14ac:dyDescent="0.25">
      <c r="C45" s="10">
        <f>COUNTA(C5:C44)</f>
        <v>23</v>
      </c>
    </row>
  </sheetData>
  <sheetProtection sheet="1" objects="1" selectLockedCells="1"/>
  <mergeCells count="29">
    <mergeCell ref="V38:Y39"/>
    <mergeCell ref="W40:Y40"/>
    <mergeCell ref="W41:Y41"/>
    <mergeCell ref="W42:Y42"/>
    <mergeCell ref="W43:Y43"/>
    <mergeCell ref="B2:D3"/>
    <mergeCell ref="W3:Z29"/>
    <mergeCell ref="G25:H25"/>
    <mergeCell ref="G26:H26"/>
    <mergeCell ref="R22:S22"/>
    <mergeCell ref="G27:H27"/>
    <mergeCell ref="G28:H28"/>
    <mergeCell ref="N28:Q29"/>
    <mergeCell ref="AB2:AF2"/>
    <mergeCell ref="AC3:AF29"/>
    <mergeCell ref="F31:Q44"/>
    <mergeCell ref="V2:Z2"/>
    <mergeCell ref="G24:H24"/>
    <mergeCell ref="J24:Q24"/>
    <mergeCell ref="J25:Q25"/>
    <mergeCell ref="J26:Q26"/>
    <mergeCell ref="F2:S3"/>
    <mergeCell ref="F22:G22"/>
    <mergeCell ref="H22:I22"/>
    <mergeCell ref="J22:K22"/>
    <mergeCell ref="L22:M22"/>
    <mergeCell ref="N22:O22"/>
    <mergeCell ref="P22:Q22"/>
    <mergeCell ref="W44:Y44"/>
  </mergeCells>
  <dataValidations count="3">
    <dataValidation type="list" allowBlank="1" showInputMessage="1" showErrorMessage="1" sqref="J22:R22 F22 H22" xr:uid="{F4A9CAD1-0480-4ADA-93BE-D2D9C0DD371C}">
      <formula1>"Nein,Ja"</formula1>
    </dataValidation>
    <dataValidation type="custom" showInputMessage="1" showErrorMessage="1" sqref="R27:S29 J24:Q26" xr:uid="{C85A5DCF-A5EF-4D06-8770-728CD61BE72F}">
      <formula1>"&lt;0&gt;0"</formula1>
    </dataValidation>
    <dataValidation type="list" allowBlank="1" showInputMessage="1" showErrorMessage="1" sqref="V40:V44" xr:uid="{A49DA2BE-7493-40C6-97D8-C7DB38F348D0}">
      <formula1>"1,0"</formula1>
    </dataValidation>
  </dataValidations>
  <hyperlinks>
    <hyperlink ref="J25:Q25" r:id="rId1" display="GitHub Link" xr:uid="{A973A2A7-B95C-4AE9-8B6C-E5EA47EE1315}"/>
    <hyperlink ref="J24:Q24" r:id="rId2" display="Dies ist ein OpenSource Projekt lizensiert unter der GNU GPLv3." xr:uid="{C8FBEF54-C8DE-441C-8DDB-974F2A593A75}"/>
  </hyperlinks>
  <pageMargins left="0.7" right="0.7" top="0.78740157499999996" bottom="0.78740157499999996" header="0.3" footer="0.3"/>
  <pageSetup paperSize="9" orientation="portrait" r:id="rId3"/>
  <ignoredErrors>
    <ignoredError sqref="J21 L21 N21" formula="1"/>
  </ignoredErrors>
  <drawing r:id="rId4"/>
  <legacyDrawing r:id="rId5"/>
  <controls>
    <mc:AlternateContent xmlns:mc="http://schemas.openxmlformats.org/markup-compatibility/2006">
      <mc:Choice Requires="x14">
        <control shapeId="10280" r:id="rId6" name="cmdAK">
          <controlPr defaultSize="0" autoLine="0" r:id="rId7">
            <anchor>
              <from>
                <xdr:col>12</xdr:col>
                <xdr:colOff>0</xdr:colOff>
                <xdr:row>27</xdr:row>
                <xdr:rowOff>0</xdr:rowOff>
              </from>
              <to>
                <xdr:col>12</xdr:col>
                <xdr:colOff>403860</xdr:colOff>
                <xdr:row>28</xdr:row>
                <xdr:rowOff>160020</xdr:rowOff>
              </to>
            </anchor>
          </controlPr>
        </control>
      </mc:Choice>
      <mc:Fallback>
        <control shapeId="10280" r:id="rId6" name="cmdAK"/>
      </mc:Fallback>
    </mc:AlternateContent>
    <mc:AlternateContent xmlns:mc="http://schemas.openxmlformats.org/markup-compatibility/2006">
      <mc:Choice Requires="x14">
        <control shapeId="10279" r:id="rId8" name="cmdDK">
          <controlPr defaultSize="0" autoLine="0" r:id="rId9">
            <anchor>
              <from>
                <xdr:col>11</xdr:col>
                <xdr:colOff>0</xdr:colOff>
                <xdr:row>27</xdr:row>
                <xdr:rowOff>0</xdr:rowOff>
              </from>
              <to>
                <xdr:col>11</xdr:col>
                <xdr:colOff>403860</xdr:colOff>
                <xdr:row>28</xdr:row>
                <xdr:rowOff>160020</xdr:rowOff>
              </to>
            </anchor>
          </controlPr>
        </control>
      </mc:Choice>
      <mc:Fallback>
        <control shapeId="10279" r:id="rId8" name="cmdDK"/>
      </mc:Fallback>
    </mc:AlternateContent>
    <mc:AlternateContent xmlns:mc="http://schemas.openxmlformats.org/markup-compatibility/2006">
      <mc:Choice Requires="x14">
        <control shapeId="10278" r:id="rId10" name="cmdZK">
          <controlPr defaultSize="0" autoLine="0" r:id="rId11">
            <anchor>
              <from>
                <xdr:col>9</xdr:col>
                <xdr:colOff>441960</xdr:colOff>
                <xdr:row>27</xdr:row>
                <xdr:rowOff>0</xdr:rowOff>
              </from>
              <to>
                <xdr:col>10</xdr:col>
                <xdr:colOff>388620</xdr:colOff>
                <xdr:row>28</xdr:row>
                <xdr:rowOff>160020</xdr:rowOff>
              </to>
            </anchor>
          </controlPr>
        </control>
      </mc:Choice>
      <mc:Fallback>
        <control shapeId="10278" r:id="rId10" name="cmdZK"/>
      </mc:Fallback>
    </mc:AlternateContent>
    <mc:AlternateContent xmlns:mc="http://schemas.openxmlformats.org/markup-compatibility/2006">
      <mc:Choice Requires="x14">
        <control shapeId="10277" r:id="rId12" name="cmdEK">
          <controlPr defaultSize="0" autoLine="0" r:id="rId13">
            <anchor>
              <from>
                <xdr:col>8</xdr:col>
                <xdr:colOff>441960</xdr:colOff>
                <xdr:row>27</xdr:row>
                <xdr:rowOff>0</xdr:rowOff>
              </from>
              <to>
                <xdr:col>9</xdr:col>
                <xdr:colOff>388620</xdr:colOff>
                <xdr:row>28</xdr:row>
                <xdr:rowOff>160020</xdr:rowOff>
              </to>
            </anchor>
          </controlPr>
        </control>
      </mc:Choice>
      <mc:Fallback>
        <control shapeId="10277" r:id="rId12" name="cmdEK"/>
      </mc:Fallback>
    </mc:AlternateContent>
    <mc:AlternateContent xmlns:mc="http://schemas.openxmlformats.org/markup-compatibility/2006">
      <mc:Choice Requires="x14">
        <control shapeId="10276" r:id="rId14" name="btnSelExUpdate">
          <controlPr defaultSize="0" print="0" autoLine="0" r:id="rId15">
            <anchor>
              <from>
                <xdr:col>21</xdr:col>
                <xdr:colOff>0</xdr:colOff>
                <xdr:row>33</xdr:row>
                <xdr:rowOff>0</xdr:rowOff>
              </from>
              <to>
                <xdr:col>23</xdr:col>
                <xdr:colOff>434340</xdr:colOff>
                <xdr:row>36</xdr:row>
                <xdr:rowOff>30480</xdr:rowOff>
              </to>
            </anchor>
          </controlPr>
        </control>
      </mc:Choice>
      <mc:Fallback>
        <control shapeId="10276" r:id="rId14" name="btnSelExUpdate"/>
      </mc:Fallback>
    </mc:AlternateContent>
    <mc:AlternateContent xmlns:mc="http://schemas.openxmlformats.org/markup-compatibility/2006">
      <mc:Choice Requires="x14">
        <control shapeId="10244" r:id="rId16" name="cmdCreateResults">
          <controlPr defaultSize="0" autoLine="0" r:id="rId17">
            <anchor>
              <from>
                <xdr:col>23</xdr:col>
                <xdr:colOff>533400</xdr:colOff>
                <xdr:row>33</xdr:row>
                <xdr:rowOff>0</xdr:rowOff>
              </from>
              <to>
                <xdr:col>25</xdr:col>
                <xdr:colOff>358140</xdr:colOff>
                <xdr:row>36</xdr:row>
                <xdr:rowOff>30480</xdr:rowOff>
              </to>
            </anchor>
          </controlPr>
        </control>
      </mc:Choice>
      <mc:Fallback>
        <control shapeId="10244" r:id="rId16" name="cmdCreateResults"/>
      </mc:Fallback>
    </mc:AlternateContent>
    <mc:AlternateContent xmlns:mc="http://schemas.openxmlformats.org/markup-compatibility/2006">
      <mc:Choice Requires="x14">
        <control shapeId="10243" r:id="rId18" name="cmdCreateTables">
          <controlPr defaultSize="0" autoLine="0" r:id="rId19">
            <anchor>
              <from>
                <xdr:col>21</xdr:col>
                <xdr:colOff>0</xdr:colOff>
                <xdr:row>29</xdr:row>
                <xdr:rowOff>68580</xdr:rowOff>
              </from>
              <to>
                <xdr:col>23</xdr:col>
                <xdr:colOff>434340</xdr:colOff>
                <xdr:row>32</xdr:row>
                <xdr:rowOff>99060</xdr:rowOff>
              </to>
            </anchor>
          </controlPr>
        </control>
      </mc:Choice>
      <mc:Fallback>
        <control shapeId="10243" r:id="rId18" name="cmdCreateTables"/>
      </mc:Fallback>
    </mc:AlternateContent>
    <mc:AlternateContent xmlns:mc="http://schemas.openxmlformats.org/markup-compatibility/2006">
      <mc:Choice Requires="x14">
        <control shapeId="10246" r:id="rId20" name="cmdClearAll">
          <controlPr defaultSize="0" autoLine="0" r:id="rId21">
            <anchor>
              <from>
                <xdr:col>23</xdr:col>
                <xdr:colOff>533400</xdr:colOff>
                <xdr:row>29</xdr:row>
                <xdr:rowOff>68580</xdr:rowOff>
              </from>
              <to>
                <xdr:col>25</xdr:col>
                <xdr:colOff>358140</xdr:colOff>
                <xdr:row>32</xdr:row>
                <xdr:rowOff>99060</xdr:rowOff>
              </to>
            </anchor>
          </controlPr>
        </control>
      </mc:Choice>
      <mc:Fallback>
        <control shapeId="10246" r:id="rId20" name="cmdClearAll"/>
      </mc:Fallback>
    </mc:AlternateContent>
    <mc:AlternateContent xmlns:mc="http://schemas.openxmlformats.org/markup-compatibility/2006">
      <mc:Choice Requires="x14">
        <control shapeId="10285" r:id="rId22" name="cmdAddZKDK">
          <controlPr defaultSize="0" autoLine="0" r:id="rId23">
            <anchor>
              <from>
                <xdr:col>27</xdr:col>
                <xdr:colOff>0</xdr:colOff>
                <xdr:row>29</xdr:row>
                <xdr:rowOff>68580</xdr:rowOff>
              </from>
              <to>
                <xdr:col>29</xdr:col>
                <xdr:colOff>441960</xdr:colOff>
                <xdr:row>32</xdr:row>
                <xdr:rowOff>99060</xdr:rowOff>
              </to>
            </anchor>
          </controlPr>
        </control>
      </mc:Choice>
      <mc:Fallback>
        <control shapeId="10285" r:id="rId22" name="cmdAddZKDK"/>
      </mc:Fallback>
    </mc:AlternateContent>
    <mc:AlternateContent xmlns:mc="http://schemas.openxmlformats.org/markup-compatibility/2006">
      <mc:Choice Requires="x14">
        <control shapeId="10287" r:id="rId24" name="cmdDelZKDK">
          <controlPr defaultSize="0" autoLine="0" r:id="rId25">
            <anchor>
              <from>
                <xdr:col>29</xdr:col>
                <xdr:colOff>518160</xdr:colOff>
                <xdr:row>29</xdr:row>
                <xdr:rowOff>68580</xdr:rowOff>
              </from>
              <to>
                <xdr:col>31</xdr:col>
                <xdr:colOff>342900</xdr:colOff>
                <xdr:row>32</xdr:row>
                <xdr:rowOff>99060</xdr:rowOff>
              </to>
            </anchor>
          </controlPr>
        </control>
      </mc:Choice>
      <mc:Fallback>
        <control shapeId="10287" r:id="rId24" name="cmdDelZKDK"/>
      </mc:Fallback>
    </mc:AlternateContent>
    <mc:AlternateContent xmlns:mc="http://schemas.openxmlformats.org/markup-compatibility/2006">
      <mc:Choice Requires="x14">
        <control shapeId="10288" r:id="rId26" name="cmdImportZK">
          <controlPr defaultSize="0" autoLine="0" r:id="rId27">
            <anchor>
              <from>
                <xdr:col>27</xdr:col>
                <xdr:colOff>0</xdr:colOff>
                <xdr:row>33</xdr:row>
                <xdr:rowOff>0</xdr:rowOff>
              </from>
              <to>
                <xdr:col>29</xdr:col>
                <xdr:colOff>441960</xdr:colOff>
                <xdr:row>36</xdr:row>
                <xdr:rowOff>30480</xdr:rowOff>
              </to>
            </anchor>
          </controlPr>
        </control>
      </mc:Choice>
      <mc:Fallback>
        <control shapeId="10288" r:id="rId26" name="cmdImportZK"/>
      </mc:Fallback>
    </mc:AlternateContent>
    <mc:AlternateContent xmlns:mc="http://schemas.openxmlformats.org/markup-compatibility/2006">
      <mc:Choice Requires="x14">
        <control shapeId="10289" r:id="rId28" name="cmdImportDK">
          <controlPr defaultSize="0" autoLine="0" r:id="rId29">
            <anchor>
              <from>
                <xdr:col>29</xdr:col>
                <xdr:colOff>518160</xdr:colOff>
                <xdr:row>33</xdr:row>
                <xdr:rowOff>0</xdr:rowOff>
              </from>
              <to>
                <xdr:col>31</xdr:col>
                <xdr:colOff>342900</xdr:colOff>
                <xdr:row>36</xdr:row>
                <xdr:rowOff>30480</xdr:rowOff>
              </to>
            </anchor>
          </controlPr>
        </control>
      </mc:Choice>
      <mc:Fallback>
        <control shapeId="10289" r:id="rId28" name="cmdImportDK"/>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9">
    <tabColor theme="0"/>
  </sheetPr>
  <dimension ref="B1:O302"/>
  <sheetViews>
    <sheetView workbookViewId="0">
      <selection activeCell="D7" sqref="D7"/>
    </sheetView>
  </sheetViews>
  <sheetFormatPr baseColWidth="10" defaultRowHeight="13.2" x14ac:dyDescent="0.25"/>
  <cols>
    <col min="1" max="1" width="2.88671875" customWidth="1"/>
    <col min="2" max="2" width="9.109375" style="1" customWidth="1"/>
    <col min="3" max="3" width="9.109375" style="2" customWidth="1"/>
    <col min="4" max="4" width="9.109375" style="1" customWidth="1"/>
    <col min="5" max="5" width="3.109375" style="2" hidden="1" customWidth="1"/>
    <col min="6" max="6" width="3.44140625" customWidth="1"/>
    <col min="7" max="8" width="11.44140625" customWidth="1"/>
  </cols>
  <sheetData>
    <row r="1" spans="2:15" ht="13.8" thickBot="1" x14ac:dyDescent="0.3"/>
    <row r="2" spans="2:15" ht="13.5" customHeight="1" thickBot="1" x14ac:dyDescent="0.3">
      <c r="B2" s="28" t="s">
        <v>0</v>
      </c>
      <c r="C2" s="29" t="s">
        <v>31</v>
      </c>
      <c r="D2" s="30" t="s">
        <v>1</v>
      </c>
      <c r="F2" s="31"/>
      <c r="G2" s="220" t="s">
        <v>32</v>
      </c>
      <c r="H2" s="221"/>
      <c r="I2" s="221"/>
      <c r="J2" s="221"/>
      <c r="K2" s="221"/>
      <c r="L2" s="222"/>
    </row>
    <row r="3" spans="2:15" x14ac:dyDescent="0.25">
      <c r="B3" s="35">
        <v>0</v>
      </c>
      <c r="C3" s="36">
        <v>0</v>
      </c>
      <c r="D3" s="37">
        <v>6</v>
      </c>
      <c r="E3" s="27" t="str">
        <f>IF(AND($C3=$C4,$C4&lt;$C5),"+",IF($C3&lt;$C4,"++",""))</f>
        <v/>
      </c>
      <c r="F3" s="31"/>
      <c r="G3" s="223"/>
      <c r="H3" s="224"/>
      <c r="I3" s="224"/>
      <c r="J3" s="224"/>
      <c r="K3" s="224"/>
      <c r="L3" s="225"/>
    </row>
    <row r="4" spans="2:15" x14ac:dyDescent="0.25">
      <c r="B4" s="38">
        <v>0.5</v>
      </c>
      <c r="C4" s="39">
        <v>0</v>
      </c>
      <c r="D4" s="40">
        <v>6</v>
      </c>
      <c r="E4" s="27" t="str">
        <f>IF(AND($C4=$C5,$C5&lt;$C6),"+",IF($C4&lt;$C5,"++",""))</f>
        <v/>
      </c>
      <c r="F4" s="31"/>
      <c r="G4" s="223"/>
      <c r="H4" s="224"/>
      <c r="I4" s="224"/>
      <c r="J4" s="224"/>
      <c r="K4" s="224"/>
      <c r="L4" s="225"/>
    </row>
    <row r="5" spans="2:15" x14ac:dyDescent="0.25">
      <c r="B5" s="38">
        <v>1</v>
      </c>
      <c r="C5" s="39">
        <v>0</v>
      </c>
      <c r="D5" s="40">
        <v>6</v>
      </c>
      <c r="E5" s="27" t="str">
        <f t="shared" ref="E5:E50" si="0">IF(AND($C5=$C6,$C6&lt;$C7),"+",IF($C5&lt;$C6,"++",IF(AND($C5=$C4,$C4&gt;$C3),"-",IF($C5&gt;$C4,"--",""))))</f>
        <v/>
      </c>
      <c r="F5" s="31"/>
      <c r="G5" s="223"/>
      <c r="H5" s="224"/>
      <c r="I5" s="224"/>
      <c r="J5" s="224"/>
      <c r="K5" s="224"/>
      <c r="L5" s="225"/>
    </row>
    <row r="6" spans="2:15" x14ac:dyDescent="0.25">
      <c r="B6" s="38">
        <v>1.5</v>
      </c>
      <c r="C6" s="39">
        <v>0</v>
      </c>
      <c r="D6" s="40">
        <v>6</v>
      </c>
      <c r="E6" s="27" t="str">
        <f t="shared" si="0"/>
        <v/>
      </c>
      <c r="F6" s="31"/>
      <c r="G6" s="223"/>
      <c r="H6" s="224"/>
      <c r="I6" s="224"/>
      <c r="J6" s="224"/>
      <c r="K6" s="224"/>
      <c r="L6" s="225"/>
    </row>
    <row r="7" spans="2:15" x14ac:dyDescent="0.25">
      <c r="B7" s="38">
        <v>2</v>
      </c>
      <c r="C7" s="39">
        <v>0</v>
      </c>
      <c r="D7" s="40">
        <v>6</v>
      </c>
      <c r="E7" s="27" t="str">
        <f t="shared" si="0"/>
        <v/>
      </c>
      <c r="F7" s="31"/>
      <c r="G7" s="223"/>
      <c r="H7" s="224"/>
      <c r="I7" s="224"/>
      <c r="J7" s="224"/>
      <c r="K7" s="224"/>
      <c r="L7" s="225"/>
    </row>
    <row r="8" spans="2:15" ht="12.75" customHeight="1" x14ac:dyDescent="0.25">
      <c r="B8" s="38">
        <v>2.5</v>
      </c>
      <c r="C8" s="39">
        <v>0</v>
      </c>
      <c r="D8" s="40">
        <v>6</v>
      </c>
      <c r="E8" s="27" t="str">
        <f t="shared" si="0"/>
        <v/>
      </c>
      <c r="F8" s="31"/>
      <c r="G8" s="223"/>
      <c r="H8" s="224"/>
      <c r="I8" s="224"/>
      <c r="J8" s="224"/>
      <c r="K8" s="224"/>
      <c r="L8" s="225"/>
      <c r="M8" s="32"/>
      <c r="N8" s="32"/>
      <c r="O8" s="32"/>
    </row>
    <row r="9" spans="2:15" x14ac:dyDescent="0.25">
      <c r="B9" s="38">
        <v>3</v>
      </c>
      <c r="C9" s="39">
        <v>0</v>
      </c>
      <c r="D9" s="40">
        <v>6</v>
      </c>
      <c r="E9" s="27" t="str">
        <f t="shared" si="0"/>
        <v/>
      </c>
      <c r="F9" s="31"/>
      <c r="G9" s="223"/>
      <c r="H9" s="224"/>
      <c r="I9" s="224"/>
      <c r="J9" s="224"/>
      <c r="K9" s="224"/>
      <c r="L9" s="225"/>
      <c r="M9" s="32"/>
      <c r="N9" s="32"/>
      <c r="O9" s="32"/>
    </row>
    <row r="10" spans="2:15" x14ac:dyDescent="0.25">
      <c r="B10" s="38">
        <v>3.5</v>
      </c>
      <c r="C10" s="39">
        <v>0</v>
      </c>
      <c r="D10" s="40">
        <v>6</v>
      </c>
      <c r="E10" s="27" t="str">
        <f t="shared" si="0"/>
        <v/>
      </c>
      <c r="F10" s="31"/>
      <c r="G10" s="223"/>
      <c r="H10" s="224"/>
      <c r="I10" s="224"/>
      <c r="J10" s="224"/>
      <c r="K10" s="224"/>
      <c r="L10" s="225"/>
      <c r="M10" s="32"/>
      <c r="N10" s="32"/>
      <c r="O10" s="32"/>
    </row>
    <row r="11" spans="2:15" x14ac:dyDescent="0.25">
      <c r="B11" s="38">
        <v>4</v>
      </c>
      <c r="C11" s="39">
        <v>0</v>
      </c>
      <c r="D11" s="40">
        <v>6</v>
      </c>
      <c r="E11" s="27" t="str">
        <f t="shared" si="0"/>
        <v/>
      </c>
      <c r="G11" s="223"/>
      <c r="H11" s="224"/>
      <c r="I11" s="224"/>
      <c r="J11" s="224"/>
      <c r="K11" s="224"/>
      <c r="L11" s="225"/>
      <c r="M11" s="32"/>
      <c r="N11" s="32"/>
      <c r="O11" s="32"/>
    </row>
    <row r="12" spans="2:15" x14ac:dyDescent="0.25">
      <c r="B12" s="38">
        <v>4.5</v>
      </c>
      <c r="C12" s="39">
        <v>0</v>
      </c>
      <c r="D12" s="40">
        <v>6</v>
      </c>
      <c r="E12" s="27" t="str">
        <f t="shared" si="0"/>
        <v/>
      </c>
      <c r="F12" s="31"/>
      <c r="G12" s="223"/>
      <c r="H12" s="224"/>
      <c r="I12" s="224"/>
      <c r="J12" s="224"/>
      <c r="K12" s="224"/>
      <c r="L12" s="225"/>
      <c r="M12" s="32"/>
      <c r="N12" s="32"/>
      <c r="O12" s="32"/>
    </row>
    <row r="13" spans="2:15" x14ac:dyDescent="0.25">
      <c r="B13" s="38">
        <v>5</v>
      </c>
      <c r="C13" s="39">
        <v>0</v>
      </c>
      <c r="D13" s="40">
        <v>6</v>
      </c>
      <c r="E13" s="27" t="str">
        <f t="shared" si="0"/>
        <v/>
      </c>
      <c r="F13" s="31"/>
      <c r="G13" s="223"/>
      <c r="H13" s="224"/>
      <c r="I13" s="224"/>
      <c r="J13" s="224"/>
      <c r="K13" s="224"/>
      <c r="L13" s="225"/>
      <c r="M13" s="32"/>
      <c r="N13" s="32"/>
      <c r="O13" s="32"/>
    </row>
    <row r="14" spans="2:15" x14ac:dyDescent="0.25">
      <c r="B14" s="38">
        <v>5.5</v>
      </c>
      <c r="C14" s="39">
        <v>0</v>
      </c>
      <c r="D14" s="40">
        <v>6</v>
      </c>
      <c r="E14" s="27" t="str">
        <f t="shared" si="0"/>
        <v/>
      </c>
      <c r="F14" s="31"/>
      <c r="G14" s="223"/>
      <c r="H14" s="224"/>
      <c r="I14" s="224"/>
      <c r="J14" s="224"/>
      <c r="K14" s="224"/>
      <c r="L14" s="225"/>
      <c r="M14" s="32"/>
      <c r="N14" s="32"/>
      <c r="O14" s="32"/>
    </row>
    <row r="15" spans="2:15" x14ac:dyDescent="0.25">
      <c r="B15" s="38">
        <v>6</v>
      </c>
      <c r="C15" s="39">
        <v>0</v>
      </c>
      <c r="D15" s="40">
        <v>6</v>
      </c>
      <c r="E15" s="27" t="str">
        <f t="shared" si="0"/>
        <v/>
      </c>
      <c r="F15" s="31"/>
      <c r="G15" s="48"/>
      <c r="H15" s="49"/>
      <c r="I15" s="49"/>
      <c r="J15" s="49"/>
      <c r="K15" s="49"/>
      <c r="L15" s="50"/>
      <c r="M15" s="32"/>
      <c r="N15" s="32"/>
      <c r="O15" s="32"/>
    </row>
    <row r="16" spans="2:15" x14ac:dyDescent="0.25">
      <c r="B16" s="38">
        <v>6.5</v>
      </c>
      <c r="C16" s="39">
        <v>0</v>
      </c>
      <c r="D16" s="40">
        <v>6</v>
      </c>
      <c r="E16" s="27" t="str">
        <f t="shared" si="0"/>
        <v/>
      </c>
      <c r="F16" s="31"/>
      <c r="G16" s="58"/>
      <c r="H16" s="51" t="s">
        <v>33</v>
      </c>
      <c r="I16" s="51"/>
      <c r="J16" s="51"/>
      <c r="K16" s="51"/>
      <c r="L16" s="53"/>
      <c r="M16" s="32"/>
      <c r="N16" s="32"/>
      <c r="O16" s="32"/>
    </row>
    <row r="17" spans="2:15" x14ac:dyDescent="0.25">
      <c r="B17" s="38">
        <v>7</v>
      </c>
      <c r="C17" s="39">
        <v>0</v>
      </c>
      <c r="D17" s="40">
        <v>6</v>
      </c>
      <c r="E17" s="27" t="str">
        <f t="shared" si="0"/>
        <v/>
      </c>
      <c r="F17" s="31"/>
      <c r="G17" s="59"/>
      <c r="H17" s="51" t="s">
        <v>34</v>
      </c>
      <c r="I17" s="51"/>
      <c r="J17" s="51"/>
      <c r="K17" s="51"/>
      <c r="L17" s="53"/>
      <c r="M17" s="32"/>
      <c r="N17" s="32"/>
      <c r="O17" s="32"/>
    </row>
    <row r="18" spans="2:15" x14ac:dyDescent="0.25">
      <c r="B18" s="38">
        <v>7.5</v>
      </c>
      <c r="C18" s="39">
        <v>0</v>
      </c>
      <c r="D18" s="40">
        <v>6</v>
      </c>
      <c r="E18" s="27" t="str">
        <f t="shared" si="0"/>
        <v/>
      </c>
      <c r="F18" s="31"/>
      <c r="G18" s="52"/>
      <c r="H18" s="51" t="s">
        <v>35</v>
      </c>
      <c r="I18" s="51"/>
      <c r="J18" s="51"/>
      <c r="K18" s="51"/>
      <c r="L18" s="53"/>
      <c r="M18" s="32"/>
      <c r="N18" s="32"/>
      <c r="O18" s="32"/>
    </row>
    <row r="19" spans="2:15" x14ac:dyDescent="0.25">
      <c r="B19" s="38">
        <v>8</v>
      </c>
      <c r="C19" s="39">
        <v>0</v>
      </c>
      <c r="D19" s="40">
        <v>6</v>
      </c>
      <c r="E19" s="27" t="str">
        <f t="shared" si="0"/>
        <v/>
      </c>
      <c r="F19" s="31"/>
      <c r="G19" s="54"/>
      <c r="H19" s="51" t="s">
        <v>36</v>
      </c>
      <c r="I19" s="51"/>
      <c r="J19" s="51"/>
      <c r="K19" s="51"/>
      <c r="L19" s="53"/>
      <c r="M19" s="32"/>
      <c r="N19" s="32"/>
      <c r="O19" s="32"/>
    </row>
    <row r="20" spans="2:15" ht="13.8" thickBot="1" x14ac:dyDescent="0.3">
      <c r="B20" s="38">
        <v>8.5</v>
      </c>
      <c r="C20" s="39">
        <v>0</v>
      </c>
      <c r="D20" s="40">
        <v>6</v>
      </c>
      <c r="E20" s="27" t="str">
        <f t="shared" si="0"/>
        <v/>
      </c>
      <c r="F20" s="31"/>
      <c r="G20" s="55"/>
      <c r="H20" s="56"/>
      <c r="I20" s="56"/>
      <c r="J20" s="56"/>
      <c r="K20" s="56"/>
      <c r="L20" s="57"/>
      <c r="M20" s="32"/>
      <c r="N20" s="32"/>
      <c r="O20" s="32"/>
    </row>
    <row r="21" spans="2:15" x14ac:dyDescent="0.25">
      <c r="B21" s="38">
        <v>9</v>
      </c>
      <c r="C21" s="39">
        <v>0</v>
      </c>
      <c r="D21" s="40">
        <v>6</v>
      </c>
      <c r="E21" s="27" t="str">
        <f t="shared" si="0"/>
        <v/>
      </c>
      <c r="G21" s="60"/>
      <c r="H21" s="60"/>
      <c r="I21" s="60"/>
      <c r="J21" s="60"/>
      <c r="K21" s="60"/>
      <c r="L21" s="60"/>
      <c r="M21" s="32"/>
      <c r="N21" s="32"/>
      <c r="O21" s="32"/>
    </row>
    <row r="22" spans="2:15" x14ac:dyDescent="0.25">
      <c r="B22" s="38">
        <v>9.5</v>
      </c>
      <c r="C22" s="39">
        <v>0</v>
      </c>
      <c r="D22" s="40">
        <v>6</v>
      </c>
      <c r="E22" s="27" t="str">
        <f t="shared" si="0"/>
        <v/>
      </c>
      <c r="G22" s="60"/>
      <c r="H22" s="60"/>
      <c r="I22" s="60"/>
      <c r="J22" s="60"/>
      <c r="K22" s="60"/>
      <c r="L22" s="60"/>
    </row>
    <row r="23" spans="2:15" x14ac:dyDescent="0.25">
      <c r="B23" s="38">
        <v>10</v>
      </c>
      <c r="C23" s="39">
        <v>0</v>
      </c>
      <c r="D23" s="40">
        <v>6</v>
      </c>
      <c r="E23" s="27" t="str">
        <f t="shared" si="0"/>
        <v/>
      </c>
      <c r="G23" s="60"/>
      <c r="H23" s="60"/>
      <c r="I23" s="60"/>
      <c r="J23" s="60"/>
      <c r="K23" s="60"/>
      <c r="L23" s="60"/>
    </row>
    <row r="24" spans="2:15" x14ac:dyDescent="0.25">
      <c r="B24" s="38">
        <v>10.5</v>
      </c>
      <c r="C24" s="39">
        <v>0</v>
      </c>
      <c r="D24" s="40">
        <v>6</v>
      </c>
      <c r="E24" s="27" t="str">
        <f t="shared" si="0"/>
        <v/>
      </c>
      <c r="G24" s="60"/>
      <c r="H24" s="60"/>
      <c r="I24" s="60"/>
      <c r="J24" s="60"/>
      <c r="K24" s="60"/>
      <c r="L24" s="60"/>
    </row>
    <row r="25" spans="2:15" x14ac:dyDescent="0.25">
      <c r="B25" s="38">
        <v>11</v>
      </c>
      <c r="C25" s="39">
        <v>0</v>
      </c>
      <c r="D25" s="40">
        <v>6</v>
      </c>
      <c r="E25" s="27" t="str">
        <f t="shared" si="0"/>
        <v/>
      </c>
    </row>
    <row r="26" spans="2:15" x14ac:dyDescent="0.25">
      <c r="B26" s="38">
        <v>11.5</v>
      </c>
      <c r="C26" s="39">
        <v>0</v>
      </c>
      <c r="D26" s="40">
        <v>6</v>
      </c>
      <c r="E26" s="27" t="str">
        <f t="shared" si="0"/>
        <v/>
      </c>
      <c r="G26" s="31"/>
      <c r="H26" s="31"/>
      <c r="I26" s="31"/>
      <c r="J26" s="31"/>
      <c r="K26" s="31"/>
      <c r="L26" s="31"/>
    </row>
    <row r="27" spans="2:15" x14ac:dyDescent="0.25">
      <c r="B27" s="38">
        <v>12</v>
      </c>
      <c r="C27" s="39">
        <v>0</v>
      </c>
      <c r="D27" s="40">
        <v>6</v>
      </c>
      <c r="E27" s="27" t="str">
        <f t="shared" si="0"/>
        <v/>
      </c>
      <c r="G27" s="31"/>
      <c r="H27" s="31"/>
      <c r="I27" s="31"/>
      <c r="J27" s="31"/>
      <c r="K27" s="31"/>
      <c r="L27" s="31"/>
    </row>
    <row r="28" spans="2:15" x14ac:dyDescent="0.25">
      <c r="B28" s="38">
        <v>12.5</v>
      </c>
      <c r="C28" s="39">
        <v>0</v>
      </c>
      <c r="D28" s="40">
        <v>6</v>
      </c>
      <c r="E28" s="27" t="str">
        <f t="shared" si="0"/>
        <v/>
      </c>
      <c r="G28" s="31"/>
      <c r="H28" s="31"/>
      <c r="I28" s="31"/>
      <c r="J28" s="31"/>
      <c r="K28" s="31"/>
      <c r="L28" s="31"/>
    </row>
    <row r="29" spans="2:15" x14ac:dyDescent="0.25">
      <c r="B29" s="38">
        <v>13</v>
      </c>
      <c r="C29" s="39">
        <v>0</v>
      </c>
      <c r="D29" s="40">
        <v>6</v>
      </c>
      <c r="E29" s="27" t="str">
        <f t="shared" si="0"/>
        <v/>
      </c>
      <c r="G29" s="31"/>
      <c r="H29" s="31"/>
      <c r="I29" s="31"/>
      <c r="J29" s="31"/>
      <c r="K29" s="31"/>
      <c r="L29" s="31"/>
    </row>
    <row r="30" spans="2:15" x14ac:dyDescent="0.25">
      <c r="B30" s="38">
        <v>13.5</v>
      </c>
      <c r="C30" s="39">
        <v>0</v>
      </c>
      <c r="D30" s="40">
        <v>6</v>
      </c>
      <c r="E30" s="27" t="str">
        <f t="shared" si="0"/>
        <v/>
      </c>
      <c r="G30" s="31"/>
      <c r="H30" s="31"/>
      <c r="I30" s="31"/>
      <c r="J30" s="31"/>
      <c r="K30" s="31"/>
      <c r="L30" s="31"/>
    </row>
    <row r="31" spans="2:15" x14ac:dyDescent="0.25">
      <c r="B31" s="38">
        <v>14</v>
      </c>
      <c r="C31" s="39">
        <v>0</v>
      </c>
      <c r="D31" s="40">
        <v>6</v>
      </c>
      <c r="E31" s="27" t="str">
        <f t="shared" si="0"/>
        <v/>
      </c>
      <c r="G31" s="31"/>
      <c r="H31" s="31"/>
      <c r="I31" s="31"/>
      <c r="J31" s="31"/>
      <c r="K31" s="31"/>
      <c r="L31" s="31"/>
    </row>
    <row r="32" spans="2:15" x14ac:dyDescent="0.25">
      <c r="B32" s="38">
        <v>14.5</v>
      </c>
      <c r="C32" s="39">
        <v>0</v>
      </c>
      <c r="D32" s="40">
        <v>6</v>
      </c>
      <c r="E32" s="27" t="str">
        <f t="shared" si="0"/>
        <v/>
      </c>
      <c r="G32" s="31"/>
      <c r="H32" s="31"/>
      <c r="I32" s="31"/>
      <c r="J32" s="31"/>
      <c r="K32" s="31"/>
      <c r="L32" s="31"/>
    </row>
    <row r="33" spans="2:12" x14ac:dyDescent="0.25">
      <c r="B33" s="38">
        <v>15</v>
      </c>
      <c r="C33" s="39">
        <v>0</v>
      </c>
      <c r="D33" s="40">
        <v>6</v>
      </c>
      <c r="E33" s="27" t="str">
        <f t="shared" si="0"/>
        <v/>
      </c>
      <c r="G33" s="31"/>
      <c r="H33" s="31"/>
      <c r="I33" s="31"/>
      <c r="J33" s="31"/>
      <c r="K33" s="31"/>
      <c r="L33" s="31"/>
    </row>
    <row r="34" spans="2:12" x14ac:dyDescent="0.25">
      <c r="B34" s="38">
        <v>15.5</v>
      </c>
      <c r="C34" s="39">
        <v>0</v>
      </c>
      <c r="D34" s="40">
        <v>6</v>
      </c>
      <c r="E34" s="27" t="str">
        <f t="shared" si="0"/>
        <v/>
      </c>
      <c r="G34" s="31"/>
      <c r="H34" s="31"/>
      <c r="I34" s="31"/>
      <c r="J34" s="31"/>
      <c r="K34" s="31"/>
      <c r="L34" s="31"/>
    </row>
    <row r="35" spans="2:12" x14ac:dyDescent="0.25">
      <c r="B35" s="38">
        <v>16</v>
      </c>
      <c r="C35" s="39">
        <v>0</v>
      </c>
      <c r="D35" s="40">
        <v>6</v>
      </c>
      <c r="E35" s="27" t="str">
        <f t="shared" si="0"/>
        <v/>
      </c>
    </row>
    <row r="36" spans="2:12" x14ac:dyDescent="0.25">
      <c r="B36" s="38">
        <v>16.5</v>
      </c>
      <c r="C36" s="39">
        <v>0</v>
      </c>
      <c r="D36" s="40">
        <v>6</v>
      </c>
      <c r="E36" s="27" t="str">
        <f t="shared" si="0"/>
        <v/>
      </c>
    </row>
    <row r="37" spans="2:12" x14ac:dyDescent="0.25">
      <c r="B37" s="38">
        <v>17</v>
      </c>
      <c r="C37" s="39">
        <v>0</v>
      </c>
      <c r="D37" s="40">
        <v>6</v>
      </c>
      <c r="E37" s="27" t="str">
        <f t="shared" si="0"/>
        <v/>
      </c>
    </row>
    <row r="38" spans="2:12" x14ac:dyDescent="0.25">
      <c r="B38" s="38">
        <v>17.5</v>
      </c>
      <c r="C38" s="39">
        <v>0</v>
      </c>
      <c r="D38" s="40">
        <v>6</v>
      </c>
      <c r="E38" s="27" t="str">
        <f t="shared" si="0"/>
        <v/>
      </c>
    </row>
    <row r="39" spans="2:12" x14ac:dyDescent="0.25">
      <c r="B39" s="38">
        <v>18</v>
      </c>
      <c r="C39" s="39">
        <v>0</v>
      </c>
      <c r="D39" s="40">
        <v>6</v>
      </c>
      <c r="E39" s="27" t="str">
        <f t="shared" si="0"/>
        <v/>
      </c>
    </row>
    <row r="40" spans="2:12" x14ac:dyDescent="0.25">
      <c r="B40" s="38">
        <v>18.5</v>
      </c>
      <c r="C40" s="39">
        <v>0</v>
      </c>
      <c r="D40" s="40">
        <v>6</v>
      </c>
      <c r="E40" s="27" t="str">
        <f t="shared" si="0"/>
        <v/>
      </c>
    </row>
    <row r="41" spans="2:12" x14ac:dyDescent="0.25">
      <c r="B41" s="38">
        <v>19</v>
      </c>
      <c r="C41" s="39">
        <v>0</v>
      </c>
      <c r="D41" s="40">
        <v>6</v>
      </c>
      <c r="E41" s="27" t="str">
        <f t="shared" si="0"/>
        <v>+</v>
      </c>
    </row>
    <row r="42" spans="2:12" x14ac:dyDescent="0.25">
      <c r="B42" s="38">
        <v>19.5</v>
      </c>
      <c r="C42" s="39">
        <v>0</v>
      </c>
      <c r="D42" s="40">
        <v>6</v>
      </c>
      <c r="E42" s="27" t="str">
        <f t="shared" si="0"/>
        <v>++</v>
      </c>
    </row>
    <row r="43" spans="2:12" x14ac:dyDescent="0.25">
      <c r="B43" s="38">
        <v>20</v>
      </c>
      <c r="C43" s="39">
        <v>1</v>
      </c>
      <c r="D43" s="40" t="s">
        <v>100</v>
      </c>
      <c r="E43" s="27" t="str">
        <f t="shared" si="0"/>
        <v>--</v>
      </c>
    </row>
    <row r="44" spans="2:12" x14ac:dyDescent="0.25">
      <c r="B44" s="38">
        <v>20.5</v>
      </c>
      <c r="C44" s="39">
        <v>1</v>
      </c>
      <c r="D44" s="40" t="s">
        <v>100</v>
      </c>
      <c r="E44" s="27" t="str">
        <f t="shared" si="0"/>
        <v>-</v>
      </c>
    </row>
    <row r="45" spans="2:12" x14ac:dyDescent="0.25">
      <c r="B45" s="38">
        <v>21</v>
      </c>
      <c r="C45" s="39">
        <v>1</v>
      </c>
      <c r="D45" s="40" t="s">
        <v>100</v>
      </c>
      <c r="E45" s="27" t="str">
        <f t="shared" si="0"/>
        <v/>
      </c>
    </row>
    <row r="46" spans="2:12" x14ac:dyDescent="0.25">
      <c r="B46" s="38">
        <v>21.5</v>
      </c>
      <c r="C46" s="39">
        <v>1</v>
      </c>
      <c r="D46" s="40" t="s">
        <v>100</v>
      </c>
      <c r="E46" s="27" t="str">
        <f t="shared" si="0"/>
        <v/>
      </c>
    </row>
    <row r="47" spans="2:12" x14ac:dyDescent="0.25">
      <c r="B47" s="38">
        <v>22</v>
      </c>
      <c r="C47" s="39">
        <v>1</v>
      </c>
      <c r="D47" s="40" t="s">
        <v>100</v>
      </c>
      <c r="E47" s="27" t="str">
        <f t="shared" si="0"/>
        <v/>
      </c>
    </row>
    <row r="48" spans="2:12" x14ac:dyDescent="0.25">
      <c r="B48" s="38">
        <v>22.5</v>
      </c>
      <c r="C48" s="39">
        <v>1</v>
      </c>
      <c r="D48" s="40" t="s">
        <v>100</v>
      </c>
      <c r="E48" s="27" t="str">
        <f t="shared" si="0"/>
        <v/>
      </c>
    </row>
    <row r="49" spans="2:5" x14ac:dyDescent="0.25">
      <c r="B49" s="38">
        <v>23</v>
      </c>
      <c r="C49" s="39">
        <v>1</v>
      </c>
      <c r="D49" s="40" t="s">
        <v>100</v>
      </c>
      <c r="E49" s="27" t="str">
        <f t="shared" si="0"/>
        <v/>
      </c>
    </row>
    <row r="50" spans="2:5" x14ac:dyDescent="0.25">
      <c r="B50" s="38">
        <v>23.5</v>
      </c>
      <c r="C50" s="39">
        <v>1</v>
      </c>
      <c r="D50" s="40" t="s">
        <v>100</v>
      </c>
      <c r="E50" s="27" t="str">
        <f t="shared" si="0"/>
        <v/>
      </c>
    </row>
    <row r="51" spans="2:5" x14ac:dyDescent="0.25">
      <c r="B51" s="38">
        <v>24</v>
      </c>
      <c r="C51" s="39">
        <v>1</v>
      </c>
      <c r="D51" s="40" t="s">
        <v>100</v>
      </c>
      <c r="E51" s="27" t="str">
        <f>IF(AND($C51=$C52,$C52&lt;$C53),"+",IF($C51&lt;$C52,"++",IF(AND($C51=$C50,$C50&gt;$C49),"-",IF($C51&gt;$C50,"--",""))))</f>
        <v/>
      </c>
    </row>
    <row r="52" spans="2:5" x14ac:dyDescent="0.25">
      <c r="B52" s="38">
        <v>24.5</v>
      </c>
      <c r="C52" s="39">
        <v>1</v>
      </c>
      <c r="D52" s="40" t="s">
        <v>100</v>
      </c>
      <c r="E52" s="27" t="str">
        <f t="shared" ref="E52:E115" si="1">IF(AND($C52=$C53,$C53&lt;$C54),"+",IF($C52&lt;$C53,"++",IF(AND($C52=$C51,$C51&gt;$C50),"-",IF($C52&gt;$C51,"--",""))))</f>
        <v/>
      </c>
    </row>
    <row r="53" spans="2:5" x14ac:dyDescent="0.25">
      <c r="B53" s="38">
        <v>25</v>
      </c>
      <c r="C53" s="39">
        <v>1</v>
      </c>
      <c r="D53" s="41" t="s">
        <v>100</v>
      </c>
      <c r="E53" s="27" t="str">
        <f t="shared" si="1"/>
        <v/>
      </c>
    </row>
    <row r="54" spans="2:5" x14ac:dyDescent="0.25">
      <c r="B54" s="38">
        <v>25.5</v>
      </c>
      <c r="C54" s="39">
        <v>1</v>
      </c>
      <c r="D54" s="41" t="s">
        <v>100</v>
      </c>
      <c r="E54" s="27" t="str">
        <f t="shared" si="1"/>
        <v/>
      </c>
    </row>
    <row r="55" spans="2:5" x14ac:dyDescent="0.25">
      <c r="B55" s="38">
        <v>26</v>
      </c>
      <c r="C55" s="39">
        <v>1</v>
      </c>
      <c r="D55" s="41" t="s">
        <v>100</v>
      </c>
      <c r="E55" s="27" t="str">
        <f t="shared" si="1"/>
        <v>+</v>
      </c>
    </row>
    <row r="56" spans="2:5" x14ac:dyDescent="0.25">
      <c r="B56" s="38">
        <v>26.5</v>
      </c>
      <c r="C56" s="39">
        <v>1</v>
      </c>
      <c r="D56" s="41" t="s">
        <v>100</v>
      </c>
      <c r="E56" s="27" t="str">
        <f t="shared" si="1"/>
        <v>++</v>
      </c>
    </row>
    <row r="57" spans="2:5" x14ac:dyDescent="0.25">
      <c r="B57" s="38">
        <v>27</v>
      </c>
      <c r="C57" s="39">
        <v>2</v>
      </c>
      <c r="D57" s="41" t="s">
        <v>101</v>
      </c>
      <c r="E57" s="27" t="str">
        <f t="shared" si="1"/>
        <v>--</v>
      </c>
    </row>
    <row r="58" spans="2:5" x14ac:dyDescent="0.25">
      <c r="B58" s="38">
        <v>27.5</v>
      </c>
      <c r="C58" s="39">
        <v>2</v>
      </c>
      <c r="D58" s="41" t="s">
        <v>101</v>
      </c>
      <c r="E58" s="27" t="str">
        <f t="shared" si="1"/>
        <v>-</v>
      </c>
    </row>
    <row r="59" spans="2:5" x14ac:dyDescent="0.25">
      <c r="B59" s="38">
        <v>28</v>
      </c>
      <c r="C59" s="39">
        <v>2</v>
      </c>
      <c r="D59" s="41" t="s">
        <v>101</v>
      </c>
      <c r="E59" s="27" t="str">
        <f t="shared" si="1"/>
        <v/>
      </c>
    </row>
    <row r="60" spans="2:5" x14ac:dyDescent="0.25">
      <c r="B60" s="38">
        <v>28.5</v>
      </c>
      <c r="C60" s="39">
        <v>2</v>
      </c>
      <c r="D60" s="41" t="s">
        <v>101</v>
      </c>
      <c r="E60" s="27" t="str">
        <f t="shared" si="1"/>
        <v/>
      </c>
    </row>
    <row r="61" spans="2:5" x14ac:dyDescent="0.25">
      <c r="B61" s="38">
        <v>29</v>
      </c>
      <c r="C61" s="39">
        <v>2</v>
      </c>
      <c r="D61" s="41" t="s">
        <v>101</v>
      </c>
      <c r="E61" s="27" t="str">
        <f t="shared" si="1"/>
        <v/>
      </c>
    </row>
    <row r="62" spans="2:5" x14ac:dyDescent="0.25">
      <c r="B62" s="38">
        <v>29.5</v>
      </c>
      <c r="C62" s="39">
        <v>2</v>
      </c>
      <c r="D62" s="41" t="s">
        <v>101</v>
      </c>
      <c r="E62" s="27" t="str">
        <f t="shared" si="1"/>
        <v/>
      </c>
    </row>
    <row r="63" spans="2:5" x14ac:dyDescent="0.25">
      <c r="B63" s="38">
        <v>30</v>
      </c>
      <c r="C63" s="39">
        <v>2</v>
      </c>
      <c r="D63" s="41" t="s">
        <v>101</v>
      </c>
      <c r="E63" s="27" t="str">
        <f t="shared" si="1"/>
        <v/>
      </c>
    </row>
    <row r="64" spans="2:5" x14ac:dyDescent="0.25">
      <c r="B64" s="38">
        <v>30.5</v>
      </c>
      <c r="C64" s="39">
        <v>2</v>
      </c>
      <c r="D64" s="41" t="s">
        <v>101</v>
      </c>
      <c r="E64" s="27" t="str">
        <f t="shared" si="1"/>
        <v/>
      </c>
    </row>
    <row r="65" spans="2:5" x14ac:dyDescent="0.25">
      <c r="B65" s="38">
        <v>31</v>
      </c>
      <c r="C65" s="39">
        <v>2</v>
      </c>
      <c r="D65" s="41" t="s">
        <v>101</v>
      </c>
      <c r="E65" s="27" t="str">
        <f t="shared" si="1"/>
        <v/>
      </c>
    </row>
    <row r="66" spans="2:5" x14ac:dyDescent="0.25">
      <c r="B66" s="38">
        <v>31.5</v>
      </c>
      <c r="C66" s="39">
        <v>2</v>
      </c>
      <c r="D66" s="41" t="s">
        <v>101</v>
      </c>
      <c r="E66" s="27" t="str">
        <f t="shared" si="1"/>
        <v/>
      </c>
    </row>
    <row r="67" spans="2:5" x14ac:dyDescent="0.25">
      <c r="B67" s="38">
        <v>32</v>
      </c>
      <c r="C67" s="39">
        <v>2</v>
      </c>
      <c r="D67" s="41" t="s">
        <v>101</v>
      </c>
      <c r="E67" s="27" t="str">
        <f t="shared" si="1"/>
        <v>+</v>
      </c>
    </row>
    <row r="68" spans="2:5" x14ac:dyDescent="0.25">
      <c r="B68" s="38">
        <v>32.5</v>
      </c>
      <c r="C68" s="39">
        <v>2</v>
      </c>
      <c r="D68" s="41" t="s">
        <v>101</v>
      </c>
      <c r="E68" s="27" t="str">
        <f t="shared" si="1"/>
        <v>++</v>
      </c>
    </row>
    <row r="69" spans="2:5" x14ac:dyDescent="0.25">
      <c r="B69" s="38">
        <v>33</v>
      </c>
      <c r="C69" s="39">
        <v>3</v>
      </c>
      <c r="D69" s="40" t="s">
        <v>102</v>
      </c>
      <c r="E69" s="27" t="str">
        <f t="shared" si="1"/>
        <v>--</v>
      </c>
    </row>
    <row r="70" spans="2:5" x14ac:dyDescent="0.25">
      <c r="B70" s="38">
        <v>33.5</v>
      </c>
      <c r="C70" s="39">
        <v>3</v>
      </c>
      <c r="D70" s="40" t="s">
        <v>102</v>
      </c>
      <c r="E70" s="27" t="str">
        <f t="shared" si="1"/>
        <v>-</v>
      </c>
    </row>
    <row r="71" spans="2:5" x14ac:dyDescent="0.25">
      <c r="B71" s="38">
        <v>34</v>
      </c>
      <c r="C71" s="39">
        <v>3</v>
      </c>
      <c r="D71" s="40" t="s">
        <v>102</v>
      </c>
      <c r="E71" s="27" t="str">
        <f t="shared" si="1"/>
        <v/>
      </c>
    </row>
    <row r="72" spans="2:5" x14ac:dyDescent="0.25">
      <c r="B72" s="38">
        <v>34.5</v>
      </c>
      <c r="C72" s="39">
        <v>3</v>
      </c>
      <c r="D72" s="40" t="s">
        <v>102</v>
      </c>
      <c r="E72" s="27" t="str">
        <f t="shared" si="1"/>
        <v/>
      </c>
    </row>
    <row r="73" spans="2:5" x14ac:dyDescent="0.25">
      <c r="B73" s="38">
        <v>35</v>
      </c>
      <c r="C73" s="39">
        <v>3</v>
      </c>
      <c r="D73" s="40" t="s">
        <v>102</v>
      </c>
      <c r="E73" s="27" t="str">
        <f t="shared" si="1"/>
        <v/>
      </c>
    </row>
    <row r="74" spans="2:5" x14ac:dyDescent="0.25">
      <c r="B74" s="38">
        <v>35.5</v>
      </c>
      <c r="C74" s="39">
        <v>3</v>
      </c>
      <c r="D74" s="40" t="s">
        <v>102</v>
      </c>
      <c r="E74" s="27" t="str">
        <f t="shared" si="1"/>
        <v/>
      </c>
    </row>
    <row r="75" spans="2:5" x14ac:dyDescent="0.25">
      <c r="B75" s="38">
        <v>36</v>
      </c>
      <c r="C75" s="39">
        <v>3</v>
      </c>
      <c r="D75" s="40" t="s">
        <v>102</v>
      </c>
      <c r="E75" s="27" t="str">
        <f t="shared" si="1"/>
        <v/>
      </c>
    </row>
    <row r="76" spans="2:5" x14ac:dyDescent="0.25">
      <c r="B76" s="38">
        <v>36.5</v>
      </c>
      <c r="C76" s="39">
        <v>3</v>
      </c>
      <c r="D76" s="40" t="s">
        <v>102</v>
      </c>
      <c r="E76" s="27" t="str">
        <f t="shared" si="1"/>
        <v/>
      </c>
    </row>
    <row r="77" spans="2:5" x14ac:dyDescent="0.25">
      <c r="B77" s="38">
        <v>37</v>
      </c>
      <c r="C77" s="39">
        <v>3</v>
      </c>
      <c r="D77" s="40" t="s">
        <v>102</v>
      </c>
      <c r="E77" s="27" t="str">
        <f t="shared" si="1"/>
        <v/>
      </c>
    </row>
    <row r="78" spans="2:5" x14ac:dyDescent="0.25">
      <c r="B78" s="38">
        <v>37.5</v>
      </c>
      <c r="C78" s="39">
        <v>3</v>
      </c>
      <c r="D78" s="40" t="s">
        <v>102</v>
      </c>
      <c r="E78" s="27" t="str">
        <f t="shared" si="1"/>
        <v/>
      </c>
    </row>
    <row r="79" spans="2:5" x14ac:dyDescent="0.25">
      <c r="B79" s="38">
        <v>38</v>
      </c>
      <c r="C79" s="39">
        <v>3</v>
      </c>
      <c r="D79" s="40" t="s">
        <v>102</v>
      </c>
      <c r="E79" s="27" t="str">
        <f t="shared" si="1"/>
        <v/>
      </c>
    </row>
    <row r="80" spans="2:5" x14ac:dyDescent="0.25">
      <c r="B80" s="38">
        <v>38.5</v>
      </c>
      <c r="C80" s="39">
        <v>3</v>
      </c>
      <c r="D80" s="40" t="s">
        <v>102</v>
      </c>
      <c r="E80" s="27" t="str">
        <f t="shared" si="1"/>
        <v/>
      </c>
    </row>
    <row r="81" spans="2:5" x14ac:dyDescent="0.25">
      <c r="B81" s="38">
        <v>39</v>
      </c>
      <c r="C81" s="39">
        <v>3</v>
      </c>
      <c r="D81" s="40" t="s">
        <v>102</v>
      </c>
      <c r="E81" s="27" t="str">
        <f t="shared" si="1"/>
        <v>+</v>
      </c>
    </row>
    <row r="82" spans="2:5" x14ac:dyDescent="0.25">
      <c r="B82" s="38">
        <v>39.5</v>
      </c>
      <c r="C82" s="39">
        <v>3</v>
      </c>
      <c r="D82" s="40" t="s">
        <v>102</v>
      </c>
      <c r="E82" s="27" t="str">
        <f t="shared" si="1"/>
        <v>++</v>
      </c>
    </row>
    <row r="83" spans="2:5" x14ac:dyDescent="0.25">
      <c r="B83" s="38">
        <v>40</v>
      </c>
      <c r="C83" s="39">
        <v>4</v>
      </c>
      <c r="D83" s="40" t="s">
        <v>103</v>
      </c>
      <c r="E83" s="27" t="str">
        <f t="shared" si="1"/>
        <v>--</v>
      </c>
    </row>
    <row r="84" spans="2:5" x14ac:dyDescent="0.25">
      <c r="B84" s="38">
        <v>40.5</v>
      </c>
      <c r="C84" s="39">
        <v>4</v>
      </c>
      <c r="D84" s="40" t="s">
        <v>103</v>
      </c>
      <c r="E84" s="27" t="str">
        <f t="shared" si="1"/>
        <v>-</v>
      </c>
    </row>
    <row r="85" spans="2:5" x14ac:dyDescent="0.25">
      <c r="B85" s="38">
        <v>41</v>
      </c>
      <c r="C85" s="39">
        <v>4</v>
      </c>
      <c r="D85" s="42" t="s">
        <v>103</v>
      </c>
      <c r="E85" s="27" t="str">
        <f t="shared" si="1"/>
        <v/>
      </c>
    </row>
    <row r="86" spans="2:5" x14ac:dyDescent="0.25">
      <c r="B86" s="38">
        <v>41.5</v>
      </c>
      <c r="C86" s="39">
        <v>4</v>
      </c>
      <c r="D86" s="42" t="s">
        <v>103</v>
      </c>
      <c r="E86" s="27" t="str">
        <f t="shared" si="1"/>
        <v/>
      </c>
    </row>
    <row r="87" spans="2:5" x14ac:dyDescent="0.25">
      <c r="B87" s="38">
        <v>42</v>
      </c>
      <c r="C87" s="39">
        <v>4</v>
      </c>
      <c r="D87" s="42" t="s">
        <v>103</v>
      </c>
      <c r="E87" s="27" t="str">
        <f t="shared" si="1"/>
        <v/>
      </c>
    </row>
    <row r="88" spans="2:5" x14ac:dyDescent="0.25">
      <c r="B88" s="38">
        <v>42.5</v>
      </c>
      <c r="C88" s="39">
        <v>4</v>
      </c>
      <c r="D88" s="42" t="s">
        <v>103</v>
      </c>
      <c r="E88" s="27" t="str">
        <f t="shared" si="1"/>
        <v/>
      </c>
    </row>
    <row r="89" spans="2:5" x14ac:dyDescent="0.25">
      <c r="B89" s="38">
        <v>43</v>
      </c>
      <c r="C89" s="39">
        <v>4</v>
      </c>
      <c r="D89" s="42" t="s">
        <v>103</v>
      </c>
      <c r="E89" s="27" t="str">
        <f t="shared" si="1"/>
        <v/>
      </c>
    </row>
    <row r="90" spans="2:5" x14ac:dyDescent="0.25">
      <c r="B90" s="38">
        <v>43.5</v>
      </c>
      <c r="C90" s="39">
        <v>4</v>
      </c>
      <c r="D90" s="42" t="s">
        <v>103</v>
      </c>
      <c r="E90" s="27" t="str">
        <f t="shared" si="1"/>
        <v/>
      </c>
    </row>
    <row r="91" spans="2:5" x14ac:dyDescent="0.25">
      <c r="B91" s="38">
        <v>44</v>
      </c>
      <c r="C91" s="39">
        <v>4</v>
      </c>
      <c r="D91" s="42" t="s">
        <v>103</v>
      </c>
      <c r="E91" s="27" t="str">
        <f t="shared" si="1"/>
        <v>+</v>
      </c>
    </row>
    <row r="92" spans="2:5" x14ac:dyDescent="0.25">
      <c r="B92" s="38">
        <v>44.5</v>
      </c>
      <c r="C92" s="39">
        <v>4</v>
      </c>
      <c r="D92" s="42" t="s">
        <v>103</v>
      </c>
      <c r="E92" s="27" t="str">
        <f t="shared" si="1"/>
        <v>++</v>
      </c>
    </row>
    <row r="93" spans="2:5" x14ac:dyDescent="0.25">
      <c r="B93" s="38">
        <v>45</v>
      </c>
      <c r="C93" s="39">
        <v>5</v>
      </c>
      <c r="D93" s="42" t="s">
        <v>104</v>
      </c>
      <c r="E93" s="27" t="str">
        <f t="shared" si="1"/>
        <v>--</v>
      </c>
    </row>
    <row r="94" spans="2:5" x14ac:dyDescent="0.25">
      <c r="B94" s="38">
        <v>45.5</v>
      </c>
      <c r="C94" s="39">
        <v>5</v>
      </c>
      <c r="D94" s="42" t="s">
        <v>104</v>
      </c>
      <c r="E94" s="27" t="str">
        <f t="shared" si="1"/>
        <v>-</v>
      </c>
    </row>
    <row r="95" spans="2:5" x14ac:dyDescent="0.25">
      <c r="B95" s="38">
        <v>46</v>
      </c>
      <c r="C95" s="39">
        <v>5</v>
      </c>
      <c r="D95" s="42" t="s">
        <v>104</v>
      </c>
      <c r="E95" s="27" t="str">
        <f t="shared" si="1"/>
        <v/>
      </c>
    </row>
    <row r="96" spans="2:5" x14ac:dyDescent="0.25">
      <c r="B96" s="38">
        <v>46.5</v>
      </c>
      <c r="C96" s="39">
        <v>5</v>
      </c>
      <c r="D96" s="42" t="s">
        <v>104</v>
      </c>
      <c r="E96" s="27" t="str">
        <f t="shared" si="1"/>
        <v/>
      </c>
    </row>
    <row r="97" spans="2:5" x14ac:dyDescent="0.25">
      <c r="B97" s="38">
        <v>47</v>
      </c>
      <c r="C97" s="39">
        <v>5</v>
      </c>
      <c r="D97" s="42" t="s">
        <v>104</v>
      </c>
      <c r="E97" s="27" t="str">
        <f t="shared" si="1"/>
        <v/>
      </c>
    </row>
    <row r="98" spans="2:5" x14ac:dyDescent="0.25">
      <c r="B98" s="38">
        <v>47.5</v>
      </c>
      <c r="C98" s="39">
        <v>5</v>
      </c>
      <c r="D98" s="42" t="s">
        <v>104</v>
      </c>
      <c r="E98" s="27" t="str">
        <f t="shared" si="1"/>
        <v/>
      </c>
    </row>
    <row r="99" spans="2:5" x14ac:dyDescent="0.25">
      <c r="B99" s="38">
        <v>48</v>
      </c>
      <c r="C99" s="39">
        <v>5</v>
      </c>
      <c r="D99" s="42" t="s">
        <v>104</v>
      </c>
      <c r="E99" s="27" t="str">
        <f t="shared" si="1"/>
        <v/>
      </c>
    </row>
    <row r="100" spans="2:5" x14ac:dyDescent="0.25">
      <c r="B100" s="38">
        <v>48.5</v>
      </c>
      <c r="C100" s="39">
        <v>5</v>
      </c>
      <c r="D100" s="42" t="s">
        <v>104</v>
      </c>
      <c r="E100" s="27" t="str">
        <f t="shared" si="1"/>
        <v/>
      </c>
    </row>
    <row r="101" spans="2:5" x14ac:dyDescent="0.25">
      <c r="B101" s="38">
        <v>49</v>
      </c>
      <c r="C101" s="39">
        <v>5</v>
      </c>
      <c r="D101" s="41" t="s">
        <v>104</v>
      </c>
      <c r="E101" s="27" t="str">
        <f t="shared" si="1"/>
        <v>+</v>
      </c>
    </row>
    <row r="102" spans="2:5" x14ac:dyDescent="0.25">
      <c r="B102" s="38">
        <v>49.5</v>
      </c>
      <c r="C102" s="39">
        <v>5</v>
      </c>
      <c r="D102" s="41" t="s">
        <v>104</v>
      </c>
      <c r="E102" s="27" t="str">
        <f t="shared" si="1"/>
        <v>++</v>
      </c>
    </row>
    <row r="103" spans="2:5" x14ac:dyDescent="0.25">
      <c r="B103" s="38">
        <v>50</v>
      </c>
      <c r="C103" s="39">
        <v>6</v>
      </c>
      <c r="D103" s="41" t="s">
        <v>105</v>
      </c>
      <c r="E103" s="27" t="str">
        <f t="shared" si="1"/>
        <v>--</v>
      </c>
    </row>
    <row r="104" spans="2:5" x14ac:dyDescent="0.25">
      <c r="B104" s="38">
        <v>50.5</v>
      </c>
      <c r="C104" s="39">
        <v>6</v>
      </c>
      <c r="D104" s="41" t="s">
        <v>105</v>
      </c>
      <c r="E104" s="27" t="str">
        <f t="shared" si="1"/>
        <v>-</v>
      </c>
    </row>
    <row r="105" spans="2:5" x14ac:dyDescent="0.25">
      <c r="B105" s="38">
        <v>51</v>
      </c>
      <c r="C105" s="39">
        <v>6</v>
      </c>
      <c r="D105" s="41" t="s">
        <v>105</v>
      </c>
      <c r="E105" s="27" t="str">
        <f t="shared" si="1"/>
        <v/>
      </c>
    </row>
    <row r="106" spans="2:5" x14ac:dyDescent="0.25">
      <c r="B106" s="38">
        <v>51.5</v>
      </c>
      <c r="C106" s="39">
        <v>6</v>
      </c>
      <c r="D106" s="41" t="s">
        <v>105</v>
      </c>
      <c r="E106" s="27" t="str">
        <f t="shared" si="1"/>
        <v/>
      </c>
    </row>
    <row r="107" spans="2:5" x14ac:dyDescent="0.25">
      <c r="B107" s="38">
        <v>52</v>
      </c>
      <c r="C107" s="39">
        <v>6</v>
      </c>
      <c r="D107" s="41" t="s">
        <v>105</v>
      </c>
      <c r="E107" s="27" t="str">
        <f t="shared" si="1"/>
        <v/>
      </c>
    </row>
    <row r="108" spans="2:5" x14ac:dyDescent="0.25">
      <c r="B108" s="38">
        <v>52.5</v>
      </c>
      <c r="C108" s="39">
        <v>6</v>
      </c>
      <c r="D108" s="41" t="s">
        <v>105</v>
      </c>
      <c r="E108" s="27" t="str">
        <f t="shared" si="1"/>
        <v/>
      </c>
    </row>
    <row r="109" spans="2:5" x14ac:dyDescent="0.25">
      <c r="B109" s="38">
        <v>53</v>
      </c>
      <c r="C109" s="39">
        <v>6</v>
      </c>
      <c r="D109" s="41" t="s">
        <v>105</v>
      </c>
      <c r="E109" s="27" t="str">
        <f t="shared" si="1"/>
        <v/>
      </c>
    </row>
    <row r="110" spans="2:5" x14ac:dyDescent="0.25">
      <c r="B110" s="38">
        <v>53.5</v>
      </c>
      <c r="C110" s="39">
        <v>6</v>
      </c>
      <c r="D110" s="41" t="s">
        <v>105</v>
      </c>
      <c r="E110" s="27" t="str">
        <f t="shared" si="1"/>
        <v/>
      </c>
    </row>
    <row r="111" spans="2:5" x14ac:dyDescent="0.25">
      <c r="B111" s="38">
        <v>54</v>
      </c>
      <c r="C111" s="39">
        <v>6</v>
      </c>
      <c r="D111" s="41" t="s">
        <v>105</v>
      </c>
      <c r="E111" s="27" t="str">
        <f t="shared" si="1"/>
        <v>+</v>
      </c>
    </row>
    <row r="112" spans="2:5" x14ac:dyDescent="0.25">
      <c r="B112" s="38">
        <v>54.5</v>
      </c>
      <c r="C112" s="39">
        <v>6</v>
      </c>
      <c r="D112" s="41" t="s">
        <v>105</v>
      </c>
      <c r="E112" s="27" t="str">
        <f t="shared" si="1"/>
        <v>++</v>
      </c>
    </row>
    <row r="113" spans="2:5" x14ac:dyDescent="0.25">
      <c r="B113" s="38">
        <v>55</v>
      </c>
      <c r="C113" s="39">
        <v>7</v>
      </c>
      <c r="D113" s="40" t="s">
        <v>106</v>
      </c>
      <c r="E113" s="27" t="str">
        <f t="shared" si="1"/>
        <v>--</v>
      </c>
    </row>
    <row r="114" spans="2:5" x14ac:dyDescent="0.25">
      <c r="B114" s="38">
        <v>55.5</v>
      </c>
      <c r="C114" s="39">
        <v>7</v>
      </c>
      <c r="D114" s="40" t="s">
        <v>106</v>
      </c>
      <c r="E114" s="27" t="str">
        <f t="shared" si="1"/>
        <v>-</v>
      </c>
    </row>
    <row r="115" spans="2:5" x14ac:dyDescent="0.25">
      <c r="B115" s="38">
        <v>56</v>
      </c>
      <c r="C115" s="39">
        <v>7</v>
      </c>
      <c r="D115" s="40" t="s">
        <v>106</v>
      </c>
      <c r="E115" s="27" t="str">
        <f t="shared" si="1"/>
        <v/>
      </c>
    </row>
    <row r="116" spans="2:5" x14ac:dyDescent="0.25">
      <c r="B116" s="38">
        <v>56.5</v>
      </c>
      <c r="C116" s="39">
        <v>7</v>
      </c>
      <c r="D116" s="40" t="s">
        <v>106</v>
      </c>
      <c r="E116" s="27" t="str">
        <f t="shared" ref="E116:E179" si="2">IF(AND($C116=$C117,$C117&lt;$C118),"+",IF($C116&lt;$C117,"++",IF(AND($C116=$C115,$C115&gt;$C114),"-",IF($C116&gt;$C115,"--",""))))</f>
        <v/>
      </c>
    </row>
    <row r="117" spans="2:5" x14ac:dyDescent="0.25">
      <c r="B117" s="38">
        <v>57</v>
      </c>
      <c r="C117" s="39">
        <v>7</v>
      </c>
      <c r="D117" s="40" t="s">
        <v>106</v>
      </c>
      <c r="E117" s="27" t="str">
        <f t="shared" si="2"/>
        <v/>
      </c>
    </row>
    <row r="118" spans="2:5" x14ac:dyDescent="0.25">
      <c r="B118" s="38">
        <v>57.5</v>
      </c>
      <c r="C118" s="39">
        <v>7</v>
      </c>
      <c r="D118" s="40" t="s">
        <v>106</v>
      </c>
      <c r="E118" s="27" t="str">
        <f t="shared" si="2"/>
        <v/>
      </c>
    </row>
    <row r="119" spans="2:5" x14ac:dyDescent="0.25">
      <c r="B119" s="38">
        <v>58</v>
      </c>
      <c r="C119" s="39">
        <v>7</v>
      </c>
      <c r="D119" s="40" t="s">
        <v>106</v>
      </c>
      <c r="E119" s="27" t="str">
        <f t="shared" si="2"/>
        <v/>
      </c>
    </row>
    <row r="120" spans="2:5" x14ac:dyDescent="0.25">
      <c r="B120" s="38">
        <v>58.5</v>
      </c>
      <c r="C120" s="39">
        <v>7</v>
      </c>
      <c r="D120" s="40" t="s">
        <v>106</v>
      </c>
      <c r="E120" s="27" t="str">
        <f t="shared" si="2"/>
        <v/>
      </c>
    </row>
    <row r="121" spans="2:5" x14ac:dyDescent="0.25">
      <c r="B121" s="38">
        <v>59</v>
      </c>
      <c r="C121" s="39">
        <v>7</v>
      </c>
      <c r="D121" s="40" t="s">
        <v>106</v>
      </c>
      <c r="E121" s="27" t="str">
        <f t="shared" si="2"/>
        <v>+</v>
      </c>
    </row>
    <row r="122" spans="2:5" x14ac:dyDescent="0.25">
      <c r="B122" s="38">
        <v>59.5</v>
      </c>
      <c r="C122" s="39">
        <v>7</v>
      </c>
      <c r="D122" s="40" t="s">
        <v>106</v>
      </c>
      <c r="E122" s="27" t="str">
        <f t="shared" si="2"/>
        <v>++</v>
      </c>
    </row>
    <row r="123" spans="2:5" x14ac:dyDescent="0.25">
      <c r="B123" s="38">
        <v>60</v>
      </c>
      <c r="C123" s="39">
        <v>8</v>
      </c>
      <c r="D123" s="40" t="s">
        <v>18</v>
      </c>
      <c r="E123" s="27" t="str">
        <f t="shared" si="2"/>
        <v>--</v>
      </c>
    </row>
    <row r="124" spans="2:5" x14ac:dyDescent="0.25">
      <c r="B124" s="38">
        <v>60.5</v>
      </c>
      <c r="C124" s="39">
        <v>8</v>
      </c>
      <c r="D124" s="40" t="s">
        <v>18</v>
      </c>
      <c r="E124" s="27" t="str">
        <f t="shared" si="2"/>
        <v>-</v>
      </c>
    </row>
    <row r="125" spans="2:5" x14ac:dyDescent="0.25">
      <c r="B125" s="38">
        <v>61</v>
      </c>
      <c r="C125" s="39">
        <v>8</v>
      </c>
      <c r="D125" s="42" t="s">
        <v>18</v>
      </c>
      <c r="E125" s="27" t="str">
        <f t="shared" si="2"/>
        <v/>
      </c>
    </row>
    <row r="126" spans="2:5" x14ac:dyDescent="0.25">
      <c r="B126" s="38">
        <v>61.5</v>
      </c>
      <c r="C126" s="39">
        <v>8</v>
      </c>
      <c r="D126" s="42" t="s">
        <v>18</v>
      </c>
      <c r="E126" s="27" t="str">
        <f t="shared" si="2"/>
        <v/>
      </c>
    </row>
    <row r="127" spans="2:5" x14ac:dyDescent="0.25">
      <c r="B127" s="38">
        <v>62</v>
      </c>
      <c r="C127" s="39">
        <v>8</v>
      </c>
      <c r="D127" s="42" t="s">
        <v>18</v>
      </c>
      <c r="E127" s="27" t="str">
        <f t="shared" si="2"/>
        <v/>
      </c>
    </row>
    <row r="128" spans="2:5" x14ac:dyDescent="0.25">
      <c r="B128" s="38">
        <v>62.5</v>
      </c>
      <c r="C128" s="39">
        <v>8</v>
      </c>
      <c r="D128" s="42" t="s">
        <v>18</v>
      </c>
      <c r="E128" s="27" t="str">
        <f t="shared" si="2"/>
        <v/>
      </c>
    </row>
    <row r="129" spans="2:5" x14ac:dyDescent="0.25">
      <c r="B129" s="38">
        <v>63</v>
      </c>
      <c r="C129" s="39">
        <v>8</v>
      </c>
      <c r="D129" s="42" t="s">
        <v>18</v>
      </c>
      <c r="E129" s="27" t="str">
        <f t="shared" si="2"/>
        <v/>
      </c>
    </row>
    <row r="130" spans="2:5" x14ac:dyDescent="0.25">
      <c r="B130" s="38">
        <v>63.5</v>
      </c>
      <c r="C130" s="39">
        <v>8</v>
      </c>
      <c r="D130" s="42" t="s">
        <v>18</v>
      </c>
      <c r="E130" s="27" t="str">
        <f t="shared" si="2"/>
        <v/>
      </c>
    </row>
    <row r="131" spans="2:5" x14ac:dyDescent="0.25">
      <c r="B131" s="38">
        <v>64</v>
      </c>
      <c r="C131" s="39">
        <v>8</v>
      </c>
      <c r="D131" s="42" t="s">
        <v>18</v>
      </c>
      <c r="E131" s="27" t="str">
        <f t="shared" si="2"/>
        <v>+</v>
      </c>
    </row>
    <row r="132" spans="2:5" x14ac:dyDescent="0.25">
      <c r="B132" s="38">
        <v>64.5</v>
      </c>
      <c r="C132" s="39">
        <v>8</v>
      </c>
      <c r="D132" s="42" t="s">
        <v>18</v>
      </c>
      <c r="E132" s="27" t="str">
        <f t="shared" si="2"/>
        <v>++</v>
      </c>
    </row>
    <row r="133" spans="2:5" x14ac:dyDescent="0.25">
      <c r="B133" s="38">
        <v>65</v>
      </c>
      <c r="C133" s="39">
        <v>9</v>
      </c>
      <c r="D133" s="42" t="s">
        <v>107</v>
      </c>
      <c r="E133" s="27" t="str">
        <f t="shared" si="2"/>
        <v>--</v>
      </c>
    </row>
    <row r="134" spans="2:5" x14ac:dyDescent="0.25">
      <c r="B134" s="38">
        <v>65.5</v>
      </c>
      <c r="C134" s="39">
        <v>9</v>
      </c>
      <c r="D134" s="42" t="s">
        <v>107</v>
      </c>
      <c r="E134" s="27" t="str">
        <f t="shared" si="2"/>
        <v>-</v>
      </c>
    </row>
    <row r="135" spans="2:5" x14ac:dyDescent="0.25">
      <c r="B135" s="38">
        <v>66</v>
      </c>
      <c r="C135" s="39">
        <v>9</v>
      </c>
      <c r="D135" s="42" t="s">
        <v>107</v>
      </c>
      <c r="E135" s="27" t="str">
        <f t="shared" si="2"/>
        <v/>
      </c>
    </row>
    <row r="136" spans="2:5" x14ac:dyDescent="0.25">
      <c r="B136" s="38">
        <v>66.5</v>
      </c>
      <c r="C136" s="39">
        <v>9</v>
      </c>
      <c r="D136" s="42" t="s">
        <v>107</v>
      </c>
      <c r="E136" s="27" t="str">
        <f t="shared" si="2"/>
        <v/>
      </c>
    </row>
    <row r="137" spans="2:5" x14ac:dyDescent="0.25">
      <c r="B137" s="38">
        <v>67</v>
      </c>
      <c r="C137" s="39">
        <v>9</v>
      </c>
      <c r="D137" s="41" t="s">
        <v>107</v>
      </c>
      <c r="E137" s="27" t="str">
        <f t="shared" si="2"/>
        <v/>
      </c>
    </row>
    <row r="138" spans="2:5" x14ac:dyDescent="0.25">
      <c r="B138" s="38">
        <v>67.5</v>
      </c>
      <c r="C138" s="39">
        <v>9</v>
      </c>
      <c r="D138" s="41" t="s">
        <v>107</v>
      </c>
      <c r="E138" s="27" t="str">
        <f t="shared" si="2"/>
        <v/>
      </c>
    </row>
    <row r="139" spans="2:5" x14ac:dyDescent="0.25">
      <c r="B139" s="38">
        <v>68</v>
      </c>
      <c r="C139" s="39">
        <v>9</v>
      </c>
      <c r="D139" s="41" t="s">
        <v>107</v>
      </c>
      <c r="E139" s="27" t="str">
        <f t="shared" si="2"/>
        <v/>
      </c>
    </row>
    <row r="140" spans="2:5" x14ac:dyDescent="0.25">
      <c r="B140" s="38">
        <v>68.5</v>
      </c>
      <c r="C140" s="39">
        <v>9</v>
      </c>
      <c r="D140" s="41" t="s">
        <v>107</v>
      </c>
      <c r="E140" s="27" t="str">
        <f t="shared" si="2"/>
        <v/>
      </c>
    </row>
    <row r="141" spans="2:5" x14ac:dyDescent="0.25">
      <c r="B141" s="38">
        <v>69</v>
      </c>
      <c r="C141" s="39">
        <v>9</v>
      </c>
      <c r="D141" s="41" t="s">
        <v>107</v>
      </c>
      <c r="E141" s="27" t="str">
        <f t="shared" si="2"/>
        <v>+</v>
      </c>
    </row>
    <row r="142" spans="2:5" x14ac:dyDescent="0.25">
      <c r="B142" s="38">
        <v>69.5</v>
      </c>
      <c r="C142" s="39">
        <v>9</v>
      </c>
      <c r="D142" s="41" t="s">
        <v>107</v>
      </c>
      <c r="E142" s="27" t="str">
        <f t="shared" si="2"/>
        <v>++</v>
      </c>
    </row>
    <row r="143" spans="2:5" x14ac:dyDescent="0.25">
      <c r="B143" s="38">
        <v>70</v>
      </c>
      <c r="C143" s="39">
        <v>10</v>
      </c>
      <c r="D143" s="41" t="s">
        <v>108</v>
      </c>
      <c r="E143" s="27" t="str">
        <f t="shared" si="2"/>
        <v>--</v>
      </c>
    </row>
    <row r="144" spans="2:5" x14ac:dyDescent="0.25">
      <c r="B144" s="38">
        <v>70.5</v>
      </c>
      <c r="C144" s="39">
        <v>10</v>
      </c>
      <c r="D144" s="41" t="s">
        <v>108</v>
      </c>
      <c r="E144" s="27" t="str">
        <f t="shared" si="2"/>
        <v>-</v>
      </c>
    </row>
    <row r="145" spans="2:5" x14ac:dyDescent="0.25">
      <c r="B145" s="38">
        <v>71</v>
      </c>
      <c r="C145" s="39">
        <v>10</v>
      </c>
      <c r="D145" s="41" t="s">
        <v>108</v>
      </c>
      <c r="E145" s="27" t="str">
        <f t="shared" si="2"/>
        <v/>
      </c>
    </row>
    <row r="146" spans="2:5" x14ac:dyDescent="0.25">
      <c r="B146" s="38">
        <v>71.5</v>
      </c>
      <c r="C146" s="39">
        <v>10</v>
      </c>
      <c r="D146" s="41" t="s">
        <v>108</v>
      </c>
      <c r="E146" s="27" t="str">
        <f t="shared" si="2"/>
        <v/>
      </c>
    </row>
    <row r="147" spans="2:5" x14ac:dyDescent="0.25">
      <c r="B147" s="38">
        <v>72</v>
      </c>
      <c r="C147" s="39">
        <v>10</v>
      </c>
      <c r="D147" s="41" t="s">
        <v>108</v>
      </c>
      <c r="E147" s="27" t="str">
        <f t="shared" si="2"/>
        <v/>
      </c>
    </row>
    <row r="148" spans="2:5" x14ac:dyDescent="0.25">
      <c r="B148" s="38">
        <v>72.5</v>
      </c>
      <c r="C148" s="39">
        <v>10</v>
      </c>
      <c r="D148" s="41" t="s">
        <v>108</v>
      </c>
      <c r="E148" s="27" t="str">
        <f t="shared" si="2"/>
        <v/>
      </c>
    </row>
    <row r="149" spans="2:5" x14ac:dyDescent="0.25">
      <c r="B149" s="38">
        <v>73</v>
      </c>
      <c r="C149" s="39">
        <v>10</v>
      </c>
      <c r="D149" s="40" t="s">
        <v>108</v>
      </c>
      <c r="E149" s="27" t="str">
        <f t="shared" si="2"/>
        <v/>
      </c>
    </row>
    <row r="150" spans="2:5" x14ac:dyDescent="0.25">
      <c r="B150" s="38">
        <v>73.5</v>
      </c>
      <c r="C150" s="39">
        <v>10</v>
      </c>
      <c r="D150" s="40" t="s">
        <v>108</v>
      </c>
      <c r="E150" s="27" t="str">
        <f t="shared" si="2"/>
        <v/>
      </c>
    </row>
    <row r="151" spans="2:5" x14ac:dyDescent="0.25">
      <c r="B151" s="38">
        <v>74</v>
      </c>
      <c r="C151" s="39">
        <v>10</v>
      </c>
      <c r="D151" s="40" t="s">
        <v>108</v>
      </c>
      <c r="E151" s="27" t="str">
        <f t="shared" si="2"/>
        <v>+</v>
      </c>
    </row>
    <row r="152" spans="2:5" x14ac:dyDescent="0.25">
      <c r="B152" s="38">
        <v>74.5</v>
      </c>
      <c r="C152" s="39">
        <v>10</v>
      </c>
      <c r="D152" s="40" t="s">
        <v>108</v>
      </c>
      <c r="E152" s="27" t="str">
        <f t="shared" si="2"/>
        <v>++</v>
      </c>
    </row>
    <row r="153" spans="2:5" x14ac:dyDescent="0.25">
      <c r="B153" s="38">
        <v>75</v>
      </c>
      <c r="C153" s="39">
        <v>11</v>
      </c>
      <c r="D153" s="40" t="s">
        <v>17</v>
      </c>
      <c r="E153" s="27" t="str">
        <f t="shared" si="2"/>
        <v>--</v>
      </c>
    </row>
    <row r="154" spans="2:5" x14ac:dyDescent="0.25">
      <c r="B154" s="38">
        <v>75.5</v>
      </c>
      <c r="C154" s="39">
        <v>11</v>
      </c>
      <c r="D154" s="40" t="s">
        <v>17</v>
      </c>
      <c r="E154" s="27" t="str">
        <f t="shared" si="2"/>
        <v>-</v>
      </c>
    </row>
    <row r="155" spans="2:5" x14ac:dyDescent="0.25">
      <c r="B155" s="38">
        <v>76</v>
      </c>
      <c r="C155" s="39">
        <v>11</v>
      </c>
      <c r="D155" s="40" t="s">
        <v>17</v>
      </c>
      <c r="E155" s="27" t="str">
        <f t="shared" si="2"/>
        <v/>
      </c>
    </row>
    <row r="156" spans="2:5" x14ac:dyDescent="0.25">
      <c r="B156" s="38">
        <v>76.5</v>
      </c>
      <c r="C156" s="39">
        <v>11</v>
      </c>
      <c r="D156" s="40" t="s">
        <v>17</v>
      </c>
      <c r="E156" s="27" t="str">
        <f t="shared" si="2"/>
        <v/>
      </c>
    </row>
    <row r="157" spans="2:5" x14ac:dyDescent="0.25">
      <c r="B157" s="38">
        <v>77</v>
      </c>
      <c r="C157" s="39">
        <v>11</v>
      </c>
      <c r="D157" s="40" t="s">
        <v>17</v>
      </c>
      <c r="E157" s="27" t="str">
        <f t="shared" si="2"/>
        <v/>
      </c>
    </row>
    <row r="158" spans="2:5" x14ac:dyDescent="0.25">
      <c r="B158" s="38">
        <v>77.5</v>
      </c>
      <c r="C158" s="39">
        <v>11</v>
      </c>
      <c r="D158" s="40" t="s">
        <v>17</v>
      </c>
      <c r="E158" s="27" t="str">
        <f t="shared" si="2"/>
        <v/>
      </c>
    </row>
    <row r="159" spans="2:5" x14ac:dyDescent="0.25">
      <c r="B159" s="38">
        <v>78</v>
      </c>
      <c r="C159" s="39">
        <v>11</v>
      </c>
      <c r="D159" s="40" t="s">
        <v>17</v>
      </c>
      <c r="E159" s="27" t="str">
        <f t="shared" si="2"/>
        <v/>
      </c>
    </row>
    <row r="160" spans="2:5" x14ac:dyDescent="0.25">
      <c r="B160" s="38">
        <v>78.5</v>
      </c>
      <c r="C160" s="39">
        <v>11</v>
      </c>
      <c r="D160" s="40" t="s">
        <v>17</v>
      </c>
      <c r="E160" s="27" t="str">
        <f t="shared" si="2"/>
        <v/>
      </c>
    </row>
    <row r="161" spans="2:5" x14ac:dyDescent="0.25">
      <c r="B161" s="38">
        <v>79</v>
      </c>
      <c r="C161" s="39">
        <v>11</v>
      </c>
      <c r="D161" s="42" t="s">
        <v>17</v>
      </c>
      <c r="E161" s="27" t="str">
        <f t="shared" si="2"/>
        <v>+</v>
      </c>
    </row>
    <row r="162" spans="2:5" x14ac:dyDescent="0.25">
      <c r="B162" s="38">
        <v>79.5</v>
      </c>
      <c r="C162" s="39">
        <v>11</v>
      </c>
      <c r="D162" s="42" t="s">
        <v>17</v>
      </c>
      <c r="E162" s="27" t="str">
        <f t="shared" si="2"/>
        <v>++</v>
      </c>
    </row>
    <row r="163" spans="2:5" x14ac:dyDescent="0.25">
      <c r="B163" s="38">
        <v>80</v>
      </c>
      <c r="C163" s="39">
        <v>12</v>
      </c>
      <c r="D163" s="42" t="s">
        <v>109</v>
      </c>
      <c r="E163" s="27" t="str">
        <f t="shared" si="2"/>
        <v>--</v>
      </c>
    </row>
    <row r="164" spans="2:5" x14ac:dyDescent="0.25">
      <c r="B164" s="38">
        <v>80.5</v>
      </c>
      <c r="C164" s="39">
        <v>12</v>
      </c>
      <c r="D164" s="42" t="s">
        <v>109</v>
      </c>
      <c r="E164" s="27" t="str">
        <f t="shared" si="2"/>
        <v>-</v>
      </c>
    </row>
    <row r="165" spans="2:5" x14ac:dyDescent="0.25">
      <c r="B165" s="38">
        <v>81</v>
      </c>
      <c r="C165" s="39">
        <v>12</v>
      </c>
      <c r="D165" s="42" t="s">
        <v>109</v>
      </c>
      <c r="E165" s="27" t="str">
        <f t="shared" si="2"/>
        <v/>
      </c>
    </row>
    <row r="166" spans="2:5" x14ac:dyDescent="0.25">
      <c r="B166" s="38">
        <v>81.5</v>
      </c>
      <c r="C166" s="39">
        <v>12</v>
      </c>
      <c r="D166" s="42" t="s">
        <v>109</v>
      </c>
      <c r="E166" s="27" t="str">
        <f t="shared" si="2"/>
        <v/>
      </c>
    </row>
    <row r="167" spans="2:5" x14ac:dyDescent="0.25">
      <c r="B167" s="38">
        <v>82</v>
      </c>
      <c r="C167" s="39">
        <v>12</v>
      </c>
      <c r="D167" s="42" t="s">
        <v>109</v>
      </c>
      <c r="E167" s="27" t="str">
        <f t="shared" si="2"/>
        <v/>
      </c>
    </row>
    <row r="168" spans="2:5" x14ac:dyDescent="0.25">
      <c r="B168" s="38">
        <v>82.5</v>
      </c>
      <c r="C168" s="39">
        <v>12</v>
      </c>
      <c r="D168" s="42" t="s">
        <v>109</v>
      </c>
      <c r="E168" s="27" t="str">
        <f t="shared" si="2"/>
        <v/>
      </c>
    </row>
    <row r="169" spans="2:5" x14ac:dyDescent="0.25">
      <c r="B169" s="38">
        <v>83</v>
      </c>
      <c r="C169" s="39">
        <v>12</v>
      </c>
      <c r="D169" s="42" t="s">
        <v>109</v>
      </c>
      <c r="E169" s="27" t="str">
        <f t="shared" si="2"/>
        <v/>
      </c>
    </row>
    <row r="170" spans="2:5" x14ac:dyDescent="0.25">
      <c r="B170" s="38">
        <v>83.5</v>
      </c>
      <c r="C170" s="39">
        <v>12</v>
      </c>
      <c r="D170" s="42" t="s">
        <v>109</v>
      </c>
      <c r="E170" s="27" t="str">
        <f t="shared" si="2"/>
        <v/>
      </c>
    </row>
    <row r="171" spans="2:5" x14ac:dyDescent="0.25">
      <c r="B171" s="38">
        <v>84</v>
      </c>
      <c r="C171" s="39">
        <v>12</v>
      </c>
      <c r="D171" s="42" t="s">
        <v>109</v>
      </c>
      <c r="E171" s="27" t="str">
        <f t="shared" si="2"/>
        <v>+</v>
      </c>
    </row>
    <row r="172" spans="2:5" x14ac:dyDescent="0.25">
      <c r="B172" s="38">
        <v>84.5</v>
      </c>
      <c r="C172" s="39">
        <v>12</v>
      </c>
      <c r="D172" s="42" t="s">
        <v>109</v>
      </c>
      <c r="E172" s="27" t="str">
        <f t="shared" si="2"/>
        <v>++</v>
      </c>
    </row>
    <row r="173" spans="2:5" x14ac:dyDescent="0.25">
      <c r="B173" s="38">
        <v>85</v>
      </c>
      <c r="C173" s="39">
        <v>13</v>
      </c>
      <c r="D173" s="41" t="s">
        <v>110</v>
      </c>
      <c r="E173" s="27" t="str">
        <f t="shared" si="2"/>
        <v>--</v>
      </c>
    </row>
    <row r="174" spans="2:5" x14ac:dyDescent="0.25">
      <c r="B174" s="38">
        <v>85.5</v>
      </c>
      <c r="C174" s="39">
        <v>13</v>
      </c>
      <c r="D174" s="41" t="s">
        <v>110</v>
      </c>
      <c r="E174" s="27" t="str">
        <f t="shared" si="2"/>
        <v>-</v>
      </c>
    </row>
    <row r="175" spans="2:5" x14ac:dyDescent="0.25">
      <c r="B175" s="38">
        <v>86</v>
      </c>
      <c r="C175" s="39">
        <v>13</v>
      </c>
      <c r="D175" s="41" t="s">
        <v>110</v>
      </c>
      <c r="E175" s="27" t="str">
        <f t="shared" si="2"/>
        <v/>
      </c>
    </row>
    <row r="176" spans="2:5" x14ac:dyDescent="0.25">
      <c r="B176" s="38">
        <v>86.5</v>
      </c>
      <c r="C176" s="39">
        <v>13</v>
      </c>
      <c r="D176" s="41" t="s">
        <v>110</v>
      </c>
      <c r="E176" s="27" t="str">
        <f t="shared" si="2"/>
        <v/>
      </c>
    </row>
    <row r="177" spans="2:5" x14ac:dyDescent="0.25">
      <c r="B177" s="38">
        <v>87</v>
      </c>
      <c r="C177" s="39">
        <v>13</v>
      </c>
      <c r="D177" s="41" t="s">
        <v>110</v>
      </c>
      <c r="E177" s="27" t="str">
        <f t="shared" si="2"/>
        <v/>
      </c>
    </row>
    <row r="178" spans="2:5" x14ac:dyDescent="0.25">
      <c r="B178" s="38">
        <v>87.5</v>
      </c>
      <c r="C178" s="39">
        <v>13</v>
      </c>
      <c r="D178" s="41" t="s">
        <v>110</v>
      </c>
      <c r="E178" s="27" t="str">
        <f t="shared" si="2"/>
        <v/>
      </c>
    </row>
    <row r="179" spans="2:5" x14ac:dyDescent="0.25">
      <c r="B179" s="38">
        <v>88</v>
      </c>
      <c r="C179" s="39">
        <v>13</v>
      </c>
      <c r="D179" s="41" t="s">
        <v>110</v>
      </c>
      <c r="E179" s="27" t="str">
        <f t="shared" si="2"/>
        <v/>
      </c>
    </row>
    <row r="180" spans="2:5" x14ac:dyDescent="0.25">
      <c r="B180" s="38">
        <v>88.5</v>
      </c>
      <c r="C180" s="39">
        <v>13</v>
      </c>
      <c r="D180" s="41" t="s">
        <v>110</v>
      </c>
      <c r="E180" s="27" t="str">
        <f t="shared" ref="E180:E244" si="3">IF(AND($C180=$C181,$C181&lt;$C182),"+",IF($C180&lt;$C181,"++",IF(AND($C180=$C179,$C179&gt;$C178),"-",IF($C180&gt;$C179,"--",""))))</f>
        <v/>
      </c>
    </row>
    <row r="181" spans="2:5" x14ac:dyDescent="0.25">
      <c r="B181" s="38">
        <v>89</v>
      </c>
      <c r="C181" s="39">
        <v>13</v>
      </c>
      <c r="D181" s="41" t="s">
        <v>110</v>
      </c>
      <c r="E181" s="27" t="str">
        <f t="shared" si="3"/>
        <v>+</v>
      </c>
    </row>
    <row r="182" spans="2:5" x14ac:dyDescent="0.25">
      <c r="B182" s="38">
        <v>89.5</v>
      </c>
      <c r="C182" s="39">
        <v>13</v>
      </c>
      <c r="D182" s="41" t="s">
        <v>110</v>
      </c>
      <c r="E182" s="27" t="str">
        <f t="shared" si="3"/>
        <v>++</v>
      </c>
    </row>
    <row r="183" spans="2:5" x14ac:dyDescent="0.25">
      <c r="B183" s="38">
        <v>90</v>
      </c>
      <c r="C183" s="39">
        <v>14</v>
      </c>
      <c r="D183" s="41" t="s">
        <v>19</v>
      </c>
      <c r="E183" s="27" t="str">
        <f t="shared" si="3"/>
        <v>--</v>
      </c>
    </row>
    <row r="184" spans="2:5" x14ac:dyDescent="0.25">
      <c r="B184" s="38">
        <v>90.5</v>
      </c>
      <c r="C184" s="39">
        <v>14</v>
      </c>
      <c r="D184" s="41" t="s">
        <v>19</v>
      </c>
      <c r="E184" s="27" t="str">
        <f t="shared" si="3"/>
        <v>-</v>
      </c>
    </row>
    <row r="185" spans="2:5" x14ac:dyDescent="0.25">
      <c r="B185" s="38">
        <v>91</v>
      </c>
      <c r="C185" s="39">
        <v>14</v>
      </c>
      <c r="D185" s="40" t="s">
        <v>19</v>
      </c>
      <c r="E185" s="27" t="str">
        <f t="shared" si="3"/>
        <v/>
      </c>
    </row>
    <row r="186" spans="2:5" x14ac:dyDescent="0.25">
      <c r="B186" s="38">
        <v>91.5</v>
      </c>
      <c r="C186" s="39">
        <v>14</v>
      </c>
      <c r="D186" s="40" t="s">
        <v>19</v>
      </c>
      <c r="E186" s="27" t="str">
        <f t="shared" si="3"/>
        <v/>
      </c>
    </row>
    <row r="187" spans="2:5" x14ac:dyDescent="0.25">
      <c r="B187" s="38">
        <v>92</v>
      </c>
      <c r="C187" s="39">
        <v>14</v>
      </c>
      <c r="D187" s="40" t="s">
        <v>19</v>
      </c>
      <c r="E187" s="27" t="str">
        <f t="shared" si="3"/>
        <v/>
      </c>
    </row>
    <row r="188" spans="2:5" x14ac:dyDescent="0.25">
      <c r="B188" s="38">
        <v>92.5</v>
      </c>
      <c r="C188" s="39">
        <v>14</v>
      </c>
      <c r="D188" s="40" t="s">
        <v>19</v>
      </c>
      <c r="E188" s="27" t="str">
        <f t="shared" si="3"/>
        <v/>
      </c>
    </row>
    <row r="189" spans="2:5" x14ac:dyDescent="0.25">
      <c r="B189" s="38">
        <v>93</v>
      </c>
      <c r="C189" s="39">
        <v>14</v>
      </c>
      <c r="D189" s="40" t="s">
        <v>19</v>
      </c>
      <c r="E189" s="27" t="str">
        <f t="shared" si="3"/>
        <v/>
      </c>
    </row>
    <row r="190" spans="2:5" x14ac:dyDescent="0.25">
      <c r="B190" s="38">
        <v>93.5</v>
      </c>
      <c r="C190" s="39">
        <v>14</v>
      </c>
      <c r="D190" s="40" t="s">
        <v>19</v>
      </c>
      <c r="E190" s="27" t="str">
        <f t="shared" si="3"/>
        <v/>
      </c>
    </row>
    <row r="191" spans="2:5" x14ac:dyDescent="0.25">
      <c r="B191" s="38">
        <v>94</v>
      </c>
      <c r="C191" s="39">
        <v>14</v>
      </c>
      <c r="D191" s="40" t="s">
        <v>19</v>
      </c>
      <c r="E191" s="27" t="str">
        <f t="shared" si="3"/>
        <v>+</v>
      </c>
    </row>
    <row r="192" spans="2:5" x14ac:dyDescent="0.25">
      <c r="B192" s="38">
        <v>94.5</v>
      </c>
      <c r="C192" s="39">
        <v>14</v>
      </c>
      <c r="D192" s="40" t="s">
        <v>19</v>
      </c>
      <c r="E192" s="27" t="str">
        <f t="shared" si="3"/>
        <v>++</v>
      </c>
    </row>
    <row r="193" spans="2:5" x14ac:dyDescent="0.25">
      <c r="B193" s="38">
        <v>95</v>
      </c>
      <c r="C193" s="39">
        <v>15</v>
      </c>
      <c r="D193" s="40" t="s">
        <v>111</v>
      </c>
      <c r="E193" s="27" t="str">
        <f t="shared" si="3"/>
        <v>--</v>
      </c>
    </row>
    <row r="194" spans="2:5" x14ac:dyDescent="0.25">
      <c r="B194" s="38">
        <v>95.5</v>
      </c>
      <c r="C194" s="39">
        <v>15</v>
      </c>
      <c r="D194" s="40" t="s">
        <v>111</v>
      </c>
      <c r="E194" s="27" t="str">
        <f t="shared" si="3"/>
        <v>-</v>
      </c>
    </row>
    <row r="195" spans="2:5" x14ac:dyDescent="0.25">
      <c r="B195" s="38">
        <v>96</v>
      </c>
      <c r="C195" s="39">
        <v>15</v>
      </c>
      <c r="D195" s="40" t="s">
        <v>111</v>
      </c>
      <c r="E195" s="27" t="str">
        <f t="shared" si="3"/>
        <v/>
      </c>
    </row>
    <row r="196" spans="2:5" x14ac:dyDescent="0.25">
      <c r="B196" s="38">
        <v>96.5</v>
      </c>
      <c r="C196" s="39">
        <v>15</v>
      </c>
      <c r="D196" s="42" t="s">
        <v>111</v>
      </c>
      <c r="E196" s="27" t="str">
        <f t="shared" si="3"/>
        <v/>
      </c>
    </row>
    <row r="197" spans="2:5" x14ac:dyDescent="0.25">
      <c r="B197" s="38">
        <v>97</v>
      </c>
      <c r="C197" s="39">
        <v>15</v>
      </c>
      <c r="D197" s="42" t="s">
        <v>111</v>
      </c>
      <c r="E197" s="27" t="str">
        <f t="shared" si="3"/>
        <v/>
      </c>
    </row>
    <row r="198" spans="2:5" x14ac:dyDescent="0.25">
      <c r="B198" s="38">
        <v>97.5</v>
      </c>
      <c r="C198" s="39">
        <v>15</v>
      </c>
      <c r="D198" s="42" t="s">
        <v>111</v>
      </c>
      <c r="E198" s="27" t="str">
        <f t="shared" si="3"/>
        <v/>
      </c>
    </row>
    <row r="199" spans="2:5" x14ac:dyDescent="0.25">
      <c r="B199" s="38">
        <v>98</v>
      </c>
      <c r="C199" s="39">
        <v>15</v>
      </c>
      <c r="D199" s="42" t="s">
        <v>111</v>
      </c>
      <c r="E199" s="27" t="str">
        <f t="shared" si="3"/>
        <v/>
      </c>
    </row>
    <row r="200" spans="2:5" x14ac:dyDescent="0.25">
      <c r="B200" s="38">
        <v>98.5</v>
      </c>
      <c r="C200" s="39">
        <v>15</v>
      </c>
      <c r="D200" s="42" t="s">
        <v>111</v>
      </c>
      <c r="E200" s="27" t="str">
        <f t="shared" si="3"/>
        <v/>
      </c>
    </row>
    <row r="201" spans="2:5" x14ac:dyDescent="0.25">
      <c r="B201" s="38">
        <v>99</v>
      </c>
      <c r="C201" s="39">
        <v>15</v>
      </c>
      <c r="D201" s="42" t="s">
        <v>111</v>
      </c>
      <c r="E201" s="27" t="str">
        <f t="shared" si="3"/>
        <v/>
      </c>
    </row>
    <row r="202" spans="2:5" x14ac:dyDescent="0.25">
      <c r="B202" s="38">
        <v>99.5</v>
      </c>
      <c r="C202" s="39">
        <v>15</v>
      </c>
      <c r="D202" s="42" t="s">
        <v>111</v>
      </c>
      <c r="E202" s="27" t="str">
        <f t="shared" si="3"/>
        <v/>
      </c>
    </row>
    <row r="203" spans="2:5" x14ac:dyDescent="0.25">
      <c r="B203" s="38">
        <v>100</v>
      </c>
      <c r="C203" s="39">
        <v>15</v>
      </c>
      <c r="D203" s="42" t="s">
        <v>111</v>
      </c>
      <c r="E203" s="27" t="str">
        <f t="shared" si="3"/>
        <v/>
      </c>
    </row>
    <row r="204" spans="2:5" x14ac:dyDescent="0.25">
      <c r="B204" s="38"/>
      <c r="C204" s="39"/>
      <c r="D204" s="42"/>
      <c r="E204" s="27" t="str">
        <f t="shared" si="3"/>
        <v/>
      </c>
    </row>
    <row r="205" spans="2:5" x14ac:dyDescent="0.25">
      <c r="B205" s="38"/>
      <c r="C205" s="39"/>
      <c r="D205" s="42"/>
      <c r="E205" s="27" t="str">
        <f t="shared" si="3"/>
        <v/>
      </c>
    </row>
    <row r="206" spans="2:5" x14ac:dyDescent="0.25">
      <c r="B206" s="38"/>
      <c r="C206" s="39"/>
      <c r="D206" s="42"/>
      <c r="E206" s="27" t="str">
        <f t="shared" si="3"/>
        <v/>
      </c>
    </row>
    <row r="207" spans="2:5" x14ac:dyDescent="0.25">
      <c r="B207" s="38"/>
      <c r="C207" s="39"/>
      <c r="D207" s="42"/>
      <c r="E207" s="27" t="str">
        <f t="shared" si="3"/>
        <v/>
      </c>
    </row>
    <row r="208" spans="2:5" x14ac:dyDescent="0.25">
      <c r="B208" s="38"/>
      <c r="C208" s="39"/>
      <c r="D208" s="42"/>
      <c r="E208" s="27" t="str">
        <f t="shared" si="3"/>
        <v/>
      </c>
    </row>
    <row r="209" spans="2:5" x14ac:dyDescent="0.25">
      <c r="B209" s="38"/>
      <c r="C209" s="39"/>
      <c r="D209" s="41"/>
      <c r="E209" s="27" t="str">
        <f t="shared" si="3"/>
        <v/>
      </c>
    </row>
    <row r="210" spans="2:5" x14ac:dyDescent="0.25">
      <c r="B210" s="38"/>
      <c r="C210" s="39"/>
      <c r="D210" s="41"/>
      <c r="E210" s="27" t="str">
        <f t="shared" si="3"/>
        <v/>
      </c>
    </row>
    <row r="211" spans="2:5" x14ac:dyDescent="0.25">
      <c r="B211" s="38"/>
      <c r="C211" s="39"/>
      <c r="D211" s="41"/>
      <c r="E211" s="27" t="str">
        <f t="shared" si="3"/>
        <v/>
      </c>
    </row>
    <row r="212" spans="2:5" x14ac:dyDescent="0.25">
      <c r="B212" s="38"/>
      <c r="C212" s="39"/>
      <c r="D212" s="41"/>
      <c r="E212" s="27" t="str">
        <f t="shared" si="3"/>
        <v/>
      </c>
    </row>
    <row r="213" spans="2:5" x14ac:dyDescent="0.25">
      <c r="B213" s="38"/>
      <c r="C213" s="39"/>
      <c r="D213" s="41"/>
      <c r="E213" s="27" t="str">
        <f t="shared" si="3"/>
        <v/>
      </c>
    </row>
    <row r="214" spans="2:5" x14ac:dyDescent="0.25">
      <c r="B214" s="38"/>
      <c r="C214" s="39"/>
      <c r="D214" s="41"/>
      <c r="E214" s="27" t="str">
        <f t="shared" si="3"/>
        <v/>
      </c>
    </row>
    <row r="215" spans="2:5" x14ac:dyDescent="0.25">
      <c r="B215" s="38"/>
      <c r="C215" s="39"/>
      <c r="D215" s="41"/>
      <c r="E215" s="27" t="str">
        <f t="shared" si="3"/>
        <v/>
      </c>
    </row>
    <row r="216" spans="2:5" x14ac:dyDescent="0.25">
      <c r="B216" s="38"/>
      <c r="C216" s="39"/>
      <c r="D216" s="41"/>
      <c r="E216" s="27" t="str">
        <f t="shared" si="3"/>
        <v/>
      </c>
    </row>
    <row r="217" spans="2:5" x14ac:dyDescent="0.25">
      <c r="B217" s="38"/>
      <c r="C217" s="39"/>
      <c r="D217" s="41"/>
      <c r="E217" s="27" t="str">
        <f t="shared" si="3"/>
        <v/>
      </c>
    </row>
    <row r="218" spans="2:5" x14ac:dyDescent="0.25">
      <c r="B218" s="38"/>
      <c r="C218" s="39"/>
      <c r="D218" s="41"/>
      <c r="E218" s="27" t="str">
        <f t="shared" si="3"/>
        <v/>
      </c>
    </row>
    <row r="219" spans="2:5" x14ac:dyDescent="0.25">
      <c r="B219" s="38"/>
      <c r="C219" s="39"/>
      <c r="D219" s="41"/>
      <c r="E219" s="27" t="str">
        <f t="shared" si="3"/>
        <v/>
      </c>
    </row>
    <row r="220" spans="2:5" x14ac:dyDescent="0.25">
      <c r="B220" s="38"/>
      <c r="C220" s="39"/>
      <c r="D220" s="41"/>
      <c r="E220" s="27" t="str">
        <f t="shared" si="3"/>
        <v/>
      </c>
    </row>
    <row r="221" spans="2:5" x14ac:dyDescent="0.25">
      <c r="B221" s="38"/>
      <c r="C221" s="39"/>
      <c r="D221" s="40"/>
      <c r="E221" s="27" t="str">
        <f t="shared" si="3"/>
        <v/>
      </c>
    </row>
    <row r="222" spans="2:5" x14ac:dyDescent="0.25">
      <c r="B222" s="38"/>
      <c r="C222" s="39"/>
      <c r="D222" s="40"/>
      <c r="E222" s="27" t="str">
        <f t="shared" si="3"/>
        <v/>
      </c>
    </row>
    <row r="223" spans="2:5" x14ac:dyDescent="0.25">
      <c r="B223" s="38"/>
      <c r="C223" s="39"/>
      <c r="D223" s="40"/>
      <c r="E223" s="27" t="str">
        <f t="shared" si="3"/>
        <v/>
      </c>
    </row>
    <row r="224" spans="2:5" x14ac:dyDescent="0.25">
      <c r="B224" s="38"/>
      <c r="C224" s="39"/>
      <c r="D224" s="40"/>
      <c r="E224" s="27" t="str">
        <f t="shared" si="3"/>
        <v/>
      </c>
    </row>
    <row r="225" spans="2:5" x14ac:dyDescent="0.25">
      <c r="B225" s="38"/>
      <c r="C225" s="39"/>
      <c r="D225" s="40"/>
      <c r="E225" s="27" t="str">
        <f t="shared" si="3"/>
        <v/>
      </c>
    </row>
    <row r="226" spans="2:5" x14ac:dyDescent="0.25">
      <c r="B226" s="38"/>
      <c r="C226" s="39"/>
      <c r="D226" s="40"/>
      <c r="E226" s="27" t="str">
        <f t="shared" si="3"/>
        <v/>
      </c>
    </row>
    <row r="227" spans="2:5" x14ac:dyDescent="0.25">
      <c r="B227" s="38"/>
      <c r="C227" s="39"/>
      <c r="D227" s="40"/>
      <c r="E227" s="27" t="str">
        <f t="shared" si="3"/>
        <v/>
      </c>
    </row>
    <row r="228" spans="2:5" x14ac:dyDescent="0.25">
      <c r="B228" s="38"/>
      <c r="C228" s="39"/>
      <c r="D228" s="40"/>
      <c r="E228" s="27" t="str">
        <f t="shared" si="3"/>
        <v/>
      </c>
    </row>
    <row r="229" spans="2:5" x14ac:dyDescent="0.25">
      <c r="B229" s="38"/>
      <c r="C229" s="39"/>
      <c r="D229" s="40"/>
      <c r="E229" s="27" t="str">
        <f t="shared" si="3"/>
        <v/>
      </c>
    </row>
    <row r="230" spans="2:5" x14ac:dyDescent="0.25">
      <c r="B230" s="38"/>
      <c r="C230" s="39"/>
      <c r="D230" s="40"/>
      <c r="E230" s="27" t="str">
        <f t="shared" si="3"/>
        <v/>
      </c>
    </row>
    <row r="231" spans="2:5" x14ac:dyDescent="0.25">
      <c r="B231" s="38"/>
      <c r="C231" s="39"/>
      <c r="D231" s="40"/>
      <c r="E231" s="27" t="str">
        <f t="shared" si="3"/>
        <v/>
      </c>
    </row>
    <row r="232" spans="2:5" x14ac:dyDescent="0.25">
      <c r="B232" s="38"/>
      <c r="C232" s="39"/>
      <c r="D232" s="40"/>
      <c r="E232" s="27" t="str">
        <f t="shared" si="3"/>
        <v/>
      </c>
    </row>
    <row r="233" spans="2:5" x14ac:dyDescent="0.25">
      <c r="B233" s="38"/>
      <c r="C233" s="39"/>
      <c r="D233" s="42"/>
      <c r="E233" s="27" t="str">
        <f t="shared" si="3"/>
        <v/>
      </c>
    </row>
    <row r="234" spans="2:5" x14ac:dyDescent="0.25">
      <c r="B234" s="38"/>
      <c r="C234" s="39"/>
      <c r="D234" s="42"/>
      <c r="E234" s="27" t="str">
        <f t="shared" si="3"/>
        <v/>
      </c>
    </row>
    <row r="235" spans="2:5" x14ac:dyDescent="0.25">
      <c r="B235" s="38"/>
      <c r="C235" s="39"/>
      <c r="D235" s="42"/>
      <c r="E235" s="27" t="str">
        <f t="shared" si="3"/>
        <v/>
      </c>
    </row>
    <row r="236" spans="2:5" x14ac:dyDescent="0.25">
      <c r="B236" s="38"/>
      <c r="C236" s="39"/>
      <c r="D236" s="42"/>
      <c r="E236" s="27" t="str">
        <f t="shared" si="3"/>
        <v/>
      </c>
    </row>
    <row r="237" spans="2:5" x14ac:dyDescent="0.25">
      <c r="B237" s="38"/>
      <c r="C237" s="39"/>
      <c r="D237" s="42"/>
      <c r="E237" s="27" t="str">
        <f t="shared" si="3"/>
        <v/>
      </c>
    </row>
    <row r="238" spans="2:5" x14ac:dyDescent="0.25">
      <c r="B238" s="38"/>
      <c r="C238" s="39"/>
      <c r="D238" s="42"/>
      <c r="E238" s="27" t="str">
        <f t="shared" si="3"/>
        <v/>
      </c>
    </row>
    <row r="239" spans="2:5" x14ac:dyDescent="0.25">
      <c r="B239" s="38"/>
      <c r="C239" s="39"/>
      <c r="D239" s="42"/>
      <c r="E239" s="27" t="str">
        <f t="shared" si="3"/>
        <v/>
      </c>
    </row>
    <row r="240" spans="2:5" x14ac:dyDescent="0.25">
      <c r="B240" s="38"/>
      <c r="C240" s="39"/>
      <c r="D240" s="42"/>
      <c r="E240" s="27" t="str">
        <f t="shared" si="3"/>
        <v/>
      </c>
    </row>
    <row r="241" spans="2:5" x14ac:dyDescent="0.25">
      <c r="B241" s="38"/>
      <c r="C241" s="39"/>
      <c r="D241" s="42"/>
      <c r="E241" s="27" t="str">
        <f t="shared" si="3"/>
        <v/>
      </c>
    </row>
    <row r="242" spans="2:5" x14ac:dyDescent="0.25">
      <c r="B242" s="38"/>
      <c r="C242" s="39"/>
      <c r="D242" s="42"/>
      <c r="E242" s="27" t="str">
        <f t="shared" si="3"/>
        <v/>
      </c>
    </row>
    <row r="243" spans="2:5" x14ac:dyDescent="0.25">
      <c r="B243" s="38"/>
      <c r="C243" s="39"/>
      <c r="D243" s="42"/>
      <c r="E243" s="27" t="str">
        <f t="shared" si="3"/>
        <v/>
      </c>
    </row>
    <row r="244" spans="2:5" x14ac:dyDescent="0.25">
      <c r="B244" s="38"/>
      <c r="C244" s="43"/>
      <c r="D244" s="44"/>
      <c r="E244" s="27" t="str">
        <f t="shared" si="3"/>
        <v/>
      </c>
    </row>
    <row r="245" spans="2:5" x14ac:dyDescent="0.25">
      <c r="B245" s="38"/>
      <c r="C245" s="43"/>
      <c r="D245" s="44"/>
      <c r="E245" s="27" t="str">
        <f t="shared" ref="E245:E293" si="4">IF(AND($C245=$C246,$C246&lt;$C247),"+",IF($C245&lt;$C246,"++",IF(AND($C245=$C244,$C244&gt;$C243),"-",IF($C245&gt;$C244,"--",""))))</f>
        <v/>
      </c>
    </row>
    <row r="246" spans="2:5" x14ac:dyDescent="0.25">
      <c r="B246" s="38"/>
      <c r="C246" s="43"/>
      <c r="D246" s="44"/>
      <c r="E246" s="27" t="str">
        <f t="shared" si="4"/>
        <v/>
      </c>
    </row>
    <row r="247" spans="2:5" x14ac:dyDescent="0.25">
      <c r="B247" s="38"/>
      <c r="C247" s="43"/>
      <c r="D247" s="44"/>
      <c r="E247" s="27" t="str">
        <f t="shared" si="4"/>
        <v/>
      </c>
    </row>
    <row r="248" spans="2:5" x14ac:dyDescent="0.25">
      <c r="B248" s="38"/>
      <c r="C248" s="43"/>
      <c r="D248" s="44"/>
      <c r="E248" s="27" t="str">
        <f t="shared" si="4"/>
        <v/>
      </c>
    </row>
    <row r="249" spans="2:5" x14ac:dyDescent="0.25">
      <c r="B249" s="38"/>
      <c r="C249" s="43"/>
      <c r="D249" s="44"/>
      <c r="E249" s="27" t="str">
        <f t="shared" si="4"/>
        <v/>
      </c>
    </row>
    <row r="250" spans="2:5" x14ac:dyDescent="0.25">
      <c r="B250" s="38"/>
      <c r="C250" s="43"/>
      <c r="D250" s="44"/>
      <c r="E250" s="27" t="str">
        <f t="shared" si="4"/>
        <v/>
      </c>
    </row>
    <row r="251" spans="2:5" x14ac:dyDescent="0.25">
      <c r="B251" s="38"/>
      <c r="C251" s="43"/>
      <c r="D251" s="44"/>
      <c r="E251" s="27" t="str">
        <f t="shared" si="4"/>
        <v/>
      </c>
    </row>
    <row r="252" spans="2:5" x14ac:dyDescent="0.25">
      <c r="B252" s="38"/>
      <c r="C252" s="43"/>
      <c r="D252" s="44"/>
      <c r="E252" s="27" t="str">
        <f t="shared" si="4"/>
        <v/>
      </c>
    </row>
    <row r="253" spans="2:5" x14ac:dyDescent="0.25">
      <c r="B253" s="38"/>
      <c r="C253" s="43"/>
      <c r="D253" s="44"/>
      <c r="E253" s="27" t="str">
        <f t="shared" si="4"/>
        <v/>
      </c>
    </row>
    <row r="254" spans="2:5" x14ac:dyDescent="0.25">
      <c r="B254" s="38"/>
      <c r="C254" s="43"/>
      <c r="D254" s="44"/>
      <c r="E254" s="27" t="str">
        <f t="shared" si="4"/>
        <v/>
      </c>
    </row>
    <row r="255" spans="2:5" x14ac:dyDescent="0.25">
      <c r="B255" s="38"/>
      <c r="C255" s="43"/>
      <c r="D255" s="44"/>
      <c r="E255" s="27" t="str">
        <f t="shared" si="4"/>
        <v/>
      </c>
    </row>
    <row r="256" spans="2:5" x14ac:dyDescent="0.25">
      <c r="B256" s="38"/>
      <c r="C256" s="43"/>
      <c r="D256" s="44"/>
      <c r="E256" s="27" t="str">
        <f t="shared" si="4"/>
        <v/>
      </c>
    </row>
    <row r="257" spans="2:5" x14ac:dyDescent="0.25">
      <c r="B257" s="38"/>
      <c r="C257" s="43"/>
      <c r="D257" s="44"/>
      <c r="E257" s="27" t="str">
        <f t="shared" si="4"/>
        <v/>
      </c>
    </row>
    <row r="258" spans="2:5" x14ac:dyDescent="0.25">
      <c r="B258" s="38"/>
      <c r="C258" s="43"/>
      <c r="D258" s="44"/>
      <c r="E258" s="27" t="str">
        <f t="shared" si="4"/>
        <v/>
      </c>
    </row>
    <row r="259" spans="2:5" x14ac:dyDescent="0.25">
      <c r="B259" s="38"/>
      <c r="C259" s="43"/>
      <c r="D259" s="44"/>
      <c r="E259" s="27" t="str">
        <f t="shared" si="4"/>
        <v/>
      </c>
    </row>
    <row r="260" spans="2:5" x14ac:dyDescent="0.25">
      <c r="B260" s="38"/>
      <c r="C260" s="43"/>
      <c r="D260" s="44"/>
      <c r="E260" s="27" t="str">
        <f t="shared" si="4"/>
        <v/>
      </c>
    </row>
    <row r="261" spans="2:5" x14ac:dyDescent="0.25">
      <c r="B261" s="38"/>
      <c r="C261" s="43"/>
      <c r="D261" s="44"/>
      <c r="E261" s="27" t="str">
        <f t="shared" si="4"/>
        <v/>
      </c>
    </row>
    <row r="262" spans="2:5" x14ac:dyDescent="0.25">
      <c r="B262" s="38"/>
      <c r="C262" s="43"/>
      <c r="D262" s="44"/>
      <c r="E262" s="27" t="str">
        <f t="shared" si="4"/>
        <v/>
      </c>
    </row>
    <row r="263" spans="2:5" x14ac:dyDescent="0.25">
      <c r="B263" s="38"/>
      <c r="C263" s="43"/>
      <c r="D263" s="44"/>
      <c r="E263" s="27" t="str">
        <f t="shared" si="4"/>
        <v/>
      </c>
    </row>
    <row r="264" spans="2:5" x14ac:dyDescent="0.25">
      <c r="B264" s="38"/>
      <c r="C264" s="43"/>
      <c r="D264" s="44"/>
      <c r="E264" s="27" t="str">
        <f t="shared" si="4"/>
        <v/>
      </c>
    </row>
    <row r="265" spans="2:5" x14ac:dyDescent="0.25">
      <c r="B265" s="38"/>
      <c r="C265" s="43"/>
      <c r="D265" s="44"/>
      <c r="E265" s="27" t="str">
        <f t="shared" si="4"/>
        <v/>
      </c>
    </row>
    <row r="266" spans="2:5" x14ac:dyDescent="0.25">
      <c r="B266" s="38"/>
      <c r="C266" s="43"/>
      <c r="D266" s="44"/>
      <c r="E266" s="27" t="str">
        <f t="shared" si="4"/>
        <v/>
      </c>
    </row>
    <row r="267" spans="2:5" x14ac:dyDescent="0.25">
      <c r="B267" s="38"/>
      <c r="C267" s="43"/>
      <c r="D267" s="44"/>
      <c r="E267" s="27" t="str">
        <f t="shared" si="4"/>
        <v/>
      </c>
    </row>
    <row r="268" spans="2:5" x14ac:dyDescent="0.25">
      <c r="B268" s="38"/>
      <c r="C268" s="43"/>
      <c r="D268" s="44"/>
      <c r="E268" s="27" t="str">
        <f t="shared" si="4"/>
        <v/>
      </c>
    </row>
    <row r="269" spans="2:5" x14ac:dyDescent="0.25">
      <c r="B269" s="38"/>
      <c r="C269" s="43"/>
      <c r="D269" s="44"/>
      <c r="E269" s="27" t="str">
        <f t="shared" si="4"/>
        <v/>
      </c>
    </row>
    <row r="270" spans="2:5" x14ac:dyDescent="0.25">
      <c r="B270" s="38"/>
      <c r="C270" s="43"/>
      <c r="D270" s="44"/>
      <c r="E270" s="27" t="str">
        <f t="shared" si="4"/>
        <v/>
      </c>
    </row>
    <row r="271" spans="2:5" x14ac:dyDescent="0.25">
      <c r="B271" s="38"/>
      <c r="C271" s="43"/>
      <c r="D271" s="44"/>
      <c r="E271" s="27" t="str">
        <f t="shared" si="4"/>
        <v/>
      </c>
    </row>
    <row r="272" spans="2:5" x14ac:dyDescent="0.25">
      <c r="B272" s="38"/>
      <c r="C272" s="43"/>
      <c r="D272" s="44"/>
      <c r="E272" s="27" t="str">
        <f t="shared" si="4"/>
        <v/>
      </c>
    </row>
    <row r="273" spans="2:5" x14ac:dyDescent="0.25">
      <c r="B273" s="38"/>
      <c r="C273" s="43"/>
      <c r="D273" s="44"/>
      <c r="E273" s="27" t="str">
        <f t="shared" si="4"/>
        <v/>
      </c>
    </row>
    <row r="274" spans="2:5" x14ac:dyDescent="0.25">
      <c r="B274" s="38"/>
      <c r="C274" s="43"/>
      <c r="D274" s="44"/>
      <c r="E274" s="27" t="str">
        <f t="shared" si="4"/>
        <v/>
      </c>
    </row>
    <row r="275" spans="2:5" x14ac:dyDescent="0.25">
      <c r="B275" s="38"/>
      <c r="C275" s="43"/>
      <c r="D275" s="44"/>
      <c r="E275" s="27" t="str">
        <f t="shared" si="4"/>
        <v/>
      </c>
    </row>
    <row r="276" spans="2:5" x14ac:dyDescent="0.25">
      <c r="B276" s="38"/>
      <c r="C276" s="43"/>
      <c r="D276" s="44"/>
      <c r="E276" s="27" t="str">
        <f t="shared" si="4"/>
        <v/>
      </c>
    </row>
    <row r="277" spans="2:5" x14ac:dyDescent="0.25">
      <c r="B277" s="38"/>
      <c r="C277" s="43"/>
      <c r="D277" s="44"/>
      <c r="E277" s="27" t="str">
        <f t="shared" si="4"/>
        <v/>
      </c>
    </row>
    <row r="278" spans="2:5" x14ac:dyDescent="0.25">
      <c r="B278" s="38"/>
      <c r="C278" s="43"/>
      <c r="D278" s="44"/>
      <c r="E278" s="27" t="str">
        <f t="shared" si="4"/>
        <v/>
      </c>
    </row>
    <row r="279" spans="2:5" x14ac:dyDescent="0.25">
      <c r="B279" s="38"/>
      <c r="C279" s="43"/>
      <c r="D279" s="44"/>
      <c r="E279" s="27" t="str">
        <f t="shared" si="4"/>
        <v/>
      </c>
    </row>
    <row r="280" spans="2:5" x14ac:dyDescent="0.25">
      <c r="B280" s="38"/>
      <c r="C280" s="43"/>
      <c r="D280" s="44"/>
      <c r="E280" s="27" t="str">
        <f t="shared" si="4"/>
        <v/>
      </c>
    </row>
    <row r="281" spans="2:5" x14ac:dyDescent="0.25">
      <c r="B281" s="38"/>
      <c r="C281" s="43"/>
      <c r="D281" s="44"/>
      <c r="E281" s="27" t="str">
        <f t="shared" si="4"/>
        <v/>
      </c>
    </row>
    <row r="282" spans="2:5" x14ac:dyDescent="0.25">
      <c r="B282" s="38"/>
      <c r="C282" s="43"/>
      <c r="D282" s="44"/>
      <c r="E282" s="27" t="str">
        <f t="shared" si="4"/>
        <v/>
      </c>
    </row>
    <row r="283" spans="2:5" x14ac:dyDescent="0.25">
      <c r="B283" s="38"/>
      <c r="C283" s="43"/>
      <c r="D283" s="44"/>
      <c r="E283" s="27" t="str">
        <f t="shared" si="4"/>
        <v/>
      </c>
    </row>
    <row r="284" spans="2:5" x14ac:dyDescent="0.25">
      <c r="B284" s="38"/>
      <c r="C284" s="43"/>
      <c r="D284" s="44"/>
      <c r="E284" s="27" t="str">
        <f t="shared" si="4"/>
        <v/>
      </c>
    </row>
    <row r="285" spans="2:5" x14ac:dyDescent="0.25">
      <c r="B285" s="38"/>
      <c r="C285" s="43"/>
      <c r="D285" s="44"/>
      <c r="E285" s="27" t="str">
        <f t="shared" si="4"/>
        <v/>
      </c>
    </row>
    <row r="286" spans="2:5" x14ac:dyDescent="0.25">
      <c r="B286" s="38"/>
      <c r="C286" s="43"/>
      <c r="D286" s="44"/>
      <c r="E286" s="27" t="str">
        <f t="shared" si="4"/>
        <v/>
      </c>
    </row>
    <row r="287" spans="2:5" x14ac:dyDescent="0.25">
      <c r="B287" s="38"/>
      <c r="C287" s="43"/>
      <c r="D287" s="44"/>
      <c r="E287" s="27" t="str">
        <f t="shared" si="4"/>
        <v/>
      </c>
    </row>
    <row r="288" spans="2:5" x14ac:dyDescent="0.25">
      <c r="B288" s="38"/>
      <c r="C288" s="43"/>
      <c r="D288" s="44"/>
      <c r="E288" s="27" t="str">
        <f t="shared" si="4"/>
        <v/>
      </c>
    </row>
    <row r="289" spans="2:5" x14ac:dyDescent="0.25">
      <c r="B289" s="38"/>
      <c r="C289" s="43"/>
      <c r="D289" s="44"/>
      <c r="E289" s="27" t="str">
        <f t="shared" si="4"/>
        <v/>
      </c>
    </row>
    <row r="290" spans="2:5" x14ac:dyDescent="0.25">
      <c r="B290" s="38"/>
      <c r="C290" s="43"/>
      <c r="D290" s="44"/>
      <c r="E290" s="27" t="str">
        <f t="shared" si="4"/>
        <v/>
      </c>
    </row>
    <row r="291" spans="2:5" x14ac:dyDescent="0.25">
      <c r="B291" s="38"/>
      <c r="C291" s="43"/>
      <c r="D291" s="44"/>
      <c r="E291" s="27" t="str">
        <f t="shared" si="4"/>
        <v/>
      </c>
    </row>
    <row r="292" spans="2:5" x14ac:dyDescent="0.25">
      <c r="B292" s="38"/>
      <c r="C292" s="43"/>
      <c r="D292" s="44"/>
      <c r="E292" s="27" t="str">
        <f t="shared" si="4"/>
        <v/>
      </c>
    </row>
    <row r="293" spans="2:5" x14ac:dyDescent="0.25">
      <c r="B293" s="38"/>
      <c r="C293" s="43"/>
      <c r="D293" s="44"/>
      <c r="E293" s="27" t="str">
        <f t="shared" si="4"/>
        <v/>
      </c>
    </row>
    <row r="294" spans="2:5" x14ac:dyDescent="0.25">
      <c r="B294" s="38"/>
      <c r="C294" s="43"/>
      <c r="D294" s="44"/>
    </row>
    <row r="295" spans="2:5" x14ac:dyDescent="0.25">
      <c r="B295" s="38"/>
      <c r="C295" s="43"/>
      <c r="D295" s="44"/>
    </row>
    <row r="296" spans="2:5" x14ac:dyDescent="0.25">
      <c r="B296" s="38"/>
      <c r="C296" s="43"/>
      <c r="D296" s="44"/>
    </row>
    <row r="297" spans="2:5" x14ac:dyDescent="0.25">
      <c r="B297" s="38"/>
      <c r="C297" s="43"/>
      <c r="D297" s="44"/>
    </row>
    <row r="298" spans="2:5" x14ac:dyDescent="0.25">
      <c r="B298" s="38"/>
      <c r="C298" s="43"/>
      <c r="D298" s="44"/>
    </row>
    <row r="299" spans="2:5" x14ac:dyDescent="0.25">
      <c r="B299" s="38"/>
      <c r="C299" s="43"/>
      <c r="D299" s="44"/>
    </row>
    <row r="300" spans="2:5" x14ac:dyDescent="0.25">
      <c r="B300" s="38"/>
      <c r="C300" s="43"/>
      <c r="D300" s="44"/>
    </row>
    <row r="301" spans="2:5" x14ac:dyDescent="0.25">
      <c r="B301" s="38"/>
      <c r="C301" s="43"/>
      <c r="D301" s="44"/>
    </row>
    <row r="302" spans="2:5" ht="13.8" thickBot="1" x14ac:dyDescent="0.3">
      <c r="B302" s="45"/>
      <c r="C302" s="46"/>
      <c r="D302" s="47"/>
    </row>
  </sheetData>
  <sheetProtection sheet="1" objects="1" selectLockedCells="1"/>
  <mergeCells count="1">
    <mergeCell ref="G2:L14"/>
  </mergeCells>
  <phoneticPr fontId="10" type="noConversion"/>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267"/>
  <dimension ref="A1:L195"/>
  <sheetViews>
    <sheetView topLeftCell="A154" zoomScaleNormal="100" workbookViewId="0">
      <selection activeCell="A173" sqref="A173:E195"/>
    </sheetView>
  </sheetViews>
  <sheetFormatPr baseColWidth="10" defaultColWidth="11.44140625" defaultRowHeight="13.2" x14ac:dyDescent="0.25"/>
  <cols>
    <col min="1" max="16384" width="11.44140625" style="61"/>
  </cols>
  <sheetData>
    <row r="1" spans="1:6" x14ac:dyDescent="0.25">
      <c r="A1" s="61">
        <v>0.5</v>
      </c>
      <c r="B1" s="61">
        <v>2</v>
      </c>
      <c r="C1" s="61">
        <v>1.5</v>
      </c>
      <c r="D1" s="61">
        <v>2.5</v>
      </c>
      <c r="E1" s="61">
        <v>3</v>
      </c>
      <c r="F1" s="61">
        <v>2</v>
      </c>
    </row>
    <row r="2" spans="1:6" x14ac:dyDescent="0.25">
      <c r="A2" s="61">
        <v>1.5</v>
      </c>
      <c r="B2" s="61">
        <v>2</v>
      </c>
      <c r="C2" s="61">
        <v>0.5</v>
      </c>
      <c r="D2" s="61">
        <v>1</v>
      </c>
      <c r="E2" s="61">
        <v>2</v>
      </c>
      <c r="F2" s="61">
        <v>2</v>
      </c>
    </row>
    <row r="3" spans="1:6" x14ac:dyDescent="0.25">
      <c r="A3" s="61">
        <v>0.5</v>
      </c>
      <c r="B3" s="61">
        <v>1.5</v>
      </c>
      <c r="C3" s="61">
        <v>1.5</v>
      </c>
      <c r="D3" s="61">
        <v>3</v>
      </c>
      <c r="E3" s="61">
        <v>3</v>
      </c>
      <c r="F3" s="61">
        <v>1</v>
      </c>
    </row>
    <row r="4" spans="1:6" x14ac:dyDescent="0.25">
      <c r="A4" s="61">
        <v>2</v>
      </c>
      <c r="B4" s="61">
        <v>2</v>
      </c>
      <c r="C4" s="61">
        <v>1</v>
      </c>
      <c r="D4" s="61">
        <v>3</v>
      </c>
      <c r="E4" s="61">
        <v>2.5</v>
      </c>
      <c r="F4" s="61">
        <v>2</v>
      </c>
    </row>
    <row r="5" spans="1:6" x14ac:dyDescent="0.25">
      <c r="A5" s="61">
        <v>2</v>
      </c>
      <c r="B5" s="61">
        <v>2</v>
      </c>
      <c r="C5" s="61">
        <v>2.5</v>
      </c>
      <c r="D5" s="61">
        <v>3</v>
      </c>
      <c r="E5" s="61">
        <v>2.5</v>
      </c>
      <c r="F5" s="61">
        <v>2</v>
      </c>
    </row>
    <row r="6" spans="1:6" x14ac:dyDescent="0.25">
      <c r="A6" s="61">
        <v>2</v>
      </c>
      <c r="B6" s="61">
        <v>2</v>
      </c>
      <c r="C6" s="61">
        <v>2</v>
      </c>
      <c r="D6" s="61">
        <v>2</v>
      </c>
      <c r="E6" s="61">
        <v>2.5</v>
      </c>
      <c r="F6" s="61">
        <v>2</v>
      </c>
    </row>
    <row r="7" spans="1:6" x14ac:dyDescent="0.25">
      <c r="A7" s="61">
        <v>1</v>
      </c>
      <c r="B7" s="61">
        <v>1.5</v>
      </c>
      <c r="C7" s="61">
        <v>3</v>
      </c>
      <c r="D7" s="61">
        <v>3</v>
      </c>
      <c r="E7" s="61">
        <v>3</v>
      </c>
      <c r="F7" s="61">
        <v>1</v>
      </c>
    </row>
    <row r="8" spans="1:6" x14ac:dyDescent="0.25">
      <c r="A8" s="61">
        <v>0.5</v>
      </c>
      <c r="B8" s="61">
        <v>2</v>
      </c>
      <c r="C8" s="61">
        <v>1.5</v>
      </c>
      <c r="D8" s="61">
        <v>1</v>
      </c>
      <c r="E8" s="61">
        <v>3</v>
      </c>
      <c r="F8" s="61">
        <v>1</v>
      </c>
    </row>
    <row r="9" spans="1:6" x14ac:dyDescent="0.25">
      <c r="A9" s="61">
        <v>1.5</v>
      </c>
      <c r="B9" s="61">
        <v>2</v>
      </c>
      <c r="C9" s="61">
        <v>1.5</v>
      </c>
      <c r="D9" s="61">
        <v>1</v>
      </c>
      <c r="E9" s="61">
        <v>2</v>
      </c>
      <c r="F9" s="61">
        <v>2</v>
      </c>
    </row>
    <row r="10" spans="1:6" x14ac:dyDescent="0.25">
      <c r="A10" s="61">
        <v>0.5</v>
      </c>
      <c r="B10" s="61">
        <v>1</v>
      </c>
      <c r="C10" s="61">
        <v>0</v>
      </c>
      <c r="D10" s="61">
        <v>1</v>
      </c>
      <c r="E10" s="61">
        <v>0.5</v>
      </c>
      <c r="F10" s="61">
        <v>0</v>
      </c>
    </row>
    <row r="11" spans="1:6" x14ac:dyDescent="0.25">
      <c r="A11" s="61">
        <v>0.5</v>
      </c>
      <c r="B11" s="61">
        <v>2</v>
      </c>
      <c r="C11" s="61">
        <v>1.5</v>
      </c>
      <c r="D11" s="61">
        <v>0</v>
      </c>
      <c r="E11" s="61">
        <v>1.5</v>
      </c>
      <c r="F11" s="61">
        <v>1</v>
      </c>
    </row>
    <row r="12" spans="1:6" x14ac:dyDescent="0.25">
      <c r="A12" s="61">
        <v>2</v>
      </c>
      <c r="B12" s="61">
        <v>2</v>
      </c>
      <c r="C12" s="61">
        <v>1</v>
      </c>
      <c r="D12" s="61">
        <v>3</v>
      </c>
      <c r="E12" s="61">
        <v>1.5</v>
      </c>
      <c r="F12" s="61">
        <v>2</v>
      </c>
    </row>
    <row r="13" spans="1:6" x14ac:dyDescent="0.25">
      <c r="A13" s="61">
        <v>1.5</v>
      </c>
      <c r="B13" s="61">
        <v>2</v>
      </c>
      <c r="C13" s="61">
        <v>1.5</v>
      </c>
      <c r="D13" s="61">
        <v>3</v>
      </c>
      <c r="E13" s="61">
        <v>3</v>
      </c>
      <c r="F13" s="61">
        <v>1.5</v>
      </c>
    </row>
    <row r="14" spans="1:6" x14ac:dyDescent="0.25">
      <c r="A14" s="61">
        <v>2</v>
      </c>
      <c r="B14" s="61">
        <v>2</v>
      </c>
      <c r="C14" s="61">
        <v>1.5</v>
      </c>
      <c r="D14" s="61">
        <v>3</v>
      </c>
      <c r="E14" s="61">
        <v>3</v>
      </c>
      <c r="F14" s="61">
        <v>2</v>
      </c>
    </row>
    <row r="15" spans="1:6" x14ac:dyDescent="0.25">
      <c r="A15" s="61">
        <v>1</v>
      </c>
      <c r="B15" s="61">
        <v>2</v>
      </c>
      <c r="C15" s="61">
        <v>1.5</v>
      </c>
      <c r="D15" s="61">
        <v>3</v>
      </c>
      <c r="E15" s="61">
        <v>2.5</v>
      </c>
      <c r="F15" s="61">
        <v>2</v>
      </c>
    </row>
    <row r="16" spans="1:6" x14ac:dyDescent="0.25">
      <c r="A16" s="61">
        <v>2</v>
      </c>
      <c r="B16" s="61">
        <v>0</v>
      </c>
      <c r="C16" s="61">
        <v>1</v>
      </c>
      <c r="D16" s="61">
        <v>1.5</v>
      </c>
      <c r="E16" s="61">
        <v>2</v>
      </c>
      <c r="F16" s="61">
        <v>1</v>
      </c>
    </row>
    <row r="17" spans="1:12" x14ac:dyDescent="0.25">
      <c r="A17" s="61">
        <v>0.5</v>
      </c>
      <c r="B17" s="61">
        <v>0</v>
      </c>
      <c r="C17" s="61">
        <v>0</v>
      </c>
      <c r="D17" s="61">
        <v>0</v>
      </c>
      <c r="E17" s="61">
        <v>0.5</v>
      </c>
      <c r="F17" s="61">
        <v>0</v>
      </c>
    </row>
    <row r="18" spans="1:12" x14ac:dyDescent="0.25">
      <c r="A18" s="61">
        <v>2</v>
      </c>
      <c r="B18" s="61">
        <v>2</v>
      </c>
      <c r="C18" s="61">
        <v>1</v>
      </c>
      <c r="D18" s="61">
        <v>1</v>
      </c>
      <c r="E18" s="61">
        <v>3</v>
      </c>
      <c r="F18" s="61">
        <v>1</v>
      </c>
    </row>
    <row r="19" spans="1:12" x14ac:dyDescent="0.25">
      <c r="A19" s="61">
        <v>0.5</v>
      </c>
      <c r="B19" s="61">
        <v>2</v>
      </c>
      <c r="C19" s="61">
        <v>1</v>
      </c>
      <c r="D19" s="61">
        <v>2.5</v>
      </c>
      <c r="E19" s="61">
        <v>1.5</v>
      </c>
      <c r="F19" s="61">
        <v>2</v>
      </c>
    </row>
    <row r="20" spans="1:12" x14ac:dyDescent="0.25">
      <c r="A20" s="61">
        <v>1</v>
      </c>
      <c r="B20" s="61">
        <v>2</v>
      </c>
      <c r="C20" s="61">
        <v>2.5</v>
      </c>
      <c r="D20" s="61">
        <v>3</v>
      </c>
      <c r="E20" s="61">
        <v>3</v>
      </c>
      <c r="F20" s="61">
        <v>2</v>
      </c>
    </row>
    <row r="21" spans="1:12" x14ac:dyDescent="0.25">
      <c r="A21" s="61">
        <v>2</v>
      </c>
      <c r="B21" s="61">
        <v>2</v>
      </c>
      <c r="C21" s="61">
        <v>1.5</v>
      </c>
      <c r="D21" s="61">
        <v>3</v>
      </c>
      <c r="E21" s="61">
        <v>3</v>
      </c>
      <c r="F21" s="61">
        <v>2</v>
      </c>
    </row>
    <row r="22" spans="1:12" x14ac:dyDescent="0.25">
      <c r="A22" s="61">
        <v>0.5</v>
      </c>
      <c r="B22" s="61">
        <v>1.5</v>
      </c>
      <c r="C22" s="61">
        <v>1</v>
      </c>
      <c r="D22" s="61">
        <v>3</v>
      </c>
      <c r="E22" s="61">
        <v>3</v>
      </c>
      <c r="F22" s="61">
        <v>1</v>
      </c>
    </row>
    <row r="23" spans="1:12" x14ac:dyDescent="0.25">
      <c r="A23" s="61">
        <v>0.5</v>
      </c>
      <c r="B23" s="61">
        <v>2</v>
      </c>
      <c r="C23" s="61">
        <v>1.5</v>
      </c>
      <c r="D23" s="61">
        <v>0.5</v>
      </c>
      <c r="E23" s="61">
        <v>1.5</v>
      </c>
      <c r="F23" s="61">
        <v>1</v>
      </c>
    </row>
    <row r="25" spans="1:12" x14ac:dyDescent="0.25">
      <c r="A25" s="61">
        <v>1.5</v>
      </c>
      <c r="B25" s="61">
        <v>3</v>
      </c>
      <c r="C25" s="61">
        <v>3</v>
      </c>
      <c r="D25" s="61">
        <v>3</v>
      </c>
      <c r="E25" s="61">
        <v>3</v>
      </c>
      <c r="F25" s="61">
        <v>4</v>
      </c>
      <c r="G25" s="61">
        <v>3</v>
      </c>
      <c r="H25" s="61">
        <v>0</v>
      </c>
      <c r="I25" s="61">
        <v>2</v>
      </c>
      <c r="J25" s="61">
        <v>0</v>
      </c>
      <c r="K25" s="61">
        <v>4</v>
      </c>
      <c r="L25" s="61">
        <v>2.5</v>
      </c>
    </row>
    <row r="26" spans="1:12" x14ac:dyDescent="0.25">
      <c r="A26" s="61">
        <v>0.5</v>
      </c>
      <c r="B26" s="61">
        <v>2.5</v>
      </c>
      <c r="C26" s="61">
        <v>3</v>
      </c>
      <c r="D26" s="61">
        <v>3</v>
      </c>
      <c r="E26" s="61">
        <v>3</v>
      </c>
      <c r="F26" s="61">
        <v>4</v>
      </c>
      <c r="G26" s="61">
        <v>0</v>
      </c>
      <c r="H26" s="61">
        <v>0</v>
      </c>
      <c r="I26" s="61">
        <v>1.5</v>
      </c>
      <c r="J26" s="61">
        <v>0</v>
      </c>
      <c r="K26" s="61">
        <v>1</v>
      </c>
      <c r="L26" s="61">
        <v>2</v>
      </c>
    </row>
    <row r="27" spans="1:12" x14ac:dyDescent="0.25">
      <c r="A27" s="61">
        <v>1</v>
      </c>
      <c r="B27" s="61">
        <v>2</v>
      </c>
      <c r="C27" s="61">
        <v>0</v>
      </c>
      <c r="D27" s="61">
        <v>1</v>
      </c>
      <c r="E27" s="61">
        <v>3</v>
      </c>
      <c r="F27" s="61">
        <v>2.5</v>
      </c>
      <c r="G27" s="61">
        <v>0</v>
      </c>
      <c r="H27" s="61">
        <v>0</v>
      </c>
      <c r="I27" s="61">
        <v>0</v>
      </c>
      <c r="J27" s="61">
        <v>2</v>
      </c>
      <c r="K27" s="61">
        <v>0</v>
      </c>
      <c r="L27" s="61">
        <v>0</v>
      </c>
    </row>
    <row r="28" spans="1:12" x14ac:dyDescent="0.25">
      <c r="A28" s="61">
        <v>1</v>
      </c>
      <c r="B28" s="61">
        <v>3</v>
      </c>
      <c r="C28" s="61">
        <v>3</v>
      </c>
      <c r="D28" s="61">
        <v>3</v>
      </c>
      <c r="E28" s="61">
        <v>3</v>
      </c>
      <c r="F28" s="61">
        <v>4</v>
      </c>
      <c r="G28" s="61">
        <v>1.5</v>
      </c>
      <c r="H28" s="61">
        <v>0</v>
      </c>
      <c r="I28" s="61">
        <v>1.5</v>
      </c>
      <c r="J28" s="61">
        <v>3</v>
      </c>
      <c r="K28" s="61">
        <v>3</v>
      </c>
      <c r="L28" s="61">
        <v>0</v>
      </c>
    </row>
    <row r="29" spans="1:12" x14ac:dyDescent="0.25">
      <c r="A29" s="61">
        <v>2</v>
      </c>
      <c r="B29" s="61">
        <v>2</v>
      </c>
      <c r="C29" s="61">
        <v>3.5</v>
      </c>
      <c r="D29" s="61">
        <v>2.5</v>
      </c>
      <c r="E29" s="61">
        <v>2</v>
      </c>
      <c r="F29" s="61">
        <v>1</v>
      </c>
      <c r="G29" s="61">
        <v>0.5</v>
      </c>
      <c r="H29" s="61">
        <v>2.5</v>
      </c>
      <c r="I29" s="61">
        <v>2</v>
      </c>
      <c r="J29" s="61">
        <v>3.5</v>
      </c>
      <c r="K29" s="61">
        <v>3</v>
      </c>
      <c r="L29" s="61">
        <v>2.5</v>
      </c>
    </row>
    <row r="30" spans="1:12" x14ac:dyDescent="0.25">
      <c r="A30" s="61">
        <v>2</v>
      </c>
      <c r="B30" s="61">
        <v>3</v>
      </c>
      <c r="C30" s="61">
        <v>4</v>
      </c>
      <c r="D30" s="61">
        <v>3</v>
      </c>
      <c r="E30" s="61">
        <v>3</v>
      </c>
      <c r="F30" s="61">
        <v>4</v>
      </c>
      <c r="G30" s="61">
        <v>3</v>
      </c>
      <c r="H30" s="61">
        <v>4</v>
      </c>
      <c r="I30" s="61">
        <v>2</v>
      </c>
      <c r="J30" s="61">
        <v>5</v>
      </c>
      <c r="K30" s="61">
        <v>4</v>
      </c>
      <c r="L30" s="61">
        <v>3</v>
      </c>
    </row>
    <row r="31" spans="1:12" x14ac:dyDescent="0.25">
      <c r="A31" s="61">
        <v>1.5</v>
      </c>
      <c r="B31" s="61">
        <v>2.5</v>
      </c>
      <c r="C31" s="61">
        <v>4</v>
      </c>
      <c r="D31" s="61">
        <v>2</v>
      </c>
      <c r="E31" s="61">
        <v>2</v>
      </c>
      <c r="F31" s="61">
        <v>2.5</v>
      </c>
      <c r="G31" s="61">
        <v>0.5</v>
      </c>
      <c r="H31" s="61">
        <v>3</v>
      </c>
      <c r="I31" s="61">
        <v>1</v>
      </c>
      <c r="J31" s="61">
        <v>3.5</v>
      </c>
      <c r="K31" s="61">
        <v>2</v>
      </c>
      <c r="L31" s="61">
        <v>1.5</v>
      </c>
    </row>
    <row r="32" spans="1:12" x14ac:dyDescent="0.25">
      <c r="A32" s="61">
        <v>1.5</v>
      </c>
      <c r="B32" s="61">
        <v>1</v>
      </c>
      <c r="C32" s="61">
        <v>2.5</v>
      </c>
      <c r="D32" s="61">
        <v>3</v>
      </c>
      <c r="E32" s="61">
        <v>3</v>
      </c>
      <c r="F32" s="61">
        <v>3.5</v>
      </c>
      <c r="G32" s="61">
        <v>0</v>
      </c>
      <c r="H32" s="61">
        <v>0</v>
      </c>
      <c r="I32" s="61">
        <v>2</v>
      </c>
      <c r="J32" s="61">
        <v>0</v>
      </c>
      <c r="K32" s="61">
        <v>0</v>
      </c>
      <c r="L32" s="61">
        <v>0</v>
      </c>
    </row>
    <row r="33" spans="1:12" x14ac:dyDescent="0.25">
      <c r="A33" s="61">
        <v>1.5</v>
      </c>
      <c r="B33" s="61">
        <v>3</v>
      </c>
      <c r="C33" s="61">
        <v>4</v>
      </c>
      <c r="D33" s="61">
        <v>3</v>
      </c>
      <c r="E33" s="61">
        <v>2</v>
      </c>
      <c r="F33" s="61">
        <v>1</v>
      </c>
      <c r="G33" s="61">
        <v>0</v>
      </c>
      <c r="H33" s="61">
        <v>0</v>
      </c>
      <c r="I33" s="61">
        <v>0</v>
      </c>
      <c r="J33" s="61">
        <v>0</v>
      </c>
      <c r="K33" s="61">
        <v>0</v>
      </c>
      <c r="L33" s="61">
        <v>0</v>
      </c>
    </row>
    <row r="34" spans="1:12" x14ac:dyDescent="0.25">
      <c r="A34" s="61">
        <v>0</v>
      </c>
      <c r="B34" s="61">
        <v>1.5</v>
      </c>
      <c r="C34" s="61">
        <v>2.5</v>
      </c>
      <c r="D34" s="61">
        <v>0</v>
      </c>
      <c r="E34" s="61">
        <v>1</v>
      </c>
      <c r="F34" s="61">
        <v>1</v>
      </c>
      <c r="G34" s="61">
        <v>0</v>
      </c>
      <c r="H34" s="61">
        <v>0</v>
      </c>
      <c r="I34" s="61">
        <v>1</v>
      </c>
      <c r="J34" s="61">
        <v>0</v>
      </c>
      <c r="K34" s="61">
        <v>1</v>
      </c>
      <c r="L34" s="61">
        <v>0.5</v>
      </c>
    </row>
    <row r="35" spans="1:12" x14ac:dyDescent="0.25">
      <c r="A35" s="61">
        <v>1</v>
      </c>
      <c r="B35" s="61">
        <v>1.5</v>
      </c>
      <c r="C35" s="61">
        <v>4</v>
      </c>
      <c r="D35" s="61">
        <v>1.5</v>
      </c>
      <c r="E35" s="61">
        <v>2</v>
      </c>
      <c r="F35" s="61">
        <v>3.5</v>
      </c>
      <c r="G35" s="61">
        <v>0</v>
      </c>
      <c r="H35" s="61">
        <v>0</v>
      </c>
      <c r="I35" s="61">
        <v>0</v>
      </c>
      <c r="J35" s="61">
        <v>0</v>
      </c>
      <c r="K35" s="61">
        <v>1</v>
      </c>
      <c r="L35" s="61">
        <v>0</v>
      </c>
    </row>
    <row r="36" spans="1:12" x14ac:dyDescent="0.25">
      <c r="A36" s="61">
        <v>2</v>
      </c>
      <c r="B36" s="61">
        <v>3</v>
      </c>
      <c r="C36" s="61">
        <v>4</v>
      </c>
      <c r="D36" s="61">
        <v>3</v>
      </c>
      <c r="E36" s="61">
        <v>3</v>
      </c>
      <c r="F36" s="61">
        <v>4</v>
      </c>
      <c r="G36" s="61">
        <v>3</v>
      </c>
      <c r="H36" s="61">
        <v>0</v>
      </c>
      <c r="I36" s="61">
        <v>2</v>
      </c>
      <c r="J36" s="61">
        <v>3</v>
      </c>
      <c r="K36" s="61">
        <v>3</v>
      </c>
      <c r="L36" s="61">
        <v>2</v>
      </c>
    </row>
    <row r="37" spans="1:12" x14ac:dyDescent="0.25">
      <c r="A37" s="61">
        <v>0.5</v>
      </c>
      <c r="B37" s="61">
        <v>1.5</v>
      </c>
      <c r="C37" s="61">
        <v>4</v>
      </c>
      <c r="D37" s="61">
        <v>3</v>
      </c>
      <c r="E37" s="61">
        <v>3</v>
      </c>
      <c r="F37" s="61">
        <v>3.5</v>
      </c>
      <c r="G37" s="61">
        <v>0</v>
      </c>
      <c r="H37" s="61">
        <v>0</v>
      </c>
      <c r="I37" s="61">
        <v>2</v>
      </c>
      <c r="J37" s="61">
        <v>4.5</v>
      </c>
      <c r="K37" s="61">
        <v>0</v>
      </c>
      <c r="L37" s="61">
        <v>0</v>
      </c>
    </row>
    <row r="38" spans="1:12" x14ac:dyDescent="0.25">
      <c r="A38" s="61">
        <v>1.5</v>
      </c>
      <c r="B38" s="61">
        <v>2.5</v>
      </c>
      <c r="C38" s="61">
        <v>3</v>
      </c>
      <c r="D38" s="61">
        <v>2.5</v>
      </c>
      <c r="E38" s="61">
        <v>2</v>
      </c>
      <c r="F38" s="61">
        <v>4</v>
      </c>
      <c r="G38" s="61">
        <v>0</v>
      </c>
      <c r="H38" s="61">
        <v>0</v>
      </c>
      <c r="I38" s="61">
        <v>0</v>
      </c>
      <c r="J38" s="61">
        <v>0</v>
      </c>
      <c r="K38" s="61">
        <v>1</v>
      </c>
      <c r="L38" s="61">
        <v>0</v>
      </c>
    </row>
    <row r="39" spans="1:12" x14ac:dyDescent="0.25">
      <c r="A39" s="61">
        <v>1.5</v>
      </c>
      <c r="B39" s="61">
        <v>3</v>
      </c>
      <c r="C39" s="61">
        <v>4</v>
      </c>
      <c r="D39" s="61">
        <v>3</v>
      </c>
      <c r="E39" s="61">
        <v>2.5</v>
      </c>
      <c r="F39" s="61">
        <v>3.5</v>
      </c>
      <c r="G39" s="61">
        <v>0.5</v>
      </c>
      <c r="H39" s="61">
        <v>0</v>
      </c>
      <c r="I39" s="61">
        <v>2</v>
      </c>
      <c r="J39" s="61">
        <v>3.5</v>
      </c>
      <c r="K39" s="61">
        <v>3.5</v>
      </c>
      <c r="L39" s="61">
        <v>0.5</v>
      </c>
    </row>
    <row r="40" spans="1:12" x14ac:dyDescent="0.25">
      <c r="A40" s="61">
        <v>1.5</v>
      </c>
      <c r="B40" s="61">
        <v>3</v>
      </c>
      <c r="C40" s="61">
        <v>4</v>
      </c>
      <c r="D40" s="61">
        <v>3</v>
      </c>
      <c r="E40" s="61">
        <v>3</v>
      </c>
      <c r="F40" s="61">
        <v>4</v>
      </c>
      <c r="G40" s="61">
        <v>0</v>
      </c>
      <c r="H40" s="61">
        <v>1.5</v>
      </c>
      <c r="I40" s="61">
        <v>0</v>
      </c>
      <c r="J40" s="61">
        <v>2</v>
      </c>
      <c r="K40" s="61">
        <v>0</v>
      </c>
      <c r="L40" s="61">
        <v>0</v>
      </c>
    </row>
    <row r="41" spans="1:12" x14ac:dyDescent="0.25">
      <c r="A41" s="61">
        <v>1.5</v>
      </c>
      <c r="B41" s="61">
        <v>1.5</v>
      </c>
      <c r="C41" s="61">
        <v>0</v>
      </c>
      <c r="D41" s="61">
        <v>1.5</v>
      </c>
      <c r="E41" s="61">
        <v>1</v>
      </c>
      <c r="F41" s="61">
        <v>1</v>
      </c>
      <c r="G41" s="61">
        <v>0</v>
      </c>
      <c r="H41" s="61">
        <v>0</v>
      </c>
      <c r="I41" s="61">
        <v>0</v>
      </c>
      <c r="J41" s="61">
        <v>0</v>
      </c>
      <c r="K41" s="61">
        <v>0</v>
      </c>
      <c r="L41" s="61">
        <v>0</v>
      </c>
    </row>
    <row r="42" spans="1:12" x14ac:dyDescent="0.25">
      <c r="A42" s="61">
        <v>1</v>
      </c>
      <c r="B42" s="61">
        <v>2.5</v>
      </c>
      <c r="C42" s="61">
        <v>2</v>
      </c>
      <c r="D42" s="61">
        <v>3</v>
      </c>
      <c r="E42" s="61">
        <v>2.5</v>
      </c>
      <c r="F42" s="61">
        <v>3.5</v>
      </c>
      <c r="G42" s="61">
        <v>0</v>
      </c>
      <c r="H42" s="61">
        <v>0</v>
      </c>
      <c r="I42" s="61">
        <v>1.5</v>
      </c>
      <c r="J42" s="61">
        <v>0</v>
      </c>
      <c r="K42" s="61">
        <v>0</v>
      </c>
      <c r="L42" s="61">
        <v>0</v>
      </c>
    </row>
    <row r="43" spans="1:12" x14ac:dyDescent="0.25">
      <c r="A43" s="61">
        <v>1.5</v>
      </c>
      <c r="B43" s="61">
        <v>2</v>
      </c>
      <c r="C43" s="61">
        <v>3</v>
      </c>
      <c r="D43" s="61">
        <v>0.5</v>
      </c>
      <c r="E43" s="61">
        <v>1</v>
      </c>
      <c r="F43" s="61">
        <v>4</v>
      </c>
      <c r="G43" s="61">
        <v>0.5</v>
      </c>
      <c r="H43" s="61">
        <v>0</v>
      </c>
      <c r="I43" s="61">
        <v>2</v>
      </c>
      <c r="J43" s="61">
        <v>0</v>
      </c>
      <c r="K43" s="61">
        <v>2</v>
      </c>
      <c r="L43" s="61">
        <v>0</v>
      </c>
    </row>
    <row r="44" spans="1:12" x14ac:dyDescent="0.25">
      <c r="A44" s="61">
        <v>1.5</v>
      </c>
      <c r="B44" s="61">
        <v>3</v>
      </c>
      <c r="C44" s="61">
        <v>3.5</v>
      </c>
      <c r="D44" s="61">
        <v>2.5</v>
      </c>
      <c r="E44" s="61">
        <v>2</v>
      </c>
      <c r="F44" s="61">
        <v>3.5</v>
      </c>
      <c r="G44" s="61">
        <v>2</v>
      </c>
      <c r="H44" s="61">
        <v>0</v>
      </c>
      <c r="I44" s="61">
        <v>1.5</v>
      </c>
      <c r="J44" s="61">
        <v>3.5</v>
      </c>
      <c r="K44" s="61">
        <v>3</v>
      </c>
      <c r="L44" s="61">
        <v>0</v>
      </c>
    </row>
    <row r="45" spans="1:12" x14ac:dyDescent="0.25">
      <c r="A45" s="61">
        <v>2</v>
      </c>
      <c r="B45" s="61">
        <v>2.5</v>
      </c>
      <c r="C45" s="61">
        <v>4</v>
      </c>
      <c r="D45" s="61">
        <v>3</v>
      </c>
      <c r="E45" s="61">
        <v>2.5</v>
      </c>
      <c r="F45" s="61">
        <v>3</v>
      </c>
      <c r="G45" s="61">
        <v>3</v>
      </c>
      <c r="H45" s="61">
        <v>0</v>
      </c>
      <c r="I45" s="61">
        <v>2</v>
      </c>
      <c r="J45" s="61">
        <v>4.5</v>
      </c>
      <c r="K45" s="61">
        <v>3</v>
      </c>
      <c r="L45" s="61">
        <v>3</v>
      </c>
    </row>
    <row r="46" spans="1:12" x14ac:dyDescent="0.25">
      <c r="A46" s="61">
        <v>0.5</v>
      </c>
      <c r="B46" s="61">
        <v>3</v>
      </c>
      <c r="C46" s="61">
        <v>4</v>
      </c>
      <c r="D46" s="61">
        <v>2</v>
      </c>
      <c r="E46" s="61">
        <v>2.5</v>
      </c>
      <c r="F46" s="61">
        <v>3</v>
      </c>
      <c r="G46" s="61">
        <v>1.5</v>
      </c>
      <c r="H46" s="61">
        <v>0</v>
      </c>
      <c r="I46" s="61">
        <v>2</v>
      </c>
      <c r="J46" s="61">
        <v>2.5</v>
      </c>
      <c r="K46" s="61">
        <v>2.5</v>
      </c>
      <c r="L46" s="61">
        <v>2.5</v>
      </c>
    </row>
    <row r="47" spans="1:12" x14ac:dyDescent="0.25">
      <c r="A47" s="61">
        <v>1</v>
      </c>
      <c r="B47" s="61">
        <v>2.5</v>
      </c>
      <c r="C47" s="61">
        <v>3.5</v>
      </c>
      <c r="D47" s="61">
        <v>3</v>
      </c>
      <c r="E47" s="61">
        <v>2</v>
      </c>
      <c r="F47" s="61">
        <v>4</v>
      </c>
      <c r="G47" s="61">
        <v>0</v>
      </c>
      <c r="H47" s="61">
        <v>0</v>
      </c>
      <c r="I47" s="61">
        <v>0</v>
      </c>
      <c r="J47" s="61">
        <v>0</v>
      </c>
      <c r="K47" s="61">
        <v>1</v>
      </c>
      <c r="L47" s="61">
        <v>0</v>
      </c>
    </row>
    <row r="49" spans="1:3" x14ac:dyDescent="0.25">
      <c r="A49" s="61">
        <v>2.5</v>
      </c>
      <c r="B49" s="61">
        <v>1</v>
      </c>
      <c r="C49" s="61">
        <v>0.5</v>
      </c>
    </row>
    <row r="50" spans="1:3" x14ac:dyDescent="0.25">
      <c r="A50" s="61">
        <v>5</v>
      </c>
      <c r="B50" s="61">
        <v>1.5</v>
      </c>
      <c r="C50" s="61">
        <v>1</v>
      </c>
    </row>
    <row r="51" spans="1:3" x14ac:dyDescent="0.25">
      <c r="A51" s="61">
        <v>2.5</v>
      </c>
      <c r="B51" s="61">
        <v>0</v>
      </c>
      <c r="C51" s="61">
        <v>1</v>
      </c>
    </row>
    <row r="52" spans="1:3" x14ac:dyDescent="0.25">
      <c r="A52" s="61">
        <v>2.5</v>
      </c>
      <c r="B52" s="61">
        <v>1</v>
      </c>
      <c r="C52" s="61">
        <v>1</v>
      </c>
    </row>
    <row r="53" spans="1:3" x14ac:dyDescent="0.25">
      <c r="A53" s="61">
        <v>2.5</v>
      </c>
      <c r="B53" s="61">
        <v>2</v>
      </c>
      <c r="C53" s="61">
        <v>3</v>
      </c>
    </row>
    <row r="54" spans="1:3" x14ac:dyDescent="0.25">
      <c r="A54" s="61">
        <v>3</v>
      </c>
      <c r="B54" s="61">
        <v>2</v>
      </c>
      <c r="C54" s="61">
        <v>3</v>
      </c>
    </row>
    <row r="55" spans="1:3" x14ac:dyDescent="0.25">
      <c r="A55" s="61">
        <v>5</v>
      </c>
      <c r="B55" s="61">
        <v>2</v>
      </c>
      <c r="C55" s="61">
        <v>3</v>
      </c>
    </row>
    <row r="56" spans="1:3" x14ac:dyDescent="0.25">
      <c r="A56" s="61">
        <v>5</v>
      </c>
      <c r="B56" s="61">
        <v>2</v>
      </c>
      <c r="C56" s="61">
        <v>3</v>
      </c>
    </row>
    <row r="57" spans="1:3" x14ac:dyDescent="0.25">
      <c r="A57" s="61">
        <v>4</v>
      </c>
      <c r="B57" s="61">
        <v>0</v>
      </c>
      <c r="C57" s="61">
        <v>3</v>
      </c>
    </row>
    <row r="58" spans="1:3" x14ac:dyDescent="0.25">
      <c r="A58" s="61">
        <v>2.5</v>
      </c>
      <c r="B58" s="61">
        <v>2</v>
      </c>
      <c r="C58" s="61">
        <v>0</v>
      </c>
    </row>
    <row r="59" spans="1:3" x14ac:dyDescent="0.25">
      <c r="A59" s="61">
        <v>2</v>
      </c>
      <c r="B59" s="61">
        <v>0</v>
      </c>
      <c r="C59" s="61">
        <v>0</v>
      </c>
    </row>
    <row r="60" spans="1:3" x14ac:dyDescent="0.25">
      <c r="A60" s="61">
        <v>2.5</v>
      </c>
      <c r="B60" s="61">
        <v>0</v>
      </c>
      <c r="C60" s="61">
        <v>2</v>
      </c>
    </row>
    <row r="61" spans="1:3" x14ac:dyDescent="0.25">
      <c r="A61" s="61">
        <v>5</v>
      </c>
      <c r="B61" s="61">
        <v>1</v>
      </c>
      <c r="C61" s="61">
        <v>3</v>
      </c>
    </row>
    <row r="62" spans="1:3" x14ac:dyDescent="0.25">
      <c r="A62" s="61">
        <v>5</v>
      </c>
      <c r="B62" s="61">
        <v>1.5</v>
      </c>
      <c r="C62" s="61">
        <v>0.5</v>
      </c>
    </row>
    <row r="63" spans="1:3" x14ac:dyDescent="0.25">
      <c r="A63" s="61">
        <v>2.5</v>
      </c>
      <c r="B63" s="61">
        <v>0</v>
      </c>
      <c r="C63" s="61">
        <v>1</v>
      </c>
    </row>
    <row r="64" spans="1:3" x14ac:dyDescent="0.25">
      <c r="A64" s="61">
        <v>5</v>
      </c>
      <c r="B64" s="61">
        <v>1</v>
      </c>
      <c r="C64" s="61">
        <v>1</v>
      </c>
    </row>
    <row r="65" spans="1:6" x14ac:dyDescent="0.25">
      <c r="A65" s="61">
        <v>5</v>
      </c>
      <c r="B65" s="61">
        <v>1</v>
      </c>
      <c r="C65" s="61">
        <v>3</v>
      </c>
    </row>
    <row r="66" spans="1:6" x14ac:dyDescent="0.25">
      <c r="A66" s="61">
        <v>2.5</v>
      </c>
      <c r="B66" s="61">
        <v>1</v>
      </c>
      <c r="C66" s="61">
        <v>1</v>
      </c>
    </row>
    <row r="67" spans="1:6" x14ac:dyDescent="0.25">
      <c r="A67" s="61">
        <v>5</v>
      </c>
      <c r="B67" s="61">
        <v>0</v>
      </c>
      <c r="C67" s="61">
        <v>0.5</v>
      </c>
    </row>
    <row r="68" spans="1:6" x14ac:dyDescent="0.25">
      <c r="A68" s="61">
        <v>3</v>
      </c>
      <c r="B68" s="61">
        <v>0</v>
      </c>
      <c r="C68" s="61">
        <v>0</v>
      </c>
    </row>
    <row r="69" spans="1:6" x14ac:dyDescent="0.25">
      <c r="A69" s="61">
        <v>4</v>
      </c>
      <c r="B69" s="61">
        <v>1</v>
      </c>
      <c r="C69" s="61">
        <v>1</v>
      </c>
    </row>
    <row r="70" spans="1:6" x14ac:dyDescent="0.25">
      <c r="A70" s="61">
        <v>5</v>
      </c>
      <c r="B70" s="61">
        <v>2</v>
      </c>
      <c r="C70" s="61">
        <v>3</v>
      </c>
    </row>
    <row r="71" spans="1:6" x14ac:dyDescent="0.25">
      <c r="A71" s="61">
        <v>5</v>
      </c>
      <c r="B71" s="61">
        <v>2</v>
      </c>
      <c r="C71" s="61">
        <v>1</v>
      </c>
    </row>
    <row r="73" spans="1:6" x14ac:dyDescent="0.25">
      <c r="A73" s="61">
        <v>2</v>
      </c>
      <c r="B73" s="61">
        <v>2</v>
      </c>
      <c r="C73" s="61">
        <v>2</v>
      </c>
      <c r="D73" s="61">
        <v>4</v>
      </c>
      <c r="E73" s="61">
        <v>3</v>
      </c>
      <c r="F73" s="61">
        <v>7</v>
      </c>
    </row>
    <row r="74" spans="1:6" x14ac:dyDescent="0.25">
      <c r="A74" s="61">
        <v>1</v>
      </c>
      <c r="B74" s="61">
        <v>2</v>
      </c>
      <c r="C74" s="61">
        <v>1</v>
      </c>
      <c r="D74" s="61">
        <v>2</v>
      </c>
      <c r="E74" s="61">
        <v>1</v>
      </c>
      <c r="F74" s="61">
        <v>7</v>
      </c>
    </row>
    <row r="75" spans="1:6" x14ac:dyDescent="0.25">
      <c r="A75" s="61">
        <v>2</v>
      </c>
      <c r="B75" s="61">
        <v>2</v>
      </c>
      <c r="C75" s="61">
        <v>1</v>
      </c>
      <c r="D75" s="61">
        <v>3</v>
      </c>
      <c r="E75" s="61">
        <v>0</v>
      </c>
      <c r="F75" s="61">
        <v>5</v>
      </c>
    </row>
    <row r="76" spans="1:6" x14ac:dyDescent="0.25">
      <c r="A76" s="61">
        <v>2</v>
      </c>
      <c r="B76" s="61">
        <v>2</v>
      </c>
      <c r="C76" s="61">
        <v>1</v>
      </c>
      <c r="D76" s="61">
        <v>4</v>
      </c>
      <c r="E76" s="61">
        <v>0</v>
      </c>
      <c r="F76" s="61">
        <v>6.5</v>
      </c>
    </row>
    <row r="77" spans="1:6" x14ac:dyDescent="0.25">
      <c r="A77" s="61">
        <v>1</v>
      </c>
      <c r="B77" s="61">
        <v>1</v>
      </c>
      <c r="C77" s="61">
        <v>1</v>
      </c>
      <c r="D77" s="61">
        <v>1.5</v>
      </c>
      <c r="E77" s="61">
        <v>0</v>
      </c>
      <c r="F77" s="61">
        <v>4</v>
      </c>
    </row>
    <row r="78" spans="1:6" x14ac:dyDescent="0.25">
      <c r="A78" s="61">
        <v>2</v>
      </c>
      <c r="B78" s="61">
        <v>0.5</v>
      </c>
      <c r="C78" s="61">
        <v>1</v>
      </c>
      <c r="D78" s="61">
        <v>4</v>
      </c>
      <c r="E78" s="61">
        <v>3</v>
      </c>
      <c r="F78" s="61">
        <v>6</v>
      </c>
    </row>
    <row r="79" spans="1:6" x14ac:dyDescent="0.25">
      <c r="A79" s="61">
        <v>2</v>
      </c>
      <c r="B79" s="61">
        <v>2</v>
      </c>
      <c r="C79" s="61">
        <v>2</v>
      </c>
      <c r="D79" s="61">
        <v>2.5</v>
      </c>
      <c r="E79" s="61">
        <v>0</v>
      </c>
      <c r="F79" s="61">
        <v>0.5</v>
      </c>
    </row>
    <row r="80" spans="1:6" x14ac:dyDescent="0.25">
      <c r="A80" s="61">
        <v>2</v>
      </c>
      <c r="B80" s="61">
        <v>2</v>
      </c>
      <c r="C80" s="61">
        <v>2</v>
      </c>
      <c r="D80" s="61">
        <v>2</v>
      </c>
      <c r="E80" s="61">
        <v>0.5</v>
      </c>
      <c r="F80" s="61">
        <v>7</v>
      </c>
    </row>
    <row r="81" spans="1:6" x14ac:dyDescent="0.25">
      <c r="A81" s="61">
        <v>2</v>
      </c>
      <c r="B81" s="61">
        <v>2</v>
      </c>
      <c r="C81" s="61">
        <v>2</v>
      </c>
      <c r="D81" s="61">
        <v>4</v>
      </c>
      <c r="E81" s="61">
        <v>3</v>
      </c>
      <c r="F81" s="61">
        <v>7</v>
      </c>
    </row>
    <row r="82" spans="1:6" x14ac:dyDescent="0.25">
      <c r="A82" s="61">
        <v>2</v>
      </c>
      <c r="B82" s="61">
        <v>2</v>
      </c>
      <c r="C82" s="61">
        <v>2</v>
      </c>
      <c r="D82" s="61">
        <v>2</v>
      </c>
      <c r="E82" s="61">
        <v>0</v>
      </c>
      <c r="F82" s="61">
        <v>7</v>
      </c>
    </row>
    <row r="83" spans="1:6" x14ac:dyDescent="0.25">
      <c r="A83" s="61">
        <v>1</v>
      </c>
      <c r="B83" s="61">
        <v>0</v>
      </c>
      <c r="C83" s="61">
        <v>2</v>
      </c>
      <c r="D83" s="61">
        <v>1.5</v>
      </c>
      <c r="E83" s="61">
        <v>2</v>
      </c>
      <c r="F83" s="61">
        <v>3</v>
      </c>
    </row>
    <row r="84" spans="1:6" x14ac:dyDescent="0.25">
      <c r="A84" s="61">
        <v>2</v>
      </c>
      <c r="B84" s="61">
        <v>2</v>
      </c>
      <c r="C84" s="61">
        <v>1</v>
      </c>
      <c r="D84" s="61">
        <v>0.5</v>
      </c>
      <c r="E84" s="61">
        <v>0</v>
      </c>
      <c r="F84" s="61">
        <v>2</v>
      </c>
    </row>
    <row r="85" spans="1:6" x14ac:dyDescent="0.25">
      <c r="A85" s="61">
        <v>2</v>
      </c>
      <c r="B85" s="61">
        <v>0</v>
      </c>
      <c r="C85" s="61">
        <v>1.5</v>
      </c>
      <c r="D85" s="61">
        <v>0</v>
      </c>
      <c r="E85" s="61">
        <v>2</v>
      </c>
      <c r="F85" s="61">
        <v>0</v>
      </c>
    </row>
    <row r="86" spans="1:6" x14ac:dyDescent="0.25">
      <c r="A86" s="61">
        <v>2</v>
      </c>
      <c r="B86" s="61">
        <v>0</v>
      </c>
      <c r="C86" s="61">
        <v>1</v>
      </c>
      <c r="D86" s="61">
        <v>2</v>
      </c>
      <c r="E86" s="61">
        <v>3</v>
      </c>
      <c r="F86" s="61">
        <v>0</v>
      </c>
    </row>
    <row r="87" spans="1:6" x14ac:dyDescent="0.25">
      <c r="A87" s="61">
        <v>2</v>
      </c>
      <c r="B87" s="61">
        <v>0.5</v>
      </c>
      <c r="C87" s="61">
        <v>1.5</v>
      </c>
      <c r="D87" s="61">
        <v>3</v>
      </c>
      <c r="E87" s="61">
        <v>1</v>
      </c>
      <c r="F87" s="61">
        <v>7</v>
      </c>
    </row>
    <row r="88" spans="1:6" x14ac:dyDescent="0.25">
      <c r="A88" s="61">
        <v>0</v>
      </c>
      <c r="B88" s="61">
        <v>0</v>
      </c>
      <c r="C88" s="61">
        <v>0</v>
      </c>
      <c r="D88" s="61">
        <v>0</v>
      </c>
      <c r="E88" s="61">
        <v>0</v>
      </c>
      <c r="F88" s="61">
        <v>0</v>
      </c>
    </row>
    <row r="89" spans="1:6" x14ac:dyDescent="0.25">
      <c r="A89" s="61">
        <v>1</v>
      </c>
      <c r="B89" s="61">
        <v>1</v>
      </c>
      <c r="C89" s="61">
        <v>1.5</v>
      </c>
      <c r="D89" s="61">
        <v>1</v>
      </c>
      <c r="E89" s="61">
        <v>3</v>
      </c>
      <c r="F89" s="61">
        <v>3</v>
      </c>
    </row>
    <row r="90" spans="1:6" x14ac:dyDescent="0.25">
      <c r="A90" s="61">
        <v>2</v>
      </c>
      <c r="B90" s="61">
        <v>2</v>
      </c>
      <c r="C90" s="61">
        <v>1</v>
      </c>
      <c r="D90" s="61">
        <v>2</v>
      </c>
      <c r="E90" s="61">
        <v>0</v>
      </c>
      <c r="F90" s="61">
        <v>6</v>
      </c>
    </row>
    <row r="91" spans="1:6" x14ac:dyDescent="0.25">
      <c r="A91" s="61">
        <v>2</v>
      </c>
      <c r="B91" s="61">
        <v>0.5</v>
      </c>
      <c r="C91" s="61">
        <v>1.5</v>
      </c>
      <c r="D91" s="61">
        <v>2</v>
      </c>
      <c r="E91" s="61">
        <v>1</v>
      </c>
      <c r="F91" s="61">
        <v>5</v>
      </c>
    </row>
    <row r="92" spans="1:6" x14ac:dyDescent="0.25">
      <c r="A92" s="61">
        <v>2</v>
      </c>
      <c r="B92" s="61">
        <v>0.5</v>
      </c>
      <c r="C92" s="61">
        <v>2</v>
      </c>
      <c r="D92" s="61">
        <v>0</v>
      </c>
      <c r="E92" s="61">
        <v>0</v>
      </c>
      <c r="F92" s="61">
        <v>0</v>
      </c>
    </row>
    <row r="93" spans="1:6" x14ac:dyDescent="0.25">
      <c r="A93" s="61">
        <v>1</v>
      </c>
      <c r="B93" s="61">
        <v>2</v>
      </c>
      <c r="C93" s="61">
        <v>1</v>
      </c>
      <c r="D93" s="61">
        <v>2</v>
      </c>
      <c r="E93" s="61">
        <v>0</v>
      </c>
      <c r="F93" s="61">
        <v>7</v>
      </c>
    </row>
    <row r="94" spans="1:6" x14ac:dyDescent="0.25">
      <c r="A94" s="61">
        <v>2</v>
      </c>
      <c r="B94" s="61">
        <v>0</v>
      </c>
      <c r="C94" s="61">
        <v>2</v>
      </c>
      <c r="D94" s="61">
        <v>1.5</v>
      </c>
      <c r="E94" s="61">
        <v>0</v>
      </c>
      <c r="F94" s="61">
        <v>6</v>
      </c>
    </row>
    <row r="95" spans="1:6" x14ac:dyDescent="0.25">
      <c r="A95" s="61">
        <v>2</v>
      </c>
      <c r="B95" s="61">
        <v>2</v>
      </c>
      <c r="C95" s="61">
        <v>2</v>
      </c>
      <c r="D95" s="61">
        <v>4</v>
      </c>
      <c r="E95" s="61">
        <v>0</v>
      </c>
      <c r="F95" s="61">
        <v>6</v>
      </c>
    </row>
    <row r="97" spans="1:4" x14ac:dyDescent="0.25">
      <c r="A97" s="61">
        <v>0</v>
      </c>
      <c r="B97" s="61">
        <v>0</v>
      </c>
      <c r="C97" s="61">
        <v>1</v>
      </c>
      <c r="D97" s="61">
        <v>0</v>
      </c>
    </row>
    <row r="98" spans="1:4" x14ac:dyDescent="0.25">
      <c r="A98" s="61">
        <v>1.5</v>
      </c>
      <c r="B98" s="61">
        <v>2</v>
      </c>
      <c r="C98" s="61">
        <v>1.5</v>
      </c>
      <c r="D98" s="61">
        <v>2</v>
      </c>
    </row>
    <row r="99" spans="1:4" x14ac:dyDescent="0.25">
      <c r="A99" s="61">
        <v>2</v>
      </c>
      <c r="B99" s="61">
        <v>2.5</v>
      </c>
      <c r="C99" s="61">
        <v>2</v>
      </c>
      <c r="D99" s="61">
        <v>0</v>
      </c>
    </row>
    <row r="100" spans="1:4" x14ac:dyDescent="0.25">
      <c r="A100" s="61">
        <v>2</v>
      </c>
      <c r="B100" s="61">
        <v>1.5</v>
      </c>
      <c r="C100" s="61">
        <v>2</v>
      </c>
      <c r="D100" s="61">
        <v>1</v>
      </c>
    </row>
    <row r="101" spans="1:4" x14ac:dyDescent="0.25">
      <c r="A101" s="61">
        <v>1.5</v>
      </c>
      <c r="B101" s="61">
        <v>2</v>
      </c>
      <c r="C101" s="61">
        <v>2</v>
      </c>
      <c r="D101" s="61">
        <v>2</v>
      </c>
    </row>
    <row r="102" spans="1:4" x14ac:dyDescent="0.25">
      <c r="A102" s="61">
        <v>1.5</v>
      </c>
      <c r="B102" s="61">
        <v>3</v>
      </c>
      <c r="C102" s="61">
        <v>1.5</v>
      </c>
      <c r="D102" s="61">
        <v>2</v>
      </c>
    </row>
    <row r="103" spans="1:4" x14ac:dyDescent="0.25">
      <c r="A103" s="61">
        <v>2</v>
      </c>
      <c r="B103" s="61">
        <v>2.5</v>
      </c>
      <c r="C103" s="61">
        <v>2</v>
      </c>
      <c r="D103" s="61">
        <v>3</v>
      </c>
    </row>
    <row r="104" spans="1:4" x14ac:dyDescent="0.25">
      <c r="A104" s="61">
        <v>2</v>
      </c>
      <c r="B104" s="61">
        <v>2</v>
      </c>
      <c r="C104" s="61">
        <v>2</v>
      </c>
      <c r="D104" s="61">
        <v>3</v>
      </c>
    </row>
    <row r="105" spans="1:4" x14ac:dyDescent="0.25">
      <c r="A105" s="61">
        <v>1.5</v>
      </c>
      <c r="B105" s="61">
        <v>3</v>
      </c>
      <c r="C105" s="61">
        <v>1.5</v>
      </c>
      <c r="D105" s="61">
        <v>1</v>
      </c>
    </row>
    <row r="106" spans="1:4" x14ac:dyDescent="0.25">
      <c r="A106" s="61">
        <v>1</v>
      </c>
      <c r="B106" s="61">
        <v>0</v>
      </c>
      <c r="C106" s="61">
        <v>2</v>
      </c>
      <c r="D106" s="61">
        <v>0.5</v>
      </c>
    </row>
    <row r="107" spans="1:4" x14ac:dyDescent="0.25">
      <c r="A107" s="61">
        <v>2</v>
      </c>
      <c r="B107" s="61">
        <v>0</v>
      </c>
      <c r="C107" s="61">
        <v>2</v>
      </c>
      <c r="D107" s="61">
        <v>0</v>
      </c>
    </row>
    <row r="108" spans="1:4" x14ac:dyDescent="0.25">
      <c r="A108" s="61">
        <v>0.5</v>
      </c>
      <c r="B108" s="61">
        <v>0</v>
      </c>
      <c r="C108" s="61">
        <v>2</v>
      </c>
      <c r="D108" s="61">
        <v>0</v>
      </c>
    </row>
    <row r="109" spans="1:4" x14ac:dyDescent="0.25">
      <c r="A109" s="61">
        <v>1.5</v>
      </c>
      <c r="B109" s="61">
        <v>3</v>
      </c>
      <c r="C109" s="61">
        <v>0</v>
      </c>
      <c r="D109" s="61">
        <v>2</v>
      </c>
    </row>
    <row r="110" spans="1:4" x14ac:dyDescent="0.25">
      <c r="A110" s="61">
        <v>2</v>
      </c>
      <c r="B110" s="61">
        <v>2</v>
      </c>
      <c r="C110" s="61">
        <v>1.5</v>
      </c>
      <c r="D110" s="61">
        <v>2</v>
      </c>
    </row>
    <row r="111" spans="1:4" x14ac:dyDescent="0.25">
      <c r="A111" s="61">
        <v>2</v>
      </c>
      <c r="B111" s="61">
        <v>3</v>
      </c>
      <c r="C111" s="61">
        <v>1.5</v>
      </c>
      <c r="D111" s="61">
        <v>3</v>
      </c>
    </row>
    <row r="112" spans="1:4" x14ac:dyDescent="0.25">
      <c r="A112" s="61">
        <v>2</v>
      </c>
      <c r="B112" s="61">
        <v>2.5</v>
      </c>
      <c r="C112" s="61">
        <v>2</v>
      </c>
      <c r="D112" s="61">
        <v>2</v>
      </c>
    </row>
    <row r="113" spans="1:6" x14ac:dyDescent="0.25">
      <c r="A113" s="61">
        <v>2</v>
      </c>
      <c r="B113" s="61">
        <v>3</v>
      </c>
      <c r="C113" s="61">
        <v>1.5</v>
      </c>
      <c r="D113" s="61">
        <v>0</v>
      </c>
    </row>
    <row r="114" spans="1:6" x14ac:dyDescent="0.25">
      <c r="A114" s="61">
        <v>1</v>
      </c>
      <c r="B114" s="61">
        <v>0</v>
      </c>
      <c r="C114" s="61">
        <v>1</v>
      </c>
      <c r="D114" s="61">
        <v>0</v>
      </c>
    </row>
    <row r="115" spans="1:6" x14ac:dyDescent="0.25">
      <c r="A115" s="61">
        <v>2</v>
      </c>
      <c r="B115" s="61">
        <v>0</v>
      </c>
      <c r="C115" s="61">
        <v>2</v>
      </c>
      <c r="D115" s="61">
        <v>0.5</v>
      </c>
    </row>
    <row r="116" spans="1:6" x14ac:dyDescent="0.25">
      <c r="A116" s="61">
        <v>2</v>
      </c>
      <c r="B116" s="61">
        <v>0</v>
      </c>
      <c r="C116" s="61">
        <v>2</v>
      </c>
      <c r="D116" s="61">
        <v>1</v>
      </c>
    </row>
    <row r="117" spans="1:6" x14ac:dyDescent="0.25">
      <c r="A117" s="61">
        <v>2</v>
      </c>
      <c r="B117" s="61">
        <v>3</v>
      </c>
      <c r="C117" s="61">
        <v>2</v>
      </c>
      <c r="D117" s="61">
        <v>1.5</v>
      </c>
    </row>
    <row r="118" spans="1:6" x14ac:dyDescent="0.25">
      <c r="A118" s="61">
        <v>2</v>
      </c>
      <c r="B118" s="61">
        <v>3</v>
      </c>
      <c r="C118" s="61">
        <v>2</v>
      </c>
      <c r="D118" s="61">
        <v>3</v>
      </c>
    </row>
    <row r="119" spans="1:6" x14ac:dyDescent="0.25">
      <c r="A119" s="61">
        <v>2</v>
      </c>
      <c r="B119" s="61">
        <v>1</v>
      </c>
      <c r="C119" s="61">
        <v>1</v>
      </c>
      <c r="D119" s="61">
        <v>1.5</v>
      </c>
    </row>
    <row r="121" spans="1:6" x14ac:dyDescent="0.25">
      <c r="A121" s="61">
        <v>4</v>
      </c>
      <c r="B121" s="61">
        <v>2</v>
      </c>
      <c r="C121" s="61">
        <v>2</v>
      </c>
      <c r="D121" s="61">
        <v>0.5</v>
      </c>
      <c r="E121" s="61">
        <v>0.5</v>
      </c>
      <c r="F121" s="61">
        <v>0.5</v>
      </c>
    </row>
    <row r="122" spans="1:6" x14ac:dyDescent="0.25">
      <c r="A122" s="61">
        <v>4</v>
      </c>
      <c r="B122" s="61">
        <v>0</v>
      </c>
      <c r="C122" s="61">
        <v>2.5</v>
      </c>
      <c r="D122" s="61">
        <v>0.5</v>
      </c>
      <c r="E122" s="61">
        <v>2</v>
      </c>
      <c r="F122" s="61">
        <v>3</v>
      </c>
    </row>
    <row r="123" spans="1:6" x14ac:dyDescent="0.25">
      <c r="A123" s="61">
        <v>4</v>
      </c>
      <c r="B123" s="61">
        <v>2</v>
      </c>
      <c r="C123" s="61">
        <v>3</v>
      </c>
      <c r="D123" s="61">
        <v>2</v>
      </c>
      <c r="E123" s="61">
        <v>3</v>
      </c>
      <c r="F123" s="61">
        <v>1.5</v>
      </c>
    </row>
    <row r="124" spans="1:6" x14ac:dyDescent="0.25">
      <c r="A124" s="61">
        <v>4</v>
      </c>
      <c r="B124" s="61">
        <v>2</v>
      </c>
      <c r="C124" s="61">
        <v>3.5</v>
      </c>
      <c r="D124" s="61">
        <v>0</v>
      </c>
      <c r="E124" s="61">
        <v>4</v>
      </c>
      <c r="F124" s="61">
        <v>2</v>
      </c>
    </row>
    <row r="125" spans="1:6" x14ac:dyDescent="0.25">
      <c r="A125" s="61">
        <v>4</v>
      </c>
      <c r="B125" s="61">
        <v>2</v>
      </c>
      <c r="C125" s="61">
        <v>3</v>
      </c>
      <c r="D125" s="61">
        <v>0</v>
      </c>
      <c r="E125" s="61">
        <v>3</v>
      </c>
      <c r="F125" s="61">
        <v>2.5</v>
      </c>
    </row>
    <row r="126" spans="1:6" x14ac:dyDescent="0.25">
      <c r="A126" s="61">
        <v>4</v>
      </c>
      <c r="B126" s="61">
        <v>3</v>
      </c>
      <c r="C126" s="61">
        <v>4</v>
      </c>
      <c r="D126" s="61">
        <v>2</v>
      </c>
      <c r="E126" s="61">
        <v>4</v>
      </c>
      <c r="F126" s="61">
        <v>3</v>
      </c>
    </row>
    <row r="127" spans="1:6" x14ac:dyDescent="0.25">
      <c r="A127" s="61">
        <v>4</v>
      </c>
      <c r="B127" s="61">
        <v>3</v>
      </c>
      <c r="C127" s="61">
        <v>3.5</v>
      </c>
      <c r="D127" s="61">
        <v>0.5</v>
      </c>
      <c r="E127" s="61">
        <v>4</v>
      </c>
      <c r="F127" s="61">
        <v>1</v>
      </c>
    </row>
    <row r="128" spans="1:6" x14ac:dyDescent="0.25">
      <c r="A128" s="61">
        <v>3.5</v>
      </c>
      <c r="B128" s="61">
        <v>2</v>
      </c>
      <c r="C128" s="61">
        <v>3.5</v>
      </c>
      <c r="D128" s="61">
        <v>2</v>
      </c>
      <c r="E128" s="61">
        <v>2</v>
      </c>
      <c r="F128" s="61">
        <v>3</v>
      </c>
    </row>
    <row r="129" spans="1:6" x14ac:dyDescent="0.25">
      <c r="A129" s="61">
        <v>2</v>
      </c>
      <c r="B129" s="61">
        <v>0</v>
      </c>
      <c r="C129" s="61">
        <v>1</v>
      </c>
      <c r="D129" s="61">
        <v>1</v>
      </c>
      <c r="E129" s="61">
        <v>0</v>
      </c>
      <c r="F129" s="61">
        <v>2</v>
      </c>
    </row>
    <row r="130" spans="1:6" x14ac:dyDescent="0.25">
      <c r="A130" s="61">
        <v>2.5</v>
      </c>
      <c r="B130" s="61">
        <v>1</v>
      </c>
      <c r="C130" s="61">
        <v>3</v>
      </c>
      <c r="D130" s="61">
        <v>2</v>
      </c>
      <c r="E130" s="61">
        <v>0</v>
      </c>
      <c r="F130" s="61">
        <v>0.5</v>
      </c>
    </row>
    <row r="131" spans="1:6" x14ac:dyDescent="0.25">
      <c r="A131" s="61">
        <v>4</v>
      </c>
      <c r="B131" s="61">
        <v>3</v>
      </c>
      <c r="C131" s="61">
        <v>2</v>
      </c>
      <c r="D131" s="61">
        <v>2</v>
      </c>
      <c r="E131" s="61">
        <v>2</v>
      </c>
      <c r="F131" s="61">
        <v>3</v>
      </c>
    </row>
    <row r="132" spans="1:6" x14ac:dyDescent="0.25">
      <c r="A132" s="61">
        <v>4</v>
      </c>
      <c r="B132" s="61">
        <v>2</v>
      </c>
      <c r="C132" s="61">
        <v>3</v>
      </c>
      <c r="D132" s="61">
        <v>2</v>
      </c>
      <c r="E132" s="61">
        <v>2</v>
      </c>
      <c r="F132" s="61">
        <v>3</v>
      </c>
    </row>
    <row r="133" spans="1:6" x14ac:dyDescent="0.25">
      <c r="A133" s="61">
        <v>3</v>
      </c>
      <c r="B133" s="61">
        <v>0</v>
      </c>
      <c r="C133" s="61">
        <v>0</v>
      </c>
      <c r="D133" s="61">
        <v>0</v>
      </c>
      <c r="E133" s="61">
        <v>0</v>
      </c>
      <c r="F133" s="61">
        <v>0</v>
      </c>
    </row>
    <row r="134" spans="1:6" x14ac:dyDescent="0.25">
      <c r="A134" s="61">
        <v>4</v>
      </c>
      <c r="B134" s="61">
        <v>3</v>
      </c>
      <c r="C134" s="61">
        <v>2</v>
      </c>
      <c r="D134" s="61">
        <v>2</v>
      </c>
      <c r="E134" s="61">
        <v>3.5</v>
      </c>
      <c r="F134" s="61">
        <v>2.5</v>
      </c>
    </row>
    <row r="135" spans="1:6" x14ac:dyDescent="0.25">
      <c r="A135" s="61">
        <v>4</v>
      </c>
      <c r="B135" s="61">
        <v>1</v>
      </c>
      <c r="C135" s="61">
        <v>1</v>
      </c>
      <c r="D135" s="61">
        <v>0.5</v>
      </c>
      <c r="E135" s="61">
        <v>0</v>
      </c>
      <c r="F135" s="61">
        <v>1.5</v>
      </c>
    </row>
    <row r="136" spans="1:6" x14ac:dyDescent="0.25">
      <c r="A136" s="61">
        <v>4</v>
      </c>
      <c r="B136" s="61">
        <v>0.5</v>
      </c>
      <c r="C136" s="61">
        <v>1</v>
      </c>
      <c r="D136" s="61">
        <v>0.5</v>
      </c>
      <c r="E136" s="61">
        <v>0</v>
      </c>
      <c r="F136" s="61">
        <v>0.5</v>
      </c>
    </row>
    <row r="137" spans="1:6" x14ac:dyDescent="0.25">
      <c r="A137" s="61">
        <v>2</v>
      </c>
      <c r="B137" s="61">
        <v>0</v>
      </c>
      <c r="C137" s="61">
        <v>1</v>
      </c>
      <c r="D137" s="61">
        <v>1.5</v>
      </c>
      <c r="E137" s="61">
        <v>0</v>
      </c>
      <c r="F137" s="61">
        <v>0</v>
      </c>
    </row>
    <row r="138" spans="1:6" x14ac:dyDescent="0.25">
      <c r="A138" s="61">
        <v>4</v>
      </c>
      <c r="B138" s="61">
        <v>3</v>
      </c>
      <c r="C138" s="61">
        <v>3</v>
      </c>
      <c r="D138" s="61">
        <v>0</v>
      </c>
      <c r="E138" s="61">
        <v>4</v>
      </c>
      <c r="F138" s="61">
        <v>0</v>
      </c>
    </row>
    <row r="139" spans="1:6" x14ac:dyDescent="0.25">
      <c r="A139" s="61">
        <v>4</v>
      </c>
      <c r="B139" s="61">
        <v>1</v>
      </c>
      <c r="C139" s="61">
        <v>3</v>
      </c>
      <c r="D139" s="61">
        <v>2</v>
      </c>
      <c r="E139" s="61">
        <v>3.5</v>
      </c>
      <c r="F139" s="61">
        <v>2</v>
      </c>
    </row>
    <row r="140" spans="1:6" x14ac:dyDescent="0.25">
      <c r="A140" s="61">
        <v>4</v>
      </c>
      <c r="B140" s="61">
        <v>2</v>
      </c>
      <c r="C140" s="61">
        <v>3</v>
      </c>
      <c r="D140" s="61">
        <v>2</v>
      </c>
      <c r="E140" s="61">
        <v>4</v>
      </c>
      <c r="F140" s="61">
        <v>2</v>
      </c>
    </row>
    <row r="141" spans="1:6" x14ac:dyDescent="0.25">
      <c r="A141" s="61">
        <v>4</v>
      </c>
      <c r="B141" s="61">
        <v>3</v>
      </c>
      <c r="C141" s="61">
        <v>4</v>
      </c>
      <c r="D141" s="61">
        <v>2</v>
      </c>
      <c r="E141" s="61">
        <v>3</v>
      </c>
      <c r="F141" s="61">
        <v>3</v>
      </c>
    </row>
    <row r="142" spans="1:6" x14ac:dyDescent="0.25">
      <c r="A142" s="61">
        <v>4</v>
      </c>
      <c r="B142" s="61">
        <v>2</v>
      </c>
      <c r="C142" s="61">
        <v>4</v>
      </c>
      <c r="D142" s="61">
        <v>2</v>
      </c>
      <c r="E142" s="61">
        <v>2.5</v>
      </c>
      <c r="F142" s="61">
        <v>3</v>
      </c>
    </row>
    <row r="143" spans="1:6" x14ac:dyDescent="0.25">
      <c r="A143" s="61">
        <v>4</v>
      </c>
      <c r="B143" s="61">
        <v>0</v>
      </c>
      <c r="C143" s="61">
        <v>2</v>
      </c>
      <c r="D143" s="61">
        <v>0.5</v>
      </c>
      <c r="E143" s="61">
        <v>0</v>
      </c>
      <c r="F143" s="61">
        <v>0</v>
      </c>
    </row>
    <row r="147" spans="1:5" x14ac:dyDescent="0.25">
      <c r="A147" s="61" t="s">
        <v>120</v>
      </c>
      <c r="C147" s="61" t="s">
        <v>120</v>
      </c>
    </row>
    <row r="148" spans="1:5" x14ac:dyDescent="0.25">
      <c r="A148" s="61" t="s">
        <v>120</v>
      </c>
      <c r="D148" s="61" t="s">
        <v>120</v>
      </c>
    </row>
    <row r="149" spans="1:5" x14ac:dyDescent="0.25">
      <c r="D149" s="61" t="s">
        <v>120</v>
      </c>
      <c r="E149" s="61" t="s">
        <v>120</v>
      </c>
    </row>
    <row r="150" spans="1:5" x14ac:dyDescent="0.25">
      <c r="A150" s="61" t="s">
        <v>120</v>
      </c>
      <c r="B150" s="61" t="s">
        <v>120</v>
      </c>
      <c r="C150" s="61" t="s">
        <v>120</v>
      </c>
    </row>
    <row r="151" spans="1:5" x14ac:dyDescent="0.25">
      <c r="A151" s="61" t="s">
        <v>120</v>
      </c>
      <c r="D151" s="61" t="s">
        <v>120</v>
      </c>
    </row>
    <row r="152" spans="1:5" x14ac:dyDescent="0.25">
      <c r="B152" s="61" t="s">
        <v>120</v>
      </c>
      <c r="C152" s="61" t="s">
        <v>120</v>
      </c>
      <c r="D152" s="61" t="s">
        <v>120</v>
      </c>
    </row>
    <row r="153" spans="1:5" x14ac:dyDescent="0.25">
      <c r="B153" s="61" t="s">
        <v>120</v>
      </c>
      <c r="C153" s="61" t="s">
        <v>120</v>
      </c>
      <c r="E153" s="61" t="s">
        <v>120</v>
      </c>
    </row>
    <row r="154" spans="1:5" x14ac:dyDescent="0.25">
      <c r="D154" s="61" t="s">
        <v>120</v>
      </c>
      <c r="E154" s="61" t="s">
        <v>120</v>
      </c>
    </row>
    <row r="155" spans="1:5" x14ac:dyDescent="0.25">
      <c r="A155" s="61" t="s">
        <v>120</v>
      </c>
      <c r="B155" s="61" t="s">
        <v>120</v>
      </c>
      <c r="C155" s="61" t="s">
        <v>120</v>
      </c>
    </row>
    <row r="156" spans="1:5" x14ac:dyDescent="0.25">
      <c r="B156" s="61" t="s">
        <v>120</v>
      </c>
      <c r="C156" s="61" t="s">
        <v>120</v>
      </c>
      <c r="D156" s="61" t="s">
        <v>120</v>
      </c>
    </row>
    <row r="157" spans="1:5" x14ac:dyDescent="0.25">
      <c r="A157" s="61" t="s">
        <v>120</v>
      </c>
      <c r="D157" s="61" t="s">
        <v>120</v>
      </c>
    </row>
    <row r="158" spans="1:5" x14ac:dyDescent="0.25">
      <c r="A158" s="61" t="s">
        <v>120</v>
      </c>
      <c r="D158" s="61" t="s">
        <v>120</v>
      </c>
    </row>
    <row r="159" spans="1:5" x14ac:dyDescent="0.25">
      <c r="A159" s="61" t="s">
        <v>120</v>
      </c>
      <c r="E159" s="61" t="s">
        <v>120</v>
      </c>
    </row>
    <row r="160" spans="1:5" x14ac:dyDescent="0.25">
      <c r="D160" s="61" t="s">
        <v>120</v>
      </c>
      <c r="E160" s="61" t="s">
        <v>120</v>
      </c>
    </row>
    <row r="161" spans="1:5" x14ac:dyDescent="0.25">
      <c r="B161" s="61" t="s">
        <v>120</v>
      </c>
      <c r="C161" s="61" t="s">
        <v>120</v>
      </c>
      <c r="E161" s="61" t="s">
        <v>120</v>
      </c>
    </row>
    <row r="162" spans="1:5" x14ac:dyDescent="0.25">
      <c r="B162" s="61" t="s">
        <v>120</v>
      </c>
      <c r="C162" s="61" t="s">
        <v>120</v>
      </c>
      <c r="D162" s="61" t="s">
        <v>120</v>
      </c>
    </row>
    <row r="163" spans="1:5" x14ac:dyDescent="0.25">
      <c r="A163" s="61" t="s">
        <v>120</v>
      </c>
      <c r="D163" s="61" t="s">
        <v>120</v>
      </c>
    </row>
    <row r="164" spans="1:5" x14ac:dyDescent="0.25">
      <c r="D164" s="61" t="s">
        <v>120</v>
      </c>
      <c r="E164" s="61" t="s">
        <v>120</v>
      </c>
    </row>
    <row r="165" spans="1:5" x14ac:dyDescent="0.25">
      <c r="D165" s="61" t="s">
        <v>120</v>
      </c>
      <c r="E165" s="61" t="s">
        <v>120</v>
      </c>
    </row>
    <row r="166" spans="1:5" x14ac:dyDescent="0.25">
      <c r="A166" s="61" t="s">
        <v>120</v>
      </c>
      <c r="B166" s="61" t="s">
        <v>120</v>
      </c>
      <c r="C166" s="61" t="s">
        <v>120</v>
      </c>
    </row>
    <row r="167" spans="1:5" x14ac:dyDescent="0.25">
      <c r="A167" s="61" t="s">
        <v>120</v>
      </c>
      <c r="B167" s="61" t="s">
        <v>120</v>
      </c>
      <c r="C167" s="61" t="s">
        <v>120</v>
      </c>
    </row>
    <row r="168" spans="1:5" x14ac:dyDescent="0.25">
      <c r="A168" s="61" t="s">
        <v>120</v>
      </c>
      <c r="E168" s="61" t="s">
        <v>120</v>
      </c>
    </row>
    <row r="169" spans="1:5" x14ac:dyDescent="0.25">
      <c r="A169" s="61" t="s">
        <v>120</v>
      </c>
      <c r="D169" s="61" t="s">
        <v>120</v>
      </c>
    </row>
    <row r="173" spans="1:5" x14ac:dyDescent="0.25">
      <c r="A173" s="61">
        <v>4</v>
      </c>
      <c r="B173" s="61">
        <v>1</v>
      </c>
      <c r="C173" s="61">
        <v>3</v>
      </c>
    </row>
    <row r="174" spans="1:5" x14ac:dyDescent="0.25">
      <c r="A174" s="61">
        <v>3</v>
      </c>
      <c r="D174" s="61">
        <v>4</v>
      </c>
    </row>
    <row r="175" spans="1:5" x14ac:dyDescent="0.25">
      <c r="D175" s="61">
        <v>5</v>
      </c>
      <c r="E175" s="61">
        <v>3</v>
      </c>
    </row>
    <row r="176" spans="1:5" x14ac:dyDescent="0.25">
      <c r="A176" s="61">
        <v>1</v>
      </c>
      <c r="B176" s="61">
        <v>2</v>
      </c>
      <c r="C176" s="61">
        <v>3</v>
      </c>
    </row>
    <row r="177" spans="1:5" x14ac:dyDescent="0.25">
      <c r="A177" s="61">
        <v>1</v>
      </c>
      <c r="D177" s="61">
        <v>5</v>
      </c>
    </row>
    <row r="178" spans="1:5" x14ac:dyDescent="0.25">
      <c r="B178" s="61">
        <v>2</v>
      </c>
      <c r="C178" s="61">
        <v>3</v>
      </c>
      <c r="D178" s="61">
        <v>3</v>
      </c>
    </row>
    <row r="179" spans="1:5" x14ac:dyDescent="0.25">
      <c r="B179" s="61">
        <v>1</v>
      </c>
      <c r="C179" s="61">
        <v>2</v>
      </c>
      <c r="E179" s="61">
        <v>4</v>
      </c>
    </row>
    <row r="180" spans="1:5" x14ac:dyDescent="0.25">
      <c r="D180" s="61">
        <v>4</v>
      </c>
      <c r="E180" s="61">
        <v>3</v>
      </c>
    </row>
    <row r="181" spans="1:5" x14ac:dyDescent="0.25">
      <c r="A181" s="61">
        <v>5</v>
      </c>
      <c r="B181" s="61">
        <v>2</v>
      </c>
      <c r="C181" s="61">
        <v>1</v>
      </c>
    </row>
    <row r="182" spans="1:5" x14ac:dyDescent="0.25">
      <c r="B182" s="61">
        <v>1</v>
      </c>
      <c r="C182" s="61">
        <v>2</v>
      </c>
      <c r="D182" s="61">
        <v>5</v>
      </c>
    </row>
    <row r="183" spans="1:5" x14ac:dyDescent="0.25">
      <c r="A183" s="61">
        <v>2</v>
      </c>
      <c r="D183" s="61">
        <v>4</v>
      </c>
    </row>
    <row r="184" spans="1:5" x14ac:dyDescent="0.25">
      <c r="A184" s="61">
        <v>5</v>
      </c>
      <c r="D184" s="61">
        <v>1</v>
      </c>
    </row>
    <row r="185" spans="1:5" x14ac:dyDescent="0.25">
      <c r="A185" s="61">
        <v>3</v>
      </c>
      <c r="E185" s="61">
        <v>5</v>
      </c>
    </row>
    <row r="186" spans="1:5" x14ac:dyDescent="0.25">
      <c r="D186" s="61">
        <v>4</v>
      </c>
      <c r="E186" s="61">
        <v>3</v>
      </c>
    </row>
    <row r="187" spans="1:5" x14ac:dyDescent="0.25">
      <c r="B187" s="61">
        <v>1</v>
      </c>
      <c r="C187" s="61">
        <v>2</v>
      </c>
      <c r="E187" s="61">
        <v>1</v>
      </c>
    </row>
    <row r="188" spans="1:5" x14ac:dyDescent="0.25">
      <c r="B188" s="61">
        <v>1</v>
      </c>
      <c r="C188" s="61">
        <v>2</v>
      </c>
      <c r="D188" s="61">
        <v>5</v>
      </c>
    </row>
    <row r="189" spans="1:5" x14ac:dyDescent="0.25">
      <c r="A189" s="61">
        <v>5</v>
      </c>
      <c r="D189" s="61">
        <v>5</v>
      </c>
    </row>
    <row r="190" spans="1:5" x14ac:dyDescent="0.25">
      <c r="D190" s="61">
        <v>3</v>
      </c>
      <c r="E190" s="61">
        <v>4</v>
      </c>
    </row>
    <row r="191" spans="1:5" x14ac:dyDescent="0.25">
      <c r="D191" s="61">
        <v>5</v>
      </c>
      <c r="E191" s="61">
        <v>3</v>
      </c>
    </row>
    <row r="192" spans="1:5" x14ac:dyDescent="0.25">
      <c r="A192" s="61">
        <v>5</v>
      </c>
      <c r="B192" s="61">
        <v>2</v>
      </c>
      <c r="C192" s="61">
        <v>3</v>
      </c>
    </row>
    <row r="193" spans="1:5" x14ac:dyDescent="0.25">
      <c r="A193" s="61">
        <v>5</v>
      </c>
      <c r="B193" s="61">
        <v>2</v>
      </c>
      <c r="C193" s="61">
        <v>3</v>
      </c>
    </row>
    <row r="194" spans="1:5" x14ac:dyDescent="0.25">
      <c r="A194" s="61">
        <v>2</v>
      </c>
      <c r="E194" s="61">
        <v>5</v>
      </c>
    </row>
    <row r="195" spans="1:5" x14ac:dyDescent="0.25">
      <c r="A195" s="61">
        <v>3</v>
      </c>
      <c r="D195" s="61">
        <v>5</v>
      </c>
    </row>
  </sheetData>
  <sheetProtection sheet="1" objects="1" selectLockedCells="1"/>
  <pageMargins left="0.7" right="0.7" top="0.78740157499999996" bottom="0.78740157499999996"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7</vt:i4>
      </vt:variant>
    </vt:vector>
  </HeadingPairs>
  <TitlesOfParts>
    <vt:vector size="19" baseType="lpstr">
      <vt:lpstr>Noten</vt:lpstr>
      <vt:lpstr>Analysis A</vt:lpstr>
      <vt:lpstr>Analysis B</vt:lpstr>
      <vt:lpstr>Stochastik A</vt:lpstr>
      <vt:lpstr>Stochastik B</vt:lpstr>
      <vt:lpstr>Geometrie A</vt:lpstr>
      <vt:lpstr>Geometrie B</vt:lpstr>
      <vt:lpstr>Wahlaufgaben</vt:lpstr>
      <vt:lpstr>ConfigW</vt:lpstr>
      <vt:lpstr>Config</vt:lpstr>
      <vt:lpstr>Notenspiegel</vt:lpstr>
      <vt:lpstr>TestData</vt:lpstr>
      <vt:lpstr>'Analysis A'!PupilBlock</vt:lpstr>
      <vt:lpstr>'Analysis B'!PupilBlock</vt:lpstr>
      <vt:lpstr>'Geometrie A'!PupilBlock</vt:lpstr>
      <vt:lpstr>'Geometrie B'!PupilBlock</vt:lpstr>
      <vt:lpstr>'Stochastik A'!PupilBlock</vt:lpstr>
      <vt:lpstr>'Stochastik B'!PupilBlock</vt:lpstr>
      <vt:lpstr>Wahlaufgaben!PupilBlock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Gesamtnote schr : mündl  = 1:1</dc:title>
  <dc:subject>Berechnung der Note</dc:subject>
  <dc:creator/>
  <cp:lastModifiedBy>Marcel Krausert</cp:lastModifiedBy>
  <cp:lastPrinted>2026-05-05T19:40:01Z</cp:lastPrinted>
  <dcterms:created xsi:type="dcterms:W3CDTF">2006-06-24T21:29:52Z</dcterms:created>
  <dcterms:modified xsi:type="dcterms:W3CDTF">2026-05-05T19:50:38Z</dcterms:modified>
</cp:coreProperties>
</file>