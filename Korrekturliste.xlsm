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B04D2BAC-AB3D-4A0F-A133-7F47EB675C3A}" xr6:coauthVersionLast="47" xr6:coauthVersionMax="47" xr10:uidLastSave="{00000000-0000-0000-0000-000000000000}"/>
  <bookViews>
    <workbookView xWindow="-108" yWindow="-108" windowWidth="30936" windowHeight="16776" activeTab="9" xr2:uid="{00000000-000D-0000-FFFF-FFFF00000000}"/>
  </bookViews>
  <sheets>
    <sheet name="Noten" sheetId="3155" r:id="rId1"/>
    <sheet name="Analysis A" sheetId="3148" r:id="rId2"/>
    <sheet name="Analysis B" sheetId="3149" r:id="rId3"/>
    <sheet name="Stochastik A" sheetId="3150" r:id="rId4"/>
    <sheet name="Stochastik B" sheetId="3151" r:id="rId5"/>
    <sheet name="Geometrie A" sheetId="3152" r:id="rId6"/>
    <sheet name="Geometrie B" sheetId="3153" r:id="rId7"/>
    <sheet name="Wahlaufgaben" sheetId="3154" r:id="rId8"/>
    <sheet name="ConfigW" sheetId="3156"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A'!$C$7:$J$29</definedName>
    <definedName name="PupilBlock" localSheetId="2">'Analysis B'!$C$7:$N$29</definedName>
    <definedName name="PupilBlock" localSheetId="5">'Geometrie A'!$C$7:$F$29</definedName>
    <definedName name="PupilBlock" localSheetId="6">'Geometrie B'!$C$7:$I$29</definedName>
    <definedName name="PupilBlock" localSheetId="3">'Stochastik A'!$C$7:$E$29</definedName>
    <definedName name="PupilBlock" localSheetId="4">'Stochastik B'!$C$7:$I$29</definedName>
    <definedName name="PupilBlock" localSheetId="7">Wahlaufgaben!$C$7:$I$29</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3156" l="1"/>
  <c r="E5" i="3156"/>
  <c r="F5" i="3156"/>
  <c r="G5" i="3156"/>
  <c r="H5" i="3156"/>
  <c r="C7" i="3156"/>
  <c r="C8" i="3156"/>
  <c r="C9" i="3156"/>
  <c r="C10" i="3156"/>
  <c r="C11" i="3156"/>
  <c r="C12" i="3156"/>
  <c r="C13" i="3156"/>
  <c r="C14" i="3156"/>
  <c r="C15" i="3156"/>
  <c r="C16" i="3156"/>
  <c r="C17" i="3156"/>
  <c r="C18" i="3156"/>
  <c r="C19" i="3156"/>
  <c r="C20" i="3156"/>
  <c r="C21" i="3156"/>
  <c r="C22" i="3156"/>
  <c r="C23" i="3156"/>
  <c r="C24" i="3156"/>
  <c r="C25" i="3156"/>
  <c r="C26" i="3156"/>
  <c r="C27" i="3156"/>
  <c r="C28" i="3156"/>
  <c r="C29" i="3156"/>
  <c r="H2" i="3156"/>
  <c r="B2" i="3156"/>
  <c r="C7" i="3155"/>
  <c r="C7" i="3148"/>
  <c r="J7" i="3148"/>
  <c r="D7" i="3155"/>
  <c r="C7" i="3149"/>
  <c r="N7" i="3149"/>
  <c r="E7" i="3155"/>
  <c r="C7" i="3150"/>
  <c r="E7" i="3150"/>
  <c r="F7" i="3155"/>
  <c r="C7" i="3151"/>
  <c r="I7" i="3151"/>
  <c r="G7" i="3155"/>
  <c r="C7" i="3154"/>
  <c r="I7" i="3154"/>
  <c r="J7" i="3155"/>
  <c r="C7" i="3153"/>
  <c r="I7" i="3153"/>
  <c r="I7" i="3155"/>
  <c r="C7" i="3152"/>
  <c r="F7" i="3152"/>
  <c r="H7" i="3155"/>
  <c r="K7" i="3155"/>
  <c r="E3" i="11"/>
  <c r="E26" i="11"/>
  <c r="E71" i="11"/>
  <c r="E76" i="11"/>
  <c r="E102" i="11"/>
  <c r="E120" i="11"/>
  <c r="E136" i="11"/>
  <c r="E134" i="11"/>
  <c r="N7" i="3155"/>
  <c r="C8" i="3155"/>
  <c r="C8" i="3148"/>
  <c r="J8" i="3148"/>
  <c r="D8" i="3155"/>
  <c r="C8" i="3149"/>
  <c r="N8" i="3149"/>
  <c r="E8" i="3155"/>
  <c r="C8" i="3150"/>
  <c r="E8" i="3150"/>
  <c r="F8" i="3155"/>
  <c r="C8" i="3151"/>
  <c r="I8" i="3151"/>
  <c r="G8" i="3155"/>
  <c r="C8" i="3154"/>
  <c r="I8" i="3154"/>
  <c r="J8" i="3155"/>
  <c r="C8" i="3153"/>
  <c r="I8" i="3153"/>
  <c r="I8" i="3155"/>
  <c r="C8" i="3152"/>
  <c r="F8" i="3152"/>
  <c r="H8" i="3155"/>
  <c r="K8" i="3155"/>
  <c r="E21" i="11"/>
  <c r="E56" i="11"/>
  <c r="E66" i="11"/>
  <c r="E80" i="11"/>
  <c r="E87" i="11"/>
  <c r="E105" i="11"/>
  <c r="E119" i="11"/>
  <c r="N8" i="3155"/>
  <c r="C9" i="3155"/>
  <c r="C9" i="3148"/>
  <c r="J9" i="3148"/>
  <c r="D9" i="3155"/>
  <c r="C9" i="3149"/>
  <c r="N9" i="3149"/>
  <c r="E9" i="3155"/>
  <c r="C9" i="3150"/>
  <c r="E9" i="3150"/>
  <c r="F9" i="3155"/>
  <c r="C9" i="3151"/>
  <c r="I9" i="3151"/>
  <c r="G9" i="3155"/>
  <c r="C9" i="3154"/>
  <c r="I9" i="3154"/>
  <c r="J9" i="3155"/>
  <c r="C9" i="3153"/>
  <c r="I9" i="3153"/>
  <c r="I9" i="3155"/>
  <c r="C9" i="3152"/>
  <c r="F9" i="3152"/>
  <c r="H9" i="3155"/>
  <c r="K9" i="3155"/>
  <c r="E24" i="11"/>
  <c r="E47" i="11"/>
  <c r="E52" i="11"/>
  <c r="E68" i="11"/>
  <c r="E77" i="11"/>
  <c r="E121" i="11"/>
  <c r="N9" i="3155"/>
  <c r="C10" i="3155"/>
  <c r="C10" i="3148"/>
  <c r="J10" i="3148"/>
  <c r="D10" i="3155"/>
  <c r="C10" i="3149"/>
  <c r="N10" i="3149"/>
  <c r="E10" i="3155"/>
  <c r="C10" i="3150"/>
  <c r="E10" i="3150"/>
  <c r="F10" i="3155"/>
  <c r="C10" i="3151"/>
  <c r="I10" i="3151"/>
  <c r="G10" i="3155"/>
  <c r="C10" i="3154"/>
  <c r="I10" i="3154"/>
  <c r="J10" i="3155"/>
  <c r="C10" i="3153"/>
  <c r="I10" i="3153"/>
  <c r="I10" i="3155"/>
  <c r="C10" i="3152"/>
  <c r="F10" i="3152"/>
  <c r="H10" i="3155"/>
  <c r="K10" i="3155"/>
  <c r="E28" i="11"/>
  <c r="E74" i="11"/>
  <c r="E79" i="11"/>
  <c r="E97" i="11"/>
  <c r="E104" i="11"/>
  <c r="E131" i="11"/>
  <c r="E143" i="11"/>
  <c r="N10" i="3155"/>
  <c r="C11" i="3155"/>
  <c r="C11" i="3148"/>
  <c r="J11" i="3148"/>
  <c r="D11" i="3155"/>
  <c r="C11" i="3149"/>
  <c r="N11" i="3149"/>
  <c r="E11" i="3155"/>
  <c r="C11" i="3150"/>
  <c r="E11" i="3150"/>
  <c r="F11" i="3155"/>
  <c r="C11" i="3151"/>
  <c r="I11" i="3151"/>
  <c r="G11" i="3155"/>
  <c r="C11" i="3154"/>
  <c r="I11" i="3154"/>
  <c r="J11" i="3155"/>
  <c r="C11" i="3153"/>
  <c r="I11" i="3153"/>
  <c r="I11" i="3155"/>
  <c r="C11" i="3152"/>
  <c r="F11" i="3152"/>
  <c r="H11" i="3155"/>
  <c r="K11" i="3155"/>
  <c r="E31" i="11"/>
  <c r="E88" i="11"/>
  <c r="E95" i="11"/>
  <c r="N11" i="3155"/>
  <c r="C12" i="3155"/>
  <c r="C12" i="3148"/>
  <c r="J12" i="3148"/>
  <c r="D12" i="3155"/>
  <c r="C12" i="3149"/>
  <c r="N12" i="3149"/>
  <c r="E12" i="3155"/>
  <c r="C12" i="3150"/>
  <c r="E12" i="3150"/>
  <c r="F12" i="3155"/>
  <c r="C12" i="3151"/>
  <c r="I12" i="3151"/>
  <c r="G12" i="3155"/>
  <c r="C12" i="3154"/>
  <c r="I12" i="3154"/>
  <c r="J12" i="3155"/>
  <c r="C12" i="3153"/>
  <c r="I12" i="3153"/>
  <c r="I12" i="3155"/>
  <c r="C12" i="3152"/>
  <c r="F12" i="3152"/>
  <c r="H12" i="3155"/>
  <c r="K12" i="3155"/>
  <c r="E94" i="11"/>
  <c r="E100" i="11"/>
  <c r="E130" i="11"/>
  <c r="E164" i="11"/>
  <c r="E180" i="11"/>
  <c r="N12" i="3155"/>
  <c r="C13" i="3155"/>
  <c r="C13" i="3148"/>
  <c r="J13" i="3148"/>
  <c r="D13" i="3155"/>
  <c r="C13" i="3149"/>
  <c r="N13" i="3149"/>
  <c r="E13" i="3155"/>
  <c r="C13" i="3150"/>
  <c r="E13" i="3150"/>
  <c r="F13" i="3155"/>
  <c r="C13" i="3151"/>
  <c r="I13" i="3151"/>
  <c r="G13" i="3155"/>
  <c r="C13" i="3154"/>
  <c r="I13" i="3154"/>
  <c r="J13" i="3155"/>
  <c r="C13" i="3153"/>
  <c r="I13" i="3153"/>
  <c r="I13" i="3155"/>
  <c r="C13" i="3152"/>
  <c r="F13" i="3152"/>
  <c r="H13" i="3155"/>
  <c r="K13" i="3155"/>
  <c r="E73" i="11"/>
  <c r="E83" i="11"/>
  <c r="E109" i="11"/>
  <c r="E139" i="11"/>
  <c r="E153" i="11"/>
  <c r="N13" i="3155"/>
  <c r="C14" i="3155"/>
  <c r="C14" i="3148"/>
  <c r="J14" i="3148"/>
  <c r="D14" i="3155"/>
  <c r="C14" i="3149"/>
  <c r="N14" i="3149"/>
  <c r="E14" i="3155"/>
  <c r="C14" i="3150"/>
  <c r="E14" i="3150"/>
  <c r="F14" i="3155"/>
  <c r="C14" i="3151"/>
  <c r="I14" i="3151"/>
  <c r="G14" i="3155"/>
  <c r="C14" i="3154"/>
  <c r="I14" i="3154"/>
  <c r="J14" i="3155"/>
  <c r="C14" i="3153"/>
  <c r="I14" i="3153"/>
  <c r="I14" i="3155"/>
  <c r="C14" i="3152"/>
  <c r="F14" i="3152"/>
  <c r="H14" i="3155"/>
  <c r="K14" i="3155"/>
  <c r="E54" i="11"/>
  <c r="E64" i="11"/>
  <c r="E81" i="11"/>
  <c r="E89" i="11"/>
  <c r="E115" i="11"/>
  <c r="E129" i="11"/>
  <c r="N14" i="3155"/>
  <c r="C15" i="3155"/>
  <c r="C15" i="3148"/>
  <c r="J15" i="3148"/>
  <c r="D15" i="3155"/>
  <c r="C15" i="3149"/>
  <c r="N15" i="3149"/>
  <c r="E15" i="3155"/>
  <c r="C15" i="3150"/>
  <c r="E15" i="3150"/>
  <c r="F15" i="3155"/>
  <c r="C15" i="3151"/>
  <c r="I15" i="3151"/>
  <c r="G15" i="3155"/>
  <c r="C15" i="3154"/>
  <c r="I15" i="3154"/>
  <c r="J15" i="3155"/>
  <c r="C15" i="3153"/>
  <c r="I15" i="3153"/>
  <c r="I15" i="3155"/>
  <c r="C15" i="3152"/>
  <c r="F15" i="3152"/>
  <c r="H15" i="3155"/>
  <c r="K15" i="3155"/>
  <c r="E23" i="11"/>
  <c r="E60" i="11"/>
  <c r="E86" i="11"/>
  <c r="E103" i="11"/>
  <c r="N15" i="3155"/>
  <c r="C16" i="3155"/>
  <c r="C16" i="3148"/>
  <c r="J16" i="3148"/>
  <c r="D16" i="3155"/>
  <c r="C16" i="3149"/>
  <c r="N16" i="3149"/>
  <c r="E16" i="3155"/>
  <c r="C16" i="3150"/>
  <c r="E16" i="3150"/>
  <c r="F16" i="3155"/>
  <c r="C16" i="3151"/>
  <c r="I16" i="3151"/>
  <c r="G16" i="3155"/>
  <c r="C16" i="3154"/>
  <c r="I16" i="3154"/>
  <c r="J16" i="3155"/>
  <c r="C16" i="3153"/>
  <c r="I16" i="3153"/>
  <c r="I16" i="3155"/>
  <c r="C16" i="3152"/>
  <c r="F16" i="3152"/>
  <c r="H16" i="3155"/>
  <c r="K16" i="3155"/>
  <c r="E9" i="11"/>
  <c r="E44" i="11"/>
  <c r="E46" i="11"/>
  <c r="E63" i="11"/>
  <c r="N16" i="3155"/>
  <c r="C17" i="3155"/>
  <c r="C17" i="3148"/>
  <c r="J17" i="3148"/>
  <c r="D17" i="3155"/>
  <c r="C17" i="3149"/>
  <c r="N17" i="3149"/>
  <c r="E17" i="3155"/>
  <c r="C17" i="3150"/>
  <c r="E17" i="3150"/>
  <c r="F17" i="3155"/>
  <c r="C17" i="3151"/>
  <c r="I17" i="3151"/>
  <c r="G17" i="3155"/>
  <c r="C17" i="3154"/>
  <c r="I17" i="3154"/>
  <c r="J17" i="3155"/>
  <c r="C17" i="3153"/>
  <c r="I17" i="3153"/>
  <c r="I17" i="3155"/>
  <c r="C17" i="3152"/>
  <c r="F17" i="3152"/>
  <c r="H17" i="3155"/>
  <c r="K17" i="3155"/>
  <c r="E16" i="11"/>
  <c r="E43" i="11"/>
  <c r="E90" i="11"/>
  <c r="N17" i="3155"/>
  <c r="C18" i="3155"/>
  <c r="C18" i="3148"/>
  <c r="J18" i="3148"/>
  <c r="D18" i="3155"/>
  <c r="C18" i="3149"/>
  <c r="N18" i="3149"/>
  <c r="E18" i="3155"/>
  <c r="C18" i="3150"/>
  <c r="E18" i="3150"/>
  <c r="F18" i="3155"/>
  <c r="C18" i="3151"/>
  <c r="I18" i="3151"/>
  <c r="G18" i="3155"/>
  <c r="C18" i="3154"/>
  <c r="I18" i="3154"/>
  <c r="J18" i="3155"/>
  <c r="C18" i="3153"/>
  <c r="I18" i="3153"/>
  <c r="I18" i="3155"/>
  <c r="C18" i="3152"/>
  <c r="F18" i="3152"/>
  <c r="H18" i="3155"/>
  <c r="K18" i="3155"/>
  <c r="E85" i="11"/>
  <c r="E96" i="11"/>
  <c r="E123" i="11"/>
  <c r="E135" i="11"/>
  <c r="N18" i="3155"/>
  <c r="C19" i="3155"/>
  <c r="C19" i="3148"/>
  <c r="J19" i="3148"/>
  <c r="D19" i="3155"/>
  <c r="C19" i="3149"/>
  <c r="N19" i="3149"/>
  <c r="E19" i="3155"/>
  <c r="C19" i="3150"/>
  <c r="E19" i="3150"/>
  <c r="F19" i="3155"/>
  <c r="C19" i="3151"/>
  <c r="I19" i="3151"/>
  <c r="G19" i="3155"/>
  <c r="C19" i="3154"/>
  <c r="I19" i="3154"/>
  <c r="J19" i="3155"/>
  <c r="C19" i="3153"/>
  <c r="I19" i="3153"/>
  <c r="I19" i="3155"/>
  <c r="C19" i="3152"/>
  <c r="F19" i="3152"/>
  <c r="H19" i="3155"/>
  <c r="K19" i="3155"/>
  <c r="E72" i="11"/>
  <c r="E82" i="11"/>
  <c r="E93" i="11"/>
  <c r="E108" i="11"/>
  <c r="E124" i="11"/>
  <c r="N19" i="3155"/>
  <c r="C20" i="3155"/>
  <c r="C20" i="3148"/>
  <c r="J20" i="3148"/>
  <c r="D20" i="3155"/>
  <c r="C20" i="3149"/>
  <c r="N20" i="3149"/>
  <c r="E20" i="3155"/>
  <c r="C20" i="3150"/>
  <c r="E20" i="3150"/>
  <c r="F20" i="3155"/>
  <c r="C20" i="3151"/>
  <c r="I20" i="3151"/>
  <c r="G20" i="3155"/>
  <c r="C20" i="3154"/>
  <c r="I20" i="3154"/>
  <c r="J20" i="3155"/>
  <c r="C20" i="3153"/>
  <c r="I20" i="3153"/>
  <c r="I20" i="3155"/>
  <c r="C20" i="3152"/>
  <c r="F20" i="3152"/>
  <c r="H20" i="3155"/>
  <c r="K20" i="3155"/>
  <c r="E30" i="11"/>
  <c r="E61" i="11"/>
  <c r="E138" i="11"/>
  <c r="N20" i="3155"/>
  <c r="C21" i="3155"/>
  <c r="C21" i="3148"/>
  <c r="J21" i="3148"/>
  <c r="D21" i="3155"/>
  <c r="C21" i="3149"/>
  <c r="N21" i="3149"/>
  <c r="E21" i="3155"/>
  <c r="C21" i="3150"/>
  <c r="E21" i="3150"/>
  <c r="F21" i="3155"/>
  <c r="C21" i="3151"/>
  <c r="I21" i="3151"/>
  <c r="G21" i="3155"/>
  <c r="C21" i="3154"/>
  <c r="I21" i="3154"/>
  <c r="J21" i="3155"/>
  <c r="C21" i="3153"/>
  <c r="I21" i="3153"/>
  <c r="I21" i="3155"/>
  <c r="C21" i="3152"/>
  <c r="F21" i="3152"/>
  <c r="H21" i="3155"/>
  <c r="K21" i="3155"/>
  <c r="E27" i="11"/>
  <c r="E118" i="11"/>
  <c r="E126" i="11"/>
  <c r="N21" i="3155"/>
  <c r="C22" i="3155"/>
  <c r="C22" i="3148"/>
  <c r="J22" i="3148"/>
  <c r="D22" i="3155"/>
  <c r="C22" i="3149"/>
  <c r="N22" i="3149"/>
  <c r="E22" i="3155"/>
  <c r="C22" i="3150"/>
  <c r="E22" i="3150"/>
  <c r="F22" i="3155"/>
  <c r="C22" i="3151"/>
  <c r="I22" i="3151"/>
  <c r="G22" i="3155"/>
  <c r="C22" i="3154"/>
  <c r="I22" i="3154"/>
  <c r="J22" i="3155"/>
  <c r="C22" i="3153"/>
  <c r="I22" i="3153"/>
  <c r="I22" i="3155"/>
  <c r="C22" i="3152"/>
  <c r="F22" i="3152"/>
  <c r="H22" i="3155"/>
  <c r="K22" i="3155"/>
  <c r="E18" i="11"/>
  <c r="E62" i="11"/>
  <c r="N22" i="3155"/>
  <c r="C23" i="3155"/>
  <c r="C23" i="3148"/>
  <c r="J23" i="3148"/>
  <c r="D23" i="3155"/>
  <c r="C23" i="3149"/>
  <c r="N23" i="3149"/>
  <c r="E23" i="3155"/>
  <c r="C23" i="3150"/>
  <c r="E23" i="3150"/>
  <c r="F23" i="3155"/>
  <c r="C23" i="3151"/>
  <c r="I23" i="3151"/>
  <c r="G23" i="3155"/>
  <c r="C23" i="3154"/>
  <c r="I23" i="3154"/>
  <c r="J23" i="3155"/>
  <c r="C23" i="3153"/>
  <c r="I23" i="3153"/>
  <c r="I23" i="3155"/>
  <c r="C23" i="3152"/>
  <c r="F23" i="3152"/>
  <c r="H23" i="3155"/>
  <c r="K23" i="3155"/>
  <c r="E5" i="11"/>
  <c r="E53" i="11"/>
  <c r="N23" i="3155"/>
  <c r="C24" i="3155"/>
  <c r="C24" i="3148"/>
  <c r="J24" i="3148"/>
  <c r="D24" i="3155"/>
  <c r="C24" i="3149"/>
  <c r="N24" i="3149"/>
  <c r="E24" i="3155"/>
  <c r="C24" i="3150"/>
  <c r="E24" i="3150"/>
  <c r="F24" i="3155"/>
  <c r="C24" i="3151"/>
  <c r="I24" i="3151"/>
  <c r="G24" i="3155"/>
  <c r="C24" i="3154"/>
  <c r="I24" i="3154"/>
  <c r="J24" i="3155"/>
  <c r="C24" i="3153"/>
  <c r="I24" i="3153"/>
  <c r="I24" i="3155"/>
  <c r="C24" i="3152"/>
  <c r="F24" i="3152"/>
  <c r="H24" i="3155"/>
  <c r="K24" i="3155"/>
  <c r="E55" i="11"/>
  <c r="N24" i="3155"/>
  <c r="C25" i="3155"/>
  <c r="C25" i="3148"/>
  <c r="J25" i="3148"/>
  <c r="D25" i="3155"/>
  <c r="C25" i="3149"/>
  <c r="N25" i="3149"/>
  <c r="E25" i="3155"/>
  <c r="C25" i="3150"/>
  <c r="E25" i="3150"/>
  <c r="F25" i="3155"/>
  <c r="C25" i="3151"/>
  <c r="I25" i="3151"/>
  <c r="G25" i="3155"/>
  <c r="C25" i="3154"/>
  <c r="I25" i="3154"/>
  <c r="J25" i="3155"/>
  <c r="C25" i="3153"/>
  <c r="I25" i="3153"/>
  <c r="I25" i="3155"/>
  <c r="C25" i="3152"/>
  <c r="F25" i="3152"/>
  <c r="H25" i="3155"/>
  <c r="K25" i="3155"/>
  <c r="E22" i="11"/>
  <c r="E51" i="11"/>
  <c r="E75" i="11"/>
  <c r="E106" i="11"/>
  <c r="E122" i="11"/>
  <c r="N25" i="3155"/>
  <c r="C26" i="3155"/>
  <c r="C26" i="3148"/>
  <c r="J26" i="3148"/>
  <c r="D26" i="3155"/>
  <c r="C26" i="3149"/>
  <c r="N26" i="3149"/>
  <c r="E26" i="3155"/>
  <c r="C26" i="3150"/>
  <c r="E26" i="3150"/>
  <c r="F26" i="3155"/>
  <c r="C26" i="3151"/>
  <c r="I26" i="3151"/>
  <c r="G26" i="3155"/>
  <c r="C26" i="3154"/>
  <c r="I26" i="3154"/>
  <c r="J26" i="3155"/>
  <c r="C26" i="3153"/>
  <c r="I26" i="3153"/>
  <c r="I26" i="3155"/>
  <c r="C26" i="3152"/>
  <c r="F26" i="3152"/>
  <c r="H26" i="3155"/>
  <c r="K26" i="3155"/>
  <c r="E91" i="11"/>
  <c r="E125" i="11"/>
  <c r="E145" i="11"/>
  <c r="N26" i="3155"/>
  <c r="C27" i="3155"/>
  <c r="C27" i="3148"/>
  <c r="J27" i="3148"/>
  <c r="D27" i="3155"/>
  <c r="C27" i="3149"/>
  <c r="N27" i="3149"/>
  <c r="E27" i="3155"/>
  <c r="C27" i="3150"/>
  <c r="E27" i="3150"/>
  <c r="F27" i="3155"/>
  <c r="C27" i="3151"/>
  <c r="I27" i="3151"/>
  <c r="G27" i="3155"/>
  <c r="C27" i="3154"/>
  <c r="I27" i="3154"/>
  <c r="J27" i="3155"/>
  <c r="C27" i="3153"/>
  <c r="I27" i="3153"/>
  <c r="I27" i="3155"/>
  <c r="C27" i="3152"/>
  <c r="F27" i="3152"/>
  <c r="H27" i="3155"/>
  <c r="K27" i="3155"/>
  <c r="E113" i="11"/>
  <c r="E165" i="11"/>
  <c r="N27" i="3155"/>
  <c r="C28" i="3155"/>
  <c r="C28" i="3148"/>
  <c r="J28" i="3148"/>
  <c r="D28" i="3155"/>
  <c r="C28" i="3149"/>
  <c r="N28" i="3149"/>
  <c r="E28" i="3155"/>
  <c r="C28" i="3150"/>
  <c r="E28" i="3150"/>
  <c r="F28" i="3155"/>
  <c r="C28" i="3151"/>
  <c r="I28" i="3151"/>
  <c r="G28" i="3155"/>
  <c r="C28" i="3154"/>
  <c r="I28" i="3154"/>
  <c r="J28" i="3155"/>
  <c r="C28" i="3153"/>
  <c r="I28" i="3153"/>
  <c r="I28" i="3155"/>
  <c r="C28" i="3152"/>
  <c r="F28" i="3152"/>
  <c r="H28" i="3155"/>
  <c r="K28" i="3155"/>
  <c r="E65" i="11"/>
  <c r="N28" i="3155"/>
  <c r="C29" i="3155"/>
  <c r="C29" i="3148"/>
  <c r="J29" i="3148"/>
  <c r="D29" i="3155"/>
  <c r="C29" i="3149"/>
  <c r="N29" i="3149"/>
  <c r="E29" i="3155"/>
  <c r="C29" i="3150"/>
  <c r="E29" i="3150"/>
  <c r="F29" i="3155"/>
  <c r="C29" i="3151"/>
  <c r="I29" i="3151"/>
  <c r="G29" i="3155"/>
  <c r="C29" i="3154"/>
  <c r="I29" i="3154"/>
  <c r="J29" i="3155"/>
  <c r="C29" i="3153"/>
  <c r="I29" i="3153"/>
  <c r="I29" i="3155"/>
  <c r="C29" i="3152"/>
  <c r="F29" i="3152"/>
  <c r="H29" i="3155"/>
  <c r="K29" i="3155"/>
  <c r="E17" i="11"/>
  <c r="E49" i="11"/>
  <c r="E59" i="11"/>
  <c r="E98" i="11"/>
  <c r="E114" i="11"/>
  <c r="N29" i="3155"/>
  <c r="L7" i="3155"/>
  <c r="L8" i="3155"/>
  <c r="L9" i="3155"/>
  <c r="L10" i="3155"/>
  <c r="L29" i="3155"/>
  <c r="L28" i="3155"/>
  <c r="L27" i="3155"/>
  <c r="L26" i="3155"/>
  <c r="L25" i="3155"/>
  <c r="L24" i="3155"/>
  <c r="L23" i="3155"/>
  <c r="L22" i="3155"/>
  <c r="L21" i="3155"/>
  <c r="L20" i="3155"/>
  <c r="L19" i="3155"/>
  <c r="L18" i="3155"/>
  <c r="L17" i="3155"/>
  <c r="L16" i="3155"/>
  <c r="L15" i="3155"/>
  <c r="L14" i="3155"/>
  <c r="L13" i="3155"/>
  <c r="L12" i="3155"/>
  <c r="L11" i="3155"/>
  <c r="L30" i="3155"/>
  <c r="G21" i="14"/>
  <c r="D6" i="3155"/>
  <c r="D30" i="3155"/>
  <c r="I21" i="14"/>
  <c r="E6" i="3155"/>
  <c r="E30" i="3155"/>
  <c r="K21" i="14"/>
  <c r="F6" i="3155"/>
  <c r="F30" i="3155"/>
  <c r="M21" i="14"/>
  <c r="G6" i="3155"/>
  <c r="G30" i="3155"/>
  <c r="O21" i="14"/>
  <c r="H6" i="3155"/>
  <c r="H30" i="3155"/>
  <c r="Q21" i="14"/>
  <c r="I6" i="3155"/>
  <c r="I30" i="3155"/>
  <c r="J6" i="3155"/>
  <c r="J30" i="3155"/>
  <c r="M7" i="3155"/>
  <c r="M8" i="3155"/>
  <c r="M9" i="3155"/>
  <c r="M10" i="3155"/>
  <c r="M11" i="3155"/>
  <c r="M12" i="3155"/>
  <c r="M13" i="3155"/>
  <c r="M14" i="3155"/>
  <c r="M15" i="3155"/>
  <c r="M16" i="3155"/>
  <c r="M17" i="3155"/>
  <c r="M18" i="3155"/>
  <c r="M19" i="3155"/>
  <c r="M20" i="3155"/>
  <c r="M21" i="3155"/>
  <c r="M22" i="3155"/>
  <c r="M23" i="3155"/>
  <c r="M24" i="3155"/>
  <c r="M25" i="3155"/>
  <c r="M26" i="3155"/>
  <c r="M27" i="3155"/>
  <c r="M28" i="3155"/>
  <c r="M29" i="3155"/>
  <c r="K6" i="3155"/>
  <c r="M2" i="3155"/>
  <c r="B2" i="3155"/>
  <c r="D6" i="3154"/>
  <c r="D30" i="3154"/>
  <c r="E6" i="3154"/>
  <c r="E30" i="3154"/>
  <c r="F6" i="3154"/>
  <c r="F30" i="3154"/>
  <c r="G6" i="3154"/>
  <c r="G30" i="3154"/>
  <c r="H6" i="3154"/>
  <c r="H30" i="3154"/>
  <c r="I6" i="3154"/>
  <c r="D5" i="3154"/>
  <c r="E5" i="3154"/>
  <c r="F5" i="3154"/>
  <c r="G5" i="3154"/>
  <c r="H5" i="3154"/>
  <c r="I2" i="3154"/>
  <c r="B2" i="3154"/>
  <c r="D6" i="3153"/>
  <c r="D30" i="3153"/>
  <c r="E6" i="3153"/>
  <c r="E30" i="3153"/>
  <c r="F6" i="3153"/>
  <c r="F30" i="3153"/>
  <c r="G6" i="3153"/>
  <c r="G30" i="3153"/>
  <c r="H6" i="3153"/>
  <c r="H30" i="3153"/>
  <c r="I6" i="3153"/>
  <c r="D5" i="3153"/>
  <c r="E5" i="3153"/>
  <c r="F5" i="3153"/>
  <c r="G5" i="3153"/>
  <c r="H5" i="3153"/>
  <c r="I2" i="3153"/>
  <c r="B2" i="3153"/>
  <c r="D6" i="3152"/>
  <c r="D30" i="3152"/>
  <c r="E6" i="3152"/>
  <c r="E30" i="3152"/>
  <c r="F6" i="3152"/>
  <c r="D5" i="3152"/>
  <c r="E5" i="3152"/>
  <c r="F2" i="3152"/>
  <c r="B2" i="3152"/>
  <c r="D6" i="3151"/>
  <c r="D30" i="3151"/>
  <c r="E6" i="3151"/>
  <c r="E30" i="3151"/>
  <c r="F6" i="3151"/>
  <c r="F30" i="3151"/>
  <c r="G6" i="3151"/>
  <c r="G30" i="3151"/>
  <c r="H6" i="3151"/>
  <c r="H30" i="3151"/>
  <c r="I6" i="3151"/>
  <c r="D5" i="3151"/>
  <c r="E5" i="3151"/>
  <c r="F5" i="3151"/>
  <c r="G5" i="3151"/>
  <c r="H5" i="3151"/>
  <c r="I2" i="3151"/>
  <c r="B2" i="3151"/>
  <c r="D6" i="3150"/>
  <c r="D30" i="3150"/>
  <c r="E6" i="3150"/>
  <c r="D5" i="3150"/>
  <c r="E2" i="3150"/>
  <c r="B2" i="3150"/>
  <c r="D6" i="3149"/>
  <c r="D30" i="3149"/>
  <c r="E6" i="3149"/>
  <c r="E30" i="3149"/>
  <c r="F6" i="3149"/>
  <c r="F30" i="3149"/>
  <c r="G6" i="3149"/>
  <c r="G30" i="3149"/>
  <c r="H6" i="3149"/>
  <c r="H30" i="3149"/>
  <c r="I6" i="3149"/>
  <c r="I30" i="3149"/>
  <c r="J6" i="3149"/>
  <c r="J30" i="3149"/>
  <c r="K6" i="3149"/>
  <c r="K30" i="3149"/>
  <c r="L6" i="3149"/>
  <c r="L30" i="3149"/>
  <c r="M6" i="3149"/>
  <c r="M30" i="3149"/>
  <c r="N6" i="3149"/>
  <c r="D5" i="3149"/>
  <c r="E5" i="3149"/>
  <c r="F5" i="3149"/>
  <c r="G5" i="3149"/>
  <c r="H5" i="3149"/>
  <c r="I5" i="3149"/>
  <c r="J5" i="3149"/>
  <c r="K5" i="3149"/>
  <c r="L5" i="3149"/>
  <c r="M5" i="3149"/>
  <c r="N2" i="3149"/>
  <c r="B2" i="3149"/>
  <c r="D6" i="3148"/>
  <c r="D30" i="3148"/>
  <c r="E6" i="3148"/>
  <c r="E30" i="3148"/>
  <c r="F6" i="3148"/>
  <c r="F30" i="3148"/>
  <c r="G6" i="3148"/>
  <c r="G30" i="3148"/>
  <c r="H6" i="3148"/>
  <c r="H30" i="3148"/>
  <c r="I6" i="3148"/>
  <c r="I30" i="3148"/>
  <c r="J6" i="3148"/>
  <c r="D5" i="3148"/>
  <c r="E5" i="3148"/>
  <c r="F5" i="3148"/>
  <c r="G5" i="3148"/>
  <c r="H5" i="3148"/>
  <c r="I5" i="3148"/>
  <c r="J2" i="3148"/>
  <c r="B2" i="3148"/>
  <c r="E111" i="11"/>
  <c r="E101" i="11"/>
  <c r="E155" i="11"/>
  <c r="E128" i="11"/>
  <c r="E99" i="11"/>
  <c r="E112" i="11"/>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 r="M30" i="3155" a="1"/>
  <c r="M30" i="31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<sst xmlns="http://schemas.openxmlformats.org/spreadsheetml/2006/main" count="474" uniqueCount="138">
  <si>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</si>
  <si>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</si>
  <si>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</si>
  <si>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</si>
  <si>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</si>
  <si>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</si>
  <si>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</si>
  <si>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</si>
  <si>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</si>
  <si>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</si>
  <si>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</si>
  <si>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</si>
  <si>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</si>
  <si>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</si>
  <si>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</si>
  <si>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</si>
  <si>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</si>
  <si>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</si>
  <si>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</si>
  <si>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</si>
  <si>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</si>
  <si>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</si>
  <si>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</si>
  <si>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</si>
  <si>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</si>
  <si>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</si>
  <si>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</si>
  <si>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</si>
  <si>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</si>
  <si>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</si>
  <si>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</si>
  <si>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</si>
  <si>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</si>
  <si>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</si>
  <si>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</si>
  <si>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</si>
  <si>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</si>
  <si>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</si>
  <si>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</si>
  <si>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</si>
  <si>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</si>
  <si>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</si>
  <si>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</si>
  <si>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</si>
  <si>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</si>
  <si>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</si>
  <si>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</si>
  <si>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</si>
  <si>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</si>
  <si>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</si>
  <si>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</si>
  <si>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</si>
  <si>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</si>
  <si>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</si>
  <si>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</si>
  <si>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</si>
  <si>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</si>
  <si>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</si>
  <si>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</si>
  <si>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</si>
  <si>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</si>
  <si>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</si>
  <si>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</si>
  <si>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</si>
  <si>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</si>
  <si>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</si>
  <si>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</si>
  <si>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</si>
  <si>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</si>
  <si>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</si>
  <si>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</si>
  <si>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</si>
  <si>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</si>
  <si>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</si>
  <si>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</si>
  <si>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</si>
  <si>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</si>
  <si>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</si>
  <si>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</si>
  <si>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</si>
  <si>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</si>
  <si>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</si>
  <si>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</si>
  <si>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</si>
  <si>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</si>
  <si>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</si>
  <si>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</si>
  <si>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</si>
  <si>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</si>
  <si>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</si>
  <si>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</si>
  <si>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</si>
  <si>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</si>
  <si>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</si>
  <si>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</si>
  <si>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</si>
  <si>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</si>
  <si>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</si>
  <si>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</si>
  <si>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</si>
  <si>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</si>
  <si>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</si>
  <si>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</si>
  <si>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</si>
  <si>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</si>
  <si>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</si>
  <si>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</si>
  <si>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</si>
  <si>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</si>
  <si>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</si>
  <si>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</si>
  <si>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</si>
  <si>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</si>
  <si>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</si>
  <si>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</si>
  <si>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</si>
  <si>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</si>
  <si>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</si>
  <si>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</si>
  <si>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</si>
  <si>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</si>
  <si>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</si>
  <si>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</si>
  <si>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</si>
  <si>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</si>
  <si>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</si>
  <si>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</si>
  <si>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</si>
  <si>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</si>
  <si>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</si>
  <si>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</si>
  <si>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</si>
  <si>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</si>
  <si>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</si>
  <si>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</si>
  <si>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</si>
  <si>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</si>
  <si>
    <t>✓ v2.2.0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</si>
</sst>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sz val="9"/>
      <name val="Arial"/>
      <family val="2"/>
    </font>
    <font>
      <b/>
      <sz val="10"/>
      <color rgb="FF00B050"/>
      <name val="Arial"/>
      <family val="2"/>
    </font>
  </fonts>
  <fills count="15">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s>
  <borders count="74">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8"/>
      </left>
      <right/>
      <top style="medium">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style="medium">
        <color indexed="8"/>
      </bottom>
      <diagonal/>
    </border>
    <border>
      <left style="medium">
        <color indexed="8"/>
      </left>
      <right style="thin">
        <color indexed="8"/>
      </right>
      <top style="thin">
        <color indexed="8"/>
      </top>
      <bottom/>
      <diagonal/>
    </border>
    <border>
      <left style="thin">
        <color indexed="8"/>
      </left>
      <right/>
      <top style="medium">
        <color indexed="8"/>
      </top>
      <bottom style="thin">
        <color indexed="8"/>
      </bottom>
      <diagonal/>
    </border>
    <border>
      <left style="medium">
        <color indexed="8"/>
      </left>
      <right style="medium">
        <color indexed="8"/>
      </right>
      <top style="medium">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style="medium">
        <color indexed="8"/>
      </bottom>
      <diagonal/>
    </border>
    <border>
      <left style="medium">
        <color indexed="8"/>
      </left>
      <right style="medium">
        <color indexed="8"/>
      </right>
      <top style="thin">
        <color indexed="8"/>
      </top>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70">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2" fillId="4" borderId="5" xfId="0" applyFont="1" applyFill="1" applyBorder="1" applyAlignment="1">
      <alignment horizontal="center" vertical="center"/>
    </xf>
    <xf numFmtId="0" fontId="12" fillId="4" borderId="23" xfId="0" applyFont="1" applyFill="1" applyBorder="1" applyAlignment="1">
      <alignment horizontal="center" vertical="center"/>
    </xf>
    <xf numFmtId="0" fontId="12" fillId="3" borderId="58" xfId="0" applyFont="1" applyFill="1" applyBorder="1" applyAlignment="1" applyProtection="1">
      <alignment horizontal="center" vertical="center"/>
      <protection locked="0"/>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0" fillId="12" borderId="28" xfId="0" applyFill="1" applyBorder="1"/>
    <xf numFmtId="0" fontId="0" fillId="12" borderId="0" xfId="0" applyFill="1"/>
    <xf numFmtId="0" fontId="0" fillId="12" borderId="27" xfId="0" applyFill="1" applyBorder="1"/>
    <xf numFmtId="0" fontId="0" fillId="12" borderId="26" xfId="0" applyFill="1" applyBorder="1"/>
    <xf numFmtId="0" fontId="0" fillId="12" borderId="27" xfId="0" applyFill="1" applyBorder="1" applyAlignment="1">
      <alignment horizontal="center"/>
    </xf>
    <xf numFmtId="0" fontId="0" fillId="12" borderId="26"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60" xfId="0" applyFill="1" applyBorder="1"/>
    <xf numFmtId="0" fontId="0" fillId="12" borderId="63" xfId="0" applyFill="1" applyBorder="1"/>
    <xf numFmtId="0" fontId="0" fillId="12" borderId="64" xfId="0" applyFill="1" applyBorder="1"/>
    <xf numFmtId="0" fontId="0" fillId="12" borderId="60" xfId="0" applyFill="1" applyBorder="1" applyAlignment="1">
      <alignment horizontal="center" vertical="center"/>
    </xf>
    <xf numFmtId="0" fontId="0" fillId="12" borderId="27" xfId="0" applyFill="1" applyBorder="1" applyAlignment="1">
      <alignment horizontal="center" vertical="center"/>
    </xf>
    <xf numFmtId="0" fontId="0" fillId="14" borderId="63" xfId="0" applyFill="1" applyBorder="1"/>
    <xf numFmtId="0" fontId="0" fillId="12" borderId="37" xfId="0" applyFill="1" applyBorder="1" applyAlignment="1">
      <alignment horizontal="center" vertical="center"/>
    </xf>
    <xf numFmtId="0" fontId="0" fillId="12" borderId="65" xfId="0" applyFill="1" applyBorder="1"/>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9" fontId="0" fillId="12" borderId="33" xfId="0" applyNumberFormat="1" applyFill="1" applyBorder="1" applyAlignment="1">
      <alignment horizontal="center" vertical="center"/>
    </xf>
    <xf numFmtId="0" fontId="0" fillId="12" borderId="55" xfId="0" applyFill="1" applyBorder="1"/>
    <xf numFmtId="0" fontId="0" fillId="12" borderId="56" xfId="0" applyFill="1" applyBorder="1" applyAlignment="1">
      <alignment horizontal="center" vertical="center"/>
    </xf>
    <xf numFmtId="0" fontId="0" fillId="14" borderId="66" xfId="0" applyFill="1" applyBorder="1"/>
    <xf numFmtId="0" fontId="0" fillId="14" borderId="56" xfId="0" applyFill="1" applyBorder="1" applyAlignment="1">
      <alignment horizontal="center" vertical="center"/>
    </xf>
    <xf numFmtId="0" fontId="0" fillId="12" borderId="66" xfId="0" applyFill="1" applyBorder="1"/>
    <xf numFmtId="0" fontId="0" fillId="12" borderId="45" xfId="0" applyFill="1" applyBorder="1"/>
    <xf numFmtId="0" fontId="0" fillId="12" borderId="63" xfId="0" applyFill="1" applyBorder="1" applyAlignment="1">
      <alignment horizontal="center" vertical="center"/>
    </xf>
    <xf numFmtId="0" fontId="0" fillId="14" borderId="63" xfId="0" applyFill="1" applyBorder="1" applyAlignment="1">
      <alignment horizontal="center" vertical="center"/>
    </xf>
    <xf numFmtId="0" fontId="0" fillId="14" borderId="27" xfId="0" applyFill="1" applyBorder="1" applyAlignment="1">
      <alignment horizontal="center" vertical="center"/>
    </xf>
    <xf numFmtId="0" fontId="0" fillId="12" borderId="65" xfId="0" applyFill="1" applyBorder="1" applyAlignment="1">
      <alignment horizontal="center" vertical="center"/>
    </xf>
    <xf numFmtId="0" fontId="0" fillId="12" borderId="61" xfId="0" applyFill="1" applyBorder="1" applyAlignment="1">
      <alignment horizontal="center" vertical="center"/>
    </xf>
    <xf numFmtId="0" fontId="0" fillId="14" borderId="62" xfId="0" applyFill="1" applyBorder="1" applyAlignment="1">
      <alignment horizontal="center" vertical="center"/>
    </xf>
    <xf numFmtId="0" fontId="0" fillId="12" borderId="62" xfId="0" applyFill="1" applyBorder="1" applyAlignment="1">
      <alignment horizontal="center" vertical="center"/>
    </xf>
    <xf numFmtId="0" fontId="0" fillId="12" borderId="41" xfId="0" applyFill="1" applyBorder="1" applyAlignment="1">
      <alignment horizontal="center" vertical="center"/>
    </xf>
    <xf numFmtId="0" fontId="0" fillId="12" borderId="37" xfId="0" applyFill="1" applyBorder="1" applyAlignment="1">
      <alignment horizontal="center"/>
    </xf>
    <xf numFmtId="0" fontId="0" fillId="12" borderId="35" xfId="0" applyFill="1" applyBorder="1" applyAlignment="1">
      <alignment horizontal="center"/>
    </xf>
    <xf numFmtId="0" fontId="0" fillId="12" borderId="34" xfId="0" applyFill="1" applyBorder="1" applyAlignment="1">
      <alignment horizont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1" fontId="0" fillId="12" borderId="27" xfId="0" applyNumberFormat="1" applyFill="1" applyBorder="1" applyAlignment="1">
      <alignment horizontal="center"/>
    </xf>
    <xf numFmtId="0" fontId="0" fillId="12" borderId="44" xfId="0" applyFill="1" applyBorder="1"/>
    <xf numFmtId="0" fontId="0" fillId="12" borderId="43" xfId="0" applyFill="1" applyBorder="1"/>
    <xf numFmtId="0" fontId="0" fillId="12" borderId="67" xfId="0" applyFill="1" applyBorder="1"/>
    <xf numFmtId="0" fontId="0" fillId="12" borderId="34" xfId="0" applyFill="1" applyBorder="1" applyAlignment="1">
      <alignment horizontal="center" wrapText="1"/>
    </xf>
    <xf numFmtId="0" fontId="2" fillId="13" borderId="38" xfId="0" applyFont="1" applyFill="1" applyBorder="1" applyAlignment="1" applyProtection="1">
      <alignment horizontal="center" vertical="center"/>
      <protection locked="0"/>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0" fillId="12" borderId="38" xfId="0" applyFill="1" applyBorder="1"/>
    <xf numFmtId="0" fontId="0" fillId="12" borderId="68" xfId="0" applyFill="1" applyBorder="1" applyAlignment="1">
      <alignment horizontal="center" vertical="center"/>
    </xf>
    <xf numFmtId="0" fontId="0" fillId="14" borderId="44" xfId="0" applyFill="1" applyBorder="1"/>
    <xf numFmtId="0" fontId="0" fillId="14" borderId="36" xfId="0" applyFill="1" applyBorder="1"/>
    <xf numFmtId="0" fontId="0" fillId="14" borderId="69" xfId="0" applyFill="1" applyBorder="1" applyAlignment="1">
      <alignment horizontal="center" vertical="center"/>
    </xf>
    <xf numFmtId="0" fontId="0" fillId="12" borderId="36" xfId="0" applyFill="1" applyBorder="1"/>
    <xf numFmtId="0" fontId="0" fillId="12" borderId="69" xfId="0" applyFill="1" applyBorder="1" applyAlignment="1">
      <alignment horizontal="center" vertical="center"/>
    </xf>
    <xf numFmtId="0" fontId="0" fillId="12" borderId="41" xfId="0" applyFill="1" applyBorder="1"/>
    <xf numFmtId="0" fontId="0" fillId="12" borderId="70" xfId="0" applyFill="1" applyBorder="1" applyAlignment="1">
      <alignment horizontal="center" vertical="center"/>
    </xf>
    <xf numFmtId="0" fontId="0" fillId="12" borderId="61" xfId="0" applyFill="1" applyBorder="1"/>
    <xf numFmtId="0" fontId="0" fillId="12" borderId="34" xfId="0" applyFill="1" applyBorder="1" applyAlignment="1">
      <alignment horizontal="center" vertical="center"/>
    </xf>
    <xf numFmtId="0" fontId="0" fillId="14" borderId="62" xfId="0" applyFill="1" applyBorder="1"/>
    <xf numFmtId="0" fontId="0" fillId="14" borderId="71" xfId="0" applyFill="1" applyBorder="1" applyAlignment="1">
      <alignment horizontal="center" vertical="center"/>
    </xf>
    <xf numFmtId="0" fontId="0" fillId="12" borderId="62" xfId="0" applyFill="1" applyBorder="1"/>
    <xf numFmtId="0" fontId="0" fillId="12" borderId="71" xfId="0" applyFill="1" applyBorder="1" applyAlignment="1">
      <alignment horizontal="center" vertical="center"/>
    </xf>
    <xf numFmtId="9" fontId="0" fillId="12" borderId="37" xfId="0" applyNumberFormat="1" applyFill="1" applyBorder="1" applyAlignment="1">
      <alignment horizontal="center" vertical="center"/>
    </xf>
    <xf numFmtId="9" fontId="0" fillId="12" borderId="72" xfId="0" applyNumberFormat="1" applyFill="1" applyBorder="1" applyAlignment="1">
      <alignment horizontal="center" vertical="center"/>
    </xf>
    <xf numFmtId="9" fontId="0" fillId="12" borderId="73" xfId="0" applyNumberFormat="1" applyFill="1" applyBorder="1" applyAlignment="1">
      <alignment horizontal="center" vertical="center"/>
    </xf>
    <xf numFmtId="0" fontId="2" fillId="13" borderId="61" xfId="0" applyFont="1" applyFill="1" applyBorder="1" applyAlignment="1" applyProtection="1">
      <alignment horizontal="center" vertical="center"/>
      <protection locked="0"/>
    </xf>
    <xf numFmtId="0" fontId="2" fillId="13" borderId="60" xfId="0" applyFont="1" applyFill="1" applyBorder="1" applyAlignment="1" applyProtection="1">
      <alignment horizontal="center" vertical="center"/>
      <protection locked="0"/>
    </xf>
    <xf numFmtId="0" fontId="2" fillId="13" borderId="36" xfId="0" applyFont="1" applyFill="1" applyBorder="1" applyAlignment="1" applyProtection="1">
      <alignment horizontal="center" vertical="center"/>
      <protection locked="0"/>
    </xf>
    <xf numFmtId="0" fontId="2" fillId="13" borderId="64" xfId="0" applyFont="1" applyFill="1" applyBorder="1" applyAlignment="1" applyProtection="1">
      <alignment horizontal="center" vertical="center"/>
      <protection locked="0"/>
    </xf>
    <xf numFmtId="0" fontId="2" fillId="13" borderId="62" xfId="0" applyFont="1" applyFill="1" applyBorder="1" applyAlignment="1" applyProtection="1">
      <alignment horizontal="center" vertical="center"/>
      <protection locked="0"/>
    </xf>
    <xf numFmtId="0" fontId="2" fillId="13" borderId="63" xfId="0" applyFont="1" applyFill="1" applyBorder="1" applyAlignment="1" applyProtection="1">
      <alignment horizontal="center" vertical="center"/>
      <protection locked="0"/>
    </xf>
    <xf numFmtId="0" fontId="2" fillId="13" borderId="41" xfId="0" applyFont="1" applyFill="1" applyBorder="1" applyAlignment="1" applyProtection="1">
      <alignment horizontal="center" vertical="center"/>
      <protection locked="0"/>
    </xf>
    <xf numFmtId="0" fontId="2" fillId="12" borderId="41" xfId="0" applyFont="1" applyFill="1" applyBorder="1" applyAlignment="1">
      <alignment horizontal="center" vertical="center"/>
    </xf>
    <xf numFmtId="0" fontId="2" fillId="12" borderId="65" xfId="0" applyFont="1" applyFill="1" applyBorder="1" applyAlignment="1">
      <alignment horizontal="center" vertical="center"/>
    </xf>
    <xf numFmtId="0" fontId="2" fillId="12" borderId="38" xfId="0" applyFont="1" applyFill="1" applyBorder="1" applyAlignment="1">
      <alignment horizontal="center" vertical="center"/>
    </xf>
    <xf numFmtId="0" fontId="2" fillId="12" borderId="67" xfId="0" applyFont="1" applyFill="1" applyBorder="1" applyAlignment="1">
      <alignment horizontal="center" vertical="center"/>
    </xf>
    <xf numFmtId="0" fontId="2" fillId="14" borderId="36" xfId="0" applyFont="1" applyFill="1" applyBorder="1" applyAlignment="1">
      <alignment horizontal="center" vertical="center"/>
    </xf>
    <xf numFmtId="0" fontId="2" fillId="14" borderId="64" xfId="0" applyFont="1" applyFill="1" applyBorder="1" applyAlignment="1">
      <alignment horizontal="center" vertical="center"/>
    </xf>
    <xf numFmtId="0" fontId="2" fillId="12" borderId="36" xfId="0" applyFont="1" applyFill="1" applyBorder="1" applyAlignment="1">
      <alignment horizontal="center" vertical="center"/>
    </xf>
    <xf numFmtId="0" fontId="2" fillId="12" borderId="64" xfId="0" applyFont="1" applyFill="1" applyBorder="1" applyAlignment="1">
      <alignment horizontal="center" vertical="center"/>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3"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49" fontId="4" fillId="4" borderId="47"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57" xfId="0" applyFont="1" applyFill="1" applyBorder="1" applyAlignment="1">
      <alignment horizontal="left"/>
    </xf>
    <xf numFmtId="0" fontId="4" fillId="4" borderId="5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11" Type="http://schemas.openxmlformats.org/officeDocument/2006/relationships/image" Target="../media/image11.emf"/><Relationship Id="rId5" Type="http://schemas.openxmlformats.org/officeDocument/2006/relationships/image" Target="../media/image4.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xdr:col>
      <xdr:colOff>0</xdr:colOff>
      <xdr:row>8</xdr:row>
      <xdr:rowOff>0</xdr:rowOff>
    </xdr:from>
    <xdr:to>
      <xdr:col>4</xdr:col>
      <xdr:colOff>0</xdr:colOff>
      <xdr:row>9</xdr:row>
      <xdr:rowOff>0</xdr:rowOff>
    </xdr:to>
    <xdr:grpSp>
      <xdr:nvGrpSpPr>
        <xdr:cNvPr id="4" name="Cross_D13">
          <a:extLst>
            <a:ext uri="{FF2B5EF4-FFF2-40B4-BE49-F238E27FC236}">
              <a16:creationId xmlns:a16="http://schemas.microsoft.com/office/drawing/2014/main" id="{17D59622-7B41-4605-AE0E-1427441A172E}"/>
            </a:ext>
          </a:extLst>
        </xdr:cNvPr>
        <xdr:cNvGrpSpPr/>
      </xdr:nvGrpSpPr>
      <xdr:grpSpPr>
        <a:xfrm>
          <a:off x="2240280" y="1828800"/>
          <a:ext cx="601980" cy="228600"/>
          <a:chOff x="2240280" y="2499360"/>
          <a:chExt cx="601980" cy="228600"/>
        </a:xfrm>
      </xdr:grpSpPr>
      <xdr:cxnSp macro="">
        <xdr:nvCxnSpPr>
          <xdr:cNvPr id="2" name="Gerader Verbinder 1">
            <a:extLst>
              <a:ext uri="{FF2B5EF4-FFF2-40B4-BE49-F238E27FC236}">
                <a16:creationId xmlns:a16="http://schemas.microsoft.com/office/drawing/2014/main" id="{6D377726-25F1-F85B-13C5-A576F88B3044}"/>
              </a:ext>
            </a:extLst>
          </xdr:cNvPr>
          <xdr:cNvCxnSpPr/>
        </xdr:nvCxnSpPr>
        <xdr:spPr>
          <a:xfrm>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 name="Gerader Verbinder 2">
            <a:extLst>
              <a:ext uri="{FF2B5EF4-FFF2-40B4-BE49-F238E27FC236}">
                <a16:creationId xmlns:a16="http://schemas.microsoft.com/office/drawing/2014/main" id="{09798883-88CB-8FA3-8B4A-F58BB52F748A}"/>
              </a:ext>
            </a:extLst>
          </xdr:cNvPr>
          <xdr:cNvCxnSpPr/>
        </xdr:nvCxnSpPr>
        <xdr:spPr>
          <a:xfrm flipH="1">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11</xdr:row>
      <xdr:rowOff>0</xdr:rowOff>
    </xdr:from>
    <xdr:to>
      <xdr:col>4</xdr:col>
      <xdr:colOff>0</xdr:colOff>
      <xdr:row>12</xdr:row>
      <xdr:rowOff>0</xdr:rowOff>
    </xdr:to>
    <xdr:grpSp>
      <xdr:nvGrpSpPr>
        <xdr:cNvPr id="13" name="Cross_D22">
          <a:extLst>
            <a:ext uri="{FF2B5EF4-FFF2-40B4-BE49-F238E27FC236}">
              <a16:creationId xmlns:a16="http://schemas.microsoft.com/office/drawing/2014/main" id="{8F97C740-5062-64BA-EAAF-04A5E60DD019}"/>
            </a:ext>
          </a:extLst>
        </xdr:cNvPr>
        <xdr:cNvGrpSpPr/>
      </xdr:nvGrpSpPr>
      <xdr:grpSpPr>
        <a:xfrm>
          <a:off x="2240280" y="2514600"/>
          <a:ext cx="601980" cy="228600"/>
          <a:chOff x="2240280" y="4191000"/>
          <a:chExt cx="601980" cy="228600"/>
        </a:xfrm>
      </xdr:grpSpPr>
      <xdr:cxnSp macro="">
        <xdr:nvCxnSpPr>
          <xdr:cNvPr id="11" name="Gerader Verbinder 10">
            <a:extLst>
              <a:ext uri="{FF2B5EF4-FFF2-40B4-BE49-F238E27FC236}">
                <a16:creationId xmlns:a16="http://schemas.microsoft.com/office/drawing/2014/main" id="{B4F183C1-0A82-AE26-E288-2B411D69E565}"/>
              </a:ext>
            </a:extLst>
          </xdr:cNvPr>
          <xdr:cNvCxnSpPr/>
        </xdr:nvCxnSpPr>
        <xdr:spPr>
          <a:xfrm>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Gerader Verbinder 11">
            <a:extLst>
              <a:ext uri="{FF2B5EF4-FFF2-40B4-BE49-F238E27FC236}">
                <a16:creationId xmlns:a16="http://schemas.microsoft.com/office/drawing/2014/main" id="{69740014-F845-874D-BCC2-CB28B162E488}"/>
              </a:ext>
            </a:extLst>
          </xdr:cNvPr>
          <xdr:cNvCxnSpPr/>
        </xdr:nvCxnSpPr>
        <xdr:spPr>
          <a:xfrm flipH="1">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12</xdr:row>
      <xdr:rowOff>0</xdr:rowOff>
    </xdr:from>
    <xdr:to>
      <xdr:col>4</xdr:col>
      <xdr:colOff>0</xdr:colOff>
      <xdr:row>13</xdr:row>
      <xdr:rowOff>0</xdr:rowOff>
    </xdr:to>
    <xdr:grpSp>
      <xdr:nvGrpSpPr>
        <xdr:cNvPr id="22" name="Cross_D25">
          <a:extLst>
            <a:ext uri="{FF2B5EF4-FFF2-40B4-BE49-F238E27FC236}">
              <a16:creationId xmlns:a16="http://schemas.microsoft.com/office/drawing/2014/main" id="{29465D5F-6077-2560-5BFA-6A20347E64F7}"/>
            </a:ext>
          </a:extLst>
        </xdr:cNvPr>
        <xdr:cNvGrpSpPr/>
      </xdr:nvGrpSpPr>
      <xdr:grpSpPr>
        <a:xfrm>
          <a:off x="2240280" y="2743200"/>
          <a:ext cx="601980" cy="228600"/>
          <a:chOff x="2240280" y="4754880"/>
          <a:chExt cx="601980" cy="228600"/>
        </a:xfrm>
      </xdr:grpSpPr>
      <xdr:cxnSp macro="">
        <xdr:nvCxnSpPr>
          <xdr:cNvPr id="20" name="Gerader Verbinder 19">
            <a:extLst>
              <a:ext uri="{FF2B5EF4-FFF2-40B4-BE49-F238E27FC236}">
                <a16:creationId xmlns:a16="http://schemas.microsoft.com/office/drawing/2014/main" id="{39730E8F-7F41-40CB-0F49-0ABCC929E2CB}"/>
              </a:ext>
            </a:extLst>
          </xdr:cNvPr>
          <xdr:cNvCxnSpPr/>
        </xdr:nvCxnSpPr>
        <xdr:spPr>
          <a:xfrm>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Gerader Verbinder 20">
            <a:extLst>
              <a:ext uri="{FF2B5EF4-FFF2-40B4-BE49-F238E27FC236}">
                <a16:creationId xmlns:a16="http://schemas.microsoft.com/office/drawing/2014/main" id="{8706DA2C-C0DB-A66D-FFDE-EF91D18DFCB9}"/>
              </a:ext>
            </a:extLst>
          </xdr:cNvPr>
          <xdr:cNvCxnSpPr/>
        </xdr:nvCxnSpPr>
        <xdr:spPr>
          <a:xfrm flipH="1">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31" name="Cross_D28">
          <a:extLst>
            <a:ext uri="{FF2B5EF4-FFF2-40B4-BE49-F238E27FC236}">
              <a16:creationId xmlns:a16="http://schemas.microsoft.com/office/drawing/2014/main" id="{10FFA239-6EC4-09DE-C9DC-C66EA0D36F1C}"/>
            </a:ext>
          </a:extLst>
        </xdr:cNvPr>
        <xdr:cNvGrpSpPr/>
      </xdr:nvGrpSpPr>
      <xdr:grpSpPr>
        <a:xfrm>
          <a:off x="2240280" y="2971800"/>
          <a:ext cx="601980" cy="228600"/>
          <a:chOff x="2240280" y="5318760"/>
          <a:chExt cx="601980" cy="228600"/>
        </a:xfrm>
      </xdr:grpSpPr>
      <xdr:cxnSp macro="">
        <xdr:nvCxnSpPr>
          <xdr:cNvPr id="29" name="Gerader Verbinder 28">
            <a:extLst>
              <a:ext uri="{FF2B5EF4-FFF2-40B4-BE49-F238E27FC236}">
                <a16:creationId xmlns:a16="http://schemas.microsoft.com/office/drawing/2014/main" id="{3369EF25-A879-FB82-9F7F-4E9A55CA6002}"/>
              </a:ext>
            </a:extLst>
          </xdr:cNvPr>
          <xdr:cNvCxnSpPr/>
        </xdr:nvCxnSpPr>
        <xdr:spPr>
          <a:xfrm>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 name="Gerader Verbinder 29">
            <a:extLst>
              <a:ext uri="{FF2B5EF4-FFF2-40B4-BE49-F238E27FC236}">
                <a16:creationId xmlns:a16="http://schemas.microsoft.com/office/drawing/2014/main" id="{CA094CAC-AEF2-9174-196A-26A35F591E40}"/>
              </a:ext>
            </a:extLst>
          </xdr:cNvPr>
          <xdr:cNvCxnSpPr/>
        </xdr:nvCxnSpPr>
        <xdr:spPr>
          <a:xfrm flipH="1">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15</xdr:row>
      <xdr:rowOff>0</xdr:rowOff>
    </xdr:from>
    <xdr:to>
      <xdr:col>4</xdr:col>
      <xdr:colOff>0</xdr:colOff>
      <xdr:row>16</xdr:row>
      <xdr:rowOff>0</xdr:rowOff>
    </xdr:to>
    <xdr:grpSp>
      <xdr:nvGrpSpPr>
        <xdr:cNvPr id="40" name="Cross_D34">
          <a:extLst>
            <a:ext uri="{FF2B5EF4-FFF2-40B4-BE49-F238E27FC236}">
              <a16:creationId xmlns:a16="http://schemas.microsoft.com/office/drawing/2014/main" id="{6217374F-37A5-6FE8-3B31-4907817B6180}"/>
            </a:ext>
          </a:extLst>
        </xdr:cNvPr>
        <xdr:cNvGrpSpPr/>
      </xdr:nvGrpSpPr>
      <xdr:grpSpPr>
        <a:xfrm>
          <a:off x="2240280" y="3429000"/>
          <a:ext cx="601980" cy="228600"/>
          <a:chOff x="2240280" y="6446520"/>
          <a:chExt cx="601980" cy="228600"/>
        </a:xfrm>
      </xdr:grpSpPr>
      <xdr:cxnSp macro="">
        <xdr:nvCxnSpPr>
          <xdr:cNvPr id="38" name="Gerader Verbinder 37">
            <a:extLst>
              <a:ext uri="{FF2B5EF4-FFF2-40B4-BE49-F238E27FC236}">
                <a16:creationId xmlns:a16="http://schemas.microsoft.com/office/drawing/2014/main" id="{EAAC5205-3FA4-8D9F-B4A2-D02C95114D24}"/>
              </a:ext>
            </a:extLst>
          </xdr:cNvPr>
          <xdr:cNvCxnSpPr/>
        </xdr:nvCxnSpPr>
        <xdr:spPr>
          <a:xfrm>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 name="Gerader Verbinder 38">
            <a:extLst>
              <a:ext uri="{FF2B5EF4-FFF2-40B4-BE49-F238E27FC236}">
                <a16:creationId xmlns:a16="http://schemas.microsoft.com/office/drawing/2014/main" id="{AFC43F22-2900-C9E3-946B-A656EA893699}"/>
              </a:ext>
            </a:extLst>
          </xdr:cNvPr>
          <xdr:cNvCxnSpPr/>
        </xdr:nvCxnSpPr>
        <xdr:spPr>
          <a:xfrm flipH="1">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19</xdr:row>
      <xdr:rowOff>0</xdr:rowOff>
    </xdr:from>
    <xdr:to>
      <xdr:col>4</xdr:col>
      <xdr:colOff>0</xdr:colOff>
      <xdr:row>20</xdr:row>
      <xdr:rowOff>0</xdr:rowOff>
    </xdr:to>
    <xdr:grpSp>
      <xdr:nvGrpSpPr>
        <xdr:cNvPr id="49" name="Cross_D46">
          <a:extLst>
            <a:ext uri="{FF2B5EF4-FFF2-40B4-BE49-F238E27FC236}">
              <a16:creationId xmlns:a16="http://schemas.microsoft.com/office/drawing/2014/main" id="{E055E4C4-B411-3B42-A1EB-239CD2F1D3AA}"/>
            </a:ext>
          </a:extLst>
        </xdr:cNvPr>
        <xdr:cNvGrpSpPr/>
      </xdr:nvGrpSpPr>
      <xdr:grpSpPr>
        <a:xfrm>
          <a:off x="2240280" y="4343400"/>
          <a:ext cx="601980" cy="228600"/>
          <a:chOff x="2240280" y="8702040"/>
          <a:chExt cx="601980" cy="228600"/>
        </a:xfrm>
      </xdr:grpSpPr>
      <xdr:cxnSp macro="">
        <xdr:nvCxnSpPr>
          <xdr:cNvPr id="47" name="Gerader Verbinder 46">
            <a:extLst>
              <a:ext uri="{FF2B5EF4-FFF2-40B4-BE49-F238E27FC236}">
                <a16:creationId xmlns:a16="http://schemas.microsoft.com/office/drawing/2014/main" id="{803EBE45-DFD7-27A4-18CC-50082BA43878}"/>
              </a:ext>
            </a:extLst>
          </xdr:cNvPr>
          <xdr:cNvCxnSpPr/>
        </xdr:nvCxnSpPr>
        <xdr:spPr>
          <a:xfrm>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 name="Gerader Verbinder 47">
            <a:extLst>
              <a:ext uri="{FF2B5EF4-FFF2-40B4-BE49-F238E27FC236}">
                <a16:creationId xmlns:a16="http://schemas.microsoft.com/office/drawing/2014/main" id="{5B1AB63E-C259-FD21-EB06-4C70CF54594A}"/>
              </a:ext>
            </a:extLst>
          </xdr:cNvPr>
          <xdr:cNvCxnSpPr/>
        </xdr:nvCxnSpPr>
        <xdr:spPr>
          <a:xfrm flipH="1">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20</xdr:row>
      <xdr:rowOff>0</xdr:rowOff>
    </xdr:from>
    <xdr:to>
      <xdr:col>4</xdr:col>
      <xdr:colOff>0</xdr:colOff>
      <xdr:row>21</xdr:row>
      <xdr:rowOff>0</xdr:rowOff>
    </xdr:to>
    <xdr:grpSp>
      <xdr:nvGrpSpPr>
        <xdr:cNvPr id="58" name="Cross_D49">
          <a:extLst>
            <a:ext uri="{FF2B5EF4-FFF2-40B4-BE49-F238E27FC236}">
              <a16:creationId xmlns:a16="http://schemas.microsoft.com/office/drawing/2014/main" id="{D449EA13-9140-CAB0-3E33-5FE8F0DB04F8}"/>
            </a:ext>
          </a:extLst>
        </xdr:cNvPr>
        <xdr:cNvGrpSpPr/>
      </xdr:nvGrpSpPr>
      <xdr:grpSpPr>
        <a:xfrm>
          <a:off x="2240280" y="4572000"/>
          <a:ext cx="601980" cy="228600"/>
          <a:chOff x="2240280" y="9265920"/>
          <a:chExt cx="601980" cy="228600"/>
        </a:xfrm>
      </xdr:grpSpPr>
      <xdr:cxnSp macro="">
        <xdr:nvCxnSpPr>
          <xdr:cNvPr id="56" name="Gerader Verbinder 55">
            <a:extLst>
              <a:ext uri="{FF2B5EF4-FFF2-40B4-BE49-F238E27FC236}">
                <a16:creationId xmlns:a16="http://schemas.microsoft.com/office/drawing/2014/main" id="{647F00F4-D812-0877-A81E-63BD13E6D218}"/>
              </a:ext>
            </a:extLst>
          </xdr:cNvPr>
          <xdr:cNvCxnSpPr/>
        </xdr:nvCxnSpPr>
        <xdr:spPr>
          <a:xfrm>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 name="Gerader Verbinder 56">
            <a:extLst>
              <a:ext uri="{FF2B5EF4-FFF2-40B4-BE49-F238E27FC236}">
                <a16:creationId xmlns:a16="http://schemas.microsoft.com/office/drawing/2014/main" id="{92C955B4-B1C7-C89E-4E7D-258E5AE875E0}"/>
              </a:ext>
            </a:extLst>
          </xdr:cNvPr>
          <xdr:cNvCxnSpPr/>
        </xdr:nvCxnSpPr>
        <xdr:spPr>
          <a:xfrm flipH="1">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131" name="Cross_D52">
          <a:extLst>
            <a:ext uri="{FF2B5EF4-FFF2-40B4-BE49-F238E27FC236}">
              <a16:creationId xmlns:a16="http://schemas.microsoft.com/office/drawing/2014/main" id="{FD9EE615-2971-08A8-7B36-7F0F00F8C7BA}"/>
            </a:ext>
          </a:extLst>
        </xdr:cNvPr>
        <xdr:cNvGrpSpPr/>
      </xdr:nvGrpSpPr>
      <xdr:grpSpPr>
        <a:xfrm>
          <a:off x="2240280" y="4800600"/>
          <a:ext cx="601980" cy="228600"/>
          <a:chOff x="2240280" y="9829800"/>
          <a:chExt cx="601980" cy="228600"/>
        </a:xfrm>
      </xdr:grpSpPr>
      <xdr:cxnSp macro="">
        <xdr:nvCxnSpPr>
          <xdr:cNvPr id="129" name="Gerader Verbinder 128">
            <a:extLst>
              <a:ext uri="{FF2B5EF4-FFF2-40B4-BE49-F238E27FC236}">
                <a16:creationId xmlns:a16="http://schemas.microsoft.com/office/drawing/2014/main" id="{696B32C1-7B3A-E135-9998-59BED075C715}"/>
              </a:ext>
            </a:extLst>
          </xdr:cNvPr>
          <xdr:cNvCxnSpPr/>
        </xdr:nvCxnSpPr>
        <xdr:spPr>
          <a:xfrm>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0" name="Gerader Verbinder 129">
            <a:extLst>
              <a:ext uri="{FF2B5EF4-FFF2-40B4-BE49-F238E27FC236}">
                <a16:creationId xmlns:a16="http://schemas.microsoft.com/office/drawing/2014/main" id="{4B6D55FD-7A43-BAB6-3B7F-1E88B7CBDAF6}"/>
              </a:ext>
            </a:extLst>
          </xdr:cNvPr>
          <xdr:cNvCxnSpPr/>
        </xdr:nvCxnSpPr>
        <xdr:spPr>
          <a:xfrm flipH="1">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140" name="Cross_D58">
          <a:extLst>
            <a:ext uri="{FF2B5EF4-FFF2-40B4-BE49-F238E27FC236}">
              <a16:creationId xmlns:a16="http://schemas.microsoft.com/office/drawing/2014/main" id="{EBC82905-DCFA-F353-76BC-F2B34A4A2636}"/>
            </a:ext>
          </a:extLst>
        </xdr:cNvPr>
        <xdr:cNvGrpSpPr/>
      </xdr:nvGrpSpPr>
      <xdr:grpSpPr>
        <a:xfrm>
          <a:off x="2240280" y="5257800"/>
          <a:ext cx="601980" cy="228600"/>
          <a:chOff x="2240280" y="10957560"/>
          <a:chExt cx="601980" cy="228600"/>
        </a:xfrm>
      </xdr:grpSpPr>
      <xdr:cxnSp macro="">
        <xdr:nvCxnSpPr>
          <xdr:cNvPr id="138" name="Gerader Verbinder 137">
            <a:extLst>
              <a:ext uri="{FF2B5EF4-FFF2-40B4-BE49-F238E27FC236}">
                <a16:creationId xmlns:a16="http://schemas.microsoft.com/office/drawing/2014/main" id="{061C10F0-32A0-EEA3-305B-7C0F3D21EDA8}"/>
              </a:ext>
            </a:extLst>
          </xdr:cNvPr>
          <xdr:cNvCxnSpPr/>
        </xdr:nvCxnSpPr>
        <xdr:spPr>
          <a:xfrm>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9" name="Gerader Verbinder 138">
            <a:extLst>
              <a:ext uri="{FF2B5EF4-FFF2-40B4-BE49-F238E27FC236}">
                <a16:creationId xmlns:a16="http://schemas.microsoft.com/office/drawing/2014/main" id="{D64673EE-903A-20C2-65A4-C36AC8D4B400}"/>
              </a:ext>
            </a:extLst>
          </xdr:cNvPr>
          <xdr:cNvCxnSpPr/>
        </xdr:nvCxnSpPr>
        <xdr:spPr>
          <a:xfrm flipH="1">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149" name="Cross_D61">
          <a:extLst>
            <a:ext uri="{FF2B5EF4-FFF2-40B4-BE49-F238E27FC236}">
              <a16:creationId xmlns:a16="http://schemas.microsoft.com/office/drawing/2014/main" id="{C3D5E83D-9BCE-5AB0-0A4B-85D372224AD7}"/>
            </a:ext>
          </a:extLst>
        </xdr:cNvPr>
        <xdr:cNvGrpSpPr/>
      </xdr:nvGrpSpPr>
      <xdr:grpSpPr>
        <a:xfrm>
          <a:off x="2240280" y="5486400"/>
          <a:ext cx="601980" cy="228600"/>
          <a:chOff x="2240280" y="11521440"/>
          <a:chExt cx="601980" cy="228600"/>
        </a:xfrm>
      </xdr:grpSpPr>
      <xdr:cxnSp macro="">
        <xdr:nvCxnSpPr>
          <xdr:cNvPr id="147" name="Gerader Verbinder 146">
            <a:extLst>
              <a:ext uri="{FF2B5EF4-FFF2-40B4-BE49-F238E27FC236}">
                <a16:creationId xmlns:a16="http://schemas.microsoft.com/office/drawing/2014/main" id="{2C1BCE0B-A9B9-EDEE-77B2-31BBF09FF89A}"/>
              </a:ext>
            </a:extLst>
          </xdr:cNvPr>
          <xdr:cNvCxnSpPr/>
        </xdr:nvCxnSpPr>
        <xdr:spPr>
          <a:xfrm>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8" name="Gerader Verbinder 147">
            <a:extLst>
              <a:ext uri="{FF2B5EF4-FFF2-40B4-BE49-F238E27FC236}">
                <a16:creationId xmlns:a16="http://schemas.microsoft.com/office/drawing/2014/main" id="{6CE54849-51B5-0C00-19E4-FEF63B66FE8B}"/>
              </a:ext>
            </a:extLst>
          </xdr:cNvPr>
          <xdr:cNvCxnSpPr/>
        </xdr:nvCxnSpPr>
        <xdr:spPr>
          <a:xfrm flipH="1">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xdr:row>
      <xdr:rowOff>0</xdr:rowOff>
    </xdr:from>
    <xdr:to>
      <xdr:col>5</xdr:col>
      <xdr:colOff>0</xdr:colOff>
      <xdr:row>8</xdr:row>
      <xdr:rowOff>0</xdr:rowOff>
    </xdr:to>
    <xdr:grpSp>
      <xdr:nvGrpSpPr>
        <xdr:cNvPr id="158" name="Cross_E10">
          <a:extLst>
            <a:ext uri="{FF2B5EF4-FFF2-40B4-BE49-F238E27FC236}">
              <a16:creationId xmlns:a16="http://schemas.microsoft.com/office/drawing/2014/main" id="{8AD5D503-B9FC-2CD5-C77D-059B1F2B6698}"/>
            </a:ext>
          </a:extLst>
        </xdr:cNvPr>
        <xdr:cNvGrpSpPr/>
      </xdr:nvGrpSpPr>
      <xdr:grpSpPr>
        <a:xfrm>
          <a:off x="2842260" y="1600200"/>
          <a:ext cx="601980" cy="228600"/>
          <a:chOff x="2842260" y="1935480"/>
          <a:chExt cx="601980" cy="228600"/>
        </a:xfrm>
      </xdr:grpSpPr>
      <xdr:cxnSp macro="">
        <xdr:nvCxnSpPr>
          <xdr:cNvPr id="156" name="Gerader Verbinder 155">
            <a:extLst>
              <a:ext uri="{FF2B5EF4-FFF2-40B4-BE49-F238E27FC236}">
                <a16:creationId xmlns:a16="http://schemas.microsoft.com/office/drawing/2014/main" id="{14745567-FA3E-7CCC-7B32-4093B53BB95A}"/>
              </a:ext>
            </a:extLst>
          </xdr:cNvPr>
          <xdr:cNvCxnSpPr/>
        </xdr:nvCxnSpPr>
        <xdr:spPr>
          <a:xfrm>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7" name="Gerader Verbinder 156">
            <a:extLst>
              <a:ext uri="{FF2B5EF4-FFF2-40B4-BE49-F238E27FC236}">
                <a16:creationId xmlns:a16="http://schemas.microsoft.com/office/drawing/2014/main" id="{FCF5783C-F938-61D3-41B7-9CD61518CB2E}"/>
              </a:ext>
            </a:extLst>
          </xdr:cNvPr>
          <xdr:cNvCxnSpPr/>
        </xdr:nvCxnSpPr>
        <xdr:spPr>
          <a:xfrm flipH="1">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8</xdr:row>
      <xdr:rowOff>0</xdr:rowOff>
    </xdr:from>
    <xdr:to>
      <xdr:col>5</xdr:col>
      <xdr:colOff>0</xdr:colOff>
      <xdr:row>9</xdr:row>
      <xdr:rowOff>0</xdr:rowOff>
    </xdr:to>
    <xdr:grpSp>
      <xdr:nvGrpSpPr>
        <xdr:cNvPr id="167" name="Cross_E13">
          <a:extLst>
            <a:ext uri="{FF2B5EF4-FFF2-40B4-BE49-F238E27FC236}">
              <a16:creationId xmlns:a16="http://schemas.microsoft.com/office/drawing/2014/main" id="{C6627B26-0181-EC89-F44F-595DAE18A19E}"/>
            </a:ext>
          </a:extLst>
        </xdr:cNvPr>
        <xdr:cNvGrpSpPr/>
      </xdr:nvGrpSpPr>
      <xdr:grpSpPr>
        <a:xfrm>
          <a:off x="2842260" y="1828800"/>
          <a:ext cx="601980" cy="228600"/>
          <a:chOff x="2842260" y="2499360"/>
          <a:chExt cx="601980" cy="228600"/>
        </a:xfrm>
      </xdr:grpSpPr>
      <xdr:cxnSp macro="">
        <xdr:nvCxnSpPr>
          <xdr:cNvPr id="165" name="Gerader Verbinder 164">
            <a:extLst>
              <a:ext uri="{FF2B5EF4-FFF2-40B4-BE49-F238E27FC236}">
                <a16:creationId xmlns:a16="http://schemas.microsoft.com/office/drawing/2014/main" id="{72AA87CB-6CF2-E739-9CB6-3F038013DB51}"/>
              </a:ext>
            </a:extLst>
          </xdr:cNvPr>
          <xdr:cNvCxnSpPr/>
        </xdr:nvCxnSpPr>
        <xdr:spPr>
          <a:xfrm>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6" name="Gerader Verbinder 165">
            <a:extLst>
              <a:ext uri="{FF2B5EF4-FFF2-40B4-BE49-F238E27FC236}">
                <a16:creationId xmlns:a16="http://schemas.microsoft.com/office/drawing/2014/main" id="{2EE87E8B-39E3-D7B8-2609-3706304EC83F}"/>
              </a:ext>
            </a:extLst>
          </xdr:cNvPr>
          <xdr:cNvCxnSpPr/>
        </xdr:nvCxnSpPr>
        <xdr:spPr>
          <a:xfrm flipH="1">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176" name="Cross_E19">
          <a:extLst>
            <a:ext uri="{FF2B5EF4-FFF2-40B4-BE49-F238E27FC236}">
              <a16:creationId xmlns:a16="http://schemas.microsoft.com/office/drawing/2014/main" id="{43A066C2-AD4B-BD35-C798-3A0BBCF2E080}"/>
            </a:ext>
          </a:extLst>
        </xdr:cNvPr>
        <xdr:cNvGrpSpPr/>
      </xdr:nvGrpSpPr>
      <xdr:grpSpPr>
        <a:xfrm>
          <a:off x="2842260" y="2286000"/>
          <a:ext cx="601980" cy="228600"/>
          <a:chOff x="2842260" y="3627120"/>
          <a:chExt cx="601980" cy="228600"/>
        </a:xfrm>
      </xdr:grpSpPr>
      <xdr:cxnSp macro="">
        <xdr:nvCxnSpPr>
          <xdr:cNvPr id="174" name="Gerader Verbinder 173">
            <a:extLst>
              <a:ext uri="{FF2B5EF4-FFF2-40B4-BE49-F238E27FC236}">
                <a16:creationId xmlns:a16="http://schemas.microsoft.com/office/drawing/2014/main" id="{0889FB81-B873-601C-648C-9BE230FAFCF8}"/>
              </a:ext>
            </a:extLst>
          </xdr:cNvPr>
          <xdr:cNvCxnSpPr/>
        </xdr:nvCxnSpPr>
        <xdr:spPr>
          <a:xfrm>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5" name="Gerader Verbinder 174">
            <a:extLst>
              <a:ext uri="{FF2B5EF4-FFF2-40B4-BE49-F238E27FC236}">
                <a16:creationId xmlns:a16="http://schemas.microsoft.com/office/drawing/2014/main" id="{568E7CDA-5292-E750-E587-B59D233B5831}"/>
              </a:ext>
            </a:extLst>
          </xdr:cNvPr>
          <xdr:cNvCxnSpPr/>
        </xdr:nvCxnSpPr>
        <xdr:spPr>
          <a:xfrm flipH="1">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716" name="Cross_E28">
          <a:extLst>
            <a:ext uri="{FF2B5EF4-FFF2-40B4-BE49-F238E27FC236}">
              <a16:creationId xmlns:a16="http://schemas.microsoft.com/office/drawing/2014/main" id="{EC54A44B-A9E7-F604-B2DA-23F4AAD58EF6}"/>
            </a:ext>
          </a:extLst>
        </xdr:cNvPr>
        <xdr:cNvGrpSpPr/>
      </xdr:nvGrpSpPr>
      <xdr:grpSpPr>
        <a:xfrm>
          <a:off x="2842260" y="2971800"/>
          <a:ext cx="601980" cy="228600"/>
          <a:chOff x="2842260" y="5318760"/>
          <a:chExt cx="601980" cy="228600"/>
        </a:xfrm>
      </xdr:grpSpPr>
      <xdr:cxnSp macro="">
        <xdr:nvCxnSpPr>
          <xdr:cNvPr id="714" name="Gerader Verbinder 713">
            <a:extLst>
              <a:ext uri="{FF2B5EF4-FFF2-40B4-BE49-F238E27FC236}">
                <a16:creationId xmlns:a16="http://schemas.microsoft.com/office/drawing/2014/main" id="{69F4CC32-E644-B7AD-3F39-4537257DBD23}"/>
              </a:ext>
            </a:extLst>
          </xdr:cNvPr>
          <xdr:cNvCxnSpPr/>
        </xdr:nvCxnSpPr>
        <xdr:spPr>
          <a:xfrm>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15" name="Gerader Verbinder 714">
            <a:extLst>
              <a:ext uri="{FF2B5EF4-FFF2-40B4-BE49-F238E27FC236}">
                <a16:creationId xmlns:a16="http://schemas.microsoft.com/office/drawing/2014/main" id="{BE857059-D919-D6AB-0A92-476BF453CA01}"/>
              </a:ext>
            </a:extLst>
          </xdr:cNvPr>
          <xdr:cNvCxnSpPr/>
        </xdr:nvCxnSpPr>
        <xdr:spPr>
          <a:xfrm flipH="1">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16</xdr:row>
      <xdr:rowOff>0</xdr:rowOff>
    </xdr:from>
    <xdr:to>
      <xdr:col>5</xdr:col>
      <xdr:colOff>0</xdr:colOff>
      <xdr:row>17</xdr:row>
      <xdr:rowOff>0</xdr:rowOff>
    </xdr:to>
    <xdr:grpSp>
      <xdr:nvGrpSpPr>
        <xdr:cNvPr id="725" name="Cross_E37">
          <a:extLst>
            <a:ext uri="{FF2B5EF4-FFF2-40B4-BE49-F238E27FC236}">
              <a16:creationId xmlns:a16="http://schemas.microsoft.com/office/drawing/2014/main" id="{A09939E8-407F-89AD-7270-1FA311E30397}"/>
            </a:ext>
          </a:extLst>
        </xdr:cNvPr>
        <xdr:cNvGrpSpPr/>
      </xdr:nvGrpSpPr>
      <xdr:grpSpPr>
        <a:xfrm>
          <a:off x="2842260" y="3657600"/>
          <a:ext cx="601980" cy="228600"/>
          <a:chOff x="2842260" y="7010400"/>
          <a:chExt cx="601980" cy="228600"/>
        </a:xfrm>
      </xdr:grpSpPr>
      <xdr:cxnSp macro="">
        <xdr:nvCxnSpPr>
          <xdr:cNvPr id="723" name="Gerader Verbinder 722">
            <a:extLst>
              <a:ext uri="{FF2B5EF4-FFF2-40B4-BE49-F238E27FC236}">
                <a16:creationId xmlns:a16="http://schemas.microsoft.com/office/drawing/2014/main" id="{6D8DAFC1-4046-4766-8288-5AE644BDCDCE}"/>
              </a:ext>
            </a:extLst>
          </xdr:cNvPr>
          <xdr:cNvCxnSpPr/>
        </xdr:nvCxnSpPr>
        <xdr:spPr>
          <a:xfrm>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4" name="Gerader Verbinder 723">
            <a:extLst>
              <a:ext uri="{FF2B5EF4-FFF2-40B4-BE49-F238E27FC236}">
                <a16:creationId xmlns:a16="http://schemas.microsoft.com/office/drawing/2014/main" id="{5D3F6313-F5BE-83D7-578C-525544B11404}"/>
              </a:ext>
            </a:extLst>
          </xdr:cNvPr>
          <xdr:cNvCxnSpPr/>
        </xdr:nvCxnSpPr>
        <xdr:spPr>
          <a:xfrm flipH="1">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xdr:row>
      <xdr:rowOff>0</xdr:rowOff>
    </xdr:from>
    <xdr:to>
      <xdr:col>5</xdr:col>
      <xdr:colOff>0</xdr:colOff>
      <xdr:row>18</xdr:row>
      <xdr:rowOff>0</xdr:rowOff>
    </xdr:to>
    <xdr:grpSp>
      <xdr:nvGrpSpPr>
        <xdr:cNvPr id="734" name="Cross_E40">
          <a:extLst>
            <a:ext uri="{FF2B5EF4-FFF2-40B4-BE49-F238E27FC236}">
              <a16:creationId xmlns:a16="http://schemas.microsoft.com/office/drawing/2014/main" id="{804D0EA0-1B4D-CA03-7044-08C6763E9E41}"/>
            </a:ext>
          </a:extLst>
        </xdr:cNvPr>
        <xdr:cNvGrpSpPr/>
      </xdr:nvGrpSpPr>
      <xdr:grpSpPr>
        <a:xfrm>
          <a:off x="2842260" y="3886200"/>
          <a:ext cx="601980" cy="228600"/>
          <a:chOff x="2842260" y="7574280"/>
          <a:chExt cx="601980" cy="228600"/>
        </a:xfrm>
      </xdr:grpSpPr>
      <xdr:cxnSp macro="">
        <xdr:nvCxnSpPr>
          <xdr:cNvPr id="732" name="Gerader Verbinder 731">
            <a:extLst>
              <a:ext uri="{FF2B5EF4-FFF2-40B4-BE49-F238E27FC236}">
                <a16:creationId xmlns:a16="http://schemas.microsoft.com/office/drawing/2014/main" id="{3FC5C7D4-4ADB-9CB4-EF29-D398C5B7F69A}"/>
              </a:ext>
            </a:extLst>
          </xdr:cNvPr>
          <xdr:cNvCxnSpPr/>
        </xdr:nvCxnSpPr>
        <xdr:spPr>
          <a:xfrm>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3" name="Gerader Verbinder 732">
            <a:extLst>
              <a:ext uri="{FF2B5EF4-FFF2-40B4-BE49-F238E27FC236}">
                <a16:creationId xmlns:a16="http://schemas.microsoft.com/office/drawing/2014/main" id="{D7981248-50AE-489D-3FE2-94C90540D350}"/>
              </a:ext>
            </a:extLst>
          </xdr:cNvPr>
          <xdr:cNvCxnSpPr/>
        </xdr:nvCxnSpPr>
        <xdr:spPr>
          <a:xfrm flipH="1">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743" name="Cross_E43">
          <a:extLst>
            <a:ext uri="{FF2B5EF4-FFF2-40B4-BE49-F238E27FC236}">
              <a16:creationId xmlns:a16="http://schemas.microsoft.com/office/drawing/2014/main" id="{AA732509-2B13-E925-2E89-89877589C9AE}"/>
            </a:ext>
          </a:extLst>
        </xdr:cNvPr>
        <xdr:cNvGrpSpPr/>
      </xdr:nvGrpSpPr>
      <xdr:grpSpPr>
        <a:xfrm>
          <a:off x="2842260" y="4114800"/>
          <a:ext cx="601980" cy="228600"/>
          <a:chOff x="2842260" y="8138160"/>
          <a:chExt cx="601980" cy="228600"/>
        </a:xfrm>
      </xdr:grpSpPr>
      <xdr:cxnSp macro="">
        <xdr:nvCxnSpPr>
          <xdr:cNvPr id="741" name="Gerader Verbinder 740">
            <a:extLst>
              <a:ext uri="{FF2B5EF4-FFF2-40B4-BE49-F238E27FC236}">
                <a16:creationId xmlns:a16="http://schemas.microsoft.com/office/drawing/2014/main" id="{6B1ABB8A-5102-65B0-0267-903D11C064BE}"/>
              </a:ext>
            </a:extLst>
          </xdr:cNvPr>
          <xdr:cNvCxnSpPr/>
        </xdr:nvCxnSpPr>
        <xdr:spPr>
          <a:xfrm>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2" name="Gerader Verbinder 741">
            <a:extLst>
              <a:ext uri="{FF2B5EF4-FFF2-40B4-BE49-F238E27FC236}">
                <a16:creationId xmlns:a16="http://schemas.microsoft.com/office/drawing/2014/main" id="{6225986D-3D07-91BB-9CAF-B51AC93861EF}"/>
              </a:ext>
            </a:extLst>
          </xdr:cNvPr>
          <xdr:cNvCxnSpPr/>
        </xdr:nvCxnSpPr>
        <xdr:spPr>
          <a:xfrm flipH="1">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752" name="Cross_E46">
          <a:extLst>
            <a:ext uri="{FF2B5EF4-FFF2-40B4-BE49-F238E27FC236}">
              <a16:creationId xmlns:a16="http://schemas.microsoft.com/office/drawing/2014/main" id="{BD2E5E4E-67C8-5041-6117-AD00FCB24AAF}"/>
            </a:ext>
          </a:extLst>
        </xdr:cNvPr>
        <xdr:cNvGrpSpPr/>
      </xdr:nvGrpSpPr>
      <xdr:grpSpPr>
        <a:xfrm>
          <a:off x="2842260" y="4343400"/>
          <a:ext cx="601980" cy="228600"/>
          <a:chOff x="2842260" y="8702040"/>
          <a:chExt cx="601980" cy="228600"/>
        </a:xfrm>
      </xdr:grpSpPr>
      <xdr:cxnSp macro="">
        <xdr:nvCxnSpPr>
          <xdr:cNvPr id="750" name="Gerader Verbinder 749">
            <a:extLst>
              <a:ext uri="{FF2B5EF4-FFF2-40B4-BE49-F238E27FC236}">
                <a16:creationId xmlns:a16="http://schemas.microsoft.com/office/drawing/2014/main" id="{0C09AE11-C40E-4C4D-7F16-E900334006D0}"/>
              </a:ext>
            </a:extLst>
          </xdr:cNvPr>
          <xdr:cNvCxnSpPr/>
        </xdr:nvCxnSpPr>
        <xdr:spPr>
          <a:xfrm>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1" name="Gerader Verbinder 750">
            <a:extLst>
              <a:ext uri="{FF2B5EF4-FFF2-40B4-BE49-F238E27FC236}">
                <a16:creationId xmlns:a16="http://schemas.microsoft.com/office/drawing/2014/main" id="{36E9E3FA-6807-370B-B2FD-E1F9B1FAEBC6}"/>
              </a:ext>
            </a:extLst>
          </xdr:cNvPr>
          <xdr:cNvCxnSpPr/>
        </xdr:nvCxnSpPr>
        <xdr:spPr>
          <a:xfrm flipH="1">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22</xdr:row>
      <xdr:rowOff>0</xdr:rowOff>
    </xdr:from>
    <xdr:to>
      <xdr:col>5</xdr:col>
      <xdr:colOff>0</xdr:colOff>
      <xdr:row>23</xdr:row>
      <xdr:rowOff>0</xdr:rowOff>
    </xdr:to>
    <xdr:grpSp>
      <xdr:nvGrpSpPr>
        <xdr:cNvPr id="761" name="Cross_E55">
          <a:extLst>
            <a:ext uri="{FF2B5EF4-FFF2-40B4-BE49-F238E27FC236}">
              <a16:creationId xmlns:a16="http://schemas.microsoft.com/office/drawing/2014/main" id="{7C56F8CD-8A4F-E269-61B0-DF9F360444D9}"/>
            </a:ext>
          </a:extLst>
        </xdr:cNvPr>
        <xdr:cNvGrpSpPr/>
      </xdr:nvGrpSpPr>
      <xdr:grpSpPr>
        <a:xfrm>
          <a:off x="2842260" y="5029200"/>
          <a:ext cx="601980" cy="228600"/>
          <a:chOff x="2842260" y="10393680"/>
          <a:chExt cx="601980" cy="228600"/>
        </a:xfrm>
      </xdr:grpSpPr>
      <xdr:cxnSp macro="">
        <xdr:nvCxnSpPr>
          <xdr:cNvPr id="759" name="Gerader Verbinder 758">
            <a:extLst>
              <a:ext uri="{FF2B5EF4-FFF2-40B4-BE49-F238E27FC236}">
                <a16:creationId xmlns:a16="http://schemas.microsoft.com/office/drawing/2014/main" id="{C9669F27-66D4-55E2-58CB-0311452E966C}"/>
              </a:ext>
            </a:extLst>
          </xdr:cNvPr>
          <xdr:cNvCxnSpPr/>
        </xdr:nvCxnSpPr>
        <xdr:spPr>
          <a:xfrm>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0" name="Gerader Verbinder 759">
            <a:extLst>
              <a:ext uri="{FF2B5EF4-FFF2-40B4-BE49-F238E27FC236}">
                <a16:creationId xmlns:a16="http://schemas.microsoft.com/office/drawing/2014/main" id="{50E68219-C5BA-C4FB-01E8-BEEAFDACBF9A}"/>
              </a:ext>
            </a:extLst>
          </xdr:cNvPr>
          <xdr:cNvCxnSpPr/>
        </xdr:nvCxnSpPr>
        <xdr:spPr>
          <a:xfrm flipH="1">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23</xdr:row>
      <xdr:rowOff>0</xdr:rowOff>
    </xdr:from>
    <xdr:to>
      <xdr:col>5</xdr:col>
      <xdr:colOff>0</xdr:colOff>
      <xdr:row>24</xdr:row>
      <xdr:rowOff>0</xdr:rowOff>
    </xdr:to>
    <xdr:grpSp>
      <xdr:nvGrpSpPr>
        <xdr:cNvPr id="770" name="Cross_E58">
          <a:extLst>
            <a:ext uri="{FF2B5EF4-FFF2-40B4-BE49-F238E27FC236}">
              <a16:creationId xmlns:a16="http://schemas.microsoft.com/office/drawing/2014/main" id="{B7ECC702-3CDA-0799-8767-300FF55883F1}"/>
            </a:ext>
          </a:extLst>
        </xdr:cNvPr>
        <xdr:cNvGrpSpPr/>
      </xdr:nvGrpSpPr>
      <xdr:grpSpPr>
        <a:xfrm>
          <a:off x="2842260" y="5257800"/>
          <a:ext cx="601980" cy="228600"/>
          <a:chOff x="2842260" y="10957560"/>
          <a:chExt cx="601980" cy="228600"/>
        </a:xfrm>
      </xdr:grpSpPr>
      <xdr:cxnSp macro="">
        <xdr:nvCxnSpPr>
          <xdr:cNvPr id="768" name="Gerader Verbinder 767">
            <a:extLst>
              <a:ext uri="{FF2B5EF4-FFF2-40B4-BE49-F238E27FC236}">
                <a16:creationId xmlns:a16="http://schemas.microsoft.com/office/drawing/2014/main" id="{A61E24F6-A908-D405-EE21-67E10F9B4761}"/>
              </a:ext>
            </a:extLst>
          </xdr:cNvPr>
          <xdr:cNvCxnSpPr/>
        </xdr:nvCxnSpPr>
        <xdr:spPr>
          <a:xfrm>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9" name="Gerader Verbinder 768">
            <a:extLst>
              <a:ext uri="{FF2B5EF4-FFF2-40B4-BE49-F238E27FC236}">
                <a16:creationId xmlns:a16="http://schemas.microsoft.com/office/drawing/2014/main" id="{C3ADE0F0-82F1-DCE7-7125-953B70595FFC}"/>
              </a:ext>
            </a:extLst>
          </xdr:cNvPr>
          <xdr:cNvCxnSpPr/>
        </xdr:nvCxnSpPr>
        <xdr:spPr>
          <a:xfrm flipH="1">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24</xdr:row>
      <xdr:rowOff>0</xdr:rowOff>
    </xdr:from>
    <xdr:to>
      <xdr:col>5</xdr:col>
      <xdr:colOff>0</xdr:colOff>
      <xdr:row>25</xdr:row>
      <xdr:rowOff>0</xdr:rowOff>
    </xdr:to>
    <xdr:grpSp>
      <xdr:nvGrpSpPr>
        <xdr:cNvPr id="779" name="Cross_E61">
          <a:extLst>
            <a:ext uri="{FF2B5EF4-FFF2-40B4-BE49-F238E27FC236}">
              <a16:creationId xmlns:a16="http://schemas.microsoft.com/office/drawing/2014/main" id="{666FE5D4-0E64-CC20-6172-EFDE3CBE7C22}"/>
            </a:ext>
          </a:extLst>
        </xdr:cNvPr>
        <xdr:cNvGrpSpPr/>
      </xdr:nvGrpSpPr>
      <xdr:grpSpPr>
        <a:xfrm>
          <a:off x="2842260" y="5486400"/>
          <a:ext cx="601980" cy="228600"/>
          <a:chOff x="2842260" y="11521440"/>
          <a:chExt cx="601980" cy="228600"/>
        </a:xfrm>
      </xdr:grpSpPr>
      <xdr:cxnSp macro="">
        <xdr:nvCxnSpPr>
          <xdr:cNvPr id="777" name="Gerader Verbinder 776">
            <a:extLst>
              <a:ext uri="{FF2B5EF4-FFF2-40B4-BE49-F238E27FC236}">
                <a16:creationId xmlns:a16="http://schemas.microsoft.com/office/drawing/2014/main" id="{C447FFC4-C699-3C17-C276-E052AFEAA509}"/>
              </a:ext>
            </a:extLst>
          </xdr:cNvPr>
          <xdr:cNvCxnSpPr/>
        </xdr:nvCxnSpPr>
        <xdr:spPr>
          <a:xfrm>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8" name="Gerader Verbinder 777">
            <a:extLst>
              <a:ext uri="{FF2B5EF4-FFF2-40B4-BE49-F238E27FC236}">
                <a16:creationId xmlns:a16="http://schemas.microsoft.com/office/drawing/2014/main" id="{B2D6E07C-143F-F478-C69B-AE3EBCF5457C}"/>
              </a:ext>
            </a:extLst>
          </xdr:cNvPr>
          <xdr:cNvCxnSpPr/>
        </xdr:nvCxnSpPr>
        <xdr:spPr>
          <a:xfrm flipH="1">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788" name="Cross_E70">
          <a:extLst>
            <a:ext uri="{FF2B5EF4-FFF2-40B4-BE49-F238E27FC236}">
              <a16:creationId xmlns:a16="http://schemas.microsoft.com/office/drawing/2014/main" id="{A97054D2-EC09-31EF-B30D-ADEE7ACE5872}"/>
            </a:ext>
          </a:extLst>
        </xdr:cNvPr>
        <xdr:cNvGrpSpPr/>
      </xdr:nvGrpSpPr>
      <xdr:grpSpPr>
        <a:xfrm>
          <a:off x="2842260" y="6172200"/>
          <a:ext cx="601980" cy="228600"/>
          <a:chOff x="2842260" y="13213080"/>
          <a:chExt cx="601980" cy="228600"/>
        </a:xfrm>
      </xdr:grpSpPr>
      <xdr:cxnSp macro="">
        <xdr:nvCxnSpPr>
          <xdr:cNvPr id="786" name="Gerader Verbinder 785">
            <a:extLst>
              <a:ext uri="{FF2B5EF4-FFF2-40B4-BE49-F238E27FC236}">
                <a16:creationId xmlns:a16="http://schemas.microsoft.com/office/drawing/2014/main" id="{38960455-45A0-798B-E71E-BA28114FC517}"/>
              </a:ext>
            </a:extLst>
          </xdr:cNvPr>
          <xdr:cNvCxnSpPr/>
        </xdr:nvCxnSpPr>
        <xdr:spPr>
          <a:xfrm>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87" name="Gerader Verbinder 786">
            <a:extLst>
              <a:ext uri="{FF2B5EF4-FFF2-40B4-BE49-F238E27FC236}">
                <a16:creationId xmlns:a16="http://schemas.microsoft.com/office/drawing/2014/main" id="{CC8B4554-1659-A4BC-3AED-FF26CB82AAE3}"/>
              </a:ext>
            </a:extLst>
          </xdr:cNvPr>
          <xdr:cNvCxnSpPr/>
        </xdr:nvCxnSpPr>
        <xdr:spPr>
          <a:xfrm flipH="1">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28</xdr:row>
      <xdr:rowOff>1</xdr:rowOff>
    </xdr:to>
    <xdr:grpSp>
      <xdr:nvGrpSpPr>
        <xdr:cNvPr id="794" name="Cross_E72">
          <a:extLst>
            <a:ext uri="{FF2B5EF4-FFF2-40B4-BE49-F238E27FC236}">
              <a16:creationId xmlns:a16="http://schemas.microsoft.com/office/drawing/2014/main" id="{33D622F8-3101-05DB-E4D6-1E74F6E7890D}"/>
            </a:ext>
          </a:extLst>
        </xdr:cNvPr>
        <xdr:cNvGrpSpPr/>
      </xdr:nvGrpSpPr>
      <xdr:grpSpPr>
        <a:xfrm>
          <a:off x="2842260" y="6400800"/>
          <a:ext cx="601980" cy="1"/>
          <a:chOff x="2842260" y="13609320"/>
          <a:chExt cx="601980" cy="167641"/>
        </a:xfrm>
      </xdr:grpSpPr>
      <xdr:cxnSp macro="">
        <xdr:nvCxnSpPr>
          <xdr:cNvPr id="792" name="Gerader Verbinder 791">
            <a:extLst>
              <a:ext uri="{FF2B5EF4-FFF2-40B4-BE49-F238E27FC236}">
                <a16:creationId xmlns:a16="http://schemas.microsoft.com/office/drawing/2014/main" id="{1A67ED01-3348-B334-D1A3-3A54B301C2C7}"/>
              </a:ext>
            </a:extLst>
          </xdr:cNvPr>
          <xdr:cNvCxnSpPr/>
        </xdr:nvCxnSpPr>
        <xdr:spPr>
          <a:xfrm>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93" name="Gerader Verbinder 792">
            <a:extLst>
              <a:ext uri="{FF2B5EF4-FFF2-40B4-BE49-F238E27FC236}">
                <a16:creationId xmlns:a16="http://schemas.microsoft.com/office/drawing/2014/main" id="{C18C13FE-0D0A-56DA-325D-E489AA8FC883}"/>
              </a:ext>
            </a:extLst>
          </xdr:cNvPr>
          <xdr:cNvCxnSpPr/>
        </xdr:nvCxnSpPr>
        <xdr:spPr>
          <a:xfrm flipH="1">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1</xdr:rowOff>
    </xdr:from>
    <xdr:to>
      <xdr:col>5</xdr:col>
      <xdr:colOff>0</xdr:colOff>
      <xdr:row>29</xdr:row>
      <xdr:rowOff>0</xdr:rowOff>
    </xdr:to>
    <xdr:grpSp>
      <xdr:nvGrpSpPr>
        <xdr:cNvPr id="797" name="Cross_E73">
          <a:extLst>
            <a:ext uri="{FF2B5EF4-FFF2-40B4-BE49-F238E27FC236}">
              <a16:creationId xmlns:a16="http://schemas.microsoft.com/office/drawing/2014/main" id="{85571184-FD80-CB06-EFD0-0B4FF7959097}"/>
            </a:ext>
          </a:extLst>
        </xdr:cNvPr>
        <xdr:cNvGrpSpPr/>
      </xdr:nvGrpSpPr>
      <xdr:grpSpPr>
        <a:xfrm>
          <a:off x="2842260" y="6400801"/>
          <a:ext cx="601980" cy="228599"/>
          <a:chOff x="2842260" y="13776961"/>
          <a:chExt cx="601980" cy="228600"/>
        </a:xfrm>
      </xdr:grpSpPr>
      <xdr:cxnSp macro="">
        <xdr:nvCxnSpPr>
          <xdr:cNvPr id="795" name="Gerader Verbinder 794">
            <a:extLst>
              <a:ext uri="{FF2B5EF4-FFF2-40B4-BE49-F238E27FC236}">
                <a16:creationId xmlns:a16="http://schemas.microsoft.com/office/drawing/2014/main" id="{BC40FCDB-3F51-0DBB-DEC0-648147133E7D}"/>
              </a:ext>
            </a:extLst>
          </xdr:cNvPr>
          <xdr:cNvCxnSpPr/>
        </xdr:nvCxnSpPr>
        <xdr:spPr>
          <a:xfrm>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96" name="Gerader Verbinder 795">
            <a:extLst>
              <a:ext uri="{FF2B5EF4-FFF2-40B4-BE49-F238E27FC236}">
                <a16:creationId xmlns:a16="http://schemas.microsoft.com/office/drawing/2014/main" id="{A87564FE-8EC1-6FF5-5490-2D0A62CFB7C2}"/>
              </a:ext>
            </a:extLst>
          </xdr:cNvPr>
          <xdr:cNvCxnSpPr/>
        </xdr:nvCxnSpPr>
        <xdr:spPr>
          <a:xfrm flipH="1">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xdr:row>
      <xdr:rowOff>0</xdr:rowOff>
    </xdr:from>
    <xdr:to>
      <xdr:col>6</xdr:col>
      <xdr:colOff>0</xdr:colOff>
      <xdr:row>8</xdr:row>
      <xdr:rowOff>0</xdr:rowOff>
    </xdr:to>
    <xdr:grpSp>
      <xdr:nvGrpSpPr>
        <xdr:cNvPr id="806" name="Cross_F10">
          <a:extLst>
            <a:ext uri="{FF2B5EF4-FFF2-40B4-BE49-F238E27FC236}">
              <a16:creationId xmlns:a16="http://schemas.microsoft.com/office/drawing/2014/main" id="{7B82E4A4-E591-B900-E61F-259011182864}"/>
            </a:ext>
          </a:extLst>
        </xdr:cNvPr>
        <xdr:cNvGrpSpPr/>
      </xdr:nvGrpSpPr>
      <xdr:grpSpPr>
        <a:xfrm>
          <a:off x="3444240" y="1600200"/>
          <a:ext cx="601980" cy="228600"/>
          <a:chOff x="3444240" y="1935480"/>
          <a:chExt cx="601980" cy="228600"/>
        </a:xfrm>
      </xdr:grpSpPr>
      <xdr:cxnSp macro="">
        <xdr:nvCxnSpPr>
          <xdr:cNvPr id="804" name="Gerader Verbinder 803">
            <a:extLst>
              <a:ext uri="{FF2B5EF4-FFF2-40B4-BE49-F238E27FC236}">
                <a16:creationId xmlns:a16="http://schemas.microsoft.com/office/drawing/2014/main" id="{7910BE19-E8C4-94E6-B02D-CF220C99863F}"/>
              </a:ext>
            </a:extLst>
          </xdr:cNvPr>
          <xdr:cNvCxnSpPr/>
        </xdr:nvCxnSpPr>
        <xdr:spPr>
          <a:xfrm>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05" name="Gerader Verbinder 804">
            <a:extLst>
              <a:ext uri="{FF2B5EF4-FFF2-40B4-BE49-F238E27FC236}">
                <a16:creationId xmlns:a16="http://schemas.microsoft.com/office/drawing/2014/main" id="{04DCB0F2-D8AC-5504-0515-CF26D285B0FC}"/>
              </a:ext>
            </a:extLst>
          </xdr:cNvPr>
          <xdr:cNvCxnSpPr/>
        </xdr:nvCxnSpPr>
        <xdr:spPr>
          <a:xfrm flipH="1">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8</xdr:row>
      <xdr:rowOff>0</xdr:rowOff>
    </xdr:from>
    <xdr:to>
      <xdr:col>6</xdr:col>
      <xdr:colOff>0</xdr:colOff>
      <xdr:row>9</xdr:row>
      <xdr:rowOff>0</xdr:rowOff>
    </xdr:to>
    <xdr:grpSp>
      <xdr:nvGrpSpPr>
        <xdr:cNvPr id="815" name="Cross_F13">
          <a:extLst>
            <a:ext uri="{FF2B5EF4-FFF2-40B4-BE49-F238E27FC236}">
              <a16:creationId xmlns:a16="http://schemas.microsoft.com/office/drawing/2014/main" id="{54DA7753-73AC-3728-9C02-E144D7BE3C0C}"/>
            </a:ext>
          </a:extLst>
        </xdr:cNvPr>
        <xdr:cNvGrpSpPr/>
      </xdr:nvGrpSpPr>
      <xdr:grpSpPr>
        <a:xfrm>
          <a:off x="3444240" y="1828800"/>
          <a:ext cx="601980" cy="228600"/>
          <a:chOff x="3444240" y="2499360"/>
          <a:chExt cx="601980" cy="228600"/>
        </a:xfrm>
      </xdr:grpSpPr>
      <xdr:cxnSp macro="">
        <xdr:nvCxnSpPr>
          <xdr:cNvPr id="813" name="Gerader Verbinder 812">
            <a:extLst>
              <a:ext uri="{FF2B5EF4-FFF2-40B4-BE49-F238E27FC236}">
                <a16:creationId xmlns:a16="http://schemas.microsoft.com/office/drawing/2014/main" id="{9A5514B2-9DD2-83A7-9010-F8E012D64D85}"/>
              </a:ext>
            </a:extLst>
          </xdr:cNvPr>
          <xdr:cNvCxnSpPr/>
        </xdr:nvCxnSpPr>
        <xdr:spPr>
          <a:xfrm>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14" name="Gerader Verbinder 813">
            <a:extLst>
              <a:ext uri="{FF2B5EF4-FFF2-40B4-BE49-F238E27FC236}">
                <a16:creationId xmlns:a16="http://schemas.microsoft.com/office/drawing/2014/main" id="{7368BDB5-47E2-B0B3-2A16-23BCCB71FD76}"/>
              </a:ext>
            </a:extLst>
          </xdr:cNvPr>
          <xdr:cNvCxnSpPr/>
        </xdr:nvCxnSpPr>
        <xdr:spPr>
          <a:xfrm flipH="1">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824" name="Cross_F19">
          <a:extLst>
            <a:ext uri="{FF2B5EF4-FFF2-40B4-BE49-F238E27FC236}">
              <a16:creationId xmlns:a16="http://schemas.microsoft.com/office/drawing/2014/main" id="{BE87C350-AA34-D1F4-7158-6A8BA2E8375D}"/>
            </a:ext>
          </a:extLst>
        </xdr:cNvPr>
        <xdr:cNvGrpSpPr/>
      </xdr:nvGrpSpPr>
      <xdr:grpSpPr>
        <a:xfrm>
          <a:off x="3444240" y="2286000"/>
          <a:ext cx="601980" cy="228600"/>
          <a:chOff x="3444240" y="3627120"/>
          <a:chExt cx="601980" cy="228600"/>
        </a:xfrm>
      </xdr:grpSpPr>
      <xdr:cxnSp macro="">
        <xdr:nvCxnSpPr>
          <xdr:cNvPr id="822" name="Gerader Verbinder 821">
            <a:extLst>
              <a:ext uri="{FF2B5EF4-FFF2-40B4-BE49-F238E27FC236}">
                <a16:creationId xmlns:a16="http://schemas.microsoft.com/office/drawing/2014/main" id="{D3DA3AD3-CE3D-2B9C-F864-C882D6077298}"/>
              </a:ext>
            </a:extLst>
          </xdr:cNvPr>
          <xdr:cNvCxnSpPr/>
        </xdr:nvCxnSpPr>
        <xdr:spPr>
          <a:xfrm>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23" name="Gerader Verbinder 822">
            <a:extLst>
              <a:ext uri="{FF2B5EF4-FFF2-40B4-BE49-F238E27FC236}">
                <a16:creationId xmlns:a16="http://schemas.microsoft.com/office/drawing/2014/main" id="{35F928AF-CFF8-1CFB-D446-F1D70CDDD822}"/>
              </a:ext>
            </a:extLst>
          </xdr:cNvPr>
          <xdr:cNvCxnSpPr/>
        </xdr:nvCxnSpPr>
        <xdr:spPr>
          <a:xfrm flipH="1">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833" name="Cross_F28">
          <a:extLst>
            <a:ext uri="{FF2B5EF4-FFF2-40B4-BE49-F238E27FC236}">
              <a16:creationId xmlns:a16="http://schemas.microsoft.com/office/drawing/2014/main" id="{BD73564C-1DB1-D34D-3E1D-5D714039186E}"/>
            </a:ext>
          </a:extLst>
        </xdr:cNvPr>
        <xdr:cNvGrpSpPr/>
      </xdr:nvGrpSpPr>
      <xdr:grpSpPr>
        <a:xfrm>
          <a:off x="3444240" y="2971800"/>
          <a:ext cx="601980" cy="228600"/>
          <a:chOff x="3444240" y="5318760"/>
          <a:chExt cx="601980" cy="228600"/>
        </a:xfrm>
      </xdr:grpSpPr>
      <xdr:cxnSp macro="">
        <xdr:nvCxnSpPr>
          <xdr:cNvPr id="831" name="Gerader Verbinder 830">
            <a:extLst>
              <a:ext uri="{FF2B5EF4-FFF2-40B4-BE49-F238E27FC236}">
                <a16:creationId xmlns:a16="http://schemas.microsoft.com/office/drawing/2014/main" id="{8554EFF3-6D63-9D78-C010-13B2767AF9BC}"/>
              </a:ext>
            </a:extLst>
          </xdr:cNvPr>
          <xdr:cNvCxnSpPr/>
        </xdr:nvCxnSpPr>
        <xdr:spPr>
          <a:xfrm>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32" name="Gerader Verbinder 831">
            <a:extLst>
              <a:ext uri="{FF2B5EF4-FFF2-40B4-BE49-F238E27FC236}">
                <a16:creationId xmlns:a16="http://schemas.microsoft.com/office/drawing/2014/main" id="{A3FFCA50-264F-BFD9-E81A-DA9D421903F1}"/>
              </a:ext>
            </a:extLst>
          </xdr:cNvPr>
          <xdr:cNvCxnSpPr/>
        </xdr:nvCxnSpPr>
        <xdr:spPr>
          <a:xfrm flipH="1">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16</xdr:row>
      <xdr:rowOff>0</xdr:rowOff>
    </xdr:from>
    <xdr:to>
      <xdr:col>6</xdr:col>
      <xdr:colOff>0</xdr:colOff>
      <xdr:row>17</xdr:row>
      <xdr:rowOff>0</xdr:rowOff>
    </xdr:to>
    <xdr:grpSp>
      <xdr:nvGrpSpPr>
        <xdr:cNvPr id="842" name="Cross_F37">
          <a:extLst>
            <a:ext uri="{FF2B5EF4-FFF2-40B4-BE49-F238E27FC236}">
              <a16:creationId xmlns:a16="http://schemas.microsoft.com/office/drawing/2014/main" id="{F6EB5875-2765-3951-8913-84D6F7B63593}"/>
            </a:ext>
          </a:extLst>
        </xdr:cNvPr>
        <xdr:cNvGrpSpPr/>
      </xdr:nvGrpSpPr>
      <xdr:grpSpPr>
        <a:xfrm>
          <a:off x="3444240" y="3657600"/>
          <a:ext cx="601980" cy="228600"/>
          <a:chOff x="3444240" y="7010400"/>
          <a:chExt cx="601980" cy="228600"/>
        </a:xfrm>
      </xdr:grpSpPr>
      <xdr:cxnSp macro="">
        <xdr:nvCxnSpPr>
          <xdr:cNvPr id="840" name="Gerader Verbinder 839">
            <a:extLst>
              <a:ext uri="{FF2B5EF4-FFF2-40B4-BE49-F238E27FC236}">
                <a16:creationId xmlns:a16="http://schemas.microsoft.com/office/drawing/2014/main" id="{81004574-5316-6665-6242-6C6C9263EEB6}"/>
              </a:ext>
            </a:extLst>
          </xdr:cNvPr>
          <xdr:cNvCxnSpPr/>
        </xdr:nvCxnSpPr>
        <xdr:spPr>
          <a:xfrm>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41" name="Gerader Verbinder 840">
            <a:extLst>
              <a:ext uri="{FF2B5EF4-FFF2-40B4-BE49-F238E27FC236}">
                <a16:creationId xmlns:a16="http://schemas.microsoft.com/office/drawing/2014/main" id="{944CCC78-B824-253B-AFB4-DBF079510E6D}"/>
              </a:ext>
            </a:extLst>
          </xdr:cNvPr>
          <xdr:cNvCxnSpPr/>
        </xdr:nvCxnSpPr>
        <xdr:spPr>
          <a:xfrm flipH="1">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17</xdr:row>
      <xdr:rowOff>0</xdr:rowOff>
    </xdr:from>
    <xdr:to>
      <xdr:col>6</xdr:col>
      <xdr:colOff>0</xdr:colOff>
      <xdr:row>18</xdr:row>
      <xdr:rowOff>0</xdr:rowOff>
    </xdr:to>
    <xdr:grpSp>
      <xdr:nvGrpSpPr>
        <xdr:cNvPr id="851" name="Cross_F40">
          <a:extLst>
            <a:ext uri="{FF2B5EF4-FFF2-40B4-BE49-F238E27FC236}">
              <a16:creationId xmlns:a16="http://schemas.microsoft.com/office/drawing/2014/main" id="{C97D26FD-512F-C6CB-A94A-3C107AE095DA}"/>
            </a:ext>
          </a:extLst>
        </xdr:cNvPr>
        <xdr:cNvGrpSpPr/>
      </xdr:nvGrpSpPr>
      <xdr:grpSpPr>
        <a:xfrm>
          <a:off x="3444240" y="3886200"/>
          <a:ext cx="601980" cy="228600"/>
          <a:chOff x="3444240" y="7574280"/>
          <a:chExt cx="601980" cy="228600"/>
        </a:xfrm>
      </xdr:grpSpPr>
      <xdr:cxnSp macro="">
        <xdr:nvCxnSpPr>
          <xdr:cNvPr id="849" name="Gerader Verbinder 848">
            <a:extLst>
              <a:ext uri="{FF2B5EF4-FFF2-40B4-BE49-F238E27FC236}">
                <a16:creationId xmlns:a16="http://schemas.microsoft.com/office/drawing/2014/main" id="{025030C0-D4C3-A5BE-E7DD-0D0FF8AC17FF}"/>
              </a:ext>
            </a:extLst>
          </xdr:cNvPr>
          <xdr:cNvCxnSpPr/>
        </xdr:nvCxnSpPr>
        <xdr:spPr>
          <a:xfrm>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50" name="Gerader Verbinder 849">
            <a:extLst>
              <a:ext uri="{FF2B5EF4-FFF2-40B4-BE49-F238E27FC236}">
                <a16:creationId xmlns:a16="http://schemas.microsoft.com/office/drawing/2014/main" id="{7BE83516-39CE-0C59-2E3B-FFF9603345B1}"/>
              </a:ext>
            </a:extLst>
          </xdr:cNvPr>
          <xdr:cNvCxnSpPr/>
        </xdr:nvCxnSpPr>
        <xdr:spPr>
          <a:xfrm flipH="1">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860" name="Cross_F43">
          <a:extLst>
            <a:ext uri="{FF2B5EF4-FFF2-40B4-BE49-F238E27FC236}">
              <a16:creationId xmlns:a16="http://schemas.microsoft.com/office/drawing/2014/main" id="{5C2C0B6F-0BB3-B8BC-F639-E7ABC3BCDD47}"/>
            </a:ext>
          </a:extLst>
        </xdr:cNvPr>
        <xdr:cNvGrpSpPr/>
      </xdr:nvGrpSpPr>
      <xdr:grpSpPr>
        <a:xfrm>
          <a:off x="3444240" y="4114800"/>
          <a:ext cx="601980" cy="228600"/>
          <a:chOff x="3444240" y="8138160"/>
          <a:chExt cx="601980" cy="228600"/>
        </a:xfrm>
      </xdr:grpSpPr>
      <xdr:cxnSp macro="">
        <xdr:nvCxnSpPr>
          <xdr:cNvPr id="858" name="Gerader Verbinder 857">
            <a:extLst>
              <a:ext uri="{FF2B5EF4-FFF2-40B4-BE49-F238E27FC236}">
                <a16:creationId xmlns:a16="http://schemas.microsoft.com/office/drawing/2014/main" id="{1715654B-7B5B-B25E-505E-293B450696DF}"/>
              </a:ext>
            </a:extLst>
          </xdr:cNvPr>
          <xdr:cNvCxnSpPr/>
        </xdr:nvCxnSpPr>
        <xdr:spPr>
          <a:xfrm>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59" name="Gerader Verbinder 858">
            <a:extLst>
              <a:ext uri="{FF2B5EF4-FFF2-40B4-BE49-F238E27FC236}">
                <a16:creationId xmlns:a16="http://schemas.microsoft.com/office/drawing/2014/main" id="{6A284A36-2D69-8C33-1864-CAE99E78F357}"/>
              </a:ext>
            </a:extLst>
          </xdr:cNvPr>
          <xdr:cNvCxnSpPr/>
        </xdr:nvCxnSpPr>
        <xdr:spPr>
          <a:xfrm flipH="1">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869" name="Cross_F46">
          <a:extLst>
            <a:ext uri="{FF2B5EF4-FFF2-40B4-BE49-F238E27FC236}">
              <a16:creationId xmlns:a16="http://schemas.microsoft.com/office/drawing/2014/main" id="{77E1C646-4B20-9A6E-9041-77F3A9B0DFCC}"/>
            </a:ext>
          </a:extLst>
        </xdr:cNvPr>
        <xdr:cNvGrpSpPr/>
      </xdr:nvGrpSpPr>
      <xdr:grpSpPr>
        <a:xfrm>
          <a:off x="3444240" y="4343400"/>
          <a:ext cx="601980" cy="228600"/>
          <a:chOff x="3444240" y="8702040"/>
          <a:chExt cx="601980" cy="228600"/>
        </a:xfrm>
      </xdr:grpSpPr>
      <xdr:cxnSp macro="">
        <xdr:nvCxnSpPr>
          <xdr:cNvPr id="867" name="Gerader Verbinder 866">
            <a:extLst>
              <a:ext uri="{FF2B5EF4-FFF2-40B4-BE49-F238E27FC236}">
                <a16:creationId xmlns:a16="http://schemas.microsoft.com/office/drawing/2014/main" id="{A850BD66-5963-C713-F5F3-B19FFA1C1DED}"/>
              </a:ext>
            </a:extLst>
          </xdr:cNvPr>
          <xdr:cNvCxnSpPr/>
        </xdr:nvCxnSpPr>
        <xdr:spPr>
          <a:xfrm>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68" name="Gerader Verbinder 867">
            <a:extLst>
              <a:ext uri="{FF2B5EF4-FFF2-40B4-BE49-F238E27FC236}">
                <a16:creationId xmlns:a16="http://schemas.microsoft.com/office/drawing/2014/main" id="{F994F491-E897-7999-3BF3-AF330E471D4E}"/>
              </a:ext>
            </a:extLst>
          </xdr:cNvPr>
          <xdr:cNvCxnSpPr/>
        </xdr:nvCxnSpPr>
        <xdr:spPr>
          <a:xfrm flipH="1">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22</xdr:row>
      <xdr:rowOff>0</xdr:rowOff>
    </xdr:from>
    <xdr:to>
      <xdr:col>6</xdr:col>
      <xdr:colOff>0</xdr:colOff>
      <xdr:row>23</xdr:row>
      <xdr:rowOff>0</xdr:rowOff>
    </xdr:to>
    <xdr:grpSp>
      <xdr:nvGrpSpPr>
        <xdr:cNvPr id="878" name="Cross_F55">
          <a:extLst>
            <a:ext uri="{FF2B5EF4-FFF2-40B4-BE49-F238E27FC236}">
              <a16:creationId xmlns:a16="http://schemas.microsoft.com/office/drawing/2014/main" id="{6591372E-5F7F-4F5C-BF12-DE455C96EE18}"/>
            </a:ext>
          </a:extLst>
        </xdr:cNvPr>
        <xdr:cNvGrpSpPr/>
      </xdr:nvGrpSpPr>
      <xdr:grpSpPr>
        <a:xfrm>
          <a:off x="3444240" y="5029200"/>
          <a:ext cx="601980" cy="228600"/>
          <a:chOff x="3444240" y="10393680"/>
          <a:chExt cx="601980" cy="228600"/>
        </a:xfrm>
      </xdr:grpSpPr>
      <xdr:cxnSp macro="">
        <xdr:nvCxnSpPr>
          <xdr:cNvPr id="876" name="Gerader Verbinder 875">
            <a:extLst>
              <a:ext uri="{FF2B5EF4-FFF2-40B4-BE49-F238E27FC236}">
                <a16:creationId xmlns:a16="http://schemas.microsoft.com/office/drawing/2014/main" id="{463C514C-51A4-8321-71FD-C6667544AE46}"/>
              </a:ext>
            </a:extLst>
          </xdr:cNvPr>
          <xdr:cNvCxnSpPr/>
        </xdr:nvCxnSpPr>
        <xdr:spPr>
          <a:xfrm>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7" name="Gerader Verbinder 876">
            <a:extLst>
              <a:ext uri="{FF2B5EF4-FFF2-40B4-BE49-F238E27FC236}">
                <a16:creationId xmlns:a16="http://schemas.microsoft.com/office/drawing/2014/main" id="{339C30DB-1D22-95DF-D0D4-1C53066AC63A}"/>
              </a:ext>
            </a:extLst>
          </xdr:cNvPr>
          <xdr:cNvCxnSpPr/>
        </xdr:nvCxnSpPr>
        <xdr:spPr>
          <a:xfrm flipH="1">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23</xdr:row>
      <xdr:rowOff>0</xdr:rowOff>
    </xdr:from>
    <xdr:to>
      <xdr:col>6</xdr:col>
      <xdr:colOff>0</xdr:colOff>
      <xdr:row>24</xdr:row>
      <xdr:rowOff>0</xdr:rowOff>
    </xdr:to>
    <xdr:grpSp>
      <xdr:nvGrpSpPr>
        <xdr:cNvPr id="887" name="Cross_F58">
          <a:extLst>
            <a:ext uri="{FF2B5EF4-FFF2-40B4-BE49-F238E27FC236}">
              <a16:creationId xmlns:a16="http://schemas.microsoft.com/office/drawing/2014/main" id="{00FD1D06-FE43-F0D8-AC48-39D7C018915B}"/>
            </a:ext>
          </a:extLst>
        </xdr:cNvPr>
        <xdr:cNvGrpSpPr/>
      </xdr:nvGrpSpPr>
      <xdr:grpSpPr>
        <a:xfrm>
          <a:off x="3444240" y="5257800"/>
          <a:ext cx="601980" cy="228600"/>
          <a:chOff x="3444240" y="10957560"/>
          <a:chExt cx="601980" cy="228600"/>
        </a:xfrm>
      </xdr:grpSpPr>
      <xdr:cxnSp macro="">
        <xdr:nvCxnSpPr>
          <xdr:cNvPr id="885" name="Gerader Verbinder 884">
            <a:extLst>
              <a:ext uri="{FF2B5EF4-FFF2-40B4-BE49-F238E27FC236}">
                <a16:creationId xmlns:a16="http://schemas.microsoft.com/office/drawing/2014/main" id="{292ABF53-3408-A5AE-6BCB-A5C46D88159F}"/>
              </a:ext>
            </a:extLst>
          </xdr:cNvPr>
          <xdr:cNvCxnSpPr/>
        </xdr:nvCxnSpPr>
        <xdr:spPr>
          <a:xfrm>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6" name="Gerader Verbinder 885">
            <a:extLst>
              <a:ext uri="{FF2B5EF4-FFF2-40B4-BE49-F238E27FC236}">
                <a16:creationId xmlns:a16="http://schemas.microsoft.com/office/drawing/2014/main" id="{A8BCE00C-440B-4490-A7AB-FA507BFA3C20}"/>
              </a:ext>
            </a:extLst>
          </xdr:cNvPr>
          <xdr:cNvCxnSpPr/>
        </xdr:nvCxnSpPr>
        <xdr:spPr>
          <a:xfrm flipH="1">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24</xdr:row>
      <xdr:rowOff>0</xdr:rowOff>
    </xdr:from>
    <xdr:to>
      <xdr:col>6</xdr:col>
      <xdr:colOff>0</xdr:colOff>
      <xdr:row>25</xdr:row>
      <xdr:rowOff>0</xdr:rowOff>
    </xdr:to>
    <xdr:grpSp>
      <xdr:nvGrpSpPr>
        <xdr:cNvPr id="896" name="Cross_F61">
          <a:extLst>
            <a:ext uri="{FF2B5EF4-FFF2-40B4-BE49-F238E27FC236}">
              <a16:creationId xmlns:a16="http://schemas.microsoft.com/office/drawing/2014/main" id="{9EC5B6BE-353F-9CA3-D760-77DB83ED1BA6}"/>
            </a:ext>
          </a:extLst>
        </xdr:cNvPr>
        <xdr:cNvGrpSpPr/>
      </xdr:nvGrpSpPr>
      <xdr:grpSpPr>
        <a:xfrm>
          <a:off x="3444240" y="5486400"/>
          <a:ext cx="601980" cy="228600"/>
          <a:chOff x="3444240" y="11521440"/>
          <a:chExt cx="601980" cy="228600"/>
        </a:xfrm>
      </xdr:grpSpPr>
      <xdr:cxnSp macro="">
        <xdr:nvCxnSpPr>
          <xdr:cNvPr id="894" name="Gerader Verbinder 893">
            <a:extLst>
              <a:ext uri="{FF2B5EF4-FFF2-40B4-BE49-F238E27FC236}">
                <a16:creationId xmlns:a16="http://schemas.microsoft.com/office/drawing/2014/main" id="{6AEF8E2F-145D-35A0-60FD-E83B8DD0D62C}"/>
              </a:ext>
            </a:extLst>
          </xdr:cNvPr>
          <xdr:cNvCxnSpPr/>
        </xdr:nvCxnSpPr>
        <xdr:spPr>
          <a:xfrm>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5" name="Gerader Verbinder 894">
            <a:extLst>
              <a:ext uri="{FF2B5EF4-FFF2-40B4-BE49-F238E27FC236}">
                <a16:creationId xmlns:a16="http://schemas.microsoft.com/office/drawing/2014/main" id="{99D05E14-0EC3-C215-F34C-CD3158A4F7F4}"/>
              </a:ext>
            </a:extLst>
          </xdr:cNvPr>
          <xdr:cNvCxnSpPr/>
        </xdr:nvCxnSpPr>
        <xdr:spPr>
          <a:xfrm flipH="1">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905" name="Cross_F70">
          <a:extLst>
            <a:ext uri="{FF2B5EF4-FFF2-40B4-BE49-F238E27FC236}">
              <a16:creationId xmlns:a16="http://schemas.microsoft.com/office/drawing/2014/main" id="{38E08E71-D1B9-D123-A000-A636E7694A92}"/>
            </a:ext>
          </a:extLst>
        </xdr:cNvPr>
        <xdr:cNvGrpSpPr/>
      </xdr:nvGrpSpPr>
      <xdr:grpSpPr>
        <a:xfrm>
          <a:off x="3444240" y="6172200"/>
          <a:ext cx="601980" cy="228600"/>
          <a:chOff x="3444240" y="13213080"/>
          <a:chExt cx="601980" cy="228600"/>
        </a:xfrm>
      </xdr:grpSpPr>
      <xdr:cxnSp macro="">
        <xdr:nvCxnSpPr>
          <xdr:cNvPr id="903" name="Gerader Verbinder 902">
            <a:extLst>
              <a:ext uri="{FF2B5EF4-FFF2-40B4-BE49-F238E27FC236}">
                <a16:creationId xmlns:a16="http://schemas.microsoft.com/office/drawing/2014/main" id="{9C548647-E803-E034-BC04-7AD4B8202B63}"/>
              </a:ext>
            </a:extLst>
          </xdr:cNvPr>
          <xdr:cNvCxnSpPr/>
        </xdr:nvCxnSpPr>
        <xdr:spPr>
          <a:xfrm>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4" name="Gerader Verbinder 903">
            <a:extLst>
              <a:ext uri="{FF2B5EF4-FFF2-40B4-BE49-F238E27FC236}">
                <a16:creationId xmlns:a16="http://schemas.microsoft.com/office/drawing/2014/main" id="{0A127906-F3AE-9CA4-CF95-D08567691A24}"/>
              </a:ext>
            </a:extLst>
          </xdr:cNvPr>
          <xdr:cNvCxnSpPr/>
        </xdr:nvCxnSpPr>
        <xdr:spPr>
          <a:xfrm flipH="1">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28</xdr:row>
      <xdr:rowOff>1</xdr:rowOff>
    </xdr:to>
    <xdr:grpSp>
      <xdr:nvGrpSpPr>
        <xdr:cNvPr id="911" name="Cross_F72">
          <a:extLst>
            <a:ext uri="{FF2B5EF4-FFF2-40B4-BE49-F238E27FC236}">
              <a16:creationId xmlns:a16="http://schemas.microsoft.com/office/drawing/2014/main" id="{0064C1C4-C634-C8AE-8612-4407CB869762}"/>
            </a:ext>
          </a:extLst>
        </xdr:cNvPr>
        <xdr:cNvGrpSpPr/>
      </xdr:nvGrpSpPr>
      <xdr:grpSpPr>
        <a:xfrm>
          <a:off x="3444240" y="6400800"/>
          <a:ext cx="601980" cy="1"/>
          <a:chOff x="3444240" y="13609320"/>
          <a:chExt cx="601980" cy="167641"/>
        </a:xfrm>
      </xdr:grpSpPr>
      <xdr:cxnSp macro="">
        <xdr:nvCxnSpPr>
          <xdr:cNvPr id="909" name="Gerader Verbinder 908">
            <a:extLst>
              <a:ext uri="{FF2B5EF4-FFF2-40B4-BE49-F238E27FC236}">
                <a16:creationId xmlns:a16="http://schemas.microsoft.com/office/drawing/2014/main" id="{B4CE3A1B-4EC7-231B-5431-CAEE6027BB98}"/>
              </a:ext>
            </a:extLst>
          </xdr:cNvPr>
          <xdr:cNvCxnSpPr/>
        </xdr:nvCxnSpPr>
        <xdr:spPr>
          <a:xfrm>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0" name="Gerader Verbinder 909">
            <a:extLst>
              <a:ext uri="{FF2B5EF4-FFF2-40B4-BE49-F238E27FC236}">
                <a16:creationId xmlns:a16="http://schemas.microsoft.com/office/drawing/2014/main" id="{F7D77434-7947-06A3-C861-D31BF6284EE9}"/>
              </a:ext>
            </a:extLst>
          </xdr:cNvPr>
          <xdr:cNvCxnSpPr/>
        </xdr:nvCxnSpPr>
        <xdr:spPr>
          <a:xfrm flipH="1">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1</xdr:rowOff>
    </xdr:from>
    <xdr:to>
      <xdr:col>6</xdr:col>
      <xdr:colOff>0</xdr:colOff>
      <xdr:row>29</xdr:row>
      <xdr:rowOff>0</xdr:rowOff>
    </xdr:to>
    <xdr:grpSp>
      <xdr:nvGrpSpPr>
        <xdr:cNvPr id="914" name="Cross_F73">
          <a:extLst>
            <a:ext uri="{FF2B5EF4-FFF2-40B4-BE49-F238E27FC236}">
              <a16:creationId xmlns:a16="http://schemas.microsoft.com/office/drawing/2014/main" id="{475FBA9F-CAA8-D395-6B22-5ABC21D31914}"/>
            </a:ext>
          </a:extLst>
        </xdr:cNvPr>
        <xdr:cNvGrpSpPr/>
      </xdr:nvGrpSpPr>
      <xdr:grpSpPr>
        <a:xfrm>
          <a:off x="3444240" y="6400801"/>
          <a:ext cx="601980" cy="228599"/>
          <a:chOff x="3444240" y="13776961"/>
          <a:chExt cx="601980" cy="228600"/>
        </a:xfrm>
      </xdr:grpSpPr>
      <xdr:cxnSp macro="">
        <xdr:nvCxnSpPr>
          <xdr:cNvPr id="912" name="Gerader Verbinder 911">
            <a:extLst>
              <a:ext uri="{FF2B5EF4-FFF2-40B4-BE49-F238E27FC236}">
                <a16:creationId xmlns:a16="http://schemas.microsoft.com/office/drawing/2014/main" id="{82EBC488-7F40-8DF9-F654-061AAECC9265}"/>
              </a:ext>
            </a:extLst>
          </xdr:cNvPr>
          <xdr:cNvCxnSpPr/>
        </xdr:nvCxnSpPr>
        <xdr:spPr>
          <a:xfrm>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3" name="Gerader Verbinder 912">
            <a:extLst>
              <a:ext uri="{FF2B5EF4-FFF2-40B4-BE49-F238E27FC236}">
                <a16:creationId xmlns:a16="http://schemas.microsoft.com/office/drawing/2014/main" id="{48A827E9-B0DC-520D-D3B7-31FC9A4E89A9}"/>
              </a:ext>
            </a:extLst>
          </xdr:cNvPr>
          <xdr:cNvCxnSpPr/>
        </xdr:nvCxnSpPr>
        <xdr:spPr>
          <a:xfrm flipH="1">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923" name="Cross_G7">
          <a:extLst>
            <a:ext uri="{FF2B5EF4-FFF2-40B4-BE49-F238E27FC236}">
              <a16:creationId xmlns:a16="http://schemas.microsoft.com/office/drawing/2014/main" id="{1FDF59E8-D3E5-1778-0A24-B7ACE1173494}"/>
            </a:ext>
          </a:extLst>
        </xdr:cNvPr>
        <xdr:cNvGrpSpPr/>
      </xdr:nvGrpSpPr>
      <xdr:grpSpPr>
        <a:xfrm>
          <a:off x="4046220" y="1371600"/>
          <a:ext cx="601980" cy="228600"/>
          <a:chOff x="4046220" y="1371600"/>
          <a:chExt cx="601980" cy="228600"/>
        </a:xfrm>
      </xdr:grpSpPr>
      <xdr:cxnSp macro="">
        <xdr:nvCxnSpPr>
          <xdr:cNvPr id="921" name="Gerader Verbinder 920">
            <a:extLst>
              <a:ext uri="{FF2B5EF4-FFF2-40B4-BE49-F238E27FC236}">
                <a16:creationId xmlns:a16="http://schemas.microsoft.com/office/drawing/2014/main" id="{BAE45FBF-7550-A8CC-E5BB-8841247A8086}"/>
              </a:ext>
            </a:extLst>
          </xdr:cNvPr>
          <xdr:cNvCxnSpPr/>
        </xdr:nvCxnSpPr>
        <xdr:spPr>
          <a:xfrm>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2" name="Gerader Verbinder 921">
            <a:extLst>
              <a:ext uri="{FF2B5EF4-FFF2-40B4-BE49-F238E27FC236}">
                <a16:creationId xmlns:a16="http://schemas.microsoft.com/office/drawing/2014/main" id="{E5227D33-7770-8484-FF9C-CD9D0953D147}"/>
              </a:ext>
            </a:extLst>
          </xdr:cNvPr>
          <xdr:cNvCxnSpPr/>
        </xdr:nvCxnSpPr>
        <xdr:spPr>
          <a:xfrm flipH="1">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9</xdr:row>
      <xdr:rowOff>0</xdr:rowOff>
    </xdr:from>
    <xdr:to>
      <xdr:col>7</xdr:col>
      <xdr:colOff>0</xdr:colOff>
      <xdr:row>10</xdr:row>
      <xdr:rowOff>0</xdr:rowOff>
    </xdr:to>
    <xdr:grpSp>
      <xdr:nvGrpSpPr>
        <xdr:cNvPr id="932" name="Cross_G16">
          <a:extLst>
            <a:ext uri="{FF2B5EF4-FFF2-40B4-BE49-F238E27FC236}">
              <a16:creationId xmlns:a16="http://schemas.microsoft.com/office/drawing/2014/main" id="{621207B7-AB07-EC12-DCFA-BEB5BA88C796}"/>
            </a:ext>
          </a:extLst>
        </xdr:cNvPr>
        <xdr:cNvGrpSpPr/>
      </xdr:nvGrpSpPr>
      <xdr:grpSpPr>
        <a:xfrm>
          <a:off x="4046220" y="2057400"/>
          <a:ext cx="601980" cy="228600"/>
          <a:chOff x="4046220" y="3063240"/>
          <a:chExt cx="601980" cy="228600"/>
        </a:xfrm>
      </xdr:grpSpPr>
      <xdr:cxnSp macro="">
        <xdr:nvCxnSpPr>
          <xdr:cNvPr id="930" name="Gerader Verbinder 929">
            <a:extLst>
              <a:ext uri="{FF2B5EF4-FFF2-40B4-BE49-F238E27FC236}">
                <a16:creationId xmlns:a16="http://schemas.microsoft.com/office/drawing/2014/main" id="{A07FBFD5-F9D2-5539-2B87-58DE9395A750}"/>
              </a:ext>
            </a:extLst>
          </xdr:cNvPr>
          <xdr:cNvCxnSpPr/>
        </xdr:nvCxnSpPr>
        <xdr:spPr>
          <a:xfrm>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31" name="Gerader Verbinder 930">
            <a:extLst>
              <a:ext uri="{FF2B5EF4-FFF2-40B4-BE49-F238E27FC236}">
                <a16:creationId xmlns:a16="http://schemas.microsoft.com/office/drawing/2014/main" id="{4230C8DD-913E-760A-DBA9-3B5BD32A2EC6}"/>
              </a:ext>
            </a:extLst>
          </xdr:cNvPr>
          <xdr:cNvCxnSpPr/>
        </xdr:nvCxnSpPr>
        <xdr:spPr>
          <a:xfrm flipH="1">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12</xdr:row>
      <xdr:rowOff>0</xdr:rowOff>
    </xdr:from>
    <xdr:to>
      <xdr:col>7</xdr:col>
      <xdr:colOff>0</xdr:colOff>
      <xdr:row>13</xdr:row>
      <xdr:rowOff>0</xdr:rowOff>
    </xdr:to>
    <xdr:grpSp>
      <xdr:nvGrpSpPr>
        <xdr:cNvPr id="941" name="Cross_G25">
          <a:extLst>
            <a:ext uri="{FF2B5EF4-FFF2-40B4-BE49-F238E27FC236}">
              <a16:creationId xmlns:a16="http://schemas.microsoft.com/office/drawing/2014/main" id="{A7A2176F-3A22-D93C-00EA-35786345C0AA}"/>
            </a:ext>
          </a:extLst>
        </xdr:cNvPr>
        <xdr:cNvGrpSpPr/>
      </xdr:nvGrpSpPr>
      <xdr:grpSpPr>
        <a:xfrm>
          <a:off x="4046220" y="2743200"/>
          <a:ext cx="601980" cy="228600"/>
          <a:chOff x="4046220" y="4754880"/>
          <a:chExt cx="601980" cy="228600"/>
        </a:xfrm>
      </xdr:grpSpPr>
      <xdr:cxnSp macro="">
        <xdr:nvCxnSpPr>
          <xdr:cNvPr id="939" name="Gerader Verbinder 938">
            <a:extLst>
              <a:ext uri="{FF2B5EF4-FFF2-40B4-BE49-F238E27FC236}">
                <a16:creationId xmlns:a16="http://schemas.microsoft.com/office/drawing/2014/main" id="{947016AB-FF47-F729-FCD1-BE0B7BBE3A8F}"/>
              </a:ext>
            </a:extLst>
          </xdr:cNvPr>
          <xdr:cNvCxnSpPr/>
        </xdr:nvCxnSpPr>
        <xdr:spPr>
          <a:xfrm>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40" name="Gerader Verbinder 939">
            <a:extLst>
              <a:ext uri="{FF2B5EF4-FFF2-40B4-BE49-F238E27FC236}">
                <a16:creationId xmlns:a16="http://schemas.microsoft.com/office/drawing/2014/main" id="{682E45F5-AC7F-D490-38AD-417A8DED4ED8}"/>
              </a:ext>
            </a:extLst>
          </xdr:cNvPr>
          <xdr:cNvCxnSpPr/>
        </xdr:nvCxnSpPr>
        <xdr:spPr>
          <a:xfrm flipH="1">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14</xdr:row>
      <xdr:rowOff>0</xdr:rowOff>
    </xdr:from>
    <xdr:to>
      <xdr:col>7</xdr:col>
      <xdr:colOff>0</xdr:colOff>
      <xdr:row>15</xdr:row>
      <xdr:rowOff>0</xdr:rowOff>
    </xdr:to>
    <xdr:grpSp>
      <xdr:nvGrpSpPr>
        <xdr:cNvPr id="950" name="Cross_G31">
          <a:extLst>
            <a:ext uri="{FF2B5EF4-FFF2-40B4-BE49-F238E27FC236}">
              <a16:creationId xmlns:a16="http://schemas.microsoft.com/office/drawing/2014/main" id="{58A55EC7-1E2A-A0B0-161F-EC72AC036478}"/>
            </a:ext>
          </a:extLst>
        </xdr:cNvPr>
        <xdr:cNvGrpSpPr/>
      </xdr:nvGrpSpPr>
      <xdr:grpSpPr>
        <a:xfrm>
          <a:off x="4046220" y="3200400"/>
          <a:ext cx="601980" cy="228600"/>
          <a:chOff x="4046220" y="5882640"/>
          <a:chExt cx="601980" cy="228600"/>
        </a:xfrm>
      </xdr:grpSpPr>
      <xdr:cxnSp macro="">
        <xdr:nvCxnSpPr>
          <xdr:cNvPr id="948" name="Gerader Verbinder 947">
            <a:extLst>
              <a:ext uri="{FF2B5EF4-FFF2-40B4-BE49-F238E27FC236}">
                <a16:creationId xmlns:a16="http://schemas.microsoft.com/office/drawing/2014/main" id="{BFA3C3D7-ED37-94E3-90C5-2EDF337C24E4}"/>
              </a:ext>
            </a:extLst>
          </xdr:cNvPr>
          <xdr:cNvCxnSpPr/>
        </xdr:nvCxnSpPr>
        <xdr:spPr>
          <a:xfrm>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49" name="Gerader Verbinder 948">
            <a:extLst>
              <a:ext uri="{FF2B5EF4-FFF2-40B4-BE49-F238E27FC236}">
                <a16:creationId xmlns:a16="http://schemas.microsoft.com/office/drawing/2014/main" id="{BD7BABB2-751C-5F4D-D88C-9573E4C787E2}"/>
              </a:ext>
            </a:extLst>
          </xdr:cNvPr>
          <xdr:cNvCxnSpPr/>
        </xdr:nvCxnSpPr>
        <xdr:spPr>
          <a:xfrm flipH="1">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18</xdr:row>
      <xdr:rowOff>0</xdr:rowOff>
    </xdr:from>
    <xdr:to>
      <xdr:col>7</xdr:col>
      <xdr:colOff>0</xdr:colOff>
      <xdr:row>19</xdr:row>
      <xdr:rowOff>0</xdr:rowOff>
    </xdr:to>
    <xdr:grpSp>
      <xdr:nvGrpSpPr>
        <xdr:cNvPr id="959" name="Cross_G43">
          <a:extLst>
            <a:ext uri="{FF2B5EF4-FFF2-40B4-BE49-F238E27FC236}">
              <a16:creationId xmlns:a16="http://schemas.microsoft.com/office/drawing/2014/main" id="{37724C27-C8B0-858A-0A34-205DD27F968F}"/>
            </a:ext>
          </a:extLst>
        </xdr:cNvPr>
        <xdr:cNvGrpSpPr/>
      </xdr:nvGrpSpPr>
      <xdr:grpSpPr>
        <a:xfrm>
          <a:off x="4046220" y="4114800"/>
          <a:ext cx="601980" cy="228600"/>
          <a:chOff x="4046220" y="8138160"/>
          <a:chExt cx="601980" cy="228600"/>
        </a:xfrm>
      </xdr:grpSpPr>
      <xdr:cxnSp macro="">
        <xdr:nvCxnSpPr>
          <xdr:cNvPr id="957" name="Gerader Verbinder 956">
            <a:extLst>
              <a:ext uri="{FF2B5EF4-FFF2-40B4-BE49-F238E27FC236}">
                <a16:creationId xmlns:a16="http://schemas.microsoft.com/office/drawing/2014/main" id="{4F093AD3-D0BC-D629-77C3-E3E364728299}"/>
              </a:ext>
            </a:extLst>
          </xdr:cNvPr>
          <xdr:cNvCxnSpPr/>
        </xdr:nvCxnSpPr>
        <xdr:spPr>
          <a:xfrm>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58" name="Gerader Verbinder 957">
            <a:extLst>
              <a:ext uri="{FF2B5EF4-FFF2-40B4-BE49-F238E27FC236}">
                <a16:creationId xmlns:a16="http://schemas.microsoft.com/office/drawing/2014/main" id="{C6684681-609B-7ABA-E0FB-C36F2469EB6B}"/>
              </a:ext>
            </a:extLst>
          </xdr:cNvPr>
          <xdr:cNvCxnSpPr/>
        </xdr:nvCxnSpPr>
        <xdr:spPr>
          <a:xfrm flipH="1">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20</xdr:row>
      <xdr:rowOff>0</xdr:rowOff>
    </xdr:from>
    <xdr:to>
      <xdr:col>7</xdr:col>
      <xdr:colOff>0</xdr:colOff>
      <xdr:row>21</xdr:row>
      <xdr:rowOff>0</xdr:rowOff>
    </xdr:to>
    <xdr:grpSp>
      <xdr:nvGrpSpPr>
        <xdr:cNvPr id="968" name="Cross_G49">
          <a:extLst>
            <a:ext uri="{FF2B5EF4-FFF2-40B4-BE49-F238E27FC236}">
              <a16:creationId xmlns:a16="http://schemas.microsoft.com/office/drawing/2014/main" id="{7B0E4725-F91D-F490-F08F-40B99863BD52}"/>
            </a:ext>
          </a:extLst>
        </xdr:cNvPr>
        <xdr:cNvGrpSpPr/>
      </xdr:nvGrpSpPr>
      <xdr:grpSpPr>
        <a:xfrm>
          <a:off x="4046220" y="4572000"/>
          <a:ext cx="601980" cy="228600"/>
          <a:chOff x="4046220" y="9265920"/>
          <a:chExt cx="601980" cy="228600"/>
        </a:xfrm>
      </xdr:grpSpPr>
      <xdr:cxnSp macro="">
        <xdr:nvCxnSpPr>
          <xdr:cNvPr id="966" name="Gerader Verbinder 965">
            <a:extLst>
              <a:ext uri="{FF2B5EF4-FFF2-40B4-BE49-F238E27FC236}">
                <a16:creationId xmlns:a16="http://schemas.microsoft.com/office/drawing/2014/main" id="{0C0E7E1D-34E8-6ABC-056D-D09275C24FD0}"/>
              </a:ext>
            </a:extLst>
          </xdr:cNvPr>
          <xdr:cNvCxnSpPr/>
        </xdr:nvCxnSpPr>
        <xdr:spPr>
          <a:xfrm>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67" name="Gerader Verbinder 966">
            <a:extLst>
              <a:ext uri="{FF2B5EF4-FFF2-40B4-BE49-F238E27FC236}">
                <a16:creationId xmlns:a16="http://schemas.microsoft.com/office/drawing/2014/main" id="{1F58027E-9367-DFBA-278A-E13774CBE8B9}"/>
              </a:ext>
            </a:extLst>
          </xdr:cNvPr>
          <xdr:cNvCxnSpPr/>
        </xdr:nvCxnSpPr>
        <xdr:spPr>
          <a:xfrm flipH="1">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977" name="Cross_G64">
          <a:extLst>
            <a:ext uri="{FF2B5EF4-FFF2-40B4-BE49-F238E27FC236}">
              <a16:creationId xmlns:a16="http://schemas.microsoft.com/office/drawing/2014/main" id="{1B8C9CE0-7555-DDCD-307E-4288AF5417B0}"/>
            </a:ext>
          </a:extLst>
        </xdr:cNvPr>
        <xdr:cNvGrpSpPr/>
      </xdr:nvGrpSpPr>
      <xdr:grpSpPr>
        <a:xfrm>
          <a:off x="4046220" y="5715000"/>
          <a:ext cx="601980" cy="228600"/>
          <a:chOff x="4046220" y="12085320"/>
          <a:chExt cx="601980" cy="228600"/>
        </a:xfrm>
      </xdr:grpSpPr>
      <xdr:cxnSp macro="">
        <xdr:nvCxnSpPr>
          <xdr:cNvPr id="975" name="Gerader Verbinder 974">
            <a:extLst>
              <a:ext uri="{FF2B5EF4-FFF2-40B4-BE49-F238E27FC236}">
                <a16:creationId xmlns:a16="http://schemas.microsoft.com/office/drawing/2014/main" id="{86B9EBB0-EBA1-AE0F-F31A-BD9C034662B1}"/>
              </a:ext>
            </a:extLst>
          </xdr:cNvPr>
          <xdr:cNvCxnSpPr/>
        </xdr:nvCxnSpPr>
        <xdr:spPr>
          <a:xfrm>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76" name="Gerader Verbinder 975">
            <a:extLst>
              <a:ext uri="{FF2B5EF4-FFF2-40B4-BE49-F238E27FC236}">
                <a16:creationId xmlns:a16="http://schemas.microsoft.com/office/drawing/2014/main" id="{A5DE4B3A-7C97-9CD0-708E-B0B4CA35EF88}"/>
              </a:ext>
            </a:extLst>
          </xdr:cNvPr>
          <xdr:cNvCxnSpPr/>
        </xdr:nvCxnSpPr>
        <xdr:spPr>
          <a:xfrm flipH="1">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986" name="Cross_G67">
          <a:extLst>
            <a:ext uri="{FF2B5EF4-FFF2-40B4-BE49-F238E27FC236}">
              <a16:creationId xmlns:a16="http://schemas.microsoft.com/office/drawing/2014/main" id="{6DA63C0D-5BD5-274E-8839-ED4C2F64F891}"/>
            </a:ext>
          </a:extLst>
        </xdr:cNvPr>
        <xdr:cNvGrpSpPr/>
      </xdr:nvGrpSpPr>
      <xdr:grpSpPr>
        <a:xfrm>
          <a:off x="4046220" y="5943600"/>
          <a:ext cx="601980" cy="228600"/>
          <a:chOff x="4046220" y="12649200"/>
          <a:chExt cx="601980" cy="228600"/>
        </a:xfrm>
      </xdr:grpSpPr>
      <xdr:cxnSp macro="">
        <xdr:nvCxnSpPr>
          <xdr:cNvPr id="984" name="Gerader Verbinder 983">
            <a:extLst>
              <a:ext uri="{FF2B5EF4-FFF2-40B4-BE49-F238E27FC236}">
                <a16:creationId xmlns:a16="http://schemas.microsoft.com/office/drawing/2014/main" id="{7A455405-EC07-D6FB-3B20-516AB27EF5AA}"/>
              </a:ext>
            </a:extLst>
          </xdr:cNvPr>
          <xdr:cNvCxnSpPr/>
        </xdr:nvCxnSpPr>
        <xdr:spPr>
          <a:xfrm>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85" name="Gerader Verbinder 984">
            <a:extLst>
              <a:ext uri="{FF2B5EF4-FFF2-40B4-BE49-F238E27FC236}">
                <a16:creationId xmlns:a16="http://schemas.microsoft.com/office/drawing/2014/main" id="{98EE45F5-363E-D331-7124-ACE776338AA4}"/>
              </a:ext>
            </a:extLst>
          </xdr:cNvPr>
          <xdr:cNvCxnSpPr/>
        </xdr:nvCxnSpPr>
        <xdr:spPr>
          <a:xfrm flipH="1">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27</xdr:row>
      <xdr:rowOff>0</xdr:rowOff>
    </xdr:from>
    <xdr:to>
      <xdr:col>7</xdr:col>
      <xdr:colOff>0</xdr:colOff>
      <xdr:row>28</xdr:row>
      <xdr:rowOff>0</xdr:rowOff>
    </xdr:to>
    <xdr:grpSp>
      <xdr:nvGrpSpPr>
        <xdr:cNvPr id="995" name="Cross_G70">
          <a:extLst>
            <a:ext uri="{FF2B5EF4-FFF2-40B4-BE49-F238E27FC236}">
              <a16:creationId xmlns:a16="http://schemas.microsoft.com/office/drawing/2014/main" id="{5108C646-AC6C-2682-95F3-2268D80CE3D0}"/>
            </a:ext>
          </a:extLst>
        </xdr:cNvPr>
        <xdr:cNvGrpSpPr/>
      </xdr:nvGrpSpPr>
      <xdr:grpSpPr>
        <a:xfrm>
          <a:off x="4046220" y="6172200"/>
          <a:ext cx="601980" cy="228600"/>
          <a:chOff x="4046220" y="13213080"/>
          <a:chExt cx="601980" cy="228600"/>
        </a:xfrm>
      </xdr:grpSpPr>
      <xdr:cxnSp macro="">
        <xdr:nvCxnSpPr>
          <xdr:cNvPr id="993" name="Gerader Verbinder 992">
            <a:extLst>
              <a:ext uri="{FF2B5EF4-FFF2-40B4-BE49-F238E27FC236}">
                <a16:creationId xmlns:a16="http://schemas.microsoft.com/office/drawing/2014/main" id="{05FD1432-4525-8CF3-8F5B-BE2B8E869E64}"/>
              </a:ext>
            </a:extLst>
          </xdr:cNvPr>
          <xdr:cNvCxnSpPr/>
        </xdr:nvCxnSpPr>
        <xdr:spPr>
          <a:xfrm>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94" name="Gerader Verbinder 993">
            <a:extLst>
              <a:ext uri="{FF2B5EF4-FFF2-40B4-BE49-F238E27FC236}">
                <a16:creationId xmlns:a16="http://schemas.microsoft.com/office/drawing/2014/main" id="{E1487712-37F6-EEE6-B1B7-8AAC14E218DE}"/>
              </a:ext>
            </a:extLst>
          </xdr:cNvPr>
          <xdr:cNvCxnSpPr/>
        </xdr:nvCxnSpPr>
        <xdr:spPr>
          <a:xfrm flipH="1">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28</xdr:row>
      <xdr:rowOff>0</xdr:rowOff>
    </xdr:from>
    <xdr:to>
      <xdr:col>7</xdr:col>
      <xdr:colOff>0</xdr:colOff>
      <xdr:row>28</xdr:row>
      <xdr:rowOff>1</xdr:rowOff>
    </xdr:to>
    <xdr:grpSp>
      <xdr:nvGrpSpPr>
        <xdr:cNvPr id="1001" name="Cross_G72">
          <a:extLst>
            <a:ext uri="{FF2B5EF4-FFF2-40B4-BE49-F238E27FC236}">
              <a16:creationId xmlns:a16="http://schemas.microsoft.com/office/drawing/2014/main" id="{6DA576F0-70B1-A90A-814A-E988FB752DA9}"/>
            </a:ext>
          </a:extLst>
        </xdr:cNvPr>
        <xdr:cNvGrpSpPr/>
      </xdr:nvGrpSpPr>
      <xdr:grpSpPr>
        <a:xfrm>
          <a:off x="4046220" y="6400800"/>
          <a:ext cx="601980" cy="1"/>
          <a:chOff x="4046220" y="13609320"/>
          <a:chExt cx="601980" cy="167641"/>
        </a:xfrm>
      </xdr:grpSpPr>
      <xdr:cxnSp macro="">
        <xdr:nvCxnSpPr>
          <xdr:cNvPr id="999" name="Gerader Verbinder 998">
            <a:extLst>
              <a:ext uri="{FF2B5EF4-FFF2-40B4-BE49-F238E27FC236}">
                <a16:creationId xmlns:a16="http://schemas.microsoft.com/office/drawing/2014/main" id="{4781DB54-30B2-959D-2430-B2D09F0BABD4}"/>
              </a:ext>
            </a:extLst>
          </xdr:cNvPr>
          <xdr:cNvCxnSpPr/>
        </xdr:nvCxnSpPr>
        <xdr:spPr>
          <a:xfrm>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00" name="Gerader Verbinder 999">
            <a:extLst>
              <a:ext uri="{FF2B5EF4-FFF2-40B4-BE49-F238E27FC236}">
                <a16:creationId xmlns:a16="http://schemas.microsoft.com/office/drawing/2014/main" id="{97E751E2-E31F-4C86-C4ED-0C6900E7A728}"/>
              </a:ext>
            </a:extLst>
          </xdr:cNvPr>
          <xdr:cNvCxnSpPr/>
        </xdr:nvCxnSpPr>
        <xdr:spPr>
          <a:xfrm flipH="1">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1004" name="Cross_H7">
          <a:extLst>
            <a:ext uri="{FF2B5EF4-FFF2-40B4-BE49-F238E27FC236}">
              <a16:creationId xmlns:a16="http://schemas.microsoft.com/office/drawing/2014/main" id="{37A2DA5D-2C13-BA62-98E6-530CFEEB838C}"/>
            </a:ext>
          </a:extLst>
        </xdr:cNvPr>
        <xdr:cNvGrpSpPr/>
      </xdr:nvGrpSpPr>
      <xdr:grpSpPr>
        <a:xfrm>
          <a:off x="4648200" y="1371600"/>
          <a:ext cx="601980" cy="228600"/>
          <a:chOff x="4648200" y="1371600"/>
          <a:chExt cx="601980" cy="228600"/>
        </a:xfrm>
      </xdr:grpSpPr>
      <xdr:cxnSp macro="">
        <xdr:nvCxnSpPr>
          <xdr:cNvPr id="1002" name="Gerader Verbinder 1001">
            <a:extLst>
              <a:ext uri="{FF2B5EF4-FFF2-40B4-BE49-F238E27FC236}">
                <a16:creationId xmlns:a16="http://schemas.microsoft.com/office/drawing/2014/main" id="{BBDA0A77-8984-6CCC-B914-8B2B72183B57}"/>
              </a:ext>
            </a:extLst>
          </xdr:cNvPr>
          <xdr:cNvCxnSpPr/>
        </xdr:nvCxnSpPr>
        <xdr:spPr>
          <a:xfrm>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03" name="Gerader Verbinder 1002">
            <a:extLst>
              <a:ext uri="{FF2B5EF4-FFF2-40B4-BE49-F238E27FC236}">
                <a16:creationId xmlns:a16="http://schemas.microsoft.com/office/drawing/2014/main" id="{15577364-1BDD-767C-EB7F-EBE698B367E9}"/>
              </a:ext>
            </a:extLst>
          </xdr:cNvPr>
          <xdr:cNvCxnSpPr/>
        </xdr:nvCxnSpPr>
        <xdr:spPr>
          <a:xfrm flipH="1">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1013" name="Cross_H10">
          <a:extLst>
            <a:ext uri="{FF2B5EF4-FFF2-40B4-BE49-F238E27FC236}">
              <a16:creationId xmlns:a16="http://schemas.microsoft.com/office/drawing/2014/main" id="{D120342D-EC85-089D-6E01-BE3443BA20D9}"/>
            </a:ext>
          </a:extLst>
        </xdr:cNvPr>
        <xdr:cNvGrpSpPr/>
      </xdr:nvGrpSpPr>
      <xdr:grpSpPr>
        <a:xfrm>
          <a:off x="4648200" y="1600200"/>
          <a:ext cx="601980" cy="228600"/>
          <a:chOff x="4648200" y="1935480"/>
          <a:chExt cx="601980" cy="228600"/>
        </a:xfrm>
      </xdr:grpSpPr>
      <xdr:cxnSp macro="">
        <xdr:nvCxnSpPr>
          <xdr:cNvPr id="1011" name="Gerader Verbinder 1010">
            <a:extLst>
              <a:ext uri="{FF2B5EF4-FFF2-40B4-BE49-F238E27FC236}">
                <a16:creationId xmlns:a16="http://schemas.microsoft.com/office/drawing/2014/main" id="{F7D9E4BF-D97E-D836-5D52-4F7FF065CEAB}"/>
              </a:ext>
            </a:extLst>
          </xdr:cNvPr>
          <xdr:cNvCxnSpPr/>
        </xdr:nvCxnSpPr>
        <xdr:spPr>
          <a:xfrm>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12" name="Gerader Verbinder 1011">
            <a:extLst>
              <a:ext uri="{FF2B5EF4-FFF2-40B4-BE49-F238E27FC236}">
                <a16:creationId xmlns:a16="http://schemas.microsoft.com/office/drawing/2014/main" id="{D0F37D3F-A1E4-7AC6-49B0-C5FF7D52B266}"/>
              </a:ext>
            </a:extLst>
          </xdr:cNvPr>
          <xdr:cNvCxnSpPr/>
        </xdr:nvCxnSpPr>
        <xdr:spPr>
          <a:xfrm flipH="1">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1022" name="Cross_H16">
          <a:extLst>
            <a:ext uri="{FF2B5EF4-FFF2-40B4-BE49-F238E27FC236}">
              <a16:creationId xmlns:a16="http://schemas.microsoft.com/office/drawing/2014/main" id="{C6E2D1A2-073F-2D14-526A-D0B8B59D79CA}"/>
            </a:ext>
          </a:extLst>
        </xdr:cNvPr>
        <xdr:cNvGrpSpPr/>
      </xdr:nvGrpSpPr>
      <xdr:grpSpPr>
        <a:xfrm>
          <a:off x="4648200" y="2057400"/>
          <a:ext cx="601980" cy="228600"/>
          <a:chOff x="4648200" y="3063240"/>
          <a:chExt cx="601980" cy="228600"/>
        </a:xfrm>
      </xdr:grpSpPr>
      <xdr:cxnSp macro="">
        <xdr:nvCxnSpPr>
          <xdr:cNvPr id="1020" name="Gerader Verbinder 1019">
            <a:extLst>
              <a:ext uri="{FF2B5EF4-FFF2-40B4-BE49-F238E27FC236}">
                <a16:creationId xmlns:a16="http://schemas.microsoft.com/office/drawing/2014/main" id="{23C8AE05-3DDB-42FF-008F-DD8E7F72A0C0}"/>
              </a:ext>
            </a:extLst>
          </xdr:cNvPr>
          <xdr:cNvCxnSpPr/>
        </xdr:nvCxnSpPr>
        <xdr:spPr>
          <a:xfrm>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21" name="Gerader Verbinder 1020">
            <a:extLst>
              <a:ext uri="{FF2B5EF4-FFF2-40B4-BE49-F238E27FC236}">
                <a16:creationId xmlns:a16="http://schemas.microsoft.com/office/drawing/2014/main" id="{6AE22AC4-CB2F-A8F2-6478-BD074141E965}"/>
              </a:ext>
            </a:extLst>
          </xdr:cNvPr>
          <xdr:cNvCxnSpPr/>
        </xdr:nvCxnSpPr>
        <xdr:spPr>
          <a:xfrm flipH="1">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1031" name="Cross_H19">
          <a:extLst>
            <a:ext uri="{FF2B5EF4-FFF2-40B4-BE49-F238E27FC236}">
              <a16:creationId xmlns:a16="http://schemas.microsoft.com/office/drawing/2014/main" id="{A0452144-9F2E-3A09-D996-2219D9AFA52F}"/>
            </a:ext>
          </a:extLst>
        </xdr:cNvPr>
        <xdr:cNvGrpSpPr/>
      </xdr:nvGrpSpPr>
      <xdr:grpSpPr>
        <a:xfrm>
          <a:off x="4648200" y="2286000"/>
          <a:ext cx="601980" cy="228600"/>
          <a:chOff x="4648200" y="3627120"/>
          <a:chExt cx="601980" cy="228600"/>
        </a:xfrm>
      </xdr:grpSpPr>
      <xdr:cxnSp macro="">
        <xdr:nvCxnSpPr>
          <xdr:cNvPr id="1029" name="Gerader Verbinder 1028">
            <a:extLst>
              <a:ext uri="{FF2B5EF4-FFF2-40B4-BE49-F238E27FC236}">
                <a16:creationId xmlns:a16="http://schemas.microsoft.com/office/drawing/2014/main" id="{9FEFA91D-7A32-4514-B1B6-3A332F3511DB}"/>
              </a:ext>
            </a:extLst>
          </xdr:cNvPr>
          <xdr:cNvCxnSpPr/>
        </xdr:nvCxnSpPr>
        <xdr:spPr>
          <a:xfrm>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30" name="Gerader Verbinder 1029">
            <a:extLst>
              <a:ext uri="{FF2B5EF4-FFF2-40B4-BE49-F238E27FC236}">
                <a16:creationId xmlns:a16="http://schemas.microsoft.com/office/drawing/2014/main" id="{30F979A3-7F51-4B8F-E7F1-F767CF92EC43}"/>
              </a:ext>
            </a:extLst>
          </xdr:cNvPr>
          <xdr:cNvCxnSpPr/>
        </xdr:nvCxnSpPr>
        <xdr:spPr>
          <a:xfrm flipH="1">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1040" name="Cross_H22">
          <a:extLst>
            <a:ext uri="{FF2B5EF4-FFF2-40B4-BE49-F238E27FC236}">
              <a16:creationId xmlns:a16="http://schemas.microsoft.com/office/drawing/2014/main" id="{3197FA69-8FE9-783C-4F55-AFBDF4D27A15}"/>
            </a:ext>
          </a:extLst>
        </xdr:cNvPr>
        <xdr:cNvGrpSpPr/>
      </xdr:nvGrpSpPr>
      <xdr:grpSpPr>
        <a:xfrm>
          <a:off x="4648200" y="2514600"/>
          <a:ext cx="601980" cy="228600"/>
          <a:chOff x="4648200" y="4191000"/>
          <a:chExt cx="601980" cy="228600"/>
        </a:xfrm>
      </xdr:grpSpPr>
      <xdr:cxnSp macro="">
        <xdr:nvCxnSpPr>
          <xdr:cNvPr id="1038" name="Gerader Verbinder 1037">
            <a:extLst>
              <a:ext uri="{FF2B5EF4-FFF2-40B4-BE49-F238E27FC236}">
                <a16:creationId xmlns:a16="http://schemas.microsoft.com/office/drawing/2014/main" id="{202CB021-B93F-8716-CC3E-B98974BC1464}"/>
              </a:ext>
            </a:extLst>
          </xdr:cNvPr>
          <xdr:cNvCxnSpPr/>
        </xdr:nvCxnSpPr>
        <xdr:spPr>
          <a:xfrm>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39" name="Gerader Verbinder 1038">
            <a:extLst>
              <a:ext uri="{FF2B5EF4-FFF2-40B4-BE49-F238E27FC236}">
                <a16:creationId xmlns:a16="http://schemas.microsoft.com/office/drawing/2014/main" id="{21F8C368-0DE6-CC59-B95E-6A508389467D}"/>
              </a:ext>
            </a:extLst>
          </xdr:cNvPr>
          <xdr:cNvCxnSpPr/>
        </xdr:nvCxnSpPr>
        <xdr:spPr>
          <a:xfrm flipH="1">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14</xdr:row>
      <xdr:rowOff>0</xdr:rowOff>
    </xdr:from>
    <xdr:to>
      <xdr:col>8</xdr:col>
      <xdr:colOff>0</xdr:colOff>
      <xdr:row>15</xdr:row>
      <xdr:rowOff>0</xdr:rowOff>
    </xdr:to>
    <xdr:grpSp>
      <xdr:nvGrpSpPr>
        <xdr:cNvPr id="1049" name="Cross_H31">
          <a:extLst>
            <a:ext uri="{FF2B5EF4-FFF2-40B4-BE49-F238E27FC236}">
              <a16:creationId xmlns:a16="http://schemas.microsoft.com/office/drawing/2014/main" id="{AB26BDCC-2F63-C051-6001-68E5CA047FF0}"/>
            </a:ext>
          </a:extLst>
        </xdr:cNvPr>
        <xdr:cNvGrpSpPr/>
      </xdr:nvGrpSpPr>
      <xdr:grpSpPr>
        <a:xfrm>
          <a:off x="4648200" y="3200400"/>
          <a:ext cx="601980" cy="228600"/>
          <a:chOff x="4648200" y="5882640"/>
          <a:chExt cx="601980" cy="228600"/>
        </a:xfrm>
      </xdr:grpSpPr>
      <xdr:cxnSp macro="">
        <xdr:nvCxnSpPr>
          <xdr:cNvPr id="1047" name="Gerader Verbinder 1046">
            <a:extLst>
              <a:ext uri="{FF2B5EF4-FFF2-40B4-BE49-F238E27FC236}">
                <a16:creationId xmlns:a16="http://schemas.microsoft.com/office/drawing/2014/main" id="{4DCC09F1-55F2-28BD-F0DE-C26F875B15E9}"/>
              </a:ext>
            </a:extLst>
          </xdr:cNvPr>
          <xdr:cNvCxnSpPr/>
        </xdr:nvCxnSpPr>
        <xdr:spPr>
          <a:xfrm>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48" name="Gerader Verbinder 1047">
            <a:extLst>
              <a:ext uri="{FF2B5EF4-FFF2-40B4-BE49-F238E27FC236}">
                <a16:creationId xmlns:a16="http://schemas.microsoft.com/office/drawing/2014/main" id="{5689961C-E4F6-A08B-D6DB-8ABF83A6C9E5}"/>
              </a:ext>
            </a:extLst>
          </xdr:cNvPr>
          <xdr:cNvCxnSpPr/>
        </xdr:nvCxnSpPr>
        <xdr:spPr>
          <a:xfrm flipH="1">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1058" name="Cross_H34">
          <a:extLst>
            <a:ext uri="{FF2B5EF4-FFF2-40B4-BE49-F238E27FC236}">
              <a16:creationId xmlns:a16="http://schemas.microsoft.com/office/drawing/2014/main" id="{8E4F965D-7800-56CB-0C92-0B61CAE18603}"/>
            </a:ext>
          </a:extLst>
        </xdr:cNvPr>
        <xdr:cNvGrpSpPr/>
      </xdr:nvGrpSpPr>
      <xdr:grpSpPr>
        <a:xfrm>
          <a:off x="4648200" y="3429000"/>
          <a:ext cx="601980" cy="228600"/>
          <a:chOff x="4648200" y="6446520"/>
          <a:chExt cx="601980" cy="228600"/>
        </a:xfrm>
      </xdr:grpSpPr>
      <xdr:cxnSp macro="">
        <xdr:nvCxnSpPr>
          <xdr:cNvPr id="1056" name="Gerader Verbinder 1055">
            <a:extLst>
              <a:ext uri="{FF2B5EF4-FFF2-40B4-BE49-F238E27FC236}">
                <a16:creationId xmlns:a16="http://schemas.microsoft.com/office/drawing/2014/main" id="{21B771DA-003D-9F00-07F8-1451D55114BB}"/>
              </a:ext>
            </a:extLst>
          </xdr:cNvPr>
          <xdr:cNvCxnSpPr/>
        </xdr:nvCxnSpPr>
        <xdr:spPr>
          <a:xfrm>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7" name="Gerader Verbinder 1056">
            <a:extLst>
              <a:ext uri="{FF2B5EF4-FFF2-40B4-BE49-F238E27FC236}">
                <a16:creationId xmlns:a16="http://schemas.microsoft.com/office/drawing/2014/main" id="{FA6B962C-F96B-A7BE-1362-7D3D78EECC7D}"/>
              </a:ext>
            </a:extLst>
          </xdr:cNvPr>
          <xdr:cNvCxnSpPr/>
        </xdr:nvCxnSpPr>
        <xdr:spPr>
          <a:xfrm flipH="1">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1067" name="Cross_H37">
          <a:extLst>
            <a:ext uri="{FF2B5EF4-FFF2-40B4-BE49-F238E27FC236}">
              <a16:creationId xmlns:a16="http://schemas.microsoft.com/office/drawing/2014/main" id="{EE9CAE60-27B0-C351-D6FD-207B5E93D0B5}"/>
            </a:ext>
          </a:extLst>
        </xdr:cNvPr>
        <xdr:cNvGrpSpPr/>
      </xdr:nvGrpSpPr>
      <xdr:grpSpPr>
        <a:xfrm>
          <a:off x="4648200" y="3657600"/>
          <a:ext cx="601980" cy="228600"/>
          <a:chOff x="4648200" y="7010400"/>
          <a:chExt cx="601980" cy="228600"/>
        </a:xfrm>
      </xdr:grpSpPr>
      <xdr:cxnSp macro="">
        <xdr:nvCxnSpPr>
          <xdr:cNvPr id="1065" name="Gerader Verbinder 1064">
            <a:extLst>
              <a:ext uri="{FF2B5EF4-FFF2-40B4-BE49-F238E27FC236}">
                <a16:creationId xmlns:a16="http://schemas.microsoft.com/office/drawing/2014/main" id="{21418423-B598-7E01-A6E5-7AB3C15267C4}"/>
              </a:ext>
            </a:extLst>
          </xdr:cNvPr>
          <xdr:cNvCxnSpPr/>
        </xdr:nvCxnSpPr>
        <xdr:spPr>
          <a:xfrm>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66" name="Gerader Verbinder 1065">
            <a:extLst>
              <a:ext uri="{FF2B5EF4-FFF2-40B4-BE49-F238E27FC236}">
                <a16:creationId xmlns:a16="http://schemas.microsoft.com/office/drawing/2014/main" id="{73EFCD8C-672B-DFFD-6F15-7A69B8EE4416}"/>
              </a:ext>
            </a:extLst>
          </xdr:cNvPr>
          <xdr:cNvCxnSpPr/>
        </xdr:nvCxnSpPr>
        <xdr:spPr>
          <a:xfrm flipH="1">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1076" name="Cross_H40">
          <a:extLst>
            <a:ext uri="{FF2B5EF4-FFF2-40B4-BE49-F238E27FC236}">
              <a16:creationId xmlns:a16="http://schemas.microsoft.com/office/drawing/2014/main" id="{5815CDCA-6638-D2F5-A010-DFD8D57C9E05}"/>
            </a:ext>
          </a:extLst>
        </xdr:cNvPr>
        <xdr:cNvGrpSpPr/>
      </xdr:nvGrpSpPr>
      <xdr:grpSpPr>
        <a:xfrm>
          <a:off x="4648200" y="3886200"/>
          <a:ext cx="601980" cy="228600"/>
          <a:chOff x="4648200" y="7574280"/>
          <a:chExt cx="601980" cy="228600"/>
        </a:xfrm>
      </xdr:grpSpPr>
      <xdr:cxnSp macro="">
        <xdr:nvCxnSpPr>
          <xdr:cNvPr id="1074" name="Gerader Verbinder 1073">
            <a:extLst>
              <a:ext uri="{FF2B5EF4-FFF2-40B4-BE49-F238E27FC236}">
                <a16:creationId xmlns:a16="http://schemas.microsoft.com/office/drawing/2014/main" id="{8AE6C2BD-1153-AD6D-872E-CCB5FF4ECADA}"/>
              </a:ext>
            </a:extLst>
          </xdr:cNvPr>
          <xdr:cNvCxnSpPr/>
        </xdr:nvCxnSpPr>
        <xdr:spPr>
          <a:xfrm>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75" name="Gerader Verbinder 1074">
            <a:extLst>
              <a:ext uri="{FF2B5EF4-FFF2-40B4-BE49-F238E27FC236}">
                <a16:creationId xmlns:a16="http://schemas.microsoft.com/office/drawing/2014/main" id="{42FA86BD-9A83-70CC-EF55-7F0DDCFA4542}"/>
              </a:ext>
            </a:extLst>
          </xdr:cNvPr>
          <xdr:cNvCxnSpPr/>
        </xdr:nvCxnSpPr>
        <xdr:spPr>
          <a:xfrm flipH="1">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1085" name="Cross_H52">
          <a:extLst>
            <a:ext uri="{FF2B5EF4-FFF2-40B4-BE49-F238E27FC236}">
              <a16:creationId xmlns:a16="http://schemas.microsoft.com/office/drawing/2014/main" id="{65EFE1FC-98A1-CD4B-C63A-69A109C3B1F0}"/>
            </a:ext>
          </a:extLst>
        </xdr:cNvPr>
        <xdr:cNvGrpSpPr/>
      </xdr:nvGrpSpPr>
      <xdr:grpSpPr>
        <a:xfrm>
          <a:off x="4648200" y="4800600"/>
          <a:ext cx="601980" cy="228600"/>
          <a:chOff x="4648200" y="9829800"/>
          <a:chExt cx="601980" cy="228600"/>
        </a:xfrm>
      </xdr:grpSpPr>
      <xdr:cxnSp macro="">
        <xdr:nvCxnSpPr>
          <xdr:cNvPr id="1083" name="Gerader Verbinder 1082">
            <a:extLst>
              <a:ext uri="{FF2B5EF4-FFF2-40B4-BE49-F238E27FC236}">
                <a16:creationId xmlns:a16="http://schemas.microsoft.com/office/drawing/2014/main" id="{8310E0A7-C40A-21CD-B41E-12D7335C30A7}"/>
              </a:ext>
            </a:extLst>
          </xdr:cNvPr>
          <xdr:cNvCxnSpPr/>
        </xdr:nvCxnSpPr>
        <xdr:spPr>
          <a:xfrm>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4" name="Gerader Verbinder 1083">
            <a:extLst>
              <a:ext uri="{FF2B5EF4-FFF2-40B4-BE49-F238E27FC236}">
                <a16:creationId xmlns:a16="http://schemas.microsoft.com/office/drawing/2014/main" id="{A3CAFBA3-83AD-8195-72C6-A4A1252D08D5}"/>
              </a:ext>
            </a:extLst>
          </xdr:cNvPr>
          <xdr:cNvCxnSpPr/>
        </xdr:nvCxnSpPr>
        <xdr:spPr>
          <a:xfrm flipH="1">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1094" name="Cross_H55">
          <a:extLst>
            <a:ext uri="{FF2B5EF4-FFF2-40B4-BE49-F238E27FC236}">
              <a16:creationId xmlns:a16="http://schemas.microsoft.com/office/drawing/2014/main" id="{5FE12132-1C7F-7780-5629-5B0D6526A59D}"/>
            </a:ext>
          </a:extLst>
        </xdr:cNvPr>
        <xdr:cNvGrpSpPr/>
      </xdr:nvGrpSpPr>
      <xdr:grpSpPr>
        <a:xfrm>
          <a:off x="4648200" y="5029200"/>
          <a:ext cx="601980" cy="228600"/>
          <a:chOff x="4648200" y="10393680"/>
          <a:chExt cx="601980" cy="228600"/>
        </a:xfrm>
      </xdr:grpSpPr>
      <xdr:cxnSp macro="">
        <xdr:nvCxnSpPr>
          <xdr:cNvPr id="1092" name="Gerader Verbinder 1091">
            <a:extLst>
              <a:ext uri="{FF2B5EF4-FFF2-40B4-BE49-F238E27FC236}">
                <a16:creationId xmlns:a16="http://schemas.microsoft.com/office/drawing/2014/main" id="{34FAAEA8-CED6-14DC-B811-8F40F72A7F38}"/>
              </a:ext>
            </a:extLst>
          </xdr:cNvPr>
          <xdr:cNvCxnSpPr/>
        </xdr:nvCxnSpPr>
        <xdr:spPr>
          <a:xfrm>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93" name="Gerader Verbinder 1092">
            <a:extLst>
              <a:ext uri="{FF2B5EF4-FFF2-40B4-BE49-F238E27FC236}">
                <a16:creationId xmlns:a16="http://schemas.microsoft.com/office/drawing/2014/main" id="{97E9A6BB-5C15-FC18-2E91-14E7A955B6A4}"/>
              </a:ext>
            </a:extLst>
          </xdr:cNvPr>
          <xdr:cNvCxnSpPr/>
        </xdr:nvCxnSpPr>
        <xdr:spPr>
          <a:xfrm flipH="1">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25</xdr:row>
      <xdr:rowOff>0</xdr:rowOff>
    </xdr:from>
    <xdr:to>
      <xdr:col>8</xdr:col>
      <xdr:colOff>0</xdr:colOff>
      <xdr:row>26</xdr:row>
      <xdr:rowOff>0</xdr:rowOff>
    </xdr:to>
    <xdr:grpSp>
      <xdr:nvGrpSpPr>
        <xdr:cNvPr id="1103" name="Cross_H64">
          <a:extLst>
            <a:ext uri="{FF2B5EF4-FFF2-40B4-BE49-F238E27FC236}">
              <a16:creationId xmlns:a16="http://schemas.microsoft.com/office/drawing/2014/main" id="{B985F00E-28A7-D11A-B4C7-65EB2678111B}"/>
            </a:ext>
          </a:extLst>
        </xdr:cNvPr>
        <xdr:cNvGrpSpPr/>
      </xdr:nvGrpSpPr>
      <xdr:grpSpPr>
        <a:xfrm>
          <a:off x="4648200" y="5715000"/>
          <a:ext cx="601980" cy="228600"/>
          <a:chOff x="4648200" y="12085320"/>
          <a:chExt cx="601980" cy="228600"/>
        </a:xfrm>
      </xdr:grpSpPr>
      <xdr:cxnSp macro="">
        <xdr:nvCxnSpPr>
          <xdr:cNvPr id="1101" name="Gerader Verbinder 1100">
            <a:extLst>
              <a:ext uri="{FF2B5EF4-FFF2-40B4-BE49-F238E27FC236}">
                <a16:creationId xmlns:a16="http://schemas.microsoft.com/office/drawing/2014/main" id="{3A683582-9FA2-2725-34D6-356F835DB852}"/>
              </a:ext>
            </a:extLst>
          </xdr:cNvPr>
          <xdr:cNvCxnSpPr/>
        </xdr:nvCxnSpPr>
        <xdr:spPr>
          <a:xfrm>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02" name="Gerader Verbinder 1101">
            <a:extLst>
              <a:ext uri="{FF2B5EF4-FFF2-40B4-BE49-F238E27FC236}">
                <a16:creationId xmlns:a16="http://schemas.microsoft.com/office/drawing/2014/main" id="{D10FBA14-4A1D-1AC9-9F59-EB91E7B0DBC5}"/>
              </a:ext>
            </a:extLst>
          </xdr:cNvPr>
          <xdr:cNvCxnSpPr/>
        </xdr:nvCxnSpPr>
        <xdr:spPr>
          <a:xfrm flipH="1">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26</xdr:row>
      <xdr:rowOff>0</xdr:rowOff>
    </xdr:from>
    <xdr:to>
      <xdr:col>8</xdr:col>
      <xdr:colOff>0</xdr:colOff>
      <xdr:row>27</xdr:row>
      <xdr:rowOff>0</xdr:rowOff>
    </xdr:to>
    <xdr:grpSp>
      <xdr:nvGrpSpPr>
        <xdr:cNvPr id="1112" name="Cross_H67">
          <a:extLst>
            <a:ext uri="{FF2B5EF4-FFF2-40B4-BE49-F238E27FC236}">
              <a16:creationId xmlns:a16="http://schemas.microsoft.com/office/drawing/2014/main" id="{7D992BBE-0F35-3AED-41F4-06634A76DA50}"/>
            </a:ext>
          </a:extLst>
        </xdr:cNvPr>
        <xdr:cNvGrpSpPr/>
      </xdr:nvGrpSpPr>
      <xdr:grpSpPr>
        <a:xfrm>
          <a:off x="4648200" y="5943600"/>
          <a:ext cx="601980" cy="228600"/>
          <a:chOff x="4648200" y="12649200"/>
          <a:chExt cx="601980" cy="228600"/>
        </a:xfrm>
      </xdr:grpSpPr>
      <xdr:cxnSp macro="">
        <xdr:nvCxnSpPr>
          <xdr:cNvPr id="1110" name="Gerader Verbinder 1109">
            <a:extLst>
              <a:ext uri="{FF2B5EF4-FFF2-40B4-BE49-F238E27FC236}">
                <a16:creationId xmlns:a16="http://schemas.microsoft.com/office/drawing/2014/main" id="{3C47AFB4-AA23-6AF0-14E1-B135B9542CC8}"/>
              </a:ext>
            </a:extLst>
          </xdr:cNvPr>
          <xdr:cNvCxnSpPr/>
        </xdr:nvCxnSpPr>
        <xdr:spPr>
          <a:xfrm>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1" name="Gerader Verbinder 1110">
            <a:extLst>
              <a:ext uri="{FF2B5EF4-FFF2-40B4-BE49-F238E27FC236}">
                <a16:creationId xmlns:a16="http://schemas.microsoft.com/office/drawing/2014/main" id="{8D300CDE-ACAB-65AD-9AAC-9A9C6604A1E8}"/>
              </a:ext>
            </a:extLst>
          </xdr:cNvPr>
          <xdr:cNvCxnSpPr/>
        </xdr:nvCxnSpPr>
        <xdr:spPr>
          <a:xfrm flipH="1">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28</xdr:row>
      <xdr:rowOff>1</xdr:rowOff>
    </xdr:from>
    <xdr:to>
      <xdr:col>8</xdr:col>
      <xdr:colOff>0</xdr:colOff>
      <xdr:row>29</xdr:row>
      <xdr:rowOff>0</xdr:rowOff>
    </xdr:to>
    <xdr:grpSp>
      <xdr:nvGrpSpPr>
        <xdr:cNvPr id="1121" name="Cross_H73">
          <a:extLst>
            <a:ext uri="{FF2B5EF4-FFF2-40B4-BE49-F238E27FC236}">
              <a16:creationId xmlns:a16="http://schemas.microsoft.com/office/drawing/2014/main" id="{02326474-B8BA-BA3E-9377-81D13499B02C}"/>
            </a:ext>
          </a:extLst>
        </xdr:cNvPr>
        <xdr:cNvGrpSpPr/>
      </xdr:nvGrpSpPr>
      <xdr:grpSpPr>
        <a:xfrm>
          <a:off x="4648200" y="6400801"/>
          <a:ext cx="601980" cy="228599"/>
          <a:chOff x="4648200" y="13776961"/>
          <a:chExt cx="601980" cy="228600"/>
        </a:xfrm>
      </xdr:grpSpPr>
      <xdr:cxnSp macro="">
        <xdr:nvCxnSpPr>
          <xdr:cNvPr id="1119" name="Gerader Verbinder 1118">
            <a:extLst>
              <a:ext uri="{FF2B5EF4-FFF2-40B4-BE49-F238E27FC236}">
                <a16:creationId xmlns:a16="http://schemas.microsoft.com/office/drawing/2014/main" id="{D4777D00-C84B-7705-6FD8-23E9A6BE4E0F}"/>
              </a:ext>
            </a:extLst>
          </xdr:cNvPr>
          <xdr:cNvCxnSpPr/>
        </xdr:nvCxnSpPr>
        <xdr:spPr>
          <a:xfrm>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20" name="Gerader Verbinder 1119">
            <a:extLst>
              <a:ext uri="{FF2B5EF4-FFF2-40B4-BE49-F238E27FC236}">
                <a16:creationId xmlns:a16="http://schemas.microsoft.com/office/drawing/2014/main" id="{66523DB5-1AB6-394A-9417-452EE725BAA2}"/>
              </a:ext>
            </a:extLst>
          </xdr:cNvPr>
          <xdr:cNvCxnSpPr/>
        </xdr:nvCxnSpPr>
        <xdr:spPr>
          <a:xfrm flipH="1">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2EE5D-26AB-42E3-A9D5-5E19C0589315}">
  <sheetPr codeName="Tabelle17">
    <tabColor rgb="FF00B0F0"/>
  </sheetPr>
  <dimension ref="B1:N100"/>
  <sheetViews>
    <sheetView workbookViewId="0"/>
  </sheetViews>
  <sheetFormatPr baseColWidth="10" defaultRowHeight="13.2" x14ac:dyDescent="0.25"/>
  <cols>
    <col min="1" max="2" width="3.44140625" style="99" customWidth="1"/>
    <col min="3" max="3" width="25.77734375" style="99" customWidth="1"/>
    <col min="4" max="10" width="11.77734375" style="99" customWidth="1"/>
    <col min="11" max="13" width="8.77734375" style="99" customWidth="1"/>
    <col min="14" max="14" width="8.77734375" style="99" hidden="1" customWidth="1"/>
    <col min="15" max="16384" width="11.5546875" style="99"/>
  </cols>
  <sheetData>
    <row r="1" spans="2:14" ht="18" customHeight="1" thickBot="1" x14ac:dyDescent="0.3"/>
    <row r="2" spans="2:14" ht="18" customHeight="1" x14ac:dyDescent="0.25">
      <c r="B2" s="100" t="str">
        <f>Config!F2&amp;" "&amp;YEAR(Config!G24)</f>
        <v>Mathe Abitur 2026</v>
      </c>
      <c r="C2" s="101"/>
      <c r="D2" s="101"/>
      <c r="E2" s="101"/>
      <c r="F2" s="102"/>
      <c r="G2" s="102"/>
      <c r="H2" s="102"/>
      <c r="I2" s="102"/>
      <c r="J2" s="102"/>
      <c r="K2" s="102"/>
      <c r="L2" s="102"/>
      <c r="M2" s="103" t="str">
        <f>"Kurs "&amp;Config!G26</f>
        <v>Kurs K1</v>
      </c>
    </row>
    <row r="3" spans="2:14" ht="18" customHeight="1" x14ac:dyDescent="0.25">
      <c r="B3" s="104" t="s">
        <v>83</v>
      </c>
      <c r="C3" s="105"/>
      <c r="D3" s="105"/>
      <c r="E3" s="105"/>
      <c r="F3" s="105"/>
      <c r="G3" s="105"/>
      <c r="H3" s="105"/>
      <c r="I3" s="105"/>
      <c r="J3" s="105"/>
      <c r="K3" s="105"/>
      <c r="L3" s="105"/>
      <c r="M3" s="106"/>
    </row>
    <row r="4" spans="2:14" ht="18" customHeight="1" thickBot="1" x14ac:dyDescent="0.3">
      <c r="B4" s="104"/>
      <c r="C4" s="105"/>
      <c r="D4" s="105"/>
      <c r="E4" s="105"/>
      <c r="F4" s="105"/>
      <c r="G4" s="105"/>
      <c r="H4" s="105"/>
      <c r="I4" s="105"/>
      <c r="J4" s="105"/>
      <c r="K4" s="105"/>
      <c r="L4" s="105"/>
      <c r="M4" s="106"/>
    </row>
    <row r="5" spans="2:14" ht="18" customHeight="1" thickBot="1" x14ac:dyDescent="0.3">
      <c r="B5" s="109"/>
      <c r="C5" s="107"/>
      <c r="D5" s="141" t="s">
        <v>9</v>
      </c>
      <c r="E5" s="141" t="s">
        <v>10</v>
      </c>
      <c r="F5" s="141" t="s">
        <v>11</v>
      </c>
      <c r="G5" s="141" t="s">
        <v>12</v>
      </c>
      <c r="H5" s="141" t="s">
        <v>13</v>
      </c>
      <c r="I5" s="141" t="s">
        <v>14</v>
      </c>
      <c r="J5" s="141" t="s">
        <v>112</v>
      </c>
      <c r="K5" s="140" t="s">
        <v>82</v>
      </c>
      <c r="L5" s="111"/>
      <c r="M5" s="113"/>
    </row>
    <row r="6" spans="2:14" ht="18" customHeight="1" thickBot="1" x14ac:dyDescent="0.3">
      <c r="B6" s="110"/>
      <c r="C6" s="108" t="s">
        <v>81</v>
      </c>
      <c r="D6" s="144">
        <f>Config!G21</f>
        <v>15</v>
      </c>
      <c r="E6" s="144">
        <f>Config!I21</f>
        <v>30</v>
      </c>
      <c r="F6" s="144">
        <f>Config!K21</f>
        <v>5</v>
      </c>
      <c r="G6" s="144">
        <f>Config!M21</f>
        <v>17</v>
      </c>
      <c r="H6" s="144">
        <f>Config!O21</f>
        <v>5</v>
      </c>
      <c r="I6" s="144">
        <f>Config!Q21</f>
        <v>18</v>
      </c>
      <c r="J6" s="144">
        <f>Config!S21</f>
        <v>10</v>
      </c>
      <c r="K6" s="147">
        <f t="shared" ref="K6:K29" si="0">SUM(D6:J6)</f>
        <v>100</v>
      </c>
      <c r="L6" s="112" t="s">
        <v>0</v>
      </c>
      <c r="M6" s="114" t="s">
        <v>1</v>
      </c>
      <c r="N6" s="99" t="s">
        <v>84</v>
      </c>
    </row>
    <row r="7" spans="2:14" ht="18" customHeight="1" thickBot="1" x14ac:dyDescent="0.3">
      <c r="B7" s="126">
        <v>1</v>
      </c>
      <c r="C7" s="115" t="str">
        <f>Config!C5&amp;", "&amp;Config!D5</f>
        <v>Höfer, Simon</v>
      </c>
      <c r="D7" s="136">
        <f>VLOOKUP(C7,'Analysis A'!PupilBlock,8,0)</f>
        <v>11.5</v>
      </c>
      <c r="E7" s="136">
        <f>VLOOKUP(C7,'Analysis B'!PupilBlock,12,0)</f>
        <v>22.5</v>
      </c>
      <c r="F7" s="136">
        <f>VLOOKUP(C7,'Stochastik A'!PupilBlock,3,0)</f>
        <v>2.5</v>
      </c>
      <c r="G7" s="136">
        <f>VLOOKUP(C7,'Stochastik B'!PupilBlock,7,0)</f>
        <v>13</v>
      </c>
      <c r="H7" s="136">
        <f>VLOOKUP(C7,'Geometrie A'!PupilBlock,4,0)</f>
        <v>0</v>
      </c>
      <c r="I7" s="136">
        <f>VLOOKUP(C7,'Geometrie B'!PupilBlock,7,0)</f>
        <v>9</v>
      </c>
      <c r="J7" s="118">
        <f>VLOOKUP(C7,Wahlaufgaben!PupilBlock,7,0)</f>
        <v>7</v>
      </c>
      <c r="K7" s="119">
        <f t="shared" si="0"/>
        <v>65.5</v>
      </c>
      <c r="L7" s="153">
        <f>VLOOKUP(VALUE(K7),Notenspiegel!$B$3:$C$302,2,0)</f>
        <v>9</v>
      </c>
      <c r="M7" s="154" t="str">
        <f>VLOOKUP(VALUE(K7),Notenspiegel!$B$3:$D$302,3,0)</f>
        <v>3+</v>
      </c>
      <c r="N7" s="99" t="str">
        <f>VLOOKUP(VALUE(K7),Notenspiegel!$B$3:$E$302,4,0)</f>
        <v>-</v>
      </c>
    </row>
    <row r="8" spans="2:14" ht="18" customHeight="1" thickBot="1" x14ac:dyDescent="0.3">
      <c r="B8" s="128">
        <v>2</v>
      </c>
      <c r="C8" s="120" t="str">
        <f>Config!C6&amp;", "&amp;Config!D6</f>
        <v>Töpfer, Lilian</v>
      </c>
      <c r="D8" s="137">
        <f>VLOOKUP(C8,'Analysis A'!PupilBlock,8,0)</f>
        <v>9</v>
      </c>
      <c r="E8" s="137">
        <f>VLOOKUP(C8,'Analysis B'!PupilBlock,12,0)</f>
        <v>17.5</v>
      </c>
      <c r="F8" s="137">
        <f>VLOOKUP(C8,'Stochastik A'!PupilBlock,3,0)</f>
        <v>5</v>
      </c>
      <c r="G8" s="137">
        <f>VLOOKUP(C8,'Stochastik B'!PupilBlock,7,0)</f>
        <v>7</v>
      </c>
      <c r="H8" s="137">
        <f>VLOOKUP(C8,'Geometrie A'!PupilBlock,4,0)</f>
        <v>3.5</v>
      </c>
      <c r="I8" s="137">
        <f>VLOOKUP(C8,'Geometrie B'!PupilBlock,7,0)</f>
        <v>9</v>
      </c>
      <c r="J8" s="133">
        <f>VLOOKUP(C8,Wahlaufgaben!PupilBlock,7,0)</f>
        <v>7</v>
      </c>
      <c r="K8" s="134">
        <f t="shared" si="0"/>
        <v>58</v>
      </c>
      <c r="L8" s="146">
        <f>VLOOKUP(VALUE(K8),Notenspiegel!$B$3:$C$302,2,0)</f>
        <v>7</v>
      </c>
      <c r="M8" s="129" t="str">
        <f>VLOOKUP(VALUE(K8),Notenspiegel!$B$3:$D$302,3,0)</f>
        <v>3-</v>
      </c>
      <c r="N8" s="99" t="str">
        <f>VLOOKUP(VALUE(K8),Notenspiegel!$B$3:$E$302,4,0)</f>
        <v/>
      </c>
    </row>
    <row r="9" spans="2:14" ht="18" customHeight="1" thickBot="1" x14ac:dyDescent="0.3">
      <c r="B9" s="130">
        <v>3</v>
      </c>
      <c r="C9" s="116" t="str">
        <f>Config!C7&amp;", "&amp;Config!D7</f>
        <v>Fleischmann, Leonie</v>
      </c>
      <c r="D9" s="138">
        <f>VLOOKUP(C9,'Analysis A'!PupilBlock,8,0)</f>
        <v>10.5</v>
      </c>
      <c r="E9" s="138">
        <f>VLOOKUP(C9,'Analysis B'!PupilBlock,12,0)</f>
        <v>11.5</v>
      </c>
      <c r="F9" s="138">
        <f>VLOOKUP(C9,'Stochastik A'!PupilBlock,3,0)</f>
        <v>2.5</v>
      </c>
      <c r="G9" s="138">
        <f>VLOOKUP(C9,'Stochastik B'!PupilBlock,7,0)</f>
        <v>8</v>
      </c>
      <c r="H9" s="138">
        <f>VLOOKUP(C9,'Geometrie A'!PupilBlock,4,0)</f>
        <v>4.5</v>
      </c>
      <c r="I9" s="138">
        <f>VLOOKUP(C9,'Geometrie B'!PupilBlock,7,0)</f>
        <v>14</v>
      </c>
      <c r="J9" s="132">
        <f>VLOOKUP(C9,Wahlaufgaben!PupilBlock,7,0)</f>
        <v>8</v>
      </c>
      <c r="K9" s="119">
        <f t="shared" si="0"/>
        <v>59</v>
      </c>
      <c r="L9" s="155">
        <f>VLOOKUP(VALUE(K9),Notenspiegel!$B$3:$C$302,2,0)</f>
        <v>7</v>
      </c>
      <c r="M9" s="156" t="str">
        <f>VLOOKUP(VALUE(K9),Notenspiegel!$B$3:$D$302,3,0)</f>
        <v>3-</v>
      </c>
      <c r="N9" s="99" t="str">
        <f>VLOOKUP(VALUE(K9),Notenspiegel!$B$3:$E$302,4,0)</f>
        <v>+</v>
      </c>
    </row>
    <row r="10" spans="2:14" ht="18" customHeight="1" thickBot="1" x14ac:dyDescent="0.3">
      <c r="B10" s="128">
        <v>4</v>
      </c>
      <c r="C10" s="120" t="str">
        <f>Config!C8&amp;", "&amp;Config!D8</f>
        <v>Drescher, Cedric</v>
      </c>
      <c r="D10" s="137">
        <f>VLOOKUP(C10,'Analysis A'!PupilBlock,8,0)</f>
        <v>12.5</v>
      </c>
      <c r="E10" s="137">
        <f>VLOOKUP(C10,'Analysis B'!PupilBlock,12,0)</f>
        <v>23</v>
      </c>
      <c r="F10" s="137">
        <f>VLOOKUP(C10,'Stochastik A'!PupilBlock,3,0)</f>
        <v>2.5</v>
      </c>
      <c r="G10" s="137">
        <f>VLOOKUP(C10,'Stochastik B'!PupilBlock,7,0)</f>
        <v>9</v>
      </c>
      <c r="H10" s="137">
        <f>VLOOKUP(C10,'Geometrie A'!PupilBlock,4,0)</f>
        <v>3.5</v>
      </c>
      <c r="I10" s="137">
        <f>VLOOKUP(C10,'Geometrie B'!PupilBlock,7,0)</f>
        <v>13.5</v>
      </c>
      <c r="J10" s="133">
        <f>VLOOKUP(C10,Wahlaufgaben!PupilBlock,7,0)</f>
        <v>6</v>
      </c>
      <c r="K10" s="134">
        <f t="shared" si="0"/>
        <v>70</v>
      </c>
      <c r="L10" s="157">
        <f>VLOOKUP(VALUE(K10),Notenspiegel!$B$3:$C$302,2,0)</f>
        <v>10</v>
      </c>
      <c r="M10" s="158" t="str">
        <f>VLOOKUP(VALUE(K10),Notenspiegel!$B$3:$D$302,3,0)</f>
        <v>2-</v>
      </c>
      <c r="N10" s="99" t="str">
        <f>VLOOKUP(VALUE(K10),Notenspiegel!$B$3:$E$302,4,0)</f>
        <v>--</v>
      </c>
    </row>
    <row r="11" spans="2:14" ht="18" customHeight="1" thickBot="1" x14ac:dyDescent="0.3">
      <c r="B11" s="130">
        <v>5</v>
      </c>
      <c r="C11" s="116" t="str">
        <f>Config!C9&amp;", "&amp;Config!D9</f>
        <v>Baumgarten, Annabell</v>
      </c>
      <c r="D11" s="138">
        <f>VLOOKUP(C11,'Analysis A'!PupilBlock,8,0)</f>
        <v>14</v>
      </c>
      <c r="E11" s="138">
        <f>VLOOKUP(C11,'Analysis B'!PupilBlock,12,0)</f>
        <v>21.5</v>
      </c>
      <c r="F11" s="138">
        <f>VLOOKUP(C11,'Stochastik A'!PupilBlock,3,0)</f>
        <v>2.5</v>
      </c>
      <c r="G11" s="138">
        <f>VLOOKUP(C11,'Stochastik B'!PupilBlock,7,0)</f>
        <v>4.5</v>
      </c>
      <c r="H11" s="138">
        <f>VLOOKUP(C11,'Geometrie A'!PupilBlock,4,0)</f>
        <v>3.5</v>
      </c>
      <c r="I11" s="138">
        <f>VLOOKUP(C11,'Geometrie B'!PupilBlock,7,0)</f>
        <v>12</v>
      </c>
      <c r="J11" s="132">
        <f>VLOOKUP(C11,Wahlaufgaben!PupilBlock,7,0)</f>
        <v>6</v>
      </c>
      <c r="K11" s="119">
        <f t="shared" si="0"/>
        <v>64</v>
      </c>
      <c r="L11" s="155">
        <f>VLOOKUP(VALUE(K11),Notenspiegel!$B$3:$C$302,2,0)</f>
        <v>8</v>
      </c>
      <c r="M11" s="156" t="str">
        <f>VLOOKUP(VALUE(K11),Notenspiegel!$B$3:$D$302,3,0)</f>
        <v>3</v>
      </c>
      <c r="N11" s="99" t="str">
        <f>VLOOKUP(VALUE(K11),Notenspiegel!$B$3:$E$302,4,0)</f>
        <v>+</v>
      </c>
    </row>
    <row r="12" spans="2:14" ht="18" customHeight="1" thickBot="1" x14ac:dyDescent="0.3">
      <c r="B12" s="128">
        <v>6</v>
      </c>
      <c r="C12" s="120" t="str">
        <f>Config!C10&amp;", "&amp;Config!D10</f>
        <v>Traut, Stefanie</v>
      </c>
      <c r="D12" s="137">
        <f>VLOOKUP(C12,'Analysis A'!PupilBlock,8,0)</f>
        <v>12.5</v>
      </c>
      <c r="E12" s="137">
        <f>VLOOKUP(C12,'Analysis B'!PupilBlock,12,0)</f>
        <v>33</v>
      </c>
      <c r="F12" s="137">
        <f>VLOOKUP(C12,'Stochastik A'!PupilBlock,3,0)</f>
        <v>3</v>
      </c>
      <c r="G12" s="137">
        <f>VLOOKUP(C12,'Stochastik B'!PupilBlock,7,0)</f>
        <v>10.5</v>
      </c>
      <c r="H12" s="137">
        <f>VLOOKUP(C12,'Geometrie A'!PupilBlock,4,0)</f>
        <v>4.5</v>
      </c>
      <c r="I12" s="137">
        <f>VLOOKUP(C12,'Geometrie B'!PupilBlock,7,0)</f>
        <v>17</v>
      </c>
      <c r="J12" s="133">
        <f>VLOOKUP(C12,Wahlaufgaben!PupilBlock,7,0)</f>
        <v>8</v>
      </c>
      <c r="K12" s="134">
        <f t="shared" si="0"/>
        <v>88.5</v>
      </c>
      <c r="L12" s="146">
        <f>VLOOKUP(VALUE(K12),Notenspiegel!$B$3:$C$302,2,0)</f>
        <v>13</v>
      </c>
      <c r="M12" s="129" t="str">
        <f>VLOOKUP(VALUE(K12),Notenspiegel!$B$3:$D$302,3,0)</f>
        <v>1-</v>
      </c>
      <c r="N12" s="99" t="str">
        <f>VLOOKUP(VALUE(K12),Notenspiegel!$B$3:$E$302,4,0)</f>
        <v/>
      </c>
    </row>
    <row r="13" spans="2:14" ht="18" customHeight="1" thickBot="1" x14ac:dyDescent="0.3">
      <c r="B13" s="130">
        <v>7</v>
      </c>
      <c r="C13" s="116" t="str">
        <f>Config!C11&amp;", "&amp;Config!D11</f>
        <v>Menke, Damian</v>
      </c>
      <c r="D13" s="138">
        <f>VLOOKUP(C13,'Analysis A'!PupilBlock,8,0)</f>
        <v>12.5</v>
      </c>
      <c r="E13" s="138">
        <f>VLOOKUP(C13,'Analysis B'!PupilBlock,12,0)</f>
        <v>22.5</v>
      </c>
      <c r="F13" s="138">
        <f>VLOOKUP(C13,'Stochastik A'!PupilBlock,3,0)</f>
        <v>5</v>
      </c>
      <c r="G13" s="138">
        <f>VLOOKUP(C13,'Stochastik B'!PupilBlock,7,0)</f>
        <v>8.5</v>
      </c>
      <c r="H13" s="138">
        <f>VLOOKUP(C13,'Geometrie A'!PupilBlock,4,0)</f>
        <v>4.5</v>
      </c>
      <c r="I13" s="138">
        <f>VLOOKUP(C13,'Geometrie B'!PupilBlock,7,0)</f>
        <v>15</v>
      </c>
      <c r="J13" s="132">
        <f>VLOOKUP(C13,Wahlaufgaben!PupilBlock,7,0)</f>
        <v>7</v>
      </c>
      <c r="K13" s="119">
        <f t="shared" si="0"/>
        <v>75</v>
      </c>
      <c r="L13" s="157">
        <f>VLOOKUP(VALUE(K13),Notenspiegel!$B$3:$C$302,2,0)</f>
        <v>11</v>
      </c>
      <c r="M13" s="158" t="str">
        <f>VLOOKUP(VALUE(K13),Notenspiegel!$B$3:$D$302,3,0)</f>
        <v>2</v>
      </c>
      <c r="N13" s="99" t="str">
        <f>VLOOKUP(VALUE(K13),Notenspiegel!$B$3:$E$302,4,0)</f>
        <v>--</v>
      </c>
    </row>
    <row r="14" spans="2:14" ht="18" customHeight="1" thickBot="1" x14ac:dyDescent="0.3">
      <c r="B14" s="128">
        <v>8</v>
      </c>
      <c r="C14" s="120" t="str">
        <f>Config!C12&amp;", "&amp;Config!D12</f>
        <v>Carroll, Meik</v>
      </c>
      <c r="D14" s="137">
        <f>VLOOKUP(C14,'Analysis A'!PupilBlock,8,0)</f>
        <v>9</v>
      </c>
      <c r="E14" s="137">
        <f>VLOOKUP(C14,'Analysis B'!PupilBlock,12,0)</f>
        <v>16.5</v>
      </c>
      <c r="F14" s="137">
        <f>VLOOKUP(C14,'Stochastik A'!PupilBlock,3,0)</f>
        <v>5</v>
      </c>
      <c r="G14" s="137">
        <f>VLOOKUP(C14,'Stochastik B'!PupilBlock,7,0)</f>
        <v>8.5</v>
      </c>
      <c r="H14" s="137">
        <f>VLOOKUP(C14,'Geometrie A'!PupilBlock,4,0)</f>
        <v>4</v>
      </c>
      <c r="I14" s="137">
        <f>VLOOKUP(C14,'Geometrie B'!PupilBlock,7,0)</f>
        <v>13</v>
      </c>
      <c r="J14" s="133">
        <f>VLOOKUP(C14,Wahlaufgaben!PupilBlock,7,0)</f>
        <v>7</v>
      </c>
      <c r="K14" s="134">
        <f t="shared" si="0"/>
        <v>63</v>
      </c>
      <c r="L14" s="146">
        <f>VLOOKUP(VALUE(K14),Notenspiegel!$B$3:$C$302,2,0)</f>
        <v>8</v>
      </c>
      <c r="M14" s="129" t="str">
        <f>VLOOKUP(VALUE(K14),Notenspiegel!$B$3:$D$302,3,0)</f>
        <v>3</v>
      </c>
      <c r="N14" s="99" t="str">
        <f>VLOOKUP(VALUE(K14),Notenspiegel!$B$3:$E$302,4,0)</f>
        <v/>
      </c>
    </row>
    <row r="15" spans="2:14" ht="18" customHeight="1" thickBot="1" x14ac:dyDescent="0.3">
      <c r="B15" s="130">
        <v>9</v>
      </c>
      <c r="C15" s="116" t="str">
        <f>Config!C13&amp;", "&amp;Config!D13</f>
        <v>Hennings, Tomas</v>
      </c>
      <c r="D15" s="138">
        <f>VLOOKUP(C15,'Analysis A'!PupilBlock,8,0)</f>
        <v>10</v>
      </c>
      <c r="E15" s="138">
        <f>VLOOKUP(C15,'Analysis B'!PupilBlock,12,0)</f>
        <v>14.5</v>
      </c>
      <c r="F15" s="138">
        <f>VLOOKUP(C15,'Stochastik A'!PupilBlock,3,0)</f>
        <v>4</v>
      </c>
      <c r="G15" s="138">
        <f>VLOOKUP(C15,'Stochastik B'!PupilBlock,7,0)</f>
        <v>13</v>
      </c>
      <c r="H15" s="138">
        <f>VLOOKUP(C15,'Geometrie A'!PupilBlock,4,0)</f>
        <v>4.5</v>
      </c>
      <c r="I15" s="138">
        <f>VLOOKUP(C15,'Geometrie B'!PupilBlock,7,0)</f>
        <v>4</v>
      </c>
      <c r="J15" s="132">
        <f>VLOOKUP(C15,Wahlaufgaben!PupilBlock,7,0)</f>
        <v>8</v>
      </c>
      <c r="K15" s="119">
        <f t="shared" si="0"/>
        <v>58</v>
      </c>
      <c r="L15" s="145">
        <f>VLOOKUP(VALUE(K15),Notenspiegel!$B$3:$C$302,2,0)</f>
        <v>7</v>
      </c>
      <c r="M15" s="127" t="str">
        <f>VLOOKUP(VALUE(K15),Notenspiegel!$B$3:$D$302,3,0)</f>
        <v>3-</v>
      </c>
      <c r="N15" s="99" t="str">
        <f>VLOOKUP(VALUE(K15),Notenspiegel!$B$3:$E$302,4,0)</f>
        <v/>
      </c>
    </row>
    <row r="16" spans="2:14" ht="18" customHeight="1" thickBot="1" x14ac:dyDescent="0.3">
      <c r="B16" s="128">
        <v>10</v>
      </c>
      <c r="C16" s="120" t="str">
        <f>Config!C14&amp;", "&amp;Config!D14</f>
        <v>Walters, Linn</v>
      </c>
      <c r="D16" s="137">
        <f>VLOOKUP(C16,'Analysis A'!PupilBlock,8,0)</f>
        <v>3</v>
      </c>
      <c r="E16" s="137">
        <f>VLOOKUP(C16,'Analysis B'!PupilBlock,12,0)</f>
        <v>7</v>
      </c>
      <c r="F16" s="137">
        <f>VLOOKUP(C16,'Stochastik A'!PupilBlock,3,0)</f>
        <v>2.5</v>
      </c>
      <c r="G16" s="137">
        <f>VLOOKUP(C16,'Stochastik B'!PupilBlock,7,0)</f>
        <v>8</v>
      </c>
      <c r="H16" s="137">
        <f>VLOOKUP(C16,'Geometrie A'!PupilBlock,4,0)</f>
        <v>1</v>
      </c>
      <c r="I16" s="137">
        <f>VLOOKUP(C16,'Geometrie B'!PupilBlock,7,0)</f>
        <v>8.5</v>
      </c>
      <c r="J16" s="133">
        <f>VLOOKUP(C16,Wahlaufgaben!PupilBlock,7,0)</f>
        <v>8</v>
      </c>
      <c r="K16" s="134">
        <f t="shared" si="0"/>
        <v>38</v>
      </c>
      <c r="L16" s="146">
        <f>VLOOKUP(VALUE(K16),Notenspiegel!$B$3:$C$302,2,0)</f>
        <v>3</v>
      </c>
      <c r="M16" s="129" t="str">
        <f>VLOOKUP(VALUE(K16),Notenspiegel!$B$3:$D$302,3,0)</f>
        <v>5+</v>
      </c>
      <c r="N16" s="99" t="str">
        <f>VLOOKUP(VALUE(K16),Notenspiegel!$B$3:$E$302,4,0)</f>
        <v/>
      </c>
    </row>
    <row r="17" spans="2:14" ht="18" customHeight="1" thickBot="1" x14ac:dyDescent="0.3">
      <c r="B17" s="130">
        <v>11</v>
      </c>
      <c r="C17" s="116" t="str">
        <f>Config!C15&amp;", "&amp;Config!D15</f>
        <v>Junker, Amely</v>
      </c>
      <c r="D17" s="138">
        <f>VLOOKUP(C17,'Analysis A'!PupilBlock,8,0)</f>
        <v>6.5</v>
      </c>
      <c r="E17" s="138">
        <f>VLOOKUP(C17,'Analysis B'!PupilBlock,12,0)</f>
        <v>13.5</v>
      </c>
      <c r="F17" s="138">
        <f>VLOOKUP(C17,'Stochastik A'!PupilBlock,3,0)</f>
        <v>2</v>
      </c>
      <c r="G17" s="138">
        <f>VLOOKUP(C17,'Stochastik B'!PupilBlock,7,0)</f>
        <v>6.5</v>
      </c>
      <c r="H17" s="138">
        <f>VLOOKUP(C17,'Geometrie A'!PupilBlock,4,0)</f>
        <v>2</v>
      </c>
      <c r="I17" s="138">
        <f>VLOOKUP(C17,'Geometrie B'!PupilBlock,7,0)</f>
        <v>13</v>
      </c>
      <c r="J17" s="132">
        <f>VLOOKUP(C17,Wahlaufgaben!PupilBlock,7,0)</f>
        <v>6</v>
      </c>
      <c r="K17" s="119">
        <f t="shared" si="0"/>
        <v>49.5</v>
      </c>
      <c r="L17" s="159">
        <f>VLOOKUP(VALUE(K17),Notenspiegel!$B$3:$C$302,2,0)</f>
        <v>5</v>
      </c>
      <c r="M17" s="160" t="str">
        <f>VLOOKUP(VALUE(K17),Notenspiegel!$B$3:$D$302,3,0)</f>
        <v>4</v>
      </c>
      <c r="N17" s="99" t="str">
        <f>VLOOKUP(VALUE(K17),Notenspiegel!$B$3:$E$302,4,0)</f>
        <v>++</v>
      </c>
    </row>
    <row r="18" spans="2:14" ht="18" customHeight="1" thickBot="1" x14ac:dyDescent="0.3">
      <c r="B18" s="128">
        <v>12</v>
      </c>
      <c r="C18" s="120" t="str">
        <f>Config!C16&amp;", "&amp;Config!D16</f>
        <v>Stephens, Melvin</v>
      </c>
      <c r="D18" s="137">
        <f>VLOOKUP(C18,'Analysis A'!PupilBlock,8,0)</f>
        <v>11.5</v>
      </c>
      <c r="E18" s="137">
        <f>VLOOKUP(C18,'Analysis B'!PupilBlock,12,0)</f>
        <v>27</v>
      </c>
      <c r="F18" s="137">
        <f>VLOOKUP(C18,'Stochastik A'!PupilBlock,3,0)</f>
        <v>2.5</v>
      </c>
      <c r="G18" s="137">
        <f>VLOOKUP(C18,'Stochastik B'!PupilBlock,7,0)</f>
        <v>5.5</v>
      </c>
      <c r="H18" s="137">
        <f>VLOOKUP(C18,'Geometrie A'!PupilBlock,4,0)</f>
        <v>0.5</v>
      </c>
      <c r="I18" s="137">
        <f>VLOOKUP(C18,'Geometrie B'!PupilBlock,7,0)</f>
        <v>13</v>
      </c>
      <c r="J18" s="133">
        <f>VLOOKUP(C18,Wahlaufgaben!PupilBlock,7,0)</f>
        <v>6</v>
      </c>
      <c r="K18" s="134">
        <f t="shared" si="0"/>
        <v>66</v>
      </c>
      <c r="L18" s="146">
        <f>VLOOKUP(VALUE(K18),Notenspiegel!$B$3:$C$302,2,0)</f>
        <v>9</v>
      </c>
      <c r="M18" s="129" t="str">
        <f>VLOOKUP(VALUE(K18),Notenspiegel!$B$3:$D$302,3,0)</f>
        <v>3+</v>
      </c>
      <c r="N18" s="99" t="str">
        <f>VLOOKUP(VALUE(K18),Notenspiegel!$B$3:$E$302,4,0)</f>
        <v/>
      </c>
    </row>
    <row r="19" spans="2:14" ht="18" customHeight="1" thickBot="1" x14ac:dyDescent="0.3">
      <c r="B19" s="130">
        <v>13</v>
      </c>
      <c r="C19" s="116" t="str">
        <f>Config!C17&amp;", "&amp;Config!D17</f>
        <v>Cremer, Marvin</v>
      </c>
      <c r="D19" s="138">
        <f>VLOOKUP(C19,'Analysis A'!PupilBlock,8,0)</f>
        <v>12.5</v>
      </c>
      <c r="E19" s="138">
        <f>VLOOKUP(C19,'Analysis B'!PupilBlock,12,0)</f>
        <v>22</v>
      </c>
      <c r="F19" s="138">
        <f>VLOOKUP(C19,'Stochastik A'!PupilBlock,3,0)</f>
        <v>5</v>
      </c>
      <c r="G19" s="138">
        <f>VLOOKUP(C19,'Stochastik B'!PupilBlock,7,0)</f>
        <v>5.5</v>
      </c>
      <c r="H19" s="138">
        <f>VLOOKUP(C19,'Geometrie A'!PupilBlock,4,0)</f>
        <v>4.5</v>
      </c>
      <c r="I19" s="138">
        <f>VLOOKUP(C19,'Geometrie B'!PupilBlock,7,0)</f>
        <v>3</v>
      </c>
      <c r="J19" s="132">
        <f>VLOOKUP(C19,Wahlaufgaben!PupilBlock,7,0)</f>
        <v>8</v>
      </c>
      <c r="K19" s="119">
        <f t="shared" si="0"/>
        <v>60.5</v>
      </c>
      <c r="L19" s="153">
        <f>VLOOKUP(VALUE(K19),Notenspiegel!$B$3:$C$302,2,0)</f>
        <v>8</v>
      </c>
      <c r="M19" s="154" t="str">
        <f>VLOOKUP(VALUE(K19),Notenspiegel!$B$3:$D$302,3,0)</f>
        <v>3</v>
      </c>
      <c r="N19" s="99" t="str">
        <f>VLOOKUP(VALUE(K19),Notenspiegel!$B$3:$E$302,4,0)</f>
        <v>-</v>
      </c>
    </row>
    <row r="20" spans="2:14" ht="18" customHeight="1" thickBot="1" x14ac:dyDescent="0.3">
      <c r="B20" s="128">
        <v>14</v>
      </c>
      <c r="C20" s="120" t="str">
        <f>Config!C18&amp;", "&amp;Config!D18</f>
        <v>Nash, Jean</v>
      </c>
      <c r="D20" s="137">
        <f>VLOOKUP(C20,'Analysis A'!PupilBlock,8,0)</f>
        <v>13.5</v>
      </c>
      <c r="E20" s="137">
        <f>VLOOKUP(C20,'Analysis B'!PupilBlock,12,0)</f>
        <v>15.5</v>
      </c>
      <c r="F20" s="137">
        <f>VLOOKUP(C20,'Stochastik A'!PupilBlock,3,0)</f>
        <v>5</v>
      </c>
      <c r="G20" s="137">
        <f>VLOOKUP(C20,'Stochastik B'!PupilBlock,7,0)</f>
        <v>8</v>
      </c>
      <c r="H20" s="137">
        <f>VLOOKUP(C20,'Geometrie A'!PupilBlock,4,0)</f>
        <v>4</v>
      </c>
      <c r="I20" s="137">
        <f>VLOOKUP(C20,'Geometrie B'!PupilBlock,7,0)</f>
        <v>14.5</v>
      </c>
      <c r="J20" s="133">
        <f>VLOOKUP(C20,Wahlaufgaben!PupilBlock,7,0)</f>
        <v>7</v>
      </c>
      <c r="K20" s="134">
        <f t="shared" si="0"/>
        <v>67.5</v>
      </c>
      <c r="L20" s="146">
        <f>VLOOKUP(VALUE(K20),Notenspiegel!$B$3:$C$302,2,0)</f>
        <v>9</v>
      </c>
      <c r="M20" s="129" t="str">
        <f>VLOOKUP(VALUE(K20),Notenspiegel!$B$3:$D$302,3,0)</f>
        <v>3+</v>
      </c>
      <c r="N20" s="99" t="str">
        <f>VLOOKUP(VALUE(K20),Notenspiegel!$B$3:$E$302,4,0)</f>
        <v/>
      </c>
    </row>
    <row r="21" spans="2:14" ht="18" customHeight="1" thickBot="1" x14ac:dyDescent="0.3">
      <c r="B21" s="130">
        <v>15</v>
      </c>
      <c r="C21" s="116" t="str">
        <f>Config!C19&amp;", "&amp;Config!D19</f>
        <v>Schön, Leonardo</v>
      </c>
      <c r="D21" s="138">
        <f>VLOOKUP(C21,'Analysis A'!PupilBlock,8,0)</f>
        <v>12</v>
      </c>
      <c r="E21" s="138">
        <f>VLOOKUP(C21,'Analysis B'!PupilBlock,12,0)</f>
        <v>23.5</v>
      </c>
      <c r="F21" s="138">
        <f>VLOOKUP(C21,'Stochastik A'!PupilBlock,3,0)</f>
        <v>2.5</v>
      </c>
      <c r="G21" s="138">
        <f>VLOOKUP(C21,'Stochastik B'!PupilBlock,7,0)</f>
        <v>8</v>
      </c>
      <c r="H21" s="138">
        <f>VLOOKUP(C21,'Geometrie A'!PupilBlock,4,0)</f>
        <v>5</v>
      </c>
      <c r="I21" s="138">
        <f>VLOOKUP(C21,'Geometrie B'!PupilBlock,7,0)</f>
        <v>6.5</v>
      </c>
      <c r="J21" s="132">
        <f>VLOOKUP(C21,Wahlaufgaben!PupilBlock,7,0)</f>
        <v>4</v>
      </c>
      <c r="K21" s="119">
        <f t="shared" si="0"/>
        <v>61.5</v>
      </c>
      <c r="L21" s="145">
        <f>VLOOKUP(VALUE(K21),Notenspiegel!$B$3:$C$302,2,0)</f>
        <v>8</v>
      </c>
      <c r="M21" s="127" t="str">
        <f>VLOOKUP(VALUE(K21),Notenspiegel!$B$3:$D$302,3,0)</f>
        <v>3</v>
      </c>
      <c r="N21" s="99" t="str">
        <f>VLOOKUP(VALUE(K21),Notenspiegel!$B$3:$E$302,4,0)</f>
        <v/>
      </c>
    </row>
    <row r="22" spans="2:14" ht="18" customHeight="1" thickBot="1" x14ac:dyDescent="0.3">
      <c r="B22" s="128">
        <v>16</v>
      </c>
      <c r="C22" s="120" t="str">
        <f>Config!C20&amp;", "&amp;Config!D20</f>
        <v>Sigl, Nicholas</v>
      </c>
      <c r="D22" s="137">
        <f>VLOOKUP(C22,'Analysis A'!PupilBlock,8,0)</f>
        <v>7.5</v>
      </c>
      <c r="E22" s="137">
        <f>VLOOKUP(C22,'Analysis B'!PupilBlock,12,0)</f>
        <v>22</v>
      </c>
      <c r="F22" s="137">
        <f>VLOOKUP(C22,'Stochastik A'!PupilBlock,3,0)</f>
        <v>5</v>
      </c>
      <c r="G22" s="137">
        <f>VLOOKUP(C22,'Stochastik B'!PupilBlock,7,0)</f>
        <v>0</v>
      </c>
      <c r="H22" s="137">
        <f>VLOOKUP(C22,'Geometrie A'!PupilBlock,4,0)</f>
        <v>4.5</v>
      </c>
      <c r="I22" s="137">
        <f>VLOOKUP(C22,'Geometrie B'!PupilBlock,7,0)</f>
        <v>6</v>
      </c>
      <c r="J22" s="133">
        <f>VLOOKUP(C22,Wahlaufgaben!PupilBlock,7,0)</f>
        <v>8</v>
      </c>
      <c r="K22" s="134">
        <f t="shared" si="0"/>
        <v>53</v>
      </c>
      <c r="L22" s="146">
        <f>VLOOKUP(VALUE(K22),Notenspiegel!$B$3:$C$302,2,0)</f>
        <v>6</v>
      </c>
      <c r="M22" s="129" t="str">
        <f>VLOOKUP(VALUE(K22),Notenspiegel!$B$3:$D$302,3,0)</f>
        <v>4+</v>
      </c>
      <c r="N22" s="99" t="str">
        <f>VLOOKUP(VALUE(K22),Notenspiegel!$B$3:$E$302,4,0)</f>
        <v/>
      </c>
    </row>
    <row r="23" spans="2:14" ht="18" customHeight="1" thickBot="1" x14ac:dyDescent="0.3">
      <c r="B23" s="130">
        <v>17</v>
      </c>
      <c r="C23" s="116" t="str">
        <f>Config!C21&amp;", "&amp;Config!D21</f>
        <v>Kainz, Vivienne</v>
      </c>
      <c r="D23" s="138">
        <f>VLOOKUP(C23,'Analysis A'!PupilBlock,8,0)</f>
        <v>1</v>
      </c>
      <c r="E23" s="138">
        <f>VLOOKUP(C23,'Analysis B'!PupilBlock,12,0)</f>
        <v>6.5</v>
      </c>
      <c r="F23" s="138">
        <f>VLOOKUP(C23,'Stochastik A'!PupilBlock,3,0)</f>
        <v>5</v>
      </c>
      <c r="G23" s="138">
        <f>VLOOKUP(C23,'Stochastik B'!PupilBlock,7,0)</f>
        <v>7.5</v>
      </c>
      <c r="H23" s="138">
        <f>VLOOKUP(C23,'Geometrie A'!PupilBlock,4,0)</f>
        <v>5</v>
      </c>
      <c r="I23" s="138">
        <f>VLOOKUP(C23,'Geometrie B'!PupilBlock,7,0)</f>
        <v>4.5</v>
      </c>
      <c r="J23" s="132">
        <f>VLOOKUP(C23,Wahlaufgaben!PupilBlock,7,0)</f>
        <v>10</v>
      </c>
      <c r="K23" s="119">
        <f t="shared" si="0"/>
        <v>39.5</v>
      </c>
      <c r="L23" s="159">
        <f>VLOOKUP(VALUE(K23),Notenspiegel!$B$3:$C$302,2,0)</f>
        <v>3</v>
      </c>
      <c r="M23" s="160" t="str">
        <f>VLOOKUP(VALUE(K23),Notenspiegel!$B$3:$D$302,3,0)</f>
        <v>5+</v>
      </c>
      <c r="N23" s="99" t="str">
        <f>VLOOKUP(VALUE(K23),Notenspiegel!$B$3:$E$302,4,0)</f>
        <v>++</v>
      </c>
    </row>
    <row r="24" spans="2:14" ht="18" customHeight="1" thickBot="1" x14ac:dyDescent="0.3">
      <c r="B24" s="128">
        <v>18</v>
      </c>
      <c r="C24" s="120" t="str">
        <f>Config!C22&amp;", "&amp;Config!D22</f>
        <v>Hartmann, Mads</v>
      </c>
      <c r="D24" s="137">
        <f>VLOOKUP(C24,'Analysis A'!PupilBlock,8,0)</f>
        <v>10</v>
      </c>
      <c r="E24" s="137">
        <f>VLOOKUP(C24,'Analysis B'!PupilBlock,12,0)</f>
        <v>16</v>
      </c>
      <c r="F24" s="137">
        <f>VLOOKUP(C24,'Stochastik A'!PupilBlock,3,0)</f>
        <v>2.5</v>
      </c>
      <c r="G24" s="137">
        <f>VLOOKUP(C24,'Stochastik B'!PupilBlock,7,0)</f>
        <v>7</v>
      </c>
      <c r="H24" s="137">
        <f>VLOOKUP(C24,'Geometrie A'!PupilBlock,4,0)</f>
        <v>1</v>
      </c>
      <c r="I24" s="137">
        <f>VLOOKUP(C24,'Geometrie B'!PupilBlock,7,0)</f>
        <v>14</v>
      </c>
      <c r="J24" s="133">
        <f>VLOOKUP(C24,Wahlaufgaben!PupilBlock,7,0)</f>
        <v>7</v>
      </c>
      <c r="K24" s="134">
        <f t="shared" si="0"/>
        <v>57.5</v>
      </c>
      <c r="L24" s="146">
        <f>VLOOKUP(VALUE(K24),Notenspiegel!$B$3:$C$302,2,0)</f>
        <v>7</v>
      </c>
      <c r="M24" s="129" t="str">
        <f>VLOOKUP(VALUE(K24),Notenspiegel!$B$3:$D$302,3,0)</f>
        <v>3-</v>
      </c>
      <c r="N24" s="99" t="str">
        <f>VLOOKUP(VALUE(K24),Notenspiegel!$B$3:$E$302,4,0)</f>
        <v/>
      </c>
    </row>
    <row r="25" spans="2:14" ht="18" customHeight="1" thickBot="1" x14ac:dyDescent="0.3">
      <c r="B25" s="130">
        <v>19</v>
      </c>
      <c r="C25" s="116" t="str">
        <f>Config!C23&amp;", "&amp;Config!D23</f>
        <v>Ullmann, Raphael</v>
      </c>
      <c r="D25" s="138">
        <f>VLOOKUP(C25,'Analysis A'!PupilBlock,8,0)</f>
        <v>9.5</v>
      </c>
      <c r="E25" s="138">
        <f>VLOOKUP(C25,'Analysis B'!PupilBlock,12,0)</f>
        <v>14.5</v>
      </c>
      <c r="F25" s="138">
        <f>VLOOKUP(C25,'Stochastik A'!PupilBlock,3,0)</f>
        <v>5</v>
      </c>
      <c r="G25" s="138">
        <f>VLOOKUP(C25,'Stochastik B'!PupilBlock,7,0)</f>
        <v>7</v>
      </c>
      <c r="H25" s="138">
        <f>VLOOKUP(C25,'Geometrie A'!PupilBlock,4,0)</f>
        <v>2</v>
      </c>
      <c r="I25" s="138">
        <f>VLOOKUP(C25,'Geometrie B'!PupilBlock,7,0)</f>
        <v>13.5</v>
      </c>
      <c r="J25" s="132">
        <f>VLOOKUP(C25,Wahlaufgaben!PupilBlock,7,0)</f>
        <v>8</v>
      </c>
      <c r="K25" s="119">
        <f t="shared" si="0"/>
        <v>59.5</v>
      </c>
      <c r="L25" s="159">
        <f>VLOOKUP(VALUE(K25),Notenspiegel!$B$3:$C$302,2,0)</f>
        <v>7</v>
      </c>
      <c r="M25" s="160" t="str">
        <f>VLOOKUP(VALUE(K25),Notenspiegel!$B$3:$D$302,3,0)</f>
        <v>3-</v>
      </c>
      <c r="N25" s="99" t="str">
        <f>VLOOKUP(VALUE(K25),Notenspiegel!$B$3:$E$302,4,0)</f>
        <v>++</v>
      </c>
    </row>
    <row r="26" spans="2:14" ht="18" customHeight="1" thickBot="1" x14ac:dyDescent="0.3">
      <c r="B26" s="128">
        <v>20</v>
      </c>
      <c r="C26" s="120" t="str">
        <f>Config!C24&amp;", "&amp;Config!D24</f>
        <v>Hartl, Emmely</v>
      </c>
      <c r="D26" s="137">
        <f>VLOOKUP(C26,'Analysis A'!PupilBlock,8,0)</f>
        <v>13.5</v>
      </c>
      <c r="E26" s="137">
        <f>VLOOKUP(C26,'Analysis B'!PupilBlock,12,0)</f>
        <v>23</v>
      </c>
      <c r="F26" s="137">
        <f>VLOOKUP(C26,'Stochastik A'!PupilBlock,3,0)</f>
        <v>3</v>
      </c>
      <c r="G26" s="137">
        <f>VLOOKUP(C26,'Stochastik B'!PupilBlock,7,0)</f>
        <v>4.5</v>
      </c>
      <c r="H26" s="137">
        <f>VLOOKUP(C26,'Geometrie A'!PupilBlock,4,0)</f>
        <v>2</v>
      </c>
      <c r="I26" s="137">
        <f>VLOOKUP(C26,'Geometrie B'!PupilBlock,7,0)</f>
        <v>15</v>
      </c>
      <c r="J26" s="133">
        <f>VLOOKUP(C26,Wahlaufgaben!PupilBlock,7,0)</f>
        <v>10</v>
      </c>
      <c r="K26" s="134">
        <f t="shared" si="0"/>
        <v>71</v>
      </c>
      <c r="L26" s="146">
        <f>VLOOKUP(VALUE(K26),Notenspiegel!$B$3:$C$302,2,0)</f>
        <v>10</v>
      </c>
      <c r="M26" s="129" t="str">
        <f>VLOOKUP(VALUE(K26),Notenspiegel!$B$3:$D$302,3,0)</f>
        <v>2-</v>
      </c>
      <c r="N26" s="99" t="str">
        <f>VLOOKUP(VALUE(K26),Notenspiegel!$B$3:$E$302,4,0)</f>
        <v/>
      </c>
    </row>
    <row r="27" spans="2:14" ht="18" customHeight="1" thickBot="1" x14ac:dyDescent="0.3">
      <c r="B27" s="130">
        <v>21</v>
      </c>
      <c r="C27" s="116" t="str">
        <f>Config!C25&amp;", "&amp;Config!D25</f>
        <v>Klotz, Karin</v>
      </c>
      <c r="D27" s="138">
        <f>VLOOKUP(C27,'Analysis A'!PupilBlock,8,0)</f>
        <v>13.5</v>
      </c>
      <c r="E27" s="138">
        <f>VLOOKUP(C27,'Analysis B'!PupilBlock,12,0)</f>
        <v>26.5</v>
      </c>
      <c r="F27" s="138">
        <f>VLOOKUP(C27,'Stochastik A'!PupilBlock,3,0)</f>
        <v>4</v>
      </c>
      <c r="G27" s="138">
        <f>VLOOKUP(C27,'Stochastik B'!PupilBlock,7,0)</f>
        <v>6</v>
      </c>
      <c r="H27" s="138">
        <f>VLOOKUP(C27,'Geometrie A'!PupilBlock,4,0)</f>
        <v>5</v>
      </c>
      <c r="I27" s="138">
        <f>VLOOKUP(C27,'Geometrie B'!PupilBlock,7,0)</f>
        <v>16</v>
      </c>
      <c r="J27" s="132">
        <f>VLOOKUP(C27,Wahlaufgaben!PupilBlock,7,0)</f>
        <v>10</v>
      </c>
      <c r="K27" s="119">
        <f t="shared" si="0"/>
        <v>81</v>
      </c>
      <c r="L27" s="145">
        <f>VLOOKUP(VALUE(K27),Notenspiegel!$B$3:$C$302,2,0)</f>
        <v>12</v>
      </c>
      <c r="M27" s="127" t="str">
        <f>VLOOKUP(VALUE(K27),Notenspiegel!$B$3:$D$302,3,0)</f>
        <v>2+</v>
      </c>
      <c r="N27" s="99" t="str">
        <f>VLOOKUP(VALUE(K27),Notenspiegel!$B$3:$E$302,4,0)</f>
        <v/>
      </c>
    </row>
    <row r="28" spans="2:14" ht="18" customHeight="1" thickBot="1" x14ac:dyDescent="0.3">
      <c r="B28" s="128">
        <v>22</v>
      </c>
      <c r="C28" s="120" t="str">
        <f>Config!C26&amp;", "&amp;Config!D26</f>
        <v>Ehlers, Ingo</v>
      </c>
      <c r="D28" s="137">
        <f>VLOOKUP(C28,'Analysis A'!PupilBlock,8,0)</f>
        <v>10</v>
      </c>
      <c r="E28" s="137">
        <f>VLOOKUP(C28,'Analysis B'!PupilBlock,12,0)</f>
        <v>21</v>
      </c>
      <c r="F28" s="137">
        <f>VLOOKUP(C28,'Stochastik A'!PupilBlock,3,0)</f>
        <v>5</v>
      </c>
      <c r="G28" s="137">
        <f>VLOOKUP(C28,'Stochastik B'!PupilBlock,7,0)</f>
        <v>5.5</v>
      </c>
      <c r="H28" s="137">
        <f>VLOOKUP(C28,'Geometrie A'!PupilBlock,4,0)</f>
        <v>5</v>
      </c>
      <c r="I28" s="137">
        <f>VLOOKUP(C28,'Geometrie B'!PupilBlock,7,0)</f>
        <v>14.5</v>
      </c>
      <c r="J28" s="133">
        <f>VLOOKUP(C28,Wahlaufgaben!PupilBlock,7,0)</f>
        <v>7</v>
      </c>
      <c r="K28" s="134">
        <f t="shared" si="0"/>
        <v>68</v>
      </c>
      <c r="L28" s="146">
        <f>VLOOKUP(VALUE(K28),Notenspiegel!$B$3:$C$302,2,0)</f>
        <v>9</v>
      </c>
      <c r="M28" s="129" t="str">
        <f>VLOOKUP(VALUE(K28),Notenspiegel!$B$3:$D$302,3,0)</f>
        <v>3+</v>
      </c>
      <c r="N28" s="99" t="str">
        <f>VLOOKUP(VALUE(K28),Notenspiegel!$B$3:$E$302,4,0)</f>
        <v/>
      </c>
    </row>
    <row r="29" spans="2:14" ht="18" customHeight="1" thickBot="1" x14ac:dyDescent="0.3">
      <c r="B29" s="131">
        <v>23</v>
      </c>
      <c r="C29" s="122" t="str">
        <f>Config!C27&amp;", "&amp;Config!D27</f>
        <v>Lindemann, Mads</v>
      </c>
      <c r="D29" s="139">
        <f>VLOOKUP(C29,'Analysis A'!PupilBlock,8,0)</f>
        <v>7</v>
      </c>
      <c r="E29" s="139">
        <f>VLOOKUP(C29,'Analysis B'!PupilBlock,12,0)</f>
        <v>16</v>
      </c>
      <c r="F29" s="139">
        <f>VLOOKUP(C29,'Stochastik A'!PupilBlock,3,0)</f>
        <v>5</v>
      </c>
      <c r="G29" s="139">
        <f>VLOOKUP(C29,'Stochastik B'!PupilBlock,7,0)</f>
        <v>10</v>
      </c>
      <c r="H29" s="139">
        <f>VLOOKUP(C29,'Geometrie A'!PupilBlock,4,0)</f>
        <v>3</v>
      </c>
      <c r="I29" s="139">
        <f>VLOOKUP(C29,'Geometrie B'!PupilBlock,7,0)</f>
        <v>6.5</v>
      </c>
      <c r="J29" s="135">
        <f>VLOOKUP(C29,Wahlaufgaben!PupilBlock,7,0)</f>
        <v>8</v>
      </c>
      <c r="K29" s="121">
        <f t="shared" si="0"/>
        <v>55.5</v>
      </c>
      <c r="L29" s="161">
        <f>VLOOKUP(VALUE(K29),Notenspiegel!$B$3:$C$302,2,0)</f>
        <v>7</v>
      </c>
      <c r="M29" s="162" t="str">
        <f>VLOOKUP(VALUE(K29),Notenspiegel!$B$3:$D$302,3,0)</f>
        <v>3-</v>
      </c>
      <c r="N29" s="99" t="str">
        <f>VLOOKUP(VALUE(K29),Notenspiegel!$B$3:$E$302,4,0)</f>
        <v>-</v>
      </c>
    </row>
    <row r="30" spans="2:14" ht="18" customHeight="1" thickBot="1" x14ac:dyDescent="0.3">
      <c r="B30" s="68"/>
      <c r="C30" s="69"/>
      <c r="D30" s="69">
        <f t="shared" ref="D30:J30" si="1">SUM(D7:D29)/(23*D6)</f>
        <v>0.67391304347826086</v>
      </c>
      <c r="E30" s="69">
        <f t="shared" si="1"/>
        <v>0.63260869565217392</v>
      </c>
      <c r="F30" s="69">
        <f t="shared" si="1"/>
        <v>0.74782608695652175</v>
      </c>
      <c r="G30" s="69">
        <f t="shared" si="1"/>
        <v>0.4373401534526854</v>
      </c>
      <c r="H30" s="69">
        <f t="shared" si="1"/>
        <v>0.66956521739130437</v>
      </c>
      <c r="I30" s="69">
        <f t="shared" si="1"/>
        <v>0.61594202898550721</v>
      </c>
      <c r="J30" s="69">
        <f t="shared" si="1"/>
        <v>0.74347826086956526</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9B489-1CB8-4B12-8036-AEE52A6855E3}">
  <sheetPr codeName="Tabelle10">
    <tabColor rgb="FF92D050"/>
  </sheetPr>
  <dimension ref="B1:J100"/>
  <sheetViews>
    <sheetView workbookViewId="0">
      <selection activeCell="D7" sqref="D7"/>
    </sheetView>
  </sheetViews>
  <sheetFormatPr baseColWidth="10" defaultRowHeight="13.2" x14ac:dyDescent="0.25"/>
  <cols>
    <col min="1" max="2" width="3.44140625" style="99" customWidth="1"/>
    <col min="3" max="3" width="25.77734375" style="99" customWidth="1"/>
    <col min="4" max="10" width="8.77734375" style="99" customWidth="1"/>
    <col min="11" max="16384" width="11.5546875" style="99"/>
  </cols>
  <sheetData>
    <row r="1" spans="2:10" ht="18" customHeight="1" thickBot="1" x14ac:dyDescent="0.3"/>
    <row r="2" spans="2:10" ht="18" customHeight="1" x14ac:dyDescent="0.25">
      <c r="B2" s="100" t="str">
        <f>Config!F2&amp;" "&amp;YEAR(Config!G24)</f>
        <v>Mathe Abitur 2026</v>
      </c>
      <c r="C2" s="101"/>
      <c r="D2" s="101"/>
      <c r="E2" s="101"/>
      <c r="F2" s="101"/>
      <c r="G2" s="102"/>
      <c r="H2" s="102"/>
      <c r="I2" s="102"/>
      <c r="J2" s="103" t="str">
        <f>"Kurs "&amp;Config!G26</f>
        <v>Kurs K1</v>
      </c>
    </row>
    <row r="3" spans="2:10" ht="18" customHeight="1" x14ac:dyDescent="0.25">
      <c r="B3" s="104" t="s">
        <v>9</v>
      </c>
      <c r="C3" s="105"/>
      <c r="D3" s="105"/>
      <c r="E3" s="105"/>
      <c r="F3" s="105"/>
      <c r="G3" s="105"/>
      <c r="H3" s="105"/>
      <c r="I3" s="105"/>
      <c r="J3" s="106"/>
    </row>
    <row r="4" spans="2:10" ht="18" customHeight="1" thickBot="1" x14ac:dyDescent="0.3">
      <c r="B4" s="104"/>
      <c r="C4" s="105"/>
      <c r="D4" s="105"/>
      <c r="E4" s="105"/>
      <c r="F4" s="105"/>
      <c r="G4" s="105"/>
      <c r="H4" s="105"/>
      <c r="I4" s="105"/>
      <c r="J4" s="106"/>
    </row>
    <row r="5" spans="2:10" ht="18" customHeight="1" thickBot="1" x14ac:dyDescent="0.3">
      <c r="B5" s="109"/>
      <c r="C5" s="107"/>
      <c r="D5" s="143" t="str">
        <f>Config!F6</f>
        <v>1a</v>
      </c>
      <c r="E5" s="143" t="str">
        <f>Config!F7</f>
        <v>1b</v>
      </c>
      <c r="F5" s="143" t="str">
        <f>Config!F8</f>
        <v>2</v>
      </c>
      <c r="G5" s="143" t="str">
        <f>Config!F9</f>
        <v>3</v>
      </c>
      <c r="H5" s="143" t="str">
        <f>Config!F10</f>
        <v>4a</v>
      </c>
      <c r="I5" s="143" t="str">
        <f>Config!F11</f>
        <v>4b</v>
      </c>
      <c r="J5" s="141" t="s">
        <v>82</v>
      </c>
    </row>
    <row r="6" spans="2:10" ht="18" customHeight="1" thickBot="1" x14ac:dyDescent="0.3">
      <c r="B6" s="110"/>
      <c r="C6" s="108" t="s">
        <v>81</v>
      </c>
      <c r="D6" s="142">
        <f>Config!G6</f>
        <v>2</v>
      </c>
      <c r="E6" s="142">
        <f>Config!G7</f>
        <v>2</v>
      </c>
      <c r="F6" s="142">
        <f>Config!G8</f>
        <v>3</v>
      </c>
      <c r="G6" s="142">
        <f>Config!G9</f>
        <v>3</v>
      </c>
      <c r="H6" s="142">
        <f>Config!G10</f>
        <v>3</v>
      </c>
      <c r="I6" s="142">
        <f>Config!G11</f>
        <v>2</v>
      </c>
      <c r="J6" s="144">
        <f>Config!G21</f>
        <v>15</v>
      </c>
    </row>
    <row r="7" spans="2:10" ht="18" customHeight="1" x14ac:dyDescent="0.25">
      <c r="B7" s="126">
        <v>1</v>
      </c>
      <c r="C7" s="172" t="str">
        <f>Config!C5&amp;", "&amp;Config!D5</f>
        <v>Höfer, Simon</v>
      </c>
      <c r="D7" s="181">
        <v>0.5</v>
      </c>
      <c r="E7" s="181">
        <v>2</v>
      </c>
      <c r="F7" s="181">
        <v>1.5</v>
      </c>
      <c r="G7" s="181">
        <v>2.5</v>
      </c>
      <c r="H7" s="181">
        <v>3</v>
      </c>
      <c r="I7" s="182">
        <v>2</v>
      </c>
      <c r="J7" s="173">
        <f t="shared" ref="J7:J17" si="0">SUM(D7:I7)</f>
        <v>11.5</v>
      </c>
    </row>
    <row r="8" spans="2:10" ht="18" customHeight="1" x14ac:dyDescent="0.25">
      <c r="B8" s="128">
        <v>2</v>
      </c>
      <c r="C8" s="174" t="str">
        <f>Config!C6&amp;", "&amp;Config!D6</f>
        <v>Töpfer, Lilian</v>
      </c>
      <c r="D8" s="185">
        <v>1.5</v>
      </c>
      <c r="E8" s="185">
        <v>2</v>
      </c>
      <c r="F8" s="185">
        <v>0.5</v>
      </c>
      <c r="G8" s="185">
        <v>1</v>
      </c>
      <c r="H8" s="185">
        <v>2</v>
      </c>
      <c r="I8" s="186">
        <v>2</v>
      </c>
      <c r="J8" s="175">
        <f t="shared" si="0"/>
        <v>9</v>
      </c>
    </row>
    <row r="9" spans="2:10" ht="18" customHeight="1" x14ac:dyDescent="0.25">
      <c r="B9" s="130">
        <v>3</v>
      </c>
      <c r="C9" s="176" t="str">
        <f>Config!C7&amp;", "&amp;Config!D7</f>
        <v>Fleischmann, Leonie</v>
      </c>
      <c r="D9" s="185">
        <v>0.5</v>
      </c>
      <c r="E9" s="185">
        <v>1.5</v>
      </c>
      <c r="F9" s="185">
        <v>1.5</v>
      </c>
      <c r="G9" s="185">
        <v>3</v>
      </c>
      <c r="H9" s="185">
        <v>3</v>
      </c>
      <c r="I9" s="186">
        <v>1</v>
      </c>
      <c r="J9" s="177">
        <f t="shared" si="0"/>
        <v>10.5</v>
      </c>
    </row>
    <row r="10" spans="2:10" ht="18" customHeight="1" x14ac:dyDescent="0.25">
      <c r="B10" s="128">
        <v>4</v>
      </c>
      <c r="C10" s="174" t="str">
        <f>Config!C8&amp;", "&amp;Config!D8</f>
        <v>Drescher, Cedric</v>
      </c>
      <c r="D10" s="185">
        <v>2</v>
      </c>
      <c r="E10" s="185">
        <v>2</v>
      </c>
      <c r="F10" s="185">
        <v>1</v>
      </c>
      <c r="G10" s="185">
        <v>3</v>
      </c>
      <c r="H10" s="185">
        <v>2.5</v>
      </c>
      <c r="I10" s="186">
        <v>2</v>
      </c>
      <c r="J10" s="175">
        <f t="shared" si="0"/>
        <v>12.5</v>
      </c>
    </row>
    <row r="11" spans="2:10" ht="18" customHeight="1" x14ac:dyDescent="0.25">
      <c r="B11" s="130">
        <v>5</v>
      </c>
      <c r="C11" s="176" t="str">
        <f>Config!C9&amp;", "&amp;Config!D9</f>
        <v>Baumgarten, Annabell</v>
      </c>
      <c r="D11" s="185">
        <v>2</v>
      </c>
      <c r="E11" s="185">
        <v>2</v>
      </c>
      <c r="F11" s="185">
        <v>2.5</v>
      </c>
      <c r="G11" s="185">
        <v>3</v>
      </c>
      <c r="H11" s="185">
        <v>2.5</v>
      </c>
      <c r="I11" s="186">
        <v>2</v>
      </c>
      <c r="J11" s="177">
        <f t="shared" si="0"/>
        <v>14</v>
      </c>
    </row>
    <row r="12" spans="2:10" ht="18" customHeight="1" x14ac:dyDescent="0.25">
      <c r="B12" s="128">
        <v>6</v>
      </c>
      <c r="C12" s="174" t="str">
        <f>Config!C10&amp;", "&amp;Config!D10</f>
        <v>Traut, Stefanie</v>
      </c>
      <c r="D12" s="185">
        <v>2</v>
      </c>
      <c r="E12" s="185">
        <v>2</v>
      </c>
      <c r="F12" s="185">
        <v>2</v>
      </c>
      <c r="G12" s="185">
        <v>2</v>
      </c>
      <c r="H12" s="185">
        <v>2.5</v>
      </c>
      <c r="I12" s="186">
        <v>2</v>
      </c>
      <c r="J12" s="175">
        <f t="shared" si="0"/>
        <v>12.5</v>
      </c>
    </row>
    <row r="13" spans="2:10" ht="18" customHeight="1" x14ac:dyDescent="0.25">
      <c r="B13" s="130">
        <v>7</v>
      </c>
      <c r="C13" s="176" t="str">
        <f>Config!C11&amp;", "&amp;Config!D11</f>
        <v>Menke, Damian</v>
      </c>
      <c r="D13" s="185">
        <v>1</v>
      </c>
      <c r="E13" s="185">
        <v>1.5</v>
      </c>
      <c r="F13" s="185">
        <v>3</v>
      </c>
      <c r="G13" s="185">
        <v>3</v>
      </c>
      <c r="H13" s="185">
        <v>3</v>
      </c>
      <c r="I13" s="186">
        <v>1</v>
      </c>
      <c r="J13" s="177">
        <f t="shared" si="0"/>
        <v>12.5</v>
      </c>
    </row>
    <row r="14" spans="2:10" ht="18" customHeight="1" x14ac:dyDescent="0.25">
      <c r="B14" s="128">
        <v>8</v>
      </c>
      <c r="C14" s="174" t="str">
        <f>Config!C12&amp;", "&amp;Config!D12</f>
        <v>Carroll, Meik</v>
      </c>
      <c r="D14" s="185">
        <v>0.5</v>
      </c>
      <c r="E14" s="185">
        <v>2</v>
      </c>
      <c r="F14" s="185">
        <v>1.5</v>
      </c>
      <c r="G14" s="185">
        <v>1</v>
      </c>
      <c r="H14" s="185">
        <v>3</v>
      </c>
      <c r="I14" s="186">
        <v>1</v>
      </c>
      <c r="J14" s="175">
        <f t="shared" si="0"/>
        <v>9</v>
      </c>
    </row>
    <row r="15" spans="2:10" ht="18" customHeight="1" x14ac:dyDescent="0.25">
      <c r="B15" s="130">
        <v>9</v>
      </c>
      <c r="C15" s="176" t="str">
        <f>Config!C13&amp;", "&amp;Config!D13</f>
        <v>Hennings, Tomas</v>
      </c>
      <c r="D15" s="185">
        <v>1.5</v>
      </c>
      <c r="E15" s="185">
        <v>2</v>
      </c>
      <c r="F15" s="185">
        <v>1.5</v>
      </c>
      <c r="G15" s="185">
        <v>1</v>
      </c>
      <c r="H15" s="185">
        <v>2</v>
      </c>
      <c r="I15" s="186">
        <v>2</v>
      </c>
      <c r="J15" s="177">
        <f t="shared" si="0"/>
        <v>10</v>
      </c>
    </row>
    <row r="16" spans="2:10" ht="18" customHeight="1" x14ac:dyDescent="0.25">
      <c r="B16" s="128">
        <v>10</v>
      </c>
      <c r="C16" s="174" t="str">
        <f>Config!C14&amp;", "&amp;Config!D14</f>
        <v>Walters, Linn</v>
      </c>
      <c r="D16" s="185">
        <v>0.5</v>
      </c>
      <c r="E16" s="185">
        <v>1</v>
      </c>
      <c r="F16" s="185">
        <v>0</v>
      </c>
      <c r="G16" s="185">
        <v>1</v>
      </c>
      <c r="H16" s="185">
        <v>0.5</v>
      </c>
      <c r="I16" s="186">
        <v>0</v>
      </c>
      <c r="J16" s="175">
        <f t="shared" si="0"/>
        <v>3</v>
      </c>
    </row>
    <row r="17" spans="2:10" ht="18" customHeight="1" x14ac:dyDescent="0.25">
      <c r="B17" s="130">
        <v>11</v>
      </c>
      <c r="C17" s="176" t="str">
        <f>Config!C15&amp;", "&amp;Config!D15</f>
        <v>Junker, Amely</v>
      </c>
      <c r="D17" s="185">
        <v>0.5</v>
      </c>
      <c r="E17" s="185">
        <v>2</v>
      </c>
      <c r="F17" s="185">
        <v>1.5</v>
      </c>
      <c r="G17" s="185">
        <v>0</v>
      </c>
      <c r="H17" s="185">
        <v>1.5</v>
      </c>
      <c r="I17" s="186">
        <v>1</v>
      </c>
      <c r="J17" s="177">
        <f t="shared" si="0"/>
        <v>6.5</v>
      </c>
    </row>
    <row r="18" spans="2:10" ht="18" customHeight="1" x14ac:dyDescent="0.25">
      <c r="B18" s="128">
        <v>12</v>
      </c>
      <c r="C18" s="174" t="str">
        <f>Config!C16&amp;", "&amp;Config!D16</f>
        <v>Stephens, Melvin</v>
      </c>
      <c r="D18" s="185">
        <v>2</v>
      </c>
      <c r="E18" s="185">
        <v>2</v>
      </c>
      <c r="F18" s="185">
        <v>1</v>
      </c>
      <c r="G18" s="185">
        <v>3</v>
      </c>
      <c r="H18" s="185">
        <v>1.5</v>
      </c>
      <c r="I18" s="186">
        <v>2</v>
      </c>
      <c r="J18" s="175">
        <f t="shared" ref="J18:J28" si="1">SUM(D18:I18)</f>
        <v>11.5</v>
      </c>
    </row>
    <row r="19" spans="2:10" ht="18" customHeight="1" x14ac:dyDescent="0.25">
      <c r="B19" s="130">
        <v>13</v>
      </c>
      <c r="C19" s="176" t="str">
        <f>Config!C17&amp;", "&amp;Config!D17</f>
        <v>Cremer, Marvin</v>
      </c>
      <c r="D19" s="185">
        <v>1.5</v>
      </c>
      <c r="E19" s="185">
        <v>2</v>
      </c>
      <c r="F19" s="185">
        <v>1.5</v>
      </c>
      <c r="G19" s="185">
        <v>3</v>
      </c>
      <c r="H19" s="185">
        <v>3</v>
      </c>
      <c r="I19" s="186">
        <v>1.5</v>
      </c>
      <c r="J19" s="177">
        <f t="shared" si="1"/>
        <v>12.5</v>
      </c>
    </row>
    <row r="20" spans="2:10" ht="18" customHeight="1" x14ac:dyDescent="0.25">
      <c r="B20" s="128">
        <v>14</v>
      </c>
      <c r="C20" s="174" t="str">
        <f>Config!C18&amp;", "&amp;Config!D18</f>
        <v>Nash, Jean</v>
      </c>
      <c r="D20" s="185">
        <v>2</v>
      </c>
      <c r="E20" s="185">
        <v>2</v>
      </c>
      <c r="F20" s="185">
        <v>1.5</v>
      </c>
      <c r="G20" s="185">
        <v>3</v>
      </c>
      <c r="H20" s="185">
        <v>3</v>
      </c>
      <c r="I20" s="186">
        <v>2</v>
      </c>
      <c r="J20" s="175">
        <f t="shared" si="1"/>
        <v>13.5</v>
      </c>
    </row>
    <row r="21" spans="2:10" ht="18" customHeight="1" x14ac:dyDescent="0.25">
      <c r="B21" s="130">
        <v>15</v>
      </c>
      <c r="C21" s="176" t="str">
        <f>Config!C19&amp;", "&amp;Config!D19</f>
        <v>Schön, Leonardo</v>
      </c>
      <c r="D21" s="185">
        <v>1</v>
      </c>
      <c r="E21" s="185">
        <v>2</v>
      </c>
      <c r="F21" s="185">
        <v>1.5</v>
      </c>
      <c r="G21" s="185">
        <v>3</v>
      </c>
      <c r="H21" s="185">
        <v>2.5</v>
      </c>
      <c r="I21" s="186">
        <v>2</v>
      </c>
      <c r="J21" s="177">
        <f t="shared" si="1"/>
        <v>12</v>
      </c>
    </row>
    <row r="22" spans="2:10" ht="18" customHeight="1" x14ac:dyDescent="0.25">
      <c r="B22" s="128">
        <v>16</v>
      </c>
      <c r="C22" s="174" t="str">
        <f>Config!C20&amp;", "&amp;Config!D20</f>
        <v>Sigl, Nicholas</v>
      </c>
      <c r="D22" s="185">
        <v>2</v>
      </c>
      <c r="E22" s="185">
        <v>0</v>
      </c>
      <c r="F22" s="185">
        <v>1</v>
      </c>
      <c r="G22" s="185">
        <v>1.5</v>
      </c>
      <c r="H22" s="185">
        <v>2</v>
      </c>
      <c r="I22" s="186">
        <v>1</v>
      </c>
      <c r="J22" s="175">
        <f t="shared" si="1"/>
        <v>7.5</v>
      </c>
    </row>
    <row r="23" spans="2:10" ht="18" customHeight="1" x14ac:dyDescent="0.25">
      <c r="B23" s="130">
        <v>17</v>
      </c>
      <c r="C23" s="176" t="str">
        <f>Config!C21&amp;", "&amp;Config!D21</f>
        <v>Kainz, Vivienne</v>
      </c>
      <c r="D23" s="185">
        <v>0.5</v>
      </c>
      <c r="E23" s="185">
        <v>0</v>
      </c>
      <c r="F23" s="185">
        <v>0</v>
      </c>
      <c r="G23" s="185">
        <v>0</v>
      </c>
      <c r="H23" s="185">
        <v>0.5</v>
      </c>
      <c r="I23" s="186">
        <v>0</v>
      </c>
      <c r="J23" s="177">
        <f t="shared" si="1"/>
        <v>1</v>
      </c>
    </row>
    <row r="24" spans="2:10" ht="18" customHeight="1" x14ac:dyDescent="0.25">
      <c r="B24" s="128">
        <v>18</v>
      </c>
      <c r="C24" s="174" t="str">
        <f>Config!C22&amp;", "&amp;Config!D22</f>
        <v>Hartmann, Mads</v>
      </c>
      <c r="D24" s="185">
        <v>2</v>
      </c>
      <c r="E24" s="185">
        <v>2</v>
      </c>
      <c r="F24" s="185">
        <v>1</v>
      </c>
      <c r="G24" s="185">
        <v>1</v>
      </c>
      <c r="H24" s="185">
        <v>3</v>
      </c>
      <c r="I24" s="186">
        <v>1</v>
      </c>
      <c r="J24" s="175">
        <f t="shared" si="1"/>
        <v>10</v>
      </c>
    </row>
    <row r="25" spans="2:10" ht="18" customHeight="1" x14ac:dyDescent="0.25">
      <c r="B25" s="130">
        <v>19</v>
      </c>
      <c r="C25" s="176" t="str">
        <f>Config!C23&amp;", "&amp;Config!D23</f>
        <v>Ullmann, Raphael</v>
      </c>
      <c r="D25" s="185">
        <v>0.5</v>
      </c>
      <c r="E25" s="185">
        <v>2</v>
      </c>
      <c r="F25" s="185">
        <v>1</v>
      </c>
      <c r="G25" s="185">
        <v>2.5</v>
      </c>
      <c r="H25" s="185">
        <v>1.5</v>
      </c>
      <c r="I25" s="186">
        <v>2</v>
      </c>
      <c r="J25" s="177">
        <f t="shared" si="1"/>
        <v>9.5</v>
      </c>
    </row>
    <row r="26" spans="2:10" ht="18" customHeight="1" x14ac:dyDescent="0.25">
      <c r="B26" s="128">
        <v>20</v>
      </c>
      <c r="C26" s="174" t="str">
        <f>Config!C24&amp;", "&amp;Config!D24</f>
        <v>Hartl, Emmely</v>
      </c>
      <c r="D26" s="185">
        <v>1</v>
      </c>
      <c r="E26" s="185">
        <v>2</v>
      </c>
      <c r="F26" s="185">
        <v>2.5</v>
      </c>
      <c r="G26" s="185">
        <v>3</v>
      </c>
      <c r="H26" s="185">
        <v>3</v>
      </c>
      <c r="I26" s="186">
        <v>2</v>
      </c>
      <c r="J26" s="175">
        <f t="shared" si="1"/>
        <v>13.5</v>
      </c>
    </row>
    <row r="27" spans="2:10" ht="18" customHeight="1" x14ac:dyDescent="0.25">
      <c r="B27" s="130">
        <v>21</v>
      </c>
      <c r="C27" s="176" t="str">
        <f>Config!C25&amp;", "&amp;Config!D25</f>
        <v>Klotz, Karin</v>
      </c>
      <c r="D27" s="185">
        <v>2</v>
      </c>
      <c r="E27" s="185">
        <v>2</v>
      </c>
      <c r="F27" s="185">
        <v>1.5</v>
      </c>
      <c r="G27" s="185">
        <v>3</v>
      </c>
      <c r="H27" s="185">
        <v>3</v>
      </c>
      <c r="I27" s="186">
        <v>2</v>
      </c>
      <c r="J27" s="177">
        <f t="shared" si="1"/>
        <v>13.5</v>
      </c>
    </row>
    <row r="28" spans="2:10" ht="18" customHeight="1" x14ac:dyDescent="0.25">
      <c r="B28" s="128">
        <v>22</v>
      </c>
      <c r="C28" s="174" t="str">
        <f>Config!C26&amp;", "&amp;Config!D26</f>
        <v>Ehlers, Ingo</v>
      </c>
      <c r="D28" s="185">
        <v>0.5</v>
      </c>
      <c r="E28" s="185">
        <v>1.5</v>
      </c>
      <c r="F28" s="185">
        <v>1</v>
      </c>
      <c r="G28" s="185">
        <v>3</v>
      </c>
      <c r="H28" s="185">
        <v>3</v>
      </c>
      <c r="I28" s="186">
        <v>1</v>
      </c>
      <c r="J28" s="175">
        <f t="shared" si="1"/>
        <v>10</v>
      </c>
    </row>
    <row r="29" spans="2:10" ht="18" customHeight="1" thickBot="1" x14ac:dyDescent="0.3">
      <c r="B29" s="130">
        <v>23</v>
      </c>
      <c r="C29" s="176" t="str">
        <f>Config!C27&amp;", "&amp;Config!D27</f>
        <v>Lindemann, Mads</v>
      </c>
      <c r="D29" s="185">
        <v>0.5</v>
      </c>
      <c r="E29" s="185">
        <v>2</v>
      </c>
      <c r="F29" s="185">
        <v>1.5</v>
      </c>
      <c r="G29" s="185">
        <v>0.5</v>
      </c>
      <c r="H29" s="185">
        <v>1.5</v>
      </c>
      <c r="I29" s="186">
        <v>1</v>
      </c>
      <c r="J29" s="177">
        <f t="shared" ref="J29" si="2">SUM(D29:I29)</f>
        <v>7</v>
      </c>
    </row>
    <row r="30" spans="2:10" ht="18" customHeight="1" thickBot="1" x14ac:dyDescent="0.3">
      <c r="B30" s="178"/>
      <c r="C30" s="179"/>
      <c r="D30" s="179">
        <f>IF(COUNTIFS(D7:D29,"&lt;&gt;",C7:C29,"&lt;&gt;ZK",C7:C29,"&lt;&gt;DK")&lt;&gt;0,SUMIFS(D7:D29,C7:C29,"&lt;&gt;ZK",C7:C29,"&lt;&gt;DK")/(COUNTIFS(D7:D29,"&lt;&gt;",C7:C29,"&lt;&gt;ZK",C7:C29,"&lt;&gt;DK")*D6),0)</f>
        <v>0.60869565217391308</v>
      </c>
      <c r="E30" s="179">
        <f>IF(COUNTIFS(E7:E29,"&lt;&gt;",C7:C29,"&lt;&gt;ZK",C7:C29,"&lt;&gt;DK")&lt;&gt;0,SUMIFS(E7:E29,C7:C29,"&lt;&gt;ZK",C7:C29,"&lt;&gt;DK")/(COUNTIFS(E7:E29,"&lt;&gt;",C7:C29,"&lt;&gt;ZK",C7:C29,"&lt;&gt;DK")*E6),0)</f>
        <v>0.85869565217391308</v>
      </c>
      <c r="F30" s="179">
        <f>IF(COUNTIFS(F7:F29,"&lt;&gt;",C7:C29,"&lt;&gt;ZK",C7:C29,"&lt;&gt;DK")&lt;&gt;0,SUMIFS(F7:F29,C7:C29,"&lt;&gt;ZK",C7:C29,"&lt;&gt;DK")/(COUNTIFS(F7:F29,"&lt;&gt;",C7:C29,"&lt;&gt;ZK",C7:C29,"&lt;&gt;DK")*F6),0)</f>
        <v>0.45652173913043476</v>
      </c>
      <c r="G30" s="179">
        <f>IF(COUNTIFS(G7:G29,"&lt;&gt;",C7:C29,"&lt;&gt;ZK",C7:C29,"&lt;&gt;DK")&lt;&gt;0,SUMIFS(G7:G29,C7:C29,"&lt;&gt;ZK",C7:C29,"&lt;&gt;DK")/(COUNTIFS(G7:G29,"&lt;&gt;",C7:C29,"&lt;&gt;ZK",C7:C29,"&lt;&gt;DK")*G6),0)</f>
        <v>0.6811594202898551</v>
      </c>
      <c r="H30" s="179">
        <f>IF(COUNTIFS(H7:H29,"&lt;&gt;",C7:C29,"&lt;&gt;ZK",C7:C29,"&lt;&gt;DK")&lt;&gt;0,SUMIFS(H7:H29,C7:C29,"&lt;&gt;ZK",C7:C29,"&lt;&gt;DK")/(COUNTIFS(H7:H29,"&lt;&gt;",C7:C29,"&lt;&gt;ZK",C7:C29,"&lt;&gt;DK")*H6),0)</f>
        <v>0.76811594202898548</v>
      </c>
      <c r="I30" s="179">
        <f>IF(COUNTIFS(I7:I29,"&lt;&gt;",C7:C29,"&lt;&gt;ZK",C7:C29,"&lt;&gt;DK")&lt;&gt;0,SUMIFS(I7:I29,C7:C29,"&lt;&gt;ZK",C7:C29,"&lt;&gt;DK")/(COUNTIFS(I7:I29,"&lt;&gt;",C7:C29,"&lt;&gt;ZK",C7:C29,"&lt;&gt;DK")*I6),0)</f>
        <v>0.72826086956521741</v>
      </c>
      <c r="J30" s="180"/>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29" xr:uid="{3EE11B65-63A4-43CC-86B7-7E80A58A34C5}">
      <formula1>0</formula1>
      <formula2>$D$6</formula2>
    </dataValidation>
    <dataValidation type="decimal" allowBlank="1" showErrorMessage="1" sqref="E7:E29" xr:uid="{B61AB7C5-3573-4EDF-BFBE-6C33C014D608}">
      <formula1>0</formula1>
      <formula2>$E$6</formula2>
    </dataValidation>
    <dataValidation type="decimal" allowBlank="1" showErrorMessage="1" sqref="F7:F29" xr:uid="{959443CE-CBC0-406C-B635-46E01411B01C}">
      <formula1>0</formula1>
      <formula2>$F$6</formula2>
    </dataValidation>
    <dataValidation type="decimal" allowBlank="1" showErrorMessage="1" sqref="G7:G29" xr:uid="{ED0531C6-CEE4-4000-8D7D-A11A75FDE322}">
      <formula1>0</formula1>
      <formula2>$G$6</formula2>
    </dataValidation>
    <dataValidation type="decimal" allowBlank="1" showErrorMessage="1" sqref="H7:H29" xr:uid="{469C0955-6035-4CF2-B601-1FD097AEE882}">
      <formula1>0</formula1>
      <formula2>$H$6</formula2>
    </dataValidation>
    <dataValidation type="decimal" allowBlank="1" showErrorMessage="1" sqref="I7:I29" xr:uid="{C2204C69-52CD-450D-AE60-E921D3DEA182}">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35B69-D60F-427B-8DA7-D63B5C364427}">
  <sheetPr codeName="Tabelle11">
    <tabColor rgb="FF92D050"/>
  </sheetPr>
  <dimension ref="B1:N100"/>
  <sheetViews>
    <sheetView workbookViewId="0">
      <selection activeCell="D7" sqref="D7"/>
    </sheetView>
  </sheetViews>
  <sheetFormatPr baseColWidth="10" defaultRowHeight="13.2" x14ac:dyDescent="0.25"/>
  <cols>
    <col min="1" max="2" width="3.44140625" style="99" customWidth="1"/>
    <col min="3" max="3" width="25.77734375" style="99" customWidth="1"/>
    <col min="4" max="14" width="8.77734375" style="99" customWidth="1"/>
    <col min="15" max="16384" width="11.5546875" style="99"/>
  </cols>
  <sheetData>
    <row r="1" spans="2:14" ht="18" customHeight="1" thickBot="1" x14ac:dyDescent="0.3"/>
    <row r="2" spans="2:14" ht="18" customHeight="1" x14ac:dyDescent="0.25">
      <c r="B2" s="100" t="str">
        <f>Config!F2&amp;" "&amp;YEAR(Config!G24)</f>
        <v>Mathe Abitur 2026</v>
      </c>
      <c r="C2" s="101"/>
      <c r="D2" s="101"/>
      <c r="E2" s="101"/>
      <c r="F2" s="101"/>
      <c r="G2" s="101"/>
      <c r="H2" s="101"/>
      <c r="I2" s="102"/>
      <c r="J2" s="102"/>
      <c r="K2" s="102"/>
      <c r="L2" s="102"/>
      <c r="M2" s="102"/>
      <c r="N2" s="103" t="str">
        <f>"Kurs "&amp;Config!G26</f>
        <v>Kurs K1</v>
      </c>
    </row>
    <row r="3" spans="2:14" ht="18" customHeight="1" x14ac:dyDescent="0.25">
      <c r="B3" s="104" t="s">
        <v>10</v>
      </c>
      <c r="C3" s="105"/>
      <c r="D3" s="105"/>
      <c r="E3" s="105"/>
      <c r="F3" s="105"/>
      <c r="G3" s="105"/>
      <c r="H3" s="105"/>
      <c r="I3" s="105"/>
      <c r="J3" s="105"/>
      <c r="K3" s="105"/>
      <c r="L3" s="105"/>
      <c r="M3" s="105"/>
      <c r="N3" s="106"/>
    </row>
    <row r="4" spans="2:14" ht="18" customHeight="1" thickBot="1" x14ac:dyDescent="0.3">
      <c r="B4" s="104"/>
      <c r="C4" s="105"/>
      <c r="D4" s="105"/>
      <c r="E4" s="105"/>
      <c r="F4" s="105"/>
      <c r="G4" s="105"/>
      <c r="H4" s="105"/>
      <c r="I4" s="105"/>
      <c r="J4" s="105"/>
      <c r="K4" s="105"/>
      <c r="L4" s="105"/>
      <c r="M4" s="105"/>
      <c r="N4" s="106"/>
    </row>
    <row r="5" spans="2:14" ht="18" customHeight="1" thickBot="1" x14ac:dyDescent="0.3">
      <c r="B5" s="109"/>
      <c r="C5" s="107"/>
      <c r="D5" s="143" t="str">
        <f>Config!H6</f>
        <v>1a</v>
      </c>
      <c r="E5" s="143" t="str">
        <f>Config!H7</f>
        <v>1b</v>
      </c>
      <c r="F5" s="143" t="str">
        <f>Config!H8</f>
        <v>1c</v>
      </c>
      <c r="G5" s="143" t="str">
        <f>Config!H9</f>
        <v>1d</v>
      </c>
      <c r="H5" s="143" t="str">
        <f>Config!H10</f>
        <v>1e</v>
      </c>
      <c r="I5" s="143" t="str">
        <f>Config!H11</f>
        <v>1f</v>
      </c>
      <c r="J5" s="143" t="str">
        <f>Config!H12</f>
        <v>1g</v>
      </c>
      <c r="K5" s="143" t="str">
        <f>Config!H13</f>
        <v>1h</v>
      </c>
      <c r="L5" s="143" t="str">
        <f>Config!H14</f>
        <v>2a</v>
      </c>
      <c r="M5" s="143" t="str">
        <f>Config!H15</f>
        <v>2b</v>
      </c>
      <c r="N5" s="141" t="s">
        <v>82</v>
      </c>
    </row>
    <row r="6" spans="2:14" ht="18" customHeight="1" thickBot="1" x14ac:dyDescent="0.3">
      <c r="B6" s="110"/>
      <c r="C6" s="108" t="s">
        <v>81</v>
      </c>
      <c r="D6" s="142">
        <f>Config!I6</f>
        <v>2</v>
      </c>
      <c r="E6" s="142">
        <f>Config!I7</f>
        <v>3</v>
      </c>
      <c r="F6" s="142">
        <f>Config!I8</f>
        <v>4</v>
      </c>
      <c r="G6" s="142">
        <f>Config!I9</f>
        <v>3</v>
      </c>
      <c r="H6" s="142">
        <f>Config!I10</f>
        <v>3</v>
      </c>
      <c r="I6" s="142">
        <f>Config!I11</f>
        <v>4</v>
      </c>
      <c r="J6" s="142">
        <f>Config!I12</f>
        <v>3</v>
      </c>
      <c r="K6" s="142">
        <f>Config!I13</f>
        <v>4</v>
      </c>
      <c r="L6" s="142">
        <f>Config!I14</f>
        <v>2</v>
      </c>
      <c r="M6" s="142">
        <f>Config!I15</f>
        <v>2</v>
      </c>
      <c r="N6" s="144">
        <f>Config!I21</f>
        <v>30</v>
      </c>
    </row>
    <row r="7" spans="2:14" ht="18" customHeight="1" x14ac:dyDescent="0.25">
      <c r="B7" s="126">
        <v>1</v>
      </c>
      <c r="C7" s="172" t="str">
        <f>Config!C5&amp;", "&amp;Config!D5</f>
        <v>Höfer, Simon</v>
      </c>
      <c r="D7" s="181">
        <v>1.5</v>
      </c>
      <c r="E7" s="181">
        <v>3</v>
      </c>
      <c r="F7" s="181">
        <v>3</v>
      </c>
      <c r="G7" s="181">
        <v>3</v>
      </c>
      <c r="H7" s="181">
        <v>3</v>
      </c>
      <c r="I7" s="181">
        <v>4</v>
      </c>
      <c r="J7" s="181">
        <v>3</v>
      </c>
      <c r="K7" s="181">
        <v>0</v>
      </c>
      <c r="L7" s="181">
        <v>2</v>
      </c>
      <c r="M7" s="182">
        <v>0</v>
      </c>
      <c r="N7" s="173">
        <f t="shared" ref="N7:N17" si="0">SUM(D7:M7)</f>
        <v>22.5</v>
      </c>
    </row>
    <row r="8" spans="2:14" ht="18" customHeight="1" x14ac:dyDescent="0.25">
      <c r="B8" s="128">
        <v>2</v>
      </c>
      <c r="C8" s="174" t="str">
        <f>Config!C6&amp;", "&amp;Config!D6</f>
        <v>Töpfer, Lilian</v>
      </c>
      <c r="D8" s="185">
        <v>0.5</v>
      </c>
      <c r="E8" s="185">
        <v>2.5</v>
      </c>
      <c r="F8" s="185">
        <v>3</v>
      </c>
      <c r="G8" s="185">
        <v>3</v>
      </c>
      <c r="H8" s="185">
        <v>3</v>
      </c>
      <c r="I8" s="185">
        <v>4</v>
      </c>
      <c r="J8" s="185">
        <v>0</v>
      </c>
      <c r="K8" s="185">
        <v>0</v>
      </c>
      <c r="L8" s="185">
        <v>1.5</v>
      </c>
      <c r="M8" s="186">
        <v>0</v>
      </c>
      <c r="N8" s="175">
        <f t="shared" si="0"/>
        <v>17.5</v>
      </c>
    </row>
    <row r="9" spans="2:14" ht="18" customHeight="1" x14ac:dyDescent="0.25">
      <c r="B9" s="130">
        <v>3</v>
      </c>
      <c r="C9" s="176" t="str">
        <f>Config!C7&amp;", "&amp;Config!D7</f>
        <v>Fleischmann, Leonie</v>
      </c>
      <c r="D9" s="185">
        <v>1</v>
      </c>
      <c r="E9" s="185">
        <v>2</v>
      </c>
      <c r="F9" s="185">
        <v>0</v>
      </c>
      <c r="G9" s="185">
        <v>1</v>
      </c>
      <c r="H9" s="185">
        <v>3</v>
      </c>
      <c r="I9" s="185">
        <v>2.5</v>
      </c>
      <c r="J9" s="185">
        <v>0</v>
      </c>
      <c r="K9" s="185">
        <v>0</v>
      </c>
      <c r="L9" s="185">
        <v>0</v>
      </c>
      <c r="M9" s="186">
        <v>2</v>
      </c>
      <c r="N9" s="177">
        <f t="shared" si="0"/>
        <v>11.5</v>
      </c>
    </row>
    <row r="10" spans="2:14" ht="18" customHeight="1" x14ac:dyDescent="0.25">
      <c r="B10" s="128">
        <v>4</v>
      </c>
      <c r="C10" s="174" t="str">
        <f>Config!C8&amp;", "&amp;Config!D8</f>
        <v>Drescher, Cedric</v>
      </c>
      <c r="D10" s="185">
        <v>1</v>
      </c>
      <c r="E10" s="185">
        <v>3</v>
      </c>
      <c r="F10" s="185">
        <v>3</v>
      </c>
      <c r="G10" s="185">
        <v>3</v>
      </c>
      <c r="H10" s="185">
        <v>3</v>
      </c>
      <c r="I10" s="185">
        <v>4</v>
      </c>
      <c r="J10" s="185">
        <v>1.5</v>
      </c>
      <c r="K10" s="185">
        <v>0</v>
      </c>
      <c r="L10" s="185">
        <v>1.5</v>
      </c>
      <c r="M10" s="186">
        <v>3</v>
      </c>
      <c r="N10" s="175">
        <f t="shared" si="0"/>
        <v>23</v>
      </c>
    </row>
    <row r="11" spans="2:14" ht="18" customHeight="1" x14ac:dyDescent="0.25">
      <c r="B11" s="130">
        <v>5</v>
      </c>
      <c r="C11" s="176" t="str">
        <f>Config!C9&amp;", "&amp;Config!D9</f>
        <v>Baumgarten, Annabell</v>
      </c>
      <c r="D11" s="185">
        <v>2</v>
      </c>
      <c r="E11" s="185">
        <v>2</v>
      </c>
      <c r="F11" s="185">
        <v>3.5</v>
      </c>
      <c r="G11" s="185">
        <v>2.5</v>
      </c>
      <c r="H11" s="185">
        <v>2</v>
      </c>
      <c r="I11" s="185">
        <v>1</v>
      </c>
      <c r="J11" s="185">
        <v>0.5</v>
      </c>
      <c r="K11" s="185">
        <v>2.5</v>
      </c>
      <c r="L11" s="185">
        <v>2</v>
      </c>
      <c r="M11" s="186">
        <v>3.5</v>
      </c>
      <c r="N11" s="177">
        <f t="shared" si="0"/>
        <v>21.5</v>
      </c>
    </row>
    <row r="12" spans="2:14" ht="18" customHeight="1" x14ac:dyDescent="0.25">
      <c r="B12" s="128">
        <v>6</v>
      </c>
      <c r="C12" s="174" t="str">
        <f>Config!C10&amp;", "&amp;Config!D10</f>
        <v>Traut, Stefanie</v>
      </c>
      <c r="D12" s="185">
        <v>2</v>
      </c>
      <c r="E12" s="185">
        <v>3</v>
      </c>
      <c r="F12" s="185">
        <v>4</v>
      </c>
      <c r="G12" s="185">
        <v>3</v>
      </c>
      <c r="H12" s="185">
        <v>3</v>
      </c>
      <c r="I12" s="185">
        <v>4</v>
      </c>
      <c r="J12" s="185">
        <v>3</v>
      </c>
      <c r="K12" s="185">
        <v>4</v>
      </c>
      <c r="L12" s="185">
        <v>2</v>
      </c>
      <c r="M12" s="186">
        <v>5</v>
      </c>
      <c r="N12" s="175">
        <f t="shared" si="0"/>
        <v>33</v>
      </c>
    </row>
    <row r="13" spans="2:14" ht="18" customHeight="1" x14ac:dyDescent="0.25">
      <c r="B13" s="130">
        <v>7</v>
      </c>
      <c r="C13" s="176" t="str">
        <f>Config!C11&amp;", "&amp;Config!D11</f>
        <v>Menke, Damian</v>
      </c>
      <c r="D13" s="185">
        <v>1.5</v>
      </c>
      <c r="E13" s="185">
        <v>2.5</v>
      </c>
      <c r="F13" s="185">
        <v>4</v>
      </c>
      <c r="G13" s="185">
        <v>2</v>
      </c>
      <c r="H13" s="185">
        <v>2</v>
      </c>
      <c r="I13" s="185">
        <v>2.5</v>
      </c>
      <c r="J13" s="185">
        <v>0.5</v>
      </c>
      <c r="K13" s="185">
        <v>3</v>
      </c>
      <c r="L13" s="185">
        <v>1</v>
      </c>
      <c r="M13" s="186">
        <v>3.5</v>
      </c>
      <c r="N13" s="177">
        <f t="shared" si="0"/>
        <v>22.5</v>
      </c>
    </row>
    <row r="14" spans="2:14" ht="18" customHeight="1" x14ac:dyDescent="0.25">
      <c r="B14" s="128">
        <v>8</v>
      </c>
      <c r="C14" s="174" t="str">
        <f>Config!C12&amp;", "&amp;Config!D12</f>
        <v>Carroll, Meik</v>
      </c>
      <c r="D14" s="185">
        <v>1.5</v>
      </c>
      <c r="E14" s="185">
        <v>1</v>
      </c>
      <c r="F14" s="185">
        <v>2.5</v>
      </c>
      <c r="G14" s="185">
        <v>3</v>
      </c>
      <c r="H14" s="185">
        <v>3</v>
      </c>
      <c r="I14" s="185">
        <v>3.5</v>
      </c>
      <c r="J14" s="185">
        <v>0</v>
      </c>
      <c r="K14" s="185">
        <v>0</v>
      </c>
      <c r="L14" s="185">
        <v>2</v>
      </c>
      <c r="M14" s="186">
        <v>0</v>
      </c>
      <c r="N14" s="175">
        <f t="shared" si="0"/>
        <v>16.5</v>
      </c>
    </row>
    <row r="15" spans="2:14" ht="18" customHeight="1" x14ac:dyDescent="0.25">
      <c r="B15" s="130">
        <v>9</v>
      </c>
      <c r="C15" s="176" t="str">
        <f>Config!C13&amp;", "&amp;Config!D13</f>
        <v>Hennings, Tomas</v>
      </c>
      <c r="D15" s="185">
        <v>1.5</v>
      </c>
      <c r="E15" s="185">
        <v>3</v>
      </c>
      <c r="F15" s="185">
        <v>4</v>
      </c>
      <c r="G15" s="185">
        <v>3</v>
      </c>
      <c r="H15" s="185">
        <v>2</v>
      </c>
      <c r="I15" s="185">
        <v>1</v>
      </c>
      <c r="J15" s="185">
        <v>0</v>
      </c>
      <c r="K15" s="185">
        <v>0</v>
      </c>
      <c r="L15" s="185">
        <v>0</v>
      </c>
      <c r="M15" s="186">
        <v>0</v>
      </c>
      <c r="N15" s="177">
        <f t="shared" si="0"/>
        <v>14.5</v>
      </c>
    </row>
    <row r="16" spans="2:14" ht="18" customHeight="1" x14ac:dyDescent="0.25">
      <c r="B16" s="128">
        <v>10</v>
      </c>
      <c r="C16" s="174" t="str">
        <f>Config!C14&amp;", "&amp;Config!D14</f>
        <v>Walters, Linn</v>
      </c>
      <c r="D16" s="185">
        <v>0</v>
      </c>
      <c r="E16" s="185">
        <v>1.5</v>
      </c>
      <c r="F16" s="185">
        <v>2.5</v>
      </c>
      <c r="G16" s="185">
        <v>0</v>
      </c>
      <c r="H16" s="185">
        <v>1</v>
      </c>
      <c r="I16" s="185">
        <v>1</v>
      </c>
      <c r="J16" s="185">
        <v>0</v>
      </c>
      <c r="K16" s="185">
        <v>0</v>
      </c>
      <c r="L16" s="185">
        <v>1</v>
      </c>
      <c r="M16" s="186">
        <v>0</v>
      </c>
      <c r="N16" s="175">
        <f t="shared" si="0"/>
        <v>7</v>
      </c>
    </row>
    <row r="17" spans="2:14" ht="18" customHeight="1" x14ac:dyDescent="0.25">
      <c r="B17" s="130">
        <v>11</v>
      </c>
      <c r="C17" s="176" t="str">
        <f>Config!C15&amp;", "&amp;Config!D15</f>
        <v>Junker, Amely</v>
      </c>
      <c r="D17" s="185">
        <v>1</v>
      </c>
      <c r="E17" s="185">
        <v>1.5</v>
      </c>
      <c r="F17" s="185">
        <v>4</v>
      </c>
      <c r="G17" s="185">
        <v>1.5</v>
      </c>
      <c r="H17" s="185">
        <v>2</v>
      </c>
      <c r="I17" s="185">
        <v>3.5</v>
      </c>
      <c r="J17" s="185">
        <v>0</v>
      </c>
      <c r="K17" s="185">
        <v>0</v>
      </c>
      <c r="L17" s="185">
        <v>0</v>
      </c>
      <c r="M17" s="186">
        <v>0</v>
      </c>
      <c r="N17" s="177">
        <f t="shared" si="0"/>
        <v>13.5</v>
      </c>
    </row>
    <row r="18" spans="2:14" ht="18" customHeight="1" x14ac:dyDescent="0.25">
      <c r="B18" s="128">
        <v>12</v>
      </c>
      <c r="C18" s="174" t="str">
        <f>Config!C16&amp;", "&amp;Config!D16</f>
        <v>Stephens, Melvin</v>
      </c>
      <c r="D18" s="185">
        <v>2</v>
      </c>
      <c r="E18" s="185">
        <v>3</v>
      </c>
      <c r="F18" s="185">
        <v>4</v>
      </c>
      <c r="G18" s="185">
        <v>3</v>
      </c>
      <c r="H18" s="185">
        <v>3</v>
      </c>
      <c r="I18" s="185">
        <v>4</v>
      </c>
      <c r="J18" s="185">
        <v>3</v>
      </c>
      <c r="K18" s="185">
        <v>0</v>
      </c>
      <c r="L18" s="185">
        <v>2</v>
      </c>
      <c r="M18" s="186">
        <v>3</v>
      </c>
      <c r="N18" s="175">
        <f t="shared" ref="N18:N28" si="1">SUM(D18:M18)</f>
        <v>27</v>
      </c>
    </row>
    <row r="19" spans="2:14" ht="18" customHeight="1" x14ac:dyDescent="0.25">
      <c r="B19" s="130">
        <v>13</v>
      </c>
      <c r="C19" s="176" t="str">
        <f>Config!C17&amp;", "&amp;Config!D17</f>
        <v>Cremer, Marvin</v>
      </c>
      <c r="D19" s="185">
        <v>0.5</v>
      </c>
      <c r="E19" s="185">
        <v>1.5</v>
      </c>
      <c r="F19" s="185">
        <v>4</v>
      </c>
      <c r="G19" s="185">
        <v>3</v>
      </c>
      <c r="H19" s="185">
        <v>3</v>
      </c>
      <c r="I19" s="185">
        <v>3.5</v>
      </c>
      <c r="J19" s="185">
        <v>0</v>
      </c>
      <c r="K19" s="185">
        <v>0</v>
      </c>
      <c r="L19" s="185">
        <v>2</v>
      </c>
      <c r="M19" s="186">
        <v>4.5</v>
      </c>
      <c r="N19" s="177">
        <f t="shared" si="1"/>
        <v>22</v>
      </c>
    </row>
    <row r="20" spans="2:14" ht="18" customHeight="1" x14ac:dyDescent="0.25">
      <c r="B20" s="128">
        <v>14</v>
      </c>
      <c r="C20" s="174" t="str">
        <f>Config!C18&amp;", "&amp;Config!D18</f>
        <v>Nash, Jean</v>
      </c>
      <c r="D20" s="185">
        <v>1.5</v>
      </c>
      <c r="E20" s="185">
        <v>2.5</v>
      </c>
      <c r="F20" s="185">
        <v>3</v>
      </c>
      <c r="G20" s="185">
        <v>2.5</v>
      </c>
      <c r="H20" s="185">
        <v>2</v>
      </c>
      <c r="I20" s="185">
        <v>4</v>
      </c>
      <c r="J20" s="185">
        <v>0</v>
      </c>
      <c r="K20" s="185">
        <v>0</v>
      </c>
      <c r="L20" s="185">
        <v>0</v>
      </c>
      <c r="M20" s="186">
        <v>0</v>
      </c>
      <c r="N20" s="175">
        <f t="shared" si="1"/>
        <v>15.5</v>
      </c>
    </row>
    <row r="21" spans="2:14" ht="18" customHeight="1" x14ac:dyDescent="0.25">
      <c r="B21" s="130">
        <v>15</v>
      </c>
      <c r="C21" s="176" t="str">
        <f>Config!C19&amp;", "&amp;Config!D19</f>
        <v>Schön, Leonardo</v>
      </c>
      <c r="D21" s="185">
        <v>1.5</v>
      </c>
      <c r="E21" s="185">
        <v>3</v>
      </c>
      <c r="F21" s="185">
        <v>4</v>
      </c>
      <c r="G21" s="185">
        <v>3</v>
      </c>
      <c r="H21" s="185">
        <v>2.5</v>
      </c>
      <c r="I21" s="185">
        <v>3.5</v>
      </c>
      <c r="J21" s="185">
        <v>0.5</v>
      </c>
      <c r="K21" s="185">
        <v>0</v>
      </c>
      <c r="L21" s="185">
        <v>2</v>
      </c>
      <c r="M21" s="186">
        <v>3.5</v>
      </c>
      <c r="N21" s="177">
        <f t="shared" si="1"/>
        <v>23.5</v>
      </c>
    </row>
    <row r="22" spans="2:14" ht="18" customHeight="1" x14ac:dyDescent="0.25">
      <c r="B22" s="128">
        <v>16</v>
      </c>
      <c r="C22" s="174" t="str">
        <f>Config!C20&amp;", "&amp;Config!D20</f>
        <v>Sigl, Nicholas</v>
      </c>
      <c r="D22" s="185">
        <v>1.5</v>
      </c>
      <c r="E22" s="185">
        <v>3</v>
      </c>
      <c r="F22" s="185">
        <v>4</v>
      </c>
      <c r="G22" s="185">
        <v>3</v>
      </c>
      <c r="H22" s="185">
        <v>3</v>
      </c>
      <c r="I22" s="185">
        <v>4</v>
      </c>
      <c r="J22" s="185">
        <v>0</v>
      </c>
      <c r="K22" s="185">
        <v>1.5</v>
      </c>
      <c r="L22" s="185">
        <v>0</v>
      </c>
      <c r="M22" s="186">
        <v>2</v>
      </c>
      <c r="N22" s="175">
        <f t="shared" si="1"/>
        <v>22</v>
      </c>
    </row>
    <row r="23" spans="2:14" ht="18" customHeight="1" x14ac:dyDescent="0.25">
      <c r="B23" s="130">
        <v>17</v>
      </c>
      <c r="C23" s="176" t="str">
        <f>Config!C21&amp;", "&amp;Config!D21</f>
        <v>Kainz, Vivienne</v>
      </c>
      <c r="D23" s="185">
        <v>1.5</v>
      </c>
      <c r="E23" s="185">
        <v>1.5</v>
      </c>
      <c r="F23" s="185">
        <v>0</v>
      </c>
      <c r="G23" s="185">
        <v>1.5</v>
      </c>
      <c r="H23" s="185">
        <v>1</v>
      </c>
      <c r="I23" s="185">
        <v>1</v>
      </c>
      <c r="J23" s="185">
        <v>0</v>
      </c>
      <c r="K23" s="185">
        <v>0</v>
      </c>
      <c r="L23" s="185">
        <v>0</v>
      </c>
      <c r="M23" s="186">
        <v>0</v>
      </c>
      <c r="N23" s="177">
        <f t="shared" si="1"/>
        <v>6.5</v>
      </c>
    </row>
    <row r="24" spans="2:14" ht="18" customHeight="1" x14ac:dyDescent="0.25">
      <c r="B24" s="128">
        <v>18</v>
      </c>
      <c r="C24" s="174" t="str">
        <f>Config!C22&amp;", "&amp;Config!D22</f>
        <v>Hartmann, Mads</v>
      </c>
      <c r="D24" s="185">
        <v>1</v>
      </c>
      <c r="E24" s="185">
        <v>2.5</v>
      </c>
      <c r="F24" s="185">
        <v>2</v>
      </c>
      <c r="G24" s="185">
        <v>3</v>
      </c>
      <c r="H24" s="185">
        <v>2.5</v>
      </c>
      <c r="I24" s="185">
        <v>3.5</v>
      </c>
      <c r="J24" s="185">
        <v>0</v>
      </c>
      <c r="K24" s="185">
        <v>0</v>
      </c>
      <c r="L24" s="185">
        <v>1.5</v>
      </c>
      <c r="M24" s="186">
        <v>0</v>
      </c>
      <c r="N24" s="175">
        <f t="shared" si="1"/>
        <v>16</v>
      </c>
    </row>
    <row r="25" spans="2:14" ht="18" customHeight="1" x14ac:dyDescent="0.25">
      <c r="B25" s="130">
        <v>19</v>
      </c>
      <c r="C25" s="176" t="str">
        <f>Config!C23&amp;", "&amp;Config!D23</f>
        <v>Ullmann, Raphael</v>
      </c>
      <c r="D25" s="185">
        <v>1.5</v>
      </c>
      <c r="E25" s="185">
        <v>2</v>
      </c>
      <c r="F25" s="185">
        <v>3</v>
      </c>
      <c r="G25" s="185">
        <v>0.5</v>
      </c>
      <c r="H25" s="185">
        <v>1</v>
      </c>
      <c r="I25" s="185">
        <v>4</v>
      </c>
      <c r="J25" s="185">
        <v>0.5</v>
      </c>
      <c r="K25" s="185">
        <v>0</v>
      </c>
      <c r="L25" s="185">
        <v>2</v>
      </c>
      <c r="M25" s="186">
        <v>0</v>
      </c>
      <c r="N25" s="177">
        <f t="shared" si="1"/>
        <v>14.5</v>
      </c>
    </row>
    <row r="26" spans="2:14" ht="18" customHeight="1" x14ac:dyDescent="0.25">
      <c r="B26" s="128">
        <v>20</v>
      </c>
      <c r="C26" s="174" t="str">
        <f>Config!C24&amp;", "&amp;Config!D24</f>
        <v>Hartl, Emmely</v>
      </c>
      <c r="D26" s="185">
        <v>1.5</v>
      </c>
      <c r="E26" s="185">
        <v>3</v>
      </c>
      <c r="F26" s="185">
        <v>3.5</v>
      </c>
      <c r="G26" s="185">
        <v>2.5</v>
      </c>
      <c r="H26" s="185">
        <v>2</v>
      </c>
      <c r="I26" s="185">
        <v>3.5</v>
      </c>
      <c r="J26" s="185">
        <v>2</v>
      </c>
      <c r="K26" s="185">
        <v>0</v>
      </c>
      <c r="L26" s="185">
        <v>1.5</v>
      </c>
      <c r="M26" s="186">
        <v>3.5</v>
      </c>
      <c r="N26" s="175">
        <f t="shared" si="1"/>
        <v>23</v>
      </c>
    </row>
    <row r="27" spans="2:14" ht="18" customHeight="1" x14ac:dyDescent="0.25">
      <c r="B27" s="130">
        <v>21</v>
      </c>
      <c r="C27" s="176" t="str">
        <f>Config!C25&amp;", "&amp;Config!D25</f>
        <v>Klotz, Karin</v>
      </c>
      <c r="D27" s="185">
        <v>2</v>
      </c>
      <c r="E27" s="185">
        <v>2.5</v>
      </c>
      <c r="F27" s="185">
        <v>4</v>
      </c>
      <c r="G27" s="185">
        <v>3</v>
      </c>
      <c r="H27" s="185">
        <v>2.5</v>
      </c>
      <c r="I27" s="185">
        <v>3</v>
      </c>
      <c r="J27" s="185">
        <v>3</v>
      </c>
      <c r="K27" s="185">
        <v>0</v>
      </c>
      <c r="L27" s="185">
        <v>2</v>
      </c>
      <c r="M27" s="186">
        <v>4.5</v>
      </c>
      <c r="N27" s="177">
        <f t="shared" si="1"/>
        <v>26.5</v>
      </c>
    </row>
    <row r="28" spans="2:14" ht="18" customHeight="1" x14ac:dyDescent="0.25">
      <c r="B28" s="128">
        <v>22</v>
      </c>
      <c r="C28" s="174" t="str">
        <f>Config!C26&amp;", "&amp;Config!D26</f>
        <v>Ehlers, Ingo</v>
      </c>
      <c r="D28" s="185">
        <v>0.5</v>
      </c>
      <c r="E28" s="185">
        <v>3</v>
      </c>
      <c r="F28" s="185">
        <v>4</v>
      </c>
      <c r="G28" s="185">
        <v>2</v>
      </c>
      <c r="H28" s="185">
        <v>2.5</v>
      </c>
      <c r="I28" s="185">
        <v>3</v>
      </c>
      <c r="J28" s="185">
        <v>1.5</v>
      </c>
      <c r="K28" s="185">
        <v>0</v>
      </c>
      <c r="L28" s="185">
        <v>2</v>
      </c>
      <c r="M28" s="186">
        <v>2.5</v>
      </c>
      <c r="N28" s="175">
        <f t="shared" si="1"/>
        <v>21</v>
      </c>
    </row>
    <row r="29" spans="2:14" ht="18" customHeight="1" thickBot="1" x14ac:dyDescent="0.3">
      <c r="B29" s="130">
        <v>23</v>
      </c>
      <c r="C29" s="176" t="str">
        <f>Config!C27&amp;", "&amp;Config!D27</f>
        <v>Lindemann, Mads</v>
      </c>
      <c r="D29" s="185">
        <v>1</v>
      </c>
      <c r="E29" s="185">
        <v>2.5</v>
      </c>
      <c r="F29" s="185">
        <v>3.5</v>
      </c>
      <c r="G29" s="185">
        <v>3</v>
      </c>
      <c r="H29" s="185">
        <v>2</v>
      </c>
      <c r="I29" s="185">
        <v>4</v>
      </c>
      <c r="J29" s="185">
        <v>0</v>
      </c>
      <c r="K29" s="185">
        <v>0</v>
      </c>
      <c r="L29" s="185">
        <v>0</v>
      </c>
      <c r="M29" s="186">
        <v>0</v>
      </c>
      <c r="N29" s="177">
        <f t="shared" ref="N29" si="2">SUM(D29:M29)</f>
        <v>16</v>
      </c>
    </row>
    <row r="30" spans="2:14" ht="18" customHeight="1" thickBot="1" x14ac:dyDescent="0.3">
      <c r="B30" s="178"/>
      <c r="C30" s="179"/>
      <c r="D30" s="179">
        <f>IF(COUNTIFS(D7:D29,"&lt;&gt;",C7:C29,"&lt;&gt;ZK",C7:C29,"&lt;&gt;DK")&lt;&gt;0,SUMIFS(D7:D29,C7:C29,"&lt;&gt;ZK",C7:C29,"&lt;&gt;DK")/(COUNTIFS(D7:D29,"&lt;&gt;",C7:C29,"&lt;&gt;ZK",C7:C29,"&lt;&gt;DK")*D6),0)</f>
        <v>0.64130434782608692</v>
      </c>
      <c r="E30" s="179">
        <f>IF(COUNTIFS(E7:E29,"&lt;&gt;",C7:C29,"&lt;&gt;ZK",C7:C29,"&lt;&gt;DK")&lt;&gt;0,SUMIFS(E7:E29,C7:C29,"&lt;&gt;ZK",C7:C29,"&lt;&gt;DK")/(COUNTIFS(E7:E29,"&lt;&gt;",C7:C29,"&lt;&gt;ZK",C7:C29,"&lt;&gt;DK")*E6),0)</f>
        <v>0.79710144927536231</v>
      </c>
      <c r="F30" s="179">
        <f>IF(COUNTIFS(F7:F29,"&lt;&gt;",C7:C29,"&lt;&gt;ZK",C7:C29,"&lt;&gt;DK")&lt;&gt;0,SUMIFS(F7:F29,C7:C29,"&lt;&gt;ZK",C7:C29,"&lt;&gt;DK")/(COUNTIFS(F7:F29,"&lt;&gt;",C7:C29,"&lt;&gt;ZK",C7:C29,"&lt;&gt;DK")*F6),0)</f>
        <v>0.78804347826086951</v>
      </c>
      <c r="G30" s="179">
        <f>IF(COUNTIFS(G7:G29,"&lt;&gt;",C7:C29,"&lt;&gt;ZK",C7:C29,"&lt;&gt;DK")&lt;&gt;0,SUMIFS(G7:G29,C7:C29,"&lt;&gt;ZK",C7:C29,"&lt;&gt;DK")/(COUNTIFS(G7:G29,"&lt;&gt;",C7:C29,"&lt;&gt;ZK",C7:C29,"&lt;&gt;DK")*G6),0)</f>
        <v>0.79710144927536231</v>
      </c>
      <c r="H30" s="179">
        <f>IF(COUNTIFS(H7:H29,"&lt;&gt;",C7:C29,"&lt;&gt;ZK",C7:C29,"&lt;&gt;DK")&lt;&gt;0,SUMIFS(H7:H29,C7:C29,"&lt;&gt;ZK",C7:C29,"&lt;&gt;DK")/(COUNTIFS(H7:H29,"&lt;&gt;",C7:C29,"&lt;&gt;ZK",C7:C29,"&lt;&gt;DK")*H6),0)</f>
        <v>0.78260869565217395</v>
      </c>
      <c r="I30" s="179">
        <f>IF(COUNTIFS(I7:I29,"&lt;&gt;",C7:C29,"&lt;&gt;ZK",C7:C29,"&lt;&gt;DK")&lt;&gt;0,SUMIFS(I7:I29,C7:C29,"&lt;&gt;ZK",C7:C29,"&lt;&gt;DK")/(COUNTIFS(I7:I29,"&lt;&gt;",C7:C29,"&lt;&gt;ZK",C7:C29,"&lt;&gt;DK")*I6),0)</f>
        <v>0.78260869565217395</v>
      </c>
      <c r="J30" s="179">
        <f>IF(COUNTIFS(J7:J29,"&lt;&gt;",C7:C29,"&lt;&gt;ZK",C7:C29,"&lt;&gt;DK")&lt;&gt;0,SUMIFS(J7:J29,C7:C29,"&lt;&gt;ZK",C7:C29,"&lt;&gt;DK")/(COUNTIFS(J7:J29,"&lt;&gt;",C7:C29,"&lt;&gt;ZK",C7:C29,"&lt;&gt;DK")*J6),0)</f>
        <v>0.27536231884057971</v>
      </c>
      <c r="K30" s="179">
        <f>IF(COUNTIFS(K7:K29,"&lt;&gt;",C7:C29,"&lt;&gt;ZK",C7:C29,"&lt;&gt;DK")&lt;&gt;0,SUMIFS(K7:K29,C7:C29,"&lt;&gt;ZK",C7:C29,"&lt;&gt;DK")/(COUNTIFS(K7:K29,"&lt;&gt;",C7:C29,"&lt;&gt;ZK",C7:C29,"&lt;&gt;DK")*K6),0)</f>
        <v>0.11956521739130435</v>
      </c>
      <c r="L30" s="179">
        <f>IF(COUNTIFS(L7:L29,"&lt;&gt;",C7:C29,"&lt;&gt;ZK",C7:C29,"&lt;&gt;DK")&lt;&gt;0,SUMIFS(L7:L29,C7:C29,"&lt;&gt;ZK",C7:C29,"&lt;&gt;DK")/(COUNTIFS(L7:L29,"&lt;&gt;",C7:C29,"&lt;&gt;ZK",C7:C29,"&lt;&gt;DK")*L6),0)</f>
        <v>0.60869565217391308</v>
      </c>
      <c r="M30" s="179">
        <f>IF(COUNTIFS(M7:M29,"&lt;&gt;",C7:C29,"&lt;&gt;ZK",C7:C29,"&lt;&gt;DK")&lt;&gt;0,SUMIFS(M7:M29,C7:C29,"&lt;&gt;ZK",C7:C29,"&lt;&gt;DK")/(COUNTIFS(M7:M29,"&lt;&gt;",C7:C29,"&lt;&gt;ZK",C7:C29,"&lt;&gt;DK")*M6),0)</f>
        <v>0.88043478260869568</v>
      </c>
      <c r="N30" s="180"/>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0">
    <dataValidation type="decimal" allowBlank="1" showErrorMessage="1" sqref="D7:D29" xr:uid="{AB0A4425-C59F-4665-ABFA-8B0263697D76}">
      <formula1>0</formula1>
      <formula2>$D$6</formula2>
    </dataValidation>
    <dataValidation type="decimal" allowBlank="1" showErrorMessage="1" sqref="E7:E29" xr:uid="{D364FF72-BE0E-4918-A818-474C344997B4}">
      <formula1>0</formula1>
      <formula2>$E$6</formula2>
    </dataValidation>
    <dataValidation type="decimal" allowBlank="1" showErrorMessage="1" sqref="F7:F29" xr:uid="{1208BC45-ADCA-4D62-A323-B2CD4E4CB000}">
      <formula1>0</formula1>
      <formula2>$F$6</formula2>
    </dataValidation>
    <dataValidation type="decimal" allowBlank="1" showErrorMessage="1" sqref="G7:G29" xr:uid="{A216382A-7376-4DF0-A7CD-567C10197B28}">
      <formula1>0</formula1>
      <formula2>$G$6</formula2>
    </dataValidation>
    <dataValidation type="decimal" allowBlank="1" showErrorMessage="1" sqref="H7:H29" xr:uid="{C356AB78-6C95-4AFF-A86D-C17B7A6D32BA}">
      <formula1>0</formula1>
      <formula2>$H$6</formula2>
    </dataValidation>
    <dataValidation type="decimal" allowBlank="1" showErrorMessage="1" sqref="I7:I29" xr:uid="{15BB767B-3FFB-49BD-BB19-E696DBFFF02D}">
      <formula1>0</formula1>
      <formula2>$I$6</formula2>
    </dataValidation>
    <dataValidation type="decimal" allowBlank="1" showErrorMessage="1" sqref="J7:J29" xr:uid="{F3286B71-1B1A-44AE-879C-32E5F23460D9}">
      <formula1>0</formula1>
      <formula2>$J$6</formula2>
    </dataValidation>
    <dataValidation type="decimal" allowBlank="1" showErrorMessage="1" sqref="K7:K29" xr:uid="{7751D1A4-AB3B-44DD-8F91-E27878041A88}">
      <formula1>0</formula1>
      <formula2>$K$6</formula2>
    </dataValidation>
    <dataValidation type="decimal" allowBlank="1" showErrorMessage="1" sqref="L7:L29" xr:uid="{4997D176-52F7-4FD4-AABA-969C404E3C48}">
      <formula1>0</formula1>
      <formula2>$L$6</formula2>
    </dataValidation>
    <dataValidation type="decimal" allowBlank="1" showErrorMessage="1" sqref="M7:M29" xr:uid="{F88D0CCF-649E-44AF-917F-BC1F6B256E7E}">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54467-7F44-4033-B477-240063C8DAC7}">
  <sheetPr codeName="Tabelle12">
    <tabColor rgb="FF92D050"/>
  </sheetPr>
  <dimension ref="B1:E100"/>
  <sheetViews>
    <sheetView workbookViewId="0">
      <selection activeCell="D7" sqref="D7"/>
    </sheetView>
  </sheetViews>
  <sheetFormatPr baseColWidth="10" defaultRowHeight="13.2" x14ac:dyDescent="0.25"/>
  <cols>
    <col min="1" max="2" width="3.44140625" style="99" customWidth="1"/>
    <col min="3" max="3" width="25.77734375" style="99" customWidth="1"/>
    <col min="4" max="5" width="8.77734375" style="99" customWidth="1"/>
    <col min="6" max="16384" width="11.5546875" style="99"/>
  </cols>
  <sheetData>
    <row r="1" spans="2:5" ht="18" customHeight="1" thickBot="1" x14ac:dyDescent="0.3"/>
    <row r="2" spans="2:5" ht="18" customHeight="1" x14ac:dyDescent="0.25">
      <c r="B2" s="100" t="str">
        <f>Config!F2&amp;" "&amp;YEAR(Config!G24)</f>
        <v>Mathe Abitur 2026</v>
      </c>
      <c r="C2" s="101"/>
      <c r="D2" s="102"/>
      <c r="E2" s="103" t="str">
        <f>"Kurs "&amp;Config!G26</f>
        <v>Kurs K1</v>
      </c>
    </row>
    <row r="3" spans="2:5" ht="18" customHeight="1" x14ac:dyDescent="0.25">
      <c r="B3" s="104" t="s">
        <v>11</v>
      </c>
      <c r="C3" s="105"/>
      <c r="D3" s="105"/>
      <c r="E3" s="106"/>
    </row>
    <row r="4" spans="2:5" ht="18" customHeight="1" thickBot="1" x14ac:dyDescent="0.3">
      <c r="B4" s="104"/>
      <c r="C4" s="105"/>
      <c r="D4" s="105"/>
      <c r="E4" s="106"/>
    </row>
    <row r="5" spans="2:5" ht="18" customHeight="1" thickBot="1" x14ac:dyDescent="0.3">
      <c r="B5" s="109"/>
      <c r="C5" s="107"/>
      <c r="D5" s="143" t="str">
        <f>Config!J6</f>
        <v>1</v>
      </c>
      <c r="E5" s="141" t="s">
        <v>82</v>
      </c>
    </row>
    <row r="6" spans="2:5" ht="18" customHeight="1" thickBot="1" x14ac:dyDescent="0.3">
      <c r="B6" s="110"/>
      <c r="C6" s="108" t="s">
        <v>81</v>
      </c>
      <c r="D6" s="142">
        <f>Config!K6</f>
        <v>5</v>
      </c>
      <c r="E6" s="144">
        <f>Config!K21</f>
        <v>5</v>
      </c>
    </row>
    <row r="7" spans="2:5" ht="18" customHeight="1" x14ac:dyDescent="0.25">
      <c r="B7" s="126">
        <v>1</v>
      </c>
      <c r="C7" s="172" t="str">
        <f>Config!C5&amp;", "&amp;Config!D5</f>
        <v>Höfer, Simon</v>
      </c>
      <c r="D7" s="182">
        <v>2.5</v>
      </c>
      <c r="E7" s="173">
        <f t="shared" ref="E7:E17" si="0">SUM(D7:D7)</f>
        <v>2.5</v>
      </c>
    </row>
    <row r="8" spans="2:5" ht="18" customHeight="1" x14ac:dyDescent="0.25">
      <c r="B8" s="128">
        <v>2</v>
      </c>
      <c r="C8" s="174" t="str">
        <f>Config!C6&amp;", "&amp;Config!D6</f>
        <v>Töpfer, Lilian</v>
      </c>
      <c r="D8" s="186">
        <v>5</v>
      </c>
      <c r="E8" s="175">
        <f t="shared" si="0"/>
        <v>5</v>
      </c>
    </row>
    <row r="9" spans="2:5" ht="18" customHeight="1" x14ac:dyDescent="0.25">
      <c r="B9" s="130">
        <v>3</v>
      </c>
      <c r="C9" s="176" t="str">
        <f>Config!C7&amp;", "&amp;Config!D7</f>
        <v>Fleischmann, Leonie</v>
      </c>
      <c r="D9" s="186">
        <v>2.5</v>
      </c>
      <c r="E9" s="177">
        <f t="shared" si="0"/>
        <v>2.5</v>
      </c>
    </row>
    <row r="10" spans="2:5" ht="18" customHeight="1" x14ac:dyDescent="0.25">
      <c r="B10" s="128">
        <v>4</v>
      </c>
      <c r="C10" s="174" t="str">
        <f>Config!C8&amp;", "&amp;Config!D8</f>
        <v>Drescher, Cedric</v>
      </c>
      <c r="D10" s="186">
        <v>2.5</v>
      </c>
      <c r="E10" s="175">
        <f t="shared" si="0"/>
        <v>2.5</v>
      </c>
    </row>
    <row r="11" spans="2:5" ht="18" customHeight="1" x14ac:dyDescent="0.25">
      <c r="B11" s="130">
        <v>5</v>
      </c>
      <c r="C11" s="176" t="str">
        <f>Config!C9&amp;", "&amp;Config!D9</f>
        <v>Baumgarten, Annabell</v>
      </c>
      <c r="D11" s="186">
        <v>2.5</v>
      </c>
      <c r="E11" s="177">
        <f t="shared" si="0"/>
        <v>2.5</v>
      </c>
    </row>
    <row r="12" spans="2:5" ht="18" customHeight="1" x14ac:dyDescent="0.25">
      <c r="B12" s="128">
        <v>6</v>
      </c>
      <c r="C12" s="174" t="str">
        <f>Config!C10&amp;", "&amp;Config!D10</f>
        <v>Traut, Stefanie</v>
      </c>
      <c r="D12" s="186">
        <v>3</v>
      </c>
      <c r="E12" s="175">
        <f t="shared" si="0"/>
        <v>3</v>
      </c>
    </row>
    <row r="13" spans="2:5" ht="18" customHeight="1" x14ac:dyDescent="0.25">
      <c r="B13" s="130">
        <v>7</v>
      </c>
      <c r="C13" s="176" t="str">
        <f>Config!C11&amp;", "&amp;Config!D11</f>
        <v>Menke, Damian</v>
      </c>
      <c r="D13" s="186">
        <v>5</v>
      </c>
      <c r="E13" s="177">
        <f t="shared" si="0"/>
        <v>5</v>
      </c>
    </row>
    <row r="14" spans="2:5" ht="18" customHeight="1" x14ac:dyDescent="0.25">
      <c r="B14" s="128">
        <v>8</v>
      </c>
      <c r="C14" s="174" t="str">
        <f>Config!C12&amp;", "&amp;Config!D12</f>
        <v>Carroll, Meik</v>
      </c>
      <c r="D14" s="186">
        <v>5</v>
      </c>
      <c r="E14" s="175">
        <f t="shared" si="0"/>
        <v>5</v>
      </c>
    </row>
    <row r="15" spans="2:5" ht="18" customHeight="1" x14ac:dyDescent="0.25">
      <c r="B15" s="130">
        <v>9</v>
      </c>
      <c r="C15" s="176" t="str">
        <f>Config!C13&amp;", "&amp;Config!D13</f>
        <v>Hennings, Tomas</v>
      </c>
      <c r="D15" s="186">
        <v>4</v>
      </c>
      <c r="E15" s="177">
        <f t="shared" si="0"/>
        <v>4</v>
      </c>
    </row>
    <row r="16" spans="2:5" ht="18" customHeight="1" x14ac:dyDescent="0.25">
      <c r="B16" s="128">
        <v>10</v>
      </c>
      <c r="C16" s="174" t="str">
        <f>Config!C14&amp;", "&amp;Config!D14</f>
        <v>Walters, Linn</v>
      </c>
      <c r="D16" s="186">
        <v>2.5</v>
      </c>
      <c r="E16" s="175">
        <f t="shared" si="0"/>
        <v>2.5</v>
      </c>
    </row>
    <row r="17" spans="2:5" ht="18" customHeight="1" x14ac:dyDescent="0.25">
      <c r="B17" s="130">
        <v>11</v>
      </c>
      <c r="C17" s="176" t="str">
        <f>Config!C15&amp;", "&amp;Config!D15</f>
        <v>Junker, Amely</v>
      </c>
      <c r="D17" s="186">
        <v>2</v>
      </c>
      <c r="E17" s="177">
        <f t="shared" si="0"/>
        <v>2</v>
      </c>
    </row>
    <row r="18" spans="2:5" ht="18" customHeight="1" x14ac:dyDescent="0.25">
      <c r="B18" s="128">
        <v>12</v>
      </c>
      <c r="C18" s="174" t="str">
        <f>Config!C16&amp;", "&amp;Config!D16</f>
        <v>Stephens, Melvin</v>
      </c>
      <c r="D18" s="186">
        <v>2.5</v>
      </c>
      <c r="E18" s="175">
        <f t="shared" ref="E18:E28" si="1">SUM(D18:D18)</f>
        <v>2.5</v>
      </c>
    </row>
    <row r="19" spans="2:5" ht="18" customHeight="1" x14ac:dyDescent="0.25">
      <c r="B19" s="130">
        <v>13</v>
      </c>
      <c r="C19" s="176" t="str">
        <f>Config!C17&amp;", "&amp;Config!D17</f>
        <v>Cremer, Marvin</v>
      </c>
      <c r="D19" s="186">
        <v>5</v>
      </c>
      <c r="E19" s="177">
        <f t="shared" si="1"/>
        <v>5</v>
      </c>
    </row>
    <row r="20" spans="2:5" ht="18" customHeight="1" x14ac:dyDescent="0.25">
      <c r="B20" s="128">
        <v>14</v>
      </c>
      <c r="C20" s="174" t="str">
        <f>Config!C18&amp;", "&amp;Config!D18</f>
        <v>Nash, Jean</v>
      </c>
      <c r="D20" s="186">
        <v>5</v>
      </c>
      <c r="E20" s="175">
        <f t="shared" si="1"/>
        <v>5</v>
      </c>
    </row>
    <row r="21" spans="2:5" ht="18" customHeight="1" x14ac:dyDescent="0.25">
      <c r="B21" s="130">
        <v>15</v>
      </c>
      <c r="C21" s="176" t="str">
        <f>Config!C19&amp;", "&amp;Config!D19</f>
        <v>Schön, Leonardo</v>
      </c>
      <c r="D21" s="186">
        <v>2.5</v>
      </c>
      <c r="E21" s="177">
        <f t="shared" si="1"/>
        <v>2.5</v>
      </c>
    </row>
    <row r="22" spans="2:5" ht="18" customHeight="1" x14ac:dyDescent="0.25">
      <c r="B22" s="128">
        <v>16</v>
      </c>
      <c r="C22" s="174" t="str">
        <f>Config!C20&amp;", "&amp;Config!D20</f>
        <v>Sigl, Nicholas</v>
      </c>
      <c r="D22" s="186">
        <v>5</v>
      </c>
      <c r="E22" s="175">
        <f t="shared" si="1"/>
        <v>5</v>
      </c>
    </row>
    <row r="23" spans="2:5" ht="18" customHeight="1" x14ac:dyDescent="0.25">
      <c r="B23" s="130">
        <v>17</v>
      </c>
      <c r="C23" s="176" t="str">
        <f>Config!C21&amp;", "&amp;Config!D21</f>
        <v>Kainz, Vivienne</v>
      </c>
      <c r="D23" s="186">
        <v>5</v>
      </c>
      <c r="E23" s="177">
        <f t="shared" si="1"/>
        <v>5</v>
      </c>
    </row>
    <row r="24" spans="2:5" ht="18" customHeight="1" x14ac:dyDescent="0.25">
      <c r="B24" s="128">
        <v>18</v>
      </c>
      <c r="C24" s="174" t="str">
        <f>Config!C22&amp;", "&amp;Config!D22</f>
        <v>Hartmann, Mads</v>
      </c>
      <c r="D24" s="186">
        <v>2.5</v>
      </c>
      <c r="E24" s="175">
        <f t="shared" si="1"/>
        <v>2.5</v>
      </c>
    </row>
    <row r="25" spans="2:5" ht="18" customHeight="1" x14ac:dyDescent="0.25">
      <c r="B25" s="130">
        <v>19</v>
      </c>
      <c r="C25" s="176" t="str">
        <f>Config!C23&amp;", "&amp;Config!D23</f>
        <v>Ullmann, Raphael</v>
      </c>
      <c r="D25" s="186">
        <v>5</v>
      </c>
      <c r="E25" s="177">
        <f t="shared" si="1"/>
        <v>5</v>
      </c>
    </row>
    <row r="26" spans="2:5" ht="18" customHeight="1" x14ac:dyDescent="0.25">
      <c r="B26" s="128">
        <v>20</v>
      </c>
      <c r="C26" s="174" t="str">
        <f>Config!C24&amp;", "&amp;Config!D24</f>
        <v>Hartl, Emmely</v>
      </c>
      <c r="D26" s="186">
        <v>3</v>
      </c>
      <c r="E26" s="175">
        <f t="shared" si="1"/>
        <v>3</v>
      </c>
    </row>
    <row r="27" spans="2:5" ht="18" customHeight="1" x14ac:dyDescent="0.25">
      <c r="B27" s="130">
        <v>21</v>
      </c>
      <c r="C27" s="176" t="str">
        <f>Config!C25&amp;", "&amp;Config!D25</f>
        <v>Klotz, Karin</v>
      </c>
      <c r="D27" s="186">
        <v>4</v>
      </c>
      <c r="E27" s="177">
        <f t="shared" si="1"/>
        <v>4</v>
      </c>
    </row>
    <row r="28" spans="2:5" ht="18" customHeight="1" x14ac:dyDescent="0.25">
      <c r="B28" s="128">
        <v>22</v>
      </c>
      <c r="C28" s="174" t="str">
        <f>Config!C26&amp;", "&amp;Config!D26</f>
        <v>Ehlers, Ingo</v>
      </c>
      <c r="D28" s="186">
        <v>5</v>
      </c>
      <c r="E28" s="175">
        <f t="shared" si="1"/>
        <v>5</v>
      </c>
    </row>
    <row r="29" spans="2:5" ht="18" customHeight="1" thickBot="1" x14ac:dyDescent="0.3">
      <c r="B29" s="130">
        <v>23</v>
      </c>
      <c r="C29" s="176" t="str">
        <f>Config!C27&amp;", "&amp;Config!D27</f>
        <v>Lindemann, Mads</v>
      </c>
      <c r="D29" s="186">
        <v>5</v>
      </c>
      <c r="E29" s="177">
        <f t="shared" ref="E29" si="2">SUM(D29:D29)</f>
        <v>5</v>
      </c>
    </row>
    <row r="30" spans="2:5" ht="18" customHeight="1" thickBot="1" x14ac:dyDescent="0.3">
      <c r="B30" s="178"/>
      <c r="C30" s="179"/>
      <c r="D30" s="179">
        <f>IF(COUNTIFS(D7:D29,"&lt;&gt;",C7:C29,"&lt;&gt;ZK",C7:C29,"&lt;&gt;DK")&lt;&gt;0,SUMIFS(D7:D29,C7:C29,"&lt;&gt;ZK",C7:C29,"&lt;&gt;DK")/(COUNTIFS(D7:D29,"&lt;&gt;",C7:C29,"&lt;&gt;ZK",C7:C29,"&lt;&gt;DK")*D6),0)</f>
        <v>0.74782608695652175</v>
      </c>
      <c r="E30" s="180"/>
    </row>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
    <dataValidation type="decimal" allowBlank="1" showErrorMessage="1" sqref="D7:D29" xr:uid="{970D33BE-0701-4813-BDC7-EF92F2BE2C40}">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91066-42E8-4F84-B57C-C4DFBA8543ED}">
  <sheetPr codeName="Tabelle13">
    <tabColor rgb="FF92D050"/>
  </sheetPr>
  <dimension ref="B1:I100"/>
  <sheetViews>
    <sheetView workbookViewId="0">
      <selection activeCell="D7" sqref="D7"/>
    </sheetView>
  </sheetViews>
  <sheetFormatPr baseColWidth="10" defaultRowHeight="13.2" x14ac:dyDescent="0.25"/>
  <cols>
    <col min="1" max="2" width="3.44140625" style="99" customWidth="1"/>
    <col min="3" max="3" width="25.77734375" style="99" customWidth="1"/>
    <col min="4" max="9" width="8.77734375" style="99" customWidth="1"/>
    <col min="10" max="16384" width="11.5546875" style="99"/>
  </cols>
  <sheetData>
    <row r="1" spans="2:9" ht="18" customHeight="1" thickBot="1" x14ac:dyDescent="0.3"/>
    <row r="2" spans="2:9" ht="18" customHeight="1" x14ac:dyDescent="0.25">
      <c r="B2" s="100" t="str">
        <f>Config!F2&amp;" "&amp;YEAR(Config!G24)</f>
        <v>Mathe Abitur 2026</v>
      </c>
      <c r="C2" s="101"/>
      <c r="D2" s="101"/>
      <c r="E2" s="101"/>
      <c r="F2" s="102"/>
      <c r="G2" s="102"/>
      <c r="H2" s="102"/>
      <c r="I2" s="103" t="str">
        <f>"Kurs "&amp;Config!G26</f>
        <v>Kurs K1</v>
      </c>
    </row>
    <row r="3" spans="2:9" ht="18" customHeight="1" x14ac:dyDescent="0.25">
      <c r="B3" s="104" t="s">
        <v>12</v>
      </c>
      <c r="C3" s="105"/>
      <c r="D3" s="105"/>
      <c r="E3" s="105"/>
      <c r="F3" s="105"/>
      <c r="G3" s="105"/>
      <c r="H3" s="105"/>
      <c r="I3" s="106"/>
    </row>
    <row r="4" spans="2:9" ht="18" customHeight="1" thickBot="1" x14ac:dyDescent="0.3">
      <c r="B4" s="104"/>
      <c r="C4" s="105"/>
      <c r="D4" s="105"/>
      <c r="E4" s="105"/>
      <c r="F4" s="105"/>
      <c r="G4" s="105"/>
      <c r="H4" s="105"/>
      <c r="I4" s="106"/>
    </row>
    <row r="5" spans="2:9" ht="18" customHeight="1" thickBot="1" x14ac:dyDescent="0.3">
      <c r="B5" s="109"/>
      <c r="C5" s="107"/>
      <c r="D5" s="143" t="str">
        <f>Config!L6</f>
        <v>1a</v>
      </c>
      <c r="E5" s="143" t="str">
        <f>Config!L7</f>
        <v>1b</v>
      </c>
      <c r="F5" s="143" t="str">
        <f>Config!L8</f>
        <v>1c</v>
      </c>
      <c r="G5" s="143" t="str">
        <f>Config!L9</f>
        <v>1d</v>
      </c>
      <c r="H5" s="143" t="str">
        <f>Config!L10</f>
        <v>2</v>
      </c>
      <c r="I5" s="141" t="s">
        <v>82</v>
      </c>
    </row>
    <row r="6" spans="2:9" ht="18" customHeight="1" thickBot="1" x14ac:dyDescent="0.3">
      <c r="B6" s="110"/>
      <c r="C6" s="108" t="s">
        <v>81</v>
      </c>
      <c r="D6" s="142">
        <f>Config!M6</f>
        <v>2</v>
      </c>
      <c r="E6" s="142">
        <f>Config!M7</f>
        <v>2</v>
      </c>
      <c r="F6" s="142">
        <f>Config!M8</f>
        <v>2</v>
      </c>
      <c r="G6" s="142">
        <f>Config!M9</f>
        <v>4</v>
      </c>
      <c r="H6" s="142">
        <f>Config!M10</f>
        <v>7</v>
      </c>
      <c r="I6" s="144">
        <f>Config!M21</f>
        <v>17</v>
      </c>
    </row>
    <row r="7" spans="2:9" ht="18" customHeight="1" x14ac:dyDescent="0.25">
      <c r="B7" s="126">
        <v>1</v>
      </c>
      <c r="C7" s="172" t="str">
        <f>Config!C5&amp;", "&amp;Config!D5</f>
        <v>Höfer, Simon</v>
      </c>
      <c r="D7" s="181">
        <v>2</v>
      </c>
      <c r="E7" s="181">
        <v>2</v>
      </c>
      <c r="F7" s="181">
        <v>2</v>
      </c>
      <c r="G7" s="181">
        <v>4</v>
      </c>
      <c r="H7" s="182">
        <v>3</v>
      </c>
      <c r="I7" s="173">
        <f t="shared" ref="I7:I17" si="0">SUM(D7:H7)</f>
        <v>13</v>
      </c>
    </row>
    <row r="8" spans="2:9" ht="18" customHeight="1" x14ac:dyDescent="0.25">
      <c r="B8" s="128">
        <v>2</v>
      </c>
      <c r="C8" s="174" t="str">
        <f>Config!C6&amp;", "&amp;Config!D6</f>
        <v>Töpfer, Lilian</v>
      </c>
      <c r="D8" s="185">
        <v>1</v>
      </c>
      <c r="E8" s="185">
        <v>2</v>
      </c>
      <c r="F8" s="185">
        <v>1</v>
      </c>
      <c r="G8" s="185">
        <v>2</v>
      </c>
      <c r="H8" s="186">
        <v>1</v>
      </c>
      <c r="I8" s="175">
        <f t="shared" si="0"/>
        <v>7</v>
      </c>
    </row>
    <row r="9" spans="2:9" ht="18" customHeight="1" x14ac:dyDescent="0.25">
      <c r="B9" s="130">
        <v>3</v>
      </c>
      <c r="C9" s="176" t="str">
        <f>Config!C7&amp;", "&amp;Config!D7</f>
        <v>Fleischmann, Leonie</v>
      </c>
      <c r="D9" s="185">
        <v>2</v>
      </c>
      <c r="E9" s="185">
        <v>2</v>
      </c>
      <c r="F9" s="185">
        <v>1</v>
      </c>
      <c r="G9" s="185">
        <v>3</v>
      </c>
      <c r="H9" s="186">
        <v>0</v>
      </c>
      <c r="I9" s="177">
        <f t="shared" si="0"/>
        <v>8</v>
      </c>
    </row>
    <row r="10" spans="2:9" ht="18" customHeight="1" x14ac:dyDescent="0.25">
      <c r="B10" s="128">
        <v>4</v>
      </c>
      <c r="C10" s="174" t="str">
        <f>Config!C8&amp;", "&amp;Config!D8</f>
        <v>Drescher, Cedric</v>
      </c>
      <c r="D10" s="185">
        <v>2</v>
      </c>
      <c r="E10" s="185">
        <v>2</v>
      </c>
      <c r="F10" s="185">
        <v>1</v>
      </c>
      <c r="G10" s="185">
        <v>4</v>
      </c>
      <c r="H10" s="186">
        <v>0</v>
      </c>
      <c r="I10" s="175">
        <f t="shared" si="0"/>
        <v>9</v>
      </c>
    </row>
    <row r="11" spans="2:9" ht="18" customHeight="1" x14ac:dyDescent="0.25">
      <c r="B11" s="130">
        <v>5</v>
      </c>
      <c r="C11" s="176" t="str">
        <f>Config!C9&amp;", "&amp;Config!D9</f>
        <v>Baumgarten, Annabell</v>
      </c>
      <c r="D11" s="185">
        <v>1</v>
      </c>
      <c r="E11" s="185">
        <v>1</v>
      </c>
      <c r="F11" s="185">
        <v>1</v>
      </c>
      <c r="G11" s="185">
        <v>1.5</v>
      </c>
      <c r="H11" s="186">
        <v>0</v>
      </c>
      <c r="I11" s="177">
        <f t="shared" si="0"/>
        <v>4.5</v>
      </c>
    </row>
    <row r="12" spans="2:9" ht="18" customHeight="1" x14ac:dyDescent="0.25">
      <c r="B12" s="128">
        <v>6</v>
      </c>
      <c r="C12" s="174" t="str">
        <f>Config!C10&amp;", "&amp;Config!D10</f>
        <v>Traut, Stefanie</v>
      </c>
      <c r="D12" s="185">
        <v>2</v>
      </c>
      <c r="E12" s="185">
        <v>0.5</v>
      </c>
      <c r="F12" s="185">
        <v>1</v>
      </c>
      <c r="G12" s="185">
        <v>4</v>
      </c>
      <c r="H12" s="186">
        <v>3</v>
      </c>
      <c r="I12" s="175">
        <f t="shared" si="0"/>
        <v>10.5</v>
      </c>
    </row>
    <row r="13" spans="2:9" ht="18" customHeight="1" x14ac:dyDescent="0.25">
      <c r="B13" s="130">
        <v>7</v>
      </c>
      <c r="C13" s="176" t="str">
        <f>Config!C11&amp;", "&amp;Config!D11</f>
        <v>Menke, Damian</v>
      </c>
      <c r="D13" s="185">
        <v>2</v>
      </c>
      <c r="E13" s="185">
        <v>2</v>
      </c>
      <c r="F13" s="185">
        <v>2</v>
      </c>
      <c r="G13" s="185">
        <v>2.5</v>
      </c>
      <c r="H13" s="186">
        <v>0</v>
      </c>
      <c r="I13" s="177">
        <f t="shared" si="0"/>
        <v>8.5</v>
      </c>
    </row>
    <row r="14" spans="2:9" ht="18" customHeight="1" x14ac:dyDescent="0.25">
      <c r="B14" s="128">
        <v>8</v>
      </c>
      <c r="C14" s="174" t="str">
        <f>Config!C12&amp;", "&amp;Config!D12</f>
        <v>Carroll, Meik</v>
      </c>
      <c r="D14" s="185">
        <v>2</v>
      </c>
      <c r="E14" s="185">
        <v>2</v>
      </c>
      <c r="F14" s="185">
        <v>2</v>
      </c>
      <c r="G14" s="185">
        <v>2</v>
      </c>
      <c r="H14" s="186">
        <v>0.5</v>
      </c>
      <c r="I14" s="175">
        <f t="shared" si="0"/>
        <v>8.5</v>
      </c>
    </row>
    <row r="15" spans="2:9" ht="18" customHeight="1" x14ac:dyDescent="0.25">
      <c r="B15" s="130">
        <v>9</v>
      </c>
      <c r="C15" s="176" t="str">
        <f>Config!C13&amp;", "&amp;Config!D13</f>
        <v>Hennings, Tomas</v>
      </c>
      <c r="D15" s="185">
        <v>2</v>
      </c>
      <c r="E15" s="185">
        <v>2</v>
      </c>
      <c r="F15" s="185">
        <v>2</v>
      </c>
      <c r="G15" s="185">
        <v>4</v>
      </c>
      <c r="H15" s="186">
        <v>3</v>
      </c>
      <c r="I15" s="177">
        <f t="shared" si="0"/>
        <v>13</v>
      </c>
    </row>
    <row r="16" spans="2:9" ht="18" customHeight="1" x14ac:dyDescent="0.25">
      <c r="B16" s="128">
        <v>10</v>
      </c>
      <c r="C16" s="174" t="str">
        <f>Config!C14&amp;", "&amp;Config!D14</f>
        <v>Walters, Linn</v>
      </c>
      <c r="D16" s="185">
        <v>2</v>
      </c>
      <c r="E16" s="185">
        <v>2</v>
      </c>
      <c r="F16" s="185">
        <v>2</v>
      </c>
      <c r="G16" s="185">
        <v>2</v>
      </c>
      <c r="H16" s="186">
        <v>0</v>
      </c>
      <c r="I16" s="175">
        <f t="shared" si="0"/>
        <v>8</v>
      </c>
    </row>
    <row r="17" spans="2:9" ht="18" customHeight="1" x14ac:dyDescent="0.25">
      <c r="B17" s="130">
        <v>11</v>
      </c>
      <c r="C17" s="176" t="str">
        <f>Config!C15&amp;", "&amp;Config!D15</f>
        <v>Junker, Amely</v>
      </c>
      <c r="D17" s="185">
        <v>1</v>
      </c>
      <c r="E17" s="185">
        <v>0</v>
      </c>
      <c r="F17" s="185">
        <v>2</v>
      </c>
      <c r="G17" s="185">
        <v>1.5</v>
      </c>
      <c r="H17" s="186">
        <v>2</v>
      </c>
      <c r="I17" s="177">
        <f t="shared" si="0"/>
        <v>6.5</v>
      </c>
    </row>
    <row r="18" spans="2:9" ht="18" customHeight="1" x14ac:dyDescent="0.25">
      <c r="B18" s="128">
        <v>12</v>
      </c>
      <c r="C18" s="174" t="str">
        <f>Config!C16&amp;", "&amp;Config!D16</f>
        <v>Stephens, Melvin</v>
      </c>
      <c r="D18" s="185">
        <v>2</v>
      </c>
      <c r="E18" s="185">
        <v>2</v>
      </c>
      <c r="F18" s="185">
        <v>1</v>
      </c>
      <c r="G18" s="185">
        <v>0.5</v>
      </c>
      <c r="H18" s="186">
        <v>0</v>
      </c>
      <c r="I18" s="175">
        <f t="shared" ref="I18:I28" si="1">SUM(D18:H18)</f>
        <v>5.5</v>
      </c>
    </row>
    <row r="19" spans="2:9" ht="18" customHeight="1" x14ac:dyDescent="0.25">
      <c r="B19" s="130">
        <v>13</v>
      </c>
      <c r="C19" s="176" t="str">
        <f>Config!C17&amp;", "&amp;Config!D17</f>
        <v>Cremer, Marvin</v>
      </c>
      <c r="D19" s="185">
        <v>2</v>
      </c>
      <c r="E19" s="185">
        <v>0</v>
      </c>
      <c r="F19" s="185">
        <v>1.5</v>
      </c>
      <c r="G19" s="185">
        <v>0</v>
      </c>
      <c r="H19" s="186">
        <v>2</v>
      </c>
      <c r="I19" s="177">
        <f t="shared" si="1"/>
        <v>5.5</v>
      </c>
    </row>
    <row r="20" spans="2:9" ht="18" customHeight="1" x14ac:dyDescent="0.25">
      <c r="B20" s="128">
        <v>14</v>
      </c>
      <c r="C20" s="174" t="str">
        <f>Config!C18&amp;", "&amp;Config!D18</f>
        <v>Nash, Jean</v>
      </c>
      <c r="D20" s="185">
        <v>2</v>
      </c>
      <c r="E20" s="185">
        <v>0</v>
      </c>
      <c r="F20" s="185">
        <v>1</v>
      </c>
      <c r="G20" s="185">
        <v>2</v>
      </c>
      <c r="H20" s="186">
        <v>3</v>
      </c>
      <c r="I20" s="175">
        <f t="shared" si="1"/>
        <v>8</v>
      </c>
    </row>
    <row r="21" spans="2:9" ht="18" customHeight="1" x14ac:dyDescent="0.25">
      <c r="B21" s="130">
        <v>15</v>
      </c>
      <c r="C21" s="176" t="str">
        <f>Config!C19&amp;", "&amp;Config!D19</f>
        <v>Schön, Leonardo</v>
      </c>
      <c r="D21" s="185">
        <v>2</v>
      </c>
      <c r="E21" s="185">
        <v>0.5</v>
      </c>
      <c r="F21" s="185">
        <v>1.5</v>
      </c>
      <c r="G21" s="185">
        <v>3</v>
      </c>
      <c r="H21" s="186">
        <v>1</v>
      </c>
      <c r="I21" s="177">
        <f t="shared" si="1"/>
        <v>8</v>
      </c>
    </row>
    <row r="22" spans="2:9" ht="18" customHeight="1" x14ac:dyDescent="0.25">
      <c r="B22" s="128">
        <v>16</v>
      </c>
      <c r="C22" s="174" t="str">
        <f>Config!C20&amp;", "&amp;Config!D20</f>
        <v>Sigl, Nicholas</v>
      </c>
      <c r="D22" s="185">
        <v>0</v>
      </c>
      <c r="E22" s="185">
        <v>0</v>
      </c>
      <c r="F22" s="185">
        <v>0</v>
      </c>
      <c r="G22" s="185">
        <v>0</v>
      </c>
      <c r="H22" s="186">
        <v>0</v>
      </c>
      <c r="I22" s="175">
        <f t="shared" si="1"/>
        <v>0</v>
      </c>
    </row>
    <row r="23" spans="2:9" ht="18" customHeight="1" x14ac:dyDescent="0.25">
      <c r="B23" s="130">
        <v>17</v>
      </c>
      <c r="C23" s="176" t="str">
        <f>Config!C21&amp;", "&amp;Config!D21</f>
        <v>Kainz, Vivienne</v>
      </c>
      <c r="D23" s="185">
        <v>1</v>
      </c>
      <c r="E23" s="185">
        <v>1</v>
      </c>
      <c r="F23" s="185">
        <v>1.5</v>
      </c>
      <c r="G23" s="185">
        <v>1</v>
      </c>
      <c r="H23" s="186">
        <v>3</v>
      </c>
      <c r="I23" s="177">
        <f t="shared" si="1"/>
        <v>7.5</v>
      </c>
    </row>
    <row r="24" spans="2:9" ht="18" customHeight="1" x14ac:dyDescent="0.25">
      <c r="B24" s="128">
        <v>18</v>
      </c>
      <c r="C24" s="174" t="str">
        <f>Config!C22&amp;", "&amp;Config!D22</f>
        <v>Hartmann, Mads</v>
      </c>
      <c r="D24" s="185">
        <v>2</v>
      </c>
      <c r="E24" s="185">
        <v>2</v>
      </c>
      <c r="F24" s="185">
        <v>1</v>
      </c>
      <c r="G24" s="185">
        <v>2</v>
      </c>
      <c r="H24" s="186">
        <v>0</v>
      </c>
      <c r="I24" s="175">
        <f t="shared" si="1"/>
        <v>7</v>
      </c>
    </row>
    <row r="25" spans="2:9" ht="18" customHeight="1" x14ac:dyDescent="0.25">
      <c r="B25" s="130">
        <v>19</v>
      </c>
      <c r="C25" s="176" t="str">
        <f>Config!C23&amp;", "&amp;Config!D23</f>
        <v>Ullmann, Raphael</v>
      </c>
      <c r="D25" s="185">
        <v>2</v>
      </c>
      <c r="E25" s="185">
        <v>0.5</v>
      </c>
      <c r="F25" s="185">
        <v>1.5</v>
      </c>
      <c r="G25" s="185">
        <v>2</v>
      </c>
      <c r="H25" s="186">
        <v>1</v>
      </c>
      <c r="I25" s="177">
        <f t="shared" si="1"/>
        <v>7</v>
      </c>
    </row>
    <row r="26" spans="2:9" ht="18" customHeight="1" x14ac:dyDescent="0.25">
      <c r="B26" s="128">
        <v>20</v>
      </c>
      <c r="C26" s="174" t="str">
        <f>Config!C24&amp;", "&amp;Config!D24</f>
        <v>Hartl, Emmely</v>
      </c>
      <c r="D26" s="185">
        <v>2</v>
      </c>
      <c r="E26" s="185">
        <v>0.5</v>
      </c>
      <c r="F26" s="185">
        <v>2</v>
      </c>
      <c r="G26" s="185">
        <v>0</v>
      </c>
      <c r="H26" s="186">
        <v>0</v>
      </c>
      <c r="I26" s="175">
        <f t="shared" si="1"/>
        <v>4.5</v>
      </c>
    </row>
    <row r="27" spans="2:9" ht="18" customHeight="1" x14ac:dyDescent="0.25">
      <c r="B27" s="130">
        <v>21</v>
      </c>
      <c r="C27" s="176" t="str">
        <f>Config!C25&amp;", "&amp;Config!D25</f>
        <v>Klotz, Karin</v>
      </c>
      <c r="D27" s="185">
        <v>1</v>
      </c>
      <c r="E27" s="185">
        <v>2</v>
      </c>
      <c r="F27" s="185">
        <v>1</v>
      </c>
      <c r="G27" s="185">
        <v>2</v>
      </c>
      <c r="H27" s="186">
        <v>0</v>
      </c>
      <c r="I27" s="177">
        <f t="shared" si="1"/>
        <v>6</v>
      </c>
    </row>
    <row r="28" spans="2:9" ht="18" customHeight="1" x14ac:dyDescent="0.25">
      <c r="B28" s="128">
        <v>22</v>
      </c>
      <c r="C28" s="174" t="str">
        <f>Config!C26&amp;", "&amp;Config!D26</f>
        <v>Ehlers, Ingo</v>
      </c>
      <c r="D28" s="185">
        <v>2</v>
      </c>
      <c r="E28" s="185">
        <v>0</v>
      </c>
      <c r="F28" s="185">
        <v>2</v>
      </c>
      <c r="G28" s="185">
        <v>1.5</v>
      </c>
      <c r="H28" s="186">
        <v>0</v>
      </c>
      <c r="I28" s="175">
        <f t="shared" si="1"/>
        <v>5.5</v>
      </c>
    </row>
    <row r="29" spans="2:9" ht="18" customHeight="1" thickBot="1" x14ac:dyDescent="0.3">
      <c r="B29" s="130">
        <v>23</v>
      </c>
      <c r="C29" s="176" t="str">
        <f>Config!C27&amp;", "&amp;Config!D27</f>
        <v>Lindemann, Mads</v>
      </c>
      <c r="D29" s="185">
        <v>2</v>
      </c>
      <c r="E29" s="185">
        <v>2</v>
      </c>
      <c r="F29" s="185">
        <v>2</v>
      </c>
      <c r="G29" s="185">
        <v>4</v>
      </c>
      <c r="H29" s="186">
        <v>0</v>
      </c>
      <c r="I29" s="177">
        <f t="shared" ref="I29" si="2">SUM(D29:H29)</f>
        <v>10</v>
      </c>
    </row>
    <row r="30" spans="2:9" ht="18" customHeight="1" thickBot="1" x14ac:dyDescent="0.3">
      <c r="B30" s="178"/>
      <c r="C30" s="179"/>
      <c r="D30" s="179">
        <f>IF(COUNTIFS(D7:D29,"&lt;&gt;",C7:C29,"&lt;&gt;ZK",C7:C29,"&lt;&gt;DK")&lt;&gt;0,SUMIFS(D7:D29,C7:C29,"&lt;&gt;ZK",C7:C29,"&lt;&gt;DK")/(COUNTIFS(D7:D29,"&lt;&gt;",C7:C29,"&lt;&gt;ZK",C7:C29,"&lt;&gt;DK")*D6),0)</f>
        <v>0.84782608695652173</v>
      </c>
      <c r="E30" s="179">
        <f>IF(COUNTIFS(E7:E29,"&lt;&gt;",C7:C29,"&lt;&gt;ZK",C7:C29,"&lt;&gt;DK")&lt;&gt;0,SUMIFS(E7:E29,C7:C29,"&lt;&gt;ZK",C7:C29,"&lt;&gt;DK")/(COUNTIFS(E7:E29,"&lt;&gt;",C7:C29,"&lt;&gt;ZK",C7:C29,"&lt;&gt;DK")*E6),0)</f>
        <v>0.60869565217391308</v>
      </c>
      <c r="F30" s="179">
        <f>IF(COUNTIFS(F7:F29,"&lt;&gt;",C7:C29,"&lt;&gt;ZK",C7:C29,"&lt;&gt;DK")&lt;&gt;0,SUMIFS(F7:F29,C7:C29,"&lt;&gt;ZK",C7:C29,"&lt;&gt;DK")/(COUNTIFS(F7:F29,"&lt;&gt;",C7:C29,"&lt;&gt;ZK",C7:C29,"&lt;&gt;DK")*F6),0)</f>
        <v>0.71739130434782605</v>
      </c>
      <c r="G30" s="179">
        <f>IF(COUNTIFS(G7:G29,"&lt;&gt;",C7:C29,"&lt;&gt;ZK",C7:C29,"&lt;&gt;DK")&lt;&gt;0,SUMIFS(G7:G29,C7:C29,"&lt;&gt;ZK",C7:C29,"&lt;&gt;DK")/(COUNTIFS(G7:G29,"&lt;&gt;",C7:C29,"&lt;&gt;ZK",C7:C29,"&lt;&gt;DK")*G6),0)</f>
        <v>0.52717391304347827</v>
      </c>
      <c r="H30" s="179">
        <f>IF(COUNTIFS(H7:H29,"&lt;&gt;",C7:C29,"&lt;&gt;ZK",C7:C29,"&lt;&gt;DK")&lt;&gt;0,SUMIFS(H7:H29,C7:C29,"&lt;&gt;ZK",C7:C29,"&lt;&gt;DK")/(COUNTIFS(H7:H29,"&lt;&gt;",C7:C29,"&lt;&gt;ZK",C7:C29,"&lt;&gt;DK")*H6),0)</f>
        <v>0.13975155279503104</v>
      </c>
      <c r="I30" s="180"/>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29" xr:uid="{55277813-8EED-44F1-98E1-898990F75A51}">
      <formula1>0</formula1>
      <formula2>$D$6</formula2>
    </dataValidation>
    <dataValidation type="decimal" allowBlank="1" showErrorMessage="1" sqref="E7:E29" xr:uid="{56FB40A2-F76D-498A-A8CF-ED1971EDA907}">
      <formula1>0</formula1>
      <formula2>$E$6</formula2>
    </dataValidation>
    <dataValidation type="decimal" allowBlank="1" showErrorMessage="1" sqref="F7:F29" xr:uid="{9133E88D-CBFA-4933-8BF0-20000C1056CA}">
      <formula1>0</formula1>
      <formula2>$F$6</formula2>
    </dataValidation>
    <dataValidation type="decimal" allowBlank="1" showErrorMessage="1" sqref="G7:G29" xr:uid="{E89DD16D-DF29-4E86-8C57-4575D0D2B690}">
      <formula1>0</formula1>
      <formula2>$G$6</formula2>
    </dataValidation>
    <dataValidation type="decimal" allowBlank="1" showErrorMessage="1" sqref="H7:H29" xr:uid="{6D03F2AE-C2E4-40EB-B679-4587E7B6A234}">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D18CF-458E-4934-86F2-DEFB3F625663}">
  <sheetPr codeName="Tabelle14">
    <tabColor rgb="FF92D050"/>
  </sheetPr>
  <dimension ref="B1:F100"/>
  <sheetViews>
    <sheetView workbookViewId="0">
      <selection activeCell="D7" sqref="D7"/>
    </sheetView>
  </sheetViews>
  <sheetFormatPr baseColWidth="10" defaultRowHeight="13.2" x14ac:dyDescent="0.25"/>
  <cols>
    <col min="1" max="2" width="3.44140625" style="99" customWidth="1"/>
    <col min="3" max="3" width="25.77734375" style="99" customWidth="1"/>
    <col min="4" max="6" width="8.77734375" style="99" customWidth="1"/>
    <col min="7" max="16384" width="11.5546875" style="99"/>
  </cols>
  <sheetData>
    <row r="1" spans="2:6" ht="18" customHeight="1" thickBot="1" x14ac:dyDescent="0.3"/>
    <row r="2" spans="2:6" ht="18" customHeight="1" x14ac:dyDescent="0.25">
      <c r="B2" s="100" t="str">
        <f>Config!F2&amp;" "&amp;YEAR(Config!G24)</f>
        <v>Mathe Abitur 2026</v>
      </c>
      <c r="C2" s="101"/>
      <c r="D2" s="101"/>
      <c r="E2" s="102"/>
      <c r="F2" s="103" t="str">
        <f>"Kurs "&amp;Config!G26</f>
        <v>Kurs K1</v>
      </c>
    </row>
    <row r="3" spans="2:6" ht="18" customHeight="1" x14ac:dyDescent="0.25">
      <c r="B3" s="104" t="s">
        <v>13</v>
      </c>
      <c r="C3" s="105"/>
      <c r="D3" s="105"/>
      <c r="E3" s="105"/>
      <c r="F3" s="106"/>
    </row>
    <row r="4" spans="2:6" ht="18" customHeight="1" thickBot="1" x14ac:dyDescent="0.3">
      <c r="B4" s="104"/>
      <c r="C4" s="105"/>
      <c r="D4" s="105"/>
      <c r="E4" s="105"/>
      <c r="F4" s="106"/>
    </row>
    <row r="5" spans="2:6" ht="18" customHeight="1" thickBot="1" x14ac:dyDescent="0.3">
      <c r="B5" s="109"/>
      <c r="C5" s="107"/>
      <c r="D5" s="143" t="str">
        <f>Config!N6</f>
        <v>1a</v>
      </c>
      <c r="E5" s="143" t="str">
        <f>Config!N7</f>
        <v>1b</v>
      </c>
      <c r="F5" s="141" t="s">
        <v>82</v>
      </c>
    </row>
    <row r="6" spans="2:6" ht="18" customHeight="1" thickBot="1" x14ac:dyDescent="0.3">
      <c r="B6" s="110"/>
      <c r="C6" s="108" t="s">
        <v>81</v>
      </c>
      <c r="D6" s="142">
        <f>Config!O6</f>
        <v>2</v>
      </c>
      <c r="E6" s="142">
        <f>Config!O7</f>
        <v>3</v>
      </c>
      <c r="F6" s="144">
        <f>Config!O21</f>
        <v>5</v>
      </c>
    </row>
    <row r="7" spans="2:6" ht="18" customHeight="1" x14ac:dyDescent="0.25">
      <c r="B7" s="126">
        <v>1</v>
      </c>
      <c r="C7" s="172" t="str">
        <f>Config!C5&amp;", "&amp;Config!D5</f>
        <v>Höfer, Simon</v>
      </c>
      <c r="D7" s="181">
        <v>0</v>
      </c>
      <c r="E7" s="182">
        <v>0</v>
      </c>
      <c r="F7" s="173">
        <f t="shared" ref="F7:F17" si="0">SUM(D7:E7)</f>
        <v>0</v>
      </c>
    </row>
    <row r="8" spans="2:6" ht="18" customHeight="1" x14ac:dyDescent="0.25">
      <c r="B8" s="128">
        <v>2</v>
      </c>
      <c r="C8" s="174" t="str">
        <f>Config!C6&amp;", "&amp;Config!D6</f>
        <v>Töpfer, Lilian</v>
      </c>
      <c r="D8" s="185">
        <v>1.5</v>
      </c>
      <c r="E8" s="186">
        <v>2</v>
      </c>
      <c r="F8" s="175">
        <f t="shared" si="0"/>
        <v>3.5</v>
      </c>
    </row>
    <row r="9" spans="2:6" ht="18" customHeight="1" x14ac:dyDescent="0.25">
      <c r="B9" s="130">
        <v>3</v>
      </c>
      <c r="C9" s="176" t="str">
        <f>Config!C7&amp;", "&amp;Config!D7</f>
        <v>Fleischmann, Leonie</v>
      </c>
      <c r="D9" s="185">
        <v>2</v>
      </c>
      <c r="E9" s="186">
        <v>2.5</v>
      </c>
      <c r="F9" s="177">
        <f t="shared" si="0"/>
        <v>4.5</v>
      </c>
    </row>
    <row r="10" spans="2:6" ht="18" customHeight="1" x14ac:dyDescent="0.25">
      <c r="B10" s="128">
        <v>4</v>
      </c>
      <c r="C10" s="174" t="str">
        <f>Config!C8&amp;", "&amp;Config!D8</f>
        <v>Drescher, Cedric</v>
      </c>
      <c r="D10" s="185">
        <v>2</v>
      </c>
      <c r="E10" s="186">
        <v>1.5</v>
      </c>
      <c r="F10" s="175">
        <f t="shared" si="0"/>
        <v>3.5</v>
      </c>
    </row>
    <row r="11" spans="2:6" ht="18" customHeight="1" x14ac:dyDescent="0.25">
      <c r="B11" s="130">
        <v>5</v>
      </c>
      <c r="C11" s="176" t="str">
        <f>Config!C9&amp;", "&amp;Config!D9</f>
        <v>Baumgarten, Annabell</v>
      </c>
      <c r="D11" s="185">
        <v>1.5</v>
      </c>
      <c r="E11" s="186">
        <v>2</v>
      </c>
      <c r="F11" s="177">
        <f t="shared" si="0"/>
        <v>3.5</v>
      </c>
    </row>
    <row r="12" spans="2:6" ht="18" customHeight="1" x14ac:dyDescent="0.25">
      <c r="B12" s="128">
        <v>6</v>
      </c>
      <c r="C12" s="174" t="str">
        <f>Config!C10&amp;", "&amp;Config!D10</f>
        <v>Traut, Stefanie</v>
      </c>
      <c r="D12" s="185">
        <v>1.5</v>
      </c>
      <c r="E12" s="186">
        <v>3</v>
      </c>
      <c r="F12" s="175">
        <f t="shared" si="0"/>
        <v>4.5</v>
      </c>
    </row>
    <row r="13" spans="2:6" ht="18" customHeight="1" x14ac:dyDescent="0.25">
      <c r="B13" s="130">
        <v>7</v>
      </c>
      <c r="C13" s="176" t="str">
        <f>Config!C11&amp;", "&amp;Config!D11</f>
        <v>Menke, Damian</v>
      </c>
      <c r="D13" s="185">
        <v>2</v>
      </c>
      <c r="E13" s="186">
        <v>2.5</v>
      </c>
      <c r="F13" s="177">
        <f t="shared" si="0"/>
        <v>4.5</v>
      </c>
    </row>
    <row r="14" spans="2:6" ht="18" customHeight="1" x14ac:dyDescent="0.25">
      <c r="B14" s="128">
        <v>8</v>
      </c>
      <c r="C14" s="174" t="str">
        <f>Config!C12&amp;", "&amp;Config!D12</f>
        <v>Carroll, Meik</v>
      </c>
      <c r="D14" s="185">
        <v>2</v>
      </c>
      <c r="E14" s="186">
        <v>2</v>
      </c>
      <c r="F14" s="175">
        <f t="shared" si="0"/>
        <v>4</v>
      </c>
    </row>
    <row r="15" spans="2:6" ht="18" customHeight="1" x14ac:dyDescent="0.25">
      <c r="B15" s="130">
        <v>9</v>
      </c>
      <c r="C15" s="176" t="str">
        <f>Config!C13&amp;", "&amp;Config!D13</f>
        <v>Hennings, Tomas</v>
      </c>
      <c r="D15" s="185">
        <v>1.5</v>
      </c>
      <c r="E15" s="186">
        <v>3</v>
      </c>
      <c r="F15" s="177">
        <f t="shared" si="0"/>
        <v>4.5</v>
      </c>
    </row>
    <row r="16" spans="2:6" ht="18" customHeight="1" x14ac:dyDescent="0.25">
      <c r="B16" s="128">
        <v>10</v>
      </c>
      <c r="C16" s="174" t="str">
        <f>Config!C14&amp;", "&amp;Config!D14</f>
        <v>Walters, Linn</v>
      </c>
      <c r="D16" s="185">
        <v>1</v>
      </c>
      <c r="E16" s="186">
        <v>0</v>
      </c>
      <c r="F16" s="175">
        <f t="shared" si="0"/>
        <v>1</v>
      </c>
    </row>
    <row r="17" spans="2:6" ht="18" customHeight="1" x14ac:dyDescent="0.25">
      <c r="B17" s="130">
        <v>11</v>
      </c>
      <c r="C17" s="176" t="str">
        <f>Config!C15&amp;", "&amp;Config!D15</f>
        <v>Junker, Amely</v>
      </c>
      <c r="D17" s="185">
        <v>2</v>
      </c>
      <c r="E17" s="186">
        <v>0</v>
      </c>
      <c r="F17" s="177">
        <f t="shared" si="0"/>
        <v>2</v>
      </c>
    </row>
    <row r="18" spans="2:6" ht="18" customHeight="1" x14ac:dyDescent="0.25">
      <c r="B18" s="128">
        <v>12</v>
      </c>
      <c r="C18" s="174" t="str">
        <f>Config!C16&amp;", "&amp;Config!D16</f>
        <v>Stephens, Melvin</v>
      </c>
      <c r="D18" s="185">
        <v>0.5</v>
      </c>
      <c r="E18" s="186">
        <v>0</v>
      </c>
      <c r="F18" s="175">
        <f t="shared" ref="F18:F28" si="1">SUM(D18:E18)</f>
        <v>0.5</v>
      </c>
    </row>
    <row r="19" spans="2:6" ht="18" customHeight="1" x14ac:dyDescent="0.25">
      <c r="B19" s="130">
        <v>13</v>
      </c>
      <c r="C19" s="176" t="str">
        <f>Config!C17&amp;", "&amp;Config!D17</f>
        <v>Cremer, Marvin</v>
      </c>
      <c r="D19" s="185">
        <v>1.5</v>
      </c>
      <c r="E19" s="186">
        <v>3</v>
      </c>
      <c r="F19" s="177">
        <f t="shared" si="1"/>
        <v>4.5</v>
      </c>
    </row>
    <row r="20" spans="2:6" ht="18" customHeight="1" x14ac:dyDescent="0.25">
      <c r="B20" s="128">
        <v>14</v>
      </c>
      <c r="C20" s="174" t="str">
        <f>Config!C18&amp;", "&amp;Config!D18</f>
        <v>Nash, Jean</v>
      </c>
      <c r="D20" s="185">
        <v>2</v>
      </c>
      <c r="E20" s="186">
        <v>2</v>
      </c>
      <c r="F20" s="175">
        <f t="shared" si="1"/>
        <v>4</v>
      </c>
    </row>
    <row r="21" spans="2:6" ht="18" customHeight="1" x14ac:dyDescent="0.25">
      <c r="B21" s="130">
        <v>15</v>
      </c>
      <c r="C21" s="176" t="str">
        <f>Config!C19&amp;", "&amp;Config!D19</f>
        <v>Schön, Leonardo</v>
      </c>
      <c r="D21" s="185">
        <v>2</v>
      </c>
      <c r="E21" s="186">
        <v>3</v>
      </c>
      <c r="F21" s="177">
        <f t="shared" si="1"/>
        <v>5</v>
      </c>
    </row>
    <row r="22" spans="2:6" ht="18" customHeight="1" x14ac:dyDescent="0.25">
      <c r="B22" s="128">
        <v>16</v>
      </c>
      <c r="C22" s="174" t="str">
        <f>Config!C20&amp;", "&amp;Config!D20</f>
        <v>Sigl, Nicholas</v>
      </c>
      <c r="D22" s="185">
        <v>2</v>
      </c>
      <c r="E22" s="186">
        <v>2.5</v>
      </c>
      <c r="F22" s="175">
        <f t="shared" si="1"/>
        <v>4.5</v>
      </c>
    </row>
    <row r="23" spans="2:6" ht="18" customHeight="1" x14ac:dyDescent="0.25">
      <c r="B23" s="130">
        <v>17</v>
      </c>
      <c r="C23" s="176" t="str">
        <f>Config!C21&amp;", "&amp;Config!D21</f>
        <v>Kainz, Vivienne</v>
      </c>
      <c r="D23" s="185">
        <v>2</v>
      </c>
      <c r="E23" s="186">
        <v>3</v>
      </c>
      <c r="F23" s="177">
        <f t="shared" si="1"/>
        <v>5</v>
      </c>
    </row>
    <row r="24" spans="2:6" ht="18" customHeight="1" x14ac:dyDescent="0.25">
      <c r="B24" s="128">
        <v>18</v>
      </c>
      <c r="C24" s="174" t="str">
        <f>Config!C22&amp;", "&amp;Config!D22</f>
        <v>Hartmann, Mads</v>
      </c>
      <c r="D24" s="185">
        <v>1</v>
      </c>
      <c r="E24" s="186">
        <v>0</v>
      </c>
      <c r="F24" s="175">
        <f t="shared" si="1"/>
        <v>1</v>
      </c>
    </row>
    <row r="25" spans="2:6" ht="18" customHeight="1" x14ac:dyDescent="0.25">
      <c r="B25" s="130">
        <v>19</v>
      </c>
      <c r="C25" s="176" t="str">
        <f>Config!C23&amp;", "&amp;Config!D23</f>
        <v>Ullmann, Raphael</v>
      </c>
      <c r="D25" s="185">
        <v>2</v>
      </c>
      <c r="E25" s="186">
        <v>0</v>
      </c>
      <c r="F25" s="177">
        <f t="shared" si="1"/>
        <v>2</v>
      </c>
    </row>
    <row r="26" spans="2:6" ht="18" customHeight="1" x14ac:dyDescent="0.25">
      <c r="B26" s="128">
        <v>20</v>
      </c>
      <c r="C26" s="174" t="str">
        <f>Config!C24&amp;", "&amp;Config!D24</f>
        <v>Hartl, Emmely</v>
      </c>
      <c r="D26" s="185">
        <v>2</v>
      </c>
      <c r="E26" s="186">
        <v>0</v>
      </c>
      <c r="F26" s="175">
        <f t="shared" si="1"/>
        <v>2</v>
      </c>
    </row>
    <row r="27" spans="2:6" ht="18" customHeight="1" x14ac:dyDescent="0.25">
      <c r="B27" s="130">
        <v>21</v>
      </c>
      <c r="C27" s="176" t="str">
        <f>Config!C25&amp;", "&amp;Config!D25</f>
        <v>Klotz, Karin</v>
      </c>
      <c r="D27" s="185">
        <v>2</v>
      </c>
      <c r="E27" s="186">
        <v>3</v>
      </c>
      <c r="F27" s="177">
        <f t="shared" si="1"/>
        <v>5</v>
      </c>
    </row>
    <row r="28" spans="2:6" ht="18" customHeight="1" x14ac:dyDescent="0.25">
      <c r="B28" s="128">
        <v>22</v>
      </c>
      <c r="C28" s="174" t="str">
        <f>Config!C26&amp;", "&amp;Config!D26</f>
        <v>Ehlers, Ingo</v>
      </c>
      <c r="D28" s="185">
        <v>2</v>
      </c>
      <c r="E28" s="186">
        <v>3</v>
      </c>
      <c r="F28" s="175">
        <f t="shared" si="1"/>
        <v>5</v>
      </c>
    </row>
    <row r="29" spans="2:6" ht="18" customHeight="1" thickBot="1" x14ac:dyDescent="0.3">
      <c r="B29" s="130">
        <v>23</v>
      </c>
      <c r="C29" s="176" t="str">
        <f>Config!C27&amp;", "&amp;Config!D27</f>
        <v>Lindemann, Mads</v>
      </c>
      <c r="D29" s="185">
        <v>2</v>
      </c>
      <c r="E29" s="186">
        <v>1</v>
      </c>
      <c r="F29" s="177">
        <f t="shared" ref="F29" si="2">SUM(D29:E29)</f>
        <v>3</v>
      </c>
    </row>
    <row r="30" spans="2:6" ht="18" customHeight="1" thickBot="1" x14ac:dyDescent="0.3">
      <c r="B30" s="178"/>
      <c r="C30" s="179"/>
      <c r="D30" s="179">
        <f>IF(COUNTIFS(D7:D29,"&lt;&gt;",C7:C29,"&lt;&gt;ZK",C7:C29,"&lt;&gt;DK")&lt;&gt;0,SUMIFS(D7:D29,C7:C29,"&lt;&gt;ZK",C7:C29,"&lt;&gt;DK")/(COUNTIFS(D7:D29,"&lt;&gt;",C7:C29,"&lt;&gt;ZK",C7:C29,"&lt;&gt;DK")*D6),0)</f>
        <v>0.82608695652173914</v>
      </c>
      <c r="E30" s="179">
        <f>IF(COUNTIFS(E7:E29,"&lt;&gt;",C7:C29,"&lt;&gt;ZK",C7:C29,"&lt;&gt;DK")&lt;&gt;0,SUMIFS(E7:E29,C7:C29,"&lt;&gt;ZK",C7:C29,"&lt;&gt;DK")/(COUNTIFS(E7:E29,"&lt;&gt;",C7:C29,"&lt;&gt;ZK",C7:C29,"&lt;&gt;DK")*E6),0)</f>
        <v>0.56521739130434778</v>
      </c>
      <c r="F30" s="180"/>
    </row>
    <row r="31" spans="2:6" ht="18" customHeight="1" x14ac:dyDescent="0.25"/>
    <row r="32" spans="2: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2">
    <dataValidation type="decimal" allowBlank="1" showErrorMessage="1" sqref="D7:D29" xr:uid="{E5CB6C12-5344-4989-AC73-317A02E9E252}">
      <formula1>0</formula1>
      <formula2>$D$6</formula2>
    </dataValidation>
    <dataValidation type="decimal" allowBlank="1" showErrorMessage="1" sqref="E7:E29" xr:uid="{DC8E14BB-F7D7-4140-B0FE-E0085EF73D5C}">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FB91B-AD9F-4594-9814-15D4558F9840}">
  <sheetPr codeName="Tabelle15">
    <tabColor rgb="FF92D050"/>
  </sheetPr>
  <dimension ref="B1:I100"/>
  <sheetViews>
    <sheetView workbookViewId="0">
      <selection activeCell="D7" sqref="D7"/>
    </sheetView>
  </sheetViews>
  <sheetFormatPr baseColWidth="10" defaultRowHeight="13.2" x14ac:dyDescent="0.25"/>
  <cols>
    <col min="1" max="2" width="3.44140625" style="99" customWidth="1"/>
    <col min="3" max="3" width="25.77734375" style="99" customWidth="1"/>
    <col min="4" max="9" width="8.77734375" style="99" customWidth="1"/>
    <col min="10" max="16384" width="11.5546875" style="99"/>
  </cols>
  <sheetData>
    <row r="1" spans="2:9" ht="18" customHeight="1" thickBot="1" x14ac:dyDescent="0.3"/>
    <row r="2" spans="2:9" ht="18" customHeight="1" x14ac:dyDescent="0.25">
      <c r="B2" s="100" t="str">
        <f>Config!F2&amp;" "&amp;YEAR(Config!G24)</f>
        <v>Mathe Abitur 2026</v>
      </c>
      <c r="C2" s="101"/>
      <c r="D2" s="101"/>
      <c r="E2" s="101"/>
      <c r="F2" s="102"/>
      <c r="G2" s="102"/>
      <c r="H2" s="102"/>
      <c r="I2" s="103" t="str">
        <f>"Kurs "&amp;Config!G26</f>
        <v>Kurs K1</v>
      </c>
    </row>
    <row r="3" spans="2:9" ht="18" customHeight="1" x14ac:dyDescent="0.25">
      <c r="B3" s="104" t="s">
        <v>14</v>
      </c>
      <c r="C3" s="105"/>
      <c r="D3" s="105"/>
      <c r="E3" s="105"/>
      <c r="F3" s="105"/>
      <c r="G3" s="105"/>
      <c r="H3" s="105"/>
      <c r="I3" s="106"/>
    </row>
    <row r="4" spans="2:9" ht="18" customHeight="1" thickBot="1" x14ac:dyDescent="0.3">
      <c r="B4" s="104"/>
      <c r="C4" s="105"/>
      <c r="D4" s="105"/>
      <c r="E4" s="105"/>
      <c r="F4" s="105"/>
      <c r="G4" s="105"/>
      <c r="H4" s="105"/>
      <c r="I4" s="106"/>
    </row>
    <row r="5" spans="2:9" ht="18" customHeight="1" thickBot="1" x14ac:dyDescent="0.3">
      <c r="B5" s="109"/>
      <c r="C5" s="107"/>
      <c r="D5" s="143" t="str">
        <f>Config!P6</f>
        <v>1a</v>
      </c>
      <c r="E5" s="143" t="str">
        <f>Config!P7</f>
        <v>1b</v>
      </c>
      <c r="F5" s="143" t="str">
        <f>Config!P8</f>
        <v>1c</v>
      </c>
      <c r="G5" s="143" t="str">
        <f>Config!P9</f>
        <v>1d</v>
      </c>
      <c r="H5" s="143" t="str">
        <f>Config!P10</f>
        <v>1e</v>
      </c>
      <c r="I5" s="141" t="s">
        <v>82</v>
      </c>
    </row>
    <row r="6" spans="2:9" ht="18" customHeight="1" thickBot="1" x14ac:dyDescent="0.3">
      <c r="B6" s="110"/>
      <c r="C6" s="108" t="s">
        <v>81</v>
      </c>
      <c r="D6" s="142">
        <f>Config!Q6</f>
        <v>4</v>
      </c>
      <c r="E6" s="142">
        <f>Config!Q7</f>
        <v>3</v>
      </c>
      <c r="F6" s="142">
        <f>Config!Q8</f>
        <v>4</v>
      </c>
      <c r="G6" s="142">
        <f>Config!Q9</f>
        <v>3</v>
      </c>
      <c r="H6" s="142">
        <f>Config!Q10</f>
        <v>4</v>
      </c>
      <c r="I6" s="144">
        <f>Config!Q21</f>
        <v>18</v>
      </c>
    </row>
    <row r="7" spans="2:9" ht="18" customHeight="1" x14ac:dyDescent="0.25">
      <c r="B7" s="126">
        <v>1</v>
      </c>
      <c r="C7" s="172" t="str">
        <f>Config!C5&amp;", "&amp;Config!D5</f>
        <v>Höfer, Simon</v>
      </c>
      <c r="D7" s="181">
        <v>4</v>
      </c>
      <c r="E7" s="181">
        <v>2</v>
      </c>
      <c r="F7" s="181">
        <v>2</v>
      </c>
      <c r="G7" s="181">
        <v>0.5</v>
      </c>
      <c r="H7" s="182">
        <v>0.5</v>
      </c>
      <c r="I7" s="173">
        <f t="shared" ref="I7:I17" si="0">SUM(D7:H7)</f>
        <v>9</v>
      </c>
    </row>
    <row r="8" spans="2:9" ht="18" customHeight="1" x14ac:dyDescent="0.25">
      <c r="B8" s="128">
        <v>2</v>
      </c>
      <c r="C8" s="174" t="str">
        <f>Config!C6&amp;", "&amp;Config!D6</f>
        <v>Töpfer, Lilian</v>
      </c>
      <c r="D8" s="185">
        <v>4</v>
      </c>
      <c r="E8" s="185">
        <v>0</v>
      </c>
      <c r="F8" s="185">
        <v>2.5</v>
      </c>
      <c r="G8" s="185">
        <v>0.5</v>
      </c>
      <c r="H8" s="186">
        <v>2</v>
      </c>
      <c r="I8" s="175">
        <f t="shared" si="0"/>
        <v>9</v>
      </c>
    </row>
    <row r="9" spans="2:9" ht="18" customHeight="1" x14ac:dyDescent="0.25">
      <c r="B9" s="130">
        <v>3</v>
      </c>
      <c r="C9" s="176" t="str">
        <f>Config!C7&amp;", "&amp;Config!D7</f>
        <v>Fleischmann, Leonie</v>
      </c>
      <c r="D9" s="185">
        <v>4</v>
      </c>
      <c r="E9" s="185">
        <v>2</v>
      </c>
      <c r="F9" s="185">
        <v>3</v>
      </c>
      <c r="G9" s="185">
        <v>2</v>
      </c>
      <c r="H9" s="186">
        <v>3</v>
      </c>
      <c r="I9" s="177">
        <f t="shared" si="0"/>
        <v>14</v>
      </c>
    </row>
    <row r="10" spans="2:9" ht="18" customHeight="1" x14ac:dyDescent="0.25">
      <c r="B10" s="128">
        <v>4</v>
      </c>
      <c r="C10" s="174" t="str">
        <f>Config!C8&amp;", "&amp;Config!D8</f>
        <v>Drescher, Cedric</v>
      </c>
      <c r="D10" s="185">
        <v>4</v>
      </c>
      <c r="E10" s="185">
        <v>2</v>
      </c>
      <c r="F10" s="185">
        <v>3.5</v>
      </c>
      <c r="G10" s="185">
        <v>0</v>
      </c>
      <c r="H10" s="186">
        <v>4</v>
      </c>
      <c r="I10" s="175">
        <f t="shared" si="0"/>
        <v>13.5</v>
      </c>
    </row>
    <row r="11" spans="2:9" ht="18" customHeight="1" x14ac:dyDescent="0.25">
      <c r="B11" s="130">
        <v>5</v>
      </c>
      <c r="C11" s="176" t="str">
        <f>Config!C9&amp;", "&amp;Config!D9</f>
        <v>Baumgarten, Annabell</v>
      </c>
      <c r="D11" s="185">
        <v>4</v>
      </c>
      <c r="E11" s="185">
        <v>2</v>
      </c>
      <c r="F11" s="185">
        <v>3</v>
      </c>
      <c r="G11" s="185">
        <v>0</v>
      </c>
      <c r="H11" s="186">
        <v>3</v>
      </c>
      <c r="I11" s="177">
        <f t="shared" si="0"/>
        <v>12</v>
      </c>
    </row>
    <row r="12" spans="2:9" ht="18" customHeight="1" x14ac:dyDescent="0.25">
      <c r="B12" s="128">
        <v>6</v>
      </c>
      <c r="C12" s="174" t="str">
        <f>Config!C10&amp;", "&amp;Config!D10</f>
        <v>Traut, Stefanie</v>
      </c>
      <c r="D12" s="185">
        <v>4</v>
      </c>
      <c r="E12" s="185">
        <v>3</v>
      </c>
      <c r="F12" s="185">
        <v>4</v>
      </c>
      <c r="G12" s="185">
        <v>2</v>
      </c>
      <c r="H12" s="186">
        <v>4</v>
      </c>
      <c r="I12" s="175">
        <f t="shared" si="0"/>
        <v>17</v>
      </c>
    </row>
    <row r="13" spans="2:9" ht="18" customHeight="1" x14ac:dyDescent="0.25">
      <c r="B13" s="130">
        <v>7</v>
      </c>
      <c r="C13" s="176" t="str">
        <f>Config!C11&amp;", "&amp;Config!D11</f>
        <v>Menke, Damian</v>
      </c>
      <c r="D13" s="185">
        <v>4</v>
      </c>
      <c r="E13" s="185">
        <v>3</v>
      </c>
      <c r="F13" s="185">
        <v>3.5</v>
      </c>
      <c r="G13" s="185">
        <v>0.5</v>
      </c>
      <c r="H13" s="186">
        <v>4</v>
      </c>
      <c r="I13" s="177">
        <f t="shared" si="0"/>
        <v>15</v>
      </c>
    </row>
    <row r="14" spans="2:9" ht="18" customHeight="1" x14ac:dyDescent="0.25">
      <c r="B14" s="128">
        <v>8</v>
      </c>
      <c r="C14" s="174" t="str">
        <f>Config!C12&amp;", "&amp;Config!D12</f>
        <v>Carroll, Meik</v>
      </c>
      <c r="D14" s="185">
        <v>3.5</v>
      </c>
      <c r="E14" s="185">
        <v>2</v>
      </c>
      <c r="F14" s="185">
        <v>3.5</v>
      </c>
      <c r="G14" s="185">
        <v>2</v>
      </c>
      <c r="H14" s="186">
        <v>2</v>
      </c>
      <c r="I14" s="175">
        <f t="shared" si="0"/>
        <v>13</v>
      </c>
    </row>
    <row r="15" spans="2:9" ht="18" customHeight="1" x14ac:dyDescent="0.25">
      <c r="B15" s="130">
        <v>9</v>
      </c>
      <c r="C15" s="176" t="str">
        <f>Config!C13&amp;", "&amp;Config!D13</f>
        <v>Hennings, Tomas</v>
      </c>
      <c r="D15" s="185">
        <v>2</v>
      </c>
      <c r="E15" s="185">
        <v>0</v>
      </c>
      <c r="F15" s="185">
        <v>1</v>
      </c>
      <c r="G15" s="185">
        <v>1</v>
      </c>
      <c r="H15" s="186">
        <v>0</v>
      </c>
      <c r="I15" s="177">
        <f t="shared" si="0"/>
        <v>4</v>
      </c>
    </row>
    <row r="16" spans="2:9" ht="18" customHeight="1" x14ac:dyDescent="0.25">
      <c r="B16" s="128">
        <v>10</v>
      </c>
      <c r="C16" s="174" t="str">
        <f>Config!C14&amp;", "&amp;Config!D14</f>
        <v>Walters, Linn</v>
      </c>
      <c r="D16" s="185">
        <v>2.5</v>
      </c>
      <c r="E16" s="185">
        <v>1</v>
      </c>
      <c r="F16" s="185">
        <v>3</v>
      </c>
      <c r="G16" s="185">
        <v>2</v>
      </c>
      <c r="H16" s="186">
        <v>0</v>
      </c>
      <c r="I16" s="175">
        <f t="shared" si="0"/>
        <v>8.5</v>
      </c>
    </row>
    <row r="17" spans="2:9" ht="18" customHeight="1" x14ac:dyDescent="0.25">
      <c r="B17" s="130">
        <v>11</v>
      </c>
      <c r="C17" s="176" t="str">
        <f>Config!C15&amp;", "&amp;Config!D15</f>
        <v>Junker, Amely</v>
      </c>
      <c r="D17" s="185">
        <v>4</v>
      </c>
      <c r="E17" s="185">
        <v>3</v>
      </c>
      <c r="F17" s="185">
        <v>2</v>
      </c>
      <c r="G17" s="185">
        <v>2</v>
      </c>
      <c r="H17" s="186">
        <v>2</v>
      </c>
      <c r="I17" s="177">
        <f t="shared" si="0"/>
        <v>13</v>
      </c>
    </row>
    <row r="18" spans="2:9" ht="18" customHeight="1" x14ac:dyDescent="0.25">
      <c r="B18" s="128">
        <v>12</v>
      </c>
      <c r="C18" s="174" t="str">
        <f>Config!C16&amp;", "&amp;Config!D16</f>
        <v>Stephens, Melvin</v>
      </c>
      <c r="D18" s="185">
        <v>4</v>
      </c>
      <c r="E18" s="185">
        <v>2</v>
      </c>
      <c r="F18" s="185">
        <v>3</v>
      </c>
      <c r="G18" s="185">
        <v>2</v>
      </c>
      <c r="H18" s="186">
        <v>2</v>
      </c>
      <c r="I18" s="175">
        <f t="shared" ref="I18:I28" si="1">SUM(D18:H18)</f>
        <v>13</v>
      </c>
    </row>
    <row r="19" spans="2:9" ht="18" customHeight="1" x14ac:dyDescent="0.25">
      <c r="B19" s="130">
        <v>13</v>
      </c>
      <c r="C19" s="176" t="str">
        <f>Config!C17&amp;", "&amp;Config!D17</f>
        <v>Cremer, Marvin</v>
      </c>
      <c r="D19" s="185">
        <v>3</v>
      </c>
      <c r="E19" s="185">
        <v>0</v>
      </c>
      <c r="F19" s="185">
        <v>0</v>
      </c>
      <c r="G19" s="185">
        <v>0</v>
      </c>
      <c r="H19" s="186">
        <v>0</v>
      </c>
      <c r="I19" s="177">
        <f t="shared" si="1"/>
        <v>3</v>
      </c>
    </row>
    <row r="20" spans="2:9" ht="18" customHeight="1" x14ac:dyDescent="0.25">
      <c r="B20" s="128">
        <v>14</v>
      </c>
      <c r="C20" s="174" t="str">
        <f>Config!C18&amp;", "&amp;Config!D18</f>
        <v>Nash, Jean</v>
      </c>
      <c r="D20" s="185">
        <v>4</v>
      </c>
      <c r="E20" s="185">
        <v>3</v>
      </c>
      <c r="F20" s="185">
        <v>2</v>
      </c>
      <c r="G20" s="185">
        <v>2</v>
      </c>
      <c r="H20" s="186">
        <v>3.5</v>
      </c>
      <c r="I20" s="175">
        <f t="shared" si="1"/>
        <v>14.5</v>
      </c>
    </row>
    <row r="21" spans="2:9" ht="18" customHeight="1" x14ac:dyDescent="0.25">
      <c r="B21" s="130">
        <v>15</v>
      </c>
      <c r="C21" s="176" t="str">
        <f>Config!C19&amp;", "&amp;Config!D19</f>
        <v>Schön, Leonardo</v>
      </c>
      <c r="D21" s="185">
        <v>4</v>
      </c>
      <c r="E21" s="185">
        <v>1</v>
      </c>
      <c r="F21" s="185">
        <v>1</v>
      </c>
      <c r="G21" s="185">
        <v>0.5</v>
      </c>
      <c r="H21" s="186">
        <v>0</v>
      </c>
      <c r="I21" s="177">
        <f t="shared" si="1"/>
        <v>6.5</v>
      </c>
    </row>
    <row r="22" spans="2:9" ht="18" customHeight="1" x14ac:dyDescent="0.25">
      <c r="B22" s="128">
        <v>16</v>
      </c>
      <c r="C22" s="174" t="str">
        <f>Config!C20&amp;", "&amp;Config!D20</f>
        <v>Sigl, Nicholas</v>
      </c>
      <c r="D22" s="185">
        <v>4</v>
      </c>
      <c r="E22" s="185">
        <v>0.5</v>
      </c>
      <c r="F22" s="185">
        <v>1</v>
      </c>
      <c r="G22" s="185">
        <v>0.5</v>
      </c>
      <c r="H22" s="186">
        <v>0</v>
      </c>
      <c r="I22" s="175">
        <f t="shared" si="1"/>
        <v>6</v>
      </c>
    </row>
    <row r="23" spans="2:9" ht="18" customHeight="1" x14ac:dyDescent="0.25">
      <c r="B23" s="130">
        <v>17</v>
      </c>
      <c r="C23" s="176" t="str">
        <f>Config!C21&amp;", "&amp;Config!D21</f>
        <v>Kainz, Vivienne</v>
      </c>
      <c r="D23" s="185">
        <v>2</v>
      </c>
      <c r="E23" s="185">
        <v>0</v>
      </c>
      <c r="F23" s="185">
        <v>1</v>
      </c>
      <c r="G23" s="185">
        <v>1.5</v>
      </c>
      <c r="H23" s="186">
        <v>0</v>
      </c>
      <c r="I23" s="177">
        <f t="shared" si="1"/>
        <v>4.5</v>
      </c>
    </row>
    <row r="24" spans="2:9" ht="18" customHeight="1" x14ac:dyDescent="0.25">
      <c r="B24" s="128">
        <v>18</v>
      </c>
      <c r="C24" s="174" t="str">
        <f>Config!C22&amp;", "&amp;Config!D22</f>
        <v>Hartmann, Mads</v>
      </c>
      <c r="D24" s="185">
        <v>4</v>
      </c>
      <c r="E24" s="185">
        <v>3</v>
      </c>
      <c r="F24" s="185">
        <v>3</v>
      </c>
      <c r="G24" s="185">
        <v>0</v>
      </c>
      <c r="H24" s="186">
        <v>4</v>
      </c>
      <c r="I24" s="175">
        <f t="shared" si="1"/>
        <v>14</v>
      </c>
    </row>
    <row r="25" spans="2:9" ht="18" customHeight="1" x14ac:dyDescent="0.25">
      <c r="B25" s="130">
        <v>19</v>
      </c>
      <c r="C25" s="176" t="str">
        <f>Config!C23&amp;", "&amp;Config!D23</f>
        <v>Ullmann, Raphael</v>
      </c>
      <c r="D25" s="185">
        <v>4</v>
      </c>
      <c r="E25" s="185">
        <v>1</v>
      </c>
      <c r="F25" s="185">
        <v>3</v>
      </c>
      <c r="G25" s="185">
        <v>2</v>
      </c>
      <c r="H25" s="186">
        <v>3.5</v>
      </c>
      <c r="I25" s="177">
        <f t="shared" si="1"/>
        <v>13.5</v>
      </c>
    </row>
    <row r="26" spans="2:9" ht="18" customHeight="1" x14ac:dyDescent="0.25">
      <c r="B26" s="128">
        <v>20</v>
      </c>
      <c r="C26" s="174" t="str">
        <f>Config!C24&amp;", "&amp;Config!D24</f>
        <v>Hartl, Emmely</v>
      </c>
      <c r="D26" s="185">
        <v>4</v>
      </c>
      <c r="E26" s="185">
        <v>2</v>
      </c>
      <c r="F26" s="185">
        <v>3</v>
      </c>
      <c r="G26" s="185">
        <v>2</v>
      </c>
      <c r="H26" s="186">
        <v>4</v>
      </c>
      <c r="I26" s="175">
        <f t="shared" si="1"/>
        <v>15</v>
      </c>
    </row>
    <row r="27" spans="2:9" ht="18" customHeight="1" x14ac:dyDescent="0.25">
      <c r="B27" s="130">
        <v>21</v>
      </c>
      <c r="C27" s="176" t="str">
        <f>Config!C25&amp;", "&amp;Config!D25</f>
        <v>Klotz, Karin</v>
      </c>
      <c r="D27" s="185">
        <v>4</v>
      </c>
      <c r="E27" s="185">
        <v>3</v>
      </c>
      <c r="F27" s="185">
        <v>4</v>
      </c>
      <c r="G27" s="185">
        <v>2</v>
      </c>
      <c r="H27" s="186">
        <v>3</v>
      </c>
      <c r="I27" s="177">
        <f t="shared" si="1"/>
        <v>16</v>
      </c>
    </row>
    <row r="28" spans="2:9" ht="18" customHeight="1" x14ac:dyDescent="0.25">
      <c r="B28" s="128">
        <v>22</v>
      </c>
      <c r="C28" s="174" t="str">
        <f>Config!C26&amp;", "&amp;Config!D26</f>
        <v>Ehlers, Ingo</v>
      </c>
      <c r="D28" s="185">
        <v>4</v>
      </c>
      <c r="E28" s="185">
        <v>2</v>
      </c>
      <c r="F28" s="185">
        <v>4</v>
      </c>
      <c r="G28" s="185">
        <v>2</v>
      </c>
      <c r="H28" s="186">
        <v>2.5</v>
      </c>
      <c r="I28" s="175">
        <f t="shared" si="1"/>
        <v>14.5</v>
      </c>
    </row>
    <row r="29" spans="2:9" ht="18" customHeight="1" thickBot="1" x14ac:dyDescent="0.3">
      <c r="B29" s="130">
        <v>23</v>
      </c>
      <c r="C29" s="176" t="str">
        <f>Config!C27&amp;", "&amp;Config!D27</f>
        <v>Lindemann, Mads</v>
      </c>
      <c r="D29" s="185">
        <v>4</v>
      </c>
      <c r="E29" s="185">
        <v>0</v>
      </c>
      <c r="F29" s="185">
        <v>2</v>
      </c>
      <c r="G29" s="185">
        <v>0.5</v>
      </c>
      <c r="H29" s="186">
        <v>0</v>
      </c>
      <c r="I29" s="177">
        <f t="shared" ref="I29" si="2">SUM(D29:H29)</f>
        <v>6.5</v>
      </c>
    </row>
    <row r="30" spans="2:9" ht="18" customHeight="1" thickBot="1" x14ac:dyDescent="0.3">
      <c r="B30" s="178"/>
      <c r="C30" s="179"/>
      <c r="D30" s="179">
        <f>IF(COUNTIFS(D7:D29,"&lt;&gt;",C7:C29,"&lt;&gt;ZK",C7:C29,"&lt;&gt;DK")&lt;&gt;0,SUMIFS(D7:D29,C7:C29,"&lt;&gt;ZK",C7:C29,"&lt;&gt;DK")/(COUNTIFS(D7:D29,"&lt;&gt;",C7:C29,"&lt;&gt;ZK",C7:C29,"&lt;&gt;DK")*D6),0)</f>
        <v>0.92391304347826086</v>
      </c>
      <c r="E30" s="179">
        <f>IF(COUNTIFS(E7:E29,"&lt;&gt;",C7:C29,"&lt;&gt;ZK",C7:C29,"&lt;&gt;DK")&lt;&gt;0,SUMIFS(E7:E29,C7:C29,"&lt;&gt;ZK",C7:C29,"&lt;&gt;DK")/(COUNTIFS(E7:E29,"&lt;&gt;",C7:C29,"&lt;&gt;ZK",C7:C29,"&lt;&gt;DK")*E6),0)</f>
        <v>0.54347826086956519</v>
      </c>
      <c r="F30" s="179">
        <f>IF(COUNTIFS(F7:F29,"&lt;&gt;",C7:C29,"&lt;&gt;ZK",C7:C29,"&lt;&gt;DK")&lt;&gt;0,SUMIFS(F7:F29,C7:C29,"&lt;&gt;ZK",C7:C29,"&lt;&gt;DK")/(COUNTIFS(F7:F29,"&lt;&gt;",C7:C29,"&lt;&gt;ZK",C7:C29,"&lt;&gt;DK")*F6),0)</f>
        <v>0.63043478260869568</v>
      </c>
      <c r="G30" s="179">
        <f>IF(COUNTIFS(G7:G29,"&lt;&gt;",C7:C29,"&lt;&gt;ZK",C7:C29,"&lt;&gt;DK")&lt;&gt;0,SUMIFS(G7:G29,C7:C29,"&lt;&gt;ZK",C7:C29,"&lt;&gt;DK")/(COUNTIFS(G7:G29,"&lt;&gt;",C7:C29,"&lt;&gt;ZK",C7:C29,"&lt;&gt;DK")*G6),0)</f>
        <v>0.39855072463768115</v>
      </c>
      <c r="H30" s="179">
        <f>IF(COUNTIFS(H7:H29,"&lt;&gt;",C7:C29,"&lt;&gt;ZK",C7:C29,"&lt;&gt;DK")&lt;&gt;0,SUMIFS(H7:H29,C7:C29,"&lt;&gt;ZK",C7:C29,"&lt;&gt;DK")/(COUNTIFS(H7:H29,"&lt;&gt;",C7:C29,"&lt;&gt;ZK",C7:C29,"&lt;&gt;DK")*H6),0)</f>
        <v>0.51086956521739135</v>
      </c>
      <c r="I30" s="180"/>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29" xr:uid="{1F7088AE-2C84-4CEE-9E79-1259971CD77C}">
      <formula1>0</formula1>
      <formula2>$D$6</formula2>
    </dataValidation>
    <dataValidation type="decimal" allowBlank="1" showErrorMessage="1" sqref="E7:E29" xr:uid="{C071EE87-CA7C-478A-94BB-569807C452D5}">
      <formula1>0</formula1>
      <formula2>$E$6</formula2>
    </dataValidation>
    <dataValidation type="decimal" allowBlank="1" showErrorMessage="1" sqref="F7:F29" xr:uid="{C3E6AABC-98D0-4867-9B00-711387637AD0}">
      <formula1>0</formula1>
      <formula2>$F$6</formula2>
    </dataValidation>
    <dataValidation type="decimal" allowBlank="1" showErrorMessage="1" sqref="G7:G29" xr:uid="{EC717272-7869-44F7-9FCB-39A8F9951682}">
      <formula1>0</formula1>
      <formula2>$G$6</formula2>
    </dataValidation>
    <dataValidation type="decimal" allowBlank="1" showErrorMessage="1" sqref="H7:H29" xr:uid="{647E99DF-06EE-4BD8-BABF-963FC493C0F9}">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BDEF8-F9CA-4A06-A068-06D8C4477FB9}">
  <sheetPr codeName="Tabelle16">
    <tabColor rgb="FF92D050"/>
  </sheetPr>
  <dimension ref="B1:I100"/>
  <sheetViews>
    <sheetView workbookViewId="0">
      <selection activeCell="D7" sqref="D7"/>
    </sheetView>
  </sheetViews>
  <sheetFormatPr baseColWidth="10" defaultRowHeight="13.2" x14ac:dyDescent="0.25"/>
  <cols>
    <col min="1" max="2" width="3.44140625" style="99" customWidth="1"/>
    <col min="3" max="3" width="25.77734375" style="99" customWidth="1"/>
    <col min="4" max="9" width="8.77734375" style="99" customWidth="1"/>
    <col min="10" max="16384" width="11.5546875" style="99"/>
  </cols>
  <sheetData>
    <row r="1" spans="2:9" ht="18" customHeight="1" thickBot="1" x14ac:dyDescent="0.3"/>
    <row r="2" spans="2:9" ht="18" customHeight="1" x14ac:dyDescent="0.25">
      <c r="B2" s="100" t="str">
        <f>Config!F2&amp;" "&amp;YEAR(Config!G24)</f>
        <v>Mathe Abitur 2026</v>
      </c>
      <c r="C2" s="101"/>
      <c r="D2" s="101"/>
      <c r="E2" s="101"/>
      <c r="F2" s="102"/>
      <c r="G2" s="102"/>
      <c r="H2" s="102"/>
      <c r="I2" s="103" t="str">
        <f>"Kurs "&amp;Config!G26</f>
        <v>Kurs K1</v>
      </c>
    </row>
    <row r="3" spans="2:9" ht="18" customHeight="1" x14ac:dyDescent="0.25">
      <c r="B3" s="104" t="s">
        <v>112</v>
      </c>
      <c r="C3" s="105"/>
      <c r="D3" s="105"/>
      <c r="E3" s="105"/>
      <c r="F3" s="105"/>
      <c r="G3" s="105"/>
      <c r="H3" s="105"/>
      <c r="I3" s="106"/>
    </row>
    <row r="4" spans="2:9" ht="18" customHeight="1" thickBot="1" x14ac:dyDescent="0.3">
      <c r="B4" s="104"/>
      <c r="C4" s="105"/>
      <c r="D4" s="105"/>
      <c r="E4" s="105"/>
      <c r="F4" s="105"/>
      <c r="G4" s="105"/>
      <c r="H4" s="105"/>
      <c r="I4" s="106"/>
    </row>
    <row r="5" spans="2:9" ht="18" customHeight="1" thickBot="1" x14ac:dyDescent="0.3">
      <c r="B5" s="109"/>
      <c r="C5" s="107"/>
      <c r="D5" s="143" t="str">
        <f>Config!R6</f>
        <v>6</v>
      </c>
      <c r="E5" s="143" t="str">
        <f>Config!R7</f>
        <v>7a</v>
      </c>
      <c r="F5" s="143" t="str">
        <f>Config!R8</f>
        <v>7b</v>
      </c>
      <c r="G5" s="143" t="str">
        <f>Config!R9</f>
        <v>8</v>
      </c>
      <c r="H5" s="143" t="str">
        <f>Config!R10</f>
        <v>9</v>
      </c>
      <c r="I5" s="141" t="s">
        <v>82</v>
      </c>
    </row>
    <row r="6" spans="2:9" ht="18" customHeight="1" thickBot="1" x14ac:dyDescent="0.3">
      <c r="B6" s="110"/>
      <c r="C6" s="108" t="s">
        <v>81</v>
      </c>
      <c r="D6" s="142">
        <f>Config!S6</f>
        <v>5</v>
      </c>
      <c r="E6" s="142">
        <f>Config!S7</f>
        <v>2</v>
      </c>
      <c r="F6" s="142">
        <f>Config!S8</f>
        <v>3</v>
      </c>
      <c r="G6" s="142">
        <f>Config!S9</f>
        <v>5</v>
      </c>
      <c r="H6" s="142">
        <f>Config!S10</f>
        <v>5</v>
      </c>
      <c r="I6" s="144">
        <f>Config!S21</f>
        <v>10</v>
      </c>
    </row>
    <row r="7" spans="2:9" ht="18" customHeight="1" x14ac:dyDescent="0.25">
      <c r="B7" s="149">
        <v>1</v>
      </c>
      <c r="C7" s="163" t="str">
        <f>Config!C5&amp;", "&amp;Config!D5</f>
        <v>Höfer, Simon</v>
      </c>
      <c r="D7" s="152">
        <v>4</v>
      </c>
      <c r="E7" s="152">
        <v>0</v>
      </c>
      <c r="F7" s="152">
        <v>3</v>
      </c>
      <c r="G7" s="190"/>
      <c r="H7" s="191"/>
      <c r="I7" s="164">
        <f t="shared" ref="I7:I17" si="0">SUM(D7:H7)</f>
        <v>7</v>
      </c>
    </row>
    <row r="8" spans="2:9" ht="18" customHeight="1" x14ac:dyDescent="0.25">
      <c r="B8" s="165">
        <v>2</v>
      </c>
      <c r="C8" s="166" t="str">
        <f>Config!C6&amp;", "&amp;Config!D6</f>
        <v>Töpfer, Lilian</v>
      </c>
      <c r="D8" s="183">
        <v>3</v>
      </c>
      <c r="E8" s="192"/>
      <c r="F8" s="192"/>
      <c r="G8" s="183">
        <v>4</v>
      </c>
      <c r="H8" s="193"/>
      <c r="I8" s="167">
        <f t="shared" si="0"/>
        <v>7</v>
      </c>
    </row>
    <row r="9" spans="2:9" ht="18" customHeight="1" x14ac:dyDescent="0.25">
      <c r="B9" s="148">
        <v>3</v>
      </c>
      <c r="C9" s="168" t="str">
        <f>Config!C7&amp;", "&amp;Config!D7</f>
        <v>Fleischmann, Leonie</v>
      </c>
      <c r="D9" s="194"/>
      <c r="E9" s="194"/>
      <c r="F9" s="194"/>
      <c r="G9" s="183">
        <v>5</v>
      </c>
      <c r="H9" s="184">
        <v>3</v>
      </c>
      <c r="I9" s="169">
        <f t="shared" si="0"/>
        <v>8</v>
      </c>
    </row>
    <row r="10" spans="2:9" ht="18" customHeight="1" x14ac:dyDescent="0.25">
      <c r="B10" s="165">
        <v>4</v>
      </c>
      <c r="C10" s="166" t="str">
        <f>Config!C8&amp;", "&amp;Config!D8</f>
        <v>Drescher, Cedric</v>
      </c>
      <c r="D10" s="183">
        <v>1</v>
      </c>
      <c r="E10" s="183">
        <v>2</v>
      </c>
      <c r="F10" s="183">
        <v>3</v>
      </c>
      <c r="G10" s="192"/>
      <c r="H10" s="193"/>
      <c r="I10" s="167">
        <f t="shared" si="0"/>
        <v>6</v>
      </c>
    </row>
    <row r="11" spans="2:9" ht="18" customHeight="1" x14ac:dyDescent="0.25">
      <c r="B11" s="148">
        <v>5</v>
      </c>
      <c r="C11" s="168" t="str">
        <f>Config!C9&amp;", "&amp;Config!D9</f>
        <v>Baumgarten, Annabell</v>
      </c>
      <c r="D11" s="183">
        <v>1</v>
      </c>
      <c r="E11" s="194"/>
      <c r="F11" s="194"/>
      <c r="G11" s="183">
        <v>5</v>
      </c>
      <c r="H11" s="195"/>
      <c r="I11" s="169">
        <f t="shared" si="0"/>
        <v>6</v>
      </c>
    </row>
    <row r="12" spans="2:9" ht="18" customHeight="1" x14ac:dyDescent="0.25">
      <c r="B12" s="165">
        <v>6</v>
      </c>
      <c r="C12" s="166" t="str">
        <f>Config!C10&amp;", "&amp;Config!D10</f>
        <v>Traut, Stefanie</v>
      </c>
      <c r="D12" s="192"/>
      <c r="E12" s="183">
        <v>2</v>
      </c>
      <c r="F12" s="183">
        <v>3</v>
      </c>
      <c r="G12" s="183">
        <v>3</v>
      </c>
      <c r="H12" s="193"/>
      <c r="I12" s="167">
        <f t="shared" si="0"/>
        <v>8</v>
      </c>
    </row>
    <row r="13" spans="2:9" ht="18" customHeight="1" x14ac:dyDescent="0.25">
      <c r="B13" s="148">
        <v>7</v>
      </c>
      <c r="C13" s="168" t="str">
        <f>Config!C11&amp;", "&amp;Config!D11</f>
        <v>Menke, Damian</v>
      </c>
      <c r="D13" s="194"/>
      <c r="E13" s="183">
        <v>1</v>
      </c>
      <c r="F13" s="183">
        <v>2</v>
      </c>
      <c r="G13" s="194"/>
      <c r="H13" s="184">
        <v>4</v>
      </c>
      <c r="I13" s="169">
        <f t="shared" si="0"/>
        <v>7</v>
      </c>
    </row>
    <row r="14" spans="2:9" ht="18" customHeight="1" x14ac:dyDescent="0.25">
      <c r="B14" s="165">
        <v>8</v>
      </c>
      <c r="C14" s="166" t="str">
        <f>Config!C12&amp;", "&amp;Config!D12</f>
        <v>Carroll, Meik</v>
      </c>
      <c r="D14" s="192"/>
      <c r="E14" s="192"/>
      <c r="F14" s="192"/>
      <c r="G14" s="183">
        <v>4</v>
      </c>
      <c r="H14" s="184">
        <v>3</v>
      </c>
      <c r="I14" s="167">
        <f t="shared" si="0"/>
        <v>7</v>
      </c>
    </row>
    <row r="15" spans="2:9" ht="18" customHeight="1" x14ac:dyDescent="0.25">
      <c r="B15" s="148">
        <v>9</v>
      </c>
      <c r="C15" s="168" t="str">
        <f>Config!C13&amp;", "&amp;Config!D13</f>
        <v>Hennings, Tomas</v>
      </c>
      <c r="D15" s="183">
        <v>5</v>
      </c>
      <c r="E15" s="183">
        <v>2</v>
      </c>
      <c r="F15" s="183">
        <v>1</v>
      </c>
      <c r="G15" s="194"/>
      <c r="H15" s="195"/>
      <c r="I15" s="169">
        <f t="shared" si="0"/>
        <v>8</v>
      </c>
    </row>
    <row r="16" spans="2:9" ht="18" customHeight="1" x14ac:dyDescent="0.25">
      <c r="B16" s="165">
        <v>10</v>
      </c>
      <c r="C16" s="166" t="str">
        <f>Config!C14&amp;", "&amp;Config!D14</f>
        <v>Walters, Linn</v>
      </c>
      <c r="D16" s="192"/>
      <c r="E16" s="183">
        <v>1</v>
      </c>
      <c r="F16" s="183">
        <v>2</v>
      </c>
      <c r="G16" s="183">
        <v>5</v>
      </c>
      <c r="H16" s="193"/>
      <c r="I16" s="167">
        <f t="shared" si="0"/>
        <v>8</v>
      </c>
    </row>
    <row r="17" spans="2:9" ht="18" customHeight="1" x14ac:dyDescent="0.25">
      <c r="B17" s="148">
        <v>11</v>
      </c>
      <c r="C17" s="168" t="str">
        <f>Config!C15&amp;", "&amp;Config!D15</f>
        <v>Junker, Amely</v>
      </c>
      <c r="D17" s="183">
        <v>2</v>
      </c>
      <c r="E17" s="194"/>
      <c r="F17" s="194"/>
      <c r="G17" s="183">
        <v>4</v>
      </c>
      <c r="H17" s="195"/>
      <c r="I17" s="169">
        <f t="shared" si="0"/>
        <v>6</v>
      </c>
    </row>
    <row r="18" spans="2:9" ht="18" customHeight="1" x14ac:dyDescent="0.25">
      <c r="B18" s="165">
        <v>12</v>
      </c>
      <c r="C18" s="166" t="str">
        <f>Config!C16&amp;", "&amp;Config!D16</f>
        <v>Stephens, Melvin</v>
      </c>
      <c r="D18" s="183">
        <v>5</v>
      </c>
      <c r="E18" s="192"/>
      <c r="F18" s="192"/>
      <c r="G18" s="183">
        <v>1</v>
      </c>
      <c r="H18" s="193"/>
      <c r="I18" s="167">
        <f t="shared" ref="I18:I28" si="1">SUM(D18:H18)</f>
        <v>6</v>
      </c>
    </row>
    <row r="19" spans="2:9" ht="18" customHeight="1" x14ac:dyDescent="0.25">
      <c r="B19" s="148">
        <v>13</v>
      </c>
      <c r="C19" s="168" t="str">
        <f>Config!C17&amp;", "&amp;Config!D17</f>
        <v>Cremer, Marvin</v>
      </c>
      <c r="D19" s="183">
        <v>3</v>
      </c>
      <c r="E19" s="194"/>
      <c r="F19" s="194"/>
      <c r="G19" s="194"/>
      <c r="H19" s="184">
        <v>5</v>
      </c>
      <c r="I19" s="169">
        <f t="shared" si="1"/>
        <v>8</v>
      </c>
    </row>
    <row r="20" spans="2:9" ht="18" customHeight="1" x14ac:dyDescent="0.25">
      <c r="B20" s="165">
        <v>14</v>
      </c>
      <c r="C20" s="166" t="str">
        <f>Config!C18&amp;", "&amp;Config!D18</f>
        <v>Nash, Jean</v>
      </c>
      <c r="D20" s="192"/>
      <c r="E20" s="192"/>
      <c r="F20" s="192"/>
      <c r="G20" s="183">
        <v>4</v>
      </c>
      <c r="H20" s="184">
        <v>3</v>
      </c>
      <c r="I20" s="167">
        <f t="shared" si="1"/>
        <v>7</v>
      </c>
    </row>
    <row r="21" spans="2:9" ht="18" customHeight="1" x14ac:dyDescent="0.25">
      <c r="B21" s="148">
        <v>15</v>
      </c>
      <c r="C21" s="168" t="str">
        <f>Config!C19&amp;", "&amp;Config!D19</f>
        <v>Schön, Leonardo</v>
      </c>
      <c r="D21" s="194"/>
      <c r="E21" s="183">
        <v>1</v>
      </c>
      <c r="F21" s="183">
        <v>2</v>
      </c>
      <c r="G21" s="194"/>
      <c r="H21" s="184">
        <v>1</v>
      </c>
      <c r="I21" s="169">
        <f t="shared" si="1"/>
        <v>4</v>
      </c>
    </row>
    <row r="22" spans="2:9" ht="18" customHeight="1" x14ac:dyDescent="0.25">
      <c r="B22" s="165">
        <v>16</v>
      </c>
      <c r="C22" s="166" t="str">
        <f>Config!C20&amp;", "&amp;Config!D20</f>
        <v>Sigl, Nicholas</v>
      </c>
      <c r="D22" s="192"/>
      <c r="E22" s="183">
        <v>1</v>
      </c>
      <c r="F22" s="183">
        <v>2</v>
      </c>
      <c r="G22" s="183">
        <v>5</v>
      </c>
      <c r="H22" s="193"/>
      <c r="I22" s="167">
        <f t="shared" si="1"/>
        <v>8</v>
      </c>
    </row>
    <row r="23" spans="2:9" ht="18" customHeight="1" x14ac:dyDescent="0.25">
      <c r="B23" s="148">
        <v>17</v>
      </c>
      <c r="C23" s="168" t="str">
        <f>Config!C21&amp;", "&amp;Config!D21</f>
        <v>Kainz, Vivienne</v>
      </c>
      <c r="D23" s="183">
        <v>5</v>
      </c>
      <c r="E23" s="194"/>
      <c r="F23" s="194"/>
      <c r="G23" s="183">
        <v>5</v>
      </c>
      <c r="H23" s="195"/>
      <c r="I23" s="169">
        <f t="shared" si="1"/>
        <v>10</v>
      </c>
    </row>
    <row r="24" spans="2:9" ht="18" customHeight="1" x14ac:dyDescent="0.25">
      <c r="B24" s="165">
        <v>18</v>
      </c>
      <c r="C24" s="166" t="str">
        <f>Config!C22&amp;", "&amp;Config!D22</f>
        <v>Hartmann, Mads</v>
      </c>
      <c r="D24" s="192"/>
      <c r="E24" s="192"/>
      <c r="F24" s="192"/>
      <c r="G24" s="183">
        <v>3</v>
      </c>
      <c r="H24" s="184">
        <v>4</v>
      </c>
      <c r="I24" s="167">
        <f t="shared" si="1"/>
        <v>7</v>
      </c>
    </row>
    <row r="25" spans="2:9" ht="18" customHeight="1" x14ac:dyDescent="0.25">
      <c r="B25" s="148">
        <v>19</v>
      </c>
      <c r="C25" s="168" t="str">
        <f>Config!C23&amp;", "&amp;Config!D23</f>
        <v>Ullmann, Raphael</v>
      </c>
      <c r="D25" s="194"/>
      <c r="E25" s="194"/>
      <c r="F25" s="194"/>
      <c r="G25" s="183">
        <v>5</v>
      </c>
      <c r="H25" s="184">
        <v>3</v>
      </c>
      <c r="I25" s="169">
        <f t="shared" si="1"/>
        <v>8</v>
      </c>
    </row>
    <row r="26" spans="2:9" ht="18" customHeight="1" x14ac:dyDescent="0.25">
      <c r="B26" s="165">
        <v>20</v>
      </c>
      <c r="C26" s="166" t="str">
        <f>Config!C24&amp;", "&amp;Config!D24</f>
        <v>Hartl, Emmely</v>
      </c>
      <c r="D26" s="183">
        <v>5</v>
      </c>
      <c r="E26" s="183">
        <v>2</v>
      </c>
      <c r="F26" s="183">
        <v>3</v>
      </c>
      <c r="G26" s="192"/>
      <c r="H26" s="193"/>
      <c r="I26" s="167">
        <f t="shared" si="1"/>
        <v>10</v>
      </c>
    </row>
    <row r="27" spans="2:9" ht="18" customHeight="1" x14ac:dyDescent="0.25">
      <c r="B27" s="148">
        <v>21</v>
      </c>
      <c r="C27" s="168" t="str">
        <f>Config!C25&amp;", "&amp;Config!D25</f>
        <v>Klotz, Karin</v>
      </c>
      <c r="D27" s="183">
        <v>5</v>
      </c>
      <c r="E27" s="183">
        <v>2</v>
      </c>
      <c r="F27" s="183">
        <v>3</v>
      </c>
      <c r="G27" s="194"/>
      <c r="H27" s="195"/>
      <c r="I27" s="169">
        <f t="shared" si="1"/>
        <v>10</v>
      </c>
    </row>
    <row r="28" spans="2:9" ht="18" customHeight="1" x14ac:dyDescent="0.25">
      <c r="B28" s="165">
        <v>22</v>
      </c>
      <c r="C28" s="166" t="str">
        <f>Config!C26&amp;", "&amp;Config!D26</f>
        <v>Ehlers, Ingo</v>
      </c>
      <c r="D28" s="183">
        <v>2</v>
      </c>
      <c r="E28" s="192"/>
      <c r="F28" s="192"/>
      <c r="G28" s="192"/>
      <c r="H28" s="184">
        <v>5</v>
      </c>
      <c r="I28" s="167">
        <f t="shared" si="1"/>
        <v>7</v>
      </c>
    </row>
    <row r="29" spans="2:9" ht="18" customHeight="1" thickBot="1" x14ac:dyDescent="0.3">
      <c r="B29" s="131">
        <v>23</v>
      </c>
      <c r="C29" s="170" t="str">
        <f>Config!C27&amp;", "&amp;Config!D27</f>
        <v>Lindemann, Mads</v>
      </c>
      <c r="D29" s="187">
        <v>3</v>
      </c>
      <c r="E29" s="188"/>
      <c r="F29" s="188"/>
      <c r="G29" s="187">
        <v>5</v>
      </c>
      <c r="H29" s="189"/>
      <c r="I29" s="171">
        <f t="shared" ref="I29" si="2">SUM(D29:H29)</f>
        <v>8</v>
      </c>
    </row>
    <row r="30" spans="2:9" ht="18" customHeight="1" thickBot="1" x14ac:dyDescent="0.3">
      <c r="B30" s="123"/>
      <c r="C30" s="124"/>
      <c r="D30" s="124">
        <f>IF(COUNTIFS(D7:D29,"&lt;&gt;",C7:C29,"&lt;&gt;ZK",C7:C29,"&lt;&gt;DK")&lt;&gt;0,SUMIFS(D7:D29,C7:C29,"&lt;&gt;ZK",C7:C29,"&lt;&gt;DK")/(COUNTIFS(D7:D29,"&lt;&gt;",C7:C29,"&lt;&gt;ZK",C7:C29,"&lt;&gt;DK")*D6),0)</f>
        <v>0.67692307692307696</v>
      </c>
      <c r="E30" s="124">
        <f>IF(COUNTIFS(E7:E29,"&lt;&gt;",C7:C29,"&lt;&gt;ZK",C7:C29,"&lt;&gt;DK")&lt;&gt;0,SUMIFS(E7:E29,C7:C29,"&lt;&gt;ZK",C7:C29,"&lt;&gt;DK")/(COUNTIFS(E7:E29,"&lt;&gt;",C7:C29,"&lt;&gt;ZK",C7:C29,"&lt;&gt;DK")*E6),0)</f>
        <v>0.7</v>
      </c>
      <c r="F30" s="124">
        <f>IF(COUNTIFS(F7:F29,"&lt;&gt;",C7:C29,"&lt;&gt;ZK",C7:C29,"&lt;&gt;DK")&lt;&gt;0,SUMIFS(F7:F29,C7:C29,"&lt;&gt;ZK",C7:C29,"&lt;&gt;DK")/(COUNTIFS(F7:F29,"&lt;&gt;",C7:C29,"&lt;&gt;ZK",C7:C29,"&lt;&gt;DK")*F6),0)</f>
        <v>0.8</v>
      </c>
      <c r="G30" s="124">
        <f>IF(COUNTIFS(G7:G29,"&lt;&gt;",C7:C29,"&lt;&gt;ZK",C7:C29,"&lt;&gt;DK")&lt;&gt;0,SUMIFS(G7:G29,C7:C29,"&lt;&gt;ZK",C7:C29,"&lt;&gt;DK")/(COUNTIFS(G7:G29,"&lt;&gt;",C7:C29,"&lt;&gt;ZK",C7:C29,"&lt;&gt;DK")*G6),0)</f>
        <v>0.82857142857142863</v>
      </c>
      <c r="H30" s="124">
        <f>IF(COUNTIFS(H7:H29,"&lt;&gt;",C7:C29,"&lt;&gt;ZK",C7:C29,"&lt;&gt;DK")&lt;&gt;0,SUMIFS(H7:H29,C7:C29,"&lt;&gt;ZK",C7:C29,"&lt;&gt;DK")/(COUNTIFS(H7:H29,"&lt;&gt;",C7:C29,"&lt;&gt;ZK",C7:C29,"&lt;&gt;DK")*H6),0)</f>
        <v>0.68888888888888888</v>
      </c>
      <c r="I30" s="125"/>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29" xr:uid="{841E8191-ED0D-4DDE-AF6E-77084523DCF5}">
      <formula1>0</formula1>
      <formula2>$D$6</formula2>
    </dataValidation>
    <dataValidation type="decimal" allowBlank="1" showErrorMessage="1" sqref="E7:E29" xr:uid="{6BA68127-5773-4FBA-9521-BAF2CC0074C0}">
      <formula1>0</formula1>
      <formula2>$E$6</formula2>
    </dataValidation>
    <dataValidation type="decimal" allowBlank="1" showErrorMessage="1" sqref="F7:F29" xr:uid="{7C6E92B2-0344-42F6-B2E5-B5487BD762E1}">
      <formula1>0</formula1>
      <formula2>$F$6</formula2>
    </dataValidation>
    <dataValidation type="decimal" allowBlank="1" showErrorMessage="1" sqref="G7:G29" xr:uid="{CAF27173-A92A-40E8-99A4-F2A3ADF2070B}">
      <formula1>0</formula1>
      <formula2>$G$6</formula2>
    </dataValidation>
    <dataValidation type="decimal" allowBlank="1" showErrorMessage="1" sqref="H7:H29" xr:uid="{3CEB961F-FC51-4D78-BFFB-4093D52D8A75}">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21DA3-1744-4C1B-B2E2-D9DE198BCA44}">
  <sheetPr codeName="Tabelle18">
    <tabColor rgb="FFFFC000"/>
  </sheetPr>
  <dimension ref="B1:N100"/>
  <sheetViews>
    <sheetView workbookViewId="0">
      <selection activeCell="G11" sqref="G11"/>
    </sheetView>
  </sheetViews>
  <sheetFormatPr baseColWidth="10" defaultRowHeight="13.2" x14ac:dyDescent="0.25"/>
  <cols>
    <col min="1" max="2" width="3.44140625" style="99" customWidth="1"/>
    <col min="3" max="3" width="25.77734375" style="99" customWidth="1"/>
    <col min="4" max="8" width="4.77734375" style="99" customWidth="1"/>
    <col min="9" max="9" width="2.77734375" style="99" customWidth="1"/>
    <col min="10" max="16384" width="11.5546875" style="99"/>
  </cols>
  <sheetData>
    <row r="1" spans="2:14" ht="18" customHeight="1" thickBot="1" x14ac:dyDescent="0.3"/>
    <row r="2" spans="2:14" ht="18" customHeight="1" x14ac:dyDescent="0.25">
      <c r="B2" s="100" t="str">
        <f>Config!F2&amp;" "&amp;YEAR(Config!G24)</f>
        <v>Mathe Abitur 2026</v>
      </c>
      <c r="C2" s="101"/>
      <c r="D2" s="101"/>
      <c r="E2" s="101"/>
      <c r="F2" s="102"/>
      <c r="G2" s="102"/>
      <c r="H2" s="103" t="str">
        <f>"Kurs "&amp;Config!G26</f>
        <v>Kurs K1</v>
      </c>
    </row>
    <row r="3" spans="2:14" ht="18" customHeight="1" x14ac:dyDescent="0.25">
      <c r="B3" s="104" t="s">
        <v>124</v>
      </c>
      <c r="C3" s="105"/>
      <c r="D3" s="105"/>
      <c r="E3" s="105"/>
      <c r="F3" s="105"/>
      <c r="G3" s="105"/>
      <c r="H3" s="106"/>
    </row>
    <row r="4" spans="2:14" ht="18" customHeight="1" thickBot="1" x14ac:dyDescent="0.3">
      <c r="B4" s="104"/>
      <c r="C4" s="105"/>
      <c r="D4" s="105"/>
      <c r="E4" s="105"/>
      <c r="F4" s="105"/>
      <c r="G4" s="105"/>
      <c r="H4" s="106"/>
    </row>
    <row r="5" spans="2:14" ht="18" customHeight="1" thickBot="1" x14ac:dyDescent="0.3">
      <c r="B5" s="109"/>
      <c r="C5" s="107"/>
      <c r="D5" s="143" t="str">
        <f>Config!R6</f>
        <v>6</v>
      </c>
      <c r="E5" s="143" t="str">
        <f>Config!R7</f>
        <v>7a</v>
      </c>
      <c r="F5" s="143" t="str">
        <f>Config!R8</f>
        <v>7b</v>
      </c>
      <c r="G5" s="143" t="str">
        <f>Config!R9</f>
        <v>8</v>
      </c>
      <c r="H5" s="143" t="str">
        <f>Config!R10</f>
        <v>9</v>
      </c>
    </row>
    <row r="6" spans="2:14" ht="18" customHeight="1" thickBot="1" x14ac:dyDescent="0.3">
      <c r="B6" s="110"/>
      <c r="C6" s="108" t="s">
        <v>81</v>
      </c>
      <c r="D6" s="151" t="s">
        <v>112</v>
      </c>
      <c r="E6" s="151" t="s">
        <v>112</v>
      </c>
      <c r="F6" s="151" t="s">
        <v>112</v>
      </c>
      <c r="G6" s="151" t="s">
        <v>112</v>
      </c>
      <c r="H6" s="151" t="s">
        <v>112</v>
      </c>
      <c r="J6" s="261" t="s">
        <v>125</v>
      </c>
      <c r="K6" s="262"/>
      <c r="L6" s="262"/>
      <c r="M6" s="262"/>
      <c r="N6" s="263"/>
    </row>
    <row r="7" spans="2:14" ht="18" customHeight="1" x14ac:dyDescent="0.25">
      <c r="B7" s="149">
        <v>1</v>
      </c>
      <c r="C7" s="150" t="str">
        <f>Config!C5&amp;", "&amp;Config!D5</f>
        <v>Höfer, Simon</v>
      </c>
      <c r="D7" s="63" t="s">
        <v>120</v>
      </c>
      <c r="E7" s="152" t="s">
        <v>120</v>
      </c>
      <c r="F7" s="63" t="s">
        <v>120</v>
      </c>
      <c r="G7" s="63"/>
      <c r="H7" s="64"/>
      <c r="J7" s="264"/>
      <c r="K7" s="265"/>
      <c r="L7" s="265"/>
      <c r="M7" s="265"/>
      <c r="N7" s="266"/>
    </row>
    <row r="8" spans="2:14" ht="18" customHeight="1" thickBot="1" x14ac:dyDescent="0.3">
      <c r="B8" s="148">
        <v>2</v>
      </c>
      <c r="C8" s="117" t="str">
        <f>Config!C6&amp;", "&amp;Config!D6</f>
        <v>Töpfer, Lilian</v>
      </c>
      <c r="D8" s="62" t="s">
        <v>120</v>
      </c>
      <c r="E8" s="62"/>
      <c r="F8" s="62"/>
      <c r="G8" s="62" t="s">
        <v>120</v>
      </c>
      <c r="H8" s="65"/>
      <c r="J8" s="267"/>
      <c r="K8" s="268"/>
      <c r="L8" s="268"/>
      <c r="M8" s="268"/>
      <c r="N8" s="269"/>
    </row>
    <row r="9" spans="2:14" ht="18" customHeight="1" x14ac:dyDescent="0.25">
      <c r="B9" s="148">
        <v>3</v>
      </c>
      <c r="C9" s="117" t="str">
        <f>Config!C7&amp;", "&amp;Config!D7</f>
        <v>Fleischmann, Leonie</v>
      </c>
      <c r="D9" s="62"/>
      <c r="E9" s="62"/>
      <c r="F9" s="62"/>
      <c r="G9" s="62" t="s">
        <v>120</v>
      </c>
      <c r="H9" s="65" t="s">
        <v>120</v>
      </c>
    </row>
    <row r="10" spans="2:14" ht="18" customHeight="1" x14ac:dyDescent="0.25">
      <c r="B10" s="148">
        <v>4</v>
      </c>
      <c r="C10" s="117" t="str">
        <f>Config!C8&amp;", "&amp;Config!D8</f>
        <v>Drescher, Cedric</v>
      </c>
      <c r="D10" s="62" t="s">
        <v>120</v>
      </c>
      <c r="E10" s="62" t="s">
        <v>120</v>
      </c>
      <c r="F10" s="62" t="s">
        <v>120</v>
      </c>
      <c r="G10" s="62"/>
      <c r="H10" s="65"/>
    </row>
    <row r="11" spans="2:14" ht="18" customHeight="1" x14ac:dyDescent="0.25">
      <c r="B11" s="148">
        <v>5</v>
      </c>
      <c r="C11" s="117" t="str">
        <f>Config!C9&amp;", "&amp;Config!D9</f>
        <v>Baumgarten, Annabell</v>
      </c>
      <c r="D11" s="62" t="s">
        <v>120</v>
      </c>
      <c r="E11" s="62"/>
      <c r="F11" s="62"/>
      <c r="G11" s="62" t="s">
        <v>120</v>
      </c>
      <c r="H11" s="65"/>
    </row>
    <row r="12" spans="2:14" ht="18" customHeight="1" x14ac:dyDescent="0.25">
      <c r="B12" s="148">
        <v>6</v>
      </c>
      <c r="C12" s="117" t="str">
        <f>Config!C10&amp;", "&amp;Config!D10</f>
        <v>Traut, Stefanie</v>
      </c>
      <c r="D12" s="62"/>
      <c r="E12" s="62" t="s">
        <v>120</v>
      </c>
      <c r="F12" s="62" t="s">
        <v>120</v>
      </c>
      <c r="G12" s="62" t="s">
        <v>120</v>
      </c>
      <c r="H12" s="65"/>
    </row>
    <row r="13" spans="2:14" ht="18" customHeight="1" x14ac:dyDescent="0.25">
      <c r="B13" s="148">
        <v>7</v>
      </c>
      <c r="C13" s="117" t="str">
        <f>Config!C11&amp;", "&amp;Config!D11</f>
        <v>Menke, Damian</v>
      </c>
      <c r="D13" s="62"/>
      <c r="E13" s="62" t="s">
        <v>120</v>
      </c>
      <c r="F13" s="62" t="s">
        <v>120</v>
      </c>
      <c r="G13" s="62"/>
      <c r="H13" s="65" t="s">
        <v>120</v>
      </c>
    </row>
    <row r="14" spans="2:14" ht="18" customHeight="1" x14ac:dyDescent="0.25">
      <c r="B14" s="148">
        <v>8</v>
      </c>
      <c r="C14" s="117" t="str">
        <f>Config!C12&amp;", "&amp;Config!D12</f>
        <v>Carroll, Meik</v>
      </c>
      <c r="D14" s="62"/>
      <c r="E14" s="62"/>
      <c r="F14" s="62"/>
      <c r="G14" s="62" t="s">
        <v>120</v>
      </c>
      <c r="H14" s="65" t="s">
        <v>120</v>
      </c>
    </row>
    <row r="15" spans="2:14" ht="18" customHeight="1" x14ac:dyDescent="0.25">
      <c r="B15" s="148">
        <v>9</v>
      </c>
      <c r="C15" s="117" t="str">
        <f>Config!C13&amp;", "&amp;Config!D13</f>
        <v>Hennings, Tomas</v>
      </c>
      <c r="D15" s="62" t="s">
        <v>120</v>
      </c>
      <c r="E15" s="62" t="s">
        <v>120</v>
      </c>
      <c r="F15" s="62" t="s">
        <v>120</v>
      </c>
      <c r="G15" s="62"/>
      <c r="H15" s="65"/>
    </row>
    <row r="16" spans="2:14" ht="18" customHeight="1" x14ac:dyDescent="0.25">
      <c r="B16" s="148">
        <v>10</v>
      </c>
      <c r="C16" s="117" t="str">
        <f>Config!C14&amp;", "&amp;Config!D14</f>
        <v>Walters, Linn</v>
      </c>
      <c r="D16" s="62"/>
      <c r="E16" s="62" t="s">
        <v>120</v>
      </c>
      <c r="F16" s="62" t="s">
        <v>120</v>
      </c>
      <c r="G16" s="62" t="s">
        <v>120</v>
      </c>
      <c r="H16" s="65"/>
    </row>
    <row r="17" spans="2:8" ht="18" customHeight="1" x14ac:dyDescent="0.25">
      <c r="B17" s="148">
        <v>11</v>
      </c>
      <c r="C17" s="117" t="str">
        <f>Config!C15&amp;", "&amp;Config!D15</f>
        <v>Junker, Amely</v>
      </c>
      <c r="D17" s="62" t="s">
        <v>120</v>
      </c>
      <c r="E17" s="62"/>
      <c r="F17" s="62"/>
      <c r="G17" s="62" t="s">
        <v>120</v>
      </c>
      <c r="H17" s="65"/>
    </row>
    <row r="18" spans="2:8" ht="18" customHeight="1" x14ac:dyDescent="0.25">
      <c r="B18" s="148">
        <v>12</v>
      </c>
      <c r="C18" s="117" t="str">
        <f>Config!C16&amp;", "&amp;Config!D16</f>
        <v>Stephens, Melvin</v>
      </c>
      <c r="D18" s="62" t="s">
        <v>120</v>
      </c>
      <c r="E18" s="62"/>
      <c r="F18" s="62"/>
      <c r="G18" s="62" t="s">
        <v>120</v>
      </c>
      <c r="H18" s="65"/>
    </row>
    <row r="19" spans="2:8" ht="18" customHeight="1" x14ac:dyDescent="0.25">
      <c r="B19" s="148">
        <v>13</v>
      </c>
      <c r="C19" s="117" t="str">
        <f>Config!C17&amp;", "&amp;Config!D17</f>
        <v>Cremer, Marvin</v>
      </c>
      <c r="D19" s="62" t="s">
        <v>120</v>
      </c>
      <c r="E19" s="62"/>
      <c r="F19" s="62"/>
      <c r="G19" s="62"/>
      <c r="H19" s="65" t="s">
        <v>120</v>
      </c>
    </row>
    <row r="20" spans="2:8" ht="18" customHeight="1" x14ac:dyDescent="0.25">
      <c r="B20" s="148">
        <v>14</v>
      </c>
      <c r="C20" s="117" t="str">
        <f>Config!C18&amp;", "&amp;Config!D18</f>
        <v>Nash, Jean</v>
      </c>
      <c r="D20" s="62"/>
      <c r="E20" s="62"/>
      <c r="F20" s="62"/>
      <c r="G20" s="62" t="s">
        <v>120</v>
      </c>
      <c r="H20" s="65" t="s">
        <v>120</v>
      </c>
    </row>
    <row r="21" spans="2:8" ht="18" customHeight="1" x14ac:dyDescent="0.25">
      <c r="B21" s="148">
        <v>15</v>
      </c>
      <c r="C21" s="117" t="str">
        <f>Config!C19&amp;", "&amp;Config!D19</f>
        <v>Schön, Leonardo</v>
      </c>
      <c r="D21" s="62"/>
      <c r="E21" s="62" t="s">
        <v>120</v>
      </c>
      <c r="F21" s="62" t="s">
        <v>120</v>
      </c>
      <c r="G21" s="62"/>
      <c r="H21" s="65" t="s">
        <v>120</v>
      </c>
    </row>
    <row r="22" spans="2:8" ht="18" customHeight="1" x14ac:dyDescent="0.25">
      <c r="B22" s="148">
        <v>16</v>
      </c>
      <c r="C22" s="117" t="str">
        <f>Config!C20&amp;", "&amp;Config!D20</f>
        <v>Sigl, Nicholas</v>
      </c>
      <c r="D22" s="62"/>
      <c r="E22" s="62" t="s">
        <v>120</v>
      </c>
      <c r="F22" s="62" t="s">
        <v>120</v>
      </c>
      <c r="G22" s="62" t="s">
        <v>120</v>
      </c>
      <c r="H22" s="65"/>
    </row>
    <row r="23" spans="2:8" ht="18" customHeight="1" x14ac:dyDescent="0.25">
      <c r="B23" s="148">
        <v>17</v>
      </c>
      <c r="C23" s="117" t="str">
        <f>Config!C21&amp;", "&amp;Config!D21</f>
        <v>Kainz, Vivienne</v>
      </c>
      <c r="D23" s="62" t="s">
        <v>120</v>
      </c>
      <c r="E23" s="62"/>
      <c r="F23" s="62"/>
      <c r="G23" s="62" t="s">
        <v>120</v>
      </c>
      <c r="H23" s="65"/>
    </row>
    <row r="24" spans="2:8" ht="18" customHeight="1" x14ac:dyDescent="0.25">
      <c r="B24" s="148">
        <v>18</v>
      </c>
      <c r="C24" s="117" t="str">
        <f>Config!C22&amp;", "&amp;Config!D22</f>
        <v>Hartmann, Mads</v>
      </c>
      <c r="D24" s="62"/>
      <c r="E24" s="62"/>
      <c r="F24" s="62"/>
      <c r="G24" s="62" t="s">
        <v>120</v>
      </c>
      <c r="H24" s="65" t="s">
        <v>120</v>
      </c>
    </row>
    <row r="25" spans="2:8" ht="18" customHeight="1" x14ac:dyDescent="0.25">
      <c r="B25" s="148">
        <v>19</v>
      </c>
      <c r="C25" s="117" t="str">
        <f>Config!C23&amp;", "&amp;Config!D23</f>
        <v>Ullmann, Raphael</v>
      </c>
      <c r="D25" s="62"/>
      <c r="E25" s="62"/>
      <c r="F25" s="62"/>
      <c r="G25" s="62" t="s">
        <v>120</v>
      </c>
      <c r="H25" s="65" t="s">
        <v>120</v>
      </c>
    </row>
    <row r="26" spans="2:8" ht="18" customHeight="1" x14ac:dyDescent="0.25">
      <c r="B26" s="148">
        <v>20</v>
      </c>
      <c r="C26" s="117" t="str">
        <f>Config!C24&amp;", "&amp;Config!D24</f>
        <v>Hartl, Emmely</v>
      </c>
      <c r="D26" s="62" t="s">
        <v>120</v>
      </c>
      <c r="E26" s="62" t="s">
        <v>120</v>
      </c>
      <c r="F26" s="62" t="s">
        <v>120</v>
      </c>
      <c r="G26" s="62"/>
      <c r="H26" s="65"/>
    </row>
    <row r="27" spans="2:8" ht="18" customHeight="1" x14ac:dyDescent="0.25">
      <c r="B27" s="148">
        <v>21</v>
      </c>
      <c r="C27" s="117" t="str">
        <f>Config!C25&amp;", "&amp;Config!D25</f>
        <v>Klotz, Karin</v>
      </c>
      <c r="D27" s="62" t="s">
        <v>120</v>
      </c>
      <c r="E27" s="62" t="s">
        <v>120</v>
      </c>
      <c r="F27" s="62" t="s">
        <v>120</v>
      </c>
      <c r="G27" s="62"/>
      <c r="H27" s="65"/>
    </row>
    <row r="28" spans="2:8" ht="18" customHeight="1" x14ac:dyDescent="0.25">
      <c r="B28" s="148">
        <v>22</v>
      </c>
      <c r="C28" s="117" t="str">
        <f>Config!C26&amp;", "&amp;Config!D26</f>
        <v>Ehlers, Ingo</v>
      </c>
      <c r="D28" s="62" t="s">
        <v>120</v>
      </c>
      <c r="E28" s="62"/>
      <c r="F28" s="62"/>
      <c r="G28" s="62"/>
      <c r="H28" s="65" t="s">
        <v>120</v>
      </c>
    </row>
    <row r="29" spans="2:8" ht="18" customHeight="1" thickBot="1" x14ac:dyDescent="0.3">
      <c r="B29" s="131">
        <v>23</v>
      </c>
      <c r="C29" s="122"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mergeCells count="1">
    <mergeCell ref="J6:N8"/>
  </mergeCells>
  <dataValidations count="1">
    <dataValidation type="list" allowBlank="1" showDropDown="1" showInputMessage="1" showErrorMessage="1" sqref="D7:H29" xr:uid="{7BAF644C-A9D5-4AD2-AC67-3B96B23503F7}">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D12" sqref="D12"/>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34" t="s">
        <v>6</v>
      </c>
      <c r="C2" s="235"/>
      <c r="D2" s="236"/>
      <c r="F2" s="223" t="s">
        <v>96</v>
      </c>
      <c r="G2" s="224"/>
      <c r="H2" s="224"/>
      <c r="I2" s="224"/>
      <c r="J2" s="224"/>
      <c r="K2" s="224"/>
      <c r="L2" s="224"/>
      <c r="M2" s="224"/>
      <c r="N2" s="224"/>
      <c r="O2" s="224"/>
      <c r="P2" s="224"/>
      <c r="Q2" s="224"/>
      <c r="R2" s="224"/>
      <c r="S2" s="225"/>
      <c r="T2" s="79" t="s">
        <v>88</v>
      </c>
      <c r="V2" s="196" t="s">
        <v>89</v>
      </c>
      <c r="W2" s="197"/>
      <c r="X2" s="197"/>
      <c r="Y2" s="197"/>
      <c r="Z2" s="198"/>
      <c r="AB2" s="196" t="s">
        <v>129</v>
      </c>
      <c r="AC2" s="197"/>
      <c r="AD2" s="197"/>
      <c r="AE2" s="197"/>
      <c r="AF2" s="198"/>
    </row>
    <row r="3" spans="2:32" ht="13.2" customHeight="1" x14ac:dyDescent="0.25">
      <c r="B3" s="237"/>
      <c r="C3" s="238"/>
      <c r="D3" s="239"/>
      <c r="F3" s="226"/>
      <c r="G3" s="227"/>
      <c r="H3" s="227"/>
      <c r="I3" s="227"/>
      <c r="J3" s="227"/>
      <c r="K3" s="227"/>
      <c r="L3" s="227"/>
      <c r="M3" s="227"/>
      <c r="N3" s="227"/>
      <c r="O3" s="227"/>
      <c r="P3" s="227"/>
      <c r="Q3" s="227"/>
      <c r="R3" s="227"/>
      <c r="S3" s="228"/>
      <c r="V3" s="80" t="s">
        <v>90</v>
      </c>
      <c r="W3" s="199" t="s">
        <v>122</v>
      </c>
      <c r="X3" s="199"/>
      <c r="Y3" s="199"/>
      <c r="Z3" s="200"/>
      <c r="AB3" s="95" t="s">
        <v>130</v>
      </c>
      <c r="AC3" s="199" t="s">
        <v>131</v>
      </c>
      <c r="AD3" s="199"/>
      <c r="AE3" s="199"/>
      <c r="AF3" s="200"/>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199"/>
      <c r="X4" s="199"/>
      <c r="Y4" s="199"/>
      <c r="Z4" s="200"/>
      <c r="AB4" s="80"/>
      <c r="AC4" s="199"/>
      <c r="AD4" s="199"/>
      <c r="AE4" s="199"/>
      <c r="AF4" s="200"/>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199"/>
      <c r="X5" s="199"/>
      <c r="Y5" s="199"/>
      <c r="Z5" s="200"/>
      <c r="AB5" s="80"/>
      <c r="AC5" s="199"/>
      <c r="AD5" s="199"/>
      <c r="AE5" s="199"/>
      <c r="AF5" s="200"/>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199"/>
      <c r="X6" s="199"/>
      <c r="Y6" s="199"/>
      <c r="Z6" s="200"/>
      <c r="AB6" s="95" t="s">
        <v>130</v>
      </c>
      <c r="AC6" s="199"/>
      <c r="AD6" s="199"/>
      <c r="AE6" s="199"/>
      <c r="AF6" s="200"/>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199"/>
      <c r="X7" s="199"/>
      <c r="Y7" s="199"/>
      <c r="Z7" s="200"/>
      <c r="AB7" s="80"/>
      <c r="AC7" s="199"/>
      <c r="AD7" s="199"/>
      <c r="AE7" s="199"/>
      <c r="AF7" s="200"/>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199"/>
      <c r="X8" s="199"/>
      <c r="Y8" s="199"/>
      <c r="Z8" s="200"/>
      <c r="AB8" s="80"/>
      <c r="AC8" s="199"/>
      <c r="AD8" s="199"/>
      <c r="AE8" s="199"/>
      <c r="AF8" s="200"/>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199"/>
      <c r="X9" s="199"/>
      <c r="Y9" s="199"/>
      <c r="Z9" s="200"/>
      <c r="AB9" s="95"/>
      <c r="AC9" s="199"/>
      <c r="AD9" s="199"/>
      <c r="AE9" s="199"/>
      <c r="AF9" s="200"/>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199"/>
      <c r="X10" s="199"/>
      <c r="Y10" s="199"/>
      <c r="Z10" s="200"/>
      <c r="AB10" s="80"/>
      <c r="AC10" s="199"/>
      <c r="AD10" s="199"/>
      <c r="AE10" s="199"/>
      <c r="AF10" s="200"/>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199"/>
      <c r="X11" s="199"/>
      <c r="Y11" s="199"/>
      <c r="Z11" s="200"/>
      <c r="AB11" s="95" t="s">
        <v>130</v>
      </c>
      <c r="AC11" s="199"/>
      <c r="AD11" s="199"/>
      <c r="AE11" s="199"/>
      <c r="AF11" s="200"/>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199"/>
      <c r="X12" s="199"/>
      <c r="Y12" s="199"/>
      <c r="Z12" s="200"/>
      <c r="AB12" s="95"/>
      <c r="AC12" s="199"/>
      <c r="AD12" s="199"/>
      <c r="AE12" s="199"/>
      <c r="AF12" s="200"/>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199"/>
      <c r="X13" s="199"/>
      <c r="Y13" s="199"/>
      <c r="Z13" s="200"/>
      <c r="AB13" s="80"/>
      <c r="AC13" s="199"/>
      <c r="AD13" s="199"/>
      <c r="AE13" s="199"/>
      <c r="AF13" s="200"/>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199"/>
      <c r="X14" s="199"/>
      <c r="Y14" s="199"/>
      <c r="Z14" s="200"/>
      <c r="AB14" s="80"/>
      <c r="AC14" s="199"/>
      <c r="AD14" s="199"/>
      <c r="AE14" s="199"/>
      <c r="AF14" s="200"/>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199"/>
      <c r="X15" s="199"/>
      <c r="Y15" s="199"/>
      <c r="Z15" s="200"/>
      <c r="AB15" s="95"/>
      <c r="AC15" s="199"/>
      <c r="AD15" s="199"/>
      <c r="AE15" s="199"/>
      <c r="AF15" s="200"/>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199"/>
      <c r="X16" s="199"/>
      <c r="Y16" s="199"/>
      <c r="Z16" s="200"/>
      <c r="AB16" s="95" t="s">
        <v>130</v>
      </c>
      <c r="AC16" s="199"/>
      <c r="AD16" s="199"/>
      <c r="AE16" s="199"/>
      <c r="AF16" s="200"/>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199"/>
      <c r="X17" s="199"/>
      <c r="Y17" s="199"/>
      <c r="Z17" s="200"/>
      <c r="AB17" s="80"/>
      <c r="AC17" s="199"/>
      <c r="AD17" s="199"/>
      <c r="AE17" s="199"/>
      <c r="AF17" s="200"/>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199"/>
      <c r="X18" s="199"/>
      <c r="Y18" s="199"/>
      <c r="Z18" s="200"/>
      <c r="AB18" s="95"/>
      <c r="AC18" s="199"/>
      <c r="AD18" s="199"/>
      <c r="AE18" s="199"/>
      <c r="AF18" s="200"/>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199"/>
      <c r="X19" s="199"/>
      <c r="Y19" s="199"/>
      <c r="Z19" s="200"/>
      <c r="AB19" s="80"/>
      <c r="AC19" s="199"/>
      <c r="AD19" s="199"/>
      <c r="AE19" s="199"/>
      <c r="AF19" s="200"/>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199"/>
      <c r="X20" s="199"/>
      <c r="Y20" s="199"/>
      <c r="Z20" s="200"/>
      <c r="AB20" s="80"/>
      <c r="AC20" s="199"/>
      <c r="AD20" s="199"/>
      <c r="AE20" s="199"/>
      <c r="AF20" s="200"/>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199"/>
      <c r="X21" s="199"/>
      <c r="Y21" s="199"/>
      <c r="Z21" s="200"/>
      <c r="AB21" s="95"/>
      <c r="AC21" s="199"/>
      <c r="AD21" s="199"/>
      <c r="AE21" s="199"/>
      <c r="AF21" s="200"/>
    </row>
    <row r="22" spans="2:32" ht="13.8" thickBot="1" x14ac:dyDescent="0.3">
      <c r="B22" s="5">
        <v>18</v>
      </c>
      <c r="C22" s="13" t="s">
        <v>75</v>
      </c>
      <c r="D22" s="14" t="s">
        <v>53</v>
      </c>
      <c r="F22" s="229" t="s">
        <v>118</v>
      </c>
      <c r="G22" s="230"/>
      <c r="H22" s="231" t="s">
        <v>118</v>
      </c>
      <c r="I22" s="230"/>
      <c r="J22" s="231" t="s">
        <v>118</v>
      </c>
      <c r="K22" s="230"/>
      <c r="L22" s="231" t="s">
        <v>118</v>
      </c>
      <c r="M22" s="230"/>
      <c r="N22" s="231" t="s">
        <v>118</v>
      </c>
      <c r="O22" s="230"/>
      <c r="P22" s="231" t="s">
        <v>118</v>
      </c>
      <c r="Q22" s="230"/>
      <c r="R22" s="231" t="s">
        <v>119</v>
      </c>
      <c r="S22" s="242"/>
      <c r="T22" s="79" t="s">
        <v>88</v>
      </c>
      <c r="V22" s="4"/>
      <c r="W22" s="199"/>
      <c r="X22" s="199"/>
      <c r="Y22" s="199"/>
      <c r="Z22" s="200"/>
      <c r="AB22" s="4"/>
      <c r="AC22" s="199"/>
      <c r="AD22" s="199"/>
      <c r="AE22" s="199"/>
      <c r="AF22" s="200"/>
    </row>
    <row r="23" spans="2:32" ht="13.2" customHeight="1" thickBot="1" x14ac:dyDescent="0.3">
      <c r="B23" s="5">
        <v>19</v>
      </c>
      <c r="C23" s="77" t="s">
        <v>76</v>
      </c>
      <c r="D23" s="78" t="s">
        <v>54</v>
      </c>
      <c r="V23" s="4"/>
      <c r="W23" s="199"/>
      <c r="X23" s="199"/>
      <c r="Y23" s="199"/>
      <c r="Z23" s="200"/>
      <c r="AB23" s="4"/>
      <c r="AC23" s="199"/>
      <c r="AD23" s="199"/>
      <c r="AE23" s="199"/>
      <c r="AF23" s="200"/>
    </row>
    <row r="24" spans="2:32" ht="13.2" customHeight="1" x14ac:dyDescent="0.25">
      <c r="B24" s="5">
        <v>20</v>
      </c>
      <c r="C24" s="13" t="s">
        <v>77</v>
      </c>
      <c r="D24" s="14" t="s">
        <v>55</v>
      </c>
      <c r="F24" s="22" t="s">
        <v>22</v>
      </c>
      <c r="G24" s="212">
        <v>46150</v>
      </c>
      <c r="H24" s="213"/>
      <c r="J24" s="214" t="s">
        <v>99</v>
      </c>
      <c r="K24" s="215"/>
      <c r="L24" s="215"/>
      <c r="M24" s="215"/>
      <c r="N24" s="215"/>
      <c r="O24" s="215"/>
      <c r="P24" s="215"/>
      <c r="Q24" s="216"/>
      <c r="V24" s="4" t="s">
        <v>123</v>
      </c>
      <c r="W24" s="199"/>
      <c r="X24" s="199"/>
      <c r="Y24" s="199"/>
      <c r="Z24" s="200"/>
      <c r="AB24" s="95"/>
      <c r="AC24" s="199"/>
      <c r="AD24" s="199"/>
      <c r="AE24" s="199"/>
      <c r="AF24" s="200"/>
    </row>
    <row r="25" spans="2:32" ht="13.2" customHeight="1" x14ac:dyDescent="0.25">
      <c r="B25" s="5">
        <v>21</v>
      </c>
      <c r="C25" s="77" t="s">
        <v>78</v>
      </c>
      <c r="D25" s="78" t="s">
        <v>56</v>
      </c>
      <c r="F25" s="23" t="s">
        <v>30</v>
      </c>
      <c r="G25" s="240" t="s">
        <v>86</v>
      </c>
      <c r="H25" s="241"/>
      <c r="J25" s="217" t="s">
        <v>98</v>
      </c>
      <c r="K25" s="218"/>
      <c r="L25" s="218"/>
      <c r="M25" s="218"/>
      <c r="N25" s="218"/>
      <c r="O25" s="218"/>
      <c r="P25" s="218"/>
      <c r="Q25" s="219"/>
      <c r="V25" s="4"/>
      <c r="W25" s="199"/>
      <c r="X25" s="199"/>
      <c r="Y25" s="199"/>
      <c r="Z25" s="200"/>
      <c r="AB25" s="4"/>
      <c r="AC25" s="199"/>
      <c r="AD25" s="199"/>
      <c r="AE25" s="199"/>
      <c r="AF25" s="200"/>
    </row>
    <row r="26" spans="2:32" ht="13.2" customHeight="1" thickBot="1" x14ac:dyDescent="0.3">
      <c r="B26" s="5">
        <v>22</v>
      </c>
      <c r="C26" s="13" t="s">
        <v>79</v>
      </c>
      <c r="D26" s="14" t="s">
        <v>57</v>
      </c>
      <c r="F26" s="23" t="s">
        <v>21</v>
      </c>
      <c r="G26" s="240" t="s">
        <v>87</v>
      </c>
      <c r="H26" s="241"/>
      <c r="J26" s="220" t="s">
        <v>137</v>
      </c>
      <c r="K26" s="221"/>
      <c r="L26" s="221"/>
      <c r="M26" s="221"/>
      <c r="N26" s="221"/>
      <c r="O26" s="221"/>
      <c r="P26" s="221"/>
      <c r="Q26" s="222"/>
      <c r="V26" s="4"/>
      <c r="W26" s="199"/>
      <c r="X26" s="199"/>
      <c r="Y26" s="199"/>
      <c r="Z26" s="200"/>
      <c r="AB26" s="4"/>
      <c r="AC26" s="199"/>
      <c r="AD26" s="199"/>
      <c r="AE26" s="199"/>
      <c r="AF26" s="200"/>
    </row>
    <row r="27" spans="2:32" ht="13.2" customHeight="1" thickBot="1" x14ac:dyDescent="0.3">
      <c r="B27" s="5">
        <v>23</v>
      </c>
      <c r="C27" s="77" t="s">
        <v>80</v>
      </c>
      <c r="D27" s="78" t="s">
        <v>53</v>
      </c>
      <c r="F27" s="23" t="s">
        <v>126</v>
      </c>
      <c r="G27" s="240" t="s">
        <v>132</v>
      </c>
      <c r="H27" s="241"/>
      <c r="I27" s="94" t="s">
        <v>88</v>
      </c>
      <c r="V27" s="4"/>
      <c r="W27" s="199"/>
      <c r="X27" s="199"/>
      <c r="Y27" s="199"/>
      <c r="Z27" s="200"/>
      <c r="AB27" s="4"/>
      <c r="AC27" s="199"/>
      <c r="AD27" s="199"/>
      <c r="AE27" s="199"/>
      <c r="AF27" s="200"/>
    </row>
    <row r="28" spans="2:32" ht="13.2" customHeight="1" thickBot="1" x14ac:dyDescent="0.3">
      <c r="B28" s="5">
        <v>24</v>
      </c>
      <c r="C28" s="13"/>
      <c r="D28" s="14"/>
      <c r="F28" s="24" t="s">
        <v>127</v>
      </c>
      <c r="G28" s="243" t="s">
        <v>133</v>
      </c>
      <c r="H28" s="244"/>
      <c r="I28" s="94" t="s">
        <v>88</v>
      </c>
      <c r="N28" s="245" t="s">
        <v>128</v>
      </c>
      <c r="O28" s="246"/>
      <c r="P28" s="246"/>
      <c r="Q28" s="247"/>
      <c r="V28" s="4"/>
      <c r="W28" s="199"/>
      <c r="X28" s="199"/>
      <c r="Y28" s="199"/>
      <c r="Z28" s="200"/>
      <c r="AB28" s="4"/>
      <c r="AC28" s="199"/>
      <c r="AD28" s="199"/>
      <c r="AE28" s="199"/>
      <c r="AF28" s="200"/>
    </row>
    <row r="29" spans="2:32" ht="13.2" customHeight="1" thickBot="1" x14ac:dyDescent="0.3">
      <c r="B29" s="5">
        <v>25</v>
      </c>
      <c r="C29" s="77"/>
      <c r="D29" s="78"/>
      <c r="N29" s="248"/>
      <c r="O29" s="249"/>
      <c r="P29" s="249"/>
      <c r="Q29" s="250"/>
      <c r="V29" s="92"/>
      <c r="W29" s="201"/>
      <c r="X29" s="201"/>
      <c r="Y29" s="201"/>
      <c r="Z29" s="202"/>
      <c r="AB29" s="92"/>
      <c r="AC29" s="201"/>
      <c r="AD29" s="201"/>
      <c r="AE29" s="201"/>
      <c r="AF29" s="202"/>
    </row>
    <row r="30" spans="2:32" ht="13.2" customHeight="1" thickBot="1" x14ac:dyDescent="0.3">
      <c r="B30" s="5">
        <v>26</v>
      </c>
      <c r="C30" s="13"/>
      <c r="D30" s="14"/>
    </row>
    <row r="31" spans="2:32" ht="13.2" customHeight="1" x14ac:dyDescent="0.25">
      <c r="B31" s="5">
        <v>27</v>
      </c>
      <c r="C31" s="77"/>
      <c r="D31" s="78"/>
      <c r="F31" s="203" t="s">
        <v>97</v>
      </c>
      <c r="G31" s="204"/>
      <c r="H31" s="204"/>
      <c r="I31" s="204"/>
      <c r="J31" s="204"/>
      <c r="K31" s="204"/>
      <c r="L31" s="204"/>
      <c r="M31" s="204"/>
      <c r="N31" s="204"/>
      <c r="O31" s="204"/>
      <c r="P31" s="204"/>
      <c r="Q31" s="205"/>
    </row>
    <row r="32" spans="2:32" ht="13.2" customHeight="1" x14ac:dyDescent="0.25">
      <c r="B32" s="5">
        <v>28</v>
      </c>
      <c r="C32" s="13"/>
      <c r="D32" s="14"/>
      <c r="F32" s="206"/>
      <c r="G32" s="207"/>
      <c r="H32" s="207"/>
      <c r="I32" s="207"/>
      <c r="J32" s="207"/>
      <c r="K32" s="207"/>
      <c r="L32" s="207"/>
      <c r="M32" s="207"/>
      <c r="N32" s="207"/>
      <c r="O32" s="207"/>
      <c r="P32" s="207"/>
      <c r="Q32" s="208"/>
    </row>
    <row r="33" spans="2:25" ht="13.2" customHeight="1" x14ac:dyDescent="0.25">
      <c r="B33" s="5">
        <v>29</v>
      </c>
      <c r="C33" s="77"/>
      <c r="D33" s="78"/>
      <c r="F33" s="206"/>
      <c r="G33" s="207"/>
      <c r="H33" s="207"/>
      <c r="I33" s="207"/>
      <c r="J33" s="207"/>
      <c r="K33" s="207"/>
      <c r="L33" s="207"/>
      <c r="M33" s="207"/>
      <c r="N33" s="207"/>
      <c r="O33" s="207"/>
      <c r="P33" s="207"/>
      <c r="Q33" s="208"/>
    </row>
    <row r="34" spans="2:25" ht="13.2" customHeight="1" x14ac:dyDescent="0.25">
      <c r="B34" s="5">
        <v>30</v>
      </c>
      <c r="C34" s="13"/>
      <c r="D34" s="14"/>
      <c r="F34" s="206"/>
      <c r="G34" s="207"/>
      <c r="H34" s="207"/>
      <c r="I34" s="207"/>
      <c r="J34" s="207"/>
      <c r="K34" s="207"/>
      <c r="L34" s="207"/>
      <c r="M34" s="207"/>
      <c r="N34" s="207"/>
      <c r="O34" s="207"/>
      <c r="P34" s="207"/>
      <c r="Q34" s="208"/>
    </row>
    <row r="35" spans="2:25" ht="13.2" customHeight="1" x14ac:dyDescent="0.25">
      <c r="B35" s="5">
        <v>31</v>
      </c>
      <c r="C35" s="77"/>
      <c r="D35" s="78"/>
      <c r="F35" s="206"/>
      <c r="G35" s="207"/>
      <c r="H35" s="207"/>
      <c r="I35" s="207"/>
      <c r="J35" s="207"/>
      <c r="K35" s="207"/>
      <c r="L35" s="207"/>
      <c r="M35" s="207"/>
      <c r="N35" s="207"/>
      <c r="O35" s="207"/>
      <c r="P35" s="207"/>
      <c r="Q35" s="208"/>
    </row>
    <row r="36" spans="2:25" ht="13.2" customHeight="1" x14ac:dyDescent="0.25">
      <c r="B36" s="5">
        <v>32</v>
      </c>
      <c r="C36" s="13"/>
      <c r="D36" s="14"/>
      <c r="F36" s="206"/>
      <c r="G36" s="207"/>
      <c r="H36" s="207"/>
      <c r="I36" s="207"/>
      <c r="J36" s="207"/>
      <c r="K36" s="207"/>
      <c r="L36" s="207"/>
      <c r="M36" s="207"/>
      <c r="N36" s="207"/>
      <c r="O36" s="207"/>
      <c r="P36" s="207"/>
      <c r="Q36" s="208"/>
    </row>
    <row r="37" spans="2:25" ht="13.2" customHeight="1" thickBot="1" x14ac:dyDescent="0.3">
      <c r="B37" s="5">
        <v>33</v>
      </c>
      <c r="C37" s="77"/>
      <c r="D37" s="78"/>
      <c r="F37" s="206"/>
      <c r="G37" s="207"/>
      <c r="H37" s="207"/>
      <c r="I37" s="207"/>
      <c r="J37" s="207"/>
      <c r="K37" s="207"/>
      <c r="L37" s="207"/>
      <c r="M37" s="207"/>
      <c r="N37" s="207"/>
      <c r="O37" s="207"/>
      <c r="P37" s="207"/>
      <c r="Q37" s="208"/>
    </row>
    <row r="38" spans="2:25" ht="13.2" customHeight="1" x14ac:dyDescent="0.25">
      <c r="B38" s="5">
        <v>34</v>
      </c>
      <c r="C38" s="13"/>
      <c r="D38" s="14"/>
      <c r="F38" s="206"/>
      <c r="G38" s="207"/>
      <c r="H38" s="207"/>
      <c r="I38" s="207"/>
      <c r="J38" s="207"/>
      <c r="K38" s="207"/>
      <c r="L38" s="207"/>
      <c r="M38" s="207"/>
      <c r="N38" s="207"/>
      <c r="O38" s="207"/>
      <c r="P38" s="207"/>
      <c r="Q38" s="208"/>
      <c r="V38" s="251" t="s">
        <v>134</v>
      </c>
      <c r="W38" s="252"/>
      <c r="X38" s="252"/>
      <c r="Y38" s="253"/>
    </row>
    <row r="39" spans="2:25" ht="13.2" customHeight="1" x14ac:dyDescent="0.25">
      <c r="B39" s="5">
        <v>35</v>
      </c>
      <c r="C39" s="77"/>
      <c r="D39" s="78"/>
      <c r="F39" s="206"/>
      <c r="G39" s="207"/>
      <c r="H39" s="207"/>
      <c r="I39" s="207"/>
      <c r="J39" s="207"/>
      <c r="K39" s="207"/>
      <c r="L39" s="207"/>
      <c r="M39" s="207"/>
      <c r="N39" s="207"/>
      <c r="O39" s="207"/>
      <c r="P39" s="207"/>
      <c r="Q39" s="208"/>
      <c r="V39" s="254"/>
      <c r="W39" s="255"/>
      <c r="X39" s="255"/>
      <c r="Y39" s="256"/>
    </row>
    <row r="40" spans="2:25" ht="13.2" customHeight="1" x14ac:dyDescent="0.25">
      <c r="B40" s="5">
        <v>36</v>
      </c>
      <c r="C40" s="13"/>
      <c r="D40" s="14"/>
      <c r="F40" s="206"/>
      <c r="G40" s="207"/>
      <c r="H40" s="207"/>
      <c r="I40" s="207"/>
      <c r="J40" s="207"/>
      <c r="K40" s="207"/>
      <c r="L40" s="207"/>
      <c r="M40" s="207"/>
      <c r="N40" s="207"/>
      <c r="O40" s="207"/>
      <c r="P40" s="207"/>
      <c r="Q40" s="208"/>
      <c r="V40" s="98">
        <v>1</v>
      </c>
      <c r="W40" s="257" t="s">
        <v>135</v>
      </c>
      <c r="X40" s="257"/>
      <c r="Y40" s="258"/>
    </row>
    <row r="41" spans="2:25" ht="13.2" customHeight="1" x14ac:dyDescent="0.25">
      <c r="B41" s="5">
        <v>37</v>
      </c>
      <c r="C41" s="77"/>
      <c r="D41" s="78"/>
      <c r="F41" s="206"/>
      <c r="G41" s="207"/>
      <c r="H41" s="207"/>
      <c r="I41" s="207"/>
      <c r="J41" s="207"/>
      <c r="K41" s="207"/>
      <c r="L41" s="207"/>
      <c r="M41" s="207"/>
      <c r="N41" s="207"/>
      <c r="O41" s="207"/>
      <c r="P41" s="207"/>
      <c r="Q41" s="208"/>
      <c r="V41" s="98">
        <v>1</v>
      </c>
      <c r="W41" s="257" t="s">
        <v>136</v>
      </c>
      <c r="X41" s="257"/>
      <c r="Y41" s="258"/>
    </row>
    <row r="42" spans="2:25" ht="13.2" customHeight="1" x14ac:dyDescent="0.25">
      <c r="B42" s="5">
        <v>38</v>
      </c>
      <c r="C42" s="13"/>
      <c r="D42" s="14"/>
      <c r="F42" s="206"/>
      <c r="G42" s="207"/>
      <c r="H42" s="207"/>
      <c r="I42" s="207"/>
      <c r="J42" s="207"/>
      <c r="K42" s="207"/>
      <c r="L42" s="207"/>
      <c r="M42" s="207"/>
      <c r="N42" s="207"/>
      <c r="O42" s="207"/>
      <c r="P42" s="207"/>
      <c r="Q42" s="208"/>
      <c r="V42" s="96"/>
      <c r="W42" s="259"/>
      <c r="X42" s="259"/>
      <c r="Y42" s="260"/>
    </row>
    <row r="43" spans="2:25" ht="13.2" customHeight="1" x14ac:dyDescent="0.25">
      <c r="B43" s="5">
        <v>39</v>
      </c>
      <c r="C43" s="77"/>
      <c r="D43" s="78"/>
      <c r="F43" s="206"/>
      <c r="G43" s="207"/>
      <c r="H43" s="207"/>
      <c r="I43" s="207"/>
      <c r="J43" s="207"/>
      <c r="K43" s="207"/>
      <c r="L43" s="207"/>
      <c r="M43" s="207"/>
      <c r="N43" s="207"/>
      <c r="O43" s="207"/>
      <c r="P43" s="207"/>
      <c r="Q43" s="208"/>
      <c r="V43" s="96"/>
      <c r="W43" s="259"/>
      <c r="X43" s="259"/>
      <c r="Y43" s="260"/>
    </row>
    <row r="44" spans="2:25" ht="13.2" customHeight="1" thickBot="1" x14ac:dyDescent="0.3">
      <c r="B44" s="6">
        <v>40</v>
      </c>
      <c r="C44" s="15"/>
      <c r="D44" s="16"/>
      <c r="F44" s="209"/>
      <c r="G44" s="210"/>
      <c r="H44" s="210"/>
      <c r="I44" s="210"/>
      <c r="J44" s="210"/>
      <c r="K44" s="210"/>
      <c r="L44" s="210"/>
      <c r="M44" s="210"/>
      <c r="N44" s="210"/>
      <c r="O44" s="210"/>
      <c r="P44" s="210"/>
      <c r="Q44" s="211"/>
      <c r="V44" s="97"/>
      <c r="W44" s="232"/>
      <c r="X44" s="232"/>
      <c r="Y44" s="233"/>
    </row>
    <row r="45" spans="2:25" x14ac:dyDescent="0.25">
      <c r="C45" s="10">
        <f>COUNTA(C5:C44)</f>
        <v>23</v>
      </c>
    </row>
  </sheetData>
  <sheetProtection sheet="1" objects="1" scenarios="1" selectLockedCells="1"/>
  <mergeCells count="29">
    <mergeCell ref="V38:Y39"/>
    <mergeCell ref="W40:Y40"/>
    <mergeCell ref="W41:Y41"/>
    <mergeCell ref="W42:Y42"/>
    <mergeCell ref="W43:Y43"/>
    <mergeCell ref="B2:D3"/>
    <mergeCell ref="W3:Z29"/>
    <mergeCell ref="G25:H25"/>
    <mergeCell ref="G26:H26"/>
    <mergeCell ref="R22:S22"/>
    <mergeCell ref="G27:H27"/>
    <mergeCell ref="G28:H28"/>
    <mergeCell ref="N28:Q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0" r:id="rId6" name="cmdAK">
          <controlPr defaultSize="0" autoLine="0" r:id="rId7">
            <anchor>
              <from>
                <xdr:col>12</xdr:col>
                <xdr:colOff>0</xdr:colOff>
                <xdr:row>27</xdr:row>
                <xdr:rowOff>0</xdr:rowOff>
              </from>
              <to>
                <xdr:col>12</xdr:col>
                <xdr:colOff>403860</xdr:colOff>
                <xdr:row>28</xdr:row>
                <xdr:rowOff>160020</xdr:rowOff>
              </to>
            </anchor>
          </controlPr>
        </control>
      </mc:Choice>
      <mc:Fallback>
        <control shapeId="10280" r:id="rId6" name="cmdAK"/>
      </mc:Fallback>
    </mc:AlternateContent>
    <mc:AlternateContent xmlns:mc="http://schemas.openxmlformats.org/markup-compatibility/2006">
      <mc:Choice Requires="x14">
        <control shapeId="10279" r:id="rId8" name="cmdDK">
          <controlPr defaultSize="0" autoLine="0" r:id="rId9">
            <anchor>
              <from>
                <xdr:col>11</xdr:col>
                <xdr:colOff>0</xdr:colOff>
                <xdr:row>27</xdr:row>
                <xdr:rowOff>0</xdr:rowOff>
              </from>
              <to>
                <xdr:col>11</xdr:col>
                <xdr:colOff>403860</xdr:colOff>
                <xdr:row>28</xdr:row>
                <xdr:rowOff>160020</xdr:rowOff>
              </to>
            </anchor>
          </controlPr>
        </control>
      </mc:Choice>
      <mc:Fallback>
        <control shapeId="10279" r:id="rId8" name="cmdDK"/>
      </mc:Fallback>
    </mc:AlternateContent>
    <mc:AlternateContent xmlns:mc="http://schemas.openxmlformats.org/markup-compatibility/2006">
      <mc:Choice Requires="x14">
        <control shapeId="10278" r:id="rId10" name="cmdZK">
          <controlPr defaultSize="0" autoLine="0" r:id="rId11">
            <anchor>
              <from>
                <xdr:col>9</xdr:col>
                <xdr:colOff>441960</xdr:colOff>
                <xdr:row>27</xdr:row>
                <xdr:rowOff>0</xdr:rowOff>
              </from>
              <to>
                <xdr:col>10</xdr:col>
                <xdr:colOff>388620</xdr:colOff>
                <xdr:row>28</xdr:row>
                <xdr:rowOff>160020</xdr:rowOff>
              </to>
            </anchor>
          </controlPr>
        </control>
      </mc:Choice>
      <mc:Fallback>
        <control shapeId="10278" r:id="rId10" name="cmdZK"/>
      </mc:Fallback>
    </mc:AlternateContent>
    <mc:AlternateContent xmlns:mc="http://schemas.openxmlformats.org/markup-compatibility/2006">
      <mc:Choice Requires="x14">
        <control shapeId="10277" r:id="rId12" name="cmdEK">
          <controlPr defaultSize="0" autoLine="0" r:id="rId13">
            <anchor>
              <from>
                <xdr:col>8</xdr:col>
                <xdr:colOff>441960</xdr:colOff>
                <xdr:row>27</xdr:row>
                <xdr:rowOff>0</xdr:rowOff>
              </from>
              <to>
                <xdr:col>9</xdr:col>
                <xdr:colOff>388620</xdr:colOff>
                <xdr:row>28</xdr:row>
                <xdr:rowOff>160020</xdr:rowOff>
              </to>
            </anchor>
          </controlPr>
        </control>
      </mc:Choice>
      <mc:Fallback>
        <control shapeId="10277" r:id="rId12" name="cmdEK"/>
      </mc:Fallback>
    </mc:AlternateContent>
    <mc:AlternateContent xmlns:mc="http://schemas.openxmlformats.org/markup-compatibility/2006">
      <mc:Choice Requires="x14">
        <control shapeId="10276" r:id="rId14" name="btnSelExUpdate">
          <controlPr defaultSize="0" print="0" autoLine="0" r:id="rId15">
            <anchor>
              <from>
                <xdr:col>21</xdr:col>
                <xdr:colOff>0</xdr:colOff>
                <xdr:row>33</xdr:row>
                <xdr:rowOff>0</xdr:rowOff>
              </from>
              <to>
                <xdr:col>23</xdr:col>
                <xdr:colOff>434340</xdr:colOff>
                <xdr:row>36</xdr:row>
                <xdr:rowOff>30480</xdr:rowOff>
              </to>
            </anchor>
          </controlPr>
        </control>
      </mc:Choice>
      <mc:Fallback>
        <control shapeId="10276" r:id="rId14" name="btnSelExUpdate"/>
      </mc:Fallback>
    </mc:AlternateContent>
    <mc:AlternateContent xmlns:mc="http://schemas.openxmlformats.org/markup-compatibility/2006">
      <mc:Choice Requires="x14">
        <control shapeId="10244" r:id="rId16" name="cmdCreateResults">
          <controlPr defaultSize="0" autoLine="0" r:id="rId17">
            <anchor>
              <from>
                <xdr:col>23</xdr:col>
                <xdr:colOff>533400</xdr:colOff>
                <xdr:row>33</xdr:row>
                <xdr:rowOff>0</xdr:rowOff>
              </from>
              <to>
                <xdr:col>25</xdr:col>
                <xdr:colOff>358140</xdr:colOff>
                <xdr:row>36</xdr:row>
                <xdr:rowOff>30480</xdr:rowOff>
              </to>
            </anchor>
          </controlPr>
        </control>
      </mc:Choice>
      <mc:Fallback>
        <control shapeId="10244" r:id="rId16" name="cmdCreateResults"/>
      </mc:Fallback>
    </mc:AlternateContent>
    <mc:AlternateContent xmlns:mc="http://schemas.openxmlformats.org/markup-compatibility/2006">
      <mc:Choice Requires="x14">
        <control shapeId="10243" r:id="rId18" name="cmdCreateTables">
          <controlPr defaultSize="0" autoLine="0" r:id="rId19">
            <anchor>
              <from>
                <xdr:col>21</xdr:col>
                <xdr:colOff>0</xdr:colOff>
                <xdr:row>29</xdr:row>
                <xdr:rowOff>68580</xdr:rowOff>
              </from>
              <to>
                <xdr:col>23</xdr:col>
                <xdr:colOff>434340</xdr:colOff>
                <xdr:row>32</xdr:row>
                <xdr:rowOff>99060</xdr:rowOff>
              </to>
            </anchor>
          </controlPr>
        </control>
      </mc:Choice>
      <mc:Fallback>
        <control shapeId="10243" r:id="rId18" name="cmdCreateTables"/>
      </mc:Fallback>
    </mc:AlternateContent>
    <mc:AlternateContent xmlns:mc="http://schemas.openxmlformats.org/markup-compatibility/2006">
      <mc:Choice Requires="x14">
        <control shapeId="10246" r:id="rId20" name="cmdClearAll">
          <controlPr defaultSize="0" autoLine="0" r:id="rId21">
            <anchor>
              <from>
                <xdr:col>23</xdr:col>
                <xdr:colOff>533400</xdr:colOff>
                <xdr:row>29</xdr:row>
                <xdr:rowOff>68580</xdr:rowOff>
              </from>
              <to>
                <xdr:col>25</xdr:col>
                <xdr:colOff>358140</xdr:colOff>
                <xdr:row>32</xdr:row>
                <xdr:rowOff>99060</xdr:rowOff>
              </to>
            </anchor>
          </controlPr>
        </control>
      </mc:Choice>
      <mc:Fallback>
        <control shapeId="10246" r:id="rId20" name="cmdClearAll"/>
      </mc:Fallback>
    </mc:AlternateContent>
    <mc:AlternateContent xmlns:mc="http://schemas.openxmlformats.org/markup-compatibility/2006">
      <mc:Choice Requires="x14">
        <control shapeId="10285" r:id="rId22" name="cmdAddZKDK">
          <controlPr defaultSize="0" autoLine="0" r:id="rId23">
            <anchor>
              <from>
                <xdr:col>27</xdr:col>
                <xdr:colOff>0</xdr:colOff>
                <xdr:row>29</xdr:row>
                <xdr:rowOff>68580</xdr:rowOff>
              </from>
              <to>
                <xdr:col>29</xdr:col>
                <xdr:colOff>441960</xdr:colOff>
                <xdr:row>32</xdr:row>
                <xdr:rowOff>99060</xdr:rowOff>
              </to>
            </anchor>
          </controlPr>
        </control>
      </mc:Choice>
      <mc:Fallback>
        <control shapeId="10285" r:id="rId22" name="cmdAddZKDK"/>
      </mc:Fallback>
    </mc:AlternateContent>
    <mc:AlternateContent xmlns:mc="http://schemas.openxmlformats.org/markup-compatibility/2006">
      <mc:Choice Requires="x14">
        <control shapeId="10287" r:id="rId24" name="cmdDelZKDK">
          <controlPr defaultSize="0" autoLine="0" r:id="rId25">
            <anchor>
              <from>
                <xdr:col>29</xdr:col>
                <xdr:colOff>518160</xdr:colOff>
                <xdr:row>29</xdr:row>
                <xdr:rowOff>68580</xdr:rowOff>
              </from>
              <to>
                <xdr:col>31</xdr:col>
                <xdr:colOff>342900</xdr:colOff>
                <xdr:row>32</xdr:row>
                <xdr:rowOff>99060</xdr:rowOff>
              </to>
            </anchor>
          </controlPr>
        </control>
      </mc:Choice>
      <mc:Fallback>
        <control shapeId="10287" r:id="rId24" name="cmdDelZKDK"/>
      </mc:Fallback>
    </mc:AlternateContent>
    <mc:AlternateContent xmlns:mc="http://schemas.openxmlformats.org/markup-compatibility/2006">
      <mc:Choice Requires="x14">
        <control shapeId="10288" r:id="rId26" name="cmdImportZK">
          <controlPr defaultSize="0" autoLine="0" r:id="rId27">
            <anchor>
              <from>
                <xdr:col>27</xdr:col>
                <xdr:colOff>0</xdr:colOff>
                <xdr:row>33</xdr:row>
                <xdr:rowOff>0</xdr:rowOff>
              </from>
              <to>
                <xdr:col>29</xdr:col>
                <xdr:colOff>441960</xdr:colOff>
                <xdr:row>36</xdr:row>
                <xdr:rowOff>30480</xdr:rowOff>
              </to>
            </anchor>
          </controlPr>
        </control>
      </mc:Choice>
      <mc:Fallback>
        <control shapeId="10288" r:id="rId26" name="cmdImportZK"/>
      </mc:Fallback>
    </mc:AlternateContent>
    <mc:AlternateContent xmlns:mc="http://schemas.openxmlformats.org/markup-compatibility/2006">
      <mc:Choice Requires="x14">
        <control shapeId="10289" r:id="rId28" name="cmdImportDK">
          <controlPr defaultSize="0" autoLine="0" r:id="rId29">
            <anchor>
              <from>
                <xdr:col>29</xdr:col>
                <xdr:colOff>518160</xdr:colOff>
                <xdr:row>33</xdr:row>
                <xdr:rowOff>0</xdr:rowOff>
              </from>
              <to>
                <xdr:col>31</xdr:col>
                <xdr:colOff>342900</xdr:colOff>
                <xdr:row>36</xdr:row>
                <xdr:rowOff>30480</xdr:rowOff>
              </to>
            </anchor>
          </controlPr>
        </control>
      </mc:Choice>
      <mc:Fallback>
        <control shapeId="10289" r:id="rId28" name="cmdImportD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203" t="s">
        <v>32</v>
      </c>
      <c r="H2" s="204"/>
      <c r="I2" s="204"/>
      <c r="J2" s="204"/>
      <c r="K2" s="204"/>
      <c r="L2" s="205"/>
    </row>
    <row r="3" spans="2:15" x14ac:dyDescent="0.25">
      <c r="B3" s="35">
        <v>0</v>
      </c>
      <c r="C3" s="36">
        <v>0</v>
      </c>
      <c r="D3" s="37">
        <v>6</v>
      </c>
      <c r="E3" s="27" t="str">
        <f>IF(AND($C3=$C4,$C4&lt;$C5),"+",IF($C3&lt;$C4,"++",""))</f>
        <v/>
      </c>
      <c r="F3" s="31"/>
      <c r="G3" s="206"/>
      <c r="H3" s="207"/>
      <c r="I3" s="207"/>
      <c r="J3" s="207"/>
      <c r="K3" s="207"/>
      <c r="L3" s="208"/>
    </row>
    <row r="4" spans="2:15" x14ac:dyDescent="0.25">
      <c r="B4" s="38">
        <v>0.5</v>
      </c>
      <c r="C4" s="39">
        <v>0</v>
      </c>
      <c r="D4" s="40">
        <v>6</v>
      </c>
      <c r="E4" s="27" t="str">
        <f>IF(AND($C4=$C5,$C5&lt;$C6),"+",IF($C4&lt;$C5,"++",""))</f>
        <v/>
      </c>
      <c r="F4" s="31"/>
      <c r="G4" s="206"/>
      <c r="H4" s="207"/>
      <c r="I4" s="207"/>
      <c r="J4" s="207"/>
      <c r="K4" s="207"/>
      <c r="L4" s="208"/>
    </row>
    <row r="5" spans="2:15" x14ac:dyDescent="0.25">
      <c r="B5" s="38">
        <v>1</v>
      </c>
      <c r="C5" s="39">
        <v>0</v>
      </c>
      <c r="D5" s="40">
        <v>6</v>
      </c>
      <c r="E5" s="27" t="str">
        <f t="shared" ref="E5:E50" si="0">IF(AND($C5=$C6,$C6&lt;$C7),"+",IF($C5&lt;$C6,"++",IF(AND($C5=$C4,$C4&gt;$C3),"-",IF($C5&gt;$C4,"--",""))))</f>
        <v/>
      </c>
      <c r="F5" s="31"/>
      <c r="G5" s="206"/>
      <c r="H5" s="207"/>
      <c r="I5" s="207"/>
      <c r="J5" s="207"/>
      <c r="K5" s="207"/>
      <c r="L5" s="208"/>
    </row>
    <row r="6" spans="2:15" x14ac:dyDescent="0.25">
      <c r="B6" s="38">
        <v>1.5</v>
      </c>
      <c r="C6" s="39">
        <v>0</v>
      </c>
      <c r="D6" s="40">
        <v>6</v>
      </c>
      <c r="E6" s="27" t="str">
        <f t="shared" si="0"/>
        <v/>
      </c>
      <c r="F6" s="31"/>
      <c r="G6" s="206"/>
      <c r="H6" s="207"/>
      <c r="I6" s="207"/>
      <c r="J6" s="207"/>
      <c r="K6" s="207"/>
      <c r="L6" s="208"/>
    </row>
    <row r="7" spans="2:15" x14ac:dyDescent="0.25">
      <c r="B7" s="38">
        <v>2</v>
      </c>
      <c r="C7" s="39">
        <v>0</v>
      </c>
      <c r="D7" s="40">
        <v>6</v>
      </c>
      <c r="E7" s="27" t="str">
        <f t="shared" si="0"/>
        <v/>
      </c>
      <c r="F7" s="31"/>
      <c r="G7" s="206"/>
      <c r="H7" s="207"/>
      <c r="I7" s="207"/>
      <c r="J7" s="207"/>
      <c r="K7" s="207"/>
      <c r="L7" s="208"/>
    </row>
    <row r="8" spans="2:15" ht="12.75" customHeight="1" x14ac:dyDescent="0.25">
      <c r="B8" s="38">
        <v>2.5</v>
      </c>
      <c r="C8" s="39">
        <v>0</v>
      </c>
      <c r="D8" s="40">
        <v>6</v>
      </c>
      <c r="E8" s="27" t="str">
        <f t="shared" si="0"/>
        <v/>
      </c>
      <c r="F8" s="31"/>
      <c r="G8" s="206"/>
      <c r="H8" s="207"/>
      <c r="I8" s="207"/>
      <c r="J8" s="207"/>
      <c r="K8" s="207"/>
      <c r="L8" s="208"/>
      <c r="M8" s="32"/>
      <c r="N8" s="32"/>
      <c r="O8" s="32"/>
    </row>
    <row r="9" spans="2:15" x14ac:dyDescent="0.25">
      <c r="B9" s="38">
        <v>3</v>
      </c>
      <c r="C9" s="39">
        <v>0</v>
      </c>
      <c r="D9" s="40">
        <v>6</v>
      </c>
      <c r="E9" s="27" t="str">
        <f t="shared" si="0"/>
        <v/>
      </c>
      <c r="F9" s="31"/>
      <c r="G9" s="206"/>
      <c r="H9" s="207"/>
      <c r="I9" s="207"/>
      <c r="J9" s="207"/>
      <c r="K9" s="207"/>
      <c r="L9" s="208"/>
      <c r="M9" s="32"/>
      <c r="N9" s="32"/>
      <c r="O9" s="32"/>
    </row>
    <row r="10" spans="2:15" x14ac:dyDescent="0.25">
      <c r="B10" s="38">
        <v>3.5</v>
      </c>
      <c r="C10" s="39">
        <v>0</v>
      </c>
      <c r="D10" s="40">
        <v>6</v>
      </c>
      <c r="E10" s="27" t="str">
        <f t="shared" si="0"/>
        <v/>
      </c>
      <c r="F10" s="31"/>
      <c r="G10" s="206"/>
      <c r="H10" s="207"/>
      <c r="I10" s="207"/>
      <c r="J10" s="207"/>
      <c r="K10" s="207"/>
      <c r="L10" s="208"/>
      <c r="M10" s="32"/>
      <c r="N10" s="32"/>
      <c r="O10" s="32"/>
    </row>
    <row r="11" spans="2:15" x14ac:dyDescent="0.25">
      <c r="B11" s="38">
        <v>4</v>
      </c>
      <c r="C11" s="39">
        <v>0</v>
      </c>
      <c r="D11" s="40">
        <v>6</v>
      </c>
      <c r="E11" s="27" t="str">
        <f t="shared" si="0"/>
        <v/>
      </c>
      <c r="G11" s="206"/>
      <c r="H11" s="207"/>
      <c r="I11" s="207"/>
      <c r="J11" s="207"/>
      <c r="K11" s="207"/>
      <c r="L11" s="208"/>
      <c r="M11" s="32"/>
      <c r="N11" s="32"/>
      <c r="O11" s="32"/>
    </row>
    <row r="12" spans="2:15" x14ac:dyDescent="0.25">
      <c r="B12" s="38">
        <v>4.5</v>
      </c>
      <c r="C12" s="39">
        <v>0</v>
      </c>
      <c r="D12" s="40">
        <v>6</v>
      </c>
      <c r="E12" s="27" t="str">
        <f t="shared" si="0"/>
        <v/>
      </c>
      <c r="F12" s="31"/>
      <c r="G12" s="206"/>
      <c r="H12" s="207"/>
      <c r="I12" s="207"/>
      <c r="J12" s="207"/>
      <c r="K12" s="207"/>
      <c r="L12" s="208"/>
      <c r="M12" s="32"/>
      <c r="N12" s="32"/>
      <c r="O12" s="32"/>
    </row>
    <row r="13" spans="2:15" x14ac:dyDescent="0.25">
      <c r="B13" s="38">
        <v>5</v>
      </c>
      <c r="C13" s="39">
        <v>0</v>
      </c>
      <c r="D13" s="40">
        <v>6</v>
      </c>
      <c r="E13" s="27" t="str">
        <f t="shared" si="0"/>
        <v/>
      </c>
      <c r="F13" s="31"/>
      <c r="G13" s="206"/>
      <c r="H13" s="207"/>
      <c r="I13" s="207"/>
      <c r="J13" s="207"/>
      <c r="K13" s="207"/>
      <c r="L13" s="208"/>
      <c r="M13" s="32"/>
      <c r="N13" s="32"/>
      <c r="O13" s="32"/>
    </row>
    <row r="14" spans="2:15" x14ac:dyDescent="0.25">
      <c r="B14" s="38">
        <v>5.5</v>
      </c>
      <c r="C14" s="39">
        <v>0</v>
      </c>
      <c r="D14" s="40">
        <v>6</v>
      </c>
      <c r="E14" s="27" t="str">
        <f t="shared" si="0"/>
        <v/>
      </c>
      <c r="F14" s="31"/>
      <c r="G14" s="206"/>
      <c r="H14" s="207"/>
      <c r="I14" s="207"/>
      <c r="J14" s="207"/>
      <c r="K14" s="207"/>
      <c r="L14" s="208"/>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1"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2026-05-05T21:32:57Z</cp:lastPrinted>
  <dcterms:created xsi:type="dcterms:W3CDTF">2006-06-24T21:29:52Z</dcterms:created>
  <dcterms:modified xsi:type="dcterms:W3CDTF">2026-05-08T20:53:19Z</dcterms:modified>
</cp:coreProperties>
</file>