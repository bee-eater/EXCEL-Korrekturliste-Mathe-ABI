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C285E553-F5ED-4128-AADE-D0FF65EDADD8}" xr6:coauthVersionLast="47" xr6:coauthVersionMax="47" xr10:uidLastSave="{00000000-0000-0000-0000-000000000000}"/>
  <bookViews>
    <workbookView xWindow="-108" yWindow="-108" windowWidth="30936" windowHeight="16776" xr2:uid="{00000000-000D-0000-FFFF-FFFF00000000}"/>
  </bookViews>
  <sheets>
    <sheet name="Config" sheetId="14" r:id="rId1"/>
    <sheet name="Notenspiegel" sheetId="11" r:id="rId2"/>
    <sheet name="TestData" sheetId="1707" state="hidden" r:id="rId3"/>
  </sheets>
  <functionGroups builtInGroupCount="19"/>
  <definedNames>
    <definedName name="_xlnm._FilterDatabase" localSheetId="0" hidden="1">Config!$V$40:$V$44</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1" l="1"/>
  <c r="G21" i="14"/>
  <c r="I21" i="14"/>
  <c r="K21" i="14"/>
  <c r="M21" i="14"/>
  <c r="O21" i="14"/>
  <c r="Q21" i="14"/>
  <c r="E26" i="11"/>
  <c r="E71" i="11"/>
  <c r="E76" i="11"/>
  <c r="E102" i="11"/>
  <c r="E120" i="11"/>
  <c r="E136" i="11"/>
  <c r="E134" i="11"/>
  <c r="E21" i="11"/>
  <c r="E56" i="11"/>
  <c r="E66" i="11"/>
  <c r="E80" i="11"/>
  <c r="E87" i="11"/>
  <c r="E105" i="11"/>
  <c r="E119" i="11"/>
  <c r="E24" i="11"/>
  <c r="E47" i="11"/>
  <c r="E52" i="11"/>
  <c r="E68" i="11"/>
  <c r="E77" i="11"/>
  <c r="E121" i="11"/>
  <c r="E28" i="11"/>
  <c r="E74" i="11"/>
  <c r="E79" i="11"/>
  <c r="E97" i="11"/>
  <c r="E104" i="11"/>
  <c r="E131" i="11"/>
  <c r="E143" i="11"/>
  <c r="E31" i="11"/>
  <c r="E88" i="11"/>
  <c r="E95" i="11"/>
  <c r="E94" i="11"/>
  <c r="E100" i="11"/>
  <c r="E130" i="11"/>
  <c r="E164" i="11"/>
  <c r="E180" i="11"/>
  <c r="E73" i="11"/>
  <c r="E83" i="11"/>
  <c r="E109" i="11"/>
  <c r="E139" i="11"/>
  <c r="E153" i="11"/>
  <c r="E54" i="11"/>
  <c r="E64" i="11"/>
  <c r="E81" i="11"/>
  <c r="E89" i="11"/>
  <c r="E115" i="11"/>
  <c r="E129" i="11"/>
  <c r="E23" i="11"/>
  <c r="E60" i="11"/>
  <c r="E86" i="11"/>
  <c r="E103" i="11"/>
  <c r="E9" i="11"/>
  <c r="E44" i="11"/>
  <c r="E46" i="11"/>
  <c r="E63" i="11"/>
  <c r="E16" i="11"/>
  <c r="E43" i="11"/>
  <c r="E90" i="11"/>
  <c r="E85" i="11"/>
  <c r="E96" i="11"/>
  <c r="E123" i="11"/>
  <c r="E135" i="11"/>
  <c r="E72" i="11"/>
  <c r="E82" i="11"/>
  <c r="E93" i="11"/>
  <c r="E108" i="11"/>
  <c r="E124" i="11"/>
  <c r="E30" i="11"/>
  <c r="E61" i="11"/>
  <c r="E138" i="11"/>
  <c r="E27" i="11"/>
  <c r="E118" i="11"/>
  <c r="E126" i="11"/>
  <c r="E18" i="11"/>
  <c r="E62" i="11"/>
  <c r="E5" i="11"/>
  <c r="E53" i="11"/>
  <c r="E55" i="11"/>
  <c r="E22" i="11"/>
  <c r="E51" i="11"/>
  <c r="E75" i="11"/>
  <c r="E106" i="11"/>
  <c r="E122" i="11"/>
  <c r="E91" i="11"/>
  <c r="E125" i="11"/>
  <c r="E145" i="11"/>
  <c r="E113" i="11"/>
  <c r="E165" i="11"/>
  <c r="E65" i="11"/>
  <c r="E17" i="11"/>
  <c r="E49" i="11"/>
  <c r="E59" i="11"/>
  <c r="E98" i="11"/>
  <c r="E114" i="11"/>
  <c r="E111" i="11"/>
  <c r="E101" i="11"/>
  <c r="E155" i="11"/>
  <c r="E128" i="11"/>
  <c r="E99" i="11"/>
  <c r="E112" i="11"/>
  <c r="E133" i="11"/>
  <c r="E170" i="11"/>
  <c r="E147" i="11"/>
  <c r="E69" i="11"/>
  <c r="E132" i="11"/>
  <c r="E110" i="11"/>
  <c r="E117" i="11"/>
  <c r="E116" i="11"/>
  <c r="E175" i="11"/>
  <c r="E146" i="11"/>
  <c r="E127" i="11"/>
  <c r="E40" i="11"/>
  <c r="E35" i="11"/>
  <c r="E70" i="11"/>
  <c r="E19" i="11"/>
  <c r="E84" i="11"/>
  <c r="E15" i="11"/>
  <c r="E141" i="11"/>
  <c r="E107" i="11"/>
  <c r="E137" i="11"/>
  <c r="E42" i="11"/>
  <c r="E78" i="11"/>
  <c r="E39" i="11"/>
  <c r="E25" i="11"/>
  <c r="E38" i="11"/>
  <c r="E92" i="11"/>
  <c r="E11" i="11"/>
  <c r="E34" i="11"/>
  <c r="E48" i="11"/>
  <c r="E37" i="11"/>
  <c r="E67" i="11"/>
  <c r="E50" i="11"/>
  <c r="E33" i="11"/>
  <c r="E13" i="11"/>
  <c r="E142" i="11"/>
  <c r="E29" i="11"/>
  <c r="E157" i="11"/>
  <c r="E57" i="11"/>
  <c r="E36" i="11"/>
  <c r="E32" i="11"/>
  <c r="E58" i="11"/>
  <c r="E151" i="11"/>
  <c r="E176" i="11"/>
  <c r="R21" i="14"/>
  <c r="E7" i="11"/>
  <c r="E181" i="11"/>
  <c r="E160" i="11"/>
  <c r="E198" i="11"/>
  <c r="E149" i="11"/>
  <c r="E148" i="11"/>
  <c r="E161" i="11"/>
  <c r="E20"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2" i="11"/>
  <c r="E171" i="11"/>
  <c r="E169" i="11"/>
  <c r="E166" i="11"/>
  <c r="E162" i="11"/>
  <c r="E158" i="11"/>
  <c r="E156" i="11"/>
  <c r="E152" i="11"/>
  <c r="E150" i="11"/>
  <c r="E45" i="11"/>
  <c r="E41" i="11"/>
  <c r="E14" i="11"/>
  <c r="E12" i="11"/>
  <c r="E10" i="11"/>
  <c r="E8" i="11"/>
  <c r="E6" i="11"/>
  <c r="N21" i="14"/>
  <c r="J21" i="14"/>
  <c r="L21" i="14"/>
  <c r="C45"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 Ist es deaktiviert, springt EXCEL automatisch bei Enter zum nächsten Schüler (selbe Aufgabe!).</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 Sonst bleibt EXCEL auf der gleichen Zelle beim Löschen.</t>
        </r>
      </text>
    </comment>
  </commentList>
</comments>
</file>

<file path=xl/sharedStrings.xml><?xml version="1.0" encoding="utf-8"?>
<sst xmlns="http://schemas.openxmlformats.org/spreadsheetml/2006/main" count="370" uniqueCount="127">
  <si>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</si>
  <si>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</si>
  <si>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</si>
  <si>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</si>
  <si>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</si>
  <si>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</si>
  <si>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</si>
  <si>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</si>
  <si>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</si>
  <si>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</si>
  <si>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</si>
  <si>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</si>
  <si>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</si>
  <si>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</si>
  <si>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</si>
  <si>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</si>
  <si>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</si>
  <si>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</si>
  <si>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</si>
  <si>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</si>
  <si>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</si>
  <si>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</si>
  <si>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</si>
  <si>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</si>
  <si>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</si>
  <si>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</si>
  <si>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</si>
  <si>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</si>
  <si>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</si>
  <si>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</si>
  <si>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</si>
  <si>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</si>
  <si>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</si>
  <si>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</si>
  <si>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</si>
  <si>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</si>
  <si>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</si>
  <si>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</si>
  <si>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</si>
  <si>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</si>
  <si>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</si>
  <si>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</si>
  <si>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</si>
  <si>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</si>
  <si>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</si>
  <si>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</si>
  <si>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</si>
  <si>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</si>
  <si>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</si>
  <si>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</si>
  <si>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</si>
  <si>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</si>
  <si>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</si>
  <si>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</si>
  <si>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</si>
  <si>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</si>
  <si>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</si>
  <si>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</si>
  <si>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</si>
  <si>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</si>
  <si>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</si>
  <si>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</si>
  <si>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</si>
  <si>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</si>
  <si>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</si>
  <si>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</si>
  <si>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</si>
  <si>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</si>
  <si>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</si>
  <si>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</si>
  <si>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</si>
  <si>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</si>
  <si>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</si>
  <si>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</si>
  <si>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</si>
  <si>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</si>
  <si>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</si>
  <si>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</si>
  <si>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</si>
  <si>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</si>
  <si>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</si>
  <si>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</si>
  <si>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</si>
  <si>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</si>
  <si>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</si>
  <si>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</si>
  <si>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</si>
  <si>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</si>
  <si>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</si>
  <si>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</si>
  <si>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</si>
  <si>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</si>
  <si>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</si>
  <si>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</si>
  <si>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</si>
  <si>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</si>
  <si>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</si>
  <si>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</si>
  <si>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</si>
  <si>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</si>
  <si>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</si>
  <si>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</si>
  <si>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</si>
  <si>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</si>
  <si>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</si>
  <si>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</si>
  <si>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</si>
  <si>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</si>
  <si>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</si>
  <si>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</si>
  <si>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</si>
  <si>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</si>
  <si>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</si>
  <si>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</si>
  <si>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8.</t>
  </si>
  <si>
    <t>ZK</t>
  </si>
  <si>
    <t>DK</t>
  </si>
  <si>
    <t>Diese Buttons blenden die Zeilen für ZK/DK ein bzw. aus!</t>
  </si>
  <si>
    <t>ZK/DK:</t>
  </si>
  <si>
    <t>-</t>
  </si>
  <si>
    <t>Emma</t>
  </si>
  <si>
    <t>Philipp</t>
  </si>
  <si>
    <t>Optionen</t>
  </si>
  <si>
    <t>Zu nächster Aufgabe navigieren nach Eingabe</t>
  </si>
  <si>
    <t>Zu nächster Aufgabe navigieren nach Löschen</t>
  </si>
  <si>
    <t>Über den Button "Alles löschen ... " können die Beispielinhalte entfernt werden.
Schülernamen, sowie Teilgebiete, Aufgaben und Punkte in die beiden Tabellen eintragen. Es können auch Spalten leer gelassen werden, dann wird kein Blatt für diese Spalte erzeugt! Bspw. wenn man Analysis A und B zusammenfassen möchte.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</si>
  <si>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ZK/DK eintragen (Wert ist zweitrangig!). Wird nur ein ZK eingetragen werden auch keine DK Zeilen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</si>
</sst>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sz val="9"/>
      <name val="Arial"/>
      <family val="2"/>
    </font>
    <font>
      <b/>
      <sz val="10"/>
      <color rgb="FFAF5000"/>
      <name val="Arial"/>
      <family val="2"/>
    </font>
  </fonts>
  <fills count="10">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s>
  <borders count="36">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4">
    <xf numFmtId="0" fontId="0" fillId="0" borderId="0"/>
    <xf numFmtId="0" fontId="8" fillId="0" borderId="0" applyNumberFormat="0" applyFill="0" applyBorder="0" applyAlignment="0" applyProtection="0"/>
    <xf numFmtId="0" fontId="2" fillId="0" borderId="0"/>
    <xf numFmtId="9" fontId="2" fillId="0" borderId="0" applyFont="0" applyFill="0" applyBorder="0" applyAlignment="0" applyProtection="0"/>
  </cellStyleXfs>
  <cellXfs count="154">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26" xfId="0" applyFont="1" applyFill="1" applyBorder="1" applyAlignment="1">
      <alignment horizontal="center"/>
    </xf>
    <xf numFmtId="1" fontId="4" fillId="4" borderId="25" xfId="0" applyNumberFormat="1" applyFont="1" applyFill="1" applyBorder="1" applyAlignment="1">
      <alignment horizontal="center"/>
    </xf>
    <xf numFmtId="49" fontId="2" fillId="3" borderId="29" xfId="0" applyNumberFormat="1" applyFont="1" applyFill="1" applyBorder="1" applyAlignment="1" applyProtection="1">
      <alignment horizontal="center"/>
      <protection locked="0"/>
    </xf>
    <xf numFmtId="0" fontId="2" fillId="3" borderId="30" xfId="0" applyFont="1" applyFill="1" applyBorder="1" applyAlignment="1" applyProtection="1">
      <alignment horizontal="center"/>
      <protection locked="0"/>
    </xf>
    <xf numFmtId="49" fontId="2" fillId="3" borderId="31" xfId="0" applyNumberFormat="1" applyFont="1" applyFill="1" applyBorder="1" applyAlignment="1" applyProtection="1">
      <alignment horizontal="center"/>
      <protection locked="0"/>
    </xf>
    <xf numFmtId="0" fontId="2" fillId="3" borderId="32" xfId="0" applyFont="1" applyFill="1" applyBorder="1" applyAlignment="1" applyProtection="1">
      <alignment horizontal="center"/>
      <protection locked="0"/>
    </xf>
    <xf numFmtId="0" fontId="0" fillId="5" borderId="23" xfId="0" applyFill="1" applyBorder="1"/>
    <xf numFmtId="1" fontId="10"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11" fillId="4" borderId="5" xfId="0" applyFont="1" applyFill="1" applyBorder="1" applyAlignment="1">
      <alignment horizontal="center" vertical="center"/>
    </xf>
    <xf numFmtId="0" fontId="11" fillId="4" borderId="23" xfId="0" applyFont="1" applyFill="1" applyBorder="1" applyAlignment="1">
      <alignment horizontal="center" vertical="center"/>
    </xf>
    <xf numFmtId="0" fontId="11" fillId="3" borderId="34" xfId="0" applyFont="1" applyFill="1" applyBorder="1" applyAlignment="1" applyProtection="1">
      <alignment horizontal="center" vertical="center"/>
      <protection locked="0"/>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33" xfId="0" applyFont="1" applyFill="1" applyBorder="1" applyAlignment="1">
      <alignment horizontal="left"/>
    </xf>
    <xf numFmtId="0" fontId="4" fillId="4" borderId="35"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27"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8" fillId="5" borderId="2" xfId="1" applyFill="1" applyBorder="1" applyAlignment="1" applyProtection="1">
      <alignment horizontal="center"/>
      <protection locked="0"/>
    </xf>
    <xf numFmtId="0" fontId="8" fillId="5" borderId="3" xfId="1" applyFill="1" applyBorder="1" applyAlignment="1" applyProtection="1">
      <alignment horizontal="center"/>
      <protection locked="0"/>
    </xf>
    <xf numFmtId="0" fontId="8" fillId="5" borderId="4" xfId="1" applyFill="1" applyBorder="1" applyAlignment="1" applyProtection="1">
      <alignment horizontal="center"/>
      <protection locked="0"/>
    </xf>
    <xf numFmtId="0" fontId="8" fillId="5" borderId="5" xfId="1" applyFill="1" applyBorder="1" applyAlignment="1" applyProtection="1">
      <alignment horizontal="center"/>
      <protection locked="0"/>
    </xf>
    <xf numFmtId="0" fontId="8" fillId="5" borderId="0" xfId="1" applyFill="1" applyBorder="1" applyAlignment="1" applyProtection="1">
      <alignment horizontal="center"/>
      <protection locked="0"/>
    </xf>
    <xf numFmtId="0" fontId="8" fillId="5" borderId="6" xfId="1"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28"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cellXfs>
  <cellStyles count="4">
    <cellStyle name="Link" xfId="1" builtinId="8"/>
    <cellStyle name="Prozent 2" xfId="3" xr:uid="{1507025D-B0F1-4420-901D-8726DF6DD13E}"/>
    <cellStyle name="Standard" xfId="0" builtinId="0"/>
    <cellStyle name="Standard 2" xfId="2"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13.emf"/><Relationship Id="rId12" Type="http://schemas.openxmlformats.org/officeDocument/2006/relationships/image" Target="../media/image3.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2.emf"/><Relationship Id="rId11" Type="http://schemas.openxmlformats.org/officeDocument/2006/relationships/image" Target="../media/image4.emf"/><Relationship Id="rId5" Type="http://schemas.openxmlformats.org/officeDocument/2006/relationships/image" Target="../media/image11.emf"/><Relationship Id="rId10" Type="http://schemas.openxmlformats.org/officeDocument/2006/relationships/image" Target="../media/image5.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0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0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0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0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0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0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0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0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0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121920</xdr:colOff>
          <xdr:row>23</xdr:row>
          <xdr:rowOff>22860</xdr:rowOff>
        </xdr:from>
        <xdr:to>
          <xdr:col>20</xdr:col>
          <xdr:colOff>0</xdr:colOff>
          <xdr:row>25</xdr:row>
          <xdr:rowOff>114300</xdr:rowOff>
        </xdr:to>
        <xdr:sp macro="" textlink="">
          <xdr:nvSpPr>
            <xdr:cNvPr id="10300" name="cmdUpdate" hidden="1">
              <a:extLst>
                <a:ext uri="{63B3BB69-23CF-44E3-9099-C40C66FF867C}">
                  <a14:compatExt spid="_x0000_s10300"/>
                </a:ext>
                <a:ext uri="{FF2B5EF4-FFF2-40B4-BE49-F238E27FC236}">
                  <a16:creationId xmlns:a16="http://schemas.microsoft.com/office/drawing/2014/main" id="{00000000-0008-0000-0000-00003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121920</xdr:colOff>
          <xdr:row>23</xdr:row>
          <xdr:rowOff>22860</xdr:rowOff>
        </xdr:from>
        <xdr:to>
          <xdr:col>20</xdr:col>
          <xdr:colOff>0</xdr:colOff>
          <xdr:row>25</xdr:row>
          <xdr:rowOff>114300</xdr:rowOff>
        </xdr:to>
        <xdr:sp macro="" textlink="">
          <xdr:nvSpPr>
            <xdr:cNvPr id="10301" name="cmdUpdateFile" hidden="1">
              <a:extLst>
                <a:ext uri="{63B3BB69-23CF-44E3-9099-C40C66FF867C}">
                  <a14:compatExt spid="_x0000_s10301"/>
                </a:ext>
                <a:ext uri="{FF2B5EF4-FFF2-40B4-BE49-F238E27FC236}">
                  <a16:creationId xmlns:a16="http://schemas.microsoft.com/office/drawing/2014/main" id="{00000000-0008-0000-0000-00003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34" Type="http://schemas.openxmlformats.org/officeDocument/2006/relationships/comments" Target="../comments1.xml"/><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33" Type="http://schemas.openxmlformats.org/officeDocument/2006/relationships/image" Target="../media/image14.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32" Type="http://schemas.openxmlformats.org/officeDocument/2006/relationships/control" Target="../activeX/activeX14.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31" Type="http://schemas.openxmlformats.org/officeDocument/2006/relationships/image" Target="../media/image13.emf"/><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ntrol" Target="../activeX/activeX13.xml"/><Relationship Id="rId8"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C31" sqref="C31"/>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99" t="s">
        <v>6</v>
      </c>
      <c r="C2" s="100"/>
      <c r="D2" s="101"/>
      <c r="F2" s="144" t="s">
        <v>88</v>
      </c>
      <c r="G2" s="145"/>
      <c r="H2" s="145"/>
      <c r="I2" s="145"/>
      <c r="J2" s="145"/>
      <c r="K2" s="145"/>
      <c r="L2" s="145"/>
      <c r="M2" s="145"/>
      <c r="N2" s="145"/>
      <c r="O2" s="145"/>
      <c r="P2" s="145"/>
      <c r="Q2" s="145"/>
      <c r="R2" s="145"/>
      <c r="S2" s="146"/>
      <c r="T2" s="70" t="s">
        <v>80</v>
      </c>
      <c r="V2" s="121" t="s">
        <v>81</v>
      </c>
      <c r="W2" s="122"/>
      <c r="X2" s="122"/>
      <c r="Y2" s="122"/>
      <c r="Z2" s="123"/>
      <c r="AB2" s="121" t="s">
        <v>118</v>
      </c>
      <c r="AC2" s="122"/>
      <c r="AD2" s="122"/>
      <c r="AE2" s="122"/>
      <c r="AF2" s="123"/>
    </row>
    <row r="3" spans="2:32" ht="13.2" customHeight="1" x14ac:dyDescent="0.25">
      <c r="B3" s="102"/>
      <c r="C3" s="103"/>
      <c r="D3" s="104"/>
      <c r="F3" s="147"/>
      <c r="G3" s="148"/>
      <c r="H3" s="148"/>
      <c r="I3" s="148"/>
      <c r="J3" s="148"/>
      <c r="K3" s="148"/>
      <c r="L3" s="148"/>
      <c r="M3" s="148"/>
      <c r="N3" s="148"/>
      <c r="O3" s="148"/>
      <c r="P3" s="148"/>
      <c r="Q3" s="148"/>
      <c r="R3" s="148"/>
      <c r="S3" s="149"/>
      <c r="V3" s="71" t="s">
        <v>82</v>
      </c>
      <c r="W3" s="105" t="s">
        <v>125</v>
      </c>
      <c r="X3" s="105"/>
      <c r="Y3" s="105"/>
      <c r="Z3" s="106"/>
      <c r="AB3" s="85" t="s">
        <v>119</v>
      </c>
      <c r="AC3" s="105" t="s">
        <v>126</v>
      </c>
      <c r="AD3" s="105"/>
      <c r="AE3" s="105"/>
      <c r="AF3" s="106"/>
    </row>
    <row r="4" spans="2:32" ht="13.2" customHeight="1" x14ac:dyDescent="0.25">
      <c r="B4" s="4"/>
      <c r="C4" s="17" t="s">
        <v>7</v>
      </c>
      <c r="D4" s="18" t="s">
        <v>8</v>
      </c>
      <c r="F4" s="26" t="s">
        <v>9</v>
      </c>
      <c r="G4" s="21"/>
      <c r="H4" s="73" t="s">
        <v>10</v>
      </c>
      <c r="I4" s="21"/>
      <c r="J4" s="73" t="s">
        <v>11</v>
      </c>
      <c r="K4" s="21"/>
      <c r="L4" s="73" t="s">
        <v>12</v>
      </c>
      <c r="M4" s="21"/>
      <c r="N4" s="73" t="s">
        <v>13</v>
      </c>
      <c r="O4" s="25"/>
      <c r="P4" s="73" t="s">
        <v>14</v>
      </c>
      <c r="Q4" s="25"/>
      <c r="R4" s="73" t="s">
        <v>104</v>
      </c>
      <c r="S4" s="19"/>
      <c r="T4" s="70" t="s">
        <v>80</v>
      </c>
      <c r="V4" s="71"/>
      <c r="W4" s="105"/>
      <c r="X4" s="105"/>
      <c r="Y4" s="105"/>
      <c r="Z4" s="106"/>
      <c r="AB4" s="71"/>
      <c r="AC4" s="105"/>
      <c r="AD4" s="105"/>
      <c r="AE4" s="105"/>
      <c r="AF4" s="106"/>
    </row>
    <row r="5" spans="2:32" ht="13.2" customHeight="1" x14ac:dyDescent="0.25">
      <c r="B5" s="5">
        <v>1</v>
      </c>
      <c r="C5" s="66" t="s">
        <v>55</v>
      </c>
      <c r="D5" s="67" t="s">
        <v>34</v>
      </c>
      <c r="F5" s="7" t="s">
        <v>15</v>
      </c>
      <c r="G5" s="20" t="s">
        <v>0</v>
      </c>
      <c r="H5" s="8" t="s">
        <v>15</v>
      </c>
      <c r="I5" s="20" t="s">
        <v>0</v>
      </c>
      <c r="J5" s="8" t="s">
        <v>15</v>
      </c>
      <c r="K5" s="20" t="s">
        <v>0</v>
      </c>
      <c r="L5" s="8" t="s">
        <v>15</v>
      </c>
      <c r="M5" s="20" t="s">
        <v>0</v>
      </c>
      <c r="N5" s="8" t="s">
        <v>15</v>
      </c>
      <c r="O5" s="20" t="s">
        <v>0</v>
      </c>
      <c r="P5" s="8" t="s">
        <v>15</v>
      </c>
      <c r="Q5" s="20" t="s">
        <v>0</v>
      </c>
      <c r="R5" s="8" t="s">
        <v>15</v>
      </c>
      <c r="S5" s="9" t="s">
        <v>0</v>
      </c>
      <c r="V5" s="71"/>
      <c r="W5" s="105"/>
      <c r="X5" s="105"/>
      <c r="Y5" s="105"/>
      <c r="Z5" s="106"/>
      <c r="AB5" s="71"/>
      <c r="AC5" s="105"/>
      <c r="AD5" s="105"/>
      <c r="AE5" s="105"/>
      <c r="AF5" s="106"/>
    </row>
    <row r="6" spans="2:32" ht="13.2" customHeight="1" x14ac:dyDescent="0.25">
      <c r="B6" s="5">
        <v>2</v>
      </c>
      <c r="C6" s="13" t="s">
        <v>56</v>
      </c>
      <c r="D6" s="14" t="s">
        <v>35</v>
      </c>
      <c r="F6" s="11" t="s">
        <v>2</v>
      </c>
      <c r="G6" s="33">
        <v>2</v>
      </c>
      <c r="H6" s="12" t="s">
        <v>2</v>
      </c>
      <c r="I6" s="33">
        <v>5</v>
      </c>
      <c r="J6" s="12" t="s">
        <v>19</v>
      </c>
      <c r="K6" s="33">
        <v>5</v>
      </c>
      <c r="L6" s="12" t="s">
        <v>2</v>
      </c>
      <c r="M6" s="33">
        <v>2</v>
      </c>
      <c r="N6" s="12" t="s">
        <v>2</v>
      </c>
      <c r="O6" s="33">
        <v>2</v>
      </c>
      <c r="P6" s="12" t="s">
        <v>2</v>
      </c>
      <c r="Q6" s="33">
        <v>4</v>
      </c>
      <c r="R6" s="12" t="s">
        <v>105</v>
      </c>
      <c r="S6" s="34">
        <v>5</v>
      </c>
      <c r="T6" s="70" t="s">
        <v>80</v>
      </c>
      <c r="V6" s="71" t="s">
        <v>83</v>
      </c>
      <c r="W6" s="105"/>
      <c r="X6" s="105"/>
      <c r="Y6" s="105"/>
      <c r="Z6" s="106"/>
      <c r="AB6" s="85" t="s">
        <v>119</v>
      </c>
      <c r="AC6" s="105"/>
      <c r="AD6" s="105"/>
      <c r="AE6" s="105"/>
      <c r="AF6" s="106"/>
    </row>
    <row r="7" spans="2:32" ht="13.2" customHeight="1" x14ac:dyDescent="0.25">
      <c r="B7" s="5">
        <v>3</v>
      </c>
      <c r="C7" s="68" t="s">
        <v>57</v>
      </c>
      <c r="D7" s="69" t="s">
        <v>36</v>
      </c>
      <c r="F7" s="62" t="s">
        <v>16</v>
      </c>
      <c r="G7" s="63">
        <v>2</v>
      </c>
      <c r="H7" s="64" t="s">
        <v>16</v>
      </c>
      <c r="I7" s="63">
        <v>2</v>
      </c>
      <c r="J7" s="64" t="s">
        <v>17</v>
      </c>
      <c r="K7" s="63">
        <v>5</v>
      </c>
      <c r="L7" s="64" t="s">
        <v>16</v>
      </c>
      <c r="M7" s="63">
        <v>2</v>
      </c>
      <c r="N7" s="64" t="s">
        <v>16</v>
      </c>
      <c r="O7" s="63">
        <v>3</v>
      </c>
      <c r="P7" s="64" t="s">
        <v>16</v>
      </c>
      <c r="Q7" s="63">
        <v>3</v>
      </c>
      <c r="R7" s="64" t="s">
        <v>106</v>
      </c>
      <c r="S7" s="65">
        <v>2</v>
      </c>
      <c r="V7" s="71"/>
      <c r="W7" s="105"/>
      <c r="X7" s="105"/>
      <c r="Y7" s="105"/>
      <c r="Z7" s="106"/>
      <c r="AB7" s="71"/>
      <c r="AC7" s="105"/>
      <c r="AD7" s="105"/>
      <c r="AE7" s="105"/>
      <c r="AF7" s="106"/>
    </row>
    <row r="8" spans="2:32" ht="13.2" customHeight="1" x14ac:dyDescent="0.25">
      <c r="B8" s="5">
        <v>4</v>
      </c>
      <c r="C8" s="13" t="s">
        <v>58</v>
      </c>
      <c r="D8" s="14" t="s">
        <v>37</v>
      </c>
      <c r="F8" s="11" t="s">
        <v>17</v>
      </c>
      <c r="G8" s="33">
        <v>3</v>
      </c>
      <c r="H8" s="12" t="s">
        <v>23</v>
      </c>
      <c r="I8" s="33">
        <v>3</v>
      </c>
      <c r="J8" s="12"/>
      <c r="K8" s="33"/>
      <c r="L8" s="12" t="s">
        <v>23</v>
      </c>
      <c r="M8" s="33">
        <v>2</v>
      </c>
      <c r="N8" s="12"/>
      <c r="O8" s="33"/>
      <c r="P8" s="12" t="s">
        <v>23</v>
      </c>
      <c r="Q8" s="33">
        <v>4</v>
      </c>
      <c r="R8" s="12" t="s">
        <v>107</v>
      </c>
      <c r="S8" s="34">
        <v>3</v>
      </c>
      <c r="V8" s="71"/>
      <c r="W8" s="105"/>
      <c r="X8" s="105"/>
      <c r="Y8" s="105"/>
      <c r="Z8" s="106"/>
      <c r="AB8" s="71"/>
      <c r="AC8" s="105"/>
      <c r="AD8" s="105"/>
      <c r="AE8" s="105"/>
      <c r="AF8" s="106"/>
    </row>
    <row r="9" spans="2:32" ht="13.2" customHeight="1" x14ac:dyDescent="0.25">
      <c r="B9" s="5">
        <v>5</v>
      </c>
      <c r="C9" s="68" t="s">
        <v>59</v>
      </c>
      <c r="D9" s="69" t="s">
        <v>38</v>
      </c>
      <c r="F9" s="62" t="s">
        <v>18</v>
      </c>
      <c r="G9" s="63">
        <v>3</v>
      </c>
      <c r="H9" s="64" t="s">
        <v>5</v>
      </c>
      <c r="I9" s="63">
        <v>10</v>
      </c>
      <c r="J9" s="64"/>
      <c r="K9" s="63"/>
      <c r="L9" s="64" t="s">
        <v>24</v>
      </c>
      <c r="M9" s="63">
        <v>4</v>
      </c>
      <c r="N9" s="64"/>
      <c r="O9" s="63"/>
      <c r="P9" s="64" t="s">
        <v>24</v>
      </c>
      <c r="Q9" s="63">
        <v>3</v>
      </c>
      <c r="R9" s="64" t="s">
        <v>108</v>
      </c>
      <c r="S9" s="65">
        <v>5</v>
      </c>
      <c r="V9" s="71"/>
      <c r="W9" s="105"/>
      <c r="X9" s="105"/>
      <c r="Y9" s="105"/>
      <c r="Z9" s="106"/>
      <c r="AB9" s="85"/>
      <c r="AC9" s="105"/>
      <c r="AD9" s="105"/>
      <c r="AE9" s="105"/>
      <c r="AF9" s="106"/>
    </row>
    <row r="10" spans="2:32" ht="13.2" customHeight="1" x14ac:dyDescent="0.25">
      <c r="B10" s="5">
        <v>6</v>
      </c>
      <c r="C10" s="13" t="s">
        <v>60</v>
      </c>
      <c r="D10" s="14" t="s">
        <v>39</v>
      </c>
      <c r="F10" s="11" t="s">
        <v>3</v>
      </c>
      <c r="G10" s="33">
        <v>3</v>
      </c>
      <c r="H10" s="12" t="s">
        <v>26</v>
      </c>
      <c r="I10" s="33">
        <v>5</v>
      </c>
      <c r="J10" s="12"/>
      <c r="K10" s="33"/>
      <c r="L10" s="12" t="s">
        <v>17</v>
      </c>
      <c r="M10" s="33">
        <v>7</v>
      </c>
      <c r="N10" s="12"/>
      <c r="O10" s="33"/>
      <c r="P10" s="12" t="s">
        <v>25</v>
      </c>
      <c r="Q10" s="33">
        <v>4</v>
      </c>
      <c r="R10" s="12" t="s">
        <v>109</v>
      </c>
      <c r="S10" s="34">
        <v>5</v>
      </c>
      <c r="V10" s="71"/>
      <c r="W10" s="105"/>
      <c r="X10" s="105"/>
      <c r="Y10" s="105"/>
      <c r="Z10" s="106"/>
      <c r="AB10" s="71"/>
      <c r="AC10" s="105"/>
      <c r="AD10" s="105"/>
      <c r="AE10" s="105"/>
      <c r="AF10" s="106"/>
    </row>
    <row r="11" spans="2:32" ht="13.2" customHeight="1" x14ac:dyDescent="0.25">
      <c r="B11" s="5">
        <v>7</v>
      </c>
      <c r="C11" s="68" t="s">
        <v>61</v>
      </c>
      <c r="D11" s="69" t="s">
        <v>40</v>
      </c>
      <c r="F11" s="62" t="s">
        <v>4</v>
      </c>
      <c r="G11" s="63">
        <v>2</v>
      </c>
      <c r="H11" s="64"/>
      <c r="I11" s="63"/>
      <c r="J11" s="64"/>
      <c r="K11" s="63"/>
      <c r="L11" s="64"/>
      <c r="M11" s="63"/>
      <c r="N11" s="64"/>
      <c r="O11" s="63"/>
      <c r="P11" s="64"/>
      <c r="Q11" s="63"/>
      <c r="R11" s="64"/>
      <c r="S11" s="65"/>
      <c r="V11" s="71"/>
      <c r="W11" s="105"/>
      <c r="X11" s="105"/>
      <c r="Y11" s="105"/>
      <c r="Z11" s="106"/>
      <c r="AB11" s="85" t="s">
        <v>119</v>
      </c>
      <c r="AC11" s="105"/>
      <c r="AD11" s="105"/>
      <c r="AE11" s="105"/>
      <c r="AF11" s="106"/>
    </row>
    <row r="12" spans="2:32" ht="13.2" customHeight="1" x14ac:dyDescent="0.25">
      <c r="B12" s="5">
        <v>8</v>
      </c>
      <c r="C12" s="13" t="s">
        <v>62</v>
      </c>
      <c r="D12" s="14" t="s">
        <v>41</v>
      </c>
      <c r="F12" s="11"/>
      <c r="G12" s="33"/>
      <c r="H12" s="12"/>
      <c r="I12" s="33"/>
      <c r="J12" s="12"/>
      <c r="K12" s="33"/>
      <c r="L12" s="12"/>
      <c r="M12" s="33"/>
      <c r="N12" s="12"/>
      <c r="O12" s="33"/>
      <c r="P12" s="12"/>
      <c r="Q12" s="33"/>
      <c r="R12" s="12"/>
      <c r="S12" s="34"/>
      <c r="V12" s="71" t="s">
        <v>84</v>
      </c>
      <c r="W12" s="105"/>
      <c r="X12" s="105"/>
      <c r="Y12" s="105"/>
      <c r="Z12" s="106"/>
      <c r="AB12" s="85"/>
      <c r="AC12" s="105"/>
      <c r="AD12" s="105"/>
      <c r="AE12" s="105"/>
      <c r="AF12" s="106"/>
    </row>
    <row r="13" spans="2:32" ht="13.2" customHeight="1" x14ac:dyDescent="0.25">
      <c r="B13" s="5">
        <v>9</v>
      </c>
      <c r="C13" s="68" t="s">
        <v>63</v>
      </c>
      <c r="D13" s="69" t="s">
        <v>42</v>
      </c>
      <c r="F13" s="62"/>
      <c r="G13" s="63"/>
      <c r="H13" s="64"/>
      <c r="I13" s="63"/>
      <c r="J13" s="64"/>
      <c r="K13" s="63"/>
      <c r="L13" s="64"/>
      <c r="M13" s="63"/>
      <c r="N13" s="64"/>
      <c r="O13" s="63"/>
      <c r="P13" s="64"/>
      <c r="Q13" s="63"/>
      <c r="R13" s="64"/>
      <c r="S13" s="65"/>
      <c r="V13" s="71"/>
      <c r="W13" s="105"/>
      <c r="X13" s="105"/>
      <c r="Y13" s="105"/>
      <c r="Z13" s="106"/>
      <c r="AB13" s="71"/>
      <c r="AC13" s="105"/>
      <c r="AD13" s="105"/>
      <c r="AE13" s="105"/>
      <c r="AF13" s="106"/>
    </row>
    <row r="14" spans="2:32" ht="13.2" customHeight="1" x14ac:dyDescent="0.25">
      <c r="B14" s="5">
        <v>10</v>
      </c>
      <c r="C14" s="13" t="s">
        <v>64</v>
      </c>
      <c r="D14" s="14" t="s">
        <v>43</v>
      </c>
      <c r="F14" s="11"/>
      <c r="G14" s="33"/>
      <c r="H14" s="12"/>
      <c r="I14" s="33"/>
      <c r="J14" s="12"/>
      <c r="K14" s="33"/>
      <c r="L14" s="12"/>
      <c r="M14" s="33"/>
      <c r="N14" s="12"/>
      <c r="O14" s="33"/>
      <c r="P14" s="12"/>
      <c r="Q14" s="33"/>
      <c r="R14" s="12"/>
      <c r="S14" s="34"/>
      <c r="V14" s="71"/>
      <c r="W14" s="105"/>
      <c r="X14" s="105"/>
      <c r="Y14" s="105"/>
      <c r="Z14" s="106"/>
      <c r="AB14" s="71"/>
      <c r="AC14" s="105"/>
      <c r="AD14" s="105"/>
      <c r="AE14" s="105"/>
      <c r="AF14" s="106"/>
    </row>
    <row r="15" spans="2:32" ht="13.2" customHeight="1" x14ac:dyDescent="0.25">
      <c r="B15" s="5">
        <v>11</v>
      </c>
      <c r="C15" s="68" t="s">
        <v>65</v>
      </c>
      <c r="D15" s="69" t="s">
        <v>44</v>
      </c>
      <c r="F15" s="62"/>
      <c r="G15" s="63"/>
      <c r="H15" s="64"/>
      <c r="I15" s="63"/>
      <c r="J15" s="64"/>
      <c r="K15" s="63"/>
      <c r="L15" s="64"/>
      <c r="M15" s="63"/>
      <c r="N15" s="64"/>
      <c r="O15" s="63"/>
      <c r="P15" s="64"/>
      <c r="Q15" s="63"/>
      <c r="R15" s="64"/>
      <c r="S15" s="65"/>
      <c r="V15" s="71" t="s">
        <v>85</v>
      </c>
      <c r="W15" s="105"/>
      <c r="X15" s="105"/>
      <c r="Y15" s="105"/>
      <c r="Z15" s="106"/>
      <c r="AB15" s="85"/>
      <c r="AC15" s="105"/>
      <c r="AD15" s="105"/>
      <c r="AE15" s="105"/>
      <c r="AF15" s="106"/>
    </row>
    <row r="16" spans="2:32" ht="13.2" customHeight="1" x14ac:dyDescent="0.25">
      <c r="B16" s="5">
        <v>12</v>
      </c>
      <c r="C16" s="13" t="s">
        <v>66</v>
      </c>
      <c r="D16" s="14" t="s">
        <v>45</v>
      </c>
      <c r="F16" s="11"/>
      <c r="G16" s="33"/>
      <c r="H16" s="12"/>
      <c r="I16" s="33"/>
      <c r="J16" s="12"/>
      <c r="K16" s="33"/>
      <c r="L16" s="12"/>
      <c r="M16" s="33"/>
      <c r="N16" s="12"/>
      <c r="O16" s="33"/>
      <c r="P16" s="12"/>
      <c r="Q16" s="33"/>
      <c r="R16" s="12"/>
      <c r="S16" s="34"/>
      <c r="V16" s="71"/>
      <c r="W16" s="105"/>
      <c r="X16" s="105"/>
      <c r="Y16" s="105"/>
      <c r="Z16" s="106"/>
      <c r="AB16" s="85" t="s">
        <v>119</v>
      </c>
      <c r="AC16" s="105"/>
      <c r="AD16" s="105"/>
      <c r="AE16" s="105"/>
      <c r="AF16" s="106"/>
    </row>
    <row r="17" spans="2:32" ht="13.2" customHeight="1" x14ac:dyDescent="0.25">
      <c r="B17" s="5">
        <v>13</v>
      </c>
      <c r="C17" s="68" t="s">
        <v>67</v>
      </c>
      <c r="D17" s="69" t="s">
        <v>20</v>
      </c>
      <c r="F17" s="62"/>
      <c r="G17" s="63"/>
      <c r="H17" s="64"/>
      <c r="I17" s="63"/>
      <c r="J17" s="64"/>
      <c r="K17" s="63"/>
      <c r="L17" s="64"/>
      <c r="M17" s="63"/>
      <c r="N17" s="64"/>
      <c r="O17" s="63"/>
      <c r="P17" s="64"/>
      <c r="Q17" s="63"/>
      <c r="R17" s="64"/>
      <c r="S17" s="65"/>
      <c r="V17" s="71"/>
      <c r="W17" s="105"/>
      <c r="X17" s="105"/>
      <c r="Y17" s="105"/>
      <c r="Z17" s="106"/>
      <c r="AB17" s="71"/>
      <c r="AC17" s="105"/>
      <c r="AD17" s="105"/>
      <c r="AE17" s="105"/>
      <c r="AF17" s="106"/>
    </row>
    <row r="18" spans="2:32" ht="13.2" customHeight="1" x14ac:dyDescent="0.25">
      <c r="B18" s="5">
        <v>14</v>
      </c>
      <c r="C18" s="13" t="s">
        <v>68</v>
      </c>
      <c r="D18" s="14" t="s">
        <v>46</v>
      </c>
      <c r="F18" s="11"/>
      <c r="G18" s="33"/>
      <c r="H18" s="12"/>
      <c r="I18" s="33"/>
      <c r="J18" s="12"/>
      <c r="K18" s="33"/>
      <c r="L18" s="12"/>
      <c r="M18" s="33"/>
      <c r="N18" s="12"/>
      <c r="O18" s="33"/>
      <c r="P18" s="12"/>
      <c r="Q18" s="33"/>
      <c r="R18" s="12"/>
      <c r="S18" s="34"/>
      <c r="V18" s="71" t="s">
        <v>86</v>
      </c>
      <c r="W18" s="105"/>
      <c r="X18" s="105"/>
      <c r="Y18" s="105"/>
      <c r="Z18" s="106"/>
      <c r="AB18" s="85"/>
      <c r="AC18" s="105"/>
      <c r="AD18" s="105"/>
      <c r="AE18" s="105"/>
      <c r="AF18" s="106"/>
    </row>
    <row r="19" spans="2:32" ht="13.2" customHeight="1" x14ac:dyDescent="0.25">
      <c r="B19" s="5">
        <v>15</v>
      </c>
      <c r="C19" s="68" t="s">
        <v>69</v>
      </c>
      <c r="D19" s="69" t="s">
        <v>47</v>
      </c>
      <c r="F19" s="62"/>
      <c r="G19" s="63"/>
      <c r="H19" s="64"/>
      <c r="I19" s="63"/>
      <c r="J19" s="64"/>
      <c r="K19" s="63"/>
      <c r="L19" s="64"/>
      <c r="M19" s="63"/>
      <c r="N19" s="64"/>
      <c r="O19" s="63"/>
      <c r="P19" s="64"/>
      <c r="Q19" s="63"/>
      <c r="R19" s="64"/>
      <c r="S19" s="65"/>
      <c r="V19" s="71"/>
      <c r="W19" s="105"/>
      <c r="X19" s="105"/>
      <c r="Y19" s="105"/>
      <c r="Z19" s="106"/>
      <c r="AB19" s="71"/>
      <c r="AC19" s="105"/>
      <c r="AD19" s="105"/>
      <c r="AE19" s="105"/>
      <c r="AF19" s="106"/>
    </row>
    <row r="20" spans="2:32" ht="13.2" customHeight="1" x14ac:dyDescent="0.25">
      <c r="B20" s="5">
        <v>16</v>
      </c>
      <c r="C20" s="13" t="s">
        <v>70</v>
      </c>
      <c r="D20" s="14" t="s">
        <v>48</v>
      </c>
      <c r="F20" s="78"/>
      <c r="G20" s="79"/>
      <c r="H20" s="80"/>
      <c r="I20" s="79"/>
      <c r="J20" s="80"/>
      <c r="K20" s="79"/>
      <c r="L20" s="80"/>
      <c r="M20" s="79"/>
      <c r="N20" s="80"/>
      <c r="O20" s="79"/>
      <c r="P20" s="80"/>
      <c r="Q20" s="79"/>
      <c r="R20" s="80"/>
      <c r="S20" s="81"/>
      <c r="V20" s="71"/>
      <c r="W20" s="105"/>
      <c r="X20" s="105"/>
      <c r="Y20" s="105"/>
      <c r="Z20" s="106"/>
      <c r="AB20" s="71"/>
      <c r="AC20" s="105"/>
      <c r="AD20" s="105"/>
      <c r="AE20" s="105"/>
      <c r="AF20" s="106"/>
    </row>
    <row r="21" spans="2:32" ht="13.2" customHeight="1" x14ac:dyDescent="0.25">
      <c r="B21" s="5">
        <v>17</v>
      </c>
      <c r="C21" s="68" t="s">
        <v>71</v>
      </c>
      <c r="D21" s="69" t="s">
        <v>49</v>
      </c>
      <c r="F21" s="75">
        <f>COUNTA(F6:F20)</f>
        <v>6</v>
      </c>
      <c r="G21" s="72">
        <f>SUM(G6:G20)</f>
        <v>15</v>
      </c>
      <c r="H21" s="76">
        <f>COUNTA(H6:H20)</f>
        <v>5</v>
      </c>
      <c r="I21" s="77">
        <f>SUM(I6:I20)</f>
        <v>25</v>
      </c>
      <c r="J21" s="76">
        <f>COUNTA(J6:J20)</f>
        <v>2</v>
      </c>
      <c r="K21" s="77">
        <f>SUM(K6:K20)</f>
        <v>10</v>
      </c>
      <c r="L21" s="76">
        <f>COUNTA(L6:L20)</f>
        <v>5</v>
      </c>
      <c r="M21" s="77">
        <f>SUM(M6:M20)</f>
        <v>17</v>
      </c>
      <c r="N21" s="76">
        <f>COUNTA(N6:N20)</f>
        <v>2</v>
      </c>
      <c r="O21" s="77">
        <f>SUM(O6:O20)</f>
        <v>5</v>
      </c>
      <c r="P21" s="76">
        <f>COUNTA(P6:P20)</f>
        <v>5</v>
      </c>
      <c r="Q21" s="77">
        <f>SUM(Q6:Q20)</f>
        <v>18</v>
      </c>
      <c r="R21" s="74">
        <f>COUNTA(R6:R20)</f>
        <v>5</v>
      </c>
      <c r="S21" s="83">
        <v>10</v>
      </c>
      <c r="T21" s="70"/>
      <c r="V21" s="71" t="s">
        <v>87</v>
      </c>
      <c r="W21" s="105"/>
      <c r="X21" s="105"/>
      <c r="Y21" s="105"/>
      <c r="Z21" s="106"/>
      <c r="AB21" s="85"/>
      <c r="AC21" s="105"/>
      <c r="AD21" s="105"/>
      <c r="AE21" s="105"/>
      <c r="AF21" s="106"/>
    </row>
    <row r="22" spans="2:32" ht="13.8" thickBot="1" x14ac:dyDescent="0.3">
      <c r="B22" s="5">
        <v>18</v>
      </c>
      <c r="C22" s="13" t="s">
        <v>72</v>
      </c>
      <c r="D22" s="14" t="s">
        <v>50</v>
      </c>
      <c r="F22" s="150" t="s">
        <v>110</v>
      </c>
      <c r="G22" s="151"/>
      <c r="H22" s="111" t="s">
        <v>110</v>
      </c>
      <c r="I22" s="151"/>
      <c r="J22" s="111" t="s">
        <v>110</v>
      </c>
      <c r="K22" s="151"/>
      <c r="L22" s="111" t="s">
        <v>110</v>
      </c>
      <c r="M22" s="151"/>
      <c r="N22" s="111" t="s">
        <v>110</v>
      </c>
      <c r="O22" s="151"/>
      <c r="P22" s="111" t="s">
        <v>110</v>
      </c>
      <c r="Q22" s="151"/>
      <c r="R22" s="111" t="s">
        <v>111</v>
      </c>
      <c r="S22" s="112"/>
      <c r="T22" s="70" t="s">
        <v>80</v>
      </c>
      <c r="V22" s="4"/>
      <c r="W22" s="105"/>
      <c r="X22" s="105"/>
      <c r="Y22" s="105"/>
      <c r="Z22" s="106"/>
      <c r="AB22" s="4"/>
      <c r="AC22" s="105"/>
      <c r="AD22" s="105"/>
      <c r="AE22" s="105"/>
      <c r="AF22" s="106"/>
    </row>
    <row r="23" spans="2:32" ht="13.2" customHeight="1" thickBot="1" x14ac:dyDescent="0.3">
      <c r="B23" s="5">
        <v>19</v>
      </c>
      <c r="C23" s="68" t="s">
        <v>73</v>
      </c>
      <c r="D23" s="69" t="s">
        <v>51</v>
      </c>
      <c r="V23" s="4"/>
      <c r="W23" s="105"/>
      <c r="X23" s="105"/>
      <c r="Y23" s="105"/>
      <c r="Z23" s="106"/>
      <c r="AB23" s="4"/>
      <c r="AC23" s="105"/>
      <c r="AD23" s="105"/>
      <c r="AE23" s="105"/>
      <c r="AF23" s="106"/>
    </row>
    <row r="24" spans="2:32" ht="13.2" customHeight="1" x14ac:dyDescent="0.25">
      <c r="B24" s="5">
        <v>20</v>
      </c>
      <c r="C24" s="13" t="s">
        <v>74</v>
      </c>
      <c r="D24" s="14" t="s">
        <v>52</v>
      </c>
      <c r="F24" s="22" t="s">
        <v>22</v>
      </c>
      <c r="G24" s="133">
        <v>46150</v>
      </c>
      <c r="H24" s="134"/>
      <c r="J24" s="135" t="s">
        <v>91</v>
      </c>
      <c r="K24" s="136"/>
      <c r="L24" s="136"/>
      <c r="M24" s="136"/>
      <c r="N24" s="136"/>
      <c r="O24" s="136"/>
      <c r="P24" s="136"/>
      <c r="Q24" s="137"/>
      <c r="V24" s="71" t="s">
        <v>113</v>
      </c>
      <c r="W24" s="105"/>
      <c r="X24" s="105"/>
      <c r="Y24" s="105"/>
      <c r="Z24" s="106"/>
      <c r="AB24" s="85"/>
      <c r="AC24" s="105"/>
      <c r="AD24" s="105"/>
      <c r="AE24" s="105"/>
      <c r="AF24" s="106"/>
    </row>
    <row r="25" spans="2:32" ht="13.2" customHeight="1" x14ac:dyDescent="0.25">
      <c r="B25" s="5">
        <v>21</v>
      </c>
      <c r="C25" s="68" t="s">
        <v>75</v>
      </c>
      <c r="D25" s="69" t="s">
        <v>53</v>
      </c>
      <c r="F25" s="23" t="s">
        <v>27</v>
      </c>
      <c r="G25" s="109" t="s">
        <v>78</v>
      </c>
      <c r="H25" s="110"/>
      <c r="J25" s="138" t="s">
        <v>90</v>
      </c>
      <c r="K25" s="139"/>
      <c r="L25" s="139"/>
      <c r="M25" s="139"/>
      <c r="N25" s="139"/>
      <c r="O25" s="139"/>
      <c r="P25" s="139"/>
      <c r="Q25" s="140"/>
      <c r="V25" s="4"/>
      <c r="W25" s="105"/>
      <c r="X25" s="105"/>
      <c r="Y25" s="105"/>
      <c r="Z25" s="106"/>
      <c r="AB25" s="4"/>
      <c r="AC25" s="105"/>
      <c r="AD25" s="105"/>
      <c r="AE25" s="105"/>
      <c r="AF25" s="106"/>
    </row>
    <row r="26" spans="2:32" ht="13.2" customHeight="1" thickBot="1" x14ac:dyDescent="0.3">
      <c r="B26" s="5">
        <v>22</v>
      </c>
      <c r="C26" s="13" t="s">
        <v>76</v>
      </c>
      <c r="D26" s="14" t="s">
        <v>54</v>
      </c>
      <c r="F26" s="23" t="s">
        <v>21</v>
      </c>
      <c r="G26" s="109" t="s">
        <v>79</v>
      </c>
      <c r="H26" s="110"/>
      <c r="J26" s="141"/>
      <c r="K26" s="142"/>
      <c r="L26" s="142"/>
      <c r="M26" s="142"/>
      <c r="N26" s="142"/>
      <c r="O26" s="142"/>
      <c r="P26" s="142"/>
      <c r="Q26" s="143"/>
      <c r="V26" s="4"/>
      <c r="W26" s="105"/>
      <c r="X26" s="105"/>
      <c r="Y26" s="105"/>
      <c r="Z26" s="106"/>
      <c r="AB26" s="4"/>
      <c r="AC26" s="105"/>
      <c r="AD26" s="105"/>
      <c r="AE26" s="105"/>
      <c r="AF26" s="106"/>
    </row>
    <row r="27" spans="2:32" ht="13.2" customHeight="1" thickBot="1" x14ac:dyDescent="0.3">
      <c r="B27" s="5">
        <v>23</v>
      </c>
      <c r="C27" s="68" t="s">
        <v>77</v>
      </c>
      <c r="D27" s="69" t="s">
        <v>50</v>
      </c>
      <c r="F27" s="23" t="s">
        <v>115</v>
      </c>
      <c r="G27" s="109" t="s">
        <v>120</v>
      </c>
      <c r="H27" s="110"/>
      <c r="I27" s="84" t="s">
        <v>80</v>
      </c>
      <c r="V27" s="71" t="s">
        <v>114</v>
      </c>
      <c r="W27" s="105"/>
      <c r="X27" s="105"/>
      <c r="Y27" s="105"/>
      <c r="Z27" s="106"/>
      <c r="AB27" s="4"/>
      <c r="AC27" s="105"/>
      <c r="AD27" s="105"/>
      <c r="AE27" s="105"/>
      <c r="AF27" s="106"/>
    </row>
    <row r="28" spans="2:32" ht="13.2" customHeight="1" thickBot="1" x14ac:dyDescent="0.3">
      <c r="B28" s="5">
        <v>24</v>
      </c>
      <c r="C28" s="13"/>
      <c r="D28" s="14"/>
      <c r="F28" s="24" t="s">
        <v>116</v>
      </c>
      <c r="G28" s="113" t="s">
        <v>121</v>
      </c>
      <c r="H28" s="114"/>
      <c r="I28" s="84" t="s">
        <v>80</v>
      </c>
      <c r="N28" s="115" t="s">
        <v>117</v>
      </c>
      <c r="O28" s="116"/>
      <c r="P28" s="116"/>
      <c r="Q28" s="117"/>
      <c r="V28" s="4"/>
      <c r="W28" s="105"/>
      <c r="X28" s="105"/>
      <c r="Y28" s="105"/>
      <c r="Z28" s="106"/>
      <c r="AB28" s="4"/>
      <c r="AC28" s="105"/>
      <c r="AD28" s="105"/>
      <c r="AE28" s="105"/>
      <c r="AF28" s="106"/>
    </row>
    <row r="29" spans="2:32" ht="13.2" customHeight="1" thickBot="1" x14ac:dyDescent="0.3">
      <c r="B29" s="5">
        <v>25</v>
      </c>
      <c r="C29" s="68"/>
      <c r="D29" s="69"/>
      <c r="N29" s="118"/>
      <c r="O29" s="119"/>
      <c r="P29" s="119"/>
      <c r="Q29" s="120"/>
      <c r="V29" s="82"/>
      <c r="W29" s="107"/>
      <c r="X29" s="107"/>
      <c r="Y29" s="107"/>
      <c r="Z29" s="108"/>
      <c r="AB29" s="82"/>
      <c r="AC29" s="107"/>
      <c r="AD29" s="107"/>
      <c r="AE29" s="107"/>
      <c r="AF29" s="108"/>
    </row>
    <row r="30" spans="2:32" ht="13.2" customHeight="1" thickBot="1" x14ac:dyDescent="0.3">
      <c r="B30" s="5">
        <v>26</v>
      </c>
      <c r="C30" s="13"/>
      <c r="D30" s="14"/>
    </row>
    <row r="31" spans="2:32" ht="13.2" customHeight="1" x14ac:dyDescent="0.25">
      <c r="B31" s="5">
        <v>27</v>
      </c>
      <c r="C31" s="68"/>
      <c r="D31" s="69"/>
      <c r="F31" s="124" t="s">
        <v>89</v>
      </c>
      <c r="G31" s="125"/>
      <c r="H31" s="125"/>
      <c r="I31" s="125"/>
      <c r="J31" s="125"/>
      <c r="K31" s="125"/>
      <c r="L31" s="125"/>
      <c r="M31" s="125"/>
      <c r="N31" s="125"/>
      <c r="O31" s="125"/>
      <c r="P31" s="125"/>
      <c r="Q31" s="126"/>
    </row>
    <row r="32" spans="2:32" ht="13.2" customHeight="1" x14ac:dyDescent="0.25">
      <c r="B32" s="5">
        <v>28</v>
      </c>
      <c r="C32" s="13"/>
      <c r="D32" s="14"/>
      <c r="F32" s="127"/>
      <c r="G32" s="128"/>
      <c r="H32" s="128"/>
      <c r="I32" s="128"/>
      <c r="J32" s="128"/>
      <c r="K32" s="128"/>
      <c r="L32" s="128"/>
      <c r="M32" s="128"/>
      <c r="N32" s="128"/>
      <c r="O32" s="128"/>
      <c r="P32" s="128"/>
      <c r="Q32" s="129"/>
    </row>
    <row r="33" spans="2:25" ht="13.2" customHeight="1" x14ac:dyDescent="0.25">
      <c r="B33" s="5">
        <v>29</v>
      </c>
      <c r="C33" s="68"/>
      <c r="D33" s="69"/>
      <c r="F33" s="127"/>
      <c r="G33" s="128"/>
      <c r="H33" s="128"/>
      <c r="I33" s="128"/>
      <c r="J33" s="128"/>
      <c r="K33" s="128"/>
      <c r="L33" s="128"/>
      <c r="M33" s="128"/>
      <c r="N33" s="128"/>
      <c r="O33" s="128"/>
      <c r="P33" s="128"/>
      <c r="Q33" s="129"/>
    </row>
    <row r="34" spans="2:25" ht="13.2" customHeight="1" x14ac:dyDescent="0.25">
      <c r="B34" s="5">
        <v>30</v>
      </c>
      <c r="C34" s="13"/>
      <c r="D34" s="14"/>
      <c r="F34" s="127"/>
      <c r="G34" s="128"/>
      <c r="H34" s="128"/>
      <c r="I34" s="128"/>
      <c r="J34" s="128"/>
      <c r="K34" s="128"/>
      <c r="L34" s="128"/>
      <c r="M34" s="128"/>
      <c r="N34" s="128"/>
      <c r="O34" s="128"/>
      <c r="P34" s="128"/>
      <c r="Q34" s="129"/>
    </row>
    <row r="35" spans="2:25" ht="13.2" customHeight="1" x14ac:dyDescent="0.25">
      <c r="B35" s="5">
        <v>31</v>
      </c>
      <c r="C35" s="68"/>
      <c r="D35" s="69"/>
      <c r="F35" s="127"/>
      <c r="G35" s="128"/>
      <c r="H35" s="128"/>
      <c r="I35" s="128"/>
      <c r="J35" s="128"/>
      <c r="K35" s="128"/>
      <c r="L35" s="128"/>
      <c r="M35" s="128"/>
      <c r="N35" s="128"/>
      <c r="O35" s="128"/>
      <c r="P35" s="128"/>
      <c r="Q35" s="129"/>
    </row>
    <row r="36" spans="2:25" ht="13.2" customHeight="1" x14ac:dyDescent="0.25">
      <c r="B36" s="5">
        <v>32</v>
      </c>
      <c r="C36" s="13"/>
      <c r="D36" s="14"/>
      <c r="F36" s="127"/>
      <c r="G36" s="128"/>
      <c r="H36" s="128"/>
      <c r="I36" s="128"/>
      <c r="J36" s="128"/>
      <c r="K36" s="128"/>
      <c r="L36" s="128"/>
      <c r="M36" s="128"/>
      <c r="N36" s="128"/>
      <c r="O36" s="128"/>
      <c r="P36" s="128"/>
      <c r="Q36" s="129"/>
    </row>
    <row r="37" spans="2:25" ht="13.2" customHeight="1" thickBot="1" x14ac:dyDescent="0.3">
      <c r="B37" s="5">
        <v>33</v>
      </c>
      <c r="C37" s="68"/>
      <c r="D37" s="69"/>
      <c r="F37" s="127"/>
      <c r="G37" s="128"/>
      <c r="H37" s="128"/>
      <c r="I37" s="128"/>
      <c r="J37" s="128"/>
      <c r="K37" s="128"/>
      <c r="L37" s="128"/>
      <c r="M37" s="128"/>
      <c r="N37" s="128"/>
      <c r="O37" s="128"/>
      <c r="P37" s="128"/>
      <c r="Q37" s="129"/>
    </row>
    <row r="38" spans="2:25" ht="13.2" customHeight="1" x14ac:dyDescent="0.25">
      <c r="B38" s="5">
        <v>34</v>
      </c>
      <c r="C38" s="13"/>
      <c r="D38" s="14"/>
      <c r="F38" s="127"/>
      <c r="G38" s="128"/>
      <c r="H38" s="128"/>
      <c r="I38" s="128"/>
      <c r="J38" s="128"/>
      <c r="K38" s="128"/>
      <c r="L38" s="128"/>
      <c r="M38" s="128"/>
      <c r="N38" s="128"/>
      <c r="O38" s="128"/>
      <c r="P38" s="128"/>
      <c r="Q38" s="129"/>
      <c r="V38" s="89" t="s">
        <v>122</v>
      </c>
      <c r="W38" s="90"/>
      <c r="X38" s="90"/>
      <c r="Y38" s="91"/>
    </row>
    <row r="39" spans="2:25" ht="13.2" customHeight="1" x14ac:dyDescent="0.25">
      <c r="B39" s="5">
        <v>35</v>
      </c>
      <c r="C39" s="68"/>
      <c r="D39" s="69"/>
      <c r="F39" s="127"/>
      <c r="G39" s="128"/>
      <c r="H39" s="128"/>
      <c r="I39" s="128"/>
      <c r="J39" s="128"/>
      <c r="K39" s="128"/>
      <c r="L39" s="128"/>
      <c r="M39" s="128"/>
      <c r="N39" s="128"/>
      <c r="O39" s="128"/>
      <c r="P39" s="128"/>
      <c r="Q39" s="129"/>
      <c r="V39" s="92"/>
      <c r="W39" s="93"/>
      <c r="X39" s="93"/>
      <c r="Y39" s="94"/>
    </row>
    <row r="40" spans="2:25" ht="13.2" customHeight="1" x14ac:dyDescent="0.25">
      <c r="B40" s="5">
        <v>36</v>
      </c>
      <c r="C40" s="13"/>
      <c r="D40" s="14"/>
      <c r="F40" s="127"/>
      <c r="G40" s="128"/>
      <c r="H40" s="128"/>
      <c r="I40" s="128"/>
      <c r="J40" s="128"/>
      <c r="K40" s="128"/>
      <c r="L40" s="128"/>
      <c r="M40" s="128"/>
      <c r="N40" s="128"/>
      <c r="O40" s="128"/>
      <c r="P40" s="128"/>
      <c r="Q40" s="129"/>
      <c r="V40" s="88">
        <v>0</v>
      </c>
      <c r="W40" s="95" t="s">
        <v>123</v>
      </c>
      <c r="X40" s="95"/>
      <c r="Y40" s="96"/>
    </row>
    <row r="41" spans="2:25" ht="13.2" customHeight="1" x14ac:dyDescent="0.25">
      <c r="B41" s="5">
        <v>37</v>
      </c>
      <c r="C41" s="68"/>
      <c r="D41" s="69"/>
      <c r="F41" s="127"/>
      <c r="G41" s="128"/>
      <c r="H41" s="128"/>
      <c r="I41" s="128"/>
      <c r="J41" s="128"/>
      <c r="K41" s="128"/>
      <c r="L41" s="128"/>
      <c r="M41" s="128"/>
      <c r="N41" s="128"/>
      <c r="O41" s="128"/>
      <c r="P41" s="128"/>
      <c r="Q41" s="129"/>
      <c r="V41" s="88">
        <v>1</v>
      </c>
      <c r="W41" s="95" t="s">
        <v>124</v>
      </c>
      <c r="X41" s="95"/>
      <c r="Y41" s="96"/>
    </row>
    <row r="42" spans="2:25" ht="13.2" customHeight="1" x14ac:dyDescent="0.25">
      <c r="B42" s="5">
        <v>38</v>
      </c>
      <c r="C42" s="13"/>
      <c r="D42" s="14"/>
      <c r="F42" s="127"/>
      <c r="G42" s="128"/>
      <c r="H42" s="128"/>
      <c r="I42" s="128"/>
      <c r="J42" s="128"/>
      <c r="K42" s="128"/>
      <c r="L42" s="128"/>
      <c r="M42" s="128"/>
      <c r="N42" s="128"/>
      <c r="O42" s="128"/>
      <c r="P42" s="128"/>
      <c r="Q42" s="129"/>
      <c r="V42" s="86"/>
      <c r="W42" s="97"/>
      <c r="X42" s="97"/>
      <c r="Y42" s="98"/>
    </row>
    <row r="43" spans="2:25" ht="13.2" customHeight="1" x14ac:dyDescent="0.25">
      <c r="B43" s="5">
        <v>39</v>
      </c>
      <c r="C43" s="68"/>
      <c r="D43" s="69"/>
      <c r="F43" s="127"/>
      <c r="G43" s="128"/>
      <c r="H43" s="128"/>
      <c r="I43" s="128"/>
      <c r="J43" s="128"/>
      <c r="K43" s="128"/>
      <c r="L43" s="128"/>
      <c r="M43" s="128"/>
      <c r="N43" s="128"/>
      <c r="O43" s="128"/>
      <c r="P43" s="128"/>
      <c r="Q43" s="129"/>
      <c r="V43" s="86"/>
      <c r="W43" s="97"/>
      <c r="X43" s="97"/>
      <c r="Y43" s="98"/>
    </row>
    <row r="44" spans="2:25" ht="13.2" customHeight="1" thickBot="1" x14ac:dyDescent="0.3">
      <c r="B44" s="6">
        <v>40</v>
      </c>
      <c r="C44" s="15"/>
      <c r="D44" s="16"/>
      <c r="F44" s="130"/>
      <c r="G44" s="131"/>
      <c r="H44" s="131"/>
      <c r="I44" s="131"/>
      <c r="J44" s="131"/>
      <c r="K44" s="131"/>
      <c r="L44" s="131"/>
      <c r="M44" s="131"/>
      <c r="N44" s="131"/>
      <c r="O44" s="131"/>
      <c r="P44" s="131"/>
      <c r="Q44" s="132"/>
      <c r="V44" s="87"/>
      <c r="W44" s="152"/>
      <c r="X44" s="152"/>
      <c r="Y44" s="153"/>
    </row>
    <row r="45" spans="2:25" x14ac:dyDescent="0.25">
      <c r="C45" s="10">
        <f>COUNTA(C5:C44)</f>
        <v>23</v>
      </c>
    </row>
  </sheetData>
  <sheetProtection sheet="1" objects="1" scenarios="1" selectLockedCells="1"/>
  <mergeCells count="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 ref="B2:D3"/>
    <mergeCell ref="W3:Z29"/>
    <mergeCell ref="G25:H25"/>
    <mergeCell ref="G26:H26"/>
    <mergeCell ref="R22:S22"/>
    <mergeCell ref="G27:H27"/>
    <mergeCell ref="G28:H28"/>
    <mergeCell ref="N28:Q29"/>
    <mergeCell ref="V38:Y39"/>
    <mergeCell ref="W40:Y40"/>
    <mergeCell ref="W41:Y41"/>
    <mergeCell ref="W42:Y42"/>
    <mergeCell ref="W43:Y43"/>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301" r:id="rId6" name="cmdUpdateFile">
          <controlPr defaultSize="0" autoLine="0" r:id="rId7">
            <anchor>
              <from>
                <xdr:col>17</xdr:col>
                <xdr:colOff>121920</xdr:colOff>
                <xdr:row>23</xdr:row>
                <xdr:rowOff>22860</xdr:rowOff>
              </from>
              <to>
                <xdr:col>20</xdr:col>
                <xdr:colOff>0</xdr:colOff>
                <xdr:row>25</xdr:row>
                <xdr:rowOff>114300</xdr:rowOff>
              </to>
            </anchor>
          </controlPr>
        </control>
      </mc:Choice>
      <mc:Fallback>
        <control shapeId="10301" r:id="rId6" name="cmdUpdateFile"/>
      </mc:Fallback>
    </mc:AlternateContent>
    <mc:AlternateContent xmlns:mc="http://schemas.openxmlformats.org/markup-compatibility/2006">
      <mc:Choice Requires="x14">
        <control shapeId="10300" r:id="rId8" name="cmdUpdate">
          <controlPr defaultSize="0" autoLine="0" r:id="rId9">
            <anchor>
              <from>
                <xdr:col>17</xdr:col>
                <xdr:colOff>121920</xdr:colOff>
                <xdr:row>23</xdr:row>
                <xdr:rowOff>22860</xdr:rowOff>
              </from>
              <to>
                <xdr:col>20</xdr:col>
                <xdr:colOff>0</xdr:colOff>
                <xdr:row>25</xdr:row>
                <xdr:rowOff>114300</xdr:rowOff>
              </to>
            </anchor>
          </controlPr>
        </control>
      </mc:Choice>
      <mc:Fallback>
        <control shapeId="10300" r:id="rId8" name="cmdUpdate"/>
      </mc:Fallback>
    </mc:AlternateContent>
    <mc:AlternateContent xmlns:mc="http://schemas.openxmlformats.org/markup-compatibility/2006">
      <mc:Choice Requires="x14">
        <control shapeId="10289" r:id="rId10" name="cmdImportDK">
          <controlPr defaultSize="0" autoLine="0" r:id="rId11">
            <anchor>
              <from>
                <xdr:col>29</xdr:col>
                <xdr:colOff>518160</xdr:colOff>
                <xdr:row>33</xdr:row>
                <xdr:rowOff>0</xdr:rowOff>
              </from>
              <to>
                <xdr:col>31</xdr:col>
                <xdr:colOff>342900</xdr:colOff>
                <xdr:row>36</xdr:row>
                <xdr:rowOff>30480</xdr:rowOff>
              </to>
            </anchor>
          </controlPr>
        </control>
      </mc:Choice>
      <mc:Fallback>
        <control shapeId="10289" r:id="rId10" name="cmdImportDK"/>
      </mc:Fallback>
    </mc:AlternateContent>
    <mc:AlternateContent xmlns:mc="http://schemas.openxmlformats.org/markup-compatibility/2006">
      <mc:Choice Requires="x14">
        <control shapeId="10288" r:id="rId12" name="cmdImportZK">
          <controlPr defaultSize="0" autoLine="0" r:id="rId13">
            <anchor>
              <from>
                <xdr:col>27</xdr:col>
                <xdr:colOff>0</xdr:colOff>
                <xdr:row>33</xdr:row>
                <xdr:rowOff>0</xdr:rowOff>
              </from>
              <to>
                <xdr:col>29</xdr:col>
                <xdr:colOff>441960</xdr:colOff>
                <xdr:row>36</xdr:row>
                <xdr:rowOff>30480</xdr:rowOff>
              </to>
            </anchor>
          </controlPr>
        </control>
      </mc:Choice>
      <mc:Fallback>
        <control shapeId="10288" r:id="rId12" name="cmdImportZK"/>
      </mc:Fallback>
    </mc:AlternateContent>
    <mc:AlternateContent xmlns:mc="http://schemas.openxmlformats.org/markup-compatibility/2006">
      <mc:Choice Requires="x14">
        <control shapeId="10287" r:id="rId14" name="cmdDelZKDK">
          <controlPr defaultSize="0" autoLine="0" r:id="rId15">
            <anchor>
              <from>
                <xdr:col>29</xdr:col>
                <xdr:colOff>518160</xdr:colOff>
                <xdr:row>29</xdr:row>
                <xdr:rowOff>68580</xdr:rowOff>
              </from>
              <to>
                <xdr:col>31</xdr:col>
                <xdr:colOff>342900</xdr:colOff>
                <xdr:row>32</xdr:row>
                <xdr:rowOff>99060</xdr:rowOff>
              </to>
            </anchor>
          </controlPr>
        </control>
      </mc:Choice>
      <mc:Fallback>
        <control shapeId="10287" r:id="rId14" name="cmdDelZKDK"/>
      </mc:Fallback>
    </mc:AlternateContent>
    <mc:AlternateContent xmlns:mc="http://schemas.openxmlformats.org/markup-compatibility/2006">
      <mc:Choice Requires="x14">
        <control shapeId="10285" r:id="rId16" name="cmdAddZKDK">
          <controlPr defaultSize="0" autoLine="0" r:id="rId17">
            <anchor>
              <from>
                <xdr:col>27</xdr:col>
                <xdr:colOff>0</xdr:colOff>
                <xdr:row>29</xdr:row>
                <xdr:rowOff>68580</xdr:rowOff>
              </from>
              <to>
                <xdr:col>29</xdr:col>
                <xdr:colOff>441960</xdr:colOff>
                <xdr:row>32</xdr:row>
                <xdr:rowOff>99060</xdr:rowOff>
              </to>
            </anchor>
          </controlPr>
        </control>
      </mc:Choice>
      <mc:Fallback>
        <control shapeId="10285" r:id="rId16" name="cmdAddZKDK"/>
      </mc:Fallback>
    </mc:AlternateContent>
    <mc:AlternateContent xmlns:mc="http://schemas.openxmlformats.org/markup-compatibility/2006">
      <mc:Choice Requires="x14">
        <control shapeId="10246" r:id="rId18" name="cmdClearAll">
          <controlPr defaultSize="0" autoLine="0" r:id="rId19">
            <anchor>
              <from>
                <xdr:col>23</xdr:col>
                <xdr:colOff>533400</xdr:colOff>
                <xdr:row>29</xdr:row>
                <xdr:rowOff>68580</xdr:rowOff>
              </from>
              <to>
                <xdr:col>25</xdr:col>
                <xdr:colOff>358140</xdr:colOff>
                <xdr:row>32</xdr:row>
                <xdr:rowOff>99060</xdr:rowOff>
              </to>
            </anchor>
          </controlPr>
        </control>
      </mc:Choice>
      <mc:Fallback>
        <control shapeId="10246" r:id="rId18" name="cmdClearAll"/>
      </mc:Fallback>
    </mc:AlternateContent>
    <mc:AlternateContent xmlns:mc="http://schemas.openxmlformats.org/markup-compatibility/2006">
      <mc:Choice Requires="x14">
        <control shapeId="10243" r:id="rId20" name="cmdCreateTables">
          <controlPr defaultSize="0" autoLine="0" r:id="rId21">
            <anchor>
              <from>
                <xdr:col>21</xdr:col>
                <xdr:colOff>0</xdr:colOff>
                <xdr:row>29</xdr:row>
                <xdr:rowOff>68580</xdr:rowOff>
              </from>
              <to>
                <xdr:col>23</xdr:col>
                <xdr:colOff>434340</xdr:colOff>
                <xdr:row>32</xdr:row>
                <xdr:rowOff>99060</xdr:rowOff>
              </to>
            </anchor>
          </controlPr>
        </control>
      </mc:Choice>
      <mc:Fallback>
        <control shapeId="10243" r:id="rId20" name="cmdCreateTables"/>
      </mc:Fallback>
    </mc:AlternateContent>
    <mc:AlternateContent xmlns:mc="http://schemas.openxmlformats.org/markup-compatibility/2006">
      <mc:Choice Requires="x14">
        <control shapeId="10244" r:id="rId22" name="cmdCreateResults">
          <controlPr defaultSize="0" autoLine="0" r:id="rId23">
            <anchor>
              <from>
                <xdr:col>23</xdr:col>
                <xdr:colOff>533400</xdr:colOff>
                <xdr:row>33</xdr:row>
                <xdr:rowOff>0</xdr:rowOff>
              </from>
              <to>
                <xdr:col>25</xdr:col>
                <xdr:colOff>358140</xdr:colOff>
                <xdr:row>36</xdr:row>
                <xdr:rowOff>30480</xdr:rowOff>
              </to>
            </anchor>
          </controlPr>
        </control>
      </mc:Choice>
      <mc:Fallback>
        <control shapeId="10244" r:id="rId22" name="cmdCreateResults"/>
      </mc:Fallback>
    </mc:AlternateContent>
    <mc:AlternateContent xmlns:mc="http://schemas.openxmlformats.org/markup-compatibility/2006">
      <mc:Choice Requires="x14">
        <control shapeId="10276" r:id="rId24" name="btnSelExUpdate">
          <controlPr defaultSize="0" print="0" autoLine="0" r:id="rId25">
            <anchor>
              <from>
                <xdr:col>21</xdr:col>
                <xdr:colOff>0</xdr:colOff>
                <xdr:row>33</xdr:row>
                <xdr:rowOff>0</xdr:rowOff>
              </from>
              <to>
                <xdr:col>23</xdr:col>
                <xdr:colOff>434340</xdr:colOff>
                <xdr:row>36</xdr:row>
                <xdr:rowOff>30480</xdr:rowOff>
              </to>
            </anchor>
          </controlPr>
        </control>
      </mc:Choice>
      <mc:Fallback>
        <control shapeId="10276" r:id="rId24" name="btnSelExUpdate"/>
      </mc:Fallback>
    </mc:AlternateContent>
    <mc:AlternateContent xmlns:mc="http://schemas.openxmlformats.org/markup-compatibility/2006">
      <mc:Choice Requires="x14">
        <control shapeId="10277" r:id="rId26" name="cmdEK">
          <controlPr defaultSize="0" autoLine="0" r:id="rId27">
            <anchor>
              <from>
                <xdr:col>8</xdr:col>
                <xdr:colOff>441960</xdr:colOff>
                <xdr:row>27</xdr:row>
                <xdr:rowOff>0</xdr:rowOff>
              </from>
              <to>
                <xdr:col>9</xdr:col>
                <xdr:colOff>388620</xdr:colOff>
                <xdr:row>28</xdr:row>
                <xdr:rowOff>160020</xdr:rowOff>
              </to>
            </anchor>
          </controlPr>
        </control>
      </mc:Choice>
      <mc:Fallback>
        <control shapeId="10277" r:id="rId26" name="cmdEK"/>
      </mc:Fallback>
    </mc:AlternateContent>
    <mc:AlternateContent xmlns:mc="http://schemas.openxmlformats.org/markup-compatibility/2006">
      <mc:Choice Requires="x14">
        <control shapeId="10278" r:id="rId28" name="cmdZK">
          <controlPr defaultSize="0" autoLine="0" r:id="rId29">
            <anchor>
              <from>
                <xdr:col>9</xdr:col>
                <xdr:colOff>441960</xdr:colOff>
                <xdr:row>27</xdr:row>
                <xdr:rowOff>0</xdr:rowOff>
              </from>
              <to>
                <xdr:col>10</xdr:col>
                <xdr:colOff>388620</xdr:colOff>
                <xdr:row>28</xdr:row>
                <xdr:rowOff>160020</xdr:rowOff>
              </to>
            </anchor>
          </controlPr>
        </control>
      </mc:Choice>
      <mc:Fallback>
        <control shapeId="10278" r:id="rId28" name="cmdZK"/>
      </mc:Fallback>
    </mc:AlternateContent>
    <mc:AlternateContent xmlns:mc="http://schemas.openxmlformats.org/markup-compatibility/2006">
      <mc:Choice Requires="x14">
        <control shapeId="10279" r:id="rId30" name="cmdDK">
          <controlPr defaultSize="0" autoLine="0" r:id="rId31">
            <anchor>
              <from>
                <xdr:col>11</xdr:col>
                <xdr:colOff>0</xdr:colOff>
                <xdr:row>27</xdr:row>
                <xdr:rowOff>0</xdr:rowOff>
              </from>
              <to>
                <xdr:col>11</xdr:col>
                <xdr:colOff>403860</xdr:colOff>
                <xdr:row>28</xdr:row>
                <xdr:rowOff>160020</xdr:rowOff>
              </to>
            </anchor>
          </controlPr>
        </control>
      </mc:Choice>
      <mc:Fallback>
        <control shapeId="10279" r:id="rId30" name="cmdDK"/>
      </mc:Fallback>
    </mc:AlternateContent>
    <mc:AlternateContent xmlns:mc="http://schemas.openxmlformats.org/markup-compatibility/2006">
      <mc:Choice Requires="x14">
        <control shapeId="10280" r:id="rId32" name="cmdAK">
          <controlPr defaultSize="0" autoLine="0" r:id="rId33">
            <anchor>
              <from>
                <xdr:col>12</xdr:col>
                <xdr:colOff>0</xdr:colOff>
                <xdr:row>27</xdr:row>
                <xdr:rowOff>0</xdr:rowOff>
              </from>
              <to>
                <xdr:col>12</xdr:col>
                <xdr:colOff>403860</xdr:colOff>
                <xdr:row>28</xdr:row>
                <xdr:rowOff>160020</xdr:rowOff>
              </to>
            </anchor>
          </controlPr>
        </control>
      </mc:Choice>
      <mc:Fallback>
        <control shapeId="10280" r:id="rId32" name="cmdAK"/>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28</v>
      </c>
      <c r="D2" s="30" t="s">
        <v>1</v>
      </c>
      <c r="F2" s="31"/>
      <c r="G2" s="124" t="s">
        <v>29</v>
      </c>
      <c r="H2" s="125"/>
      <c r="I2" s="125"/>
      <c r="J2" s="125"/>
      <c r="K2" s="125"/>
      <c r="L2" s="126"/>
    </row>
    <row r="3" spans="2:15" x14ac:dyDescent="0.25">
      <c r="B3" s="35">
        <v>0</v>
      </c>
      <c r="C3" s="36">
        <v>0</v>
      </c>
      <c r="D3" s="37">
        <v>6</v>
      </c>
      <c r="E3" s="27" t="str">
        <f>IF(AND($C3=$C4,$C4&lt;$C5),"+",IF($C3&lt;$C4,"++",""))</f>
        <v/>
      </c>
      <c r="F3" s="31"/>
      <c r="G3" s="127"/>
      <c r="H3" s="128"/>
      <c r="I3" s="128"/>
      <c r="J3" s="128"/>
      <c r="K3" s="128"/>
      <c r="L3" s="129"/>
    </row>
    <row r="4" spans="2:15" x14ac:dyDescent="0.25">
      <c r="B4" s="38">
        <v>0.5</v>
      </c>
      <c r="C4" s="39">
        <v>0</v>
      </c>
      <c r="D4" s="40">
        <v>6</v>
      </c>
      <c r="E4" s="27" t="str">
        <f>IF(AND($C4=$C5,$C5&lt;$C6),"+",IF($C4&lt;$C5,"++",""))</f>
        <v/>
      </c>
      <c r="F4" s="31"/>
      <c r="G4" s="127"/>
      <c r="H4" s="128"/>
      <c r="I4" s="128"/>
      <c r="J4" s="128"/>
      <c r="K4" s="128"/>
      <c r="L4" s="129"/>
    </row>
    <row r="5" spans="2:15" x14ac:dyDescent="0.25">
      <c r="B5" s="38">
        <v>1</v>
      </c>
      <c r="C5" s="39">
        <v>0</v>
      </c>
      <c r="D5" s="40">
        <v>6</v>
      </c>
      <c r="E5" s="27" t="str">
        <f t="shared" ref="E5:E50" si="0">IF(AND($C5=$C6,$C6&lt;$C7),"+",IF($C5&lt;$C6,"++",IF(AND($C5=$C4,$C4&gt;$C3),"-",IF($C5&gt;$C4,"--",""))))</f>
        <v/>
      </c>
      <c r="F5" s="31"/>
      <c r="G5" s="127"/>
      <c r="H5" s="128"/>
      <c r="I5" s="128"/>
      <c r="J5" s="128"/>
      <c r="K5" s="128"/>
      <c r="L5" s="129"/>
    </row>
    <row r="6" spans="2:15" x14ac:dyDescent="0.25">
      <c r="B6" s="38">
        <v>1.5</v>
      </c>
      <c r="C6" s="39">
        <v>0</v>
      </c>
      <c r="D6" s="40">
        <v>6</v>
      </c>
      <c r="E6" s="27" t="str">
        <f t="shared" si="0"/>
        <v/>
      </c>
      <c r="F6" s="31"/>
      <c r="G6" s="127"/>
      <c r="H6" s="128"/>
      <c r="I6" s="128"/>
      <c r="J6" s="128"/>
      <c r="K6" s="128"/>
      <c r="L6" s="129"/>
    </row>
    <row r="7" spans="2:15" x14ac:dyDescent="0.25">
      <c r="B7" s="38">
        <v>2</v>
      </c>
      <c r="C7" s="39">
        <v>0</v>
      </c>
      <c r="D7" s="40">
        <v>6</v>
      </c>
      <c r="E7" s="27" t="str">
        <f t="shared" si="0"/>
        <v/>
      </c>
      <c r="F7" s="31"/>
      <c r="G7" s="127"/>
      <c r="H7" s="128"/>
      <c r="I7" s="128"/>
      <c r="J7" s="128"/>
      <c r="K7" s="128"/>
      <c r="L7" s="129"/>
    </row>
    <row r="8" spans="2:15" ht="12.75" customHeight="1" x14ac:dyDescent="0.25">
      <c r="B8" s="38">
        <v>2.5</v>
      </c>
      <c r="C8" s="39">
        <v>0</v>
      </c>
      <c r="D8" s="40">
        <v>6</v>
      </c>
      <c r="E8" s="27" t="str">
        <f t="shared" si="0"/>
        <v/>
      </c>
      <c r="F8" s="31"/>
      <c r="G8" s="127"/>
      <c r="H8" s="128"/>
      <c r="I8" s="128"/>
      <c r="J8" s="128"/>
      <c r="K8" s="128"/>
      <c r="L8" s="129"/>
      <c r="M8" s="32"/>
      <c r="N8" s="32"/>
      <c r="O8" s="32"/>
    </row>
    <row r="9" spans="2:15" x14ac:dyDescent="0.25">
      <c r="B9" s="38">
        <v>3</v>
      </c>
      <c r="C9" s="39">
        <v>0</v>
      </c>
      <c r="D9" s="40">
        <v>6</v>
      </c>
      <c r="E9" s="27" t="str">
        <f t="shared" si="0"/>
        <v/>
      </c>
      <c r="F9" s="31"/>
      <c r="G9" s="127"/>
      <c r="H9" s="128"/>
      <c r="I9" s="128"/>
      <c r="J9" s="128"/>
      <c r="K9" s="128"/>
      <c r="L9" s="129"/>
      <c r="M9" s="32"/>
      <c r="N9" s="32"/>
      <c r="O9" s="32"/>
    </row>
    <row r="10" spans="2:15" x14ac:dyDescent="0.25">
      <c r="B10" s="38">
        <v>3.5</v>
      </c>
      <c r="C10" s="39">
        <v>0</v>
      </c>
      <c r="D10" s="40">
        <v>6</v>
      </c>
      <c r="E10" s="27" t="str">
        <f t="shared" si="0"/>
        <v/>
      </c>
      <c r="F10" s="31"/>
      <c r="G10" s="127"/>
      <c r="H10" s="128"/>
      <c r="I10" s="128"/>
      <c r="J10" s="128"/>
      <c r="K10" s="128"/>
      <c r="L10" s="129"/>
      <c r="M10" s="32"/>
      <c r="N10" s="32"/>
      <c r="O10" s="32"/>
    </row>
    <row r="11" spans="2:15" x14ac:dyDescent="0.25">
      <c r="B11" s="38">
        <v>4</v>
      </c>
      <c r="C11" s="39">
        <v>0</v>
      </c>
      <c r="D11" s="40">
        <v>6</v>
      </c>
      <c r="E11" s="27" t="str">
        <f t="shared" si="0"/>
        <v/>
      </c>
      <c r="G11" s="127"/>
      <c r="H11" s="128"/>
      <c r="I11" s="128"/>
      <c r="J11" s="128"/>
      <c r="K11" s="128"/>
      <c r="L11" s="129"/>
      <c r="M11" s="32"/>
      <c r="N11" s="32"/>
      <c r="O11" s="32"/>
    </row>
    <row r="12" spans="2:15" x14ac:dyDescent="0.25">
      <c r="B12" s="38">
        <v>4.5</v>
      </c>
      <c r="C12" s="39">
        <v>0</v>
      </c>
      <c r="D12" s="40">
        <v>6</v>
      </c>
      <c r="E12" s="27" t="str">
        <f t="shared" si="0"/>
        <v/>
      </c>
      <c r="F12" s="31"/>
      <c r="G12" s="127"/>
      <c r="H12" s="128"/>
      <c r="I12" s="128"/>
      <c r="J12" s="128"/>
      <c r="K12" s="128"/>
      <c r="L12" s="129"/>
      <c r="M12" s="32"/>
      <c r="N12" s="32"/>
      <c r="O12" s="32"/>
    </row>
    <row r="13" spans="2:15" x14ac:dyDescent="0.25">
      <c r="B13" s="38">
        <v>5</v>
      </c>
      <c r="C13" s="39">
        <v>0</v>
      </c>
      <c r="D13" s="40">
        <v>6</v>
      </c>
      <c r="E13" s="27" t="str">
        <f t="shared" si="0"/>
        <v/>
      </c>
      <c r="F13" s="31"/>
      <c r="G13" s="127"/>
      <c r="H13" s="128"/>
      <c r="I13" s="128"/>
      <c r="J13" s="128"/>
      <c r="K13" s="128"/>
      <c r="L13" s="129"/>
      <c r="M13" s="32"/>
      <c r="N13" s="32"/>
      <c r="O13" s="32"/>
    </row>
    <row r="14" spans="2:15" x14ac:dyDescent="0.25">
      <c r="B14" s="38">
        <v>5.5</v>
      </c>
      <c r="C14" s="39">
        <v>0</v>
      </c>
      <c r="D14" s="40">
        <v>6</v>
      </c>
      <c r="E14" s="27" t="str">
        <f t="shared" si="0"/>
        <v/>
      </c>
      <c r="F14" s="31"/>
      <c r="G14" s="127"/>
      <c r="H14" s="128"/>
      <c r="I14" s="128"/>
      <c r="J14" s="128"/>
      <c r="K14" s="128"/>
      <c r="L14" s="129"/>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30</v>
      </c>
      <c r="I16" s="51"/>
      <c r="J16" s="51"/>
      <c r="K16" s="51"/>
      <c r="L16" s="53"/>
      <c r="M16" s="32"/>
      <c r="N16" s="32"/>
      <c r="O16" s="32"/>
    </row>
    <row r="17" spans="2:15" x14ac:dyDescent="0.25">
      <c r="B17" s="38">
        <v>7</v>
      </c>
      <c r="C17" s="39">
        <v>0</v>
      </c>
      <c r="D17" s="40">
        <v>6</v>
      </c>
      <c r="E17" s="27" t="str">
        <f t="shared" si="0"/>
        <v/>
      </c>
      <c r="F17" s="31"/>
      <c r="G17" s="59"/>
      <c r="H17" s="51" t="s">
        <v>31</v>
      </c>
      <c r="I17" s="51"/>
      <c r="J17" s="51"/>
      <c r="K17" s="51"/>
      <c r="L17" s="53"/>
      <c r="M17" s="32"/>
      <c r="N17" s="32"/>
      <c r="O17" s="32"/>
    </row>
    <row r="18" spans="2:15" x14ac:dyDescent="0.25">
      <c r="B18" s="38">
        <v>7.5</v>
      </c>
      <c r="C18" s="39">
        <v>0</v>
      </c>
      <c r="D18" s="40">
        <v>6</v>
      </c>
      <c r="E18" s="27" t="str">
        <f t="shared" si="0"/>
        <v/>
      </c>
      <c r="F18" s="31"/>
      <c r="G18" s="52"/>
      <c r="H18" s="51" t="s">
        <v>32</v>
      </c>
      <c r="I18" s="51"/>
      <c r="J18" s="51"/>
      <c r="K18" s="51"/>
      <c r="L18" s="53"/>
      <c r="M18" s="32"/>
      <c r="N18" s="32"/>
      <c r="O18" s="32"/>
    </row>
    <row r="19" spans="2:15" x14ac:dyDescent="0.25">
      <c r="B19" s="38">
        <v>8</v>
      </c>
      <c r="C19" s="39">
        <v>0</v>
      </c>
      <c r="D19" s="40">
        <v>6</v>
      </c>
      <c r="E19" s="27" t="str">
        <f t="shared" si="0"/>
        <v/>
      </c>
      <c r="F19" s="31"/>
      <c r="G19" s="54"/>
      <c r="H19" s="51" t="s">
        <v>33</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92</v>
      </c>
      <c r="E43" s="27" t="str">
        <f t="shared" si="0"/>
        <v>--</v>
      </c>
    </row>
    <row r="44" spans="2:12" x14ac:dyDescent="0.25">
      <c r="B44" s="38">
        <v>20.5</v>
      </c>
      <c r="C44" s="39">
        <v>1</v>
      </c>
      <c r="D44" s="40" t="s">
        <v>92</v>
      </c>
      <c r="E44" s="27" t="str">
        <f t="shared" si="0"/>
        <v>-</v>
      </c>
    </row>
    <row r="45" spans="2:12" x14ac:dyDescent="0.25">
      <c r="B45" s="38">
        <v>21</v>
      </c>
      <c r="C45" s="39">
        <v>1</v>
      </c>
      <c r="D45" s="40" t="s">
        <v>92</v>
      </c>
      <c r="E45" s="27" t="str">
        <f t="shared" si="0"/>
        <v/>
      </c>
    </row>
    <row r="46" spans="2:12" x14ac:dyDescent="0.25">
      <c r="B46" s="38">
        <v>21.5</v>
      </c>
      <c r="C46" s="39">
        <v>1</v>
      </c>
      <c r="D46" s="40" t="s">
        <v>92</v>
      </c>
      <c r="E46" s="27" t="str">
        <f t="shared" si="0"/>
        <v/>
      </c>
    </row>
    <row r="47" spans="2:12" x14ac:dyDescent="0.25">
      <c r="B47" s="38">
        <v>22</v>
      </c>
      <c r="C47" s="39">
        <v>1</v>
      </c>
      <c r="D47" s="40" t="s">
        <v>92</v>
      </c>
      <c r="E47" s="27" t="str">
        <f t="shared" si="0"/>
        <v/>
      </c>
    </row>
    <row r="48" spans="2:12" x14ac:dyDescent="0.25">
      <c r="B48" s="38">
        <v>22.5</v>
      </c>
      <c r="C48" s="39">
        <v>1</v>
      </c>
      <c r="D48" s="40" t="s">
        <v>92</v>
      </c>
      <c r="E48" s="27" t="str">
        <f t="shared" si="0"/>
        <v/>
      </c>
    </row>
    <row r="49" spans="2:5" x14ac:dyDescent="0.25">
      <c r="B49" s="38">
        <v>23</v>
      </c>
      <c r="C49" s="39">
        <v>1</v>
      </c>
      <c r="D49" s="40" t="s">
        <v>92</v>
      </c>
      <c r="E49" s="27" t="str">
        <f t="shared" si="0"/>
        <v/>
      </c>
    </row>
    <row r="50" spans="2:5" x14ac:dyDescent="0.25">
      <c r="B50" s="38">
        <v>23.5</v>
      </c>
      <c r="C50" s="39">
        <v>1</v>
      </c>
      <c r="D50" s="40" t="s">
        <v>92</v>
      </c>
      <c r="E50" s="27" t="str">
        <f t="shared" si="0"/>
        <v/>
      </c>
    </row>
    <row r="51" spans="2:5" x14ac:dyDescent="0.25">
      <c r="B51" s="38">
        <v>24</v>
      </c>
      <c r="C51" s="39">
        <v>1</v>
      </c>
      <c r="D51" s="40" t="s">
        <v>92</v>
      </c>
      <c r="E51" s="27" t="str">
        <f>IF(AND($C51=$C52,$C52&lt;$C53),"+",IF($C51&lt;$C52,"++",IF(AND($C51=$C50,$C50&gt;$C49),"-",IF($C51&gt;$C50,"--",""))))</f>
        <v/>
      </c>
    </row>
    <row r="52" spans="2:5" x14ac:dyDescent="0.25">
      <c r="B52" s="38">
        <v>24.5</v>
      </c>
      <c r="C52" s="39">
        <v>1</v>
      </c>
      <c r="D52" s="40" t="s">
        <v>92</v>
      </c>
      <c r="E52" s="27" t="str">
        <f t="shared" ref="E52:E115" si="1">IF(AND($C52=$C53,$C53&lt;$C54),"+",IF($C52&lt;$C53,"++",IF(AND($C52=$C51,$C51&gt;$C50),"-",IF($C52&gt;$C51,"--",""))))</f>
        <v/>
      </c>
    </row>
    <row r="53" spans="2:5" x14ac:dyDescent="0.25">
      <c r="B53" s="38">
        <v>25</v>
      </c>
      <c r="C53" s="39">
        <v>1</v>
      </c>
      <c r="D53" s="41" t="s">
        <v>92</v>
      </c>
      <c r="E53" s="27" t="str">
        <f t="shared" si="1"/>
        <v/>
      </c>
    </row>
    <row r="54" spans="2:5" x14ac:dyDescent="0.25">
      <c r="B54" s="38">
        <v>25.5</v>
      </c>
      <c r="C54" s="39">
        <v>1</v>
      </c>
      <c r="D54" s="41" t="s">
        <v>92</v>
      </c>
      <c r="E54" s="27" t="str">
        <f t="shared" si="1"/>
        <v/>
      </c>
    </row>
    <row r="55" spans="2:5" x14ac:dyDescent="0.25">
      <c r="B55" s="38">
        <v>26</v>
      </c>
      <c r="C55" s="39">
        <v>1</v>
      </c>
      <c r="D55" s="41" t="s">
        <v>92</v>
      </c>
      <c r="E55" s="27" t="str">
        <f t="shared" si="1"/>
        <v>+</v>
      </c>
    </row>
    <row r="56" spans="2:5" x14ac:dyDescent="0.25">
      <c r="B56" s="38">
        <v>26.5</v>
      </c>
      <c r="C56" s="39">
        <v>1</v>
      </c>
      <c r="D56" s="41" t="s">
        <v>92</v>
      </c>
      <c r="E56" s="27" t="str">
        <f t="shared" si="1"/>
        <v>++</v>
      </c>
    </row>
    <row r="57" spans="2:5" x14ac:dyDescent="0.25">
      <c r="B57" s="38">
        <v>27</v>
      </c>
      <c r="C57" s="39">
        <v>2</v>
      </c>
      <c r="D57" s="41" t="s">
        <v>93</v>
      </c>
      <c r="E57" s="27" t="str">
        <f t="shared" si="1"/>
        <v>--</v>
      </c>
    </row>
    <row r="58" spans="2:5" x14ac:dyDescent="0.25">
      <c r="B58" s="38">
        <v>27.5</v>
      </c>
      <c r="C58" s="39">
        <v>2</v>
      </c>
      <c r="D58" s="41" t="s">
        <v>93</v>
      </c>
      <c r="E58" s="27" t="str">
        <f t="shared" si="1"/>
        <v>-</v>
      </c>
    </row>
    <row r="59" spans="2:5" x14ac:dyDescent="0.25">
      <c r="B59" s="38">
        <v>28</v>
      </c>
      <c r="C59" s="39">
        <v>2</v>
      </c>
      <c r="D59" s="41" t="s">
        <v>93</v>
      </c>
      <c r="E59" s="27" t="str">
        <f t="shared" si="1"/>
        <v/>
      </c>
    </row>
    <row r="60" spans="2:5" x14ac:dyDescent="0.25">
      <c r="B60" s="38">
        <v>28.5</v>
      </c>
      <c r="C60" s="39">
        <v>2</v>
      </c>
      <c r="D60" s="41" t="s">
        <v>93</v>
      </c>
      <c r="E60" s="27" t="str">
        <f t="shared" si="1"/>
        <v/>
      </c>
    </row>
    <row r="61" spans="2:5" x14ac:dyDescent="0.25">
      <c r="B61" s="38">
        <v>29</v>
      </c>
      <c r="C61" s="39">
        <v>2</v>
      </c>
      <c r="D61" s="41" t="s">
        <v>93</v>
      </c>
      <c r="E61" s="27" t="str">
        <f t="shared" si="1"/>
        <v/>
      </c>
    </row>
    <row r="62" spans="2:5" x14ac:dyDescent="0.25">
      <c r="B62" s="38">
        <v>29.5</v>
      </c>
      <c r="C62" s="39">
        <v>2</v>
      </c>
      <c r="D62" s="41" t="s">
        <v>93</v>
      </c>
      <c r="E62" s="27" t="str">
        <f t="shared" si="1"/>
        <v/>
      </c>
    </row>
    <row r="63" spans="2:5" x14ac:dyDescent="0.25">
      <c r="B63" s="38">
        <v>30</v>
      </c>
      <c r="C63" s="39">
        <v>2</v>
      </c>
      <c r="D63" s="41" t="s">
        <v>93</v>
      </c>
      <c r="E63" s="27" t="str">
        <f t="shared" si="1"/>
        <v/>
      </c>
    </row>
    <row r="64" spans="2:5" x14ac:dyDescent="0.25">
      <c r="B64" s="38">
        <v>30.5</v>
      </c>
      <c r="C64" s="39">
        <v>2</v>
      </c>
      <c r="D64" s="41" t="s">
        <v>93</v>
      </c>
      <c r="E64" s="27" t="str">
        <f t="shared" si="1"/>
        <v/>
      </c>
    </row>
    <row r="65" spans="2:5" x14ac:dyDescent="0.25">
      <c r="B65" s="38">
        <v>31</v>
      </c>
      <c r="C65" s="39">
        <v>2</v>
      </c>
      <c r="D65" s="41" t="s">
        <v>93</v>
      </c>
      <c r="E65" s="27" t="str">
        <f t="shared" si="1"/>
        <v/>
      </c>
    </row>
    <row r="66" spans="2:5" x14ac:dyDescent="0.25">
      <c r="B66" s="38">
        <v>31.5</v>
      </c>
      <c r="C66" s="39">
        <v>2</v>
      </c>
      <c r="D66" s="41" t="s">
        <v>93</v>
      </c>
      <c r="E66" s="27" t="str">
        <f t="shared" si="1"/>
        <v/>
      </c>
    </row>
    <row r="67" spans="2:5" x14ac:dyDescent="0.25">
      <c r="B67" s="38">
        <v>32</v>
      </c>
      <c r="C67" s="39">
        <v>2</v>
      </c>
      <c r="D67" s="41" t="s">
        <v>93</v>
      </c>
      <c r="E67" s="27" t="str">
        <f t="shared" si="1"/>
        <v>+</v>
      </c>
    </row>
    <row r="68" spans="2:5" x14ac:dyDescent="0.25">
      <c r="B68" s="38">
        <v>32.5</v>
      </c>
      <c r="C68" s="39">
        <v>2</v>
      </c>
      <c r="D68" s="41" t="s">
        <v>93</v>
      </c>
      <c r="E68" s="27" t="str">
        <f t="shared" si="1"/>
        <v>++</v>
      </c>
    </row>
    <row r="69" spans="2:5" x14ac:dyDescent="0.25">
      <c r="B69" s="38">
        <v>33</v>
      </c>
      <c r="C69" s="39">
        <v>3</v>
      </c>
      <c r="D69" s="40" t="s">
        <v>94</v>
      </c>
      <c r="E69" s="27" t="str">
        <f t="shared" si="1"/>
        <v>--</v>
      </c>
    </row>
    <row r="70" spans="2:5" x14ac:dyDescent="0.25">
      <c r="B70" s="38">
        <v>33.5</v>
      </c>
      <c r="C70" s="39">
        <v>3</v>
      </c>
      <c r="D70" s="40" t="s">
        <v>94</v>
      </c>
      <c r="E70" s="27" t="str">
        <f t="shared" si="1"/>
        <v>-</v>
      </c>
    </row>
    <row r="71" spans="2:5" x14ac:dyDescent="0.25">
      <c r="B71" s="38">
        <v>34</v>
      </c>
      <c r="C71" s="39">
        <v>3</v>
      </c>
      <c r="D71" s="40" t="s">
        <v>94</v>
      </c>
      <c r="E71" s="27" t="str">
        <f t="shared" si="1"/>
        <v/>
      </c>
    </row>
    <row r="72" spans="2:5" x14ac:dyDescent="0.25">
      <c r="B72" s="38">
        <v>34.5</v>
      </c>
      <c r="C72" s="39">
        <v>3</v>
      </c>
      <c r="D72" s="40" t="s">
        <v>94</v>
      </c>
      <c r="E72" s="27" t="str">
        <f t="shared" si="1"/>
        <v/>
      </c>
    </row>
    <row r="73" spans="2:5" x14ac:dyDescent="0.25">
      <c r="B73" s="38">
        <v>35</v>
      </c>
      <c r="C73" s="39">
        <v>3</v>
      </c>
      <c r="D73" s="40" t="s">
        <v>94</v>
      </c>
      <c r="E73" s="27" t="str">
        <f t="shared" si="1"/>
        <v/>
      </c>
    </row>
    <row r="74" spans="2:5" x14ac:dyDescent="0.25">
      <c r="B74" s="38">
        <v>35.5</v>
      </c>
      <c r="C74" s="39">
        <v>3</v>
      </c>
      <c r="D74" s="40" t="s">
        <v>94</v>
      </c>
      <c r="E74" s="27" t="str">
        <f t="shared" si="1"/>
        <v/>
      </c>
    </row>
    <row r="75" spans="2:5" x14ac:dyDescent="0.25">
      <c r="B75" s="38">
        <v>36</v>
      </c>
      <c r="C75" s="39">
        <v>3</v>
      </c>
      <c r="D75" s="40" t="s">
        <v>94</v>
      </c>
      <c r="E75" s="27" t="str">
        <f t="shared" si="1"/>
        <v/>
      </c>
    </row>
    <row r="76" spans="2:5" x14ac:dyDescent="0.25">
      <c r="B76" s="38">
        <v>36.5</v>
      </c>
      <c r="C76" s="39">
        <v>3</v>
      </c>
      <c r="D76" s="40" t="s">
        <v>94</v>
      </c>
      <c r="E76" s="27" t="str">
        <f t="shared" si="1"/>
        <v/>
      </c>
    </row>
    <row r="77" spans="2:5" x14ac:dyDescent="0.25">
      <c r="B77" s="38">
        <v>37</v>
      </c>
      <c r="C77" s="39">
        <v>3</v>
      </c>
      <c r="D77" s="40" t="s">
        <v>94</v>
      </c>
      <c r="E77" s="27" t="str">
        <f t="shared" si="1"/>
        <v/>
      </c>
    </row>
    <row r="78" spans="2:5" x14ac:dyDescent="0.25">
      <c r="B78" s="38">
        <v>37.5</v>
      </c>
      <c r="C78" s="39">
        <v>3</v>
      </c>
      <c r="D78" s="40" t="s">
        <v>94</v>
      </c>
      <c r="E78" s="27" t="str">
        <f t="shared" si="1"/>
        <v/>
      </c>
    </row>
    <row r="79" spans="2:5" x14ac:dyDescent="0.25">
      <c r="B79" s="38">
        <v>38</v>
      </c>
      <c r="C79" s="39">
        <v>3</v>
      </c>
      <c r="D79" s="40" t="s">
        <v>94</v>
      </c>
      <c r="E79" s="27" t="str">
        <f t="shared" si="1"/>
        <v/>
      </c>
    </row>
    <row r="80" spans="2:5" x14ac:dyDescent="0.25">
      <c r="B80" s="38">
        <v>38.5</v>
      </c>
      <c r="C80" s="39">
        <v>3</v>
      </c>
      <c r="D80" s="40" t="s">
        <v>94</v>
      </c>
      <c r="E80" s="27" t="str">
        <f t="shared" si="1"/>
        <v/>
      </c>
    </row>
    <row r="81" spans="2:5" x14ac:dyDescent="0.25">
      <c r="B81" s="38">
        <v>39</v>
      </c>
      <c r="C81" s="39">
        <v>3</v>
      </c>
      <c r="D81" s="40" t="s">
        <v>94</v>
      </c>
      <c r="E81" s="27" t="str">
        <f t="shared" si="1"/>
        <v>+</v>
      </c>
    </row>
    <row r="82" spans="2:5" x14ac:dyDescent="0.25">
      <c r="B82" s="38">
        <v>39.5</v>
      </c>
      <c r="C82" s="39">
        <v>3</v>
      </c>
      <c r="D82" s="40" t="s">
        <v>94</v>
      </c>
      <c r="E82" s="27" t="str">
        <f t="shared" si="1"/>
        <v>++</v>
      </c>
    </row>
    <row r="83" spans="2:5" x14ac:dyDescent="0.25">
      <c r="B83" s="38">
        <v>40</v>
      </c>
      <c r="C83" s="39">
        <v>4</v>
      </c>
      <c r="D83" s="40" t="s">
        <v>95</v>
      </c>
      <c r="E83" s="27" t="str">
        <f t="shared" si="1"/>
        <v>--</v>
      </c>
    </row>
    <row r="84" spans="2:5" x14ac:dyDescent="0.25">
      <c r="B84" s="38">
        <v>40.5</v>
      </c>
      <c r="C84" s="39">
        <v>4</v>
      </c>
      <c r="D84" s="40" t="s">
        <v>95</v>
      </c>
      <c r="E84" s="27" t="str">
        <f t="shared" si="1"/>
        <v>-</v>
      </c>
    </row>
    <row r="85" spans="2:5" x14ac:dyDescent="0.25">
      <c r="B85" s="38">
        <v>41</v>
      </c>
      <c r="C85" s="39">
        <v>4</v>
      </c>
      <c r="D85" s="42" t="s">
        <v>95</v>
      </c>
      <c r="E85" s="27" t="str">
        <f t="shared" si="1"/>
        <v/>
      </c>
    </row>
    <row r="86" spans="2:5" x14ac:dyDescent="0.25">
      <c r="B86" s="38">
        <v>41.5</v>
      </c>
      <c r="C86" s="39">
        <v>4</v>
      </c>
      <c r="D86" s="42" t="s">
        <v>95</v>
      </c>
      <c r="E86" s="27" t="str">
        <f t="shared" si="1"/>
        <v/>
      </c>
    </row>
    <row r="87" spans="2:5" x14ac:dyDescent="0.25">
      <c r="B87" s="38">
        <v>42</v>
      </c>
      <c r="C87" s="39">
        <v>4</v>
      </c>
      <c r="D87" s="42" t="s">
        <v>95</v>
      </c>
      <c r="E87" s="27" t="str">
        <f t="shared" si="1"/>
        <v/>
      </c>
    </row>
    <row r="88" spans="2:5" x14ac:dyDescent="0.25">
      <c r="B88" s="38">
        <v>42.5</v>
      </c>
      <c r="C88" s="39">
        <v>4</v>
      </c>
      <c r="D88" s="42" t="s">
        <v>95</v>
      </c>
      <c r="E88" s="27" t="str">
        <f t="shared" si="1"/>
        <v/>
      </c>
    </row>
    <row r="89" spans="2:5" x14ac:dyDescent="0.25">
      <c r="B89" s="38">
        <v>43</v>
      </c>
      <c r="C89" s="39">
        <v>4</v>
      </c>
      <c r="D89" s="42" t="s">
        <v>95</v>
      </c>
      <c r="E89" s="27" t="str">
        <f t="shared" si="1"/>
        <v/>
      </c>
    </row>
    <row r="90" spans="2:5" x14ac:dyDescent="0.25">
      <c r="B90" s="38">
        <v>43.5</v>
      </c>
      <c r="C90" s="39">
        <v>4</v>
      </c>
      <c r="D90" s="42" t="s">
        <v>95</v>
      </c>
      <c r="E90" s="27" t="str">
        <f t="shared" si="1"/>
        <v/>
      </c>
    </row>
    <row r="91" spans="2:5" x14ac:dyDescent="0.25">
      <c r="B91" s="38">
        <v>44</v>
      </c>
      <c r="C91" s="39">
        <v>4</v>
      </c>
      <c r="D91" s="42" t="s">
        <v>95</v>
      </c>
      <c r="E91" s="27" t="str">
        <f t="shared" si="1"/>
        <v>+</v>
      </c>
    </row>
    <row r="92" spans="2:5" x14ac:dyDescent="0.25">
      <c r="B92" s="38">
        <v>44.5</v>
      </c>
      <c r="C92" s="39">
        <v>4</v>
      </c>
      <c r="D92" s="42" t="s">
        <v>95</v>
      </c>
      <c r="E92" s="27" t="str">
        <f t="shared" si="1"/>
        <v>++</v>
      </c>
    </row>
    <row r="93" spans="2:5" x14ac:dyDescent="0.25">
      <c r="B93" s="38">
        <v>45</v>
      </c>
      <c r="C93" s="39">
        <v>5</v>
      </c>
      <c r="D93" s="42" t="s">
        <v>96</v>
      </c>
      <c r="E93" s="27" t="str">
        <f t="shared" si="1"/>
        <v>--</v>
      </c>
    </row>
    <row r="94" spans="2:5" x14ac:dyDescent="0.25">
      <c r="B94" s="38">
        <v>45.5</v>
      </c>
      <c r="C94" s="39">
        <v>5</v>
      </c>
      <c r="D94" s="42" t="s">
        <v>96</v>
      </c>
      <c r="E94" s="27" t="str">
        <f t="shared" si="1"/>
        <v>-</v>
      </c>
    </row>
    <row r="95" spans="2:5" x14ac:dyDescent="0.25">
      <c r="B95" s="38">
        <v>46</v>
      </c>
      <c r="C95" s="39">
        <v>5</v>
      </c>
      <c r="D95" s="42" t="s">
        <v>96</v>
      </c>
      <c r="E95" s="27" t="str">
        <f t="shared" si="1"/>
        <v/>
      </c>
    </row>
    <row r="96" spans="2:5" x14ac:dyDescent="0.25">
      <c r="B96" s="38">
        <v>46.5</v>
      </c>
      <c r="C96" s="39">
        <v>5</v>
      </c>
      <c r="D96" s="42" t="s">
        <v>96</v>
      </c>
      <c r="E96" s="27" t="str">
        <f t="shared" si="1"/>
        <v/>
      </c>
    </row>
    <row r="97" spans="2:5" x14ac:dyDescent="0.25">
      <c r="B97" s="38">
        <v>47</v>
      </c>
      <c r="C97" s="39">
        <v>5</v>
      </c>
      <c r="D97" s="42" t="s">
        <v>96</v>
      </c>
      <c r="E97" s="27" t="str">
        <f t="shared" si="1"/>
        <v/>
      </c>
    </row>
    <row r="98" spans="2:5" x14ac:dyDescent="0.25">
      <c r="B98" s="38">
        <v>47.5</v>
      </c>
      <c r="C98" s="39">
        <v>5</v>
      </c>
      <c r="D98" s="42" t="s">
        <v>96</v>
      </c>
      <c r="E98" s="27" t="str">
        <f t="shared" si="1"/>
        <v/>
      </c>
    </row>
    <row r="99" spans="2:5" x14ac:dyDescent="0.25">
      <c r="B99" s="38">
        <v>48</v>
      </c>
      <c r="C99" s="39">
        <v>5</v>
      </c>
      <c r="D99" s="42" t="s">
        <v>96</v>
      </c>
      <c r="E99" s="27" t="str">
        <f t="shared" si="1"/>
        <v/>
      </c>
    </row>
    <row r="100" spans="2:5" x14ac:dyDescent="0.25">
      <c r="B100" s="38">
        <v>48.5</v>
      </c>
      <c r="C100" s="39">
        <v>5</v>
      </c>
      <c r="D100" s="42" t="s">
        <v>96</v>
      </c>
      <c r="E100" s="27" t="str">
        <f t="shared" si="1"/>
        <v/>
      </c>
    </row>
    <row r="101" spans="2:5" x14ac:dyDescent="0.25">
      <c r="B101" s="38">
        <v>49</v>
      </c>
      <c r="C101" s="39">
        <v>5</v>
      </c>
      <c r="D101" s="41" t="s">
        <v>96</v>
      </c>
      <c r="E101" s="27" t="str">
        <f t="shared" si="1"/>
        <v>+</v>
      </c>
    </row>
    <row r="102" spans="2:5" x14ac:dyDescent="0.25">
      <c r="B102" s="38">
        <v>49.5</v>
      </c>
      <c r="C102" s="39">
        <v>5</v>
      </c>
      <c r="D102" s="41" t="s">
        <v>96</v>
      </c>
      <c r="E102" s="27" t="str">
        <f t="shared" si="1"/>
        <v>++</v>
      </c>
    </row>
    <row r="103" spans="2:5" x14ac:dyDescent="0.25">
      <c r="B103" s="38">
        <v>50</v>
      </c>
      <c r="C103" s="39">
        <v>6</v>
      </c>
      <c r="D103" s="41" t="s">
        <v>97</v>
      </c>
      <c r="E103" s="27" t="str">
        <f t="shared" si="1"/>
        <v>--</v>
      </c>
    </row>
    <row r="104" spans="2:5" x14ac:dyDescent="0.25">
      <c r="B104" s="38">
        <v>50.5</v>
      </c>
      <c r="C104" s="39">
        <v>6</v>
      </c>
      <c r="D104" s="41" t="s">
        <v>97</v>
      </c>
      <c r="E104" s="27" t="str">
        <f t="shared" si="1"/>
        <v>-</v>
      </c>
    </row>
    <row r="105" spans="2:5" x14ac:dyDescent="0.25">
      <c r="B105" s="38">
        <v>51</v>
      </c>
      <c r="C105" s="39">
        <v>6</v>
      </c>
      <c r="D105" s="41" t="s">
        <v>97</v>
      </c>
      <c r="E105" s="27" t="str">
        <f t="shared" si="1"/>
        <v/>
      </c>
    </row>
    <row r="106" spans="2:5" x14ac:dyDescent="0.25">
      <c r="B106" s="38">
        <v>51.5</v>
      </c>
      <c r="C106" s="39">
        <v>6</v>
      </c>
      <c r="D106" s="41" t="s">
        <v>97</v>
      </c>
      <c r="E106" s="27" t="str">
        <f t="shared" si="1"/>
        <v/>
      </c>
    </row>
    <row r="107" spans="2:5" x14ac:dyDescent="0.25">
      <c r="B107" s="38">
        <v>52</v>
      </c>
      <c r="C107" s="39">
        <v>6</v>
      </c>
      <c r="D107" s="41" t="s">
        <v>97</v>
      </c>
      <c r="E107" s="27" t="str">
        <f t="shared" si="1"/>
        <v/>
      </c>
    </row>
    <row r="108" spans="2:5" x14ac:dyDescent="0.25">
      <c r="B108" s="38">
        <v>52.5</v>
      </c>
      <c r="C108" s="39">
        <v>6</v>
      </c>
      <c r="D108" s="41" t="s">
        <v>97</v>
      </c>
      <c r="E108" s="27" t="str">
        <f t="shared" si="1"/>
        <v/>
      </c>
    </row>
    <row r="109" spans="2:5" x14ac:dyDescent="0.25">
      <c r="B109" s="38">
        <v>53</v>
      </c>
      <c r="C109" s="39">
        <v>6</v>
      </c>
      <c r="D109" s="41" t="s">
        <v>97</v>
      </c>
      <c r="E109" s="27" t="str">
        <f t="shared" si="1"/>
        <v/>
      </c>
    </row>
    <row r="110" spans="2:5" x14ac:dyDescent="0.25">
      <c r="B110" s="38">
        <v>53.5</v>
      </c>
      <c r="C110" s="39">
        <v>6</v>
      </c>
      <c r="D110" s="41" t="s">
        <v>97</v>
      </c>
      <c r="E110" s="27" t="str">
        <f t="shared" si="1"/>
        <v/>
      </c>
    </row>
    <row r="111" spans="2:5" x14ac:dyDescent="0.25">
      <c r="B111" s="38">
        <v>54</v>
      </c>
      <c r="C111" s="39">
        <v>6</v>
      </c>
      <c r="D111" s="41" t="s">
        <v>97</v>
      </c>
      <c r="E111" s="27" t="str">
        <f t="shared" si="1"/>
        <v>+</v>
      </c>
    </row>
    <row r="112" spans="2:5" x14ac:dyDescent="0.25">
      <c r="B112" s="38">
        <v>54.5</v>
      </c>
      <c r="C112" s="39">
        <v>6</v>
      </c>
      <c r="D112" s="41" t="s">
        <v>97</v>
      </c>
      <c r="E112" s="27" t="str">
        <f t="shared" si="1"/>
        <v>++</v>
      </c>
    </row>
    <row r="113" spans="2:5" x14ac:dyDescent="0.25">
      <c r="B113" s="38">
        <v>55</v>
      </c>
      <c r="C113" s="39">
        <v>7</v>
      </c>
      <c r="D113" s="40" t="s">
        <v>98</v>
      </c>
      <c r="E113" s="27" t="str">
        <f t="shared" si="1"/>
        <v>--</v>
      </c>
    </row>
    <row r="114" spans="2:5" x14ac:dyDescent="0.25">
      <c r="B114" s="38">
        <v>55.5</v>
      </c>
      <c r="C114" s="39">
        <v>7</v>
      </c>
      <c r="D114" s="40" t="s">
        <v>98</v>
      </c>
      <c r="E114" s="27" t="str">
        <f t="shared" si="1"/>
        <v>-</v>
      </c>
    </row>
    <row r="115" spans="2:5" x14ac:dyDescent="0.25">
      <c r="B115" s="38">
        <v>56</v>
      </c>
      <c r="C115" s="39">
        <v>7</v>
      </c>
      <c r="D115" s="40" t="s">
        <v>98</v>
      </c>
      <c r="E115" s="27" t="str">
        <f t="shared" si="1"/>
        <v/>
      </c>
    </row>
    <row r="116" spans="2:5" x14ac:dyDescent="0.25">
      <c r="B116" s="38">
        <v>56.5</v>
      </c>
      <c r="C116" s="39">
        <v>7</v>
      </c>
      <c r="D116" s="40" t="s">
        <v>98</v>
      </c>
      <c r="E116" s="27" t="str">
        <f t="shared" ref="E116:E179" si="2">IF(AND($C116=$C117,$C117&lt;$C118),"+",IF($C116&lt;$C117,"++",IF(AND($C116=$C115,$C115&gt;$C114),"-",IF($C116&gt;$C115,"--",""))))</f>
        <v/>
      </c>
    </row>
    <row r="117" spans="2:5" x14ac:dyDescent="0.25">
      <c r="B117" s="38">
        <v>57</v>
      </c>
      <c r="C117" s="39">
        <v>7</v>
      </c>
      <c r="D117" s="40" t="s">
        <v>98</v>
      </c>
      <c r="E117" s="27" t="str">
        <f t="shared" si="2"/>
        <v/>
      </c>
    </row>
    <row r="118" spans="2:5" x14ac:dyDescent="0.25">
      <c r="B118" s="38">
        <v>57.5</v>
      </c>
      <c r="C118" s="39">
        <v>7</v>
      </c>
      <c r="D118" s="40" t="s">
        <v>98</v>
      </c>
      <c r="E118" s="27" t="str">
        <f t="shared" si="2"/>
        <v/>
      </c>
    </row>
    <row r="119" spans="2:5" x14ac:dyDescent="0.25">
      <c r="B119" s="38">
        <v>58</v>
      </c>
      <c r="C119" s="39">
        <v>7</v>
      </c>
      <c r="D119" s="40" t="s">
        <v>98</v>
      </c>
      <c r="E119" s="27" t="str">
        <f t="shared" si="2"/>
        <v/>
      </c>
    </row>
    <row r="120" spans="2:5" x14ac:dyDescent="0.25">
      <c r="B120" s="38">
        <v>58.5</v>
      </c>
      <c r="C120" s="39">
        <v>7</v>
      </c>
      <c r="D120" s="40" t="s">
        <v>98</v>
      </c>
      <c r="E120" s="27" t="str">
        <f t="shared" si="2"/>
        <v/>
      </c>
    </row>
    <row r="121" spans="2:5" x14ac:dyDescent="0.25">
      <c r="B121" s="38">
        <v>59</v>
      </c>
      <c r="C121" s="39">
        <v>7</v>
      </c>
      <c r="D121" s="40" t="s">
        <v>98</v>
      </c>
      <c r="E121" s="27" t="str">
        <f t="shared" si="2"/>
        <v>+</v>
      </c>
    </row>
    <row r="122" spans="2:5" x14ac:dyDescent="0.25">
      <c r="B122" s="38">
        <v>59.5</v>
      </c>
      <c r="C122" s="39">
        <v>7</v>
      </c>
      <c r="D122" s="40" t="s">
        <v>98</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99</v>
      </c>
      <c r="E133" s="27" t="str">
        <f t="shared" si="2"/>
        <v>--</v>
      </c>
    </row>
    <row r="134" spans="2:5" x14ac:dyDescent="0.25">
      <c r="B134" s="38">
        <v>65.5</v>
      </c>
      <c r="C134" s="39">
        <v>9</v>
      </c>
      <c r="D134" s="42" t="s">
        <v>99</v>
      </c>
      <c r="E134" s="27" t="str">
        <f t="shared" si="2"/>
        <v>-</v>
      </c>
    </row>
    <row r="135" spans="2:5" x14ac:dyDescent="0.25">
      <c r="B135" s="38">
        <v>66</v>
      </c>
      <c r="C135" s="39">
        <v>9</v>
      </c>
      <c r="D135" s="42" t="s">
        <v>99</v>
      </c>
      <c r="E135" s="27" t="str">
        <f t="shared" si="2"/>
        <v/>
      </c>
    </row>
    <row r="136" spans="2:5" x14ac:dyDescent="0.25">
      <c r="B136" s="38">
        <v>66.5</v>
      </c>
      <c r="C136" s="39">
        <v>9</v>
      </c>
      <c r="D136" s="42" t="s">
        <v>99</v>
      </c>
      <c r="E136" s="27" t="str">
        <f t="shared" si="2"/>
        <v/>
      </c>
    </row>
    <row r="137" spans="2:5" x14ac:dyDescent="0.25">
      <c r="B137" s="38">
        <v>67</v>
      </c>
      <c r="C137" s="39">
        <v>9</v>
      </c>
      <c r="D137" s="41" t="s">
        <v>99</v>
      </c>
      <c r="E137" s="27" t="str">
        <f t="shared" si="2"/>
        <v/>
      </c>
    </row>
    <row r="138" spans="2:5" x14ac:dyDescent="0.25">
      <c r="B138" s="38">
        <v>67.5</v>
      </c>
      <c r="C138" s="39">
        <v>9</v>
      </c>
      <c r="D138" s="41" t="s">
        <v>99</v>
      </c>
      <c r="E138" s="27" t="str">
        <f t="shared" si="2"/>
        <v/>
      </c>
    </row>
    <row r="139" spans="2:5" x14ac:dyDescent="0.25">
      <c r="B139" s="38">
        <v>68</v>
      </c>
      <c r="C139" s="39">
        <v>9</v>
      </c>
      <c r="D139" s="41" t="s">
        <v>99</v>
      </c>
      <c r="E139" s="27" t="str">
        <f t="shared" si="2"/>
        <v/>
      </c>
    </row>
    <row r="140" spans="2:5" x14ac:dyDescent="0.25">
      <c r="B140" s="38">
        <v>68.5</v>
      </c>
      <c r="C140" s="39">
        <v>9</v>
      </c>
      <c r="D140" s="41" t="s">
        <v>99</v>
      </c>
      <c r="E140" s="27" t="str">
        <f t="shared" si="2"/>
        <v/>
      </c>
    </row>
    <row r="141" spans="2:5" x14ac:dyDescent="0.25">
      <c r="B141" s="38">
        <v>69</v>
      </c>
      <c r="C141" s="39">
        <v>9</v>
      </c>
      <c r="D141" s="41" t="s">
        <v>99</v>
      </c>
      <c r="E141" s="27" t="str">
        <f t="shared" si="2"/>
        <v>+</v>
      </c>
    </row>
    <row r="142" spans="2:5" x14ac:dyDescent="0.25">
      <c r="B142" s="38">
        <v>69.5</v>
      </c>
      <c r="C142" s="39">
        <v>9</v>
      </c>
      <c r="D142" s="41" t="s">
        <v>99</v>
      </c>
      <c r="E142" s="27" t="str">
        <f t="shared" si="2"/>
        <v>++</v>
      </c>
    </row>
    <row r="143" spans="2:5" x14ac:dyDescent="0.25">
      <c r="B143" s="38">
        <v>70</v>
      </c>
      <c r="C143" s="39">
        <v>10</v>
      </c>
      <c r="D143" s="41" t="s">
        <v>100</v>
      </c>
      <c r="E143" s="27" t="str">
        <f t="shared" si="2"/>
        <v>--</v>
      </c>
    </row>
    <row r="144" spans="2:5" x14ac:dyDescent="0.25">
      <c r="B144" s="38">
        <v>70.5</v>
      </c>
      <c r="C144" s="39">
        <v>10</v>
      </c>
      <c r="D144" s="41" t="s">
        <v>100</v>
      </c>
      <c r="E144" s="27" t="str">
        <f t="shared" si="2"/>
        <v>-</v>
      </c>
    </row>
    <row r="145" spans="2:5" x14ac:dyDescent="0.25">
      <c r="B145" s="38">
        <v>71</v>
      </c>
      <c r="C145" s="39">
        <v>10</v>
      </c>
      <c r="D145" s="41" t="s">
        <v>100</v>
      </c>
      <c r="E145" s="27" t="str">
        <f t="shared" si="2"/>
        <v/>
      </c>
    </row>
    <row r="146" spans="2:5" x14ac:dyDescent="0.25">
      <c r="B146" s="38">
        <v>71.5</v>
      </c>
      <c r="C146" s="39">
        <v>10</v>
      </c>
      <c r="D146" s="41" t="s">
        <v>100</v>
      </c>
      <c r="E146" s="27" t="str">
        <f t="shared" si="2"/>
        <v/>
      </c>
    </row>
    <row r="147" spans="2:5" x14ac:dyDescent="0.25">
      <c r="B147" s="38">
        <v>72</v>
      </c>
      <c r="C147" s="39">
        <v>10</v>
      </c>
      <c r="D147" s="41" t="s">
        <v>100</v>
      </c>
      <c r="E147" s="27" t="str">
        <f t="shared" si="2"/>
        <v/>
      </c>
    </row>
    <row r="148" spans="2:5" x14ac:dyDescent="0.25">
      <c r="B148" s="38">
        <v>72.5</v>
      </c>
      <c r="C148" s="39">
        <v>10</v>
      </c>
      <c r="D148" s="41" t="s">
        <v>100</v>
      </c>
      <c r="E148" s="27" t="str">
        <f t="shared" si="2"/>
        <v/>
      </c>
    </row>
    <row r="149" spans="2:5" x14ac:dyDescent="0.25">
      <c r="B149" s="38">
        <v>73</v>
      </c>
      <c r="C149" s="39">
        <v>10</v>
      </c>
      <c r="D149" s="40" t="s">
        <v>100</v>
      </c>
      <c r="E149" s="27" t="str">
        <f t="shared" si="2"/>
        <v/>
      </c>
    </row>
    <row r="150" spans="2:5" x14ac:dyDescent="0.25">
      <c r="B150" s="38">
        <v>73.5</v>
      </c>
      <c r="C150" s="39">
        <v>10</v>
      </c>
      <c r="D150" s="40" t="s">
        <v>100</v>
      </c>
      <c r="E150" s="27" t="str">
        <f t="shared" si="2"/>
        <v/>
      </c>
    </row>
    <row r="151" spans="2:5" x14ac:dyDescent="0.25">
      <c r="B151" s="38">
        <v>74</v>
      </c>
      <c r="C151" s="39">
        <v>10</v>
      </c>
      <c r="D151" s="40" t="s">
        <v>100</v>
      </c>
      <c r="E151" s="27" t="str">
        <f t="shared" si="2"/>
        <v>+</v>
      </c>
    </row>
    <row r="152" spans="2:5" x14ac:dyDescent="0.25">
      <c r="B152" s="38">
        <v>74.5</v>
      </c>
      <c r="C152" s="39">
        <v>10</v>
      </c>
      <c r="D152" s="40" t="s">
        <v>100</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101</v>
      </c>
      <c r="E163" s="27" t="str">
        <f t="shared" si="2"/>
        <v>--</v>
      </c>
    </row>
    <row r="164" spans="2:5" x14ac:dyDescent="0.25">
      <c r="B164" s="38">
        <v>80.5</v>
      </c>
      <c r="C164" s="39">
        <v>12</v>
      </c>
      <c r="D164" s="42" t="s">
        <v>101</v>
      </c>
      <c r="E164" s="27" t="str">
        <f t="shared" si="2"/>
        <v>-</v>
      </c>
    </row>
    <row r="165" spans="2:5" x14ac:dyDescent="0.25">
      <c r="B165" s="38">
        <v>81</v>
      </c>
      <c r="C165" s="39">
        <v>12</v>
      </c>
      <c r="D165" s="42" t="s">
        <v>101</v>
      </c>
      <c r="E165" s="27" t="str">
        <f t="shared" si="2"/>
        <v/>
      </c>
    </row>
    <row r="166" spans="2:5" x14ac:dyDescent="0.25">
      <c r="B166" s="38">
        <v>81.5</v>
      </c>
      <c r="C166" s="39">
        <v>12</v>
      </c>
      <c r="D166" s="42" t="s">
        <v>101</v>
      </c>
      <c r="E166" s="27" t="str">
        <f t="shared" si="2"/>
        <v/>
      </c>
    </row>
    <row r="167" spans="2:5" x14ac:dyDescent="0.25">
      <c r="B167" s="38">
        <v>82</v>
      </c>
      <c r="C167" s="39">
        <v>12</v>
      </c>
      <c r="D167" s="42" t="s">
        <v>101</v>
      </c>
      <c r="E167" s="27" t="str">
        <f t="shared" si="2"/>
        <v/>
      </c>
    </row>
    <row r="168" spans="2:5" x14ac:dyDescent="0.25">
      <c r="B168" s="38">
        <v>82.5</v>
      </c>
      <c r="C168" s="39">
        <v>12</v>
      </c>
      <c r="D168" s="42" t="s">
        <v>101</v>
      </c>
      <c r="E168" s="27" t="str">
        <f t="shared" si="2"/>
        <v/>
      </c>
    </row>
    <row r="169" spans="2:5" x14ac:dyDescent="0.25">
      <c r="B169" s="38">
        <v>83</v>
      </c>
      <c r="C169" s="39">
        <v>12</v>
      </c>
      <c r="D169" s="42" t="s">
        <v>101</v>
      </c>
      <c r="E169" s="27" t="str">
        <f t="shared" si="2"/>
        <v/>
      </c>
    </row>
    <row r="170" spans="2:5" x14ac:dyDescent="0.25">
      <c r="B170" s="38">
        <v>83.5</v>
      </c>
      <c r="C170" s="39">
        <v>12</v>
      </c>
      <c r="D170" s="42" t="s">
        <v>101</v>
      </c>
      <c r="E170" s="27" t="str">
        <f t="shared" si="2"/>
        <v/>
      </c>
    </row>
    <row r="171" spans="2:5" x14ac:dyDescent="0.25">
      <c r="B171" s="38">
        <v>84</v>
      </c>
      <c r="C171" s="39">
        <v>12</v>
      </c>
      <c r="D171" s="42" t="s">
        <v>101</v>
      </c>
      <c r="E171" s="27" t="str">
        <f t="shared" si="2"/>
        <v>+</v>
      </c>
    </row>
    <row r="172" spans="2:5" x14ac:dyDescent="0.25">
      <c r="B172" s="38">
        <v>84.5</v>
      </c>
      <c r="C172" s="39">
        <v>12</v>
      </c>
      <c r="D172" s="42" t="s">
        <v>101</v>
      </c>
      <c r="E172" s="27" t="str">
        <f t="shared" si="2"/>
        <v>++</v>
      </c>
    </row>
    <row r="173" spans="2:5" x14ac:dyDescent="0.25">
      <c r="B173" s="38">
        <v>85</v>
      </c>
      <c r="C173" s="39">
        <v>13</v>
      </c>
      <c r="D173" s="41" t="s">
        <v>102</v>
      </c>
      <c r="E173" s="27" t="str">
        <f t="shared" si="2"/>
        <v>--</v>
      </c>
    </row>
    <row r="174" spans="2:5" x14ac:dyDescent="0.25">
      <c r="B174" s="38">
        <v>85.5</v>
      </c>
      <c r="C174" s="39">
        <v>13</v>
      </c>
      <c r="D174" s="41" t="s">
        <v>102</v>
      </c>
      <c r="E174" s="27" t="str">
        <f t="shared" si="2"/>
        <v>-</v>
      </c>
    </row>
    <row r="175" spans="2:5" x14ac:dyDescent="0.25">
      <c r="B175" s="38">
        <v>86</v>
      </c>
      <c r="C175" s="39">
        <v>13</v>
      </c>
      <c r="D175" s="41" t="s">
        <v>102</v>
      </c>
      <c r="E175" s="27" t="str">
        <f t="shared" si="2"/>
        <v/>
      </c>
    </row>
    <row r="176" spans="2:5" x14ac:dyDescent="0.25">
      <c r="B176" s="38">
        <v>86.5</v>
      </c>
      <c r="C176" s="39">
        <v>13</v>
      </c>
      <c r="D176" s="41" t="s">
        <v>102</v>
      </c>
      <c r="E176" s="27" t="str">
        <f t="shared" si="2"/>
        <v/>
      </c>
    </row>
    <row r="177" spans="2:5" x14ac:dyDescent="0.25">
      <c r="B177" s="38">
        <v>87</v>
      </c>
      <c r="C177" s="39">
        <v>13</v>
      </c>
      <c r="D177" s="41" t="s">
        <v>102</v>
      </c>
      <c r="E177" s="27" t="str">
        <f t="shared" si="2"/>
        <v/>
      </c>
    </row>
    <row r="178" spans="2:5" x14ac:dyDescent="0.25">
      <c r="B178" s="38">
        <v>87.5</v>
      </c>
      <c r="C178" s="39">
        <v>13</v>
      </c>
      <c r="D178" s="41" t="s">
        <v>102</v>
      </c>
      <c r="E178" s="27" t="str">
        <f t="shared" si="2"/>
        <v/>
      </c>
    </row>
    <row r="179" spans="2:5" x14ac:dyDescent="0.25">
      <c r="B179" s="38">
        <v>88</v>
      </c>
      <c r="C179" s="39">
        <v>13</v>
      </c>
      <c r="D179" s="41" t="s">
        <v>102</v>
      </c>
      <c r="E179" s="27" t="str">
        <f t="shared" si="2"/>
        <v/>
      </c>
    </row>
    <row r="180" spans="2:5" x14ac:dyDescent="0.25">
      <c r="B180" s="38">
        <v>88.5</v>
      </c>
      <c r="C180" s="39">
        <v>13</v>
      </c>
      <c r="D180" s="41" t="s">
        <v>102</v>
      </c>
      <c r="E180" s="27" t="str">
        <f t="shared" ref="E180:E244" si="3">IF(AND($C180=$C181,$C181&lt;$C182),"+",IF($C180&lt;$C181,"++",IF(AND($C180=$C179,$C179&gt;$C178),"-",IF($C180&gt;$C179,"--",""))))</f>
        <v/>
      </c>
    </row>
    <row r="181" spans="2:5" x14ac:dyDescent="0.25">
      <c r="B181" s="38">
        <v>89</v>
      </c>
      <c r="C181" s="39">
        <v>13</v>
      </c>
      <c r="D181" s="41" t="s">
        <v>102</v>
      </c>
      <c r="E181" s="27" t="str">
        <f t="shared" si="3"/>
        <v>+</v>
      </c>
    </row>
    <row r="182" spans="2:5" x14ac:dyDescent="0.25">
      <c r="B182" s="38">
        <v>89.5</v>
      </c>
      <c r="C182" s="39">
        <v>13</v>
      </c>
      <c r="D182" s="41" t="s">
        <v>102</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103</v>
      </c>
      <c r="E193" s="27" t="str">
        <f t="shared" si="3"/>
        <v>--</v>
      </c>
    </row>
    <row r="194" spans="2:5" x14ac:dyDescent="0.25">
      <c r="B194" s="38">
        <v>95.5</v>
      </c>
      <c r="C194" s="39">
        <v>15</v>
      </c>
      <c r="D194" s="40" t="s">
        <v>103</v>
      </c>
      <c r="E194" s="27" t="str">
        <f t="shared" si="3"/>
        <v>-</v>
      </c>
    </row>
    <row r="195" spans="2:5" x14ac:dyDescent="0.25">
      <c r="B195" s="38">
        <v>96</v>
      </c>
      <c r="C195" s="39">
        <v>15</v>
      </c>
      <c r="D195" s="40" t="s">
        <v>103</v>
      </c>
      <c r="E195" s="27" t="str">
        <f t="shared" si="3"/>
        <v/>
      </c>
    </row>
    <row r="196" spans="2:5" x14ac:dyDescent="0.25">
      <c r="B196" s="38">
        <v>96.5</v>
      </c>
      <c r="C196" s="39">
        <v>15</v>
      </c>
      <c r="D196" s="42" t="s">
        <v>103</v>
      </c>
      <c r="E196" s="27" t="str">
        <f t="shared" si="3"/>
        <v/>
      </c>
    </row>
    <row r="197" spans="2:5" x14ac:dyDescent="0.25">
      <c r="B197" s="38">
        <v>97</v>
      </c>
      <c r="C197" s="39">
        <v>15</v>
      </c>
      <c r="D197" s="42" t="s">
        <v>103</v>
      </c>
      <c r="E197" s="27" t="str">
        <f t="shared" si="3"/>
        <v/>
      </c>
    </row>
    <row r="198" spans="2:5" x14ac:dyDescent="0.25">
      <c r="B198" s="38">
        <v>97.5</v>
      </c>
      <c r="C198" s="39">
        <v>15</v>
      </c>
      <c r="D198" s="42" t="s">
        <v>103</v>
      </c>
      <c r="E198" s="27" t="str">
        <f t="shared" si="3"/>
        <v/>
      </c>
    </row>
    <row r="199" spans="2:5" x14ac:dyDescent="0.25">
      <c r="B199" s="38">
        <v>98</v>
      </c>
      <c r="C199" s="39">
        <v>15</v>
      </c>
      <c r="D199" s="42" t="s">
        <v>103</v>
      </c>
      <c r="E199" s="27" t="str">
        <f t="shared" si="3"/>
        <v/>
      </c>
    </row>
    <row r="200" spans="2:5" x14ac:dyDescent="0.25">
      <c r="B200" s="38">
        <v>98.5</v>
      </c>
      <c r="C200" s="39">
        <v>15</v>
      </c>
      <c r="D200" s="42" t="s">
        <v>103</v>
      </c>
      <c r="E200" s="27" t="str">
        <f t="shared" si="3"/>
        <v/>
      </c>
    </row>
    <row r="201" spans="2:5" x14ac:dyDescent="0.25">
      <c r="B201" s="38">
        <v>99</v>
      </c>
      <c r="C201" s="39">
        <v>15</v>
      </c>
      <c r="D201" s="42" t="s">
        <v>103</v>
      </c>
      <c r="E201" s="27" t="str">
        <f t="shared" si="3"/>
        <v/>
      </c>
    </row>
    <row r="202" spans="2:5" x14ac:dyDescent="0.25">
      <c r="B202" s="38">
        <v>99.5</v>
      </c>
      <c r="C202" s="39">
        <v>15</v>
      </c>
      <c r="D202" s="42" t="s">
        <v>103</v>
      </c>
      <c r="E202" s="27" t="str">
        <f t="shared" si="3"/>
        <v/>
      </c>
    </row>
    <row r="203" spans="2:5" x14ac:dyDescent="0.25">
      <c r="B203" s="38">
        <v>100</v>
      </c>
      <c r="C203" s="39">
        <v>15</v>
      </c>
      <c r="D203" s="42" t="s">
        <v>103</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heet="1" objects="1" selectLockedCells="1"/>
  <mergeCells count="1">
    <mergeCell ref="G2:L14"/>
  </mergeCells>
  <phoneticPr fontId="9" type="noConversion"/>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1"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112</v>
      </c>
      <c r="C147" s="61" t="s">
        <v>112</v>
      </c>
    </row>
    <row r="148" spans="1:5" x14ac:dyDescent="0.25">
      <c r="A148" s="61" t="s">
        <v>112</v>
      </c>
      <c r="D148" s="61" t="s">
        <v>112</v>
      </c>
    </row>
    <row r="149" spans="1:5" x14ac:dyDescent="0.25">
      <c r="D149" s="61" t="s">
        <v>112</v>
      </c>
      <c r="E149" s="61" t="s">
        <v>112</v>
      </c>
    </row>
    <row r="150" spans="1:5" x14ac:dyDescent="0.25">
      <c r="A150" s="61" t="s">
        <v>112</v>
      </c>
      <c r="B150" s="61" t="s">
        <v>112</v>
      </c>
      <c r="C150" s="61" t="s">
        <v>112</v>
      </c>
    </row>
    <row r="151" spans="1:5" x14ac:dyDescent="0.25">
      <c r="A151" s="61" t="s">
        <v>112</v>
      </c>
      <c r="D151" s="61" t="s">
        <v>112</v>
      </c>
    </row>
    <row r="152" spans="1:5" x14ac:dyDescent="0.25">
      <c r="B152" s="61" t="s">
        <v>112</v>
      </c>
      <c r="C152" s="61" t="s">
        <v>112</v>
      </c>
      <c r="D152" s="61" t="s">
        <v>112</v>
      </c>
    </row>
    <row r="153" spans="1:5" x14ac:dyDescent="0.25">
      <c r="B153" s="61" t="s">
        <v>112</v>
      </c>
      <c r="C153" s="61" t="s">
        <v>112</v>
      </c>
      <c r="E153" s="61" t="s">
        <v>112</v>
      </c>
    </row>
    <row r="154" spans="1:5" x14ac:dyDescent="0.25">
      <c r="D154" s="61" t="s">
        <v>112</v>
      </c>
      <c r="E154" s="61" t="s">
        <v>112</v>
      </c>
    </row>
    <row r="155" spans="1:5" x14ac:dyDescent="0.25">
      <c r="A155" s="61" t="s">
        <v>112</v>
      </c>
      <c r="B155" s="61" t="s">
        <v>112</v>
      </c>
      <c r="C155" s="61" t="s">
        <v>112</v>
      </c>
    </row>
    <row r="156" spans="1:5" x14ac:dyDescent="0.25">
      <c r="B156" s="61" t="s">
        <v>112</v>
      </c>
      <c r="C156" s="61" t="s">
        <v>112</v>
      </c>
      <c r="D156" s="61" t="s">
        <v>112</v>
      </c>
    </row>
    <row r="157" spans="1:5" x14ac:dyDescent="0.25">
      <c r="A157" s="61" t="s">
        <v>112</v>
      </c>
      <c r="D157" s="61" t="s">
        <v>112</v>
      </c>
    </row>
    <row r="158" spans="1:5" x14ac:dyDescent="0.25">
      <c r="A158" s="61" t="s">
        <v>112</v>
      </c>
      <c r="D158" s="61" t="s">
        <v>112</v>
      </c>
    </row>
    <row r="159" spans="1:5" x14ac:dyDescent="0.25">
      <c r="A159" s="61" t="s">
        <v>112</v>
      </c>
      <c r="E159" s="61" t="s">
        <v>112</v>
      </c>
    </row>
    <row r="160" spans="1:5" x14ac:dyDescent="0.25">
      <c r="D160" s="61" t="s">
        <v>112</v>
      </c>
      <c r="E160" s="61" t="s">
        <v>112</v>
      </c>
    </row>
    <row r="161" spans="1:5" x14ac:dyDescent="0.25">
      <c r="B161" s="61" t="s">
        <v>112</v>
      </c>
      <c r="C161" s="61" t="s">
        <v>112</v>
      </c>
      <c r="E161" s="61" t="s">
        <v>112</v>
      </c>
    </row>
    <row r="162" spans="1:5" x14ac:dyDescent="0.25">
      <c r="B162" s="61" t="s">
        <v>112</v>
      </c>
      <c r="C162" s="61" t="s">
        <v>112</v>
      </c>
      <c r="D162" s="61" t="s">
        <v>112</v>
      </c>
    </row>
    <row r="163" spans="1:5" x14ac:dyDescent="0.25">
      <c r="A163" s="61" t="s">
        <v>112</v>
      </c>
      <c r="D163" s="61" t="s">
        <v>112</v>
      </c>
    </row>
    <row r="164" spans="1:5" x14ac:dyDescent="0.25">
      <c r="D164" s="61" t="s">
        <v>112</v>
      </c>
      <c r="E164" s="61" t="s">
        <v>112</v>
      </c>
    </row>
    <row r="165" spans="1:5" x14ac:dyDescent="0.25">
      <c r="D165" s="61" t="s">
        <v>112</v>
      </c>
      <c r="E165" s="61" t="s">
        <v>112</v>
      </c>
    </row>
    <row r="166" spans="1:5" x14ac:dyDescent="0.25">
      <c r="A166" s="61" t="s">
        <v>112</v>
      </c>
      <c r="B166" s="61" t="s">
        <v>112</v>
      </c>
      <c r="C166" s="61" t="s">
        <v>112</v>
      </c>
    </row>
    <row r="167" spans="1:5" x14ac:dyDescent="0.25">
      <c r="A167" s="61" t="s">
        <v>112</v>
      </c>
      <c r="B167" s="61" t="s">
        <v>112</v>
      </c>
      <c r="C167" s="61" t="s">
        <v>112</v>
      </c>
    </row>
    <row r="168" spans="1:5" x14ac:dyDescent="0.25">
      <c r="A168" s="61" t="s">
        <v>112</v>
      </c>
      <c r="E168" s="61" t="s">
        <v>112</v>
      </c>
    </row>
    <row r="169" spans="1:5" x14ac:dyDescent="0.25">
      <c r="A169" s="61" t="s">
        <v>112</v>
      </c>
      <c r="D169" s="61" t="s">
        <v>112</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heet="1" objects="1"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2026-05-05T21:32:57Z</cp:lastPrinted>
  <dcterms:created xsi:type="dcterms:W3CDTF">2006-06-24T21:29:52Z</dcterms:created>
  <dcterms:modified xsi:type="dcterms:W3CDTF">2026-05-09T17:00:24Z</dcterms:modified>
</cp:coreProperties>
</file>