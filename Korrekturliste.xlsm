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FBD858D1-CEB4-4D05-9ED9-80A26C10B291}" xr6:coauthVersionLast="47" xr6:coauthVersionMax="47" xr10:uidLastSave="{00000000-0000-0000-0000-000000000000}"/>
  <bookViews>
    <workbookView xWindow="-108" yWindow="-108" windowWidth="30936" windowHeight="16776" activeTab="9" xr2:uid="{00000000-000D-0000-FFFF-FFFF00000000}"/>
  </bookViews>
  <sheets>
    <sheet name="Noten" sheetId="2994" r:id="rId1"/>
    <sheet name="Analysis A" sheetId="2987" r:id="rId2"/>
    <sheet name="Analysis B" sheetId="2988" r:id="rId3"/>
    <sheet name="Stochastik A" sheetId="2989" r:id="rId4"/>
    <sheet name="Stochastik B" sheetId="2990" r:id="rId5"/>
    <sheet name="Geometrie A" sheetId="2991" r:id="rId6"/>
    <sheet name="Geometrie B" sheetId="2992" r:id="rId7"/>
    <sheet name="Wahlaufgaben" sheetId="2993" r:id="rId8"/>
    <sheet name="ConfigW" sheetId="2995"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2993" l="1"/>
  <c r="I9" i="2993"/>
  <c r="I11" i="2993"/>
  <c r="I12" i="2993"/>
  <c r="I14" i="2993"/>
  <c r="I15" i="2993"/>
  <c r="I17" i="2993"/>
  <c r="I18" i="2993"/>
  <c r="I20" i="2993"/>
  <c r="I21" i="2993"/>
  <c r="I23" i="2993"/>
  <c r="I24" i="2993"/>
  <c r="I26" i="2993"/>
  <c r="I27" i="2993"/>
  <c r="I29" i="2993"/>
  <c r="I30" i="2993"/>
  <c r="I32" i="2993"/>
  <c r="I33" i="2993"/>
  <c r="I35" i="2993"/>
  <c r="I36" i="2993"/>
  <c r="I38" i="2993"/>
  <c r="I39" i="2993"/>
  <c r="I41" i="2993"/>
  <c r="I42" i="2993"/>
  <c r="I44" i="2993"/>
  <c r="I45" i="2993"/>
  <c r="I47" i="2993"/>
  <c r="I48" i="2993"/>
  <c r="I50" i="2993"/>
  <c r="I51" i="2993"/>
  <c r="I53" i="2993"/>
  <c r="I54" i="2993"/>
  <c r="I56" i="2993"/>
  <c r="I57" i="2993"/>
  <c r="I59" i="2993"/>
  <c r="I60" i="2993"/>
  <c r="I62" i="2993"/>
  <c r="I63" i="2993"/>
  <c r="I65" i="2993"/>
  <c r="I66" i="2993"/>
  <c r="I68" i="2993"/>
  <c r="I69" i="2993"/>
  <c r="I71" i="2993"/>
  <c r="I72" i="2993"/>
  <c r="I74" i="2993"/>
  <c r="I75" i="2993"/>
  <c r="I8" i="2992"/>
  <c r="I9" i="2992"/>
  <c r="I11" i="2992"/>
  <c r="I12" i="2992"/>
  <c r="I14" i="2992"/>
  <c r="I15" i="2992"/>
  <c r="I17" i="2992"/>
  <c r="I18" i="2992"/>
  <c r="I20" i="2992"/>
  <c r="I21" i="2992"/>
  <c r="I23" i="2992"/>
  <c r="I24" i="2992"/>
  <c r="I26" i="2992"/>
  <c r="I27" i="2992"/>
  <c r="I29" i="2992"/>
  <c r="I30" i="2992"/>
  <c r="I32" i="2992"/>
  <c r="I33" i="2992"/>
  <c r="I35" i="2992"/>
  <c r="I36" i="2992"/>
  <c r="I38" i="2992"/>
  <c r="I39" i="2992"/>
  <c r="I41" i="2992"/>
  <c r="I42" i="2992"/>
  <c r="I44" i="2992"/>
  <c r="I45" i="2992"/>
  <c r="I47" i="2992"/>
  <c r="I48" i="2992"/>
  <c r="I50" i="2992"/>
  <c r="I51" i="2992"/>
  <c r="I53" i="2992"/>
  <c r="I54" i="2992"/>
  <c r="I56" i="2992"/>
  <c r="I57" i="2992"/>
  <c r="I59" i="2992"/>
  <c r="I60" i="2992"/>
  <c r="I62" i="2992"/>
  <c r="I63" i="2992"/>
  <c r="I65" i="2992"/>
  <c r="I66" i="2992"/>
  <c r="I68" i="2992"/>
  <c r="I69" i="2992"/>
  <c r="I71" i="2992"/>
  <c r="I72" i="2992"/>
  <c r="I74" i="2992"/>
  <c r="I75" i="2992"/>
  <c r="F8" i="2991"/>
  <c r="F9" i="2991"/>
  <c r="F11" i="2991"/>
  <c r="F12" i="2991"/>
  <c r="F14" i="2991"/>
  <c r="F15" i="2991"/>
  <c r="F17" i="2991"/>
  <c r="F18" i="2991"/>
  <c r="F20" i="2991"/>
  <c r="F21" i="2991"/>
  <c r="F23" i="2991"/>
  <c r="F24" i="2991"/>
  <c r="F26" i="2991"/>
  <c r="F27" i="2991"/>
  <c r="F29" i="2991"/>
  <c r="F30" i="2991"/>
  <c r="F32" i="2991"/>
  <c r="F33" i="2991"/>
  <c r="F35" i="2991"/>
  <c r="F36" i="2991"/>
  <c r="F38" i="2991"/>
  <c r="F39" i="2991"/>
  <c r="F41" i="2991"/>
  <c r="F42" i="2991"/>
  <c r="F44" i="2991"/>
  <c r="F45" i="2991"/>
  <c r="F47" i="2991"/>
  <c r="F48" i="2991"/>
  <c r="F50" i="2991"/>
  <c r="F51" i="2991"/>
  <c r="F53" i="2991"/>
  <c r="F54" i="2991"/>
  <c r="F56" i="2991"/>
  <c r="F57" i="2991"/>
  <c r="F59" i="2991"/>
  <c r="F60" i="2991"/>
  <c r="F62" i="2991"/>
  <c r="F63" i="2991"/>
  <c r="F65" i="2991"/>
  <c r="F66" i="2991"/>
  <c r="F68" i="2991"/>
  <c r="F69" i="2991"/>
  <c r="F71" i="2991"/>
  <c r="F72" i="2991"/>
  <c r="F74" i="2991"/>
  <c r="F75" i="2991"/>
  <c r="I8" i="2990"/>
  <c r="I9" i="2990"/>
  <c r="I11" i="2990"/>
  <c r="I12" i="2990"/>
  <c r="I14" i="2990"/>
  <c r="I15" i="2990"/>
  <c r="I17" i="2990"/>
  <c r="I18" i="2990"/>
  <c r="I20" i="2990"/>
  <c r="I21" i="2990"/>
  <c r="I23" i="2990"/>
  <c r="I24" i="2990"/>
  <c r="I26" i="2990"/>
  <c r="I27" i="2990"/>
  <c r="I29" i="2990"/>
  <c r="I30" i="2990"/>
  <c r="I32" i="2990"/>
  <c r="I33" i="2990"/>
  <c r="I35" i="2990"/>
  <c r="I36" i="2990"/>
  <c r="I38" i="2990"/>
  <c r="I39" i="2990"/>
  <c r="I41" i="2990"/>
  <c r="I42" i="2990"/>
  <c r="I44" i="2990"/>
  <c r="I45" i="2990"/>
  <c r="I47" i="2990"/>
  <c r="I48" i="2990"/>
  <c r="I50" i="2990"/>
  <c r="I51" i="2990"/>
  <c r="I53" i="2990"/>
  <c r="I54" i="2990"/>
  <c r="I56" i="2990"/>
  <c r="I57" i="2990"/>
  <c r="I59" i="2990"/>
  <c r="I60" i="2990"/>
  <c r="I62" i="2990"/>
  <c r="I63" i="2990"/>
  <c r="I65" i="2990"/>
  <c r="I66" i="2990"/>
  <c r="I68" i="2990"/>
  <c r="I69" i="2990"/>
  <c r="I71" i="2990"/>
  <c r="I72" i="2990"/>
  <c r="I74" i="2990"/>
  <c r="I75" i="2990"/>
  <c r="E8" i="2989"/>
  <c r="E9" i="2989"/>
  <c r="E12" i="2989"/>
  <c r="E14" i="2989"/>
  <c r="E15" i="2989"/>
  <c r="E17" i="2989"/>
  <c r="E18" i="2989"/>
  <c r="E20" i="2989"/>
  <c r="E21" i="2989"/>
  <c r="E23" i="2989"/>
  <c r="E24" i="2989"/>
  <c r="E26" i="2989"/>
  <c r="E27" i="2989"/>
  <c r="E29" i="2989"/>
  <c r="E30" i="2989"/>
  <c r="E32" i="2989"/>
  <c r="E33" i="2989"/>
  <c r="E35" i="2989"/>
  <c r="E36" i="2989"/>
  <c r="E38" i="2989"/>
  <c r="E39" i="2989"/>
  <c r="E41" i="2989"/>
  <c r="E42" i="2989"/>
  <c r="E44" i="2989"/>
  <c r="E45" i="2989"/>
  <c r="E47" i="2989"/>
  <c r="E48" i="2989"/>
  <c r="E50" i="2989"/>
  <c r="E51" i="2989"/>
  <c r="E53" i="2989"/>
  <c r="E54" i="2989"/>
  <c r="E56" i="2989"/>
  <c r="E57" i="2989"/>
  <c r="E59" i="2989"/>
  <c r="E60" i="2989"/>
  <c r="E62" i="2989"/>
  <c r="E63" i="2989"/>
  <c r="E65" i="2989"/>
  <c r="E66" i="2989"/>
  <c r="E68" i="2989"/>
  <c r="E69" i="2989"/>
  <c r="E71" i="2989"/>
  <c r="E72" i="2989"/>
  <c r="E74" i="2989"/>
  <c r="E75" i="2989"/>
  <c r="N8" i="2988"/>
  <c r="N9" i="2988"/>
  <c r="N11" i="2988"/>
  <c r="N12" i="2988"/>
  <c r="N14" i="2988"/>
  <c r="N15" i="2988"/>
  <c r="N17" i="2988"/>
  <c r="N18" i="2988"/>
  <c r="N20" i="2988"/>
  <c r="N21" i="2988"/>
  <c r="N23" i="2988"/>
  <c r="N24" i="2988"/>
  <c r="N26" i="2988"/>
  <c r="N27" i="2988"/>
  <c r="N29" i="2988"/>
  <c r="N30" i="2988"/>
  <c r="N32" i="2988"/>
  <c r="N33" i="2988"/>
  <c r="N35" i="2988"/>
  <c r="N36" i="2988"/>
  <c r="N38" i="2988"/>
  <c r="N39" i="2988"/>
  <c r="N41" i="2988"/>
  <c r="N42" i="2988"/>
  <c r="N44" i="2988"/>
  <c r="N45" i="2988"/>
  <c r="N47" i="2988"/>
  <c r="N48" i="2988"/>
  <c r="N50" i="2988"/>
  <c r="N51" i="2988"/>
  <c r="N53" i="2988"/>
  <c r="N54" i="2988"/>
  <c r="N56" i="2988"/>
  <c r="N57" i="2988"/>
  <c r="N59" i="2988"/>
  <c r="N60" i="2988"/>
  <c r="N62" i="2988"/>
  <c r="N63" i="2988"/>
  <c r="N65" i="2988"/>
  <c r="N66" i="2988"/>
  <c r="N68" i="2988"/>
  <c r="N69" i="2988"/>
  <c r="N71" i="2988"/>
  <c r="N72" i="2988"/>
  <c r="N74" i="2988"/>
  <c r="N75" i="2988"/>
  <c r="J8" i="2987"/>
  <c r="J9" i="2987"/>
  <c r="J11" i="2987"/>
  <c r="J12" i="2987"/>
  <c r="J14" i="2987"/>
  <c r="J15" i="2987"/>
  <c r="J17" i="2987"/>
  <c r="J18" i="2987"/>
  <c r="J20" i="2987"/>
  <c r="J21" i="2987"/>
  <c r="J23" i="2987"/>
  <c r="J24" i="2987"/>
  <c r="J26" i="2987"/>
  <c r="J27" i="2987"/>
  <c r="J29" i="2987"/>
  <c r="J30" i="2987"/>
  <c r="J32" i="2987"/>
  <c r="J33" i="2987"/>
  <c r="J35" i="2987"/>
  <c r="J36" i="2987"/>
  <c r="J38" i="2987"/>
  <c r="J39" i="2987"/>
  <c r="J41" i="2987"/>
  <c r="J42" i="2987"/>
  <c r="J44" i="2987"/>
  <c r="J45" i="2987"/>
  <c r="J47" i="2987"/>
  <c r="J48" i="2987"/>
  <c r="J50" i="2987"/>
  <c r="J51" i="2987"/>
  <c r="J53" i="2987"/>
  <c r="J54" i="2987"/>
  <c r="J56" i="2987"/>
  <c r="J57" i="2987"/>
  <c r="J59" i="2987"/>
  <c r="J60" i="2987"/>
  <c r="J62" i="2987"/>
  <c r="J63" i="2987"/>
  <c r="J65" i="2987"/>
  <c r="J66" i="2987"/>
  <c r="J68" i="2987"/>
  <c r="J69" i="2987"/>
  <c r="J71" i="2987"/>
  <c r="J72" i="2987"/>
  <c r="J74" i="2987"/>
  <c r="J75" i="2987"/>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C7" i="2994"/>
  <c r="C7" i="2987"/>
  <c r="J7" i="2987"/>
  <c r="D7" i="2994"/>
  <c r="C7" i="2988"/>
  <c r="N7" i="2988"/>
  <c r="E7" i="2994"/>
  <c r="C7" i="2989"/>
  <c r="E7" i="2989"/>
  <c r="F7" i="2994"/>
  <c r="C7" i="2990"/>
  <c r="I7" i="2990"/>
  <c r="G7" i="2994"/>
  <c r="C7" i="2993"/>
  <c r="I7" i="2993"/>
  <c r="J7" i="2994"/>
  <c r="C7" i="2992"/>
  <c r="I7" i="2992"/>
  <c r="I7" i="2994"/>
  <c r="C7" i="2991"/>
  <c r="F7" i="2991"/>
  <c r="H7" i="2994"/>
  <c r="K7" i="2994"/>
  <c r="E3" i="11"/>
  <c r="E26" i="11"/>
  <c r="E71" i="11"/>
  <c r="E76" i="11"/>
  <c r="E102" i="11"/>
  <c r="E120" i="11"/>
  <c r="E136" i="11"/>
  <c r="E134" i="11"/>
  <c r="E133" i="11"/>
  <c r="N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E21" i="11"/>
  <c r="E56" i="11"/>
  <c r="E66" i="11"/>
  <c r="E80" i="11"/>
  <c r="E87" i="11"/>
  <c r="E105" i="11"/>
  <c r="E119" i="11"/>
  <c r="N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E24" i="11"/>
  <c r="E47" i="11"/>
  <c r="E52" i="11"/>
  <c r="E68" i="11"/>
  <c r="E77" i="11"/>
  <c r="E121" i="11"/>
  <c r="N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E28" i="11"/>
  <c r="E74" i="11"/>
  <c r="E79" i="11"/>
  <c r="E97" i="11"/>
  <c r="E104" i="11"/>
  <c r="E131" i="11"/>
  <c r="E143" i="11"/>
  <c r="N10" i="2994"/>
  <c r="C11" i="2994"/>
  <c r="C19" i="2987"/>
  <c r="J19" i="2987"/>
  <c r="D11" i="2994"/>
  <c r="C19" i="2988"/>
  <c r="N19" i="2988"/>
  <c r="E11" i="2994"/>
  <c r="C19" i="2989"/>
  <c r="E19" i="2989"/>
  <c r="F11" i="2994"/>
  <c r="C19" i="2990"/>
  <c r="I19" i="2990"/>
  <c r="G11" i="2994"/>
  <c r="C19" i="2993"/>
  <c r="I19" i="2993"/>
  <c r="J11" i="2994"/>
  <c r="C19" i="2992"/>
  <c r="I19" i="2992"/>
  <c r="I11" i="2994"/>
  <c r="C19" i="2991"/>
  <c r="F19" i="2991"/>
  <c r="H11" i="2994"/>
  <c r="K11" i="2994"/>
  <c r="E31" i="11"/>
  <c r="E88" i="11"/>
  <c r="E95" i="11"/>
  <c r="N11" i="2994"/>
  <c r="C12" i="2994"/>
  <c r="C22" i="2987"/>
  <c r="J22" i="2987"/>
  <c r="D12" i="2994"/>
  <c r="C22" i="2988"/>
  <c r="N22" i="2988"/>
  <c r="E12" i="2994"/>
  <c r="C22" i="2989"/>
  <c r="E22" i="2989"/>
  <c r="F12" i="2994"/>
  <c r="C22" i="2990"/>
  <c r="I22" i="2990"/>
  <c r="G12" i="2994"/>
  <c r="C22" i="2993"/>
  <c r="I22" i="2993"/>
  <c r="J12" i="2994"/>
  <c r="C22" i="2992"/>
  <c r="I22" i="2992"/>
  <c r="I12" i="2994"/>
  <c r="C22" i="2991"/>
  <c r="F22" i="2991"/>
  <c r="H12" i="2994"/>
  <c r="K12" i="2994"/>
  <c r="E94" i="11"/>
  <c r="E100" i="11"/>
  <c r="E130" i="11"/>
  <c r="E164" i="11"/>
  <c r="E180" i="11"/>
  <c r="N12" i="2994"/>
  <c r="C13" i="2994"/>
  <c r="C25" i="2987"/>
  <c r="J25" i="2987"/>
  <c r="D13" i="2994"/>
  <c r="C25" i="2988"/>
  <c r="N25" i="2988"/>
  <c r="E13" i="2994"/>
  <c r="C25" i="2989"/>
  <c r="E25" i="2989"/>
  <c r="F13" i="2994"/>
  <c r="C25" i="2990"/>
  <c r="I25" i="2990"/>
  <c r="G13" i="2994"/>
  <c r="C25" i="2993"/>
  <c r="I25" i="2993"/>
  <c r="J13" i="2994"/>
  <c r="C25" i="2992"/>
  <c r="I25" i="2992"/>
  <c r="I13" i="2994"/>
  <c r="C25" i="2991"/>
  <c r="F25" i="2991"/>
  <c r="H13" i="2994"/>
  <c r="K13" i="2994"/>
  <c r="E73" i="11"/>
  <c r="E83" i="11"/>
  <c r="E109" i="11"/>
  <c r="E139" i="11"/>
  <c r="E153" i="11"/>
  <c r="N13" i="2994"/>
  <c r="C14" i="2994"/>
  <c r="C28" i="2987"/>
  <c r="J28" i="2987"/>
  <c r="D14" i="2994"/>
  <c r="C28" i="2988"/>
  <c r="N28" i="2988"/>
  <c r="E14" i="2994"/>
  <c r="C28" i="2989"/>
  <c r="E28" i="2989"/>
  <c r="F14" i="2994"/>
  <c r="C28" i="2990"/>
  <c r="I28" i="2990"/>
  <c r="G14" i="2994"/>
  <c r="C28" i="2993"/>
  <c r="I28" i="2993"/>
  <c r="J14" i="2994"/>
  <c r="C28" i="2992"/>
  <c r="I28" i="2992"/>
  <c r="I14" i="2994"/>
  <c r="C28" i="2991"/>
  <c r="F28" i="2991"/>
  <c r="H14" i="2994"/>
  <c r="K14" i="2994"/>
  <c r="E54" i="11"/>
  <c r="E64" i="11"/>
  <c r="E81" i="11"/>
  <c r="E89" i="11"/>
  <c r="E115" i="11"/>
  <c r="E129" i="11"/>
  <c r="N14" i="2994"/>
  <c r="C15" i="2994"/>
  <c r="C31" i="2987"/>
  <c r="J31" i="2987"/>
  <c r="D15" i="2994"/>
  <c r="C31" i="2988"/>
  <c r="N31" i="2988"/>
  <c r="E15" i="2994"/>
  <c r="C31" i="2989"/>
  <c r="E31" i="2989"/>
  <c r="F15" i="2994"/>
  <c r="C31" i="2990"/>
  <c r="I31" i="2990"/>
  <c r="G15" i="2994"/>
  <c r="C31" i="2993"/>
  <c r="I31" i="2993"/>
  <c r="J15" i="2994"/>
  <c r="C31" i="2992"/>
  <c r="I31" i="2992"/>
  <c r="I15" i="2994"/>
  <c r="C31" i="2991"/>
  <c r="F31" i="2991"/>
  <c r="H15" i="2994"/>
  <c r="K15" i="2994"/>
  <c r="E23" i="11"/>
  <c r="E60" i="11"/>
  <c r="E86" i="11"/>
  <c r="E103" i="11"/>
  <c r="N15" i="2994"/>
  <c r="C16" i="2994"/>
  <c r="C34" i="2987"/>
  <c r="J34" i="2987"/>
  <c r="D16" i="2994"/>
  <c r="C34" i="2988"/>
  <c r="N34" i="2988"/>
  <c r="E16" i="2994"/>
  <c r="C34" i="2989"/>
  <c r="E34" i="2989"/>
  <c r="F16" i="2994"/>
  <c r="C34" i="2990"/>
  <c r="I34" i="2990"/>
  <c r="G16" i="2994"/>
  <c r="C34" i="2993"/>
  <c r="I34" i="2993"/>
  <c r="J16" i="2994"/>
  <c r="C34" i="2992"/>
  <c r="I34" i="2992"/>
  <c r="I16" i="2994"/>
  <c r="C34" i="2991"/>
  <c r="F34" i="2991"/>
  <c r="H16" i="2994"/>
  <c r="K16" i="2994"/>
  <c r="E9" i="11"/>
  <c r="E44" i="11"/>
  <c r="E46" i="11"/>
  <c r="E63" i="11"/>
  <c r="N16" i="2994"/>
  <c r="C17" i="2994"/>
  <c r="C37" i="2987"/>
  <c r="J37" i="2987"/>
  <c r="D17" i="2994"/>
  <c r="C37" i="2988"/>
  <c r="N37" i="2988"/>
  <c r="E17" i="2994"/>
  <c r="C37" i="2989"/>
  <c r="E37" i="2989"/>
  <c r="F17" i="2994"/>
  <c r="C37" i="2990"/>
  <c r="I37" i="2990"/>
  <c r="G17" i="2994"/>
  <c r="C37" i="2993"/>
  <c r="I37" i="2993"/>
  <c r="J17" i="2994"/>
  <c r="C37" i="2992"/>
  <c r="I37" i="2992"/>
  <c r="I17" i="2994"/>
  <c r="C37" i="2991"/>
  <c r="F37" i="2991"/>
  <c r="H17" i="2994"/>
  <c r="K17" i="2994"/>
  <c r="E16" i="11"/>
  <c r="E43" i="11"/>
  <c r="E90" i="11"/>
  <c r="N17" i="2994"/>
  <c r="C18" i="2994"/>
  <c r="C40" i="2987"/>
  <c r="J40" i="2987"/>
  <c r="D18" i="2994"/>
  <c r="C40" i="2988"/>
  <c r="N40" i="2988"/>
  <c r="E18" i="2994"/>
  <c r="C40" i="2989"/>
  <c r="E40" i="2989"/>
  <c r="F18" i="2994"/>
  <c r="C40" i="2990"/>
  <c r="I40" i="2990"/>
  <c r="G18" i="2994"/>
  <c r="C40" i="2993"/>
  <c r="I40" i="2993"/>
  <c r="J18" i="2994"/>
  <c r="C40" i="2992"/>
  <c r="I40" i="2992"/>
  <c r="I18" i="2994"/>
  <c r="C40" i="2991"/>
  <c r="F40" i="2991"/>
  <c r="H18" i="2994"/>
  <c r="K18" i="2994"/>
  <c r="E85" i="11"/>
  <c r="E96" i="11"/>
  <c r="E123" i="11"/>
  <c r="E135" i="11"/>
  <c r="N18" i="2994"/>
  <c r="C19" i="2994"/>
  <c r="C43" i="2987"/>
  <c r="J43" i="2987"/>
  <c r="D19" i="2994"/>
  <c r="C43" i="2988"/>
  <c r="N43" i="2988"/>
  <c r="E19" i="2994"/>
  <c r="C43" i="2989"/>
  <c r="E43" i="2989"/>
  <c r="F19" i="2994"/>
  <c r="C43" i="2990"/>
  <c r="I43" i="2990"/>
  <c r="G19" i="2994"/>
  <c r="C43" i="2993"/>
  <c r="I43" i="2993"/>
  <c r="J19" i="2994"/>
  <c r="C43" i="2992"/>
  <c r="I43" i="2992"/>
  <c r="I19" i="2994"/>
  <c r="C43" i="2991"/>
  <c r="F43" i="2991"/>
  <c r="H19" i="2994"/>
  <c r="K19" i="2994"/>
  <c r="E72" i="11"/>
  <c r="E82" i="11"/>
  <c r="E93" i="11"/>
  <c r="E108" i="11"/>
  <c r="E124" i="11"/>
  <c r="N19" i="2994"/>
  <c r="C20" i="2994"/>
  <c r="C46" i="2987"/>
  <c r="J46" i="2987"/>
  <c r="D20" i="2994"/>
  <c r="C46" i="2988"/>
  <c r="N46" i="2988"/>
  <c r="E20" i="2994"/>
  <c r="C46" i="2989"/>
  <c r="E46" i="2989"/>
  <c r="F20" i="2994"/>
  <c r="C46" i="2990"/>
  <c r="I46" i="2990"/>
  <c r="G20" i="2994"/>
  <c r="C46" i="2993"/>
  <c r="I46" i="2993"/>
  <c r="J20" i="2994"/>
  <c r="C46" i="2992"/>
  <c r="I46" i="2992"/>
  <c r="I20" i="2994"/>
  <c r="C46" i="2991"/>
  <c r="F46" i="2991"/>
  <c r="H20" i="2994"/>
  <c r="K20" i="2994"/>
  <c r="E30" i="11"/>
  <c r="E61" i="11"/>
  <c r="E138" i="11"/>
  <c r="N20" i="2994"/>
  <c r="C21" i="2994"/>
  <c r="C49" i="2987"/>
  <c r="J49" i="2987"/>
  <c r="D21" i="2994"/>
  <c r="C49" i="2988"/>
  <c r="N49" i="2988"/>
  <c r="E21" i="2994"/>
  <c r="C49" i="2989"/>
  <c r="E49" i="2989"/>
  <c r="F21" i="2994"/>
  <c r="C49" i="2990"/>
  <c r="I49" i="2990"/>
  <c r="G21" i="2994"/>
  <c r="C49" i="2993"/>
  <c r="I49" i="2993"/>
  <c r="J21" i="2994"/>
  <c r="C49" i="2992"/>
  <c r="I49" i="2992"/>
  <c r="I21" i="2994"/>
  <c r="C49" i="2991"/>
  <c r="F49" i="2991"/>
  <c r="H21" i="2994"/>
  <c r="K21" i="2994"/>
  <c r="E27" i="11"/>
  <c r="E118" i="11"/>
  <c r="E126" i="11"/>
  <c r="N21" i="2994"/>
  <c r="C22" i="2994"/>
  <c r="C52" i="2987"/>
  <c r="J52" i="2987"/>
  <c r="D22" i="2994"/>
  <c r="C52" i="2988"/>
  <c r="N52" i="2988"/>
  <c r="E22" i="2994"/>
  <c r="C52" i="2989"/>
  <c r="E52" i="2989"/>
  <c r="F22" i="2994"/>
  <c r="C52" i="2990"/>
  <c r="I52" i="2990"/>
  <c r="G22" i="2994"/>
  <c r="C52" i="2993"/>
  <c r="I52" i="2993"/>
  <c r="J22" i="2994"/>
  <c r="C52" i="2992"/>
  <c r="I52" i="2992"/>
  <c r="I22" i="2994"/>
  <c r="C52" i="2991"/>
  <c r="F52" i="2991"/>
  <c r="H22" i="2994"/>
  <c r="K22" i="2994"/>
  <c r="E18" i="11"/>
  <c r="E62" i="11"/>
  <c r="N22" i="2994"/>
  <c r="C23" i="2994"/>
  <c r="C55" i="2987"/>
  <c r="J55" i="2987"/>
  <c r="D23" i="2994"/>
  <c r="C55" i="2988"/>
  <c r="N55" i="2988"/>
  <c r="E23" i="2994"/>
  <c r="C55" i="2989"/>
  <c r="E55" i="2989"/>
  <c r="F23" i="2994"/>
  <c r="C55" i="2990"/>
  <c r="I55" i="2990"/>
  <c r="G23" i="2994"/>
  <c r="C55" i="2993"/>
  <c r="I55" i="2993"/>
  <c r="J23" i="2994"/>
  <c r="C55" i="2992"/>
  <c r="I55" i="2992"/>
  <c r="I23" i="2994"/>
  <c r="C55" i="2991"/>
  <c r="F55" i="2991"/>
  <c r="H23" i="2994"/>
  <c r="K23" i="2994"/>
  <c r="E5" i="11"/>
  <c r="E53" i="11"/>
  <c r="N23" i="2994"/>
  <c r="C24" i="2994"/>
  <c r="C58" i="2987"/>
  <c r="J58" i="2987"/>
  <c r="D24" i="2994"/>
  <c r="C58" i="2988"/>
  <c r="N58" i="2988"/>
  <c r="E24" i="2994"/>
  <c r="C58" i="2989"/>
  <c r="E58" i="2989"/>
  <c r="F24" i="2994"/>
  <c r="C58" i="2990"/>
  <c r="I58" i="2990"/>
  <c r="G24" i="2994"/>
  <c r="C58" i="2993"/>
  <c r="I58" i="2993"/>
  <c r="J24" i="2994"/>
  <c r="C58" i="2992"/>
  <c r="I58" i="2992"/>
  <c r="I24" i="2994"/>
  <c r="C58" i="2991"/>
  <c r="F58" i="2991"/>
  <c r="H24" i="2994"/>
  <c r="K24" i="2994"/>
  <c r="E55" i="11"/>
  <c r="N24" i="2994"/>
  <c r="C25" i="2994"/>
  <c r="C61" i="2987"/>
  <c r="J61" i="2987"/>
  <c r="D25" i="2994"/>
  <c r="C61" i="2988"/>
  <c r="N61" i="2988"/>
  <c r="E25" i="2994"/>
  <c r="C61" i="2989"/>
  <c r="E61" i="2989"/>
  <c r="F25" i="2994"/>
  <c r="C61" i="2990"/>
  <c r="I61" i="2990"/>
  <c r="G25" i="2994"/>
  <c r="C61" i="2993"/>
  <c r="I61" i="2993"/>
  <c r="J25" i="2994"/>
  <c r="C61" i="2992"/>
  <c r="I61" i="2992"/>
  <c r="I25" i="2994"/>
  <c r="C61" i="2991"/>
  <c r="F61" i="2991"/>
  <c r="H25" i="2994"/>
  <c r="K25" i="2994"/>
  <c r="E22" i="11"/>
  <c r="E51" i="11"/>
  <c r="E75" i="11"/>
  <c r="E106" i="11"/>
  <c r="E122" i="11"/>
  <c r="N25" i="2994"/>
  <c r="C26" i="2994"/>
  <c r="C64" i="2987"/>
  <c r="J64" i="2987"/>
  <c r="D26" i="2994"/>
  <c r="C64" i="2988"/>
  <c r="N64" i="2988"/>
  <c r="E26" i="2994"/>
  <c r="C64" i="2989"/>
  <c r="E64" i="2989"/>
  <c r="F26" i="2994"/>
  <c r="C64" i="2990"/>
  <c r="I64" i="2990"/>
  <c r="G26" i="2994"/>
  <c r="C64" i="2993"/>
  <c r="I64" i="2993"/>
  <c r="J26" i="2994"/>
  <c r="C64" i="2992"/>
  <c r="I64" i="2992"/>
  <c r="I26" i="2994"/>
  <c r="C64" i="2991"/>
  <c r="F64" i="2991"/>
  <c r="H26" i="2994"/>
  <c r="K26" i="2994"/>
  <c r="E91" i="11"/>
  <c r="E125" i="11"/>
  <c r="E145" i="11"/>
  <c r="N26" i="2994"/>
  <c r="C27" i="2994"/>
  <c r="C67" i="2987"/>
  <c r="J67" i="2987"/>
  <c r="D27" i="2994"/>
  <c r="C67" i="2988"/>
  <c r="N67" i="2988"/>
  <c r="E27" i="2994"/>
  <c r="C67" i="2989"/>
  <c r="E67" i="2989"/>
  <c r="F27" i="2994"/>
  <c r="C67" i="2990"/>
  <c r="I67" i="2990"/>
  <c r="G27" i="2994"/>
  <c r="C67" i="2993"/>
  <c r="I67" i="2993"/>
  <c r="J27" i="2994"/>
  <c r="C67" i="2992"/>
  <c r="I67" i="2992"/>
  <c r="I27" i="2994"/>
  <c r="C67" i="2991"/>
  <c r="F67" i="2991"/>
  <c r="H27" i="2994"/>
  <c r="K27" i="2994"/>
  <c r="E113" i="11"/>
  <c r="E165" i="11"/>
  <c r="N27" i="2994"/>
  <c r="C28" i="2994"/>
  <c r="C70" i="2987"/>
  <c r="J70" i="2987"/>
  <c r="D28" i="2994"/>
  <c r="C70" i="2988"/>
  <c r="N70" i="2988"/>
  <c r="E28" i="2994"/>
  <c r="C70" i="2989"/>
  <c r="E70" i="2989"/>
  <c r="F28" i="2994"/>
  <c r="C70" i="2990"/>
  <c r="I70" i="2990"/>
  <c r="G28" i="2994"/>
  <c r="C70" i="2993"/>
  <c r="I70" i="2993"/>
  <c r="J28" i="2994"/>
  <c r="C70" i="2992"/>
  <c r="I70" i="2992"/>
  <c r="I28" i="2994"/>
  <c r="C70" i="2991"/>
  <c r="F70" i="2991"/>
  <c r="H28" i="2994"/>
  <c r="K28" i="2994"/>
  <c r="E65" i="11"/>
  <c r="N28" i="2994"/>
  <c r="C29" i="2994"/>
  <c r="C73" i="2987"/>
  <c r="J73" i="2987"/>
  <c r="D29" i="2994"/>
  <c r="C73" i="2988"/>
  <c r="N73" i="2988"/>
  <c r="E29" i="2994"/>
  <c r="C73" i="2989"/>
  <c r="E73" i="2989"/>
  <c r="F29" i="2994"/>
  <c r="C73" i="2990"/>
  <c r="I73" i="2990"/>
  <c r="G29" i="2994"/>
  <c r="C73" i="2993"/>
  <c r="I73" i="2993"/>
  <c r="J29" i="2994"/>
  <c r="C73" i="2992"/>
  <c r="I73" i="2992"/>
  <c r="I29" i="2994"/>
  <c r="C73" i="2991"/>
  <c r="F73" i="2991"/>
  <c r="H29" i="2994"/>
  <c r="K29" i="2994"/>
  <c r="E17" i="11"/>
  <c r="E49" i="11"/>
  <c r="E59" i="11"/>
  <c r="E98" i="11"/>
  <c r="E114" i="11"/>
  <c r="N29" i="2994"/>
  <c r="L7" i="2994"/>
  <c r="L8" i="2994"/>
  <c r="L9" i="2994"/>
  <c r="L10" i="2994"/>
  <c r="L29" i="2994"/>
  <c r="L28" i="2994"/>
  <c r="L27" i="2994"/>
  <c r="L26" i="2994"/>
  <c r="L25" i="2994"/>
  <c r="L24" i="2994"/>
  <c r="L23" i="2994"/>
  <c r="L22" i="2994"/>
  <c r="L21" i="2994"/>
  <c r="L20" i="2994"/>
  <c r="L19" i="2994"/>
  <c r="L18" i="2994"/>
  <c r="L17" i="2994"/>
  <c r="L16" i="2994"/>
  <c r="L15" i="2994"/>
  <c r="L14" i="2994"/>
  <c r="L13" i="2994"/>
  <c r="L12" i="2994"/>
  <c r="L11" i="2994"/>
  <c r="L30" i="2994"/>
  <c r="G21" i="14"/>
  <c r="D6" i="2994"/>
  <c r="D30" i="2994"/>
  <c r="I21" i="14"/>
  <c r="E6" i="2994"/>
  <c r="E30" i="2994"/>
  <c r="K21" i="14"/>
  <c r="F6" i="2994"/>
  <c r="F30" i="2994"/>
  <c r="M21" i="14"/>
  <c r="G6" i="2994"/>
  <c r="G30" i="2994"/>
  <c r="O21" i="14"/>
  <c r="H6" i="2994"/>
  <c r="H30" i="2994"/>
  <c r="Q21" i="1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<sst xmlns="http://schemas.openxmlformats.org/spreadsheetml/2006/main" count="795" uniqueCount="138">
  <si>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</si>
  <si>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</si>
  <si>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</si>
  <si>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</si>
  <si>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</si>
  <si>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</si>
  <si>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</si>
  <si>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</si>
  <si>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</si>
  <si>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</si>
  <si>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</si>
  <si>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</si>
  <si>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</si>
  <si>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</si>
  <si>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</si>
  <si>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</si>
  <si>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</si>
  <si>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</si>
  <si>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</si>
  <si>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</si>
  <si>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</si>
  <si>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</si>
  <si>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</si>
  <si>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</si>
  <si>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</si>
  <si>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</si>
  <si>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</si>
  <si>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</si>
  <si>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</si>
  <si>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</si>
  <si>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</si>
  <si>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</si>
  <si>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</si>
  <si>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</si>
  <si>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</si>
  <si>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</si>
  <si>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</si>
  <si>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</si>
  <si>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</si>
  <si>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</si>
  <si>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</si>
  <si>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</si>
  <si>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</si>
  <si>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</si>
  <si>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</si>
  <si>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</si>
  <si>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</si>
  <si>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</si>
  <si>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</si>
  <si>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</si>
  <si>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</si>
  <si>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</si>
  <si>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</si>
  <si>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</si>
  <si>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</si>
  <si>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</si>
  <si>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</si>
  <si>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</si>
  <si>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</si>
  <si>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</si>
  <si>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</si>
  <si>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</si>
  <si>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</si>
  <si>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</si>
  <si>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</si>
  <si>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</si>
  <si>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</si>
  <si>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</si>
  <si>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</si>
  <si>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</si>
  <si>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</si>
  <si>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</si>
  <si>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</si>
  <si>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</si>
  <si>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</si>
  <si>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</si>
  <si>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</si>
  <si>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</si>
  <si>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</si>
  <si>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</si>
  <si>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</si>
  <si>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</si>
  <si>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</si>
  <si>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</si>
  <si>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</si>
  <si>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</si>
  <si>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</si>
  <si>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</si>
  <si>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</si>
  <si>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</si>
  <si>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</si>
  <si>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</si>
  <si>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</si>
  <si>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</si>
  <si>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</si>
  <si>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</si>
  <si>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</si>
  <si>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</si>
  <si>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</si>
  <si>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</si>
  <si>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</si>
  <si>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</si>
  <si>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</si>
  <si>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</si>
  <si>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</si>
  <si>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</si>
  <si>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</si>
  <si>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</si>
  <si>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</si>
  <si>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</si>
  <si>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</si>
  <si>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</si>
  <si>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</si>
  <si>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</si>
  <si>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</si>
  <si>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</si>
  <si>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</si>
  <si>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</si>
  <si>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</si>
  <si>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</si>
  <si>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</si>
  <si>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</si>
  <si>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</si>
  <si>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</si>
  <si>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</si>
  <si>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</si>
  <si>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</si>
  <si>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</si>
  <si>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</si>
  <si>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</si>
  <si>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</si>
  <si>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</si>
  <si>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</si>
  <si>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</si>
  <si>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</si>
  <si>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</si>
  <si>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</si>
  <si>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Pre-Release! v2.2.0-beta3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</si>
</sst>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90">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medium">
        <color indexed="8"/>
      </left>
      <right style="medium">
        <color indexed="8"/>
      </right>
      <top/>
      <bottom/>
      <diagonal/>
    </border>
    <border>
      <left style="thin">
        <color indexed="8"/>
      </left>
      <right/>
      <top/>
      <bottom/>
      <diagonal/>
    </border>
    <border>
      <left style="thin">
        <color indexed="8"/>
      </left>
      <right style="thin">
        <color indexed="8"/>
      </right>
      <top/>
      <bottom/>
      <diagonal/>
    </border>
    <border>
      <left style="medium">
        <color indexed="8"/>
      </left>
      <right style="thin">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6">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2" fillId="13" borderId="41" xfId="0" applyFont="1" applyFill="1" applyBorder="1" applyAlignment="1" applyProtection="1">
      <alignment horizontal="center" vertical="center"/>
      <protection locked="0"/>
    </xf>
    <xf numFmtId="0" fontId="2" fillId="13" borderId="57" xfId="0" applyFont="1" applyFill="1" applyBorder="1" applyAlignment="1" applyProtection="1">
      <alignment horizontal="center" vertical="center"/>
      <protection locked="0"/>
    </xf>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4" fillId="10" borderId="0" xfId="0" applyFont="1" applyFill="1"/>
    <xf numFmtId="0" fontId="0" fillId="14" borderId="36" xfId="0" applyFill="1" applyBorder="1"/>
    <xf numFmtId="0" fontId="0" fillId="12" borderId="37" xfId="0" applyFill="1" applyBorder="1" applyAlignment="1">
      <alignment horizontal="center" vertical="center"/>
    </xf>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2" borderId="58" xfId="0" applyFill="1" applyBorder="1" applyAlignment="1">
      <alignment horizontal="center" vertical="center"/>
    </xf>
    <xf numFmtId="0" fontId="4" fillId="13" borderId="65"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2" borderId="63" xfId="0" applyFont="1" applyFill="1" applyBorder="1" applyAlignment="1">
      <alignment horizontal="center" vertical="center"/>
    </xf>
    <xf numFmtId="0" fontId="4" fillId="12" borderId="69" xfId="0" applyFont="1" applyFill="1" applyBorder="1" applyAlignment="1">
      <alignment horizontal="center" vertical="center"/>
    </xf>
    <xf numFmtId="0" fontId="4" fillId="12" borderId="62" xfId="0" applyFont="1" applyFill="1" applyBorder="1" applyAlignment="1">
      <alignment horizontal="center" vertical="center"/>
    </xf>
    <xf numFmtId="0" fontId="4" fillId="14" borderId="63" xfId="0" applyFont="1" applyFill="1" applyBorder="1" applyAlignment="1">
      <alignment horizontal="center" vertical="center"/>
    </xf>
    <xf numFmtId="0" fontId="4" fillId="14" borderId="72" xfId="0" applyFont="1" applyFill="1" applyBorder="1" applyAlignment="1">
      <alignment horizontal="center" vertical="center"/>
    </xf>
    <xf numFmtId="0" fontId="4" fillId="12" borderId="59" xfId="0" applyFont="1" applyFill="1" applyBorder="1" applyAlignment="1">
      <alignment horizontal="right"/>
    </xf>
    <xf numFmtId="0" fontId="4" fillId="13" borderId="60"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2" borderId="60" xfId="0" applyFont="1" applyFill="1" applyBorder="1" applyAlignment="1">
      <alignment horizontal="right"/>
    </xf>
    <xf numFmtId="0" fontId="0" fillId="12" borderId="74" xfId="0" applyFill="1" applyBorder="1"/>
    <xf numFmtId="0" fontId="0" fillId="12" borderId="75" xfId="0" applyFill="1" applyBorder="1"/>
    <xf numFmtId="0" fontId="0" fillId="12" borderId="73" xfId="0" applyFill="1" applyBorder="1" applyAlignment="1">
      <alignment horizontal="center" vertical="center"/>
    </xf>
    <xf numFmtId="0" fontId="4" fillId="12" borderId="67" xfId="0" applyFont="1" applyFill="1" applyBorder="1" applyAlignment="1">
      <alignment horizontal="right"/>
    </xf>
    <xf numFmtId="0" fontId="4" fillId="12" borderId="68" xfId="0" applyFont="1" applyFill="1" applyBorder="1" applyAlignment="1">
      <alignment horizontal="right"/>
    </xf>
    <xf numFmtId="0" fontId="4" fillId="13" borderId="68"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4" fillId="12" borderId="66" xfId="0" applyFont="1" applyFill="1" applyBorder="1" applyAlignment="1">
      <alignment horizontal="right"/>
    </xf>
    <xf numFmtId="0" fontId="4" fillId="12" borderId="65" xfId="0" applyFont="1" applyFill="1" applyBorder="1" applyAlignment="1">
      <alignment horizontal="right"/>
    </xf>
    <xf numFmtId="0" fontId="4" fillId="14" borderId="70" xfId="0" applyFont="1" applyFill="1" applyBorder="1" applyAlignment="1">
      <alignment horizontal="right"/>
    </xf>
    <xf numFmtId="0" fontId="4" fillId="14" borderId="71" xfId="0" applyFont="1" applyFill="1" applyBorder="1" applyAlignment="1">
      <alignment horizontal="right"/>
    </xf>
    <xf numFmtId="0" fontId="4" fillId="13" borderId="71" xfId="0" applyFont="1" applyFill="1" applyBorder="1" applyAlignment="1" applyProtection="1">
      <alignment horizontal="center" vertical="center"/>
      <protection locked="0"/>
    </xf>
    <xf numFmtId="0" fontId="4" fillId="13" borderId="78" xfId="0" applyFont="1" applyFill="1" applyBorder="1" applyAlignment="1" applyProtection="1">
      <alignment horizontal="center" vertical="center"/>
      <protection locked="0"/>
    </xf>
    <xf numFmtId="0" fontId="0" fillId="14" borderId="79" xfId="0" applyFill="1" applyBorder="1"/>
    <xf numFmtId="0" fontId="0" fillId="14" borderId="80" xfId="0" applyFill="1" applyBorder="1"/>
    <xf numFmtId="0" fontId="0" fillId="14" borderId="82" xfId="0" applyFill="1" applyBorder="1" applyAlignment="1">
      <alignment horizontal="center" vertical="center"/>
    </xf>
    <xf numFmtId="0" fontId="4" fillId="14" borderId="66" xfId="0" applyFont="1" applyFill="1" applyBorder="1" applyAlignment="1">
      <alignment horizontal="right"/>
    </xf>
    <xf numFmtId="0" fontId="4" fillId="14" borderId="65" xfId="0" applyFont="1" applyFill="1" applyBorder="1" applyAlignment="1">
      <alignment horizontal="right"/>
    </xf>
    <xf numFmtId="0" fontId="0" fillId="12" borderId="83" xfId="0" applyFill="1" applyBorder="1"/>
    <xf numFmtId="0" fontId="0" fillId="12" borderId="84" xfId="0" applyFill="1" applyBorder="1"/>
    <xf numFmtId="0" fontId="0" fillId="12" borderId="86" xfId="0" applyFill="1" applyBorder="1" applyAlignment="1">
      <alignment horizontal="center" vertical="center"/>
    </xf>
    <xf numFmtId="0" fontId="2" fillId="13" borderId="75" xfId="0" applyFont="1" applyFill="1" applyBorder="1" applyAlignment="1" applyProtection="1">
      <alignment horizontal="center" vertical="center"/>
      <protection locked="0"/>
    </xf>
    <xf numFmtId="0" fontId="2" fillId="13" borderId="76" xfId="0" applyFont="1" applyFill="1" applyBorder="1" applyAlignment="1" applyProtection="1">
      <alignment horizontal="center" vertical="center"/>
      <protection locked="0"/>
    </xf>
    <xf numFmtId="0" fontId="2" fillId="13" borderId="80" xfId="0" applyFont="1" applyFill="1" applyBorder="1" applyAlignment="1" applyProtection="1">
      <alignment horizontal="center" vertical="center"/>
      <protection locked="0"/>
    </xf>
    <xf numFmtId="0" fontId="2" fillId="13" borderId="81" xfId="0" applyFont="1" applyFill="1" applyBorder="1" applyAlignment="1" applyProtection="1">
      <alignment horizontal="center" vertical="center"/>
      <protection locked="0"/>
    </xf>
    <xf numFmtId="0" fontId="2" fillId="13" borderId="84" xfId="0" applyFont="1" applyFill="1" applyBorder="1" applyAlignment="1" applyProtection="1">
      <alignment horizontal="center" vertical="center"/>
      <protection locked="0"/>
    </xf>
    <xf numFmtId="0" fontId="2" fillId="13" borderId="85" xfId="0" applyFont="1" applyFill="1" applyBorder="1" applyAlignment="1" applyProtection="1">
      <alignment horizontal="center" vertical="center"/>
      <protection locked="0"/>
    </xf>
    <xf numFmtId="0" fontId="2" fillId="12" borderId="75" xfId="0" applyFont="1" applyFill="1" applyBorder="1" applyAlignment="1" applyProtection="1">
      <alignment horizontal="center" vertical="center"/>
      <protection locked="0"/>
    </xf>
    <xf numFmtId="0" fontId="2" fillId="12" borderId="76" xfId="0" applyFont="1" applyFill="1" applyBorder="1" applyAlignment="1" applyProtection="1">
      <alignment horizontal="center" vertical="center"/>
      <protection locked="0"/>
    </xf>
    <xf numFmtId="0" fontId="2" fillId="14" borderId="80" xfId="0" applyFont="1" applyFill="1" applyBorder="1" applyAlignment="1" applyProtection="1">
      <alignment horizontal="center" vertical="center"/>
      <protection locked="0"/>
    </xf>
    <xf numFmtId="0" fontId="2" fillId="14" borderId="81" xfId="0" applyFont="1" applyFill="1" applyBorder="1" applyAlignment="1" applyProtection="1">
      <alignment horizontal="center" vertical="center"/>
      <protection locked="0"/>
    </xf>
    <xf numFmtId="0" fontId="2" fillId="12" borderId="84" xfId="0" applyFont="1" applyFill="1" applyBorder="1" applyAlignment="1" applyProtection="1">
      <alignment horizontal="center" vertical="center"/>
      <protection locked="0"/>
    </xf>
    <xf numFmtId="0" fontId="2" fillId="12" borderId="85" xfId="0" applyFont="1" applyFill="1" applyBorder="1" applyAlignment="1" applyProtection="1">
      <alignment horizontal="center" vertical="center"/>
      <protection locked="0"/>
    </xf>
    <xf numFmtId="0" fontId="2" fillId="12" borderId="41" xfId="0" applyFont="1" applyFill="1" applyBorder="1" applyAlignment="1" applyProtection="1">
      <alignment horizontal="center" vertical="center"/>
      <protection locked="0"/>
    </xf>
    <xf numFmtId="0" fontId="2" fillId="12" borderId="57" xfId="0" applyFont="1" applyFill="1" applyBorder="1" applyAlignment="1" applyProtection="1">
      <alignment horizontal="center" vertical="center"/>
      <protection locked="0"/>
    </xf>
    <xf numFmtId="0" fontId="4" fillId="15" borderId="78" xfId="0" applyFont="1" applyFill="1" applyBorder="1" applyAlignment="1" applyProtection="1">
      <alignment horizontal="center" vertical="center"/>
      <protection locked="0"/>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4" fillId="15" borderId="68" xfId="0" applyFont="1" applyFill="1" applyBorder="1" applyAlignment="1" applyProtection="1">
      <alignment horizontal="center" vertical="center"/>
      <protection locked="0"/>
    </xf>
    <xf numFmtId="0" fontId="4" fillId="16" borderId="68" xfId="0" applyFont="1" applyFill="1" applyBorder="1" applyAlignment="1" applyProtection="1">
      <alignment horizontal="center" vertical="center"/>
      <protection locked="0"/>
    </xf>
    <xf numFmtId="0" fontId="4" fillId="16" borderId="65" xfId="0" applyFont="1" applyFill="1" applyBorder="1" applyAlignment="1" applyProtection="1">
      <alignment horizontal="center" vertical="center"/>
      <protection locked="0"/>
    </xf>
    <xf numFmtId="0" fontId="4" fillId="15" borderId="65" xfId="0" applyFont="1" applyFill="1" applyBorder="1" applyAlignment="1" applyProtection="1">
      <alignment horizontal="center" vertical="center"/>
      <protection locked="0"/>
    </xf>
    <xf numFmtId="0" fontId="4" fillId="15" borderId="71" xfId="0" applyFont="1" applyFill="1" applyBorder="1" applyAlignment="1" applyProtection="1">
      <alignment horizontal="center" vertical="center"/>
      <protection locked="0"/>
    </xf>
    <xf numFmtId="0" fontId="4" fillId="12" borderId="68" xfId="0" applyFont="1" applyFill="1" applyBorder="1" applyAlignment="1">
      <alignment horizontal="center" vertical="center"/>
    </xf>
    <xf numFmtId="0" fontId="4" fillId="12" borderId="65"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65" xfId="0" applyFont="1" applyFill="1" applyBorder="1" applyAlignment="1">
      <alignment horizontal="center" vertical="center"/>
    </xf>
    <xf numFmtId="0" fontId="4" fillId="12" borderId="60" xfId="0" applyFont="1" applyFill="1" applyBorder="1" applyAlignment="1">
      <alignment horizontal="center" vertical="center"/>
    </xf>
    <xf numFmtId="0" fontId="4" fillId="12" borderId="77" xfId="0" applyFont="1" applyFill="1" applyBorder="1" applyAlignment="1">
      <alignment horizontal="center" vertical="center"/>
    </xf>
    <xf numFmtId="0" fontId="4" fillId="12" borderId="64" xfId="0" applyFont="1" applyFill="1" applyBorder="1" applyAlignment="1">
      <alignment horizontal="center" vertical="center"/>
    </xf>
    <xf numFmtId="0" fontId="4" fillId="14" borderId="78" xfId="0" applyFont="1" applyFill="1" applyBorder="1" applyAlignment="1">
      <alignment horizontal="center" vertical="center"/>
    </xf>
    <xf numFmtId="0" fontId="4" fillId="14" borderId="64" xfId="0" applyFont="1" applyFill="1" applyBorder="1" applyAlignment="1">
      <alignment horizontal="center" vertical="center"/>
    </xf>
    <xf numFmtId="0" fontId="4" fillId="12" borderId="61" xfId="0" applyFont="1" applyFill="1" applyBorder="1" applyAlignment="1">
      <alignment horizontal="center" vertical="center"/>
    </xf>
    <xf numFmtId="0" fontId="4" fillId="16" borderId="71" xfId="0" applyFont="1" applyFill="1" applyBorder="1" applyAlignment="1" applyProtection="1">
      <alignment horizontal="center" vertical="center"/>
      <protection locked="0"/>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88" xfId="0" applyFont="1" applyFill="1" applyBorder="1" applyAlignment="1" applyProtection="1">
      <alignment horizontal="center" vertical="center"/>
      <protection locked="0"/>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4" borderId="21" xfId="0" applyFill="1" applyBorder="1" applyAlignment="1">
      <alignment horizontal="left"/>
    </xf>
    <xf numFmtId="0" fontId="0" fillId="4" borderId="22" xfId="0" applyFill="1" applyBorder="1" applyAlignment="1">
      <alignment horizontal="left"/>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87" xfId="0" applyFont="1" applyFill="1" applyBorder="1" applyAlignment="1">
      <alignment horizontal="left"/>
    </xf>
    <xf numFmtId="0" fontId="4" fillId="4" borderId="8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4" name="Cross_D13">
          <a:extLst>
            <a:ext uri="{FF2B5EF4-FFF2-40B4-BE49-F238E27FC236}">
              <a16:creationId xmlns:a16="http://schemas.microsoft.com/office/drawing/2014/main" id="{99CC5A4E-06E1-F313-CB7F-C0C8FE618FA8}"/>
            </a:ext>
          </a:extLst>
        </xdr:cNvPr>
        <xdr:cNvGrpSpPr/>
      </xdr:nvGrpSpPr>
      <xdr:grpSpPr>
        <a:xfrm>
          <a:off x="2232660" y="2499360"/>
          <a:ext cx="594360" cy="228600"/>
          <a:chOff x="2232660" y="2499360"/>
          <a:chExt cx="594360" cy="228600"/>
        </a:xfrm>
      </xdr:grpSpPr>
      <xdr:cxnSp macro="">
        <xdr:nvCxnSpPr>
          <xdr:cNvPr id="2" name="Gerader Verbinder 1">
            <a:extLst>
              <a:ext uri="{FF2B5EF4-FFF2-40B4-BE49-F238E27FC236}">
                <a16:creationId xmlns:a16="http://schemas.microsoft.com/office/drawing/2014/main" id="{7E437D1D-FFF8-05DE-E147-BF0DC0E4BBB3}"/>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C5EE4767-D1C6-E181-8638-41422649C316}"/>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7" name="Cross_D14">
          <a:extLst>
            <a:ext uri="{FF2B5EF4-FFF2-40B4-BE49-F238E27FC236}">
              <a16:creationId xmlns:a16="http://schemas.microsoft.com/office/drawing/2014/main" id="{13624622-4DB0-141B-C68C-AA70070A2331}"/>
            </a:ext>
          </a:extLst>
        </xdr:cNvPr>
        <xdr:cNvGrpSpPr/>
      </xdr:nvGrpSpPr>
      <xdr:grpSpPr>
        <a:xfrm>
          <a:off x="2232660" y="2727960"/>
          <a:ext cx="594360" cy="167640"/>
          <a:chOff x="2232660" y="2727960"/>
          <a:chExt cx="594360" cy="167640"/>
        </a:xfrm>
      </xdr:grpSpPr>
      <xdr:cxnSp macro="">
        <xdr:nvCxnSpPr>
          <xdr:cNvPr id="5" name="Gerader Verbinder 4">
            <a:extLst>
              <a:ext uri="{FF2B5EF4-FFF2-40B4-BE49-F238E27FC236}">
                <a16:creationId xmlns:a16="http://schemas.microsoft.com/office/drawing/2014/main" id="{B60E8EBF-8B7D-05AB-3263-01B3BD41226B}"/>
              </a:ext>
            </a:extLst>
          </xdr:cNvPr>
          <xdr:cNvCxnSpPr/>
        </xdr:nvCxnSpPr>
        <xdr:spPr>
          <a:xfrm>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 name="Gerader Verbinder 5">
            <a:extLst>
              <a:ext uri="{FF2B5EF4-FFF2-40B4-BE49-F238E27FC236}">
                <a16:creationId xmlns:a16="http://schemas.microsoft.com/office/drawing/2014/main" id="{E0CD50F4-90DC-0122-D708-B1FD12877B94}"/>
              </a:ext>
            </a:extLst>
          </xdr:cNvPr>
          <xdr:cNvCxnSpPr/>
        </xdr:nvCxnSpPr>
        <xdr:spPr>
          <a:xfrm flipH="1">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0" name="Cross_D15">
          <a:extLst>
            <a:ext uri="{FF2B5EF4-FFF2-40B4-BE49-F238E27FC236}">
              <a16:creationId xmlns:a16="http://schemas.microsoft.com/office/drawing/2014/main" id="{F6FF28F6-B9FC-21B2-EFC5-C313E91B3C7F}"/>
            </a:ext>
          </a:extLst>
        </xdr:cNvPr>
        <xdr:cNvGrpSpPr/>
      </xdr:nvGrpSpPr>
      <xdr:grpSpPr>
        <a:xfrm>
          <a:off x="2232660" y="2895600"/>
          <a:ext cx="594360" cy="167640"/>
          <a:chOff x="2232660" y="2895600"/>
          <a:chExt cx="594360" cy="167640"/>
        </a:xfrm>
      </xdr:grpSpPr>
      <xdr:cxnSp macro="">
        <xdr:nvCxnSpPr>
          <xdr:cNvPr id="8" name="Gerader Verbinder 7">
            <a:extLst>
              <a:ext uri="{FF2B5EF4-FFF2-40B4-BE49-F238E27FC236}">
                <a16:creationId xmlns:a16="http://schemas.microsoft.com/office/drawing/2014/main" id="{4A050306-5DE6-4F56-D9E2-AA92EB41A75B}"/>
              </a:ext>
            </a:extLst>
          </xdr:cNvPr>
          <xdr:cNvCxnSpPr/>
        </xdr:nvCxnSpPr>
        <xdr:spPr>
          <a:xfrm>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Gerader Verbinder 8">
            <a:extLst>
              <a:ext uri="{FF2B5EF4-FFF2-40B4-BE49-F238E27FC236}">
                <a16:creationId xmlns:a16="http://schemas.microsoft.com/office/drawing/2014/main" id="{24E928D4-AEB2-C06C-1975-3EF31D22B6C5}"/>
              </a:ext>
            </a:extLst>
          </xdr:cNvPr>
          <xdr:cNvCxnSpPr/>
        </xdr:nvCxnSpPr>
        <xdr:spPr>
          <a:xfrm flipH="1">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3" name="Cross_D22">
          <a:extLst>
            <a:ext uri="{FF2B5EF4-FFF2-40B4-BE49-F238E27FC236}">
              <a16:creationId xmlns:a16="http://schemas.microsoft.com/office/drawing/2014/main" id="{5A3EE6A2-918F-C489-A7E2-0AC128BECB65}"/>
            </a:ext>
          </a:extLst>
        </xdr:cNvPr>
        <xdr:cNvGrpSpPr/>
      </xdr:nvGrpSpPr>
      <xdr:grpSpPr>
        <a:xfrm>
          <a:off x="2232660" y="4191000"/>
          <a:ext cx="594360" cy="228600"/>
          <a:chOff x="2232660" y="4191000"/>
          <a:chExt cx="594360" cy="228600"/>
        </a:xfrm>
      </xdr:grpSpPr>
      <xdr:cxnSp macro="">
        <xdr:nvCxnSpPr>
          <xdr:cNvPr id="11" name="Gerader Verbinder 10">
            <a:extLst>
              <a:ext uri="{FF2B5EF4-FFF2-40B4-BE49-F238E27FC236}">
                <a16:creationId xmlns:a16="http://schemas.microsoft.com/office/drawing/2014/main" id="{318C298D-A3E9-F177-8D23-7239F7CF0399}"/>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26240D9A-D643-274C-6310-374242759F72}"/>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6" name="Cross_D23">
          <a:extLst>
            <a:ext uri="{FF2B5EF4-FFF2-40B4-BE49-F238E27FC236}">
              <a16:creationId xmlns:a16="http://schemas.microsoft.com/office/drawing/2014/main" id="{FB3C1339-4D66-4B68-0D38-71B78E321891}"/>
            </a:ext>
          </a:extLst>
        </xdr:cNvPr>
        <xdr:cNvGrpSpPr/>
      </xdr:nvGrpSpPr>
      <xdr:grpSpPr>
        <a:xfrm>
          <a:off x="2232660" y="4419600"/>
          <a:ext cx="594360" cy="167640"/>
          <a:chOff x="2232660" y="4419600"/>
          <a:chExt cx="594360" cy="167640"/>
        </a:xfrm>
      </xdr:grpSpPr>
      <xdr:cxnSp macro="">
        <xdr:nvCxnSpPr>
          <xdr:cNvPr id="14" name="Gerader Verbinder 13">
            <a:extLst>
              <a:ext uri="{FF2B5EF4-FFF2-40B4-BE49-F238E27FC236}">
                <a16:creationId xmlns:a16="http://schemas.microsoft.com/office/drawing/2014/main" id="{1DD3E826-0E70-94D5-8B37-8A7BB7E73D70}"/>
              </a:ext>
            </a:extLst>
          </xdr:cNvPr>
          <xdr:cNvCxnSpPr/>
        </xdr:nvCxnSpPr>
        <xdr:spPr>
          <a:xfrm>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Gerader Verbinder 14">
            <a:extLst>
              <a:ext uri="{FF2B5EF4-FFF2-40B4-BE49-F238E27FC236}">
                <a16:creationId xmlns:a16="http://schemas.microsoft.com/office/drawing/2014/main" id="{336471D0-E0FA-1ADB-4D8B-0F302E2D86C2}"/>
              </a:ext>
            </a:extLst>
          </xdr:cNvPr>
          <xdr:cNvCxnSpPr/>
        </xdr:nvCxnSpPr>
        <xdr:spPr>
          <a:xfrm flipH="1">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9" name="Cross_D24">
          <a:extLst>
            <a:ext uri="{FF2B5EF4-FFF2-40B4-BE49-F238E27FC236}">
              <a16:creationId xmlns:a16="http://schemas.microsoft.com/office/drawing/2014/main" id="{41ACF935-A98C-575F-030E-F7922BE129F8}"/>
            </a:ext>
          </a:extLst>
        </xdr:cNvPr>
        <xdr:cNvGrpSpPr/>
      </xdr:nvGrpSpPr>
      <xdr:grpSpPr>
        <a:xfrm>
          <a:off x="2232660" y="4587240"/>
          <a:ext cx="594360" cy="167640"/>
          <a:chOff x="2232660" y="4587240"/>
          <a:chExt cx="594360" cy="167640"/>
        </a:xfrm>
      </xdr:grpSpPr>
      <xdr:cxnSp macro="">
        <xdr:nvCxnSpPr>
          <xdr:cNvPr id="17" name="Gerader Verbinder 16">
            <a:extLst>
              <a:ext uri="{FF2B5EF4-FFF2-40B4-BE49-F238E27FC236}">
                <a16:creationId xmlns:a16="http://schemas.microsoft.com/office/drawing/2014/main" id="{2540D0EC-FFED-6884-9CF4-FAB3EC230C7E}"/>
              </a:ext>
            </a:extLst>
          </xdr:cNvPr>
          <xdr:cNvCxnSpPr/>
        </xdr:nvCxnSpPr>
        <xdr:spPr>
          <a:xfrm>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 name="Gerader Verbinder 17">
            <a:extLst>
              <a:ext uri="{FF2B5EF4-FFF2-40B4-BE49-F238E27FC236}">
                <a16:creationId xmlns:a16="http://schemas.microsoft.com/office/drawing/2014/main" id="{D2784B8C-F131-5C11-4F98-8985D1AC98C5}"/>
              </a:ext>
            </a:extLst>
          </xdr:cNvPr>
          <xdr:cNvCxnSpPr/>
        </xdr:nvCxnSpPr>
        <xdr:spPr>
          <a:xfrm flipH="1">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22" name="Cross_D25">
          <a:extLst>
            <a:ext uri="{FF2B5EF4-FFF2-40B4-BE49-F238E27FC236}">
              <a16:creationId xmlns:a16="http://schemas.microsoft.com/office/drawing/2014/main" id="{594F634A-F9E6-DC4C-8647-4E21F7917346}"/>
            </a:ext>
          </a:extLst>
        </xdr:cNvPr>
        <xdr:cNvGrpSpPr/>
      </xdr:nvGrpSpPr>
      <xdr:grpSpPr>
        <a:xfrm>
          <a:off x="2232660" y="4754880"/>
          <a:ext cx="594360" cy="228600"/>
          <a:chOff x="2232660" y="4754880"/>
          <a:chExt cx="594360" cy="228600"/>
        </a:xfrm>
      </xdr:grpSpPr>
      <xdr:cxnSp macro="">
        <xdr:nvCxnSpPr>
          <xdr:cNvPr id="20" name="Gerader Verbinder 19">
            <a:extLst>
              <a:ext uri="{FF2B5EF4-FFF2-40B4-BE49-F238E27FC236}">
                <a16:creationId xmlns:a16="http://schemas.microsoft.com/office/drawing/2014/main" id="{8FAE8322-A5B2-199C-4EB0-4736E645864E}"/>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0C258DB8-8FF4-BA09-F1EA-F10B4C23C164}"/>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5" name="Cross_D26">
          <a:extLst>
            <a:ext uri="{FF2B5EF4-FFF2-40B4-BE49-F238E27FC236}">
              <a16:creationId xmlns:a16="http://schemas.microsoft.com/office/drawing/2014/main" id="{8BCBBF1F-5DC5-7E5B-D413-DEB1A2B0A1C4}"/>
            </a:ext>
          </a:extLst>
        </xdr:cNvPr>
        <xdr:cNvGrpSpPr/>
      </xdr:nvGrpSpPr>
      <xdr:grpSpPr>
        <a:xfrm>
          <a:off x="2232660" y="4983480"/>
          <a:ext cx="594360" cy="167640"/>
          <a:chOff x="2232660" y="4983480"/>
          <a:chExt cx="594360" cy="167640"/>
        </a:xfrm>
      </xdr:grpSpPr>
      <xdr:cxnSp macro="">
        <xdr:nvCxnSpPr>
          <xdr:cNvPr id="23" name="Gerader Verbinder 22">
            <a:extLst>
              <a:ext uri="{FF2B5EF4-FFF2-40B4-BE49-F238E27FC236}">
                <a16:creationId xmlns:a16="http://schemas.microsoft.com/office/drawing/2014/main" id="{8CE79F0A-6EE4-A8A5-B5D6-51939C118815}"/>
              </a:ext>
            </a:extLst>
          </xdr:cNvPr>
          <xdr:cNvCxnSpPr/>
        </xdr:nvCxnSpPr>
        <xdr:spPr>
          <a:xfrm>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 name="Gerader Verbinder 23">
            <a:extLst>
              <a:ext uri="{FF2B5EF4-FFF2-40B4-BE49-F238E27FC236}">
                <a16:creationId xmlns:a16="http://schemas.microsoft.com/office/drawing/2014/main" id="{59976B9F-B70B-2BC6-92B0-01854E1C728E}"/>
              </a:ext>
            </a:extLst>
          </xdr:cNvPr>
          <xdr:cNvCxnSpPr/>
        </xdr:nvCxnSpPr>
        <xdr:spPr>
          <a:xfrm flipH="1">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8" name="Cross_D27">
          <a:extLst>
            <a:ext uri="{FF2B5EF4-FFF2-40B4-BE49-F238E27FC236}">
              <a16:creationId xmlns:a16="http://schemas.microsoft.com/office/drawing/2014/main" id="{3A5B1333-6500-F972-82B8-97F18E21D3C5}"/>
            </a:ext>
          </a:extLst>
        </xdr:cNvPr>
        <xdr:cNvGrpSpPr/>
      </xdr:nvGrpSpPr>
      <xdr:grpSpPr>
        <a:xfrm>
          <a:off x="2232660" y="5151120"/>
          <a:ext cx="594360" cy="167640"/>
          <a:chOff x="2232660" y="5151120"/>
          <a:chExt cx="594360" cy="167640"/>
        </a:xfrm>
      </xdr:grpSpPr>
      <xdr:cxnSp macro="">
        <xdr:nvCxnSpPr>
          <xdr:cNvPr id="26" name="Gerader Verbinder 25">
            <a:extLst>
              <a:ext uri="{FF2B5EF4-FFF2-40B4-BE49-F238E27FC236}">
                <a16:creationId xmlns:a16="http://schemas.microsoft.com/office/drawing/2014/main" id="{F503BD76-9F11-8580-566F-4B791FC2BEA0}"/>
              </a:ext>
            </a:extLst>
          </xdr:cNvPr>
          <xdr:cNvCxnSpPr/>
        </xdr:nvCxnSpPr>
        <xdr:spPr>
          <a:xfrm>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 name="Gerader Verbinder 26">
            <a:extLst>
              <a:ext uri="{FF2B5EF4-FFF2-40B4-BE49-F238E27FC236}">
                <a16:creationId xmlns:a16="http://schemas.microsoft.com/office/drawing/2014/main" id="{197E3A5D-D2A9-2496-58B5-DA78F94DEFD6}"/>
              </a:ext>
            </a:extLst>
          </xdr:cNvPr>
          <xdr:cNvCxnSpPr/>
        </xdr:nvCxnSpPr>
        <xdr:spPr>
          <a:xfrm flipH="1">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31" name="Cross_D28">
          <a:extLst>
            <a:ext uri="{FF2B5EF4-FFF2-40B4-BE49-F238E27FC236}">
              <a16:creationId xmlns:a16="http://schemas.microsoft.com/office/drawing/2014/main" id="{587C449D-21EF-1B14-4A13-0CE4EDEEEA8A}"/>
            </a:ext>
          </a:extLst>
        </xdr:cNvPr>
        <xdr:cNvGrpSpPr/>
      </xdr:nvGrpSpPr>
      <xdr:grpSpPr>
        <a:xfrm>
          <a:off x="2232660" y="5318760"/>
          <a:ext cx="594360" cy="228600"/>
          <a:chOff x="2232660" y="5318760"/>
          <a:chExt cx="594360" cy="228600"/>
        </a:xfrm>
      </xdr:grpSpPr>
      <xdr:cxnSp macro="">
        <xdr:nvCxnSpPr>
          <xdr:cNvPr id="29" name="Gerader Verbinder 28">
            <a:extLst>
              <a:ext uri="{FF2B5EF4-FFF2-40B4-BE49-F238E27FC236}">
                <a16:creationId xmlns:a16="http://schemas.microsoft.com/office/drawing/2014/main" id="{5F36B454-6286-E055-F1D7-57C183FD3DBB}"/>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66B671F7-A5CF-011A-72CE-6BBB4B9E280B}"/>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34" name="Cross_D29">
          <a:extLst>
            <a:ext uri="{FF2B5EF4-FFF2-40B4-BE49-F238E27FC236}">
              <a16:creationId xmlns:a16="http://schemas.microsoft.com/office/drawing/2014/main" id="{6661EA28-8CA9-79C4-B59F-97059A86D63A}"/>
            </a:ext>
          </a:extLst>
        </xdr:cNvPr>
        <xdr:cNvGrpSpPr/>
      </xdr:nvGrpSpPr>
      <xdr:grpSpPr>
        <a:xfrm>
          <a:off x="2232660" y="5547360"/>
          <a:ext cx="594360" cy="167640"/>
          <a:chOff x="2232660" y="5547360"/>
          <a:chExt cx="594360" cy="167640"/>
        </a:xfrm>
      </xdr:grpSpPr>
      <xdr:cxnSp macro="">
        <xdr:nvCxnSpPr>
          <xdr:cNvPr id="32" name="Gerader Verbinder 31">
            <a:extLst>
              <a:ext uri="{FF2B5EF4-FFF2-40B4-BE49-F238E27FC236}">
                <a16:creationId xmlns:a16="http://schemas.microsoft.com/office/drawing/2014/main" id="{B491E1D2-86FB-0098-FE00-D1B47B854C8A}"/>
              </a:ext>
            </a:extLst>
          </xdr:cNvPr>
          <xdr:cNvCxnSpPr/>
        </xdr:nvCxnSpPr>
        <xdr:spPr>
          <a:xfrm>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Gerader Verbinder 32">
            <a:extLst>
              <a:ext uri="{FF2B5EF4-FFF2-40B4-BE49-F238E27FC236}">
                <a16:creationId xmlns:a16="http://schemas.microsoft.com/office/drawing/2014/main" id="{85F54FB0-2F52-99D1-D9A6-036098371FFA}"/>
              </a:ext>
            </a:extLst>
          </xdr:cNvPr>
          <xdr:cNvCxnSpPr/>
        </xdr:nvCxnSpPr>
        <xdr:spPr>
          <a:xfrm flipH="1">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37" name="Cross_D30">
          <a:extLst>
            <a:ext uri="{FF2B5EF4-FFF2-40B4-BE49-F238E27FC236}">
              <a16:creationId xmlns:a16="http://schemas.microsoft.com/office/drawing/2014/main" id="{A78CF2F7-8B0F-A9E4-E223-11AEE68A65EF}"/>
            </a:ext>
          </a:extLst>
        </xdr:cNvPr>
        <xdr:cNvGrpSpPr/>
      </xdr:nvGrpSpPr>
      <xdr:grpSpPr>
        <a:xfrm>
          <a:off x="2232660" y="5715000"/>
          <a:ext cx="594360" cy="167640"/>
          <a:chOff x="2232660" y="5715000"/>
          <a:chExt cx="594360" cy="167640"/>
        </a:xfrm>
      </xdr:grpSpPr>
      <xdr:cxnSp macro="">
        <xdr:nvCxnSpPr>
          <xdr:cNvPr id="35" name="Gerader Verbinder 34">
            <a:extLst>
              <a:ext uri="{FF2B5EF4-FFF2-40B4-BE49-F238E27FC236}">
                <a16:creationId xmlns:a16="http://schemas.microsoft.com/office/drawing/2014/main" id="{888798AF-7CE9-3BA7-AB8A-F530B499B452}"/>
              </a:ext>
            </a:extLst>
          </xdr:cNvPr>
          <xdr:cNvCxnSpPr/>
        </xdr:nvCxnSpPr>
        <xdr:spPr>
          <a:xfrm>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 name="Gerader Verbinder 35">
            <a:extLst>
              <a:ext uri="{FF2B5EF4-FFF2-40B4-BE49-F238E27FC236}">
                <a16:creationId xmlns:a16="http://schemas.microsoft.com/office/drawing/2014/main" id="{8FA9C953-ED6D-FFD3-741B-26FE74E3DAA6}"/>
              </a:ext>
            </a:extLst>
          </xdr:cNvPr>
          <xdr:cNvCxnSpPr/>
        </xdr:nvCxnSpPr>
        <xdr:spPr>
          <a:xfrm flipH="1">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40" name="Cross_D34">
          <a:extLst>
            <a:ext uri="{FF2B5EF4-FFF2-40B4-BE49-F238E27FC236}">
              <a16:creationId xmlns:a16="http://schemas.microsoft.com/office/drawing/2014/main" id="{7EA3CAC6-4D7B-F462-8A75-286752B2B75E}"/>
            </a:ext>
          </a:extLst>
        </xdr:cNvPr>
        <xdr:cNvGrpSpPr/>
      </xdr:nvGrpSpPr>
      <xdr:grpSpPr>
        <a:xfrm>
          <a:off x="2232660" y="6446520"/>
          <a:ext cx="594360" cy="228600"/>
          <a:chOff x="2232660" y="6446520"/>
          <a:chExt cx="594360" cy="228600"/>
        </a:xfrm>
      </xdr:grpSpPr>
      <xdr:cxnSp macro="">
        <xdr:nvCxnSpPr>
          <xdr:cNvPr id="38" name="Gerader Verbinder 37">
            <a:extLst>
              <a:ext uri="{FF2B5EF4-FFF2-40B4-BE49-F238E27FC236}">
                <a16:creationId xmlns:a16="http://schemas.microsoft.com/office/drawing/2014/main" id="{CA00D1B4-FB45-092A-9177-901F91CDD56B}"/>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78A2DA57-85DF-409C-41CC-2CA9EEE761F0}"/>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43" name="Cross_D35">
          <a:extLst>
            <a:ext uri="{FF2B5EF4-FFF2-40B4-BE49-F238E27FC236}">
              <a16:creationId xmlns:a16="http://schemas.microsoft.com/office/drawing/2014/main" id="{A43934E0-3D3F-9BC8-F74B-22275BA20775}"/>
            </a:ext>
          </a:extLst>
        </xdr:cNvPr>
        <xdr:cNvGrpSpPr/>
      </xdr:nvGrpSpPr>
      <xdr:grpSpPr>
        <a:xfrm>
          <a:off x="2232660" y="6675120"/>
          <a:ext cx="594360" cy="167640"/>
          <a:chOff x="2232660" y="6675120"/>
          <a:chExt cx="594360" cy="167640"/>
        </a:xfrm>
      </xdr:grpSpPr>
      <xdr:cxnSp macro="">
        <xdr:nvCxnSpPr>
          <xdr:cNvPr id="41" name="Gerader Verbinder 40">
            <a:extLst>
              <a:ext uri="{FF2B5EF4-FFF2-40B4-BE49-F238E27FC236}">
                <a16:creationId xmlns:a16="http://schemas.microsoft.com/office/drawing/2014/main" id="{1882C7B4-11EC-232F-F7D0-62AF71140F34}"/>
              </a:ext>
            </a:extLst>
          </xdr:cNvPr>
          <xdr:cNvCxnSpPr/>
        </xdr:nvCxnSpPr>
        <xdr:spPr>
          <a:xfrm>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 name="Gerader Verbinder 41">
            <a:extLst>
              <a:ext uri="{FF2B5EF4-FFF2-40B4-BE49-F238E27FC236}">
                <a16:creationId xmlns:a16="http://schemas.microsoft.com/office/drawing/2014/main" id="{774FB2D9-A3BE-CBAD-2D36-BC1420A2DECD}"/>
              </a:ext>
            </a:extLst>
          </xdr:cNvPr>
          <xdr:cNvCxnSpPr/>
        </xdr:nvCxnSpPr>
        <xdr:spPr>
          <a:xfrm flipH="1">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46" name="Cross_D36">
          <a:extLst>
            <a:ext uri="{FF2B5EF4-FFF2-40B4-BE49-F238E27FC236}">
              <a16:creationId xmlns:a16="http://schemas.microsoft.com/office/drawing/2014/main" id="{340C0FAB-5E0A-9A8A-F042-FF4214C8F955}"/>
            </a:ext>
          </a:extLst>
        </xdr:cNvPr>
        <xdr:cNvGrpSpPr/>
      </xdr:nvGrpSpPr>
      <xdr:grpSpPr>
        <a:xfrm>
          <a:off x="2232660" y="6842760"/>
          <a:ext cx="594360" cy="167640"/>
          <a:chOff x="2232660" y="6842760"/>
          <a:chExt cx="594360" cy="167640"/>
        </a:xfrm>
      </xdr:grpSpPr>
      <xdr:cxnSp macro="">
        <xdr:nvCxnSpPr>
          <xdr:cNvPr id="44" name="Gerader Verbinder 43">
            <a:extLst>
              <a:ext uri="{FF2B5EF4-FFF2-40B4-BE49-F238E27FC236}">
                <a16:creationId xmlns:a16="http://schemas.microsoft.com/office/drawing/2014/main" id="{62CC87D0-4303-4D04-AE71-84AAA4C614E8}"/>
              </a:ext>
            </a:extLst>
          </xdr:cNvPr>
          <xdr:cNvCxnSpPr/>
        </xdr:nvCxnSpPr>
        <xdr:spPr>
          <a:xfrm>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 name="Gerader Verbinder 44">
            <a:extLst>
              <a:ext uri="{FF2B5EF4-FFF2-40B4-BE49-F238E27FC236}">
                <a16:creationId xmlns:a16="http://schemas.microsoft.com/office/drawing/2014/main" id="{14B1F09D-392F-DA5A-8AC4-73EB7A92ADF2}"/>
              </a:ext>
            </a:extLst>
          </xdr:cNvPr>
          <xdr:cNvCxnSpPr/>
        </xdr:nvCxnSpPr>
        <xdr:spPr>
          <a:xfrm flipH="1">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49" name="Cross_D46">
          <a:extLst>
            <a:ext uri="{FF2B5EF4-FFF2-40B4-BE49-F238E27FC236}">
              <a16:creationId xmlns:a16="http://schemas.microsoft.com/office/drawing/2014/main" id="{699643EA-3706-640E-97D7-978018098DDD}"/>
            </a:ext>
          </a:extLst>
        </xdr:cNvPr>
        <xdr:cNvGrpSpPr/>
      </xdr:nvGrpSpPr>
      <xdr:grpSpPr>
        <a:xfrm>
          <a:off x="2232660" y="8702040"/>
          <a:ext cx="594360" cy="228600"/>
          <a:chOff x="2232660" y="8702040"/>
          <a:chExt cx="594360" cy="228600"/>
        </a:xfrm>
      </xdr:grpSpPr>
      <xdr:cxnSp macro="">
        <xdr:nvCxnSpPr>
          <xdr:cNvPr id="47" name="Gerader Verbinder 46">
            <a:extLst>
              <a:ext uri="{FF2B5EF4-FFF2-40B4-BE49-F238E27FC236}">
                <a16:creationId xmlns:a16="http://schemas.microsoft.com/office/drawing/2014/main" id="{19AF7410-8824-C672-7D45-3775258809A1}"/>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D02D7B8D-1C41-A026-B25B-F3EAF8DF15F1}"/>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52" name="Cross_D47">
          <a:extLst>
            <a:ext uri="{FF2B5EF4-FFF2-40B4-BE49-F238E27FC236}">
              <a16:creationId xmlns:a16="http://schemas.microsoft.com/office/drawing/2014/main" id="{06CB9437-0812-2614-B6BB-C561EAE65B31}"/>
            </a:ext>
          </a:extLst>
        </xdr:cNvPr>
        <xdr:cNvGrpSpPr/>
      </xdr:nvGrpSpPr>
      <xdr:grpSpPr>
        <a:xfrm>
          <a:off x="2232660" y="8930640"/>
          <a:ext cx="594360" cy="167640"/>
          <a:chOff x="2232660" y="8930640"/>
          <a:chExt cx="594360" cy="167640"/>
        </a:xfrm>
      </xdr:grpSpPr>
      <xdr:cxnSp macro="">
        <xdr:nvCxnSpPr>
          <xdr:cNvPr id="50" name="Gerader Verbinder 49">
            <a:extLst>
              <a:ext uri="{FF2B5EF4-FFF2-40B4-BE49-F238E27FC236}">
                <a16:creationId xmlns:a16="http://schemas.microsoft.com/office/drawing/2014/main" id="{0F011C8C-10F6-6182-3FF4-AF64CD10E331}"/>
              </a:ext>
            </a:extLst>
          </xdr:cNvPr>
          <xdr:cNvCxnSpPr/>
        </xdr:nvCxnSpPr>
        <xdr:spPr>
          <a:xfrm>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 name="Gerader Verbinder 50">
            <a:extLst>
              <a:ext uri="{FF2B5EF4-FFF2-40B4-BE49-F238E27FC236}">
                <a16:creationId xmlns:a16="http://schemas.microsoft.com/office/drawing/2014/main" id="{43D0FFEC-31C6-E3ED-7EBB-B9140A22AB91}"/>
              </a:ext>
            </a:extLst>
          </xdr:cNvPr>
          <xdr:cNvCxnSpPr/>
        </xdr:nvCxnSpPr>
        <xdr:spPr>
          <a:xfrm flipH="1">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55" name="Cross_D48">
          <a:extLst>
            <a:ext uri="{FF2B5EF4-FFF2-40B4-BE49-F238E27FC236}">
              <a16:creationId xmlns:a16="http://schemas.microsoft.com/office/drawing/2014/main" id="{9B37BEEB-5164-32FD-5BCD-E06648CE5D8C}"/>
            </a:ext>
          </a:extLst>
        </xdr:cNvPr>
        <xdr:cNvGrpSpPr/>
      </xdr:nvGrpSpPr>
      <xdr:grpSpPr>
        <a:xfrm>
          <a:off x="2232660" y="9098280"/>
          <a:ext cx="594360" cy="167640"/>
          <a:chOff x="2232660" y="9098280"/>
          <a:chExt cx="594360" cy="167640"/>
        </a:xfrm>
      </xdr:grpSpPr>
      <xdr:cxnSp macro="">
        <xdr:nvCxnSpPr>
          <xdr:cNvPr id="53" name="Gerader Verbinder 52">
            <a:extLst>
              <a:ext uri="{FF2B5EF4-FFF2-40B4-BE49-F238E27FC236}">
                <a16:creationId xmlns:a16="http://schemas.microsoft.com/office/drawing/2014/main" id="{891D6BDA-588C-5153-CBFB-E670B8F5BFFB}"/>
              </a:ext>
            </a:extLst>
          </xdr:cNvPr>
          <xdr:cNvCxnSpPr/>
        </xdr:nvCxnSpPr>
        <xdr:spPr>
          <a:xfrm>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 name="Gerader Verbinder 53">
            <a:extLst>
              <a:ext uri="{FF2B5EF4-FFF2-40B4-BE49-F238E27FC236}">
                <a16:creationId xmlns:a16="http://schemas.microsoft.com/office/drawing/2014/main" id="{3088675A-08B4-7C77-6FB4-63EFC57210AA}"/>
              </a:ext>
            </a:extLst>
          </xdr:cNvPr>
          <xdr:cNvCxnSpPr/>
        </xdr:nvCxnSpPr>
        <xdr:spPr>
          <a:xfrm flipH="1">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58" name="Cross_D49">
          <a:extLst>
            <a:ext uri="{FF2B5EF4-FFF2-40B4-BE49-F238E27FC236}">
              <a16:creationId xmlns:a16="http://schemas.microsoft.com/office/drawing/2014/main" id="{B0396E10-2C1E-654E-27B3-D2D83C5DA763}"/>
            </a:ext>
          </a:extLst>
        </xdr:cNvPr>
        <xdr:cNvGrpSpPr/>
      </xdr:nvGrpSpPr>
      <xdr:grpSpPr>
        <a:xfrm>
          <a:off x="2232660" y="9265920"/>
          <a:ext cx="594360" cy="228600"/>
          <a:chOff x="2232660" y="9265920"/>
          <a:chExt cx="594360" cy="228600"/>
        </a:xfrm>
      </xdr:grpSpPr>
      <xdr:cxnSp macro="">
        <xdr:nvCxnSpPr>
          <xdr:cNvPr id="56" name="Gerader Verbinder 55">
            <a:extLst>
              <a:ext uri="{FF2B5EF4-FFF2-40B4-BE49-F238E27FC236}">
                <a16:creationId xmlns:a16="http://schemas.microsoft.com/office/drawing/2014/main" id="{3FF2B0BF-26BC-6842-4023-28E357F6F23E}"/>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08663F95-15CA-BDCB-A271-A718BF67216F}"/>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61" name="Cross_D50">
          <a:extLst>
            <a:ext uri="{FF2B5EF4-FFF2-40B4-BE49-F238E27FC236}">
              <a16:creationId xmlns:a16="http://schemas.microsoft.com/office/drawing/2014/main" id="{A59A6B07-0223-859B-CA7B-DA3714D8B689}"/>
            </a:ext>
          </a:extLst>
        </xdr:cNvPr>
        <xdr:cNvGrpSpPr/>
      </xdr:nvGrpSpPr>
      <xdr:grpSpPr>
        <a:xfrm>
          <a:off x="2232660" y="9494520"/>
          <a:ext cx="594360" cy="167640"/>
          <a:chOff x="2232660" y="9494520"/>
          <a:chExt cx="594360" cy="167640"/>
        </a:xfrm>
      </xdr:grpSpPr>
      <xdr:cxnSp macro="">
        <xdr:nvCxnSpPr>
          <xdr:cNvPr id="59" name="Gerader Verbinder 58">
            <a:extLst>
              <a:ext uri="{FF2B5EF4-FFF2-40B4-BE49-F238E27FC236}">
                <a16:creationId xmlns:a16="http://schemas.microsoft.com/office/drawing/2014/main" id="{6A5F2FF0-84B8-FEF1-8298-78AF21E41CC7}"/>
              </a:ext>
            </a:extLst>
          </xdr:cNvPr>
          <xdr:cNvCxnSpPr/>
        </xdr:nvCxnSpPr>
        <xdr:spPr>
          <a:xfrm>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 name="Gerader Verbinder 59">
            <a:extLst>
              <a:ext uri="{FF2B5EF4-FFF2-40B4-BE49-F238E27FC236}">
                <a16:creationId xmlns:a16="http://schemas.microsoft.com/office/drawing/2014/main" id="{EBE79EB6-FB9C-6576-84E0-7604E95A2866}"/>
              </a:ext>
            </a:extLst>
          </xdr:cNvPr>
          <xdr:cNvCxnSpPr/>
        </xdr:nvCxnSpPr>
        <xdr:spPr>
          <a:xfrm flipH="1">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1024" name="Cross_D51">
          <a:extLst>
            <a:ext uri="{FF2B5EF4-FFF2-40B4-BE49-F238E27FC236}">
              <a16:creationId xmlns:a16="http://schemas.microsoft.com/office/drawing/2014/main" id="{AD101C7E-ADA6-728B-8115-934C251FE49D}"/>
            </a:ext>
          </a:extLst>
        </xdr:cNvPr>
        <xdr:cNvGrpSpPr/>
      </xdr:nvGrpSpPr>
      <xdr:grpSpPr>
        <a:xfrm>
          <a:off x="2232660" y="9662160"/>
          <a:ext cx="594360" cy="167640"/>
          <a:chOff x="2232660" y="9662160"/>
          <a:chExt cx="594360" cy="167640"/>
        </a:xfrm>
      </xdr:grpSpPr>
      <xdr:cxnSp macro="">
        <xdr:nvCxnSpPr>
          <xdr:cNvPr id="62" name="Gerader Verbinder 61">
            <a:extLst>
              <a:ext uri="{FF2B5EF4-FFF2-40B4-BE49-F238E27FC236}">
                <a16:creationId xmlns:a16="http://schemas.microsoft.com/office/drawing/2014/main" id="{17F0C806-DE9E-A41D-DF23-26A992DBE92B}"/>
              </a:ext>
            </a:extLst>
          </xdr:cNvPr>
          <xdr:cNvCxnSpPr/>
        </xdr:nvCxnSpPr>
        <xdr:spPr>
          <a:xfrm>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 name="Gerader Verbinder 62">
            <a:extLst>
              <a:ext uri="{FF2B5EF4-FFF2-40B4-BE49-F238E27FC236}">
                <a16:creationId xmlns:a16="http://schemas.microsoft.com/office/drawing/2014/main" id="{BE89C026-7727-428F-4418-F8697A923010}"/>
              </a:ext>
            </a:extLst>
          </xdr:cNvPr>
          <xdr:cNvCxnSpPr/>
        </xdr:nvCxnSpPr>
        <xdr:spPr>
          <a:xfrm flipH="1">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1027" name="Cross_D52">
          <a:extLst>
            <a:ext uri="{FF2B5EF4-FFF2-40B4-BE49-F238E27FC236}">
              <a16:creationId xmlns:a16="http://schemas.microsoft.com/office/drawing/2014/main" id="{7BFA5489-C14A-9EA7-8636-D7A62D53CDB7}"/>
            </a:ext>
          </a:extLst>
        </xdr:cNvPr>
        <xdr:cNvGrpSpPr/>
      </xdr:nvGrpSpPr>
      <xdr:grpSpPr>
        <a:xfrm>
          <a:off x="2232660" y="9829800"/>
          <a:ext cx="594360" cy="228600"/>
          <a:chOff x="2232660" y="9829800"/>
          <a:chExt cx="594360" cy="228600"/>
        </a:xfrm>
      </xdr:grpSpPr>
      <xdr:cxnSp macro="">
        <xdr:nvCxnSpPr>
          <xdr:cNvPr id="1025" name="Gerader Verbinder 1024">
            <a:extLst>
              <a:ext uri="{FF2B5EF4-FFF2-40B4-BE49-F238E27FC236}">
                <a16:creationId xmlns:a16="http://schemas.microsoft.com/office/drawing/2014/main" id="{62472779-A8A3-E037-814D-87EB85DD1644}"/>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6" name="Gerader Verbinder 1025">
            <a:extLst>
              <a:ext uri="{FF2B5EF4-FFF2-40B4-BE49-F238E27FC236}">
                <a16:creationId xmlns:a16="http://schemas.microsoft.com/office/drawing/2014/main" id="{0A6537BE-EC5C-8D64-BFD4-95FAF5D2B44E}"/>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1030" name="Cross_D53">
          <a:extLst>
            <a:ext uri="{FF2B5EF4-FFF2-40B4-BE49-F238E27FC236}">
              <a16:creationId xmlns:a16="http://schemas.microsoft.com/office/drawing/2014/main" id="{318A0D6B-7064-4CF8-4A44-44FBF6853544}"/>
            </a:ext>
          </a:extLst>
        </xdr:cNvPr>
        <xdr:cNvGrpSpPr/>
      </xdr:nvGrpSpPr>
      <xdr:grpSpPr>
        <a:xfrm>
          <a:off x="2232660" y="10058400"/>
          <a:ext cx="594360" cy="167640"/>
          <a:chOff x="2232660" y="10058400"/>
          <a:chExt cx="594360" cy="167640"/>
        </a:xfrm>
      </xdr:grpSpPr>
      <xdr:cxnSp macro="">
        <xdr:nvCxnSpPr>
          <xdr:cNvPr id="1028" name="Gerader Verbinder 1027">
            <a:extLst>
              <a:ext uri="{FF2B5EF4-FFF2-40B4-BE49-F238E27FC236}">
                <a16:creationId xmlns:a16="http://schemas.microsoft.com/office/drawing/2014/main" id="{E2CE2404-AD89-525D-237C-D514A00D3F07}"/>
              </a:ext>
            </a:extLst>
          </xdr:cNvPr>
          <xdr:cNvCxnSpPr/>
        </xdr:nvCxnSpPr>
        <xdr:spPr>
          <a:xfrm>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9" name="Gerader Verbinder 1028">
            <a:extLst>
              <a:ext uri="{FF2B5EF4-FFF2-40B4-BE49-F238E27FC236}">
                <a16:creationId xmlns:a16="http://schemas.microsoft.com/office/drawing/2014/main" id="{3A3D4785-516F-1A12-33E9-647955F180D9}"/>
              </a:ext>
            </a:extLst>
          </xdr:cNvPr>
          <xdr:cNvCxnSpPr/>
        </xdr:nvCxnSpPr>
        <xdr:spPr>
          <a:xfrm flipH="1">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1033" name="Cross_D54">
          <a:extLst>
            <a:ext uri="{FF2B5EF4-FFF2-40B4-BE49-F238E27FC236}">
              <a16:creationId xmlns:a16="http://schemas.microsoft.com/office/drawing/2014/main" id="{76B6259D-8922-2C3E-71C9-EA7B8591E9D6}"/>
            </a:ext>
          </a:extLst>
        </xdr:cNvPr>
        <xdr:cNvGrpSpPr/>
      </xdr:nvGrpSpPr>
      <xdr:grpSpPr>
        <a:xfrm>
          <a:off x="2232660" y="10226040"/>
          <a:ext cx="594360" cy="167640"/>
          <a:chOff x="2232660" y="10226040"/>
          <a:chExt cx="594360" cy="167640"/>
        </a:xfrm>
      </xdr:grpSpPr>
      <xdr:cxnSp macro="">
        <xdr:nvCxnSpPr>
          <xdr:cNvPr id="1031" name="Gerader Verbinder 1030">
            <a:extLst>
              <a:ext uri="{FF2B5EF4-FFF2-40B4-BE49-F238E27FC236}">
                <a16:creationId xmlns:a16="http://schemas.microsoft.com/office/drawing/2014/main" id="{5BD91378-E800-315E-200E-5CBAD04242A8}"/>
              </a:ext>
            </a:extLst>
          </xdr:cNvPr>
          <xdr:cNvCxnSpPr/>
        </xdr:nvCxnSpPr>
        <xdr:spPr>
          <a:xfrm>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2" name="Gerader Verbinder 1031">
            <a:extLst>
              <a:ext uri="{FF2B5EF4-FFF2-40B4-BE49-F238E27FC236}">
                <a16:creationId xmlns:a16="http://schemas.microsoft.com/office/drawing/2014/main" id="{80BB5D3B-EF49-63DF-4BB9-00F1AB5380C8}"/>
              </a:ext>
            </a:extLst>
          </xdr:cNvPr>
          <xdr:cNvCxnSpPr/>
        </xdr:nvCxnSpPr>
        <xdr:spPr>
          <a:xfrm flipH="1">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1036" name="Cross_D58">
          <a:extLst>
            <a:ext uri="{FF2B5EF4-FFF2-40B4-BE49-F238E27FC236}">
              <a16:creationId xmlns:a16="http://schemas.microsoft.com/office/drawing/2014/main" id="{FA645691-CB6D-1FAD-F265-38F83384B55D}"/>
            </a:ext>
          </a:extLst>
        </xdr:cNvPr>
        <xdr:cNvGrpSpPr/>
      </xdr:nvGrpSpPr>
      <xdr:grpSpPr>
        <a:xfrm>
          <a:off x="2232660" y="10957560"/>
          <a:ext cx="594360" cy="228600"/>
          <a:chOff x="2232660" y="10957560"/>
          <a:chExt cx="594360" cy="228600"/>
        </a:xfrm>
      </xdr:grpSpPr>
      <xdr:cxnSp macro="">
        <xdr:nvCxnSpPr>
          <xdr:cNvPr id="1034" name="Gerader Verbinder 1033">
            <a:extLst>
              <a:ext uri="{FF2B5EF4-FFF2-40B4-BE49-F238E27FC236}">
                <a16:creationId xmlns:a16="http://schemas.microsoft.com/office/drawing/2014/main" id="{1CE15666-CFB2-7505-9F45-AB1FF9C438FF}"/>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5" name="Gerader Verbinder 1034">
            <a:extLst>
              <a:ext uri="{FF2B5EF4-FFF2-40B4-BE49-F238E27FC236}">
                <a16:creationId xmlns:a16="http://schemas.microsoft.com/office/drawing/2014/main" id="{FF05F56C-74DE-8266-F44C-A8C15E9150BC}"/>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1039" name="Cross_D59">
          <a:extLst>
            <a:ext uri="{FF2B5EF4-FFF2-40B4-BE49-F238E27FC236}">
              <a16:creationId xmlns:a16="http://schemas.microsoft.com/office/drawing/2014/main" id="{27BB342D-F4CE-CCD4-AEAE-A8AFA0EDA110}"/>
            </a:ext>
          </a:extLst>
        </xdr:cNvPr>
        <xdr:cNvGrpSpPr/>
      </xdr:nvGrpSpPr>
      <xdr:grpSpPr>
        <a:xfrm>
          <a:off x="2232660" y="11186160"/>
          <a:ext cx="594360" cy="167640"/>
          <a:chOff x="2232660" y="11186160"/>
          <a:chExt cx="594360" cy="167640"/>
        </a:xfrm>
      </xdr:grpSpPr>
      <xdr:cxnSp macro="">
        <xdr:nvCxnSpPr>
          <xdr:cNvPr id="1037" name="Gerader Verbinder 1036">
            <a:extLst>
              <a:ext uri="{FF2B5EF4-FFF2-40B4-BE49-F238E27FC236}">
                <a16:creationId xmlns:a16="http://schemas.microsoft.com/office/drawing/2014/main" id="{C54B4B49-741A-86B5-051D-F72300C59D0B}"/>
              </a:ext>
            </a:extLst>
          </xdr:cNvPr>
          <xdr:cNvCxnSpPr/>
        </xdr:nvCxnSpPr>
        <xdr:spPr>
          <a:xfrm>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8" name="Gerader Verbinder 1037">
            <a:extLst>
              <a:ext uri="{FF2B5EF4-FFF2-40B4-BE49-F238E27FC236}">
                <a16:creationId xmlns:a16="http://schemas.microsoft.com/office/drawing/2014/main" id="{EEA4C36A-CDE2-B626-5076-5DC73353A146}"/>
              </a:ext>
            </a:extLst>
          </xdr:cNvPr>
          <xdr:cNvCxnSpPr/>
        </xdr:nvCxnSpPr>
        <xdr:spPr>
          <a:xfrm flipH="1">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1042" name="Cross_D60">
          <a:extLst>
            <a:ext uri="{FF2B5EF4-FFF2-40B4-BE49-F238E27FC236}">
              <a16:creationId xmlns:a16="http://schemas.microsoft.com/office/drawing/2014/main" id="{43780BFA-E577-9E3B-DA5A-18D3B7C9ED27}"/>
            </a:ext>
          </a:extLst>
        </xdr:cNvPr>
        <xdr:cNvGrpSpPr/>
      </xdr:nvGrpSpPr>
      <xdr:grpSpPr>
        <a:xfrm>
          <a:off x="2232660" y="11353800"/>
          <a:ext cx="594360" cy="167640"/>
          <a:chOff x="2232660" y="11353800"/>
          <a:chExt cx="594360" cy="167640"/>
        </a:xfrm>
      </xdr:grpSpPr>
      <xdr:cxnSp macro="">
        <xdr:nvCxnSpPr>
          <xdr:cNvPr id="1040" name="Gerader Verbinder 1039">
            <a:extLst>
              <a:ext uri="{FF2B5EF4-FFF2-40B4-BE49-F238E27FC236}">
                <a16:creationId xmlns:a16="http://schemas.microsoft.com/office/drawing/2014/main" id="{3103AF50-F85E-D213-4217-D8F9D4904B00}"/>
              </a:ext>
            </a:extLst>
          </xdr:cNvPr>
          <xdr:cNvCxnSpPr/>
        </xdr:nvCxnSpPr>
        <xdr:spPr>
          <a:xfrm>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1" name="Gerader Verbinder 1040">
            <a:extLst>
              <a:ext uri="{FF2B5EF4-FFF2-40B4-BE49-F238E27FC236}">
                <a16:creationId xmlns:a16="http://schemas.microsoft.com/office/drawing/2014/main" id="{3C251222-FF60-3219-A940-831A601E4700}"/>
              </a:ext>
            </a:extLst>
          </xdr:cNvPr>
          <xdr:cNvCxnSpPr/>
        </xdr:nvCxnSpPr>
        <xdr:spPr>
          <a:xfrm flipH="1">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1045" name="Cross_D61">
          <a:extLst>
            <a:ext uri="{FF2B5EF4-FFF2-40B4-BE49-F238E27FC236}">
              <a16:creationId xmlns:a16="http://schemas.microsoft.com/office/drawing/2014/main" id="{7D15C1A3-8092-1397-6C94-AABFAC50E4EA}"/>
            </a:ext>
          </a:extLst>
        </xdr:cNvPr>
        <xdr:cNvGrpSpPr/>
      </xdr:nvGrpSpPr>
      <xdr:grpSpPr>
        <a:xfrm>
          <a:off x="2232660" y="11521440"/>
          <a:ext cx="594360" cy="228600"/>
          <a:chOff x="2232660" y="11521440"/>
          <a:chExt cx="594360" cy="228600"/>
        </a:xfrm>
      </xdr:grpSpPr>
      <xdr:cxnSp macro="">
        <xdr:nvCxnSpPr>
          <xdr:cNvPr id="1043" name="Gerader Verbinder 1042">
            <a:extLst>
              <a:ext uri="{FF2B5EF4-FFF2-40B4-BE49-F238E27FC236}">
                <a16:creationId xmlns:a16="http://schemas.microsoft.com/office/drawing/2014/main" id="{592372E0-E4E1-2BA3-29E4-ECAB5DD0ADA8}"/>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4" name="Gerader Verbinder 1043">
            <a:extLst>
              <a:ext uri="{FF2B5EF4-FFF2-40B4-BE49-F238E27FC236}">
                <a16:creationId xmlns:a16="http://schemas.microsoft.com/office/drawing/2014/main" id="{CCCBD303-419A-2FA1-E3B4-022D05035F85}"/>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1048" name="Cross_D62">
          <a:extLst>
            <a:ext uri="{FF2B5EF4-FFF2-40B4-BE49-F238E27FC236}">
              <a16:creationId xmlns:a16="http://schemas.microsoft.com/office/drawing/2014/main" id="{8FAEAA78-EB54-71D2-F3F2-E89F9E50086D}"/>
            </a:ext>
          </a:extLst>
        </xdr:cNvPr>
        <xdr:cNvGrpSpPr/>
      </xdr:nvGrpSpPr>
      <xdr:grpSpPr>
        <a:xfrm>
          <a:off x="2232660" y="11750040"/>
          <a:ext cx="594360" cy="167640"/>
          <a:chOff x="2232660" y="11750040"/>
          <a:chExt cx="594360" cy="167640"/>
        </a:xfrm>
      </xdr:grpSpPr>
      <xdr:cxnSp macro="">
        <xdr:nvCxnSpPr>
          <xdr:cNvPr id="1046" name="Gerader Verbinder 1045">
            <a:extLst>
              <a:ext uri="{FF2B5EF4-FFF2-40B4-BE49-F238E27FC236}">
                <a16:creationId xmlns:a16="http://schemas.microsoft.com/office/drawing/2014/main" id="{D4D81DD8-B2D0-2697-95E5-C578AEE12EBB}"/>
              </a:ext>
            </a:extLst>
          </xdr:cNvPr>
          <xdr:cNvCxnSpPr/>
        </xdr:nvCxnSpPr>
        <xdr:spPr>
          <a:xfrm>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7" name="Gerader Verbinder 1046">
            <a:extLst>
              <a:ext uri="{FF2B5EF4-FFF2-40B4-BE49-F238E27FC236}">
                <a16:creationId xmlns:a16="http://schemas.microsoft.com/office/drawing/2014/main" id="{F7ED4B67-3C26-F64F-AF91-F345668AA76F}"/>
              </a:ext>
            </a:extLst>
          </xdr:cNvPr>
          <xdr:cNvCxnSpPr/>
        </xdr:nvCxnSpPr>
        <xdr:spPr>
          <a:xfrm flipH="1">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1051" name="Cross_D63">
          <a:extLst>
            <a:ext uri="{FF2B5EF4-FFF2-40B4-BE49-F238E27FC236}">
              <a16:creationId xmlns:a16="http://schemas.microsoft.com/office/drawing/2014/main" id="{0884A4F6-220C-E71D-E241-C79BCAA6009E}"/>
            </a:ext>
          </a:extLst>
        </xdr:cNvPr>
        <xdr:cNvGrpSpPr/>
      </xdr:nvGrpSpPr>
      <xdr:grpSpPr>
        <a:xfrm>
          <a:off x="2232660" y="11917680"/>
          <a:ext cx="594360" cy="167640"/>
          <a:chOff x="2232660" y="11917680"/>
          <a:chExt cx="594360" cy="167640"/>
        </a:xfrm>
      </xdr:grpSpPr>
      <xdr:cxnSp macro="">
        <xdr:nvCxnSpPr>
          <xdr:cNvPr id="1049" name="Gerader Verbinder 1048">
            <a:extLst>
              <a:ext uri="{FF2B5EF4-FFF2-40B4-BE49-F238E27FC236}">
                <a16:creationId xmlns:a16="http://schemas.microsoft.com/office/drawing/2014/main" id="{98EE4DF6-E496-B5C6-A49A-A3ADA55FF3E0}"/>
              </a:ext>
            </a:extLst>
          </xdr:cNvPr>
          <xdr:cNvCxnSpPr/>
        </xdr:nvCxnSpPr>
        <xdr:spPr>
          <a:xfrm>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0" name="Gerader Verbinder 1049">
            <a:extLst>
              <a:ext uri="{FF2B5EF4-FFF2-40B4-BE49-F238E27FC236}">
                <a16:creationId xmlns:a16="http://schemas.microsoft.com/office/drawing/2014/main" id="{3420AFFA-A612-57AA-A8E2-91AF663E65D1}"/>
              </a:ext>
            </a:extLst>
          </xdr:cNvPr>
          <xdr:cNvCxnSpPr/>
        </xdr:nvCxnSpPr>
        <xdr:spPr>
          <a:xfrm flipH="1">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1054" name="Cross_E7">
          <a:extLst>
            <a:ext uri="{FF2B5EF4-FFF2-40B4-BE49-F238E27FC236}">
              <a16:creationId xmlns:a16="http://schemas.microsoft.com/office/drawing/2014/main" id="{7A4FB356-BB95-496F-A139-C4D0A735346B}"/>
            </a:ext>
          </a:extLst>
        </xdr:cNvPr>
        <xdr:cNvGrpSpPr/>
      </xdr:nvGrpSpPr>
      <xdr:grpSpPr>
        <a:xfrm>
          <a:off x="2827020" y="1371600"/>
          <a:ext cx="594360" cy="228600"/>
          <a:chOff x="2827020" y="1371600"/>
          <a:chExt cx="594360" cy="228600"/>
        </a:xfrm>
      </xdr:grpSpPr>
      <xdr:cxnSp macro="">
        <xdr:nvCxnSpPr>
          <xdr:cNvPr id="1052" name="Gerader Verbinder 1051">
            <a:extLst>
              <a:ext uri="{FF2B5EF4-FFF2-40B4-BE49-F238E27FC236}">
                <a16:creationId xmlns:a16="http://schemas.microsoft.com/office/drawing/2014/main" id="{95A3C24F-BC83-E81B-3F04-D292C7E82CDE}"/>
              </a:ext>
            </a:extLst>
          </xdr:cNvPr>
          <xdr:cNvCxnSpPr/>
        </xdr:nvCxnSpPr>
        <xdr:spPr>
          <a:xfrm>
            <a:off x="282702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3" name="Gerader Verbinder 1052">
            <a:extLst>
              <a:ext uri="{FF2B5EF4-FFF2-40B4-BE49-F238E27FC236}">
                <a16:creationId xmlns:a16="http://schemas.microsoft.com/office/drawing/2014/main" id="{52C251F8-2641-5539-46DA-CED675904B41}"/>
              </a:ext>
            </a:extLst>
          </xdr:cNvPr>
          <xdr:cNvCxnSpPr/>
        </xdr:nvCxnSpPr>
        <xdr:spPr>
          <a:xfrm flipH="1">
            <a:off x="282702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1057" name="Cross_E8">
          <a:extLst>
            <a:ext uri="{FF2B5EF4-FFF2-40B4-BE49-F238E27FC236}">
              <a16:creationId xmlns:a16="http://schemas.microsoft.com/office/drawing/2014/main" id="{697B2973-BD19-552C-DCE5-21D3F0460FB4}"/>
            </a:ext>
          </a:extLst>
        </xdr:cNvPr>
        <xdr:cNvGrpSpPr/>
      </xdr:nvGrpSpPr>
      <xdr:grpSpPr>
        <a:xfrm>
          <a:off x="2827020" y="1600200"/>
          <a:ext cx="594360" cy="167640"/>
          <a:chOff x="2827020" y="1600200"/>
          <a:chExt cx="594360" cy="167640"/>
        </a:xfrm>
      </xdr:grpSpPr>
      <xdr:cxnSp macro="">
        <xdr:nvCxnSpPr>
          <xdr:cNvPr id="1055" name="Gerader Verbinder 1054">
            <a:extLst>
              <a:ext uri="{FF2B5EF4-FFF2-40B4-BE49-F238E27FC236}">
                <a16:creationId xmlns:a16="http://schemas.microsoft.com/office/drawing/2014/main" id="{D0691B66-0000-85F8-E9E7-A40ACBD4C834}"/>
              </a:ext>
            </a:extLst>
          </xdr:cNvPr>
          <xdr:cNvCxnSpPr/>
        </xdr:nvCxnSpPr>
        <xdr:spPr>
          <a:xfrm>
            <a:off x="282702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6" name="Gerader Verbinder 1055">
            <a:extLst>
              <a:ext uri="{FF2B5EF4-FFF2-40B4-BE49-F238E27FC236}">
                <a16:creationId xmlns:a16="http://schemas.microsoft.com/office/drawing/2014/main" id="{B6290BA2-6CA8-056D-6FE2-05C8CA9549C6}"/>
              </a:ext>
            </a:extLst>
          </xdr:cNvPr>
          <xdr:cNvCxnSpPr/>
        </xdr:nvCxnSpPr>
        <xdr:spPr>
          <a:xfrm flipH="1">
            <a:off x="282702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1060" name="Cross_E9">
          <a:extLst>
            <a:ext uri="{FF2B5EF4-FFF2-40B4-BE49-F238E27FC236}">
              <a16:creationId xmlns:a16="http://schemas.microsoft.com/office/drawing/2014/main" id="{F750B3EC-6B75-28DF-4E08-76AB60508B3D}"/>
            </a:ext>
          </a:extLst>
        </xdr:cNvPr>
        <xdr:cNvGrpSpPr/>
      </xdr:nvGrpSpPr>
      <xdr:grpSpPr>
        <a:xfrm>
          <a:off x="2827020" y="1767840"/>
          <a:ext cx="594360" cy="167640"/>
          <a:chOff x="2827020" y="1767840"/>
          <a:chExt cx="594360" cy="167640"/>
        </a:xfrm>
      </xdr:grpSpPr>
      <xdr:cxnSp macro="">
        <xdr:nvCxnSpPr>
          <xdr:cNvPr id="1058" name="Gerader Verbinder 1057">
            <a:extLst>
              <a:ext uri="{FF2B5EF4-FFF2-40B4-BE49-F238E27FC236}">
                <a16:creationId xmlns:a16="http://schemas.microsoft.com/office/drawing/2014/main" id="{3C7547E1-06DD-7C06-B986-A88A390AF36C}"/>
              </a:ext>
            </a:extLst>
          </xdr:cNvPr>
          <xdr:cNvCxnSpPr/>
        </xdr:nvCxnSpPr>
        <xdr:spPr>
          <a:xfrm>
            <a:off x="282702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9" name="Gerader Verbinder 1058">
            <a:extLst>
              <a:ext uri="{FF2B5EF4-FFF2-40B4-BE49-F238E27FC236}">
                <a16:creationId xmlns:a16="http://schemas.microsoft.com/office/drawing/2014/main" id="{D3EC78A3-017C-7947-024E-530483859678}"/>
              </a:ext>
            </a:extLst>
          </xdr:cNvPr>
          <xdr:cNvCxnSpPr/>
        </xdr:nvCxnSpPr>
        <xdr:spPr>
          <a:xfrm flipH="1">
            <a:off x="282702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1063" name="Cross_E10">
          <a:extLst>
            <a:ext uri="{FF2B5EF4-FFF2-40B4-BE49-F238E27FC236}">
              <a16:creationId xmlns:a16="http://schemas.microsoft.com/office/drawing/2014/main" id="{1610BD25-AF9C-405F-738C-CDE97074868E}"/>
            </a:ext>
          </a:extLst>
        </xdr:cNvPr>
        <xdr:cNvGrpSpPr/>
      </xdr:nvGrpSpPr>
      <xdr:grpSpPr>
        <a:xfrm>
          <a:off x="2827020" y="1935480"/>
          <a:ext cx="594360" cy="228600"/>
          <a:chOff x="2827020" y="1935480"/>
          <a:chExt cx="594360" cy="228600"/>
        </a:xfrm>
      </xdr:grpSpPr>
      <xdr:cxnSp macro="">
        <xdr:nvCxnSpPr>
          <xdr:cNvPr id="1061" name="Gerader Verbinder 1060">
            <a:extLst>
              <a:ext uri="{FF2B5EF4-FFF2-40B4-BE49-F238E27FC236}">
                <a16:creationId xmlns:a16="http://schemas.microsoft.com/office/drawing/2014/main" id="{CC4AB887-025A-DD4D-C0DE-DA3787109910}"/>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2" name="Gerader Verbinder 1061">
            <a:extLst>
              <a:ext uri="{FF2B5EF4-FFF2-40B4-BE49-F238E27FC236}">
                <a16:creationId xmlns:a16="http://schemas.microsoft.com/office/drawing/2014/main" id="{604D7D6D-9089-525C-1158-C520110EF75A}"/>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1066" name="Cross_E11">
          <a:extLst>
            <a:ext uri="{FF2B5EF4-FFF2-40B4-BE49-F238E27FC236}">
              <a16:creationId xmlns:a16="http://schemas.microsoft.com/office/drawing/2014/main" id="{8D7D18B4-A0E7-3FC3-F367-1E3F6C9B4817}"/>
            </a:ext>
          </a:extLst>
        </xdr:cNvPr>
        <xdr:cNvGrpSpPr/>
      </xdr:nvGrpSpPr>
      <xdr:grpSpPr>
        <a:xfrm>
          <a:off x="2827020" y="2164080"/>
          <a:ext cx="594360" cy="167640"/>
          <a:chOff x="2827020" y="2164080"/>
          <a:chExt cx="594360" cy="167640"/>
        </a:xfrm>
      </xdr:grpSpPr>
      <xdr:cxnSp macro="">
        <xdr:nvCxnSpPr>
          <xdr:cNvPr id="1064" name="Gerader Verbinder 1063">
            <a:extLst>
              <a:ext uri="{FF2B5EF4-FFF2-40B4-BE49-F238E27FC236}">
                <a16:creationId xmlns:a16="http://schemas.microsoft.com/office/drawing/2014/main" id="{1EC72B43-FC08-0DEF-530C-ACA69DC4B308}"/>
              </a:ext>
            </a:extLst>
          </xdr:cNvPr>
          <xdr:cNvCxnSpPr/>
        </xdr:nvCxnSpPr>
        <xdr:spPr>
          <a:xfrm>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5" name="Gerader Verbinder 1064">
            <a:extLst>
              <a:ext uri="{FF2B5EF4-FFF2-40B4-BE49-F238E27FC236}">
                <a16:creationId xmlns:a16="http://schemas.microsoft.com/office/drawing/2014/main" id="{FDD2794C-EBC8-1FE1-3393-5400A8599DB3}"/>
              </a:ext>
            </a:extLst>
          </xdr:cNvPr>
          <xdr:cNvCxnSpPr/>
        </xdr:nvCxnSpPr>
        <xdr:spPr>
          <a:xfrm flipH="1">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1069" name="Cross_E12">
          <a:extLst>
            <a:ext uri="{FF2B5EF4-FFF2-40B4-BE49-F238E27FC236}">
              <a16:creationId xmlns:a16="http://schemas.microsoft.com/office/drawing/2014/main" id="{75701028-6DC0-AD38-640C-E7DF9F132C9E}"/>
            </a:ext>
          </a:extLst>
        </xdr:cNvPr>
        <xdr:cNvGrpSpPr/>
      </xdr:nvGrpSpPr>
      <xdr:grpSpPr>
        <a:xfrm>
          <a:off x="2827020" y="2331720"/>
          <a:ext cx="594360" cy="167640"/>
          <a:chOff x="2827020" y="2331720"/>
          <a:chExt cx="594360" cy="167640"/>
        </a:xfrm>
      </xdr:grpSpPr>
      <xdr:cxnSp macro="">
        <xdr:nvCxnSpPr>
          <xdr:cNvPr id="1067" name="Gerader Verbinder 1066">
            <a:extLst>
              <a:ext uri="{FF2B5EF4-FFF2-40B4-BE49-F238E27FC236}">
                <a16:creationId xmlns:a16="http://schemas.microsoft.com/office/drawing/2014/main" id="{6948B89E-B14C-1571-117A-5A3B81587BCB}"/>
              </a:ext>
            </a:extLst>
          </xdr:cNvPr>
          <xdr:cNvCxnSpPr/>
        </xdr:nvCxnSpPr>
        <xdr:spPr>
          <a:xfrm>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8" name="Gerader Verbinder 1067">
            <a:extLst>
              <a:ext uri="{FF2B5EF4-FFF2-40B4-BE49-F238E27FC236}">
                <a16:creationId xmlns:a16="http://schemas.microsoft.com/office/drawing/2014/main" id="{4E82F843-673B-9E11-34D7-AACA8529188C}"/>
              </a:ext>
            </a:extLst>
          </xdr:cNvPr>
          <xdr:cNvCxnSpPr/>
        </xdr:nvCxnSpPr>
        <xdr:spPr>
          <a:xfrm flipH="1">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1072" name="Cross_E13">
          <a:extLst>
            <a:ext uri="{FF2B5EF4-FFF2-40B4-BE49-F238E27FC236}">
              <a16:creationId xmlns:a16="http://schemas.microsoft.com/office/drawing/2014/main" id="{03035D45-D6DF-C6F8-EAC8-7AE09591CA8B}"/>
            </a:ext>
          </a:extLst>
        </xdr:cNvPr>
        <xdr:cNvGrpSpPr/>
      </xdr:nvGrpSpPr>
      <xdr:grpSpPr>
        <a:xfrm>
          <a:off x="2827020" y="2499360"/>
          <a:ext cx="594360" cy="228600"/>
          <a:chOff x="2827020" y="2499360"/>
          <a:chExt cx="594360" cy="228600"/>
        </a:xfrm>
      </xdr:grpSpPr>
      <xdr:cxnSp macro="">
        <xdr:nvCxnSpPr>
          <xdr:cNvPr id="1070" name="Gerader Verbinder 1069">
            <a:extLst>
              <a:ext uri="{FF2B5EF4-FFF2-40B4-BE49-F238E27FC236}">
                <a16:creationId xmlns:a16="http://schemas.microsoft.com/office/drawing/2014/main" id="{EE157AAF-AFEA-6970-10F9-E259AB50C458}"/>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1" name="Gerader Verbinder 1070">
            <a:extLst>
              <a:ext uri="{FF2B5EF4-FFF2-40B4-BE49-F238E27FC236}">
                <a16:creationId xmlns:a16="http://schemas.microsoft.com/office/drawing/2014/main" id="{6214BA8B-D4C5-80E7-364E-3F1AE1C247B7}"/>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1075" name="Cross_E14">
          <a:extLst>
            <a:ext uri="{FF2B5EF4-FFF2-40B4-BE49-F238E27FC236}">
              <a16:creationId xmlns:a16="http://schemas.microsoft.com/office/drawing/2014/main" id="{5AE63C4D-BDE9-2A72-97EB-553C3D663AD0}"/>
            </a:ext>
          </a:extLst>
        </xdr:cNvPr>
        <xdr:cNvGrpSpPr/>
      </xdr:nvGrpSpPr>
      <xdr:grpSpPr>
        <a:xfrm>
          <a:off x="2827020" y="2727960"/>
          <a:ext cx="594360" cy="167640"/>
          <a:chOff x="2827020" y="2727960"/>
          <a:chExt cx="594360" cy="167640"/>
        </a:xfrm>
      </xdr:grpSpPr>
      <xdr:cxnSp macro="">
        <xdr:nvCxnSpPr>
          <xdr:cNvPr id="1073" name="Gerader Verbinder 1072">
            <a:extLst>
              <a:ext uri="{FF2B5EF4-FFF2-40B4-BE49-F238E27FC236}">
                <a16:creationId xmlns:a16="http://schemas.microsoft.com/office/drawing/2014/main" id="{BC2236B1-751A-13B0-1E24-2F034B57553A}"/>
              </a:ext>
            </a:extLst>
          </xdr:cNvPr>
          <xdr:cNvCxnSpPr/>
        </xdr:nvCxnSpPr>
        <xdr:spPr>
          <a:xfrm>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4" name="Gerader Verbinder 1073">
            <a:extLst>
              <a:ext uri="{FF2B5EF4-FFF2-40B4-BE49-F238E27FC236}">
                <a16:creationId xmlns:a16="http://schemas.microsoft.com/office/drawing/2014/main" id="{70B2ABEC-6D08-D93E-036C-D1FCAA2F5032}"/>
              </a:ext>
            </a:extLst>
          </xdr:cNvPr>
          <xdr:cNvCxnSpPr/>
        </xdr:nvCxnSpPr>
        <xdr:spPr>
          <a:xfrm flipH="1">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1078" name="Cross_E15">
          <a:extLst>
            <a:ext uri="{FF2B5EF4-FFF2-40B4-BE49-F238E27FC236}">
              <a16:creationId xmlns:a16="http://schemas.microsoft.com/office/drawing/2014/main" id="{2D5FDD99-43FD-17C0-471D-F219C60016C4}"/>
            </a:ext>
          </a:extLst>
        </xdr:cNvPr>
        <xdr:cNvGrpSpPr/>
      </xdr:nvGrpSpPr>
      <xdr:grpSpPr>
        <a:xfrm>
          <a:off x="2827020" y="2895600"/>
          <a:ext cx="594360" cy="167640"/>
          <a:chOff x="2827020" y="2895600"/>
          <a:chExt cx="594360" cy="167640"/>
        </a:xfrm>
      </xdr:grpSpPr>
      <xdr:cxnSp macro="">
        <xdr:nvCxnSpPr>
          <xdr:cNvPr id="1076" name="Gerader Verbinder 1075">
            <a:extLst>
              <a:ext uri="{FF2B5EF4-FFF2-40B4-BE49-F238E27FC236}">
                <a16:creationId xmlns:a16="http://schemas.microsoft.com/office/drawing/2014/main" id="{88108CB2-16CB-E216-8D51-B862285CC6B9}"/>
              </a:ext>
            </a:extLst>
          </xdr:cNvPr>
          <xdr:cNvCxnSpPr/>
        </xdr:nvCxnSpPr>
        <xdr:spPr>
          <a:xfrm>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7" name="Gerader Verbinder 1076">
            <a:extLst>
              <a:ext uri="{FF2B5EF4-FFF2-40B4-BE49-F238E27FC236}">
                <a16:creationId xmlns:a16="http://schemas.microsoft.com/office/drawing/2014/main" id="{BB207236-642E-0638-2AA5-30A3B673B272}"/>
              </a:ext>
            </a:extLst>
          </xdr:cNvPr>
          <xdr:cNvCxnSpPr/>
        </xdr:nvCxnSpPr>
        <xdr:spPr>
          <a:xfrm flipH="1">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1081" name="Cross_E19">
          <a:extLst>
            <a:ext uri="{FF2B5EF4-FFF2-40B4-BE49-F238E27FC236}">
              <a16:creationId xmlns:a16="http://schemas.microsoft.com/office/drawing/2014/main" id="{746FB105-A2C8-1560-0619-DB4237AC9097}"/>
            </a:ext>
          </a:extLst>
        </xdr:cNvPr>
        <xdr:cNvGrpSpPr/>
      </xdr:nvGrpSpPr>
      <xdr:grpSpPr>
        <a:xfrm>
          <a:off x="2827020" y="3627120"/>
          <a:ext cx="594360" cy="228600"/>
          <a:chOff x="2827020" y="3627120"/>
          <a:chExt cx="594360" cy="228600"/>
        </a:xfrm>
      </xdr:grpSpPr>
      <xdr:cxnSp macro="">
        <xdr:nvCxnSpPr>
          <xdr:cNvPr id="1079" name="Gerader Verbinder 1078">
            <a:extLst>
              <a:ext uri="{FF2B5EF4-FFF2-40B4-BE49-F238E27FC236}">
                <a16:creationId xmlns:a16="http://schemas.microsoft.com/office/drawing/2014/main" id="{025618F2-DC8C-5B9D-59F7-5BCE8AC666BF}"/>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0" name="Gerader Verbinder 1079">
            <a:extLst>
              <a:ext uri="{FF2B5EF4-FFF2-40B4-BE49-F238E27FC236}">
                <a16:creationId xmlns:a16="http://schemas.microsoft.com/office/drawing/2014/main" id="{BE013165-7A9F-735C-EB73-C208C42DFA11}"/>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1624" name="Cross_E20">
          <a:extLst>
            <a:ext uri="{FF2B5EF4-FFF2-40B4-BE49-F238E27FC236}">
              <a16:creationId xmlns:a16="http://schemas.microsoft.com/office/drawing/2014/main" id="{764B9694-425B-F595-1FE0-7FB6B40F9B2B}"/>
            </a:ext>
          </a:extLst>
        </xdr:cNvPr>
        <xdr:cNvGrpSpPr/>
      </xdr:nvGrpSpPr>
      <xdr:grpSpPr>
        <a:xfrm>
          <a:off x="2827020" y="3855720"/>
          <a:ext cx="594360" cy="167640"/>
          <a:chOff x="2827020" y="3855720"/>
          <a:chExt cx="594360" cy="167640"/>
        </a:xfrm>
      </xdr:grpSpPr>
      <xdr:cxnSp macro="">
        <xdr:nvCxnSpPr>
          <xdr:cNvPr id="1622" name="Gerader Verbinder 1621">
            <a:extLst>
              <a:ext uri="{FF2B5EF4-FFF2-40B4-BE49-F238E27FC236}">
                <a16:creationId xmlns:a16="http://schemas.microsoft.com/office/drawing/2014/main" id="{CB08CA5B-7A56-8883-77B1-DD87ADCD6976}"/>
              </a:ext>
            </a:extLst>
          </xdr:cNvPr>
          <xdr:cNvCxnSpPr/>
        </xdr:nvCxnSpPr>
        <xdr:spPr>
          <a:xfrm>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3" name="Gerader Verbinder 1622">
            <a:extLst>
              <a:ext uri="{FF2B5EF4-FFF2-40B4-BE49-F238E27FC236}">
                <a16:creationId xmlns:a16="http://schemas.microsoft.com/office/drawing/2014/main" id="{D05CCE14-9D77-25B2-8E2E-8E4E9CA20FD3}"/>
              </a:ext>
            </a:extLst>
          </xdr:cNvPr>
          <xdr:cNvCxnSpPr/>
        </xdr:nvCxnSpPr>
        <xdr:spPr>
          <a:xfrm flipH="1">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1627" name="Cross_E21">
          <a:extLst>
            <a:ext uri="{FF2B5EF4-FFF2-40B4-BE49-F238E27FC236}">
              <a16:creationId xmlns:a16="http://schemas.microsoft.com/office/drawing/2014/main" id="{9F962DE7-E6E6-C8E3-BD85-1535A7885712}"/>
            </a:ext>
          </a:extLst>
        </xdr:cNvPr>
        <xdr:cNvGrpSpPr/>
      </xdr:nvGrpSpPr>
      <xdr:grpSpPr>
        <a:xfrm>
          <a:off x="2827020" y="4023360"/>
          <a:ext cx="594360" cy="167640"/>
          <a:chOff x="2827020" y="4023360"/>
          <a:chExt cx="594360" cy="167640"/>
        </a:xfrm>
      </xdr:grpSpPr>
      <xdr:cxnSp macro="">
        <xdr:nvCxnSpPr>
          <xdr:cNvPr id="1625" name="Gerader Verbinder 1624">
            <a:extLst>
              <a:ext uri="{FF2B5EF4-FFF2-40B4-BE49-F238E27FC236}">
                <a16:creationId xmlns:a16="http://schemas.microsoft.com/office/drawing/2014/main" id="{920F6E7A-8FEA-9A24-5FBD-C33FAB659B48}"/>
              </a:ext>
            </a:extLst>
          </xdr:cNvPr>
          <xdr:cNvCxnSpPr/>
        </xdr:nvCxnSpPr>
        <xdr:spPr>
          <a:xfrm>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6" name="Gerader Verbinder 1625">
            <a:extLst>
              <a:ext uri="{FF2B5EF4-FFF2-40B4-BE49-F238E27FC236}">
                <a16:creationId xmlns:a16="http://schemas.microsoft.com/office/drawing/2014/main" id="{99265E4C-A7DA-A79A-1EFD-F2E0C056387F}"/>
              </a:ext>
            </a:extLst>
          </xdr:cNvPr>
          <xdr:cNvCxnSpPr/>
        </xdr:nvCxnSpPr>
        <xdr:spPr>
          <a:xfrm flipH="1">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1630" name="Cross_E28">
          <a:extLst>
            <a:ext uri="{FF2B5EF4-FFF2-40B4-BE49-F238E27FC236}">
              <a16:creationId xmlns:a16="http://schemas.microsoft.com/office/drawing/2014/main" id="{33D75E72-3CB3-CD6C-25D8-BFA22C00C06A}"/>
            </a:ext>
          </a:extLst>
        </xdr:cNvPr>
        <xdr:cNvGrpSpPr/>
      </xdr:nvGrpSpPr>
      <xdr:grpSpPr>
        <a:xfrm>
          <a:off x="2827020" y="5318760"/>
          <a:ext cx="594360" cy="228600"/>
          <a:chOff x="2827020" y="5318760"/>
          <a:chExt cx="594360" cy="228600"/>
        </a:xfrm>
      </xdr:grpSpPr>
      <xdr:cxnSp macro="">
        <xdr:nvCxnSpPr>
          <xdr:cNvPr id="1628" name="Gerader Verbinder 1627">
            <a:extLst>
              <a:ext uri="{FF2B5EF4-FFF2-40B4-BE49-F238E27FC236}">
                <a16:creationId xmlns:a16="http://schemas.microsoft.com/office/drawing/2014/main" id="{4711A439-DF66-8875-44EE-95422DC11A5D}"/>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9" name="Gerader Verbinder 1628">
            <a:extLst>
              <a:ext uri="{FF2B5EF4-FFF2-40B4-BE49-F238E27FC236}">
                <a16:creationId xmlns:a16="http://schemas.microsoft.com/office/drawing/2014/main" id="{9A356630-D907-79F6-0BAA-022788716317}"/>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1633" name="Cross_E29">
          <a:extLst>
            <a:ext uri="{FF2B5EF4-FFF2-40B4-BE49-F238E27FC236}">
              <a16:creationId xmlns:a16="http://schemas.microsoft.com/office/drawing/2014/main" id="{DFC21B8D-CE4D-14EF-0262-A28E654BB2E5}"/>
            </a:ext>
          </a:extLst>
        </xdr:cNvPr>
        <xdr:cNvGrpSpPr/>
      </xdr:nvGrpSpPr>
      <xdr:grpSpPr>
        <a:xfrm>
          <a:off x="2827020" y="5547360"/>
          <a:ext cx="594360" cy="167640"/>
          <a:chOff x="2827020" y="5547360"/>
          <a:chExt cx="594360" cy="167640"/>
        </a:xfrm>
      </xdr:grpSpPr>
      <xdr:cxnSp macro="">
        <xdr:nvCxnSpPr>
          <xdr:cNvPr id="1631" name="Gerader Verbinder 1630">
            <a:extLst>
              <a:ext uri="{FF2B5EF4-FFF2-40B4-BE49-F238E27FC236}">
                <a16:creationId xmlns:a16="http://schemas.microsoft.com/office/drawing/2014/main" id="{21724FC7-1D4F-CBDC-9087-339A932B8E4C}"/>
              </a:ext>
            </a:extLst>
          </xdr:cNvPr>
          <xdr:cNvCxnSpPr/>
        </xdr:nvCxnSpPr>
        <xdr:spPr>
          <a:xfrm>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32" name="Gerader Verbinder 1631">
            <a:extLst>
              <a:ext uri="{FF2B5EF4-FFF2-40B4-BE49-F238E27FC236}">
                <a16:creationId xmlns:a16="http://schemas.microsoft.com/office/drawing/2014/main" id="{939CA3A5-A9EB-C6C3-A067-31762791B70F}"/>
              </a:ext>
            </a:extLst>
          </xdr:cNvPr>
          <xdr:cNvCxnSpPr/>
        </xdr:nvCxnSpPr>
        <xdr:spPr>
          <a:xfrm flipH="1">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1636" name="Cross_E30">
          <a:extLst>
            <a:ext uri="{FF2B5EF4-FFF2-40B4-BE49-F238E27FC236}">
              <a16:creationId xmlns:a16="http://schemas.microsoft.com/office/drawing/2014/main" id="{CD345713-435E-4D96-3CA3-7CEA9F1BE76C}"/>
            </a:ext>
          </a:extLst>
        </xdr:cNvPr>
        <xdr:cNvGrpSpPr/>
      </xdr:nvGrpSpPr>
      <xdr:grpSpPr>
        <a:xfrm>
          <a:off x="2827020" y="5715000"/>
          <a:ext cx="594360" cy="167640"/>
          <a:chOff x="2827020" y="5715000"/>
          <a:chExt cx="594360" cy="167640"/>
        </a:xfrm>
      </xdr:grpSpPr>
      <xdr:cxnSp macro="">
        <xdr:nvCxnSpPr>
          <xdr:cNvPr id="1634" name="Gerader Verbinder 1633">
            <a:extLst>
              <a:ext uri="{FF2B5EF4-FFF2-40B4-BE49-F238E27FC236}">
                <a16:creationId xmlns:a16="http://schemas.microsoft.com/office/drawing/2014/main" id="{47972D9F-1C12-C183-F373-342007995E8F}"/>
              </a:ext>
            </a:extLst>
          </xdr:cNvPr>
          <xdr:cNvCxnSpPr/>
        </xdr:nvCxnSpPr>
        <xdr:spPr>
          <a:xfrm>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35" name="Gerader Verbinder 1634">
            <a:extLst>
              <a:ext uri="{FF2B5EF4-FFF2-40B4-BE49-F238E27FC236}">
                <a16:creationId xmlns:a16="http://schemas.microsoft.com/office/drawing/2014/main" id="{962F0573-60AD-C8F4-44EA-0EE368F6197C}"/>
              </a:ext>
            </a:extLst>
          </xdr:cNvPr>
          <xdr:cNvCxnSpPr/>
        </xdr:nvCxnSpPr>
        <xdr:spPr>
          <a:xfrm flipH="1">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1639" name="Cross_E37">
          <a:extLst>
            <a:ext uri="{FF2B5EF4-FFF2-40B4-BE49-F238E27FC236}">
              <a16:creationId xmlns:a16="http://schemas.microsoft.com/office/drawing/2014/main" id="{9173D9A9-7526-86BB-0419-A19E67CED0E7}"/>
            </a:ext>
          </a:extLst>
        </xdr:cNvPr>
        <xdr:cNvGrpSpPr/>
      </xdr:nvGrpSpPr>
      <xdr:grpSpPr>
        <a:xfrm>
          <a:off x="2827020" y="7010400"/>
          <a:ext cx="594360" cy="228600"/>
          <a:chOff x="2827020" y="7010400"/>
          <a:chExt cx="594360" cy="228600"/>
        </a:xfrm>
      </xdr:grpSpPr>
      <xdr:cxnSp macro="">
        <xdr:nvCxnSpPr>
          <xdr:cNvPr id="1637" name="Gerader Verbinder 1636">
            <a:extLst>
              <a:ext uri="{FF2B5EF4-FFF2-40B4-BE49-F238E27FC236}">
                <a16:creationId xmlns:a16="http://schemas.microsoft.com/office/drawing/2014/main" id="{FFDC27CE-A14B-5D4A-291A-E171193A5B0C}"/>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38" name="Gerader Verbinder 1637">
            <a:extLst>
              <a:ext uri="{FF2B5EF4-FFF2-40B4-BE49-F238E27FC236}">
                <a16:creationId xmlns:a16="http://schemas.microsoft.com/office/drawing/2014/main" id="{76B94083-7721-553E-DA62-F0FE184D1D5E}"/>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1642" name="Cross_E38">
          <a:extLst>
            <a:ext uri="{FF2B5EF4-FFF2-40B4-BE49-F238E27FC236}">
              <a16:creationId xmlns:a16="http://schemas.microsoft.com/office/drawing/2014/main" id="{B1E2E354-0908-C15F-343C-71EA14A7038D}"/>
            </a:ext>
          </a:extLst>
        </xdr:cNvPr>
        <xdr:cNvGrpSpPr/>
      </xdr:nvGrpSpPr>
      <xdr:grpSpPr>
        <a:xfrm>
          <a:off x="2827020" y="7239000"/>
          <a:ext cx="594360" cy="167640"/>
          <a:chOff x="2827020" y="7239000"/>
          <a:chExt cx="594360" cy="167640"/>
        </a:xfrm>
      </xdr:grpSpPr>
      <xdr:cxnSp macro="">
        <xdr:nvCxnSpPr>
          <xdr:cNvPr id="1640" name="Gerader Verbinder 1639">
            <a:extLst>
              <a:ext uri="{FF2B5EF4-FFF2-40B4-BE49-F238E27FC236}">
                <a16:creationId xmlns:a16="http://schemas.microsoft.com/office/drawing/2014/main" id="{3F1AE9BC-C6E7-AD9E-D66A-D3E839E31DA7}"/>
              </a:ext>
            </a:extLst>
          </xdr:cNvPr>
          <xdr:cNvCxnSpPr/>
        </xdr:nvCxnSpPr>
        <xdr:spPr>
          <a:xfrm>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41" name="Gerader Verbinder 1640">
            <a:extLst>
              <a:ext uri="{FF2B5EF4-FFF2-40B4-BE49-F238E27FC236}">
                <a16:creationId xmlns:a16="http://schemas.microsoft.com/office/drawing/2014/main" id="{941F2A46-F254-910D-A663-0E953E6BCA04}"/>
              </a:ext>
            </a:extLst>
          </xdr:cNvPr>
          <xdr:cNvCxnSpPr/>
        </xdr:nvCxnSpPr>
        <xdr:spPr>
          <a:xfrm flipH="1">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1645" name="Cross_E39">
          <a:extLst>
            <a:ext uri="{FF2B5EF4-FFF2-40B4-BE49-F238E27FC236}">
              <a16:creationId xmlns:a16="http://schemas.microsoft.com/office/drawing/2014/main" id="{640B50AA-836E-1162-444B-AAD0EE146ED9}"/>
            </a:ext>
          </a:extLst>
        </xdr:cNvPr>
        <xdr:cNvGrpSpPr/>
      </xdr:nvGrpSpPr>
      <xdr:grpSpPr>
        <a:xfrm>
          <a:off x="2827020" y="7406640"/>
          <a:ext cx="594360" cy="167640"/>
          <a:chOff x="2827020" y="7406640"/>
          <a:chExt cx="594360" cy="167640"/>
        </a:xfrm>
      </xdr:grpSpPr>
      <xdr:cxnSp macro="">
        <xdr:nvCxnSpPr>
          <xdr:cNvPr id="1643" name="Gerader Verbinder 1642">
            <a:extLst>
              <a:ext uri="{FF2B5EF4-FFF2-40B4-BE49-F238E27FC236}">
                <a16:creationId xmlns:a16="http://schemas.microsoft.com/office/drawing/2014/main" id="{89B200ED-ADC1-259A-A31F-4E9E32E92E85}"/>
              </a:ext>
            </a:extLst>
          </xdr:cNvPr>
          <xdr:cNvCxnSpPr/>
        </xdr:nvCxnSpPr>
        <xdr:spPr>
          <a:xfrm>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44" name="Gerader Verbinder 1643">
            <a:extLst>
              <a:ext uri="{FF2B5EF4-FFF2-40B4-BE49-F238E27FC236}">
                <a16:creationId xmlns:a16="http://schemas.microsoft.com/office/drawing/2014/main" id="{D714826B-561D-1198-6417-73786220782B}"/>
              </a:ext>
            </a:extLst>
          </xdr:cNvPr>
          <xdr:cNvCxnSpPr/>
        </xdr:nvCxnSpPr>
        <xdr:spPr>
          <a:xfrm flipH="1">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1648" name="Cross_E40">
          <a:extLst>
            <a:ext uri="{FF2B5EF4-FFF2-40B4-BE49-F238E27FC236}">
              <a16:creationId xmlns:a16="http://schemas.microsoft.com/office/drawing/2014/main" id="{04BE445D-9808-10B7-60DE-22DC7F787004}"/>
            </a:ext>
          </a:extLst>
        </xdr:cNvPr>
        <xdr:cNvGrpSpPr/>
      </xdr:nvGrpSpPr>
      <xdr:grpSpPr>
        <a:xfrm>
          <a:off x="2827020" y="7574280"/>
          <a:ext cx="594360" cy="228600"/>
          <a:chOff x="2827020" y="7574280"/>
          <a:chExt cx="594360" cy="228600"/>
        </a:xfrm>
      </xdr:grpSpPr>
      <xdr:cxnSp macro="">
        <xdr:nvCxnSpPr>
          <xdr:cNvPr id="1646" name="Gerader Verbinder 1645">
            <a:extLst>
              <a:ext uri="{FF2B5EF4-FFF2-40B4-BE49-F238E27FC236}">
                <a16:creationId xmlns:a16="http://schemas.microsoft.com/office/drawing/2014/main" id="{51383921-7CA8-5B5D-A663-7B9BEC7CEDBA}"/>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47" name="Gerader Verbinder 1646">
            <a:extLst>
              <a:ext uri="{FF2B5EF4-FFF2-40B4-BE49-F238E27FC236}">
                <a16:creationId xmlns:a16="http://schemas.microsoft.com/office/drawing/2014/main" id="{59A57E82-0F61-831A-9394-AE3176FF1D77}"/>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1651" name="Cross_E41">
          <a:extLst>
            <a:ext uri="{FF2B5EF4-FFF2-40B4-BE49-F238E27FC236}">
              <a16:creationId xmlns:a16="http://schemas.microsoft.com/office/drawing/2014/main" id="{8B354ECF-835A-F9B3-32F5-6D0108E995F3}"/>
            </a:ext>
          </a:extLst>
        </xdr:cNvPr>
        <xdr:cNvGrpSpPr/>
      </xdr:nvGrpSpPr>
      <xdr:grpSpPr>
        <a:xfrm>
          <a:off x="2827020" y="7802880"/>
          <a:ext cx="594360" cy="167640"/>
          <a:chOff x="2827020" y="7802880"/>
          <a:chExt cx="594360" cy="167640"/>
        </a:xfrm>
      </xdr:grpSpPr>
      <xdr:cxnSp macro="">
        <xdr:nvCxnSpPr>
          <xdr:cNvPr id="1649" name="Gerader Verbinder 1648">
            <a:extLst>
              <a:ext uri="{FF2B5EF4-FFF2-40B4-BE49-F238E27FC236}">
                <a16:creationId xmlns:a16="http://schemas.microsoft.com/office/drawing/2014/main" id="{0D3DD875-D86B-7B52-1478-480DA8BA742C}"/>
              </a:ext>
            </a:extLst>
          </xdr:cNvPr>
          <xdr:cNvCxnSpPr/>
        </xdr:nvCxnSpPr>
        <xdr:spPr>
          <a:xfrm>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0" name="Gerader Verbinder 1649">
            <a:extLst>
              <a:ext uri="{FF2B5EF4-FFF2-40B4-BE49-F238E27FC236}">
                <a16:creationId xmlns:a16="http://schemas.microsoft.com/office/drawing/2014/main" id="{E4290DA8-3AD8-E354-8289-BB5B6D7745E0}"/>
              </a:ext>
            </a:extLst>
          </xdr:cNvPr>
          <xdr:cNvCxnSpPr/>
        </xdr:nvCxnSpPr>
        <xdr:spPr>
          <a:xfrm flipH="1">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1654" name="Cross_E42">
          <a:extLst>
            <a:ext uri="{FF2B5EF4-FFF2-40B4-BE49-F238E27FC236}">
              <a16:creationId xmlns:a16="http://schemas.microsoft.com/office/drawing/2014/main" id="{EFBDD529-9D23-CD07-BD98-108AC884A9F5}"/>
            </a:ext>
          </a:extLst>
        </xdr:cNvPr>
        <xdr:cNvGrpSpPr/>
      </xdr:nvGrpSpPr>
      <xdr:grpSpPr>
        <a:xfrm>
          <a:off x="2827020" y="7970520"/>
          <a:ext cx="594360" cy="167640"/>
          <a:chOff x="2827020" y="7970520"/>
          <a:chExt cx="594360" cy="167640"/>
        </a:xfrm>
      </xdr:grpSpPr>
      <xdr:cxnSp macro="">
        <xdr:nvCxnSpPr>
          <xdr:cNvPr id="1652" name="Gerader Verbinder 1651">
            <a:extLst>
              <a:ext uri="{FF2B5EF4-FFF2-40B4-BE49-F238E27FC236}">
                <a16:creationId xmlns:a16="http://schemas.microsoft.com/office/drawing/2014/main" id="{66409983-EBBE-6390-1009-F20013A27029}"/>
              </a:ext>
            </a:extLst>
          </xdr:cNvPr>
          <xdr:cNvCxnSpPr/>
        </xdr:nvCxnSpPr>
        <xdr:spPr>
          <a:xfrm>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3" name="Gerader Verbinder 1652">
            <a:extLst>
              <a:ext uri="{FF2B5EF4-FFF2-40B4-BE49-F238E27FC236}">
                <a16:creationId xmlns:a16="http://schemas.microsoft.com/office/drawing/2014/main" id="{506C7AF4-A4A4-F304-11E6-6D3A8716143A}"/>
              </a:ext>
            </a:extLst>
          </xdr:cNvPr>
          <xdr:cNvCxnSpPr/>
        </xdr:nvCxnSpPr>
        <xdr:spPr>
          <a:xfrm flipH="1">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1657" name="Cross_E43">
          <a:extLst>
            <a:ext uri="{FF2B5EF4-FFF2-40B4-BE49-F238E27FC236}">
              <a16:creationId xmlns:a16="http://schemas.microsoft.com/office/drawing/2014/main" id="{ADB1CDC7-AAC3-63CB-34C5-CBDC6F094C3A}"/>
            </a:ext>
          </a:extLst>
        </xdr:cNvPr>
        <xdr:cNvGrpSpPr/>
      </xdr:nvGrpSpPr>
      <xdr:grpSpPr>
        <a:xfrm>
          <a:off x="2827020" y="8138160"/>
          <a:ext cx="594360" cy="228600"/>
          <a:chOff x="2827020" y="8138160"/>
          <a:chExt cx="594360" cy="228600"/>
        </a:xfrm>
      </xdr:grpSpPr>
      <xdr:cxnSp macro="">
        <xdr:nvCxnSpPr>
          <xdr:cNvPr id="1655" name="Gerader Verbinder 1654">
            <a:extLst>
              <a:ext uri="{FF2B5EF4-FFF2-40B4-BE49-F238E27FC236}">
                <a16:creationId xmlns:a16="http://schemas.microsoft.com/office/drawing/2014/main" id="{58F8EA56-62EE-15E1-E6A8-71EF1E7894EC}"/>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6" name="Gerader Verbinder 1655">
            <a:extLst>
              <a:ext uri="{FF2B5EF4-FFF2-40B4-BE49-F238E27FC236}">
                <a16:creationId xmlns:a16="http://schemas.microsoft.com/office/drawing/2014/main" id="{9E3C972D-5260-8410-0972-B0E83AC5AD43}"/>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1660" name="Cross_E44">
          <a:extLst>
            <a:ext uri="{FF2B5EF4-FFF2-40B4-BE49-F238E27FC236}">
              <a16:creationId xmlns:a16="http://schemas.microsoft.com/office/drawing/2014/main" id="{56703BF3-B374-E9BF-78E3-922D233256BF}"/>
            </a:ext>
          </a:extLst>
        </xdr:cNvPr>
        <xdr:cNvGrpSpPr/>
      </xdr:nvGrpSpPr>
      <xdr:grpSpPr>
        <a:xfrm>
          <a:off x="2827020" y="8366760"/>
          <a:ext cx="594360" cy="167640"/>
          <a:chOff x="2827020" y="8366760"/>
          <a:chExt cx="594360" cy="167640"/>
        </a:xfrm>
      </xdr:grpSpPr>
      <xdr:cxnSp macro="">
        <xdr:nvCxnSpPr>
          <xdr:cNvPr id="1658" name="Gerader Verbinder 1657">
            <a:extLst>
              <a:ext uri="{FF2B5EF4-FFF2-40B4-BE49-F238E27FC236}">
                <a16:creationId xmlns:a16="http://schemas.microsoft.com/office/drawing/2014/main" id="{8DB1E8CA-FAF3-05B0-BB0E-5D2C320D4A85}"/>
              </a:ext>
            </a:extLst>
          </xdr:cNvPr>
          <xdr:cNvCxnSpPr/>
        </xdr:nvCxnSpPr>
        <xdr:spPr>
          <a:xfrm>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9" name="Gerader Verbinder 1658">
            <a:extLst>
              <a:ext uri="{FF2B5EF4-FFF2-40B4-BE49-F238E27FC236}">
                <a16:creationId xmlns:a16="http://schemas.microsoft.com/office/drawing/2014/main" id="{372BCC22-573F-BBFC-C3F6-CB25DB5FBC90}"/>
              </a:ext>
            </a:extLst>
          </xdr:cNvPr>
          <xdr:cNvCxnSpPr/>
        </xdr:nvCxnSpPr>
        <xdr:spPr>
          <a:xfrm flipH="1">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1663" name="Cross_E45">
          <a:extLst>
            <a:ext uri="{FF2B5EF4-FFF2-40B4-BE49-F238E27FC236}">
              <a16:creationId xmlns:a16="http://schemas.microsoft.com/office/drawing/2014/main" id="{C4CF93D4-0132-0840-A372-AACD239BF1D9}"/>
            </a:ext>
          </a:extLst>
        </xdr:cNvPr>
        <xdr:cNvGrpSpPr/>
      </xdr:nvGrpSpPr>
      <xdr:grpSpPr>
        <a:xfrm>
          <a:off x="2827020" y="8534400"/>
          <a:ext cx="594360" cy="167640"/>
          <a:chOff x="2827020" y="8534400"/>
          <a:chExt cx="594360" cy="167640"/>
        </a:xfrm>
      </xdr:grpSpPr>
      <xdr:cxnSp macro="">
        <xdr:nvCxnSpPr>
          <xdr:cNvPr id="1661" name="Gerader Verbinder 1660">
            <a:extLst>
              <a:ext uri="{FF2B5EF4-FFF2-40B4-BE49-F238E27FC236}">
                <a16:creationId xmlns:a16="http://schemas.microsoft.com/office/drawing/2014/main" id="{46A25858-C6C2-B5ED-8D30-61A0280F21D4}"/>
              </a:ext>
            </a:extLst>
          </xdr:cNvPr>
          <xdr:cNvCxnSpPr/>
        </xdr:nvCxnSpPr>
        <xdr:spPr>
          <a:xfrm>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2" name="Gerader Verbinder 1661">
            <a:extLst>
              <a:ext uri="{FF2B5EF4-FFF2-40B4-BE49-F238E27FC236}">
                <a16:creationId xmlns:a16="http://schemas.microsoft.com/office/drawing/2014/main" id="{6A894133-FDCC-4147-21DA-AAF35453F486}"/>
              </a:ext>
            </a:extLst>
          </xdr:cNvPr>
          <xdr:cNvCxnSpPr/>
        </xdr:nvCxnSpPr>
        <xdr:spPr>
          <a:xfrm flipH="1">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1666" name="Cross_E46">
          <a:extLst>
            <a:ext uri="{FF2B5EF4-FFF2-40B4-BE49-F238E27FC236}">
              <a16:creationId xmlns:a16="http://schemas.microsoft.com/office/drawing/2014/main" id="{FE54F96D-C112-0704-CE0D-B4A458521B93}"/>
            </a:ext>
          </a:extLst>
        </xdr:cNvPr>
        <xdr:cNvGrpSpPr/>
      </xdr:nvGrpSpPr>
      <xdr:grpSpPr>
        <a:xfrm>
          <a:off x="2827020" y="8702040"/>
          <a:ext cx="594360" cy="228600"/>
          <a:chOff x="2827020" y="8702040"/>
          <a:chExt cx="594360" cy="228600"/>
        </a:xfrm>
      </xdr:grpSpPr>
      <xdr:cxnSp macro="">
        <xdr:nvCxnSpPr>
          <xdr:cNvPr id="1664" name="Gerader Verbinder 1663">
            <a:extLst>
              <a:ext uri="{FF2B5EF4-FFF2-40B4-BE49-F238E27FC236}">
                <a16:creationId xmlns:a16="http://schemas.microsoft.com/office/drawing/2014/main" id="{65546E94-9CF7-E821-88C0-7FF79C8D1A34}"/>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5" name="Gerader Verbinder 1664">
            <a:extLst>
              <a:ext uri="{FF2B5EF4-FFF2-40B4-BE49-F238E27FC236}">
                <a16:creationId xmlns:a16="http://schemas.microsoft.com/office/drawing/2014/main" id="{52E7A64A-8BBA-1219-6012-CFA1FDB36E25}"/>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1669" name="Cross_E47">
          <a:extLst>
            <a:ext uri="{FF2B5EF4-FFF2-40B4-BE49-F238E27FC236}">
              <a16:creationId xmlns:a16="http://schemas.microsoft.com/office/drawing/2014/main" id="{3402AC7B-AFCB-0038-EA30-64A760DDF058}"/>
            </a:ext>
          </a:extLst>
        </xdr:cNvPr>
        <xdr:cNvGrpSpPr/>
      </xdr:nvGrpSpPr>
      <xdr:grpSpPr>
        <a:xfrm>
          <a:off x="2827020" y="8930640"/>
          <a:ext cx="594360" cy="167640"/>
          <a:chOff x="2827020" y="8930640"/>
          <a:chExt cx="594360" cy="167640"/>
        </a:xfrm>
      </xdr:grpSpPr>
      <xdr:cxnSp macro="">
        <xdr:nvCxnSpPr>
          <xdr:cNvPr id="1667" name="Gerader Verbinder 1666">
            <a:extLst>
              <a:ext uri="{FF2B5EF4-FFF2-40B4-BE49-F238E27FC236}">
                <a16:creationId xmlns:a16="http://schemas.microsoft.com/office/drawing/2014/main" id="{8C2000BA-D3BF-9AD6-1F13-398AD375958E}"/>
              </a:ext>
            </a:extLst>
          </xdr:cNvPr>
          <xdr:cNvCxnSpPr/>
        </xdr:nvCxnSpPr>
        <xdr:spPr>
          <a:xfrm>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8" name="Gerader Verbinder 1667">
            <a:extLst>
              <a:ext uri="{FF2B5EF4-FFF2-40B4-BE49-F238E27FC236}">
                <a16:creationId xmlns:a16="http://schemas.microsoft.com/office/drawing/2014/main" id="{75CFC03A-23CD-5FE4-8455-21F6FEE7286E}"/>
              </a:ext>
            </a:extLst>
          </xdr:cNvPr>
          <xdr:cNvCxnSpPr/>
        </xdr:nvCxnSpPr>
        <xdr:spPr>
          <a:xfrm flipH="1">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1672" name="Cross_E48">
          <a:extLst>
            <a:ext uri="{FF2B5EF4-FFF2-40B4-BE49-F238E27FC236}">
              <a16:creationId xmlns:a16="http://schemas.microsoft.com/office/drawing/2014/main" id="{66C3B4E4-360D-8949-F64F-A89148260ACA}"/>
            </a:ext>
          </a:extLst>
        </xdr:cNvPr>
        <xdr:cNvGrpSpPr/>
      </xdr:nvGrpSpPr>
      <xdr:grpSpPr>
        <a:xfrm>
          <a:off x="2827020" y="9098280"/>
          <a:ext cx="594360" cy="167640"/>
          <a:chOff x="2827020" y="9098280"/>
          <a:chExt cx="594360" cy="167640"/>
        </a:xfrm>
      </xdr:grpSpPr>
      <xdr:cxnSp macro="">
        <xdr:nvCxnSpPr>
          <xdr:cNvPr id="1670" name="Gerader Verbinder 1669">
            <a:extLst>
              <a:ext uri="{FF2B5EF4-FFF2-40B4-BE49-F238E27FC236}">
                <a16:creationId xmlns:a16="http://schemas.microsoft.com/office/drawing/2014/main" id="{1FC77ADF-267A-64B0-6939-889FF5BDE6FE}"/>
              </a:ext>
            </a:extLst>
          </xdr:cNvPr>
          <xdr:cNvCxnSpPr/>
        </xdr:nvCxnSpPr>
        <xdr:spPr>
          <a:xfrm>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71" name="Gerader Verbinder 1670">
            <a:extLst>
              <a:ext uri="{FF2B5EF4-FFF2-40B4-BE49-F238E27FC236}">
                <a16:creationId xmlns:a16="http://schemas.microsoft.com/office/drawing/2014/main" id="{C1B71BBC-AB33-CC8E-9126-08EAF5A57774}"/>
              </a:ext>
            </a:extLst>
          </xdr:cNvPr>
          <xdr:cNvCxnSpPr/>
        </xdr:nvCxnSpPr>
        <xdr:spPr>
          <a:xfrm flipH="1">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1675" name="Cross_E55">
          <a:extLst>
            <a:ext uri="{FF2B5EF4-FFF2-40B4-BE49-F238E27FC236}">
              <a16:creationId xmlns:a16="http://schemas.microsoft.com/office/drawing/2014/main" id="{1D61374C-1ECA-7F4B-2CAF-1D50CCA68D00}"/>
            </a:ext>
          </a:extLst>
        </xdr:cNvPr>
        <xdr:cNvGrpSpPr/>
      </xdr:nvGrpSpPr>
      <xdr:grpSpPr>
        <a:xfrm>
          <a:off x="2827020" y="10393680"/>
          <a:ext cx="594360" cy="228600"/>
          <a:chOff x="2827020" y="10393680"/>
          <a:chExt cx="594360" cy="228600"/>
        </a:xfrm>
      </xdr:grpSpPr>
      <xdr:cxnSp macro="">
        <xdr:nvCxnSpPr>
          <xdr:cNvPr id="1673" name="Gerader Verbinder 1672">
            <a:extLst>
              <a:ext uri="{FF2B5EF4-FFF2-40B4-BE49-F238E27FC236}">
                <a16:creationId xmlns:a16="http://schemas.microsoft.com/office/drawing/2014/main" id="{90C52D3D-DE5B-586D-797D-C2191290502A}"/>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74" name="Gerader Verbinder 1673">
            <a:extLst>
              <a:ext uri="{FF2B5EF4-FFF2-40B4-BE49-F238E27FC236}">
                <a16:creationId xmlns:a16="http://schemas.microsoft.com/office/drawing/2014/main" id="{8240B0DC-205E-AC1C-2D19-551B55E39059}"/>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1678" name="Cross_E56">
          <a:extLst>
            <a:ext uri="{FF2B5EF4-FFF2-40B4-BE49-F238E27FC236}">
              <a16:creationId xmlns:a16="http://schemas.microsoft.com/office/drawing/2014/main" id="{B73E7B59-2B4A-85C8-2319-1DBB4F6554D6}"/>
            </a:ext>
          </a:extLst>
        </xdr:cNvPr>
        <xdr:cNvGrpSpPr/>
      </xdr:nvGrpSpPr>
      <xdr:grpSpPr>
        <a:xfrm>
          <a:off x="2827020" y="10622280"/>
          <a:ext cx="594360" cy="167640"/>
          <a:chOff x="2827020" y="10622280"/>
          <a:chExt cx="594360" cy="167640"/>
        </a:xfrm>
      </xdr:grpSpPr>
      <xdr:cxnSp macro="">
        <xdr:nvCxnSpPr>
          <xdr:cNvPr id="1676" name="Gerader Verbinder 1675">
            <a:extLst>
              <a:ext uri="{FF2B5EF4-FFF2-40B4-BE49-F238E27FC236}">
                <a16:creationId xmlns:a16="http://schemas.microsoft.com/office/drawing/2014/main" id="{187252A9-BCE4-849E-B66C-680F2D0686BF}"/>
              </a:ext>
            </a:extLst>
          </xdr:cNvPr>
          <xdr:cNvCxnSpPr/>
        </xdr:nvCxnSpPr>
        <xdr:spPr>
          <a:xfrm>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77" name="Gerader Verbinder 1676">
            <a:extLst>
              <a:ext uri="{FF2B5EF4-FFF2-40B4-BE49-F238E27FC236}">
                <a16:creationId xmlns:a16="http://schemas.microsoft.com/office/drawing/2014/main" id="{801127C4-41E8-0243-4347-8C5EFE900CB5}"/>
              </a:ext>
            </a:extLst>
          </xdr:cNvPr>
          <xdr:cNvCxnSpPr/>
        </xdr:nvCxnSpPr>
        <xdr:spPr>
          <a:xfrm flipH="1">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1681" name="Cross_E57">
          <a:extLst>
            <a:ext uri="{FF2B5EF4-FFF2-40B4-BE49-F238E27FC236}">
              <a16:creationId xmlns:a16="http://schemas.microsoft.com/office/drawing/2014/main" id="{52D0FE39-BF78-0A87-BC2E-5A1A61AAFA7B}"/>
            </a:ext>
          </a:extLst>
        </xdr:cNvPr>
        <xdr:cNvGrpSpPr/>
      </xdr:nvGrpSpPr>
      <xdr:grpSpPr>
        <a:xfrm>
          <a:off x="2827020" y="10789920"/>
          <a:ext cx="594360" cy="167640"/>
          <a:chOff x="2827020" y="10789920"/>
          <a:chExt cx="594360" cy="167640"/>
        </a:xfrm>
      </xdr:grpSpPr>
      <xdr:cxnSp macro="">
        <xdr:nvCxnSpPr>
          <xdr:cNvPr id="1679" name="Gerader Verbinder 1678">
            <a:extLst>
              <a:ext uri="{FF2B5EF4-FFF2-40B4-BE49-F238E27FC236}">
                <a16:creationId xmlns:a16="http://schemas.microsoft.com/office/drawing/2014/main" id="{86AFECC2-63A2-A398-50F4-44C1F862BA28}"/>
              </a:ext>
            </a:extLst>
          </xdr:cNvPr>
          <xdr:cNvCxnSpPr/>
        </xdr:nvCxnSpPr>
        <xdr:spPr>
          <a:xfrm>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0" name="Gerader Verbinder 1679">
            <a:extLst>
              <a:ext uri="{FF2B5EF4-FFF2-40B4-BE49-F238E27FC236}">
                <a16:creationId xmlns:a16="http://schemas.microsoft.com/office/drawing/2014/main" id="{4D6A83F7-8DF1-BEB3-7A60-88BBBBDBFE02}"/>
              </a:ext>
            </a:extLst>
          </xdr:cNvPr>
          <xdr:cNvCxnSpPr/>
        </xdr:nvCxnSpPr>
        <xdr:spPr>
          <a:xfrm flipH="1">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1684" name="Cross_E58">
          <a:extLst>
            <a:ext uri="{FF2B5EF4-FFF2-40B4-BE49-F238E27FC236}">
              <a16:creationId xmlns:a16="http://schemas.microsoft.com/office/drawing/2014/main" id="{FF1FBD1F-E6CB-BF24-0AD2-5418860DC24B}"/>
            </a:ext>
          </a:extLst>
        </xdr:cNvPr>
        <xdr:cNvGrpSpPr/>
      </xdr:nvGrpSpPr>
      <xdr:grpSpPr>
        <a:xfrm>
          <a:off x="2827020" y="10957560"/>
          <a:ext cx="594360" cy="228600"/>
          <a:chOff x="2827020" y="10957560"/>
          <a:chExt cx="594360" cy="228600"/>
        </a:xfrm>
      </xdr:grpSpPr>
      <xdr:cxnSp macro="">
        <xdr:nvCxnSpPr>
          <xdr:cNvPr id="1682" name="Gerader Verbinder 1681">
            <a:extLst>
              <a:ext uri="{FF2B5EF4-FFF2-40B4-BE49-F238E27FC236}">
                <a16:creationId xmlns:a16="http://schemas.microsoft.com/office/drawing/2014/main" id="{92A05564-CECA-20F9-2824-D985CE5F897A}"/>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3" name="Gerader Verbinder 1682">
            <a:extLst>
              <a:ext uri="{FF2B5EF4-FFF2-40B4-BE49-F238E27FC236}">
                <a16:creationId xmlns:a16="http://schemas.microsoft.com/office/drawing/2014/main" id="{D9A92954-F2EA-0426-5173-3368578BA99D}"/>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1687" name="Cross_E59">
          <a:extLst>
            <a:ext uri="{FF2B5EF4-FFF2-40B4-BE49-F238E27FC236}">
              <a16:creationId xmlns:a16="http://schemas.microsoft.com/office/drawing/2014/main" id="{A5FE6327-E436-3D7C-C044-3DE5E9098273}"/>
            </a:ext>
          </a:extLst>
        </xdr:cNvPr>
        <xdr:cNvGrpSpPr/>
      </xdr:nvGrpSpPr>
      <xdr:grpSpPr>
        <a:xfrm>
          <a:off x="2827020" y="11186160"/>
          <a:ext cx="594360" cy="167640"/>
          <a:chOff x="2827020" y="11186160"/>
          <a:chExt cx="594360" cy="167640"/>
        </a:xfrm>
      </xdr:grpSpPr>
      <xdr:cxnSp macro="">
        <xdr:nvCxnSpPr>
          <xdr:cNvPr id="1685" name="Gerader Verbinder 1684">
            <a:extLst>
              <a:ext uri="{FF2B5EF4-FFF2-40B4-BE49-F238E27FC236}">
                <a16:creationId xmlns:a16="http://schemas.microsoft.com/office/drawing/2014/main" id="{79C6ED0E-352C-C45E-6A28-5DFCDAE1F6E1}"/>
              </a:ext>
            </a:extLst>
          </xdr:cNvPr>
          <xdr:cNvCxnSpPr/>
        </xdr:nvCxnSpPr>
        <xdr:spPr>
          <a:xfrm>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6" name="Gerader Verbinder 1685">
            <a:extLst>
              <a:ext uri="{FF2B5EF4-FFF2-40B4-BE49-F238E27FC236}">
                <a16:creationId xmlns:a16="http://schemas.microsoft.com/office/drawing/2014/main" id="{8DEDD038-AFBE-427D-D328-019AA5EA06DD}"/>
              </a:ext>
            </a:extLst>
          </xdr:cNvPr>
          <xdr:cNvCxnSpPr/>
        </xdr:nvCxnSpPr>
        <xdr:spPr>
          <a:xfrm flipH="1">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1690" name="Cross_E60">
          <a:extLst>
            <a:ext uri="{FF2B5EF4-FFF2-40B4-BE49-F238E27FC236}">
              <a16:creationId xmlns:a16="http://schemas.microsoft.com/office/drawing/2014/main" id="{A2BCFCB7-3EDF-6575-F076-25FA48B00C21}"/>
            </a:ext>
          </a:extLst>
        </xdr:cNvPr>
        <xdr:cNvGrpSpPr/>
      </xdr:nvGrpSpPr>
      <xdr:grpSpPr>
        <a:xfrm>
          <a:off x="2827020" y="11353800"/>
          <a:ext cx="594360" cy="167640"/>
          <a:chOff x="2827020" y="11353800"/>
          <a:chExt cx="594360" cy="167640"/>
        </a:xfrm>
      </xdr:grpSpPr>
      <xdr:cxnSp macro="">
        <xdr:nvCxnSpPr>
          <xdr:cNvPr id="1688" name="Gerader Verbinder 1687">
            <a:extLst>
              <a:ext uri="{FF2B5EF4-FFF2-40B4-BE49-F238E27FC236}">
                <a16:creationId xmlns:a16="http://schemas.microsoft.com/office/drawing/2014/main" id="{AD7D0D77-17E3-64CC-9418-A51155E9EE55}"/>
              </a:ext>
            </a:extLst>
          </xdr:cNvPr>
          <xdr:cNvCxnSpPr/>
        </xdr:nvCxnSpPr>
        <xdr:spPr>
          <a:xfrm>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9" name="Gerader Verbinder 1688">
            <a:extLst>
              <a:ext uri="{FF2B5EF4-FFF2-40B4-BE49-F238E27FC236}">
                <a16:creationId xmlns:a16="http://schemas.microsoft.com/office/drawing/2014/main" id="{45D10C2C-0244-4B70-0E3E-09E7ADC80EBB}"/>
              </a:ext>
            </a:extLst>
          </xdr:cNvPr>
          <xdr:cNvCxnSpPr/>
        </xdr:nvCxnSpPr>
        <xdr:spPr>
          <a:xfrm flipH="1">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1693" name="Cross_E61">
          <a:extLst>
            <a:ext uri="{FF2B5EF4-FFF2-40B4-BE49-F238E27FC236}">
              <a16:creationId xmlns:a16="http://schemas.microsoft.com/office/drawing/2014/main" id="{D945B8D7-25AC-2117-0DF1-533ED12D76D5}"/>
            </a:ext>
          </a:extLst>
        </xdr:cNvPr>
        <xdr:cNvGrpSpPr/>
      </xdr:nvGrpSpPr>
      <xdr:grpSpPr>
        <a:xfrm>
          <a:off x="2827020" y="11521440"/>
          <a:ext cx="594360" cy="228600"/>
          <a:chOff x="2827020" y="11521440"/>
          <a:chExt cx="594360" cy="228600"/>
        </a:xfrm>
      </xdr:grpSpPr>
      <xdr:cxnSp macro="">
        <xdr:nvCxnSpPr>
          <xdr:cNvPr id="1691" name="Gerader Verbinder 1690">
            <a:extLst>
              <a:ext uri="{FF2B5EF4-FFF2-40B4-BE49-F238E27FC236}">
                <a16:creationId xmlns:a16="http://schemas.microsoft.com/office/drawing/2014/main" id="{A2DED1A1-B055-E7BA-216D-8A0EF0B081CB}"/>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92" name="Gerader Verbinder 1691">
            <a:extLst>
              <a:ext uri="{FF2B5EF4-FFF2-40B4-BE49-F238E27FC236}">
                <a16:creationId xmlns:a16="http://schemas.microsoft.com/office/drawing/2014/main" id="{ACA25C64-1369-EF32-E753-5E2AEB27FBE0}"/>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1696" name="Cross_E62">
          <a:extLst>
            <a:ext uri="{FF2B5EF4-FFF2-40B4-BE49-F238E27FC236}">
              <a16:creationId xmlns:a16="http://schemas.microsoft.com/office/drawing/2014/main" id="{4292F28D-6455-876E-7D0C-8A9A90E2F745}"/>
            </a:ext>
          </a:extLst>
        </xdr:cNvPr>
        <xdr:cNvGrpSpPr/>
      </xdr:nvGrpSpPr>
      <xdr:grpSpPr>
        <a:xfrm>
          <a:off x="2827020" y="11750040"/>
          <a:ext cx="594360" cy="167640"/>
          <a:chOff x="2827020" y="11750040"/>
          <a:chExt cx="594360" cy="167640"/>
        </a:xfrm>
      </xdr:grpSpPr>
      <xdr:cxnSp macro="">
        <xdr:nvCxnSpPr>
          <xdr:cNvPr id="1694" name="Gerader Verbinder 1693">
            <a:extLst>
              <a:ext uri="{FF2B5EF4-FFF2-40B4-BE49-F238E27FC236}">
                <a16:creationId xmlns:a16="http://schemas.microsoft.com/office/drawing/2014/main" id="{7C405F42-30D5-C1D8-3973-630E859E2C9D}"/>
              </a:ext>
            </a:extLst>
          </xdr:cNvPr>
          <xdr:cNvCxnSpPr/>
        </xdr:nvCxnSpPr>
        <xdr:spPr>
          <a:xfrm>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95" name="Gerader Verbinder 1694">
            <a:extLst>
              <a:ext uri="{FF2B5EF4-FFF2-40B4-BE49-F238E27FC236}">
                <a16:creationId xmlns:a16="http://schemas.microsoft.com/office/drawing/2014/main" id="{A3BAD3A7-1FD6-D6BC-464C-404715E553EE}"/>
              </a:ext>
            </a:extLst>
          </xdr:cNvPr>
          <xdr:cNvCxnSpPr/>
        </xdr:nvCxnSpPr>
        <xdr:spPr>
          <a:xfrm flipH="1">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1699" name="Cross_E63">
          <a:extLst>
            <a:ext uri="{FF2B5EF4-FFF2-40B4-BE49-F238E27FC236}">
              <a16:creationId xmlns:a16="http://schemas.microsoft.com/office/drawing/2014/main" id="{BA800D96-3D3B-BB3F-A657-F6F227FD8FE6}"/>
            </a:ext>
          </a:extLst>
        </xdr:cNvPr>
        <xdr:cNvGrpSpPr/>
      </xdr:nvGrpSpPr>
      <xdr:grpSpPr>
        <a:xfrm>
          <a:off x="2827020" y="11917680"/>
          <a:ext cx="594360" cy="167640"/>
          <a:chOff x="2827020" y="11917680"/>
          <a:chExt cx="594360" cy="167640"/>
        </a:xfrm>
      </xdr:grpSpPr>
      <xdr:cxnSp macro="">
        <xdr:nvCxnSpPr>
          <xdr:cNvPr id="1697" name="Gerader Verbinder 1696">
            <a:extLst>
              <a:ext uri="{FF2B5EF4-FFF2-40B4-BE49-F238E27FC236}">
                <a16:creationId xmlns:a16="http://schemas.microsoft.com/office/drawing/2014/main" id="{348731B8-08F4-8CB9-CA58-E1118AA912EF}"/>
              </a:ext>
            </a:extLst>
          </xdr:cNvPr>
          <xdr:cNvCxnSpPr/>
        </xdr:nvCxnSpPr>
        <xdr:spPr>
          <a:xfrm>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98" name="Gerader Verbinder 1697">
            <a:extLst>
              <a:ext uri="{FF2B5EF4-FFF2-40B4-BE49-F238E27FC236}">
                <a16:creationId xmlns:a16="http://schemas.microsoft.com/office/drawing/2014/main" id="{49124009-526C-F656-6E52-04E269124AC6}"/>
              </a:ext>
            </a:extLst>
          </xdr:cNvPr>
          <xdr:cNvCxnSpPr/>
        </xdr:nvCxnSpPr>
        <xdr:spPr>
          <a:xfrm flipH="1">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1702" name="Cross_E70">
          <a:extLst>
            <a:ext uri="{FF2B5EF4-FFF2-40B4-BE49-F238E27FC236}">
              <a16:creationId xmlns:a16="http://schemas.microsoft.com/office/drawing/2014/main" id="{67230713-9AE2-F49C-96B3-06503347F833}"/>
            </a:ext>
          </a:extLst>
        </xdr:cNvPr>
        <xdr:cNvGrpSpPr/>
      </xdr:nvGrpSpPr>
      <xdr:grpSpPr>
        <a:xfrm>
          <a:off x="2827020" y="13213080"/>
          <a:ext cx="594360" cy="228600"/>
          <a:chOff x="2827020" y="13213080"/>
          <a:chExt cx="594360" cy="228600"/>
        </a:xfrm>
      </xdr:grpSpPr>
      <xdr:cxnSp macro="">
        <xdr:nvCxnSpPr>
          <xdr:cNvPr id="1700" name="Gerader Verbinder 1699">
            <a:extLst>
              <a:ext uri="{FF2B5EF4-FFF2-40B4-BE49-F238E27FC236}">
                <a16:creationId xmlns:a16="http://schemas.microsoft.com/office/drawing/2014/main" id="{960E68D3-5BCE-44FF-1AA1-990BBCEA0DE8}"/>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01" name="Gerader Verbinder 1700">
            <a:extLst>
              <a:ext uri="{FF2B5EF4-FFF2-40B4-BE49-F238E27FC236}">
                <a16:creationId xmlns:a16="http://schemas.microsoft.com/office/drawing/2014/main" id="{D7C71C4D-F6AB-67FC-337F-55525F854D32}"/>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1705" name="Cross_E71">
          <a:extLst>
            <a:ext uri="{FF2B5EF4-FFF2-40B4-BE49-F238E27FC236}">
              <a16:creationId xmlns:a16="http://schemas.microsoft.com/office/drawing/2014/main" id="{17FD2CA6-0FEB-6DDE-FC5F-F2F1ACF59815}"/>
            </a:ext>
          </a:extLst>
        </xdr:cNvPr>
        <xdr:cNvGrpSpPr/>
      </xdr:nvGrpSpPr>
      <xdr:grpSpPr>
        <a:xfrm>
          <a:off x="2827020" y="13441680"/>
          <a:ext cx="594360" cy="167640"/>
          <a:chOff x="2827020" y="13441680"/>
          <a:chExt cx="594360" cy="167640"/>
        </a:xfrm>
      </xdr:grpSpPr>
      <xdr:cxnSp macro="">
        <xdr:nvCxnSpPr>
          <xdr:cNvPr id="1703" name="Gerader Verbinder 1702">
            <a:extLst>
              <a:ext uri="{FF2B5EF4-FFF2-40B4-BE49-F238E27FC236}">
                <a16:creationId xmlns:a16="http://schemas.microsoft.com/office/drawing/2014/main" id="{EA757E32-C1F7-A8BC-7926-1FE8B2842515}"/>
              </a:ext>
            </a:extLst>
          </xdr:cNvPr>
          <xdr:cNvCxnSpPr/>
        </xdr:nvCxnSpPr>
        <xdr:spPr>
          <a:xfrm>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04" name="Gerader Verbinder 1703">
            <a:extLst>
              <a:ext uri="{FF2B5EF4-FFF2-40B4-BE49-F238E27FC236}">
                <a16:creationId xmlns:a16="http://schemas.microsoft.com/office/drawing/2014/main" id="{9D87C761-CF70-8933-EA4F-F3C98CAAE2D7}"/>
              </a:ext>
            </a:extLst>
          </xdr:cNvPr>
          <xdr:cNvCxnSpPr/>
        </xdr:nvCxnSpPr>
        <xdr:spPr>
          <a:xfrm flipH="1">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1708" name="Cross_E72">
          <a:extLst>
            <a:ext uri="{FF2B5EF4-FFF2-40B4-BE49-F238E27FC236}">
              <a16:creationId xmlns:a16="http://schemas.microsoft.com/office/drawing/2014/main" id="{29AED4CE-582E-6CC3-6196-498DE3FCFF15}"/>
            </a:ext>
          </a:extLst>
        </xdr:cNvPr>
        <xdr:cNvGrpSpPr/>
      </xdr:nvGrpSpPr>
      <xdr:grpSpPr>
        <a:xfrm>
          <a:off x="2827020" y="13609320"/>
          <a:ext cx="594360" cy="167641"/>
          <a:chOff x="2827020" y="13609320"/>
          <a:chExt cx="594360" cy="167641"/>
        </a:xfrm>
      </xdr:grpSpPr>
      <xdr:cxnSp macro="">
        <xdr:nvCxnSpPr>
          <xdr:cNvPr id="1706" name="Gerader Verbinder 1705">
            <a:extLst>
              <a:ext uri="{FF2B5EF4-FFF2-40B4-BE49-F238E27FC236}">
                <a16:creationId xmlns:a16="http://schemas.microsoft.com/office/drawing/2014/main" id="{3515142E-64F3-8CAC-1EFD-E89EAEDAD6EC}"/>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07" name="Gerader Verbinder 1706">
            <a:extLst>
              <a:ext uri="{FF2B5EF4-FFF2-40B4-BE49-F238E27FC236}">
                <a16:creationId xmlns:a16="http://schemas.microsoft.com/office/drawing/2014/main" id="{EB0E367D-60AC-CC43-D68B-059023A5E571}"/>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1711" name="Cross_E73">
          <a:extLst>
            <a:ext uri="{FF2B5EF4-FFF2-40B4-BE49-F238E27FC236}">
              <a16:creationId xmlns:a16="http://schemas.microsoft.com/office/drawing/2014/main" id="{92147448-AC47-A621-99F9-C3BC922F0B0C}"/>
            </a:ext>
          </a:extLst>
        </xdr:cNvPr>
        <xdr:cNvGrpSpPr/>
      </xdr:nvGrpSpPr>
      <xdr:grpSpPr>
        <a:xfrm>
          <a:off x="2827020" y="13776961"/>
          <a:ext cx="594360" cy="228600"/>
          <a:chOff x="2827020" y="13776961"/>
          <a:chExt cx="594360" cy="228600"/>
        </a:xfrm>
      </xdr:grpSpPr>
      <xdr:cxnSp macro="">
        <xdr:nvCxnSpPr>
          <xdr:cNvPr id="1709" name="Gerader Verbinder 1708">
            <a:extLst>
              <a:ext uri="{FF2B5EF4-FFF2-40B4-BE49-F238E27FC236}">
                <a16:creationId xmlns:a16="http://schemas.microsoft.com/office/drawing/2014/main" id="{3C9FD9E5-FF83-571C-F7FC-FB5C20959824}"/>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0" name="Gerader Verbinder 1709">
            <a:extLst>
              <a:ext uri="{FF2B5EF4-FFF2-40B4-BE49-F238E27FC236}">
                <a16:creationId xmlns:a16="http://schemas.microsoft.com/office/drawing/2014/main" id="{5BA74AF9-7A2F-67CC-89C6-16066047F3EE}"/>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1714" name="Cross_E74">
          <a:extLst>
            <a:ext uri="{FF2B5EF4-FFF2-40B4-BE49-F238E27FC236}">
              <a16:creationId xmlns:a16="http://schemas.microsoft.com/office/drawing/2014/main" id="{4F8BED90-D016-841D-3D72-8313A9E28008}"/>
            </a:ext>
          </a:extLst>
        </xdr:cNvPr>
        <xdr:cNvGrpSpPr/>
      </xdr:nvGrpSpPr>
      <xdr:grpSpPr>
        <a:xfrm>
          <a:off x="2827020" y="14005561"/>
          <a:ext cx="594360" cy="167639"/>
          <a:chOff x="2827020" y="14005561"/>
          <a:chExt cx="594360" cy="167639"/>
        </a:xfrm>
      </xdr:grpSpPr>
      <xdr:cxnSp macro="">
        <xdr:nvCxnSpPr>
          <xdr:cNvPr id="1712" name="Gerader Verbinder 1711">
            <a:extLst>
              <a:ext uri="{FF2B5EF4-FFF2-40B4-BE49-F238E27FC236}">
                <a16:creationId xmlns:a16="http://schemas.microsoft.com/office/drawing/2014/main" id="{2B01E38D-BF85-25AA-B60A-8965E16F6DFD}"/>
              </a:ext>
            </a:extLst>
          </xdr:cNvPr>
          <xdr:cNvCxnSpPr/>
        </xdr:nvCxnSpPr>
        <xdr:spPr>
          <a:xfrm>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3" name="Gerader Verbinder 1712">
            <a:extLst>
              <a:ext uri="{FF2B5EF4-FFF2-40B4-BE49-F238E27FC236}">
                <a16:creationId xmlns:a16="http://schemas.microsoft.com/office/drawing/2014/main" id="{CC0012C7-E0CB-2BC5-0B05-12F5C7C26874}"/>
              </a:ext>
            </a:extLst>
          </xdr:cNvPr>
          <xdr:cNvCxnSpPr/>
        </xdr:nvCxnSpPr>
        <xdr:spPr>
          <a:xfrm flipH="1">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1717" name="Cross_E75">
          <a:extLst>
            <a:ext uri="{FF2B5EF4-FFF2-40B4-BE49-F238E27FC236}">
              <a16:creationId xmlns:a16="http://schemas.microsoft.com/office/drawing/2014/main" id="{B81B3C2E-FB1D-07AA-74EB-AEB64041EA38}"/>
            </a:ext>
          </a:extLst>
        </xdr:cNvPr>
        <xdr:cNvGrpSpPr/>
      </xdr:nvGrpSpPr>
      <xdr:grpSpPr>
        <a:xfrm>
          <a:off x="2827020" y="14173200"/>
          <a:ext cx="594360" cy="167639"/>
          <a:chOff x="2827020" y="14173200"/>
          <a:chExt cx="594360" cy="167639"/>
        </a:xfrm>
      </xdr:grpSpPr>
      <xdr:cxnSp macro="">
        <xdr:nvCxnSpPr>
          <xdr:cNvPr id="1715" name="Gerader Verbinder 1714">
            <a:extLst>
              <a:ext uri="{FF2B5EF4-FFF2-40B4-BE49-F238E27FC236}">
                <a16:creationId xmlns:a16="http://schemas.microsoft.com/office/drawing/2014/main" id="{39215FCA-9961-2498-6EEA-14A26908A712}"/>
              </a:ext>
            </a:extLst>
          </xdr:cNvPr>
          <xdr:cNvCxnSpPr/>
        </xdr:nvCxnSpPr>
        <xdr:spPr>
          <a:xfrm>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6" name="Gerader Verbinder 1715">
            <a:extLst>
              <a:ext uri="{FF2B5EF4-FFF2-40B4-BE49-F238E27FC236}">
                <a16:creationId xmlns:a16="http://schemas.microsoft.com/office/drawing/2014/main" id="{F0F6FC93-88C5-DB0C-57B8-AD51DB145022}"/>
              </a:ext>
            </a:extLst>
          </xdr:cNvPr>
          <xdr:cNvCxnSpPr/>
        </xdr:nvCxnSpPr>
        <xdr:spPr>
          <a:xfrm flipH="1">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1720" name="Cross_F10">
          <a:extLst>
            <a:ext uri="{FF2B5EF4-FFF2-40B4-BE49-F238E27FC236}">
              <a16:creationId xmlns:a16="http://schemas.microsoft.com/office/drawing/2014/main" id="{9C6BBA0E-CFEB-B3F9-3B81-E08F5DD877EE}"/>
            </a:ext>
          </a:extLst>
        </xdr:cNvPr>
        <xdr:cNvGrpSpPr/>
      </xdr:nvGrpSpPr>
      <xdr:grpSpPr>
        <a:xfrm>
          <a:off x="3421380" y="1935480"/>
          <a:ext cx="594360" cy="228600"/>
          <a:chOff x="3421380" y="1935480"/>
          <a:chExt cx="594360" cy="228600"/>
        </a:xfrm>
      </xdr:grpSpPr>
      <xdr:cxnSp macro="">
        <xdr:nvCxnSpPr>
          <xdr:cNvPr id="1718" name="Gerader Verbinder 1717">
            <a:extLst>
              <a:ext uri="{FF2B5EF4-FFF2-40B4-BE49-F238E27FC236}">
                <a16:creationId xmlns:a16="http://schemas.microsoft.com/office/drawing/2014/main" id="{56331ABC-9073-7826-F922-DA2BCF6B34D4}"/>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9" name="Gerader Verbinder 1718">
            <a:extLst>
              <a:ext uri="{FF2B5EF4-FFF2-40B4-BE49-F238E27FC236}">
                <a16:creationId xmlns:a16="http://schemas.microsoft.com/office/drawing/2014/main" id="{831525CE-05F6-66A4-7193-26BF31A0FD24}"/>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1723" name="Cross_F11">
          <a:extLst>
            <a:ext uri="{FF2B5EF4-FFF2-40B4-BE49-F238E27FC236}">
              <a16:creationId xmlns:a16="http://schemas.microsoft.com/office/drawing/2014/main" id="{DCF463B3-9023-D849-48D8-F4A9B0CBF883}"/>
            </a:ext>
          </a:extLst>
        </xdr:cNvPr>
        <xdr:cNvGrpSpPr/>
      </xdr:nvGrpSpPr>
      <xdr:grpSpPr>
        <a:xfrm>
          <a:off x="3421380" y="2164080"/>
          <a:ext cx="594360" cy="167640"/>
          <a:chOff x="3421380" y="2164080"/>
          <a:chExt cx="594360" cy="167640"/>
        </a:xfrm>
      </xdr:grpSpPr>
      <xdr:cxnSp macro="">
        <xdr:nvCxnSpPr>
          <xdr:cNvPr id="1721" name="Gerader Verbinder 1720">
            <a:extLst>
              <a:ext uri="{FF2B5EF4-FFF2-40B4-BE49-F238E27FC236}">
                <a16:creationId xmlns:a16="http://schemas.microsoft.com/office/drawing/2014/main" id="{45D59191-AC53-914F-17E2-A99D274BC499}"/>
              </a:ext>
            </a:extLst>
          </xdr:cNvPr>
          <xdr:cNvCxnSpPr/>
        </xdr:nvCxnSpPr>
        <xdr:spPr>
          <a:xfrm>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22" name="Gerader Verbinder 1721">
            <a:extLst>
              <a:ext uri="{FF2B5EF4-FFF2-40B4-BE49-F238E27FC236}">
                <a16:creationId xmlns:a16="http://schemas.microsoft.com/office/drawing/2014/main" id="{F39A3EAE-7886-2C55-3F1E-8ABCA20B1850}"/>
              </a:ext>
            </a:extLst>
          </xdr:cNvPr>
          <xdr:cNvCxnSpPr/>
        </xdr:nvCxnSpPr>
        <xdr:spPr>
          <a:xfrm flipH="1">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1726" name="Cross_F12">
          <a:extLst>
            <a:ext uri="{FF2B5EF4-FFF2-40B4-BE49-F238E27FC236}">
              <a16:creationId xmlns:a16="http://schemas.microsoft.com/office/drawing/2014/main" id="{DAADA302-BFDE-C645-3D6C-47F8218739DE}"/>
            </a:ext>
          </a:extLst>
        </xdr:cNvPr>
        <xdr:cNvGrpSpPr/>
      </xdr:nvGrpSpPr>
      <xdr:grpSpPr>
        <a:xfrm>
          <a:off x="3421380" y="2331720"/>
          <a:ext cx="594360" cy="167640"/>
          <a:chOff x="3421380" y="2331720"/>
          <a:chExt cx="594360" cy="167640"/>
        </a:xfrm>
      </xdr:grpSpPr>
      <xdr:cxnSp macro="">
        <xdr:nvCxnSpPr>
          <xdr:cNvPr id="1724" name="Gerader Verbinder 1723">
            <a:extLst>
              <a:ext uri="{FF2B5EF4-FFF2-40B4-BE49-F238E27FC236}">
                <a16:creationId xmlns:a16="http://schemas.microsoft.com/office/drawing/2014/main" id="{9D97A171-7C8E-E8FD-AFB6-913396640A22}"/>
              </a:ext>
            </a:extLst>
          </xdr:cNvPr>
          <xdr:cNvCxnSpPr/>
        </xdr:nvCxnSpPr>
        <xdr:spPr>
          <a:xfrm>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25" name="Gerader Verbinder 1724">
            <a:extLst>
              <a:ext uri="{FF2B5EF4-FFF2-40B4-BE49-F238E27FC236}">
                <a16:creationId xmlns:a16="http://schemas.microsoft.com/office/drawing/2014/main" id="{A6745C59-A80B-2614-DDF2-179A6E2CC336}"/>
              </a:ext>
            </a:extLst>
          </xdr:cNvPr>
          <xdr:cNvCxnSpPr/>
        </xdr:nvCxnSpPr>
        <xdr:spPr>
          <a:xfrm flipH="1">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1729" name="Cross_F13">
          <a:extLst>
            <a:ext uri="{FF2B5EF4-FFF2-40B4-BE49-F238E27FC236}">
              <a16:creationId xmlns:a16="http://schemas.microsoft.com/office/drawing/2014/main" id="{BC48EF19-6947-D022-9D32-3277863BCD06}"/>
            </a:ext>
          </a:extLst>
        </xdr:cNvPr>
        <xdr:cNvGrpSpPr/>
      </xdr:nvGrpSpPr>
      <xdr:grpSpPr>
        <a:xfrm>
          <a:off x="3421380" y="2499360"/>
          <a:ext cx="594360" cy="228600"/>
          <a:chOff x="3421380" y="2499360"/>
          <a:chExt cx="594360" cy="228600"/>
        </a:xfrm>
      </xdr:grpSpPr>
      <xdr:cxnSp macro="">
        <xdr:nvCxnSpPr>
          <xdr:cNvPr id="1727" name="Gerader Verbinder 1726">
            <a:extLst>
              <a:ext uri="{FF2B5EF4-FFF2-40B4-BE49-F238E27FC236}">
                <a16:creationId xmlns:a16="http://schemas.microsoft.com/office/drawing/2014/main" id="{594322A6-D515-3BF9-8EAB-F9E806D549FC}"/>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28" name="Gerader Verbinder 1727">
            <a:extLst>
              <a:ext uri="{FF2B5EF4-FFF2-40B4-BE49-F238E27FC236}">
                <a16:creationId xmlns:a16="http://schemas.microsoft.com/office/drawing/2014/main" id="{EE80CC01-9353-2A1F-2350-9198E7F30121}"/>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1732" name="Cross_F14">
          <a:extLst>
            <a:ext uri="{FF2B5EF4-FFF2-40B4-BE49-F238E27FC236}">
              <a16:creationId xmlns:a16="http://schemas.microsoft.com/office/drawing/2014/main" id="{6A84B05F-A00E-D157-0144-FDAB4AD9BB71}"/>
            </a:ext>
          </a:extLst>
        </xdr:cNvPr>
        <xdr:cNvGrpSpPr/>
      </xdr:nvGrpSpPr>
      <xdr:grpSpPr>
        <a:xfrm>
          <a:off x="3421380" y="2727960"/>
          <a:ext cx="594360" cy="167640"/>
          <a:chOff x="3421380" y="2727960"/>
          <a:chExt cx="594360" cy="167640"/>
        </a:xfrm>
      </xdr:grpSpPr>
      <xdr:cxnSp macro="">
        <xdr:nvCxnSpPr>
          <xdr:cNvPr id="1730" name="Gerader Verbinder 1729">
            <a:extLst>
              <a:ext uri="{FF2B5EF4-FFF2-40B4-BE49-F238E27FC236}">
                <a16:creationId xmlns:a16="http://schemas.microsoft.com/office/drawing/2014/main" id="{4C2EE915-ED90-117A-B50C-4CDCE03A3624}"/>
              </a:ext>
            </a:extLst>
          </xdr:cNvPr>
          <xdr:cNvCxnSpPr/>
        </xdr:nvCxnSpPr>
        <xdr:spPr>
          <a:xfrm>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31" name="Gerader Verbinder 1730">
            <a:extLst>
              <a:ext uri="{FF2B5EF4-FFF2-40B4-BE49-F238E27FC236}">
                <a16:creationId xmlns:a16="http://schemas.microsoft.com/office/drawing/2014/main" id="{8E54FFF5-BB7F-5D6B-9C24-2C57BD303D9D}"/>
              </a:ext>
            </a:extLst>
          </xdr:cNvPr>
          <xdr:cNvCxnSpPr/>
        </xdr:nvCxnSpPr>
        <xdr:spPr>
          <a:xfrm flipH="1">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1735" name="Cross_F15">
          <a:extLst>
            <a:ext uri="{FF2B5EF4-FFF2-40B4-BE49-F238E27FC236}">
              <a16:creationId xmlns:a16="http://schemas.microsoft.com/office/drawing/2014/main" id="{5EC36311-CED6-E051-D925-CD00AA34CCF5}"/>
            </a:ext>
          </a:extLst>
        </xdr:cNvPr>
        <xdr:cNvGrpSpPr/>
      </xdr:nvGrpSpPr>
      <xdr:grpSpPr>
        <a:xfrm>
          <a:off x="3421380" y="2895600"/>
          <a:ext cx="594360" cy="167640"/>
          <a:chOff x="3421380" y="2895600"/>
          <a:chExt cx="594360" cy="167640"/>
        </a:xfrm>
      </xdr:grpSpPr>
      <xdr:cxnSp macro="">
        <xdr:nvCxnSpPr>
          <xdr:cNvPr id="1733" name="Gerader Verbinder 1732">
            <a:extLst>
              <a:ext uri="{FF2B5EF4-FFF2-40B4-BE49-F238E27FC236}">
                <a16:creationId xmlns:a16="http://schemas.microsoft.com/office/drawing/2014/main" id="{2EF5BC7E-6348-C39D-52DC-52CE7FFFE1A3}"/>
              </a:ext>
            </a:extLst>
          </xdr:cNvPr>
          <xdr:cNvCxnSpPr/>
        </xdr:nvCxnSpPr>
        <xdr:spPr>
          <a:xfrm>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34" name="Gerader Verbinder 1733">
            <a:extLst>
              <a:ext uri="{FF2B5EF4-FFF2-40B4-BE49-F238E27FC236}">
                <a16:creationId xmlns:a16="http://schemas.microsoft.com/office/drawing/2014/main" id="{E624B2C8-9E9C-F259-BD58-09F195C00804}"/>
              </a:ext>
            </a:extLst>
          </xdr:cNvPr>
          <xdr:cNvCxnSpPr/>
        </xdr:nvCxnSpPr>
        <xdr:spPr>
          <a:xfrm flipH="1">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1738" name="Cross_F19">
          <a:extLst>
            <a:ext uri="{FF2B5EF4-FFF2-40B4-BE49-F238E27FC236}">
              <a16:creationId xmlns:a16="http://schemas.microsoft.com/office/drawing/2014/main" id="{014A2BBE-FD61-414C-741E-81EFED14E275}"/>
            </a:ext>
          </a:extLst>
        </xdr:cNvPr>
        <xdr:cNvGrpSpPr/>
      </xdr:nvGrpSpPr>
      <xdr:grpSpPr>
        <a:xfrm>
          <a:off x="3421380" y="3627120"/>
          <a:ext cx="594360" cy="228600"/>
          <a:chOff x="3421380" y="3627120"/>
          <a:chExt cx="594360" cy="228600"/>
        </a:xfrm>
      </xdr:grpSpPr>
      <xdr:cxnSp macro="">
        <xdr:nvCxnSpPr>
          <xdr:cNvPr id="1736" name="Gerader Verbinder 1735">
            <a:extLst>
              <a:ext uri="{FF2B5EF4-FFF2-40B4-BE49-F238E27FC236}">
                <a16:creationId xmlns:a16="http://schemas.microsoft.com/office/drawing/2014/main" id="{8ED75B22-9C8B-55EE-ECAD-0DC8F16FDE0B}"/>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37" name="Gerader Verbinder 1736">
            <a:extLst>
              <a:ext uri="{FF2B5EF4-FFF2-40B4-BE49-F238E27FC236}">
                <a16:creationId xmlns:a16="http://schemas.microsoft.com/office/drawing/2014/main" id="{0C0A624D-3F30-ACEF-EE77-E04B5B680260}"/>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1741" name="Cross_F20">
          <a:extLst>
            <a:ext uri="{FF2B5EF4-FFF2-40B4-BE49-F238E27FC236}">
              <a16:creationId xmlns:a16="http://schemas.microsoft.com/office/drawing/2014/main" id="{CDF95E18-27B4-C161-1E0A-89D766A993EA}"/>
            </a:ext>
          </a:extLst>
        </xdr:cNvPr>
        <xdr:cNvGrpSpPr/>
      </xdr:nvGrpSpPr>
      <xdr:grpSpPr>
        <a:xfrm>
          <a:off x="3421380" y="3855720"/>
          <a:ext cx="594360" cy="167640"/>
          <a:chOff x="3421380" y="3855720"/>
          <a:chExt cx="594360" cy="167640"/>
        </a:xfrm>
      </xdr:grpSpPr>
      <xdr:cxnSp macro="">
        <xdr:nvCxnSpPr>
          <xdr:cNvPr id="1739" name="Gerader Verbinder 1738">
            <a:extLst>
              <a:ext uri="{FF2B5EF4-FFF2-40B4-BE49-F238E27FC236}">
                <a16:creationId xmlns:a16="http://schemas.microsoft.com/office/drawing/2014/main" id="{CD0385A6-A92C-89D0-80A1-50489CD891A8}"/>
              </a:ext>
            </a:extLst>
          </xdr:cNvPr>
          <xdr:cNvCxnSpPr/>
        </xdr:nvCxnSpPr>
        <xdr:spPr>
          <a:xfrm>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0" name="Gerader Verbinder 1739">
            <a:extLst>
              <a:ext uri="{FF2B5EF4-FFF2-40B4-BE49-F238E27FC236}">
                <a16:creationId xmlns:a16="http://schemas.microsoft.com/office/drawing/2014/main" id="{039C7E27-41BE-EC75-F3D6-F515130DA45F}"/>
              </a:ext>
            </a:extLst>
          </xdr:cNvPr>
          <xdr:cNvCxnSpPr/>
        </xdr:nvCxnSpPr>
        <xdr:spPr>
          <a:xfrm flipH="1">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1744" name="Cross_F21">
          <a:extLst>
            <a:ext uri="{FF2B5EF4-FFF2-40B4-BE49-F238E27FC236}">
              <a16:creationId xmlns:a16="http://schemas.microsoft.com/office/drawing/2014/main" id="{E9A326AC-14D2-C206-FF06-F7DC9E53BBE9}"/>
            </a:ext>
          </a:extLst>
        </xdr:cNvPr>
        <xdr:cNvGrpSpPr/>
      </xdr:nvGrpSpPr>
      <xdr:grpSpPr>
        <a:xfrm>
          <a:off x="3421380" y="4023360"/>
          <a:ext cx="594360" cy="167640"/>
          <a:chOff x="3421380" y="4023360"/>
          <a:chExt cx="594360" cy="167640"/>
        </a:xfrm>
      </xdr:grpSpPr>
      <xdr:cxnSp macro="">
        <xdr:nvCxnSpPr>
          <xdr:cNvPr id="1742" name="Gerader Verbinder 1741">
            <a:extLst>
              <a:ext uri="{FF2B5EF4-FFF2-40B4-BE49-F238E27FC236}">
                <a16:creationId xmlns:a16="http://schemas.microsoft.com/office/drawing/2014/main" id="{9F97EA28-D906-DFE3-38DE-247B58DD5FE1}"/>
              </a:ext>
            </a:extLst>
          </xdr:cNvPr>
          <xdr:cNvCxnSpPr/>
        </xdr:nvCxnSpPr>
        <xdr:spPr>
          <a:xfrm>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3" name="Gerader Verbinder 1742">
            <a:extLst>
              <a:ext uri="{FF2B5EF4-FFF2-40B4-BE49-F238E27FC236}">
                <a16:creationId xmlns:a16="http://schemas.microsoft.com/office/drawing/2014/main" id="{8341C82F-559D-7523-DDA9-5F9D902D6DD6}"/>
              </a:ext>
            </a:extLst>
          </xdr:cNvPr>
          <xdr:cNvCxnSpPr/>
        </xdr:nvCxnSpPr>
        <xdr:spPr>
          <a:xfrm flipH="1">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747" name="Cross_F28">
          <a:extLst>
            <a:ext uri="{FF2B5EF4-FFF2-40B4-BE49-F238E27FC236}">
              <a16:creationId xmlns:a16="http://schemas.microsoft.com/office/drawing/2014/main" id="{DE8306BD-E61B-3CF1-1650-7FF13FEC1F8B}"/>
            </a:ext>
          </a:extLst>
        </xdr:cNvPr>
        <xdr:cNvGrpSpPr/>
      </xdr:nvGrpSpPr>
      <xdr:grpSpPr>
        <a:xfrm>
          <a:off x="3421380" y="5318760"/>
          <a:ext cx="594360" cy="228600"/>
          <a:chOff x="3421380" y="5318760"/>
          <a:chExt cx="594360" cy="228600"/>
        </a:xfrm>
      </xdr:grpSpPr>
      <xdr:cxnSp macro="">
        <xdr:nvCxnSpPr>
          <xdr:cNvPr id="1745" name="Gerader Verbinder 1744">
            <a:extLst>
              <a:ext uri="{FF2B5EF4-FFF2-40B4-BE49-F238E27FC236}">
                <a16:creationId xmlns:a16="http://schemas.microsoft.com/office/drawing/2014/main" id="{06105C07-219B-FE77-359B-536A0D9B9648}"/>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6" name="Gerader Verbinder 1745">
            <a:extLst>
              <a:ext uri="{FF2B5EF4-FFF2-40B4-BE49-F238E27FC236}">
                <a16:creationId xmlns:a16="http://schemas.microsoft.com/office/drawing/2014/main" id="{75107C98-0486-3F87-F1B5-5796F79F4D59}"/>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750" name="Cross_F29">
          <a:extLst>
            <a:ext uri="{FF2B5EF4-FFF2-40B4-BE49-F238E27FC236}">
              <a16:creationId xmlns:a16="http://schemas.microsoft.com/office/drawing/2014/main" id="{F2B5BF40-DFAC-D196-54F8-49A4BE3C1026}"/>
            </a:ext>
          </a:extLst>
        </xdr:cNvPr>
        <xdr:cNvGrpSpPr/>
      </xdr:nvGrpSpPr>
      <xdr:grpSpPr>
        <a:xfrm>
          <a:off x="3421380" y="5547360"/>
          <a:ext cx="594360" cy="167640"/>
          <a:chOff x="3421380" y="5547360"/>
          <a:chExt cx="594360" cy="167640"/>
        </a:xfrm>
      </xdr:grpSpPr>
      <xdr:cxnSp macro="">
        <xdr:nvCxnSpPr>
          <xdr:cNvPr id="1748" name="Gerader Verbinder 1747">
            <a:extLst>
              <a:ext uri="{FF2B5EF4-FFF2-40B4-BE49-F238E27FC236}">
                <a16:creationId xmlns:a16="http://schemas.microsoft.com/office/drawing/2014/main" id="{0CB03488-E995-86EA-94FD-4F811B7277F5}"/>
              </a:ext>
            </a:extLst>
          </xdr:cNvPr>
          <xdr:cNvCxnSpPr/>
        </xdr:nvCxnSpPr>
        <xdr:spPr>
          <a:xfrm>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9" name="Gerader Verbinder 1748">
            <a:extLst>
              <a:ext uri="{FF2B5EF4-FFF2-40B4-BE49-F238E27FC236}">
                <a16:creationId xmlns:a16="http://schemas.microsoft.com/office/drawing/2014/main" id="{DAA1DE63-045B-0958-1B11-3047279060B7}"/>
              </a:ext>
            </a:extLst>
          </xdr:cNvPr>
          <xdr:cNvCxnSpPr/>
        </xdr:nvCxnSpPr>
        <xdr:spPr>
          <a:xfrm flipH="1">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1753" name="Cross_F30">
          <a:extLst>
            <a:ext uri="{FF2B5EF4-FFF2-40B4-BE49-F238E27FC236}">
              <a16:creationId xmlns:a16="http://schemas.microsoft.com/office/drawing/2014/main" id="{DCA3D0DE-E876-D442-9779-E27749DFC204}"/>
            </a:ext>
          </a:extLst>
        </xdr:cNvPr>
        <xdr:cNvGrpSpPr/>
      </xdr:nvGrpSpPr>
      <xdr:grpSpPr>
        <a:xfrm>
          <a:off x="3421380" y="5715000"/>
          <a:ext cx="594360" cy="167640"/>
          <a:chOff x="3421380" y="5715000"/>
          <a:chExt cx="594360" cy="167640"/>
        </a:xfrm>
      </xdr:grpSpPr>
      <xdr:cxnSp macro="">
        <xdr:nvCxnSpPr>
          <xdr:cNvPr id="1751" name="Gerader Verbinder 1750">
            <a:extLst>
              <a:ext uri="{FF2B5EF4-FFF2-40B4-BE49-F238E27FC236}">
                <a16:creationId xmlns:a16="http://schemas.microsoft.com/office/drawing/2014/main" id="{9660A452-AB63-0E58-60E4-D9A921000D73}"/>
              </a:ext>
            </a:extLst>
          </xdr:cNvPr>
          <xdr:cNvCxnSpPr/>
        </xdr:nvCxnSpPr>
        <xdr:spPr>
          <a:xfrm>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52" name="Gerader Verbinder 1751">
            <a:extLst>
              <a:ext uri="{FF2B5EF4-FFF2-40B4-BE49-F238E27FC236}">
                <a16:creationId xmlns:a16="http://schemas.microsoft.com/office/drawing/2014/main" id="{4F3428E3-B0D0-05EF-E555-EED1D5888BF2}"/>
              </a:ext>
            </a:extLst>
          </xdr:cNvPr>
          <xdr:cNvCxnSpPr/>
        </xdr:nvCxnSpPr>
        <xdr:spPr>
          <a:xfrm flipH="1">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1756" name="Cross_F37">
          <a:extLst>
            <a:ext uri="{FF2B5EF4-FFF2-40B4-BE49-F238E27FC236}">
              <a16:creationId xmlns:a16="http://schemas.microsoft.com/office/drawing/2014/main" id="{14E19731-CC16-A000-34ED-F4131BC9C3BF}"/>
            </a:ext>
          </a:extLst>
        </xdr:cNvPr>
        <xdr:cNvGrpSpPr/>
      </xdr:nvGrpSpPr>
      <xdr:grpSpPr>
        <a:xfrm>
          <a:off x="3421380" y="7010400"/>
          <a:ext cx="594360" cy="228600"/>
          <a:chOff x="3421380" y="7010400"/>
          <a:chExt cx="594360" cy="228600"/>
        </a:xfrm>
      </xdr:grpSpPr>
      <xdr:cxnSp macro="">
        <xdr:nvCxnSpPr>
          <xdr:cNvPr id="1754" name="Gerader Verbinder 1753">
            <a:extLst>
              <a:ext uri="{FF2B5EF4-FFF2-40B4-BE49-F238E27FC236}">
                <a16:creationId xmlns:a16="http://schemas.microsoft.com/office/drawing/2014/main" id="{A1F8ED0C-D17F-D5FA-5FB8-C3CD2BE22FAA}"/>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55" name="Gerader Verbinder 1754">
            <a:extLst>
              <a:ext uri="{FF2B5EF4-FFF2-40B4-BE49-F238E27FC236}">
                <a16:creationId xmlns:a16="http://schemas.microsoft.com/office/drawing/2014/main" id="{42699A17-4672-FA0F-312C-9817080CE68F}"/>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1759" name="Cross_F38">
          <a:extLst>
            <a:ext uri="{FF2B5EF4-FFF2-40B4-BE49-F238E27FC236}">
              <a16:creationId xmlns:a16="http://schemas.microsoft.com/office/drawing/2014/main" id="{D7B478FC-1B37-F73C-7163-56B35D7E843E}"/>
            </a:ext>
          </a:extLst>
        </xdr:cNvPr>
        <xdr:cNvGrpSpPr/>
      </xdr:nvGrpSpPr>
      <xdr:grpSpPr>
        <a:xfrm>
          <a:off x="3421380" y="7239000"/>
          <a:ext cx="594360" cy="167640"/>
          <a:chOff x="3421380" y="7239000"/>
          <a:chExt cx="594360" cy="167640"/>
        </a:xfrm>
      </xdr:grpSpPr>
      <xdr:cxnSp macro="">
        <xdr:nvCxnSpPr>
          <xdr:cNvPr id="1757" name="Gerader Verbinder 1756">
            <a:extLst>
              <a:ext uri="{FF2B5EF4-FFF2-40B4-BE49-F238E27FC236}">
                <a16:creationId xmlns:a16="http://schemas.microsoft.com/office/drawing/2014/main" id="{3E7A594B-15F2-B288-D0DE-D1429724763C}"/>
              </a:ext>
            </a:extLst>
          </xdr:cNvPr>
          <xdr:cNvCxnSpPr/>
        </xdr:nvCxnSpPr>
        <xdr:spPr>
          <a:xfrm>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58" name="Gerader Verbinder 1757">
            <a:extLst>
              <a:ext uri="{FF2B5EF4-FFF2-40B4-BE49-F238E27FC236}">
                <a16:creationId xmlns:a16="http://schemas.microsoft.com/office/drawing/2014/main" id="{C836AD09-4893-B3A4-470E-9ABE6AA1919B}"/>
              </a:ext>
            </a:extLst>
          </xdr:cNvPr>
          <xdr:cNvCxnSpPr/>
        </xdr:nvCxnSpPr>
        <xdr:spPr>
          <a:xfrm flipH="1">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1762" name="Cross_F39">
          <a:extLst>
            <a:ext uri="{FF2B5EF4-FFF2-40B4-BE49-F238E27FC236}">
              <a16:creationId xmlns:a16="http://schemas.microsoft.com/office/drawing/2014/main" id="{F3B8B5D3-5823-B095-9450-AC38A454B671}"/>
            </a:ext>
          </a:extLst>
        </xdr:cNvPr>
        <xdr:cNvGrpSpPr/>
      </xdr:nvGrpSpPr>
      <xdr:grpSpPr>
        <a:xfrm>
          <a:off x="3421380" y="7406640"/>
          <a:ext cx="594360" cy="167640"/>
          <a:chOff x="3421380" y="7406640"/>
          <a:chExt cx="594360" cy="167640"/>
        </a:xfrm>
      </xdr:grpSpPr>
      <xdr:cxnSp macro="">
        <xdr:nvCxnSpPr>
          <xdr:cNvPr id="1760" name="Gerader Verbinder 1759">
            <a:extLst>
              <a:ext uri="{FF2B5EF4-FFF2-40B4-BE49-F238E27FC236}">
                <a16:creationId xmlns:a16="http://schemas.microsoft.com/office/drawing/2014/main" id="{E195C173-7D4C-0B65-BD52-22EF5A483A21}"/>
              </a:ext>
            </a:extLst>
          </xdr:cNvPr>
          <xdr:cNvCxnSpPr/>
        </xdr:nvCxnSpPr>
        <xdr:spPr>
          <a:xfrm>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61" name="Gerader Verbinder 1760">
            <a:extLst>
              <a:ext uri="{FF2B5EF4-FFF2-40B4-BE49-F238E27FC236}">
                <a16:creationId xmlns:a16="http://schemas.microsoft.com/office/drawing/2014/main" id="{8A44DD87-3634-6092-3E3F-4F995EFB4691}"/>
              </a:ext>
            </a:extLst>
          </xdr:cNvPr>
          <xdr:cNvCxnSpPr/>
        </xdr:nvCxnSpPr>
        <xdr:spPr>
          <a:xfrm flipH="1">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1765" name="Cross_F40">
          <a:extLst>
            <a:ext uri="{FF2B5EF4-FFF2-40B4-BE49-F238E27FC236}">
              <a16:creationId xmlns:a16="http://schemas.microsoft.com/office/drawing/2014/main" id="{C56D5A19-D9A5-75DC-F7C1-FE5B1D40ADB1}"/>
            </a:ext>
          </a:extLst>
        </xdr:cNvPr>
        <xdr:cNvGrpSpPr/>
      </xdr:nvGrpSpPr>
      <xdr:grpSpPr>
        <a:xfrm>
          <a:off x="3421380" y="7574280"/>
          <a:ext cx="594360" cy="228600"/>
          <a:chOff x="3421380" y="7574280"/>
          <a:chExt cx="594360" cy="228600"/>
        </a:xfrm>
      </xdr:grpSpPr>
      <xdr:cxnSp macro="">
        <xdr:nvCxnSpPr>
          <xdr:cNvPr id="1763" name="Gerader Verbinder 1762">
            <a:extLst>
              <a:ext uri="{FF2B5EF4-FFF2-40B4-BE49-F238E27FC236}">
                <a16:creationId xmlns:a16="http://schemas.microsoft.com/office/drawing/2014/main" id="{323D6043-300C-4B7B-1AA4-E6AA9AF0273E}"/>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64" name="Gerader Verbinder 1763">
            <a:extLst>
              <a:ext uri="{FF2B5EF4-FFF2-40B4-BE49-F238E27FC236}">
                <a16:creationId xmlns:a16="http://schemas.microsoft.com/office/drawing/2014/main" id="{95FCB628-DE5E-FDCA-EC6C-AA21B36C446C}"/>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1768" name="Cross_F41">
          <a:extLst>
            <a:ext uri="{FF2B5EF4-FFF2-40B4-BE49-F238E27FC236}">
              <a16:creationId xmlns:a16="http://schemas.microsoft.com/office/drawing/2014/main" id="{C11F95C1-CFB9-3F43-FADA-DD63DF7D3548}"/>
            </a:ext>
          </a:extLst>
        </xdr:cNvPr>
        <xdr:cNvGrpSpPr/>
      </xdr:nvGrpSpPr>
      <xdr:grpSpPr>
        <a:xfrm>
          <a:off x="3421380" y="7802880"/>
          <a:ext cx="594360" cy="167640"/>
          <a:chOff x="3421380" y="7802880"/>
          <a:chExt cx="594360" cy="167640"/>
        </a:xfrm>
      </xdr:grpSpPr>
      <xdr:cxnSp macro="">
        <xdr:nvCxnSpPr>
          <xdr:cNvPr id="1766" name="Gerader Verbinder 1765">
            <a:extLst>
              <a:ext uri="{FF2B5EF4-FFF2-40B4-BE49-F238E27FC236}">
                <a16:creationId xmlns:a16="http://schemas.microsoft.com/office/drawing/2014/main" id="{CDAD6A52-34F6-EFDC-A985-02C198DE6EC9}"/>
              </a:ext>
            </a:extLst>
          </xdr:cNvPr>
          <xdr:cNvCxnSpPr/>
        </xdr:nvCxnSpPr>
        <xdr:spPr>
          <a:xfrm>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67" name="Gerader Verbinder 1766">
            <a:extLst>
              <a:ext uri="{FF2B5EF4-FFF2-40B4-BE49-F238E27FC236}">
                <a16:creationId xmlns:a16="http://schemas.microsoft.com/office/drawing/2014/main" id="{70397C88-C248-FC27-BBC7-2B2E237B92E9}"/>
              </a:ext>
            </a:extLst>
          </xdr:cNvPr>
          <xdr:cNvCxnSpPr/>
        </xdr:nvCxnSpPr>
        <xdr:spPr>
          <a:xfrm flipH="1">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1771" name="Cross_F42">
          <a:extLst>
            <a:ext uri="{FF2B5EF4-FFF2-40B4-BE49-F238E27FC236}">
              <a16:creationId xmlns:a16="http://schemas.microsoft.com/office/drawing/2014/main" id="{89CA75D5-ED23-A801-FA3B-19CC25934648}"/>
            </a:ext>
          </a:extLst>
        </xdr:cNvPr>
        <xdr:cNvGrpSpPr/>
      </xdr:nvGrpSpPr>
      <xdr:grpSpPr>
        <a:xfrm>
          <a:off x="3421380" y="7970520"/>
          <a:ext cx="594360" cy="167640"/>
          <a:chOff x="3421380" y="7970520"/>
          <a:chExt cx="594360" cy="167640"/>
        </a:xfrm>
      </xdr:grpSpPr>
      <xdr:cxnSp macro="">
        <xdr:nvCxnSpPr>
          <xdr:cNvPr id="1769" name="Gerader Verbinder 1768">
            <a:extLst>
              <a:ext uri="{FF2B5EF4-FFF2-40B4-BE49-F238E27FC236}">
                <a16:creationId xmlns:a16="http://schemas.microsoft.com/office/drawing/2014/main" id="{A008EE17-15BF-7A18-75AC-084E0E8F4602}"/>
              </a:ext>
            </a:extLst>
          </xdr:cNvPr>
          <xdr:cNvCxnSpPr/>
        </xdr:nvCxnSpPr>
        <xdr:spPr>
          <a:xfrm>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0" name="Gerader Verbinder 1769">
            <a:extLst>
              <a:ext uri="{FF2B5EF4-FFF2-40B4-BE49-F238E27FC236}">
                <a16:creationId xmlns:a16="http://schemas.microsoft.com/office/drawing/2014/main" id="{A585F5A3-6F82-BBDB-C6CF-8375A29ED8E6}"/>
              </a:ext>
            </a:extLst>
          </xdr:cNvPr>
          <xdr:cNvCxnSpPr/>
        </xdr:nvCxnSpPr>
        <xdr:spPr>
          <a:xfrm flipH="1">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1774" name="Cross_F43">
          <a:extLst>
            <a:ext uri="{FF2B5EF4-FFF2-40B4-BE49-F238E27FC236}">
              <a16:creationId xmlns:a16="http://schemas.microsoft.com/office/drawing/2014/main" id="{9270BE0A-C447-52C7-097E-26BF97D95B82}"/>
            </a:ext>
          </a:extLst>
        </xdr:cNvPr>
        <xdr:cNvGrpSpPr/>
      </xdr:nvGrpSpPr>
      <xdr:grpSpPr>
        <a:xfrm>
          <a:off x="3421380" y="8138160"/>
          <a:ext cx="594360" cy="228600"/>
          <a:chOff x="3421380" y="8138160"/>
          <a:chExt cx="594360" cy="228600"/>
        </a:xfrm>
      </xdr:grpSpPr>
      <xdr:cxnSp macro="">
        <xdr:nvCxnSpPr>
          <xdr:cNvPr id="1772" name="Gerader Verbinder 1771">
            <a:extLst>
              <a:ext uri="{FF2B5EF4-FFF2-40B4-BE49-F238E27FC236}">
                <a16:creationId xmlns:a16="http://schemas.microsoft.com/office/drawing/2014/main" id="{F052D932-6D1B-2144-C8F3-A401717C2269}"/>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3" name="Gerader Verbinder 1772">
            <a:extLst>
              <a:ext uri="{FF2B5EF4-FFF2-40B4-BE49-F238E27FC236}">
                <a16:creationId xmlns:a16="http://schemas.microsoft.com/office/drawing/2014/main" id="{A67A87BE-44FF-094D-2BCF-52C3F589F6F6}"/>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1777" name="Cross_F44">
          <a:extLst>
            <a:ext uri="{FF2B5EF4-FFF2-40B4-BE49-F238E27FC236}">
              <a16:creationId xmlns:a16="http://schemas.microsoft.com/office/drawing/2014/main" id="{2DB0DE4E-A652-375A-0F52-FDD1E3C88A15}"/>
            </a:ext>
          </a:extLst>
        </xdr:cNvPr>
        <xdr:cNvGrpSpPr/>
      </xdr:nvGrpSpPr>
      <xdr:grpSpPr>
        <a:xfrm>
          <a:off x="3421380" y="8366760"/>
          <a:ext cx="594360" cy="167640"/>
          <a:chOff x="3421380" y="8366760"/>
          <a:chExt cx="594360" cy="167640"/>
        </a:xfrm>
      </xdr:grpSpPr>
      <xdr:cxnSp macro="">
        <xdr:nvCxnSpPr>
          <xdr:cNvPr id="1775" name="Gerader Verbinder 1774">
            <a:extLst>
              <a:ext uri="{FF2B5EF4-FFF2-40B4-BE49-F238E27FC236}">
                <a16:creationId xmlns:a16="http://schemas.microsoft.com/office/drawing/2014/main" id="{6F3C23C2-FFF0-2044-E40C-EDCD03B60C53}"/>
              </a:ext>
            </a:extLst>
          </xdr:cNvPr>
          <xdr:cNvCxnSpPr/>
        </xdr:nvCxnSpPr>
        <xdr:spPr>
          <a:xfrm>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6" name="Gerader Verbinder 1775">
            <a:extLst>
              <a:ext uri="{FF2B5EF4-FFF2-40B4-BE49-F238E27FC236}">
                <a16:creationId xmlns:a16="http://schemas.microsoft.com/office/drawing/2014/main" id="{8397A334-1F88-7B78-ECB0-658997CCC637}"/>
              </a:ext>
            </a:extLst>
          </xdr:cNvPr>
          <xdr:cNvCxnSpPr/>
        </xdr:nvCxnSpPr>
        <xdr:spPr>
          <a:xfrm flipH="1">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1780" name="Cross_F45">
          <a:extLst>
            <a:ext uri="{FF2B5EF4-FFF2-40B4-BE49-F238E27FC236}">
              <a16:creationId xmlns:a16="http://schemas.microsoft.com/office/drawing/2014/main" id="{50F88C32-1A84-69D1-CADA-8C5002E98BBA}"/>
            </a:ext>
          </a:extLst>
        </xdr:cNvPr>
        <xdr:cNvGrpSpPr/>
      </xdr:nvGrpSpPr>
      <xdr:grpSpPr>
        <a:xfrm>
          <a:off x="3421380" y="8534400"/>
          <a:ext cx="594360" cy="167640"/>
          <a:chOff x="3421380" y="8534400"/>
          <a:chExt cx="594360" cy="167640"/>
        </a:xfrm>
      </xdr:grpSpPr>
      <xdr:cxnSp macro="">
        <xdr:nvCxnSpPr>
          <xdr:cNvPr id="1778" name="Gerader Verbinder 1777">
            <a:extLst>
              <a:ext uri="{FF2B5EF4-FFF2-40B4-BE49-F238E27FC236}">
                <a16:creationId xmlns:a16="http://schemas.microsoft.com/office/drawing/2014/main" id="{AA953D0C-5C2F-9CC7-544C-541256B30FB0}"/>
              </a:ext>
            </a:extLst>
          </xdr:cNvPr>
          <xdr:cNvCxnSpPr/>
        </xdr:nvCxnSpPr>
        <xdr:spPr>
          <a:xfrm>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9" name="Gerader Verbinder 1778">
            <a:extLst>
              <a:ext uri="{FF2B5EF4-FFF2-40B4-BE49-F238E27FC236}">
                <a16:creationId xmlns:a16="http://schemas.microsoft.com/office/drawing/2014/main" id="{D38DBADE-72DB-53F9-EDD5-70A1CAFF533C}"/>
              </a:ext>
            </a:extLst>
          </xdr:cNvPr>
          <xdr:cNvCxnSpPr/>
        </xdr:nvCxnSpPr>
        <xdr:spPr>
          <a:xfrm flipH="1">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1783" name="Cross_F46">
          <a:extLst>
            <a:ext uri="{FF2B5EF4-FFF2-40B4-BE49-F238E27FC236}">
              <a16:creationId xmlns:a16="http://schemas.microsoft.com/office/drawing/2014/main" id="{9F2E5250-E401-93F0-AF81-1E195BE10D9D}"/>
            </a:ext>
          </a:extLst>
        </xdr:cNvPr>
        <xdr:cNvGrpSpPr/>
      </xdr:nvGrpSpPr>
      <xdr:grpSpPr>
        <a:xfrm>
          <a:off x="3421380" y="8702040"/>
          <a:ext cx="594360" cy="228600"/>
          <a:chOff x="3421380" y="8702040"/>
          <a:chExt cx="594360" cy="228600"/>
        </a:xfrm>
      </xdr:grpSpPr>
      <xdr:cxnSp macro="">
        <xdr:nvCxnSpPr>
          <xdr:cNvPr id="1781" name="Gerader Verbinder 1780">
            <a:extLst>
              <a:ext uri="{FF2B5EF4-FFF2-40B4-BE49-F238E27FC236}">
                <a16:creationId xmlns:a16="http://schemas.microsoft.com/office/drawing/2014/main" id="{2800883C-9C23-DEFA-DD8A-65936726F1B9}"/>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82" name="Gerader Verbinder 1781">
            <a:extLst>
              <a:ext uri="{FF2B5EF4-FFF2-40B4-BE49-F238E27FC236}">
                <a16:creationId xmlns:a16="http://schemas.microsoft.com/office/drawing/2014/main" id="{2FB97BCE-1CE5-8643-6A50-A4DD653294FA}"/>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1786" name="Cross_F47">
          <a:extLst>
            <a:ext uri="{FF2B5EF4-FFF2-40B4-BE49-F238E27FC236}">
              <a16:creationId xmlns:a16="http://schemas.microsoft.com/office/drawing/2014/main" id="{CC3DB52E-A3BB-C47D-AF07-D292BDF7F726}"/>
            </a:ext>
          </a:extLst>
        </xdr:cNvPr>
        <xdr:cNvGrpSpPr/>
      </xdr:nvGrpSpPr>
      <xdr:grpSpPr>
        <a:xfrm>
          <a:off x="3421380" y="8930640"/>
          <a:ext cx="594360" cy="167640"/>
          <a:chOff x="3421380" y="8930640"/>
          <a:chExt cx="594360" cy="167640"/>
        </a:xfrm>
      </xdr:grpSpPr>
      <xdr:cxnSp macro="">
        <xdr:nvCxnSpPr>
          <xdr:cNvPr id="1784" name="Gerader Verbinder 1783">
            <a:extLst>
              <a:ext uri="{FF2B5EF4-FFF2-40B4-BE49-F238E27FC236}">
                <a16:creationId xmlns:a16="http://schemas.microsoft.com/office/drawing/2014/main" id="{47217399-6465-7991-CB37-12C3E04489AF}"/>
              </a:ext>
            </a:extLst>
          </xdr:cNvPr>
          <xdr:cNvCxnSpPr/>
        </xdr:nvCxnSpPr>
        <xdr:spPr>
          <a:xfrm>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85" name="Gerader Verbinder 1784">
            <a:extLst>
              <a:ext uri="{FF2B5EF4-FFF2-40B4-BE49-F238E27FC236}">
                <a16:creationId xmlns:a16="http://schemas.microsoft.com/office/drawing/2014/main" id="{89E5F030-303B-9A3B-ECA0-975886F80515}"/>
              </a:ext>
            </a:extLst>
          </xdr:cNvPr>
          <xdr:cNvCxnSpPr/>
        </xdr:nvCxnSpPr>
        <xdr:spPr>
          <a:xfrm flipH="1">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1789" name="Cross_F48">
          <a:extLst>
            <a:ext uri="{FF2B5EF4-FFF2-40B4-BE49-F238E27FC236}">
              <a16:creationId xmlns:a16="http://schemas.microsoft.com/office/drawing/2014/main" id="{AEE097E0-9BBD-52EA-A600-88D20D4A6ABC}"/>
            </a:ext>
          </a:extLst>
        </xdr:cNvPr>
        <xdr:cNvGrpSpPr/>
      </xdr:nvGrpSpPr>
      <xdr:grpSpPr>
        <a:xfrm>
          <a:off x="3421380" y="9098280"/>
          <a:ext cx="594360" cy="167640"/>
          <a:chOff x="3421380" y="9098280"/>
          <a:chExt cx="594360" cy="167640"/>
        </a:xfrm>
      </xdr:grpSpPr>
      <xdr:cxnSp macro="">
        <xdr:nvCxnSpPr>
          <xdr:cNvPr id="1787" name="Gerader Verbinder 1786">
            <a:extLst>
              <a:ext uri="{FF2B5EF4-FFF2-40B4-BE49-F238E27FC236}">
                <a16:creationId xmlns:a16="http://schemas.microsoft.com/office/drawing/2014/main" id="{7B97EF09-F6AE-64F9-6642-F197EB8A4A86}"/>
              </a:ext>
            </a:extLst>
          </xdr:cNvPr>
          <xdr:cNvCxnSpPr/>
        </xdr:nvCxnSpPr>
        <xdr:spPr>
          <a:xfrm>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88" name="Gerader Verbinder 1787">
            <a:extLst>
              <a:ext uri="{FF2B5EF4-FFF2-40B4-BE49-F238E27FC236}">
                <a16:creationId xmlns:a16="http://schemas.microsoft.com/office/drawing/2014/main" id="{4496C0BB-4681-1DA5-7767-0B9B82E0262A}"/>
              </a:ext>
            </a:extLst>
          </xdr:cNvPr>
          <xdr:cNvCxnSpPr/>
        </xdr:nvCxnSpPr>
        <xdr:spPr>
          <a:xfrm flipH="1">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1792" name="Cross_F55">
          <a:extLst>
            <a:ext uri="{FF2B5EF4-FFF2-40B4-BE49-F238E27FC236}">
              <a16:creationId xmlns:a16="http://schemas.microsoft.com/office/drawing/2014/main" id="{627E5CEE-CD8B-4A5D-9259-86C65B72837B}"/>
            </a:ext>
          </a:extLst>
        </xdr:cNvPr>
        <xdr:cNvGrpSpPr/>
      </xdr:nvGrpSpPr>
      <xdr:grpSpPr>
        <a:xfrm>
          <a:off x="3421380" y="10393680"/>
          <a:ext cx="594360" cy="228600"/>
          <a:chOff x="3421380" y="10393680"/>
          <a:chExt cx="594360" cy="228600"/>
        </a:xfrm>
      </xdr:grpSpPr>
      <xdr:cxnSp macro="">
        <xdr:nvCxnSpPr>
          <xdr:cNvPr id="1790" name="Gerader Verbinder 1789">
            <a:extLst>
              <a:ext uri="{FF2B5EF4-FFF2-40B4-BE49-F238E27FC236}">
                <a16:creationId xmlns:a16="http://schemas.microsoft.com/office/drawing/2014/main" id="{A9CA3C9C-98B8-7675-3515-A412A4CD31C3}"/>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91" name="Gerader Verbinder 1790">
            <a:extLst>
              <a:ext uri="{FF2B5EF4-FFF2-40B4-BE49-F238E27FC236}">
                <a16:creationId xmlns:a16="http://schemas.microsoft.com/office/drawing/2014/main" id="{9482D048-103A-2B64-A235-E099366748E1}"/>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1795" name="Cross_F56">
          <a:extLst>
            <a:ext uri="{FF2B5EF4-FFF2-40B4-BE49-F238E27FC236}">
              <a16:creationId xmlns:a16="http://schemas.microsoft.com/office/drawing/2014/main" id="{CD45D01F-3E37-57FC-1EB6-316870C778FC}"/>
            </a:ext>
          </a:extLst>
        </xdr:cNvPr>
        <xdr:cNvGrpSpPr/>
      </xdr:nvGrpSpPr>
      <xdr:grpSpPr>
        <a:xfrm>
          <a:off x="3421380" y="10622280"/>
          <a:ext cx="594360" cy="167640"/>
          <a:chOff x="3421380" y="10622280"/>
          <a:chExt cx="594360" cy="167640"/>
        </a:xfrm>
      </xdr:grpSpPr>
      <xdr:cxnSp macro="">
        <xdr:nvCxnSpPr>
          <xdr:cNvPr id="1793" name="Gerader Verbinder 1792">
            <a:extLst>
              <a:ext uri="{FF2B5EF4-FFF2-40B4-BE49-F238E27FC236}">
                <a16:creationId xmlns:a16="http://schemas.microsoft.com/office/drawing/2014/main" id="{10937FF1-D3C8-106F-4D79-D333DCA8A91C}"/>
              </a:ext>
            </a:extLst>
          </xdr:cNvPr>
          <xdr:cNvCxnSpPr/>
        </xdr:nvCxnSpPr>
        <xdr:spPr>
          <a:xfrm>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94" name="Gerader Verbinder 1793">
            <a:extLst>
              <a:ext uri="{FF2B5EF4-FFF2-40B4-BE49-F238E27FC236}">
                <a16:creationId xmlns:a16="http://schemas.microsoft.com/office/drawing/2014/main" id="{B58C2E79-E6B3-2BE3-6411-4C1A5E2EE879}"/>
              </a:ext>
            </a:extLst>
          </xdr:cNvPr>
          <xdr:cNvCxnSpPr/>
        </xdr:nvCxnSpPr>
        <xdr:spPr>
          <a:xfrm flipH="1">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1798" name="Cross_F57">
          <a:extLst>
            <a:ext uri="{FF2B5EF4-FFF2-40B4-BE49-F238E27FC236}">
              <a16:creationId xmlns:a16="http://schemas.microsoft.com/office/drawing/2014/main" id="{059F0AFC-7DD3-DDF6-051A-BC3959DD9549}"/>
            </a:ext>
          </a:extLst>
        </xdr:cNvPr>
        <xdr:cNvGrpSpPr/>
      </xdr:nvGrpSpPr>
      <xdr:grpSpPr>
        <a:xfrm>
          <a:off x="3421380" y="10789920"/>
          <a:ext cx="594360" cy="167640"/>
          <a:chOff x="3421380" y="10789920"/>
          <a:chExt cx="594360" cy="167640"/>
        </a:xfrm>
      </xdr:grpSpPr>
      <xdr:cxnSp macro="">
        <xdr:nvCxnSpPr>
          <xdr:cNvPr id="1796" name="Gerader Verbinder 1795">
            <a:extLst>
              <a:ext uri="{FF2B5EF4-FFF2-40B4-BE49-F238E27FC236}">
                <a16:creationId xmlns:a16="http://schemas.microsoft.com/office/drawing/2014/main" id="{BE236F52-D64C-10B8-DBEB-433468994730}"/>
              </a:ext>
            </a:extLst>
          </xdr:cNvPr>
          <xdr:cNvCxnSpPr/>
        </xdr:nvCxnSpPr>
        <xdr:spPr>
          <a:xfrm>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97" name="Gerader Verbinder 1796">
            <a:extLst>
              <a:ext uri="{FF2B5EF4-FFF2-40B4-BE49-F238E27FC236}">
                <a16:creationId xmlns:a16="http://schemas.microsoft.com/office/drawing/2014/main" id="{E68ACC2B-77A7-3D99-14BF-3E489E21F01D}"/>
              </a:ext>
            </a:extLst>
          </xdr:cNvPr>
          <xdr:cNvCxnSpPr/>
        </xdr:nvCxnSpPr>
        <xdr:spPr>
          <a:xfrm flipH="1">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1801" name="Cross_F58">
          <a:extLst>
            <a:ext uri="{FF2B5EF4-FFF2-40B4-BE49-F238E27FC236}">
              <a16:creationId xmlns:a16="http://schemas.microsoft.com/office/drawing/2014/main" id="{648FC6DC-609A-6EC3-8A3F-4E79D436AEB7}"/>
            </a:ext>
          </a:extLst>
        </xdr:cNvPr>
        <xdr:cNvGrpSpPr/>
      </xdr:nvGrpSpPr>
      <xdr:grpSpPr>
        <a:xfrm>
          <a:off x="3421380" y="10957560"/>
          <a:ext cx="594360" cy="228600"/>
          <a:chOff x="3421380" y="10957560"/>
          <a:chExt cx="594360" cy="228600"/>
        </a:xfrm>
      </xdr:grpSpPr>
      <xdr:cxnSp macro="">
        <xdr:nvCxnSpPr>
          <xdr:cNvPr id="1799" name="Gerader Verbinder 1798">
            <a:extLst>
              <a:ext uri="{FF2B5EF4-FFF2-40B4-BE49-F238E27FC236}">
                <a16:creationId xmlns:a16="http://schemas.microsoft.com/office/drawing/2014/main" id="{02B75098-B5E8-2C83-704D-858D5D977687}"/>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0" name="Gerader Verbinder 1799">
            <a:extLst>
              <a:ext uri="{FF2B5EF4-FFF2-40B4-BE49-F238E27FC236}">
                <a16:creationId xmlns:a16="http://schemas.microsoft.com/office/drawing/2014/main" id="{EF494BFE-23D7-194E-2CD8-74CCE1172AC3}"/>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1804" name="Cross_F59">
          <a:extLst>
            <a:ext uri="{FF2B5EF4-FFF2-40B4-BE49-F238E27FC236}">
              <a16:creationId xmlns:a16="http://schemas.microsoft.com/office/drawing/2014/main" id="{82B59EDD-4F48-E882-9B70-CB77F53F10CE}"/>
            </a:ext>
          </a:extLst>
        </xdr:cNvPr>
        <xdr:cNvGrpSpPr/>
      </xdr:nvGrpSpPr>
      <xdr:grpSpPr>
        <a:xfrm>
          <a:off x="3421380" y="11186160"/>
          <a:ext cx="594360" cy="167640"/>
          <a:chOff x="3421380" y="11186160"/>
          <a:chExt cx="594360" cy="167640"/>
        </a:xfrm>
      </xdr:grpSpPr>
      <xdr:cxnSp macro="">
        <xdr:nvCxnSpPr>
          <xdr:cNvPr id="1802" name="Gerader Verbinder 1801">
            <a:extLst>
              <a:ext uri="{FF2B5EF4-FFF2-40B4-BE49-F238E27FC236}">
                <a16:creationId xmlns:a16="http://schemas.microsoft.com/office/drawing/2014/main" id="{F43E92D1-0CD9-C062-4283-FCEC091CED3C}"/>
              </a:ext>
            </a:extLst>
          </xdr:cNvPr>
          <xdr:cNvCxnSpPr/>
        </xdr:nvCxnSpPr>
        <xdr:spPr>
          <a:xfrm>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3" name="Gerader Verbinder 1802">
            <a:extLst>
              <a:ext uri="{FF2B5EF4-FFF2-40B4-BE49-F238E27FC236}">
                <a16:creationId xmlns:a16="http://schemas.microsoft.com/office/drawing/2014/main" id="{1322492B-33E7-057A-D80A-07E55EFCE682}"/>
              </a:ext>
            </a:extLst>
          </xdr:cNvPr>
          <xdr:cNvCxnSpPr/>
        </xdr:nvCxnSpPr>
        <xdr:spPr>
          <a:xfrm flipH="1">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1807" name="Cross_F60">
          <a:extLst>
            <a:ext uri="{FF2B5EF4-FFF2-40B4-BE49-F238E27FC236}">
              <a16:creationId xmlns:a16="http://schemas.microsoft.com/office/drawing/2014/main" id="{BE77B41B-4190-4FA0-BC5F-D83F900400AE}"/>
            </a:ext>
          </a:extLst>
        </xdr:cNvPr>
        <xdr:cNvGrpSpPr/>
      </xdr:nvGrpSpPr>
      <xdr:grpSpPr>
        <a:xfrm>
          <a:off x="3421380" y="11353800"/>
          <a:ext cx="594360" cy="167640"/>
          <a:chOff x="3421380" y="11353800"/>
          <a:chExt cx="594360" cy="167640"/>
        </a:xfrm>
      </xdr:grpSpPr>
      <xdr:cxnSp macro="">
        <xdr:nvCxnSpPr>
          <xdr:cNvPr id="1805" name="Gerader Verbinder 1804">
            <a:extLst>
              <a:ext uri="{FF2B5EF4-FFF2-40B4-BE49-F238E27FC236}">
                <a16:creationId xmlns:a16="http://schemas.microsoft.com/office/drawing/2014/main" id="{B5E0D95B-4A41-56B3-6226-4E65F2912202}"/>
              </a:ext>
            </a:extLst>
          </xdr:cNvPr>
          <xdr:cNvCxnSpPr/>
        </xdr:nvCxnSpPr>
        <xdr:spPr>
          <a:xfrm>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6" name="Gerader Verbinder 1805">
            <a:extLst>
              <a:ext uri="{FF2B5EF4-FFF2-40B4-BE49-F238E27FC236}">
                <a16:creationId xmlns:a16="http://schemas.microsoft.com/office/drawing/2014/main" id="{06E0EC54-2356-A2CF-2F7A-D70A5C73CEC1}"/>
              </a:ext>
            </a:extLst>
          </xdr:cNvPr>
          <xdr:cNvCxnSpPr/>
        </xdr:nvCxnSpPr>
        <xdr:spPr>
          <a:xfrm flipH="1">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1810" name="Cross_F61">
          <a:extLst>
            <a:ext uri="{FF2B5EF4-FFF2-40B4-BE49-F238E27FC236}">
              <a16:creationId xmlns:a16="http://schemas.microsoft.com/office/drawing/2014/main" id="{469C9FD9-6451-C18A-42F9-98513481558B}"/>
            </a:ext>
          </a:extLst>
        </xdr:cNvPr>
        <xdr:cNvGrpSpPr/>
      </xdr:nvGrpSpPr>
      <xdr:grpSpPr>
        <a:xfrm>
          <a:off x="3421380" y="11521440"/>
          <a:ext cx="594360" cy="228600"/>
          <a:chOff x="3421380" y="11521440"/>
          <a:chExt cx="594360" cy="228600"/>
        </a:xfrm>
      </xdr:grpSpPr>
      <xdr:cxnSp macro="">
        <xdr:nvCxnSpPr>
          <xdr:cNvPr id="1808" name="Gerader Verbinder 1807">
            <a:extLst>
              <a:ext uri="{FF2B5EF4-FFF2-40B4-BE49-F238E27FC236}">
                <a16:creationId xmlns:a16="http://schemas.microsoft.com/office/drawing/2014/main" id="{8C230699-D8CC-0BEF-D9B7-CC400C6D7C29}"/>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9" name="Gerader Verbinder 1808">
            <a:extLst>
              <a:ext uri="{FF2B5EF4-FFF2-40B4-BE49-F238E27FC236}">
                <a16:creationId xmlns:a16="http://schemas.microsoft.com/office/drawing/2014/main" id="{D9F28B9E-6440-11B6-301D-01E6575A55DA}"/>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1813" name="Cross_F62">
          <a:extLst>
            <a:ext uri="{FF2B5EF4-FFF2-40B4-BE49-F238E27FC236}">
              <a16:creationId xmlns:a16="http://schemas.microsoft.com/office/drawing/2014/main" id="{6981B1A2-C19B-293D-C407-D06545F0BA58}"/>
            </a:ext>
          </a:extLst>
        </xdr:cNvPr>
        <xdr:cNvGrpSpPr/>
      </xdr:nvGrpSpPr>
      <xdr:grpSpPr>
        <a:xfrm>
          <a:off x="3421380" y="11750040"/>
          <a:ext cx="594360" cy="167640"/>
          <a:chOff x="3421380" y="11750040"/>
          <a:chExt cx="594360" cy="167640"/>
        </a:xfrm>
      </xdr:grpSpPr>
      <xdr:cxnSp macro="">
        <xdr:nvCxnSpPr>
          <xdr:cNvPr id="1811" name="Gerader Verbinder 1810">
            <a:extLst>
              <a:ext uri="{FF2B5EF4-FFF2-40B4-BE49-F238E27FC236}">
                <a16:creationId xmlns:a16="http://schemas.microsoft.com/office/drawing/2014/main" id="{AF3BD57D-1C29-2843-60C6-5D5F36FEB986}"/>
              </a:ext>
            </a:extLst>
          </xdr:cNvPr>
          <xdr:cNvCxnSpPr/>
        </xdr:nvCxnSpPr>
        <xdr:spPr>
          <a:xfrm>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12" name="Gerader Verbinder 1811">
            <a:extLst>
              <a:ext uri="{FF2B5EF4-FFF2-40B4-BE49-F238E27FC236}">
                <a16:creationId xmlns:a16="http://schemas.microsoft.com/office/drawing/2014/main" id="{DC5AC416-1707-B260-748D-E646415421DA}"/>
              </a:ext>
            </a:extLst>
          </xdr:cNvPr>
          <xdr:cNvCxnSpPr/>
        </xdr:nvCxnSpPr>
        <xdr:spPr>
          <a:xfrm flipH="1">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1816" name="Cross_F63">
          <a:extLst>
            <a:ext uri="{FF2B5EF4-FFF2-40B4-BE49-F238E27FC236}">
              <a16:creationId xmlns:a16="http://schemas.microsoft.com/office/drawing/2014/main" id="{EBAA42BD-C2F1-CDC4-807E-3FF5299A650F}"/>
            </a:ext>
          </a:extLst>
        </xdr:cNvPr>
        <xdr:cNvGrpSpPr/>
      </xdr:nvGrpSpPr>
      <xdr:grpSpPr>
        <a:xfrm>
          <a:off x="3421380" y="11917680"/>
          <a:ext cx="594360" cy="167640"/>
          <a:chOff x="3421380" y="11917680"/>
          <a:chExt cx="594360" cy="167640"/>
        </a:xfrm>
      </xdr:grpSpPr>
      <xdr:cxnSp macro="">
        <xdr:nvCxnSpPr>
          <xdr:cNvPr id="1814" name="Gerader Verbinder 1813">
            <a:extLst>
              <a:ext uri="{FF2B5EF4-FFF2-40B4-BE49-F238E27FC236}">
                <a16:creationId xmlns:a16="http://schemas.microsoft.com/office/drawing/2014/main" id="{BC7A29B7-3147-1BDB-1402-E27795DD6E46}"/>
              </a:ext>
            </a:extLst>
          </xdr:cNvPr>
          <xdr:cNvCxnSpPr/>
        </xdr:nvCxnSpPr>
        <xdr:spPr>
          <a:xfrm>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15" name="Gerader Verbinder 1814">
            <a:extLst>
              <a:ext uri="{FF2B5EF4-FFF2-40B4-BE49-F238E27FC236}">
                <a16:creationId xmlns:a16="http://schemas.microsoft.com/office/drawing/2014/main" id="{76D8C5C4-C48A-F410-FD87-BBC6CE2DE746}"/>
              </a:ext>
            </a:extLst>
          </xdr:cNvPr>
          <xdr:cNvCxnSpPr/>
        </xdr:nvCxnSpPr>
        <xdr:spPr>
          <a:xfrm flipH="1">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1819" name="Cross_F70">
          <a:extLst>
            <a:ext uri="{FF2B5EF4-FFF2-40B4-BE49-F238E27FC236}">
              <a16:creationId xmlns:a16="http://schemas.microsoft.com/office/drawing/2014/main" id="{57347344-D923-155E-2EA5-2C3B62A9A1C3}"/>
            </a:ext>
          </a:extLst>
        </xdr:cNvPr>
        <xdr:cNvGrpSpPr/>
      </xdr:nvGrpSpPr>
      <xdr:grpSpPr>
        <a:xfrm>
          <a:off x="3421380" y="13213080"/>
          <a:ext cx="594360" cy="228600"/>
          <a:chOff x="3421380" y="13213080"/>
          <a:chExt cx="594360" cy="228600"/>
        </a:xfrm>
      </xdr:grpSpPr>
      <xdr:cxnSp macro="">
        <xdr:nvCxnSpPr>
          <xdr:cNvPr id="1817" name="Gerader Verbinder 1816">
            <a:extLst>
              <a:ext uri="{FF2B5EF4-FFF2-40B4-BE49-F238E27FC236}">
                <a16:creationId xmlns:a16="http://schemas.microsoft.com/office/drawing/2014/main" id="{0D037BF0-96D7-54F8-E766-0F502C61A28E}"/>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18" name="Gerader Verbinder 1817">
            <a:extLst>
              <a:ext uri="{FF2B5EF4-FFF2-40B4-BE49-F238E27FC236}">
                <a16:creationId xmlns:a16="http://schemas.microsoft.com/office/drawing/2014/main" id="{E1F8B472-C525-B2DC-A578-7A4311DFAAF9}"/>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1822" name="Cross_F71">
          <a:extLst>
            <a:ext uri="{FF2B5EF4-FFF2-40B4-BE49-F238E27FC236}">
              <a16:creationId xmlns:a16="http://schemas.microsoft.com/office/drawing/2014/main" id="{0256255C-EE0B-225A-F6FA-0B596CE8074E}"/>
            </a:ext>
          </a:extLst>
        </xdr:cNvPr>
        <xdr:cNvGrpSpPr/>
      </xdr:nvGrpSpPr>
      <xdr:grpSpPr>
        <a:xfrm>
          <a:off x="3421380" y="13441680"/>
          <a:ext cx="594360" cy="167640"/>
          <a:chOff x="3421380" y="13441680"/>
          <a:chExt cx="594360" cy="167640"/>
        </a:xfrm>
      </xdr:grpSpPr>
      <xdr:cxnSp macro="">
        <xdr:nvCxnSpPr>
          <xdr:cNvPr id="1820" name="Gerader Verbinder 1819">
            <a:extLst>
              <a:ext uri="{FF2B5EF4-FFF2-40B4-BE49-F238E27FC236}">
                <a16:creationId xmlns:a16="http://schemas.microsoft.com/office/drawing/2014/main" id="{A877DE8B-B16F-F37A-2459-477A7329CE68}"/>
              </a:ext>
            </a:extLst>
          </xdr:cNvPr>
          <xdr:cNvCxnSpPr/>
        </xdr:nvCxnSpPr>
        <xdr:spPr>
          <a:xfrm>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21" name="Gerader Verbinder 1820">
            <a:extLst>
              <a:ext uri="{FF2B5EF4-FFF2-40B4-BE49-F238E27FC236}">
                <a16:creationId xmlns:a16="http://schemas.microsoft.com/office/drawing/2014/main" id="{C9BF5D2A-2DF8-3E5A-8013-36ACB70ECA09}"/>
              </a:ext>
            </a:extLst>
          </xdr:cNvPr>
          <xdr:cNvCxnSpPr/>
        </xdr:nvCxnSpPr>
        <xdr:spPr>
          <a:xfrm flipH="1">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1825" name="Cross_F72">
          <a:extLst>
            <a:ext uri="{FF2B5EF4-FFF2-40B4-BE49-F238E27FC236}">
              <a16:creationId xmlns:a16="http://schemas.microsoft.com/office/drawing/2014/main" id="{51BA7435-8B30-7BD3-1CE7-9B9C3B55A947}"/>
            </a:ext>
          </a:extLst>
        </xdr:cNvPr>
        <xdr:cNvGrpSpPr/>
      </xdr:nvGrpSpPr>
      <xdr:grpSpPr>
        <a:xfrm>
          <a:off x="3421380" y="13609320"/>
          <a:ext cx="594360" cy="167641"/>
          <a:chOff x="3421380" y="13609320"/>
          <a:chExt cx="594360" cy="167641"/>
        </a:xfrm>
      </xdr:grpSpPr>
      <xdr:cxnSp macro="">
        <xdr:nvCxnSpPr>
          <xdr:cNvPr id="1823" name="Gerader Verbinder 1822">
            <a:extLst>
              <a:ext uri="{FF2B5EF4-FFF2-40B4-BE49-F238E27FC236}">
                <a16:creationId xmlns:a16="http://schemas.microsoft.com/office/drawing/2014/main" id="{A8DD3FD7-841F-EE8C-9D65-F2C20D91F43A}"/>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24" name="Gerader Verbinder 1823">
            <a:extLst>
              <a:ext uri="{FF2B5EF4-FFF2-40B4-BE49-F238E27FC236}">
                <a16:creationId xmlns:a16="http://schemas.microsoft.com/office/drawing/2014/main" id="{5E13580C-EA7D-27FD-3601-1B046E278A8C}"/>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1828" name="Cross_F73">
          <a:extLst>
            <a:ext uri="{FF2B5EF4-FFF2-40B4-BE49-F238E27FC236}">
              <a16:creationId xmlns:a16="http://schemas.microsoft.com/office/drawing/2014/main" id="{ABCFB909-27B4-EABE-00A6-A5EE7262CE22}"/>
            </a:ext>
          </a:extLst>
        </xdr:cNvPr>
        <xdr:cNvGrpSpPr/>
      </xdr:nvGrpSpPr>
      <xdr:grpSpPr>
        <a:xfrm>
          <a:off x="3421380" y="13776961"/>
          <a:ext cx="594360" cy="228600"/>
          <a:chOff x="3421380" y="13776961"/>
          <a:chExt cx="594360" cy="228600"/>
        </a:xfrm>
      </xdr:grpSpPr>
      <xdr:cxnSp macro="">
        <xdr:nvCxnSpPr>
          <xdr:cNvPr id="1826" name="Gerader Verbinder 1825">
            <a:extLst>
              <a:ext uri="{FF2B5EF4-FFF2-40B4-BE49-F238E27FC236}">
                <a16:creationId xmlns:a16="http://schemas.microsoft.com/office/drawing/2014/main" id="{D7E838A3-A76B-4C71-B943-59047D675462}"/>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27" name="Gerader Verbinder 1826">
            <a:extLst>
              <a:ext uri="{FF2B5EF4-FFF2-40B4-BE49-F238E27FC236}">
                <a16:creationId xmlns:a16="http://schemas.microsoft.com/office/drawing/2014/main" id="{62DB16B8-7F4A-2CEA-B117-F2AC12AE1BA5}"/>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1831" name="Cross_F74">
          <a:extLst>
            <a:ext uri="{FF2B5EF4-FFF2-40B4-BE49-F238E27FC236}">
              <a16:creationId xmlns:a16="http://schemas.microsoft.com/office/drawing/2014/main" id="{A278BC04-D727-9C04-E586-6C6E35BC45AF}"/>
            </a:ext>
          </a:extLst>
        </xdr:cNvPr>
        <xdr:cNvGrpSpPr/>
      </xdr:nvGrpSpPr>
      <xdr:grpSpPr>
        <a:xfrm>
          <a:off x="3421380" y="14005561"/>
          <a:ext cx="594360" cy="167639"/>
          <a:chOff x="3421380" y="14005561"/>
          <a:chExt cx="594360" cy="167639"/>
        </a:xfrm>
      </xdr:grpSpPr>
      <xdr:cxnSp macro="">
        <xdr:nvCxnSpPr>
          <xdr:cNvPr id="1829" name="Gerader Verbinder 1828">
            <a:extLst>
              <a:ext uri="{FF2B5EF4-FFF2-40B4-BE49-F238E27FC236}">
                <a16:creationId xmlns:a16="http://schemas.microsoft.com/office/drawing/2014/main" id="{31C27204-0DBB-FD41-81A8-2619ED730C56}"/>
              </a:ext>
            </a:extLst>
          </xdr:cNvPr>
          <xdr:cNvCxnSpPr/>
        </xdr:nvCxnSpPr>
        <xdr:spPr>
          <a:xfrm>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0" name="Gerader Verbinder 1829">
            <a:extLst>
              <a:ext uri="{FF2B5EF4-FFF2-40B4-BE49-F238E27FC236}">
                <a16:creationId xmlns:a16="http://schemas.microsoft.com/office/drawing/2014/main" id="{6B1F6EF3-B91D-A04E-DA3B-9DA2917705F8}"/>
              </a:ext>
            </a:extLst>
          </xdr:cNvPr>
          <xdr:cNvCxnSpPr/>
        </xdr:nvCxnSpPr>
        <xdr:spPr>
          <a:xfrm flipH="1">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1834" name="Cross_F75">
          <a:extLst>
            <a:ext uri="{FF2B5EF4-FFF2-40B4-BE49-F238E27FC236}">
              <a16:creationId xmlns:a16="http://schemas.microsoft.com/office/drawing/2014/main" id="{A572A0F6-4A34-C1C7-FA9E-A121AE8A1AE8}"/>
            </a:ext>
          </a:extLst>
        </xdr:cNvPr>
        <xdr:cNvGrpSpPr/>
      </xdr:nvGrpSpPr>
      <xdr:grpSpPr>
        <a:xfrm>
          <a:off x="3421380" y="14173200"/>
          <a:ext cx="594360" cy="167639"/>
          <a:chOff x="3421380" y="14173200"/>
          <a:chExt cx="594360" cy="167639"/>
        </a:xfrm>
      </xdr:grpSpPr>
      <xdr:cxnSp macro="">
        <xdr:nvCxnSpPr>
          <xdr:cNvPr id="1832" name="Gerader Verbinder 1831">
            <a:extLst>
              <a:ext uri="{FF2B5EF4-FFF2-40B4-BE49-F238E27FC236}">
                <a16:creationId xmlns:a16="http://schemas.microsoft.com/office/drawing/2014/main" id="{C0642537-B5AB-0EBE-9C1B-E4A3DB1B3B14}"/>
              </a:ext>
            </a:extLst>
          </xdr:cNvPr>
          <xdr:cNvCxnSpPr/>
        </xdr:nvCxnSpPr>
        <xdr:spPr>
          <a:xfrm>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3" name="Gerader Verbinder 1832">
            <a:extLst>
              <a:ext uri="{FF2B5EF4-FFF2-40B4-BE49-F238E27FC236}">
                <a16:creationId xmlns:a16="http://schemas.microsoft.com/office/drawing/2014/main" id="{47FCCF0D-48F7-F8AA-3662-5CB1204BFE00}"/>
              </a:ext>
            </a:extLst>
          </xdr:cNvPr>
          <xdr:cNvCxnSpPr/>
        </xdr:nvCxnSpPr>
        <xdr:spPr>
          <a:xfrm flipH="1">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837" name="Cross_G7">
          <a:extLst>
            <a:ext uri="{FF2B5EF4-FFF2-40B4-BE49-F238E27FC236}">
              <a16:creationId xmlns:a16="http://schemas.microsoft.com/office/drawing/2014/main" id="{1875CF64-1339-4C57-7E9C-1AE1CD2ABA9E}"/>
            </a:ext>
          </a:extLst>
        </xdr:cNvPr>
        <xdr:cNvGrpSpPr/>
      </xdr:nvGrpSpPr>
      <xdr:grpSpPr>
        <a:xfrm>
          <a:off x="4015740" y="1371600"/>
          <a:ext cx="594360" cy="228600"/>
          <a:chOff x="4015740" y="1371600"/>
          <a:chExt cx="594360" cy="228600"/>
        </a:xfrm>
      </xdr:grpSpPr>
      <xdr:cxnSp macro="">
        <xdr:nvCxnSpPr>
          <xdr:cNvPr id="1835" name="Gerader Verbinder 1834">
            <a:extLst>
              <a:ext uri="{FF2B5EF4-FFF2-40B4-BE49-F238E27FC236}">
                <a16:creationId xmlns:a16="http://schemas.microsoft.com/office/drawing/2014/main" id="{F0A9853D-F604-2D46-41DB-F9B0B4EC7EB1}"/>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6" name="Gerader Verbinder 1835">
            <a:extLst>
              <a:ext uri="{FF2B5EF4-FFF2-40B4-BE49-F238E27FC236}">
                <a16:creationId xmlns:a16="http://schemas.microsoft.com/office/drawing/2014/main" id="{22B5172E-BEA8-678C-1B4B-6007D81372C9}"/>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1840" name="Cross_G8">
          <a:extLst>
            <a:ext uri="{FF2B5EF4-FFF2-40B4-BE49-F238E27FC236}">
              <a16:creationId xmlns:a16="http://schemas.microsoft.com/office/drawing/2014/main" id="{7892F087-E8A5-4683-5F11-5EB949F4BF5C}"/>
            </a:ext>
          </a:extLst>
        </xdr:cNvPr>
        <xdr:cNvGrpSpPr/>
      </xdr:nvGrpSpPr>
      <xdr:grpSpPr>
        <a:xfrm>
          <a:off x="4015740" y="1600200"/>
          <a:ext cx="594360" cy="167640"/>
          <a:chOff x="4015740" y="1600200"/>
          <a:chExt cx="594360" cy="167640"/>
        </a:xfrm>
      </xdr:grpSpPr>
      <xdr:cxnSp macro="">
        <xdr:nvCxnSpPr>
          <xdr:cNvPr id="1838" name="Gerader Verbinder 1837">
            <a:extLst>
              <a:ext uri="{FF2B5EF4-FFF2-40B4-BE49-F238E27FC236}">
                <a16:creationId xmlns:a16="http://schemas.microsoft.com/office/drawing/2014/main" id="{B3D59733-DDE3-0936-2AD1-AE401E5E7CD7}"/>
              </a:ext>
            </a:extLst>
          </xdr:cNvPr>
          <xdr:cNvCxnSpPr/>
        </xdr:nvCxnSpPr>
        <xdr:spPr>
          <a:xfrm>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9" name="Gerader Verbinder 1838">
            <a:extLst>
              <a:ext uri="{FF2B5EF4-FFF2-40B4-BE49-F238E27FC236}">
                <a16:creationId xmlns:a16="http://schemas.microsoft.com/office/drawing/2014/main" id="{005B8399-91D3-725E-485F-426E216950DF}"/>
              </a:ext>
            </a:extLst>
          </xdr:cNvPr>
          <xdr:cNvCxnSpPr/>
        </xdr:nvCxnSpPr>
        <xdr:spPr>
          <a:xfrm flipH="1">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1843" name="Cross_G9">
          <a:extLst>
            <a:ext uri="{FF2B5EF4-FFF2-40B4-BE49-F238E27FC236}">
              <a16:creationId xmlns:a16="http://schemas.microsoft.com/office/drawing/2014/main" id="{260326DB-98DB-1402-ED5D-0A919960673A}"/>
            </a:ext>
          </a:extLst>
        </xdr:cNvPr>
        <xdr:cNvGrpSpPr/>
      </xdr:nvGrpSpPr>
      <xdr:grpSpPr>
        <a:xfrm>
          <a:off x="4015740" y="1767840"/>
          <a:ext cx="594360" cy="167640"/>
          <a:chOff x="4015740" y="1767840"/>
          <a:chExt cx="594360" cy="167640"/>
        </a:xfrm>
      </xdr:grpSpPr>
      <xdr:cxnSp macro="">
        <xdr:nvCxnSpPr>
          <xdr:cNvPr id="1841" name="Gerader Verbinder 1840">
            <a:extLst>
              <a:ext uri="{FF2B5EF4-FFF2-40B4-BE49-F238E27FC236}">
                <a16:creationId xmlns:a16="http://schemas.microsoft.com/office/drawing/2014/main" id="{E8F6DB97-4AA0-4238-3844-C17C9F4C1E9C}"/>
              </a:ext>
            </a:extLst>
          </xdr:cNvPr>
          <xdr:cNvCxnSpPr/>
        </xdr:nvCxnSpPr>
        <xdr:spPr>
          <a:xfrm>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42" name="Gerader Verbinder 1841">
            <a:extLst>
              <a:ext uri="{FF2B5EF4-FFF2-40B4-BE49-F238E27FC236}">
                <a16:creationId xmlns:a16="http://schemas.microsoft.com/office/drawing/2014/main" id="{5950E3D8-EBA0-6382-F21B-387F7FFC2DF8}"/>
              </a:ext>
            </a:extLst>
          </xdr:cNvPr>
          <xdr:cNvCxnSpPr/>
        </xdr:nvCxnSpPr>
        <xdr:spPr>
          <a:xfrm flipH="1">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1846" name="Cross_G16">
          <a:extLst>
            <a:ext uri="{FF2B5EF4-FFF2-40B4-BE49-F238E27FC236}">
              <a16:creationId xmlns:a16="http://schemas.microsoft.com/office/drawing/2014/main" id="{83547054-3A88-12FE-D10B-53269E4EB88C}"/>
            </a:ext>
          </a:extLst>
        </xdr:cNvPr>
        <xdr:cNvGrpSpPr/>
      </xdr:nvGrpSpPr>
      <xdr:grpSpPr>
        <a:xfrm>
          <a:off x="4015740" y="3063240"/>
          <a:ext cx="594360" cy="228600"/>
          <a:chOff x="4015740" y="3063240"/>
          <a:chExt cx="594360" cy="228600"/>
        </a:xfrm>
      </xdr:grpSpPr>
      <xdr:cxnSp macro="">
        <xdr:nvCxnSpPr>
          <xdr:cNvPr id="1844" name="Gerader Verbinder 1843">
            <a:extLst>
              <a:ext uri="{FF2B5EF4-FFF2-40B4-BE49-F238E27FC236}">
                <a16:creationId xmlns:a16="http://schemas.microsoft.com/office/drawing/2014/main" id="{6EEA40FA-10C1-56D5-E169-D1F8438BA573}"/>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45" name="Gerader Verbinder 1844">
            <a:extLst>
              <a:ext uri="{FF2B5EF4-FFF2-40B4-BE49-F238E27FC236}">
                <a16:creationId xmlns:a16="http://schemas.microsoft.com/office/drawing/2014/main" id="{3720FB80-2F02-0829-2923-B0FAC60B9A90}"/>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1849" name="Cross_G17">
          <a:extLst>
            <a:ext uri="{FF2B5EF4-FFF2-40B4-BE49-F238E27FC236}">
              <a16:creationId xmlns:a16="http://schemas.microsoft.com/office/drawing/2014/main" id="{72C86BC1-5F71-8A49-D1CE-B29F879BAA83}"/>
            </a:ext>
          </a:extLst>
        </xdr:cNvPr>
        <xdr:cNvGrpSpPr/>
      </xdr:nvGrpSpPr>
      <xdr:grpSpPr>
        <a:xfrm>
          <a:off x="4015740" y="3291840"/>
          <a:ext cx="594360" cy="167640"/>
          <a:chOff x="4015740" y="3291840"/>
          <a:chExt cx="594360" cy="167640"/>
        </a:xfrm>
      </xdr:grpSpPr>
      <xdr:cxnSp macro="">
        <xdr:nvCxnSpPr>
          <xdr:cNvPr id="1847" name="Gerader Verbinder 1846">
            <a:extLst>
              <a:ext uri="{FF2B5EF4-FFF2-40B4-BE49-F238E27FC236}">
                <a16:creationId xmlns:a16="http://schemas.microsoft.com/office/drawing/2014/main" id="{32507CBC-CA77-63FB-9CE1-9B84795E460B}"/>
              </a:ext>
            </a:extLst>
          </xdr:cNvPr>
          <xdr:cNvCxnSpPr/>
        </xdr:nvCxnSpPr>
        <xdr:spPr>
          <a:xfrm>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48" name="Gerader Verbinder 1847">
            <a:extLst>
              <a:ext uri="{FF2B5EF4-FFF2-40B4-BE49-F238E27FC236}">
                <a16:creationId xmlns:a16="http://schemas.microsoft.com/office/drawing/2014/main" id="{6AB2B239-296A-D11B-0BC6-4F152997209F}"/>
              </a:ext>
            </a:extLst>
          </xdr:cNvPr>
          <xdr:cNvCxnSpPr/>
        </xdr:nvCxnSpPr>
        <xdr:spPr>
          <a:xfrm flipH="1">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1852" name="Cross_G18">
          <a:extLst>
            <a:ext uri="{FF2B5EF4-FFF2-40B4-BE49-F238E27FC236}">
              <a16:creationId xmlns:a16="http://schemas.microsoft.com/office/drawing/2014/main" id="{E1E3093E-4BD4-38EA-D963-261BA82FA9DE}"/>
            </a:ext>
          </a:extLst>
        </xdr:cNvPr>
        <xdr:cNvGrpSpPr/>
      </xdr:nvGrpSpPr>
      <xdr:grpSpPr>
        <a:xfrm>
          <a:off x="4015740" y="3459480"/>
          <a:ext cx="594360" cy="167640"/>
          <a:chOff x="4015740" y="3459480"/>
          <a:chExt cx="594360" cy="167640"/>
        </a:xfrm>
      </xdr:grpSpPr>
      <xdr:cxnSp macro="">
        <xdr:nvCxnSpPr>
          <xdr:cNvPr id="1850" name="Gerader Verbinder 1849">
            <a:extLst>
              <a:ext uri="{FF2B5EF4-FFF2-40B4-BE49-F238E27FC236}">
                <a16:creationId xmlns:a16="http://schemas.microsoft.com/office/drawing/2014/main" id="{D1ACA19C-BA60-AFE1-EEA3-58C2E7A0C12F}"/>
              </a:ext>
            </a:extLst>
          </xdr:cNvPr>
          <xdr:cNvCxnSpPr/>
        </xdr:nvCxnSpPr>
        <xdr:spPr>
          <a:xfrm>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51" name="Gerader Verbinder 1850">
            <a:extLst>
              <a:ext uri="{FF2B5EF4-FFF2-40B4-BE49-F238E27FC236}">
                <a16:creationId xmlns:a16="http://schemas.microsoft.com/office/drawing/2014/main" id="{9C6F389F-CE05-09E4-21E7-6DE9BC0EF1F5}"/>
              </a:ext>
            </a:extLst>
          </xdr:cNvPr>
          <xdr:cNvCxnSpPr/>
        </xdr:nvCxnSpPr>
        <xdr:spPr>
          <a:xfrm flipH="1">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1855" name="Cross_G25">
          <a:extLst>
            <a:ext uri="{FF2B5EF4-FFF2-40B4-BE49-F238E27FC236}">
              <a16:creationId xmlns:a16="http://schemas.microsoft.com/office/drawing/2014/main" id="{3A1E52FD-C423-8994-7B1F-B2D375C12279}"/>
            </a:ext>
          </a:extLst>
        </xdr:cNvPr>
        <xdr:cNvGrpSpPr/>
      </xdr:nvGrpSpPr>
      <xdr:grpSpPr>
        <a:xfrm>
          <a:off x="4015740" y="4754880"/>
          <a:ext cx="594360" cy="228600"/>
          <a:chOff x="4015740" y="4754880"/>
          <a:chExt cx="594360" cy="228600"/>
        </a:xfrm>
      </xdr:grpSpPr>
      <xdr:cxnSp macro="">
        <xdr:nvCxnSpPr>
          <xdr:cNvPr id="1853" name="Gerader Verbinder 1852">
            <a:extLst>
              <a:ext uri="{FF2B5EF4-FFF2-40B4-BE49-F238E27FC236}">
                <a16:creationId xmlns:a16="http://schemas.microsoft.com/office/drawing/2014/main" id="{7C81F669-EAD0-A04E-53C6-429600F4701A}"/>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54" name="Gerader Verbinder 1853">
            <a:extLst>
              <a:ext uri="{FF2B5EF4-FFF2-40B4-BE49-F238E27FC236}">
                <a16:creationId xmlns:a16="http://schemas.microsoft.com/office/drawing/2014/main" id="{B2596709-4917-1C12-A9D5-EC804481B47B}"/>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858" name="Cross_G26">
          <a:extLst>
            <a:ext uri="{FF2B5EF4-FFF2-40B4-BE49-F238E27FC236}">
              <a16:creationId xmlns:a16="http://schemas.microsoft.com/office/drawing/2014/main" id="{C4E14243-F1CB-6B8D-D8C5-21634559AB07}"/>
            </a:ext>
          </a:extLst>
        </xdr:cNvPr>
        <xdr:cNvGrpSpPr/>
      </xdr:nvGrpSpPr>
      <xdr:grpSpPr>
        <a:xfrm>
          <a:off x="4015740" y="4983480"/>
          <a:ext cx="594360" cy="167640"/>
          <a:chOff x="4015740" y="4983480"/>
          <a:chExt cx="594360" cy="167640"/>
        </a:xfrm>
      </xdr:grpSpPr>
      <xdr:cxnSp macro="">
        <xdr:nvCxnSpPr>
          <xdr:cNvPr id="1856" name="Gerader Verbinder 1855">
            <a:extLst>
              <a:ext uri="{FF2B5EF4-FFF2-40B4-BE49-F238E27FC236}">
                <a16:creationId xmlns:a16="http://schemas.microsoft.com/office/drawing/2014/main" id="{30AD30A7-6071-02A0-C2F3-B9D81B43CDA2}"/>
              </a:ext>
            </a:extLst>
          </xdr:cNvPr>
          <xdr:cNvCxnSpPr/>
        </xdr:nvCxnSpPr>
        <xdr:spPr>
          <a:xfrm>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57" name="Gerader Verbinder 1856">
            <a:extLst>
              <a:ext uri="{FF2B5EF4-FFF2-40B4-BE49-F238E27FC236}">
                <a16:creationId xmlns:a16="http://schemas.microsoft.com/office/drawing/2014/main" id="{D40B6778-5B34-2962-3740-4CDD6C5DFF9C}"/>
              </a:ext>
            </a:extLst>
          </xdr:cNvPr>
          <xdr:cNvCxnSpPr/>
        </xdr:nvCxnSpPr>
        <xdr:spPr>
          <a:xfrm flipH="1">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861" name="Cross_G27">
          <a:extLst>
            <a:ext uri="{FF2B5EF4-FFF2-40B4-BE49-F238E27FC236}">
              <a16:creationId xmlns:a16="http://schemas.microsoft.com/office/drawing/2014/main" id="{2242D0E4-C465-A84F-6D41-01D77D8C42CD}"/>
            </a:ext>
          </a:extLst>
        </xdr:cNvPr>
        <xdr:cNvGrpSpPr/>
      </xdr:nvGrpSpPr>
      <xdr:grpSpPr>
        <a:xfrm>
          <a:off x="4015740" y="5151120"/>
          <a:ext cx="594360" cy="167640"/>
          <a:chOff x="4015740" y="5151120"/>
          <a:chExt cx="594360" cy="167640"/>
        </a:xfrm>
      </xdr:grpSpPr>
      <xdr:cxnSp macro="">
        <xdr:nvCxnSpPr>
          <xdr:cNvPr id="1859" name="Gerader Verbinder 1858">
            <a:extLst>
              <a:ext uri="{FF2B5EF4-FFF2-40B4-BE49-F238E27FC236}">
                <a16:creationId xmlns:a16="http://schemas.microsoft.com/office/drawing/2014/main" id="{AC53A815-CF3E-8A1D-C61B-DFE696428A88}"/>
              </a:ext>
            </a:extLst>
          </xdr:cNvPr>
          <xdr:cNvCxnSpPr/>
        </xdr:nvCxnSpPr>
        <xdr:spPr>
          <a:xfrm>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0" name="Gerader Verbinder 1859">
            <a:extLst>
              <a:ext uri="{FF2B5EF4-FFF2-40B4-BE49-F238E27FC236}">
                <a16:creationId xmlns:a16="http://schemas.microsoft.com/office/drawing/2014/main" id="{101105A7-E0DF-0DBE-4EBF-4592C4A4867B}"/>
              </a:ext>
            </a:extLst>
          </xdr:cNvPr>
          <xdr:cNvCxnSpPr/>
        </xdr:nvCxnSpPr>
        <xdr:spPr>
          <a:xfrm flipH="1">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1864" name="Cross_G31">
          <a:extLst>
            <a:ext uri="{FF2B5EF4-FFF2-40B4-BE49-F238E27FC236}">
              <a16:creationId xmlns:a16="http://schemas.microsoft.com/office/drawing/2014/main" id="{8842BA9E-79A2-FD52-D7EB-0DC9F898EFDA}"/>
            </a:ext>
          </a:extLst>
        </xdr:cNvPr>
        <xdr:cNvGrpSpPr/>
      </xdr:nvGrpSpPr>
      <xdr:grpSpPr>
        <a:xfrm>
          <a:off x="4015740" y="5882640"/>
          <a:ext cx="594360" cy="228600"/>
          <a:chOff x="4015740" y="5882640"/>
          <a:chExt cx="594360" cy="228600"/>
        </a:xfrm>
      </xdr:grpSpPr>
      <xdr:cxnSp macro="">
        <xdr:nvCxnSpPr>
          <xdr:cNvPr id="1862" name="Gerader Verbinder 1861">
            <a:extLst>
              <a:ext uri="{FF2B5EF4-FFF2-40B4-BE49-F238E27FC236}">
                <a16:creationId xmlns:a16="http://schemas.microsoft.com/office/drawing/2014/main" id="{F188F46B-CAB5-67EA-E71E-6645A889AA61}"/>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3" name="Gerader Verbinder 1862">
            <a:extLst>
              <a:ext uri="{FF2B5EF4-FFF2-40B4-BE49-F238E27FC236}">
                <a16:creationId xmlns:a16="http://schemas.microsoft.com/office/drawing/2014/main" id="{D9F2D8F7-C47F-06B2-E1F9-A1189D48DE83}"/>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1867" name="Cross_G32">
          <a:extLst>
            <a:ext uri="{FF2B5EF4-FFF2-40B4-BE49-F238E27FC236}">
              <a16:creationId xmlns:a16="http://schemas.microsoft.com/office/drawing/2014/main" id="{45CB6796-B3B1-6ADE-070C-109341779A49}"/>
            </a:ext>
          </a:extLst>
        </xdr:cNvPr>
        <xdr:cNvGrpSpPr/>
      </xdr:nvGrpSpPr>
      <xdr:grpSpPr>
        <a:xfrm>
          <a:off x="4015740" y="6111240"/>
          <a:ext cx="594360" cy="167640"/>
          <a:chOff x="4015740" y="6111240"/>
          <a:chExt cx="594360" cy="167640"/>
        </a:xfrm>
      </xdr:grpSpPr>
      <xdr:cxnSp macro="">
        <xdr:nvCxnSpPr>
          <xdr:cNvPr id="1865" name="Gerader Verbinder 1864">
            <a:extLst>
              <a:ext uri="{FF2B5EF4-FFF2-40B4-BE49-F238E27FC236}">
                <a16:creationId xmlns:a16="http://schemas.microsoft.com/office/drawing/2014/main" id="{D449E9D0-7A95-F1C0-B143-590FD7E61C14}"/>
              </a:ext>
            </a:extLst>
          </xdr:cNvPr>
          <xdr:cNvCxnSpPr/>
        </xdr:nvCxnSpPr>
        <xdr:spPr>
          <a:xfrm>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6" name="Gerader Verbinder 1865">
            <a:extLst>
              <a:ext uri="{FF2B5EF4-FFF2-40B4-BE49-F238E27FC236}">
                <a16:creationId xmlns:a16="http://schemas.microsoft.com/office/drawing/2014/main" id="{D3A68A02-5D2B-59C0-D0E9-245B10AE61F4}"/>
              </a:ext>
            </a:extLst>
          </xdr:cNvPr>
          <xdr:cNvCxnSpPr/>
        </xdr:nvCxnSpPr>
        <xdr:spPr>
          <a:xfrm flipH="1">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1870" name="Cross_G33">
          <a:extLst>
            <a:ext uri="{FF2B5EF4-FFF2-40B4-BE49-F238E27FC236}">
              <a16:creationId xmlns:a16="http://schemas.microsoft.com/office/drawing/2014/main" id="{7CA997AD-9719-E031-2583-797A8B5EE842}"/>
            </a:ext>
          </a:extLst>
        </xdr:cNvPr>
        <xdr:cNvGrpSpPr/>
      </xdr:nvGrpSpPr>
      <xdr:grpSpPr>
        <a:xfrm>
          <a:off x="4015740" y="6278880"/>
          <a:ext cx="594360" cy="167640"/>
          <a:chOff x="4015740" y="6278880"/>
          <a:chExt cx="594360" cy="167640"/>
        </a:xfrm>
      </xdr:grpSpPr>
      <xdr:cxnSp macro="">
        <xdr:nvCxnSpPr>
          <xdr:cNvPr id="1868" name="Gerader Verbinder 1867">
            <a:extLst>
              <a:ext uri="{FF2B5EF4-FFF2-40B4-BE49-F238E27FC236}">
                <a16:creationId xmlns:a16="http://schemas.microsoft.com/office/drawing/2014/main" id="{5E7709BB-DE06-B73B-821B-44DDBE91C01F}"/>
              </a:ext>
            </a:extLst>
          </xdr:cNvPr>
          <xdr:cNvCxnSpPr/>
        </xdr:nvCxnSpPr>
        <xdr:spPr>
          <a:xfrm>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9" name="Gerader Verbinder 1868">
            <a:extLst>
              <a:ext uri="{FF2B5EF4-FFF2-40B4-BE49-F238E27FC236}">
                <a16:creationId xmlns:a16="http://schemas.microsoft.com/office/drawing/2014/main" id="{08051F77-0614-D2C3-1E72-43FF6EE811C8}"/>
              </a:ext>
            </a:extLst>
          </xdr:cNvPr>
          <xdr:cNvCxnSpPr/>
        </xdr:nvCxnSpPr>
        <xdr:spPr>
          <a:xfrm flipH="1">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1873" name="Cross_G43">
          <a:extLst>
            <a:ext uri="{FF2B5EF4-FFF2-40B4-BE49-F238E27FC236}">
              <a16:creationId xmlns:a16="http://schemas.microsoft.com/office/drawing/2014/main" id="{B7719918-F0F5-55F3-E9BD-BAE64BD8CE73}"/>
            </a:ext>
          </a:extLst>
        </xdr:cNvPr>
        <xdr:cNvGrpSpPr/>
      </xdr:nvGrpSpPr>
      <xdr:grpSpPr>
        <a:xfrm>
          <a:off x="4015740" y="8138160"/>
          <a:ext cx="594360" cy="228600"/>
          <a:chOff x="4015740" y="8138160"/>
          <a:chExt cx="594360" cy="228600"/>
        </a:xfrm>
      </xdr:grpSpPr>
      <xdr:cxnSp macro="">
        <xdr:nvCxnSpPr>
          <xdr:cNvPr id="1871" name="Gerader Verbinder 1870">
            <a:extLst>
              <a:ext uri="{FF2B5EF4-FFF2-40B4-BE49-F238E27FC236}">
                <a16:creationId xmlns:a16="http://schemas.microsoft.com/office/drawing/2014/main" id="{EE718A44-9030-D786-0629-DD59C6F0C7FE}"/>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72" name="Gerader Verbinder 1871">
            <a:extLst>
              <a:ext uri="{FF2B5EF4-FFF2-40B4-BE49-F238E27FC236}">
                <a16:creationId xmlns:a16="http://schemas.microsoft.com/office/drawing/2014/main" id="{7D01D3BA-032D-4938-63B9-60277C6A5183}"/>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1876" name="Cross_G44">
          <a:extLst>
            <a:ext uri="{FF2B5EF4-FFF2-40B4-BE49-F238E27FC236}">
              <a16:creationId xmlns:a16="http://schemas.microsoft.com/office/drawing/2014/main" id="{A072F329-238B-D6D8-96D2-D6AE0D561036}"/>
            </a:ext>
          </a:extLst>
        </xdr:cNvPr>
        <xdr:cNvGrpSpPr/>
      </xdr:nvGrpSpPr>
      <xdr:grpSpPr>
        <a:xfrm>
          <a:off x="4015740" y="8366760"/>
          <a:ext cx="594360" cy="167640"/>
          <a:chOff x="4015740" y="8366760"/>
          <a:chExt cx="594360" cy="167640"/>
        </a:xfrm>
      </xdr:grpSpPr>
      <xdr:cxnSp macro="">
        <xdr:nvCxnSpPr>
          <xdr:cNvPr id="1874" name="Gerader Verbinder 1873">
            <a:extLst>
              <a:ext uri="{FF2B5EF4-FFF2-40B4-BE49-F238E27FC236}">
                <a16:creationId xmlns:a16="http://schemas.microsoft.com/office/drawing/2014/main" id="{7208A9C5-DF8F-3C6A-1DCA-6DB6AC5AE246}"/>
              </a:ext>
            </a:extLst>
          </xdr:cNvPr>
          <xdr:cNvCxnSpPr/>
        </xdr:nvCxnSpPr>
        <xdr:spPr>
          <a:xfrm>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75" name="Gerader Verbinder 1874">
            <a:extLst>
              <a:ext uri="{FF2B5EF4-FFF2-40B4-BE49-F238E27FC236}">
                <a16:creationId xmlns:a16="http://schemas.microsoft.com/office/drawing/2014/main" id="{E1DC2C32-A177-4D1C-7316-3805D9B36D2D}"/>
              </a:ext>
            </a:extLst>
          </xdr:cNvPr>
          <xdr:cNvCxnSpPr/>
        </xdr:nvCxnSpPr>
        <xdr:spPr>
          <a:xfrm flipH="1">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1879" name="Cross_G45">
          <a:extLst>
            <a:ext uri="{FF2B5EF4-FFF2-40B4-BE49-F238E27FC236}">
              <a16:creationId xmlns:a16="http://schemas.microsoft.com/office/drawing/2014/main" id="{23B1EFC8-5967-6E90-E1F5-60BBB967DE6A}"/>
            </a:ext>
          </a:extLst>
        </xdr:cNvPr>
        <xdr:cNvGrpSpPr/>
      </xdr:nvGrpSpPr>
      <xdr:grpSpPr>
        <a:xfrm>
          <a:off x="4015740" y="8534400"/>
          <a:ext cx="594360" cy="167640"/>
          <a:chOff x="4015740" y="8534400"/>
          <a:chExt cx="594360" cy="167640"/>
        </a:xfrm>
      </xdr:grpSpPr>
      <xdr:cxnSp macro="">
        <xdr:nvCxnSpPr>
          <xdr:cNvPr id="1877" name="Gerader Verbinder 1876">
            <a:extLst>
              <a:ext uri="{FF2B5EF4-FFF2-40B4-BE49-F238E27FC236}">
                <a16:creationId xmlns:a16="http://schemas.microsoft.com/office/drawing/2014/main" id="{1794CF0E-9B64-55BF-D3D1-8F296D4627B2}"/>
              </a:ext>
            </a:extLst>
          </xdr:cNvPr>
          <xdr:cNvCxnSpPr/>
        </xdr:nvCxnSpPr>
        <xdr:spPr>
          <a:xfrm>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78" name="Gerader Verbinder 1877">
            <a:extLst>
              <a:ext uri="{FF2B5EF4-FFF2-40B4-BE49-F238E27FC236}">
                <a16:creationId xmlns:a16="http://schemas.microsoft.com/office/drawing/2014/main" id="{DEE4B120-5526-F5FA-C288-35F8458425F4}"/>
              </a:ext>
            </a:extLst>
          </xdr:cNvPr>
          <xdr:cNvCxnSpPr/>
        </xdr:nvCxnSpPr>
        <xdr:spPr>
          <a:xfrm flipH="1">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1882" name="Cross_G49">
          <a:extLst>
            <a:ext uri="{FF2B5EF4-FFF2-40B4-BE49-F238E27FC236}">
              <a16:creationId xmlns:a16="http://schemas.microsoft.com/office/drawing/2014/main" id="{C03817D4-0D84-D361-C19D-ACC6C61D767A}"/>
            </a:ext>
          </a:extLst>
        </xdr:cNvPr>
        <xdr:cNvGrpSpPr/>
      </xdr:nvGrpSpPr>
      <xdr:grpSpPr>
        <a:xfrm>
          <a:off x="4015740" y="9265920"/>
          <a:ext cx="594360" cy="228600"/>
          <a:chOff x="4015740" y="9265920"/>
          <a:chExt cx="594360" cy="228600"/>
        </a:xfrm>
      </xdr:grpSpPr>
      <xdr:cxnSp macro="">
        <xdr:nvCxnSpPr>
          <xdr:cNvPr id="1880" name="Gerader Verbinder 1879">
            <a:extLst>
              <a:ext uri="{FF2B5EF4-FFF2-40B4-BE49-F238E27FC236}">
                <a16:creationId xmlns:a16="http://schemas.microsoft.com/office/drawing/2014/main" id="{C8070C61-A8FD-E03B-4D17-2BE35FC61BA4}"/>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81" name="Gerader Verbinder 1880">
            <a:extLst>
              <a:ext uri="{FF2B5EF4-FFF2-40B4-BE49-F238E27FC236}">
                <a16:creationId xmlns:a16="http://schemas.microsoft.com/office/drawing/2014/main" id="{4138B5AA-AAFB-7B9F-1702-2F97DA99610D}"/>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1885" name="Cross_G50">
          <a:extLst>
            <a:ext uri="{FF2B5EF4-FFF2-40B4-BE49-F238E27FC236}">
              <a16:creationId xmlns:a16="http://schemas.microsoft.com/office/drawing/2014/main" id="{B23F7A8C-C13D-12E5-E3CA-A82BB1DD9DE2}"/>
            </a:ext>
          </a:extLst>
        </xdr:cNvPr>
        <xdr:cNvGrpSpPr/>
      </xdr:nvGrpSpPr>
      <xdr:grpSpPr>
        <a:xfrm>
          <a:off x="4015740" y="9494520"/>
          <a:ext cx="594360" cy="167640"/>
          <a:chOff x="4015740" y="9494520"/>
          <a:chExt cx="594360" cy="167640"/>
        </a:xfrm>
      </xdr:grpSpPr>
      <xdr:cxnSp macro="">
        <xdr:nvCxnSpPr>
          <xdr:cNvPr id="1883" name="Gerader Verbinder 1882">
            <a:extLst>
              <a:ext uri="{FF2B5EF4-FFF2-40B4-BE49-F238E27FC236}">
                <a16:creationId xmlns:a16="http://schemas.microsoft.com/office/drawing/2014/main" id="{E17BDAF5-ABE8-2C3F-9A5C-EC8897443CB5}"/>
              </a:ext>
            </a:extLst>
          </xdr:cNvPr>
          <xdr:cNvCxnSpPr/>
        </xdr:nvCxnSpPr>
        <xdr:spPr>
          <a:xfrm>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84" name="Gerader Verbinder 1883">
            <a:extLst>
              <a:ext uri="{FF2B5EF4-FFF2-40B4-BE49-F238E27FC236}">
                <a16:creationId xmlns:a16="http://schemas.microsoft.com/office/drawing/2014/main" id="{D60A88FF-289E-AE6A-F7C5-1E06A7505399}"/>
              </a:ext>
            </a:extLst>
          </xdr:cNvPr>
          <xdr:cNvCxnSpPr/>
        </xdr:nvCxnSpPr>
        <xdr:spPr>
          <a:xfrm flipH="1">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1888" name="Cross_G51">
          <a:extLst>
            <a:ext uri="{FF2B5EF4-FFF2-40B4-BE49-F238E27FC236}">
              <a16:creationId xmlns:a16="http://schemas.microsoft.com/office/drawing/2014/main" id="{2E7881A9-B1D6-C634-A6E5-D5731B8E5185}"/>
            </a:ext>
          </a:extLst>
        </xdr:cNvPr>
        <xdr:cNvGrpSpPr/>
      </xdr:nvGrpSpPr>
      <xdr:grpSpPr>
        <a:xfrm>
          <a:off x="4015740" y="9662160"/>
          <a:ext cx="594360" cy="167640"/>
          <a:chOff x="4015740" y="9662160"/>
          <a:chExt cx="594360" cy="167640"/>
        </a:xfrm>
      </xdr:grpSpPr>
      <xdr:cxnSp macro="">
        <xdr:nvCxnSpPr>
          <xdr:cNvPr id="1886" name="Gerader Verbinder 1885">
            <a:extLst>
              <a:ext uri="{FF2B5EF4-FFF2-40B4-BE49-F238E27FC236}">
                <a16:creationId xmlns:a16="http://schemas.microsoft.com/office/drawing/2014/main" id="{F6E6B921-B215-4269-9D1E-39A8D36CDB87}"/>
              </a:ext>
            </a:extLst>
          </xdr:cNvPr>
          <xdr:cNvCxnSpPr/>
        </xdr:nvCxnSpPr>
        <xdr:spPr>
          <a:xfrm>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87" name="Gerader Verbinder 1886">
            <a:extLst>
              <a:ext uri="{FF2B5EF4-FFF2-40B4-BE49-F238E27FC236}">
                <a16:creationId xmlns:a16="http://schemas.microsoft.com/office/drawing/2014/main" id="{B98A7657-6975-F098-9421-182DE9AF308C}"/>
              </a:ext>
            </a:extLst>
          </xdr:cNvPr>
          <xdr:cNvCxnSpPr/>
        </xdr:nvCxnSpPr>
        <xdr:spPr>
          <a:xfrm flipH="1">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1891" name="Cross_G64">
          <a:extLst>
            <a:ext uri="{FF2B5EF4-FFF2-40B4-BE49-F238E27FC236}">
              <a16:creationId xmlns:a16="http://schemas.microsoft.com/office/drawing/2014/main" id="{FFECCBAD-07F2-2D15-F318-1BFF2E60EB96}"/>
            </a:ext>
          </a:extLst>
        </xdr:cNvPr>
        <xdr:cNvGrpSpPr/>
      </xdr:nvGrpSpPr>
      <xdr:grpSpPr>
        <a:xfrm>
          <a:off x="4015740" y="12085320"/>
          <a:ext cx="594360" cy="228600"/>
          <a:chOff x="4015740" y="12085320"/>
          <a:chExt cx="594360" cy="228600"/>
        </a:xfrm>
      </xdr:grpSpPr>
      <xdr:cxnSp macro="">
        <xdr:nvCxnSpPr>
          <xdr:cNvPr id="1889" name="Gerader Verbinder 1888">
            <a:extLst>
              <a:ext uri="{FF2B5EF4-FFF2-40B4-BE49-F238E27FC236}">
                <a16:creationId xmlns:a16="http://schemas.microsoft.com/office/drawing/2014/main" id="{BBE22E96-146C-F576-BB3A-EF8D8FA21AE0}"/>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0" name="Gerader Verbinder 1889">
            <a:extLst>
              <a:ext uri="{FF2B5EF4-FFF2-40B4-BE49-F238E27FC236}">
                <a16:creationId xmlns:a16="http://schemas.microsoft.com/office/drawing/2014/main" id="{2E4A614F-8952-32FB-1DFA-8D6D38E027FB}"/>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1894" name="Cross_G65">
          <a:extLst>
            <a:ext uri="{FF2B5EF4-FFF2-40B4-BE49-F238E27FC236}">
              <a16:creationId xmlns:a16="http://schemas.microsoft.com/office/drawing/2014/main" id="{5DC83C45-EFD3-4254-979F-C596F397DB6A}"/>
            </a:ext>
          </a:extLst>
        </xdr:cNvPr>
        <xdr:cNvGrpSpPr/>
      </xdr:nvGrpSpPr>
      <xdr:grpSpPr>
        <a:xfrm>
          <a:off x="4015740" y="12313920"/>
          <a:ext cx="594360" cy="167640"/>
          <a:chOff x="4015740" y="12313920"/>
          <a:chExt cx="594360" cy="167640"/>
        </a:xfrm>
      </xdr:grpSpPr>
      <xdr:cxnSp macro="">
        <xdr:nvCxnSpPr>
          <xdr:cNvPr id="1892" name="Gerader Verbinder 1891">
            <a:extLst>
              <a:ext uri="{FF2B5EF4-FFF2-40B4-BE49-F238E27FC236}">
                <a16:creationId xmlns:a16="http://schemas.microsoft.com/office/drawing/2014/main" id="{70F59B74-005D-2B79-0539-DB31272C8A39}"/>
              </a:ext>
            </a:extLst>
          </xdr:cNvPr>
          <xdr:cNvCxnSpPr/>
        </xdr:nvCxnSpPr>
        <xdr:spPr>
          <a:xfrm>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3" name="Gerader Verbinder 1892">
            <a:extLst>
              <a:ext uri="{FF2B5EF4-FFF2-40B4-BE49-F238E27FC236}">
                <a16:creationId xmlns:a16="http://schemas.microsoft.com/office/drawing/2014/main" id="{39364383-5B4E-068A-B496-E2AC6DFFA89A}"/>
              </a:ext>
            </a:extLst>
          </xdr:cNvPr>
          <xdr:cNvCxnSpPr/>
        </xdr:nvCxnSpPr>
        <xdr:spPr>
          <a:xfrm flipH="1">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1897" name="Cross_G66">
          <a:extLst>
            <a:ext uri="{FF2B5EF4-FFF2-40B4-BE49-F238E27FC236}">
              <a16:creationId xmlns:a16="http://schemas.microsoft.com/office/drawing/2014/main" id="{6412C78F-E010-2FD7-3D7E-B5ADD0098713}"/>
            </a:ext>
          </a:extLst>
        </xdr:cNvPr>
        <xdr:cNvGrpSpPr/>
      </xdr:nvGrpSpPr>
      <xdr:grpSpPr>
        <a:xfrm>
          <a:off x="4015740" y="12481560"/>
          <a:ext cx="594360" cy="167640"/>
          <a:chOff x="4015740" y="12481560"/>
          <a:chExt cx="594360" cy="167640"/>
        </a:xfrm>
      </xdr:grpSpPr>
      <xdr:cxnSp macro="">
        <xdr:nvCxnSpPr>
          <xdr:cNvPr id="1895" name="Gerader Verbinder 1894">
            <a:extLst>
              <a:ext uri="{FF2B5EF4-FFF2-40B4-BE49-F238E27FC236}">
                <a16:creationId xmlns:a16="http://schemas.microsoft.com/office/drawing/2014/main" id="{EA5D4FFB-6398-7DBC-770A-DD57E2B6E0A5}"/>
              </a:ext>
            </a:extLst>
          </xdr:cNvPr>
          <xdr:cNvCxnSpPr/>
        </xdr:nvCxnSpPr>
        <xdr:spPr>
          <a:xfrm>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6" name="Gerader Verbinder 1895">
            <a:extLst>
              <a:ext uri="{FF2B5EF4-FFF2-40B4-BE49-F238E27FC236}">
                <a16:creationId xmlns:a16="http://schemas.microsoft.com/office/drawing/2014/main" id="{1DC34258-3401-C14C-990B-A46330C881CA}"/>
              </a:ext>
            </a:extLst>
          </xdr:cNvPr>
          <xdr:cNvCxnSpPr/>
        </xdr:nvCxnSpPr>
        <xdr:spPr>
          <a:xfrm flipH="1">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1900" name="Cross_G67">
          <a:extLst>
            <a:ext uri="{FF2B5EF4-FFF2-40B4-BE49-F238E27FC236}">
              <a16:creationId xmlns:a16="http://schemas.microsoft.com/office/drawing/2014/main" id="{D5FC17BF-5838-AE23-4550-77626BA5C5FC}"/>
            </a:ext>
          </a:extLst>
        </xdr:cNvPr>
        <xdr:cNvGrpSpPr/>
      </xdr:nvGrpSpPr>
      <xdr:grpSpPr>
        <a:xfrm>
          <a:off x="4015740" y="12649200"/>
          <a:ext cx="594360" cy="228600"/>
          <a:chOff x="4015740" y="12649200"/>
          <a:chExt cx="594360" cy="228600"/>
        </a:xfrm>
      </xdr:grpSpPr>
      <xdr:cxnSp macro="">
        <xdr:nvCxnSpPr>
          <xdr:cNvPr id="1898" name="Gerader Verbinder 1897">
            <a:extLst>
              <a:ext uri="{FF2B5EF4-FFF2-40B4-BE49-F238E27FC236}">
                <a16:creationId xmlns:a16="http://schemas.microsoft.com/office/drawing/2014/main" id="{68AA09DD-4E77-8C05-F251-6E450D6801C7}"/>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9" name="Gerader Verbinder 1898">
            <a:extLst>
              <a:ext uri="{FF2B5EF4-FFF2-40B4-BE49-F238E27FC236}">
                <a16:creationId xmlns:a16="http://schemas.microsoft.com/office/drawing/2014/main" id="{6411FFD2-4D25-F242-47CC-1AA8516BE767}"/>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1903" name="Cross_G68">
          <a:extLst>
            <a:ext uri="{FF2B5EF4-FFF2-40B4-BE49-F238E27FC236}">
              <a16:creationId xmlns:a16="http://schemas.microsoft.com/office/drawing/2014/main" id="{D5766AFA-E0DA-1649-1EC7-2B8634B5DF53}"/>
            </a:ext>
          </a:extLst>
        </xdr:cNvPr>
        <xdr:cNvGrpSpPr/>
      </xdr:nvGrpSpPr>
      <xdr:grpSpPr>
        <a:xfrm>
          <a:off x="4015740" y="12877800"/>
          <a:ext cx="594360" cy="167639"/>
          <a:chOff x="4015740" y="12877800"/>
          <a:chExt cx="594360" cy="167639"/>
        </a:xfrm>
      </xdr:grpSpPr>
      <xdr:cxnSp macro="">
        <xdr:nvCxnSpPr>
          <xdr:cNvPr id="1901" name="Gerader Verbinder 1900">
            <a:extLst>
              <a:ext uri="{FF2B5EF4-FFF2-40B4-BE49-F238E27FC236}">
                <a16:creationId xmlns:a16="http://schemas.microsoft.com/office/drawing/2014/main" id="{1BAAA914-92A0-463C-E55D-FCACF75E4312}"/>
              </a:ext>
            </a:extLst>
          </xdr:cNvPr>
          <xdr:cNvCxnSpPr/>
        </xdr:nvCxnSpPr>
        <xdr:spPr>
          <a:xfrm>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02" name="Gerader Verbinder 1901">
            <a:extLst>
              <a:ext uri="{FF2B5EF4-FFF2-40B4-BE49-F238E27FC236}">
                <a16:creationId xmlns:a16="http://schemas.microsoft.com/office/drawing/2014/main" id="{3E4B1AAE-F999-BA09-76B5-EF54FA670392}"/>
              </a:ext>
            </a:extLst>
          </xdr:cNvPr>
          <xdr:cNvCxnSpPr/>
        </xdr:nvCxnSpPr>
        <xdr:spPr>
          <a:xfrm flipH="1">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1906" name="Cross_G69">
          <a:extLst>
            <a:ext uri="{FF2B5EF4-FFF2-40B4-BE49-F238E27FC236}">
              <a16:creationId xmlns:a16="http://schemas.microsoft.com/office/drawing/2014/main" id="{21B1A673-EAE9-05DD-1014-AC673A7E1609}"/>
            </a:ext>
          </a:extLst>
        </xdr:cNvPr>
        <xdr:cNvGrpSpPr/>
      </xdr:nvGrpSpPr>
      <xdr:grpSpPr>
        <a:xfrm>
          <a:off x="4015740" y="13045439"/>
          <a:ext cx="594360" cy="167641"/>
          <a:chOff x="4015740" y="13045439"/>
          <a:chExt cx="594360" cy="167641"/>
        </a:xfrm>
      </xdr:grpSpPr>
      <xdr:cxnSp macro="">
        <xdr:nvCxnSpPr>
          <xdr:cNvPr id="1904" name="Gerader Verbinder 1903">
            <a:extLst>
              <a:ext uri="{FF2B5EF4-FFF2-40B4-BE49-F238E27FC236}">
                <a16:creationId xmlns:a16="http://schemas.microsoft.com/office/drawing/2014/main" id="{FFB60060-C5B8-43F6-AE84-DCBB65495760}"/>
              </a:ext>
            </a:extLst>
          </xdr:cNvPr>
          <xdr:cNvCxnSpPr/>
        </xdr:nvCxnSpPr>
        <xdr:spPr>
          <a:xfrm>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05" name="Gerader Verbinder 1904">
            <a:extLst>
              <a:ext uri="{FF2B5EF4-FFF2-40B4-BE49-F238E27FC236}">
                <a16:creationId xmlns:a16="http://schemas.microsoft.com/office/drawing/2014/main" id="{55DB2B92-A208-8DC4-6FA5-FC73F525DEA7}"/>
              </a:ext>
            </a:extLst>
          </xdr:cNvPr>
          <xdr:cNvCxnSpPr/>
        </xdr:nvCxnSpPr>
        <xdr:spPr>
          <a:xfrm flipH="1">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1909" name="Cross_G70">
          <a:extLst>
            <a:ext uri="{FF2B5EF4-FFF2-40B4-BE49-F238E27FC236}">
              <a16:creationId xmlns:a16="http://schemas.microsoft.com/office/drawing/2014/main" id="{588F6138-567C-CDF4-C31F-1FDD4006A055}"/>
            </a:ext>
          </a:extLst>
        </xdr:cNvPr>
        <xdr:cNvGrpSpPr/>
      </xdr:nvGrpSpPr>
      <xdr:grpSpPr>
        <a:xfrm>
          <a:off x="4015740" y="13213080"/>
          <a:ext cx="594360" cy="228600"/>
          <a:chOff x="4015740" y="13213080"/>
          <a:chExt cx="594360" cy="228600"/>
        </a:xfrm>
      </xdr:grpSpPr>
      <xdr:cxnSp macro="">
        <xdr:nvCxnSpPr>
          <xdr:cNvPr id="1907" name="Gerader Verbinder 1906">
            <a:extLst>
              <a:ext uri="{FF2B5EF4-FFF2-40B4-BE49-F238E27FC236}">
                <a16:creationId xmlns:a16="http://schemas.microsoft.com/office/drawing/2014/main" id="{81A080C0-31FA-5348-4513-9CA117B0F07C}"/>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08" name="Gerader Verbinder 1907">
            <a:extLst>
              <a:ext uri="{FF2B5EF4-FFF2-40B4-BE49-F238E27FC236}">
                <a16:creationId xmlns:a16="http://schemas.microsoft.com/office/drawing/2014/main" id="{E4D6CECC-0AB9-B054-AA0D-F486C7C2C6E4}"/>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1912" name="Cross_G71">
          <a:extLst>
            <a:ext uri="{FF2B5EF4-FFF2-40B4-BE49-F238E27FC236}">
              <a16:creationId xmlns:a16="http://schemas.microsoft.com/office/drawing/2014/main" id="{B0C90D7E-8803-CE93-A41B-E023621BE50C}"/>
            </a:ext>
          </a:extLst>
        </xdr:cNvPr>
        <xdr:cNvGrpSpPr/>
      </xdr:nvGrpSpPr>
      <xdr:grpSpPr>
        <a:xfrm>
          <a:off x="4015740" y="13441680"/>
          <a:ext cx="594360" cy="167640"/>
          <a:chOff x="4015740" y="13441680"/>
          <a:chExt cx="594360" cy="167640"/>
        </a:xfrm>
      </xdr:grpSpPr>
      <xdr:cxnSp macro="">
        <xdr:nvCxnSpPr>
          <xdr:cNvPr id="1910" name="Gerader Verbinder 1909">
            <a:extLst>
              <a:ext uri="{FF2B5EF4-FFF2-40B4-BE49-F238E27FC236}">
                <a16:creationId xmlns:a16="http://schemas.microsoft.com/office/drawing/2014/main" id="{C9CC4ACA-7531-FD56-F80B-D5EC34C7A40E}"/>
              </a:ext>
            </a:extLst>
          </xdr:cNvPr>
          <xdr:cNvCxnSpPr/>
        </xdr:nvCxnSpPr>
        <xdr:spPr>
          <a:xfrm>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11" name="Gerader Verbinder 1910">
            <a:extLst>
              <a:ext uri="{FF2B5EF4-FFF2-40B4-BE49-F238E27FC236}">
                <a16:creationId xmlns:a16="http://schemas.microsoft.com/office/drawing/2014/main" id="{D9937541-53E8-9191-D571-F267D631DDFB}"/>
              </a:ext>
            </a:extLst>
          </xdr:cNvPr>
          <xdr:cNvCxnSpPr/>
        </xdr:nvCxnSpPr>
        <xdr:spPr>
          <a:xfrm flipH="1">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1915" name="Cross_G72">
          <a:extLst>
            <a:ext uri="{FF2B5EF4-FFF2-40B4-BE49-F238E27FC236}">
              <a16:creationId xmlns:a16="http://schemas.microsoft.com/office/drawing/2014/main" id="{9CE44FFB-73A3-D7AF-1747-38DF63B8EDDE}"/>
            </a:ext>
          </a:extLst>
        </xdr:cNvPr>
        <xdr:cNvGrpSpPr/>
      </xdr:nvGrpSpPr>
      <xdr:grpSpPr>
        <a:xfrm>
          <a:off x="4015740" y="13609320"/>
          <a:ext cx="594360" cy="167641"/>
          <a:chOff x="4015740" y="13609320"/>
          <a:chExt cx="594360" cy="167641"/>
        </a:xfrm>
      </xdr:grpSpPr>
      <xdr:cxnSp macro="">
        <xdr:nvCxnSpPr>
          <xdr:cNvPr id="1913" name="Gerader Verbinder 1912">
            <a:extLst>
              <a:ext uri="{FF2B5EF4-FFF2-40B4-BE49-F238E27FC236}">
                <a16:creationId xmlns:a16="http://schemas.microsoft.com/office/drawing/2014/main" id="{0B0DD0F9-1C01-4D3C-CA76-0E4C5823705C}"/>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14" name="Gerader Verbinder 1913">
            <a:extLst>
              <a:ext uri="{FF2B5EF4-FFF2-40B4-BE49-F238E27FC236}">
                <a16:creationId xmlns:a16="http://schemas.microsoft.com/office/drawing/2014/main" id="{14DA7793-4FA4-B89A-0F97-AF805C1B4986}"/>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918" name="Cross_H7">
          <a:extLst>
            <a:ext uri="{FF2B5EF4-FFF2-40B4-BE49-F238E27FC236}">
              <a16:creationId xmlns:a16="http://schemas.microsoft.com/office/drawing/2014/main" id="{F16D966F-D008-C1DA-E087-9E9C8F3375BD}"/>
            </a:ext>
          </a:extLst>
        </xdr:cNvPr>
        <xdr:cNvGrpSpPr/>
      </xdr:nvGrpSpPr>
      <xdr:grpSpPr>
        <a:xfrm>
          <a:off x="4610100" y="1371600"/>
          <a:ext cx="594360" cy="228600"/>
          <a:chOff x="4610100" y="1371600"/>
          <a:chExt cx="594360" cy="228600"/>
        </a:xfrm>
      </xdr:grpSpPr>
      <xdr:cxnSp macro="">
        <xdr:nvCxnSpPr>
          <xdr:cNvPr id="1916" name="Gerader Verbinder 1915">
            <a:extLst>
              <a:ext uri="{FF2B5EF4-FFF2-40B4-BE49-F238E27FC236}">
                <a16:creationId xmlns:a16="http://schemas.microsoft.com/office/drawing/2014/main" id="{3024706F-2E2A-D5B1-86CF-1CD9BCF90F10}"/>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17" name="Gerader Verbinder 1916">
            <a:extLst>
              <a:ext uri="{FF2B5EF4-FFF2-40B4-BE49-F238E27FC236}">
                <a16:creationId xmlns:a16="http://schemas.microsoft.com/office/drawing/2014/main" id="{8B8F9204-75FA-BF23-AC2E-823693A7BB1C}"/>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921" name="Cross_H8">
          <a:extLst>
            <a:ext uri="{FF2B5EF4-FFF2-40B4-BE49-F238E27FC236}">
              <a16:creationId xmlns:a16="http://schemas.microsoft.com/office/drawing/2014/main" id="{F2335ACC-D925-6517-CCB0-EE8AEDE540FE}"/>
            </a:ext>
          </a:extLst>
        </xdr:cNvPr>
        <xdr:cNvGrpSpPr/>
      </xdr:nvGrpSpPr>
      <xdr:grpSpPr>
        <a:xfrm>
          <a:off x="4610100" y="1600200"/>
          <a:ext cx="594360" cy="167640"/>
          <a:chOff x="4610100" y="1600200"/>
          <a:chExt cx="594360" cy="167640"/>
        </a:xfrm>
      </xdr:grpSpPr>
      <xdr:cxnSp macro="">
        <xdr:nvCxnSpPr>
          <xdr:cNvPr id="1919" name="Gerader Verbinder 1918">
            <a:extLst>
              <a:ext uri="{FF2B5EF4-FFF2-40B4-BE49-F238E27FC236}">
                <a16:creationId xmlns:a16="http://schemas.microsoft.com/office/drawing/2014/main" id="{63EE4409-F98C-E49B-9093-7977C0D5D224}"/>
              </a:ext>
            </a:extLst>
          </xdr:cNvPr>
          <xdr:cNvCxnSpPr/>
        </xdr:nvCxnSpPr>
        <xdr:spPr>
          <a:xfrm>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0" name="Gerader Verbinder 1919">
            <a:extLst>
              <a:ext uri="{FF2B5EF4-FFF2-40B4-BE49-F238E27FC236}">
                <a16:creationId xmlns:a16="http://schemas.microsoft.com/office/drawing/2014/main" id="{11D19FB1-E5F1-FC0D-647F-80E1FE63BADF}"/>
              </a:ext>
            </a:extLst>
          </xdr:cNvPr>
          <xdr:cNvCxnSpPr/>
        </xdr:nvCxnSpPr>
        <xdr:spPr>
          <a:xfrm flipH="1">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1924" name="Cross_H9">
          <a:extLst>
            <a:ext uri="{FF2B5EF4-FFF2-40B4-BE49-F238E27FC236}">
              <a16:creationId xmlns:a16="http://schemas.microsoft.com/office/drawing/2014/main" id="{24E21330-FA88-E155-753B-06CBA006AEDD}"/>
            </a:ext>
          </a:extLst>
        </xdr:cNvPr>
        <xdr:cNvGrpSpPr/>
      </xdr:nvGrpSpPr>
      <xdr:grpSpPr>
        <a:xfrm>
          <a:off x="4610100" y="1767840"/>
          <a:ext cx="594360" cy="167640"/>
          <a:chOff x="4610100" y="1767840"/>
          <a:chExt cx="594360" cy="167640"/>
        </a:xfrm>
      </xdr:grpSpPr>
      <xdr:cxnSp macro="">
        <xdr:nvCxnSpPr>
          <xdr:cNvPr id="1922" name="Gerader Verbinder 1921">
            <a:extLst>
              <a:ext uri="{FF2B5EF4-FFF2-40B4-BE49-F238E27FC236}">
                <a16:creationId xmlns:a16="http://schemas.microsoft.com/office/drawing/2014/main" id="{990C94E6-220A-E037-E005-C86D3928463A}"/>
              </a:ext>
            </a:extLst>
          </xdr:cNvPr>
          <xdr:cNvCxnSpPr/>
        </xdr:nvCxnSpPr>
        <xdr:spPr>
          <a:xfrm>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3" name="Gerader Verbinder 1922">
            <a:extLst>
              <a:ext uri="{FF2B5EF4-FFF2-40B4-BE49-F238E27FC236}">
                <a16:creationId xmlns:a16="http://schemas.microsoft.com/office/drawing/2014/main" id="{FBBAB4C9-539F-496E-21DB-5BFE50E7024F}"/>
              </a:ext>
            </a:extLst>
          </xdr:cNvPr>
          <xdr:cNvCxnSpPr/>
        </xdr:nvCxnSpPr>
        <xdr:spPr>
          <a:xfrm flipH="1">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927" name="Cross_H10">
          <a:extLst>
            <a:ext uri="{FF2B5EF4-FFF2-40B4-BE49-F238E27FC236}">
              <a16:creationId xmlns:a16="http://schemas.microsoft.com/office/drawing/2014/main" id="{D7287D20-ECEF-762E-A439-C5F9CAE5A7B7}"/>
            </a:ext>
          </a:extLst>
        </xdr:cNvPr>
        <xdr:cNvGrpSpPr/>
      </xdr:nvGrpSpPr>
      <xdr:grpSpPr>
        <a:xfrm>
          <a:off x="4610100" y="1935480"/>
          <a:ext cx="594360" cy="228600"/>
          <a:chOff x="4610100" y="1935480"/>
          <a:chExt cx="594360" cy="228600"/>
        </a:xfrm>
      </xdr:grpSpPr>
      <xdr:cxnSp macro="">
        <xdr:nvCxnSpPr>
          <xdr:cNvPr id="1925" name="Gerader Verbinder 1924">
            <a:extLst>
              <a:ext uri="{FF2B5EF4-FFF2-40B4-BE49-F238E27FC236}">
                <a16:creationId xmlns:a16="http://schemas.microsoft.com/office/drawing/2014/main" id="{A1F7FFA7-890A-0BCB-DED7-A07FC8110064}"/>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6" name="Gerader Verbinder 1925">
            <a:extLst>
              <a:ext uri="{FF2B5EF4-FFF2-40B4-BE49-F238E27FC236}">
                <a16:creationId xmlns:a16="http://schemas.microsoft.com/office/drawing/2014/main" id="{E06453AC-EA99-331E-735D-18CAB1450FCD}"/>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930" name="Cross_H11">
          <a:extLst>
            <a:ext uri="{FF2B5EF4-FFF2-40B4-BE49-F238E27FC236}">
              <a16:creationId xmlns:a16="http://schemas.microsoft.com/office/drawing/2014/main" id="{E401203B-0A6C-C6F1-3E1B-3A9D42026DE8}"/>
            </a:ext>
          </a:extLst>
        </xdr:cNvPr>
        <xdr:cNvGrpSpPr/>
      </xdr:nvGrpSpPr>
      <xdr:grpSpPr>
        <a:xfrm>
          <a:off x="4610100" y="2164080"/>
          <a:ext cx="594360" cy="167640"/>
          <a:chOff x="4610100" y="2164080"/>
          <a:chExt cx="594360" cy="167640"/>
        </a:xfrm>
      </xdr:grpSpPr>
      <xdr:cxnSp macro="">
        <xdr:nvCxnSpPr>
          <xdr:cNvPr id="1928" name="Gerader Verbinder 1927">
            <a:extLst>
              <a:ext uri="{FF2B5EF4-FFF2-40B4-BE49-F238E27FC236}">
                <a16:creationId xmlns:a16="http://schemas.microsoft.com/office/drawing/2014/main" id="{62777C8E-F3E4-EDED-72D9-51F6254E010D}"/>
              </a:ext>
            </a:extLst>
          </xdr:cNvPr>
          <xdr:cNvCxnSpPr/>
        </xdr:nvCxnSpPr>
        <xdr:spPr>
          <a:xfrm>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9" name="Gerader Verbinder 1928">
            <a:extLst>
              <a:ext uri="{FF2B5EF4-FFF2-40B4-BE49-F238E27FC236}">
                <a16:creationId xmlns:a16="http://schemas.microsoft.com/office/drawing/2014/main" id="{8ED93626-3DCF-D245-D912-71443949BFAC}"/>
              </a:ext>
            </a:extLst>
          </xdr:cNvPr>
          <xdr:cNvCxnSpPr/>
        </xdr:nvCxnSpPr>
        <xdr:spPr>
          <a:xfrm flipH="1">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933" name="Cross_H12">
          <a:extLst>
            <a:ext uri="{FF2B5EF4-FFF2-40B4-BE49-F238E27FC236}">
              <a16:creationId xmlns:a16="http://schemas.microsoft.com/office/drawing/2014/main" id="{E8D4529F-A589-D432-1D78-3C8B0C5A8462}"/>
            </a:ext>
          </a:extLst>
        </xdr:cNvPr>
        <xdr:cNvGrpSpPr/>
      </xdr:nvGrpSpPr>
      <xdr:grpSpPr>
        <a:xfrm>
          <a:off x="4610100" y="2331720"/>
          <a:ext cx="594360" cy="167640"/>
          <a:chOff x="4610100" y="2331720"/>
          <a:chExt cx="594360" cy="167640"/>
        </a:xfrm>
      </xdr:grpSpPr>
      <xdr:cxnSp macro="">
        <xdr:nvCxnSpPr>
          <xdr:cNvPr id="1931" name="Gerader Verbinder 1930">
            <a:extLst>
              <a:ext uri="{FF2B5EF4-FFF2-40B4-BE49-F238E27FC236}">
                <a16:creationId xmlns:a16="http://schemas.microsoft.com/office/drawing/2014/main" id="{87508954-EAB8-AE7F-5097-CD2EE8943D0E}"/>
              </a:ext>
            </a:extLst>
          </xdr:cNvPr>
          <xdr:cNvCxnSpPr/>
        </xdr:nvCxnSpPr>
        <xdr:spPr>
          <a:xfrm>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32" name="Gerader Verbinder 1931">
            <a:extLst>
              <a:ext uri="{FF2B5EF4-FFF2-40B4-BE49-F238E27FC236}">
                <a16:creationId xmlns:a16="http://schemas.microsoft.com/office/drawing/2014/main" id="{86F6125B-4873-741A-45EF-DFE4064BC7E6}"/>
              </a:ext>
            </a:extLst>
          </xdr:cNvPr>
          <xdr:cNvCxnSpPr/>
        </xdr:nvCxnSpPr>
        <xdr:spPr>
          <a:xfrm flipH="1">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936" name="Cross_H16">
          <a:extLst>
            <a:ext uri="{FF2B5EF4-FFF2-40B4-BE49-F238E27FC236}">
              <a16:creationId xmlns:a16="http://schemas.microsoft.com/office/drawing/2014/main" id="{B60B0524-C4D5-4921-9644-FF0F2C20AA96}"/>
            </a:ext>
          </a:extLst>
        </xdr:cNvPr>
        <xdr:cNvGrpSpPr/>
      </xdr:nvGrpSpPr>
      <xdr:grpSpPr>
        <a:xfrm>
          <a:off x="4610100" y="3063240"/>
          <a:ext cx="594360" cy="228600"/>
          <a:chOff x="4610100" y="3063240"/>
          <a:chExt cx="594360" cy="228600"/>
        </a:xfrm>
      </xdr:grpSpPr>
      <xdr:cxnSp macro="">
        <xdr:nvCxnSpPr>
          <xdr:cNvPr id="1934" name="Gerader Verbinder 1933">
            <a:extLst>
              <a:ext uri="{FF2B5EF4-FFF2-40B4-BE49-F238E27FC236}">
                <a16:creationId xmlns:a16="http://schemas.microsoft.com/office/drawing/2014/main" id="{9FFFD978-8D32-C952-1CAA-36E2958D5DD2}"/>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35" name="Gerader Verbinder 1934">
            <a:extLst>
              <a:ext uri="{FF2B5EF4-FFF2-40B4-BE49-F238E27FC236}">
                <a16:creationId xmlns:a16="http://schemas.microsoft.com/office/drawing/2014/main" id="{4055F260-13B0-7C31-EF61-0F6FB1064B50}"/>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939" name="Cross_H17">
          <a:extLst>
            <a:ext uri="{FF2B5EF4-FFF2-40B4-BE49-F238E27FC236}">
              <a16:creationId xmlns:a16="http://schemas.microsoft.com/office/drawing/2014/main" id="{6E9305D9-868E-95F2-1E33-6B7245B91E52}"/>
            </a:ext>
          </a:extLst>
        </xdr:cNvPr>
        <xdr:cNvGrpSpPr/>
      </xdr:nvGrpSpPr>
      <xdr:grpSpPr>
        <a:xfrm>
          <a:off x="4610100" y="3291840"/>
          <a:ext cx="594360" cy="167640"/>
          <a:chOff x="4610100" y="3291840"/>
          <a:chExt cx="594360" cy="167640"/>
        </a:xfrm>
      </xdr:grpSpPr>
      <xdr:cxnSp macro="">
        <xdr:nvCxnSpPr>
          <xdr:cNvPr id="1937" name="Gerader Verbinder 1936">
            <a:extLst>
              <a:ext uri="{FF2B5EF4-FFF2-40B4-BE49-F238E27FC236}">
                <a16:creationId xmlns:a16="http://schemas.microsoft.com/office/drawing/2014/main" id="{19C41EC5-6DB0-DE5C-7523-B8319CB35305}"/>
              </a:ext>
            </a:extLst>
          </xdr:cNvPr>
          <xdr:cNvCxnSpPr/>
        </xdr:nvCxnSpPr>
        <xdr:spPr>
          <a:xfrm>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38" name="Gerader Verbinder 1937">
            <a:extLst>
              <a:ext uri="{FF2B5EF4-FFF2-40B4-BE49-F238E27FC236}">
                <a16:creationId xmlns:a16="http://schemas.microsoft.com/office/drawing/2014/main" id="{26864B1F-8EA8-3978-31AF-EE62ED5320E5}"/>
              </a:ext>
            </a:extLst>
          </xdr:cNvPr>
          <xdr:cNvCxnSpPr/>
        </xdr:nvCxnSpPr>
        <xdr:spPr>
          <a:xfrm flipH="1">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942" name="Cross_H18">
          <a:extLst>
            <a:ext uri="{FF2B5EF4-FFF2-40B4-BE49-F238E27FC236}">
              <a16:creationId xmlns:a16="http://schemas.microsoft.com/office/drawing/2014/main" id="{B29D5502-E965-F3A9-6414-CA1F7589347E}"/>
            </a:ext>
          </a:extLst>
        </xdr:cNvPr>
        <xdr:cNvGrpSpPr/>
      </xdr:nvGrpSpPr>
      <xdr:grpSpPr>
        <a:xfrm>
          <a:off x="4610100" y="3459480"/>
          <a:ext cx="594360" cy="167640"/>
          <a:chOff x="4610100" y="3459480"/>
          <a:chExt cx="594360" cy="167640"/>
        </a:xfrm>
      </xdr:grpSpPr>
      <xdr:cxnSp macro="">
        <xdr:nvCxnSpPr>
          <xdr:cNvPr id="1940" name="Gerader Verbinder 1939">
            <a:extLst>
              <a:ext uri="{FF2B5EF4-FFF2-40B4-BE49-F238E27FC236}">
                <a16:creationId xmlns:a16="http://schemas.microsoft.com/office/drawing/2014/main" id="{2671CC60-BCE5-11D6-983B-EEAD5154A86A}"/>
              </a:ext>
            </a:extLst>
          </xdr:cNvPr>
          <xdr:cNvCxnSpPr/>
        </xdr:nvCxnSpPr>
        <xdr:spPr>
          <a:xfrm>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41" name="Gerader Verbinder 1940">
            <a:extLst>
              <a:ext uri="{FF2B5EF4-FFF2-40B4-BE49-F238E27FC236}">
                <a16:creationId xmlns:a16="http://schemas.microsoft.com/office/drawing/2014/main" id="{4756D20F-2CB5-C6FD-B8DA-4E01BD3A13AB}"/>
              </a:ext>
            </a:extLst>
          </xdr:cNvPr>
          <xdr:cNvCxnSpPr/>
        </xdr:nvCxnSpPr>
        <xdr:spPr>
          <a:xfrm flipH="1">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1945" name="Cross_H19">
          <a:extLst>
            <a:ext uri="{FF2B5EF4-FFF2-40B4-BE49-F238E27FC236}">
              <a16:creationId xmlns:a16="http://schemas.microsoft.com/office/drawing/2014/main" id="{3EAA5C06-8224-0662-4606-6B1E93922541}"/>
            </a:ext>
          </a:extLst>
        </xdr:cNvPr>
        <xdr:cNvGrpSpPr/>
      </xdr:nvGrpSpPr>
      <xdr:grpSpPr>
        <a:xfrm>
          <a:off x="4610100" y="3627120"/>
          <a:ext cx="594360" cy="228600"/>
          <a:chOff x="4610100" y="3627120"/>
          <a:chExt cx="594360" cy="228600"/>
        </a:xfrm>
      </xdr:grpSpPr>
      <xdr:cxnSp macro="">
        <xdr:nvCxnSpPr>
          <xdr:cNvPr id="1943" name="Gerader Verbinder 1942">
            <a:extLst>
              <a:ext uri="{FF2B5EF4-FFF2-40B4-BE49-F238E27FC236}">
                <a16:creationId xmlns:a16="http://schemas.microsoft.com/office/drawing/2014/main" id="{F4F0B66A-D35B-0136-C244-04E9E49C33D5}"/>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44" name="Gerader Verbinder 1943">
            <a:extLst>
              <a:ext uri="{FF2B5EF4-FFF2-40B4-BE49-F238E27FC236}">
                <a16:creationId xmlns:a16="http://schemas.microsoft.com/office/drawing/2014/main" id="{08EB51AF-81FB-F2D6-B9DD-66D19C9C112B}"/>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1948" name="Cross_H20">
          <a:extLst>
            <a:ext uri="{FF2B5EF4-FFF2-40B4-BE49-F238E27FC236}">
              <a16:creationId xmlns:a16="http://schemas.microsoft.com/office/drawing/2014/main" id="{E323F764-C241-4BD1-51CD-A87DBCA753E0}"/>
            </a:ext>
          </a:extLst>
        </xdr:cNvPr>
        <xdr:cNvGrpSpPr/>
      </xdr:nvGrpSpPr>
      <xdr:grpSpPr>
        <a:xfrm>
          <a:off x="4610100" y="3855720"/>
          <a:ext cx="594360" cy="167640"/>
          <a:chOff x="4610100" y="3855720"/>
          <a:chExt cx="594360" cy="167640"/>
        </a:xfrm>
      </xdr:grpSpPr>
      <xdr:cxnSp macro="">
        <xdr:nvCxnSpPr>
          <xdr:cNvPr id="1946" name="Gerader Verbinder 1945">
            <a:extLst>
              <a:ext uri="{FF2B5EF4-FFF2-40B4-BE49-F238E27FC236}">
                <a16:creationId xmlns:a16="http://schemas.microsoft.com/office/drawing/2014/main" id="{4A0CE7B0-0940-621C-41FE-336F7D50AE77}"/>
              </a:ext>
            </a:extLst>
          </xdr:cNvPr>
          <xdr:cNvCxnSpPr/>
        </xdr:nvCxnSpPr>
        <xdr:spPr>
          <a:xfrm>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47" name="Gerader Verbinder 1946">
            <a:extLst>
              <a:ext uri="{FF2B5EF4-FFF2-40B4-BE49-F238E27FC236}">
                <a16:creationId xmlns:a16="http://schemas.microsoft.com/office/drawing/2014/main" id="{696166B5-CBDB-F2D3-FE1E-936E7EF77379}"/>
              </a:ext>
            </a:extLst>
          </xdr:cNvPr>
          <xdr:cNvCxnSpPr/>
        </xdr:nvCxnSpPr>
        <xdr:spPr>
          <a:xfrm flipH="1">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1951" name="Cross_H21">
          <a:extLst>
            <a:ext uri="{FF2B5EF4-FFF2-40B4-BE49-F238E27FC236}">
              <a16:creationId xmlns:a16="http://schemas.microsoft.com/office/drawing/2014/main" id="{3F20BEBA-CC78-FEDC-2F3C-79D85FEFCBA5}"/>
            </a:ext>
          </a:extLst>
        </xdr:cNvPr>
        <xdr:cNvGrpSpPr/>
      </xdr:nvGrpSpPr>
      <xdr:grpSpPr>
        <a:xfrm>
          <a:off x="4610100" y="4023360"/>
          <a:ext cx="594360" cy="167640"/>
          <a:chOff x="4610100" y="4023360"/>
          <a:chExt cx="594360" cy="167640"/>
        </a:xfrm>
      </xdr:grpSpPr>
      <xdr:cxnSp macro="">
        <xdr:nvCxnSpPr>
          <xdr:cNvPr id="1949" name="Gerader Verbinder 1948">
            <a:extLst>
              <a:ext uri="{FF2B5EF4-FFF2-40B4-BE49-F238E27FC236}">
                <a16:creationId xmlns:a16="http://schemas.microsoft.com/office/drawing/2014/main" id="{33D742F9-A385-D956-F738-A041C8D723B8}"/>
              </a:ext>
            </a:extLst>
          </xdr:cNvPr>
          <xdr:cNvCxnSpPr/>
        </xdr:nvCxnSpPr>
        <xdr:spPr>
          <a:xfrm>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0" name="Gerader Verbinder 1949">
            <a:extLst>
              <a:ext uri="{FF2B5EF4-FFF2-40B4-BE49-F238E27FC236}">
                <a16:creationId xmlns:a16="http://schemas.microsoft.com/office/drawing/2014/main" id="{C5057180-087E-E0EA-A5BD-A6AF7DED825E}"/>
              </a:ext>
            </a:extLst>
          </xdr:cNvPr>
          <xdr:cNvCxnSpPr/>
        </xdr:nvCxnSpPr>
        <xdr:spPr>
          <a:xfrm flipH="1">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954" name="Cross_H22">
          <a:extLst>
            <a:ext uri="{FF2B5EF4-FFF2-40B4-BE49-F238E27FC236}">
              <a16:creationId xmlns:a16="http://schemas.microsoft.com/office/drawing/2014/main" id="{08ED42DB-9E75-6ED3-A685-13FB0E7601A9}"/>
            </a:ext>
          </a:extLst>
        </xdr:cNvPr>
        <xdr:cNvGrpSpPr/>
      </xdr:nvGrpSpPr>
      <xdr:grpSpPr>
        <a:xfrm>
          <a:off x="4610100" y="4191000"/>
          <a:ext cx="594360" cy="228600"/>
          <a:chOff x="4610100" y="4191000"/>
          <a:chExt cx="594360" cy="228600"/>
        </a:xfrm>
      </xdr:grpSpPr>
      <xdr:cxnSp macro="">
        <xdr:nvCxnSpPr>
          <xdr:cNvPr id="1952" name="Gerader Verbinder 1951">
            <a:extLst>
              <a:ext uri="{FF2B5EF4-FFF2-40B4-BE49-F238E27FC236}">
                <a16:creationId xmlns:a16="http://schemas.microsoft.com/office/drawing/2014/main" id="{4D1BA5CE-D957-4A28-683E-4FAAB7840CEC}"/>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3" name="Gerader Verbinder 1952">
            <a:extLst>
              <a:ext uri="{FF2B5EF4-FFF2-40B4-BE49-F238E27FC236}">
                <a16:creationId xmlns:a16="http://schemas.microsoft.com/office/drawing/2014/main" id="{690FE3A2-6F5A-E82C-EFA0-18D924812065}"/>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957" name="Cross_H23">
          <a:extLst>
            <a:ext uri="{FF2B5EF4-FFF2-40B4-BE49-F238E27FC236}">
              <a16:creationId xmlns:a16="http://schemas.microsoft.com/office/drawing/2014/main" id="{E71DFA87-5732-A3C6-F996-190FEBFA86E0}"/>
            </a:ext>
          </a:extLst>
        </xdr:cNvPr>
        <xdr:cNvGrpSpPr/>
      </xdr:nvGrpSpPr>
      <xdr:grpSpPr>
        <a:xfrm>
          <a:off x="4610100" y="4419600"/>
          <a:ext cx="594360" cy="167640"/>
          <a:chOff x="4610100" y="4419600"/>
          <a:chExt cx="594360" cy="167640"/>
        </a:xfrm>
      </xdr:grpSpPr>
      <xdr:cxnSp macro="">
        <xdr:nvCxnSpPr>
          <xdr:cNvPr id="1955" name="Gerader Verbinder 1954">
            <a:extLst>
              <a:ext uri="{FF2B5EF4-FFF2-40B4-BE49-F238E27FC236}">
                <a16:creationId xmlns:a16="http://schemas.microsoft.com/office/drawing/2014/main" id="{9188AB5F-04CA-30E4-DB3F-62EBAB4FC51F}"/>
              </a:ext>
            </a:extLst>
          </xdr:cNvPr>
          <xdr:cNvCxnSpPr/>
        </xdr:nvCxnSpPr>
        <xdr:spPr>
          <a:xfrm>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6" name="Gerader Verbinder 1955">
            <a:extLst>
              <a:ext uri="{FF2B5EF4-FFF2-40B4-BE49-F238E27FC236}">
                <a16:creationId xmlns:a16="http://schemas.microsoft.com/office/drawing/2014/main" id="{9499BBA2-8C57-BD41-CDD1-4F0C2E14DE17}"/>
              </a:ext>
            </a:extLst>
          </xdr:cNvPr>
          <xdr:cNvCxnSpPr/>
        </xdr:nvCxnSpPr>
        <xdr:spPr>
          <a:xfrm flipH="1">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1960" name="Cross_H24">
          <a:extLst>
            <a:ext uri="{FF2B5EF4-FFF2-40B4-BE49-F238E27FC236}">
              <a16:creationId xmlns:a16="http://schemas.microsoft.com/office/drawing/2014/main" id="{165213D1-B7A6-762F-7793-6A7614E527A2}"/>
            </a:ext>
          </a:extLst>
        </xdr:cNvPr>
        <xdr:cNvGrpSpPr/>
      </xdr:nvGrpSpPr>
      <xdr:grpSpPr>
        <a:xfrm>
          <a:off x="4610100" y="4587240"/>
          <a:ext cx="594360" cy="167640"/>
          <a:chOff x="4610100" y="4587240"/>
          <a:chExt cx="594360" cy="167640"/>
        </a:xfrm>
      </xdr:grpSpPr>
      <xdr:cxnSp macro="">
        <xdr:nvCxnSpPr>
          <xdr:cNvPr id="1958" name="Gerader Verbinder 1957">
            <a:extLst>
              <a:ext uri="{FF2B5EF4-FFF2-40B4-BE49-F238E27FC236}">
                <a16:creationId xmlns:a16="http://schemas.microsoft.com/office/drawing/2014/main" id="{3DB8CF8A-C942-EF0F-A849-5C467F96068C}"/>
              </a:ext>
            </a:extLst>
          </xdr:cNvPr>
          <xdr:cNvCxnSpPr/>
        </xdr:nvCxnSpPr>
        <xdr:spPr>
          <a:xfrm>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9" name="Gerader Verbinder 1958">
            <a:extLst>
              <a:ext uri="{FF2B5EF4-FFF2-40B4-BE49-F238E27FC236}">
                <a16:creationId xmlns:a16="http://schemas.microsoft.com/office/drawing/2014/main" id="{DA2C58C6-FC99-EFC7-7C44-6568F948CFF3}"/>
              </a:ext>
            </a:extLst>
          </xdr:cNvPr>
          <xdr:cNvCxnSpPr/>
        </xdr:nvCxnSpPr>
        <xdr:spPr>
          <a:xfrm flipH="1">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1963" name="Cross_H31">
          <a:extLst>
            <a:ext uri="{FF2B5EF4-FFF2-40B4-BE49-F238E27FC236}">
              <a16:creationId xmlns:a16="http://schemas.microsoft.com/office/drawing/2014/main" id="{427B1F4A-AE87-ECE7-4773-7525D6CEDAA7}"/>
            </a:ext>
          </a:extLst>
        </xdr:cNvPr>
        <xdr:cNvGrpSpPr/>
      </xdr:nvGrpSpPr>
      <xdr:grpSpPr>
        <a:xfrm>
          <a:off x="4610100" y="5882640"/>
          <a:ext cx="594360" cy="228600"/>
          <a:chOff x="4610100" y="5882640"/>
          <a:chExt cx="594360" cy="228600"/>
        </a:xfrm>
      </xdr:grpSpPr>
      <xdr:cxnSp macro="">
        <xdr:nvCxnSpPr>
          <xdr:cNvPr id="1961" name="Gerader Verbinder 1960">
            <a:extLst>
              <a:ext uri="{FF2B5EF4-FFF2-40B4-BE49-F238E27FC236}">
                <a16:creationId xmlns:a16="http://schemas.microsoft.com/office/drawing/2014/main" id="{84E5B580-1B0F-EC2A-03C3-436E9DB574C7}"/>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62" name="Gerader Verbinder 1961">
            <a:extLst>
              <a:ext uri="{FF2B5EF4-FFF2-40B4-BE49-F238E27FC236}">
                <a16:creationId xmlns:a16="http://schemas.microsoft.com/office/drawing/2014/main" id="{6B4C3733-D059-0FF5-7233-02DE0E58D216}"/>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1966" name="Cross_H32">
          <a:extLst>
            <a:ext uri="{FF2B5EF4-FFF2-40B4-BE49-F238E27FC236}">
              <a16:creationId xmlns:a16="http://schemas.microsoft.com/office/drawing/2014/main" id="{65C2240A-635E-1F8F-B0C7-7D19F151209A}"/>
            </a:ext>
          </a:extLst>
        </xdr:cNvPr>
        <xdr:cNvGrpSpPr/>
      </xdr:nvGrpSpPr>
      <xdr:grpSpPr>
        <a:xfrm>
          <a:off x="4610100" y="6111240"/>
          <a:ext cx="594360" cy="167640"/>
          <a:chOff x="4610100" y="6111240"/>
          <a:chExt cx="594360" cy="167640"/>
        </a:xfrm>
      </xdr:grpSpPr>
      <xdr:cxnSp macro="">
        <xdr:nvCxnSpPr>
          <xdr:cNvPr id="1964" name="Gerader Verbinder 1963">
            <a:extLst>
              <a:ext uri="{FF2B5EF4-FFF2-40B4-BE49-F238E27FC236}">
                <a16:creationId xmlns:a16="http://schemas.microsoft.com/office/drawing/2014/main" id="{29F6A093-76BE-4A24-9B0F-879621EE58C1}"/>
              </a:ext>
            </a:extLst>
          </xdr:cNvPr>
          <xdr:cNvCxnSpPr/>
        </xdr:nvCxnSpPr>
        <xdr:spPr>
          <a:xfrm>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65" name="Gerader Verbinder 1964">
            <a:extLst>
              <a:ext uri="{FF2B5EF4-FFF2-40B4-BE49-F238E27FC236}">
                <a16:creationId xmlns:a16="http://schemas.microsoft.com/office/drawing/2014/main" id="{DFEE8BE5-8F11-FAC5-0815-FF3E938D77FE}"/>
              </a:ext>
            </a:extLst>
          </xdr:cNvPr>
          <xdr:cNvCxnSpPr/>
        </xdr:nvCxnSpPr>
        <xdr:spPr>
          <a:xfrm flipH="1">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1969" name="Cross_H33">
          <a:extLst>
            <a:ext uri="{FF2B5EF4-FFF2-40B4-BE49-F238E27FC236}">
              <a16:creationId xmlns:a16="http://schemas.microsoft.com/office/drawing/2014/main" id="{45CC913A-E68C-EFD3-7D55-D6421FAA65E8}"/>
            </a:ext>
          </a:extLst>
        </xdr:cNvPr>
        <xdr:cNvGrpSpPr/>
      </xdr:nvGrpSpPr>
      <xdr:grpSpPr>
        <a:xfrm>
          <a:off x="4610100" y="6278880"/>
          <a:ext cx="594360" cy="167640"/>
          <a:chOff x="4610100" y="6278880"/>
          <a:chExt cx="594360" cy="167640"/>
        </a:xfrm>
      </xdr:grpSpPr>
      <xdr:cxnSp macro="">
        <xdr:nvCxnSpPr>
          <xdr:cNvPr id="1967" name="Gerader Verbinder 1966">
            <a:extLst>
              <a:ext uri="{FF2B5EF4-FFF2-40B4-BE49-F238E27FC236}">
                <a16:creationId xmlns:a16="http://schemas.microsoft.com/office/drawing/2014/main" id="{3847F74C-122F-AE2A-47D5-BFD3955C4D03}"/>
              </a:ext>
            </a:extLst>
          </xdr:cNvPr>
          <xdr:cNvCxnSpPr/>
        </xdr:nvCxnSpPr>
        <xdr:spPr>
          <a:xfrm>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68" name="Gerader Verbinder 1967">
            <a:extLst>
              <a:ext uri="{FF2B5EF4-FFF2-40B4-BE49-F238E27FC236}">
                <a16:creationId xmlns:a16="http://schemas.microsoft.com/office/drawing/2014/main" id="{4DE16712-1A86-AD0F-28AD-733B842838C3}"/>
              </a:ext>
            </a:extLst>
          </xdr:cNvPr>
          <xdr:cNvCxnSpPr/>
        </xdr:nvCxnSpPr>
        <xdr:spPr>
          <a:xfrm flipH="1">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1972" name="Cross_H34">
          <a:extLst>
            <a:ext uri="{FF2B5EF4-FFF2-40B4-BE49-F238E27FC236}">
              <a16:creationId xmlns:a16="http://schemas.microsoft.com/office/drawing/2014/main" id="{30B16C67-D7FA-10CF-9DF7-19EE7958642A}"/>
            </a:ext>
          </a:extLst>
        </xdr:cNvPr>
        <xdr:cNvGrpSpPr/>
      </xdr:nvGrpSpPr>
      <xdr:grpSpPr>
        <a:xfrm>
          <a:off x="4610100" y="6446520"/>
          <a:ext cx="594360" cy="228600"/>
          <a:chOff x="4610100" y="6446520"/>
          <a:chExt cx="594360" cy="228600"/>
        </a:xfrm>
      </xdr:grpSpPr>
      <xdr:cxnSp macro="">
        <xdr:nvCxnSpPr>
          <xdr:cNvPr id="1970" name="Gerader Verbinder 1969">
            <a:extLst>
              <a:ext uri="{FF2B5EF4-FFF2-40B4-BE49-F238E27FC236}">
                <a16:creationId xmlns:a16="http://schemas.microsoft.com/office/drawing/2014/main" id="{AE6D94FD-DAEE-5967-C609-9E46E035C8F7}"/>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71" name="Gerader Verbinder 1970">
            <a:extLst>
              <a:ext uri="{FF2B5EF4-FFF2-40B4-BE49-F238E27FC236}">
                <a16:creationId xmlns:a16="http://schemas.microsoft.com/office/drawing/2014/main" id="{92BE5E9B-1AAA-C012-478E-09954B333A88}"/>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1975" name="Cross_H35">
          <a:extLst>
            <a:ext uri="{FF2B5EF4-FFF2-40B4-BE49-F238E27FC236}">
              <a16:creationId xmlns:a16="http://schemas.microsoft.com/office/drawing/2014/main" id="{4342CB71-E769-4AE4-5776-63E1DF8FD994}"/>
            </a:ext>
          </a:extLst>
        </xdr:cNvPr>
        <xdr:cNvGrpSpPr/>
      </xdr:nvGrpSpPr>
      <xdr:grpSpPr>
        <a:xfrm>
          <a:off x="4610100" y="6675120"/>
          <a:ext cx="594360" cy="167640"/>
          <a:chOff x="4610100" y="6675120"/>
          <a:chExt cx="594360" cy="167640"/>
        </a:xfrm>
      </xdr:grpSpPr>
      <xdr:cxnSp macro="">
        <xdr:nvCxnSpPr>
          <xdr:cNvPr id="1973" name="Gerader Verbinder 1972">
            <a:extLst>
              <a:ext uri="{FF2B5EF4-FFF2-40B4-BE49-F238E27FC236}">
                <a16:creationId xmlns:a16="http://schemas.microsoft.com/office/drawing/2014/main" id="{33D1B867-FFC6-EC32-402E-9D50D9360C68}"/>
              </a:ext>
            </a:extLst>
          </xdr:cNvPr>
          <xdr:cNvCxnSpPr/>
        </xdr:nvCxnSpPr>
        <xdr:spPr>
          <a:xfrm>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74" name="Gerader Verbinder 1973">
            <a:extLst>
              <a:ext uri="{FF2B5EF4-FFF2-40B4-BE49-F238E27FC236}">
                <a16:creationId xmlns:a16="http://schemas.microsoft.com/office/drawing/2014/main" id="{0EC01C25-1A0F-090B-82AC-5AA9AC325235}"/>
              </a:ext>
            </a:extLst>
          </xdr:cNvPr>
          <xdr:cNvCxnSpPr/>
        </xdr:nvCxnSpPr>
        <xdr:spPr>
          <a:xfrm flipH="1">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1978" name="Cross_H36">
          <a:extLst>
            <a:ext uri="{FF2B5EF4-FFF2-40B4-BE49-F238E27FC236}">
              <a16:creationId xmlns:a16="http://schemas.microsoft.com/office/drawing/2014/main" id="{BAED2468-C1DE-0B54-E37A-78C235D0E9C1}"/>
            </a:ext>
          </a:extLst>
        </xdr:cNvPr>
        <xdr:cNvGrpSpPr/>
      </xdr:nvGrpSpPr>
      <xdr:grpSpPr>
        <a:xfrm>
          <a:off x="4610100" y="6842760"/>
          <a:ext cx="594360" cy="167640"/>
          <a:chOff x="4610100" y="6842760"/>
          <a:chExt cx="594360" cy="167640"/>
        </a:xfrm>
      </xdr:grpSpPr>
      <xdr:cxnSp macro="">
        <xdr:nvCxnSpPr>
          <xdr:cNvPr id="1976" name="Gerader Verbinder 1975">
            <a:extLst>
              <a:ext uri="{FF2B5EF4-FFF2-40B4-BE49-F238E27FC236}">
                <a16:creationId xmlns:a16="http://schemas.microsoft.com/office/drawing/2014/main" id="{116D0934-D4F4-AA38-007D-DA34F7B65BE4}"/>
              </a:ext>
            </a:extLst>
          </xdr:cNvPr>
          <xdr:cNvCxnSpPr/>
        </xdr:nvCxnSpPr>
        <xdr:spPr>
          <a:xfrm>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77" name="Gerader Verbinder 1976">
            <a:extLst>
              <a:ext uri="{FF2B5EF4-FFF2-40B4-BE49-F238E27FC236}">
                <a16:creationId xmlns:a16="http://schemas.microsoft.com/office/drawing/2014/main" id="{85BE35EA-7A90-C905-062C-F93F6568DBE1}"/>
              </a:ext>
            </a:extLst>
          </xdr:cNvPr>
          <xdr:cNvCxnSpPr/>
        </xdr:nvCxnSpPr>
        <xdr:spPr>
          <a:xfrm flipH="1">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1981" name="Cross_H37">
          <a:extLst>
            <a:ext uri="{FF2B5EF4-FFF2-40B4-BE49-F238E27FC236}">
              <a16:creationId xmlns:a16="http://schemas.microsoft.com/office/drawing/2014/main" id="{C64B85B3-7819-9E01-C7F7-78CD6C50B423}"/>
            </a:ext>
          </a:extLst>
        </xdr:cNvPr>
        <xdr:cNvGrpSpPr/>
      </xdr:nvGrpSpPr>
      <xdr:grpSpPr>
        <a:xfrm>
          <a:off x="4610100" y="7010400"/>
          <a:ext cx="594360" cy="228600"/>
          <a:chOff x="4610100" y="7010400"/>
          <a:chExt cx="594360" cy="228600"/>
        </a:xfrm>
      </xdr:grpSpPr>
      <xdr:cxnSp macro="">
        <xdr:nvCxnSpPr>
          <xdr:cNvPr id="1979" name="Gerader Verbinder 1978">
            <a:extLst>
              <a:ext uri="{FF2B5EF4-FFF2-40B4-BE49-F238E27FC236}">
                <a16:creationId xmlns:a16="http://schemas.microsoft.com/office/drawing/2014/main" id="{051F71E7-4170-85A0-0093-963CD2663216}"/>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0" name="Gerader Verbinder 1979">
            <a:extLst>
              <a:ext uri="{FF2B5EF4-FFF2-40B4-BE49-F238E27FC236}">
                <a16:creationId xmlns:a16="http://schemas.microsoft.com/office/drawing/2014/main" id="{1EF9123E-D3C8-A70E-DC01-6E005E18967B}"/>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1984" name="Cross_H38">
          <a:extLst>
            <a:ext uri="{FF2B5EF4-FFF2-40B4-BE49-F238E27FC236}">
              <a16:creationId xmlns:a16="http://schemas.microsoft.com/office/drawing/2014/main" id="{BC944754-E2E9-58D6-BA9D-4F317750CD62}"/>
            </a:ext>
          </a:extLst>
        </xdr:cNvPr>
        <xdr:cNvGrpSpPr/>
      </xdr:nvGrpSpPr>
      <xdr:grpSpPr>
        <a:xfrm>
          <a:off x="4610100" y="7239000"/>
          <a:ext cx="594360" cy="167640"/>
          <a:chOff x="4610100" y="7239000"/>
          <a:chExt cx="594360" cy="167640"/>
        </a:xfrm>
      </xdr:grpSpPr>
      <xdr:cxnSp macro="">
        <xdr:nvCxnSpPr>
          <xdr:cNvPr id="1982" name="Gerader Verbinder 1981">
            <a:extLst>
              <a:ext uri="{FF2B5EF4-FFF2-40B4-BE49-F238E27FC236}">
                <a16:creationId xmlns:a16="http://schemas.microsoft.com/office/drawing/2014/main" id="{8A758525-2BC7-4784-79EB-29345197ED1C}"/>
              </a:ext>
            </a:extLst>
          </xdr:cNvPr>
          <xdr:cNvCxnSpPr/>
        </xdr:nvCxnSpPr>
        <xdr:spPr>
          <a:xfrm>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3" name="Gerader Verbinder 1982">
            <a:extLst>
              <a:ext uri="{FF2B5EF4-FFF2-40B4-BE49-F238E27FC236}">
                <a16:creationId xmlns:a16="http://schemas.microsoft.com/office/drawing/2014/main" id="{35E33C12-5BF2-1227-4499-4FA7C215ECA9}"/>
              </a:ext>
            </a:extLst>
          </xdr:cNvPr>
          <xdr:cNvCxnSpPr/>
        </xdr:nvCxnSpPr>
        <xdr:spPr>
          <a:xfrm flipH="1">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1987" name="Cross_H39">
          <a:extLst>
            <a:ext uri="{FF2B5EF4-FFF2-40B4-BE49-F238E27FC236}">
              <a16:creationId xmlns:a16="http://schemas.microsoft.com/office/drawing/2014/main" id="{9066ABC2-7B8B-1409-6305-013A46920142}"/>
            </a:ext>
          </a:extLst>
        </xdr:cNvPr>
        <xdr:cNvGrpSpPr/>
      </xdr:nvGrpSpPr>
      <xdr:grpSpPr>
        <a:xfrm>
          <a:off x="4610100" y="7406640"/>
          <a:ext cx="594360" cy="167640"/>
          <a:chOff x="4610100" y="7406640"/>
          <a:chExt cx="594360" cy="167640"/>
        </a:xfrm>
      </xdr:grpSpPr>
      <xdr:cxnSp macro="">
        <xdr:nvCxnSpPr>
          <xdr:cNvPr id="1985" name="Gerader Verbinder 1984">
            <a:extLst>
              <a:ext uri="{FF2B5EF4-FFF2-40B4-BE49-F238E27FC236}">
                <a16:creationId xmlns:a16="http://schemas.microsoft.com/office/drawing/2014/main" id="{71520E9C-66E7-C5EE-8B27-DA4C8EBC4B30}"/>
              </a:ext>
            </a:extLst>
          </xdr:cNvPr>
          <xdr:cNvCxnSpPr/>
        </xdr:nvCxnSpPr>
        <xdr:spPr>
          <a:xfrm>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6" name="Gerader Verbinder 1985">
            <a:extLst>
              <a:ext uri="{FF2B5EF4-FFF2-40B4-BE49-F238E27FC236}">
                <a16:creationId xmlns:a16="http://schemas.microsoft.com/office/drawing/2014/main" id="{CB6643F5-915B-795F-040A-FFA78EE6A60E}"/>
              </a:ext>
            </a:extLst>
          </xdr:cNvPr>
          <xdr:cNvCxnSpPr/>
        </xdr:nvCxnSpPr>
        <xdr:spPr>
          <a:xfrm flipH="1">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1990" name="Cross_H40">
          <a:extLst>
            <a:ext uri="{FF2B5EF4-FFF2-40B4-BE49-F238E27FC236}">
              <a16:creationId xmlns:a16="http://schemas.microsoft.com/office/drawing/2014/main" id="{C6211A80-4572-083E-5979-3C3D4D8ABD9A}"/>
            </a:ext>
          </a:extLst>
        </xdr:cNvPr>
        <xdr:cNvGrpSpPr/>
      </xdr:nvGrpSpPr>
      <xdr:grpSpPr>
        <a:xfrm>
          <a:off x="4610100" y="7574280"/>
          <a:ext cx="594360" cy="228600"/>
          <a:chOff x="4610100" y="7574280"/>
          <a:chExt cx="594360" cy="228600"/>
        </a:xfrm>
      </xdr:grpSpPr>
      <xdr:cxnSp macro="">
        <xdr:nvCxnSpPr>
          <xdr:cNvPr id="1988" name="Gerader Verbinder 1987">
            <a:extLst>
              <a:ext uri="{FF2B5EF4-FFF2-40B4-BE49-F238E27FC236}">
                <a16:creationId xmlns:a16="http://schemas.microsoft.com/office/drawing/2014/main" id="{8F8EA4DA-BD0F-E42B-5F00-19640D05AA84}"/>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9" name="Gerader Verbinder 1988">
            <a:extLst>
              <a:ext uri="{FF2B5EF4-FFF2-40B4-BE49-F238E27FC236}">
                <a16:creationId xmlns:a16="http://schemas.microsoft.com/office/drawing/2014/main" id="{2BCC16E1-51B6-0874-32CF-875D4B2C4199}"/>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1993" name="Cross_H41">
          <a:extLst>
            <a:ext uri="{FF2B5EF4-FFF2-40B4-BE49-F238E27FC236}">
              <a16:creationId xmlns:a16="http://schemas.microsoft.com/office/drawing/2014/main" id="{470FCDAC-AF75-3FAB-83AB-B29A416D3724}"/>
            </a:ext>
          </a:extLst>
        </xdr:cNvPr>
        <xdr:cNvGrpSpPr/>
      </xdr:nvGrpSpPr>
      <xdr:grpSpPr>
        <a:xfrm>
          <a:off x="4610100" y="7802880"/>
          <a:ext cx="594360" cy="167640"/>
          <a:chOff x="4610100" y="7802880"/>
          <a:chExt cx="594360" cy="167640"/>
        </a:xfrm>
      </xdr:grpSpPr>
      <xdr:cxnSp macro="">
        <xdr:nvCxnSpPr>
          <xdr:cNvPr id="1991" name="Gerader Verbinder 1990">
            <a:extLst>
              <a:ext uri="{FF2B5EF4-FFF2-40B4-BE49-F238E27FC236}">
                <a16:creationId xmlns:a16="http://schemas.microsoft.com/office/drawing/2014/main" id="{BFF90FA6-508F-1D1D-C6CD-ACC37A371F47}"/>
              </a:ext>
            </a:extLst>
          </xdr:cNvPr>
          <xdr:cNvCxnSpPr/>
        </xdr:nvCxnSpPr>
        <xdr:spPr>
          <a:xfrm>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92" name="Gerader Verbinder 1991">
            <a:extLst>
              <a:ext uri="{FF2B5EF4-FFF2-40B4-BE49-F238E27FC236}">
                <a16:creationId xmlns:a16="http://schemas.microsoft.com/office/drawing/2014/main" id="{BE067618-FC32-609D-1012-599BF330C088}"/>
              </a:ext>
            </a:extLst>
          </xdr:cNvPr>
          <xdr:cNvCxnSpPr/>
        </xdr:nvCxnSpPr>
        <xdr:spPr>
          <a:xfrm flipH="1">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1996" name="Cross_H42">
          <a:extLst>
            <a:ext uri="{FF2B5EF4-FFF2-40B4-BE49-F238E27FC236}">
              <a16:creationId xmlns:a16="http://schemas.microsoft.com/office/drawing/2014/main" id="{E4032822-7C50-CC18-127F-C93ADA1E59FE}"/>
            </a:ext>
          </a:extLst>
        </xdr:cNvPr>
        <xdr:cNvGrpSpPr/>
      </xdr:nvGrpSpPr>
      <xdr:grpSpPr>
        <a:xfrm>
          <a:off x="4610100" y="7970520"/>
          <a:ext cx="594360" cy="167640"/>
          <a:chOff x="4610100" y="7970520"/>
          <a:chExt cx="594360" cy="167640"/>
        </a:xfrm>
      </xdr:grpSpPr>
      <xdr:cxnSp macro="">
        <xdr:nvCxnSpPr>
          <xdr:cNvPr id="1994" name="Gerader Verbinder 1993">
            <a:extLst>
              <a:ext uri="{FF2B5EF4-FFF2-40B4-BE49-F238E27FC236}">
                <a16:creationId xmlns:a16="http://schemas.microsoft.com/office/drawing/2014/main" id="{C9F935CB-A188-574C-BD0D-34A4C58960B2}"/>
              </a:ext>
            </a:extLst>
          </xdr:cNvPr>
          <xdr:cNvCxnSpPr/>
        </xdr:nvCxnSpPr>
        <xdr:spPr>
          <a:xfrm>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95" name="Gerader Verbinder 1994">
            <a:extLst>
              <a:ext uri="{FF2B5EF4-FFF2-40B4-BE49-F238E27FC236}">
                <a16:creationId xmlns:a16="http://schemas.microsoft.com/office/drawing/2014/main" id="{FACCC3F0-B665-10D3-E482-1B97CE32513C}"/>
              </a:ext>
            </a:extLst>
          </xdr:cNvPr>
          <xdr:cNvCxnSpPr/>
        </xdr:nvCxnSpPr>
        <xdr:spPr>
          <a:xfrm flipH="1">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1999" name="Cross_H52">
          <a:extLst>
            <a:ext uri="{FF2B5EF4-FFF2-40B4-BE49-F238E27FC236}">
              <a16:creationId xmlns:a16="http://schemas.microsoft.com/office/drawing/2014/main" id="{C22BD7C1-CE1F-B534-FDF0-F4575C6BD6E3}"/>
            </a:ext>
          </a:extLst>
        </xdr:cNvPr>
        <xdr:cNvGrpSpPr/>
      </xdr:nvGrpSpPr>
      <xdr:grpSpPr>
        <a:xfrm>
          <a:off x="4610100" y="9829800"/>
          <a:ext cx="594360" cy="228600"/>
          <a:chOff x="4610100" y="9829800"/>
          <a:chExt cx="594360" cy="228600"/>
        </a:xfrm>
      </xdr:grpSpPr>
      <xdr:cxnSp macro="">
        <xdr:nvCxnSpPr>
          <xdr:cNvPr id="1997" name="Gerader Verbinder 1996">
            <a:extLst>
              <a:ext uri="{FF2B5EF4-FFF2-40B4-BE49-F238E27FC236}">
                <a16:creationId xmlns:a16="http://schemas.microsoft.com/office/drawing/2014/main" id="{8ECEB2D0-DD34-31F3-FB00-9669E3998D61}"/>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98" name="Gerader Verbinder 1997">
            <a:extLst>
              <a:ext uri="{FF2B5EF4-FFF2-40B4-BE49-F238E27FC236}">
                <a16:creationId xmlns:a16="http://schemas.microsoft.com/office/drawing/2014/main" id="{F3758B84-9098-9533-E028-EE3652AEBFC7}"/>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2002" name="Cross_H53">
          <a:extLst>
            <a:ext uri="{FF2B5EF4-FFF2-40B4-BE49-F238E27FC236}">
              <a16:creationId xmlns:a16="http://schemas.microsoft.com/office/drawing/2014/main" id="{133AD688-E826-AC09-0329-89BC80703C14}"/>
            </a:ext>
          </a:extLst>
        </xdr:cNvPr>
        <xdr:cNvGrpSpPr/>
      </xdr:nvGrpSpPr>
      <xdr:grpSpPr>
        <a:xfrm>
          <a:off x="4610100" y="10058400"/>
          <a:ext cx="594360" cy="167640"/>
          <a:chOff x="4610100" y="10058400"/>
          <a:chExt cx="594360" cy="167640"/>
        </a:xfrm>
      </xdr:grpSpPr>
      <xdr:cxnSp macro="">
        <xdr:nvCxnSpPr>
          <xdr:cNvPr id="2000" name="Gerader Verbinder 1999">
            <a:extLst>
              <a:ext uri="{FF2B5EF4-FFF2-40B4-BE49-F238E27FC236}">
                <a16:creationId xmlns:a16="http://schemas.microsoft.com/office/drawing/2014/main" id="{597814BC-567B-1B98-2D2A-E8C89A86DA21}"/>
              </a:ext>
            </a:extLst>
          </xdr:cNvPr>
          <xdr:cNvCxnSpPr/>
        </xdr:nvCxnSpPr>
        <xdr:spPr>
          <a:xfrm>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01" name="Gerader Verbinder 2000">
            <a:extLst>
              <a:ext uri="{FF2B5EF4-FFF2-40B4-BE49-F238E27FC236}">
                <a16:creationId xmlns:a16="http://schemas.microsoft.com/office/drawing/2014/main" id="{2E8A4992-A24F-2622-DDCB-747CE41AFFFF}"/>
              </a:ext>
            </a:extLst>
          </xdr:cNvPr>
          <xdr:cNvCxnSpPr/>
        </xdr:nvCxnSpPr>
        <xdr:spPr>
          <a:xfrm flipH="1">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2005" name="Cross_H54">
          <a:extLst>
            <a:ext uri="{FF2B5EF4-FFF2-40B4-BE49-F238E27FC236}">
              <a16:creationId xmlns:a16="http://schemas.microsoft.com/office/drawing/2014/main" id="{EC096BE8-3BB8-F425-E257-95515125F997}"/>
            </a:ext>
          </a:extLst>
        </xdr:cNvPr>
        <xdr:cNvGrpSpPr/>
      </xdr:nvGrpSpPr>
      <xdr:grpSpPr>
        <a:xfrm>
          <a:off x="4610100" y="10226040"/>
          <a:ext cx="594360" cy="167640"/>
          <a:chOff x="4610100" y="10226040"/>
          <a:chExt cx="594360" cy="167640"/>
        </a:xfrm>
      </xdr:grpSpPr>
      <xdr:cxnSp macro="">
        <xdr:nvCxnSpPr>
          <xdr:cNvPr id="2003" name="Gerader Verbinder 2002">
            <a:extLst>
              <a:ext uri="{FF2B5EF4-FFF2-40B4-BE49-F238E27FC236}">
                <a16:creationId xmlns:a16="http://schemas.microsoft.com/office/drawing/2014/main" id="{AA2BB91A-7527-A643-EA5A-8FF32B27C8E1}"/>
              </a:ext>
            </a:extLst>
          </xdr:cNvPr>
          <xdr:cNvCxnSpPr/>
        </xdr:nvCxnSpPr>
        <xdr:spPr>
          <a:xfrm>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04" name="Gerader Verbinder 2003">
            <a:extLst>
              <a:ext uri="{FF2B5EF4-FFF2-40B4-BE49-F238E27FC236}">
                <a16:creationId xmlns:a16="http://schemas.microsoft.com/office/drawing/2014/main" id="{058A89ED-223F-44C8-5F24-3DCC8B457EBE}"/>
              </a:ext>
            </a:extLst>
          </xdr:cNvPr>
          <xdr:cNvCxnSpPr/>
        </xdr:nvCxnSpPr>
        <xdr:spPr>
          <a:xfrm flipH="1">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2008" name="Cross_H55">
          <a:extLst>
            <a:ext uri="{FF2B5EF4-FFF2-40B4-BE49-F238E27FC236}">
              <a16:creationId xmlns:a16="http://schemas.microsoft.com/office/drawing/2014/main" id="{C274391B-434C-FAE2-9A9D-C87661FB64CF}"/>
            </a:ext>
          </a:extLst>
        </xdr:cNvPr>
        <xdr:cNvGrpSpPr/>
      </xdr:nvGrpSpPr>
      <xdr:grpSpPr>
        <a:xfrm>
          <a:off x="4610100" y="10393680"/>
          <a:ext cx="594360" cy="228600"/>
          <a:chOff x="4610100" y="10393680"/>
          <a:chExt cx="594360" cy="228600"/>
        </a:xfrm>
      </xdr:grpSpPr>
      <xdr:cxnSp macro="">
        <xdr:nvCxnSpPr>
          <xdr:cNvPr id="2006" name="Gerader Verbinder 2005">
            <a:extLst>
              <a:ext uri="{FF2B5EF4-FFF2-40B4-BE49-F238E27FC236}">
                <a16:creationId xmlns:a16="http://schemas.microsoft.com/office/drawing/2014/main" id="{3C65494B-92EA-0C66-9CA0-19B844FCA82B}"/>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07" name="Gerader Verbinder 2006">
            <a:extLst>
              <a:ext uri="{FF2B5EF4-FFF2-40B4-BE49-F238E27FC236}">
                <a16:creationId xmlns:a16="http://schemas.microsoft.com/office/drawing/2014/main" id="{EA49CF3A-A719-CDAC-A463-72DED3ECC1D0}"/>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2011" name="Cross_H56">
          <a:extLst>
            <a:ext uri="{FF2B5EF4-FFF2-40B4-BE49-F238E27FC236}">
              <a16:creationId xmlns:a16="http://schemas.microsoft.com/office/drawing/2014/main" id="{757C4FD0-6B69-3FC6-75A6-8590CE2950D8}"/>
            </a:ext>
          </a:extLst>
        </xdr:cNvPr>
        <xdr:cNvGrpSpPr/>
      </xdr:nvGrpSpPr>
      <xdr:grpSpPr>
        <a:xfrm>
          <a:off x="4610100" y="10622280"/>
          <a:ext cx="594360" cy="167640"/>
          <a:chOff x="4610100" y="10622280"/>
          <a:chExt cx="594360" cy="167640"/>
        </a:xfrm>
      </xdr:grpSpPr>
      <xdr:cxnSp macro="">
        <xdr:nvCxnSpPr>
          <xdr:cNvPr id="2009" name="Gerader Verbinder 2008">
            <a:extLst>
              <a:ext uri="{FF2B5EF4-FFF2-40B4-BE49-F238E27FC236}">
                <a16:creationId xmlns:a16="http://schemas.microsoft.com/office/drawing/2014/main" id="{E2F1E316-6C9A-B09D-51A8-02FF6B10E5E8}"/>
              </a:ext>
            </a:extLst>
          </xdr:cNvPr>
          <xdr:cNvCxnSpPr/>
        </xdr:nvCxnSpPr>
        <xdr:spPr>
          <a:xfrm>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0" name="Gerader Verbinder 2009">
            <a:extLst>
              <a:ext uri="{FF2B5EF4-FFF2-40B4-BE49-F238E27FC236}">
                <a16:creationId xmlns:a16="http://schemas.microsoft.com/office/drawing/2014/main" id="{303F8970-C43F-2046-64EB-1A7FB28978A0}"/>
              </a:ext>
            </a:extLst>
          </xdr:cNvPr>
          <xdr:cNvCxnSpPr/>
        </xdr:nvCxnSpPr>
        <xdr:spPr>
          <a:xfrm flipH="1">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2014" name="Cross_H57">
          <a:extLst>
            <a:ext uri="{FF2B5EF4-FFF2-40B4-BE49-F238E27FC236}">
              <a16:creationId xmlns:a16="http://schemas.microsoft.com/office/drawing/2014/main" id="{150AC3E6-535A-4757-B9A1-DB49E439A4B9}"/>
            </a:ext>
          </a:extLst>
        </xdr:cNvPr>
        <xdr:cNvGrpSpPr/>
      </xdr:nvGrpSpPr>
      <xdr:grpSpPr>
        <a:xfrm>
          <a:off x="4610100" y="10789920"/>
          <a:ext cx="594360" cy="167640"/>
          <a:chOff x="4610100" y="10789920"/>
          <a:chExt cx="594360" cy="167640"/>
        </a:xfrm>
      </xdr:grpSpPr>
      <xdr:cxnSp macro="">
        <xdr:nvCxnSpPr>
          <xdr:cNvPr id="2012" name="Gerader Verbinder 2011">
            <a:extLst>
              <a:ext uri="{FF2B5EF4-FFF2-40B4-BE49-F238E27FC236}">
                <a16:creationId xmlns:a16="http://schemas.microsoft.com/office/drawing/2014/main" id="{604DB52D-CA90-A255-86A5-3F5FF4A68047}"/>
              </a:ext>
            </a:extLst>
          </xdr:cNvPr>
          <xdr:cNvCxnSpPr/>
        </xdr:nvCxnSpPr>
        <xdr:spPr>
          <a:xfrm>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3" name="Gerader Verbinder 2012">
            <a:extLst>
              <a:ext uri="{FF2B5EF4-FFF2-40B4-BE49-F238E27FC236}">
                <a16:creationId xmlns:a16="http://schemas.microsoft.com/office/drawing/2014/main" id="{2B6156AA-D815-6FDA-9561-B418AA2582AC}"/>
              </a:ext>
            </a:extLst>
          </xdr:cNvPr>
          <xdr:cNvCxnSpPr/>
        </xdr:nvCxnSpPr>
        <xdr:spPr>
          <a:xfrm flipH="1">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2017" name="Cross_H64">
          <a:extLst>
            <a:ext uri="{FF2B5EF4-FFF2-40B4-BE49-F238E27FC236}">
              <a16:creationId xmlns:a16="http://schemas.microsoft.com/office/drawing/2014/main" id="{DAEEEBCE-C327-A9E4-C4CA-5360F7F3E9E3}"/>
            </a:ext>
          </a:extLst>
        </xdr:cNvPr>
        <xdr:cNvGrpSpPr/>
      </xdr:nvGrpSpPr>
      <xdr:grpSpPr>
        <a:xfrm>
          <a:off x="4610100" y="12085320"/>
          <a:ext cx="594360" cy="228600"/>
          <a:chOff x="4610100" y="12085320"/>
          <a:chExt cx="594360" cy="228600"/>
        </a:xfrm>
      </xdr:grpSpPr>
      <xdr:cxnSp macro="">
        <xdr:nvCxnSpPr>
          <xdr:cNvPr id="2015" name="Gerader Verbinder 2014">
            <a:extLst>
              <a:ext uri="{FF2B5EF4-FFF2-40B4-BE49-F238E27FC236}">
                <a16:creationId xmlns:a16="http://schemas.microsoft.com/office/drawing/2014/main" id="{40A62FB8-E1A6-C827-3D23-A60AE0FABD43}"/>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6" name="Gerader Verbinder 2015">
            <a:extLst>
              <a:ext uri="{FF2B5EF4-FFF2-40B4-BE49-F238E27FC236}">
                <a16:creationId xmlns:a16="http://schemas.microsoft.com/office/drawing/2014/main" id="{37BF5ADB-08B3-5466-3B82-89F08D678AE0}"/>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2020" name="Cross_H65">
          <a:extLst>
            <a:ext uri="{FF2B5EF4-FFF2-40B4-BE49-F238E27FC236}">
              <a16:creationId xmlns:a16="http://schemas.microsoft.com/office/drawing/2014/main" id="{6F78AE3B-D1AE-57CA-1E24-BA151BEB6D7B}"/>
            </a:ext>
          </a:extLst>
        </xdr:cNvPr>
        <xdr:cNvGrpSpPr/>
      </xdr:nvGrpSpPr>
      <xdr:grpSpPr>
        <a:xfrm>
          <a:off x="4610100" y="12313920"/>
          <a:ext cx="594360" cy="167640"/>
          <a:chOff x="4610100" y="12313920"/>
          <a:chExt cx="594360" cy="167640"/>
        </a:xfrm>
      </xdr:grpSpPr>
      <xdr:cxnSp macro="">
        <xdr:nvCxnSpPr>
          <xdr:cNvPr id="2018" name="Gerader Verbinder 2017">
            <a:extLst>
              <a:ext uri="{FF2B5EF4-FFF2-40B4-BE49-F238E27FC236}">
                <a16:creationId xmlns:a16="http://schemas.microsoft.com/office/drawing/2014/main" id="{A6C720CB-37A9-8A2A-8C97-E33253C55A10}"/>
              </a:ext>
            </a:extLst>
          </xdr:cNvPr>
          <xdr:cNvCxnSpPr/>
        </xdr:nvCxnSpPr>
        <xdr:spPr>
          <a:xfrm>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9" name="Gerader Verbinder 2018">
            <a:extLst>
              <a:ext uri="{FF2B5EF4-FFF2-40B4-BE49-F238E27FC236}">
                <a16:creationId xmlns:a16="http://schemas.microsoft.com/office/drawing/2014/main" id="{89D8A873-7357-EA27-1535-BB265B00625E}"/>
              </a:ext>
            </a:extLst>
          </xdr:cNvPr>
          <xdr:cNvCxnSpPr/>
        </xdr:nvCxnSpPr>
        <xdr:spPr>
          <a:xfrm flipH="1">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2023" name="Cross_H66">
          <a:extLst>
            <a:ext uri="{FF2B5EF4-FFF2-40B4-BE49-F238E27FC236}">
              <a16:creationId xmlns:a16="http://schemas.microsoft.com/office/drawing/2014/main" id="{0688116D-4C39-6BC6-137E-D137DAFB40EA}"/>
            </a:ext>
          </a:extLst>
        </xdr:cNvPr>
        <xdr:cNvGrpSpPr/>
      </xdr:nvGrpSpPr>
      <xdr:grpSpPr>
        <a:xfrm>
          <a:off x="4610100" y="12481560"/>
          <a:ext cx="594360" cy="167640"/>
          <a:chOff x="4610100" y="12481560"/>
          <a:chExt cx="594360" cy="167640"/>
        </a:xfrm>
      </xdr:grpSpPr>
      <xdr:cxnSp macro="">
        <xdr:nvCxnSpPr>
          <xdr:cNvPr id="2021" name="Gerader Verbinder 2020">
            <a:extLst>
              <a:ext uri="{FF2B5EF4-FFF2-40B4-BE49-F238E27FC236}">
                <a16:creationId xmlns:a16="http://schemas.microsoft.com/office/drawing/2014/main" id="{11E3036B-BAEB-7D28-C994-946A492AF918}"/>
              </a:ext>
            </a:extLst>
          </xdr:cNvPr>
          <xdr:cNvCxnSpPr/>
        </xdr:nvCxnSpPr>
        <xdr:spPr>
          <a:xfrm>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22" name="Gerader Verbinder 2021">
            <a:extLst>
              <a:ext uri="{FF2B5EF4-FFF2-40B4-BE49-F238E27FC236}">
                <a16:creationId xmlns:a16="http://schemas.microsoft.com/office/drawing/2014/main" id="{E8499D03-A5B9-040D-D422-ED0E12193C9A}"/>
              </a:ext>
            </a:extLst>
          </xdr:cNvPr>
          <xdr:cNvCxnSpPr/>
        </xdr:nvCxnSpPr>
        <xdr:spPr>
          <a:xfrm flipH="1">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2026" name="Cross_H67">
          <a:extLst>
            <a:ext uri="{FF2B5EF4-FFF2-40B4-BE49-F238E27FC236}">
              <a16:creationId xmlns:a16="http://schemas.microsoft.com/office/drawing/2014/main" id="{63D86C9D-63CB-37CD-273A-2DDB9F020CD1}"/>
            </a:ext>
          </a:extLst>
        </xdr:cNvPr>
        <xdr:cNvGrpSpPr/>
      </xdr:nvGrpSpPr>
      <xdr:grpSpPr>
        <a:xfrm>
          <a:off x="4610100" y="12649200"/>
          <a:ext cx="594360" cy="228600"/>
          <a:chOff x="4610100" y="12649200"/>
          <a:chExt cx="594360" cy="228600"/>
        </a:xfrm>
      </xdr:grpSpPr>
      <xdr:cxnSp macro="">
        <xdr:nvCxnSpPr>
          <xdr:cNvPr id="2024" name="Gerader Verbinder 2023">
            <a:extLst>
              <a:ext uri="{FF2B5EF4-FFF2-40B4-BE49-F238E27FC236}">
                <a16:creationId xmlns:a16="http://schemas.microsoft.com/office/drawing/2014/main" id="{8D96C80C-C079-BD7B-7BD7-BA7DC47E732A}"/>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25" name="Gerader Verbinder 2024">
            <a:extLst>
              <a:ext uri="{FF2B5EF4-FFF2-40B4-BE49-F238E27FC236}">
                <a16:creationId xmlns:a16="http://schemas.microsoft.com/office/drawing/2014/main" id="{29C8F6DF-9092-2BA2-DDC9-B49592680B26}"/>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2029" name="Cross_H68">
          <a:extLst>
            <a:ext uri="{FF2B5EF4-FFF2-40B4-BE49-F238E27FC236}">
              <a16:creationId xmlns:a16="http://schemas.microsoft.com/office/drawing/2014/main" id="{EF8A374B-83BB-00E0-95D1-95F429CAC708}"/>
            </a:ext>
          </a:extLst>
        </xdr:cNvPr>
        <xdr:cNvGrpSpPr/>
      </xdr:nvGrpSpPr>
      <xdr:grpSpPr>
        <a:xfrm>
          <a:off x="4610100" y="12877800"/>
          <a:ext cx="594360" cy="167639"/>
          <a:chOff x="4610100" y="12877800"/>
          <a:chExt cx="594360" cy="167639"/>
        </a:xfrm>
      </xdr:grpSpPr>
      <xdr:cxnSp macro="">
        <xdr:nvCxnSpPr>
          <xdr:cNvPr id="2027" name="Gerader Verbinder 2026">
            <a:extLst>
              <a:ext uri="{FF2B5EF4-FFF2-40B4-BE49-F238E27FC236}">
                <a16:creationId xmlns:a16="http://schemas.microsoft.com/office/drawing/2014/main" id="{E56B62B1-B823-8501-79F4-7C68AD68BD30}"/>
              </a:ext>
            </a:extLst>
          </xdr:cNvPr>
          <xdr:cNvCxnSpPr/>
        </xdr:nvCxnSpPr>
        <xdr:spPr>
          <a:xfrm>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28" name="Gerader Verbinder 2027">
            <a:extLst>
              <a:ext uri="{FF2B5EF4-FFF2-40B4-BE49-F238E27FC236}">
                <a16:creationId xmlns:a16="http://schemas.microsoft.com/office/drawing/2014/main" id="{696816C6-A311-0991-A8ED-686363F752D2}"/>
              </a:ext>
            </a:extLst>
          </xdr:cNvPr>
          <xdr:cNvCxnSpPr/>
        </xdr:nvCxnSpPr>
        <xdr:spPr>
          <a:xfrm flipH="1">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2032" name="Cross_H69">
          <a:extLst>
            <a:ext uri="{FF2B5EF4-FFF2-40B4-BE49-F238E27FC236}">
              <a16:creationId xmlns:a16="http://schemas.microsoft.com/office/drawing/2014/main" id="{8283459B-ED44-D6FD-17D9-46EB2EDF690A}"/>
            </a:ext>
          </a:extLst>
        </xdr:cNvPr>
        <xdr:cNvGrpSpPr/>
      </xdr:nvGrpSpPr>
      <xdr:grpSpPr>
        <a:xfrm>
          <a:off x="4610100" y="13045439"/>
          <a:ext cx="594360" cy="167641"/>
          <a:chOff x="4610100" y="13045439"/>
          <a:chExt cx="594360" cy="167641"/>
        </a:xfrm>
      </xdr:grpSpPr>
      <xdr:cxnSp macro="">
        <xdr:nvCxnSpPr>
          <xdr:cNvPr id="2030" name="Gerader Verbinder 2029">
            <a:extLst>
              <a:ext uri="{FF2B5EF4-FFF2-40B4-BE49-F238E27FC236}">
                <a16:creationId xmlns:a16="http://schemas.microsoft.com/office/drawing/2014/main" id="{D85EF5C0-39BF-E94E-107D-68FAE47C1A97}"/>
              </a:ext>
            </a:extLst>
          </xdr:cNvPr>
          <xdr:cNvCxnSpPr/>
        </xdr:nvCxnSpPr>
        <xdr:spPr>
          <a:xfrm>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31" name="Gerader Verbinder 2030">
            <a:extLst>
              <a:ext uri="{FF2B5EF4-FFF2-40B4-BE49-F238E27FC236}">
                <a16:creationId xmlns:a16="http://schemas.microsoft.com/office/drawing/2014/main" id="{99A67EF4-6C45-7045-A015-B0094FD616C8}"/>
              </a:ext>
            </a:extLst>
          </xdr:cNvPr>
          <xdr:cNvCxnSpPr/>
        </xdr:nvCxnSpPr>
        <xdr:spPr>
          <a:xfrm flipH="1">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2035" name="Cross_H73">
          <a:extLst>
            <a:ext uri="{FF2B5EF4-FFF2-40B4-BE49-F238E27FC236}">
              <a16:creationId xmlns:a16="http://schemas.microsoft.com/office/drawing/2014/main" id="{F82A0F06-489E-55DF-031F-787B47E8FDF6}"/>
            </a:ext>
          </a:extLst>
        </xdr:cNvPr>
        <xdr:cNvGrpSpPr/>
      </xdr:nvGrpSpPr>
      <xdr:grpSpPr>
        <a:xfrm>
          <a:off x="4610100" y="13776961"/>
          <a:ext cx="594360" cy="228600"/>
          <a:chOff x="4610100" y="13776961"/>
          <a:chExt cx="594360" cy="228600"/>
        </a:xfrm>
      </xdr:grpSpPr>
      <xdr:cxnSp macro="">
        <xdr:nvCxnSpPr>
          <xdr:cNvPr id="2033" name="Gerader Verbinder 2032">
            <a:extLst>
              <a:ext uri="{FF2B5EF4-FFF2-40B4-BE49-F238E27FC236}">
                <a16:creationId xmlns:a16="http://schemas.microsoft.com/office/drawing/2014/main" id="{8FD6E307-E2BC-BF1E-B756-2E2A63DA90D2}"/>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34" name="Gerader Verbinder 2033">
            <a:extLst>
              <a:ext uri="{FF2B5EF4-FFF2-40B4-BE49-F238E27FC236}">
                <a16:creationId xmlns:a16="http://schemas.microsoft.com/office/drawing/2014/main" id="{A472AC17-5C2A-3C77-9FCC-B82772B898F8}"/>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2038" name="Cross_H74">
          <a:extLst>
            <a:ext uri="{FF2B5EF4-FFF2-40B4-BE49-F238E27FC236}">
              <a16:creationId xmlns:a16="http://schemas.microsoft.com/office/drawing/2014/main" id="{CBFB4B0B-4300-099C-5FB0-519D1FA8F3EB}"/>
            </a:ext>
          </a:extLst>
        </xdr:cNvPr>
        <xdr:cNvGrpSpPr/>
      </xdr:nvGrpSpPr>
      <xdr:grpSpPr>
        <a:xfrm>
          <a:off x="4610100" y="14005561"/>
          <a:ext cx="594360" cy="167639"/>
          <a:chOff x="4610100" y="14005561"/>
          <a:chExt cx="594360" cy="167639"/>
        </a:xfrm>
      </xdr:grpSpPr>
      <xdr:cxnSp macro="">
        <xdr:nvCxnSpPr>
          <xdr:cNvPr id="2036" name="Gerader Verbinder 2035">
            <a:extLst>
              <a:ext uri="{FF2B5EF4-FFF2-40B4-BE49-F238E27FC236}">
                <a16:creationId xmlns:a16="http://schemas.microsoft.com/office/drawing/2014/main" id="{8C2B610E-ED77-3B2E-9932-027391EBAD68}"/>
              </a:ext>
            </a:extLst>
          </xdr:cNvPr>
          <xdr:cNvCxnSpPr/>
        </xdr:nvCxnSpPr>
        <xdr:spPr>
          <a:xfrm>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37" name="Gerader Verbinder 2036">
            <a:extLst>
              <a:ext uri="{FF2B5EF4-FFF2-40B4-BE49-F238E27FC236}">
                <a16:creationId xmlns:a16="http://schemas.microsoft.com/office/drawing/2014/main" id="{01C636DD-6168-2706-6CFC-88B33C69DC16}"/>
              </a:ext>
            </a:extLst>
          </xdr:cNvPr>
          <xdr:cNvCxnSpPr/>
        </xdr:nvCxnSpPr>
        <xdr:spPr>
          <a:xfrm flipH="1">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2041" name="Cross_H75">
          <a:extLst>
            <a:ext uri="{FF2B5EF4-FFF2-40B4-BE49-F238E27FC236}">
              <a16:creationId xmlns:a16="http://schemas.microsoft.com/office/drawing/2014/main" id="{CFA24F9A-FF25-A265-BA6F-D4FEBA3126C6}"/>
            </a:ext>
          </a:extLst>
        </xdr:cNvPr>
        <xdr:cNvGrpSpPr/>
      </xdr:nvGrpSpPr>
      <xdr:grpSpPr>
        <a:xfrm>
          <a:off x="4610100" y="14173200"/>
          <a:ext cx="594360" cy="167639"/>
          <a:chOff x="4610100" y="14173200"/>
          <a:chExt cx="594360" cy="167639"/>
        </a:xfrm>
      </xdr:grpSpPr>
      <xdr:cxnSp macro="">
        <xdr:nvCxnSpPr>
          <xdr:cNvPr id="2039" name="Gerader Verbinder 2038">
            <a:extLst>
              <a:ext uri="{FF2B5EF4-FFF2-40B4-BE49-F238E27FC236}">
                <a16:creationId xmlns:a16="http://schemas.microsoft.com/office/drawing/2014/main" id="{058700B0-5D53-4D35-B859-5F9D953A46D7}"/>
              </a:ext>
            </a:extLst>
          </xdr:cNvPr>
          <xdr:cNvCxnSpPr/>
        </xdr:nvCxnSpPr>
        <xdr:spPr>
          <a:xfrm>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40" name="Gerader Verbinder 2039">
            <a:extLst>
              <a:ext uri="{FF2B5EF4-FFF2-40B4-BE49-F238E27FC236}">
                <a16:creationId xmlns:a16="http://schemas.microsoft.com/office/drawing/2014/main" id="{AE5D9295-4712-EDFC-CEB0-4A149263409B}"/>
              </a:ext>
            </a:extLst>
          </xdr:cNvPr>
          <xdr:cNvCxnSpPr/>
        </xdr:nvCxnSpPr>
        <xdr:spPr>
          <a:xfrm flipH="1">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8">
    <tabColor rgb="FF00B0F0"/>
  </sheetPr>
  <dimension ref="B1:N100"/>
  <sheetViews>
    <sheetView workbookViewId="0"/>
  </sheetViews>
  <sheetFormatPr baseColWidth="10" defaultColWidth="11.5546875" defaultRowHeight="13.2" x14ac:dyDescent="0.25"/>
  <cols>
    <col min="1" max="2" width="3.44140625" style="98" customWidth="1"/>
    <col min="3" max="3" width="25.6640625" style="98" customWidth="1"/>
    <col min="4" max="10" width="11.6640625" style="98" customWidth="1"/>
    <col min="11" max="13" width="8.6640625" style="98" customWidth="1"/>
    <col min="14" max="14" width="8.6640625" style="98" hidden="1"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1"/>
      <c r="I2" s="101"/>
      <c r="J2" s="101"/>
      <c r="K2" s="101"/>
      <c r="L2" s="101"/>
      <c r="M2" s="102" t="str">
        <f>"Kurs "&amp;Config!G26</f>
        <v>Kurs K1</v>
      </c>
    </row>
    <row r="3" spans="2:14" ht="18" customHeight="1" x14ac:dyDescent="0.25">
      <c r="B3" s="103" t="s">
        <v>83</v>
      </c>
      <c r="C3" s="104"/>
      <c r="D3" s="104"/>
      <c r="E3" s="104"/>
      <c r="F3" s="104"/>
      <c r="G3" s="104"/>
      <c r="H3" s="104"/>
      <c r="I3" s="104"/>
      <c r="J3" s="104"/>
      <c r="K3" s="104"/>
      <c r="L3" s="104"/>
      <c r="M3" s="105"/>
    </row>
    <row r="4" spans="2:14" ht="18" customHeight="1" thickBot="1" x14ac:dyDescent="0.3">
      <c r="B4" s="103"/>
      <c r="C4" s="104"/>
      <c r="D4" s="106"/>
      <c r="E4" s="106"/>
      <c r="F4" s="106"/>
      <c r="G4" s="106"/>
      <c r="H4" s="106"/>
      <c r="I4" s="106"/>
      <c r="J4" s="106"/>
      <c r="K4" s="106"/>
      <c r="L4" s="104"/>
      <c r="M4" s="105"/>
    </row>
    <row r="5" spans="2:14" ht="18" customHeight="1" thickBot="1" x14ac:dyDescent="0.3">
      <c r="B5" s="108"/>
      <c r="C5" s="110"/>
      <c r="D5" s="114" t="s">
        <v>9</v>
      </c>
      <c r="E5" s="114" t="s">
        <v>10</v>
      </c>
      <c r="F5" s="114" t="s">
        <v>11</v>
      </c>
      <c r="G5" s="114" t="s">
        <v>12</v>
      </c>
      <c r="H5" s="114" t="s">
        <v>13</v>
      </c>
      <c r="I5" s="114" t="s">
        <v>14</v>
      </c>
      <c r="J5" s="114" t="s">
        <v>112</v>
      </c>
      <c r="K5" s="127" t="s">
        <v>82</v>
      </c>
      <c r="L5" s="126"/>
      <c r="M5" s="128"/>
    </row>
    <row r="6" spans="2:14" ht="18" customHeight="1" thickBot="1" x14ac:dyDescent="0.3">
      <c r="B6" s="109"/>
      <c r="C6" s="111" t="s">
        <v>81</v>
      </c>
      <c r="D6" s="125">
        <f>Config!G21</f>
        <v>15</v>
      </c>
      <c r="E6" s="125">
        <f>Config!I21</f>
        <v>30</v>
      </c>
      <c r="F6" s="125">
        <f>Config!K21</f>
        <v>5</v>
      </c>
      <c r="G6" s="125">
        <f>Config!M21</f>
        <v>17</v>
      </c>
      <c r="H6" s="125">
        <f>Config!O21</f>
        <v>5</v>
      </c>
      <c r="I6" s="125">
        <f>Config!Q21</f>
        <v>18</v>
      </c>
      <c r="J6" s="125">
        <f>Config!S21</f>
        <v>10</v>
      </c>
      <c r="K6" s="143">
        <f t="shared" ref="K6:K29" si="0">SUM(D6:J6)</f>
        <v>100</v>
      </c>
      <c r="L6" s="112" t="s">
        <v>0</v>
      </c>
      <c r="M6" s="129" t="s">
        <v>1</v>
      </c>
      <c r="N6" s="98" t="s">
        <v>84</v>
      </c>
    </row>
    <row r="7" spans="2:14" ht="18" customHeight="1" thickBot="1" x14ac:dyDescent="0.3">
      <c r="B7" s="139">
        <v>1</v>
      </c>
      <c r="C7" s="136" t="str">
        <f>Config!C5&amp;", "&amp;Config!D5</f>
        <v>Höfer, Simon</v>
      </c>
      <c r="D7" s="131">
        <f>VLOOKUP(C7,'Analysis A'!PupilBlock,8,0)</f>
        <v>11</v>
      </c>
      <c r="E7" s="131">
        <f>VLOOKUP(C7,'Analysis B'!PupilBlock,12,0)</f>
        <v>22.5</v>
      </c>
      <c r="F7" s="131">
        <f>VLOOKUP(C7,'Stochastik A'!PupilBlock,3,0)</f>
        <v>2.5</v>
      </c>
      <c r="G7" s="131">
        <f>VLOOKUP(C7,'Stochastik B'!PupilBlock,7,0)</f>
        <v>13</v>
      </c>
      <c r="H7" s="131">
        <f>VLOOKUP(C7,'Geometrie A'!PupilBlock,4,0)</f>
        <v>0</v>
      </c>
      <c r="I7" s="131">
        <f>VLOOKUP(C7,'Geometrie B'!PupilBlock,7,0)</f>
        <v>9</v>
      </c>
      <c r="J7" s="131">
        <f>VLOOKUP(C7,Wahlaufgaben!PupilBlock,7,0)</f>
        <v>7</v>
      </c>
      <c r="K7" s="118">
        <f t="shared" si="0"/>
        <v>65</v>
      </c>
      <c r="L7" s="193">
        <f>VLOOKUP(VALUE(K7),Notenspiegel!$B$3:$C$302,2,0)</f>
        <v>9</v>
      </c>
      <c r="M7" s="194" t="str">
        <f>VLOOKUP(VALUE(K7),Notenspiegel!$B$3:$D$302,3,0)</f>
        <v>3+</v>
      </c>
      <c r="N7" s="98" t="str">
        <f>VLOOKUP(VALUE(K7),Notenspiegel!$B$3:$E$302,4,0)</f>
        <v>--</v>
      </c>
    </row>
    <row r="8" spans="2:14" ht="18" customHeight="1" thickBot="1" x14ac:dyDescent="0.3">
      <c r="B8" s="140">
        <v>2</v>
      </c>
      <c r="C8" s="117" t="str">
        <f>Config!C6&amp;", "&amp;Config!D6</f>
        <v>Töpfer, Lilian</v>
      </c>
      <c r="D8" s="132">
        <f>VLOOKUP(C8,'Analysis A'!PupilBlock,8,0)</f>
        <v>9</v>
      </c>
      <c r="E8" s="132">
        <f>VLOOKUP(C8,'Analysis B'!PupilBlock,12,0)</f>
        <v>17.5</v>
      </c>
      <c r="F8" s="132">
        <f>VLOOKUP(C8,'Stochastik A'!PupilBlock,3,0)</f>
        <v>5</v>
      </c>
      <c r="G8" s="132">
        <f>VLOOKUP(C8,'Stochastik B'!PupilBlock,7,0)</f>
        <v>7</v>
      </c>
      <c r="H8" s="132">
        <f>VLOOKUP(C8,'Geometrie A'!PupilBlock,4,0)</f>
        <v>3.5</v>
      </c>
      <c r="I8" s="132">
        <f>VLOOKUP(C8,'Geometrie B'!PupilBlock,7,0)</f>
        <v>9</v>
      </c>
      <c r="J8" s="132">
        <f>VLOOKUP(C8,Wahlaufgaben!PupilBlock,7,0)</f>
        <v>7</v>
      </c>
      <c r="K8" s="133">
        <f t="shared" si="0"/>
        <v>58</v>
      </c>
      <c r="L8" s="135">
        <f>VLOOKUP(VALUE(K8),Notenspiegel!$B$3:$C$302,2,0)</f>
        <v>7</v>
      </c>
      <c r="M8" s="123" t="str">
        <f>VLOOKUP(VALUE(K8),Notenspiegel!$B$3:$D$302,3,0)</f>
        <v>3-</v>
      </c>
      <c r="N8" s="98" t="str">
        <f>VLOOKUP(VALUE(K8),Notenspiegel!$B$3:$E$302,4,0)</f>
        <v/>
      </c>
    </row>
    <row r="9" spans="2:14" ht="18" customHeight="1" thickBot="1" x14ac:dyDescent="0.3">
      <c r="B9" s="141">
        <v>3</v>
      </c>
      <c r="C9" s="115" t="str">
        <f>Config!C7&amp;", "&amp;Config!D7</f>
        <v>Fleischmann, Leonie</v>
      </c>
      <c r="D9" s="130">
        <f>VLOOKUP(C9,'Analysis A'!PupilBlock,8,0)</f>
        <v>10.5</v>
      </c>
      <c r="E9" s="130">
        <f>VLOOKUP(C9,'Analysis B'!PupilBlock,12,0)</f>
        <v>11.5</v>
      </c>
      <c r="F9" s="130">
        <f>VLOOKUP(C9,'Stochastik A'!PupilBlock,3,0)</f>
        <v>2.5</v>
      </c>
      <c r="G9" s="130">
        <f>VLOOKUP(C9,'Stochastik B'!PupilBlock,7,0)</f>
        <v>8</v>
      </c>
      <c r="H9" s="130">
        <f>VLOOKUP(C9,'Geometrie A'!PupilBlock,4,0)</f>
        <v>4.5</v>
      </c>
      <c r="I9" s="130">
        <f>VLOOKUP(C9,'Geometrie B'!PupilBlock,7,0)</f>
        <v>14</v>
      </c>
      <c r="J9" s="130">
        <f>VLOOKUP(C9,Wahlaufgaben!PupilBlock,7,0)</f>
        <v>8</v>
      </c>
      <c r="K9" s="118">
        <f t="shared" si="0"/>
        <v>59</v>
      </c>
      <c r="L9" s="195">
        <f>VLOOKUP(VALUE(K9),Notenspiegel!$B$3:$C$302,2,0)</f>
        <v>7</v>
      </c>
      <c r="M9" s="196" t="str">
        <f>VLOOKUP(VALUE(K9),Notenspiegel!$B$3:$D$302,3,0)</f>
        <v>3-</v>
      </c>
      <c r="N9" s="98" t="str">
        <f>VLOOKUP(VALUE(K9),Notenspiegel!$B$3:$E$302,4,0)</f>
        <v>+</v>
      </c>
    </row>
    <row r="10" spans="2:14" ht="18" customHeight="1" thickBot="1" x14ac:dyDescent="0.3">
      <c r="B10" s="140">
        <v>4</v>
      </c>
      <c r="C10" s="117" t="str">
        <f>Config!C8&amp;", "&amp;Config!D8</f>
        <v>Drescher, Cedric</v>
      </c>
      <c r="D10" s="132">
        <f>VLOOKUP(C10,'Analysis A'!PupilBlock,8,0)</f>
        <v>12.5</v>
      </c>
      <c r="E10" s="132">
        <f>VLOOKUP(C10,'Analysis B'!PupilBlock,12,0)</f>
        <v>23</v>
      </c>
      <c r="F10" s="132">
        <f>VLOOKUP(C10,'Stochastik A'!PupilBlock,3,0)</f>
        <v>2.5</v>
      </c>
      <c r="G10" s="132">
        <f>VLOOKUP(C10,'Stochastik B'!PupilBlock,7,0)</f>
        <v>9</v>
      </c>
      <c r="H10" s="132">
        <f>VLOOKUP(C10,'Geometrie A'!PupilBlock,4,0)</f>
        <v>3.5</v>
      </c>
      <c r="I10" s="132">
        <f>VLOOKUP(C10,'Geometrie B'!PupilBlock,7,0)</f>
        <v>13.5</v>
      </c>
      <c r="J10" s="132">
        <f>VLOOKUP(C10,Wahlaufgaben!PupilBlock,7,0)</f>
        <v>6</v>
      </c>
      <c r="K10" s="133">
        <f t="shared" si="0"/>
        <v>70</v>
      </c>
      <c r="L10" s="193">
        <f>VLOOKUP(VALUE(K10),Notenspiegel!$B$3:$C$302,2,0)</f>
        <v>10</v>
      </c>
      <c r="M10" s="194" t="str">
        <f>VLOOKUP(VALUE(K10),Notenspiegel!$B$3:$D$302,3,0)</f>
        <v>2-</v>
      </c>
      <c r="N10" s="98" t="str">
        <f>VLOOKUP(VALUE(K10),Notenspiegel!$B$3:$E$302,4,0)</f>
        <v>--</v>
      </c>
    </row>
    <row r="11" spans="2:14" ht="18" customHeight="1" thickBot="1" x14ac:dyDescent="0.3">
      <c r="B11" s="141">
        <v>5</v>
      </c>
      <c r="C11" s="115" t="str">
        <f>Config!C9&amp;", "&amp;Config!D9</f>
        <v>Baumgarten, Annabell</v>
      </c>
      <c r="D11" s="130">
        <f>VLOOKUP(C11,'Analysis A'!PupilBlock,8,0)</f>
        <v>14</v>
      </c>
      <c r="E11" s="130">
        <f>VLOOKUP(C11,'Analysis B'!PupilBlock,12,0)</f>
        <v>21.5</v>
      </c>
      <c r="F11" s="130">
        <f>VLOOKUP(C11,'Stochastik A'!PupilBlock,3,0)</f>
        <v>2.5</v>
      </c>
      <c r="G11" s="130">
        <f>VLOOKUP(C11,'Stochastik B'!PupilBlock,7,0)</f>
        <v>4.5</v>
      </c>
      <c r="H11" s="130">
        <f>VLOOKUP(C11,'Geometrie A'!PupilBlock,4,0)</f>
        <v>3.5</v>
      </c>
      <c r="I11" s="130">
        <f>VLOOKUP(C11,'Geometrie B'!PupilBlock,7,0)</f>
        <v>12</v>
      </c>
      <c r="J11" s="130">
        <f>VLOOKUP(C11,Wahlaufgaben!PupilBlock,7,0)</f>
        <v>6</v>
      </c>
      <c r="K11" s="118">
        <f t="shared" si="0"/>
        <v>64</v>
      </c>
      <c r="L11" s="195">
        <f>VLOOKUP(VALUE(K11),Notenspiegel!$B$3:$C$302,2,0)</f>
        <v>8</v>
      </c>
      <c r="M11" s="196" t="str">
        <f>VLOOKUP(VALUE(K11),Notenspiegel!$B$3:$D$302,3,0)</f>
        <v>3</v>
      </c>
      <c r="N11" s="98" t="str">
        <f>VLOOKUP(VALUE(K11),Notenspiegel!$B$3:$E$302,4,0)</f>
        <v>+</v>
      </c>
    </row>
    <row r="12" spans="2:14" ht="18" customHeight="1" thickBot="1" x14ac:dyDescent="0.3">
      <c r="B12" s="140">
        <v>6</v>
      </c>
      <c r="C12" s="117" t="str">
        <f>Config!C10&amp;", "&amp;Config!D10</f>
        <v>Traut, Stefanie</v>
      </c>
      <c r="D12" s="132">
        <f>VLOOKUP(C12,'Analysis A'!PupilBlock,8,0)</f>
        <v>12.5</v>
      </c>
      <c r="E12" s="132">
        <f>VLOOKUP(C12,'Analysis B'!PupilBlock,12,0)</f>
        <v>33</v>
      </c>
      <c r="F12" s="132">
        <f>VLOOKUP(C12,'Stochastik A'!PupilBlock,3,0)</f>
        <v>3</v>
      </c>
      <c r="G12" s="132">
        <f>VLOOKUP(C12,'Stochastik B'!PupilBlock,7,0)</f>
        <v>10.5</v>
      </c>
      <c r="H12" s="132">
        <f>VLOOKUP(C12,'Geometrie A'!PupilBlock,4,0)</f>
        <v>4.5</v>
      </c>
      <c r="I12" s="132">
        <f>VLOOKUP(C12,'Geometrie B'!PupilBlock,7,0)</f>
        <v>17</v>
      </c>
      <c r="J12" s="132">
        <f>VLOOKUP(C12,Wahlaufgaben!PupilBlock,7,0)</f>
        <v>8</v>
      </c>
      <c r="K12" s="133">
        <f t="shared" si="0"/>
        <v>88.5</v>
      </c>
      <c r="L12" s="135">
        <f>VLOOKUP(VALUE(K12),Notenspiegel!$B$3:$C$302,2,0)</f>
        <v>13</v>
      </c>
      <c r="M12" s="123" t="str">
        <f>VLOOKUP(VALUE(K12),Notenspiegel!$B$3:$D$302,3,0)</f>
        <v>1-</v>
      </c>
      <c r="N12" s="98" t="str">
        <f>VLOOKUP(VALUE(K12),Notenspiegel!$B$3:$E$302,4,0)</f>
        <v/>
      </c>
    </row>
    <row r="13" spans="2:14" ht="18" customHeight="1" thickBot="1" x14ac:dyDescent="0.3">
      <c r="B13" s="141">
        <v>7</v>
      </c>
      <c r="C13" s="115" t="str">
        <f>Config!C11&amp;", "&amp;Config!D11</f>
        <v>Menke, Damian</v>
      </c>
      <c r="D13" s="130">
        <f>VLOOKUP(C13,'Analysis A'!PupilBlock,8,0)</f>
        <v>12.5</v>
      </c>
      <c r="E13" s="130">
        <f>VLOOKUP(C13,'Analysis B'!PupilBlock,12,0)</f>
        <v>22.5</v>
      </c>
      <c r="F13" s="130">
        <f>VLOOKUP(C13,'Stochastik A'!PupilBlock,3,0)</f>
        <v>5</v>
      </c>
      <c r="G13" s="130">
        <f>VLOOKUP(C13,'Stochastik B'!PupilBlock,7,0)</f>
        <v>8.5</v>
      </c>
      <c r="H13" s="130">
        <f>VLOOKUP(C13,'Geometrie A'!PupilBlock,4,0)</f>
        <v>4.5</v>
      </c>
      <c r="I13" s="130">
        <f>VLOOKUP(C13,'Geometrie B'!PupilBlock,7,0)</f>
        <v>15</v>
      </c>
      <c r="J13" s="130">
        <f>VLOOKUP(C13,Wahlaufgaben!PupilBlock,7,0)</f>
        <v>7</v>
      </c>
      <c r="K13" s="118">
        <f t="shared" si="0"/>
        <v>75</v>
      </c>
      <c r="L13" s="193">
        <f>VLOOKUP(VALUE(K13),Notenspiegel!$B$3:$C$302,2,0)</f>
        <v>11</v>
      </c>
      <c r="M13" s="194" t="str">
        <f>VLOOKUP(VALUE(K13),Notenspiegel!$B$3:$D$302,3,0)</f>
        <v>2</v>
      </c>
      <c r="N13" s="98" t="str">
        <f>VLOOKUP(VALUE(K13),Notenspiegel!$B$3:$E$302,4,0)</f>
        <v>--</v>
      </c>
    </row>
    <row r="14" spans="2:14" ht="18" customHeight="1" thickBot="1" x14ac:dyDescent="0.3">
      <c r="B14" s="140">
        <v>8</v>
      </c>
      <c r="C14" s="117" t="str">
        <f>Config!C12&amp;", "&amp;Config!D12</f>
        <v>Carroll, Meik</v>
      </c>
      <c r="D14" s="132">
        <f>VLOOKUP(C14,'Analysis A'!PupilBlock,8,0)</f>
        <v>9</v>
      </c>
      <c r="E14" s="132">
        <f>VLOOKUP(C14,'Analysis B'!PupilBlock,12,0)</f>
        <v>16.5</v>
      </c>
      <c r="F14" s="132">
        <f>VLOOKUP(C14,'Stochastik A'!PupilBlock,3,0)</f>
        <v>5</v>
      </c>
      <c r="G14" s="132">
        <f>VLOOKUP(C14,'Stochastik B'!PupilBlock,7,0)</f>
        <v>8.5</v>
      </c>
      <c r="H14" s="132">
        <f>VLOOKUP(C14,'Geometrie A'!PupilBlock,4,0)</f>
        <v>4</v>
      </c>
      <c r="I14" s="132">
        <f>VLOOKUP(C14,'Geometrie B'!PupilBlock,7,0)</f>
        <v>13</v>
      </c>
      <c r="J14" s="132">
        <f>VLOOKUP(C14,Wahlaufgaben!PupilBlock,7,0)</f>
        <v>7</v>
      </c>
      <c r="K14" s="133">
        <f t="shared" si="0"/>
        <v>63</v>
      </c>
      <c r="L14" s="135">
        <f>VLOOKUP(VALUE(K14),Notenspiegel!$B$3:$C$302,2,0)</f>
        <v>8</v>
      </c>
      <c r="M14" s="123" t="str">
        <f>VLOOKUP(VALUE(K14),Notenspiegel!$B$3:$D$302,3,0)</f>
        <v>3</v>
      </c>
      <c r="N14" s="98" t="str">
        <f>VLOOKUP(VALUE(K14),Notenspiegel!$B$3:$E$302,4,0)</f>
        <v/>
      </c>
    </row>
    <row r="15" spans="2:14" ht="18" customHeight="1" thickBot="1" x14ac:dyDescent="0.3">
      <c r="B15" s="141">
        <v>9</v>
      </c>
      <c r="C15" s="115" t="str">
        <f>Config!C13&amp;", "&amp;Config!D13</f>
        <v>Hennings, Tomas</v>
      </c>
      <c r="D15" s="130">
        <f>VLOOKUP(C15,'Analysis A'!PupilBlock,8,0)</f>
        <v>10</v>
      </c>
      <c r="E15" s="130">
        <f>VLOOKUP(C15,'Analysis B'!PupilBlock,12,0)</f>
        <v>14.5</v>
      </c>
      <c r="F15" s="130">
        <f>VLOOKUP(C15,'Stochastik A'!PupilBlock,3,0)</f>
        <v>4</v>
      </c>
      <c r="G15" s="130">
        <f>VLOOKUP(C15,'Stochastik B'!PupilBlock,7,0)</f>
        <v>13</v>
      </c>
      <c r="H15" s="130">
        <f>VLOOKUP(C15,'Geometrie A'!PupilBlock,4,0)</f>
        <v>4.5</v>
      </c>
      <c r="I15" s="130">
        <f>VLOOKUP(C15,'Geometrie B'!PupilBlock,7,0)</f>
        <v>4</v>
      </c>
      <c r="J15" s="130">
        <f>VLOOKUP(C15,Wahlaufgaben!PupilBlock,7,0)</f>
        <v>8</v>
      </c>
      <c r="K15" s="118">
        <f t="shared" si="0"/>
        <v>58</v>
      </c>
      <c r="L15" s="134">
        <f>VLOOKUP(VALUE(K15),Notenspiegel!$B$3:$C$302,2,0)</f>
        <v>7</v>
      </c>
      <c r="M15" s="122" t="str">
        <f>VLOOKUP(VALUE(K15),Notenspiegel!$B$3:$D$302,3,0)</f>
        <v>3-</v>
      </c>
      <c r="N15" s="98" t="str">
        <f>VLOOKUP(VALUE(K15),Notenspiegel!$B$3:$E$302,4,0)</f>
        <v/>
      </c>
    </row>
    <row r="16" spans="2:14" ht="18" customHeight="1" thickBot="1" x14ac:dyDescent="0.3">
      <c r="B16" s="140">
        <v>10</v>
      </c>
      <c r="C16" s="117" t="str">
        <f>Config!C14&amp;", "&amp;Config!D14</f>
        <v>Walters, Linn</v>
      </c>
      <c r="D16" s="132">
        <f>VLOOKUP(C16,'Analysis A'!PupilBlock,8,0)</f>
        <v>3</v>
      </c>
      <c r="E16" s="132">
        <f>VLOOKUP(C16,'Analysis B'!PupilBlock,12,0)</f>
        <v>7</v>
      </c>
      <c r="F16" s="132">
        <f>VLOOKUP(C16,'Stochastik A'!PupilBlock,3,0)</f>
        <v>2.5</v>
      </c>
      <c r="G16" s="132">
        <f>VLOOKUP(C16,'Stochastik B'!PupilBlock,7,0)</f>
        <v>8</v>
      </c>
      <c r="H16" s="132">
        <f>VLOOKUP(C16,'Geometrie A'!PupilBlock,4,0)</f>
        <v>1</v>
      </c>
      <c r="I16" s="132">
        <f>VLOOKUP(C16,'Geometrie B'!PupilBlock,7,0)</f>
        <v>8.5</v>
      </c>
      <c r="J16" s="132">
        <f>VLOOKUP(C16,Wahlaufgaben!PupilBlock,7,0)</f>
        <v>8</v>
      </c>
      <c r="K16" s="133">
        <f t="shared" si="0"/>
        <v>38</v>
      </c>
      <c r="L16" s="135">
        <f>VLOOKUP(VALUE(K16),Notenspiegel!$B$3:$C$302,2,0)</f>
        <v>3</v>
      </c>
      <c r="M16" s="123" t="str">
        <f>VLOOKUP(VALUE(K16),Notenspiegel!$B$3:$D$302,3,0)</f>
        <v>5+</v>
      </c>
      <c r="N16" s="98" t="str">
        <f>VLOOKUP(VALUE(K16),Notenspiegel!$B$3:$E$302,4,0)</f>
        <v/>
      </c>
    </row>
    <row r="17" spans="2:14" ht="18" customHeight="1" thickBot="1" x14ac:dyDescent="0.3">
      <c r="B17" s="141">
        <v>11</v>
      </c>
      <c r="C17" s="115" t="str">
        <f>Config!C15&amp;", "&amp;Config!D15</f>
        <v>Junker, Amely</v>
      </c>
      <c r="D17" s="130">
        <f>VLOOKUP(C17,'Analysis A'!PupilBlock,8,0)</f>
        <v>6.5</v>
      </c>
      <c r="E17" s="130">
        <f>VLOOKUP(C17,'Analysis B'!PupilBlock,12,0)</f>
        <v>13.5</v>
      </c>
      <c r="F17" s="130">
        <f>VLOOKUP(C17,'Stochastik A'!PupilBlock,3,0)</f>
        <v>2</v>
      </c>
      <c r="G17" s="130">
        <f>VLOOKUP(C17,'Stochastik B'!PupilBlock,7,0)</f>
        <v>6.5</v>
      </c>
      <c r="H17" s="130">
        <f>VLOOKUP(C17,'Geometrie A'!PupilBlock,4,0)</f>
        <v>2</v>
      </c>
      <c r="I17" s="130">
        <f>VLOOKUP(C17,'Geometrie B'!PupilBlock,7,0)</f>
        <v>13</v>
      </c>
      <c r="J17" s="130">
        <f>VLOOKUP(C17,Wahlaufgaben!PupilBlock,7,0)</f>
        <v>6</v>
      </c>
      <c r="K17" s="118">
        <f t="shared" si="0"/>
        <v>49.5</v>
      </c>
      <c r="L17" s="197">
        <f>VLOOKUP(VALUE(K17),Notenspiegel!$B$3:$C$302,2,0)</f>
        <v>5</v>
      </c>
      <c r="M17" s="198" t="str">
        <f>VLOOKUP(VALUE(K17),Notenspiegel!$B$3:$D$302,3,0)</f>
        <v>4</v>
      </c>
      <c r="N17" s="98" t="str">
        <f>VLOOKUP(VALUE(K17),Notenspiegel!$B$3:$E$302,4,0)</f>
        <v>++</v>
      </c>
    </row>
    <row r="18" spans="2:14" ht="18" customHeight="1" thickBot="1" x14ac:dyDescent="0.3">
      <c r="B18" s="140">
        <v>12</v>
      </c>
      <c r="C18" s="117" t="str">
        <f>Config!C16&amp;", "&amp;Config!D16</f>
        <v>Stephens, Melvin</v>
      </c>
      <c r="D18" s="132">
        <f>VLOOKUP(C18,'Analysis A'!PupilBlock,8,0)</f>
        <v>11.5</v>
      </c>
      <c r="E18" s="132">
        <f>VLOOKUP(C18,'Analysis B'!PupilBlock,12,0)</f>
        <v>27</v>
      </c>
      <c r="F18" s="132">
        <f>VLOOKUP(C18,'Stochastik A'!PupilBlock,3,0)</f>
        <v>2.5</v>
      </c>
      <c r="G18" s="132">
        <f>VLOOKUP(C18,'Stochastik B'!PupilBlock,7,0)</f>
        <v>5.5</v>
      </c>
      <c r="H18" s="132">
        <f>VLOOKUP(C18,'Geometrie A'!PupilBlock,4,0)</f>
        <v>0.5</v>
      </c>
      <c r="I18" s="132">
        <f>VLOOKUP(C18,'Geometrie B'!PupilBlock,7,0)</f>
        <v>13</v>
      </c>
      <c r="J18" s="132">
        <f>VLOOKUP(C18,Wahlaufgaben!PupilBlock,7,0)</f>
        <v>6</v>
      </c>
      <c r="K18" s="133">
        <f t="shared" si="0"/>
        <v>66</v>
      </c>
      <c r="L18" s="135">
        <f>VLOOKUP(VALUE(K18),Notenspiegel!$B$3:$C$302,2,0)</f>
        <v>9</v>
      </c>
      <c r="M18" s="123" t="str">
        <f>VLOOKUP(VALUE(K18),Notenspiegel!$B$3:$D$302,3,0)</f>
        <v>3+</v>
      </c>
      <c r="N18" s="98" t="str">
        <f>VLOOKUP(VALUE(K18),Notenspiegel!$B$3:$E$302,4,0)</f>
        <v/>
      </c>
    </row>
    <row r="19" spans="2:14" ht="18" customHeight="1" thickBot="1" x14ac:dyDescent="0.3">
      <c r="B19" s="141">
        <v>13</v>
      </c>
      <c r="C19" s="115" t="str">
        <f>Config!C17&amp;", "&amp;Config!D17</f>
        <v>Cremer, Marvin</v>
      </c>
      <c r="D19" s="130">
        <f>VLOOKUP(C19,'Analysis A'!PupilBlock,8,0)</f>
        <v>12.5</v>
      </c>
      <c r="E19" s="130">
        <f>VLOOKUP(C19,'Analysis B'!PupilBlock,12,0)</f>
        <v>22</v>
      </c>
      <c r="F19" s="130">
        <f>VLOOKUP(C19,'Stochastik A'!PupilBlock,3,0)</f>
        <v>5</v>
      </c>
      <c r="G19" s="130">
        <f>VLOOKUP(C19,'Stochastik B'!PupilBlock,7,0)</f>
        <v>5.5</v>
      </c>
      <c r="H19" s="130">
        <f>VLOOKUP(C19,'Geometrie A'!PupilBlock,4,0)</f>
        <v>4.5</v>
      </c>
      <c r="I19" s="130">
        <f>VLOOKUP(C19,'Geometrie B'!PupilBlock,7,0)</f>
        <v>3</v>
      </c>
      <c r="J19" s="130">
        <f>VLOOKUP(C19,Wahlaufgaben!PupilBlock,7,0)</f>
        <v>8</v>
      </c>
      <c r="K19" s="118">
        <f t="shared" si="0"/>
        <v>60.5</v>
      </c>
      <c r="L19" s="199">
        <f>VLOOKUP(VALUE(K19),Notenspiegel!$B$3:$C$302,2,0)</f>
        <v>8</v>
      </c>
      <c r="M19" s="200" t="str">
        <f>VLOOKUP(VALUE(K19),Notenspiegel!$B$3:$D$302,3,0)</f>
        <v>3</v>
      </c>
      <c r="N19" s="98" t="str">
        <f>VLOOKUP(VALUE(K19),Notenspiegel!$B$3:$E$302,4,0)</f>
        <v>-</v>
      </c>
    </row>
    <row r="20" spans="2:14" ht="18" customHeight="1" thickBot="1" x14ac:dyDescent="0.3">
      <c r="B20" s="140">
        <v>14</v>
      </c>
      <c r="C20" s="117" t="str">
        <f>Config!C18&amp;", "&amp;Config!D18</f>
        <v>Nash, Jean</v>
      </c>
      <c r="D20" s="132">
        <f>VLOOKUP(C20,'Analysis A'!PupilBlock,8,0)</f>
        <v>13.5</v>
      </c>
      <c r="E20" s="132">
        <f>VLOOKUP(C20,'Analysis B'!PupilBlock,12,0)</f>
        <v>15.5</v>
      </c>
      <c r="F20" s="132">
        <f>VLOOKUP(C20,'Stochastik A'!PupilBlock,3,0)</f>
        <v>5</v>
      </c>
      <c r="G20" s="132">
        <f>VLOOKUP(C20,'Stochastik B'!PupilBlock,7,0)</f>
        <v>8</v>
      </c>
      <c r="H20" s="132">
        <f>VLOOKUP(C20,'Geometrie A'!PupilBlock,4,0)</f>
        <v>4</v>
      </c>
      <c r="I20" s="132">
        <f>VLOOKUP(C20,'Geometrie B'!PupilBlock,7,0)</f>
        <v>14.5</v>
      </c>
      <c r="J20" s="132">
        <f>VLOOKUP(C20,Wahlaufgaben!PupilBlock,7,0)</f>
        <v>7</v>
      </c>
      <c r="K20" s="133">
        <f t="shared" si="0"/>
        <v>67.5</v>
      </c>
      <c r="L20" s="135">
        <f>VLOOKUP(VALUE(K20),Notenspiegel!$B$3:$C$302,2,0)</f>
        <v>9</v>
      </c>
      <c r="M20" s="123" t="str">
        <f>VLOOKUP(VALUE(K20),Notenspiegel!$B$3:$D$302,3,0)</f>
        <v>3+</v>
      </c>
      <c r="N20" s="98" t="str">
        <f>VLOOKUP(VALUE(K20),Notenspiegel!$B$3:$E$302,4,0)</f>
        <v/>
      </c>
    </row>
    <row r="21" spans="2:14" ht="18" customHeight="1" thickBot="1" x14ac:dyDescent="0.3">
      <c r="B21" s="141">
        <v>15</v>
      </c>
      <c r="C21" s="115" t="str">
        <f>Config!C19&amp;", "&amp;Config!D19</f>
        <v>Schön, Leonardo</v>
      </c>
      <c r="D21" s="130">
        <f>VLOOKUP(C21,'Analysis A'!PupilBlock,8,0)</f>
        <v>12</v>
      </c>
      <c r="E21" s="130">
        <f>VLOOKUP(C21,'Analysis B'!PupilBlock,12,0)</f>
        <v>23.5</v>
      </c>
      <c r="F21" s="130">
        <f>VLOOKUP(C21,'Stochastik A'!PupilBlock,3,0)</f>
        <v>2.5</v>
      </c>
      <c r="G21" s="130">
        <f>VLOOKUP(C21,'Stochastik B'!PupilBlock,7,0)</f>
        <v>8</v>
      </c>
      <c r="H21" s="130">
        <f>VLOOKUP(C21,'Geometrie A'!PupilBlock,4,0)</f>
        <v>5</v>
      </c>
      <c r="I21" s="130">
        <f>VLOOKUP(C21,'Geometrie B'!PupilBlock,7,0)</f>
        <v>6.5</v>
      </c>
      <c r="J21" s="130">
        <f>VLOOKUP(C21,Wahlaufgaben!PupilBlock,7,0)</f>
        <v>4</v>
      </c>
      <c r="K21" s="118">
        <f t="shared" si="0"/>
        <v>61.5</v>
      </c>
      <c r="L21" s="134">
        <f>VLOOKUP(VALUE(K21),Notenspiegel!$B$3:$C$302,2,0)</f>
        <v>8</v>
      </c>
      <c r="M21" s="122" t="str">
        <f>VLOOKUP(VALUE(K21),Notenspiegel!$B$3:$D$302,3,0)</f>
        <v>3</v>
      </c>
      <c r="N21" s="98" t="str">
        <f>VLOOKUP(VALUE(K21),Notenspiegel!$B$3:$E$302,4,0)</f>
        <v/>
      </c>
    </row>
    <row r="22" spans="2:14" ht="18" customHeight="1" thickBot="1" x14ac:dyDescent="0.3">
      <c r="B22" s="140">
        <v>16</v>
      </c>
      <c r="C22" s="117" t="str">
        <f>Config!C20&amp;", "&amp;Config!D20</f>
        <v>Sigl, Nicholas</v>
      </c>
      <c r="D22" s="132">
        <f>VLOOKUP(C22,'Analysis A'!PupilBlock,8,0)</f>
        <v>7.5</v>
      </c>
      <c r="E22" s="132">
        <f>VLOOKUP(C22,'Analysis B'!PupilBlock,12,0)</f>
        <v>22</v>
      </c>
      <c r="F22" s="132">
        <f>VLOOKUP(C22,'Stochastik A'!PupilBlock,3,0)</f>
        <v>5</v>
      </c>
      <c r="G22" s="132">
        <f>VLOOKUP(C22,'Stochastik B'!PupilBlock,7,0)</f>
        <v>0</v>
      </c>
      <c r="H22" s="132">
        <f>VLOOKUP(C22,'Geometrie A'!PupilBlock,4,0)</f>
        <v>4.5</v>
      </c>
      <c r="I22" s="132">
        <f>VLOOKUP(C22,'Geometrie B'!PupilBlock,7,0)</f>
        <v>6</v>
      </c>
      <c r="J22" s="132">
        <f>VLOOKUP(C22,Wahlaufgaben!PupilBlock,7,0)</f>
        <v>8</v>
      </c>
      <c r="K22" s="133">
        <f t="shared" si="0"/>
        <v>53</v>
      </c>
      <c r="L22" s="135">
        <f>VLOOKUP(VALUE(K22),Notenspiegel!$B$3:$C$302,2,0)</f>
        <v>6</v>
      </c>
      <c r="M22" s="123" t="str">
        <f>VLOOKUP(VALUE(K22),Notenspiegel!$B$3:$D$302,3,0)</f>
        <v>4+</v>
      </c>
      <c r="N22" s="98" t="str">
        <f>VLOOKUP(VALUE(K22),Notenspiegel!$B$3:$E$302,4,0)</f>
        <v/>
      </c>
    </row>
    <row r="23" spans="2:14" ht="18" customHeight="1" thickBot="1" x14ac:dyDescent="0.3">
      <c r="B23" s="141">
        <v>17</v>
      </c>
      <c r="C23" s="115" t="str">
        <f>Config!C21&amp;", "&amp;Config!D21</f>
        <v>Kainz, Vivienne</v>
      </c>
      <c r="D23" s="130">
        <f>VLOOKUP(C23,'Analysis A'!PupilBlock,8,0)</f>
        <v>1</v>
      </c>
      <c r="E23" s="130">
        <f>VLOOKUP(C23,'Analysis B'!PupilBlock,12,0)</f>
        <v>6.5</v>
      </c>
      <c r="F23" s="130">
        <f>VLOOKUP(C23,'Stochastik A'!PupilBlock,3,0)</f>
        <v>5</v>
      </c>
      <c r="G23" s="130">
        <f>VLOOKUP(C23,'Stochastik B'!PupilBlock,7,0)</f>
        <v>7.5</v>
      </c>
      <c r="H23" s="130">
        <f>VLOOKUP(C23,'Geometrie A'!PupilBlock,4,0)</f>
        <v>5</v>
      </c>
      <c r="I23" s="130">
        <f>VLOOKUP(C23,'Geometrie B'!PupilBlock,7,0)</f>
        <v>4.5</v>
      </c>
      <c r="J23" s="130">
        <f>VLOOKUP(C23,Wahlaufgaben!PupilBlock,7,0)</f>
        <v>10</v>
      </c>
      <c r="K23" s="118">
        <f t="shared" si="0"/>
        <v>39.5</v>
      </c>
      <c r="L23" s="197">
        <f>VLOOKUP(VALUE(K23),Notenspiegel!$B$3:$C$302,2,0)</f>
        <v>3</v>
      </c>
      <c r="M23" s="198" t="str">
        <f>VLOOKUP(VALUE(K23),Notenspiegel!$B$3:$D$302,3,0)</f>
        <v>5+</v>
      </c>
      <c r="N23" s="98" t="str">
        <f>VLOOKUP(VALUE(K23),Notenspiegel!$B$3:$E$302,4,0)</f>
        <v>++</v>
      </c>
    </row>
    <row r="24" spans="2:14" ht="18" customHeight="1" thickBot="1" x14ac:dyDescent="0.3">
      <c r="B24" s="140">
        <v>18</v>
      </c>
      <c r="C24" s="117" t="str">
        <f>Config!C22&amp;", "&amp;Config!D22</f>
        <v>Hartmann, Mads</v>
      </c>
      <c r="D24" s="132">
        <f>VLOOKUP(C24,'Analysis A'!PupilBlock,8,0)</f>
        <v>10</v>
      </c>
      <c r="E24" s="132">
        <f>VLOOKUP(C24,'Analysis B'!PupilBlock,12,0)</f>
        <v>16</v>
      </c>
      <c r="F24" s="132">
        <f>VLOOKUP(C24,'Stochastik A'!PupilBlock,3,0)</f>
        <v>2.5</v>
      </c>
      <c r="G24" s="132">
        <f>VLOOKUP(C24,'Stochastik B'!PupilBlock,7,0)</f>
        <v>7</v>
      </c>
      <c r="H24" s="132">
        <f>VLOOKUP(C24,'Geometrie A'!PupilBlock,4,0)</f>
        <v>1</v>
      </c>
      <c r="I24" s="132">
        <f>VLOOKUP(C24,'Geometrie B'!PupilBlock,7,0)</f>
        <v>14</v>
      </c>
      <c r="J24" s="132">
        <f>VLOOKUP(C24,Wahlaufgaben!PupilBlock,7,0)</f>
        <v>7</v>
      </c>
      <c r="K24" s="133">
        <f t="shared" si="0"/>
        <v>57.5</v>
      </c>
      <c r="L24" s="135">
        <f>VLOOKUP(VALUE(K24),Notenspiegel!$B$3:$C$302,2,0)</f>
        <v>7</v>
      </c>
      <c r="M24" s="123" t="str">
        <f>VLOOKUP(VALUE(K24),Notenspiegel!$B$3:$D$302,3,0)</f>
        <v>3-</v>
      </c>
      <c r="N24" s="98" t="str">
        <f>VLOOKUP(VALUE(K24),Notenspiegel!$B$3:$E$302,4,0)</f>
        <v/>
      </c>
    </row>
    <row r="25" spans="2:14" ht="18" customHeight="1" thickBot="1" x14ac:dyDescent="0.3">
      <c r="B25" s="141">
        <v>19</v>
      </c>
      <c r="C25" s="115" t="str">
        <f>Config!C23&amp;", "&amp;Config!D23</f>
        <v>Ullmann, Raphael</v>
      </c>
      <c r="D25" s="130">
        <f>VLOOKUP(C25,'Analysis A'!PupilBlock,8,0)</f>
        <v>9.5</v>
      </c>
      <c r="E25" s="130">
        <f>VLOOKUP(C25,'Analysis B'!PupilBlock,12,0)</f>
        <v>14.5</v>
      </c>
      <c r="F25" s="130">
        <f>VLOOKUP(C25,'Stochastik A'!PupilBlock,3,0)</f>
        <v>5</v>
      </c>
      <c r="G25" s="130">
        <f>VLOOKUP(C25,'Stochastik B'!PupilBlock,7,0)</f>
        <v>7</v>
      </c>
      <c r="H25" s="130">
        <f>VLOOKUP(C25,'Geometrie A'!PupilBlock,4,0)</f>
        <v>2</v>
      </c>
      <c r="I25" s="130">
        <f>VLOOKUP(C25,'Geometrie B'!PupilBlock,7,0)</f>
        <v>13.5</v>
      </c>
      <c r="J25" s="130">
        <f>VLOOKUP(C25,Wahlaufgaben!PupilBlock,7,0)</f>
        <v>8</v>
      </c>
      <c r="K25" s="118">
        <f t="shared" si="0"/>
        <v>59.5</v>
      </c>
      <c r="L25" s="197">
        <f>VLOOKUP(VALUE(K25),Notenspiegel!$B$3:$C$302,2,0)</f>
        <v>7</v>
      </c>
      <c r="M25" s="198" t="str">
        <f>VLOOKUP(VALUE(K25),Notenspiegel!$B$3:$D$302,3,0)</f>
        <v>3-</v>
      </c>
      <c r="N25" s="98" t="str">
        <f>VLOOKUP(VALUE(K25),Notenspiegel!$B$3:$E$302,4,0)</f>
        <v>++</v>
      </c>
    </row>
    <row r="26" spans="2:14" ht="18" customHeight="1" thickBot="1" x14ac:dyDescent="0.3">
      <c r="B26" s="140">
        <v>20</v>
      </c>
      <c r="C26" s="117" t="str">
        <f>Config!C24&amp;", "&amp;Config!D24</f>
        <v>Hartl, Emmely</v>
      </c>
      <c r="D26" s="132">
        <f>VLOOKUP(C26,'Analysis A'!PupilBlock,8,0)</f>
        <v>13.5</v>
      </c>
      <c r="E26" s="132">
        <f>VLOOKUP(C26,'Analysis B'!PupilBlock,12,0)</f>
        <v>23</v>
      </c>
      <c r="F26" s="132">
        <f>VLOOKUP(C26,'Stochastik A'!PupilBlock,3,0)</f>
        <v>3</v>
      </c>
      <c r="G26" s="132">
        <f>VLOOKUP(C26,'Stochastik B'!PupilBlock,7,0)</f>
        <v>4.5</v>
      </c>
      <c r="H26" s="132">
        <f>VLOOKUP(C26,'Geometrie A'!PupilBlock,4,0)</f>
        <v>2</v>
      </c>
      <c r="I26" s="132">
        <f>VLOOKUP(C26,'Geometrie B'!PupilBlock,7,0)</f>
        <v>15</v>
      </c>
      <c r="J26" s="132">
        <f>VLOOKUP(C26,Wahlaufgaben!PupilBlock,7,0)</f>
        <v>10</v>
      </c>
      <c r="K26" s="133">
        <f t="shared" si="0"/>
        <v>71</v>
      </c>
      <c r="L26" s="135">
        <f>VLOOKUP(VALUE(K26),Notenspiegel!$B$3:$C$302,2,0)</f>
        <v>10</v>
      </c>
      <c r="M26" s="123" t="str">
        <f>VLOOKUP(VALUE(K26),Notenspiegel!$B$3:$D$302,3,0)</f>
        <v>2-</v>
      </c>
      <c r="N26" s="98" t="str">
        <f>VLOOKUP(VALUE(K26),Notenspiegel!$B$3:$E$302,4,0)</f>
        <v/>
      </c>
    </row>
    <row r="27" spans="2:14" ht="18" customHeight="1" thickBot="1" x14ac:dyDescent="0.3">
      <c r="B27" s="141">
        <v>21</v>
      </c>
      <c r="C27" s="115" t="str">
        <f>Config!C25&amp;", "&amp;Config!D25</f>
        <v>Klotz, Karin</v>
      </c>
      <c r="D27" s="130">
        <f>VLOOKUP(C27,'Analysis A'!PupilBlock,8,0)</f>
        <v>13.5</v>
      </c>
      <c r="E27" s="130">
        <f>VLOOKUP(C27,'Analysis B'!PupilBlock,12,0)</f>
        <v>26.5</v>
      </c>
      <c r="F27" s="130">
        <f>VLOOKUP(C27,'Stochastik A'!PupilBlock,3,0)</f>
        <v>4</v>
      </c>
      <c r="G27" s="130">
        <f>VLOOKUP(C27,'Stochastik B'!PupilBlock,7,0)</f>
        <v>6</v>
      </c>
      <c r="H27" s="130">
        <f>VLOOKUP(C27,'Geometrie A'!PupilBlock,4,0)</f>
        <v>5</v>
      </c>
      <c r="I27" s="130">
        <f>VLOOKUP(C27,'Geometrie B'!PupilBlock,7,0)</f>
        <v>16</v>
      </c>
      <c r="J27" s="130">
        <f>VLOOKUP(C27,Wahlaufgaben!PupilBlock,7,0)</f>
        <v>10</v>
      </c>
      <c r="K27" s="118">
        <f t="shared" si="0"/>
        <v>81</v>
      </c>
      <c r="L27" s="134">
        <f>VLOOKUP(VALUE(K27),Notenspiegel!$B$3:$C$302,2,0)</f>
        <v>12</v>
      </c>
      <c r="M27" s="122" t="str">
        <f>VLOOKUP(VALUE(K27),Notenspiegel!$B$3:$D$302,3,0)</f>
        <v>2+</v>
      </c>
      <c r="N27" s="98" t="str">
        <f>VLOOKUP(VALUE(K27),Notenspiegel!$B$3:$E$302,4,0)</f>
        <v/>
      </c>
    </row>
    <row r="28" spans="2:14" ht="18" customHeight="1" thickBot="1" x14ac:dyDescent="0.3">
      <c r="B28" s="140">
        <v>22</v>
      </c>
      <c r="C28" s="117" t="str">
        <f>Config!C26&amp;", "&amp;Config!D26</f>
        <v>Ehlers, Ingo</v>
      </c>
      <c r="D28" s="132">
        <f>VLOOKUP(C28,'Analysis A'!PupilBlock,8,0)</f>
        <v>10</v>
      </c>
      <c r="E28" s="132">
        <f>VLOOKUP(C28,'Analysis B'!PupilBlock,12,0)</f>
        <v>21</v>
      </c>
      <c r="F28" s="132">
        <f>VLOOKUP(C28,'Stochastik A'!PupilBlock,3,0)</f>
        <v>5</v>
      </c>
      <c r="G28" s="132">
        <f>VLOOKUP(C28,'Stochastik B'!PupilBlock,7,0)</f>
        <v>5.5</v>
      </c>
      <c r="H28" s="132">
        <f>VLOOKUP(C28,'Geometrie A'!PupilBlock,4,0)</f>
        <v>5</v>
      </c>
      <c r="I28" s="132">
        <f>VLOOKUP(C28,'Geometrie B'!PupilBlock,7,0)</f>
        <v>14.5</v>
      </c>
      <c r="J28" s="132">
        <f>VLOOKUP(C28,Wahlaufgaben!PupilBlock,7,0)</f>
        <v>7</v>
      </c>
      <c r="K28" s="133">
        <f t="shared" si="0"/>
        <v>68</v>
      </c>
      <c r="L28" s="135">
        <f>VLOOKUP(VALUE(K28),Notenspiegel!$B$3:$C$302,2,0)</f>
        <v>9</v>
      </c>
      <c r="M28" s="123" t="str">
        <f>VLOOKUP(VALUE(K28),Notenspiegel!$B$3:$D$302,3,0)</f>
        <v>3+</v>
      </c>
      <c r="N28" s="98" t="str">
        <f>VLOOKUP(VALUE(K28),Notenspiegel!$B$3:$E$302,4,0)</f>
        <v/>
      </c>
    </row>
    <row r="29" spans="2:14" ht="18" customHeight="1" thickBot="1" x14ac:dyDescent="0.3">
      <c r="B29" s="142">
        <v>23</v>
      </c>
      <c r="C29" s="137" t="str">
        <f>Config!C27&amp;", "&amp;Config!D27</f>
        <v>Lindemann, Mads</v>
      </c>
      <c r="D29" s="138">
        <f>VLOOKUP(C29,'Analysis A'!PupilBlock,8,0)</f>
        <v>7</v>
      </c>
      <c r="E29" s="138">
        <f>VLOOKUP(C29,'Analysis B'!PupilBlock,12,0)</f>
        <v>16</v>
      </c>
      <c r="F29" s="138">
        <f>VLOOKUP(C29,'Stochastik A'!PupilBlock,3,0)</f>
        <v>5</v>
      </c>
      <c r="G29" s="138">
        <f>VLOOKUP(C29,'Stochastik B'!PupilBlock,7,0)</f>
        <v>10</v>
      </c>
      <c r="H29" s="138">
        <f>VLOOKUP(C29,'Geometrie A'!PupilBlock,4,0)</f>
        <v>3</v>
      </c>
      <c r="I29" s="138">
        <f>VLOOKUP(C29,'Geometrie B'!PupilBlock,7,0)</f>
        <v>6.5</v>
      </c>
      <c r="J29" s="138">
        <f>VLOOKUP(C29,Wahlaufgaben!PupilBlock,7,0)</f>
        <v>8</v>
      </c>
      <c r="K29" s="118">
        <f t="shared" si="0"/>
        <v>55.5</v>
      </c>
      <c r="L29" s="201">
        <f>VLOOKUP(VALUE(K29),Notenspiegel!$B$3:$C$302,2,0)</f>
        <v>7</v>
      </c>
      <c r="M29" s="202" t="str">
        <f>VLOOKUP(VALUE(K29),Notenspiegel!$B$3:$D$302,3,0)</f>
        <v>3-</v>
      </c>
      <c r="N29" s="98"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7" sqref="D7"/>
    </sheetView>
  </sheetViews>
  <sheetFormatPr baseColWidth="10" defaultColWidth="11.5546875" defaultRowHeight="13.2" x14ac:dyDescent="0.25"/>
  <cols>
    <col min="1" max="2" width="3.44140625" style="98" customWidth="1"/>
    <col min="3" max="3" width="25.6640625" style="98" customWidth="1"/>
    <col min="4" max="10" width="8.6640625" style="98" customWidth="1"/>
    <col min="11" max="16384" width="11.5546875" style="98"/>
  </cols>
  <sheetData>
    <row r="1" spans="2:10" ht="18" customHeight="1" thickBot="1" x14ac:dyDescent="0.3"/>
    <row r="2" spans="2:10" ht="18" customHeight="1" x14ac:dyDescent="0.25">
      <c r="B2" s="99" t="str">
        <f>Config!F2&amp;" "&amp;YEAR(Config!G24)</f>
        <v>Mathe Abitur 2026</v>
      </c>
      <c r="C2" s="100"/>
      <c r="D2" s="100"/>
      <c r="E2" s="100"/>
      <c r="F2" s="100"/>
      <c r="G2" s="101"/>
      <c r="H2" s="101"/>
      <c r="I2" s="101"/>
      <c r="J2" s="102" t="str">
        <f>"Kurs "&amp;Config!G26</f>
        <v>Kurs K1</v>
      </c>
    </row>
    <row r="3" spans="2:10" ht="18" customHeight="1" x14ac:dyDescent="0.25">
      <c r="B3" s="103" t="s">
        <v>9</v>
      </c>
      <c r="C3" s="104"/>
      <c r="D3" s="104"/>
      <c r="E3" s="104"/>
      <c r="F3" s="104"/>
      <c r="G3" s="104"/>
      <c r="H3" s="104"/>
      <c r="I3" s="104"/>
      <c r="J3" s="105"/>
    </row>
    <row r="4" spans="2:10" ht="18" customHeight="1" thickBot="1" x14ac:dyDescent="0.3">
      <c r="B4" s="103"/>
      <c r="C4" s="104"/>
      <c r="D4" s="106"/>
      <c r="E4" s="106"/>
      <c r="F4" s="106"/>
      <c r="G4" s="106"/>
      <c r="H4" s="106"/>
      <c r="I4" s="106"/>
      <c r="J4" s="107"/>
    </row>
    <row r="5" spans="2:10" ht="18" customHeight="1" thickBot="1" x14ac:dyDescent="0.3">
      <c r="B5" s="108"/>
      <c r="C5" s="110"/>
      <c r="D5" s="124" t="str">
        <f>Config!F6</f>
        <v>1a</v>
      </c>
      <c r="E5" s="124" t="str">
        <f>Config!F7</f>
        <v>1b</v>
      </c>
      <c r="F5" s="124" t="str">
        <f>Config!F8</f>
        <v>2</v>
      </c>
      <c r="G5" s="124" t="str">
        <f>Config!F9</f>
        <v>3</v>
      </c>
      <c r="H5" s="124" t="str">
        <f>Config!F10</f>
        <v>4a</v>
      </c>
      <c r="I5" s="124" t="str">
        <f>Config!F11</f>
        <v>4b</v>
      </c>
      <c r="J5" s="114" t="s">
        <v>82</v>
      </c>
    </row>
    <row r="6" spans="2:10" ht="18" customHeight="1" thickBot="1" x14ac:dyDescent="0.3">
      <c r="B6" s="109"/>
      <c r="C6" s="111" t="s">
        <v>81</v>
      </c>
      <c r="D6" s="113">
        <f>Config!G6</f>
        <v>2</v>
      </c>
      <c r="E6" s="113">
        <f>Config!G7</f>
        <v>2</v>
      </c>
      <c r="F6" s="113">
        <f>Config!G8</f>
        <v>3</v>
      </c>
      <c r="G6" s="113">
        <f>Config!G9</f>
        <v>3</v>
      </c>
      <c r="H6" s="113">
        <f>Config!G10</f>
        <v>3</v>
      </c>
      <c r="I6" s="113">
        <f>Config!G11</f>
        <v>2</v>
      </c>
      <c r="J6" s="125">
        <f>Config!G21</f>
        <v>15</v>
      </c>
    </row>
    <row r="7" spans="2:10" ht="18" customHeight="1" x14ac:dyDescent="0.25">
      <c r="B7" s="157">
        <v>1</v>
      </c>
      <c r="C7" s="158" t="str">
        <f>Config!C5&amp;", "&amp;Config!D5</f>
        <v>Höfer, Simon</v>
      </c>
      <c r="D7" s="178">
        <v>1</v>
      </c>
      <c r="E7" s="178">
        <v>1</v>
      </c>
      <c r="F7" s="178">
        <v>1.5</v>
      </c>
      <c r="G7" s="178">
        <v>2.5</v>
      </c>
      <c r="H7" s="178">
        <v>3</v>
      </c>
      <c r="I7" s="179">
        <v>2</v>
      </c>
      <c r="J7" s="159">
        <f t="shared" ref="J7:J38" si="0">SUM(D7:I7)</f>
        <v>11</v>
      </c>
    </row>
    <row r="8" spans="2:10" s="116" customFormat="1" ht="13.2" customHeight="1" x14ac:dyDescent="0.2">
      <c r="B8" s="160"/>
      <c r="C8" s="161" t="s">
        <v>126</v>
      </c>
      <c r="D8" s="203">
        <v>0.5</v>
      </c>
      <c r="E8" s="162">
        <v>1</v>
      </c>
      <c r="F8" s="162">
        <v>1.5</v>
      </c>
      <c r="G8" s="204">
        <v>3</v>
      </c>
      <c r="H8" s="162">
        <v>3</v>
      </c>
      <c r="I8" s="163">
        <v>2</v>
      </c>
      <c r="J8" s="149">
        <f t="shared" si="0"/>
        <v>11</v>
      </c>
    </row>
    <row r="9" spans="2:10" s="116" customFormat="1" ht="13.2" customHeight="1" x14ac:dyDescent="0.2">
      <c r="B9" s="164"/>
      <c r="C9" s="165" t="s">
        <v>127</v>
      </c>
      <c r="D9" s="146">
        <v>1</v>
      </c>
      <c r="E9" s="206">
        <v>0.5</v>
      </c>
      <c r="F9" s="205">
        <v>2</v>
      </c>
      <c r="G9" s="146">
        <v>2.5</v>
      </c>
      <c r="H9" s="146">
        <v>3</v>
      </c>
      <c r="I9" s="147">
        <v>2</v>
      </c>
      <c r="J9" s="148">
        <f t="shared" si="0"/>
        <v>11</v>
      </c>
    </row>
    <row r="10" spans="2:10" ht="18" customHeight="1" x14ac:dyDescent="0.25">
      <c r="B10" s="170">
        <v>2</v>
      </c>
      <c r="C10" s="171" t="str">
        <f>Config!C6&amp;", "&amp;Config!D6</f>
        <v>Töpfer, Lilian</v>
      </c>
      <c r="D10" s="180">
        <v>1.5</v>
      </c>
      <c r="E10" s="180">
        <v>2</v>
      </c>
      <c r="F10" s="180">
        <v>0.5</v>
      </c>
      <c r="G10" s="180">
        <v>1</v>
      </c>
      <c r="H10" s="180">
        <v>2</v>
      </c>
      <c r="I10" s="181">
        <v>2</v>
      </c>
      <c r="J10" s="172">
        <f t="shared" si="0"/>
        <v>9</v>
      </c>
    </row>
    <row r="11" spans="2:10" s="116" customFormat="1" ht="13.2" customHeight="1" x14ac:dyDescent="0.2">
      <c r="B11" s="166"/>
      <c r="C11" s="167" t="s">
        <v>126</v>
      </c>
      <c r="D11" s="168">
        <v>1.5</v>
      </c>
      <c r="E11" s="207">
        <v>1.5</v>
      </c>
      <c r="F11" s="218">
        <v>1</v>
      </c>
      <c r="G11" s="168">
        <v>1</v>
      </c>
      <c r="H11" s="218">
        <v>2.5</v>
      </c>
      <c r="I11" s="169">
        <v>2</v>
      </c>
      <c r="J11" s="152">
        <f t="shared" si="0"/>
        <v>9.5</v>
      </c>
    </row>
    <row r="12" spans="2:10" s="116" customFormat="1" ht="13.2" customHeight="1" x14ac:dyDescent="0.2">
      <c r="B12" s="173"/>
      <c r="C12" s="174" t="s">
        <v>127</v>
      </c>
      <c r="D12" s="146">
        <v>1.5</v>
      </c>
      <c r="E12" s="146">
        <v>2</v>
      </c>
      <c r="F12" s="146">
        <v>0.5</v>
      </c>
      <c r="G12" s="146">
        <v>1</v>
      </c>
      <c r="H12" s="205">
        <v>2.5</v>
      </c>
      <c r="I12" s="147">
        <v>2</v>
      </c>
      <c r="J12" s="151">
        <f t="shared" si="0"/>
        <v>9.5</v>
      </c>
    </row>
    <row r="13" spans="2:10" ht="18" customHeight="1" x14ac:dyDescent="0.25">
      <c r="B13" s="175">
        <v>3</v>
      </c>
      <c r="C13" s="176" t="str">
        <f>Config!C7&amp;", "&amp;Config!D7</f>
        <v>Fleischmann, Leonie</v>
      </c>
      <c r="D13" s="182">
        <v>0.5</v>
      </c>
      <c r="E13" s="182">
        <v>1.5</v>
      </c>
      <c r="F13" s="182">
        <v>1.5</v>
      </c>
      <c r="G13" s="182">
        <v>3</v>
      </c>
      <c r="H13" s="182">
        <v>3</v>
      </c>
      <c r="I13" s="183">
        <v>1</v>
      </c>
      <c r="J13" s="177">
        <f t="shared" si="0"/>
        <v>10.5</v>
      </c>
    </row>
    <row r="14" spans="2:10" s="116" customFormat="1" ht="13.2" customHeight="1" x14ac:dyDescent="0.2">
      <c r="B14" s="160"/>
      <c r="C14" s="161" t="s">
        <v>126</v>
      </c>
      <c r="D14" s="162"/>
      <c r="E14" s="162"/>
      <c r="F14" s="162"/>
      <c r="G14" s="162"/>
      <c r="H14" s="162"/>
      <c r="I14" s="163"/>
      <c r="J14" s="149">
        <f t="shared" si="0"/>
        <v>0</v>
      </c>
    </row>
    <row r="15" spans="2:10" s="116" customFormat="1" ht="13.2" customHeight="1" x14ac:dyDescent="0.2">
      <c r="B15" s="164"/>
      <c r="C15" s="165" t="s">
        <v>127</v>
      </c>
      <c r="D15" s="146"/>
      <c r="E15" s="146"/>
      <c r="F15" s="146"/>
      <c r="G15" s="146"/>
      <c r="H15" s="146"/>
      <c r="I15" s="147"/>
      <c r="J15" s="148">
        <f t="shared" si="0"/>
        <v>0</v>
      </c>
    </row>
    <row r="16" spans="2:10" ht="18" customHeight="1" x14ac:dyDescent="0.25">
      <c r="B16" s="170">
        <v>4</v>
      </c>
      <c r="C16" s="171" t="str">
        <f>Config!C8&amp;", "&amp;Config!D8</f>
        <v>Drescher, Cedric</v>
      </c>
      <c r="D16" s="180">
        <v>2</v>
      </c>
      <c r="E16" s="180">
        <v>2</v>
      </c>
      <c r="F16" s="180">
        <v>1</v>
      </c>
      <c r="G16" s="180">
        <v>3</v>
      </c>
      <c r="H16" s="180">
        <v>2.5</v>
      </c>
      <c r="I16" s="181">
        <v>2</v>
      </c>
      <c r="J16" s="172">
        <f t="shared" si="0"/>
        <v>12.5</v>
      </c>
    </row>
    <row r="17" spans="2:10" s="116" customFormat="1" ht="13.2" customHeight="1" x14ac:dyDescent="0.2">
      <c r="B17" s="166"/>
      <c r="C17" s="167" t="s">
        <v>126</v>
      </c>
      <c r="D17" s="168"/>
      <c r="E17" s="168"/>
      <c r="F17" s="168"/>
      <c r="G17" s="168"/>
      <c r="H17" s="168"/>
      <c r="I17" s="169"/>
      <c r="J17" s="152">
        <f t="shared" si="0"/>
        <v>0</v>
      </c>
    </row>
    <row r="18" spans="2:10" s="116" customFormat="1" ht="13.2" customHeight="1" x14ac:dyDescent="0.2">
      <c r="B18" s="173"/>
      <c r="C18" s="174" t="s">
        <v>127</v>
      </c>
      <c r="D18" s="146"/>
      <c r="E18" s="146"/>
      <c r="F18" s="146"/>
      <c r="G18" s="146"/>
      <c r="H18" s="146"/>
      <c r="I18" s="147"/>
      <c r="J18" s="151">
        <f t="shared" si="0"/>
        <v>0</v>
      </c>
    </row>
    <row r="19" spans="2:10" ht="18" customHeight="1" x14ac:dyDescent="0.25">
      <c r="B19" s="175">
        <v>5</v>
      </c>
      <c r="C19" s="176" t="str">
        <f>Config!C9&amp;", "&amp;Config!D9</f>
        <v>Baumgarten, Annabell</v>
      </c>
      <c r="D19" s="182">
        <v>2</v>
      </c>
      <c r="E19" s="182">
        <v>2</v>
      </c>
      <c r="F19" s="182">
        <v>2.5</v>
      </c>
      <c r="G19" s="182">
        <v>3</v>
      </c>
      <c r="H19" s="182">
        <v>2.5</v>
      </c>
      <c r="I19" s="183">
        <v>2</v>
      </c>
      <c r="J19" s="177">
        <f t="shared" si="0"/>
        <v>14</v>
      </c>
    </row>
    <row r="20" spans="2:10" s="116" customFormat="1" ht="13.2" customHeight="1" x14ac:dyDescent="0.2">
      <c r="B20" s="160"/>
      <c r="C20" s="161" t="s">
        <v>126</v>
      </c>
      <c r="D20" s="162"/>
      <c r="E20" s="162"/>
      <c r="F20" s="162"/>
      <c r="G20" s="162"/>
      <c r="H20" s="162"/>
      <c r="I20" s="163"/>
      <c r="J20" s="149">
        <f t="shared" si="0"/>
        <v>0</v>
      </c>
    </row>
    <row r="21" spans="2:10" s="116" customFormat="1" ht="13.2" customHeight="1" x14ac:dyDescent="0.2">
      <c r="B21" s="164"/>
      <c r="C21" s="165" t="s">
        <v>127</v>
      </c>
      <c r="D21" s="146"/>
      <c r="E21" s="146"/>
      <c r="F21" s="146"/>
      <c r="G21" s="146"/>
      <c r="H21" s="146"/>
      <c r="I21" s="147"/>
      <c r="J21" s="148">
        <f t="shared" si="0"/>
        <v>0</v>
      </c>
    </row>
    <row r="22" spans="2:10" ht="18" customHeight="1" x14ac:dyDescent="0.25">
      <c r="B22" s="170">
        <v>6</v>
      </c>
      <c r="C22" s="171" t="str">
        <f>Config!C10&amp;", "&amp;Config!D10</f>
        <v>Traut, Stefanie</v>
      </c>
      <c r="D22" s="180">
        <v>2</v>
      </c>
      <c r="E22" s="180">
        <v>2</v>
      </c>
      <c r="F22" s="180">
        <v>2</v>
      </c>
      <c r="G22" s="180">
        <v>2</v>
      </c>
      <c r="H22" s="180">
        <v>2.5</v>
      </c>
      <c r="I22" s="181">
        <v>2</v>
      </c>
      <c r="J22" s="172">
        <f t="shared" si="0"/>
        <v>12.5</v>
      </c>
    </row>
    <row r="23" spans="2:10" s="116" customFormat="1" ht="13.2" customHeight="1" x14ac:dyDescent="0.2">
      <c r="B23" s="166"/>
      <c r="C23" s="167" t="s">
        <v>126</v>
      </c>
      <c r="D23" s="168"/>
      <c r="E23" s="168"/>
      <c r="F23" s="168"/>
      <c r="G23" s="168"/>
      <c r="H23" s="168"/>
      <c r="I23" s="169"/>
      <c r="J23" s="152">
        <f t="shared" si="0"/>
        <v>0</v>
      </c>
    </row>
    <row r="24" spans="2:10" s="116" customFormat="1" ht="13.2" customHeight="1" x14ac:dyDescent="0.2">
      <c r="B24" s="173"/>
      <c r="C24" s="174" t="s">
        <v>127</v>
      </c>
      <c r="D24" s="146"/>
      <c r="E24" s="146"/>
      <c r="F24" s="146"/>
      <c r="G24" s="146"/>
      <c r="H24" s="146"/>
      <c r="I24" s="147"/>
      <c r="J24" s="151">
        <f t="shared" si="0"/>
        <v>0</v>
      </c>
    </row>
    <row r="25" spans="2:10" ht="18" customHeight="1" x14ac:dyDescent="0.25">
      <c r="B25" s="175">
        <v>7</v>
      </c>
      <c r="C25" s="176" t="str">
        <f>Config!C11&amp;", "&amp;Config!D11</f>
        <v>Menke, Damian</v>
      </c>
      <c r="D25" s="182">
        <v>1</v>
      </c>
      <c r="E25" s="182">
        <v>1.5</v>
      </c>
      <c r="F25" s="182">
        <v>3</v>
      </c>
      <c r="G25" s="182">
        <v>3</v>
      </c>
      <c r="H25" s="182">
        <v>3</v>
      </c>
      <c r="I25" s="183">
        <v>1</v>
      </c>
      <c r="J25" s="177">
        <f t="shared" si="0"/>
        <v>12.5</v>
      </c>
    </row>
    <row r="26" spans="2:10" s="116" customFormat="1" ht="13.2" customHeight="1" x14ac:dyDescent="0.2">
      <c r="B26" s="160"/>
      <c r="C26" s="161" t="s">
        <v>126</v>
      </c>
      <c r="D26" s="162"/>
      <c r="E26" s="162"/>
      <c r="F26" s="162"/>
      <c r="G26" s="162"/>
      <c r="H26" s="162"/>
      <c r="I26" s="163"/>
      <c r="J26" s="149">
        <f t="shared" si="0"/>
        <v>0</v>
      </c>
    </row>
    <row r="27" spans="2:10" s="116" customFormat="1" ht="13.2" customHeight="1" x14ac:dyDescent="0.2">
      <c r="B27" s="164"/>
      <c r="C27" s="165" t="s">
        <v>127</v>
      </c>
      <c r="D27" s="146"/>
      <c r="E27" s="146"/>
      <c r="F27" s="146"/>
      <c r="G27" s="146"/>
      <c r="H27" s="146"/>
      <c r="I27" s="147"/>
      <c r="J27" s="148">
        <f t="shared" si="0"/>
        <v>0</v>
      </c>
    </row>
    <row r="28" spans="2:10" ht="18" customHeight="1" x14ac:dyDescent="0.25">
      <c r="B28" s="170">
        <v>8</v>
      </c>
      <c r="C28" s="171" t="str">
        <f>Config!C12&amp;", "&amp;Config!D12</f>
        <v>Carroll, Meik</v>
      </c>
      <c r="D28" s="180">
        <v>0.5</v>
      </c>
      <c r="E28" s="180">
        <v>2</v>
      </c>
      <c r="F28" s="180">
        <v>1.5</v>
      </c>
      <c r="G28" s="180">
        <v>1</v>
      </c>
      <c r="H28" s="180">
        <v>3</v>
      </c>
      <c r="I28" s="181">
        <v>1</v>
      </c>
      <c r="J28" s="172">
        <f t="shared" si="0"/>
        <v>9</v>
      </c>
    </row>
    <row r="29" spans="2:10" s="116" customFormat="1" ht="13.2" customHeight="1" x14ac:dyDescent="0.2">
      <c r="B29" s="166"/>
      <c r="C29" s="167" t="s">
        <v>126</v>
      </c>
      <c r="D29" s="168"/>
      <c r="E29" s="168"/>
      <c r="F29" s="168"/>
      <c r="G29" s="168"/>
      <c r="H29" s="168"/>
      <c r="I29" s="169"/>
      <c r="J29" s="152">
        <f t="shared" si="0"/>
        <v>0</v>
      </c>
    </row>
    <row r="30" spans="2:10" s="116" customFormat="1" ht="13.2" customHeight="1" x14ac:dyDescent="0.2">
      <c r="B30" s="173"/>
      <c r="C30" s="174" t="s">
        <v>127</v>
      </c>
      <c r="D30" s="146"/>
      <c r="E30" s="146"/>
      <c r="F30" s="146"/>
      <c r="G30" s="146"/>
      <c r="H30" s="146"/>
      <c r="I30" s="147"/>
      <c r="J30" s="151">
        <f t="shared" si="0"/>
        <v>0</v>
      </c>
    </row>
    <row r="31" spans="2:10" ht="18" customHeight="1" x14ac:dyDescent="0.25">
      <c r="B31" s="175">
        <v>9</v>
      </c>
      <c r="C31" s="176" t="str">
        <f>Config!C13&amp;", "&amp;Config!D13</f>
        <v>Hennings, Tomas</v>
      </c>
      <c r="D31" s="182">
        <v>1.5</v>
      </c>
      <c r="E31" s="182">
        <v>2</v>
      </c>
      <c r="F31" s="182">
        <v>1.5</v>
      </c>
      <c r="G31" s="182">
        <v>1</v>
      </c>
      <c r="H31" s="182">
        <v>2</v>
      </c>
      <c r="I31" s="183">
        <v>2</v>
      </c>
      <c r="J31" s="177">
        <f t="shared" si="0"/>
        <v>10</v>
      </c>
    </row>
    <row r="32" spans="2:10" s="116" customFormat="1" ht="13.2" customHeight="1" x14ac:dyDescent="0.2">
      <c r="B32" s="160"/>
      <c r="C32" s="161" t="s">
        <v>126</v>
      </c>
      <c r="D32" s="162"/>
      <c r="E32" s="162"/>
      <c r="F32" s="162"/>
      <c r="G32" s="162"/>
      <c r="H32" s="162"/>
      <c r="I32" s="163"/>
      <c r="J32" s="149">
        <f t="shared" si="0"/>
        <v>0</v>
      </c>
    </row>
    <row r="33" spans="2:10" s="116" customFormat="1" ht="13.2" customHeight="1" x14ac:dyDescent="0.2">
      <c r="B33" s="164"/>
      <c r="C33" s="165" t="s">
        <v>127</v>
      </c>
      <c r="D33" s="146"/>
      <c r="E33" s="146"/>
      <c r="F33" s="146"/>
      <c r="G33" s="146"/>
      <c r="H33" s="146"/>
      <c r="I33" s="147"/>
      <c r="J33" s="148">
        <f t="shared" si="0"/>
        <v>0</v>
      </c>
    </row>
    <row r="34" spans="2:10" ht="18" customHeight="1" x14ac:dyDescent="0.25">
      <c r="B34" s="170">
        <v>10</v>
      </c>
      <c r="C34" s="171" t="str">
        <f>Config!C14&amp;", "&amp;Config!D14</f>
        <v>Walters, Linn</v>
      </c>
      <c r="D34" s="180">
        <v>0.5</v>
      </c>
      <c r="E34" s="180">
        <v>1</v>
      </c>
      <c r="F34" s="180">
        <v>0</v>
      </c>
      <c r="G34" s="180">
        <v>1</v>
      </c>
      <c r="H34" s="180">
        <v>0.5</v>
      </c>
      <c r="I34" s="181">
        <v>0</v>
      </c>
      <c r="J34" s="172">
        <f t="shared" si="0"/>
        <v>3</v>
      </c>
    </row>
    <row r="35" spans="2:10" s="116" customFormat="1" ht="13.2" customHeight="1" x14ac:dyDescent="0.2">
      <c r="B35" s="166"/>
      <c r="C35" s="167" t="s">
        <v>126</v>
      </c>
      <c r="D35" s="168"/>
      <c r="E35" s="168"/>
      <c r="F35" s="168"/>
      <c r="G35" s="168"/>
      <c r="H35" s="168"/>
      <c r="I35" s="169"/>
      <c r="J35" s="152">
        <f t="shared" si="0"/>
        <v>0</v>
      </c>
    </row>
    <row r="36" spans="2:10" s="116" customFormat="1" ht="13.2" customHeight="1" x14ac:dyDescent="0.2">
      <c r="B36" s="173"/>
      <c r="C36" s="174" t="s">
        <v>127</v>
      </c>
      <c r="D36" s="146"/>
      <c r="E36" s="146"/>
      <c r="F36" s="146"/>
      <c r="G36" s="146"/>
      <c r="H36" s="146"/>
      <c r="I36" s="147"/>
      <c r="J36" s="151">
        <f t="shared" si="0"/>
        <v>0</v>
      </c>
    </row>
    <row r="37" spans="2:10" ht="18" customHeight="1" x14ac:dyDescent="0.25">
      <c r="B37" s="175">
        <v>11</v>
      </c>
      <c r="C37" s="176" t="str">
        <f>Config!C15&amp;", "&amp;Config!D15</f>
        <v>Junker, Amely</v>
      </c>
      <c r="D37" s="182">
        <v>0.5</v>
      </c>
      <c r="E37" s="182">
        <v>2</v>
      </c>
      <c r="F37" s="182">
        <v>1.5</v>
      </c>
      <c r="G37" s="182">
        <v>0</v>
      </c>
      <c r="H37" s="182">
        <v>1.5</v>
      </c>
      <c r="I37" s="183">
        <v>1</v>
      </c>
      <c r="J37" s="177">
        <f t="shared" si="0"/>
        <v>6.5</v>
      </c>
    </row>
    <row r="38" spans="2:10" s="116" customFormat="1" ht="13.2" customHeight="1" x14ac:dyDescent="0.2">
      <c r="B38" s="160"/>
      <c r="C38" s="161" t="s">
        <v>126</v>
      </c>
      <c r="D38" s="162"/>
      <c r="E38" s="162"/>
      <c r="F38" s="162"/>
      <c r="G38" s="162"/>
      <c r="H38" s="162"/>
      <c r="I38" s="163"/>
      <c r="J38" s="149">
        <f t="shared" si="0"/>
        <v>0</v>
      </c>
    </row>
    <row r="39" spans="2:10" s="116" customFormat="1" ht="13.2" customHeight="1" x14ac:dyDescent="0.2">
      <c r="B39" s="164"/>
      <c r="C39" s="165" t="s">
        <v>127</v>
      </c>
      <c r="D39" s="146"/>
      <c r="E39" s="146"/>
      <c r="F39" s="146"/>
      <c r="G39" s="146"/>
      <c r="H39" s="146"/>
      <c r="I39" s="147"/>
      <c r="J39" s="148">
        <f t="shared" ref="J39:J70" si="1">SUM(D39:I39)</f>
        <v>0</v>
      </c>
    </row>
    <row r="40" spans="2:10" ht="18" customHeight="1" x14ac:dyDescent="0.25">
      <c r="B40" s="170">
        <v>12</v>
      </c>
      <c r="C40" s="171" t="str">
        <f>Config!C16&amp;", "&amp;Config!D16</f>
        <v>Stephens, Melvin</v>
      </c>
      <c r="D40" s="180">
        <v>2</v>
      </c>
      <c r="E40" s="180">
        <v>2</v>
      </c>
      <c r="F40" s="180">
        <v>1</v>
      </c>
      <c r="G40" s="180">
        <v>3</v>
      </c>
      <c r="H40" s="180">
        <v>1.5</v>
      </c>
      <c r="I40" s="181">
        <v>2</v>
      </c>
      <c r="J40" s="172">
        <f t="shared" si="1"/>
        <v>11.5</v>
      </c>
    </row>
    <row r="41" spans="2:10" s="116" customFormat="1" ht="13.2" customHeight="1" x14ac:dyDescent="0.2">
      <c r="B41" s="166"/>
      <c r="C41" s="167" t="s">
        <v>126</v>
      </c>
      <c r="D41" s="168"/>
      <c r="E41" s="168"/>
      <c r="F41" s="168"/>
      <c r="G41" s="168"/>
      <c r="H41" s="168"/>
      <c r="I41" s="169"/>
      <c r="J41" s="152">
        <f t="shared" si="1"/>
        <v>0</v>
      </c>
    </row>
    <row r="42" spans="2:10" s="116" customFormat="1" ht="13.2" customHeight="1" x14ac:dyDescent="0.2">
      <c r="B42" s="173"/>
      <c r="C42" s="174" t="s">
        <v>127</v>
      </c>
      <c r="D42" s="146"/>
      <c r="E42" s="146"/>
      <c r="F42" s="146"/>
      <c r="G42" s="146"/>
      <c r="H42" s="146"/>
      <c r="I42" s="147"/>
      <c r="J42" s="151">
        <f t="shared" si="1"/>
        <v>0</v>
      </c>
    </row>
    <row r="43" spans="2:10" ht="18" customHeight="1" x14ac:dyDescent="0.25">
      <c r="B43" s="175">
        <v>13</v>
      </c>
      <c r="C43" s="176" t="str">
        <f>Config!C17&amp;", "&amp;Config!D17</f>
        <v>Cremer, Marvin</v>
      </c>
      <c r="D43" s="182">
        <v>1.5</v>
      </c>
      <c r="E43" s="182">
        <v>2</v>
      </c>
      <c r="F43" s="182">
        <v>1.5</v>
      </c>
      <c r="G43" s="182">
        <v>3</v>
      </c>
      <c r="H43" s="182">
        <v>3</v>
      </c>
      <c r="I43" s="183">
        <v>1.5</v>
      </c>
      <c r="J43" s="177">
        <f t="shared" si="1"/>
        <v>12.5</v>
      </c>
    </row>
    <row r="44" spans="2:10" s="116" customFormat="1" ht="13.2" customHeight="1" x14ac:dyDescent="0.2">
      <c r="B44" s="160"/>
      <c r="C44" s="161" t="s">
        <v>126</v>
      </c>
      <c r="D44" s="162"/>
      <c r="E44" s="162"/>
      <c r="F44" s="162"/>
      <c r="G44" s="162"/>
      <c r="H44" s="162"/>
      <c r="I44" s="163"/>
      <c r="J44" s="149">
        <f t="shared" si="1"/>
        <v>0</v>
      </c>
    </row>
    <row r="45" spans="2:10" s="116" customFormat="1" ht="13.2" customHeight="1" x14ac:dyDescent="0.2">
      <c r="B45" s="164"/>
      <c r="C45" s="165" t="s">
        <v>127</v>
      </c>
      <c r="D45" s="146"/>
      <c r="E45" s="146"/>
      <c r="F45" s="146"/>
      <c r="G45" s="146"/>
      <c r="H45" s="146"/>
      <c r="I45" s="147"/>
      <c r="J45" s="148">
        <f t="shared" si="1"/>
        <v>0</v>
      </c>
    </row>
    <row r="46" spans="2:10" ht="18" customHeight="1" x14ac:dyDescent="0.25">
      <c r="B46" s="170">
        <v>14</v>
      </c>
      <c r="C46" s="171" t="str">
        <f>Config!C18&amp;", "&amp;Config!D18</f>
        <v>Nash, Jean</v>
      </c>
      <c r="D46" s="180">
        <v>2</v>
      </c>
      <c r="E46" s="180">
        <v>2</v>
      </c>
      <c r="F46" s="180">
        <v>1.5</v>
      </c>
      <c r="G46" s="180">
        <v>3</v>
      </c>
      <c r="H46" s="180">
        <v>3</v>
      </c>
      <c r="I46" s="181">
        <v>2</v>
      </c>
      <c r="J46" s="172">
        <f t="shared" si="1"/>
        <v>13.5</v>
      </c>
    </row>
    <row r="47" spans="2:10" s="116" customFormat="1" ht="13.2" customHeight="1" x14ac:dyDescent="0.2">
      <c r="B47" s="166"/>
      <c r="C47" s="167" t="s">
        <v>126</v>
      </c>
      <c r="D47" s="168"/>
      <c r="E47" s="168"/>
      <c r="F47" s="168"/>
      <c r="G47" s="168"/>
      <c r="H47" s="168"/>
      <c r="I47" s="169"/>
      <c r="J47" s="152">
        <f t="shared" si="1"/>
        <v>0</v>
      </c>
    </row>
    <row r="48" spans="2:10" s="116" customFormat="1" ht="13.2" customHeight="1" x14ac:dyDescent="0.2">
      <c r="B48" s="173"/>
      <c r="C48" s="174" t="s">
        <v>127</v>
      </c>
      <c r="D48" s="146"/>
      <c r="E48" s="146"/>
      <c r="F48" s="146"/>
      <c r="G48" s="146"/>
      <c r="H48" s="146"/>
      <c r="I48" s="147"/>
      <c r="J48" s="151">
        <f t="shared" si="1"/>
        <v>0</v>
      </c>
    </row>
    <row r="49" spans="2:10" ht="18" customHeight="1" x14ac:dyDescent="0.25">
      <c r="B49" s="175">
        <v>15</v>
      </c>
      <c r="C49" s="176" t="str">
        <f>Config!C19&amp;", "&amp;Config!D19</f>
        <v>Schön, Leonardo</v>
      </c>
      <c r="D49" s="182">
        <v>1</v>
      </c>
      <c r="E49" s="182">
        <v>2</v>
      </c>
      <c r="F49" s="182">
        <v>1.5</v>
      </c>
      <c r="G49" s="182">
        <v>3</v>
      </c>
      <c r="H49" s="182">
        <v>2.5</v>
      </c>
      <c r="I49" s="183">
        <v>2</v>
      </c>
      <c r="J49" s="177">
        <f t="shared" si="1"/>
        <v>12</v>
      </c>
    </row>
    <row r="50" spans="2:10" s="116" customFormat="1" ht="13.2" customHeight="1" x14ac:dyDescent="0.2">
      <c r="B50" s="160"/>
      <c r="C50" s="161" t="s">
        <v>126</v>
      </c>
      <c r="D50" s="162"/>
      <c r="E50" s="162"/>
      <c r="F50" s="162"/>
      <c r="G50" s="162"/>
      <c r="H50" s="162"/>
      <c r="I50" s="163"/>
      <c r="J50" s="149">
        <f t="shared" si="1"/>
        <v>0</v>
      </c>
    </row>
    <row r="51" spans="2:10" s="116" customFormat="1" ht="13.2" customHeight="1" x14ac:dyDescent="0.2">
      <c r="B51" s="164"/>
      <c r="C51" s="165" t="s">
        <v>127</v>
      </c>
      <c r="D51" s="146"/>
      <c r="E51" s="146"/>
      <c r="F51" s="146"/>
      <c r="G51" s="146"/>
      <c r="H51" s="146"/>
      <c r="I51" s="147"/>
      <c r="J51" s="148">
        <f t="shared" si="1"/>
        <v>0</v>
      </c>
    </row>
    <row r="52" spans="2:10" ht="18" customHeight="1" x14ac:dyDescent="0.25">
      <c r="B52" s="170">
        <v>16</v>
      </c>
      <c r="C52" s="171" t="str">
        <f>Config!C20&amp;", "&amp;Config!D20</f>
        <v>Sigl, Nicholas</v>
      </c>
      <c r="D52" s="180">
        <v>2</v>
      </c>
      <c r="E52" s="180">
        <v>0</v>
      </c>
      <c r="F52" s="180">
        <v>1</v>
      </c>
      <c r="G52" s="180">
        <v>1.5</v>
      </c>
      <c r="H52" s="180">
        <v>2</v>
      </c>
      <c r="I52" s="181">
        <v>1</v>
      </c>
      <c r="J52" s="172">
        <f t="shared" si="1"/>
        <v>7.5</v>
      </c>
    </row>
    <row r="53" spans="2:10" s="116" customFormat="1" ht="13.2" customHeight="1" x14ac:dyDescent="0.2">
      <c r="B53" s="166"/>
      <c r="C53" s="167" t="s">
        <v>126</v>
      </c>
      <c r="D53" s="168"/>
      <c r="E53" s="168"/>
      <c r="F53" s="168"/>
      <c r="G53" s="168"/>
      <c r="H53" s="168"/>
      <c r="I53" s="169"/>
      <c r="J53" s="152">
        <f t="shared" si="1"/>
        <v>0</v>
      </c>
    </row>
    <row r="54" spans="2:10" s="116" customFormat="1" ht="13.2" customHeight="1" x14ac:dyDescent="0.2">
      <c r="B54" s="173"/>
      <c r="C54" s="174" t="s">
        <v>127</v>
      </c>
      <c r="D54" s="146"/>
      <c r="E54" s="146"/>
      <c r="F54" s="146"/>
      <c r="G54" s="146"/>
      <c r="H54" s="146"/>
      <c r="I54" s="147"/>
      <c r="J54" s="151">
        <f t="shared" si="1"/>
        <v>0</v>
      </c>
    </row>
    <row r="55" spans="2:10" ht="18" customHeight="1" x14ac:dyDescent="0.25">
      <c r="B55" s="175">
        <v>17</v>
      </c>
      <c r="C55" s="176" t="str">
        <f>Config!C21&amp;", "&amp;Config!D21</f>
        <v>Kainz, Vivienne</v>
      </c>
      <c r="D55" s="182">
        <v>0.5</v>
      </c>
      <c r="E55" s="182">
        <v>0</v>
      </c>
      <c r="F55" s="182">
        <v>0</v>
      </c>
      <c r="G55" s="182">
        <v>0</v>
      </c>
      <c r="H55" s="182">
        <v>0.5</v>
      </c>
      <c r="I55" s="183">
        <v>0</v>
      </c>
      <c r="J55" s="177">
        <f t="shared" si="1"/>
        <v>1</v>
      </c>
    </row>
    <row r="56" spans="2:10" s="116" customFormat="1" ht="13.2" customHeight="1" x14ac:dyDescent="0.2">
      <c r="B56" s="160"/>
      <c r="C56" s="161" t="s">
        <v>126</v>
      </c>
      <c r="D56" s="162"/>
      <c r="E56" s="162"/>
      <c r="F56" s="162"/>
      <c r="G56" s="162"/>
      <c r="H56" s="162"/>
      <c r="I56" s="163"/>
      <c r="J56" s="149">
        <f t="shared" si="1"/>
        <v>0</v>
      </c>
    </row>
    <row r="57" spans="2:10" s="116" customFormat="1" ht="13.2" customHeight="1" x14ac:dyDescent="0.2">
      <c r="B57" s="164"/>
      <c r="C57" s="165" t="s">
        <v>127</v>
      </c>
      <c r="D57" s="146"/>
      <c r="E57" s="146"/>
      <c r="F57" s="146"/>
      <c r="G57" s="146"/>
      <c r="H57" s="146"/>
      <c r="I57" s="147"/>
      <c r="J57" s="148">
        <f t="shared" si="1"/>
        <v>0</v>
      </c>
    </row>
    <row r="58" spans="2:10" ht="18" customHeight="1" x14ac:dyDescent="0.25">
      <c r="B58" s="170">
        <v>18</v>
      </c>
      <c r="C58" s="171" t="str">
        <f>Config!C22&amp;", "&amp;Config!D22</f>
        <v>Hartmann, Mads</v>
      </c>
      <c r="D58" s="180">
        <v>2</v>
      </c>
      <c r="E58" s="180">
        <v>2</v>
      </c>
      <c r="F58" s="180">
        <v>1</v>
      </c>
      <c r="G58" s="180">
        <v>1</v>
      </c>
      <c r="H58" s="180">
        <v>3</v>
      </c>
      <c r="I58" s="181">
        <v>1</v>
      </c>
      <c r="J58" s="172">
        <f t="shared" si="1"/>
        <v>10</v>
      </c>
    </row>
    <row r="59" spans="2:10" s="116" customFormat="1" ht="13.2" customHeight="1" x14ac:dyDescent="0.2">
      <c r="B59" s="166"/>
      <c r="C59" s="167" t="s">
        <v>126</v>
      </c>
      <c r="D59" s="168"/>
      <c r="E59" s="168"/>
      <c r="F59" s="168"/>
      <c r="G59" s="168"/>
      <c r="H59" s="168"/>
      <c r="I59" s="169"/>
      <c r="J59" s="152">
        <f t="shared" si="1"/>
        <v>0</v>
      </c>
    </row>
    <row r="60" spans="2:10" s="116" customFormat="1" ht="13.2" customHeight="1" x14ac:dyDescent="0.2">
      <c r="B60" s="173"/>
      <c r="C60" s="174" t="s">
        <v>127</v>
      </c>
      <c r="D60" s="146"/>
      <c r="E60" s="146"/>
      <c r="F60" s="146"/>
      <c r="G60" s="146"/>
      <c r="H60" s="146"/>
      <c r="I60" s="147"/>
      <c r="J60" s="151">
        <f t="shared" si="1"/>
        <v>0</v>
      </c>
    </row>
    <row r="61" spans="2:10" ht="18" customHeight="1" x14ac:dyDescent="0.25">
      <c r="B61" s="175">
        <v>19</v>
      </c>
      <c r="C61" s="176" t="str">
        <f>Config!C23&amp;", "&amp;Config!D23</f>
        <v>Ullmann, Raphael</v>
      </c>
      <c r="D61" s="182">
        <v>0.5</v>
      </c>
      <c r="E61" s="182">
        <v>2</v>
      </c>
      <c r="F61" s="182">
        <v>1</v>
      </c>
      <c r="G61" s="182">
        <v>2.5</v>
      </c>
      <c r="H61" s="182">
        <v>1.5</v>
      </c>
      <c r="I61" s="183">
        <v>2</v>
      </c>
      <c r="J61" s="177">
        <f t="shared" si="1"/>
        <v>9.5</v>
      </c>
    </row>
    <row r="62" spans="2:10" s="116" customFormat="1" ht="13.2" customHeight="1" x14ac:dyDescent="0.2">
      <c r="B62" s="160"/>
      <c r="C62" s="161" t="s">
        <v>126</v>
      </c>
      <c r="D62" s="162"/>
      <c r="E62" s="162"/>
      <c r="F62" s="162"/>
      <c r="G62" s="162"/>
      <c r="H62" s="162"/>
      <c r="I62" s="163"/>
      <c r="J62" s="149">
        <f t="shared" si="1"/>
        <v>0</v>
      </c>
    </row>
    <row r="63" spans="2:10" s="116" customFormat="1" ht="13.2" customHeight="1" x14ac:dyDescent="0.2">
      <c r="B63" s="164"/>
      <c r="C63" s="165" t="s">
        <v>127</v>
      </c>
      <c r="D63" s="146"/>
      <c r="E63" s="146"/>
      <c r="F63" s="146"/>
      <c r="G63" s="146"/>
      <c r="H63" s="146"/>
      <c r="I63" s="147"/>
      <c r="J63" s="148">
        <f t="shared" si="1"/>
        <v>0</v>
      </c>
    </row>
    <row r="64" spans="2:10" ht="18" customHeight="1" x14ac:dyDescent="0.25">
      <c r="B64" s="170">
        <v>20</v>
      </c>
      <c r="C64" s="171" t="str">
        <f>Config!C24&amp;", "&amp;Config!D24</f>
        <v>Hartl, Emmely</v>
      </c>
      <c r="D64" s="180">
        <v>1</v>
      </c>
      <c r="E64" s="180">
        <v>2</v>
      </c>
      <c r="F64" s="180">
        <v>2.5</v>
      </c>
      <c r="G64" s="180">
        <v>3</v>
      </c>
      <c r="H64" s="180">
        <v>3</v>
      </c>
      <c r="I64" s="181">
        <v>2</v>
      </c>
      <c r="J64" s="172">
        <f t="shared" si="1"/>
        <v>13.5</v>
      </c>
    </row>
    <row r="65" spans="2:10" s="116" customFormat="1" ht="13.2" customHeight="1" x14ac:dyDescent="0.2">
      <c r="B65" s="166"/>
      <c r="C65" s="167" t="s">
        <v>126</v>
      </c>
      <c r="D65" s="168"/>
      <c r="E65" s="168"/>
      <c r="F65" s="168"/>
      <c r="G65" s="168"/>
      <c r="H65" s="168"/>
      <c r="I65" s="169"/>
      <c r="J65" s="152">
        <f t="shared" si="1"/>
        <v>0</v>
      </c>
    </row>
    <row r="66" spans="2:10" s="116" customFormat="1" ht="13.2" customHeight="1" x14ac:dyDescent="0.2">
      <c r="B66" s="173"/>
      <c r="C66" s="174" t="s">
        <v>127</v>
      </c>
      <c r="D66" s="146"/>
      <c r="E66" s="146"/>
      <c r="F66" s="146"/>
      <c r="G66" s="146"/>
      <c r="H66" s="146"/>
      <c r="I66" s="147"/>
      <c r="J66" s="151">
        <f t="shared" si="1"/>
        <v>0</v>
      </c>
    </row>
    <row r="67" spans="2:10" ht="18" customHeight="1" x14ac:dyDescent="0.25">
      <c r="B67" s="175">
        <v>21</v>
      </c>
      <c r="C67" s="176" t="str">
        <f>Config!C25&amp;", "&amp;Config!D25</f>
        <v>Klotz, Karin</v>
      </c>
      <c r="D67" s="182">
        <v>2</v>
      </c>
      <c r="E67" s="182">
        <v>2</v>
      </c>
      <c r="F67" s="182">
        <v>1.5</v>
      </c>
      <c r="G67" s="182">
        <v>3</v>
      </c>
      <c r="H67" s="182">
        <v>3</v>
      </c>
      <c r="I67" s="183">
        <v>2</v>
      </c>
      <c r="J67" s="177">
        <f t="shared" si="1"/>
        <v>13.5</v>
      </c>
    </row>
    <row r="68" spans="2:10" s="116" customFormat="1" ht="13.2" customHeight="1" x14ac:dyDescent="0.2">
      <c r="B68" s="160"/>
      <c r="C68" s="161" t="s">
        <v>126</v>
      </c>
      <c r="D68" s="162"/>
      <c r="E68" s="162"/>
      <c r="F68" s="162"/>
      <c r="G68" s="162"/>
      <c r="H68" s="162"/>
      <c r="I68" s="163"/>
      <c r="J68" s="149">
        <f t="shared" si="1"/>
        <v>0</v>
      </c>
    </row>
    <row r="69" spans="2:10" s="116" customFormat="1" ht="13.2" customHeight="1" x14ac:dyDescent="0.2">
      <c r="B69" s="164"/>
      <c r="C69" s="165" t="s">
        <v>127</v>
      </c>
      <c r="D69" s="146"/>
      <c r="E69" s="146"/>
      <c r="F69" s="146"/>
      <c r="G69" s="146"/>
      <c r="H69" s="146"/>
      <c r="I69" s="147"/>
      <c r="J69" s="148">
        <f t="shared" si="1"/>
        <v>0</v>
      </c>
    </row>
    <row r="70" spans="2:10" ht="18" customHeight="1" x14ac:dyDescent="0.25">
      <c r="B70" s="170">
        <v>22</v>
      </c>
      <c r="C70" s="171" t="str">
        <f>Config!C26&amp;", "&amp;Config!D26</f>
        <v>Ehlers, Ingo</v>
      </c>
      <c r="D70" s="180">
        <v>0.5</v>
      </c>
      <c r="E70" s="180">
        <v>1.5</v>
      </c>
      <c r="F70" s="180">
        <v>1</v>
      </c>
      <c r="G70" s="180">
        <v>3</v>
      </c>
      <c r="H70" s="180">
        <v>3</v>
      </c>
      <c r="I70" s="181">
        <v>1</v>
      </c>
      <c r="J70" s="172">
        <f t="shared" si="1"/>
        <v>10</v>
      </c>
    </row>
    <row r="71" spans="2:10" s="116" customFormat="1" ht="13.2" customHeight="1" x14ac:dyDescent="0.2">
      <c r="B71" s="166"/>
      <c r="C71" s="167" t="s">
        <v>126</v>
      </c>
      <c r="D71" s="168"/>
      <c r="E71" s="168"/>
      <c r="F71" s="168"/>
      <c r="G71" s="168"/>
      <c r="H71" s="168"/>
      <c r="I71" s="169"/>
      <c r="J71" s="152">
        <f t="shared" ref="J71:J75" si="2">SUM(D71:I71)</f>
        <v>0</v>
      </c>
    </row>
    <row r="72" spans="2:10" s="116" customFormat="1" ht="13.2" customHeight="1" x14ac:dyDescent="0.2">
      <c r="B72" s="173"/>
      <c r="C72" s="174" t="s">
        <v>127</v>
      </c>
      <c r="D72" s="146"/>
      <c r="E72" s="146"/>
      <c r="F72" s="146"/>
      <c r="G72" s="146"/>
      <c r="H72" s="146"/>
      <c r="I72" s="147"/>
      <c r="J72" s="151">
        <f t="shared" si="2"/>
        <v>0</v>
      </c>
    </row>
    <row r="73" spans="2:10" ht="18" customHeight="1" thickBot="1" x14ac:dyDescent="0.3">
      <c r="B73" s="142">
        <v>23</v>
      </c>
      <c r="C73" s="137" t="str">
        <f>Config!C27&amp;", "&amp;Config!D27</f>
        <v>Lindemann, Mads</v>
      </c>
      <c r="D73" s="95">
        <v>0.5</v>
      </c>
      <c r="E73" s="95">
        <v>2</v>
      </c>
      <c r="F73" s="95">
        <v>1.5</v>
      </c>
      <c r="G73" s="95">
        <v>0.5</v>
      </c>
      <c r="H73" s="95">
        <v>1.5</v>
      </c>
      <c r="I73" s="96">
        <v>1</v>
      </c>
      <c r="J73" s="145">
        <f t="shared" si="2"/>
        <v>7</v>
      </c>
    </row>
    <row r="74" spans="2:10" s="116" customFormat="1" ht="13.2" customHeight="1" x14ac:dyDescent="0.2">
      <c r="B74" s="160"/>
      <c r="C74" s="161" t="s">
        <v>126</v>
      </c>
      <c r="D74" s="162"/>
      <c r="E74" s="162"/>
      <c r="F74" s="162"/>
      <c r="G74" s="162"/>
      <c r="H74" s="162"/>
      <c r="I74" s="163"/>
      <c r="J74" s="149">
        <f t="shared" si="2"/>
        <v>0</v>
      </c>
    </row>
    <row r="75" spans="2:10" s="116" customFormat="1" ht="13.2" customHeight="1" thickBot="1" x14ac:dyDescent="0.25">
      <c r="B75" s="153"/>
      <c r="C75" s="156" t="s">
        <v>127</v>
      </c>
      <c r="D75" s="154"/>
      <c r="E75" s="154"/>
      <c r="F75" s="154"/>
      <c r="G75" s="154"/>
      <c r="H75" s="154"/>
      <c r="I75" s="155"/>
      <c r="J75" s="150">
        <f t="shared" si="2"/>
        <v>0</v>
      </c>
    </row>
    <row r="76" spans="2:10" ht="18" customHeight="1" thickBot="1" x14ac:dyDescent="0.3">
      <c r="B76" s="119"/>
      <c r="C76" s="120"/>
      <c r="D76" s="120">
        <f>IF(COUNTIFS(D7:D73,"&lt;&gt;",C7:C73,"&lt;&gt;ZK",C7:C73,"&lt;&gt;DK")&lt;&gt;0,SUMIFS(D7:D73,C7:C73,"&lt;&gt;ZK",C7:C73,"&lt;&gt;DK")/(COUNTIFS(D7:D73,"&lt;&gt;",C7:C73,"&lt;&gt;ZK",C7:C73,"&lt;&gt;DK")*D6),0)</f>
        <v>0.61956521739130432</v>
      </c>
      <c r="E76" s="120">
        <f>IF(COUNTIFS(E7:E73,"&lt;&gt;",C7:C73,"&lt;&gt;ZK",C7:C73,"&lt;&gt;DK")&lt;&gt;0,SUMIFS(E7:E73,C7:C73,"&lt;&gt;ZK",C7:C73,"&lt;&gt;DK")/(COUNTIFS(E7:E73,"&lt;&gt;",C7:C73,"&lt;&gt;ZK",C7:C73,"&lt;&gt;DK")*E6),0)</f>
        <v>0.83695652173913049</v>
      </c>
      <c r="F76" s="120">
        <f>IF(COUNTIFS(F7:F73,"&lt;&gt;",C7:C73,"&lt;&gt;ZK",C7:C73,"&lt;&gt;DK")&lt;&gt;0,SUMIFS(F7:F73,C7:C73,"&lt;&gt;ZK",C7:C73,"&lt;&gt;DK")/(COUNTIFS(F7:F73,"&lt;&gt;",C7:C73,"&lt;&gt;ZK",C7:C73,"&lt;&gt;DK")*F6),0)</f>
        <v>0.45652173913043476</v>
      </c>
      <c r="G76" s="120">
        <f>IF(COUNTIFS(G7:G73,"&lt;&gt;",C7:C73,"&lt;&gt;ZK",C7:C73,"&lt;&gt;DK")&lt;&gt;0,SUMIFS(G7:G73,C7:C73,"&lt;&gt;ZK",C7:C73,"&lt;&gt;DK")/(COUNTIFS(G7:G73,"&lt;&gt;",C7:C73,"&lt;&gt;ZK",C7:C73,"&lt;&gt;DK")*G6),0)</f>
        <v>0.6811594202898551</v>
      </c>
      <c r="H76" s="120">
        <f>IF(COUNTIFS(H7:H73,"&lt;&gt;",C7:C73,"&lt;&gt;ZK",C7:C73,"&lt;&gt;DK")&lt;&gt;0,SUMIFS(H7:H73,C7:C73,"&lt;&gt;ZK",C7:C73,"&lt;&gt;DK")/(COUNTIFS(H7:H73,"&lt;&gt;",C7:C73,"&lt;&gt;ZK",C7:C73,"&lt;&gt;DK")*H6),0)</f>
        <v>0.76811594202898548</v>
      </c>
      <c r="I76" s="120">
        <f>IF(COUNTIFS(I7:I73,"&lt;&gt;",C7:C73,"&lt;&gt;ZK",C7:C73,"&lt;&gt;DK")&lt;&gt;0,SUMIFS(I7:I73,C7:C73,"&lt;&gt;ZK",C7:C73,"&lt;&gt;DK")/(COUNTIFS(I7:I73,"&lt;&gt;",C7:C73,"&lt;&gt;ZK",C7:C73,"&lt;&gt;DK")*I6),0)</f>
        <v>0.72826086956521741</v>
      </c>
      <c r="J76" s="121"/>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14" width="8.6640625" style="98" customWidth="1"/>
    <col min="15" max="16384" width="11.5546875" style="98"/>
  </cols>
  <sheetData>
    <row r="1" spans="2:14" ht="18" customHeight="1" thickBot="1" x14ac:dyDescent="0.3"/>
    <row r="2" spans="2:14" ht="18" customHeight="1" x14ac:dyDescent="0.25">
      <c r="B2" s="99" t="str">
        <f>Config!F2&amp;" "&amp;YEAR(Config!G24)</f>
        <v>Mathe Abitur 2026</v>
      </c>
      <c r="C2" s="100"/>
      <c r="D2" s="100"/>
      <c r="E2" s="100"/>
      <c r="F2" s="100"/>
      <c r="G2" s="100"/>
      <c r="H2" s="100"/>
      <c r="I2" s="101"/>
      <c r="J2" s="101"/>
      <c r="K2" s="101"/>
      <c r="L2" s="101"/>
      <c r="M2" s="101"/>
      <c r="N2" s="102" t="str">
        <f>"Kurs "&amp;Config!G26</f>
        <v>Kurs K1</v>
      </c>
    </row>
    <row r="3" spans="2:14" ht="18" customHeight="1" x14ac:dyDescent="0.25">
      <c r="B3" s="103" t="s">
        <v>10</v>
      </c>
      <c r="C3" s="104"/>
      <c r="D3" s="104"/>
      <c r="E3" s="104"/>
      <c r="F3" s="104"/>
      <c r="G3" s="104"/>
      <c r="H3" s="104"/>
      <c r="I3" s="104"/>
      <c r="J3" s="104"/>
      <c r="K3" s="104"/>
      <c r="L3" s="104"/>
      <c r="M3" s="104"/>
      <c r="N3" s="105"/>
    </row>
    <row r="4" spans="2:14" ht="18" customHeight="1" thickBot="1" x14ac:dyDescent="0.3">
      <c r="B4" s="103"/>
      <c r="C4" s="104"/>
      <c r="D4" s="106"/>
      <c r="E4" s="106"/>
      <c r="F4" s="106"/>
      <c r="G4" s="106"/>
      <c r="H4" s="106"/>
      <c r="I4" s="106"/>
      <c r="J4" s="106"/>
      <c r="K4" s="106"/>
      <c r="L4" s="106"/>
      <c r="M4" s="106"/>
      <c r="N4" s="107"/>
    </row>
    <row r="5" spans="2:14" ht="18" customHeight="1" thickBot="1" x14ac:dyDescent="0.3">
      <c r="B5" s="108"/>
      <c r="C5" s="110"/>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4" t="s">
        <v>82</v>
      </c>
    </row>
    <row r="6" spans="2:14" ht="18" customHeight="1" thickBot="1" x14ac:dyDescent="0.3">
      <c r="B6" s="109"/>
      <c r="C6" s="111" t="s">
        <v>81</v>
      </c>
      <c r="D6" s="113">
        <f>Config!I6</f>
        <v>2</v>
      </c>
      <c r="E6" s="113">
        <f>Config!I7</f>
        <v>3</v>
      </c>
      <c r="F6" s="113">
        <f>Config!I8</f>
        <v>4</v>
      </c>
      <c r="G6" s="113">
        <f>Config!I9</f>
        <v>3</v>
      </c>
      <c r="H6" s="113">
        <f>Config!I10</f>
        <v>3</v>
      </c>
      <c r="I6" s="113">
        <f>Config!I11</f>
        <v>4</v>
      </c>
      <c r="J6" s="113">
        <f>Config!I12</f>
        <v>3</v>
      </c>
      <c r="K6" s="113">
        <f>Config!I13</f>
        <v>4</v>
      </c>
      <c r="L6" s="113">
        <f>Config!I14</f>
        <v>2</v>
      </c>
      <c r="M6" s="113">
        <f>Config!I15</f>
        <v>2</v>
      </c>
      <c r="N6" s="125">
        <f>Config!I21</f>
        <v>30</v>
      </c>
    </row>
    <row r="7" spans="2:14" ht="18" customHeight="1" x14ac:dyDescent="0.25">
      <c r="B7" s="157">
        <v>1</v>
      </c>
      <c r="C7" s="158" t="str">
        <f>Config!C5&amp;", "&amp;Config!D5</f>
        <v>Höfer, Simon</v>
      </c>
      <c r="D7" s="178">
        <v>1.5</v>
      </c>
      <c r="E7" s="178">
        <v>3</v>
      </c>
      <c r="F7" s="178">
        <v>3</v>
      </c>
      <c r="G7" s="178">
        <v>3</v>
      </c>
      <c r="H7" s="178">
        <v>3</v>
      </c>
      <c r="I7" s="178">
        <v>4</v>
      </c>
      <c r="J7" s="178">
        <v>3</v>
      </c>
      <c r="K7" s="178">
        <v>0</v>
      </c>
      <c r="L7" s="178">
        <v>2</v>
      </c>
      <c r="M7" s="179">
        <v>0</v>
      </c>
      <c r="N7" s="159">
        <f t="shared" ref="N7:N38" si="0">SUM(D7:M7)</f>
        <v>22.5</v>
      </c>
    </row>
    <row r="8" spans="2:14" s="116" customFormat="1" ht="13.2" customHeight="1" x14ac:dyDescent="0.2">
      <c r="B8" s="160"/>
      <c r="C8" s="161" t="s">
        <v>126</v>
      </c>
      <c r="D8" s="162"/>
      <c r="E8" s="162"/>
      <c r="F8" s="162"/>
      <c r="G8" s="162"/>
      <c r="H8" s="162"/>
      <c r="I8" s="162"/>
      <c r="J8" s="162"/>
      <c r="K8" s="162"/>
      <c r="L8" s="162"/>
      <c r="M8" s="163"/>
      <c r="N8" s="149">
        <f t="shared" si="0"/>
        <v>0</v>
      </c>
    </row>
    <row r="9" spans="2:14" s="116" customFormat="1" ht="13.2" customHeight="1" x14ac:dyDescent="0.2">
      <c r="B9" s="164"/>
      <c r="C9" s="165" t="s">
        <v>127</v>
      </c>
      <c r="D9" s="146"/>
      <c r="E9" s="146"/>
      <c r="F9" s="146"/>
      <c r="G9" s="146"/>
      <c r="H9" s="146"/>
      <c r="I9" s="146"/>
      <c r="J9" s="146"/>
      <c r="K9" s="146"/>
      <c r="L9" s="146"/>
      <c r="M9" s="147"/>
      <c r="N9" s="148">
        <f t="shared" si="0"/>
        <v>0</v>
      </c>
    </row>
    <row r="10" spans="2:14" ht="18" customHeight="1" x14ac:dyDescent="0.25">
      <c r="B10" s="170">
        <v>2</v>
      </c>
      <c r="C10" s="171" t="str">
        <f>Config!C6&amp;", "&amp;Config!D6</f>
        <v>Töpfer, Lilian</v>
      </c>
      <c r="D10" s="180">
        <v>0.5</v>
      </c>
      <c r="E10" s="180">
        <v>2.5</v>
      </c>
      <c r="F10" s="180">
        <v>3</v>
      </c>
      <c r="G10" s="180">
        <v>3</v>
      </c>
      <c r="H10" s="180">
        <v>3</v>
      </c>
      <c r="I10" s="180">
        <v>4</v>
      </c>
      <c r="J10" s="180">
        <v>0</v>
      </c>
      <c r="K10" s="180">
        <v>0</v>
      </c>
      <c r="L10" s="180">
        <v>1.5</v>
      </c>
      <c r="M10" s="181">
        <v>0</v>
      </c>
      <c r="N10" s="172">
        <f t="shared" si="0"/>
        <v>17.5</v>
      </c>
    </row>
    <row r="11" spans="2:14" s="116" customFormat="1" ht="13.2" customHeight="1" x14ac:dyDescent="0.2">
      <c r="B11" s="166"/>
      <c r="C11" s="167" t="s">
        <v>126</v>
      </c>
      <c r="D11" s="168"/>
      <c r="E11" s="168"/>
      <c r="F11" s="168"/>
      <c r="G11" s="168"/>
      <c r="H11" s="168"/>
      <c r="I11" s="168"/>
      <c r="J11" s="168"/>
      <c r="K11" s="168"/>
      <c r="L11" s="168"/>
      <c r="M11" s="169"/>
      <c r="N11" s="152">
        <f t="shared" si="0"/>
        <v>0</v>
      </c>
    </row>
    <row r="12" spans="2:14" s="116" customFormat="1" ht="13.2" customHeight="1" x14ac:dyDescent="0.2">
      <c r="B12" s="173"/>
      <c r="C12" s="174" t="s">
        <v>127</v>
      </c>
      <c r="D12" s="146"/>
      <c r="E12" s="146"/>
      <c r="F12" s="146"/>
      <c r="G12" s="146"/>
      <c r="H12" s="146"/>
      <c r="I12" s="146"/>
      <c r="J12" s="146"/>
      <c r="K12" s="146"/>
      <c r="L12" s="146"/>
      <c r="M12" s="147"/>
      <c r="N12" s="151">
        <f t="shared" si="0"/>
        <v>0</v>
      </c>
    </row>
    <row r="13" spans="2:14" ht="18" customHeight="1" x14ac:dyDescent="0.25">
      <c r="B13" s="175">
        <v>3</v>
      </c>
      <c r="C13" s="176" t="str">
        <f>Config!C7&amp;", "&amp;Config!D7</f>
        <v>Fleischmann, Leonie</v>
      </c>
      <c r="D13" s="182">
        <v>1</v>
      </c>
      <c r="E13" s="182">
        <v>2</v>
      </c>
      <c r="F13" s="182">
        <v>0</v>
      </c>
      <c r="G13" s="182">
        <v>1</v>
      </c>
      <c r="H13" s="182">
        <v>3</v>
      </c>
      <c r="I13" s="182">
        <v>2.5</v>
      </c>
      <c r="J13" s="182">
        <v>0</v>
      </c>
      <c r="K13" s="182">
        <v>0</v>
      </c>
      <c r="L13" s="182">
        <v>0</v>
      </c>
      <c r="M13" s="183">
        <v>2</v>
      </c>
      <c r="N13" s="177">
        <f t="shared" si="0"/>
        <v>11.5</v>
      </c>
    </row>
    <row r="14" spans="2:14" s="116" customFormat="1" ht="13.2" customHeight="1" x14ac:dyDescent="0.2">
      <c r="B14" s="160"/>
      <c r="C14" s="161" t="s">
        <v>126</v>
      </c>
      <c r="D14" s="162"/>
      <c r="E14" s="162"/>
      <c r="F14" s="162"/>
      <c r="G14" s="162"/>
      <c r="H14" s="162"/>
      <c r="I14" s="162"/>
      <c r="J14" s="162"/>
      <c r="K14" s="162"/>
      <c r="L14" s="162"/>
      <c r="M14" s="163"/>
      <c r="N14" s="149">
        <f t="shared" si="0"/>
        <v>0</v>
      </c>
    </row>
    <row r="15" spans="2:14" s="116" customFormat="1" ht="13.2" customHeight="1" x14ac:dyDescent="0.2">
      <c r="B15" s="164"/>
      <c r="C15" s="165" t="s">
        <v>127</v>
      </c>
      <c r="D15" s="146"/>
      <c r="E15" s="146"/>
      <c r="F15" s="146"/>
      <c r="G15" s="146"/>
      <c r="H15" s="146"/>
      <c r="I15" s="146"/>
      <c r="J15" s="146"/>
      <c r="K15" s="146"/>
      <c r="L15" s="146"/>
      <c r="M15" s="147"/>
      <c r="N15" s="148">
        <f t="shared" si="0"/>
        <v>0</v>
      </c>
    </row>
    <row r="16" spans="2:14" ht="18" customHeight="1" x14ac:dyDescent="0.25">
      <c r="B16" s="170">
        <v>4</v>
      </c>
      <c r="C16" s="171" t="str">
        <f>Config!C8&amp;", "&amp;Config!D8</f>
        <v>Drescher, Cedric</v>
      </c>
      <c r="D16" s="180">
        <v>1</v>
      </c>
      <c r="E16" s="180">
        <v>3</v>
      </c>
      <c r="F16" s="180">
        <v>3</v>
      </c>
      <c r="G16" s="180">
        <v>3</v>
      </c>
      <c r="H16" s="180">
        <v>3</v>
      </c>
      <c r="I16" s="180">
        <v>4</v>
      </c>
      <c r="J16" s="180">
        <v>1.5</v>
      </c>
      <c r="K16" s="180">
        <v>0</v>
      </c>
      <c r="L16" s="180">
        <v>1.5</v>
      </c>
      <c r="M16" s="181">
        <v>3</v>
      </c>
      <c r="N16" s="172">
        <f t="shared" si="0"/>
        <v>23</v>
      </c>
    </row>
    <row r="17" spans="2:14" s="116" customFormat="1" ht="13.2" customHeight="1" x14ac:dyDescent="0.2">
      <c r="B17" s="166"/>
      <c r="C17" s="167" t="s">
        <v>126</v>
      </c>
      <c r="D17" s="168"/>
      <c r="E17" s="168"/>
      <c r="F17" s="168"/>
      <c r="G17" s="168"/>
      <c r="H17" s="168"/>
      <c r="I17" s="168"/>
      <c r="J17" s="168"/>
      <c r="K17" s="168"/>
      <c r="L17" s="168"/>
      <c r="M17" s="169"/>
      <c r="N17" s="152">
        <f t="shared" si="0"/>
        <v>0</v>
      </c>
    </row>
    <row r="18" spans="2:14" s="116" customFormat="1" ht="13.2" customHeight="1" x14ac:dyDescent="0.2">
      <c r="B18" s="173"/>
      <c r="C18" s="174" t="s">
        <v>127</v>
      </c>
      <c r="D18" s="146"/>
      <c r="E18" s="146"/>
      <c r="F18" s="146"/>
      <c r="G18" s="146"/>
      <c r="H18" s="146"/>
      <c r="I18" s="146"/>
      <c r="J18" s="146"/>
      <c r="K18" s="146"/>
      <c r="L18" s="146"/>
      <c r="M18" s="147"/>
      <c r="N18" s="151">
        <f t="shared" si="0"/>
        <v>0</v>
      </c>
    </row>
    <row r="19" spans="2:14" ht="18" customHeight="1" x14ac:dyDescent="0.25">
      <c r="B19" s="175">
        <v>5</v>
      </c>
      <c r="C19" s="176" t="str">
        <f>Config!C9&amp;", "&amp;Config!D9</f>
        <v>Baumgarten, Annabell</v>
      </c>
      <c r="D19" s="182">
        <v>2</v>
      </c>
      <c r="E19" s="182">
        <v>2</v>
      </c>
      <c r="F19" s="182">
        <v>3.5</v>
      </c>
      <c r="G19" s="182">
        <v>2.5</v>
      </c>
      <c r="H19" s="182">
        <v>2</v>
      </c>
      <c r="I19" s="182">
        <v>1</v>
      </c>
      <c r="J19" s="182">
        <v>0.5</v>
      </c>
      <c r="K19" s="182">
        <v>2.5</v>
      </c>
      <c r="L19" s="182">
        <v>2</v>
      </c>
      <c r="M19" s="183">
        <v>3.5</v>
      </c>
      <c r="N19" s="177">
        <f t="shared" si="0"/>
        <v>21.5</v>
      </c>
    </row>
    <row r="20" spans="2:14" s="116" customFormat="1" ht="13.2" customHeight="1" x14ac:dyDescent="0.2">
      <c r="B20" s="160"/>
      <c r="C20" s="161" t="s">
        <v>126</v>
      </c>
      <c r="D20" s="162"/>
      <c r="E20" s="162"/>
      <c r="F20" s="162"/>
      <c r="G20" s="162"/>
      <c r="H20" s="162"/>
      <c r="I20" s="162"/>
      <c r="J20" s="162"/>
      <c r="K20" s="162"/>
      <c r="L20" s="162"/>
      <c r="M20" s="163"/>
      <c r="N20" s="149">
        <f t="shared" si="0"/>
        <v>0</v>
      </c>
    </row>
    <row r="21" spans="2:14" s="116" customFormat="1" ht="13.2" customHeight="1" x14ac:dyDescent="0.2">
      <c r="B21" s="164"/>
      <c r="C21" s="165" t="s">
        <v>127</v>
      </c>
      <c r="D21" s="146"/>
      <c r="E21" s="146"/>
      <c r="F21" s="146"/>
      <c r="G21" s="146"/>
      <c r="H21" s="146"/>
      <c r="I21" s="146"/>
      <c r="J21" s="146"/>
      <c r="K21" s="146"/>
      <c r="L21" s="146"/>
      <c r="M21" s="147"/>
      <c r="N21" s="148">
        <f t="shared" si="0"/>
        <v>0</v>
      </c>
    </row>
    <row r="22" spans="2:14" ht="18" customHeight="1" x14ac:dyDescent="0.25">
      <c r="B22" s="170">
        <v>6</v>
      </c>
      <c r="C22" s="171" t="str">
        <f>Config!C10&amp;", "&amp;Config!D10</f>
        <v>Traut, Stefanie</v>
      </c>
      <c r="D22" s="180">
        <v>2</v>
      </c>
      <c r="E22" s="180">
        <v>3</v>
      </c>
      <c r="F22" s="180">
        <v>4</v>
      </c>
      <c r="G22" s="180">
        <v>3</v>
      </c>
      <c r="H22" s="180">
        <v>3</v>
      </c>
      <c r="I22" s="180">
        <v>4</v>
      </c>
      <c r="J22" s="180">
        <v>3</v>
      </c>
      <c r="K22" s="180">
        <v>4</v>
      </c>
      <c r="L22" s="180">
        <v>2</v>
      </c>
      <c r="M22" s="181">
        <v>5</v>
      </c>
      <c r="N22" s="172">
        <f t="shared" si="0"/>
        <v>33</v>
      </c>
    </row>
    <row r="23" spans="2:14" s="116" customFormat="1" ht="13.2" customHeight="1" x14ac:dyDescent="0.2">
      <c r="B23" s="166"/>
      <c r="C23" s="167" t="s">
        <v>126</v>
      </c>
      <c r="D23" s="168"/>
      <c r="E23" s="168"/>
      <c r="F23" s="168"/>
      <c r="G23" s="168"/>
      <c r="H23" s="168"/>
      <c r="I23" s="168"/>
      <c r="J23" s="168"/>
      <c r="K23" s="168"/>
      <c r="L23" s="168"/>
      <c r="M23" s="169"/>
      <c r="N23" s="152">
        <f t="shared" si="0"/>
        <v>0</v>
      </c>
    </row>
    <row r="24" spans="2:14" s="116" customFormat="1" ht="13.2" customHeight="1" x14ac:dyDescent="0.2">
      <c r="B24" s="173"/>
      <c r="C24" s="174" t="s">
        <v>127</v>
      </c>
      <c r="D24" s="146"/>
      <c r="E24" s="146"/>
      <c r="F24" s="146"/>
      <c r="G24" s="146"/>
      <c r="H24" s="146"/>
      <c r="I24" s="146"/>
      <c r="J24" s="146"/>
      <c r="K24" s="146"/>
      <c r="L24" s="146"/>
      <c r="M24" s="147"/>
      <c r="N24" s="151">
        <f t="shared" si="0"/>
        <v>0</v>
      </c>
    </row>
    <row r="25" spans="2:14" ht="18" customHeight="1" x14ac:dyDescent="0.25">
      <c r="B25" s="175">
        <v>7</v>
      </c>
      <c r="C25" s="176" t="str">
        <f>Config!C11&amp;", "&amp;Config!D11</f>
        <v>Menke, Damian</v>
      </c>
      <c r="D25" s="182">
        <v>1.5</v>
      </c>
      <c r="E25" s="182">
        <v>2.5</v>
      </c>
      <c r="F25" s="182">
        <v>4</v>
      </c>
      <c r="G25" s="182">
        <v>2</v>
      </c>
      <c r="H25" s="182">
        <v>2</v>
      </c>
      <c r="I25" s="182">
        <v>2.5</v>
      </c>
      <c r="J25" s="182">
        <v>0.5</v>
      </c>
      <c r="K25" s="182">
        <v>3</v>
      </c>
      <c r="L25" s="182">
        <v>1</v>
      </c>
      <c r="M25" s="183">
        <v>3.5</v>
      </c>
      <c r="N25" s="177">
        <f t="shared" si="0"/>
        <v>22.5</v>
      </c>
    </row>
    <row r="26" spans="2:14" s="116" customFormat="1" ht="13.2" customHeight="1" x14ac:dyDescent="0.2">
      <c r="B26" s="160"/>
      <c r="C26" s="161" t="s">
        <v>126</v>
      </c>
      <c r="D26" s="162"/>
      <c r="E26" s="162"/>
      <c r="F26" s="162"/>
      <c r="G26" s="162"/>
      <c r="H26" s="162"/>
      <c r="I26" s="162"/>
      <c r="J26" s="162"/>
      <c r="K26" s="162"/>
      <c r="L26" s="162"/>
      <c r="M26" s="163"/>
      <c r="N26" s="149">
        <f t="shared" si="0"/>
        <v>0</v>
      </c>
    </row>
    <row r="27" spans="2:14" s="116" customFormat="1" ht="13.2" customHeight="1" x14ac:dyDescent="0.2">
      <c r="B27" s="164"/>
      <c r="C27" s="165" t="s">
        <v>127</v>
      </c>
      <c r="D27" s="146"/>
      <c r="E27" s="146"/>
      <c r="F27" s="146"/>
      <c r="G27" s="146"/>
      <c r="H27" s="146"/>
      <c r="I27" s="146"/>
      <c r="J27" s="146"/>
      <c r="K27" s="146"/>
      <c r="L27" s="146"/>
      <c r="M27" s="147"/>
      <c r="N27" s="148">
        <f t="shared" si="0"/>
        <v>0</v>
      </c>
    </row>
    <row r="28" spans="2:14" ht="18" customHeight="1" x14ac:dyDescent="0.25">
      <c r="B28" s="170">
        <v>8</v>
      </c>
      <c r="C28" s="171" t="str">
        <f>Config!C12&amp;", "&amp;Config!D12</f>
        <v>Carroll, Meik</v>
      </c>
      <c r="D28" s="180">
        <v>1.5</v>
      </c>
      <c r="E28" s="180">
        <v>1</v>
      </c>
      <c r="F28" s="180">
        <v>2.5</v>
      </c>
      <c r="G28" s="180">
        <v>3</v>
      </c>
      <c r="H28" s="180">
        <v>3</v>
      </c>
      <c r="I28" s="180">
        <v>3.5</v>
      </c>
      <c r="J28" s="180">
        <v>0</v>
      </c>
      <c r="K28" s="180">
        <v>0</v>
      </c>
      <c r="L28" s="180">
        <v>2</v>
      </c>
      <c r="M28" s="181">
        <v>0</v>
      </c>
      <c r="N28" s="172">
        <f t="shared" si="0"/>
        <v>16.5</v>
      </c>
    </row>
    <row r="29" spans="2:14" s="116" customFormat="1" ht="13.2" customHeight="1" x14ac:dyDescent="0.2">
      <c r="B29" s="166"/>
      <c r="C29" s="167" t="s">
        <v>126</v>
      </c>
      <c r="D29" s="168"/>
      <c r="E29" s="168"/>
      <c r="F29" s="168"/>
      <c r="G29" s="168"/>
      <c r="H29" s="168"/>
      <c r="I29" s="168"/>
      <c r="J29" s="168"/>
      <c r="K29" s="168"/>
      <c r="L29" s="168"/>
      <c r="M29" s="169"/>
      <c r="N29" s="152">
        <f t="shared" si="0"/>
        <v>0</v>
      </c>
    </row>
    <row r="30" spans="2:14" s="116" customFormat="1" ht="13.2" customHeight="1" x14ac:dyDescent="0.2">
      <c r="B30" s="173"/>
      <c r="C30" s="174" t="s">
        <v>127</v>
      </c>
      <c r="D30" s="146"/>
      <c r="E30" s="146"/>
      <c r="F30" s="146"/>
      <c r="G30" s="146"/>
      <c r="H30" s="146"/>
      <c r="I30" s="146"/>
      <c r="J30" s="146"/>
      <c r="K30" s="146"/>
      <c r="L30" s="146"/>
      <c r="M30" s="147"/>
      <c r="N30" s="151">
        <f t="shared" si="0"/>
        <v>0</v>
      </c>
    </row>
    <row r="31" spans="2:14" ht="18" customHeight="1" x14ac:dyDescent="0.25">
      <c r="B31" s="175">
        <v>9</v>
      </c>
      <c r="C31" s="176" t="str">
        <f>Config!C13&amp;", "&amp;Config!D13</f>
        <v>Hennings, Tomas</v>
      </c>
      <c r="D31" s="182">
        <v>1.5</v>
      </c>
      <c r="E31" s="182">
        <v>3</v>
      </c>
      <c r="F31" s="182">
        <v>4</v>
      </c>
      <c r="G31" s="182">
        <v>3</v>
      </c>
      <c r="H31" s="182">
        <v>2</v>
      </c>
      <c r="I31" s="182">
        <v>1</v>
      </c>
      <c r="J31" s="182">
        <v>0</v>
      </c>
      <c r="K31" s="182">
        <v>0</v>
      </c>
      <c r="L31" s="182">
        <v>0</v>
      </c>
      <c r="M31" s="183">
        <v>0</v>
      </c>
      <c r="N31" s="177">
        <f t="shared" si="0"/>
        <v>14.5</v>
      </c>
    </row>
    <row r="32" spans="2:14" s="116" customFormat="1" ht="13.2" customHeight="1" x14ac:dyDescent="0.2">
      <c r="B32" s="160"/>
      <c r="C32" s="161" t="s">
        <v>126</v>
      </c>
      <c r="D32" s="162"/>
      <c r="E32" s="162"/>
      <c r="F32" s="162"/>
      <c r="G32" s="162"/>
      <c r="H32" s="162"/>
      <c r="I32" s="162"/>
      <c r="J32" s="162"/>
      <c r="K32" s="162"/>
      <c r="L32" s="162"/>
      <c r="M32" s="163"/>
      <c r="N32" s="149">
        <f t="shared" si="0"/>
        <v>0</v>
      </c>
    </row>
    <row r="33" spans="2:14" s="116" customFormat="1" ht="13.2" customHeight="1" x14ac:dyDescent="0.2">
      <c r="B33" s="164"/>
      <c r="C33" s="165" t="s">
        <v>127</v>
      </c>
      <c r="D33" s="146"/>
      <c r="E33" s="146"/>
      <c r="F33" s="146"/>
      <c r="G33" s="146"/>
      <c r="H33" s="146"/>
      <c r="I33" s="146"/>
      <c r="J33" s="146"/>
      <c r="K33" s="146"/>
      <c r="L33" s="146"/>
      <c r="M33" s="147"/>
      <c r="N33" s="148">
        <f t="shared" si="0"/>
        <v>0</v>
      </c>
    </row>
    <row r="34" spans="2:14" ht="18" customHeight="1" x14ac:dyDescent="0.25">
      <c r="B34" s="170">
        <v>10</v>
      </c>
      <c r="C34" s="171" t="str">
        <f>Config!C14&amp;", "&amp;Config!D14</f>
        <v>Walters, Linn</v>
      </c>
      <c r="D34" s="180">
        <v>0</v>
      </c>
      <c r="E34" s="180">
        <v>1.5</v>
      </c>
      <c r="F34" s="180">
        <v>2.5</v>
      </c>
      <c r="G34" s="180">
        <v>0</v>
      </c>
      <c r="H34" s="180">
        <v>1</v>
      </c>
      <c r="I34" s="180">
        <v>1</v>
      </c>
      <c r="J34" s="180">
        <v>0</v>
      </c>
      <c r="K34" s="180">
        <v>0</v>
      </c>
      <c r="L34" s="180">
        <v>1</v>
      </c>
      <c r="M34" s="181">
        <v>0</v>
      </c>
      <c r="N34" s="172">
        <f t="shared" si="0"/>
        <v>7</v>
      </c>
    </row>
    <row r="35" spans="2:14" s="116" customFormat="1" ht="13.2" customHeight="1" x14ac:dyDescent="0.2">
      <c r="B35" s="166"/>
      <c r="C35" s="167" t="s">
        <v>126</v>
      </c>
      <c r="D35" s="168"/>
      <c r="E35" s="168"/>
      <c r="F35" s="168"/>
      <c r="G35" s="168"/>
      <c r="H35" s="168"/>
      <c r="I35" s="168"/>
      <c r="J35" s="168"/>
      <c r="K35" s="168"/>
      <c r="L35" s="168"/>
      <c r="M35" s="169"/>
      <c r="N35" s="152">
        <f t="shared" si="0"/>
        <v>0</v>
      </c>
    </row>
    <row r="36" spans="2:14" s="116" customFormat="1" ht="13.2" customHeight="1" x14ac:dyDescent="0.2">
      <c r="B36" s="173"/>
      <c r="C36" s="174" t="s">
        <v>127</v>
      </c>
      <c r="D36" s="146"/>
      <c r="E36" s="146"/>
      <c r="F36" s="146"/>
      <c r="G36" s="146"/>
      <c r="H36" s="146"/>
      <c r="I36" s="146"/>
      <c r="J36" s="146"/>
      <c r="K36" s="146"/>
      <c r="L36" s="146"/>
      <c r="M36" s="147"/>
      <c r="N36" s="151">
        <f t="shared" si="0"/>
        <v>0</v>
      </c>
    </row>
    <row r="37" spans="2:14" ht="18" customHeight="1" x14ac:dyDescent="0.25">
      <c r="B37" s="175">
        <v>11</v>
      </c>
      <c r="C37" s="176" t="str">
        <f>Config!C15&amp;", "&amp;Config!D15</f>
        <v>Junker, Amely</v>
      </c>
      <c r="D37" s="182">
        <v>1</v>
      </c>
      <c r="E37" s="182">
        <v>1.5</v>
      </c>
      <c r="F37" s="182">
        <v>4</v>
      </c>
      <c r="G37" s="182">
        <v>1.5</v>
      </c>
      <c r="H37" s="182">
        <v>2</v>
      </c>
      <c r="I37" s="182">
        <v>3.5</v>
      </c>
      <c r="J37" s="182">
        <v>0</v>
      </c>
      <c r="K37" s="182">
        <v>0</v>
      </c>
      <c r="L37" s="182">
        <v>0</v>
      </c>
      <c r="M37" s="183">
        <v>0</v>
      </c>
      <c r="N37" s="177">
        <f t="shared" si="0"/>
        <v>13.5</v>
      </c>
    </row>
    <row r="38" spans="2:14" s="116" customFormat="1" ht="13.2" customHeight="1" x14ac:dyDescent="0.2">
      <c r="B38" s="160"/>
      <c r="C38" s="161" t="s">
        <v>126</v>
      </c>
      <c r="D38" s="162"/>
      <c r="E38" s="162"/>
      <c r="F38" s="162"/>
      <c r="G38" s="162"/>
      <c r="H38" s="162"/>
      <c r="I38" s="162"/>
      <c r="J38" s="162"/>
      <c r="K38" s="162"/>
      <c r="L38" s="162"/>
      <c r="M38" s="163"/>
      <c r="N38" s="149">
        <f t="shared" si="0"/>
        <v>0</v>
      </c>
    </row>
    <row r="39" spans="2:14" s="116" customFormat="1" ht="13.2" customHeight="1" x14ac:dyDescent="0.2">
      <c r="B39" s="164"/>
      <c r="C39" s="165" t="s">
        <v>127</v>
      </c>
      <c r="D39" s="146"/>
      <c r="E39" s="146"/>
      <c r="F39" s="146"/>
      <c r="G39" s="146"/>
      <c r="H39" s="146"/>
      <c r="I39" s="146"/>
      <c r="J39" s="146"/>
      <c r="K39" s="146"/>
      <c r="L39" s="146"/>
      <c r="M39" s="147"/>
      <c r="N39" s="148">
        <f t="shared" ref="N39:N70" si="1">SUM(D39:M39)</f>
        <v>0</v>
      </c>
    </row>
    <row r="40" spans="2:14" ht="18" customHeight="1" x14ac:dyDescent="0.25">
      <c r="B40" s="170">
        <v>12</v>
      </c>
      <c r="C40" s="171" t="str">
        <f>Config!C16&amp;", "&amp;Config!D16</f>
        <v>Stephens, Melvin</v>
      </c>
      <c r="D40" s="180">
        <v>2</v>
      </c>
      <c r="E40" s="180">
        <v>3</v>
      </c>
      <c r="F40" s="180">
        <v>4</v>
      </c>
      <c r="G40" s="180">
        <v>3</v>
      </c>
      <c r="H40" s="180">
        <v>3</v>
      </c>
      <c r="I40" s="180">
        <v>4</v>
      </c>
      <c r="J40" s="180">
        <v>3</v>
      </c>
      <c r="K40" s="180">
        <v>0</v>
      </c>
      <c r="L40" s="180">
        <v>2</v>
      </c>
      <c r="M40" s="181">
        <v>3</v>
      </c>
      <c r="N40" s="172">
        <f t="shared" si="1"/>
        <v>27</v>
      </c>
    </row>
    <row r="41" spans="2:14" s="116" customFormat="1" ht="13.2" customHeight="1" x14ac:dyDescent="0.2">
      <c r="B41" s="166"/>
      <c r="C41" s="167" t="s">
        <v>126</v>
      </c>
      <c r="D41" s="168"/>
      <c r="E41" s="168"/>
      <c r="F41" s="168"/>
      <c r="G41" s="168"/>
      <c r="H41" s="168"/>
      <c r="I41" s="168"/>
      <c r="J41" s="168"/>
      <c r="K41" s="168"/>
      <c r="L41" s="168"/>
      <c r="M41" s="169"/>
      <c r="N41" s="152">
        <f t="shared" si="1"/>
        <v>0</v>
      </c>
    </row>
    <row r="42" spans="2:14" s="116" customFormat="1" ht="13.2" customHeight="1" x14ac:dyDescent="0.2">
      <c r="B42" s="173"/>
      <c r="C42" s="174" t="s">
        <v>127</v>
      </c>
      <c r="D42" s="146"/>
      <c r="E42" s="146"/>
      <c r="F42" s="146"/>
      <c r="G42" s="146"/>
      <c r="H42" s="146"/>
      <c r="I42" s="146"/>
      <c r="J42" s="146"/>
      <c r="K42" s="146"/>
      <c r="L42" s="146"/>
      <c r="M42" s="147"/>
      <c r="N42" s="151">
        <f t="shared" si="1"/>
        <v>0</v>
      </c>
    </row>
    <row r="43" spans="2:14" ht="18" customHeight="1" x14ac:dyDescent="0.25">
      <c r="B43" s="175">
        <v>13</v>
      </c>
      <c r="C43" s="176" t="str">
        <f>Config!C17&amp;", "&amp;Config!D17</f>
        <v>Cremer, Marvin</v>
      </c>
      <c r="D43" s="182">
        <v>0.5</v>
      </c>
      <c r="E43" s="182">
        <v>1.5</v>
      </c>
      <c r="F43" s="182">
        <v>4</v>
      </c>
      <c r="G43" s="182">
        <v>3</v>
      </c>
      <c r="H43" s="182">
        <v>3</v>
      </c>
      <c r="I43" s="182">
        <v>3.5</v>
      </c>
      <c r="J43" s="182">
        <v>0</v>
      </c>
      <c r="K43" s="182">
        <v>0</v>
      </c>
      <c r="L43" s="182">
        <v>2</v>
      </c>
      <c r="M43" s="183">
        <v>4.5</v>
      </c>
      <c r="N43" s="177">
        <f t="shared" si="1"/>
        <v>22</v>
      </c>
    </row>
    <row r="44" spans="2:14" s="116" customFormat="1" ht="13.2" customHeight="1" x14ac:dyDescent="0.2">
      <c r="B44" s="160"/>
      <c r="C44" s="161" t="s">
        <v>126</v>
      </c>
      <c r="D44" s="162"/>
      <c r="E44" s="162"/>
      <c r="F44" s="162"/>
      <c r="G44" s="162"/>
      <c r="H44" s="162"/>
      <c r="I44" s="162"/>
      <c r="J44" s="162"/>
      <c r="K44" s="162"/>
      <c r="L44" s="162"/>
      <c r="M44" s="163"/>
      <c r="N44" s="149">
        <f t="shared" si="1"/>
        <v>0</v>
      </c>
    </row>
    <row r="45" spans="2:14" s="116" customFormat="1" ht="13.2" customHeight="1" x14ac:dyDescent="0.2">
      <c r="B45" s="164"/>
      <c r="C45" s="165" t="s">
        <v>127</v>
      </c>
      <c r="D45" s="146"/>
      <c r="E45" s="146"/>
      <c r="F45" s="146"/>
      <c r="G45" s="146"/>
      <c r="H45" s="146"/>
      <c r="I45" s="146"/>
      <c r="J45" s="146"/>
      <c r="K45" s="146"/>
      <c r="L45" s="146"/>
      <c r="M45" s="147"/>
      <c r="N45" s="148">
        <f t="shared" si="1"/>
        <v>0</v>
      </c>
    </row>
    <row r="46" spans="2:14" ht="18" customHeight="1" x14ac:dyDescent="0.25">
      <c r="B46" s="170">
        <v>14</v>
      </c>
      <c r="C46" s="171" t="str">
        <f>Config!C18&amp;", "&amp;Config!D18</f>
        <v>Nash, Jean</v>
      </c>
      <c r="D46" s="180">
        <v>1.5</v>
      </c>
      <c r="E46" s="180">
        <v>2.5</v>
      </c>
      <c r="F46" s="180">
        <v>3</v>
      </c>
      <c r="G46" s="180">
        <v>2.5</v>
      </c>
      <c r="H46" s="180">
        <v>2</v>
      </c>
      <c r="I46" s="180">
        <v>4</v>
      </c>
      <c r="J46" s="180">
        <v>0</v>
      </c>
      <c r="K46" s="180">
        <v>0</v>
      </c>
      <c r="L46" s="180">
        <v>0</v>
      </c>
      <c r="M46" s="181">
        <v>0</v>
      </c>
      <c r="N46" s="172">
        <f t="shared" si="1"/>
        <v>15.5</v>
      </c>
    </row>
    <row r="47" spans="2:14" s="116" customFormat="1" ht="13.2" customHeight="1" x14ac:dyDescent="0.2">
      <c r="B47" s="166"/>
      <c r="C47" s="167" t="s">
        <v>126</v>
      </c>
      <c r="D47" s="168"/>
      <c r="E47" s="168"/>
      <c r="F47" s="168"/>
      <c r="G47" s="168"/>
      <c r="H47" s="168"/>
      <c r="I47" s="168"/>
      <c r="J47" s="168"/>
      <c r="K47" s="168"/>
      <c r="L47" s="168"/>
      <c r="M47" s="169"/>
      <c r="N47" s="152">
        <f t="shared" si="1"/>
        <v>0</v>
      </c>
    </row>
    <row r="48" spans="2:14" s="116" customFormat="1" ht="13.2" customHeight="1" x14ac:dyDescent="0.2">
      <c r="B48" s="173"/>
      <c r="C48" s="174" t="s">
        <v>127</v>
      </c>
      <c r="D48" s="146"/>
      <c r="E48" s="146"/>
      <c r="F48" s="146"/>
      <c r="G48" s="146"/>
      <c r="H48" s="146"/>
      <c r="I48" s="146"/>
      <c r="J48" s="146"/>
      <c r="K48" s="146"/>
      <c r="L48" s="146"/>
      <c r="M48" s="147"/>
      <c r="N48" s="151">
        <f t="shared" si="1"/>
        <v>0</v>
      </c>
    </row>
    <row r="49" spans="2:14" ht="18" customHeight="1" x14ac:dyDescent="0.25">
      <c r="B49" s="175">
        <v>15</v>
      </c>
      <c r="C49" s="176" t="str">
        <f>Config!C19&amp;", "&amp;Config!D19</f>
        <v>Schön, Leonardo</v>
      </c>
      <c r="D49" s="182">
        <v>1.5</v>
      </c>
      <c r="E49" s="182">
        <v>3</v>
      </c>
      <c r="F49" s="182">
        <v>4</v>
      </c>
      <c r="G49" s="182">
        <v>3</v>
      </c>
      <c r="H49" s="182">
        <v>2.5</v>
      </c>
      <c r="I49" s="182">
        <v>3.5</v>
      </c>
      <c r="J49" s="182">
        <v>0.5</v>
      </c>
      <c r="K49" s="182">
        <v>0</v>
      </c>
      <c r="L49" s="182">
        <v>2</v>
      </c>
      <c r="M49" s="183">
        <v>3.5</v>
      </c>
      <c r="N49" s="177">
        <f t="shared" si="1"/>
        <v>23.5</v>
      </c>
    </row>
    <row r="50" spans="2:14" s="116" customFormat="1" ht="13.2" customHeight="1" x14ac:dyDescent="0.2">
      <c r="B50" s="160"/>
      <c r="C50" s="161" t="s">
        <v>126</v>
      </c>
      <c r="D50" s="162"/>
      <c r="E50" s="162"/>
      <c r="F50" s="162"/>
      <c r="G50" s="162"/>
      <c r="H50" s="162"/>
      <c r="I50" s="162"/>
      <c r="J50" s="162"/>
      <c r="K50" s="162"/>
      <c r="L50" s="162"/>
      <c r="M50" s="163"/>
      <c r="N50" s="149">
        <f t="shared" si="1"/>
        <v>0</v>
      </c>
    </row>
    <row r="51" spans="2:14" s="116" customFormat="1" ht="13.2" customHeight="1" x14ac:dyDescent="0.2">
      <c r="B51" s="164"/>
      <c r="C51" s="165" t="s">
        <v>127</v>
      </c>
      <c r="D51" s="146"/>
      <c r="E51" s="146"/>
      <c r="F51" s="146"/>
      <c r="G51" s="146"/>
      <c r="H51" s="146"/>
      <c r="I51" s="146"/>
      <c r="J51" s="146"/>
      <c r="K51" s="146"/>
      <c r="L51" s="146"/>
      <c r="M51" s="147"/>
      <c r="N51" s="148">
        <f t="shared" si="1"/>
        <v>0</v>
      </c>
    </row>
    <row r="52" spans="2:14" ht="18" customHeight="1" x14ac:dyDescent="0.25">
      <c r="B52" s="170">
        <v>16</v>
      </c>
      <c r="C52" s="171" t="str">
        <f>Config!C20&amp;", "&amp;Config!D20</f>
        <v>Sigl, Nicholas</v>
      </c>
      <c r="D52" s="180">
        <v>1.5</v>
      </c>
      <c r="E52" s="180">
        <v>3</v>
      </c>
      <c r="F52" s="180">
        <v>4</v>
      </c>
      <c r="G52" s="180">
        <v>3</v>
      </c>
      <c r="H52" s="180">
        <v>3</v>
      </c>
      <c r="I52" s="180">
        <v>4</v>
      </c>
      <c r="J52" s="180">
        <v>0</v>
      </c>
      <c r="K52" s="180">
        <v>1.5</v>
      </c>
      <c r="L52" s="180">
        <v>0</v>
      </c>
      <c r="M52" s="181">
        <v>2</v>
      </c>
      <c r="N52" s="172">
        <f t="shared" si="1"/>
        <v>22</v>
      </c>
    </row>
    <row r="53" spans="2:14" s="116" customFormat="1" ht="13.2" customHeight="1" x14ac:dyDescent="0.2">
      <c r="B53" s="166"/>
      <c r="C53" s="167" t="s">
        <v>126</v>
      </c>
      <c r="D53" s="168"/>
      <c r="E53" s="168"/>
      <c r="F53" s="168"/>
      <c r="G53" s="168"/>
      <c r="H53" s="168"/>
      <c r="I53" s="168"/>
      <c r="J53" s="168"/>
      <c r="K53" s="168"/>
      <c r="L53" s="168"/>
      <c r="M53" s="169"/>
      <c r="N53" s="152">
        <f t="shared" si="1"/>
        <v>0</v>
      </c>
    </row>
    <row r="54" spans="2:14" s="116" customFormat="1" ht="13.2" customHeight="1" x14ac:dyDescent="0.2">
      <c r="B54" s="173"/>
      <c r="C54" s="174" t="s">
        <v>127</v>
      </c>
      <c r="D54" s="146"/>
      <c r="E54" s="146"/>
      <c r="F54" s="146"/>
      <c r="G54" s="146"/>
      <c r="H54" s="146"/>
      <c r="I54" s="146"/>
      <c r="J54" s="146"/>
      <c r="K54" s="146"/>
      <c r="L54" s="146"/>
      <c r="M54" s="147"/>
      <c r="N54" s="151">
        <f t="shared" si="1"/>
        <v>0</v>
      </c>
    </row>
    <row r="55" spans="2:14" ht="18" customHeight="1" x14ac:dyDescent="0.25">
      <c r="B55" s="175">
        <v>17</v>
      </c>
      <c r="C55" s="176" t="str">
        <f>Config!C21&amp;", "&amp;Config!D21</f>
        <v>Kainz, Vivienne</v>
      </c>
      <c r="D55" s="182">
        <v>1.5</v>
      </c>
      <c r="E55" s="182">
        <v>1.5</v>
      </c>
      <c r="F55" s="182">
        <v>0</v>
      </c>
      <c r="G55" s="182">
        <v>1.5</v>
      </c>
      <c r="H55" s="182">
        <v>1</v>
      </c>
      <c r="I55" s="182">
        <v>1</v>
      </c>
      <c r="J55" s="182">
        <v>0</v>
      </c>
      <c r="K55" s="182">
        <v>0</v>
      </c>
      <c r="L55" s="182">
        <v>0</v>
      </c>
      <c r="M55" s="183">
        <v>0</v>
      </c>
      <c r="N55" s="177">
        <f t="shared" si="1"/>
        <v>6.5</v>
      </c>
    </row>
    <row r="56" spans="2:14" s="116" customFormat="1" ht="13.2" customHeight="1" x14ac:dyDescent="0.2">
      <c r="B56" s="160"/>
      <c r="C56" s="161" t="s">
        <v>126</v>
      </c>
      <c r="D56" s="162"/>
      <c r="E56" s="162"/>
      <c r="F56" s="162"/>
      <c r="G56" s="162"/>
      <c r="H56" s="162"/>
      <c r="I56" s="162"/>
      <c r="J56" s="162"/>
      <c r="K56" s="162"/>
      <c r="L56" s="162"/>
      <c r="M56" s="163"/>
      <c r="N56" s="149">
        <f t="shared" si="1"/>
        <v>0</v>
      </c>
    </row>
    <row r="57" spans="2:14" s="116" customFormat="1" ht="13.2" customHeight="1" x14ac:dyDescent="0.2">
      <c r="B57" s="164"/>
      <c r="C57" s="165" t="s">
        <v>127</v>
      </c>
      <c r="D57" s="146"/>
      <c r="E57" s="146"/>
      <c r="F57" s="146"/>
      <c r="G57" s="146"/>
      <c r="H57" s="146"/>
      <c r="I57" s="146"/>
      <c r="J57" s="146"/>
      <c r="K57" s="146"/>
      <c r="L57" s="146"/>
      <c r="M57" s="147"/>
      <c r="N57" s="148">
        <f t="shared" si="1"/>
        <v>0</v>
      </c>
    </row>
    <row r="58" spans="2:14" ht="18" customHeight="1" x14ac:dyDescent="0.25">
      <c r="B58" s="170">
        <v>18</v>
      </c>
      <c r="C58" s="171" t="str">
        <f>Config!C22&amp;", "&amp;Config!D22</f>
        <v>Hartmann, Mads</v>
      </c>
      <c r="D58" s="180">
        <v>1</v>
      </c>
      <c r="E58" s="180">
        <v>2.5</v>
      </c>
      <c r="F58" s="180">
        <v>2</v>
      </c>
      <c r="G58" s="180">
        <v>3</v>
      </c>
      <c r="H58" s="180">
        <v>2.5</v>
      </c>
      <c r="I58" s="180">
        <v>3.5</v>
      </c>
      <c r="J58" s="180">
        <v>0</v>
      </c>
      <c r="K58" s="180">
        <v>0</v>
      </c>
      <c r="L58" s="180">
        <v>1.5</v>
      </c>
      <c r="M58" s="181">
        <v>0</v>
      </c>
      <c r="N58" s="172">
        <f t="shared" si="1"/>
        <v>16</v>
      </c>
    </row>
    <row r="59" spans="2:14" s="116" customFormat="1" ht="13.2" customHeight="1" x14ac:dyDescent="0.2">
      <c r="B59" s="166"/>
      <c r="C59" s="167" t="s">
        <v>126</v>
      </c>
      <c r="D59" s="168"/>
      <c r="E59" s="168"/>
      <c r="F59" s="168"/>
      <c r="G59" s="168"/>
      <c r="H59" s="168"/>
      <c r="I59" s="168"/>
      <c r="J59" s="168"/>
      <c r="K59" s="168"/>
      <c r="L59" s="168"/>
      <c r="M59" s="169"/>
      <c r="N59" s="152">
        <f t="shared" si="1"/>
        <v>0</v>
      </c>
    </row>
    <row r="60" spans="2:14" s="116" customFormat="1" ht="13.2" customHeight="1" x14ac:dyDescent="0.2">
      <c r="B60" s="173"/>
      <c r="C60" s="174" t="s">
        <v>127</v>
      </c>
      <c r="D60" s="146"/>
      <c r="E60" s="146"/>
      <c r="F60" s="146"/>
      <c r="G60" s="146"/>
      <c r="H60" s="146"/>
      <c r="I60" s="146"/>
      <c r="J60" s="146"/>
      <c r="K60" s="146"/>
      <c r="L60" s="146"/>
      <c r="M60" s="147"/>
      <c r="N60" s="151">
        <f t="shared" si="1"/>
        <v>0</v>
      </c>
    </row>
    <row r="61" spans="2:14" ht="18" customHeight="1" x14ac:dyDescent="0.25">
      <c r="B61" s="175">
        <v>19</v>
      </c>
      <c r="C61" s="176" t="str">
        <f>Config!C23&amp;", "&amp;Config!D23</f>
        <v>Ullmann, Raphael</v>
      </c>
      <c r="D61" s="182">
        <v>1.5</v>
      </c>
      <c r="E61" s="182">
        <v>2</v>
      </c>
      <c r="F61" s="182">
        <v>3</v>
      </c>
      <c r="G61" s="182">
        <v>0.5</v>
      </c>
      <c r="H61" s="182">
        <v>1</v>
      </c>
      <c r="I61" s="182">
        <v>4</v>
      </c>
      <c r="J61" s="182">
        <v>0.5</v>
      </c>
      <c r="K61" s="182">
        <v>0</v>
      </c>
      <c r="L61" s="182">
        <v>2</v>
      </c>
      <c r="M61" s="183">
        <v>0</v>
      </c>
      <c r="N61" s="177">
        <f t="shared" si="1"/>
        <v>14.5</v>
      </c>
    </row>
    <row r="62" spans="2:14" s="116" customFormat="1" ht="13.2" customHeight="1" x14ac:dyDescent="0.2">
      <c r="B62" s="160"/>
      <c r="C62" s="161" t="s">
        <v>126</v>
      </c>
      <c r="D62" s="162"/>
      <c r="E62" s="162"/>
      <c r="F62" s="162"/>
      <c r="G62" s="162"/>
      <c r="H62" s="162"/>
      <c r="I62" s="162"/>
      <c r="J62" s="162"/>
      <c r="K62" s="162"/>
      <c r="L62" s="162"/>
      <c r="M62" s="163"/>
      <c r="N62" s="149">
        <f t="shared" si="1"/>
        <v>0</v>
      </c>
    </row>
    <row r="63" spans="2:14" s="116" customFormat="1" ht="13.2" customHeight="1" x14ac:dyDescent="0.2">
      <c r="B63" s="164"/>
      <c r="C63" s="165" t="s">
        <v>127</v>
      </c>
      <c r="D63" s="146"/>
      <c r="E63" s="146"/>
      <c r="F63" s="146"/>
      <c r="G63" s="146"/>
      <c r="H63" s="146"/>
      <c r="I63" s="146"/>
      <c r="J63" s="146"/>
      <c r="K63" s="146"/>
      <c r="L63" s="146"/>
      <c r="M63" s="147"/>
      <c r="N63" s="148">
        <f t="shared" si="1"/>
        <v>0</v>
      </c>
    </row>
    <row r="64" spans="2:14" ht="18" customHeight="1" x14ac:dyDescent="0.25">
      <c r="B64" s="170">
        <v>20</v>
      </c>
      <c r="C64" s="171" t="str">
        <f>Config!C24&amp;", "&amp;Config!D24</f>
        <v>Hartl, Emmely</v>
      </c>
      <c r="D64" s="180">
        <v>1.5</v>
      </c>
      <c r="E64" s="180">
        <v>3</v>
      </c>
      <c r="F64" s="180">
        <v>3.5</v>
      </c>
      <c r="G64" s="180">
        <v>2.5</v>
      </c>
      <c r="H64" s="180">
        <v>2</v>
      </c>
      <c r="I64" s="180">
        <v>3.5</v>
      </c>
      <c r="J64" s="180">
        <v>2</v>
      </c>
      <c r="K64" s="180">
        <v>0</v>
      </c>
      <c r="L64" s="180">
        <v>1.5</v>
      </c>
      <c r="M64" s="181">
        <v>3.5</v>
      </c>
      <c r="N64" s="172">
        <f t="shared" si="1"/>
        <v>23</v>
      </c>
    </row>
    <row r="65" spans="2:14" s="116" customFormat="1" ht="13.2" customHeight="1" x14ac:dyDescent="0.2">
      <c r="B65" s="166"/>
      <c r="C65" s="167" t="s">
        <v>126</v>
      </c>
      <c r="D65" s="168"/>
      <c r="E65" s="168"/>
      <c r="F65" s="168"/>
      <c r="G65" s="168"/>
      <c r="H65" s="168"/>
      <c r="I65" s="168"/>
      <c r="J65" s="168"/>
      <c r="K65" s="168"/>
      <c r="L65" s="168"/>
      <c r="M65" s="169"/>
      <c r="N65" s="152">
        <f t="shared" si="1"/>
        <v>0</v>
      </c>
    </row>
    <row r="66" spans="2:14" s="116" customFormat="1" ht="13.2" customHeight="1" x14ac:dyDescent="0.2">
      <c r="B66" s="173"/>
      <c r="C66" s="174" t="s">
        <v>127</v>
      </c>
      <c r="D66" s="146"/>
      <c r="E66" s="146"/>
      <c r="F66" s="146"/>
      <c r="G66" s="146"/>
      <c r="H66" s="146"/>
      <c r="I66" s="146"/>
      <c r="J66" s="146"/>
      <c r="K66" s="146"/>
      <c r="L66" s="146"/>
      <c r="M66" s="147"/>
      <c r="N66" s="151">
        <f t="shared" si="1"/>
        <v>0</v>
      </c>
    </row>
    <row r="67" spans="2:14" ht="18" customHeight="1" x14ac:dyDescent="0.25">
      <c r="B67" s="175">
        <v>21</v>
      </c>
      <c r="C67" s="176" t="str">
        <f>Config!C25&amp;", "&amp;Config!D25</f>
        <v>Klotz, Karin</v>
      </c>
      <c r="D67" s="182">
        <v>2</v>
      </c>
      <c r="E67" s="182">
        <v>2.5</v>
      </c>
      <c r="F67" s="182">
        <v>4</v>
      </c>
      <c r="G67" s="182">
        <v>3</v>
      </c>
      <c r="H67" s="182">
        <v>2.5</v>
      </c>
      <c r="I67" s="182">
        <v>3</v>
      </c>
      <c r="J67" s="182">
        <v>3</v>
      </c>
      <c r="K67" s="182">
        <v>0</v>
      </c>
      <c r="L67" s="182">
        <v>2</v>
      </c>
      <c r="M67" s="183">
        <v>4.5</v>
      </c>
      <c r="N67" s="177">
        <f t="shared" si="1"/>
        <v>26.5</v>
      </c>
    </row>
    <row r="68" spans="2:14" s="116" customFormat="1" ht="13.2" customHeight="1" x14ac:dyDescent="0.2">
      <c r="B68" s="160"/>
      <c r="C68" s="161" t="s">
        <v>126</v>
      </c>
      <c r="D68" s="162"/>
      <c r="E68" s="162"/>
      <c r="F68" s="162"/>
      <c r="G68" s="162"/>
      <c r="H68" s="162"/>
      <c r="I68" s="162"/>
      <c r="J68" s="162"/>
      <c r="K68" s="162"/>
      <c r="L68" s="162"/>
      <c r="M68" s="163"/>
      <c r="N68" s="149">
        <f t="shared" si="1"/>
        <v>0</v>
      </c>
    </row>
    <row r="69" spans="2:14" s="116" customFormat="1" ht="13.2" customHeight="1" x14ac:dyDescent="0.2">
      <c r="B69" s="164"/>
      <c r="C69" s="165" t="s">
        <v>127</v>
      </c>
      <c r="D69" s="146"/>
      <c r="E69" s="146"/>
      <c r="F69" s="146"/>
      <c r="G69" s="146"/>
      <c r="H69" s="146"/>
      <c r="I69" s="146"/>
      <c r="J69" s="146"/>
      <c r="K69" s="146"/>
      <c r="L69" s="146"/>
      <c r="M69" s="147"/>
      <c r="N69" s="148">
        <f t="shared" si="1"/>
        <v>0</v>
      </c>
    </row>
    <row r="70" spans="2:14" ht="18" customHeight="1" x14ac:dyDescent="0.25">
      <c r="B70" s="170">
        <v>22</v>
      </c>
      <c r="C70" s="171" t="str">
        <f>Config!C26&amp;", "&amp;Config!D26</f>
        <v>Ehlers, Ingo</v>
      </c>
      <c r="D70" s="180">
        <v>0.5</v>
      </c>
      <c r="E70" s="180">
        <v>3</v>
      </c>
      <c r="F70" s="180">
        <v>4</v>
      </c>
      <c r="G70" s="180">
        <v>2</v>
      </c>
      <c r="H70" s="180">
        <v>2.5</v>
      </c>
      <c r="I70" s="180">
        <v>3</v>
      </c>
      <c r="J70" s="180">
        <v>1.5</v>
      </c>
      <c r="K70" s="180">
        <v>0</v>
      </c>
      <c r="L70" s="180">
        <v>2</v>
      </c>
      <c r="M70" s="181">
        <v>2.5</v>
      </c>
      <c r="N70" s="172">
        <f t="shared" si="1"/>
        <v>21</v>
      </c>
    </row>
    <row r="71" spans="2:14" s="116" customFormat="1" ht="13.2" customHeight="1" x14ac:dyDescent="0.2">
      <c r="B71" s="166"/>
      <c r="C71" s="167" t="s">
        <v>126</v>
      </c>
      <c r="D71" s="168"/>
      <c r="E71" s="168"/>
      <c r="F71" s="168"/>
      <c r="G71" s="168"/>
      <c r="H71" s="168"/>
      <c r="I71" s="168"/>
      <c r="J71" s="168"/>
      <c r="K71" s="168"/>
      <c r="L71" s="168"/>
      <c r="M71" s="169"/>
      <c r="N71" s="152">
        <f t="shared" ref="N71:N75" si="2">SUM(D71:M71)</f>
        <v>0</v>
      </c>
    </row>
    <row r="72" spans="2:14" s="116" customFormat="1" ht="13.2" customHeight="1" x14ac:dyDescent="0.2">
      <c r="B72" s="173"/>
      <c r="C72" s="174" t="s">
        <v>127</v>
      </c>
      <c r="D72" s="146"/>
      <c r="E72" s="146"/>
      <c r="F72" s="146"/>
      <c r="G72" s="146"/>
      <c r="H72" s="146"/>
      <c r="I72" s="146"/>
      <c r="J72" s="146"/>
      <c r="K72" s="146"/>
      <c r="L72" s="146"/>
      <c r="M72" s="147"/>
      <c r="N72" s="151">
        <f t="shared" si="2"/>
        <v>0</v>
      </c>
    </row>
    <row r="73" spans="2:14" ht="18" customHeight="1" thickBot="1" x14ac:dyDescent="0.3">
      <c r="B73" s="142">
        <v>23</v>
      </c>
      <c r="C73" s="137" t="str">
        <f>Config!C27&amp;", "&amp;Config!D27</f>
        <v>Lindemann, Mads</v>
      </c>
      <c r="D73" s="95">
        <v>1</v>
      </c>
      <c r="E73" s="95">
        <v>2.5</v>
      </c>
      <c r="F73" s="95">
        <v>3.5</v>
      </c>
      <c r="G73" s="95">
        <v>3</v>
      </c>
      <c r="H73" s="95">
        <v>2</v>
      </c>
      <c r="I73" s="95">
        <v>4</v>
      </c>
      <c r="J73" s="95">
        <v>0</v>
      </c>
      <c r="K73" s="95">
        <v>0</v>
      </c>
      <c r="L73" s="95">
        <v>0</v>
      </c>
      <c r="M73" s="96">
        <v>0</v>
      </c>
      <c r="N73" s="145">
        <f t="shared" si="2"/>
        <v>16</v>
      </c>
    </row>
    <row r="74" spans="2:14" s="116" customFormat="1" ht="13.2" customHeight="1" x14ac:dyDescent="0.2">
      <c r="B74" s="160"/>
      <c r="C74" s="161" t="s">
        <v>126</v>
      </c>
      <c r="D74" s="162"/>
      <c r="E74" s="162"/>
      <c r="F74" s="162"/>
      <c r="G74" s="162"/>
      <c r="H74" s="162"/>
      <c r="I74" s="162"/>
      <c r="J74" s="162"/>
      <c r="K74" s="162"/>
      <c r="L74" s="162"/>
      <c r="M74" s="163"/>
      <c r="N74" s="149">
        <f t="shared" si="2"/>
        <v>0</v>
      </c>
    </row>
    <row r="75" spans="2:14" s="116" customFormat="1" ht="13.2" customHeight="1" thickBot="1" x14ac:dyDescent="0.25">
      <c r="B75" s="153"/>
      <c r="C75" s="156" t="s">
        <v>127</v>
      </c>
      <c r="D75" s="154"/>
      <c r="E75" s="154"/>
      <c r="F75" s="154"/>
      <c r="G75" s="154"/>
      <c r="H75" s="154"/>
      <c r="I75" s="154"/>
      <c r="J75" s="154"/>
      <c r="K75" s="154"/>
      <c r="L75" s="154"/>
      <c r="M75" s="155"/>
      <c r="N75" s="150">
        <f t="shared" si="2"/>
        <v>0</v>
      </c>
    </row>
    <row r="76" spans="2:14" ht="18" customHeight="1" thickBot="1" x14ac:dyDescent="0.3">
      <c r="B76" s="119"/>
      <c r="C76" s="120"/>
      <c r="D76" s="120">
        <f>IF(COUNTIFS(D7:D73,"&lt;&gt;",C7:C73,"&lt;&gt;ZK",C7:C73,"&lt;&gt;DK")&lt;&gt;0,SUMIFS(D7:D73,C7:C73,"&lt;&gt;ZK",C7:C73,"&lt;&gt;DK")/(COUNTIFS(D7:D73,"&lt;&gt;",C7:C73,"&lt;&gt;ZK",C7:C73,"&lt;&gt;DK")*D6),0)</f>
        <v>0.64130434782608692</v>
      </c>
      <c r="E76" s="120">
        <f>IF(COUNTIFS(E7:E73,"&lt;&gt;",C7:C73,"&lt;&gt;ZK",C7:C73,"&lt;&gt;DK")&lt;&gt;0,SUMIFS(E7:E73,C7:C73,"&lt;&gt;ZK",C7:C73,"&lt;&gt;DK")/(COUNTIFS(E7:E73,"&lt;&gt;",C7:C73,"&lt;&gt;ZK",C7:C73,"&lt;&gt;DK")*E6),0)</f>
        <v>0.79710144927536231</v>
      </c>
      <c r="F76" s="120">
        <f>IF(COUNTIFS(F7:F73,"&lt;&gt;",C7:C73,"&lt;&gt;ZK",C7:C73,"&lt;&gt;DK")&lt;&gt;0,SUMIFS(F7:F73,C7:C73,"&lt;&gt;ZK",C7:C73,"&lt;&gt;DK")/(COUNTIFS(F7:F73,"&lt;&gt;",C7:C73,"&lt;&gt;ZK",C7:C73,"&lt;&gt;DK")*F6),0)</f>
        <v>0.78804347826086951</v>
      </c>
      <c r="G76" s="120">
        <f>IF(COUNTIFS(G7:G73,"&lt;&gt;",C7:C73,"&lt;&gt;ZK",C7:C73,"&lt;&gt;DK")&lt;&gt;0,SUMIFS(G7:G73,C7:C73,"&lt;&gt;ZK",C7:C73,"&lt;&gt;DK")/(COUNTIFS(G7:G73,"&lt;&gt;",C7:C73,"&lt;&gt;ZK",C7:C73,"&lt;&gt;DK")*G6),0)</f>
        <v>0.79710144927536231</v>
      </c>
      <c r="H76" s="120">
        <f>IF(COUNTIFS(H7:H73,"&lt;&gt;",C7:C73,"&lt;&gt;ZK",C7:C73,"&lt;&gt;DK")&lt;&gt;0,SUMIFS(H7:H73,C7:C73,"&lt;&gt;ZK",C7:C73,"&lt;&gt;DK")/(COUNTIFS(H7:H73,"&lt;&gt;",C7:C73,"&lt;&gt;ZK",C7:C73,"&lt;&gt;DK")*H6),0)</f>
        <v>0.78260869565217395</v>
      </c>
      <c r="I76" s="120">
        <f>IF(COUNTIFS(I7:I73,"&lt;&gt;",C7:C73,"&lt;&gt;ZK",C7:C73,"&lt;&gt;DK")&lt;&gt;0,SUMIFS(I7:I73,C7:C73,"&lt;&gt;ZK",C7:C73,"&lt;&gt;DK")/(COUNTIFS(I7:I73,"&lt;&gt;",C7:C73,"&lt;&gt;ZK",C7:C73,"&lt;&gt;DK")*I6),0)</f>
        <v>0.78260869565217395</v>
      </c>
      <c r="J76" s="120">
        <f>IF(COUNTIFS(J7:J73,"&lt;&gt;",C7:C73,"&lt;&gt;ZK",C7:C73,"&lt;&gt;DK")&lt;&gt;0,SUMIFS(J7:J73,C7:C73,"&lt;&gt;ZK",C7:C73,"&lt;&gt;DK")/(COUNTIFS(J7:J73,"&lt;&gt;",C7:C73,"&lt;&gt;ZK",C7:C73,"&lt;&gt;DK")*J6),0)</f>
        <v>0.27536231884057971</v>
      </c>
      <c r="K76" s="120">
        <f>IF(COUNTIFS(K7:K73,"&lt;&gt;",C7:C73,"&lt;&gt;ZK",C7:C73,"&lt;&gt;DK")&lt;&gt;0,SUMIFS(K7:K73,C7:C73,"&lt;&gt;ZK",C7:C73,"&lt;&gt;DK")/(COUNTIFS(K7:K73,"&lt;&gt;",C7:C73,"&lt;&gt;ZK",C7:C73,"&lt;&gt;DK")*K6),0)</f>
        <v>0.11956521739130435</v>
      </c>
      <c r="L76" s="120">
        <f>IF(COUNTIFS(L7:L73,"&lt;&gt;",C7:C73,"&lt;&gt;ZK",C7:C73,"&lt;&gt;DK")&lt;&gt;0,SUMIFS(L7:L73,C7:C73,"&lt;&gt;ZK",C7:C73,"&lt;&gt;DK")/(COUNTIFS(L7:L73,"&lt;&gt;",C7:C73,"&lt;&gt;ZK",C7:C73,"&lt;&gt;DK")*L6),0)</f>
        <v>0.60869565217391308</v>
      </c>
      <c r="M76" s="120">
        <f>IF(COUNTIFS(M7:M73,"&lt;&gt;",C7:C73,"&lt;&gt;ZK",C7:C73,"&lt;&gt;DK")&lt;&gt;0,SUMIFS(M7:M73,C7:C73,"&lt;&gt;ZK",C7:C73,"&lt;&gt;DK")/(COUNTIFS(M7:M73,"&lt;&gt;",C7:C73,"&lt;&gt;ZK",C7:C73,"&lt;&gt;DK")*M6),0)</f>
        <v>0.88043478260869568</v>
      </c>
      <c r="N76" s="121"/>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26" sqref="D26"/>
    </sheetView>
  </sheetViews>
  <sheetFormatPr baseColWidth="10" defaultColWidth="11.5546875" defaultRowHeight="13.2" x14ac:dyDescent="0.25"/>
  <cols>
    <col min="1" max="2" width="3.44140625" style="98" customWidth="1"/>
    <col min="3" max="3" width="25.6640625" style="98" customWidth="1"/>
    <col min="4" max="5" width="8.6640625" style="98" customWidth="1"/>
    <col min="6" max="16384" width="11.5546875" style="98"/>
  </cols>
  <sheetData>
    <row r="1" spans="2:5" ht="18" customHeight="1" thickBot="1" x14ac:dyDescent="0.3"/>
    <row r="2" spans="2:5" ht="18" customHeight="1" x14ac:dyDescent="0.25">
      <c r="B2" s="99" t="str">
        <f>Config!F2&amp;" "&amp;YEAR(Config!G24)</f>
        <v>Mathe Abitur 2026</v>
      </c>
      <c r="C2" s="100"/>
      <c r="D2" s="101"/>
      <c r="E2" s="102" t="str">
        <f>"Kurs "&amp;Config!G26</f>
        <v>Kurs K1</v>
      </c>
    </row>
    <row r="3" spans="2:5" ht="18" customHeight="1" x14ac:dyDescent="0.25">
      <c r="B3" s="103" t="s">
        <v>11</v>
      </c>
      <c r="C3" s="104"/>
      <c r="D3" s="104"/>
      <c r="E3" s="105"/>
    </row>
    <row r="4" spans="2:5" ht="18" customHeight="1" thickBot="1" x14ac:dyDescent="0.3">
      <c r="B4" s="103"/>
      <c r="C4" s="104"/>
      <c r="D4" s="106"/>
      <c r="E4" s="107"/>
    </row>
    <row r="5" spans="2:5" ht="18" customHeight="1" thickBot="1" x14ac:dyDescent="0.3">
      <c r="B5" s="108"/>
      <c r="C5" s="110"/>
      <c r="D5" s="124" t="str">
        <f>Config!J6</f>
        <v>1</v>
      </c>
      <c r="E5" s="114" t="s">
        <v>82</v>
      </c>
    </row>
    <row r="6" spans="2:5" ht="18" customHeight="1" thickBot="1" x14ac:dyDescent="0.3">
      <c r="B6" s="109"/>
      <c r="C6" s="111" t="s">
        <v>81</v>
      </c>
      <c r="D6" s="113">
        <f>Config!K6</f>
        <v>5</v>
      </c>
      <c r="E6" s="125">
        <f>Config!K21</f>
        <v>5</v>
      </c>
    </row>
    <row r="7" spans="2:5" ht="18" customHeight="1" x14ac:dyDescent="0.25">
      <c r="B7" s="157">
        <v>1</v>
      </c>
      <c r="C7" s="158" t="str">
        <f>Config!C5&amp;", "&amp;Config!D5</f>
        <v>Höfer, Simon</v>
      </c>
      <c r="D7" s="179">
        <v>2.5</v>
      </c>
      <c r="E7" s="159">
        <f t="shared" ref="E7:E38" si="0">SUM(D7:D7)</f>
        <v>2.5</v>
      </c>
    </row>
    <row r="8" spans="2:5" s="116" customFormat="1" ht="13.2" customHeight="1" x14ac:dyDescent="0.2">
      <c r="B8" s="160"/>
      <c r="C8" s="161" t="s">
        <v>126</v>
      </c>
      <c r="D8" s="163"/>
      <c r="E8" s="149">
        <f t="shared" si="0"/>
        <v>0</v>
      </c>
    </row>
    <row r="9" spans="2:5" s="116" customFormat="1" ht="13.2" customHeight="1" x14ac:dyDescent="0.2">
      <c r="B9" s="164"/>
      <c r="C9" s="165" t="s">
        <v>127</v>
      </c>
      <c r="D9" s="147"/>
      <c r="E9" s="148">
        <f t="shared" si="0"/>
        <v>0</v>
      </c>
    </row>
    <row r="10" spans="2:5" ht="18" customHeight="1" x14ac:dyDescent="0.25">
      <c r="B10" s="170">
        <v>2</v>
      </c>
      <c r="C10" s="171" t="str">
        <f>Config!C6&amp;", "&amp;Config!D6</f>
        <v>Töpfer, Lilian</v>
      </c>
      <c r="D10" s="181">
        <v>5</v>
      </c>
      <c r="E10" s="172">
        <f t="shared" si="0"/>
        <v>5</v>
      </c>
    </row>
    <row r="11" spans="2:5" s="116" customFormat="1" ht="13.2" customHeight="1" x14ac:dyDescent="0.2">
      <c r="B11" s="166"/>
      <c r="C11" s="167" t="s">
        <v>126</v>
      </c>
      <c r="D11" s="169"/>
      <c r="E11" s="152">
        <v>1</v>
      </c>
    </row>
    <row r="12" spans="2:5" s="116" customFormat="1" ht="13.2" customHeight="1" x14ac:dyDescent="0.2">
      <c r="B12" s="173"/>
      <c r="C12" s="174" t="s">
        <v>127</v>
      </c>
      <c r="D12" s="147"/>
      <c r="E12" s="151">
        <f t="shared" si="0"/>
        <v>0</v>
      </c>
    </row>
    <row r="13" spans="2:5" ht="18" customHeight="1" x14ac:dyDescent="0.25">
      <c r="B13" s="175">
        <v>3</v>
      </c>
      <c r="C13" s="176" t="str">
        <f>Config!C7&amp;", "&amp;Config!D7</f>
        <v>Fleischmann, Leonie</v>
      </c>
      <c r="D13" s="183">
        <v>2.5</v>
      </c>
      <c r="E13" s="177">
        <f t="shared" si="0"/>
        <v>2.5</v>
      </c>
    </row>
    <row r="14" spans="2:5" s="116" customFormat="1" ht="13.2" customHeight="1" x14ac:dyDescent="0.2">
      <c r="B14" s="160"/>
      <c r="C14" s="161" t="s">
        <v>126</v>
      </c>
      <c r="D14" s="163"/>
      <c r="E14" s="149">
        <f t="shared" si="0"/>
        <v>0</v>
      </c>
    </row>
    <row r="15" spans="2:5" s="116" customFormat="1" ht="13.2" customHeight="1" x14ac:dyDescent="0.2">
      <c r="B15" s="164"/>
      <c r="C15" s="165" t="s">
        <v>127</v>
      </c>
      <c r="D15" s="147"/>
      <c r="E15" s="148">
        <f t="shared" si="0"/>
        <v>0</v>
      </c>
    </row>
    <row r="16" spans="2:5" ht="18" customHeight="1" x14ac:dyDescent="0.25">
      <c r="B16" s="170">
        <v>4</v>
      </c>
      <c r="C16" s="171" t="str">
        <f>Config!C8&amp;", "&amp;Config!D8</f>
        <v>Drescher, Cedric</v>
      </c>
      <c r="D16" s="181">
        <v>2.5</v>
      </c>
      <c r="E16" s="172">
        <f t="shared" si="0"/>
        <v>2.5</v>
      </c>
    </row>
    <row r="17" spans="2:5" s="116" customFormat="1" ht="13.2" customHeight="1" x14ac:dyDescent="0.2">
      <c r="B17" s="166"/>
      <c r="C17" s="167" t="s">
        <v>126</v>
      </c>
      <c r="D17" s="169"/>
      <c r="E17" s="152">
        <f t="shared" si="0"/>
        <v>0</v>
      </c>
    </row>
    <row r="18" spans="2:5" s="116" customFormat="1" ht="13.2" customHeight="1" x14ac:dyDescent="0.2">
      <c r="B18" s="173"/>
      <c r="C18" s="174" t="s">
        <v>127</v>
      </c>
      <c r="D18" s="147"/>
      <c r="E18" s="151">
        <f t="shared" si="0"/>
        <v>0</v>
      </c>
    </row>
    <row r="19" spans="2:5" ht="18" customHeight="1" x14ac:dyDescent="0.25">
      <c r="B19" s="175">
        <v>5</v>
      </c>
      <c r="C19" s="176" t="str">
        <f>Config!C9&amp;", "&amp;Config!D9</f>
        <v>Baumgarten, Annabell</v>
      </c>
      <c r="D19" s="183">
        <v>2.5</v>
      </c>
      <c r="E19" s="177">
        <f t="shared" si="0"/>
        <v>2.5</v>
      </c>
    </row>
    <row r="20" spans="2:5" s="116" customFormat="1" ht="13.2" customHeight="1" x14ac:dyDescent="0.2">
      <c r="B20" s="160"/>
      <c r="C20" s="161" t="s">
        <v>126</v>
      </c>
      <c r="D20" s="163"/>
      <c r="E20" s="149">
        <f t="shared" si="0"/>
        <v>0</v>
      </c>
    </row>
    <row r="21" spans="2:5" s="116" customFormat="1" ht="13.2" customHeight="1" x14ac:dyDescent="0.2">
      <c r="B21" s="164"/>
      <c r="C21" s="165" t="s">
        <v>127</v>
      </c>
      <c r="D21" s="147"/>
      <c r="E21" s="148">
        <f t="shared" si="0"/>
        <v>0</v>
      </c>
    </row>
    <row r="22" spans="2:5" ht="18" customHeight="1" x14ac:dyDescent="0.25">
      <c r="B22" s="170">
        <v>6</v>
      </c>
      <c r="C22" s="171" t="str">
        <f>Config!C10&amp;", "&amp;Config!D10</f>
        <v>Traut, Stefanie</v>
      </c>
      <c r="D22" s="181">
        <v>3</v>
      </c>
      <c r="E22" s="172">
        <f t="shared" si="0"/>
        <v>3</v>
      </c>
    </row>
    <row r="23" spans="2:5" s="116" customFormat="1" ht="13.2" customHeight="1" x14ac:dyDescent="0.2">
      <c r="B23" s="166"/>
      <c r="C23" s="167" t="s">
        <v>126</v>
      </c>
      <c r="D23" s="169"/>
      <c r="E23" s="152">
        <f t="shared" si="0"/>
        <v>0</v>
      </c>
    </row>
    <row r="24" spans="2:5" s="116" customFormat="1" ht="13.2" customHeight="1" x14ac:dyDescent="0.2">
      <c r="B24" s="173"/>
      <c r="C24" s="174" t="s">
        <v>127</v>
      </c>
      <c r="D24" s="147"/>
      <c r="E24" s="151">
        <f t="shared" si="0"/>
        <v>0</v>
      </c>
    </row>
    <row r="25" spans="2:5" ht="18" customHeight="1" x14ac:dyDescent="0.25">
      <c r="B25" s="175">
        <v>7</v>
      </c>
      <c r="C25" s="176" t="str">
        <f>Config!C11&amp;", "&amp;Config!D11</f>
        <v>Menke, Damian</v>
      </c>
      <c r="D25" s="183">
        <v>5</v>
      </c>
      <c r="E25" s="177">
        <f t="shared" si="0"/>
        <v>5</v>
      </c>
    </row>
    <row r="26" spans="2:5" s="116" customFormat="1" ht="13.2" customHeight="1" x14ac:dyDescent="0.2">
      <c r="B26" s="160"/>
      <c r="C26" s="161" t="s">
        <v>126</v>
      </c>
      <c r="D26" s="163"/>
      <c r="E26" s="149">
        <f t="shared" si="0"/>
        <v>0</v>
      </c>
    </row>
    <row r="27" spans="2:5" s="116" customFormat="1" ht="13.2" customHeight="1" x14ac:dyDescent="0.2">
      <c r="B27" s="164"/>
      <c r="C27" s="165" t="s">
        <v>127</v>
      </c>
      <c r="D27" s="147"/>
      <c r="E27" s="148">
        <f t="shared" si="0"/>
        <v>0</v>
      </c>
    </row>
    <row r="28" spans="2:5" ht="18" customHeight="1" x14ac:dyDescent="0.25">
      <c r="B28" s="170">
        <v>8</v>
      </c>
      <c r="C28" s="171" t="str">
        <f>Config!C12&amp;", "&amp;Config!D12</f>
        <v>Carroll, Meik</v>
      </c>
      <c r="D28" s="181">
        <v>5</v>
      </c>
      <c r="E28" s="172">
        <f t="shared" si="0"/>
        <v>5</v>
      </c>
    </row>
    <row r="29" spans="2:5" s="116" customFormat="1" ht="13.2" customHeight="1" x14ac:dyDescent="0.2">
      <c r="B29" s="166"/>
      <c r="C29" s="167" t="s">
        <v>126</v>
      </c>
      <c r="D29" s="169"/>
      <c r="E29" s="152">
        <f t="shared" si="0"/>
        <v>0</v>
      </c>
    </row>
    <row r="30" spans="2:5" s="116" customFormat="1" ht="13.2" customHeight="1" x14ac:dyDescent="0.2">
      <c r="B30" s="173"/>
      <c r="C30" s="174" t="s">
        <v>127</v>
      </c>
      <c r="D30" s="147"/>
      <c r="E30" s="151">
        <f t="shared" si="0"/>
        <v>0</v>
      </c>
    </row>
    <row r="31" spans="2:5" ht="18" customHeight="1" x14ac:dyDescent="0.25">
      <c r="B31" s="175">
        <v>9</v>
      </c>
      <c r="C31" s="176" t="str">
        <f>Config!C13&amp;", "&amp;Config!D13</f>
        <v>Hennings, Tomas</v>
      </c>
      <c r="D31" s="183">
        <v>4</v>
      </c>
      <c r="E31" s="177">
        <f t="shared" si="0"/>
        <v>4</v>
      </c>
    </row>
    <row r="32" spans="2:5" s="116" customFormat="1" ht="13.2" customHeight="1" x14ac:dyDescent="0.2">
      <c r="B32" s="160"/>
      <c r="C32" s="161" t="s">
        <v>126</v>
      </c>
      <c r="D32" s="163"/>
      <c r="E32" s="149">
        <f t="shared" si="0"/>
        <v>0</v>
      </c>
    </row>
    <row r="33" spans="2:5" s="116" customFormat="1" ht="13.2" customHeight="1" x14ac:dyDescent="0.2">
      <c r="B33" s="164"/>
      <c r="C33" s="165" t="s">
        <v>127</v>
      </c>
      <c r="D33" s="147"/>
      <c r="E33" s="148">
        <f t="shared" si="0"/>
        <v>0</v>
      </c>
    </row>
    <row r="34" spans="2:5" ht="18" customHeight="1" x14ac:dyDescent="0.25">
      <c r="B34" s="170">
        <v>10</v>
      </c>
      <c r="C34" s="171" t="str">
        <f>Config!C14&amp;", "&amp;Config!D14</f>
        <v>Walters, Linn</v>
      </c>
      <c r="D34" s="181">
        <v>2.5</v>
      </c>
      <c r="E34" s="172">
        <f t="shared" si="0"/>
        <v>2.5</v>
      </c>
    </row>
    <row r="35" spans="2:5" s="116" customFormat="1" ht="13.2" customHeight="1" x14ac:dyDescent="0.2">
      <c r="B35" s="166"/>
      <c r="C35" s="167" t="s">
        <v>126</v>
      </c>
      <c r="D35" s="169"/>
      <c r="E35" s="152">
        <f t="shared" si="0"/>
        <v>0</v>
      </c>
    </row>
    <row r="36" spans="2:5" s="116" customFormat="1" ht="13.2" customHeight="1" x14ac:dyDescent="0.2">
      <c r="B36" s="173"/>
      <c r="C36" s="174" t="s">
        <v>127</v>
      </c>
      <c r="D36" s="147"/>
      <c r="E36" s="151">
        <f t="shared" si="0"/>
        <v>0</v>
      </c>
    </row>
    <row r="37" spans="2:5" ht="18" customHeight="1" x14ac:dyDescent="0.25">
      <c r="B37" s="175">
        <v>11</v>
      </c>
      <c r="C37" s="176" t="str">
        <f>Config!C15&amp;", "&amp;Config!D15</f>
        <v>Junker, Amely</v>
      </c>
      <c r="D37" s="183">
        <v>2</v>
      </c>
      <c r="E37" s="177">
        <f t="shared" si="0"/>
        <v>2</v>
      </c>
    </row>
    <row r="38" spans="2:5" s="116" customFormat="1" ht="13.2" customHeight="1" x14ac:dyDescent="0.2">
      <c r="B38" s="160"/>
      <c r="C38" s="161" t="s">
        <v>126</v>
      </c>
      <c r="D38" s="163"/>
      <c r="E38" s="149">
        <f t="shared" si="0"/>
        <v>0</v>
      </c>
    </row>
    <row r="39" spans="2:5" s="116" customFormat="1" ht="13.2" customHeight="1" x14ac:dyDescent="0.2">
      <c r="B39" s="164"/>
      <c r="C39" s="165" t="s">
        <v>127</v>
      </c>
      <c r="D39" s="147"/>
      <c r="E39" s="148">
        <f t="shared" ref="E39:E70" si="1">SUM(D39:D39)</f>
        <v>0</v>
      </c>
    </row>
    <row r="40" spans="2:5" ht="18" customHeight="1" x14ac:dyDescent="0.25">
      <c r="B40" s="170">
        <v>12</v>
      </c>
      <c r="C40" s="171" t="str">
        <f>Config!C16&amp;", "&amp;Config!D16</f>
        <v>Stephens, Melvin</v>
      </c>
      <c r="D40" s="181">
        <v>2.5</v>
      </c>
      <c r="E40" s="172">
        <f t="shared" si="1"/>
        <v>2.5</v>
      </c>
    </row>
    <row r="41" spans="2:5" s="116" customFormat="1" ht="13.2" customHeight="1" x14ac:dyDescent="0.2">
      <c r="B41" s="166"/>
      <c r="C41" s="167" t="s">
        <v>126</v>
      </c>
      <c r="D41" s="169"/>
      <c r="E41" s="152">
        <f t="shared" si="1"/>
        <v>0</v>
      </c>
    </row>
    <row r="42" spans="2:5" s="116" customFormat="1" ht="13.2" customHeight="1" x14ac:dyDescent="0.2">
      <c r="B42" s="173"/>
      <c r="C42" s="174" t="s">
        <v>127</v>
      </c>
      <c r="D42" s="147"/>
      <c r="E42" s="151">
        <f t="shared" si="1"/>
        <v>0</v>
      </c>
    </row>
    <row r="43" spans="2:5" ht="18" customHeight="1" x14ac:dyDescent="0.25">
      <c r="B43" s="175">
        <v>13</v>
      </c>
      <c r="C43" s="176" t="str">
        <f>Config!C17&amp;", "&amp;Config!D17</f>
        <v>Cremer, Marvin</v>
      </c>
      <c r="D43" s="183">
        <v>5</v>
      </c>
      <c r="E43" s="177">
        <f t="shared" si="1"/>
        <v>5</v>
      </c>
    </row>
    <row r="44" spans="2:5" s="116" customFormat="1" ht="13.2" customHeight="1" x14ac:dyDescent="0.2">
      <c r="B44" s="160"/>
      <c r="C44" s="161" t="s">
        <v>126</v>
      </c>
      <c r="D44" s="163"/>
      <c r="E44" s="149">
        <f t="shared" si="1"/>
        <v>0</v>
      </c>
    </row>
    <row r="45" spans="2:5" s="116" customFormat="1" ht="13.2" customHeight="1" x14ac:dyDescent="0.2">
      <c r="B45" s="164"/>
      <c r="C45" s="165" t="s">
        <v>127</v>
      </c>
      <c r="D45" s="147"/>
      <c r="E45" s="148">
        <f t="shared" si="1"/>
        <v>0</v>
      </c>
    </row>
    <row r="46" spans="2:5" ht="18" customHeight="1" x14ac:dyDescent="0.25">
      <c r="B46" s="170">
        <v>14</v>
      </c>
      <c r="C46" s="171" t="str">
        <f>Config!C18&amp;", "&amp;Config!D18</f>
        <v>Nash, Jean</v>
      </c>
      <c r="D46" s="181">
        <v>5</v>
      </c>
      <c r="E46" s="172">
        <f t="shared" si="1"/>
        <v>5</v>
      </c>
    </row>
    <row r="47" spans="2:5" s="116" customFormat="1" ht="13.2" customHeight="1" x14ac:dyDescent="0.2">
      <c r="B47" s="166"/>
      <c r="C47" s="167" t="s">
        <v>126</v>
      </c>
      <c r="D47" s="169"/>
      <c r="E47" s="152">
        <f t="shared" si="1"/>
        <v>0</v>
      </c>
    </row>
    <row r="48" spans="2:5" s="116" customFormat="1" ht="13.2" customHeight="1" x14ac:dyDescent="0.2">
      <c r="B48" s="173"/>
      <c r="C48" s="174" t="s">
        <v>127</v>
      </c>
      <c r="D48" s="147"/>
      <c r="E48" s="151">
        <f t="shared" si="1"/>
        <v>0</v>
      </c>
    </row>
    <row r="49" spans="2:5" ht="18" customHeight="1" x14ac:dyDescent="0.25">
      <c r="B49" s="175">
        <v>15</v>
      </c>
      <c r="C49" s="176" t="str">
        <f>Config!C19&amp;", "&amp;Config!D19</f>
        <v>Schön, Leonardo</v>
      </c>
      <c r="D49" s="183">
        <v>2.5</v>
      </c>
      <c r="E49" s="177">
        <f t="shared" si="1"/>
        <v>2.5</v>
      </c>
    </row>
    <row r="50" spans="2:5" s="116" customFormat="1" ht="13.2" customHeight="1" x14ac:dyDescent="0.2">
      <c r="B50" s="160"/>
      <c r="C50" s="161" t="s">
        <v>126</v>
      </c>
      <c r="D50" s="163"/>
      <c r="E50" s="149">
        <f t="shared" si="1"/>
        <v>0</v>
      </c>
    </row>
    <row r="51" spans="2:5" s="116" customFormat="1" ht="13.2" customHeight="1" x14ac:dyDescent="0.2">
      <c r="B51" s="164"/>
      <c r="C51" s="165" t="s">
        <v>127</v>
      </c>
      <c r="D51" s="147"/>
      <c r="E51" s="148">
        <f t="shared" si="1"/>
        <v>0</v>
      </c>
    </row>
    <row r="52" spans="2:5" ht="18" customHeight="1" x14ac:dyDescent="0.25">
      <c r="B52" s="170">
        <v>16</v>
      </c>
      <c r="C52" s="171" t="str">
        <f>Config!C20&amp;", "&amp;Config!D20</f>
        <v>Sigl, Nicholas</v>
      </c>
      <c r="D52" s="181">
        <v>5</v>
      </c>
      <c r="E52" s="172">
        <f t="shared" si="1"/>
        <v>5</v>
      </c>
    </row>
    <row r="53" spans="2:5" s="116" customFormat="1" ht="13.2" customHeight="1" x14ac:dyDescent="0.2">
      <c r="B53" s="166"/>
      <c r="C53" s="167" t="s">
        <v>126</v>
      </c>
      <c r="D53" s="169"/>
      <c r="E53" s="152">
        <f t="shared" si="1"/>
        <v>0</v>
      </c>
    </row>
    <row r="54" spans="2:5" s="116" customFormat="1" ht="13.2" customHeight="1" x14ac:dyDescent="0.2">
      <c r="B54" s="173"/>
      <c r="C54" s="174" t="s">
        <v>127</v>
      </c>
      <c r="D54" s="147"/>
      <c r="E54" s="151">
        <f t="shared" si="1"/>
        <v>0</v>
      </c>
    </row>
    <row r="55" spans="2:5" ht="18" customHeight="1" x14ac:dyDescent="0.25">
      <c r="B55" s="175">
        <v>17</v>
      </c>
      <c r="C55" s="176" t="str">
        <f>Config!C21&amp;", "&amp;Config!D21</f>
        <v>Kainz, Vivienne</v>
      </c>
      <c r="D55" s="183">
        <v>5</v>
      </c>
      <c r="E55" s="177">
        <f t="shared" si="1"/>
        <v>5</v>
      </c>
    </row>
    <row r="56" spans="2:5" s="116" customFormat="1" ht="13.2" customHeight="1" x14ac:dyDescent="0.2">
      <c r="B56" s="160"/>
      <c r="C56" s="161" t="s">
        <v>126</v>
      </c>
      <c r="D56" s="163"/>
      <c r="E56" s="149">
        <f t="shared" si="1"/>
        <v>0</v>
      </c>
    </row>
    <row r="57" spans="2:5" s="116" customFormat="1" ht="13.2" customHeight="1" x14ac:dyDescent="0.2">
      <c r="B57" s="164"/>
      <c r="C57" s="165" t="s">
        <v>127</v>
      </c>
      <c r="D57" s="147"/>
      <c r="E57" s="148">
        <f t="shared" si="1"/>
        <v>0</v>
      </c>
    </row>
    <row r="58" spans="2:5" ht="18" customHeight="1" x14ac:dyDescent="0.25">
      <c r="B58" s="170">
        <v>18</v>
      </c>
      <c r="C58" s="171" t="str">
        <f>Config!C22&amp;", "&amp;Config!D22</f>
        <v>Hartmann, Mads</v>
      </c>
      <c r="D58" s="181">
        <v>2.5</v>
      </c>
      <c r="E58" s="172">
        <f t="shared" si="1"/>
        <v>2.5</v>
      </c>
    </row>
    <row r="59" spans="2:5" s="116" customFormat="1" ht="13.2" customHeight="1" x14ac:dyDescent="0.2">
      <c r="B59" s="166"/>
      <c r="C59" s="167" t="s">
        <v>126</v>
      </c>
      <c r="D59" s="169"/>
      <c r="E59" s="152">
        <f t="shared" si="1"/>
        <v>0</v>
      </c>
    </row>
    <row r="60" spans="2:5" s="116" customFormat="1" ht="13.2" customHeight="1" x14ac:dyDescent="0.2">
      <c r="B60" s="173"/>
      <c r="C60" s="174" t="s">
        <v>127</v>
      </c>
      <c r="D60" s="147"/>
      <c r="E60" s="151">
        <f t="shared" si="1"/>
        <v>0</v>
      </c>
    </row>
    <row r="61" spans="2:5" ht="18" customHeight="1" x14ac:dyDescent="0.25">
      <c r="B61" s="175">
        <v>19</v>
      </c>
      <c r="C61" s="176" t="str">
        <f>Config!C23&amp;", "&amp;Config!D23</f>
        <v>Ullmann, Raphael</v>
      </c>
      <c r="D61" s="183">
        <v>5</v>
      </c>
      <c r="E61" s="177">
        <f t="shared" si="1"/>
        <v>5</v>
      </c>
    </row>
    <row r="62" spans="2:5" s="116" customFormat="1" ht="13.2" customHeight="1" x14ac:dyDescent="0.2">
      <c r="B62" s="160"/>
      <c r="C62" s="161" t="s">
        <v>126</v>
      </c>
      <c r="D62" s="163"/>
      <c r="E62" s="149">
        <f t="shared" si="1"/>
        <v>0</v>
      </c>
    </row>
    <row r="63" spans="2:5" s="116" customFormat="1" ht="13.2" customHeight="1" x14ac:dyDescent="0.2">
      <c r="B63" s="164"/>
      <c r="C63" s="165" t="s">
        <v>127</v>
      </c>
      <c r="D63" s="147"/>
      <c r="E63" s="148">
        <f t="shared" si="1"/>
        <v>0</v>
      </c>
    </row>
    <row r="64" spans="2:5" ht="18" customHeight="1" x14ac:dyDescent="0.25">
      <c r="B64" s="170">
        <v>20</v>
      </c>
      <c r="C64" s="171" t="str">
        <f>Config!C24&amp;", "&amp;Config!D24</f>
        <v>Hartl, Emmely</v>
      </c>
      <c r="D64" s="181">
        <v>3</v>
      </c>
      <c r="E64" s="172">
        <f t="shared" si="1"/>
        <v>3</v>
      </c>
    </row>
    <row r="65" spans="2:5" s="116" customFormat="1" ht="13.2" customHeight="1" x14ac:dyDescent="0.2">
      <c r="B65" s="166"/>
      <c r="C65" s="167" t="s">
        <v>126</v>
      </c>
      <c r="D65" s="169"/>
      <c r="E65" s="152">
        <f t="shared" si="1"/>
        <v>0</v>
      </c>
    </row>
    <row r="66" spans="2:5" s="116" customFormat="1" ht="13.2" customHeight="1" x14ac:dyDescent="0.2">
      <c r="B66" s="173"/>
      <c r="C66" s="174" t="s">
        <v>127</v>
      </c>
      <c r="D66" s="147"/>
      <c r="E66" s="151">
        <f t="shared" si="1"/>
        <v>0</v>
      </c>
    </row>
    <row r="67" spans="2:5" ht="18" customHeight="1" x14ac:dyDescent="0.25">
      <c r="B67" s="175">
        <v>21</v>
      </c>
      <c r="C67" s="176" t="str">
        <f>Config!C25&amp;", "&amp;Config!D25</f>
        <v>Klotz, Karin</v>
      </c>
      <c r="D67" s="183">
        <v>4</v>
      </c>
      <c r="E67" s="177">
        <f t="shared" si="1"/>
        <v>4</v>
      </c>
    </row>
    <row r="68" spans="2:5" s="116" customFormat="1" ht="13.2" customHeight="1" x14ac:dyDescent="0.2">
      <c r="B68" s="160"/>
      <c r="C68" s="161" t="s">
        <v>126</v>
      </c>
      <c r="D68" s="163"/>
      <c r="E68" s="149">
        <f t="shared" si="1"/>
        <v>0</v>
      </c>
    </row>
    <row r="69" spans="2:5" s="116" customFormat="1" ht="13.2" customHeight="1" x14ac:dyDescent="0.2">
      <c r="B69" s="164"/>
      <c r="C69" s="165" t="s">
        <v>127</v>
      </c>
      <c r="D69" s="147"/>
      <c r="E69" s="148">
        <f t="shared" si="1"/>
        <v>0</v>
      </c>
    </row>
    <row r="70" spans="2:5" ht="18" customHeight="1" x14ac:dyDescent="0.25">
      <c r="B70" s="170">
        <v>22</v>
      </c>
      <c r="C70" s="171" t="str">
        <f>Config!C26&amp;", "&amp;Config!D26</f>
        <v>Ehlers, Ingo</v>
      </c>
      <c r="D70" s="181">
        <v>5</v>
      </c>
      <c r="E70" s="172">
        <f t="shared" si="1"/>
        <v>5</v>
      </c>
    </row>
    <row r="71" spans="2:5" s="116" customFormat="1" ht="13.2" customHeight="1" x14ac:dyDescent="0.2">
      <c r="B71" s="166"/>
      <c r="C71" s="167" t="s">
        <v>126</v>
      </c>
      <c r="D71" s="169"/>
      <c r="E71" s="152">
        <f t="shared" ref="E71:E75" si="2">SUM(D71:D71)</f>
        <v>0</v>
      </c>
    </row>
    <row r="72" spans="2:5" s="116" customFormat="1" ht="13.2" customHeight="1" x14ac:dyDescent="0.2">
      <c r="B72" s="173"/>
      <c r="C72" s="174" t="s">
        <v>127</v>
      </c>
      <c r="D72" s="147"/>
      <c r="E72" s="151">
        <f t="shared" si="2"/>
        <v>0</v>
      </c>
    </row>
    <row r="73" spans="2:5" ht="18" customHeight="1" thickBot="1" x14ac:dyDescent="0.3">
      <c r="B73" s="142">
        <v>23</v>
      </c>
      <c r="C73" s="137" t="str">
        <f>Config!C27&amp;", "&amp;Config!D27</f>
        <v>Lindemann, Mads</v>
      </c>
      <c r="D73" s="96">
        <v>5</v>
      </c>
      <c r="E73" s="145">
        <f t="shared" si="2"/>
        <v>5</v>
      </c>
    </row>
    <row r="74" spans="2:5" s="116" customFormat="1" ht="13.2" customHeight="1" x14ac:dyDescent="0.2">
      <c r="B74" s="160"/>
      <c r="C74" s="161" t="s">
        <v>126</v>
      </c>
      <c r="D74" s="163"/>
      <c r="E74" s="149">
        <f t="shared" si="2"/>
        <v>0</v>
      </c>
    </row>
    <row r="75" spans="2:5" s="116" customFormat="1" ht="13.2" customHeight="1" thickBot="1" x14ac:dyDescent="0.25">
      <c r="B75" s="153"/>
      <c r="C75" s="156" t="s">
        <v>127</v>
      </c>
      <c r="D75" s="155"/>
      <c r="E75" s="150">
        <f t="shared" si="2"/>
        <v>0</v>
      </c>
    </row>
    <row r="76" spans="2:5" ht="18" customHeight="1" thickBot="1" x14ac:dyDescent="0.3">
      <c r="B76" s="119"/>
      <c r="C76" s="120"/>
      <c r="D76" s="120">
        <f>IF(COUNTIFS(D7:D73,"&lt;&gt;",C7:C73,"&lt;&gt;ZK",C7:C73,"&lt;&gt;DK")&lt;&gt;0,SUMIFS(D7:D73,C7:C73,"&lt;&gt;ZK",C7:C73,"&lt;&gt;DK")/(COUNTIFS(D7:D73,"&lt;&gt;",C7:C73,"&lt;&gt;ZK",C7:C73,"&lt;&gt;DK")*D6),0)</f>
        <v>0.74782608695652175</v>
      </c>
      <c r="E76" s="121"/>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Config!L6</f>
        <v>1a</v>
      </c>
      <c r="E5" s="124" t="str">
        <f>Config!L7</f>
        <v>1b</v>
      </c>
      <c r="F5" s="124" t="str">
        <f>Config!L8</f>
        <v>1c</v>
      </c>
      <c r="G5" s="124" t="str">
        <f>Config!L9</f>
        <v>1d</v>
      </c>
      <c r="H5" s="124" t="str">
        <f>Config!L10</f>
        <v>2</v>
      </c>
      <c r="I5" s="114" t="s">
        <v>82</v>
      </c>
    </row>
    <row r="6" spans="2:9" ht="18" customHeight="1" thickBot="1" x14ac:dyDescent="0.3">
      <c r="B6" s="109"/>
      <c r="C6" s="111" t="s">
        <v>81</v>
      </c>
      <c r="D6" s="113">
        <f>Config!M6</f>
        <v>2</v>
      </c>
      <c r="E6" s="113">
        <f>Config!M7</f>
        <v>2</v>
      </c>
      <c r="F6" s="113">
        <f>Config!M8</f>
        <v>2</v>
      </c>
      <c r="G6" s="113">
        <f>Config!M9</f>
        <v>4</v>
      </c>
      <c r="H6" s="113">
        <f>Config!M10</f>
        <v>7</v>
      </c>
      <c r="I6" s="125">
        <f>Config!M21</f>
        <v>17</v>
      </c>
    </row>
    <row r="7" spans="2:9" ht="18" customHeight="1" x14ac:dyDescent="0.25">
      <c r="B7" s="157">
        <v>1</v>
      </c>
      <c r="C7" s="158" t="str">
        <f>Config!C5&amp;", "&amp;Config!D5</f>
        <v>Höfer, Simon</v>
      </c>
      <c r="D7" s="178">
        <v>2</v>
      </c>
      <c r="E7" s="178">
        <v>2</v>
      </c>
      <c r="F7" s="178">
        <v>2</v>
      </c>
      <c r="G7" s="178">
        <v>4</v>
      </c>
      <c r="H7" s="179">
        <v>3</v>
      </c>
      <c r="I7" s="159">
        <f t="shared" ref="I7:I38" si="0">SUM(D7:H7)</f>
        <v>13</v>
      </c>
    </row>
    <row r="8" spans="2:9" s="116" customFormat="1" ht="13.2" customHeight="1" x14ac:dyDescent="0.2">
      <c r="B8" s="160"/>
      <c r="C8" s="161" t="s">
        <v>126</v>
      </c>
      <c r="D8" s="162"/>
      <c r="E8" s="162"/>
      <c r="F8" s="162"/>
      <c r="G8" s="162"/>
      <c r="H8" s="163"/>
      <c r="I8" s="149">
        <f t="shared" si="0"/>
        <v>0</v>
      </c>
    </row>
    <row r="9" spans="2:9" s="116" customFormat="1" ht="13.2" customHeight="1" x14ac:dyDescent="0.2">
      <c r="B9" s="164"/>
      <c r="C9" s="165" t="s">
        <v>127</v>
      </c>
      <c r="D9" s="146"/>
      <c r="E9" s="146"/>
      <c r="F9" s="146"/>
      <c r="G9" s="146"/>
      <c r="H9" s="147"/>
      <c r="I9" s="148">
        <f t="shared" si="0"/>
        <v>0</v>
      </c>
    </row>
    <row r="10" spans="2:9" ht="18" customHeight="1" x14ac:dyDescent="0.25">
      <c r="B10" s="170">
        <v>2</v>
      </c>
      <c r="C10" s="171" t="str">
        <f>Config!C6&amp;", "&amp;Config!D6</f>
        <v>Töpfer, Lilian</v>
      </c>
      <c r="D10" s="180">
        <v>1</v>
      </c>
      <c r="E10" s="180">
        <v>2</v>
      </c>
      <c r="F10" s="180">
        <v>1</v>
      </c>
      <c r="G10" s="180">
        <v>2</v>
      </c>
      <c r="H10" s="181">
        <v>1</v>
      </c>
      <c r="I10" s="172">
        <f t="shared" si="0"/>
        <v>7</v>
      </c>
    </row>
    <row r="11" spans="2:9" s="116" customFormat="1" ht="13.2" customHeight="1" x14ac:dyDescent="0.2">
      <c r="B11" s="166"/>
      <c r="C11" s="167" t="s">
        <v>126</v>
      </c>
      <c r="D11" s="168"/>
      <c r="E11" s="168"/>
      <c r="F11" s="168"/>
      <c r="G11" s="168"/>
      <c r="H11" s="169"/>
      <c r="I11" s="152">
        <f t="shared" si="0"/>
        <v>0</v>
      </c>
    </row>
    <row r="12" spans="2:9" s="116" customFormat="1" ht="13.2" customHeight="1" x14ac:dyDescent="0.2">
      <c r="B12" s="173"/>
      <c r="C12" s="174" t="s">
        <v>127</v>
      </c>
      <c r="D12" s="146"/>
      <c r="E12" s="146"/>
      <c r="F12" s="146"/>
      <c r="G12" s="146"/>
      <c r="H12" s="147"/>
      <c r="I12" s="151">
        <f t="shared" si="0"/>
        <v>0</v>
      </c>
    </row>
    <row r="13" spans="2:9" ht="18" customHeight="1" x14ac:dyDescent="0.25">
      <c r="B13" s="175">
        <v>3</v>
      </c>
      <c r="C13" s="176" t="str">
        <f>Config!C7&amp;", "&amp;Config!D7</f>
        <v>Fleischmann, Leonie</v>
      </c>
      <c r="D13" s="182">
        <v>2</v>
      </c>
      <c r="E13" s="182">
        <v>2</v>
      </c>
      <c r="F13" s="182">
        <v>1</v>
      </c>
      <c r="G13" s="182">
        <v>3</v>
      </c>
      <c r="H13" s="183">
        <v>0</v>
      </c>
      <c r="I13" s="177">
        <f t="shared" si="0"/>
        <v>8</v>
      </c>
    </row>
    <row r="14" spans="2:9" s="116" customFormat="1" ht="13.2" customHeight="1" x14ac:dyDescent="0.2">
      <c r="B14" s="160"/>
      <c r="C14" s="161" t="s">
        <v>126</v>
      </c>
      <c r="D14" s="162"/>
      <c r="E14" s="162"/>
      <c r="F14" s="162"/>
      <c r="G14" s="162"/>
      <c r="H14" s="163"/>
      <c r="I14" s="149">
        <f t="shared" si="0"/>
        <v>0</v>
      </c>
    </row>
    <row r="15" spans="2:9" s="116" customFormat="1" ht="13.2" customHeight="1" x14ac:dyDescent="0.2">
      <c r="B15" s="164"/>
      <c r="C15" s="165" t="s">
        <v>127</v>
      </c>
      <c r="D15" s="146"/>
      <c r="E15" s="146"/>
      <c r="F15" s="146"/>
      <c r="G15" s="146"/>
      <c r="H15" s="147"/>
      <c r="I15" s="148">
        <f t="shared" si="0"/>
        <v>0</v>
      </c>
    </row>
    <row r="16" spans="2:9" ht="18" customHeight="1" x14ac:dyDescent="0.25">
      <c r="B16" s="170">
        <v>4</v>
      </c>
      <c r="C16" s="171" t="str">
        <f>Config!C8&amp;", "&amp;Config!D8</f>
        <v>Drescher, Cedric</v>
      </c>
      <c r="D16" s="180">
        <v>2</v>
      </c>
      <c r="E16" s="180">
        <v>2</v>
      </c>
      <c r="F16" s="180">
        <v>1</v>
      </c>
      <c r="G16" s="180">
        <v>4</v>
      </c>
      <c r="H16" s="181">
        <v>0</v>
      </c>
      <c r="I16" s="172">
        <f t="shared" si="0"/>
        <v>9</v>
      </c>
    </row>
    <row r="17" spans="2:9" s="116" customFormat="1" ht="13.2" customHeight="1" x14ac:dyDescent="0.2">
      <c r="B17" s="166"/>
      <c r="C17" s="167" t="s">
        <v>126</v>
      </c>
      <c r="D17" s="168"/>
      <c r="E17" s="168"/>
      <c r="F17" s="168"/>
      <c r="G17" s="168"/>
      <c r="H17" s="169"/>
      <c r="I17" s="152">
        <f t="shared" si="0"/>
        <v>0</v>
      </c>
    </row>
    <row r="18" spans="2:9" s="116" customFormat="1" ht="13.2" customHeight="1" x14ac:dyDescent="0.2">
      <c r="B18" s="173"/>
      <c r="C18" s="174" t="s">
        <v>127</v>
      </c>
      <c r="D18" s="146"/>
      <c r="E18" s="146"/>
      <c r="F18" s="146"/>
      <c r="G18" s="146"/>
      <c r="H18" s="147"/>
      <c r="I18" s="151">
        <f t="shared" si="0"/>
        <v>0</v>
      </c>
    </row>
    <row r="19" spans="2:9" ht="18" customHeight="1" x14ac:dyDescent="0.25">
      <c r="B19" s="175">
        <v>5</v>
      </c>
      <c r="C19" s="176" t="str">
        <f>Config!C9&amp;", "&amp;Config!D9</f>
        <v>Baumgarten, Annabell</v>
      </c>
      <c r="D19" s="182">
        <v>1</v>
      </c>
      <c r="E19" s="182">
        <v>1</v>
      </c>
      <c r="F19" s="182">
        <v>1</v>
      </c>
      <c r="G19" s="182">
        <v>1.5</v>
      </c>
      <c r="H19" s="183">
        <v>0</v>
      </c>
      <c r="I19" s="177">
        <f t="shared" si="0"/>
        <v>4.5</v>
      </c>
    </row>
    <row r="20" spans="2:9" s="116" customFormat="1" ht="13.2" customHeight="1" x14ac:dyDescent="0.2">
      <c r="B20" s="160"/>
      <c r="C20" s="161" t="s">
        <v>126</v>
      </c>
      <c r="D20" s="162"/>
      <c r="E20" s="162"/>
      <c r="F20" s="162"/>
      <c r="G20" s="162"/>
      <c r="H20" s="163"/>
      <c r="I20" s="149">
        <f t="shared" si="0"/>
        <v>0</v>
      </c>
    </row>
    <row r="21" spans="2:9" s="116" customFormat="1" ht="13.2" customHeight="1" x14ac:dyDescent="0.2">
      <c r="B21" s="164"/>
      <c r="C21" s="165" t="s">
        <v>127</v>
      </c>
      <c r="D21" s="146"/>
      <c r="E21" s="146"/>
      <c r="F21" s="146"/>
      <c r="G21" s="146"/>
      <c r="H21" s="147"/>
      <c r="I21" s="148">
        <f t="shared" si="0"/>
        <v>0</v>
      </c>
    </row>
    <row r="22" spans="2:9" ht="18" customHeight="1" x14ac:dyDescent="0.25">
      <c r="B22" s="170">
        <v>6</v>
      </c>
      <c r="C22" s="171" t="str">
        <f>Config!C10&amp;", "&amp;Config!D10</f>
        <v>Traut, Stefanie</v>
      </c>
      <c r="D22" s="180">
        <v>2</v>
      </c>
      <c r="E22" s="180">
        <v>0.5</v>
      </c>
      <c r="F22" s="180">
        <v>1</v>
      </c>
      <c r="G22" s="180">
        <v>4</v>
      </c>
      <c r="H22" s="181">
        <v>3</v>
      </c>
      <c r="I22" s="172">
        <f t="shared" si="0"/>
        <v>10.5</v>
      </c>
    </row>
    <row r="23" spans="2:9" s="116" customFormat="1" ht="13.2" customHeight="1" x14ac:dyDescent="0.2">
      <c r="B23" s="166"/>
      <c r="C23" s="167" t="s">
        <v>126</v>
      </c>
      <c r="D23" s="168"/>
      <c r="E23" s="168"/>
      <c r="F23" s="168"/>
      <c r="G23" s="168"/>
      <c r="H23" s="169"/>
      <c r="I23" s="152">
        <f t="shared" si="0"/>
        <v>0</v>
      </c>
    </row>
    <row r="24" spans="2:9" s="116" customFormat="1" ht="13.2" customHeight="1" x14ac:dyDescent="0.2">
      <c r="B24" s="173"/>
      <c r="C24" s="174" t="s">
        <v>127</v>
      </c>
      <c r="D24" s="146"/>
      <c r="E24" s="146"/>
      <c r="F24" s="146"/>
      <c r="G24" s="146"/>
      <c r="H24" s="147"/>
      <c r="I24" s="151">
        <f t="shared" si="0"/>
        <v>0</v>
      </c>
    </row>
    <row r="25" spans="2:9" ht="18" customHeight="1" x14ac:dyDescent="0.25">
      <c r="B25" s="175">
        <v>7</v>
      </c>
      <c r="C25" s="176" t="str">
        <f>Config!C11&amp;", "&amp;Config!D11</f>
        <v>Menke, Damian</v>
      </c>
      <c r="D25" s="182">
        <v>2</v>
      </c>
      <c r="E25" s="182">
        <v>2</v>
      </c>
      <c r="F25" s="182">
        <v>2</v>
      </c>
      <c r="G25" s="182">
        <v>2.5</v>
      </c>
      <c r="H25" s="183">
        <v>0</v>
      </c>
      <c r="I25" s="177">
        <f t="shared" si="0"/>
        <v>8.5</v>
      </c>
    </row>
    <row r="26" spans="2:9" s="116" customFormat="1" ht="13.2" customHeight="1" x14ac:dyDescent="0.2">
      <c r="B26" s="160"/>
      <c r="C26" s="161" t="s">
        <v>126</v>
      </c>
      <c r="D26" s="162"/>
      <c r="E26" s="162"/>
      <c r="F26" s="162"/>
      <c r="G26" s="162"/>
      <c r="H26" s="163"/>
      <c r="I26" s="149">
        <f t="shared" si="0"/>
        <v>0</v>
      </c>
    </row>
    <row r="27" spans="2:9" s="116" customFormat="1" ht="13.2" customHeight="1" x14ac:dyDescent="0.2">
      <c r="B27" s="164"/>
      <c r="C27" s="165" t="s">
        <v>127</v>
      </c>
      <c r="D27" s="146"/>
      <c r="E27" s="146"/>
      <c r="F27" s="146"/>
      <c r="G27" s="146"/>
      <c r="H27" s="147"/>
      <c r="I27" s="148">
        <f t="shared" si="0"/>
        <v>0</v>
      </c>
    </row>
    <row r="28" spans="2:9" ht="18" customHeight="1" x14ac:dyDescent="0.25">
      <c r="B28" s="170">
        <v>8</v>
      </c>
      <c r="C28" s="171" t="str">
        <f>Config!C12&amp;", "&amp;Config!D12</f>
        <v>Carroll, Meik</v>
      </c>
      <c r="D28" s="180">
        <v>2</v>
      </c>
      <c r="E28" s="180">
        <v>2</v>
      </c>
      <c r="F28" s="180">
        <v>2</v>
      </c>
      <c r="G28" s="180">
        <v>2</v>
      </c>
      <c r="H28" s="181">
        <v>0.5</v>
      </c>
      <c r="I28" s="172">
        <f t="shared" si="0"/>
        <v>8.5</v>
      </c>
    </row>
    <row r="29" spans="2:9" s="116" customFormat="1" ht="13.2" customHeight="1" x14ac:dyDescent="0.2">
      <c r="B29" s="166"/>
      <c r="C29" s="167" t="s">
        <v>126</v>
      </c>
      <c r="D29" s="168"/>
      <c r="E29" s="168"/>
      <c r="F29" s="168"/>
      <c r="G29" s="168"/>
      <c r="H29" s="169"/>
      <c r="I29" s="152">
        <f t="shared" si="0"/>
        <v>0</v>
      </c>
    </row>
    <row r="30" spans="2:9" s="116" customFormat="1" ht="13.2" customHeight="1" x14ac:dyDescent="0.2">
      <c r="B30" s="173"/>
      <c r="C30" s="174" t="s">
        <v>127</v>
      </c>
      <c r="D30" s="146"/>
      <c r="E30" s="146"/>
      <c r="F30" s="146"/>
      <c r="G30" s="146"/>
      <c r="H30" s="147"/>
      <c r="I30" s="151">
        <f t="shared" si="0"/>
        <v>0</v>
      </c>
    </row>
    <row r="31" spans="2:9" ht="18" customHeight="1" x14ac:dyDescent="0.25">
      <c r="B31" s="175">
        <v>9</v>
      </c>
      <c r="C31" s="176" t="str">
        <f>Config!C13&amp;", "&amp;Config!D13</f>
        <v>Hennings, Tomas</v>
      </c>
      <c r="D31" s="182">
        <v>2</v>
      </c>
      <c r="E31" s="182">
        <v>2</v>
      </c>
      <c r="F31" s="182">
        <v>2</v>
      </c>
      <c r="G31" s="182">
        <v>4</v>
      </c>
      <c r="H31" s="183">
        <v>3</v>
      </c>
      <c r="I31" s="177">
        <f t="shared" si="0"/>
        <v>13</v>
      </c>
    </row>
    <row r="32" spans="2:9" s="116" customFormat="1" ht="13.2" customHeight="1" x14ac:dyDescent="0.2">
      <c r="B32" s="160"/>
      <c r="C32" s="161" t="s">
        <v>126</v>
      </c>
      <c r="D32" s="162"/>
      <c r="E32" s="162"/>
      <c r="F32" s="162"/>
      <c r="G32" s="162"/>
      <c r="H32" s="163"/>
      <c r="I32" s="149">
        <f t="shared" si="0"/>
        <v>0</v>
      </c>
    </row>
    <row r="33" spans="2:9" s="116" customFormat="1" ht="13.2" customHeight="1" x14ac:dyDescent="0.2">
      <c r="B33" s="164"/>
      <c r="C33" s="165" t="s">
        <v>127</v>
      </c>
      <c r="D33" s="146"/>
      <c r="E33" s="146"/>
      <c r="F33" s="146"/>
      <c r="G33" s="146"/>
      <c r="H33" s="147"/>
      <c r="I33" s="148">
        <f t="shared" si="0"/>
        <v>0</v>
      </c>
    </row>
    <row r="34" spans="2:9" ht="18" customHeight="1" x14ac:dyDescent="0.25">
      <c r="B34" s="170">
        <v>10</v>
      </c>
      <c r="C34" s="171" t="str">
        <f>Config!C14&amp;", "&amp;Config!D14</f>
        <v>Walters, Linn</v>
      </c>
      <c r="D34" s="180">
        <v>2</v>
      </c>
      <c r="E34" s="180">
        <v>2</v>
      </c>
      <c r="F34" s="180">
        <v>2</v>
      </c>
      <c r="G34" s="180">
        <v>2</v>
      </c>
      <c r="H34" s="181">
        <v>0</v>
      </c>
      <c r="I34" s="172">
        <f t="shared" si="0"/>
        <v>8</v>
      </c>
    </row>
    <row r="35" spans="2:9" s="116" customFormat="1" ht="13.2" customHeight="1" x14ac:dyDescent="0.2">
      <c r="B35" s="166"/>
      <c r="C35" s="167" t="s">
        <v>126</v>
      </c>
      <c r="D35" s="168"/>
      <c r="E35" s="168"/>
      <c r="F35" s="168"/>
      <c r="G35" s="168"/>
      <c r="H35" s="169"/>
      <c r="I35" s="152">
        <f t="shared" si="0"/>
        <v>0</v>
      </c>
    </row>
    <row r="36" spans="2:9" s="116" customFormat="1" ht="13.2" customHeight="1" x14ac:dyDescent="0.2">
      <c r="B36" s="173"/>
      <c r="C36" s="174" t="s">
        <v>127</v>
      </c>
      <c r="D36" s="146"/>
      <c r="E36" s="146"/>
      <c r="F36" s="146"/>
      <c r="G36" s="146"/>
      <c r="H36" s="147"/>
      <c r="I36" s="151">
        <f t="shared" si="0"/>
        <v>0</v>
      </c>
    </row>
    <row r="37" spans="2:9" ht="18" customHeight="1" x14ac:dyDescent="0.25">
      <c r="B37" s="175">
        <v>11</v>
      </c>
      <c r="C37" s="176" t="str">
        <f>Config!C15&amp;", "&amp;Config!D15</f>
        <v>Junker, Amely</v>
      </c>
      <c r="D37" s="182">
        <v>1</v>
      </c>
      <c r="E37" s="182">
        <v>0</v>
      </c>
      <c r="F37" s="182">
        <v>2</v>
      </c>
      <c r="G37" s="182">
        <v>1.5</v>
      </c>
      <c r="H37" s="183">
        <v>2</v>
      </c>
      <c r="I37" s="177">
        <f t="shared" si="0"/>
        <v>6.5</v>
      </c>
    </row>
    <row r="38" spans="2:9" s="116" customFormat="1" ht="13.2" customHeight="1" x14ac:dyDescent="0.2">
      <c r="B38" s="160"/>
      <c r="C38" s="161" t="s">
        <v>126</v>
      </c>
      <c r="D38" s="162"/>
      <c r="E38" s="162"/>
      <c r="F38" s="162"/>
      <c r="G38" s="162"/>
      <c r="H38" s="163"/>
      <c r="I38" s="149">
        <f t="shared" si="0"/>
        <v>0</v>
      </c>
    </row>
    <row r="39" spans="2:9" s="116" customFormat="1" ht="13.2" customHeight="1" x14ac:dyDescent="0.2">
      <c r="B39" s="164"/>
      <c r="C39" s="165" t="s">
        <v>127</v>
      </c>
      <c r="D39" s="146"/>
      <c r="E39" s="146"/>
      <c r="F39" s="146"/>
      <c r="G39" s="146"/>
      <c r="H39" s="147"/>
      <c r="I39" s="148">
        <f t="shared" ref="I39:I70" si="1">SUM(D39:H39)</f>
        <v>0</v>
      </c>
    </row>
    <row r="40" spans="2:9" ht="18" customHeight="1" x14ac:dyDescent="0.25">
      <c r="B40" s="170">
        <v>12</v>
      </c>
      <c r="C40" s="171" t="str">
        <f>Config!C16&amp;", "&amp;Config!D16</f>
        <v>Stephens, Melvin</v>
      </c>
      <c r="D40" s="180">
        <v>2</v>
      </c>
      <c r="E40" s="180">
        <v>2</v>
      </c>
      <c r="F40" s="180">
        <v>1</v>
      </c>
      <c r="G40" s="180">
        <v>0.5</v>
      </c>
      <c r="H40" s="181">
        <v>0</v>
      </c>
      <c r="I40" s="172">
        <f t="shared" si="1"/>
        <v>5.5</v>
      </c>
    </row>
    <row r="41" spans="2:9" s="116" customFormat="1" ht="13.2" customHeight="1" x14ac:dyDescent="0.2">
      <c r="B41" s="166"/>
      <c r="C41" s="167" t="s">
        <v>126</v>
      </c>
      <c r="D41" s="168"/>
      <c r="E41" s="168"/>
      <c r="F41" s="168"/>
      <c r="G41" s="168"/>
      <c r="H41" s="169"/>
      <c r="I41" s="152">
        <f t="shared" si="1"/>
        <v>0</v>
      </c>
    </row>
    <row r="42" spans="2:9" s="116" customFormat="1" ht="13.2" customHeight="1" x14ac:dyDescent="0.2">
      <c r="B42" s="173"/>
      <c r="C42" s="174" t="s">
        <v>127</v>
      </c>
      <c r="D42" s="146"/>
      <c r="E42" s="146"/>
      <c r="F42" s="146"/>
      <c r="G42" s="146"/>
      <c r="H42" s="147"/>
      <c r="I42" s="151">
        <f t="shared" si="1"/>
        <v>0</v>
      </c>
    </row>
    <row r="43" spans="2:9" ht="18" customHeight="1" x14ac:dyDescent="0.25">
      <c r="B43" s="175">
        <v>13</v>
      </c>
      <c r="C43" s="176" t="str">
        <f>Config!C17&amp;", "&amp;Config!D17</f>
        <v>Cremer, Marvin</v>
      </c>
      <c r="D43" s="182">
        <v>2</v>
      </c>
      <c r="E43" s="182">
        <v>0</v>
      </c>
      <c r="F43" s="182">
        <v>1.5</v>
      </c>
      <c r="G43" s="182">
        <v>0</v>
      </c>
      <c r="H43" s="183">
        <v>2</v>
      </c>
      <c r="I43" s="177">
        <f t="shared" si="1"/>
        <v>5.5</v>
      </c>
    </row>
    <row r="44" spans="2:9" s="116" customFormat="1" ht="13.2" customHeight="1" x14ac:dyDescent="0.2">
      <c r="B44" s="160"/>
      <c r="C44" s="161" t="s">
        <v>126</v>
      </c>
      <c r="D44" s="162"/>
      <c r="E44" s="162"/>
      <c r="F44" s="162"/>
      <c r="G44" s="162"/>
      <c r="H44" s="163"/>
      <c r="I44" s="149">
        <f t="shared" si="1"/>
        <v>0</v>
      </c>
    </row>
    <row r="45" spans="2:9" s="116" customFormat="1" ht="13.2" customHeight="1" x14ac:dyDescent="0.2">
      <c r="B45" s="164"/>
      <c r="C45" s="165" t="s">
        <v>127</v>
      </c>
      <c r="D45" s="146"/>
      <c r="E45" s="146"/>
      <c r="F45" s="146"/>
      <c r="G45" s="146"/>
      <c r="H45" s="147"/>
      <c r="I45" s="148">
        <f t="shared" si="1"/>
        <v>0</v>
      </c>
    </row>
    <row r="46" spans="2:9" ht="18" customHeight="1" x14ac:dyDescent="0.25">
      <c r="B46" s="170">
        <v>14</v>
      </c>
      <c r="C46" s="171" t="str">
        <f>Config!C18&amp;", "&amp;Config!D18</f>
        <v>Nash, Jean</v>
      </c>
      <c r="D46" s="180">
        <v>2</v>
      </c>
      <c r="E46" s="180">
        <v>0</v>
      </c>
      <c r="F46" s="180">
        <v>1</v>
      </c>
      <c r="G46" s="180">
        <v>2</v>
      </c>
      <c r="H46" s="181">
        <v>3</v>
      </c>
      <c r="I46" s="172">
        <f t="shared" si="1"/>
        <v>8</v>
      </c>
    </row>
    <row r="47" spans="2:9" s="116" customFormat="1" ht="13.2" customHeight="1" x14ac:dyDescent="0.2">
      <c r="B47" s="166"/>
      <c r="C47" s="167" t="s">
        <v>126</v>
      </c>
      <c r="D47" s="168"/>
      <c r="E47" s="168"/>
      <c r="F47" s="168"/>
      <c r="G47" s="168"/>
      <c r="H47" s="169"/>
      <c r="I47" s="152">
        <f t="shared" si="1"/>
        <v>0</v>
      </c>
    </row>
    <row r="48" spans="2:9" s="116" customFormat="1" ht="13.2" customHeight="1" x14ac:dyDescent="0.2">
      <c r="B48" s="173"/>
      <c r="C48" s="174" t="s">
        <v>127</v>
      </c>
      <c r="D48" s="146"/>
      <c r="E48" s="146"/>
      <c r="F48" s="146"/>
      <c r="G48" s="146"/>
      <c r="H48" s="147"/>
      <c r="I48" s="151">
        <f t="shared" si="1"/>
        <v>0</v>
      </c>
    </row>
    <row r="49" spans="2:9" ht="18" customHeight="1" x14ac:dyDescent="0.25">
      <c r="B49" s="175">
        <v>15</v>
      </c>
      <c r="C49" s="176" t="str">
        <f>Config!C19&amp;", "&amp;Config!D19</f>
        <v>Schön, Leonardo</v>
      </c>
      <c r="D49" s="182">
        <v>2</v>
      </c>
      <c r="E49" s="182">
        <v>0.5</v>
      </c>
      <c r="F49" s="182">
        <v>1.5</v>
      </c>
      <c r="G49" s="182">
        <v>3</v>
      </c>
      <c r="H49" s="183">
        <v>1</v>
      </c>
      <c r="I49" s="177">
        <f t="shared" si="1"/>
        <v>8</v>
      </c>
    </row>
    <row r="50" spans="2:9" s="116" customFormat="1" ht="13.2" customHeight="1" x14ac:dyDescent="0.2">
      <c r="B50" s="160"/>
      <c r="C50" s="161" t="s">
        <v>126</v>
      </c>
      <c r="D50" s="162"/>
      <c r="E50" s="162"/>
      <c r="F50" s="162"/>
      <c r="G50" s="162"/>
      <c r="H50" s="163"/>
      <c r="I50" s="149">
        <f t="shared" si="1"/>
        <v>0</v>
      </c>
    </row>
    <row r="51" spans="2:9" s="116" customFormat="1" ht="13.2" customHeight="1" x14ac:dyDescent="0.2">
      <c r="B51" s="164"/>
      <c r="C51" s="165" t="s">
        <v>127</v>
      </c>
      <c r="D51" s="146"/>
      <c r="E51" s="146"/>
      <c r="F51" s="146"/>
      <c r="G51" s="146"/>
      <c r="H51" s="147"/>
      <c r="I51" s="148">
        <f t="shared" si="1"/>
        <v>0</v>
      </c>
    </row>
    <row r="52" spans="2:9" ht="18" customHeight="1" x14ac:dyDescent="0.25">
      <c r="B52" s="170">
        <v>16</v>
      </c>
      <c r="C52" s="171" t="str">
        <f>Config!C20&amp;", "&amp;Config!D20</f>
        <v>Sigl, Nicholas</v>
      </c>
      <c r="D52" s="180">
        <v>0</v>
      </c>
      <c r="E52" s="180">
        <v>0</v>
      </c>
      <c r="F52" s="180">
        <v>0</v>
      </c>
      <c r="G52" s="180">
        <v>0</v>
      </c>
      <c r="H52" s="181">
        <v>0</v>
      </c>
      <c r="I52" s="172">
        <f t="shared" si="1"/>
        <v>0</v>
      </c>
    </row>
    <row r="53" spans="2:9" s="116" customFormat="1" ht="13.2" customHeight="1" x14ac:dyDescent="0.2">
      <c r="B53" s="166"/>
      <c r="C53" s="167" t="s">
        <v>126</v>
      </c>
      <c r="D53" s="168"/>
      <c r="E53" s="168"/>
      <c r="F53" s="168"/>
      <c r="G53" s="168"/>
      <c r="H53" s="169"/>
      <c r="I53" s="152">
        <f t="shared" si="1"/>
        <v>0</v>
      </c>
    </row>
    <row r="54" spans="2:9" s="116" customFormat="1" ht="13.2" customHeight="1" x14ac:dyDescent="0.2">
      <c r="B54" s="173"/>
      <c r="C54" s="174" t="s">
        <v>127</v>
      </c>
      <c r="D54" s="146"/>
      <c r="E54" s="146"/>
      <c r="F54" s="146"/>
      <c r="G54" s="146"/>
      <c r="H54" s="147"/>
      <c r="I54" s="151">
        <f t="shared" si="1"/>
        <v>0</v>
      </c>
    </row>
    <row r="55" spans="2:9" ht="18" customHeight="1" x14ac:dyDescent="0.25">
      <c r="B55" s="175">
        <v>17</v>
      </c>
      <c r="C55" s="176" t="str">
        <f>Config!C21&amp;", "&amp;Config!D21</f>
        <v>Kainz, Vivienne</v>
      </c>
      <c r="D55" s="182">
        <v>1</v>
      </c>
      <c r="E55" s="182">
        <v>1</v>
      </c>
      <c r="F55" s="182">
        <v>1.5</v>
      </c>
      <c r="G55" s="182">
        <v>1</v>
      </c>
      <c r="H55" s="183">
        <v>3</v>
      </c>
      <c r="I55" s="177">
        <f t="shared" si="1"/>
        <v>7.5</v>
      </c>
    </row>
    <row r="56" spans="2:9" s="116" customFormat="1" ht="13.2" customHeight="1" x14ac:dyDescent="0.2">
      <c r="B56" s="160"/>
      <c r="C56" s="161" t="s">
        <v>126</v>
      </c>
      <c r="D56" s="162"/>
      <c r="E56" s="162"/>
      <c r="F56" s="162"/>
      <c r="G56" s="162"/>
      <c r="H56" s="163"/>
      <c r="I56" s="149">
        <f t="shared" si="1"/>
        <v>0</v>
      </c>
    </row>
    <row r="57" spans="2:9" s="116" customFormat="1" ht="13.2" customHeight="1" x14ac:dyDescent="0.2">
      <c r="B57" s="164"/>
      <c r="C57" s="165" t="s">
        <v>127</v>
      </c>
      <c r="D57" s="146"/>
      <c r="E57" s="146"/>
      <c r="F57" s="146"/>
      <c r="G57" s="146"/>
      <c r="H57" s="147"/>
      <c r="I57" s="148">
        <f t="shared" si="1"/>
        <v>0</v>
      </c>
    </row>
    <row r="58" spans="2:9" ht="18" customHeight="1" x14ac:dyDescent="0.25">
      <c r="B58" s="170">
        <v>18</v>
      </c>
      <c r="C58" s="171" t="str">
        <f>Config!C22&amp;", "&amp;Config!D22</f>
        <v>Hartmann, Mads</v>
      </c>
      <c r="D58" s="180">
        <v>2</v>
      </c>
      <c r="E58" s="180">
        <v>2</v>
      </c>
      <c r="F58" s="180">
        <v>1</v>
      </c>
      <c r="G58" s="180">
        <v>2</v>
      </c>
      <c r="H58" s="181">
        <v>0</v>
      </c>
      <c r="I58" s="172">
        <f t="shared" si="1"/>
        <v>7</v>
      </c>
    </row>
    <row r="59" spans="2:9" s="116" customFormat="1" ht="13.2" customHeight="1" x14ac:dyDescent="0.2">
      <c r="B59" s="166"/>
      <c r="C59" s="167" t="s">
        <v>126</v>
      </c>
      <c r="D59" s="168"/>
      <c r="E59" s="168"/>
      <c r="F59" s="168"/>
      <c r="G59" s="168"/>
      <c r="H59" s="169"/>
      <c r="I59" s="152">
        <f t="shared" si="1"/>
        <v>0</v>
      </c>
    </row>
    <row r="60" spans="2:9" s="116" customFormat="1" ht="13.2" customHeight="1" x14ac:dyDescent="0.2">
      <c r="B60" s="173"/>
      <c r="C60" s="174" t="s">
        <v>127</v>
      </c>
      <c r="D60" s="146"/>
      <c r="E60" s="146"/>
      <c r="F60" s="146"/>
      <c r="G60" s="146"/>
      <c r="H60" s="147"/>
      <c r="I60" s="151">
        <f t="shared" si="1"/>
        <v>0</v>
      </c>
    </row>
    <row r="61" spans="2:9" ht="18" customHeight="1" x14ac:dyDescent="0.25">
      <c r="B61" s="175">
        <v>19</v>
      </c>
      <c r="C61" s="176" t="str">
        <f>Config!C23&amp;", "&amp;Config!D23</f>
        <v>Ullmann, Raphael</v>
      </c>
      <c r="D61" s="182">
        <v>2</v>
      </c>
      <c r="E61" s="182">
        <v>0.5</v>
      </c>
      <c r="F61" s="182">
        <v>1.5</v>
      </c>
      <c r="G61" s="182">
        <v>2</v>
      </c>
      <c r="H61" s="183">
        <v>1</v>
      </c>
      <c r="I61" s="177">
        <f t="shared" si="1"/>
        <v>7</v>
      </c>
    </row>
    <row r="62" spans="2:9" s="116" customFormat="1" ht="13.2" customHeight="1" x14ac:dyDescent="0.2">
      <c r="B62" s="160"/>
      <c r="C62" s="161" t="s">
        <v>126</v>
      </c>
      <c r="D62" s="162"/>
      <c r="E62" s="162"/>
      <c r="F62" s="162"/>
      <c r="G62" s="162"/>
      <c r="H62" s="163"/>
      <c r="I62" s="149">
        <f t="shared" si="1"/>
        <v>0</v>
      </c>
    </row>
    <row r="63" spans="2:9" s="116" customFormat="1" ht="13.2" customHeight="1" x14ac:dyDescent="0.2">
      <c r="B63" s="164"/>
      <c r="C63" s="165" t="s">
        <v>127</v>
      </c>
      <c r="D63" s="146"/>
      <c r="E63" s="146"/>
      <c r="F63" s="146"/>
      <c r="G63" s="146"/>
      <c r="H63" s="147"/>
      <c r="I63" s="148">
        <f t="shared" si="1"/>
        <v>0</v>
      </c>
    </row>
    <row r="64" spans="2:9" ht="18" customHeight="1" x14ac:dyDescent="0.25">
      <c r="B64" s="170">
        <v>20</v>
      </c>
      <c r="C64" s="171" t="str">
        <f>Config!C24&amp;", "&amp;Config!D24</f>
        <v>Hartl, Emmely</v>
      </c>
      <c r="D64" s="180">
        <v>2</v>
      </c>
      <c r="E64" s="180">
        <v>0.5</v>
      </c>
      <c r="F64" s="180">
        <v>2</v>
      </c>
      <c r="G64" s="180">
        <v>0</v>
      </c>
      <c r="H64" s="181">
        <v>0</v>
      </c>
      <c r="I64" s="172">
        <f t="shared" si="1"/>
        <v>4.5</v>
      </c>
    </row>
    <row r="65" spans="2:9" s="116" customFormat="1" ht="13.2" customHeight="1" x14ac:dyDescent="0.2">
      <c r="B65" s="166"/>
      <c r="C65" s="167" t="s">
        <v>126</v>
      </c>
      <c r="D65" s="168"/>
      <c r="E65" s="168"/>
      <c r="F65" s="168"/>
      <c r="G65" s="168"/>
      <c r="H65" s="169"/>
      <c r="I65" s="152">
        <f t="shared" si="1"/>
        <v>0</v>
      </c>
    </row>
    <row r="66" spans="2:9" s="116" customFormat="1" ht="13.2" customHeight="1" x14ac:dyDescent="0.2">
      <c r="B66" s="173"/>
      <c r="C66" s="174" t="s">
        <v>127</v>
      </c>
      <c r="D66" s="146"/>
      <c r="E66" s="146"/>
      <c r="F66" s="146"/>
      <c r="G66" s="146"/>
      <c r="H66" s="147"/>
      <c r="I66" s="151">
        <f t="shared" si="1"/>
        <v>0</v>
      </c>
    </row>
    <row r="67" spans="2:9" ht="18" customHeight="1" x14ac:dyDescent="0.25">
      <c r="B67" s="175">
        <v>21</v>
      </c>
      <c r="C67" s="176" t="str">
        <f>Config!C25&amp;", "&amp;Config!D25</f>
        <v>Klotz, Karin</v>
      </c>
      <c r="D67" s="182">
        <v>1</v>
      </c>
      <c r="E67" s="182">
        <v>2</v>
      </c>
      <c r="F67" s="182">
        <v>1</v>
      </c>
      <c r="G67" s="182">
        <v>2</v>
      </c>
      <c r="H67" s="183">
        <v>0</v>
      </c>
      <c r="I67" s="177">
        <f t="shared" si="1"/>
        <v>6</v>
      </c>
    </row>
    <row r="68" spans="2:9" s="116" customFormat="1" ht="13.2" customHeight="1" x14ac:dyDescent="0.2">
      <c r="B68" s="160"/>
      <c r="C68" s="161" t="s">
        <v>126</v>
      </c>
      <c r="D68" s="162"/>
      <c r="E68" s="162"/>
      <c r="F68" s="162"/>
      <c r="G68" s="162"/>
      <c r="H68" s="163"/>
      <c r="I68" s="149">
        <f t="shared" si="1"/>
        <v>0</v>
      </c>
    </row>
    <row r="69" spans="2:9" s="116" customFormat="1" ht="13.2" customHeight="1" x14ac:dyDescent="0.2">
      <c r="B69" s="164"/>
      <c r="C69" s="165" t="s">
        <v>127</v>
      </c>
      <c r="D69" s="146"/>
      <c r="E69" s="146"/>
      <c r="F69" s="146"/>
      <c r="G69" s="146"/>
      <c r="H69" s="147"/>
      <c r="I69" s="148">
        <f t="shared" si="1"/>
        <v>0</v>
      </c>
    </row>
    <row r="70" spans="2:9" ht="18" customHeight="1" x14ac:dyDescent="0.25">
      <c r="B70" s="170">
        <v>22</v>
      </c>
      <c r="C70" s="171" t="str">
        <f>Config!C26&amp;", "&amp;Config!D26</f>
        <v>Ehlers, Ingo</v>
      </c>
      <c r="D70" s="180">
        <v>2</v>
      </c>
      <c r="E70" s="180">
        <v>0</v>
      </c>
      <c r="F70" s="180">
        <v>2</v>
      </c>
      <c r="G70" s="180">
        <v>1.5</v>
      </c>
      <c r="H70" s="181">
        <v>0</v>
      </c>
      <c r="I70" s="172">
        <f t="shared" si="1"/>
        <v>5.5</v>
      </c>
    </row>
    <row r="71" spans="2:9" s="116" customFormat="1" ht="13.2" customHeight="1" x14ac:dyDescent="0.2">
      <c r="B71" s="166"/>
      <c r="C71" s="167" t="s">
        <v>126</v>
      </c>
      <c r="D71" s="168"/>
      <c r="E71" s="168"/>
      <c r="F71" s="168"/>
      <c r="G71" s="168"/>
      <c r="H71" s="169"/>
      <c r="I71" s="152">
        <f t="shared" ref="I71:I75" si="2">SUM(D71:H71)</f>
        <v>0</v>
      </c>
    </row>
    <row r="72" spans="2:9" s="116" customFormat="1" ht="13.2" customHeight="1" x14ac:dyDescent="0.2">
      <c r="B72" s="173"/>
      <c r="C72" s="174" t="s">
        <v>127</v>
      </c>
      <c r="D72" s="146"/>
      <c r="E72" s="146"/>
      <c r="F72" s="146"/>
      <c r="G72" s="146"/>
      <c r="H72" s="147"/>
      <c r="I72" s="151">
        <f t="shared" si="2"/>
        <v>0</v>
      </c>
    </row>
    <row r="73" spans="2:9" ht="18" customHeight="1" thickBot="1" x14ac:dyDescent="0.3">
      <c r="B73" s="142">
        <v>23</v>
      </c>
      <c r="C73" s="137" t="str">
        <f>Config!C27&amp;", "&amp;Config!D27</f>
        <v>Lindemann, Mads</v>
      </c>
      <c r="D73" s="95">
        <v>2</v>
      </c>
      <c r="E73" s="95">
        <v>2</v>
      </c>
      <c r="F73" s="95">
        <v>2</v>
      </c>
      <c r="G73" s="95">
        <v>4</v>
      </c>
      <c r="H73" s="96">
        <v>0</v>
      </c>
      <c r="I73" s="145">
        <f t="shared" si="2"/>
        <v>10</v>
      </c>
    </row>
    <row r="74" spans="2:9" s="116" customFormat="1" ht="13.2" customHeight="1" x14ac:dyDescent="0.2">
      <c r="B74" s="160"/>
      <c r="C74" s="161" t="s">
        <v>126</v>
      </c>
      <c r="D74" s="162"/>
      <c r="E74" s="162"/>
      <c r="F74" s="162"/>
      <c r="G74" s="162"/>
      <c r="H74" s="163"/>
      <c r="I74" s="149">
        <f t="shared" si="2"/>
        <v>0</v>
      </c>
    </row>
    <row r="75" spans="2:9" s="116" customFormat="1" ht="13.2" customHeight="1" thickBot="1" x14ac:dyDescent="0.25">
      <c r="B75" s="153"/>
      <c r="C75" s="156" t="s">
        <v>127</v>
      </c>
      <c r="D75" s="154"/>
      <c r="E75" s="154"/>
      <c r="F75" s="154"/>
      <c r="G75" s="154"/>
      <c r="H75" s="155"/>
      <c r="I75" s="150">
        <f t="shared" si="2"/>
        <v>0</v>
      </c>
    </row>
    <row r="76" spans="2:9" ht="18" customHeight="1" thickBot="1" x14ac:dyDescent="0.3">
      <c r="B76" s="119"/>
      <c r="C76" s="120"/>
      <c r="D76" s="120">
        <f>IF(COUNTIFS(D7:D73,"&lt;&gt;",C7:C73,"&lt;&gt;ZK",C7:C73,"&lt;&gt;DK")&lt;&gt;0,SUMIFS(D7:D73,C7:C73,"&lt;&gt;ZK",C7:C73,"&lt;&gt;DK")/(COUNTIFS(D7:D73,"&lt;&gt;",C7:C73,"&lt;&gt;ZK",C7:C73,"&lt;&gt;DK")*D6),0)</f>
        <v>0.84782608695652173</v>
      </c>
      <c r="E76" s="120">
        <f>IF(COUNTIFS(E7:E73,"&lt;&gt;",C7:C73,"&lt;&gt;ZK",C7:C73,"&lt;&gt;DK")&lt;&gt;0,SUMIFS(E7:E73,C7:C73,"&lt;&gt;ZK",C7:C73,"&lt;&gt;DK")/(COUNTIFS(E7:E73,"&lt;&gt;",C7:C73,"&lt;&gt;ZK",C7:C73,"&lt;&gt;DK")*E6),0)</f>
        <v>0.60869565217391308</v>
      </c>
      <c r="F76" s="120">
        <f>IF(COUNTIFS(F7:F73,"&lt;&gt;",C7:C73,"&lt;&gt;ZK",C7:C73,"&lt;&gt;DK")&lt;&gt;0,SUMIFS(F7:F73,C7:C73,"&lt;&gt;ZK",C7:C73,"&lt;&gt;DK")/(COUNTIFS(F7:F73,"&lt;&gt;",C7:C73,"&lt;&gt;ZK",C7:C73,"&lt;&gt;DK")*F6),0)</f>
        <v>0.71739130434782605</v>
      </c>
      <c r="G76" s="120">
        <f>IF(COUNTIFS(G7:G73,"&lt;&gt;",C7:C73,"&lt;&gt;ZK",C7:C73,"&lt;&gt;DK")&lt;&gt;0,SUMIFS(G7:G73,C7:C73,"&lt;&gt;ZK",C7:C73,"&lt;&gt;DK")/(COUNTIFS(G7:G73,"&lt;&gt;",C7:C73,"&lt;&gt;ZK",C7:C73,"&lt;&gt;DK")*G6),0)</f>
        <v>0.52717391304347827</v>
      </c>
      <c r="H76" s="120">
        <f>IF(COUNTIFS(H7:H73,"&lt;&gt;",C7:C73,"&lt;&gt;ZK",C7:C73,"&lt;&gt;DK")&lt;&gt;0,SUMIFS(H7:H73,C7:C73,"&lt;&gt;ZK",C7:C73,"&lt;&gt;DK")/(COUNTIFS(H7:H73,"&lt;&gt;",C7:C73,"&lt;&gt;ZK",C7:C73,"&lt;&gt;DK")*H6),0)</f>
        <v>0.13975155279503104</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E8" sqref="E8"/>
    </sheetView>
  </sheetViews>
  <sheetFormatPr baseColWidth="10" defaultColWidth="11.5546875" defaultRowHeight="13.2" x14ac:dyDescent="0.25"/>
  <cols>
    <col min="1" max="2" width="3.44140625" style="98" customWidth="1"/>
    <col min="3" max="3" width="25.6640625" style="98" customWidth="1"/>
    <col min="4" max="6" width="8.6640625" style="98" customWidth="1"/>
    <col min="7" max="16384" width="11.5546875" style="98"/>
  </cols>
  <sheetData>
    <row r="1" spans="2:6" ht="18" customHeight="1" thickBot="1" x14ac:dyDescent="0.3"/>
    <row r="2" spans="2:6" ht="18" customHeight="1" x14ac:dyDescent="0.25">
      <c r="B2" s="99" t="str">
        <f>Config!F2&amp;" "&amp;YEAR(Config!G24)</f>
        <v>Mathe Abitur 2026</v>
      </c>
      <c r="C2" s="100"/>
      <c r="D2" s="100"/>
      <c r="E2" s="101"/>
      <c r="F2" s="102" t="str">
        <f>"Kurs "&amp;Config!G26</f>
        <v>Kurs K1</v>
      </c>
    </row>
    <row r="3" spans="2:6" ht="18" customHeight="1" x14ac:dyDescent="0.25">
      <c r="B3" s="103" t="s">
        <v>13</v>
      </c>
      <c r="C3" s="104"/>
      <c r="D3" s="104"/>
      <c r="E3" s="104"/>
      <c r="F3" s="105"/>
    </row>
    <row r="4" spans="2:6" ht="18" customHeight="1" thickBot="1" x14ac:dyDescent="0.3">
      <c r="B4" s="103"/>
      <c r="C4" s="104"/>
      <c r="D4" s="106"/>
      <c r="E4" s="106"/>
      <c r="F4" s="107"/>
    </row>
    <row r="5" spans="2:6" ht="18" customHeight="1" thickBot="1" x14ac:dyDescent="0.3">
      <c r="B5" s="108"/>
      <c r="C5" s="110"/>
      <c r="D5" s="124" t="str">
        <f>Config!N6</f>
        <v>1a</v>
      </c>
      <c r="E5" s="124" t="str">
        <f>Config!N7</f>
        <v>1b</v>
      </c>
      <c r="F5" s="114" t="s">
        <v>82</v>
      </c>
    </row>
    <row r="6" spans="2:6" ht="18" customHeight="1" thickBot="1" x14ac:dyDescent="0.3">
      <c r="B6" s="109"/>
      <c r="C6" s="111" t="s">
        <v>81</v>
      </c>
      <c r="D6" s="113">
        <f>Config!O6</f>
        <v>2</v>
      </c>
      <c r="E6" s="113">
        <f>Config!O7</f>
        <v>3</v>
      </c>
      <c r="F6" s="125">
        <f>Config!O21</f>
        <v>5</v>
      </c>
    </row>
    <row r="7" spans="2:6" ht="18" customHeight="1" x14ac:dyDescent="0.25">
      <c r="B7" s="157">
        <v>1</v>
      </c>
      <c r="C7" s="158" t="str">
        <f>Config!C5&amp;", "&amp;Config!D5</f>
        <v>Höfer, Simon</v>
      </c>
      <c r="D7" s="178">
        <v>0</v>
      </c>
      <c r="E7" s="179">
        <v>0</v>
      </c>
      <c r="F7" s="159">
        <f t="shared" ref="F7:F38" si="0">SUM(D7:E7)</f>
        <v>0</v>
      </c>
    </row>
    <row r="8" spans="2:6" s="116" customFormat="1" ht="13.2" customHeight="1" x14ac:dyDescent="0.2">
      <c r="B8" s="160"/>
      <c r="C8" s="161" t="s">
        <v>126</v>
      </c>
      <c r="D8" s="162"/>
      <c r="E8" s="163"/>
      <c r="F8" s="149">
        <f t="shared" si="0"/>
        <v>0</v>
      </c>
    </row>
    <row r="9" spans="2:6" s="116" customFormat="1" ht="13.2" customHeight="1" x14ac:dyDescent="0.2">
      <c r="B9" s="164"/>
      <c r="C9" s="165" t="s">
        <v>127</v>
      </c>
      <c r="D9" s="146"/>
      <c r="E9" s="147"/>
      <c r="F9" s="148">
        <f t="shared" si="0"/>
        <v>0</v>
      </c>
    </row>
    <row r="10" spans="2:6" ht="18" customHeight="1" x14ac:dyDescent="0.25">
      <c r="B10" s="170">
        <v>2</v>
      </c>
      <c r="C10" s="171" t="str">
        <f>Config!C6&amp;", "&amp;Config!D6</f>
        <v>Töpfer, Lilian</v>
      </c>
      <c r="D10" s="180">
        <v>1.5</v>
      </c>
      <c r="E10" s="181">
        <v>2</v>
      </c>
      <c r="F10" s="172">
        <f t="shared" si="0"/>
        <v>3.5</v>
      </c>
    </row>
    <row r="11" spans="2:6" s="116" customFormat="1" ht="13.2" customHeight="1" x14ac:dyDescent="0.2">
      <c r="B11" s="166"/>
      <c r="C11" s="167" t="s">
        <v>126</v>
      </c>
      <c r="D11" s="168">
        <v>1.5</v>
      </c>
      <c r="E11" s="192">
        <v>1.5</v>
      </c>
      <c r="F11" s="152">
        <f t="shared" si="0"/>
        <v>3</v>
      </c>
    </row>
    <row r="12" spans="2:6" s="116" customFormat="1" ht="13.2" customHeight="1" x14ac:dyDescent="0.2">
      <c r="B12" s="173"/>
      <c r="C12" s="174" t="s">
        <v>127</v>
      </c>
      <c r="D12" s="146"/>
      <c r="E12" s="147"/>
      <c r="F12" s="151">
        <f t="shared" si="0"/>
        <v>0</v>
      </c>
    </row>
    <row r="13" spans="2:6" ht="18" customHeight="1" x14ac:dyDescent="0.25">
      <c r="B13" s="175">
        <v>3</v>
      </c>
      <c r="C13" s="176" t="str">
        <f>Config!C7&amp;", "&amp;Config!D7</f>
        <v>Fleischmann, Leonie</v>
      </c>
      <c r="D13" s="182">
        <v>2</v>
      </c>
      <c r="E13" s="183">
        <v>2.5</v>
      </c>
      <c r="F13" s="177">
        <f t="shared" si="0"/>
        <v>4.5</v>
      </c>
    </row>
    <row r="14" spans="2:6" s="116" customFormat="1" ht="13.2" customHeight="1" x14ac:dyDescent="0.2">
      <c r="B14" s="160"/>
      <c r="C14" s="161" t="s">
        <v>126</v>
      </c>
      <c r="D14" s="162"/>
      <c r="E14" s="163"/>
      <c r="F14" s="149">
        <f t="shared" si="0"/>
        <v>0</v>
      </c>
    </row>
    <row r="15" spans="2:6" s="116" customFormat="1" ht="13.2" customHeight="1" x14ac:dyDescent="0.2">
      <c r="B15" s="164"/>
      <c r="C15" s="165" t="s">
        <v>127</v>
      </c>
      <c r="D15" s="146"/>
      <c r="E15" s="147"/>
      <c r="F15" s="148">
        <f t="shared" si="0"/>
        <v>0</v>
      </c>
    </row>
    <row r="16" spans="2:6" ht="18" customHeight="1" x14ac:dyDescent="0.25">
      <c r="B16" s="170">
        <v>4</v>
      </c>
      <c r="C16" s="171" t="str">
        <f>Config!C8&amp;", "&amp;Config!D8</f>
        <v>Drescher, Cedric</v>
      </c>
      <c r="D16" s="180">
        <v>2</v>
      </c>
      <c r="E16" s="181">
        <v>1.5</v>
      </c>
      <c r="F16" s="172">
        <f t="shared" si="0"/>
        <v>3.5</v>
      </c>
    </row>
    <row r="17" spans="2:6" s="116" customFormat="1" ht="13.2" customHeight="1" x14ac:dyDescent="0.2">
      <c r="B17" s="166"/>
      <c r="C17" s="167" t="s">
        <v>126</v>
      </c>
      <c r="D17" s="168"/>
      <c r="E17" s="169"/>
      <c r="F17" s="152">
        <f t="shared" si="0"/>
        <v>0</v>
      </c>
    </row>
    <row r="18" spans="2:6" s="116" customFormat="1" ht="13.2" customHeight="1" x14ac:dyDescent="0.2">
      <c r="B18" s="173"/>
      <c r="C18" s="174" t="s">
        <v>127</v>
      </c>
      <c r="D18" s="146"/>
      <c r="E18" s="147"/>
      <c r="F18" s="151">
        <f t="shared" si="0"/>
        <v>0</v>
      </c>
    </row>
    <row r="19" spans="2:6" ht="18" customHeight="1" x14ac:dyDescent="0.25">
      <c r="B19" s="175">
        <v>5</v>
      </c>
      <c r="C19" s="176" t="str">
        <f>Config!C9&amp;", "&amp;Config!D9</f>
        <v>Baumgarten, Annabell</v>
      </c>
      <c r="D19" s="182">
        <v>1.5</v>
      </c>
      <c r="E19" s="183">
        <v>2</v>
      </c>
      <c r="F19" s="177">
        <f t="shared" si="0"/>
        <v>3.5</v>
      </c>
    </row>
    <row r="20" spans="2:6" s="116" customFormat="1" ht="13.2" customHeight="1" x14ac:dyDescent="0.2">
      <c r="B20" s="160"/>
      <c r="C20" s="161" t="s">
        <v>126</v>
      </c>
      <c r="D20" s="162"/>
      <c r="E20" s="163"/>
      <c r="F20" s="149">
        <f t="shared" si="0"/>
        <v>0</v>
      </c>
    </row>
    <row r="21" spans="2:6" s="116" customFormat="1" ht="13.2" customHeight="1" x14ac:dyDescent="0.2">
      <c r="B21" s="164"/>
      <c r="C21" s="165" t="s">
        <v>127</v>
      </c>
      <c r="D21" s="146"/>
      <c r="E21" s="147"/>
      <c r="F21" s="148">
        <f t="shared" si="0"/>
        <v>0</v>
      </c>
    </row>
    <row r="22" spans="2:6" ht="18" customHeight="1" x14ac:dyDescent="0.25">
      <c r="B22" s="170">
        <v>6</v>
      </c>
      <c r="C22" s="171" t="str">
        <f>Config!C10&amp;", "&amp;Config!D10</f>
        <v>Traut, Stefanie</v>
      </c>
      <c r="D22" s="180">
        <v>1.5</v>
      </c>
      <c r="E22" s="181">
        <v>3</v>
      </c>
      <c r="F22" s="172">
        <f t="shared" si="0"/>
        <v>4.5</v>
      </c>
    </row>
    <row r="23" spans="2:6" s="116" customFormat="1" ht="13.2" customHeight="1" x14ac:dyDescent="0.2">
      <c r="B23" s="166"/>
      <c r="C23" s="167" t="s">
        <v>126</v>
      </c>
      <c r="D23" s="168"/>
      <c r="E23" s="169"/>
      <c r="F23" s="152">
        <f t="shared" si="0"/>
        <v>0</v>
      </c>
    </row>
    <row r="24" spans="2:6" s="116" customFormat="1" ht="13.2" customHeight="1" x14ac:dyDescent="0.2">
      <c r="B24" s="173"/>
      <c r="C24" s="174" t="s">
        <v>127</v>
      </c>
      <c r="D24" s="146"/>
      <c r="E24" s="147"/>
      <c r="F24" s="151">
        <f t="shared" si="0"/>
        <v>0</v>
      </c>
    </row>
    <row r="25" spans="2:6" ht="18" customHeight="1" x14ac:dyDescent="0.25">
      <c r="B25" s="175">
        <v>7</v>
      </c>
      <c r="C25" s="176" t="str">
        <f>Config!C11&amp;", "&amp;Config!D11</f>
        <v>Menke, Damian</v>
      </c>
      <c r="D25" s="182">
        <v>2</v>
      </c>
      <c r="E25" s="183">
        <v>2.5</v>
      </c>
      <c r="F25" s="177">
        <f t="shared" si="0"/>
        <v>4.5</v>
      </c>
    </row>
    <row r="26" spans="2:6" s="116" customFormat="1" ht="13.2" customHeight="1" x14ac:dyDescent="0.2">
      <c r="B26" s="160"/>
      <c r="C26" s="161" t="s">
        <v>126</v>
      </c>
      <c r="D26" s="162"/>
      <c r="E26" s="163"/>
      <c r="F26" s="149">
        <f t="shared" si="0"/>
        <v>0</v>
      </c>
    </row>
    <row r="27" spans="2:6" s="116" customFormat="1" ht="13.2" customHeight="1" x14ac:dyDescent="0.2">
      <c r="B27" s="164"/>
      <c r="C27" s="165" t="s">
        <v>127</v>
      </c>
      <c r="D27" s="146"/>
      <c r="E27" s="147"/>
      <c r="F27" s="148">
        <f t="shared" si="0"/>
        <v>0</v>
      </c>
    </row>
    <row r="28" spans="2:6" ht="18" customHeight="1" x14ac:dyDescent="0.25">
      <c r="B28" s="170">
        <v>8</v>
      </c>
      <c r="C28" s="171" t="str">
        <f>Config!C12&amp;", "&amp;Config!D12</f>
        <v>Carroll, Meik</v>
      </c>
      <c r="D28" s="180">
        <v>2</v>
      </c>
      <c r="E28" s="181">
        <v>2</v>
      </c>
      <c r="F28" s="172">
        <f t="shared" si="0"/>
        <v>4</v>
      </c>
    </row>
    <row r="29" spans="2:6" s="116" customFormat="1" ht="13.2" customHeight="1" x14ac:dyDescent="0.2">
      <c r="B29" s="166"/>
      <c r="C29" s="167" t="s">
        <v>126</v>
      </c>
      <c r="D29" s="168"/>
      <c r="E29" s="169"/>
      <c r="F29" s="152">
        <f t="shared" si="0"/>
        <v>0</v>
      </c>
    </row>
    <row r="30" spans="2:6" s="116" customFormat="1" ht="13.2" customHeight="1" x14ac:dyDescent="0.2">
      <c r="B30" s="173"/>
      <c r="C30" s="174" t="s">
        <v>127</v>
      </c>
      <c r="D30" s="146"/>
      <c r="E30" s="147"/>
      <c r="F30" s="151">
        <f t="shared" si="0"/>
        <v>0</v>
      </c>
    </row>
    <row r="31" spans="2:6" ht="18" customHeight="1" x14ac:dyDescent="0.25">
      <c r="B31" s="175">
        <v>9</v>
      </c>
      <c r="C31" s="176" t="str">
        <f>Config!C13&amp;", "&amp;Config!D13</f>
        <v>Hennings, Tomas</v>
      </c>
      <c r="D31" s="182">
        <v>1.5</v>
      </c>
      <c r="E31" s="183">
        <v>3</v>
      </c>
      <c r="F31" s="177">
        <f t="shared" si="0"/>
        <v>4.5</v>
      </c>
    </row>
    <row r="32" spans="2:6" s="116" customFormat="1" ht="13.2" customHeight="1" x14ac:dyDescent="0.2">
      <c r="B32" s="160"/>
      <c r="C32" s="161" t="s">
        <v>126</v>
      </c>
      <c r="D32" s="162"/>
      <c r="E32" s="163"/>
      <c r="F32" s="149">
        <f t="shared" si="0"/>
        <v>0</v>
      </c>
    </row>
    <row r="33" spans="2:6" s="116" customFormat="1" ht="13.2" customHeight="1" x14ac:dyDescent="0.2">
      <c r="B33" s="164"/>
      <c r="C33" s="165" t="s">
        <v>127</v>
      </c>
      <c r="D33" s="146"/>
      <c r="E33" s="147"/>
      <c r="F33" s="148">
        <f t="shared" si="0"/>
        <v>0</v>
      </c>
    </row>
    <row r="34" spans="2:6" ht="18" customHeight="1" x14ac:dyDescent="0.25">
      <c r="B34" s="170">
        <v>10</v>
      </c>
      <c r="C34" s="171" t="str">
        <f>Config!C14&amp;", "&amp;Config!D14</f>
        <v>Walters, Linn</v>
      </c>
      <c r="D34" s="180">
        <v>1</v>
      </c>
      <c r="E34" s="181">
        <v>0</v>
      </c>
      <c r="F34" s="172">
        <f t="shared" si="0"/>
        <v>1</v>
      </c>
    </row>
    <row r="35" spans="2:6" s="116" customFormat="1" ht="13.2" customHeight="1" x14ac:dyDescent="0.2">
      <c r="B35" s="166"/>
      <c r="C35" s="167" t="s">
        <v>126</v>
      </c>
      <c r="D35" s="168"/>
      <c r="E35" s="169"/>
      <c r="F35" s="152">
        <f t="shared" si="0"/>
        <v>0</v>
      </c>
    </row>
    <row r="36" spans="2:6" s="116" customFormat="1" ht="13.2" customHeight="1" x14ac:dyDescent="0.2">
      <c r="B36" s="173"/>
      <c r="C36" s="174" t="s">
        <v>127</v>
      </c>
      <c r="D36" s="146"/>
      <c r="E36" s="147"/>
      <c r="F36" s="151">
        <f t="shared" si="0"/>
        <v>0</v>
      </c>
    </row>
    <row r="37" spans="2:6" ht="18" customHeight="1" x14ac:dyDescent="0.25">
      <c r="B37" s="175">
        <v>11</v>
      </c>
      <c r="C37" s="176" t="str">
        <f>Config!C15&amp;", "&amp;Config!D15</f>
        <v>Junker, Amely</v>
      </c>
      <c r="D37" s="182">
        <v>2</v>
      </c>
      <c r="E37" s="183">
        <v>0</v>
      </c>
      <c r="F37" s="177">
        <f t="shared" si="0"/>
        <v>2</v>
      </c>
    </row>
    <row r="38" spans="2:6" s="116" customFormat="1" ht="13.2" customHeight="1" x14ac:dyDescent="0.2">
      <c r="B38" s="160"/>
      <c r="C38" s="161" t="s">
        <v>126</v>
      </c>
      <c r="D38" s="162"/>
      <c r="E38" s="163"/>
      <c r="F38" s="149">
        <f t="shared" si="0"/>
        <v>0</v>
      </c>
    </row>
    <row r="39" spans="2:6" s="116" customFormat="1" ht="13.2" customHeight="1" x14ac:dyDescent="0.2">
      <c r="B39" s="164"/>
      <c r="C39" s="165" t="s">
        <v>127</v>
      </c>
      <c r="D39" s="146"/>
      <c r="E39" s="147"/>
      <c r="F39" s="148">
        <f t="shared" ref="F39:F70" si="1">SUM(D39:E39)</f>
        <v>0</v>
      </c>
    </row>
    <row r="40" spans="2:6" ht="18" customHeight="1" x14ac:dyDescent="0.25">
      <c r="B40" s="170">
        <v>12</v>
      </c>
      <c r="C40" s="171" t="str">
        <f>Config!C16&amp;", "&amp;Config!D16</f>
        <v>Stephens, Melvin</v>
      </c>
      <c r="D40" s="180">
        <v>0.5</v>
      </c>
      <c r="E40" s="181">
        <v>0</v>
      </c>
      <c r="F40" s="172">
        <f t="shared" si="1"/>
        <v>0.5</v>
      </c>
    </row>
    <row r="41" spans="2:6" s="116" customFormat="1" ht="13.2" customHeight="1" x14ac:dyDescent="0.2">
      <c r="B41" s="166"/>
      <c r="C41" s="167" t="s">
        <v>126</v>
      </c>
      <c r="D41" s="168"/>
      <c r="E41" s="169"/>
      <c r="F41" s="152">
        <f t="shared" si="1"/>
        <v>0</v>
      </c>
    </row>
    <row r="42" spans="2:6" s="116" customFormat="1" ht="13.2" customHeight="1" x14ac:dyDescent="0.2">
      <c r="B42" s="173"/>
      <c r="C42" s="174" t="s">
        <v>127</v>
      </c>
      <c r="D42" s="146"/>
      <c r="E42" s="147"/>
      <c r="F42" s="151">
        <f t="shared" si="1"/>
        <v>0</v>
      </c>
    </row>
    <row r="43" spans="2:6" ht="18" customHeight="1" x14ac:dyDescent="0.25">
      <c r="B43" s="175">
        <v>13</v>
      </c>
      <c r="C43" s="176" t="str">
        <f>Config!C17&amp;", "&amp;Config!D17</f>
        <v>Cremer, Marvin</v>
      </c>
      <c r="D43" s="182">
        <v>1.5</v>
      </c>
      <c r="E43" s="183">
        <v>3</v>
      </c>
      <c r="F43" s="177">
        <f t="shared" si="1"/>
        <v>4.5</v>
      </c>
    </row>
    <row r="44" spans="2:6" s="116" customFormat="1" ht="13.2" customHeight="1" x14ac:dyDescent="0.2">
      <c r="B44" s="160"/>
      <c r="C44" s="161" t="s">
        <v>126</v>
      </c>
      <c r="D44" s="162"/>
      <c r="E44" s="163"/>
      <c r="F44" s="149">
        <f t="shared" si="1"/>
        <v>0</v>
      </c>
    </row>
    <row r="45" spans="2:6" s="116" customFormat="1" ht="13.2" customHeight="1" x14ac:dyDescent="0.2">
      <c r="B45" s="164"/>
      <c r="C45" s="165" t="s">
        <v>127</v>
      </c>
      <c r="D45" s="146"/>
      <c r="E45" s="147"/>
      <c r="F45" s="148">
        <f t="shared" si="1"/>
        <v>0</v>
      </c>
    </row>
    <row r="46" spans="2:6" ht="18" customHeight="1" x14ac:dyDescent="0.25">
      <c r="B46" s="170">
        <v>14</v>
      </c>
      <c r="C46" s="171" t="str">
        <f>Config!C18&amp;", "&amp;Config!D18</f>
        <v>Nash, Jean</v>
      </c>
      <c r="D46" s="180">
        <v>2</v>
      </c>
      <c r="E46" s="181">
        <v>2</v>
      </c>
      <c r="F46" s="172">
        <f t="shared" si="1"/>
        <v>4</v>
      </c>
    </row>
    <row r="47" spans="2:6" s="116" customFormat="1" ht="13.2" customHeight="1" x14ac:dyDescent="0.2">
      <c r="B47" s="166"/>
      <c r="C47" s="167" t="s">
        <v>126</v>
      </c>
      <c r="D47" s="168"/>
      <c r="E47" s="169"/>
      <c r="F47" s="152">
        <f t="shared" si="1"/>
        <v>0</v>
      </c>
    </row>
    <row r="48" spans="2:6" s="116" customFormat="1" ht="13.2" customHeight="1" x14ac:dyDescent="0.2">
      <c r="B48" s="173"/>
      <c r="C48" s="174" t="s">
        <v>127</v>
      </c>
      <c r="D48" s="146"/>
      <c r="E48" s="147"/>
      <c r="F48" s="151">
        <f t="shared" si="1"/>
        <v>0</v>
      </c>
    </row>
    <row r="49" spans="2:6" ht="18" customHeight="1" x14ac:dyDescent="0.25">
      <c r="B49" s="175">
        <v>15</v>
      </c>
      <c r="C49" s="176" t="str">
        <f>Config!C19&amp;", "&amp;Config!D19</f>
        <v>Schön, Leonardo</v>
      </c>
      <c r="D49" s="182">
        <v>2</v>
      </c>
      <c r="E49" s="183">
        <v>3</v>
      </c>
      <c r="F49" s="177">
        <f t="shared" si="1"/>
        <v>5</v>
      </c>
    </row>
    <row r="50" spans="2:6" s="116" customFormat="1" ht="13.2" customHeight="1" x14ac:dyDescent="0.2">
      <c r="B50" s="160"/>
      <c r="C50" s="161" t="s">
        <v>126</v>
      </c>
      <c r="D50" s="162"/>
      <c r="E50" s="163"/>
      <c r="F50" s="149">
        <f t="shared" si="1"/>
        <v>0</v>
      </c>
    </row>
    <row r="51" spans="2:6" s="116" customFormat="1" ht="13.2" customHeight="1" x14ac:dyDescent="0.2">
      <c r="B51" s="164"/>
      <c r="C51" s="165" t="s">
        <v>127</v>
      </c>
      <c r="D51" s="146"/>
      <c r="E51" s="147"/>
      <c r="F51" s="148">
        <f t="shared" si="1"/>
        <v>0</v>
      </c>
    </row>
    <row r="52" spans="2:6" ht="18" customHeight="1" x14ac:dyDescent="0.25">
      <c r="B52" s="170">
        <v>16</v>
      </c>
      <c r="C52" s="171" t="str">
        <f>Config!C20&amp;", "&amp;Config!D20</f>
        <v>Sigl, Nicholas</v>
      </c>
      <c r="D52" s="180">
        <v>2</v>
      </c>
      <c r="E52" s="181">
        <v>2.5</v>
      </c>
      <c r="F52" s="172">
        <f t="shared" si="1"/>
        <v>4.5</v>
      </c>
    </row>
    <row r="53" spans="2:6" s="116" customFormat="1" ht="13.2" customHeight="1" x14ac:dyDescent="0.2">
      <c r="B53" s="166"/>
      <c r="C53" s="167" t="s">
        <v>126</v>
      </c>
      <c r="D53" s="168"/>
      <c r="E53" s="169"/>
      <c r="F53" s="152">
        <f t="shared" si="1"/>
        <v>0</v>
      </c>
    </row>
    <row r="54" spans="2:6" s="116" customFormat="1" ht="13.2" customHeight="1" x14ac:dyDescent="0.2">
      <c r="B54" s="173"/>
      <c r="C54" s="174" t="s">
        <v>127</v>
      </c>
      <c r="D54" s="146"/>
      <c r="E54" s="147"/>
      <c r="F54" s="151">
        <f t="shared" si="1"/>
        <v>0</v>
      </c>
    </row>
    <row r="55" spans="2:6" ht="18" customHeight="1" x14ac:dyDescent="0.25">
      <c r="B55" s="175">
        <v>17</v>
      </c>
      <c r="C55" s="176" t="str">
        <f>Config!C21&amp;", "&amp;Config!D21</f>
        <v>Kainz, Vivienne</v>
      </c>
      <c r="D55" s="182">
        <v>2</v>
      </c>
      <c r="E55" s="183">
        <v>3</v>
      </c>
      <c r="F55" s="177">
        <f t="shared" si="1"/>
        <v>5</v>
      </c>
    </row>
    <row r="56" spans="2:6" s="116" customFormat="1" ht="13.2" customHeight="1" x14ac:dyDescent="0.2">
      <c r="B56" s="160"/>
      <c r="C56" s="161" t="s">
        <v>126</v>
      </c>
      <c r="D56" s="162"/>
      <c r="E56" s="163"/>
      <c r="F56" s="149">
        <f t="shared" si="1"/>
        <v>0</v>
      </c>
    </row>
    <row r="57" spans="2:6" s="116" customFormat="1" ht="13.2" customHeight="1" x14ac:dyDescent="0.2">
      <c r="B57" s="164"/>
      <c r="C57" s="165" t="s">
        <v>127</v>
      </c>
      <c r="D57" s="146"/>
      <c r="E57" s="147"/>
      <c r="F57" s="148">
        <f t="shared" si="1"/>
        <v>0</v>
      </c>
    </row>
    <row r="58" spans="2:6" ht="18" customHeight="1" x14ac:dyDescent="0.25">
      <c r="B58" s="170">
        <v>18</v>
      </c>
      <c r="C58" s="171" t="str">
        <f>Config!C22&amp;", "&amp;Config!D22</f>
        <v>Hartmann, Mads</v>
      </c>
      <c r="D58" s="180">
        <v>1</v>
      </c>
      <c r="E58" s="181">
        <v>0</v>
      </c>
      <c r="F58" s="172">
        <f t="shared" si="1"/>
        <v>1</v>
      </c>
    </row>
    <row r="59" spans="2:6" s="116" customFormat="1" ht="13.2" customHeight="1" x14ac:dyDescent="0.2">
      <c r="B59" s="166"/>
      <c r="C59" s="167" t="s">
        <v>126</v>
      </c>
      <c r="D59" s="168"/>
      <c r="E59" s="169"/>
      <c r="F59" s="152">
        <f t="shared" si="1"/>
        <v>0</v>
      </c>
    </row>
    <row r="60" spans="2:6" s="116" customFormat="1" ht="13.2" customHeight="1" x14ac:dyDescent="0.2">
      <c r="B60" s="173"/>
      <c r="C60" s="174" t="s">
        <v>127</v>
      </c>
      <c r="D60" s="146"/>
      <c r="E60" s="147"/>
      <c r="F60" s="151">
        <f t="shared" si="1"/>
        <v>0</v>
      </c>
    </row>
    <row r="61" spans="2:6" ht="18" customHeight="1" x14ac:dyDescent="0.25">
      <c r="B61" s="175">
        <v>19</v>
      </c>
      <c r="C61" s="176" t="str">
        <f>Config!C23&amp;", "&amp;Config!D23</f>
        <v>Ullmann, Raphael</v>
      </c>
      <c r="D61" s="182">
        <v>2</v>
      </c>
      <c r="E61" s="183">
        <v>0</v>
      </c>
      <c r="F61" s="177">
        <f t="shared" si="1"/>
        <v>2</v>
      </c>
    </row>
    <row r="62" spans="2:6" s="116" customFormat="1" ht="13.2" customHeight="1" x14ac:dyDescent="0.2">
      <c r="B62" s="160"/>
      <c r="C62" s="161" t="s">
        <v>126</v>
      </c>
      <c r="D62" s="162"/>
      <c r="E62" s="163"/>
      <c r="F62" s="149">
        <f t="shared" si="1"/>
        <v>0</v>
      </c>
    </row>
    <row r="63" spans="2:6" s="116" customFormat="1" ht="13.2" customHeight="1" x14ac:dyDescent="0.2">
      <c r="B63" s="164"/>
      <c r="C63" s="165" t="s">
        <v>127</v>
      </c>
      <c r="D63" s="146"/>
      <c r="E63" s="147"/>
      <c r="F63" s="148">
        <f t="shared" si="1"/>
        <v>0</v>
      </c>
    </row>
    <row r="64" spans="2:6" ht="18" customHeight="1" x14ac:dyDescent="0.25">
      <c r="B64" s="170">
        <v>20</v>
      </c>
      <c r="C64" s="171" t="str">
        <f>Config!C24&amp;", "&amp;Config!D24</f>
        <v>Hartl, Emmely</v>
      </c>
      <c r="D64" s="180">
        <v>2</v>
      </c>
      <c r="E64" s="181">
        <v>0</v>
      </c>
      <c r="F64" s="172">
        <f t="shared" si="1"/>
        <v>2</v>
      </c>
    </row>
    <row r="65" spans="2:6" s="116" customFormat="1" ht="13.2" customHeight="1" x14ac:dyDescent="0.2">
      <c r="B65" s="166"/>
      <c r="C65" s="167" t="s">
        <v>126</v>
      </c>
      <c r="D65" s="168"/>
      <c r="E65" s="169"/>
      <c r="F65" s="152">
        <f t="shared" si="1"/>
        <v>0</v>
      </c>
    </row>
    <row r="66" spans="2:6" s="116" customFormat="1" ht="13.2" customHeight="1" x14ac:dyDescent="0.2">
      <c r="B66" s="173"/>
      <c r="C66" s="174" t="s">
        <v>127</v>
      </c>
      <c r="D66" s="146"/>
      <c r="E66" s="147"/>
      <c r="F66" s="151">
        <f t="shared" si="1"/>
        <v>0</v>
      </c>
    </row>
    <row r="67" spans="2:6" ht="18" customHeight="1" x14ac:dyDescent="0.25">
      <c r="B67" s="175">
        <v>21</v>
      </c>
      <c r="C67" s="176" t="str">
        <f>Config!C25&amp;", "&amp;Config!D25</f>
        <v>Klotz, Karin</v>
      </c>
      <c r="D67" s="182">
        <v>2</v>
      </c>
      <c r="E67" s="183">
        <v>3</v>
      </c>
      <c r="F67" s="177">
        <f t="shared" si="1"/>
        <v>5</v>
      </c>
    </row>
    <row r="68" spans="2:6" s="116" customFormat="1" ht="13.2" customHeight="1" x14ac:dyDescent="0.2">
      <c r="B68" s="160"/>
      <c r="C68" s="161" t="s">
        <v>126</v>
      </c>
      <c r="D68" s="162"/>
      <c r="E68" s="163"/>
      <c r="F68" s="149">
        <f t="shared" si="1"/>
        <v>0</v>
      </c>
    </row>
    <row r="69" spans="2:6" s="116" customFormat="1" ht="13.2" customHeight="1" x14ac:dyDescent="0.2">
      <c r="B69" s="164"/>
      <c r="C69" s="165" t="s">
        <v>127</v>
      </c>
      <c r="D69" s="146"/>
      <c r="E69" s="147"/>
      <c r="F69" s="148">
        <f t="shared" si="1"/>
        <v>0</v>
      </c>
    </row>
    <row r="70" spans="2:6" ht="18" customHeight="1" x14ac:dyDescent="0.25">
      <c r="B70" s="170">
        <v>22</v>
      </c>
      <c r="C70" s="171" t="str">
        <f>Config!C26&amp;", "&amp;Config!D26</f>
        <v>Ehlers, Ingo</v>
      </c>
      <c r="D70" s="180">
        <v>2</v>
      </c>
      <c r="E70" s="181">
        <v>3</v>
      </c>
      <c r="F70" s="172">
        <f t="shared" si="1"/>
        <v>5</v>
      </c>
    </row>
    <row r="71" spans="2:6" s="116" customFormat="1" ht="13.2" customHeight="1" x14ac:dyDescent="0.2">
      <c r="B71" s="166"/>
      <c r="C71" s="167" t="s">
        <v>126</v>
      </c>
      <c r="D71" s="168"/>
      <c r="E71" s="169"/>
      <c r="F71" s="152">
        <f t="shared" ref="F71:F75" si="2">SUM(D71:E71)</f>
        <v>0</v>
      </c>
    </row>
    <row r="72" spans="2:6" s="116" customFormat="1" ht="13.2" customHeight="1" x14ac:dyDescent="0.2">
      <c r="B72" s="173"/>
      <c r="C72" s="174" t="s">
        <v>127</v>
      </c>
      <c r="D72" s="146"/>
      <c r="E72" s="147"/>
      <c r="F72" s="151">
        <f t="shared" si="2"/>
        <v>0</v>
      </c>
    </row>
    <row r="73" spans="2:6" ht="18" customHeight="1" thickBot="1" x14ac:dyDescent="0.3">
      <c r="B73" s="142">
        <v>23</v>
      </c>
      <c r="C73" s="137" t="str">
        <f>Config!C27&amp;", "&amp;Config!D27</f>
        <v>Lindemann, Mads</v>
      </c>
      <c r="D73" s="95">
        <v>2</v>
      </c>
      <c r="E73" s="96">
        <v>1</v>
      </c>
      <c r="F73" s="145">
        <f t="shared" si="2"/>
        <v>3</v>
      </c>
    </row>
    <row r="74" spans="2:6" s="116" customFormat="1" ht="13.2" customHeight="1" x14ac:dyDescent="0.2">
      <c r="B74" s="160"/>
      <c r="C74" s="161" t="s">
        <v>126</v>
      </c>
      <c r="D74" s="162"/>
      <c r="E74" s="163"/>
      <c r="F74" s="149">
        <f t="shared" si="2"/>
        <v>0</v>
      </c>
    </row>
    <row r="75" spans="2:6" s="116" customFormat="1" ht="13.2" customHeight="1" thickBot="1" x14ac:dyDescent="0.25">
      <c r="B75" s="153"/>
      <c r="C75" s="156" t="s">
        <v>127</v>
      </c>
      <c r="D75" s="154"/>
      <c r="E75" s="155"/>
      <c r="F75" s="150">
        <f t="shared" si="2"/>
        <v>0</v>
      </c>
    </row>
    <row r="76" spans="2:6" ht="18" customHeight="1" thickBot="1" x14ac:dyDescent="0.3">
      <c r="B76" s="119"/>
      <c r="C76" s="120"/>
      <c r="D76" s="120">
        <f>IF(COUNTIFS(D7:D73,"&lt;&gt;",C7:C73,"&lt;&gt;ZK",C7:C73,"&lt;&gt;DK")&lt;&gt;0,SUMIFS(D7:D73,C7:C73,"&lt;&gt;ZK",C7:C73,"&lt;&gt;DK")/(COUNTIFS(D7:D73,"&lt;&gt;",C7:C73,"&lt;&gt;ZK",C7:C73,"&lt;&gt;DK")*D6),0)</f>
        <v>0.82608695652173914</v>
      </c>
      <c r="E76" s="120">
        <f>IF(COUNTIFS(E7:E73,"&lt;&gt;",C7:C73,"&lt;&gt;ZK",C7:C73,"&lt;&gt;DK")&lt;&gt;0,SUMIFS(E7:E73,C7:C73,"&lt;&gt;ZK",C7:C73,"&lt;&gt;DK")/(COUNTIFS(E7:E73,"&lt;&gt;",C7:C73,"&lt;&gt;ZK",C7:C73,"&lt;&gt;DK")*E6),0)</f>
        <v>0.56521739130434778</v>
      </c>
      <c r="F76" s="121"/>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14</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Config!P6</f>
        <v>1a</v>
      </c>
      <c r="E5" s="124" t="str">
        <f>Config!P7</f>
        <v>1b</v>
      </c>
      <c r="F5" s="124" t="str">
        <f>Config!P8</f>
        <v>1c</v>
      </c>
      <c r="G5" s="124" t="str">
        <f>Config!P9</f>
        <v>1d</v>
      </c>
      <c r="H5" s="124" t="str">
        <f>Config!P10</f>
        <v>1e</v>
      </c>
      <c r="I5" s="114" t="s">
        <v>82</v>
      </c>
    </row>
    <row r="6" spans="2:9" ht="18" customHeight="1" thickBot="1" x14ac:dyDescent="0.3">
      <c r="B6" s="109"/>
      <c r="C6" s="111" t="s">
        <v>81</v>
      </c>
      <c r="D6" s="113">
        <f>Config!Q6</f>
        <v>4</v>
      </c>
      <c r="E6" s="113">
        <f>Config!Q7</f>
        <v>3</v>
      </c>
      <c r="F6" s="113">
        <f>Config!Q8</f>
        <v>4</v>
      </c>
      <c r="G6" s="113">
        <f>Config!Q9</f>
        <v>3</v>
      </c>
      <c r="H6" s="113">
        <f>Config!Q10</f>
        <v>4</v>
      </c>
      <c r="I6" s="125">
        <f>Config!Q21</f>
        <v>18</v>
      </c>
    </row>
    <row r="7" spans="2:9" ht="18" customHeight="1" x14ac:dyDescent="0.25">
      <c r="B7" s="157">
        <v>1</v>
      </c>
      <c r="C7" s="158" t="str">
        <f>Config!C5&amp;", "&amp;Config!D5</f>
        <v>Höfer, Simon</v>
      </c>
      <c r="D7" s="178">
        <v>4</v>
      </c>
      <c r="E7" s="178">
        <v>2</v>
      </c>
      <c r="F7" s="178">
        <v>2</v>
      </c>
      <c r="G7" s="178">
        <v>0.5</v>
      </c>
      <c r="H7" s="179">
        <v>0.5</v>
      </c>
      <c r="I7" s="159">
        <f t="shared" ref="I7:I38" si="0">SUM(D7:H7)</f>
        <v>9</v>
      </c>
    </row>
    <row r="8" spans="2:9" s="116" customFormat="1" ht="13.2" customHeight="1" x14ac:dyDescent="0.2">
      <c r="B8" s="160"/>
      <c r="C8" s="161" t="s">
        <v>126</v>
      </c>
      <c r="D8" s="162"/>
      <c r="E8" s="162"/>
      <c r="F8" s="162"/>
      <c r="G8" s="162"/>
      <c r="H8" s="163"/>
      <c r="I8" s="149">
        <f t="shared" si="0"/>
        <v>0</v>
      </c>
    </row>
    <row r="9" spans="2:9" s="116" customFormat="1" ht="13.2" customHeight="1" x14ac:dyDescent="0.2">
      <c r="B9" s="164"/>
      <c r="C9" s="165" t="s">
        <v>127</v>
      </c>
      <c r="D9" s="146"/>
      <c r="E9" s="146"/>
      <c r="F9" s="146"/>
      <c r="G9" s="146"/>
      <c r="H9" s="147"/>
      <c r="I9" s="148">
        <f t="shared" si="0"/>
        <v>0</v>
      </c>
    </row>
    <row r="10" spans="2:9" ht="18" customHeight="1" x14ac:dyDescent="0.25">
      <c r="B10" s="170">
        <v>2</v>
      </c>
      <c r="C10" s="171" t="str">
        <f>Config!C6&amp;", "&amp;Config!D6</f>
        <v>Töpfer, Lilian</v>
      </c>
      <c r="D10" s="180">
        <v>4</v>
      </c>
      <c r="E10" s="180">
        <v>0</v>
      </c>
      <c r="F10" s="180">
        <v>2.5</v>
      </c>
      <c r="G10" s="180">
        <v>0.5</v>
      </c>
      <c r="H10" s="181">
        <v>2</v>
      </c>
      <c r="I10" s="172">
        <f t="shared" si="0"/>
        <v>9</v>
      </c>
    </row>
    <row r="11" spans="2:9" s="116" customFormat="1" ht="13.2" customHeight="1" x14ac:dyDescent="0.2">
      <c r="B11" s="166"/>
      <c r="C11" s="167" t="s">
        <v>126</v>
      </c>
      <c r="D11" s="168"/>
      <c r="E11" s="168"/>
      <c r="F11" s="168"/>
      <c r="G11" s="168"/>
      <c r="H11" s="169"/>
      <c r="I11" s="152">
        <f t="shared" si="0"/>
        <v>0</v>
      </c>
    </row>
    <row r="12" spans="2:9" s="116" customFormat="1" ht="13.2" customHeight="1" x14ac:dyDescent="0.2">
      <c r="B12" s="173"/>
      <c r="C12" s="174" t="s">
        <v>127</v>
      </c>
      <c r="D12" s="146"/>
      <c r="E12" s="146"/>
      <c r="F12" s="146"/>
      <c r="G12" s="146"/>
      <c r="H12" s="147"/>
      <c r="I12" s="151">
        <f t="shared" si="0"/>
        <v>0</v>
      </c>
    </row>
    <row r="13" spans="2:9" ht="18" customHeight="1" x14ac:dyDescent="0.25">
      <c r="B13" s="175">
        <v>3</v>
      </c>
      <c r="C13" s="176" t="str">
        <f>Config!C7&amp;", "&amp;Config!D7</f>
        <v>Fleischmann, Leonie</v>
      </c>
      <c r="D13" s="182">
        <v>4</v>
      </c>
      <c r="E13" s="182">
        <v>2</v>
      </c>
      <c r="F13" s="182">
        <v>3</v>
      </c>
      <c r="G13" s="182">
        <v>2</v>
      </c>
      <c r="H13" s="183">
        <v>3</v>
      </c>
      <c r="I13" s="177">
        <f t="shared" si="0"/>
        <v>14</v>
      </c>
    </row>
    <row r="14" spans="2:9" s="116" customFormat="1" ht="13.2" customHeight="1" x14ac:dyDescent="0.2">
      <c r="B14" s="160"/>
      <c r="C14" s="161" t="s">
        <v>126</v>
      </c>
      <c r="D14" s="162"/>
      <c r="E14" s="162"/>
      <c r="F14" s="162"/>
      <c r="G14" s="162"/>
      <c r="H14" s="163"/>
      <c r="I14" s="149">
        <f t="shared" si="0"/>
        <v>0</v>
      </c>
    </row>
    <row r="15" spans="2:9" s="116" customFormat="1" ht="13.2" customHeight="1" x14ac:dyDescent="0.2">
      <c r="B15" s="164"/>
      <c r="C15" s="165" t="s">
        <v>127</v>
      </c>
      <c r="D15" s="146"/>
      <c r="E15" s="146"/>
      <c r="F15" s="146"/>
      <c r="G15" s="146"/>
      <c r="H15" s="147"/>
      <c r="I15" s="148">
        <f t="shared" si="0"/>
        <v>0</v>
      </c>
    </row>
    <row r="16" spans="2:9" ht="18" customHeight="1" x14ac:dyDescent="0.25">
      <c r="B16" s="170">
        <v>4</v>
      </c>
      <c r="C16" s="171" t="str">
        <f>Config!C8&amp;", "&amp;Config!D8</f>
        <v>Drescher, Cedric</v>
      </c>
      <c r="D16" s="180">
        <v>4</v>
      </c>
      <c r="E16" s="180">
        <v>2</v>
      </c>
      <c r="F16" s="180">
        <v>3.5</v>
      </c>
      <c r="G16" s="180">
        <v>0</v>
      </c>
      <c r="H16" s="181">
        <v>4</v>
      </c>
      <c r="I16" s="172">
        <f t="shared" si="0"/>
        <v>13.5</v>
      </c>
    </row>
    <row r="17" spans="2:9" s="116" customFormat="1" ht="13.2" customHeight="1" x14ac:dyDescent="0.2">
      <c r="B17" s="166"/>
      <c r="C17" s="167" t="s">
        <v>126</v>
      </c>
      <c r="D17" s="168"/>
      <c r="E17" s="168"/>
      <c r="F17" s="168"/>
      <c r="G17" s="168"/>
      <c r="H17" s="169"/>
      <c r="I17" s="152">
        <f t="shared" si="0"/>
        <v>0</v>
      </c>
    </row>
    <row r="18" spans="2:9" s="116" customFormat="1" ht="13.2" customHeight="1" x14ac:dyDescent="0.2">
      <c r="B18" s="173"/>
      <c r="C18" s="174" t="s">
        <v>127</v>
      </c>
      <c r="D18" s="146"/>
      <c r="E18" s="146"/>
      <c r="F18" s="146"/>
      <c r="G18" s="146"/>
      <c r="H18" s="147"/>
      <c r="I18" s="151">
        <f t="shared" si="0"/>
        <v>0</v>
      </c>
    </row>
    <row r="19" spans="2:9" ht="18" customHeight="1" x14ac:dyDescent="0.25">
      <c r="B19" s="175">
        <v>5</v>
      </c>
      <c r="C19" s="176" t="str">
        <f>Config!C9&amp;", "&amp;Config!D9</f>
        <v>Baumgarten, Annabell</v>
      </c>
      <c r="D19" s="182">
        <v>4</v>
      </c>
      <c r="E19" s="182">
        <v>2</v>
      </c>
      <c r="F19" s="182">
        <v>3</v>
      </c>
      <c r="G19" s="182">
        <v>0</v>
      </c>
      <c r="H19" s="183">
        <v>3</v>
      </c>
      <c r="I19" s="177">
        <f t="shared" si="0"/>
        <v>12</v>
      </c>
    </row>
    <row r="20" spans="2:9" s="116" customFormat="1" ht="13.2" customHeight="1" x14ac:dyDescent="0.2">
      <c r="B20" s="160"/>
      <c r="C20" s="161" t="s">
        <v>126</v>
      </c>
      <c r="D20" s="162"/>
      <c r="E20" s="162"/>
      <c r="F20" s="162"/>
      <c r="G20" s="162"/>
      <c r="H20" s="163"/>
      <c r="I20" s="149">
        <f t="shared" si="0"/>
        <v>0</v>
      </c>
    </row>
    <row r="21" spans="2:9" s="116" customFormat="1" ht="13.2" customHeight="1" x14ac:dyDescent="0.2">
      <c r="B21" s="164"/>
      <c r="C21" s="165" t="s">
        <v>127</v>
      </c>
      <c r="D21" s="146"/>
      <c r="E21" s="146"/>
      <c r="F21" s="146"/>
      <c r="G21" s="146"/>
      <c r="H21" s="147"/>
      <c r="I21" s="148">
        <f t="shared" si="0"/>
        <v>0</v>
      </c>
    </row>
    <row r="22" spans="2:9" ht="18" customHeight="1" x14ac:dyDescent="0.25">
      <c r="B22" s="170">
        <v>6</v>
      </c>
      <c r="C22" s="171" t="str">
        <f>Config!C10&amp;", "&amp;Config!D10</f>
        <v>Traut, Stefanie</v>
      </c>
      <c r="D22" s="180">
        <v>4</v>
      </c>
      <c r="E22" s="180">
        <v>3</v>
      </c>
      <c r="F22" s="180">
        <v>4</v>
      </c>
      <c r="G22" s="180">
        <v>2</v>
      </c>
      <c r="H22" s="181">
        <v>4</v>
      </c>
      <c r="I22" s="172">
        <f t="shared" si="0"/>
        <v>17</v>
      </c>
    </row>
    <row r="23" spans="2:9" s="116" customFormat="1" ht="13.2" customHeight="1" x14ac:dyDescent="0.2">
      <c r="B23" s="166"/>
      <c r="C23" s="167" t="s">
        <v>126</v>
      </c>
      <c r="D23" s="168"/>
      <c r="E23" s="168"/>
      <c r="F23" s="168"/>
      <c r="G23" s="168"/>
      <c r="H23" s="169"/>
      <c r="I23" s="152">
        <f t="shared" si="0"/>
        <v>0</v>
      </c>
    </row>
    <row r="24" spans="2:9" s="116" customFormat="1" ht="13.2" customHeight="1" x14ac:dyDescent="0.2">
      <c r="B24" s="173"/>
      <c r="C24" s="174" t="s">
        <v>127</v>
      </c>
      <c r="D24" s="146"/>
      <c r="E24" s="146"/>
      <c r="F24" s="146"/>
      <c r="G24" s="146"/>
      <c r="H24" s="147"/>
      <c r="I24" s="151">
        <f t="shared" si="0"/>
        <v>0</v>
      </c>
    </row>
    <row r="25" spans="2:9" ht="18" customHeight="1" x14ac:dyDescent="0.25">
      <c r="B25" s="175">
        <v>7</v>
      </c>
      <c r="C25" s="176" t="str">
        <f>Config!C11&amp;", "&amp;Config!D11</f>
        <v>Menke, Damian</v>
      </c>
      <c r="D25" s="182">
        <v>4</v>
      </c>
      <c r="E25" s="182">
        <v>3</v>
      </c>
      <c r="F25" s="182">
        <v>3.5</v>
      </c>
      <c r="G25" s="182">
        <v>0.5</v>
      </c>
      <c r="H25" s="183">
        <v>4</v>
      </c>
      <c r="I25" s="177">
        <f t="shared" si="0"/>
        <v>15</v>
      </c>
    </row>
    <row r="26" spans="2:9" s="116" customFormat="1" ht="13.2" customHeight="1" x14ac:dyDescent="0.2">
      <c r="B26" s="160"/>
      <c r="C26" s="161" t="s">
        <v>126</v>
      </c>
      <c r="D26" s="162"/>
      <c r="E26" s="162"/>
      <c r="F26" s="162"/>
      <c r="G26" s="162"/>
      <c r="H26" s="163"/>
      <c r="I26" s="149">
        <f t="shared" si="0"/>
        <v>0</v>
      </c>
    </row>
    <row r="27" spans="2:9" s="116" customFormat="1" ht="13.2" customHeight="1" x14ac:dyDescent="0.2">
      <c r="B27" s="164"/>
      <c r="C27" s="165" t="s">
        <v>127</v>
      </c>
      <c r="D27" s="146"/>
      <c r="E27" s="146"/>
      <c r="F27" s="146"/>
      <c r="G27" s="146"/>
      <c r="H27" s="147"/>
      <c r="I27" s="148">
        <f t="shared" si="0"/>
        <v>0</v>
      </c>
    </row>
    <row r="28" spans="2:9" ht="18" customHeight="1" x14ac:dyDescent="0.25">
      <c r="B28" s="170">
        <v>8</v>
      </c>
      <c r="C28" s="171" t="str">
        <f>Config!C12&amp;", "&amp;Config!D12</f>
        <v>Carroll, Meik</v>
      </c>
      <c r="D28" s="180">
        <v>3.5</v>
      </c>
      <c r="E28" s="180">
        <v>2</v>
      </c>
      <c r="F28" s="180">
        <v>3.5</v>
      </c>
      <c r="G28" s="180">
        <v>2</v>
      </c>
      <c r="H28" s="181">
        <v>2</v>
      </c>
      <c r="I28" s="172">
        <f t="shared" si="0"/>
        <v>13</v>
      </c>
    </row>
    <row r="29" spans="2:9" s="116" customFormat="1" ht="13.2" customHeight="1" x14ac:dyDescent="0.2">
      <c r="B29" s="166"/>
      <c r="C29" s="167" t="s">
        <v>126</v>
      </c>
      <c r="D29" s="168"/>
      <c r="E29" s="168"/>
      <c r="F29" s="168"/>
      <c r="G29" s="168"/>
      <c r="H29" s="169"/>
      <c r="I29" s="152">
        <f t="shared" si="0"/>
        <v>0</v>
      </c>
    </row>
    <row r="30" spans="2:9" s="116" customFormat="1" ht="13.2" customHeight="1" x14ac:dyDescent="0.2">
      <c r="B30" s="173"/>
      <c r="C30" s="174" t="s">
        <v>127</v>
      </c>
      <c r="D30" s="146"/>
      <c r="E30" s="146"/>
      <c r="F30" s="146"/>
      <c r="G30" s="146"/>
      <c r="H30" s="147"/>
      <c r="I30" s="151">
        <f t="shared" si="0"/>
        <v>0</v>
      </c>
    </row>
    <row r="31" spans="2:9" ht="18" customHeight="1" x14ac:dyDescent="0.25">
      <c r="B31" s="175">
        <v>9</v>
      </c>
      <c r="C31" s="176" t="str">
        <f>Config!C13&amp;", "&amp;Config!D13</f>
        <v>Hennings, Tomas</v>
      </c>
      <c r="D31" s="182">
        <v>2</v>
      </c>
      <c r="E31" s="182">
        <v>0</v>
      </c>
      <c r="F31" s="182">
        <v>1</v>
      </c>
      <c r="G31" s="182">
        <v>1</v>
      </c>
      <c r="H31" s="183">
        <v>0</v>
      </c>
      <c r="I31" s="177">
        <f t="shared" si="0"/>
        <v>4</v>
      </c>
    </row>
    <row r="32" spans="2:9" s="116" customFormat="1" ht="13.2" customHeight="1" x14ac:dyDescent="0.2">
      <c r="B32" s="160"/>
      <c r="C32" s="161" t="s">
        <v>126</v>
      </c>
      <c r="D32" s="162"/>
      <c r="E32" s="162"/>
      <c r="F32" s="162"/>
      <c r="G32" s="162"/>
      <c r="H32" s="163"/>
      <c r="I32" s="149">
        <f t="shared" si="0"/>
        <v>0</v>
      </c>
    </row>
    <row r="33" spans="2:9" s="116" customFormat="1" ht="13.2" customHeight="1" x14ac:dyDescent="0.2">
      <c r="B33" s="164"/>
      <c r="C33" s="165" t="s">
        <v>127</v>
      </c>
      <c r="D33" s="146"/>
      <c r="E33" s="146"/>
      <c r="F33" s="146"/>
      <c r="G33" s="146"/>
      <c r="H33" s="147"/>
      <c r="I33" s="148">
        <f t="shared" si="0"/>
        <v>0</v>
      </c>
    </row>
    <row r="34" spans="2:9" ht="18" customHeight="1" x14ac:dyDescent="0.25">
      <c r="B34" s="170">
        <v>10</v>
      </c>
      <c r="C34" s="171" t="str">
        <f>Config!C14&amp;", "&amp;Config!D14</f>
        <v>Walters, Linn</v>
      </c>
      <c r="D34" s="180">
        <v>2.5</v>
      </c>
      <c r="E34" s="180">
        <v>1</v>
      </c>
      <c r="F34" s="180">
        <v>3</v>
      </c>
      <c r="G34" s="180">
        <v>2</v>
      </c>
      <c r="H34" s="181">
        <v>0</v>
      </c>
      <c r="I34" s="172">
        <f t="shared" si="0"/>
        <v>8.5</v>
      </c>
    </row>
    <row r="35" spans="2:9" s="116" customFormat="1" ht="13.2" customHeight="1" x14ac:dyDescent="0.2">
      <c r="B35" s="166"/>
      <c r="C35" s="167" t="s">
        <v>126</v>
      </c>
      <c r="D35" s="168"/>
      <c r="E35" s="168"/>
      <c r="F35" s="168"/>
      <c r="G35" s="168"/>
      <c r="H35" s="169"/>
      <c r="I35" s="152">
        <f t="shared" si="0"/>
        <v>0</v>
      </c>
    </row>
    <row r="36" spans="2:9" s="116" customFormat="1" ht="13.2" customHeight="1" x14ac:dyDescent="0.2">
      <c r="B36" s="173"/>
      <c r="C36" s="174" t="s">
        <v>127</v>
      </c>
      <c r="D36" s="146"/>
      <c r="E36" s="146"/>
      <c r="F36" s="146"/>
      <c r="G36" s="146"/>
      <c r="H36" s="147"/>
      <c r="I36" s="151">
        <f t="shared" si="0"/>
        <v>0</v>
      </c>
    </row>
    <row r="37" spans="2:9" ht="18" customHeight="1" x14ac:dyDescent="0.25">
      <c r="B37" s="175">
        <v>11</v>
      </c>
      <c r="C37" s="176" t="str">
        <f>Config!C15&amp;", "&amp;Config!D15</f>
        <v>Junker, Amely</v>
      </c>
      <c r="D37" s="182">
        <v>4</v>
      </c>
      <c r="E37" s="182">
        <v>3</v>
      </c>
      <c r="F37" s="182">
        <v>2</v>
      </c>
      <c r="G37" s="182">
        <v>2</v>
      </c>
      <c r="H37" s="183">
        <v>2</v>
      </c>
      <c r="I37" s="177">
        <f t="shared" si="0"/>
        <v>13</v>
      </c>
    </row>
    <row r="38" spans="2:9" s="116" customFormat="1" ht="13.2" customHeight="1" x14ac:dyDescent="0.2">
      <c r="B38" s="160"/>
      <c r="C38" s="161" t="s">
        <v>126</v>
      </c>
      <c r="D38" s="162"/>
      <c r="E38" s="162"/>
      <c r="F38" s="162"/>
      <c r="G38" s="162"/>
      <c r="H38" s="163"/>
      <c r="I38" s="149">
        <f t="shared" si="0"/>
        <v>0</v>
      </c>
    </row>
    <row r="39" spans="2:9" s="116" customFormat="1" ht="13.2" customHeight="1" x14ac:dyDescent="0.2">
      <c r="B39" s="164"/>
      <c r="C39" s="165" t="s">
        <v>127</v>
      </c>
      <c r="D39" s="146"/>
      <c r="E39" s="146"/>
      <c r="F39" s="146"/>
      <c r="G39" s="146"/>
      <c r="H39" s="147"/>
      <c r="I39" s="148">
        <f t="shared" ref="I39:I70" si="1">SUM(D39:H39)</f>
        <v>0</v>
      </c>
    </row>
    <row r="40" spans="2:9" ht="18" customHeight="1" x14ac:dyDescent="0.25">
      <c r="B40" s="170">
        <v>12</v>
      </c>
      <c r="C40" s="171" t="str">
        <f>Config!C16&amp;", "&amp;Config!D16</f>
        <v>Stephens, Melvin</v>
      </c>
      <c r="D40" s="180">
        <v>4</v>
      </c>
      <c r="E40" s="180">
        <v>2</v>
      </c>
      <c r="F40" s="180">
        <v>3</v>
      </c>
      <c r="G40" s="180">
        <v>2</v>
      </c>
      <c r="H40" s="181">
        <v>2</v>
      </c>
      <c r="I40" s="172">
        <f t="shared" si="1"/>
        <v>13</v>
      </c>
    </row>
    <row r="41" spans="2:9" s="116" customFormat="1" ht="13.2" customHeight="1" x14ac:dyDescent="0.2">
      <c r="B41" s="166"/>
      <c r="C41" s="167" t="s">
        <v>126</v>
      </c>
      <c r="D41" s="168"/>
      <c r="E41" s="168"/>
      <c r="F41" s="168"/>
      <c r="G41" s="168"/>
      <c r="H41" s="169"/>
      <c r="I41" s="152">
        <f t="shared" si="1"/>
        <v>0</v>
      </c>
    </row>
    <row r="42" spans="2:9" s="116" customFormat="1" ht="13.2" customHeight="1" x14ac:dyDescent="0.2">
      <c r="B42" s="173"/>
      <c r="C42" s="174" t="s">
        <v>127</v>
      </c>
      <c r="D42" s="146"/>
      <c r="E42" s="146"/>
      <c r="F42" s="146"/>
      <c r="G42" s="146"/>
      <c r="H42" s="147"/>
      <c r="I42" s="151">
        <f t="shared" si="1"/>
        <v>0</v>
      </c>
    </row>
    <row r="43" spans="2:9" ht="18" customHeight="1" x14ac:dyDescent="0.25">
      <c r="B43" s="175">
        <v>13</v>
      </c>
      <c r="C43" s="176" t="str">
        <f>Config!C17&amp;", "&amp;Config!D17</f>
        <v>Cremer, Marvin</v>
      </c>
      <c r="D43" s="182">
        <v>3</v>
      </c>
      <c r="E43" s="182">
        <v>0</v>
      </c>
      <c r="F43" s="182">
        <v>0</v>
      </c>
      <c r="G43" s="182">
        <v>0</v>
      </c>
      <c r="H43" s="183">
        <v>0</v>
      </c>
      <c r="I43" s="177">
        <f t="shared" si="1"/>
        <v>3</v>
      </c>
    </row>
    <row r="44" spans="2:9" s="116" customFormat="1" ht="13.2" customHeight="1" x14ac:dyDescent="0.2">
      <c r="B44" s="160"/>
      <c r="C44" s="161" t="s">
        <v>126</v>
      </c>
      <c r="D44" s="162"/>
      <c r="E44" s="162"/>
      <c r="F44" s="162"/>
      <c r="G44" s="162"/>
      <c r="H44" s="163"/>
      <c r="I44" s="149">
        <f t="shared" si="1"/>
        <v>0</v>
      </c>
    </row>
    <row r="45" spans="2:9" s="116" customFormat="1" ht="13.2" customHeight="1" x14ac:dyDescent="0.2">
      <c r="B45" s="164"/>
      <c r="C45" s="165" t="s">
        <v>127</v>
      </c>
      <c r="D45" s="146"/>
      <c r="E45" s="146"/>
      <c r="F45" s="146"/>
      <c r="G45" s="146"/>
      <c r="H45" s="147"/>
      <c r="I45" s="148">
        <f t="shared" si="1"/>
        <v>0</v>
      </c>
    </row>
    <row r="46" spans="2:9" ht="18" customHeight="1" x14ac:dyDescent="0.25">
      <c r="B46" s="170">
        <v>14</v>
      </c>
      <c r="C46" s="171" t="str">
        <f>Config!C18&amp;", "&amp;Config!D18</f>
        <v>Nash, Jean</v>
      </c>
      <c r="D46" s="180">
        <v>4</v>
      </c>
      <c r="E46" s="180">
        <v>3</v>
      </c>
      <c r="F46" s="180">
        <v>2</v>
      </c>
      <c r="G46" s="180">
        <v>2</v>
      </c>
      <c r="H46" s="181">
        <v>3.5</v>
      </c>
      <c r="I46" s="172">
        <f t="shared" si="1"/>
        <v>14.5</v>
      </c>
    </row>
    <row r="47" spans="2:9" s="116" customFormat="1" ht="13.2" customHeight="1" x14ac:dyDescent="0.2">
      <c r="B47" s="166"/>
      <c r="C47" s="167" t="s">
        <v>126</v>
      </c>
      <c r="D47" s="168"/>
      <c r="E47" s="168"/>
      <c r="F47" s="168"/>
      <c r="G47" s="168"/>
      <c r="H47" s="169"/>
      <c r="I47" s="152">
        <f t="shared" si="1"/>
        <v>0</v>
      </c>
    </row>
    <row r="48" spans="2:9" s="116" customFormat="1" ht="13.2" customHeight="1" x14ac:dyDescent="0.2">
      <c r="B48" s="173"/>
      <c r="C48" s="174" t="s">
        <v>127</v>
      </c>
      <c r="D48" s="146"/>
      <c r="E48" s="146"/>
      <c r="F48" s="146"/>
      <c r="G48" s="146"/>
      <c r="H48" s="147"/>
      <c r="I48" s="151">
        <f t="shared" si="1"/>
        <v>0</v>
      </c>
    </row>
    <row r="49" spans="2:9" ht="18" customHeight="1" x14ac:dyDescent="0.25">
      <c r="B49" s="175">
        <v>15</v>
      </c>
      <c r="C49" s="176" t="str">
        <f>Config!C19&amp;", "&amp;Config!D19</f>
        <v>Schön, Leonardo</v>
      </c>
      <c r="D49" s="182">
        <v>4</v>
      </c>
      <c r="E49" s="182">
        <v>1</v>
      </c>
      <c r="F49" s="182">
        <v>1</v>
      </c>
      <c r="G49" s="182">
        <v>0.5</v>
      </c>
      <c r="H49" s="183">
        <v>0</v>
      </c>
      <c r="I49" s="177">
        <f t="shared" si="1"/>
        <v>6.5</v>
      </c>
    </row>
    <row r="50" spans="2:9" s="116" customFormat="1" ht="13.2" customHeight="1" x14ac:dyDescent="0.2">
      <c r="B50" s="160"/>
      <c r="C50" s="161" t="s">
        <v>126</v>
      </c>
      <c r="D50" s="162"/>
      <c r="E50" s="162"/>
      <c r="F50" s="162"/>
      <c r="G50" s="162"/>
      <c r="H50" s="163"/>
      <c r="I50" s="149">
        <f t="shared" si="1"/>
        <v>0</v>
      </c>
    </row>
    <row r="51" spans="2:9" s="116" customFormat="1" ht="13.2" customHeight="1" x14ac:dyDescent="0.2">
      <c r="B51" s="164"/>
      <c r="C51" s="165" t="s">
        <v>127</v>
      </c>
      <c r="D51" s="146"/>
      <c r="E51" s="146"/>
      <c r="F51" s="146"/>
      <c r="G51" s="146"/>
      <c r="H51" s="147"/>
      <c r="I51" s="148">
        <f t="shared" si="1"/>
        <v>0</v>
      </c>
    </row>
    <row r="52" spans="2:9" ht="18" customHeight="1" x14ac:dyDescent="0.25">
      <c r="B52" s="170">
        <v>16</v>
      </c>
      <c r="C52" s="171" t="str">
        <f>Config!C20&amp;", "&amp;Config!D20</f>
        <v>Sigl, Nicholas</v>
      </c>
      <c r="D52" s="180">
        <v>4</v>
      </c>
      <c r="E52" s="180">
        <v>0.5</v>
      </c>
      <c r="F52" s="180">
        <v>1</v>
      </c>
      <c r="G52" s="180">
        <v>0.5</v>
      </c>
      <c r="H52" s="181">
        <v>0</v>
      </c>
      <c r="I52" s="172">
        <f t="shared" si="1"/>
        <v>6</v>
      </c>
    </row>
    <row r="53" spans="2:9" s="116" customFormat="1" ht="13.2" customHeight="1" x14ac:dyDescent="0.2">
      <c r="B53" s="166"/>
      <c r="C53" s="167" t="s">
        <v>126</v>
      </c>
      <c r="D53" s="168"/>
      <c r="E53" s="168"/>
      <c r="F53" s="168"/>
      <c r="G53" s="168"/>
      <c r="H53" s="169"/>
      <c r="I53" s="152">
        <f t="shared" si="1"/>
        <v>0</v>
      </c>
    </row>
    <row r="54" spans="2:9" s="116" customFormat="1" ht="13.2" customHeight="1" x14ac:dyDescent="0.2">
      <c r="B54" s="173"/>
      <c r="C54" s="174" t="s">
        <v>127</v>
      </c>
      <c r="D54" s="146"/>
      <c r="E54" s="146"/>
      <c r="F54" s="146"/>
      <c r="G54" s="146"/>
      <c r="H54" s="147"/>
      <c r="I54" s="151">
        <f t="shared" si="1"/>
        <v>0</v>
      </c>
    </row>
    <row r="55" spans="2:9" ht="18" customHeight="1" x14ac:dyDescent="0.25">
      <c r="B55" s="175">
        <v>17</v>
      </c>
      <c r="C55" s="176" t="str">
        <f>Config!C21&amp;", "&amp;Config!D21</f>
        <v>Kainz, Vivienne</v>
      </c>
      <c r="D55" s="182">
        <v>2</v>
      </c>
      <c r="E55" s="182">
        <v>0</v>
      </c>
      <c r="F55" s="182">
        <v>1</v>
      </c>
      <c r="G55" s="182">
        <v>1.5</v>
      </c>
      <c r="H55" s="183">
        <v>0</v>
      </c>
      <c r="I55" s="177">
        <f t="shared" si="1"/>
        <v>4.5</v>
      </c>
    </row>
    <row r="56" spans="2:9" s="116" customFormat="1" ht="13.2" customHeight="1" x14ac:dyDescent="0.2">
      <c r="B56" s="160"/>
      <c r="C56" s="161" t="s">
        <v>126</v>
      </c>
      <c r="D56" s="162"/>
      <c r="E56" s="162"/>
      <c r="F56" s="162"/>
      <c r="G56" s="162"/>
      <c r="H56" s="163"/>
      <c r="I56" s="149">
        <f t="shared" si="1"/>
        <v>0</v>
      </c>
    </row>
    <row r="57" spans="2:9" s="116" customFormat="1" ht="13.2" customHeight="1" x14ac:dyDescent="0.2">
      <c r="B57" s="164"/>
      <c r="C57" s="165" t="s">
        <v>127</v>
      </c>
      <c r="D57" s="146"/>
      <c r="E57" s="146"/>
      <c r="F57" s="146"/>
      <c r="G57" s="146"/>
      <c r="H57" s="147"/>
      <c r="I57" s="148">
        <f t="shared" si="1"/>
        <v>0</v>
      </c>
    </row>
    <row r="58" spans="2:9" ht="18" customHeight="1" x14ac:dyDescent="0.25">
      <c r="B58" s="170">
        <v>18</v>
      </c>
      <c r="C58" s="171" t="str">
        <f>Config!C22&amp;", "&amp;Config!D22</f>
        <v>Hartmann, Mads</v>
      </c>
      <c r="D58" s="180">
        <v>4</v>
      </c>
      <c r="E58" s="180">
        <v>3</v>
      </c>
      <c r="F58" s="180">
        <v>3</v>
      </c>
      <c r="G58" s="180">
        <v>0</v>
      </c>
      <c r="H58" s="181">
        <v>4</v>
      </c>
      <c r="I58" s="172">
        <f t="shared" si="1"/>
        <v>14</v>
      </c>
    </row>
    <row r="59" spans="2:9" s="116" customFormat="1" ht="13.2" customHeight="1" x14ac:dyDescent="0.2">
      <c r="B59" s="166"/>
      <c r="C59" s="167" t="s">
        <v>126</v>
      </c>
      <c r="D59" s="168"/>
      <c r="E59" s="168"/>
      <c r="F59" s="168"/>
      <c r="G59" s="168"/>
      <c r="H59" s="169"/>
      <c r="I59" s="152">
        <f t="shared" si="1"/>
        <v>0</v>
      </c>
    </row>
    <row r="60" spans="2:9" s="116" customFormat="1" ht="13.2" customHeight="1" x14ac:dyDescent="0.2">
      <c r="B60" s="173"/>
      <c r="C60" s="174" t="s">
        <v>127</v>
      </c>
      <c r="D60" s="146"/>
      <c r="E60" s="146"/>
      <c r="F60" s="146"/>
      <c r="G60" s="146"/>
      <c r="H60" s="147"/>
      <c r="I60" s="151">
        <f t="shared" si="1"/>
        <v>0</v>
      </c>
    </row>
    <row r="61" spans="2:9" ht="18" customHeight="1" x14ac:dyDescent="0.25">
      <c r="B61" s="175">
        <v>19</v>
      </c>
      <c r="C61" s="176" t="str">
        <f>Config!C23&amp;", "&amp;Config!D23</f>
        <v>Ullmann, Raphael</v>
      </c>
      <c r="D61" s="182">
        <v>4</v>
      </c>
      <c r="E61" s="182">
        <v>1</v>
      </c>
      <c r="F61" s="182">
        <v>3</v>
      </c>
      <c r="G61" s="182">
        <v>2</v>
      </c>
      <c r="H61" s="183">
        <v>3.5</v>
      </c>
      <c r="I61" s="177">
        <f t="shared" si="1"/>
        <v>13.5</v>
      </c>
    </row>
    <row r="62" spans="2:9" s="116" customFormat="1" ht="13.2" customHeight="1" x14ac:dyDescent="0.2">
      <c r="B62" s="160"/>
      <c r="C62" s="161" t="s">
        <v>126</v>
      </c>
      <c r="D62" s="162"/>
      <c r="E62" s="162"/>
      <c r="F62" s="162"/>
      <c r="G62" s="162"/>
      <c r="H62" s="163"/>
      <c r="I62" s="149">
        <f t="shared" si="1"/>
        <v>0</v>
      </c>
    </row>
    <row r="63" spans="2:9" s="116" customFormat="1" ht="13.2" customHeight="1" x14ac:dyDescent="0.2">
      <c r="B63" s="164"/>
      <c r="C63" s="165" t="s">
        <v>127</v>
      </c>
      <c r="D63" s="146"/>
      <c r="E63" s="146"/>
      <c r="F63" s="146"/>
      <c r="G63" s="146"/>
      <c r="H63" s="147"/>
      <c r="I63" s="148">
        <f t="shared" si="1"/>
        <v>0</v>
      </c>
    </row>
    <row r="64" spans="2:9" ht="18" customHeight="1" x14ac:dyDescent="0.25">
      <c r="B64" s="170">
        <v>20</v>
      </c>
      <c r="C64" s="171" t="str">
        <f>Config!C24&amp;", "&amp;Config!D24</f>
        <v>Hartl, Emmely</v>
      </c>
      <c r="D64" s="180">
        <v>4</v>
      </c>
      <c r="E64" s="180">
        <v>2</v>
      </c>
      <c r="F64" s="180">
        <v>3</v>
      </c>
      <c r="G64" s="180">
        <v>2</v>
      </c>
      <c r="H64" s="181">
        <v>4</v>
      </c>
      <c r="I64" s="172">
        <f t="shared" si="1"/>
        <v>15</v>
      </c>
    </row>
    <row r="65" spans="2:9" s="116" customFormat="1" ht="13.2" customHeight="1" x14ac:dyDescent="0.2">
      <c r="B65" s="166"/>
      <c r="C65" s="167" t="s">
        <v>126</v>
      </c>
      <c r="D65" s="168"/>
      <c r="E65" s="168"/>
      <c r="F65" s="168"/>
      <c r="G65" s="168"/>
      <c r="H65" s="169"/>
      <c r="I65" s="152">
        <f t="shared" si="1"/>
        <v>0</v>
      </c>
    </row>
    <row r="66" spans="2:9" s="116" customFormat="1" ht="13.2" customHeight="1" x14ac:dyDescent="0.2">
      <c r="B66" s="173"/>
      <c r="C66" s="174" t="s">
        <v>127</v>
      </c>
      <c r="D66" s="146"/>
      <c r="E66" s="146"/>
      <c r="F66" s="146"/>
      <c r="G66" s="146"/>
      <c r="H66" s="147"/>
      <c r="I66" s="151">
        <f t="shared" si="1"/>
        <v>0</v>
      </c>
    </row>
    <row r="67" spans="2:9" ht="18" customHeight="1" x14ac:dyDescent="0.25">
      <c r="B67" s="175">
        <v>21</v>
      </c>
      <c r="C67" s="176" t="str">
        <f>Config!C25&amp;", "&amp;Config!D25</f>
        <v>Klotz, Karin</v>
      </c>
      <c r="D67" s="182">
        <v>4</v>
      </c>
      <c r="E67" s="182">
        <v>3</v>
      </c>
      <c r="F67" s="182">
        <v>4</v>
      </c>
      <c r="G67" s="182">
        <v>2</v>
      </c>
      <c r="H67" s="183">
        <v>3</v>
      </c>
      <c r="I67" s="177">
        <f t="shared" si="1"/>
        <v>16</v>
      </c>
    </row>
    <row r="68" spans="2:9" s="116" customFormat="1" ht="13.2" customHeight="1" x14ac:dyDescent="0.2">
      <c r="B68" s="160"/>
      <c r="C68" s="161" t="s">
        <v>126</v>
      </c>
      <c r="D68" s="162"/>
      <c r="E68" s="162"/>
      <c r="F68" s="162"/>
      <c r="G68" s="162"/>
      <c r="H68" s="163"/>
      <c r="I68" s="149">
        <f t="shared" si="1"/>
        <v>0</v>
      </c>
    </row>
    <row r="69" spans="2:9" s="116" customFormat="1" ht="13.2" customHeight="1" x14ac:dyDescent="0.2">
      <c r="B69" s="164"/>
      <c r="C69" s="165" t="s">
        <v>127</v>
      </c>
      <c r="D69" s="146"/>
      <c r="E69" s="146"/>
      <c r="F69" s="146"/>
      <c r="G69" s="146"/>
      <c r="H69" s="147"/>
      <c r="I69" s="148">
        <f t="shared" si="1"/>
        <v>0</v>
      </c>
    </row>
    <row r="70" spans="2:9" ht="18" customHeight="1" x14ac:dyDescent="0.25">
      <c r="B70" s="170">
        <v>22</v>
      </c>
      <c r="C70" s="171" t="str">
        <f>Config!C26&amp;", "&amp;Config!D26</f>
        <v>Ehlers, Ingo</v>
      </c>
      <c r="D70" s="180">
        <v>4</v>
      </c>
      <c r="E70" s="180">
        <v>2</v>
      </c>
      <c r="F70" s="180">
        <v>4</v>
      </c>
      <c r="G70" s="180">
        <v>2</v>
      </c>
      <c r="H70" s="181">
        <v>2.5</v>
      </c>
      <c r="I70" s="172">
        <f t="shared" si="1"/>
        <v>14.5</v>
      </c>
    </row>
    <row r="71" spans="2:9" s="116" customFormat="1" ht="13.2" customHeight="1" x14ac:dyDescent="0.2">
      <c r="B71" s="166"/>
      <c r="C71" s="167" t="s">
        <v>126</v>
      </c>
      <c r="D71" s="168"/>
      <c r="E71" s="168"/>
      <c r="F71" s="168"/>
      <c r="G71" s="168"/>
      <c r="H71" s="169"/>
      <c r="I71" s="152">
        <f t="shared" ref="I71:I75" si="2">SUM(D71:H71)</f>
        <v>0</v>
      </c>
    </row>
    <row r="72" spans="2:9" s="116" customFormat="1" ht="13.2" customHeight="1" x14ac:dyDescent="0.2">
      <c r="B72" s="173"/>
      <c r="C72" s="174" t="s">
        <v>127</v>
      </c>
      <c r="D72" s="146"/>
      <c r="E72" s="146"/>
      <c r="F72" s="146"/>
      <c r="G72" s="146"/>
      <c r="H72" s="147"/>
      <c r="I72" s="151">
        <f t="shared" si="2"/>
        <v>0</v>
      </c>
    </row>
    <row r="73" spans="2:9" ht="18" customHeight="1" thickBot="1" x14ac:dyDescent="0.3">
      <c r="B73" s="142">
        <v>23</v>
      </c>
      <c r="C73" s="137" t="str">
        <f>Config!C27&amp;", "&amp;Config!D27</f>
        <v>Lindemann, Mads</v>
      </c>
      <c r="D73" s="95">
        <v>4</v>
      </c>
      <c r="E73" s="95">
        <v>0</v>
      </c>
      <c r="F73" s="95">
        <v>2</v>
      </c>
      <c r="G73" s="95">
        <v>0.5</v>
      </c>
      <c r="H73" s="96">
        <v>0</v>
      </c>
      <c r="I73" s="145">
        <f t="shared" si="2"/>
        <v>6.5</v>
      </c>
    </row>
    <row r="74" spans="2:9" s="116" customFormat="1" ht="13.2" customHeight="1" x14ac:dyDescent="0.2">
      <c r="B74" s="160"/>
      <c r="C74" s="161" t="s">
        <v>126</v>
      </c>
      <c r="D74" s="162"/>
      <c r="E74" s="162"/>
      <c r="F74" s="162"/>
      <c r="G74" s="162"/>
      <c r="H74" s="163"/>
      <c r="I74" s="149">
        <f t="shared" si="2"/>
        <v>0</v>
      </c>
    </row>
    <row r="75" spans="2:9" s="116" customFormat="1" ht="13.2" customHeight="1" thickBot="1" x14ac:dyDescent="0.25">
      <c r="B75" s="153"/>
      <c r="C75" s="156" t="s">
        <v>127</v>
      </c>
      <c r="D75" s="154"/>
      <c r="E75" s="154"/>
      <c r="F75" s="154"/>
      <c r="G75" s="154"/>
      <c r="H75" s="155"/>
      <c r="I75" s="150">
        <f t="shared" si="2"/>
        <v>0</v>
      </c>
    </row>
    <row r="76" spans="2:9" ht="18" customHeight="1" thickBot="1" x14ac:dyDescent="0.3">
      <c r="B76" s="119"/>
      <c r="C76" s="120"/>
      <c r="D76" s="120">
        <f>IF(COUNTIFS(D7:D73,"&lt;&gt;",C7:C73,"&lt;&gt;ZK",C7:C73,"&lt;&gt;DK")&lt;&gt;0,SUMIFS(D7:D73,C7:C73,"&lt;&gt;ZK",C7:C73,"&lt;&gt;DK")/(COUNTIFS(D7:D73,"&lt;&gt;",C7:C73,"&lt;&gt;ZK",C7:C73,"&lt;&gt;DK")*D6),0)</f>
        <v>0.92391304347826086</v>
      </c>
      <c r="E76" s="120">
        <f>IF(COUNTIFS(E7:E73,"&lt;&gt;",C7:C73,"&lt;&gt;ZK",C7:C73,"&lt;&gt;DK")&lt;&gt;0,SUMIFS(E7:E73,C7:C73,"&lt;&gt;ZK",C7:C73,"&lt;&gt;DK")/(COUNTIFS(E7:E73,"&lt;&gt;",C7:C73,"&lt;&gt;ZK",C7:C73,"&lt;&gt;DK")*E6),0)</f>
        <v>0.54347826086956519</v>
      </c>
      <c r="F76" s="120">
        <f>IF(COUNTIFS(F7:F73,"&lt;&gt;",C7:C73,"&lt;&gt;ZK",C7:C73,"&lt;&gt;DK")&lt;&gt;0,SUMIFS(F7:F73,C7:C73,"&lt;&gt;ZK",C7:C73,"&lt;&gt;DK")/(COUNTIFS(F7:F73,"&lt;&gt;",C7:C73,"&lt;&gt;ZK",C7:C73,"&lt;&gt;DK")*F6),0)</f>
        <v>0.63043478260869568</v>
      </c>
      <c r="G76" s="120">
        <f>IF(COUNTIFS(G7:G73,"&lt;&gt;",C7:C73,"&lt;&gt;ZK",C7:C73,"&lt;&gt;DK")&lt;&gt;0,SUMIFS(G7:G73,C7:C73,"&lt;&gt;ZK",C7:C73,"&lt;&gt;DK")/(COUNTIFS(G7:G73,"&lt;&gt;",C7:C73,"&lt;&gt;ZK",C7:C73,"&lt;&gt;DK")*G6),0)</f>
        <v>0.39855072463768115</v>
      </c>
      <c r="H76" s="120">
        <f>IF(COUNTIFS(H7:H73,"&lt;&gt;",C7:C73,"&lt;&gt;ZK",C7:C73,"&lt;&gt;DK")&lt;&gt;0,SUMIFS(H7:H73,C7:C73,"&lt;&gt;ZK",C7:C73,"&lt;&gt;DK")/(COUNTIFS(H7:H73,"&lt;&gt;",C7:C73,"&lt;&gt;ZK",C7:C73,"&lt;&gt;DK")*H6),0)</f>
        <v>0.51086956521739135</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8" sqref="D8"/>
    </sheetView>
  </sheetViews>
  <sheetFormatPr baseColWidth="10" defaultColWidth="11.5546875" defaultRowHeight="13.2" x14ac:dyDescent="0.25"/>
  <cols>
    <col min="1" max="2" width="3.44140625" style="98" customWidth="1"/>
    <col min="3" max="3" width="25.6640625" style="98" customWidth="1"/>
    <col min="4" max="9" width="8.6640625" style="98" customWidth="1"/>
    <col min="10" max="16384" width="11.5546875" style="98"/>
  </cols>
  <sheetData>
    <row r="1" spans="2:9" ht="18" customHeight="1" thickBot="1" x14ac:dyDescent="0.3"/>
    <row r="2" spans="2:9" ht="18" customHeight="1" x14ac:dyDescent="0.25">
      <c r="B2" s="99" t="str">
        <f>Config!F2&amp;" "&amp;YEAR(Config!G24)</f>
        <v>Mathe Abitur 2026</v>
      </c>
      <c r="C2" s="100"/>
      <c r="D2" s="100"/>
      <c r="E2" s="100"/>
      <c r="F2" s="101"/>
      <c r="G2" s="101"/>
      <c r="H2" s="101"/>
      <c r="I2" s="102" t="str">
        <f>"Kurs "&amp;Config!G26</f>
        <v>Kurs K1</v>
      </c>
    </row>
    <row r="3" spans="2:9" ht="18" customHeight="1" x14ac:dyDescent="0.25">
      <c r="B3" s="103" t="s">
        <v>112</v>
      </c>
      <c r="C3" s="104"/>
      <c r="D3" s="104"/>
      <c r="E3" s="104"/>
      <c r="F3" s="104"/>
      <c r="G3" s="104"/>
      <c r="H3" s="104"/>
      <c r="I3" s="105"/>
    </row>
    <row r="4" spans="2:9" ht="18" customHeight="1" thickBot="1" x14ac:dyDescent="0.3">
      <c r="B4" s="103"/>
      <c r="C4" s="104"/>
      <c r="D4" s="106"/>
      <c r="E4" s="106"/>
      <c r="F4" s="106"/>
      <c r="G4" s="106"/>
      <c r="H4" s="106"/>
      <c r="I4" s="107"/>
    </row>
    <row r="5" spans="2:9" ht="18" customHeight="1" thickBot="1" x14ac:dyDescent="0.3">
      <c r="B5" s="108"/>
      <c r="C5" s="110"/>
      <c r="D5" s="124" t="str">
        <f>Config!R6</f>
        <v>6</v>
      </c>
      <c r="E5" s="124" t="str">
        <f>Config!R7</f>
        <v>7a</v>
      </c>
      <c r="F5" s="124" t="str">
        <f>Config!R8</f>
        <v>7b</v>
      </c>
      <c r="G5" s="124" t="str">
        <f>Config!R9</f>
        <v>8</v>
      </c>
      <c r="H5" s="124" t="str">
        <f>Config!R10</f>
        <v>9</v>
      </c>
      <c r="I5" s="114" t="s">
        <v>82</v>
      </c>
    </row>
    <row r="6" spans="2:9" ht="18" customHeight="1" thickBot="1" x14ac:dyDescent="0.3">
      <c r="B6" s="109"/>
      <c r="C6" s="111" t="s">
        <v>81</v>
      </c>
      <c r="D6" s="113">
        <f>Config!S6</f>
        <v>5</v>
      </c>
      <c r="E6" s="113">
        <f>Config!S7</f>
        <v>2</v>
      </c>
      <c r="F6" s="113">
        <f>Config!S8</f>
        <v>3</v>
      </c>
      <c r="G6" s="113">
        <f>Config!S9</f>
        <v>5</v>
      </c>
      <c r="H6" s="113">
        <f>Config!S10</f>
        <v>5</v>
      </c>
      <c r="I6" s="125">
        <f>Config!S21</f>
        <v>10</v>
      </c>
    </row>
    <row r="7" spans="2:9" ht="18" customHeight="1" x14ac:dyDescent="0.25">
      <c r="B7" s="157">
        <v>1</v>
      </c>
      <c r="C7" s="158" t="str">
        <f>Config!C5&amp;", "&amp;Config!D5</f>
        <v>Höfer, Simon</v>
      </c>
      <c r="D7" s="178">
        <v>4</v>
      </c>
      <c r="E7" s="184"/>
      <c r="F7" s="178">
        <v>3</v>
      </c>
      <c r="G7" s="184"/>
      <c r="H7" s="185"/>
      <c r="I7" s="159">
        <f t="shared" ref="I7:I38" si="0">SUM(D7:H7)</f>
        <v>7</v>
      </c>
    </row>
    <row r="8" spans="2:9" s="116" customFormat="1" ht="13.2" customHeight="1" x14ac:dyDescent="0.2">
      <c r="B8" s="160"/>
      <c r="C8" s="161" t="s">
        <v>126</v>
      </c>
      <c r="D8" s="162"/>
      <c r="E8" s="208"/>
      <c r="F8" s="162"/>
      <c r="G8" s="208"/>
      <c r="H8" s="213"/>
      <c r="I8" s="149">
        <f t="shared" si="0"/>
        <v>0</v>
      </c>
    </row>
    <row r="9" spans="2:9" s="116" customFormat="1" ht="13.2" customHeight="1" x14ac:dyDescent="0.2">
      <c r="B9" s="164"/>
      <c r="C9" s="165" t="s">
        <v>127</v>
      </c>
      <c r="D9" s="146"/>
      <c r="E9" s="209"/>
      <c r="F9" s="146"/>
      <c r="G9" s="209"/>
      <c r="H9" s="214"/>
      <c r="I9" s="148">
        <f t="shared" si="0"/>
        <v>0</v>
      </c>
    </row>
    <row r="10" spans="2:9" ht="18" customHeight="1" x14ac:dyDescent="0.25">
      <c r="B10" s="170">
        <v>2</v>
      </c>
      <c r="C10" s="171" t="str">
        <f>Config!C6&amp;", "&amp;Config!D6</f>
        <v>Töpfer, Lilian</v>
      </c>
      <c r="D10" s="180">
        <v>3</v>
      </c>
      <c r="E10" s="186"/>
      <c r="F10" s="186"/>
      <c r="G10" s="180">
        <v>4</v>
      </c>
      <c r="H10" s="187"/>
      <c r="I10" s="172">
        <f t="shared" si="0"/>
        <v>7</v>
      </c>
    </row>
    <row r="11" spans="2:9" s="116" customFormat="1" ht="13.2" customHeight="1" x14ac:dyDescent="0.2">
      <c r="B11" s="166"/>
      <c r="C11" s="167" t="s">
        <v>126</v>
      </c>
      <c r="D11" s="168"/>
      <c r="E11" s="210"/>
      <c r="F11" s="210"/>
      <c r="G11" s="168"/>
      <c r="H11" s="215"/>
      <c r="I11" s="152">
        <f t="shared" si="0"/>
        <v>0</v>
      </c>
    </row>
    <row r="12" spans="2:9" s="116" customFormat="1" ht="13.2" customHeight="1" x14ac:dyDescent="0.2">
      <c r="B12" s="173"/>
      <c r="C12" s="174" t="s">
        <v>127</v>
      </c>
      <c r="D12" s="146"/>
      <c r="E12" s="211"/>
      <c r="F12" s="211"/>
      <c r="G12" s="146"/>
      <c r="H12" s="216"/>
      <c r="I12" s="151">
        <f t="shared" si="0"/>
        <v>0</v>
      </c>
    </row>
    <row r="13" spans="2:9" ht="18" customHeight="1" x14ac:dyDescent="0.25">
      <c r="B13" s="175">
        <v>3</v>
      </c>
      <c r="C13" s="176" t="str">
        <f>Config!C7&amp;", "&amp;Config!D7</f>
        <v>Fleischmann, Leonie</v>
      </c>
      <c r="D13" s="188"/>
      <c r="E13" s="188"/>
      <c r="F13" s="188"/>
      <c r="G13" s="182">
        <v>5</v>
      </c>
      <c r="H13" s="183">
        <v>3</v>
      </c>
      <c r="I13" s="177">
        <f t="shared" si="0"/>
        <v>8</v>
      </c>
    </row>
    <row r="14" spans="2:9" s="116" customFormat="1" ht="13.2" customHeight="1" x14ac:dyDescent="0.2">
      <c r="B14" s="160"/>
      <c r="C14" s="161" t="s">
        <v>126</v>
      </c>
      <c r="D14" s="208"/>
      <c r="E14" s="208"/>
      <c r="F14" s="208"/>
      <c r="G14" s="162"/>
      <c r="H14" s="163"/>
      <c r="I14" s="149">
        <f t="shared" si="0"/>
        <v>0</v>
      </c>
    </row>
    <row r="15" spans="2:9" s="116" customFormat="1" ht="13.2" customHeight="1" x14ac:dyDescent="0.2">
      <c r="B15" s="164"/>
      <c r="C15" s="165" t="s">
        <v>127</v>
      </c>
      <c r="D15" s="209"/>
      <c r="E15" s="209"/>
      <c r="F15" s="209"/>
      <c r="G15" s="146"/>
      <c r="H15" s="147"/>
      <c r="I15" s="148">
        <f t="shared" si="0"/>
        <v>0</v>
      </c>
    </row>
    <row r="16" spans="2:9" ht="18" customHeight="1" x14ac:dyDescent="0.25">
      <c r="B16" s="170">
        <v>4</v>
      </c>
      <c r="C16" s="171" t="str">
        <f>Config!C8&amp;", "&amp;Config!D8</f>
        <v>Drescher, Cedric</v>
      </c>
      <c r="D16" s="180">
        <v>1</v>
      </c>
      <c r="E16" s="180">
        <v>2</v>
      </c>
      <c r="F16" s="180">
        <v>3</v>
      </c>
      <c r="G16" s="186"/>
      <c r="H16" s="187"/>
      <c r="I16" s="172">
        <f t="shared" si="0"/>
        <v>6</v>
      </c>
    </row>
    <row r="17" spans="2:9" s="116" customFormat="1" ht="13.2" customHeight="1" x14ac:dyDescent="0.2">
      <c r="B17" s="166"/>
      <c r="C17" s="167" t="s">
        <v>126</v>
      </c>
      <c r="D17" s="168"/>
      <c r="E17" s="168"/>
      <c r="F17" s="168"/>
      <c r="G17" s="210"/>
      <c r="H17" s="215"/>
      <c r="I17" s="152">
        <f t="shared" si="0"/>
        <v>0</v>
      </c>
    </row>
    <row r="18" spans="2:9" s="116" customFormat="1" ht="13.2" customHeight="1" x14ac:dyDescent="0.2">
      <c r="B18" s="173"/>
      <c r="C18" s="174" t="s">
        <v>127</v>
      </c>
      <c r="D18" s="146"/>
      <c r="E18" s="146"/>
      <c r="F18" s="146"/>
      <c r="G18" s="211"/>
      <c r="H18" s="216"/>
      <c r="I18" s="151">
        <f t="shared" si="0"/>
        <v>0</v>
      </c>
    </row>
    <row r="19" spans="2:9" ht="18" customHeight="1" x14ac:dyDescent="0.25">
      <c r="B19" s="175">
        <v>5</v>
      </c>
      <c r="C19" s="176" t="str">
        <f>Config!C9&amp;", "&amp;Config!D9</f>
        <v>Baumgarten, Annabell</v>
      </c>
      <c r="D19" s="182">
        <v>1</v>
      </c>
      <c r="E19" s="188"/>
      <c r="F19" s="188"/>
      <c r="G19" s="182">
        <v>5</v>
      </c>
      <c r="H19" s="189"/>
      <c r="I19" s="177">
        <f t="shared" si="0"/>
        <v>6</v>
      </c>
    </row>
    <row r="20" spans="2:9" s="116" customFormat="1" ht="13.2" customHeight="1" x14ac:dyDescent="0.2">
      <c r="B20" s="160"/>
      <c r="C20" s="161" t="s">
        <v>126</v>
      </c>
      <c r="D20" s="162"/>
      <c r="E20" s="208"/>
      <c r="F20" s="208"/>
      <c r="G20" s="162"/>
      <c r="H20" s="213"/>
      <c r="I20" s="149">
        <f t="shared" si="0"/>
        <v>0</v>
      </c>
    </row>
    <row r="21" spans="2:9" s="116" customFormat="1" ht="13.2" customHeight="1" x14ac:dyDescent="0.2">
      <c r="B21" s="164"/>
      <c r="C21" s="165" t="s">
        <v>127</v>
      </c>
      <c r="D21" s="146"/>
      <c r="E21" s="209"/>
      <c r="F21" s="209"/>
      <c r="G21" s="146"/>
      <c r="H21" s="214"/>
      <c r="I21" s="148">
        <f t="shared" si="0"/>
        <v>0</v>
      </c>
    </row>
    <row r="22" spans="2:9" ht="18" customHeight="1" x14ac:dyDescent="0.25">
      <c r="B22" s="170">
        <v>6</v>
      </c>
      <c r="C22" s="171" t="str">
        <f>Config!C10&amp;", "&amp;Config!D10</f>
        <v>Traut, Stefanie</v>
      </c>
      <c r="D22" s="186"/>
      <c r="E22" s="180">
        <v>2</v>
      </c>
      <c r="F22" s="180">
        <v>3</v>
      </c>
      <c r="G22" s="180">
        <v>3</v>
      </c>
      <c r="H22" s="187"/>
      <c r="I22" s="172">
        <f t="shared" si="0"/>
        <v>8</v>
      </c>
    </row>
    <row r="23" spans="2:9" s="116" customFormat="1" ht="13.2" customHeight="1" x14ac:dyDescent="0.2">
      <c r="B23" s="166"/>
      <c r="C23" s="167" t="s">
        <v>126</v>
      </c>
      <c r="D23" s="210"/>
      <c r="E23" s="168"/>
      <c r="F23" s="168"/>
      <c r="G23" s="168"/>
      <c r="H23" s="215"/>
      <c r="I23" s="152">
        <f t="shared" si="0"/>
        <v>0</v>
      </c>
    </row>
    <row r="24" spans="2:9" s="116" customFormat="1" ht="13.2" customHeight="1" x14ac:dyDescent="0.2">
      <c r="B24" s="173"/>
      <c r="C24" s="174" t="s">
        <v>127</v>
      </c>
      <c r="D24" s="211"/>
      <c r="E24" s="146"/>
      <c r="F24" s="146"/>
      <c r="G24" s="146"/>
      <c r="H24" s="216"/>
      <c r="I24" s="151">
        <f t="shared" si="0"/>
        <v>0</v>
      </c>
    </row>
    <row r="25" spans="2:9" ht="18" customHeight="1" x14ac:dyDescent="0.25">
      <c r="B25" s="175">
        <v>7</v>
      </c>
      <c r="C25" s="176" t="str">
        <f>Config!C11&amp;", "&amp;Config!D11</f>
        <v>Menke, Damian</v>
      </c>
      <c r="D25" s="188"/>
      <c r="E25" s="182">
        <v>1</v>
      </c>
      <c r="F25" s="182">
        <v>2</v>
      </c>
      <c r="G25" s="188"/>
      <c r="H25" s="183">
        <v>4</v>
      </c>
      <c r="I25" s="177">
        <f t="shared" si="0"/>
        <v>7</v>
      </c>
    </row>
    <row r="26" spans="2:9" s="116" customFormat="1" ht="13.2" customHeight="1" x14ac:dyDescent="0.2">
      <c r="B26" s="160"/>
      <c r="C26" s="161" t="s">
        <v>126</v>
      </c>
      <c r="D26" s="208"/>
      <c r="E26" s="162"/>
      <c r="F26" s="162"/>
      <c r="G26" s="208"/>
      <c r="H26" s="163"/>
      <c r="I26" s="149">
        <f t="shared" si="0"/>
        <v>0</v>
      </c>
    </row>
    <row r="27" spans="2:9" s="116" customFormat="1" ht="13.2" customHeight="1" x14ac:dyDescent="0.2">
      <c r="B27" s="164"/>
      <c r="C27" s="165" t="s">
        <v>127</v>
      </c>
      <c r="D27" s="209"/>
      <c r="E27" s="146"/>
      <c r="F27" s="146"/>
      <c r="G27" s="209"/>
      <c r="H27" s="147"/>
      <c r="I27" s="148">
        <f t="shared" si="0"/>
        <v>0</v>
      </c>
    </row>
    <row r="28" spans="2:9" ht="18" customHeight="1" x14ac:dyDescent="0.25">
      <c r="B28" s="170">
        <v>8</v>
      </c>
      <c r="C28" s="171" t="str">
        <f>Config!C12&amp;", "&amp;Config!D12</f>
        <v>Carroll, Meik</v>
      </c>
      <c r="D28" s="186"/>
      <c r="E28" s="186"/>
      <c r="F28" s="186"/>
      <c r="G28" s="180">
        <v>4</v>
      </c>
      <c r="H28" s="181">
        <v>3</v>
      </c>
      <c r="I28" s="172">
        <f t="shared" si="0"/>
        <v>7</v>
      </c>
    </row>
    <row r="29" spans="2:9" s="116" customFormat="1" ht="13.2" customHeight="1" x14ac:dyDescent="0.2">
      <c r="B29" s="166"/>
      <c r="C29" s="167" t="s">
        <v>126</v>
      </c>
      <c r="D29" s="210"/>
      <c r="E29" s="210"/>
      <c r="F29" s="210"/>
      <c r="G29" s="168"/>
      <c r="H29" s="169"/>
      <c r="I29" s="152">
        <f t="shared" si="0"/>
        <v>0</v>
      </c>
    </row>
    <row r="30" spans="2:9" s="116" customFormat="1" ht="13.2" customHeight="1" x14ac:dyDescent="0.2">
      <c r="B30" s="173"/>
      <c r="C30" s="174" t="s">
        <v>127</v>
      </c>
      <c r="D30" s="211"/>
      <c r="E30" s="211"/>
      <c r="F30" s="211"/>
      <c r="G30" s="146"/>
      <c r="H30" s="147"/>
      <c r="I30" s="151">
        <f t="shared" si="0"/>
        <v>0</v>
      </c>
    </row>
    <row r="31" spans="2:9" ht="18" customHeight="1" x14ac:dyDescent="0.25">
      <c r="B31" s="175">
        <v>9</v>
      </c>
      <c r="C31" s="176" t="str">
        <f>Config!C13&amp;", "&amp;Config!D13</f>
        <v>Hennings, Tomas</v>
      </c>
      <c r="D31" s="182">
        <v>5</v>
      </c>
      <c r="E31" s="182">
        <v>2</v>
      </c>
      <c r="F31" s="182">
        <v>1</v>
      </c>
      <c r="G31" s="188"/>
      <c r="H31" s="189"/>
      <c r="I31" s="177">
        <f t="shared" si="0"/>
        <v>8</v>
      </c>
    </row>
    <row r="32" spans="2:9" s="116" customFormat="1" ht="13.2" customHeight="1" x14ac:dyDescent="0.2">
      <c r="B32" s="160"/>
      <c r="C32" s="161" t="s">
        <v>126</v>
      </c>
      <c r="D32" s="162"/>
      <c r="E32" s="162"/>
      <c r="F32" s="162"/>
      <c r="G32" s="208"/>
      <c r="H32" s="213"/>
      <c r="I32" s="149">
        <f t="shared" si="0"/>
        <v>0</v>
      </c>
    </row>
    <row r="33" spans="2:9" s="116" customFormat="1" ht="13.2" customHeight="1" x14ac:dyDescent="0.2">
      <c r="B33" s="164"/>
      <c r="C33" s="165" t="s">
        <v>127</v>
      </c>
      <c r="D33" s="146"/>
      <c r="E33" s="146"/>
      <c r="F33" s="146"/>
      <c r="G33" s="209"/>
      <c r="H33" s="214"/>
      <c r="I33" s="148">
        <f t="shared" si="0"/>
        <v>0</v>
      </c>
    </row>
    <row r="34" spans="2:9" ht="18" customHeight="1" x14ac:dyDescent="0.25">
      <c r="B34" s="170">
        <v>10</v>
      </c>
      <c r="C34" s="171" t="str">
        <f>Config!C14&amp;", "&amp;Config!D14</f>
        <v>Walters, Linn</v>
      </c>
      <c r="D34" s="186"/>
      <c r="E34" s="180">
        <v>1</v>
      </c>
      <c r="F34" s="180">
        <v>2</v>
      </c>
      <c r="G34" s="180">
        <v>5</v>
      </c>
      <c r="H34" s="187"/>
      <c r="I34" s="172">
        <f t="shared" si="0"/>
        <v>8</v>
      </c>
    </row>
    <row r="35" spans="2:9" s="116" customFormat="1" ht="13.2" customHeight="1" x14ac:dyDescent="0.2">
      <c r="B35" s="166"/>
      <c r="C35" s="167" t="s">
        <v>126</v>
      </c>
      <c r="D35" s="210"/>
      <c r="E35" s="168"/>
      <c r="F35" s="168"/>
      <c r="G35" s="168"/>
      <c r="H35" s="215"/>
      <c r="I35" s="152">
        <f t="shared" si="0"/>
        <v>0</v>
      </c>
    </row>
    <row r="36" spans="2:9" s="116" customFormat="1" ht="13.2" customHeight="1" x14ac:dyDescent="0.2">
      <c r="B36" s="173"/>
      <c r="C36" s="174" t="s">
        <v>127</v>
      </c>
      <c r="D36" s="211"/>
      <c r="E36" s="146"/>
      <c r="F36" s="146"/>
      <c r="G36" s="146"/>
      <c r="H36" s="216"/>
      <c r="I36" s="151">
        <f t="shared" si="0"/>
        <v>0</v>
      </c>
    </row>
    <row r="37" spans="2:9" ht="18" customHeight="1" x14ac:dyDescent="0.25">
      <c r="B37" s="175">
        <v>11</v>
      </c>
      <c r="C37" s="176" t="str">
        <f>Config!C15&amp;", "&amp;Config!D15</f>
        <v>Junker, Amely</v>
      </c>
      <c r="D37" s="182">
        <v>2</v>
      </c>
      <c r="E37" s="188"/>
      <c r="F37" s="188"/>
      <c r="G37" s="182">
        <v>4</v>
      </c>
      <c r="H37" s="189"/>
      <c r="I37" s="177">
        <f t="shared" si="0"/>
        <v>6</v>
      </c>
    </row>
    <row r="38" spans="2:9" s="116" customFormat="1" ht="13.2" customHeight="1" x14ac:dyDescent="0.2">
      <c r="B38" s="160"/>
      <c r="C38" s="161" t="s">
        <v>126</v>
      </c>
      <c r="D38" s="162"/>
      <c r="E38" s="208"/>
      <c r="F38" s="208"/>
      <c r="G38" s="162"/>
      <c r="H38" s="213"/>
      <c r="I38" s="149">
        <f t="shared" si="0"/>
        <v>0</v>
      </c>
    </row>
    <row r="39" spans="2:9" s="116" customFormat="1" ht="13.2" customHeight="1" x14ac:dyDescent="0.2">
      <c r="B39" s="164"/>
      <c r="C39" s="165" t="s">
        <v>127</v>
      </c>
      <c r="D39" s="146"/>
      <c r="E39" s="209"/>
      <c r="F39" s="209"/>
      <c r="G39" s="146"/>
      <c r="H39" s="214"/>
      <c r="I39" s="148">
        <f t="shared" ref="I39:I70" si="1">SUM(D39:H39)</f>
        <v>0</v>
      </c>
    </row>
    <row r="40" spans="2:9" ht="18" customHeight="1" x14ac:dyDescent="0.25">
      <c r="B40" s="170">
        <v>12</v>
      </c>
      <c r="C40" s="171" t="str">
        <f>Config!C16&amp;", "&amp;Config!D16</f>
        <v>Stephens, Melvin</v>
      </c>
      <c r="D40" s="180">
        <v>5</v>
      </c>
      <c r="E40" s="186"/>
      <c r="F40" s="186"/>
      <c r="G40" s="180">
        <v>1</v>
      </c>
      <c r="H40" s="187"/>
      <c r="I40" s="172">
        <f t="shared" si="1"/>
        <v>6</v>
      </c>
    </row>
    <row r="41" spans="2:9" s="116" customFormat="1" ht="13.2" customHeight="1" x14ac:dyDescent="0.2">
      <c r="B41" s="166"/>
      <c r="C41" s="167" t="s">
        <v>126</v>
      </c>
      <c r="D41" s="168"/>
      <c r="E41" s="210"/>
      <c r="F41" s="210"/>
      <c r="G41" s="168"/>
      <c r="H41" s="215"/>
      <c r="I41" s="152">
        <f t="shared" si="1"/>
        <v>0</v>
      </c>
    </row>
    <row r="42" spans="2:9" s="116" customFormat="1" ht="13.2" customHeight="1" x14ac:dyDescent="0.2">
      <c r="B42" s="173"/>
      <c r="C42" s="174" t="s">
        <v>127</v>
      </c>
      <c r="D42" s="146"/>
      <c r="E42" s="211"/>
      <c r="F42" s="211"/>
      <c r="G42" s="146"/>
      <c r="H42" s="216"/>
      <c r="I42" s="151">
        <f t="shared" si="1"/>
        <v>0</v>
      </c>
    </row>
    <row r="43" spans="2:9" ht="18" customHeight="1" x14ac:dyDescent="0.25">
      <c r="B43" s="175">
        <v>13</v>
      </c>
      <c r="C43" s="176" t="str">
        <f>Config!C17&amp;", "&amp;Config!D17</f>
        <v>Cremer, Marvin</v>
      </c>
      <c r="D43" s="182">
        <v>3</v>
      </c>
      <c r="E43" s="188"/>
      <c r="F43" s="188"/>
      <c r="G43" s="188"/>
      <c r="H43" s="183">
        <v>5</v>
      </c>
      <c r="I43" s="177">
        <f t="shared" si="1"/>
        <v>8</v>
      </c>
    </row>
    <row r="44" spans="2:9" s="116" customFormat="1" ht="13.2" customHeight="1" x14ac:dyDescent="0.2">
      <c r="B44" s="160"/>
      <c r="C44" s="161" t="s">
        <v>126</v>
      </c>
      <c r="D44" s="162"/>
      <c r="E44" s="208"/>
      <c r="F44" s="208"/>
      <c r="G44" s="208"/>
      <c r="H44" s="163"/>
      <c r="I44" s="149">
        <f t="shared" si="1"/>
        <v>0</v>
      </c>
    </row>
    <row r="45" spans="2:9" s="116" customFormat="1" ht="13.2" customHeight="1" x14ac:dyDescent="0.2">
      <c r="B45" s="164"/>
      <c r="C45" s="165" t="s">
        <v>127</v>
      </c>
      <c r="D45" s="146"/>
      <c r="E45" s="209"/>
      <c r="F45" s="209"/>
      <c r="G45" s="209"/>
      <c r="H45" s="147"/>
      <c r="I45" s="148">
        <f t="shared" si="1"/>
        <v>0</v>
      </c>
    </row>
    <row r="46" spans="2:9" ht="18" customHeight="1" x14ac:dyDescent="0.25">
      <c r="B46" s="170">
        <v>14</v>
      </c>
      <c r="C46" s="171" t="str">
        <f>Config!C18&amp;", "&amp;Config!D18</f>
        <v>Nash, Jean</v>
      </c>
      <c r="D46" s="186"/>
      <c r="E46" s="186"/>
      <c r="F46" s="186"/>
      <c r="G46" s="180">
        <v>4</v>
      </c>
      <c r="H46" s="181">
        <v>3</v>
      </c>
      <c r="I46" s="172">
        <f t="shared" si="1"/>
        <v>7</v>
      </c>
    </row>
    <row r="47" spans="2:9" s="116" customFormat="1" ht="13.2" customHeight="1" x14ac:dyDescent="0.2">
      <c r="B47" s="166"/>
      <c r="C47" s="167" t="s">
        <v>126</v>
      </c>
      <c r="D47" s="210"/>
      <c r="E47" s="210"/>
      <c r="F47" s="210"/>
      <c r="G47" s="168"/>
      <c r="H47" s="169"/>
      <c r="I47" s="152">
        <f t="shared" si="1"/>
        <v>0</v>
      </c>
    </row>
    <row r="48" spans="2:9" s="116" customFormat="1" ht="13.2" customHeight="1" x14ac:dyDescent="0.2">
      <c r="B48" s="173"/>
      <c r="C48" s="174" t="s">
        <v>127</v>
      </c>
      <c r="D48" s="211"/>
      <c r="E48" s="211"/>
      <c r="F48" s="211"/>
      <c r="G48" s="146"/>
      <c r="H48" s="147"/>
      <c r="I48" s="151">
        <f t="shared" si="1"/>
        <v>0</v>
      </c>
    </row>
    <row r="49" spans="2:9" ht="18" customHeight="1" x14ac:dyDescent="0.25">
      <c r="B49" s="175">
        <v>15</v>
      </c>
      <c r="C49" s="176" t="str">
        <f>Config!C19&amp;", "&amp;Config!D19</f>
        <v>Schön, Leonardo</v>
      </c>
      <c r="D49" s="188"/>
      <c r="E49" s="182">
        <v>1</v>
      </c>
      <c r="F49" s="182">
        <v>2</v>
      </c>
      <c r="G49" s="188"/>
      <c r="H49" s="183">
        <v>1</v>
      </c>
      <c r="I49" s="177">
        <f t="shared" si="1"/>
        <v>4</v>
      </c>
    </row>
    <row r="50" spans="2:9" s="116" customFormat="1" ht="13.2" customHeight="1" x14ac:dyDescent="0.2">
      <c r="B50" s="160"/>
      <c r="C50" s="161" t="s">
        <v>126</v>
      </c>
      <c r="D50" s="208"/>
      <c r="E50" s="162"/>
      <c r="F50" s="162"/>
      <c r="G50" s="208"/>
      <c r="H50" s="163"/>
      <c r="I50" s="149">
        <f t="shared" si="1"/>
        <v>0</v>
      </c>
    </row>
    <row r="51" spans="2:9" s="116" customFormat="1" ht="13.2" customHeight="1" x14ac:dyDescent="0.2">
      <c r="B51" s="164"/>
      <c r="C51" s="165" t="s">
        <v>127</v>
      </c>
      <c r="D51" s="209"/>
      <c r="E51" s="146"/>
      <c r="F51" s="146"/>
      <c r="G51" s="209"/>
      <c r="H51" s="147"/>
      <c r="I51" s="148">
        <f t="shared" si="1"/>
        <v>0</v>
      </c>
    </row>
    <row r="52" spans="2:9" ht="18" customHeight="1" x14ac:dyDescent="0.25">
      <c r="B52" s="170">
        <v>16</v>
      </c>
      <c r="C52" s="171" t="str">
        <f>Config!C20&amp;", "&amp;Config!D20</f>
        <v>Sigl, Nicholas</v>
      </c>
      <c r="D52" s="186"/>
      <c r="E52" s="180">
        <v>1</v>
      </c>
      <c r="F52" s="180">
        <v>2</v>
      </c>
      <c r="G52" s="180">
        <v>5</v>
      </c>
      <c r="H52" s="187"/>
      <c r="I52" s="172">
        <f t="shared" si="1"/>
        <v>8</v>
      </c>
    </row>
    <row r="53" spans="2:9" s="116" customFormat="1" ht="13.2" customHeight="1" x14ac:dyDescent="0.2">
      <c r="B53" s="166"/>
      <c r="C53" s="167" t="s">
        <v>126</v>
      </c>
      <c r="D53" s="210"/>
      <c r="E53" s="168"/>
      <c r="F53" s="168"/>
      <c r="G53" s="168"/>
      <c r="H53" s="215"/>
      <c r="I53" s="152">
        <f t="shared" si="1"/>
        <v>0</v>
      </c>
    </row>
    <row r="54" spans="2:9" s="116" customFormat="1" ht="13.2" customHeight="1" x14ac:dyDescent="0.2">
      <c r="B54" s="173"/>
      <c r="C54" s="174" t="s">
        <v>127</v>
      </c>
      <c r="D54" s="211"/>
      <c r="E54" s="146"/>
      <c r="F54" s="146"/>
      <c r="G54" s="146"/>
      <c r="H54" s="216"/>
      <c r="I54" s="151">
        <f t="shared" si="1"/>
        <v>0</v>
      </c>
    </row>
    <row r="55" spans="2:9" ht="18" customHeight="1" x14ac:dyDescent="0.25">
      <c r="B55" s="175">
        <v>17</v>
      </c>
      <c r="C55" s="176" t="str">
        <f>Config!C21&amp;", "&amp;Config!D21</f>
        <v>Kainz, Vivienne</v>
      </c>
      <c r="D55" s="182">
        <v>5</v>
      </c>
      <c r="E55" s="188"/>
      <c r="F55" s="188"/>
      <c r="G55" s="182">
        <v>5</v>
      </c>
      <c r="H55" s="189"/>
      <c r="I55" s="177">
        <f t="shared" si="1"/>
        <v>10</v>
      </c>
    </row>
    <row r="56" spans="2:9" s="116" customFormat="1" ht="13.2" customHeight="1" x14ac:dyDescent="0.2">
      <c r="B56" s="160"/>
      <c r="C56" s="161" t="s">
        <v>126</v>
      </c>
      <c r="D56" s="162"/>
      <c r="E56" s="208"/>
      <c r="F56" s="208"/>
      <c r="G56" s="162"/>
      <c r="H56" s="213"/>
      <c r="I56" s="149">
        <f t="shared" si="1"/>
        <v>0</v>
      </c>
    </row>
    <row r="57" spans="2:9" s="116" customFormat="1" ht="13.2" customHeight="1" x14ac:dyDescent="0.2">
      <c r="B57" s="164"/>
      <c r="C57" s="165" t="s">
        <v>127</v>
      </c>
      <c r="D57" s="146"/>
      <c r="E57" s="209"/>
      <c r="F57" s="209"/>
      <c r="G57" s="146"/>
      <c r="H57" s="214"/>
      <c r="I57" s="148">
        <f t="shared" si="1"/>
        <v>0</v>
      </c>
    </row>
    <row r="58" spans="2:9" ht="18" customHeight="1" x14ac:dyDescent="0.25">
      <c r="B58" s="170">
        <v>18</v>
      </c>
      <c r="C58" s="171" t="str">
        <f>Config!C22&amp;", "&amp;Config!D22</f>
        <v>Hartmann, Mads</v>
      </c>
      <c r="D58" s="186"/>
      <c r="E58" s="186"/>
      <c r="F58" s="186"/>
      <c r="G58" s="180">
        <v>3</v>
      </c>
      <c r="H58" s="181">
        <v>4</v>
      </c>
      <c r="I58" s="172">
        <f t="shared" si="1"/>
        <v>7</v>
      </c>
    </row>
    <row r="59" spans="2:9" s="116" customFormat="1" ht="13.2" customHeight="1" x14ac:dyDescent="0.2">
      <c r="B59" s="166"/>
      <c r="C59" s="167" t="s">
        <v>126</v>
      </c>
      <c r="D59" s="210"/>
      <c r="E59" s="210"/>
      <c r="F59" s="210"/>
      <c r="G59" s="168"/>
      <c r="H59" s="169"/>
      <c r="I59" s="152">
        <f t="shared" si="1"/>
        <v>0</v>
      </c>
    </row>
    <row r="60" spans="2:9" s="116" customFormat="1" ht="13.2" customHeight="1" x14ac:dyDescent="0.2">
      <c r="B60" s="173"/>
      <c r="C60" s="174" t="s">
        <v>127</v>
      </c>
      <c r="D60" s="211"/>
      <c r="E60" s="211"/>
      <c r="F60" s="211"/>
      <c r="G60" s="146"/>
      <c r="H60" s="147"/>
      <c r="I60" s="151">
        <f t="shared" si="1"/>
        <v>0</v>
      </c>
    </row>
    <row r="61" spans="2:9" ht="18" customHeight="1" x14ac:dyDescent="0.25">
      <c r="B61" s="175">
        <v>19</v>
      </c>
      <c r="C61" s="176" t="str">
        <f>Config!C23&amp;", "&amp;Config!D23</f>
        <v>Ullmann, Raphael</v>
      </c>
      <c r="D61" s="188"/>
      <c r="E61" s="188"/>
      <c r="F61" s="188"/>
      <c r="G61" s="182">
        <v>5</v>
      </c>
      <c r="H61" s="183">
        <v>3</v>
      </c>
      <c r="I61" s="177">
        <f t="shared" si="1"/>
        <v>8</v>
      </c>
    </row>
    <row r="62" spans="2:9" s="116" customFormat="1" ht="13.2" customHeight="1" x14ac:dyDescent="0.2">
      <c r="B62" s="160"/>
      <c r="C62" s="161" t="s">
        <v>126</v>
      </c>
      <c r="D62" s="208"/>
      <c r="E62" s="208"/>
      <c r="F62" s="208"/>
      <c r="G62" s="162"/>
      <c r="H62" s="163"/>
      <c r="I62" s="149">
        <f t="shared" si="1"/>
        <v>0</v>
      </c>
    </row>
    <row r="63" spans="2:9" s="116" customFormat="1" ht="13.2" customHeight="1" x14ac:dyDescent="0.2">
      <c r="B63" s="164"/>
      <c r="C63" s="165" t="s">
        <v>127</v>
      </c>
      <c r="D63" s="209"/>
      <c r="E63" s="209"/>
      <c r="F63" s="209"/>
      <c r="G63" s="146"/>
      <c r="H63" s="147"/>
      <c r="I63" s="148">
        <f t="shared" si="1"/>
        <v>0</v>
      </c>
    </row>
    <row r="64" spans="2:9" ht="18" customHeight="1" x14ac:dyDescent="0.25">
      <c r="B64" s="170">
        <v>20</v>
      </c>
      <c r="C64" s="171" t="str">
        <f>Config!C24&amp;", "&amp;Config!D24</f>
        <v>Hartl, Emmely</v>
      </c>
      <c r="D64" s="180">
        <v>5</v>
      </c>
      <c r="E64" s="180">
        <v>2</v>
      </c>
      <c r="F64" s="180">
        <v>3</v>
      </c>
      <c r="G64" s="186"/>
      <c r="H64" s="187"/>
      <c r="I64" s="172">
        <f t="shared" si="1"/>
        <v>10</v>
      </c>
    </row>
    <row r="65" spans="2:9" s="116" customFormat="1" ht="13.2" customHeight="1" x14ac:dyDescent="0.2">
      <c r="B65" s="166"/>
      <c r="C65" s="167" t="s">
        <v>126</v>
      </c>
      <c r="D65" s="168"/>
      <c r="E65" s="168"/>
      <c r="F65" s="168"/>
      <c r="G65" s="210"/>
      <c r="H65" s="215"/>
      <c r="I65" s="152">
        <f t="shared" si="1"/>
        <v>0</v>
      </c>
    </row>
    <row r="66" spans="2:9" s="116" customFormat="1" ht="13.2" customHeight="1" x14ac:dyDescent="0.2">
      <c r="B66" s="173"/>
      <c r="C66" s="174" t="s">
        <v>127</v>
      </c>
      <c r="D66" s="146"/>
      <c r="E66" s="146"/>
      <c r="F66" s="146"/>
      <c r="G66" s="211"/>
      <c r="H66" s="216"/>
      <c r="I66" s="151">
        <f t="shared" si="1"/>
        <v>0</v>
      </c>
    </row>
    <row r="67" spans="2:9" ht="18" customHeight="1" x14ac:dyDescent="0.25">
      <c r="B67" s="175">
        <v>21</v>
      </c>
      <c r="C67" s="176" t="str">
        <f>Config!C25&amp;", "&amp;Config!D25</f>
        <v>Klotz, Karin</v>
      </c>
      <c r="D67" s="182">
        <v>5</v>
      </c>
      <c r="E67" s="182">
        <v>2</v>
      </c>
      <c r="F67" s="182">
        <v>3</v>
      </c>
      <c r="G67" s="188"/>
      <c r="H67" s="189"/>
      <c r="I67" s="177">
        <f t="shared" si="1"/>
        <v>10</v>
      </c>
    </row>
    <row r="68" spans="2:9" s="116" customFormat="1" ht="13.2" customHeight="1" x14ac:dyDescent="0.2">
      <c r="B68" s="160"/>
      <c r="C68" s="161" t="s">
        <v>126</v>
      </c>
      <c r="D68" s="162"/>
      <c r="E68" s="162"/>
      <c r="F68" s="162"/>
      <c r="G68" s="208"/>
      <c r="H68" s="213"/>
      <c r="I68" s="149">
        <f t="shared" si="1"/>
        <v>0</v>
      </c>
    </row>
    <row r="69" spans="2:9" s="116" customFormat="1" ht="13.2" customHeight="1" x14ac:dyDescent="0.2">
      <c r="B69" s="164"/>
      <c r="C69" s="165" t="s">
        <v>127</v>
      </c>
      <c r="D69" s="146"/>
      <c r="E69" s="146"/>
      <c r="F69" s="146"/>
      <c r="G69" s="209"/>
      <c r="H69" s="214"/>
      <c r="I69" s="148">
        <f t="shared" si="1"/>
        <v>0</v>
      </c>
    </row>
    <row r="70" spans="2:9" ht="18" customHeight="1" x14ac:dyDescent="0.25">
      <c r="B70" s="170">
        <v>22</v>
      </c>
      <c r="C70" s="171" t="str">
        <f>Config!C26&amp;", "&amp;Config!D26</f>
        <v>Ehlers, Ingo</v>
      </c>
      <c r="D70" s="180">
        <v>2</v>
      </c>
      <c r="E70" s="186"/>
      <c r="F70" s="186"/>
      <c r="G70" s="186"/>
      <c r="H70" s="181">
        <v>5</v>
      </c>
      <c r="I70" s="172">
        <f t="shared" si="1"/>
        <v>7</v>
      </c>
    </row>
    <row r="71" spans="2:9" s="116" customFormat="1" ht="13.2" customHeight="1" x14ac:dyDescent="0.2">
      <c r="B71" s="166"/>
      <c r="C71" s="167" t="s">
        <v>126</v>
      </c>
      <c r="D71" s="168"/>
      <c r="E71" s="210"/>
      <c r="F71" s="210"/>
      <c r="G71" s="210"/>
      <c r="H71" s="169"/>
      <c r="I71" s="152">
        <f t="shared" ref="I71:I75" si="2">SUM(D71:H71)</f>
        <v>0</v>
      </c>
    </row>
    <row r="72" spans="2:9" s="116" customFormat="1" ht="13.2" customHeight="1" x14ac:dyDescent="0.2">
      <c r="B72" s="173"/>
      <c r="C72" s="174" t="s">
        <v>127</v>
      </c>
      <c r="D72" s="146"/>
      <c r="E72" s="211"/>
      <c r="F72" s="211"/>
      <c r="G72" s="211"/>
      <c r="H72" s="147"/>
      <c r="I72" s="151">
        <f t="shared" si="2"/>
        <v>0</v>
      </c>
    </row>
    <row r="73" spans="2:9" ht="18" customHeight="1" thickBot="1" x14ac:dyDescent="0.3">
      <c r="B73" s="142">
        <v>23</v>
      </c>
      <c r="C73" s="137" t="str">
        <f>Config!C27&amp;", "&amp;Config!D27</f>
        <v>Lindemann, Mads</v>
      </c>
      <c r="D73" s="95">
        <v>3</v>
      </c>
      <c r="E73" s="190"/>
      <c r="F73" s="190"/>
      <c r="G73" s="95">
        <v>5</v>
      </c>
      <c r="H73" s="191"/>
      <c r="I73" s="145">
        <f t="shared" si="2"/>
        <v>8</v>
      </c>
    </row>
    <row r="74" spans="2:9" s="116" customFormat="1" ht="13.2" customHeight="1" x14ac:dyDescent="0.2">
      <c r="B74" s="160"/>
      <c r="C74" s="161" t="s">
        <v>126</v>
      </c>
      <c r="D74" s="162"/>
      <c r="E74" s="208"/>
      <c r="F74" s="208"/>
      <c r="G74" s="162"/>
      <c r="H74" s="213"/>
      <c r="I74" s="149">
        <f t="shared" si="2"/>
        <v>0</v>
      </c>
    </row>
    <row r="75" spans="2:9" s="116" customFormat="1" ht="13.2" customHeight="1" thickBot="1" x14ac:dyDescent="0.25">
      <c r="B75" s="153"/>
      <c r="C75" s="156" t="s">
        <v>127</v>
      </c>
      <c r="D75" s="154"/>
      <c r="E75" s="212"/>
      <c r="F75" s="212"/>
      <c r="G75" s="154"/>
      <c r="H75" s="217"/>
      <c r="I75" s="150">
        <f t="shared" si="2"/>
        <v>0</v>
      </c>
    </row>
    <row r="76" spans="2:9" ht="18" customHeight="1" thickBot="1" x14ac:dyDescent="0.3">
      <c r="B76" s="119"/>
      <c r="C76" s="120"/>
      <c r="D76" s="120">
        <f>IF(COUNTIFS(D7:D73,"&lt;&gt;",C7:C73,"&lt;&gt;ZK",C7:C73,"&lt;&gt;DK")&lt;&gt;0,SUMIFS(D7:D73,C7:C73,"&lt;&gt;ZK",C7:C73,"&lt;&gt;DK")/(COUNTIFS(D7:D73,"&lt;&gt;",C7:C73,"&lt;&gt;ZK",C7:C73,"&lt;&gt;DK")*D6),0)</f>
        <v>0.67692307692307696</v>
      </c>
      <c r="E76" s="120">
        <f>IF(COUNTIFS(E7:E73,"&lt;&gt;",C7:C73,"&lt;&gt;ZK",C7:C73,"&lt;&gt;DK")&lt;&gt;0,SUMIFS(E7:E73,C7:C73,"&lt;&gt;ZK",C7:C73,"&lt;&gt;DK")/(COUNTIFS(E7:E73,"&lt;&gt;",C7:C73,"&lt;&gt;ZK",C7:C73,"&lt;&gt;DK")*E6),0)</f>
        <v>0.77777777777777779</v>
      </c>
      <c r="F76" s="120">
        <f>IF(COUNTIFS(F7:F73,"&lt;&gt;",C7:C73,"&lt;&gt;ZK",C7:C73,"&lt;&gt;DK")&lt;&gt;0,SUMIFS(F7:F73,C7:C73,"&lt;&gt;ZK",C7:C73,"&lt;&gt;DK")/(COUNTIFS(F7:F73,"&lt;&gt;",C7:C73,"&lt;&gt;ZK",C7:C73,"&lt;&gt;DK")*F6),0)</f>
        <v>0.8</v>
      </c>
      <c r="G76" s="120">
        <f>IF(COUNTIFS(G7:G73,"&lt;&gt;",C7:C73,"&lt;&gt;ZK",C7:C73,"&lt;&gt;DK")&lt;&gt;0,SUMIFS(G7:G73,C7:C73,"&lt;&gt;ZK",C7:C73,"&lt;&gt;DK")/(COUNTIFS(G7:G73,"&lt;&gt;",C7:C73,"&lt;&gt;ZK",C7:C73,"&lt;&gt;DK")*G6),0)</f>
        <v>0.82857142857142863</v>
      </c>
      <c r="H76" s="120">
        <f>IF(COUNTIFS(H7:H73,"&lt;&gt;",C7:C73,"&lt;&gt;ZK",C7:C73,"&lt;&gt;DK")&lt;&gt;0,SUMIFS(H7:H73,C7:C73,"&lt;&gt;ZK",C7:C73,"&lt;&gt;DK")/(COUNTIFS(H7:H73,"&lt;&gt;",C7:C73,"&lt;&gt;ZK",C7:C73,"&lt;&gt;DK")*H6),0)</f>
        <v>0.68888888888888888</v>
      </c>
      <c r="I76" s="121"/>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topLeftCell="G1" workbookViewId="0">
      <selection activeCell="E8" sqref="E8"/>
    </sheetView>
  </sheetViews>
  <sheetFormatPr baseColWidth="10" defaultColWidth="11.5546875" defaultRowHeight="13.2" x14ac:dyDescent="0.25"/>
  <cols>
    <col min="1" max="2" width="3.44140625" style="98" customWidth="1"/>
    <col min="3" max="3" width="25.6640625" style="98" customWidth="1"/>
    <col min="4" max="8" width="4.6640625" style="98" customWidth="1"/>
    <col min="9" max="9" width="2.6640625" style="98" customWidth="1"/>
    <col min="10" max="16384" width="11.5546875" style="98"/>
  </cols>
  <sheetData>
    <row r="1" spans="2:14" ht="18" customHeight="1" thickBot="1" x14ac:dyDescent="0.3"/>
    <row r="2" spans="2:14" ht="18" customHeight="1" x14ac:dyDescent="0.25">
      <c r="B2" s="99" t="str">
        <f>Config!F2&amp;" "&amp;YEAR(Config!G24)</f>
        <v>Mathe Abitur 2026</v>
      </c>
      <c r="C2" s="100"/>
      <c r="D2" s="100"/>
      <c r="E2" s="100"/>
      <c r="F2" s="101"/>
      <c r="G2" s="101"/>
      <c r="H2" s="102" t="str">
        <f>"Kurs "&amp;Config!G26</f>
        <v>Kurs K1</v>
      </c>
    </row>
    <row r="3" spans="2:14" ht="18" customHeight="1" x14ac:dyDescent="0.25">
      <c r="B3" s="103" t="s">
        <v>124</v>
      </c>
      <c r="C3" s="104"/>
      <c r="D3" s="104"/>
      <c r="E3" s="104"/>
      <c r="F3" s="104"/>
      <c r="G3" s="104"/>
      <c r="H3" s="105"/>
    </row>
    <row r="4" spans="2:14" ht="18" customHeight="1" thickBot="1" x14ac:dyDescent="0.3">
      <c r="B4" s="103"/>
      <c r="C4" s="104"/>
      <c r="D4" s="106"/>
      <c r="E4" s="106"/>
      <c r="F4" s="106"/>
      <c r="G4" s="106"/>
      <c r="H4" s="107"/>
    </row>
    <row r="5" spans="2:14" ht="18" customHeight="1" thickBot="1" x14ac:dyDescent="0.3">
      <c r="B5" s="108"/>
      <c r="C5" s="110"/>
      <c r="D5" s="124" t="str">
        <f>Config!R6</f>
        <v>6</v>
      </c>
      <c r="E5" s="124" t="str">
        <f>Config!R7</f>
        <v>7a</v>
      </c>
      <c r="F5" s="124" t="str">
        <f>Config!R8</f>
        <v>7b</v>
      </c>
      <c r="G5" s="124" t="str">
        <f>Config!R9</f>
        <v>8</v>
      </c>
      <c r="H5" s="124" t="str">
        <f>Config!R10</f>
        <v>9</v>
      </c>
    </row>
    <row r="6" spans="2:14" ht="18" customHeight="1" thickBot="1" x14ac:dyDescent="0.3">
      <c r="B6" s="109"/>
      <c r="C6" s="111" t="s">
        <v>81</v>
      </c>
      <c r="D6" s="144" t="s">
        <v>112</v>
      </c>
      <c r="E6" s="144" t="s">
        <v>112</v>
      </c>
      <c r="F6" s="144" t="s">
        <v>112</v>
      </c>
      <c r="G6" s="144" t="s">
        <v>112</v>
      </c>
      <c r="H6" s="144" t="s">
        <v>112</v>
      </c>
      <c r="J6" s="222" t="s">
        <v>125</v>
      </c>
      <c r="K6" s="223"/>
      <c r="L6" s="223"/>
      <c r="M6" s="223"/>
      <c r="N6" s="224"/>
    </row>
    <row r="7" spans="2:14" ht="18" customHeight="1" x14ac:dyDescent="0.25">
      <c r="B7" s="139">
        <v>1</v>
      </c>
      <c r="C7" s="136" t="str">
        <f>Config!C5&amp;", "&amp;Config!D5</f>
        <v>Höfer, Simon</v>
      </c>
      <c r="D7" s="63" t="s">
        <v>120</v>
      </c>
      <c r="E7" s="63"/>
      <c r="F7" s="63" t="s">
        <v>120</v>
      </c>
      <c r="G7" s="63"/>
      <c r="H7" s="64"/>
      <c r="J7" s="225"/>
      <c r="K7" s="226"/>
      <c r="L7" s="226"/>
      <c r="M7" s="226"/>
      <c r="N7" s="227"/>
    </row>
    <row r="8" spans="2:14" ht="18" customHeight="1" thickBot="1" x14ac:dyDescent="0.3">
      <c r="B8" s="141">
        <v>2</v>
      </c>
      <c r="C8" s="115" t="str">
        <f>Config!C6&amp;", "&amp;Config!D6</f>
        <v>Töpfer, Lilian</v>
      </c>
      <c r="D8" s="62" t="s">
        <v>120</v>
      </c>
      <c r="E8" s="62"/>
      <c r="F8" s="62"/>
      <c r="G8" s="62" t="s">
        <v>120</v>
      </c>
      <c r="H8" s="65"/>
      <c r="J8" s="228"/>
      <c r="K8" s="229"/>
      <c r="L8" s="229"/>
      <c r="M8" s="229"/>
      <c r="N8" s="230"/>
    </row>
    <row r="9" spans="2:14" ht="18" customHeight="1" x14ac:dyDescent="0.25">
      <c r="B9" s="141">
        <v>3</v>
      </c>
      <c r="C9" s="115" t="str">
        <f>Config!C7&amp;", "&amp;Config!D7</f>
        <v>Fleischmann, Leonie</v>
      </c>
      <c r="D9" s="62"/>
      <c r="E9" s="62"/>
      <c r="F9" s="62"/>
      <c r="G9" s="62" t="s">
        <v>120</v>
      </c>
      <c r="H9" s="65" t="s">
        <v>120</v>
      </c>
    </row>
    <row r="10" spans="2:14" ht="18" customHeight="1" x14ac:dyDescent="0.25">
      <c r="B10" s="141">
        <v>4</v>
      </c>
      <c r="C10" s="115" t="str">
        <f>Config!C8&amp;", "&amp;Config!D8</f>
        <v>Drescher, Cedric</v>
      </c>
      <c r="D10" s="62" t="s">
        <v>120</v>
      </c>
      <c r="E10" s="62" t="s">
        <v>120</v>
      </c>
      <c r="F10" s="62" t="s">
        <v>120</v>
      </c>
      <c r="G10" s="62"/>
      <c r="H10" s="65"/>
    </row>
    <row r="11" spans="2:14" ht="18" customHeight="1" x14ac:dyDescent="0.25">
      <c r="B11" s="141">
        <v>5</v>
      </c>
      <c r="C11" s="115" t="str">
        <f>Config!C9&amp;", "&amp;Config!D9</f>
        <v>Baumgarten, Annabell</v>
      </c>
      <c r="D11" s="62" t="s">
        <v>120</v>
      </c>
      <c r="E11" s="62"/>
      <c r="F11" s="62"/>
      <c r="G11" s="62" t="s">
        <v>120</v>
      </c>
      <c r="H11" s="65"/>
    </row>
    <row r="12" spans="2:14" ht="18" customHeight="1" x14ac:dyDescent="0.25">
      <c r="B12" s="141">
        <v>6</v>
      </c>
      <c r="C12" s="115" t="str">
        <f>Config!C10&amp;", "&amp;Config!D10</f>
        <v>Traut, Stefanie</v>
      </c>
      <c r="D12" s="62"/>
      <c r="E12" s="62" t="s">
        <v>120</v>
      </c>
      <c r="F12" s="62" t="s">
        <v>120</v>
      </c>
      <c r="G12" s="62" t="s">
        <v>120</v>
      </c>
      <c r="H12" s="65"/>
    </row>
    <row r="13" spans="2:14" ht="18" customHeight="1" x14ac:dyDescent="0.25">
      <c r="B13" s="141">
        <v>7</v>
      </c>
      <c r="C13" s="115" t="str">
        <f>Config!C11&amp;", "&amp;Config!D11</f>
        <v>Menke, Damian</v>
      </c>
      <c r="D13" s="62"/>
      <c r="E13" s="62" t="s">
        <v>120</v>
      </c>
      <c r="F13" s="62" t="s">
        <v>120</v>
      </c>
      <c r="G13" s="62"/>
      <c r="H13" s="65" t="s">
        <v>120</v>
      </c>
    </row>
    <row r="14" spans="2:14" ht="18" customHeight="1" x14ac:dyDescent="0.25">
      <c r="B14" s="141">
        <v>8</v>
      </c>
      <c r="C14" s="115" t="str">
        <f>Config!C12&amp;", "&amp;Config!D12</f>
        <v>Carroll, Meik</v>
      </c>
      <c r="D14" s="62"/>
      <c r="E14" s="62"/>
      <c r="F14" s="62"/>
      <c r="G14" s="62" t="s">
        <v>120</v>
      </c>
      <c r="H14" s="65" t="s">
        <v>120</v>
      </c>
    </row>
    <row r="15" spans="2:14" ht="18" customHeight="1" x14ac:dyDescent="0.25">
      <c r="B15" s="141">
        <v>9</v>
      </c>
      <c r="C15" s="115" t="str">
        <f>Config!C13&amp;", "&amp;Config!D13</f>
        <v>Hennings, Tomas</v>
      </c>
      <c r="D15" s="62" t="s">
        <v>120</v>
      </c>
      <c r="E15" s="62" t="s">
        <v>120</v>
      </c>
      <c r="F15" s="62" t="s">
        <v>120</v>
      </c>
      <c r="G15" s="62"/>
      <c r="H15" s="65"/>
    </row>
    <row r="16" spans="2:14" ht="18" customHeight="1" x14ac:dyDescent="0.25">
      <c r="B16" s="141">
        <v>10</v>
      </c>
      <c r="C16" s="115" t="str">
        <f>Config!C14&amp;", "&amp;Config!D14</f>
        <v>Walters, Linn</v>
      </c>
      <c r="D16" s="62"/>
      <c r="E16" s="62" t="s">
        <v>120</v>
      </c>
      <c r="F16" s="62" t="s">
        <v>120</v>
      </c>
      <c r="G16" s="62" t="s">
        <v>120</v>
      </c>
      <c r="H16" s="65"/>
    </row>
    <row r="17" spans="2:8" ht="18" customHeight="1" x14ac:dyDescent="0.25">
      <c r="B17" s="141">
        <v>11</v>
      </c>
      <c r="C17" s="115" t="str">
        <f>Config!C15&amp;", "&amp;Config!D15</f>
        <v>Junker, Amely</v>
      </c>
      <c r="D17" s="62" t="s">
        <v>120</v>
      </c>
      <c r="E17" s="62"/>
      <c r="F17" s="62"/>
      <c r="G17" s="62" t="s">
        <v>120</v>
      </c>
      <c r="H17" s="65"/>
    </row>
    <row r="18" spans="2:8" ht="18" customHeight="1" x14ac:dyDescent="0.25">
      <c r="B18" s="141">
        <v>12</v>
      </c>
      <c r="C18" s="115" t="str">
        <f>Config!C16&amp;", "&amp;Config!D16</f>
        <v>Stephens, Melvin</v>
      </c>
      <c r="D18" s="62" t="s">
        <v>120</v>
      </c>
      <c r="E18" s="62"/>
      <c r="F18" s="62"/>
      <c r="G18" s="62" t="s">
        <v>120</v>
      </c>
      <c r="H18" s="65"/>
    </row>
    <row r="19" spans="2:8" ht="18" customHeight="1" x14ac:dyDescent="0.25">
      <c r="B19" s="141">
        <v>13</v>
      </c>
      <c r="C19" s="115" t="str">
        <f>Config!C17&amp;", "&amp;Config!D17</f>
        <v>Cremer, Marvin</v>
      </c>
      <c r="D19" s="62" t="s">
        <v>120</v>
      </c>
      <c r="E19" s="62"/>
      <c r="F19" s="62"/>
      <c r="G19" s="62"/>
      <c r="H19" s="65" t="s">
        <v>120</v>
      </c>
    </row>
    <row r="20" spans="2:8" ht="18" customHeight="1" x14ac:dyDescent="0.25">
      <c r="B20" s="141">
        <v>14</v>
      </c>
      <c r="C20" s="115" t="str">
        <f>Config!C18&amp;", "&amp;Config!D18</f>
        <v>Nash, Jean</v>
      </c>
      <c r="D20" s="62"/>
      <c r="E20" s="62"/>
      <c r="F20" s="62"/>
      <c r="G20" s="62" t="s">
        <v>120</v>
      </c>
      <c r="H20" s="65" t="s">
        <v>120</v>
      </c>
    </row>
    <row r="21" spans="2:8" ht="18" customHeight="1" x14ac:dyDescent="0.25">
      <c r="B21" s="141">
        <v>15</v>
      </c>
      <c r="C21" s="115" t="str">
        <f>Config!C19&amp;", "&amp;Config!D19</f>
        <v>Schön, Leonardo</v>
      </c>
      <c r="D21" s="62"/>
      <c r="E21" s="62" t="s">
        <v>120</v>
      </c>
      <c r="F21" s="62" t="s">
        <v>120</v>
      </c>
      <c r="G21" s="62"/>
      <c r="H21" s="65" t="s">
        <v>120</v>
      </c>
    </row>
    <row r="22" spans="2:8" ht="18" customHeight="1" x14ac:dyDescent="0.25">
      <c r="B22" s="141">
        <v>16</v>
      </c>
      <c r="C22" s="115" t="str">
        <f>Config!C20&amp;", "&amp;Config!D20</f>
        <v>Sigl, Nicholas</v>
      </c>
      <c r="D22" s="62"/>
      <c r="E22" s="62" t="s">
        <v>120</v>
      </c>
      <c r="F22" s="62" t="s">
        <v>120</v>
      </c>
      <c r="G22" s="62" t="s">
        <v>120</v>
      </c>
      <c r="H22" s="65"/>
    </row>
    <row r="23" spans="2:8" ht="18" customHeight="1" x14ac:dyDescent="0.25">
      <c r="B23" s="141">
        <v>17</v>
      </c>
      <c r="C23" s="115" t="str">
        <f>Config!C21&amp;", "&amp;Config!D21</f>
        <v>Kainz, Vivienne</v>
      </c>
      <c r="D23" s="62" t="s">
        <v>120</v>
      </c>
      <c r="E23" s="62"/>
      <c r="F23" s="62"/>
      <c r="G23" s="62" t="s">
        <v>120</v>
      </c>
      <c r="H23" s="65"/>
    </row>
    <row r="24" spans="2:8" ht="18" customHeight="1" x14ac:dyDescent="0.25">
      <c r="B24" s="141">
        <v>18</v>
      </c>
      <c r="C24" s="115" t="str">
        <f>Config!C22&amp;", "&amp;Config!D22</f>
        <v>Hartmann, Mads</v>
      </c>
      <c r="D24" s="62"/>
      <c r="E24" s="62"/>
      <c r="F24" s="62"/>
      <c r="G24" s="62" t="s">
        <v>120</v>
      </c>
      <c r="H24" s="65" t="s">
        <v>120</v>
      </c>
    </row>
    <row r="25" spans="2:8" ht="18" customHeight="1" x14ac:dyDescent="0.25">
      <c r="B25" s="141">
        <v>19</v>
      </c>
      <c r="C25" s="115" t="str">
        <f>Config!C23&amp;", "&amp;Config!D23</f>
        <v>Ullmann, Raphael</v>
      </c>
      <c r="D25" s="62"/>
      <c r="E25" s="62"/>
      <c r="F25" s="62"/>
      <c r="G25" s="62" t="s">
        <v>120</v>
      </c>
      <c r="H25" s="65" t="s">
        <v>120</v>
      </c>
    </row>
    <row r="26" spans="2:8" ht="18" customHeight="1" x14ac:dyDescent="0.25">
      <c r="B26" s="141">
        <v>20</v>
      </c>
      <c r="C26" s="115" t="str">
        <f>Config!C24&amp;", "&amp;Config!D24</f>
        <v>Hartl, Emmely</v>
      </c>
      <c r="D26" s="62" t="s">
        <v>120</v>
      </c>
      <c r="E26" s="62" t="s">
        <v>120</v>
      </c>
      <c r="F26" s="62" t="s">
        <v>120</v>
      </c>
      <c r="G26" s="62"/>
      <c r="H26" s="65"/>
    </row>
    <row r="27" spans="2:8" ht="18" customHeight="1" x14ac:dyDescent="0.25">
      <c r="B27" s="141">
        <v>21</v>
      </c>
      <c r="C27" s="115" t="str">
        <f>Config!C25&amp;", "&amp;Config!D25</f>
        <v>Klotz, Karin</v>
      </c>
      <c r="D27" s="62" t="s">
        <v>120</v>
      </c>
      <c r="E27" s="62" t="s">
        <v>120</v>
      </c>
      <c r="F27" s="62" t="s">
        <v>120</v>
      </c>
      <c r="G27" s="62"/>
      <c r="H27" s="65"/>
    </row>
    <row r="28" spans="2:8" ht="18" customHeight="1" x14ac:dyDescent="0.25">
      <c r="B28" s="141">
        <v>22</v>
      </c>
      <c r="C28" s="115" t="str">
        <f>Config!C26&amp;", "&amp;Config!D26</f>
        <v>Ehlers, Ingo</v>
      </c>
      <c r="D28" s="62" t="s">
        <v>120</v>
      </c>
      <c r="E28" s="62"/>
      <c r="F28" s="62"/>
      <c r="G28" s="62"/>
      <c r="H28" s="65" t="s">
        <v>120</v>
      </c>
    </row>
    <row r="29" spans="2:8" ht="18" customHeight="1" thickBot="1" x14ac:dyDescent="0.3">
      <c r="B29" s="142">
        <v>23</v>
      </c>
      <c r="C29" s="137"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43" t="s">
        <v>6</v>
      </c>
      <c r="C2" s="244"/>
      <c r="D2" s="245"/>
      <c r="F2" s="288" t="s">
        <v>96</v>
      </c>
      <c r="G2" s="289"/>
      <c r="H2" s="289"/>
      <c r="I2" s="289"/>
      <c r="J2" s="289"/>
      <c r="K2" s="289"/>
      <c r="L2" s="289"/>
      <c r="M2" s="289"/>
      <c r="N2" s="289"/>
      <c r="O2" s="289"/>
      <c r="P2" s="289"/>
      <c r="Q2" s="289"/>
      <c r="R2" s="289"/>
      <c r="S2" s="290"/>
      <c r="T2" s="79" t="s">
        <v>88</v>
      </c>
      <c r="V2" s="265" t="s">
        <v>89</v>
      </c>
      <c r="W2" s="266"/>
      <c r="X2" s="266"/>
      <c r="Y2" s="266"/>
      <c r="Z2" s="267"/>
      <c r="AB2" s="265" t="s">
        <v>129</v>
      </c>
      <c r="AC2" s="266"/>
      <c r="AD2" s="266"/>
      <c r="AE2" s="266"/>
      <c r="AF2" s="267"/>
    </row>
    <row r="3" spans="2:32" ht="13.2" customHeight="1" x14ac:dyDescent="0.25">
      <c r="B3" s="246"/>
      <c r="C3" s="247"/>
      <c r="D3" s="248"/>
      <c r="F3" s="291"/>
      <c r="G3" s="292"/>
      <c r="H3" s="292"/>
      <c r="I3" s="292"/>
      <c r="J3" s="292"/>
      <c r="K3" s="292"/>
      <c r="L3" s="292"/>
      <c r="M3" s="292"/>
      <c r="N3" s="292"/>
      <c r="O3" s="292"/>
      <c r="P3" s="292"/>
      <c r="Q3" s="292"/>
      <c r="R3" s="292"/>
      <c r="S3" s="293"/>
      <c r="V3" s="80" t="s">
        <v>90</v>
      </c>
      <c r="W3" s="249" t="s">
        <v>122</v>
      </c>
      <c r="X3" s="249"/>
      <c r="Y3" s="249"/>
      <c r="Z3" s="250"/>
      <c r="AB3" s="97" t="s">
        <v>130</v>
      </c>
      <c r="AC3" s="249" t="s">
        <v>131</v>
      </c>
      <c r="AD3" s="249"/>
      <c r="AE3" s="249"/>
      <c r="AF3" s="250"/>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49"/>
      <c r="X4" s="249"/>
      <c r="Y4" s="249"/>
      <c r="Z4" s="250"/>
      <c r="AB4" s="80"/>
      <c r="AC4" s="249"/>
      <c r="AD4" s="249"/>
      <c r="AE4" s="249"/>
      <c r="AF4" s="250"/>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49"/>
      <c r="X5" s="249"/>
      <c r="Y5" s="249"/>
      <c r="Z5" s="250"/>
      <c r="AB5" s="80"/>
      <c r="AC5" s="249"/>
      <c r="AD5" s="249"/>
      <c r="AE5" s="249"/>
      <c r="AF5" s="250"/>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49"/>
      <c r="X6" s="249"/>
      <c r="Y6" s="249"/>
      <c r="Z6" s="250"/>
      <c r="AB6" s="97" t="s">
        <v>130</v>
      </c>
      <c r="AC6" s="249"/>
      <c r="AD6" s="249"/>
      <c r="AE6" s="249"/>
      <c r="AF6" s="250"/>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49"/>
      <c r="X7" s="249"/>
      <c r="Y7" s="249"/>
      <c r="Z7" s="250"/>
      <c r="AB7" s="80"/>
      <c r="AC7" s="249"/>
      <c r="AD7" s="249"/>
      <c r="AE7" s="249"/>
      <c r="AF7" s="250"/>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49"/>
      <c r="X8" s="249"/>
      <c r="Y8" s="249"/>
      <c r="Z8" s="250"/>
      <c r="AB8" s="80"/>
      <c r="AC8" s="249"/>
      <c r="AD8" s="249"/>
      <c r="AE8" s="249"/>
      <c r="AF8" s="250"/>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49"/>
      <c r="X9" s="249"/>
      <c r="Y9" s="249"/>
      <c r="Z9" s="250"/>
      <c r="AB9" s="97"/>
      <c r="AC9" s="249"/>
      <c r="AD9" s="249"/>
      <c r="AE9" s="249"/>
      <c r="AF9" s="250"/>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49"/>
      <c r="X10" s="249"/>
      <c r="Y10" s="249"/>
      <c r="Z10" s="250"/>
      <c r="AB10" s="80"/>
      <c r="AC10" s="249"/>
      <c r="AD10" s="249"/>
      <c r="AE10" s="249"/>
      <c r="AF10" s="250"/>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49"/>
      <c r="X11" s="249"/>
      <c r="Y11" s="249"/>
      <c r="Z11" s="250"/>
      <c r="AB11" s="97" t="s">
        <v>130</v>
      </c>
      <c r="AC11" s="249"/>
      <c r="AD11" s="249"/>
      <c r="AE11" s="249"/>
      <c r="AF11" s="250"/>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49"/>
      <c r="X12" s="249"/>
      <c r="Y12" s="249"/>
      <c r="Z12" s="250"/>
      <c r="AB12" s="97"/>
      <c r="AC12" s="249"/>
      <c r="AD12" s="249"/>
      <c r="AE12" s="249"/>
      <c r="AF12" s="250"/>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49"/>
      <c r="X13" s="249"/>
      <c r="Y13" s="249"/>
      <c r="Z13" s="250"/>
      <c r="AB13" s="80"/>
      <c r="AC13" s="249"/>
      <c r="AD13" s="249"/>
      <c r="AE13" s="249"/>
      <c r="AF13" s="250"/>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49"/>
      <c r="X14" s="249"/>
      <c r="Y14" s="249"/>
      <c r="Z14" s="250"/>
      <c r="AB14" s="80"/>
      <c r="AC14" s="249"/>
      <c r="AD14" s="249"/>
      <c r="AE14" s="249"/>
      <c r="AF14" s="250"/>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49"/>
      <c r="X15" s="249"/>
      <c r="Y15" s="249"/>
      <c r="Z15" s="250"/>
      <c r="AB15" s="97"/>
      <c r="AC15" s="249"/>
      <c r="AD15" s="249"/>
      <c r="AE15" s="249"/>
      <c r="AF15" s="250"/>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49"/>
      <c r="X16" s="249"/>
      <c r="Y16" s="249"/>
      <c r="Z16" s="250"/>
      <c r="AB16" s="97" t="s">
        <v>130</v>
      </c>
      <c r="AC16" s="249"/>
      <c r="AD16" s="249"/>
      <c r="AE16" s="249"/>
      <c r="AF16" s="250"/>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49"/>
      <c r="X17" s="249"/>
      <c r="Y17" s="249"/>
      <c r="Z17" s="250"/>
      <c r="AB17" s="80"/>
      <c r="AC17" s="249"/>
      <c r="AD17" s="249"/>
      <c r="AE17" s="249"/>
      <c r="AF17" s="250"/>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49"/>
      <c r="X18" s="249"/>
      <c r="Y18" s="249"/>
      <c r="Z18" s="250"/>
      <c r="AB18" s="97"/>
      <c r="AC18" s="249"/>
      <c r="AD18" s="249"/>
      <c r="AE18" s="249"/>
      <c r="AF18" s="250"/>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49"/>
      <c r="X19" s="249"/>
      <c r="Y19" s="249"/>
      <c r="Z19" s="250"/>
      <c r="AB19" s="80"/>
      <c r="AC19" s="249"/>
      <c r="AD19" s="249"/>
      <c r="AE19" s="249"/>
      <c r="AF19" s="250"/>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49"/>
      <c r="X20" s="249"/>
      <c r="Y20" s="249"/>
      <c r="Z20" s="250"/>
      <c r="AB20" s="80"/>
      <c r="AC20" s="249"/>
      <c r="AD20" s="249"/>
      <c r="AE20" s="249"/>
      <c r="AF20" s="250"/>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49"/>
      <c r="X21" s="249"/>
      <c r="Y21" s="249"/>
      <c r="Z21" s="250"/>
      <c r="AB21" s="97"/>
      <c r="AC21" s="249"/>
      <c r="AD21" s="249"/>
      <c r="AE21" s="249"/>
      <c r="AF21" s="250"/>
    </row>
    <row r="22" spans="2:32" ht="13.8" thickBot="1" x14ac:dyDescent="0.3">
      <c r="B22" s="5">
        <v>18</v>
      </c>
      <c r="C22" s="13" t="s">
        <v>75</v>
      </c>
      <c r="D22" s="14" t="s">
        <v>53</v>
      </c>
      <c r="F22" s="294" t="s">
        <v>118</v>
      </c>
      <c r="G22" s="295"/>
      <c r="H22" s="255" t="s">
        <v>118</v>
      </c>
      <c r="I22" s="295"/>
      <c r="J22" s="255" t="s">
        <v>118</v>
      </c>
      <c r="K22" s="295"/>
      <c r="L22" s="255" t="s">
        <v>118</v>
      </c>
      <c r="M22" s="295"/>
      <c r="N22" s="255" t="s">
        <v>118</v>
      </c>
      <c r="O22" s="295"/>
      <c r="P22" s="255" t="s">
        <v>118</v>
      </c>
      <c r="Q22" s="295"/>
      <c r="R22" s="255" t="s">
        <v>119</v>
      </c>
      <c r="S22" s="256"/>
      <c r="T22" s="79" t="s">
        <v>88</v>
      </c>
      <c r="V22" s="4"/>
      <c r="W22" s="249"/>
      <c r="X22" s="249"/>
      <c r="Y22" s="249"/>
      <c r="Z22" s="250"/>
      <c r="AB22" s="4"/>
      <c r="AC22" s="249"/>
      <c r="AD22" s="249"/>
      <c r="AE22" s="249"/>
      <c r="AF22" s="250"/>
    </row>
    <row r="23" spans="2:32" ht="13.2" customHeight="1" thickBot="1" x14ac:dyDescent="0.3">
      <c r="B23" s="5">
        <v>19</v>
      </c>
      <c r="C23" s="77" t="s">
        <v>76</v>
      </c>
      <c r="D23" s="78" t="s">
        <v>54</v>
      </c>
      <c r="V23" s="4"/>
      <c r="W23" s="249"/>
      <c r="X23" s="249"/>
      <c r="Y23" s="249"/>
      <c r="Z23" s="250"/>
      <c r="AB23" s="4"/>
      <c r="AC23" s="249"/>
      <c r="AD23" s="249"/>
      <c r="AE23" s="249"/>
      <c r="AF23" s="250"/>
    </row>
    <row r="24" spans="2:32" ht="13.2" customHeight="1" x14ac:dyDescent="0.25">
      <c r="B24" s="5">
        <v>20</v>
      </c>
      <c r="C24" s="13" t="s">
        <v>77</v>
      </c>
      <c r="D24" s="14" t="s">
        <v>55</v>
      </c>
      <c r="F24" s="22" t="s">
        <v>22</v>
      </c>
      <c r="G24" s="277">
        <v>46150</v>
      </c>
      <c r="H24" s="278"/>
      <c r="J24" s="279" t="s">
        <v>99</v>
      </c>
      <c r="K24" s="280"/>
      <c r="L24" s="280"/>
      <c r="M24" s="280"/>
      <c r="N24" s="280"/>
      <c r="O24" s="280"/>
      <c r="P24" s="280"/>
      <c r="Q24" s="281"/>
      <c r="V24" s="4" t="s">
        <v>123</v>
      </c>
      <c r="W24" s="249"/>
      <c r="X24" s="249"/>
      <c r="Y24" s="249"/>
      <c r="Z24" s="250"/>
      <c r="AB24" s="97"/>
      <c r="AC24" s="249"/>
      <c r="AD24" s="249"/>
      <c r="AE24" s="249"/>
      <c r="AF24" s="250"/>
    </row>
    <row r="25" spans="2:32" ht="13.2" customHeight="1" x14ac:dyDescent="0.25">
      <c r="B25" s="5">
        <v>21</v>
      </c>
      <c r="C25" s="77" t="s">
        <v>78</v>
      </c>
      <c r="D25" s="78" t="s">
        <v>56</v>
      </c>
      <c r="F25" s="23" t="s">
        <v>30</v>
      </c>
      <c r="G25" s="253" t="s">
        <v>86</v>
      </c>
      <c r="H25" s="254"/>
      <c r="J25" s="282" t="s">
        <v>98</v>
      </c>
      <c r="K25" s="283"/>
      <c r="L25" s="283"/>
      <c r="M25" s="283"/>
      <c r="N25" s="283"/>
      <c r="O25" s="283"/>
      <c r="P25" s="283"/>
      <c r="Q25" s="284"/>
      <c r="V25" s="4"/>
      <c r="W25" s="249"/>
      <c r="X25" s="249"/>
      <c r="Y25" s="249"/>
      <c r="Z25" s="250"/>
      <c r="AB25" s="4"/>
      <c r="AC25" s="249"/>
      <c r="AD25" s="249"/>
      <c r="AE25" s="249"/>
      <c r="AF25" s="250"/>
    </row>
    <row r="26" spans="2:32" ht="13.2" customHeight="1" thickBot="1" x14ac:dyDescent="0.3">
      <c r="B26" s="5">
        <v>22</v>
      </c>
      <c r="C26" s="13" t="s">
        <v>79</v>
      </c>
      <c r="D26" s="14" t="s">
        <v>57</v>
      </c>
      <c r="F26" s="23" t="s">
        <v>21</v>
      </c>
      <c r="G26" s="253" t="s">
        <v>87</v>
      </c>
      <c r="H26" s="254"/>
      <c r="J26" s="285" t="s">
        <v>137</v>
      </c>
      <c r="K26" s="286"/>
      <c r="L26" s="286"/>
      <c r="M26" s="286"/>
      <c r="N26" s="286"/>
      <c r="O26" s="286"/>
      <c r="P26" s="286"/>
      <c r="Q26" s="287"/>
      <c r="V26" s="4"/>
      <c r="W26" s="249"/>
      <c r="X26" s="249"/>
      <c r="Y26" s="249"/>
      <c r="Z26" s="250"/>
      <c r="AB26" s="4"/>
      <c r="AC26" s="249"/>
      <c r="AD26" s="249"/>
      <c r="AE26" s="249"/>
      <c r="AF26" s="250"/>
    </row>
    <row r="27" spans="2:32" ht="13.2" customHeight="1" thickBot="1" x14ac:dyDescent="0.3">
      <c r="B27" s="5">
        <v>23</v>
      </c>
      <c r="C27" s="77" t="s">
        <v>80</v>
      </c>
      <c r="D27" s="78" t="s">
        <v>53</v>
      </c>
      <c r="F27" s="23" t="s">
        <v>126</v>
      </c>
      <c r="G27" s="253" t="s">
        <v>132</v>
      </c>
      <c r="H27" s="254"/>
      <c r="I27" s="94" t="s">
        <v>88</v>
      </c>
      <c r="V27" s="4"/>
      <c r="W27" s="249"/>
      <c r="X27" s="249"/>
      <c r="Y27" s="249"/>
      <c r="Z27" s="250"/>
      <c r="AB27" s="4"/>
      <c r="AC27" s="249"/>
      <c r="AD27" s="249"/>
      <c r="AE27" s="249"/>
      <c r="AF27" s="250"/>
    </row>
    <row r="28" spans="2:32" ht="13.2" customHeight="1" thickBot="1" x14ac:dyDescent="0.3">
      <c r="B28" s="5">
        <v>24</v>
      </c>
      <c r="C28" s="13"/>
      <c r="D28" s="14"/>
      <c r="F28" s="24" t="s">
        <v>127</v>
      </c>
      <c r="G28" s="257" t="s">
        <v>133</v>
      </c>
      <c r="H28" s="258"/>
      <c r="I28" s="94" t="s">
        <v>88</v>
      </c>
      <c r="N28" s="259" t="s">
        <v>128</v>
      </c>
      <c r="O28" s="260"/>
      <c r="P28" s="260"/>
      <c r="Q28" s="261"/>
      <c r="V28" s="4"/>
      <c r="W28" s="249"/>
      <c r="X28" s="249"/>
      <c r="Y28" s="249"/>
      <c r="Z28" s="250"/>
      <c r="AB28" s="4"/>
      <c r="AC28" s="249"/>
      <c r="AD28" s="249"/>
      <c r="AE28" s="249"/>
      <c r="AF28" s="250"/>
    </row>
    <row r="29" spans="2:32" ht="13.2" customHeight="1" thickBot="1" x14ac:dyDescent="0.3">
      <c r="B29" s="5">
        <v>25</v>
      </c>
      <c r="C29" s="77"/>
      <c r="D29" s="78"/>
      <c r="N29" s="262"/>
      <c r="O29" s="263"/>
      <c r="P29" s="263"/>
      <c r="Q29" s="264"/>
      <c r="V29" s="92"/>
      <c r="W29" s="251"/>
      <c r="X29" s="251"/>
      <c r="Y29" s="251"/>
      <c r="Z29" s="252"/>
      <c r="AB29" s="92"/>
      <c r="AC29" s="251"/>
      <c r="AD29" s="251"/>
      <c r="AE29" s="251"/>
      <c r="AF29" s="252"/>
    </row>
    <row r="30" spans="2:32" ht="13.2" customHeight="1" thickBot="1" x14ac:dyDescent="0.3">
      <c r="B30" s="5">
        <v>26</v>
      </c>
      <c r="C30" s="13"/>
      <c r="D30" s="14"/>
    </row>
    <row r="31" spans="2:32" ht="13.2" customHeight="1" x14ac:dyDescent="0.25">
      <c r="B31" s="5">
        <v>27</v>
      </c>
      <c r="C31" s="77"/>
      <c r="D31" s="78"/>
      <c r="F31" s="268" t="s">
        <v>97</v>
      </c>
      <c r="G31" s="269"/>
      <c r="H31" s="269"/>
      <c r="I31" s="269"/>
      <c r="J31" s="269"/>
      <c r="K31" s="269"/>
      <c r="L31" s="269"/>
      <c r="M31" s="269"/>
      <c r="N31" s="269"/>
      <c r="O31" s="269"/>
      <c r="P31" s="269"/>
      <c r="Q31" s="270"/>
    </row>
    <row r="32" spans="2:32" ht="13.2" customHeight="1" x14ac:dyDescent="0.25">
      <c r="B32" s="5">
        <v>28</v>
      </c>
      <c r="C32" s="13"/>
      <c r="D32" s="14"/>
      <c r="F32" s="271"/>
      <c r="G32" s="272"/>
      <c r="H32" s="272"/>
      <c r="I32" s="272"/>
      <c r="J32" s="272"/>
      <c r="K32" s="272"/>
      <c r="L32" s="272"/>
      <c r="M32" s="272"/>
      <c r="N32" s="272"/>
      <c r="O32" s="272"/>
      <c r="P32" s="272"/>
      <c r="Q32" s="273"/>
    </row>
    <row r="33" spans="2:25" ht="13.2" customHeight="1" x14ac:dyDescent="0.25">
      <c r="B33" s="5">
        <v>29</v>
      </c>
      <c r="C33" s="77"/>
      <c r="D33" s="78"/>
      <c r="F33" s="271"/>
      <c r="G33" s="272"/>
      <c r="H33" s="272"/>
      <c r="I33" s="272"/>
      <c r="J33" s="272"/>
      <c r="K33" s="272"/>
      <c r="L33" s="272"/>
      <c r="M33" s="272"/>
      <c r="N33" s="272"/>
      <c r="O33" s="272"/>
      <c r="P33" s="272"/>
      <c r="Q33" s="273"/>
    </row>
    <row r="34" spans="2:25" ht="13.2" customHeight="1" x14ac:dyDescent="0.25">
      <c r="B34" s="5">
        <v>30</v>
      </c>
      <c r="C34" s="13"/>
      <c r="D34" s="14"/>
      <c r="F34" s="271"/>
      <c r="G34" s="272"/>
      <c r="H34" s="272"/>
      <c r="I34" s="272"/>
      <c r="J34" s="272"/>
      <c r="K34" s="272"/>
      <c r="L34" s="272"/>
      <c r="M34" s="272"/>
      <c r="N34" s="272"/>
      <c r="O34" s="272"/>
      <c r="P34" s="272"/>
      <c r="Q34" s="273"/>
    </row>
    <row r="35" spans="2:25" ht="13.2" customHeight="1" x14ac:dyDescent="0.25">
      <c r="B35" s="5">
        <v>31</v>
      </c>
      <c r="C35" s="77"/>
      <c r="D35" s="78"/>
      <c r="F35" s="271"/>
      <c r="G35" s="272"/>
      <c r="H35" s="272"/>
      <c r="I35" s="272"/>
      <c r="J35" s="272"/>
      <c r="K35" s="272"/>
      <c r="L35" s="272"/>
      <c r="M35" s="272"/>
      <c r="N35" s="272"/>
      <c r="O35" s="272"/>
      <c r="P35" s="272"/>
      <c r="Q35" s="273"/>
    </row>
    <row r="36" spans="2:25" ht="13.2" customHeight="1" x14ac:dyDescent="0.25">
      <c r="B36" s="5">
        <v>32</v>
      </c>
      <c r="C36" s="13"/>
      <c r="D36" s="14"/>
      <c r="F36" s="271"/>
      <c r="G36" s="272"/>
      <c r="H36" s="272"/>
      <c r="I36" s="272"/>
      <c r="J36" s="272"/>
      <c r="K36" s="272"/>
      <c r="L36" s="272"/>
      <c r="M36" s="272"/>
      <c r="N36" s="272"/>
      <c r="O36" s="272"/>
      <c r="P36" s="272"/>
      <c r="Q36" s="273"/>
    </row>
    <row r="37" spans="2:25" ht="13.2" customHeight="1" thickBot="1" x14ac:dyDescent="0.3">
      <c r="B37" s="5">
        <v>33</v>
      </c>
      <c r="C37" s="77"/>
      <c r="D37" s="78"/>
      <c r="F37" s="271"/>
      <c r="G37" s="272"/>
      <c r="H37" s="272"/>
      <c r="I37" s="272"/>
      <c r="J37" s="272"/>
      <c r="K37" s="272"/>
      <c r="L37" s="272"/>
      <c r="M37" s="272"/>
      <c r="N37" s="272"/>
      <c r="O37" s="272"/>
      <c r="P37" s="272"/>
      <c r="Q37" s="273"/>
    </row>
    <row r="38" spans="2:25" ht="13.2" customHeight="1" x14ac:dyDescent="0.25">
      <c r="B38" s="5">
        <v>34</v>
      </c>
      <c r="C38" s="13"/>
      <c r="D38" s="14"/>
      <c r="F38" s="271"/>
      <c r="G38" s="272"/>
      <c r="H38" s="272"/>
      <c r="I38" s="272"/>
      <c r="J38" s="272"/>
      <c r="K38" s="272"/>
      <c r="L38" s="272"/>
      <c r="M38" s="272"/>
      <c r="N38" s="272"/>
      <c r="O38" s="272"/>
      <c r="P38" s="272"/>
      <c r="Q38" s="273"/>
      <c r="V38" s="233" t="s">
        <v>134</v>
      </c>
      <c r="W38" s="234"/>
      <c r="X38" s="234"/>
      <c r="Y38" s="235"/>
    </row>
    <row r="39" spans="2:25" ht="13.2" customHeight="1" x14ac:dyDescent="0.25">
      <c r="B39" s="5">
        <v>35</v>
      </c>
      <c r="C39" s="77"/>
      <c r="D39" s="78"/>
      <c r="F39" s="271"/>
      <c r="G39" s="272"/>
      <c r="H39" s="272"/>
      <c r="I39" s="272"/>
      <c r="J39" s="272"/>
      <c r="K39" s="272"/>
      <c r="L39" s="272"/>
      <c r="M39" s="272"/>
      <c r="N39" s="272"/>
      <c r="O39" s="272"/>
      <c r="P39" s="272"/>
      <c r="Q39" s="273"/>
      <c r="V39" s="236"/>
      <c r="W39" s="237"/>
      <c r="X39" s="237"/>
      <c r="Y39" s="238"/>
    </row>
    <row r="40" spans="2:25" ht="13.2" customHeight="1" x14ac:dyDescent="0.25">
      <c r="B40" s="5">
        <v>36</v>
      </c>
      <c r="C40" s="13"/>
      <c r="D40" s="14"/>
      <c r="F40" s="271"/>
      <c r="G40" s="272"/>
      <c r="H40" s="272"/>
      <c r="I40" s="272"/>
      <c r="J40" s="272"/>
      <c r="K40" s="272"/>
      <c r="L40" s="272"/>
      <c r="M40" s="272"/>
      <c r="N40" s="272"/>
      <c r="O40" s="272"/>
      <c r="P40" s="272"/>
      <c r="Q40" s="273"/>
      <c r="V40" s="221">
        <v>1</v>
      </c>
      <c r="W40" s="239" t="s">
        <v>135</v>
      </c>
      <c r="X40" s="239"/>
      <c r="Y40" s="240"/>
    </row>
    <row r="41" spans="2:25" ht="13.2" customHeight="1" x14ac:dyDescent="0.25">
      <c r="B41" s="5">
        <v>37</v>
      </c>
      <c r="C41" s="77"/>
      <c r="D41" s="78"/>
      <c r="F41" s="271"/>
      <c r="G41" s="272"/>
      <c r="H41" s="272"/>
      <c r="I41" s="272"/>
      <c r="J41" s="272"/>
      <c r="K41" s="272"/>
      <c r="L41" s="272"/>
      <c r="M41" s="272"/>
      <c r="N41" s="272"/>
      <c r="O41" s="272"/>
      <c r="P41" s="272"/>
      <c r="Q41" s="273"/>
      <c r="V41" s="221">
        <v>1</v>
      </c>
      <c r="W41" s="239" t="s">
        <v>136</v>
      </c>
      <c r="X41" s="239"/>
      <c r="Y41" s="240"/>
    </row>
    <row r="42" spans="2:25" ht="13.2" customHeight="1" x14ac:dyDescent="0.25">
      <c r="B42" s="5">
        <v>38</v>
      </c>
      <c r="C42" s="13"/>
      <c r="D42" s="14"/>
      <c r="F42" s="271"/>
      <c r="G42" s="272"/>
      <c r="H42" s="272"/>
      <c r="I42" s="272"/>
      <c r="J42" s="272"/>
      <c r="K42" s="272"/>
      <c r="L42" s="272"/>
      <c r="M42" s="272"/>
      <c r="N42" s="272"/>
      <c r="O42" s="272"/>
      <c r="P42" s="272"/>
      <c r="Q42" s="273"/>
      <c r="V42" s="219"/>
      <c r="W42" s="241"/>
      <c r="X42" s="241"/>
      <c r="Y42" s="242"/>
    </row>
    <row r="43" spans="2:25" ht="13.2" customHeight="1" x14ac:dyDescent="0.25">
      <c r="B43" s="5">
        <v>39</v>
      </c>
      <c r="C43" s="77"/>
      <c r="D43" s="78"/>
      <c r="F43" s="271"/>
      <c r="G43" s="272"/>
      <c r="H43" s="272"/>
      <c r="I43" s="272"/>
      <c r="J43" s="272"/>
      <c r="K43" s="272"/>
      <c r="L43" s="272"/>
      <c r="M43" s="272"/>
      <c r="N43" s="272"/>
      <c r="O43" s="272"/>
      <c r="P43" s="272"/>
      <c r="Q43" s="273"/>
      <c r="V43" s="219"/>
      <c r="W43" s="241"/>
      <c r="X43" s="241"/>
      <c r="Y43" s="242"/>
    </row>
    <row r="44" spans="2:25" ht="13.2" customHeight="1" thickBot="1" x14ac:dyDescent="0.3">
      <c r="B44" s="6">
        <v>40</v>
      </c>
      <c r="C44" s="15"/>
      <c r="D44" s="16"/>
      <c r="F44" s="274"/>
      <c r="G44" s="275"/>
      <c r="H44" s="275"/>
      <c r="I44" s="275"/>
      <c r="J44" s="275"/>
      <c r="K44" s="275"/>
      <c r="L44" s="275"/>
      <c r="M44" s="275"/>
      <c r="N44" s="275"/>
      <c r="O44" s="275"/>
      <c r="P44" s="275"/>
      <c r="Q44" s="276"/>
      <c r="V44" s="220"/>
      <c r="W44" s="231"/>
      <c r="X44" s="231"/>
      <c r="Y44" s="232"/>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B2:D3"/>
    <mergeCell ref="W3:Z29"/>
    <mergeCell ref="G25:H25"/>
    <mergeCell ref="G26:H26"/>
    <mergeCell ref="R22:S22"/>
    <mergeCell ref="G27:H27"/>
    <mergeCell ref="G28:H28"/>
    <mergeCell ref="N28:Q29"/>
    <mergeCell ref="W44:Y44"/>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68" t="s">
        <v>32</v>
      </c>
      <c r="H2" s="269"/>
      <c r="I2" s="269"/>
      <c r="J2" s="269"/>
      <c r="K2" s="269"/>
      <c r="L2" s="270"/>
    </row>
    <row r="3" spans="2:15" x14ac:dyDescent="0.25">
      <c r="B3" s="35">
        <v>0</v>
      </c>
      <c r="C3" s="36">
        <v>0</v>
      </c>
      <c r="D3" s="37">
        <v>6</v>
      </c>
      <c r="E3" s="27" t="str">
        <f>IF(AND($C3=$C4,$C4&lt;$C5),"+",IF($C3&lt;$C4,"++",""))</f>
        <v/>
      </c>
      <c r="F3" s="31"/>
      <c r="G3" s="271"/>
      <c r="H3" s="272"/>
      <c r="I3" s="272"/>
      <c r="J3" s="272"/>
      <c r="K3" s="272"/>
      <c r="L3" s="273"/>
    </row>
    <row r="4" spans="2:15" x14ac:dyDescent="0.25">
      <c r="B4" s="38">
        <v>0.5</v>
      </c>
      <c r="C4" s="39">
        <v>0</v>
      </c>
      <c r="D4" s="40">
        <v>6</v>
      </c>
      <c r="E4" s="27" t="str">
        <f>IF(AND($C4=$C5,$C5&lt;$C6),"+",IF($C4&lt;$C5,"++",""))</f>
        <v/>
      </c>
      <c r="F4" s="31"/>
      <c r="G4" s="271"/>
      <c r="H4" s="272"/>
      <c r="I4" s="272"/>
      <c r="J4" s="272"/>
      <c r="K4" s="272"/>
      <c r="L4" s="273"/>
    </row>
    <row r="5" spans="2:15" x14ac:dyDescent="0.25">
      <c r="B5" s="38">
        <v>1</v>
      </c>
      <c r="C5" s="39">
        <v>0</v>
      </c>
      <c r="D5" s="40">
        <v>6</v>
      </c>
      <c r="E5" s="27" t="str">
        <f t="shared" ref="E5:E50" si="0">IF(AND($C5=$C6,$C6&lt;$C7),"+",IF($C5&lt;$C6,"++",IF(AND($C5=$C4,$C4&gt;$C3),"-",IF($C5&gt;$C4,"--",""))))</f>
        <v/>
      </c>
      <c r="F5" s="31"/>
      <c r="G5" s="271"/>
      <c r="H5" s="272"/>
      <c r="I5" s="272"/>
      <c r="J5" s="272"/>
      <c r="K5" s="272"/>
      <c r="L5" s="273"/>
    </row>
    <row r="6" spans="2:15" x14ac:dyDescent="0.25">
      <c r="B6" s="38">
        <v>1.5</v>
      </c>
      <c r="C6" s="39">
        <v>0</v>
      </c>
      <c r="D6" s="40">
        <v>6</v>
      </c>
      <c r="E6" s="27" t="str">
        <f t="shared" si="0"/>
        <v/>
      </c>
      <c r="F6" s="31"/>
      <c r="G6" s="271"/>
      <c r="H6" s="272"/>
      <c r="I6" s="272"/>
      <c r="J6" s="272"/>
      <c r="K6" s="272"/>
      <c r="L6" s="273"/>
    </row>
    <row r="7" spans="2:15" x14ac:dyDescent="0.25">
      <c r="B7" s="38">
        <v>2</v>
      </c>
      <c r="C7" s="39">
        <v>0</v>
      </c>
      <c r="D7" s="40">
        <v>6</v>
      </c>
      <c r="E7" s="27" t="str">
        <f t="shared" si="0"/>
        <v/>
      </c>
      <c r="F7" s="31"/>
      <c r="G7" s="271"/>
      <c r="H7" s="272"/>
      <c r="I7" s="272"/>
      <c r="J7" s="272"/>
      <c r="K7" s="272"/>
      <c r="L7" s="273"/>
    </row>
    <row r="8" spans="2:15" ht="12.75" customHeight="1" x14ac:dyDescent="0.25">
      <c r="B8" s="38">
        <v>2.5</v>
      </c>
      <c r="C8" s="39">
        <v>0</v>
      </c>
      <c r="D8" s="40">
        <v>6</v>
      </c>
      <c r="E8" s="27" t="str">
        <f t="shared" si="0"/>
        <v/>
      </c>
      <c r="F8" s="31"/>
      <c r="G8" s="271"/>
      <c r="H8" s="272"/>
      <c r="I8" s="272"/>
      <c r="J8" s="272"/>
      <c r="K8" s="272"/>
      <c r="L8" s="273"/>
      <c r="M8" s="32"/>
      <c r="N8" s="32"/>
      <c r="O8" s="32"/>
    </row>
    <row r="9" spans="2:15" x14ac:dyDescent="0.25">
      <c r="B9" s="38">
        <v>3</v>
      </c>
      <c r="C9" s="39">
        <v>0</v>
      </c>
      <c r="D9" s="40">
        <v>6</v>
      </c>
      <c r="E9" s="27" t="str">
        <f t="shared" si="0"/>
        <v/>
      </c>
      <c r="F9" s="31"/>
      <c r="G9" s="271"/>
      <c r="H9" s="272"/>
      <c r="I9" s="272"/>
      <c r="J9" s="272"/>
      <c r="K9" s="272"/>
      <c r="L9" s="273"/>
      <c r="M9" s="32"/>
      <c r="N9" s="32"/>
      <c r="O9" s="32"/>
    </row>
    <row r="10" spans="2:15" x14ac:dyDescent="0.25">
      <c r="B10" s="38">
        <v>3.5</v>
      </c>
      <c r="C10" s="39">
        <v>0</v>
      </c>
      <c r="D10" s="40">
        <v>6</v>
      </c>
      <c r="E10" s="27" t="str">
        <f t="shared" si="0"/>
        <v/>
      </c>
      <c r="F10" s="31"/>
      <c r="G10" s="271"/>
      <c r="H10" s="272"/>
      <c r="I10" s="272"/>
      <c r="J10" s="272"/>
      <c r="K10" s="272"/>
      <c r="L10" s="273"/>
      <c r="M10" s="32"/>
      <c r="N10" s="32"/>
      <c r="O10" s="32"/>
    </row>
    <row r="11" spans="2:15" x14ac:dyDescent="0.25">
      <c r="B11" s="38">
        <v>4</v>
      </c>
      <c r="C11" s="39">
        <v>0</v>
      </c>
      <c r="D11" s="40">
        <v>6</v>
      </c>
      <c r="E11" s="27" t="str">
        <f t="shared" si="0"/>
        <v/>
      </c>
      <c r="G11" s="271"/>
      <c r="H11" s="272"/>
      <c r="I11" s="272"/>
      <c r="J11" s="272"/>
      <c r="K11" s="272"/>
      <c r="L11" s="273"/>
      <c r="M11" s="32"/>
      <c r="N11" s="32"/>
      <c r="O11" s="32"/>
    </row>
    <row r="12" spans="2:15" x14ac:dyDescent="0.25">
      <c r="B12" s="38">
        <v>4.5</v>
      </c>
      <c r="C12" s="39">
        <v>0</v>
      </c>
      <c r="D12" s="40">
        <v>6</v>
      </c>
      <c r="E12" s="27" t="str">
        <f t="shared" si="0"/>
        <v/>
      </c>
      <c r="F12" s="31"/>
      <c r="G12" s="271"/>
      <c r="H12" s="272"/>
      <c r="I12" s="272"/>
      <c r="J12" s="272"/>
      <c r="K12" s="272"/>
      <c r="L12" s="273"/>
      <c r="M12" s="32"/>
      <c r="N12" s="32"/>
      <c r="O12" s="32"/>
    </row>
    <row r="13" spans="2:15" x14ac:dyDescent="0.25">
      <c r="B13" s="38">
        <v>5</v>
      </c>
      <c r="C13" s="39">
        <v>0</v>
      </c>
      <c r="D13" s="40">
        <v>6</v>
      </c>
      <c r="E13" s="27" t="str">
        <f t="shared" si="0"/>
        <v/>
      </c>
      <c r="F13" s="31"/>
      <c r="G13" s="271"/>
      <c r="H13" s="272"/>
      <c r="I13" s="272"/>
      <c r="J13" s="272"/>
      <c r="K13" s="272"/>
      <c r="L13" s="273"/>
      <c r="M13" s="32"/>
      <c r="N13" s="32"/>
      <c r="O13" s="32"/>
    </row>
    <row r="14" spans="2:15" x14ac:dyDescent="0.25">
      <c r="B14" s="38">
        <v>5.5</v>
      </c>
      <c r="C14" s="39">
        <v>0</v>
      </c>
      <c r="D14" s="40">
        <v>6</v>
      </c>
      <c r="E14" s="27" t="str">
        <f t="shared" si="0"/>
        <v/>
      </c>
      <c r="F14" s="31"/>
      <c r="G14" s="271"/>
      <c r="H14" s="272"/>
      <c r="I14" s="272"/>
      <c r="J14" s="272"/>
      <c r="K14" s="272"/>
      <c r="L14" s="273"/>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2026-05-05T18:55:04Z</dcterms:modified>
</cp:coreProperties>
</file>