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5AD0C5E1-BE49-431F-A216-E85EE81203AC}" xr6:coauthVersionLast="47" xr6:coauthVersionMax="47" xr10:uidLastSave="{00000000-0000-0000-0000-000000000000}"/>
  <bookViews>
    <workbookView xWindow="-108" yWindow="-108" windowWidth="30936" windowHeight="16776" activeTab="9" xr2:uid="{00000000-000D-0000-FFFF-FFFF00000000}"/>
  </bookViews>
  <sheets>
    <sheet name="Noten" sheetId="3137" r:id="rId1"/>
    <sheet name="Analysis A" sheetId="3130" r:id="rId2"/>
    <sheet name="Analysis B" sheetId="3131" r:id="rId3"/>
    <sheet name="Stochastik A" sheetId="3132" r:id="rId4"/>
    <sheet name="Stochastik B" sheetId="3133" r:id="rId5"/>
    <sheet name="Geometrie A" sheetId="3134" r:id="rId6"/>
    <sheet name="Geometrie B" sheetId="3135" r:id="rId7"/>
    <sheet name="Wahlaufgaben" sheetId="3136" r:id="rId8"/>
    <sheet name="ConfigW" sheetId="3138"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136" l="1"/>
  <c r="I9" i="3136"/>
  <c r="I11" i="3136"/>
  <c r="I12" i="3136"/>
  <c r="I14" i="3136"/>
  <c r="I15" i="3136"/>
  <c r="I17" i="3136"/>
  <c r="I18" i="3136"/>
  <c r="I20" i="3136"/>
  <c r="I21" i="3136"/>
  <c r="I23" i="3136"/>
  <c r="I24" i="3136"/>
  <c r="I26" i="3136"/>
  <c r="I27" i="3136"/>
  <c r="I29" i="3136"/>
  <c r="I30" i="3136"/>
  <c r="I32" i="3136"/>
  <c r="I33" i="3136"/>
  <c r="I35" i="3136"/>
  <c r="I36" i="3136"/>
  <c r="I38" i="3136"/>
  <c r="I39" i="3136"/>
  <c r="I41" i="3136"/>
  <c r="I42" i="3136"/>
  <c r="I44" i="3136"/>
  <c r="I45" i="3136"/>
  <c r="I47" i="3136"/>
  <c r="I48" i="3136"/>
  <c r="I50" i="3136"/>
  <c r="I51" i="3136"/>
  <c r="I53" i="3136"/>
  <c r="I54" i="3136"/>
  <c r="I56" i="3136"/>
  <c r="I57" i="3136"/>
  <c r="I59" i="3136"/>
  <c r="I60" i="3136"/>
  <c r="I62" i="3136"/>
  <c r="I63" i="3136"/>
  <c r="I65" i="3136"/>
  <c r="I66" i="3136"/>
  <c r="I68" i="3136"/>
  <c r="I69" i="3136"/>
  <c r="I71" i="3136"/>
  <c r="I72" i="3136"/>
  <c r="I74" i="3136"/>
  <c r="I75" i="3136"/>
  <c r="I8" i="3135"/>
  <c r="I9" i="3135"/>
  <c r="I11" i="3135"/>
  <c r="I12" i="3135"/>
  <c r="I14" i="3135"/>
  <c r="I15" i="3135"/>
  <c r="I17" i="3135"/>
  <c r="I18" i="3135"/>
  <c r="I20" i="3135"/>
  <c r="I21" i="3135"/>
  <c r="I23" i="3135"/>
  <c r="I24" i="3135"/>
  <c r="I26" i="3135"/>
  <c r="I27" i="3135"/>
  <c r="I29" i="3135"/>
  <c r="I30" i="3135"/>
  <c r="I32" i="3135"/>
  <c r="I33" i="3135"/>
  <c r="I35" i="3135"/>
  <c r="I36" i="3135"/>
  <c r="I38" i="3135"/>
  <c r="I39" i="3135"/>
  <c r="I41" i="3135"/>
  <c r="I42" i="3135"/>
  <c r="I44" i="3135"/>
  <c r="I45" i="3135"/>
  <c r="I47" i="3135"/>
  <c r="I48" i="3135"/>
  <c r="I50" i="3135"/>
  <c r="I51" i="3135"/>
  <c r="I53" i="3135"/>
  <c r="I54" i="3135"/>
  <c r="I56" i="3135"/>
  <c r="I57" i="3135"/>
  <c r="I59" i="3135"/>
  <c r="I60" i="3135"/>
  <c r="I62" i="3135"/>
  <c r="I63" i="3135"/>
  <c r="I65" i="3135"/>
  <c r="I66" i="3135"/>
  <c r="I68" i="3135"/>
  <c r="I69" i="3135"/>
  <c r="I71" i="3135"/>
  <c r="I72" i="3135"/>
  <c r="I74" i="3135"/>
  <c r="I75" i="3135"/>
  <c r="F8" i="3134"/>
  <c r="F9" i="3134"/>
  <c r="F11" i="3134"/>
  <c r="F12" i="3134"/>
  <c r="F14" i="3134"/>
  <c r="F15" i="3134"/>
  <c r="F17" i="3134"/>
  <c r="F18" i="3134"/>
  <c r="F20" i="3134"/>
  <c r="F21" i="3134"/>
  <c r="F23" i="3134"/>
  <c r="F24" i="3134"/>
  <c r="F26" i="3134"/>
  <c r="F27" i="3134"/>
  <c r="F29" i="3134"/>
  <c r="F30" i="3134"/>
  <c r="F32" i="3134"/>
  <c r="F33" i="3134"/>
  <c r="F35" i="3134"/>
  <c r="F36" i="3134"/>
  <c r="F38" i="3134"/>
  <c r="F39" i="3134"/>
  <c r="F41" i="3134"/>
  <c r="F42" i="3134"/>
  <c r="F44" i="3134"/>
  <c r="F45" i="3134"/>
  <c r="F47" i="3134"/>
  <c r="F48" i="3134"/>
  <c r="F50" i="3134"/>
  <c r="F51" i="3134"/>
  <c r="F53" i="3134"/>
  <c r="F54" i="3134"/>
  <c r="F56" i="3134"/>
  <c r="F57" i="3134"/>
  <c r="F59" i="3134"/>
  <c r="F60" i="3134"/>
  <c r="F62" i="3134"/>
  <c r="F63" i="3134"/>
  <c r="F65" i="3134"/>
  <c r="F66" i="3134"/>
  <c r="F68" i="3134"/>
  <c r="F69" i="3134"/>
  <c r="F71" i="3134"/>
  <c r="F72" i="3134"/>
  <c r="F74" i="3134"/>
  <c r="F75" i="3134"/>
  <c r="I8" i="3133"/>
  <c r="I9" i="3133"/>
  <c r="I11" i="3133"/>
  <c r="I12" i="3133"/>
  <c r="I14" i="3133"/>
  <c r="I15" i="3133"/>
  <c r="I17" i="3133"/>
  <c r="I18" i="3133"/>
  <c r="I20" i="3133"/>
  <c r="I21" i="3133"/>
  <c r="I23" i="3133"/>
  <c r="I24" i="3133"/>
  <c r="I26" i="3133"/>
  <c r="I27" i="3133"/>
  <c r="I29" i="3133"/>
  <c r="I30" i="3133"/>
  <c r="I32" i="3133"/>
  <c r="I33" i="3133"/>
  <c r="I35" i="3133"/>
  <c r="I36" i="3133"/>
  <c r="I38" i="3133"/>
  <c r="I39" i="3133"/>
  <c r="I41" i="3133"/>
  <c r="I42" i="3133"/>
  <c r="I44" i="3133"/>
  <c r="I45" i="3133"/>
  <c r="I47" i="3133"/>
  <c r="I48" i="3133"/>
  <c r="I50" i="3133"/>
  <c r="I51" i="3133"/>
  <c r="I53" i="3133"/>
  <c r="I54" i="3133"/>
  <c r="I56" i="3133"/>
  <c r="I57" i="3133"/>
  <c r="I59" i="3133"/>
  <c r="I60" i="3133"/>
  <c r="I62" i="3133"/>
  <c r="I63" i="3133"/>
  <c r="I65" i="3133"/>
  <c r="I66" i="3133"/>
  <c r="I68" i="3133"/>
  <c r="I69" i="3133"/>
  <c r="I71" i="3133"/>
  <c r="I72" i="3133"/>
  <c r="I74" i="3133"/>
  <c r="I75" i="3133"/>
  <c r="E8" i="3132"/>
  <c r="E9" i="3132"/>
  <c r="E11" i="3132"/>
  <c r="E12" i="3132"/>
  <c r="E14" i="3132"/>
  <c r="E15" i="3132"/>
  <c r="E17" i="3132"/>
  <c r="E18" i="3132"/>
  <c r="E20" i="3132"/>
  <c r="E21" i="3132"/>
  <c r="E23" i="3132"/>
  <c r="E24" i="3132"/>
  <c r="E26" i="3132"/>
  <c r="E27" i="3132"/>
  <c r="E29" i="3132"/>
  <c r="E30" i="3132"/>
  <c r="E32" i="3132"/>
  <c r="E33" i="3132"/>
  <c r="E35" i="3132"/>
  <c r="E36" i="3132"/>
  <c r="E38" i="3132"/>
  <c r="E39" i="3132"/>
  <c r="E41" i="3132"/>
  <c r="E42" i="3132"/>
  <c r="E44" i="3132"/>
  <c r="E45" i="3132"/>
  <c r="E47" i="3132"/>
  <c r="E48" i="3132"/>
  <c r="E50" i="3132"/>
  <c r="E51" i="3132"/>
  <c r="E53" i="3132"/>
  <c r="E54" i="3132"/>
  <c r="E56" i="3132"/>
  <c r="E57" i="3132"/>
  <c r="E59" i="3132"/>
  <c r="E60" i="3132"/>
  <c r="E62" i="3132"/>
  <c r="E63" i="3132"/>
  <c r="E65" i="3132"/>
  <c r="E66" i="3132"/>
  <c r="E68" i="3132"/>
  <c r="E69" i="3132"/>
  <c r="E71" i="3132"/>
  <c r="E72" i="3132"/>
  <c r="E74" i="3132"/>
  <c r="E75" i="3132"/>
  <c r="N8" i="3131"/>
  <c r="N9" i="3131"/>
  <c r="N11" i="3131"/>
  <c r="N12" i="3131"/>
  <c r="N14" i="3131"/>
  <c r="N15" i="3131"/>
  <c r="N17" i="3131"/>
  <c r="N18" i="3131"/>
  <c r="N20" i="3131"/>
  <c r="N21" i="3131"/>
  <c r="N23" i="3131"/>
  <c r="N24" i="3131"/>
  <c r="N26" i="3131"/>
  <c r="N27" i="3131"/>
  <c r="N29" i="3131"/>
  <c r="N30" i="3131"/>
  <c r="N32" i="3131"/>
  <c r="N33" i="3131"/>
  <c r="N35" i="3131"/>
  <c r="N36" i="3131"/>
  <c r="N38" i="3131"/>
  <c r="N39" i="3131"/>
  <c r="N41" i="3131"/>
  <c r="N42" i="3131"/>
  <c r="N44" i="3131"/>
  <c r="N45" i="3131"/>
  <c r="N47" i="3131"/>
  <c r="N48" i="3131"/>
  <c r="N50" i="3131"/>
  <c r="N51" i="3131"/>
  <c r="N53" i="3131"/>
  <c r="N54" i="3131"/>
  <c r="N56" i="3131"/>
  <c r="N57" i="3131"/>
  <c r="N59" i="3131"/>
  <c r="N60" i="3131"/>
  <c r="N62" i="3131"/>
  <c r="N63" i="3131"/>
  <c r="N65" i="3131"/>
  <c r="N66" i="3131"/>
  <c r="N68" i="3131"/>
  <c r="N69" i="3131"/>
  <c r="N71" i="3131"/>
  <c r="N72" i="3131"/>
  <c r="N74" i="3131"/>
  <c r="N75" i="3131"/>
  <c r="J8" i="3130"/>
  <c r="J9" i="3130"/>
  <c r="J11" i="3130"/>
  <c r="J12" i="3130"/>
  <c r="J14" i="3130"/>
  <c r="J15" i="3130"/>
  <c r="J17" i="3130"/>
  <c r="J18" i="3130"/>
  <c r="J20" i="3130"/>
  <c r="J21" i="3130"/>
  <c r="J23" i="3130"/>
  <c r="J24" i="3130"/>
  <c r="J26" i="3130"/>
  <c r="J27" i="3130"/>
  <c r="J29" i="3130"/>
  <c r="J30" i="3130"/>
  <c r="J32" i="3130"/>
  <c r="J33" i="3130"/>
  <c r="J35" i="3130"/>
  <c r="J36" i="3130"/>
  <c r="J38" i="3130"/>
  <c r="J39" i="3130"/>
  <c r="J41" i="3130"/>
  <c r="J42" i="3130"/>
  <c r="J44" i="3130"/>
  <c r="J45" i="3130"/>
  <c r="J47" i="3130"/>
  <c r="J48" i="3130"/>
  <c r="J50" i="3130"/>
  <c r="J51" i="3130"/>
  <c r="J53" i="3130"/>
  <c r="J54" i="3130"/>
  <c r="J56" i="3130"/>
  <c r="J57" i="3130"/>
  <c r="J59" i="3130"/>
  <c r="J60" i="3130"/>
  <c r="J62" i="3130"/>
  <c r="J63" i="3130"/>
  <c r="J65" i="3130"/>
  <c r="J66" i="3130"/>
  <c r="J68" i="3130"/>
  <c r="J69" i="3130"/>
  <c r="J71" i="3130"/>
  <c r="J72" i="3130"/>
  <c r="J74" i="3130"/>
  <c r="J75" i="3130"/>
  <c r="C7" i="3137"/>
  <c r="C7" i="3130"/>
  <c r="J7" i="3130"/>
  <c r="D7" i="3137"/>
  <c r="C7" i="3131"/>
  <c r="N7" i="3131"/>
  <c r="E7" i="3137"/>
  <c r="C7" i="3132"/>
  <c r="E7" i="3132"/>
  <c r="F7" i="3137"/>
  <c r="C7" i="3133"/>
  <c r="I7" i="3133"/>
  <c r="G7" i="3137"/>
  <c r="C7" i="3136"/>
  <c r="I7" i="3136"/>
  <c r="J7" i="3137"/>
  <c r="C7" i="3135"/>
  <c r="I7" i="3135"/>
  <c r="I7" i="3137"/>
  <c r="C7" i="3134"/>
  <c r="F7" i="3134"/>
  <c r="H7" i="3137"/>
  <c r="K7" i="3137"/>
  <c r="L7" i="3137"/>
  <c r="C8" i="3137"/>
  <c r="C10" i="3130"/>
  <c r="J10" i="3130"/>
  <c r="D8" i="3137"/>
  <c r="C10" i="3131"/>
  <c r="N10" i="3131"/>
  <c r="E8" i="3137"/>
  <c r="C10" i="3132"/>
  <c r="E10" i="3132"/>
  <c r="F8" i="3137"/>
  <c r="C10" i="3133"/>
  <c r="I10" i="3133"/>
  <c r="G8" i="3137"/>
  <c r="C10" i="3136"/>
  <c r="I10" i="3136"/>
  <c r="J8" i="3137"/>
  <c r="C10" i="3135"/>
  <c r="I10" i="3135"/>
  <c r="I8" i="3137"/>
  <c r="C10" i="3134"/>
  <c r="F10" i="3134"/>
  <c r="H8" i="3137"/>
  <c r="K8" i="3137"/>
  <c r="L8" i="3137"/>
  <c r="C9" i="3137"/>
  <c r="C13" i="3130"/>
  <c r="J13" i="3130"/>
  <c r="D9" i="3137"/>
  <c r="C13" i="3131"/>
  <c r="N13" i="3131"/>
  <c r="E9" i="3137"/>
  <c r="C13" i="3132"/>
  <c r="E13" i="3132"/>
  <c r="F9" i="3137"/>
  <c r="C13" i="3133"/>
  <c r="I13" i="3133"/>
  <c r="G9" i="3137"/>
  <c r="C13" i="3136"/>
  <c r="I13" i="3136"/>
  <c r="J9" i="3137"/>
  <c r="C13" i="3135"/>
  <c r="I13" i="3135"/>
  <c r="I9" i="3137"/>
  <c r="C13" i="3134"/>
  <c r="F13" i="3134"/>
  <c r="H9" i="3137"/>
  <c r="K9" i="3137"/>
  <c r="L9" i="3137"/>
  <c r="C10" i="3137"/>
  <c r="C16" i="3130"/>
  <c r="J16" i="3130"/>
  <c r="D10" i="3137"/>
  <c r="C16" i="3131"/>
  <c r="N16" i="3131"/>
  <c r="E10" i="3137"/>
  <c r="C16" i="3132"/>
  <c r="E16" i="3132"/>
  <c r="F10" i="3137"/>
  <c r="C16" i="3133"/>
  <c r="I16" i="3133"/>
  <c r="G10" i="3137"/>
  <c r="C16" i="3136"/>
  <c r="I16" i="3136"/>
  <c r="J10" i="3137"/>
  <c r="C16" i="3135"/>
  <c r="I16" i="3135"/>
  <c r="I10" i="3137"/>
  <c r="C16" i="3134"/>
  <c r="F16" i="3134"/>
  <c r="H10" i="3137"/>
  <c r="K10" i="3137"/>
  <c r="L10" i="3137"/>
  <c r="C29" i="3137"/>
  <c r="C19" i="3130"/>
  <c r="C22" i="3130"/>
  <c r="C25" i="3130"/>
  <c r="J73" i="3130"/>
  <c r="C73" i="3130"/>
  <c r="J70" i="3130"/>
  <c r="C70" i="3130"/>
  <c r="J67" i="3130"/>
  <c r="C67" i="3130"/>
  <c r="J64" i="3130"/>
  <c r="C64" i="3130"/>
  <c r="J61" i="3130"/>
  <c r="C61" i="3130"/>
  <c r="J58" i="3130"/>
  <c r="C58" i="3130"/>
  <c r="J55" i="3130"/>
  <c r="C55" i="3130"/>
  <c r="J52" i="3130"/>
  <c r="C52" i="3130"/>
  <c r="J49" i="3130"/>
  <c r="C49" i="3130"/>
  <c r="J46" i="3130"/>
  <c r="C46" i="3130"/>
  <c r="J43" i="3130"/>
  <c r="C43" i="3130"/>
  <c r="J40" i="3130"/>
  <c r="C40" i="3130"/>
  <c r="J37" i="3130"/>
  <c r="C37" i="3130"/>
  <c r="J34" i="3130"/>
  <c r="C34" i="3130"/>
  <c r="J31" i="3130"/>
  <c r="C31" i="3130"/>
  <c r="J28" i="3130"/>
  <c r="C28" i="3130"/>
  <c r="J25" i="3130"/>
  <c r="J22" i="3130"/>
  <c r="J19" i="3130"/>
  <c r="D29" i="3137"/>
  <c r="C19" i="3131"/>
  <c r="C22" i="3131"/>
  <c r="C25" i="3131"/>
  <c r="C28" i="3131"/>
  <c r="N73" i="3131"/>
  <c r="C73" i="3131"/>
  <c r="N70" i="3131"/>
  <c r="C70" i="3131"/>
  <c r="N67" i="3131"/>
  <c r="C67" i="3131"/>
  <c r="N64" i="3131"/>
  <c r="C64" i="3131"/>
  <c r="N61" i="3131"/>
  <c r="C61" i="3131"/>
  <c r="N58" i="3131"/>
  <c r="C58" i="3131"/>
  <c r="N55" i="3131"/>
  <c r="C55" i="3131"/>
  <c r="N52" i="3131"/>
  <c r="C52" i="3131"/>
  <c r="N49" i="3131"/>
  <c r="C49" i="3131"/>
  <c r="N46" i="3131"/>
  <c r="C46" i="3131"/>
  <c r="N43" i="3131"/>
  <c r="C43" i="3131"/>
  <c r="N40" i="3131"/>
  <c r="C40" i="3131"/>
  <c r="N37" i="3131"/>
  <c r="C37" i="3131"/>
  <c r="N34" i="3131"/>
  <c r="C34" i="3131"/>
  <c r="N31" i="3131"/>
  <c r="C31" i="3131"/>
  <c r="N28" i="3131"/>
  <c r="N25" i="3131"/>
  <c r="N22" i="3131"/>
  <c r="N19" i="3131"/>
  <c r="E29" i="3137"/>
  <c r="C19" i="3132"/>
  <c r="C22" i="3132"/>
  <c r="C25" i="3132"/>
  <c r="C28" i="3132"/>
  <c r="E73" i="3132"/>
  <c r="C73" i="3132"/>
  <c r="E70" i="3132"/>
  <c r="C70" i="3132"/>
  <c r="E67" i="3132"/>
  <c r="C67" i="3132"/>
  <c r="E64" i="3132"/>
  <c r="C64" i="3132"/>
  <c r="E61" i="3132"/>
  <c r="C61" i="3132"/>
  <c r="E58" i="3132"/>
  <c r="C58" i="3132"/>
  <c r="E55" i="3132"/>
  <c r="C55" i="3132"/>
  <c r="E52" i="3132"/>
  <c r="C52" i="3132"/>
  <c r="E49" i="3132"/>
  <c r="C49" i="3132"/>
  <c r="E46" i="3132"/>
  <c r="C46" i="3132"/>
  <c r="E43" i="3132"/>
  <c r="C43" i="3132"/>
  <c r="E40" i="3132"/>
  <c r="C40" i="3132"/>
  <c r="E37" i="3132"/>
  <c r="C37" i="3132"/>
  <c r="E34" i="3132"/>
  <c r="C34" i="3132"/>
  <c r="E31" i="3132"/>
  <c r="C31" i="3132"/>
  <c r="E28" i="3132"/>
  <c r="E25" i="3132"/>
  <c r="E22" i="3132"/>
  <c r="E19" i="3132"/>
  <c r="F29" i="3137"/>
  <c r="C19" i="3133"/>
  <c r="C22" i="3133"/>
  <c r="C25" i="3133"/>
  <c r="C28" i="3133"/>
  <c r="I73" i="3133"/>
  <c r="C73" i="3133"/>
  <c r="I70" i="3133"/>
  <c r="C70" i="3133"/>
  <c r="I67" i="3133"/>
  <c r="C67" i="3133"/>
  <c r="I64" i="3133"/>
  <c r="C64" i="3133"/>
  <c r="I61" i="3133"/>
  <c r="C61" i="3133"/>
  <c r="I58" i="3133"/>
  <c r="C58" i="3133"/>
  <c r="I55" i="3133"/>
  <c r="C55" i="3133"/>
  <c r="I52" i="3133"/>
  <c r="C52" i="3133"/>
  <c r="I49" i="3133"/>
  <c r="C49" i="3133"/>
  <c r="I46" i="3133"/>
  <c r="C46" i="3133"/>
  <c r="I43" i="3133"/>
  <c r="C43" i="3133"/>
  <c r="I40" i="3133"/>
  <c r="C40" i="3133"/>
  <c r="I37" i="3133"/>
  <c r="C37" i="3133"/>
  <c r="I34" i="3133"/>
  <c r="C34" i="3133"/>
  <c r="I31" i="3133"/>
  <c r="C31" i="3133"/>
  <c r="I28" i="3133"/>
  <c r="I25" i="3133"/>
  <c r="I22" i="3133"/>
  <c r="I19" i="3133"/>
  <c r="G29" i="3137"/>
  <c r="C19" i="3136"/>
  <c r="C22" i="3136"/>
  <c r="C25" i="3136"/>
  <c r="C28" i="3136"/>
  <c r="I73" i="3136"/>
  <c r="C73" i="3136"/>
  <c r="I70" i="3136"/>
  <c r="C70" i="3136"/>
  <c r="I67" i="3136"/>
  <c r="C67" i="3136"/>
  <c r="I64" i="3136"/>
  <c r="C64" i="3136"/>
  <c r="I61" i="3136"/>
  <c r="C61" i="3136"/>
  <c r="I58" i="3136"/>
  <c r="C58" i="3136"/>
  <c r="I55" i="3136"/>
  <c r="C55" i="3136"/>
  <c r="I52" i="3136"/>
  <c r="C52" i="3136"/>
  <c r="I49" i="3136"/>
  <c r="C49" i="3136"/>
  <c r="I46" i="3136"/>
  <c r="C46" i="3136"/>
  <c r="I43" i="3136"/>
  <c r="C43" i="3136"/>
  <c r="I40" i="3136"/>
  <c r="C40" i="3136"/>
  <c r="I37" i="3136"/>
  <c r="C37" i="3136"/>
  <c r="I34" i="3136"/>
  <c r="C34" i="3136"/>
  <c r="I31" i="3136"/>
  <c r="C31" i="3136"/>
  <c r="I28" i="3136"/>
  <c r="I25" i="3136"/>
  <c r="I22" i="3136"/>
  <c r="I19" i="3136"/>
  <c r="J29" i="3137"/>
  <c r="C19" i="3135"/>
  <c r="C22" i="3135"/>
  <c r="C25" i="3135"/>
  <c r="C28" i="3135"/>
  <c r="I73" i="3135"/>
  <c r="C73" i="3135"/>
  <c r="I70" i="3135"/>
  <c r="C70" i="3135"/>
  <c r="I67" i="3135"/>
  <c r="C67" i="3135"/>
  <c r="I64" i="3135"/>
  <c r="C64" i="3135"/>
  <c r="I61" i="3135"/>
  <c r="C61" i="3135"/>
  <c r="I58" i="3135"/>
  <c r="C58" i="3135"/>
  <c r="I55" i="3135"/>
  <c r="C55" i="3135"/>
  <c r="I52" i="3135"/>
  <c r="C52" i="3135"/>
  <c r="I49" i="3135"/>
  <c r="C49" i="3135"/>
  <c r="I46" i="3135"/>
  <c r="C46" i="3135"/>
  <c r="I43" i="3135"/>
  <c r="C43" i="3135"/>
  <c r="I40" i="3135"/>
  <c r="C40" i="3135"/>
  <c r="I37" i="3135"/>
  <c r="C37" i="3135"/>
  <c r="I34" i="3135"/>
  <c r="C34" i="3135"/>
  <c r="I31" i="3135"/>
  <c r="C31" i="3135"/>
  <c r="I28" i="3135"/>
  <c r="I25" i="3135"/>
  <c r="I22" i="3135"/>
  <c r="I19" i="3135"/>
  <c r="I29" i="3137"/>
  <c r="C19" i="3134"/>
  <c r="C22" i="3134"/>
  <c r="C25" i="3134"/>
  <c r="C28" i="3134"/>
  <c r="F73" i="3134"/>
  <c r="C73" i="3134"/>
  <c r="F70" i="3134"/>
  <c r="C70" i="3134"/>
  <c r="F67" i="3134"/>
  <c r="C67" i="3134"/>
  <c r="F64" i="3134"/>
  <c r="C64" i="3134"/>
  <c r="F61" i="3134"/>
  <c r="C61" i="3134"/>
  <c r="F58" i="3134"/>
  <c r="C58" i="3134"/>
  <c r="F55" i="3134"/>
  <c r="C55" i="3134"/>
  <c r="F52" i="3134"/>
  <c r="C52" i="3134"/>
  <c r="F49" i="3134"/>
  <c r="C49" i="3134"/>
  <c r="F46" i="3134"/>
  <c r="C46" i="3134"/>
  <c r="F43" i="3134"/>
  <c r="C43" i="3134"/>
  <c r="F40" i="3134"/>
  <c r="C40" i="3134"/>
  <c r="F37" i="3134"/>
  <c r="C37" i="3134"/>
  <c r="F34" i="3134"/>
  <c r="C34" i="3134"/>
  <c r="F31" i="3134"/>
  <c r="C31" i="3134"/>
  <c r="F28" i="3134"/>
  <c r="F25" i="3134"/>
  <c r="F22" i="3134"/>
  <c r="F19" i="3134"/>
  <c r="H29" i="3137"/>
  <c r="K29" i="3137"/>
  <c r="L29" i="3137"/>
  <c r="C28" i="3137"/>
  <c r="D28" i="3137"/>
  <c r="E28" i="3137"/>
  <c r="F28" i="3137"/>
  <c r="G28" i="3137"/>
  <c r="J28" i="3137"/>
  <c r="I28" i="3137"/>
  <c r="H28" i="3137"/>
  <c r="K28" i="3137"/>
  <c r="L28" i="3137"/>
  <c r="C27" i="3137"/>
  <c r="D27" i="3137"/>
  <c r="E27" i="3137"/>
  <c r="F27" i="3137"/>
  <c r="G27" i="3137"/>
  <c r="J27" i="3137"/>
  <c r="I27" i="3137"/>
  <c r="H27" i="3137"/>
  <c r="K27" i="3137"/>
  <c r="L27" i="3137"/>
  <c r="C26" i="3137"/>
  <c r="D26" i="3137"/>
  <c r="E26" i="3137"/>
  <c r="F26" i="3137"/>
  <c r="G26" i="3137"/>
  <c r="J26" i="3137"/>
  <c r="I26" i="3137"/>
  <c r="H26" i="3137"/>
  <c r="K26" i="3137"/>
  <c r="L26" i="3137"/>
  <c r="C25" i="3137"/>
  <c r="D25" i="3137"/>
  <c r="E25" i="3137"/>
  <c r="F25" i="3137"/>
  <c r="G25" i="3137"/>
  <c r="J25" i="3137"/>
  <c r="I25" i="3137"/>
  <c r="H25" i="3137"/>
  <c r="K25" i="3137"/>
  <c r="L25" i="3137"/>
  <c r="C24" i="3137"/>
  <c r="D24" i="3137"/>
  <c r="E24" i="3137"/>
  <c r="F24" i="3137"/>
  <c r="G24" i="3137"/>
  <c r="J24" i="3137"/>
  <c r="I24" i="3137"/>
  <c r="H24" i="3137"/>
  <c r="K24" i="3137"/>
  <c r="L24" i="3137"/>
  <c r="C23" i="3137"/>
  <c r="D23" i="3137"/>
  <c r="E23" i="3137"/>
  <c r="F23" i="3137"/>
  <c r="G23" i="3137"/>
  <c r="J23" i="3137"/>
  <c r="I23" i="3137"/>
  <c r="H23" i="3137"/>
  <c r="K23" i="3137"/>
  <c r="L23" i="3137"/>
  <c r="C22" i="3137"/>
  <c r="D22" i="3137"/>
  <c r="E22" i="3137"/>
  <c r="F22" i="3137"/>
  <c r="G22" i="3137"/>
  <c r="J22" i="3137"/>
  <c r="I22" i="3137"/>
  <c r="H22" i="3137"/>
  <c r="K22" i="3137"/>
  <c r="L22" i="3137"/>
  <c r="C21" i="3137"/>
  <c r="D21" i="3137"/>
  <c r="E21" i="3137"/>
  <c r="F21" i="3137"/>
  <c r="G21" i="3137"/>
  <c r="J21" i="3137"/>
  <c r="I21" i="3137"/>
  <c r="H21" i="3137"/>
  <c r="K21" i="3137"/>
  <c r="L21" i="3137"/>
  <c r="C20" i="3137"/>
  <c r="D20" i="3137"/>
  <c r="E20" i="3137"/>
  <c r="F20" i="3137"/>
  <c r="G20" i="3137"/>
  <c r="J20" i="3137"/>
  <c r="I20" i="3137"/>
  <c r="H20" i="3137"/>
  <c r="K20" i="3137"/>
  <c r="L20" i="3137"/>
  <c r="C19" i="3137"/>
  <c r="D19" i="3137"/>
  <c r="E19" i="3137"/>
  <c r="F19" i="3137"/>
  <c r="G19" i="3137"/>
  <c r="J19" i="3137"/>
  <c r="I19" i="3137"/>
  <c r="H19" i="3137"/>
  <c r="K19" i="3137"/>
  <c r="L19" i="3137"/>
  <c r="C18" i="3137"/>
  <c r="D18" i="3137"/>
  <c r="E18" i="3137"/>
  <c r="F18" i="3137"/>
  <c r="G18" i="3137"/>
  <c r="J18" i="3137"/>
  <c r="I18" i="3137"/>
  <c r="H18" i="3137"/>
  <c r="K18" i="3137"/>
  <c r="L18" i="3137"/>
  <c r="C17" i="3137"/>
  <c r="D17" i="3137"/>
  <c r="E17" i="3137"/>
  <c r="F17" i="3137"/>
  <c r="G17" i="3137"/>
  <c r="J17" i="3137"/>
  <c r="I17" i="3137"/>
  <c r="H17" i="3137"/>
  <c r="K17" i="3137"/>
  <c r="L17" i="3137"/>
  <c r="C16" i="3137"/>
  <c r="D16" i="3137"/>
  <c r="E16" i="3137"/>
  <c r="F16" i="3137"/>
  <c r="G16" i="3137"/>
  <c r="J16" i="3137"/>
  <c r="I16" i="3137"/>
  <c r="H16" i="3137"/>
  <c r="K16" i="3137"/>
  <c r="L16" i="3137"/>
  <c r="C15" i="3137"/>
  <c r="D15" i="3137"/>
  <c r="E15" i="3137"/>
  <c r="F15" i="3137"/>
  <c r="G15" i="3137"/>
  <c r="J15" i="3137"/>
  <c r="I15" i="3137"/>
  <c r="H15" i="3137"/>
  <c r="K15" i="3137"/>
  <c r="L15" i="3137"/>
  <c r="C14" i="3137"/>
  <c r="D14" i="3137"/>
  <c r="E14" i="3137"/>
  <c r="F14" i="3137"/>
  <c r="G14" i="3137"/>
  <c r="J14" i="3137"/>
  <c r="I14" i="3137"/>
  <c r="H14" i="3137"/>
  <c r="K14" i="3137"/>
  <c r="L14" i="3137"/>
  <c r="C13" i="3137"/>
  <c r="D13" i="3137"/>
  <c r="E13" i="3137"/>
  <c r="F13" i="3137"/>
  <c r="G13" i="3137"/>
  <c r="J13" i="3137"/>
  <c r="I13" i="3137"/>
  <c r="H13" i="3137"/>
  <c r="K13" i="3137"/>
  <c r="L13" i="3137"/>
  <c r="C12" i="3137"/>
  <c r="D12" i="3137"/>
  <c r="E12" i="3137"/>
  <c r="F12" i="3137"/>
  <c r="G12" i="3137"/>
  <c r="J12" i="3137"/>
  <c r="I12" i="3137"/>
  <c r="H12" i="3137"/>
  <c r="K12" i="3137"/>
  <c r="L12" i="3137"/>
  <c r="C11" i="3137"/>
  <c r="D11" i="3137"/>
  <c r="E11" i="3137"/>
  <c r="F11" i="3137"/>
  <c r="G11" i="3137"/>
  <c r="J11" i="3137"/>
  <c r="I11" i="3137"/>
  <c r="H11" i="3137"/>
  <c r="K11" i="3137"/>
  <c r="L11" i="3137"/>
  <c r="L30" i="3137"/>
  <c r="G21" i="14"/>
  <c r="I21" i="14"/>
  <c r="K21" i="14"/>
  <c r="M21" i="14"/>
  <c r="Q21" i="14"/>
  <c r="O21" i="14"/>
  <c r="D5" i="3138"/>
  <c r="E5" i="3138"/>
  <c r="F5" i="3138"/>
  <c r="G5" i="3138"/>
  <c r="H5" i="3138"/>
  <c r="C7" i="3138"/>
  <c r="C8" i="3138"/>
  <c r="C9" i="3138"/>
  <c r="C10" i="3138"/>
  <c r="C11" i="3138"/>
  <c r="C12" i="3138"/>
  <c r="C13" i="3138"/>
  <c r="C14" i="3138"/>
  <c r="C15" i="3138"/>
  <c r="C16" i="3138"/>
  <c r="C17" i="3138"/>
  <c r="C18" i="3138"/>
  <c r="C19" i="3138"/>
  <c r="C20" i="3138"/>
  <c r="C21" i="3138"/>
  <c r="C22" i="3138"/>
  <c r="C23" i="3138"/>
  <c r="C24" i="3138"/>
  <c r="C25" i="3138"/>
  <c r="C26" i="3138"/>
  <c r="C27" i="3138"/>
  <c r="C28" i="3138"/>
  <c r="C29" i="3138"/>
  <c r="H2" i="3138"/>
  <c r="B2" i="3138"/>
  <c r="E3" i="11"/>
  <c r="E26" i="11"/>
  <c r="E71" i="11"/>
  <c r="E76" i="11"/>
  <c r="E102" i="11"/>
  <c r="E120" i="11"/>
  <c r="E136" i="11"/>
  <c r="E134" i="11"/>
  <c r="E138" i="11"/>
  <c r="E111" i="11"/>
  <c r="N7" i="3137"/>
  <c r="E21" i="11"/>
  <c r="E56" i="11"/>
  <c r="E66" i="11"/>
  <c r="E80" i="11"/>
  <c r="E87" i="11"/>
  <c r="E105" i="11"/>
  <c r="E119" i="11"/>
  <c r="E101" i="11"/>
  <c r="N8" i="3137"/>
  <c r="E24" i="11"/>
  <c r="E47" i="11"/>
  <c r="E52" i="11"/>
  <c r="E68" i="11"/>
  <c r="E77" i="11"/>
  <c r="E121" i="11"/>
  <c r="E100" i="11"/>
  <c r="N9" i="3137"/>
  <c r="E28" i="11"/>
  <c r="E74" i="11"/>
  <c r="E79" i="11"/>
  <c r="E97" i="11"/>
  <c r="E104" i="11"/>
  <c r="E131" i="11"/>
  <c r="E143" i="11"/>
  <c r="E118" i="11"/>
  <c r="N10" i="3137"/>
  <c r="E31" i="11"/>
  <c r="E88" i="11"/>
  <c r="E95" i="11"/>
  <c r="E103" i="11"/>
  <c r="N11" i="3137"/>
  <c r="E94" i="11"/>
  <c r="E130" i="11"/>
  <c r="E164" i="11"/>
  <c r="E180" i="11"/>
  <c r="E155" i="11"/>
  <c r="N12" i="3137"/>
  <c r="E73" i="11"/>
  <c r="E83" i="11"/>
  <c r="E109" i="11"/>
  <c r="E139" i="11"/>
  <c r="E153" i="11"/>
  <c r="E128" i="11"/>
  <c r="N13" i="3137"/>
  <c r="E54" i="11"/>
  <c r="E64" i="11"/>
  <c r="E81" i="11"/>
  <c r="E89" i="11"/>
  <c r="E115" i="11"/>
  <c r="E129" i="11"/>
  <c r="N14" i="3137"/>
  <c r="E23" i="11"/>
  <c r="E60" i="11"/>
  <c r="E86" i="11"/>
  <c r="E99" i="11"/>
  <c r="N15" i="3137"/>
  <c r="E9" i="11"/>
  <c r="E44" i="11"/>
  <c r="E46" i="11"/>
  <c r="E63" i="11"/>
  <c r="N16" i="3137"/>
  <c r="E16" i="11"/>
  <c r="E43" i="11"/>
  <c r="E90" i="11"/>
  <c r="N17" i="3137"/>
  <c r="E85" i="11"/>
  <c r="E96" i="11"/>
  <c r="E123" i="11"/>
  <c r="E135" i="11"/>
  <c r="E112" i="11"/>
  <c r="N18" i="3137"/>
  <c r="E72" i="11"/>
  <c r="E82" i="11"/>
  <c r="E93" i="11"/>
  <c r="E108" i="11"/>
  <c r="E124" i="11"/>
  <c r="N19" i="3137"/>
  <c r="E30" i="11"/>
  <c r="E61" i="11"/>
  <c r="N20" i="3137"/>
  <c r="E27" i="11"/>
  <c r="E126" i="11"/>
  <c r="N21" i="3137"/>
  <c r="E18" i="11"/>
  <c r="E62" i="11"/>
  <c r="N22" i="3137"/>
  <c r="E5" i="11"/>
  <c r="E53" i="11"/>
  <c r="N23" i="3137"/>
  <c r="E55" i="11"/>
  <c r="E98" i="11"/>
  <c r="N24" i="3137"/>
  <c r="E22" i="11"/>
  <c r="E51" i="11"/>
  <c r="E75" i="11"/>
  <c r="E106" i="11"/>
  <c r="E122" i="11"/>
  <c r="N25" i="3137"/>
  <c r="E91" i="11"/>
  <c r="E125" i="11"/>
  <c r="E145" i="11"/>
  <c r="N26" i="3137"/>
  <c r="E113" i="11"/>
  <c r="E165" i="11"/>
  <c r="N27" i="3137"/>
  <c r="E65" i="11"/>
  <c r="N28" i="3137"/>
  <c r="E17" i="11"/>
  <c r="E49" i="11"/>
  <c r="E59" i="11"/>
  <c r="E114" i="11"/>
  <c r="N29" i="3137"/>
  <c r="D6" i="3137"/>
  <c r="D30" i="3137"/>
  <c r="E6" i="3137"/>
  <c r="E30" i="3137"/>
  <c r="F6" i="3137"/>
  <c r="F30" i="3137"/>
  <c r="G6" i="3137"/>
  <c r="G30" i="3137"/>
  <c r="H6" i="3137"/>
  <c r="H30" i="3137"/>
  <c r="I6" i="3137"/>
  <c r="I30" i="3137"/>
  <c r="J6" i="3137"/>
  <c r="J30" i="3137"/>
  <c r="M7" i="3137"/>
  <c r="M8" i="3137"/>
  <c r="M9" i="3137"/>
  <c r="M10" i="3137"/>
  <c r="M11" i="3137"/>
  <c r="M12" i="3137"/>
  <c r="M13" i="3137"/>
  <c r="M14" i="3137"/>
  <c r="M15" i="3137"/>
  <c r="M16" i="3137"/>
  <c r="M17" i="3137"/>
  <c r="M18" i="3137"/>
  <c r="M19" i="3137"/>
  <c r="M20" i="3137"/>
  <c r="M21" i="3137"/>
  <c r="M22" i="3137"/>
  <c r="M23" i="3137"/>
  <c r="M24" i="3137"/>
  <c r="M25" i="3137"/>
  <c r="M26" i="3137"/>
  <c r="M27" i="3137"/>
  <c r="M28" i="3137"/>
  <c r="M29" i="3137"/>
  <c r="K6" i="3137"/>
  <c r="M2" i="3137"/>
  <c r="B2" i="3137"/>
  <c r="D6" i="3136"/>
  <c r="E6" i="3136"/>
  <c r="F6" i="3136"/>
  <c r="G6" i="3136"/>
  <c r="H6" i="3136"/>
  <c r="I6" i="3136"/>
  <c r="D5" i="3136"/>
  <c r="E5" i="3136"/>
  <c r="F5" i="3136"/>
  <c r="G5" i="3136"/>
  <c r="H5" i="3136"/>
  <c r="I2" i="3136"/>
  <c r="B2" i="3136"/>
  <c r="D6" i="3135"/>
  <c r="E6" i="3135"/>
  <c r="F6" i="3135"/>
  <c r="G6" i="3135"/>
  <c r="H6" i="3135"/>
  <c r="I6" i="3135"/>
  <c r="D5" i="3135"/>
  <c r="E5" i="3135"/>
  <c r="F5" i="3135"/>
  <c r="G5" i="3135"/>
  <c r="H5" i="3135"/>
  <c r="I2" i="3135"/>
  <c r="B2" i="3135"/>
  <c r="D6" i="3134"/>
  <c r="E6" i="3134"/>
  <c r="F6" i="3134"/>
  <c r="D5" i="3134"/>
  <c r="E5" i="3134"/>
  <c r="F2" i="3134"/>
  <c r="B2" i="3134"/>
  <c r="D6" i="3133"/>
  <c r="E6" i="3133"/>
  <c r="F6" i="3133"/>
  <c r="G6" i="3133"/>
  <c r="H6" i="3133"/>
  <c r="I6" i="3133"/>
  <c r="D5" i="3133"/>
  <c r="E5" i="3133"/>
  <c r="F5" i="3133"/>
  <c r="G5" i="3133"/>
  <c r="H5" i="3133"/>
  <c r="I2" i="3133"/>
  <c r="B2" i="3133"/>
  <c r="D6" i="3132"/>
  <c r="E6" i="3132"/>
  <c r="D5" i="3132"/>
  <c r="E2" i="3132"/>
  <c r="B2" i="3132"/>
  <c r="D6" i="3131"/>
  <c r="E6" i="3131"/>
  <c r="F6" i="3131"/>
  <c r="G6" i="3131"/>
  <c r="H6" i="3131"/>
  <c r="I6" i="3131"/>
  <c r="J6" i="3131"/>
  <c r="K6" i="3131"/>
  <c r="L6" i="3131"/>
  <c r="M6" i="3131"/>
  <c r="N6" i="3131"/>
  <c r="D5" i="3131"/>
  <c r="E5" i="3131"/>
  <c r="F5" i="3131"/>
  <c r="G5" i="3131"/>
  <c r="H5" i="3131"/>
  <c r="I5" i="3131"/>
  <c r="J5" i="3131"/>
  <c r="K5" i="3131"/>
  <c r="L5" i="3131"/>
  <c r="M5" i="3131"/>
  <c r="N2" i="3131"/>
  <c r="B2" i="3131"/>
  <c r="D6" i="3130"/>
  <c r="E6" i="3130"/>
  <c r="F6" i="3130"/>
  <c r="G6" i="3130"/>
  <c r="H6" i="3130"/>
  <c r="I6" i="3130"/>
  <c r="J6" i="3130"/>
  <c r="D5" i="3130"/>
  <c r="E5" i="3130"/>
  <c r="F5" i="3130"/>
  <c r="G5" i="3130"/>
  <c r="H5" i="3130"/>
  <c r="I5" i="3130"/>
  <c r="J2" i="3130"/>
  <c r="B2" i="3130"/>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37" a="1"/>
  <c r="M30" i="31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<sst xmlns="http://schemas.openxmlformats.org/spreadsheetml/2006/main" count="795" uniqueCount="137">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</sst>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8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bottom/>
      <diagonal/>
    </border>
    <border>
      <left style="medium">
        <color indexed="8"/>
      </left>
      <right style="medium">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85">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3" borderId="62" xfId="0" applyFont="1" applyFill="1" applyBorder="1" applyAlignment="1" applyProtection="1">
      <alignment horizontal="center" vertical="center"/>
      <protection locked="0"/>
    </xf>
    <xf numFmtId="0" fontId="4" fillId="13" borderId="63" xfId="0" applyFont="1" applyFill="1" applyBorder="1" applyAlignment="1" applyProtection="1">
      <alignment horizontal="center" vertical="center"/>
      <protection locked="0"/>
    </xf>
    <xf numFmtId="0" fontId="4" fillId="13" borderId="66" xfId="0" applyFont="1" applyFill="1" applyBorder="1" applyAlignment="1" applyProtection="1">
      <alignment horizontal="center" vertical="center"/>
      <protection locked="0"/>
    </xf>
    <xf numFmtId="0" fontId="4" fillId="15" borderId="66" xfId="0" applyFont="1" applyFill="1" applyBorder="1" applyAlignment="1" applyProtection="1">
      <alignment horizontal="center" vertical="center"/>
      <protection locked="0"/>
    </xf>
    <xf numFmtId="0" fontId="4" fillId="16" borderId="66" xfId="0" applyFont="1" applyFill="1" applyBorder="1" applyAlignment="1" applyProtection="1">
      <alignment horizontal="center" vertical="center"/>
      <protection locked="0"/>
    </xf>
    <xf numFmtId="0" fontId="4" fillId="13" borderId="75" xfId="0" applyFont="1" applyFill="1" applyBorder="1" applyAlignment="1" applyProtection="1">
      <alignment horizontal="center" vertical="center"/>
      <protection locked="0"/>
    </xf>
    <xf numFmtId="0" fontId="4" fillId="13" borderId="69" xfId="0" applyFont="1" applyFill="1" applyBorder="1" applyAlignment="1" applyProtection="1">
      <alignment horizontal="center" vertical="center"/>
      <protection locked="0"/>
    </xf>
    <xf numFmtId="0" fontId="4" fillId="16" borderId="69"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2" fillId="13" borderId="73" xfId="0" applyFont="1" applyFill="1" applyBorder="1" applyAlignment="1" applyProtection="1">
      <alignment horizontal="center" vertical="center"/>
      <protection locked="0"/>
    </xf>
    <xf numFmtId="0" fontId="2" fillId="13" borderId="74" xfId="0" applyFont="1" applyFill="1" applyBorder="1" applyAlignment="1" applyProtection="1">
      <alignment horizontal="center" vertical="center"/>
      <protection locked="0"/>
    </xf>
    <xf numFmtId="0" fontId="2" fillId="13" borderId="78" xfId="0" applyFont="1" applyFill="1" applyBorder="1" applyAlignment="1" applyProtection="1">
      <alignment horizontal="center" vertical="center"/>
      <protection locked="0"/>
    </xf>
    <xf numFmtId="0" fontId="2" fillId="13" borderId="79" xfId="0" applyFont="1" applyFill="1" applyBorder="1" applyAlignment="1" applyProtection="1">
      <alignment horizontal="center" vertical="center"/>
      <protection locked="0"/>
    </xf>
    <xf numFmtId="0" fontId="2" fillId="13" borderId="82" xfId="0" applyFont="1" applyFill="1" applyBorder="1" applyAlignment="1" applyProtection="1">
      <alignment horizontal="center" vertical="center"/>
      <protection locked="0"/>
    </xf>
    <xf numFmtId="0" fontId="2" fillId="13" borderId="83"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9" fontId="0" fillId="12" borderId="37" xfId="0" applyNumberFormat="1" applyFill="1" applyBorder="1" applyAlignment="1">
      <alignment horizontal="center" vertical="center"/>
    </xf>
    <xf numFmtId="9" fontId="0" fillId="12" borderId="60" xfId="0" applyNumberFormat="1" applyFill="1" applyBorder="1" applyAlignment="1">
      <alignment horizontal="center" vertical="center"/>
    </xf>
    <xf numFmtId="9" fontId="0" fillId="12" borderId="85" xfId="0" applyNumberFormat="1" applyFill="1" applyBorder="1" applyAlignment="1">
      <alignment horizontal="center" vertical="center"/>
    </xf>
    <xf numFmtId="0" fontId="0" fillId="12" borderId="38" xfId="0" applyFill="1" applyBorder="1"/>
    <xf numFmtId="0" fontId="0" fillId="12" borderId="41" xfId="0" applyFill="1" applyBorder="1"/>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41" xfId="0" applyFill="1" applyBorder="1" applyAlignment="1">
      <alignment horizontal="center" vertic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12" borderId="81" xfId="0" applyFill="1" applyBorder="1"/>
    <xf numFmtId="0" fontId="0" fillId="12" borderId="82" xfId="0" applyFill="1" applyBorder="1"/>
    <xf numFmtId="0" fontId="0" fillId="12" borderId="71" xfId="0" applyFill="1" applyBorder="1" applyAlignment="1">
      <alignment horizontal="center" vertical="center"/>
    </xf>
    <xf numFmtId="0" fontId="0" fillId="14" borderId="77" xfId="0" applyFill="1" applyBorder="1"/>
    <xf numFmtId="0" fontId="0" fillId="14" borderId="78" xfId="0" applyFill="1" applyBorder="1"/>
    <xf numFmtId="0" fontId="0" fillId="12" borderId="72" xfId="0" applyFill="1" applyBorder="1"/>
    <xf numFmtId="0" fontId="0" fillId="12" borderId="73" xfId="0" applyFill="1" applyBorder="1"/>
    <xf numFmtId="0" fontId="0" fillId="12" borderId="84" xfId="0" applyFill="1" applyBorder="1" applyAlignment="1">
      <alignment horizontal="center" vertical="center"/>
    </xf>
    <xf numFmtId="0" fontId="0" fillId="14" borderId="80" xfId="0" applyFill="1" applyBorder="1" applyAlignment="1">
      <alignment horizontal="center" vertical="center"/>
    </xf>
    <xf numFmtId="0" fontId="4" fillId="15" borderId="75" xfId="0" applyFont="1" applyFill="1" applyBorder="1" applyAlignment="1" applyProtection="1">
      <alignment horizontal="center" vertical="center"/>
      <protection locked="0"/>
    </xf>
    <xf numFmtId="0" fontId="4" fillId="15" borderId="69" xfId="0" applyFont="1" applyFill="1" applyBorder="1" applyAlignment="1" applyProtection="1">
      <alignment horizontal="center" vertical="center"/>
      <protection locked="0"/>
    </xf>
    <xf numFmtId="0" fontId="4" fillId="15" borderId="76" xfId="0" applyFont="1" applyFill="1" applyBorder="1" applyAlignment="1" applyProtection="1">
      <alignment horizontal="center" vertical="center"/>
      <protection locked="0"/>
    </xf>
    <xf numFmtId="0" fontId="4" fillId="16" borderId="76" xfId="0" applyFont="1" applyFill="1" applyBorder="1" applyAlignment="1" applyProtection="1">
      <alignment horizontal="center" vertical="center"/>
      <protection locked="0"/>
    </xf>
    <xf numFmtId="0" fontId="4" fillId="16" borderId="75" xfId="0" applyFont="1" applyFill="1" applyBorder="1" applyAlignment="1" applyProtection="1">
      <alignment horizontal="center" vertical="center"/>
      <protection locked="0"/>
    </xf>
    <xf numFmtId="0" fontId="2" fillId="12" borderId="73" xfId="0" applyFont="1" applyFill="1" applyBorder="1" applyAlignment="1">
      <alignment horizontal="center" vertical="center"/>
    </xf>
    <xf numFmtId="0" fontId="2" fillId="12" borderId="74" xfId="0" applyFont="1" applyFill="1" applyBorder="1" applyAlignment="1">
      <alignment horizontal="center" vertical="center"/>
    </xf>
    <xf numFmtId="0" fontId="2" fillId="14" borderId="78" xfId="0" applyFont="1" applyFill="1" applyBorder="1" applyAlignment="1">
      <alignment horizontal="center" vertical="center"/>
    </xf>
    <xf numFmtId="0" fontId="2" fillId="14" borderId="79" xfId="0" applyFont="1" applyFill="1" applyBorder="1" applyAlignment="1">
      <alignment horizontal="center" vertical="center"/>
    </xf>
    <xf numFmtId="0" fontId="2" fillId="12" borderId="82" xfId="0" applyFont="1" applyFill="1" applyBorder="1" applyAlignment="1">
      <alignment horizontal="center" vertical="center"/>
    </xf>
    <xf numFmtId="0" fontId="2" fillId="12" borderId="83" xfId="0" applyFont="1" applyFill="1" applyBorder="1" applyAlignment="1">
      <alignment horizontal="center" vertical="center"/>
    </xf>
    <xf numFmtId="0" fontId="4" fillId="10" borderId="0" xfId="0" applyFont="1" applyFill="1"/>
    <xf numFmtId="0" fontId="4" fillId="12" borderId="64" xfId="0" applyFont="1" applyFill="1" applyBorder="1" applyAlignment="1">
      <alignment horizontal="center" vertical="center"/>
    </xf>
    <xf numFmtId="0" fontId="4" fillId="12" borderId="67" xfId="0" applyFont="1" applyFill="1" applyBorder="1" applyAlignment="1">
      <alignment horizontal="center" vertical="center"/>
    </xf>
    <xf numFmtId="0" fontId="4" fillId="12" borderId="65" xfId="0" applyFont="1" applyFill="1" applyBorder="1" applyAlignment="1">
      <alignment horizontal="right"/>
    </xf>
    <xf numFmtId="0" fontId="4" fillId="14" borderId="64" xfId="0" applyFont="1" applyFill="1" applyBorder="1" applyAlignment="1">
      <alignment horizontal="center" vertical="center"/>
    </xf>
    <xf numFmtId="0" fontId="4" fillId="14" borderId="70" xfId="0" applyFont="1" applyFill="1" applyBorder="1" applyAlignment="1">
      <alignment horizontal="center" vertical="center"/>
    </xf>
    <xf numFmtId="0" fontId="4" fillId="14" borderId="68" xfId="0" applyFont="1" applyFill="1" applyBorder="1" applyAlignment="1">
      <alignment horizontal="right"/>
    </xf>
    <xf numFmtId="0" fontId="4" fillId="12" borderId="66" xfId="0" applyFont="1" applyFill="1" applyBorder="1" applyAlignment="1">
      <alignment horizontal="right"/>
    </xf>
    <xf numFmtId="0" fontId="4" fillId="14" borderId="69" xfId="0" applyFont="1" applyFill="1" applyBorder="1" applyAlignment="1">
      <alignment horizontal="right"/>
    </xf>
    <xf numFmtId="0" fontId="4" fillId="12" borderId="62" xfId="0" applyFont="1" applyFill="1" applyBorder="1" applyAlignment="1">
      <alignment horizontal="center" vertical="center"/>
    </xf>
    <xf numFmtId="0" fontId="4" fillId="12" borderId="63" xfId="0" applyFont="1" applyFill="1" applyBorder="1" applyAlignment="1">
      <alignment horizontal="center" vertical="center"/>
    </xf>
    <xf numFmtId="0" fontId="4" fillId="14" borderId="62" xfId="0" applyFont="1" applyFill="1" applyBorder="1" applyAlignment="1">
      <alignment horizontal="center" vertical="center"/>
    </xf>
    <xf numFmtId="0" fontId="4" fillId="14" borderId="63" xfId="0" applyFont="1" applyFill="1" applyBorder="1" applyAlignment="1">
      <alignment horizontal="center" vertical="center"/>
    </xf>
    <xf numFmtId="0" fontId="4" fillId="12" borderId="66" xfId="0" applyFont="1" applyFill="1" applyBorder="1" applyAlignment="1">
      <alignment horizontal="center" vertical="center"/>
    </xf>
    <xf numFmtId="0" fontId="4" fillId="14" borderId="69" xfId="0" applyFont="1" applyFill="1" applyBorder="1" applyAlignment="1">
      <alignment horizontal="center" vertical="center"/>
    </xf>
    <xf numFmtId="0" fontId="4" fillId="12" borderId="75" xfId="0" applyFont="1" applyFill="1" applyBorder="1" applyAlignment="1">
      <alignment horizontal="center" vertical="center"/>
    </xf>
    <xf numFmtId="0" fontId="4" fillId="14" borderId="76" xfId="0" applyFont="1" applyFill="1" applyBorder="1" applyAlignment="1">
      <alignment horizontal="center" vertical="center"/>
    </xf>
    <xf numFmtId="0" fontId="4" fillId="12" borderId="61" xfId="0" applyFont="1" applyFill="1" applyBorder="1" applyAlignment="1">
      <alignment horizontal="right"/>
    </xf>
    <xf numFmtId="0" fontId="4" fillId="12" borderId="62" xfId="0" applyFont="1" applyFill="1" applyBorder="1" applyAlignment="1">
      <alignment horizontal="right"/>
    </xf>
    <xf numFmtId="0" fontId="4" fillId="14" borderId="61" xfId="0" applyFont="1" applyFill="1" applyBorder="1" applyAlignment="1">
      <alignment horizontal="right"/>
    </xf>
    <xf numFmtId="0" fontId="4" fillId="14" borderId="62" xfId="0" applyFont="1" applyFill="1" applyBorder="1" applyAlignment="1">
      <alignment horizontal="right"/>
    </xf>
    <xf numFmtId="0" fontId="0" fillId="12" borderId="54" xfId="0" applyFill="1" applyBorder="1" applyAlignment="1">
      <alignment horizontal="center" vertical="center"/>
    </xf>
    <xf numFmtId="0" fontId="0" fillId="12" borderId="53" xfId="0"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2237" name="Cross_D13">
          <a:extLst>
            <a:ext uri="{FF2B5EF4-FFF2-40B4-BE49-F238E27FC236}">
              <a16:creationId xmlns:a16="http://schemas.microsoft.com/office/drawing/2014/main" id="{8B1665EF-8D71-96AD-94D6-2B6455924314}"/>
            </a:ext>
          </a:extLst>
        </xdr:cNvPr>
        <xdr:cNvGrpSpPr/>
      </xdr:nvGrpSpPr>
      <xdr:grpSpPr>
        <a:xfrm>
          <a:off x="2240280" y="2499360"/>
          <a:ext cx="601980" cy="228600"/>
          <a:chOff x="2240280" y="2499360"/>
          <a:chExt cx="601980" cy="228600"/>
        </a:xfrm>
      </xdr:grpSpPr>
      <xdr:cxnSp macro="">
        <xdr:nvCxnSpPr>
          <xdr:cNvPr id="2235" name="Gerader Verbinder 2234">
            <a:extLst>
              <a:ext uri="{FF2B5EF4-FFF2-40B4-BE49-F238E27FC236}">
                <a16:creationId xmlns:a16="http://schemas.microsoft.com/office/drawing/2014/main" id="{C09323E3-B7D3-17B0-FA54-B47FCA90ADCD}"/>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36" name="Gerader Verbinder 2235">
            <a:extLst>
              <a:ext uri="{FF2B5EF4-FFF2-40B4-BE49-F238E27FC236}">
                <a16:creationId xmlns:a16="http://schemas.microsoft.com/office/drawing/2014/main" id="{83F7FBFB-E7C0-7301-81AA-DECE143949C7}"/>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2240" name="Cross_D14">
          <a:extLst>
            <a:ext uri="{FF2B5EF4-FFF2-40B4-BE49-F238E27FC236}">
              <a16:creationId xmlns:a16="http://schemas.microsoft.com/office/drawing/2014/main" id="{BEC1DEA2-5CDE-E84F-B1CD-3995D979BDA8}"/>
            </a:ext>
          </a:extLst>
        </xdr:cNvPr>
        <xdr:cNvGrpSpPr/>
      </xdr:nvGrpSpPr>
      <xdr:grpSpPr>
        <a:xfrm>
          <a:off x="2240280" y="2727960"/>
          <a:ext cx="601980" cy="167640"/>
          <a:chOff x="2240280" y="2727960"/>
          <a:chExt cx="601980" cy="167640"/>
        </a:xfrm>
      </xdr:grpSpPr>
      <xdr:cxnSp macro="">
        <xdr:nvCxnSpPr>
          <xdr:cNvPr id="2238" name="Gerader Verbinder 2237">
            <a:extLst>
              <a:ext uri="{FF2B5EF4-FFF2-40B4-BE49-F238E27FC236}">
                <a16:creationId xmlns:a16="http://schemas.microsoft.com/office/drawing/2014/main" id="{FD414CDE-F496-2E83-1522-9507C2C07E43}"/>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39" name="Gerader Verbinder 2238">
            <a:extLst>
              <a:ext uri="{FF2B5EF4-FFF2-40B4-BE49-F238E27FC236}">
                <a16:creationId xmlns:a16="http://schemas.microsoft.com/office/drawing/2014/main" id="{65D8E094-2FF3-3A78-8550-5C4B6A327F2E}"/>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2243" name="Cross_D15">
          <a:extLst>
            <a:ext uri="{FF2B5EF4-FFF2-40B4-BE49-F238E27FC236}">
              <a16:creationId xmlns:a16="http://schemas.microsoft.com/office/drawing/2014/main" id="{8BE645FF-40E3-19C0-A8BD-FC83828A8BB9}"/>
            </a:ext>
          </a:extLst>
        </xdr:cNvPr>
        <xdr:cNvGrpSpPr/>
      </xdr:nvGrpSpPr>
      <xdr:grpSpPr>
        <a:xfrm>
          <a:off x="2240280" y="2895600"/>
          <a:ext cx="601980" cy="167640"/>
          <a:chOff x="2240280" y="2895600"/>
          <a:chExt cx="601980" cy="167640"/>
        </a:xfrm>
      </xdr:grpSpPr>
      <xdr:cxnSp macro="">
        <xdr:nvCxnSpPr>
          <xdr:cNvPr id="2241" name="Gerader Verbinder 2240">
            <a:extLst>
              <a:ext uri="{FF2B5EF4-FFF2-40B4-BE49-F238E27FC236}">
                <a16:creationId xmlns:a16="http://schemas.microsoft.com/office/drawing/2014/main" id="{D8CB3BF2-6FF9-B24A-C6B5-E46B9EEA5952}"/>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42" name="Gerader Verbinder 2241">
            <a:extLst>
              <a:ext uri="{FF2B5EF4-FFF2-40B4-BE49-F238E27FC236}">
                <a16:creationId xmlns:a16="http://schemas.microsoft.com/office/drawing/2014/main" id="{248050B5-282C-8838-6253-6DF89E31CBD4}"/>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246" name="Cross_D22">
          <a:extLst>
            <a:ext uri="{FF2B5EF4-FFF2-40B4-BE49-F238E27FC236}">
              <a16:creationId xmlns:a16="http://schemas.microsoft.com/office/drawing/2014/main" id="{91C51F7D-DCDB-9B80-D1B9-7C482DE988AD}"/>
            </a:ext>
          </a:extLst>
        </xdr:cNvPr>
        <xdr:cNvGrpSpPr/>
      </xdr:nvGrpSpPr>
      <xdr:grpSpPr>
        <a:xfrm>
          <a:off x="2240280" y="4191000"/>
          <a:ext cx="601980" cy="228600"/>
          <a:chOff x="2240280" y="4191000"/>
          <a:chExt cx="601980" cy="228600"/>
        </a:xfrm>
      </xdr:grpSpPr>
      <xdr:cxnSp macro="">
        <xdr:nvCxnSpPr>
          <xdr:cNvPr id="2244" name="Gerader Verbinder 2243">
            <a:extLst>
              <a:ext uri="{FF2B5EF4-FFF2-40B4-BE49-F238E27FC236}">
                <a16:creationId xmlns:a16="http://schemas.microsoft.com/office/drawing/2014/main" id="{7A522BA7-1019-5166-E114-87A76AB1D27E}"/>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45" name="Gerader Verbinder 2244">
            <a:extLst>
              <a:ext uri="{FF2B5EF4-FFF2-40B4-BE49-F238E27FC236}">
                <a16:creationId xmlns:a16="http://schemas.microsoft.com/office/drawing/2014/main" id="{C9152EE0-4656-93D6-4D52-1DF37317668A}"/>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2249" name="Cross_D23">
          <a:extLst>
            <a:ext uri="{FF2B5EF4-FFF2-40B4-BE49-F238E27FC236}">
              <a16:creationId xmlns:a16="http://schemas.microsoft.com/office/drawing/2014/main" id="{06C8B466-F80E-21F6-128F-70F54E144ED1}"/>
            </a:ext>
          </a:extLst>
        </xdr:cNvPr>
        <xdr:cNvGrpSpPr/>
      </xdr:nvGrpSpPr>
      <xdr:grpSpPr>
        <a:xfrm>
          <a:off x="2240280" y="4419600"/>
          <a:ext cx="601980" cy="167640"/>
          <a:chOff x="2240280" y="4419600"/>
          <a:chExt cx="601980" cy="167640"/>
        </a:xfrm>
      </xdr:grpSpPr>
      <xdr:cxnSp macro="">
        <xdr:nvCxnSpPr>
          <xdr:cNvPr id="2247" name="Gerader Verbinder 2246">
            <a:extLst>
              <a:ext uri="{FF2B5EF4-FFF2-40B4-BE49-F238E27FC236}">
                <a16:creationId xmlns:a16="http://schemas.microsoft.com/office/drawing/2014/main" id="{ECEB6FFA-A2AD-A738-4D5C-BD7E81CCC115}"/>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48" name="Gerader Verbinder 2247">
            <a:extLst>
              <a:ext uri="{FF2B5EF4-FFF2-40B4-BE49-F238E27FC236}">
                <a16:creationId xmlns:a16="http://schemas.microsoft.com/office/drawing/2014/main" id="{72FC9C8F-4433-F9ED-642E-790281066F12}"/>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252" name="Cross_D24">
          <a:extLst>
            <a:ext uri="{FF2B5EF4-FFF2-40B4-BE49-F238E27FC236}">
              <a16:creationId xmlns:a16="http://schemas.microsoft.com/office/drawing/2014/main" id="{17E74A7F-44BA-4D99-1B36-006F12F3A2F3}"/>
            </a:ext>
          </a:extLst>
        </xdr:cNvPr>
        <xdr:cNvGrpSpPr/>
      </xdr:nvGrpSpPr>
      <xdr:grpSpPr>
        <a:xfrm>
          <a:off x="2240280" y="4587240"/>
          <a:ext cx="601980" cy="167640"/>
          <a:chOff x="2240280" y="4587240"/>
          <a:chExt cx="601980" cy="167640"/>
        </a:xfrm>
      </xdr:grpSpPr>
      <xdr:cxnSp macro="">
        <xdr:nvCxnSpPr>
          <xdr:cNvPr id="2250" name="Gerader Verbinder 2249">
            <a:extLst>
              <a:ext uri="{FF2B5EF4-FFF2-40B4-BE49-F238E27FC236}">
                <a16:creationId xmlns:a16="http://schemas.microsoft.com/office/drawing/2014/main" id="{F673C26C-7013-F12D-2F6A-BAECEB0C96CB}"/>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1" name="Gerader Verbinder 2250">
            <a:extLst>
              <a:ext uri="{FF2B5EF4-FFF2-40B4-BE49-F238E27FC236}">
                <a16:creationId xmlns:a16="http://schemas.microsoft.com/office/drawing/2014/main" id="{C8087A78-5619-6550-1C75-22E56034132B}"/>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2255" name="Cross_D25">
          <a:extLst>
            <a:ext uri="{FF2B5EF4-FFF2-40B4-BE49-F238E27FC236}">
              <a16:creationId xmlns:a16="http://schemas.microsoft.com/office/drawing/2014/main" id="{34BA8E5C-B719-862B-B9D6-14315D03F0B1}"/>
            </a:ext>
          </a:extLst>
        </xdr:cNvPr>
        <xdr:cNvGrpSpPr/>
      </xdr:nvGrpSpPr>
      <xdr:grpSpPr>
        <a:xfrm>
          <a:off x="2240280" y="4754880"/>
          <a:ext cx="601980" cy="228600"/>
          <a:chOff x="2240280" y="4754880"/>
          <a:chExt cx="601980" cy="228600"/>
        </a:xfrm>
      </xdr:grpSpPr>
      <xdr:cxnSp macro="">
        <xdr:nvCxnSpPr>
          <xdr:cNvPr id="2253" name="Gerader Verbinder 2252">
            <a:extLst>
              <a:ext uri="{FF2B5EF4-FFF2-40B4-BE49-F238E27FC236}">
                <a16:creationId xmlns:a16="http://schemas.microsoft.com/office/drawing/2014/main" id="{9A2DEE49-1E4E-6E9B-1DAB-06550A4976B2}"/>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4" name="Gerader Verbinder 2253">
            <a:extLst>
              <a:ext uri="{FF2B5EF4-FFF2-40B4-BE49-F238E27FC236}">
                <a16:creationId xmlns:a16="http://schemas.microsoft.com/office/drawing/2014/main" id="{308BBE45-461D-3A35-79F9-57C2C82D0F58}"/>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258" name="Cross_D26">
          <a:extLst>
            <a:ext uri="{FF2B5EF4-FFF2-40B4-BE49-F238E27FC236}">
              <a16:creationId xmlns:a16="http://schemas.microsoft.com/office/drawing/2014/main" id="{2A784ED1-A4F9-7DEF-12AE-EE21FDF9694D}"/>
            </a:ext>
          </a:extLst>
        </xdr:cNvPr>
        <xdr:cNvGrpSpPr/>
      </xdr:nvGrpSpPr>
      <xdr:grpSpPr>
        <a:xfrm>
          <a:off x="2240280" y="4983480"/>
          <a:ext cx="601980" cy="167640"/>
          <a:chOff x="2240280" y="4983480"/>
          <a:chExt cx="601980" cy="167640"/>
        </a:xfrm>
      </xdr:grpSpPr>
      <xdr:cxnSp macro="">
        <xdr:nvCxnSpPr>
          <xdr:cNvPr id="2256" name="Gerader Verbinder 2255">
            <a:extLst>
              <a:ext uri="{FF2B5EF4-FFF2-40B4-BE49-F238E27FC236}">
                <a16:creationId xmlns:a16="http://schemas.microsoft.com/office/drawing/2014/main" id="{A0382961-32F9-7A50-37F3-4EE88A7CB915}"/>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7" name="Gerader Verbinder 2256">
            <a:extLst>
              <a:ext uri="{FF2B5EF4-FFF2-40B4-BE49-F238E27FC236}">
                <a16:creationId xmlns:a16="http://schemas.microsoft.com/office/drawing/2014/main" id="{E3E9B52F-42C3-173C-5A32-AE684D273263}"/>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261" name="Cross_D27">
          <a:extLst>
            <a:ext uri="{FF2B5EF4-FFF2-40B4-BE49-F238E27FC236}">
              <a16:creationId xmlns:a16="http://schemas.microsoft.com/office/drawing/2014/main" id="{277B782E-EBA1-87BA-D7EA-09C9D32A1B7A}"/>
            </a:ext>
          </a:extLst>
        </xdr:cNvPr>
        <xdr:cNvGrpSpPr/>
      </xdr:nvGrpSpPr>
      <xdr:grpSpPr>
        <a:xfrm>
          <a:off x="2240280" y="5151120"/>
          <a:ext cx="601980" cy="167640"/>
          <a:chOff x="2240280" y="5151120"/>
          <a:chExt cx="601980" cy="167640"/>
        </a:xfrm>
      </xdr:grpSpPr>
      <xdr:cxnSp macro="">
        <xdr:nvCxnSpPr>
          <xdr:cNvPr id="2259" name="Gerader Verbinder 2258">
            <a:extLst>
              <a:ext uri="{FF2B5EF4-FFF2-40B4-BE49-F238E27FC236}">
                <a16:creationId xmlns:a16="http://schemas.microsoft.com/office/drawing/2014/main" id="{D4D8DAEC-97CA-FEFB-83E7-44534B572529}"/>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60" name="Gerader Verbinder 2259">
            <a:extLst>
              <a:ext uri="{FF2B5EF4-FFF2-40B4-BE49-F238E27FC236}">
                <a16:creationId xmlns:a16="http://schemas.microsoft.com/office/drawing/2014/main" id="{B9A03519-3A80-05C1-B4DB-507A1732F875}"/>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264" name="Cross_D28">
          <a:extLst>
            <a:ext uri="{FF2B5EF4-FFF2-40B4-BE49-F238E27FC236}">
              <a16:creationId xmlns:a16="http://schemas.microsoft.com/office/drawing/2014/main" id="{B6F498C5-47A3-5E95-2E1B-095FF9014554}"/>
            </a:ext>
          </a:extLst>
        </xdr:cNvPr>
        <xdr:cNvGrpSpPr/>
      </xdr:nvGrpSpPr>
      <xdr:grpSpPr>
        <a:xfrm>
          <a:off x="2240280" y="5318760"/>
          <a:ext cx="601980" cy="228600"/>
          <a:chOff x="2240280" y="5318760"/>
          <a:chExt cx="601980" cy="228600"/>
        </a:xfrm>
      </xdr:grpSpPr>
      <xdr:cxnSp macro="">
        <xdr:nvCxnSpPr>
          <xdr:cNvPr id="2262" name="Gerader Verbinder 2261">
            <a:extLst>
              <a:ext uri="{FF2B5EF4-FFF2-40B4-BE49-F238E27FC236}">
                <a16:creationId xmlns:a16="http://schemas.microsoft.com/office/drawing/2014/main" id="{3E38041A-85BF-CA0F-5C8A-76100B5F003C}"/>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63" name="Gerader Verbinder 2262">
            <a:extLst>
              <a:ext uri="{FF2B5EF4-FFF2-40B4-BE49-F238E27FC236}">
                <a16:creationId xmlns:a16="http://schemas.microsoft.com/office/drawing/2014/main" id="{5BE4DB10-0739-77D9-AD5D-88AD48A4CF4D}"/>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267" name="Cross_D29">
          <a:extLst>
            <a:ext uri="{FF2B5EF4-FFF2-40B4-BE49-F238E27FC236}">
              <a16:creationId xmlns:a16="http://schemas.microsoft.com/office/drawing/2014/main" id="{8B801AF1-7444-427E-B68C-A6773DD148A7}"/>
            </a:ext>
          </a:extLst>
        </xdr:cNvPr>
        <xdr:cNvGrpSpPr/>
      </xdr:nvGrpSpPr>
      <xdr:grpSpPr>
        <a:xfrm>
          <a:off x="2240280" y="5547360"/>
          <a:ext cx="601980" cy="167640"/>
          <a:chOff x="2240280" y="5547360"/>
          <a:chExt cx="601980" cy="167640"/>
        </a:xfrm>
      </xdr:grpSpPr>
      <xdr:cxnSp macro="">
        <xdr:nvCxnSpPr>
          <xdr:cNvPr id="2265" name="Gerader Verbinder 2264">
            <a:extLst>
              <a:ext uri="{FF2B5EF4-FFF2-40B4-BE49-F238E27FC236}">
                <a16:creationId xmlns:a16="http://schemas.microsoft.com/office/drawing/2014/main" id="{4BDCBEEA-0F00-389F-B120-DA437E8D50B0}"/>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66" name="Gerader Verbinder 2265">
            <a:extLst>
              <a:ext uri="{FF2B5EF4-FFF2-40B4-BE49-F238E27FC236}">
                <a16:creationId xmlns:a16="http://schemas.microsoft.com/office/drawing/2014/main" id="{95E47C06-ADE5-4EE9-9E7F-D90AD32CF7C1}"/>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2270" name="Cross_D30">
          <a:extLst>
            <a:ext uri="{FF2B5EF4-FFF2-40B4-BE49-F238E27FC236}">
              <a16:creationId xmlns:a16="http://schemas.microsoft.com/office/drawing/2014/main" id="{2F04B807-DB05-0A8E-E323-928EACD33936}"/>
            </a:ext>
          </a:extLst>
        </xdr:cNvPr>
        <xdr:cNvGrpSpPr/>
      </xdr:nvGrpSpPr>
      <xdr:grpSpPr>
        <a:xfrm>
          <a:off x="2240280" y="5715000"/>
          <a:ext cx="601980" cy="167640"/>
          <a:chOff x="2240280" y="5715000"/>
          <a:chExt cx="601980" cy="167640"/>
        </a:xfrm>
      </xdr:grpSpPr>
      <xdr:cxnSp macro="">
        <xdr:nvCxnSpPr>
          <xdr:cNvPr id="2268" name="Gerader Verbinder 2267">
            <a:extLst>
              <a:ext uri="{FF2B5EF4-FFF2-40B4-BE49-F238E27FC236}">
                <a16:creationId xmlns:a16="http://schemas.microsoft.com/office/drawing/2014/main" id="{FDC04620-DE1A-2DE9-41EF-A509E87C874E}"/>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69" name="Gerader Verbinder 2268">
            <a:extLst>
              <a:ext uri="{FF2B5EF4-FFF2-40B4-BE49-F238E27FC236}">
                <a16:creationId xmlns:a16="http://schemas.microsoft.com/office/drawing/2014/main" id="{AEF03C89-977C-81B8-2423-3BB6D71F9ADE}"/>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2273" name="Cross_D34">
          <a:extLst>
            <a:ext uri="{FF2B5EF4-FFF2-40B4-BE49-F238E27FC236}">
              <a16:creationId xmlns:a16="http://schemas.microsoft.com/office/drawing/2014/main" id="{458AAC8A-33AA-6B7F-73F7-BBB6F8BF4122}"/>
            </a:ext>
          </a:extLst>
        </xdr:cNvPr>
        <xdr:cNvGrpSpPr/>
      </xdr:nvGrpSpPr>
      <xdr:grpSpPr>
        <a:xfrm>
          <a:off x="2240280" y="6446520"/>
          <a:ext cx="601980" cy="228600"/>
          <a:chOff x="2240280" y="6446520"/>
          <a:chExt cx="601980" cy="228600"/>
        </a:xfrm>
      </xdr:grpSpPr>
      <xdr:cxnSp macro="">
        <xdr:nvCxnSpPr>
          <xdr:cNvPr id="2271" name="Gerader Verbinder 2270">
            <a:extLst>
              <a:ext uri="{FF2B5EF4-FFF2-40B4-BE49-F238E27FC236}">
                <a16:creationId xmlns:a16="http://schemas.microsoft.com/office/drawing/2014/main" id="{EE5CE41F-D6B4-E001-33C5-34F826475685}"/>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72" name="Gerader Verbinder 2271">
            <a:extLst>
              <a:ext uri="{FF2B5EF4-FFF2-40B4-BE49-F238E27FC236}">
                <a16:creationId xmlns:a16="http://schemas.microsoft.com/office/drawing/2014/main" id="{EC3C2C2F-89BB-0A5D-E307-95487A9858F7}"/>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2276" name="Cross_D35">
          <a:extLst>
            <a:ext uri="{FF2B5EF4-FFF2-40B4-BE49-F238E27FC236}">
              <a16:creationId xmlns:a16="http://schemas.microsoft.com/office/drawing/2014/main" id="{9CA4CB57-DE12-6876-7CD9-470807153F6B}"/>
            </a:ext>
          </a:extLst>
        </xdr:cNvPr>
        <xdr:cNvGrpSpPr/>
      </xdr:nvGrpSpPr>
      <xdr:grpSpPr>
        <a:xfrm>
          <a:off x="2240280" y="6675120"/>
          <a:ext cx="601980" cy="167640"/>
          <a:chOff x="2240280" y="6675120"/>
          <a:chExt cx="601980" cy="167640"/>
        </a:xfrm>
      </xdr:grpSpPr>
      <xdr:cxnSp macro="">
        <xdr:nvCxnSpPr>
          <xdr:cNvPr id="2274" name="Gerader Verbinder 2273">
            <a:extLst>
              <a:ext uri="{FF2B5EF4-FFF2-40B4-BE49-F238E27FC236}">
                <a16:creationId xmlns:a16="http://schemas.microsoft.com/office/drawing/2014/main" id="{A23BC421-C2AE-ECBA-959D-86A41E9479C2}"/>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75" name="Gerader Verbinder 2274">
            <a:extLst>
              <a:ext uri="{FF2B5EF4-FFF2-40B4-BE49-F238E27FC236}">
                <a16:creationId xmlns:a16="http://schemas.microsoft.com/office/drawing/2014/main" id="{EBCF8356-1B28-3278-80A7-96774DDD3B77}"/>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2279" name="Cross_D36">
          <a:extLst>
            <a:ext uri="{FF2B5EF4-FFF2-40B4-BE49-F238E27FC236}">
              <a16:creationId xmlns:a16="http://schemas.microsoft.com/office/drawing/2014/main" id="{F43566C7-0AEE-662C-15C1-4ADA165B91A4}"/>
            </a:ext>
          </a:extLst>
        </xdr:cNvPr>
        <xdr:cNvGrpSpPr/>
      </xdr:nvGrpSpPr>
      <xdr:grpSpPr>
        <a:xfrm>
          <a:off x="2240280" y="6842760"/>
          <a:ext cx="601980" cy="167640"/>
          <a:chOff x="2240280" y="6842760"/>
          <a:chExt cx="601980" cy="167640"/>
        </a:xfrm>
      </xdr:grpSpPr>
      <xdr:cxnSp macro="">
        <xdr:nvCxnSpPr>
          <xdr:cNvPr id="2277" name="Gerader Verbinder 2276">
            <a:extLst>
              <a:ext uri="{FF2B5EF4-FFF2-40B4-BE49-F238E27FC236}">
                <a16:creationId xmlns:a16="http://schemas.microsoft.com/office/drawing/2014/main" id="{472330B4-C712-0D64-22A0-C0B19DFCB627}"/>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78" name="Gerader Verbinder 2277">
            <a:extLst>
              <a:ext uri="{FF2B5EF4-FFF2-40B4-BE49-F238E27FC236}">
                <a16:creationId xmlns:a16="http://schemas.microsoft.com/office/drawing/2014/main" id="{B06E44CC-F3EF-A2DF-5C79-009A9DADC31E}"/>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2282" name="Cross_D46">
          <a:extLst>
            <a:ext uri="{FF2B5EF4-FFF2-40B4-BE49-F238E27FC236}">
              <a16:creationId xmlns:a16="http://schemas.microsoft.com/office/drawing/2014/main" id="{6F98C384-0860-5C65-3E5E-35D11CA911E9}"/>
            </a:ext>
          </a:extLst>
        </xdr:cNvPr>
        <xdr:cNvGrpSpPr/>
      </xdr:nvGrpSpPr>
      <xdr:grpSpPr>
        <a:xfrm>
          <a:off x="2240280" y="8702040"/>
          <a:ext cx="601980" cy="228600"/>
          <a:chOff x="2240280" y="8702040"/>
          <a:chExt cx="601980" cy="228600"/>
        </a:xfrm>
      </xdr:grpSpPr>
      <xdr:cxnSp macro="">
        <xdr:nvCxnSpPr>
          <xdr:cNvPr id="2280" name="Gerader Verbinder 2279">
            <a:extLst>
              <a:ext uri="{FF2B5EF4-FFF2-40B4-BE49-F238E27FC236}">
                <a16:creationId xmlns:a16="http://schemas.microsoft.com/office/drawing/2014/main" id="{0EAF95D5-9447-E92E-9519-84FD5953473A}"/>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1" name="Gerader Verbinder 2280">
            <a:extLst>
              <a:ext uri="{FF2B5EF4-FFF2-40B4-BE49-F238E27FC236}">
                <a16:creationId xmlns:a16="http://schemas.microsoft.com/office/drawing/2014/main" id="{D8EEDA56-BD38-5A9F-0B1B-16FFADFC7C92}"/>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2285" name="Cross_D47">
          <a:extLst>
            <a:ext uri="{FF2B5EF4-FFF2-40B4-BE49-F238E27FC236}">
              <a16:creationId xmlns:a16="http://schemas.microsoft.com/office/drawing/2014/main" id="{355BEDF8-C695-A01B-AE7C-1DB0FF9DA7FD}"/>
            </a:ext>
          </a:extLst>
        </xdr:cNvPr>
        <xdr:cNvGrpSpPr/>
      </xdr:nvGrpSpPr>
      <xdr:grpSpPr>
        <a:xfrm>
          <a:off x="2240280" y="8930640"/>
          <a:ext cx="601980" cy="167640"/>
          <a:chOff x="2240280" y="8930640"/>
          <a:chExt cx="601980" cy="167640"/>
        </a:xfrm>
      </xdr:grpSpPr>
      <xdr:cxnSp macro="">
        <xdr:nvCxnSpPr>
          <xdr:cNvPr id="2283" name="Gerader Verbinder 2282">
            <a:extLst>
              <a:ext uri="{FF2B5EF4-FFF2-40B4-BE49-F238E27FC236}">
                <a16:creationId xmlns:a16="http://schemas.microsoft.com/office/drawing/2014/main" id="{9CCB8D49-E64D-4F25-0E35-06B5C56254FF}"/>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4" name="Gerader Verbinder 2283">
            <a:extLst>
              <a:ext uri="{FF2B5EF4-FFF2-40B4-BE49-F238E27FC236}">
                <a16:creationId xmlns:a16="http://schemas.microsoft.com/office/drawing/2014/main" id="{29CEB692-EF82-5FED-2B96-87CE69E197DB}"/>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2288" name="Cross_D48">
          <a:extLst>
            <a:ext uri="{FF2B5EF4-FFF2-40B4-BE49-F238E27FC236}">
              <a16:creationId xmlns:a16="http://schemas.microsoft.com/office/drawing/2014/main" id="{F17D9B06-5BF5-1869-1643-11BB90DFDD1F}"/>
            </a:ext>
          </a:extLst>
        </xdr:cNvPr>
        <xdr:cNvGrpSpPr/>
      </xdr:nvGrpSpPr>
      <xdr:grpSpPr>
        <a:xfrm>
          <a:off x="2240280" y="9098280"/>
          <a:ext cx="601980" cy="167640"/>
          <a:chOff x="2240280" y="9098280"/>
          <a:chExt cx="601980" cy="167640"/>
        </a:xfrm>
      </xdr:grpSpPr>
      <xdr:cxnSp macro="">
        <xdr:nvCxnSpPr>
          <xdr:cNvPr id="2286" name="Gerader Verbinder 2285">
            <a:extLst>
              <a:ext uri="{FF2B5EF4-FFF2-40B4-BE49-F238E27FC236}">
                <a16:creationId xmlns:a16="http://schemas.microsoft.com/office/drawing/2014/main" id="{1FAFB14C-1C04-A52F-FA2C-43F2DE522656}"/>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7" name="Gerader Verbinder 2286">
            <a:extLst>
              <a:ext uri="{FF2B5EF4-FFF2-40B4-BE49-F238E27FC236}">
                <a16:creationId xmlns:a16="http://schemas.microsoft.com/office/drawing/2014/main" id="{32E3E93D-C3CD-C839-F81D-F071F61F27BF}"/>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2291" name="Cross_D49">
          <a:extLst>
            <a:ext uri="{FF2B5EF4-FFF2-40B4-BE49-F238E27FC236}">
              <a16:creationId xmlns:a16="http://schemas.microsoft.com/office/drawing/2014/main" id="{50BA43E6-BF9B-E6B1-5EA0-0438A78A4EE6}"/>
            </a:ext>
          </a:extLst>
        </xdr:cNvPr>
        <xdr:cNvGrpSpPr/>
      </xdr:nvGrpSpPr>
      <xdr:grpSpPr>
        <a:xfrm>
          <a:off x="2240280" y="9265920"/>
          <a:ext cx="601980" cy="228600"/>
          <a:chOff x="2240280" y="9265920"/>
          <a:chExt cx="601980" cy="228600"/>
        </a:xfrm>
      </xdr:grpSpPr>
      <xdr:cxnSp macro="">
        <xdr:nvCxnSpPr>
          <xdr:cNvPr id="2289" name="Gerader Verbinder 2288">
            <a:extLst>
              <a:ext uri="{FF2B5EF4-FFF2-40B4-BE49-F238E27FC236}">
                <a16:creationId xmlns:a16="http://schemas.microsoft.com/office/drawing/2014/main" id="{DB2644F0-CC74-7703-9601-F29EB5FCCE11}"/>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90" name="Gerader Verbinder 2289">
            <a:extLst>
              <a:ext uri="{FF2B5EF4-FFF2-40B4-BE49-F238E27FC236}">
                <a16:creationId xmlns:a16="http://schemas.microsoft.com/office/drawing/2014/main" id="{CD2AAF19-58FB-B60C-06B2-F022342D484E}"/>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2294" name="Cross_D50">
          <a:extLst>
            <a:ext uri="{FF2B5EF4-FFF2-40B4-BE49-F238E27FC236}">
              <a16:creationId xmlns:a16="http://schemas.microsoft.com/office/drawing/2014/main" id="{5B12875A-3E83-9C8A-279B-251689B14D55}"/>
            </a:ext>
          </a:extLst>
        </xdr:cNvPr>
        <xdr:cNvGrpSpPr/>
      </xdr:nvGrpSpPr>
      <xdr:grpSpPr>
        <a:xfrm>
          <a:off x="2240280" y="9494520"/>
          <a:ext cx="601980" cy="167640"/>
          <a:chOff x="2240280" y="9494520"/>
          <a:chExt cx="601980" cy="167640"/>
        </a:xfrm>
      </xdr:grpSpPr>
      <xdr:cxnSp macro="">
        <xdr:nvCxnSpPr>
          <xdr:cNvPr id="2292" name="Gerader Verbinder 2291">
            <a:extLst>
              <a:ext uri="{FF2B5EF4-FFF2-40B4-BE49-F238E27FC236}">
                <a16:creationId xmlns:a16="http://schemas.microsoft.com/office/drawing/2014/main" id="{043D6D5D-0350-8FB2-321C-00D5BF9E88E9}"/>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93" name="Gerader Verbinder 2292">
            <a:extLst>
              <a:ext uri="{FF2B5EF4-FFF2-40B4-BE49-F238E27FC236}">
                <a16:creationId xmlns:a16="http://schemas.microsoft.com/office/drawing/2014/main" id="{325A3CE5-2820-52F0-7EC0-56F7529483F3}"/>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2297" name="Cross_D51">
          <a:extLst>
            <a:ext uri="{FF2B5EF4-FFF2-40B4-BE49-F238E27FC236}">
              <a16:creationId xmlns:a16="http://schemas.microsoft.com/office/drawing/2014/main" id="{818D2B53-2E53-0A34-75C9-06A7AB87E9BD}"/>
            </a:ext>
          </a:extLst>
        </xdr:cNvPr>
        <xdr:cNvGrpSpPr/>
      </xdr:nvGrpSpPr>
      <xdr:grpSpPr>
        <a:xfrm>
          <a:off x="2240280" y="9662160"/>
          <a:ext cx="601980" cy="167640"/>
          <a:chOff x="2240280" y="9662160"/>
          <a:chExt cx="601980" cy="167640"/>
        </a:xfrm>
      </xdr:grpSpPr>
      <xdr:cxnSp macro="">
        <xdr:nvCxnSpPr>
          <xdr:cNvPr id="2295" name="Gerader Verbinder 2294">
            <a:extLst>
              <a:ext uri="{FF2B5EF4-FFF2-40B4-BE49-F238E27FC236}">
                <a16:creationId xmlns:a16="http://schemas.microsoft.com/office/drawing/2014/main" id="{27007F2B-3034-AC9E-8C37-1F387AB5C709}"/>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96" name="Gerader Verbinder 2295">
            <a:extLst>
              <a:ext uri="{FF2B5EF4-FFF2-40B4-BE49-F238E27FC236}">
                <a16:creationId xmlns:a16="http://schemas.microsoft.com/office/drawing/2014/main" id="{7D7170B9-1D90-1E6D-C334-52FBB043B93E}"/>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2300" name="Cross_D52">
          <a:extLst>
            <a:ext uri="{FF2B5EF4-FFF2-40B4-BE49-F238E27FC236}">
              <a16:creationId xmlns:a16="http://schemas.microsoft.com/office/drawing/2014/main" id="{A3A83926-EB21-7887-89AD-E8FD84712E22}"/>
            </a:ext>
          </a:extLst>
        </xdr:cNvPr>
        <xdr:cNvGrpSpPr/>
      </xdr:nvGrpSpPr>
      <xdr:grpSpPr>
        <a:xfrm>
          <a:off x="2240280" y="9829800"/>
          <a:ext cx="601980" cy="228600"/>
          <a:chOff x="2240280" y="9829800"/>
          <a:chExt cx="601980" cy="228600"/>
        </a:xfrm>
      </xdr:grpSpPr>
      <xdr:cxnSp macro="">
        <xdr:nvCxnSpPr>
          <xdr:cNvPr id="2298" name="Gerader Verbinder 2297">
            <a:extLst>
              <a:ext uri="{FF2B5EF4-FFF2-40B4-BE49-F238E27FC236}">
                <a16:creationId xmlns:a16="http://schemas.microsoft.com/office/drawing/2014/main" id="{1A5A438F-6449-8965-A2B7-43CB07D30F2B}"/>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99" name="Gerader Verbinder 2298">
            <a:extLst>
              <a:ext uri="{FF2B5EF4-FFF2-40B4-BE49-F238E27FC236}">
                <a16:creationId xmlns:a16="http://schemas.microsoft.com/office/drawing/2014/main" id="{24640C7F-E797-A1CF-7898-E7D3EFD29EC4}"/>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2303" name="Cross_D53">
          <a:extLst>
            <a:ext uri="{FF2B5EF4-FFF2-40B4-BE49-F238E27FC236}">
              <a16:creationId xmlns:a16="http://schemas.microsoft.com/office/drawing/2014/main" id="{4BBB796D-2528-969F-CE0C-C3DB2A4A4708}"/>
            </a:ext>
          </a:extLst>
        </xdr:cNvPr>
        <xdr:cNvGrpSpPr/>
      </xdr:nvGrpSpPr>
      <xdr:grpSpPr>
        <a:xfrm>
          <a:off x="2240280" y="10058400"/>
          <a:ext cx="601980" cy="167640"/>
          <a:chOff x="2240280" y="10058400"/>
          <a:chExt cx="601980" cy="167640"/>
        </a:xfrm>
      </xdr:grpSpPr>
      <xdr:cxnSp macro="">
        <xdr:nvCxnSpPr>
          <xdr:cNvPr id="2301" name="Gerader Verbinder 2300">
            <a:extLst>
              <a:ext uri="{FF2B5EF4-FFF2-40B4-BE49-F238E27FC236}">
                <a16:creationId xmlns:a16="http://schemas.microsoft.com/office/drawing/2014/main" id="{F0BE38C9-0EFE-E193-0147-063786D435B9}"/>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02" name="Gerader Verbinder 2301">
            <a:extLst>
              <a:ext uri="{FF2B5EF4-FFF2-40B4-BE49-F238E27FC236}">
                <a16:creationId xmlns:a16="http://schemas.microsoft.com/office/drawing/2014/main" id="{1EE726B4-D8FA-70E2-ED4F-8CF9D0FAD15E}"/>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2306" name="Cross_D54">
          <a:extLst>
            <a:ext uri="{FF2B5EF4-FFF2-40B4-BE49-F238E27FC236}">
              <a16:creationId xmlns:a16="http://schemas.microsoft.com/office/drawing/2014/main" id="{820AD9E3-9949-6D91-F334-83B772050D05}"/>
            </a:ext>
          </a:extLst>
        </xdr:cNvPr>
        <xdr:cNvGrpSpPr/>
      </xdr:nvGrpSpPr>
      <xdr:grpSpPr>
        <a:xfrm>
          <a:off x="2240280" y="10226040"/>
          <a:ext cx="601980" cy="167640"/>
          <a:chOff x="2240280" y="10226040"/>
          <a:chExt cx="601980" cy="167640"/>
        </a:xfrm>
      </xdr:grpSpPr>
      <xdr:cxnSp macro="">
        <xdr:nvCxnSpPr>
          <xdr:cNvPr id="2304" name="Gerader Verbinder 2303">
            <a:extLst>
              <a:ext uri="{FF2B5EF4-FFF2-40B4-BE49-F238E27FC236}">
                <a16:creationId xmlns:a16="http://schemas.microsoft.com/office/drawing/2014/main" id="{2BD162B5-AFCD-47E1-E234-FDA31CC416E6}"/>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05" name="Gerader Verbinder 2304">
            <a:extLst>
              <a:ext uri="{FF2B5EF4-FFF2-40B4-BE49-F238E27FC236}">
                <a16:creationId xmlns:a16="http://schemas.microsoft.com/office/drawing/2014/main" id="{32E68928-CD69-3DD1-C5BC-B123BE7F2EEF}"/>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2309" name="Cross_D58">
          <a:extLst>
            <a:ext uri="{FF2B5EF4-FFF2-40B4-BE49-F238E27FC236}">
              <a16:creationId xmlns:a16="http://schemas.microsoft.com/office/drawing/2014/main" id="{2A919BED-4797-4C57-8F8E-1D7C9359F158}"/>
            </a:ext>
          </a:extLst>
        </xdr:cNvPr>
        <xdr:cNvGrpSpPr/>
      </xdr:nvGrpSpPr>
      <xdr:grpSpPr>
        <a:xfrm>
          <a:off x="2240280" y="10957560"/>
          <a:ext cx="601980" cy="228600"/>
          <a:chOff x="2240280" y="10957560"/>
          <a:chExt cx="601980" cy="228600"/>
        </a:xfrm>
      </xdr:grpSpPr>
      <xdr:cxnSp macro="">
        <xdr:nvCxnSpPr>
          <xdr:cNvPr id="2307" name="Gerader Verbinder 2306">
            <a:extLst>
              <a:ext uri="{FF2B5EF4-FFF2-40B4-BE49-F238E27FC236}">
                <a16:creationId xmlns:a16="http://schemas.microsoft.com/office/drawing/2014/main" id="{6CCABAC9-3DDD-FA1B-9D9B-4BA8E97725B9}"/>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08" name="Gerader Verbinder 2307">
            <a:extLst>
              <a:ext uri="{FF2B5EF4-FFF2-40B4-BE49-F238E27FC236}">
                <a16:creationId xmlns:a16="http://schemas.microsoft.com/office/drawing/2014/main" id="{D7E58CFC-512A-C87E-B448-C2FBB7A01E25}"/>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2312" name="Cross_D59">
          <a:extLst>
            <a:ext uri="{FF2B5EF4-FFF2-40B4-BE49-F238E27FC236}">
              <a16:creationId xmlns:a16="http://schemas.microsoft.com/office/drawing/2014/main" id="{A902223A-5642-E65F-904C-A11E8FF8E6B1}"/>
            </a:ext>
          </a:extLst>
        </xdr:cNvPr>
        <xdr:cNvGrpSpPr/>
      </xdr:nvGrpSpPr>
      <xdr:grpSpPr>
        <a:xfrm>
          <a:off x="2240280" y="11186160"/>
          <a:ext cx="601980" cy="167640"/>
          <a:chOff x="2240280" y="11186160"/>
          <a:chExt cx="601980" cy="167640"/>
        </a:xfrm>
      </xdr:grpSpPr>
      <xdr:cxnSp macro="">
        <xdr:nvCxnSpPr>
          <xdr:cNvPr id="2310" name="Gerader Verbinder 2309">
            <a:extLst>
              <a:ext uri="{FF2B5EF4-FFF2-40B4-BE49-F238E27FC236}">
                <a16:creationId xmlns:a16="http://schemas.microsoft.com/office/drawing/2014/main" id="{0908904C-BA66-9B05-049B-A0C87A789B16}"/>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1" name="Gerader Verbinder 2310">
            <a:extLst>
              <a:ext uri="{FF2B5EF4-FFF2-40B4-BE49-F238E27FC236}">
                <a16:creationId xmlns:a16="http://schemas.microsoft.com/office/drawing/2014/main" id="{802DA6DC-462C-265D-388A-1B49A254C9FA}"/>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2315" name="Cross_D60">
          <a:extLst>
            <a:ext uri="{FF2B5EF4-FFF2-40B4-BE49-F238E27FC236}">
              <a16:creationId xmlns:a16="http://schemas.microsoft.com/office/drawing/2014/main" id="{F1AE81D9-CDFC-7B6E-C239-11A9A5928B04}"/>
            </a:ext>
          </a:extLst>
        </xdr:cNvPr>
        <xdr:cNvGrpSpPr/>
      </xdr:nvGrpSpPr>
      <xdr:grpSpPr>
        <a:xfrm>
          <a:off x="2240280" y="11353800"/>
          <a:ext cx="601980" cy="167640"/>
          <a:chOff x="2240280" y="11353800"/>
          <a:chExt cx="601980" cy="167640"/>
        </a:xfrm>
      </xdr:grpSpPr>
      <xdr:cxnSp macro="">
        <xdr:nvCxnSpPr>
          <xdr:cNvPr id="2313" name="Gerader Verbinder 2312">
            <a:extLst>
              <a:ext uri="{FF2B5EF4-FFF2-40B4-BE49-F238E27FC236}">
                <a16:creationId xmlns:a16="http://schemas.microsoft.com/office/drawing/2014/main" id="{064D5EF1-F759-FDC9-B3EB-8E90512CFE93}"/>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4" name="Gerader Verbinder 2313">
            <a:extLst>
              <a:ext uri="{FF2B5EF4-FFF2-40B4-BE49-F238E27FC236}">
                <a16:creationId xmlns:a16="http://schemas.microsoft.com/office/drawing/2014/main" id="{59A265F4-F17C-3BC5-E628-048D69372134}"/>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2318" name="Cross_D61">
          <a:extLst>
            <a:ext uri="{FF2B5EF4-FFF2-40B4-BE49-F238E27FC236}">
              <a16:creationId xmlns:a16="http://schemas.microsoft.com/office/drawing/2014/main" id="{2C90B247-3628-0002-DBC6-E619DBAA4C50}"/>
            </a:ext>
          </a:extLst>
        </xdr:cNvPr>
        <xdr:cNvGrpSpPr/>
      </xdr:nvGrpSpPr>
      <xdr:grpSpPr>
        <a:xfrm>
          <a:off x="2240280" y="11521440"/>
          <a:ext cx="601980" cy="228600"/>
          <a:chOff x="2240280" y="11521440"/>
          <a:chExt cx="601980" cy="228600"/>
        </a:xfrm>
      </xdr:grpSpPr>
      <xdr:cxnSp macro="">
        <xdr:nvCxnSpPr>
          <xdr:cNvPr id="2316" name="Gerader Verbinder 2315">
            <a:extLst>
              <a:ext uri="{FF2B5EF4-FFF2-40B4-BE49-F238E27FC236}">
                <a16:creationId xmlns:a16="http://schemas.microsoft.com/office/drawing/2014/main" id="{39DF4343-425E-1542-2EEA-4D562D232904}"/>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7" name="Gerader Verbinder 2316">
            <a:extLst>
              <a:ext uri="{FF2B5EF4-FFF2-40B4-BE49-F238E27FC236}">
                <a16:creationId xmlns:a16="http://schemas.microsoft.com/office/drawing/2014/main" id="{199F372F-D961-4B6E-24D3-70563597A7DB}"/>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2321" name="Cross_D62">
          <a:extLst>
            <a:ext uri="{FF2B5EF4-FFF2-40B4-BE49-F238E27FC236}">
              <a16:creationId xmlns:a16="http://schemas.microsoft.com/office/drawing/2014/main" id="{11AD6F47-FA25-0485-E4DE-0FCFCC6A42CB}"/>
            </a:ext>
          </a:extLst>
        </xdr:cNvPr>
        <xdr:cNvGrpSpPr/>
      </xdr:nvGrpSpPr>
      <xdr:grpSpPr>
        <a:xfrm>
          <a:off x="2240280" y="11750040"/>
          <a:ext cx="601980" cy="167640"/>
          <a:chOff x="2240280" y="11750040"/>
          <a:chExt cx="601980" cy="167640"/>
        </a:xfrm>
      </xdr:grpSpPr>
      <xdr:cxnSp macro="">
        <xdr:nvCxnSpPr>
          <xdr:cNvPr id="2319" name="Gerader Verbinder 2318">
            <a:extLst>
              <a:ext uri="{FF2B5EF4-FFF2-40B4-BE49-F238E27FC236}">
                <a16:creationId xmlns:a16="http://schemas.microsoft.com/office/drawing/2014/main" id="{AC3CF3F5-0717-6034-A8D9-B53F7129AEFC}"/>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20" name="Gerader Verbinder 2319">
            <a:extLst>
              <a:ext uri="{FF2B5EF4-FFF2-40B4-BE49-F238E27FC236}">
                <a16:creationId xmlns:a16="http://schemas.microsoft.com/office/drawing/2014/main" id="{BDBE68F1-0B76-ACAF-0260-31CDB452DF8B}"/>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2324" name="Cross_D63">
          <a:extLst>
            <a:ext uri="{FF2B5EF4-FFF2-40B4-BE49-F238E27FC236}">
              <a16:creationId xmlns:a16="http://schemas.microsoft.com/office/drawing/2014/main" id="{9DF47BAD-9BC0-2FEA-4688-236B4C80B12D}"/>
            </a:ext>
          </a:extLst>
        </xdr:cNvPr>
        <xdr:cNvGrpSpPr/>
      </xdr:nvGrpSpPr>
      <xdr:grpSpPr>
        <a:xfrm>
          <a:off x="2240280" y="11917680"/>
          <a:ext cx="601980" cy="167640"/>
          <a:chOff x="2240280" y="11917680"/>
          <a:chExt cx="601980" cy="167640"/>
        </a:xfrm>
      </xdr:grpSpPr>
      <xdr:cxnSp macro="">
        <xdr:nvCxnSpPr>
          <xdr:cNvPr id="2322" name="Gerader Verbinder 2321">
            <a:extLst>
              <a:ext uri="{FF2B5EF4-FFF2-40B4-BE49-F238E27FC236}">
                <a16:creationId xmlns:a16="http://schemas.microsoft.com/office/drawing/2014/main" id="{230544DF-1371-3C31-AFF1-05A75F4B4EDA}"/>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23" name="Gerader Verbinder 2322">
            <a:extLst>
              <a:ext uri="{FF2B5EF4-FFF2-40B4-BE49-F238E27FC236}">
                <a16:creationId xmlns:a16="http://schemas.microsoft.com/office/drawing/2014/main" id="{07B7878B-C7FE-ADE7-7583-8D491E0B8828}"/>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2327" name="Cross_E10">
          <a:extLst>
            <a:ext uri="{FF2B5EF4-FFF2-40B4-BE49-F238E27FC236}">
              <a16:creationId xmlns:a16="http://schemas.microsoft.com/office/drawing/2014/main" id="{B8DF4B9A-DA14-DB94-197C-937990ACC184}"/>
            </a:ext>
          </a:extLst>
        </xdr:cNvPr>
        <xdr:cNvGrpSpPr/>
      </xdr:nvGrpSpPr>
      <xdr:grpSpPr>
        <a:xfrm>
          <a:off x="2842260" y="1935480"/>
          <a:ext cx="601980" cy="228600"/>
          <a:chOff x="2842260" y="1935480"/>
          <a:chExt cx="601980" cy="228600"/>
        </a:xfrm>
      </xdr:grpSpPr>
      <xdr:cxnSp macro="">
        <xdr:nvCxnSpPr>
          <xdr:cNvPr id="2325" name="Gerader Verbinder 2324">
            <a:extLst>
              <a:ext uri="{FF2B5EF4-FFF2-40B4-BE49-F238E27FC236}">
                <a16:creationId xmlns:a16="http://schemas.microsoft.com/office/drawing/2014/main" id="{E32F4BAD-04C0-29FA-0A94-7B3F13B286B1}"/>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26" name="Gerader Verbinder 2325">
            <a:extLst>
              <a:ext uri="{FF2B5EF4-FFF2-40B4-BE49-F238E27FC236}">
                <a16:creationId xmlns:a16="http://schemas.microsoft.com/office/drawing/2014/main" id="{710EC01C-F5DD-54D4-3DEF-51D602CF4E6C}"/>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330" name="Cross_E11">
          <a:extLst>
            <a:ext uri="{FF2B5EF4-FFF2-40B4-BE49-F238E27FC236}">
              <a16:creationId xmlns:a16="http://schemas.microsoft.com/office/drawing/2014/main" id="{94354B41-2A72-074B-80FD-8A2B64B451A5}"/>
            </a:ext>
          </a:extLst>
        </xdr:cNvPr>
        <xdr:cNvGrpSpPr/>
      </xdr:nvGrpSpPr>
      <xdr:grpSpPr>
        <a:xfrm>
          <a:off x="2842260" y="2164080"/>
          <a:ext cx="601980" cy="167640"/>
          <a:chOff x="2842260" y="2164080"/>
          <a:chExt cx="601980" cy="167640"/>
        </a:xfrm>
      </xdr:grpSpPr>
      <xdr:cxnSp macro="">
        <xdr:nvCxnSpPr>
          <xdr:cNvPr id="2328" name="Gerader Verbinder 2327">
            <a:extLst>
              <a:ext uri="{FF2B5EF4-FFF2-40B4-BE49-F238E27FC236}">
                <a16:creationId xmlns:a16="http://schemas.microsoft.com/office/drawing/2014/main" id="{585638E1-D459-C63C-42AF-1956BC613B6A}"/>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29" name="Gerader Verbinder 2328">
            <a:extLst>
              <a:ext uri="{FF2B5EF4-FFF2-40B4-BE49-F238E27FC236}">
                <a16:creationId xmlns:a16="http://schemas.microsoft.com/office/drawing/2014/main" id="{053DF73F-4E4D-15E2-F7D2-F790E6B1A82F}"/>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333" name="Cross_E12">
          <a:extLst>
            <a:ext uri="{FF2B5EF4-FFF2-40B4-BE49-F238E27FC236}">
              <a16:creationId xmlns:a16="http://schemas.microsoft.com/office/drawing/2014/main" id="{9120D426-C0BF-FC8D-BB50-E3CEE3D002AB}"/>
            </a:ext>
          </a:extLst>
        </xdr:cNvPr>
        <xdr:cNvGrpSpPr/>
      </xdr:nvGrpSpPr>
      <xdr:grpSpPr>
        <a:xfrm>
          <a:off x="2842260" y="2331720"/>
          <a:ext cx="601980" cy="167640"/>
          <a:chOff x="2842260" y="2331720"/>
          <a:chExt cx="601980" cy="167640"/>
        </a:xfrm>
      </xdr:grpSpPr>
      <xdr:cxnSp macro="">
        <xdr:nvCxnSpPr>
          <xdr:cNvPr id="2331" name="Gerader Verbinder 2330">
            <a:extLst>
              <a:ext uri="{FF2B5EF4-FFF2-40B4-BE49-F238E27FC236}">
                <a16:creationId xmlns:a16="http://schemas.microsoft.com/office/drawing/2014/main" id="{9DBACE59-B14E-B19B-736E-1BF88DAB3BF4}"/>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32" name="Gerader Verbinder 2331">
            <a:extLst>
              <a:ext uri="{FF2B5EF4-FFF2-40B4-BE49-F238E27FC236}">
                <a16:creationId xmlns:a16="http://schemas.microsoft.com/office/drawing/2014/main" id="{8A5A372A-1D28-5AD6-1012-F8D7C9A49C86}"/>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336" name="Cross_E13">
          <a:extLst>
            <a:ext uri="{FF2B5EF4-FFF2-40B4-BE49-F238E27FC236}">
              <a16:creationId xmlns:a16="http://schemas.microsoft.com/office/drawing/2014/main" id="{B0B1783D-7B5D-6CC7-402C-517ED6C8F278}"/>
            </a:ext>
          </a:extLst>
        </xdr:cNvPr>
        <xdr:cNvGrpSpPr/>
      </xdr:nvGrpSpPr>
      <xdr:grpSpPr>
        <a:xfrm>
          <a:off x="2842260" y="2499360"/>
          <a:ext cx="601980" cy="228600"/>
          <a:chOff x="2842260" y="2499360"/>
          <a:chExt cx="601980" cy="228600"/>
        </a:xfrm>
      </xdr:grpSpPr>
      <xdr:cxnSp macro="">
        <xdr:nvCxnSpPr>
          <xdr:cNvPr id="2334" name="Gerader Verbinder 2333">
            <a:extLst>
              <a:ext uri="{FF2B5EF4-FFF2-40B4-BE49-F238E27FC236}">
                <a16:creationId xmlns:a16="http://schemas.microsoft.com/office/drawing/2014/main" id="{92F40360-65B6-A992-C13B-2657844BA892}"/>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35" name="Gerader Verbinder 2334">
            <a:extLst>
              <a:ext uri="{FF2B5EF4-FFF2-40B4-BE49-F238E27FC236}">
                <a16:creationId xmlns:a16="http://schemas.microsoft.com/office/drawing/2014/main" id="{7B6634BF-D85B-0F31-9889-ACA3C8722F50}"/>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339" name="Cross_E14">
          <a:extLst>
            <a:ext uri="{FF2B5EF4-FFF2-40B4-BE49-F238E27FC236}">
              <a16:creationId xmlns:a16="http://schemas.microsoft.com/office/drawing/2014/main" id="{30FB9C8C-9211-7626-5076-38D7AE1CC2CF}"/>
            </a:ext>
          </a:extLst>
        </xdr:cNvPr>
        <xdr:cNvGrpSpPr/>
      </xdr:nvGrpSpPr>
      <xdr:grpSpPr>
        <a:xfrm>
          <a:off x="2842260" y="2727960"/>
          <a:ext cx="601980" cy="167640"/>
          <a:chOff x="2842260" y="2727960"/>
          <a:chExt cx="601980" cy="167640"/>
        </a:xfrm>
      </xdr:grpSpPr>
      <xdr:cxnSp macro="">
        <xdr:nvCxnSpPr>
          <xdr:cNvPr id="2337" name="Gerader Verbinder 2336">
            <a:extLst>
              <a:ext uri="{FF2B5EF4-FFF2-40B4-BE49-F238E27FC236}">
                <a16:creationId xmlns:a16="http://schemas.microsoft.com/office/drawing/2014/main" id="{34B7C1D2-D12B-6221-AD23-843D9D56D5E4}"/>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38" name="Gerader Verbinder 2337">
            <a:extLst>
              <a:ext uri="{FF2B5EF4-FFF2-40B4-BE49-F238E27FC236}">
                <a16:creationId xmlns:a16="http://schemas.microsoft.com/office/drawing/2014/main" id="{40EEF9A8-BFB8-C280-308D-226B25813E3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342" name="Cross_E15">
          <a:extLst>
            <a:ext uri="{FF2B5EF4-FFF2-40B4-BE49-F238E27FC236}">
              <a16:creationId xmlns:a16="http://schemas.microsoft.com/office/drawing/2014/main" id="{3D2C0972-BF71-B347-B7F2-CD0A204CFED4}"/>
            </a:ext>
          </a:extLst>
        </xdr:cNvPr>
        <xdr:cNvGrpSpPr/>
      </xdr:nvGrpSpPr>
      <xdr:grpSpPr>
        <a:xfrm>
          <a:off x="2842260" y="2895600"/>
          <a:ext cx="601980" cy="167640"/>
          <a:chOff x="2842260" y="2895600"/>
          <a:chExt cx="601980" cy="167640"/>
        </a:xfrm>
      </xdr:grpSpPr>
      <xdr:cxnSp macro="">
        <xdr:nvCxnSpPr>
          <xdr:cNvPr id="2340" name="Gerader Verbinder 2339">
            <a:extLst>
              <a:ext uri="{FF2B5EF4-FFF2-40B4-BE49-F238E27FC236}">
                <a16:creationId xmlns:a16="http://schemas.microsoft.com/office/drawing/2014/main" id="{6A52988B-1752-54F2-D4FA-18E09B870091}"/>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1" name="Gerader Verbinder 2340">
            <a:extLst>
              <a:ext uri="{FF2B5EF4-FFF2-40B4-BE49-F238E27FC236}">
                <a16:creationId xmlns:a16="http://schemas.microsoft.com/office/drawing/2014/main" id="{AEB56A62-AE51-F6D0-1DED-E84DE0A8A22D}"/>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345" name="Cross_E19">
          <a:extLst>
            <a:ext uri="{FF2B5EF4-FFF2-40B4-BE49-F238E27FC236}">
              <a16:creationId xmlns:a16="http://schemas.microsoft.com/office/drawing/2014/main" id="{2A9705BA-D518-01CD-CDFF-867A5389F5DD}"/>
            </a:ext>
          </a:extLst>
        </xdr:cNvPr>
        <xdr:cNvGrpSpPr/>
      </xdr:nvGrpSpPr>
      <xdr:grpSpPr>
        <a:xfrm>
          <a:off x="2842260" y="3627120"/>
          <a:ext cx="601980" cy="228600"/>
          <a:chOff x="2842260" y="3627120"/>
          <a:chExt cx="601980" cy="228600"/>
        </a:xfrm>
      </xdr:grpSpPr>
      <xdr:cxnSp macro="">
        <xdr:nvCxnSpPr>
          <xdr:cNvPr id="2343" name="Gerader Verbinder 2342">
            <a:extLst>
              <a:ext uri="{FF2B5EF4-FFF2-40B4-BE49-F238E27FC236}">
                <a16:creationId xmlns:a16="http://schemas.microsoft.com/office/drawing/2014/main" id="{EAB09CE6-628C-9256-FED1-3BDBBD709531}"/>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4" name="Gerader Verbinder 2343">
            <a:extLst>
              <a:ext uri="{FF2B5EF4-FFF2-40B4-BE49-F238E27FC236}">
                <a16:creationId xmlns:a16="http://schemas.microsoft.com/office/drawing/2014/main" id="{830BDC89-650E-7EDF-9816-1A11DBDA7242}"/>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348" name="Cross_E20">
          <a:extLst>
            <a:ext uri="{FF2B5EF4-FFF2-40B4-BE49-F238E27FC236}">
              <a16:creationId xmlns:a16="http://schemas.microsoft.com/office/drawing/2014/main" id="{4B0673B8-364C-137C-958A-09C7C4292143}"/>
            </a:ext>
          </a:extLst>
        </xdr:cNvPr>
        <xdr:cNvGrpSpPr/>
      </xdr:nvGrpSpPr>
      <xdr:grpSpPr>
        <a:xfrm>
          <a:off x="2842260" y="3855720"/>
          <a:ext cx="601980" cy="167640"/>
          <a:chOff x="2842260" y="3855720"/>
          <a:chExt cx="601980" cy="167640"/>
        </a:xfrm>
      </xdr:grpSpPr>
      <xdr:cxnSp macro="">
        <xdr:nvCxnSpPr>
          <xdr:cNvPr id="2346" name="Gerader Verbinder 2345">
            <a:extLst>
              <a:ext uri="{FF2B5EF4-FFF2-40B4-BE49-F238E27FC236}">
                <a16:creationId xmlns:a16="http://schemas.microsoft.com/office/drawing/2014/main" id="{382FDB95-54C2-70DB-0752-36604E755290}"/>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7" name="Gerader Verbinder 2346">
            <a:extLst>
              <a:ext uri="{FF2B5EF4-FFF2-40B4-BE49-F238E27FC236}">
                <a16:creationId xmlns:a16="http://schemas.microsoft.com/office/drawing/2014/main" id="{CBDBC2C6-213E-9F24-0E87-8F87072FAC1C}"/>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351" name="Cross_E21">
          <a:extLst>
            <a:ext uri="{FF2B5EF4-FFF2-40B4-BE49-F238E27FC236}">
              <a16:creationId xmlns:a16="http://schemas.microsoft.com/office/drawing/2014/main" id="{821BCA23-546E-B5DE-37F1-E7CE185315A7}"/>
            </a:ext>
          </a:extLst>
        </xdr:cNvPr>
        <xdr:cNvGrpSpPr/>
      </xdr:nvGrpSpPr>
      <xdr:grpSpPr>
        <a:xfrm>
          <a:off x="2842260" y="4023360"/>
          <a:ext cx="601980" cy="167640"/>
          <a:chOff x="2842260" y="4023360"/>
          <a:chExt cx="601980" cy="167640"/>
        </a:xfrm>
      </xdr:grpSpPr>
      <xdr:cxnSp macro="">
        <xdr:nvCxnSpPr>
          <xdr:cNvPr id="2349" name="Gerader Verbinder 2348">
            <a:extLst>
              <a:ext uri="{FF2B5EF4-FFF2-40B4-BE49-F238E27FC236}">
                <a16:creationId xmlns:a16="http://schemas.microsoft.com/office/drawing/2014/main" id="{AFC7CD99-6BB2-CCC3-5378-F7D0240D7E5C}"/>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50" name="Gerader Verbinder 2349">
            <a:extLst>
              <a:ext uri="{FF2B5EF4-FFF2-40B4-BE49-F238E27FC236}">
                <a16:creationId xmlns:a16="http://schemas.microsoft.com/office/drawing/2014/main" id="{352D439E-CB0D-25B9-6409-83CD2E4A55EF}"/>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354" name="Cross_E28">
          <a:extLst>
            <a:ext uri="{FF2B5EF4-FFF2-40B4-BE49-F238E27FC236}">
              <a16:creationId xmlns:a16="http://schemas.microsoft.com/office/drawing/2014/main" id="{9E68E86D-DBA7-E930-A1F3-8DFCBC9B1278}"/>
            </a:ext>
          </a:extLst>
        </xdr:cNvPr>
        <xdr:cNvGrpSpPr/>
      </xdr:nvGrpSpPr>
      <xdr:grpSpPr>
        <a:xfrm>
          <a:off x="2842260" y="5318760"/>
          <a:ext cx="601980" cy="228600"/>
          <a:chOff x="2842260" y="5318760"/>
          <a:chExt cx="601980" cy="228600"/>
        </a:xfrm>
      </xdr:grpSpPr>
      <xdr:cxnSp macro="">
        <xdr:nvCxnSpPr>
          <xdr:cNvPr id="2352" name="Gerader Verbinder 2351">
            <a:extLst>
              <a:ext uri="{FF2B5EF4-FFF2-40B4-BE49-F238E27FC236}">
                <a16:creationId xmlns:a16="http://schemas.microsoft.com/office/drawing/2014/main" id="{30AA3E8E-6726-00DF-56F0-8395FFF7FCF5}"/>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53" name="Gerader Verbinder 2352">
            <a:extLst>
              <a:ext uri="{FF2B5EF4-FFF2-40B4-BE49-F238E27FC236}">
                <a16:creationId xmlns:a16="http://schemas.microsoft.com/office/drawing/2014/main" id="{4B0E364A-6F1E-2C2F-2097-5C9107A9ADF5}"/>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2357" name="Cross_E29">
          <a:extLst>
            <a:ext uri="{FF2B5EF4-FFF2-40B4-BE49-F238E27FC236}">
              <a16:creationId xmlns:a16="http://schemas.microsoft.com/office/drawing/2014/main" id="{0D05C98C-67A0-DD08-5535-DF387E796BB2}"/>
            </a:ext>
          </a:extLst>
        </xdr:cNvPr>
        <xdr:cNvGrpSpPr/>
      </xdr:nvGrpSpPr>
      <xdr:grpSpPr>
        <a:xfrm>
          <a:off x="2842260" y="5547360"/>
          <a:ext cx="601980" cy="167640"/>
          <a:chOff x="2842260" y="5547360"/>
          <a:chExt cx="601980" cy="167640"/>
        </a:xfrm>
      </xdr:grpSpPr>
      <xdr:cxnSp macro="">
        <xdr:nvCxnSpPr>
          <xdr:cNvPr id="2355" name="Gerader Verbinder 2354">
            <a:extLst>
              <a:ext uri="{FF2B5EF4-FFF2-40B4-BE49-F238E27FC236}">
                <a16:creationId xmlns:a16="http://schemas.microsoft.com/office/drawing/2014/main" id="{FCD27733-7298-9719-2D6F-0452CAE013D6}"/>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56" name="Gerader Verbinder 2355">
            <a:extLst>
              <a:ext uri="{FF2B5EF4-FFF2-40B4-BE49-F238E27FC236}">
                <a16:creationId xmlns:a16="http://schemas.microsoft.com/office/drawing/2014/main" id="{81A45D09-65F3-DCA0-9E8E-9BDEF7B4FDD3}"/>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2360" name="Cross_E30">
          <a:extLst>
            <a:ext uri="{FF2B5EF4-FFF2-40B4-BE49-F238E27FC236}">
              <a16:creationId xmlns:a16="http://schemas.microsoft.com/office/drawing/2014/main" id="{42062411-126B-655B-30D2-5EA0E46A0A46}"/>
            </a:ext>
          </a:extLst>
        </xdr:cNvPr>
        <xdr:cNvGrpSpPr/>
      </xdr:nvGrpSpPr>
      <xdr:grpSpPr>
        <a:xfrm>
          <a:off x="2842260" y="5715000"/>
          <a:ext cx="601980" cy="167640"/>
          <a:chOff x="2842260" y="5715000"/>
          <a:chExt cx="601980" cy="167640"/>
        </a:xfrm>
      </xdr:grpSpPr>
      <xdr:cxnSp macro="">
        <xdr:nvCxnSpPr>
          <xdr:cNvPr id="2358" name="Gerader Verbinder 2357">
            <a:extLst>
              <a:ext uri="{FF2B5EF4-FFF2-40B4-BE49-F238E27FC236}">
                <a16:creationId xmlns:a16="http://schemas.microsoft.com/office/drawing/2014/main" id="{3FB2C8AF-862C-11A2-7D80-2F2DC19262BA}"/>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59" name="Gerader Verbinder 2358">
            <a:extLst>
              <a:ext uri="{FF2B5EF4-FFF2-40B4-BE49-F238E27FC236}">
                <a16:creationId xmlns:a16="http://schemas.microsoft.com/office/drawing/2014/main" id="{843C6538-2E4C-9D85-DB0B-865BACDB3B80}"/>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2363" name="Cross_E37">
          <a:extLst>
            <a:ext uri="{FF2B5EF4-FFF2-40B4-BE49-F238E27FC236}">
              <a16:creationId xmlns:a16="http://schemas.microsoft.com/office/drawing/2014/main" id="{4A7BF6B6-5B35-7325-0FF6-A0C35B353361}"/>
            </a:ext>
          </a:extLst>
        </xdr:cNvPr>
        <xdr:cNvGrpSpPr/>
      </xdr:nvGrpSpPr>
      <xdr:grpSpPr>
        <a:xfrm>
          <a:off x="2842260" y="7010400"/>
          <a:ext cx="601980" cy="228600"/>
          <a:chOff x="2842260" y="7010400"/>
          <a:chExt cx="601980" cy="228600"/>
        </a:xfrm>
      </xdr:grpSpPr>
      <xdr:cxnSp macro="">
        <xdr:nvCxnSpPr>
          <xdr:cNvPr id="2361" name="Gerader Verbinder 2360">
            <a:extLst>
              <a:ext uri="{FF2B5EF4-FFF2-40B4-BE49-F238E27FC236}">
                <a16:creationId xmlns:a16="http://schemas.microsoft.com/office/drawing/2014/main" id="{410BFCB1-D279-B881-AE5B-A8A863A598C3}"/>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62" name="Gerader Verbinder 2361">
            <a:extLst>
              <a:ext uri="{FF2B5EF4-FFF2-40B4-BE49-F238E27FC236}">
                <a16:creationId xmlns:a16="http://schemas.microsoft.com/office/drawing/2014/main" id="{8D09395B-6B10-7D01-F824-14A099B2C3EB}"/>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2366" name="Cross_E38">
          <a:extLst>
            <a:ext uri="{FF2B5EF4-FFF2-40B4-BE49-F238E27FC236}">
              <a16:creationId xmlns:a16="http://schemas.microsoft.com/office/drawing/2014/main" id="{60DAE7B7-3EA7-4F64-C5E1-4AFF1519FE9C}"/>
            </a:ext>
          </a:extLst>
        </xdr:cNvPr>
        <xdr:cNvGrpSpPr/>
      </xdr:nvGrpSpPr>
      <xdr:grpSpPr>
        <a:xfrm>
          <a:off x="2842260" y="7239000"/>
          <a:ext cx="601980" cy="167640"/>
          <a:chOff x="2842260" y="7239000"/>
          <a:chExt cx="601980" cy="167640"/>
        </a:xfrm>
      </xdr:grpSpPr>
      <xdr:cxnSp macro="">
        <xdr:nvCxnSpPr>
          <xdr:cNvPr id="2364" name="Gerader Verbinder 2363">
            <a:extLst>
              <a:ext uri="{FF2B5EF4-FFF2-40B4-BE49-F238E27FC236}">
                <a16:creationId xmlns:a16="http://schemas.microsoft.com/office/drawing/2014/main" id="{B62DA1B8-BD96-3001-AC19-3D8CEFF5DC22}"/>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65" name="Gerader Verbinder 2364">
            <a:extLst>
              <a:ext uri="{FF2B5EF4-FFF2-40B4-BE49-F238E27FC236}">
                <a16:creationId xmlns:a16="http://schemas.microsoft.com/office/drawing/2014/main" id="{68A73CB2-5EBE-ABFE-B0A4-BEA179AAD3D2}"/>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2369" name="Cross_E39">
          <a:extLst>
            <a:ext uri="{FF2B5EF4-FFF2-40B4-BE49-F238E27FC236}">
              <a16:creationId xmlns:a16="http://schemas.microsoft.com/office/drawing/2014/main" id="{9E5B08D6-1E3C-C3CE-3A7D-B251D1137D49}"/>
            </a:ext>
          </a:extLst>
        </xdr:cNvPr>
        <xdr:cNvGrpSpPr/>
      </xdr:nvGrpSpPr>
      <xdr:grpSpPr>
        <a:xfrm>
          <a:off x="2842260" y="7406640"/>
          <a:ext cx="601980" cy="167640"/>
          <a:chOff x="2842260" y="7406640"/>
          <a:chExt cx="601980" cy="167640"/>
        </a:xfrm>
      </xdr:grpSpPr>
      <xdr:cxnSp macro="">
        <xdr:nvCxnSpPr>
          <xdr:cNvPr id="2367" name="Gerader Verbinder 2366">
            <a:extLst>
              <a:ext uri="{FF2B5EF4-FFF2-40B4-BE49-F238E27FC236}">
                <a16:creationId xmlns:a16="http://schemas.microsoft.com/office/drawing/2014/main" id="{B246A3F6-6AC2-9390-D60F-4A246F3CA9FC}"/>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68" name="Gerader Verbinder 2367">
            <a:extLst>
              <a:ext uri="{FF2B5EF4-FFF2-40B4-BE49-F238E27FC236}">
                <a16:creationId xmlns:a16="http://schemas.microsoft.com/office/drawing/2014/main" id="{DA736507-0E28-ED40-826D-CE2E8296DD97}"/>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2372" name="Cross_E40">
          <a:extLst>
            <a:ext uri="{FF2B5EF4-FFF2-40B4-BE49-F238E27FC236}">
              <a16:creationId xmlns:a16="http://schemas.microsoft.com/office/drawing/2014/main" id="{393E146E-4ABA-F611-3F0D-42F3F33B4E61}"/>
            </a:ext>
          </a:extLst>
        </xdr:cNvPr>
        <xdr:cNvGrpSpPr/>
      </xdr:nvGrpSpPr>
      <xdr:grpSpPr>
        <a:xfrm>
          <a:off x="2842260" y="7574280"/>
          <a:ext cx="601980" cy="228600"/>
          <a:chOff x="2842260" y="7574280"/>
          <a:chExt cx="601980" cy="228600"/>
        </a:xfrm>
      </xdr:grpSpPr>
      <xdr:cxnSp macro="">
        <xdr:nvCxnSpPr>
          <xdr:cNvPr id="2370" name="Gerader Verbinder 2369">
            <a:extLst>
              <a:ext uri="{FF2B5EF4-FFF2-40B4-BE49-F238E27FC236}">
                <a16:creationId xmlns:a16="http://schemas.microsoft.com/office/drawing/2014/main" id="{E9A025DE-E97C-A0C6-2E2C-E4DA900D04E1}"/>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1" name="Gerader Verbinder 2370">
            <a:extLst>
              <a:ext uri="{FF2B5EF4-FFF2-40B4-BE49-F238E27FC236}">
                <a16:creationId xmlns:a16="http://schemas.microsoft.com/office/drawing/2014/main" id="{D843DD13-D4BE-3F60-BF3A-9413AD29D624}"/>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2375" name="Cross_E41">
          <a:extLst>
            <a:ext uri="{FF2B5EF4-FFF2-40B4-BE49-F238E27FC236}">
              <a16:creationId xmlns:a16="http://schemas.microsoft.com/office/drawing/2014/main" id="{52E6D5FD-82C9-D5EF-EBFA-A30352147C48}"/>
            </a:ext>
          </a:extLst>
        </xdr:cNvPr>
        <xdr:cNvGrpSpPr/>
      </xdr:nvGrpSpPr>
      <xdr:grpSpPr>
        <a:xfrm>
          <a:off x="2842260" y="7802880"/>
          <a:ext cx="601980" cy="167640"/>
          <a:chOff x="2842260" y="7802880"/>
          <a:chExt cx="601980" cy="167640"/>
        </a:xfrm>
      </xdr:grpSpPr>
      <xdr:cxnSp macro="">
        <xdr:nvCxnSpPr>
          <xdr:cNvPr id="2373" name="Gerader Verbinder 2372">
            <a:extLst>
              <a:ext uri="{FF2B5EF4-FFF2-40B4-BE49-F238E27FC236}">
                <a16:creationId xmlns:a16="http://schemas.microsoft.com/office/drawing/2014/main" id="{D5D33424-D411-6325-3A4A-07149CB1F86A}"/>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4" name="Gerader Verbinder 2373">
            <a:extLst>
              <a:ext uri="{FF2B5EF4-FFF2-40B4-BE49-F238E27FC236}">
                <a16:creationId xmlns:a16="http://schemas.microsoft.com/office/drawing/2014/main" id="{FCD86801-FD54-35BF-B810-B981C37AF873}"/>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2378" name="Cross_E42">
          <a:extLst>
            <a:ext uri="{FF2B5EF4-FFF2-40B4-BE49-F238E27FC236}">
              <a16:creationId xmlns:a16="http://schemas.microsoft.com/office/drawing/2014/main" id="{E3AD455F-3609-9564-8136-8C73A4E4E020}"/>
            </a:ext>
          </a:extLst>
        </xdr:cNvPr>
        <xdr:cNvGrpSpPr/>
      </xdr:nvGrpSpPr>
      <xdr:grpSpPr>
        <a:xfrm>
          <a:off x="2842260" y="7970520"/>
          <a:ext cx="601980" cy="167640"/>
          <a:chOff x="2842260" y="7970520"/>
          <a:chExt cx="601980" cy="167640"/>
        </a:xfrm>
      </xdr:grpSpPr>
      <xdr:cxnSp macro="">
        <xdr:nvCxnSpPr>
          <xdr:cNvPr id="2376" name="Gerader Verbinder 2375">
            <a:extLst>
              <a:ext uri="{FF2B5EF4-FFF2-40B4-BE49-F238E27FC236}">
                <a16:creationId xmlns:a16="http://schemas.microsoft.com/office/drawing/2014/main" id="{E30A9773-F307-0FF0-7121-D719E4E5725C}"/>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7" name="Gerader Verbinder 2376">
            <a:extLst>
              <a:ext uri="{FF2B5EF4-FFF2-40B4-BE49-F238E27FC236}">
                <a16:creationId xmlns:a16="http://schemas.microsoft.com/office/drawing/2014/main" id="{5BA1A83D-E6F7-5427-BCC5-4A5CFFD1CE08}"/>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2381" name="Cross_E43">
          <a:extLst>
            <a:ext uri="{FF2B5EF4-FFF2-40B4-BE49-F238E27FC236}">
              <a16:creationId xmlns:a16="http://schemas.microsoft.com/office/drawing/2014/main" id="{87FBE858-AC09-B95F-4560-400C5AAD3326}"/>
            </a:ext>
          </a:extLst>
        </xdr:cNvPr>
        <xdr:cNvGrpSpPr/>
      </xdr:nvGrpSpPr>
      <xdr:grpSpPr>
        <a:xfrm>
          <a:off x="2842260" y="8138160"/>
          <a:ext cx="601980" cy="228600"/>
          <a:chOff x="2842260" y="8138160"/>
          <a:chExt cx="601980" cy="228600"/>
        </a:xfrm>
      </xdr:grpSpPr>
      <xdr:cxnSp macro="">
        <xdr:nvCxnSpPr>
          <xdr:cNvPr id="2379" name="Gerader Verbinder 2378">
            <a:extLst>
              <a:ext uri="{FF2B5EF4-FFF2-40B4-BE49-F238E27FC236}">
                <a16:creationId xmlns:a16="http://schemas.microsoft.com/office/drawing/2014/main" id="{4EFAB1EE-18EC-56A1-4B94-8C23940267A8}"/>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80" name="Gerader Verbinder 2379">
            <a:extLst>
              <a:ext uri="{FF2B5EF4-FFF2-40B4-BE49-F238E27FC236}">
                <a16:creationId xmlns:a16="http://schemas.microsoft.com/office/drawing/2014/main" id="{260E6474-259C-7973-E5C9-0E0D98034CA3}"/>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2384" name="Cross_E44">
          <a:extLst>
            <a:ext uri="{FF2B5EF4-FFF2-40B4-BE49-F238E27FC236}">
              <a16:creationId xmlns:a16="http://schemas.microsoft.com/office/drawing/2014/main" id="{8095CB16-D08B-CA6A-4C2D-DCDB016101E3}"/>
            </a:ext>
          </a:extLst>
        </xdr:cNvPr>
        <xdr:cNvGrpSpPr/>
      </xdr:nvGrpSpPr>
      <xdr:grpSpPr>
        <a:xfrm>
          <a:off x="2842260" y="8366760"/>
          <a:ext cx="601980" cy="167640"/>
          <a:chOff x="2842260" y="8366760"/>
          <a:chExt cx="601980" cy="167640"/>
        </a:xfrm>
      </xdr:grpSpPr>
      <xdr:cxnSp macro="">
        <xdr:nvCxnSpPr>
          <xdr:cNvPr id="2382" name="Gerader Verbinder 2381">
            <a:extLst>
              <a:ext uri="{FF2B5EF4-FFF2-40B4-BE49-F238E27FC236}">
                <a16:creationId xmlns:a16="http://schemas.microsoft.com/office/drawing/2014/main" id="{B5908A09-F85D-AB4A-6BC6-17AF47836B14}"/>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83" name="Gerader Verbinder 2382">
            <a:extLst>
              <a:ext uri="{FF2B5EF4-FFF2-40B4-BE49-F238E27FC236}">
                <a16:creationId xmlns:a16="http://schemas.microsoft.com/office/drawing/2014/main" id="{0295877B-0B25-7D05-81FF-B66093800CD3}"/>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2387" name="Cross_E45">
          <a:extLst>
            <a:ext uri="{FF2B5EF4-FFF2-40B4-BE49-F238E27FC236}">
              <a16:creationId xmlns:a16="http://schemas.microsoft.com/office/drawing/2014/main" id="{D347F41E-6791-E75C-29F9-81760B30915C}"/>
            </a:ext>
          </a:extLst>
        </xdr:cNvPr>
        <xdr:cNvGrpSpPr/>
      </xdr:nvGrpSpPr>
      <xdr:grpSpPr>
        <a:xfrm>
          <a:off x="2842260" y="8534400"/>
          <a:ext cx="601980" cy="167640"/>
          <a:chOff x="2842260" y="8534400"/>
          <a:chExt cx="601980" cy="167640"/>
        </a:xfrm>
      </xdr:grpSpPr>
      <xdr:cxnSp macro="">
        <xdr:nvCxnSpPr>
          <xdr:cNvPr id="2385" name="Gerader Verbinder 2384">
            <a:extLst>
              <a:ext uri="{FF2B5EF4-FFF2-40B4-BE49-F238E27FC236}">
                <a16:creationId xmlns:a16="http://schemas.microsoft.com/office/drawing/2014/main" id="{7884B48D-F44D-E4B0-DE8B-EAF4C6A627B9}"/>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86" name="Gerader Verbinder 2385">
            <a:extLst>
              <a:ext uri="{FF2B5EF4-FFF2-40B4-BE49-F238E27FC236}">
                <a16:creationId xmlns:a16="http://schemas.microsoft.com/office/drawing/2014/main" id="{2164331D-A62D-1FAE-F324-FC6A3ECC2025}"/>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2390" name="Cross_E46">
          <a:extLst>
            <a:ext uri="{FF2B5EF4-FFF2-40B4-BE49-F238E27FC236}">
              <a16:creationId xmlns:a16="http://schemas.microsoft.com/office/drawing/2014/main" id="{CABDEB17-8EDF-7EDB-20D4-9D6CD6F856F2}"/>
            </a:ext>
          </a:extLst>
        </xdr:cNvPr>
        <xdr:cNvGrpSpPr/>
      </xdr:nvGrpSpPr>
      <xdr:grpSpPr>
        <a:xfrm>
          <a:off x="2842260" y="8702040"/>
          <a:ext cx="601980" cy="228600"/>
          <a:chOff x="2842260" y="8702040"/>
          <a:chExt cx="601980" cy="228600"/>
        </a:xfrm>
      </xdr:grpSpPr>
      <xdr:cxnSp macro="">
        <xdr:nvCxnSpPr>
          <xdr:cNvPr id="2388" name="Gerader Verbinder 2387">
            <a:extLst>
              <a:ext uri="{FF2B5EF4-FFF2-40B4-BE49-F238E27FC236}">
                <a16:creationId xmlns:a16="http://schemas.microsoft.com/office/drawing/2014/main" id="{61908DC4-9364-288C-3089-B3F2D00C260C}"/>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89" name="Gerader Verbinder 2388">
            <a:extLst>
              <a:ext uri="{FF2B5EF4-FFF2-40B4-BE49-F238E27FC236}">
                <a16:creationId xmlns:a16="http://schemas.microsoft.com/office/drawing/2014/main" id="{91D6E227-5EAC-5426-49B0-CB2DE1CEA74F}"/>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2393" name="Cross_E47">
          <a:extLst>
            <a:ext uri="{FF2B5EF4-FFF2-40B4-BE49-F238E27FC236}">
              <a16:creationId xmlns:a16="http://schemas.microsoft.com/office/drawing/2014/main" id="{35C676F8-28F0-061B-D3F8-65E349BE40A2}"/>
            </a:ext>
          </a:extLst>
        </xdr:cNvPr>
        <xdr:cNvGrpSpPr/>
      </xdr:nvGrpSpPr>
      <xdr:grpSpPr>
        <a:xfrm>
          <a:off x="2842260" y="8930640"/>
          <a:ext cx="601980" cy="167640"/>
          <a:chOff x="2842260" y="8930640"/>
          <a:chExt cx="601980" cy="167640"/>
        </a:xfrm>
      </xdr:grpSpPr>
      <xdr:cxnSp macro="">
        <xdr:nvCxnSpPr>
          <xdr:cNvPr id="2391" name="Gerader Verbinder 2390">
            <a:extLst>
              <a:ext uri="{FF2B5EF4-FFF2-40B4-BE49-F238E27FC236}">
                <a16:creationId xmlns:a16="http://schemas.microsoft.com/office/drawing/2014/main" id="{807D5BD8-1726-64FB-8C19-C236A5B5F238}"/>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92" name="Gerader Verbinder 2391">
            <a:extLst>
              <a:ext uri="{FF2B5EF4-FFF2-40B4-BE49-F238E27FC236}">
                <a16:creationId xmlns:a16="http://schemas.microsoft.com/office/drawing/2014/main" id="{486B805F-6C50-757A-B1AA-23F3F9406010}"/>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2396" name="Cross_E48">
          <a:extLst>
            <a:ext uri="{FF2B5EF4-FFF2-40B4-BE49-F238E27FC236}">
              <a16:creationId xmlns:a16="http://schemas.microsoft.com/office/drawing/2014/main" id="{0802DE7D-6F7B-1F82-3433-0477A5F4F29C}"/>
            </a:ext>
          </a:extLst>
        </xdr:cNvPr>
        <xdr:cNvGrpSpPr/>
      </xdr:nvGrpSpPr>
      <xdr:grpSpPr>
        <a:xfrm>
          <a:off x="2842260" y="9098280"/>
          <a:ext cx="601980" cy="167640"/>
          <a:chOff x="2842260" y="9098280"/>
          <a:chExt cx="601980" cy="167640"/>
        </a:xfrm>
      </xdr:grpSpPr>
      <xdr:cxnSp macro="">
        <xdr:nvCxnSpPr>
          <xdr:cNvPr id="2394" name="Gerader Verbinder 2393">
            <a:extLst>
              <a:ext uri="{FF2B5EF4-FFF2-40B4-BE49-F238E27FC236}">
                <a16:creationId xmlns:a16="http://schemas.microsoft.com/office/drawing/2014/main" id="{29759836-663C-A27F-E1B0-7EA59E85295E}"/>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95" name="Gerader Verbinder 2394">
            <a:extLst>
              <a:ext uri="{FF2B5EF4-FFF2-40B4-BE49-F238E27FC236}">
                <a16:creationId xmlns:a16="http://schemas.microsoft.com/office/drawing/2014/main" id="{660F8F2B-CA30-ACA4-BB8E-460BA024B3AE}"/>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2399" name="Cross_E55">
          <a:extLst>
            <a:ext uri="{FF2B5EF4-FFF2-40B4-BE49-F238E27FC236}">
              <a16:creationId xmlns:a16="http://schemas.microsoft.com/office/drawing/2014/main" id="{DACAB52C-C15D-15DD-C69F-E403DDE1F9AB}"/>
            </a:ext>
          </a:extLst>
        </xdr:cNvPr>
        <xdr:cNvGrpSpPr/>
      </xdr:nvGrpSpPr>
      <xdr:grpSpPr>
        <a:xfrm>
          <a:off x="2842260" y="10393680"/>
          <a:ext cx="601980" cy="228600"/>
          <a:chOff x="2842260" y="10393680"/>
          <a:chExt cx="601980" cy="228600"/>
        </a:xfrm>
      </xdr:grpSpPr>
      <xdr:cxnSp macro="">
        <xdr:nvCxnSpPr>
          <xdr:cNvPr id="2397" name="Gerader Verbinder 2396">
            <a:extLst>
              <a:ext uri="{FF2B5EF4-FFF2-40B4-BE49-F238E27FC236}">
                <a16:creationId xmlns:a16="http://schemas.microsoft.com/office/drawing/2014/main" id="{6A4571EB-46BC-32AD-FC5F-6E533F18F2E5}"/>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98" name="Gerader Verbinder 2397">
            <a:extLst>
              <a:ext uri="{FF2B5EF4-FFF2-40B4-BE49-F238E27FC236}">
                <a16:creationId xmlns:a16="http://schemas.microsoft.com/office/drawing/2014/main" id="{401526AA-42C8-FC58-8C1D-C9B6E180A1F2}"/>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2402" name="Cross_E56">
          <a:extLst>
            <a:ext uri="{FF2B5EF4-FFF2-40B4-BE49-F238E27FC236}">
              <a16:creationId xmlns:a16="http://schemas.microsoft.com/office/drawing/2014/main" id="{518DE1F6-4386-A2A8-2802-43A8F9F153ED}"/>
            </a:ext>
          </a:extLst>
        </xdr:cNvPr>
        <xdr:cNvGrpSpPr/>
      </xdr:nvGrpSpPr>
      <xdr:grpSpPr>
        <a:xfrm>
          <a:off x="2842260" y="10622280"/>
          <a:ext cx="601980" cy="167640"/>
          <a:chOff x="2842260" y="10622280"/>
          <a:chExt cx="601980" cy="167640"/>
        </a:xfrm>
      </xdr:grpSpPr>
      <xdr:cxnSp macro="">
        <xdr:nvCxnSpPr>
          <xdr:cNvPr id="2400" name="Gerader Verbinder 2399">
            <a:extLst>
              <a:ext uri="{FF2B5EF4-FFF2-40B4-BE49-F238E27FC236}">
                <a16:creationId xmlns:a16="http://schemas.microsoft.com/office/drawing/2014/main" id="{6A160DFC-DF56-7AF2-8E37-054606B9F903}"/>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1" name="Gerader Verbinder 2400">
            <a:extLst>
              <a:ext uri="{FF2B5EF4-FFF2-40B4-BE49-F238E27FC236}">
                <a16:creationId xmlns:a16="http://schemas.microsoft.com/office/drawing/2014/main" id="{4FE38AED-A5F4-F57D-5FDF-B32E6D230CF9}"/>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2405" name="Cross_E57">
          <a:extLst>
            <a:ext uri="{FF2B5EF4-FFF2-40B4-BE49-F238E27FC236}">
              <a16:creationId xmlns:a16="http://schemas.microsoft.com/office/drawing/2014/main" id="{4DE833E0-F0C5-3C34-5C27-17742EDC8595}"/>
            </a:ext>
          </a:extLst>
        </xdr:cNvPr>
        <xdr:cNvGrpSpPr/>
      </xdr:nvGrpSpPr>
      <xdr:grpSpPr>
        <a:xfrm>
          <a:off x="2842260" y="10789920"/>
          <a:ext cx="601980" cy="167640"/>
          <a:chOff x="2842260" y="10789920"/>
          <a:chExt cx="601980" cy="167640"/>
        </a:xfrm>
      </xdr:grpSpPr>
      <xdr:cxnSp macro="">
        <xdr:nvCxnSpPr>
          <xdr:cNvPr id="2403" name="Gerader Verbinder 2402">
            <a:extLst>
              <a:ext uri="{FF2B5EF4-FFF2-40B4-BE49-F238E27FC236}">
                <a16:creationId xmlns:a16="http://schemas.microsoft.com/office/drawing/2014/main" id="{0657091F-5478-331F-67C3-F1FD8A6E456D}"/>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4" name="Gerader Verbinder 2403">
            <a:extLst>
              <a:ext uri="{FF2B5EF4-FFF2-40B4-BE49-F238E27FC236}">
                <a16:creationId xmlns:a16="http://schemas.microsoft.com/office/drawing/2014/main" id="{F0CB8845-E438-7E63-2EA5-C068A62CAA2E}"/>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2408" name="Cross_E58">
          <a:extLst>
            <a:ext uri="{FF2B5EF4-FFF2-40B4-BE49-F238E27FC236}">
              <a16:creationId xmlns:a16="http://schemas.microsoft.com/office/drawing/2014/main" id="{0A1AAF29-AE5D-198D-D495-26D606C7D99F}"/>
            </a:ext>
          </a:extLst>
        </xdr:cNvPr>
        <xdr:cNvGrpSpPr/>
      </xdr:nvGrpSpPr>
      <xdr:grpSpPr>
        <a:xfrm>
          <a:off x="2842260" y="10957560"/>
          <a:ext cx="601980" cy="228600"/>
          <a:chOff x="2842260" y="10957560"/>
          <a:chExt cx="601980" cy="228600"/>
        </a:xfrm>
      </xdr:grpSpPr>
      <xdr:cxnSp macro="">
        <xdr:nvCxnSpPr>
          <xdr:cNvPr id="2406" name="Gerader Verbinder 2405">
            <a:extLst>
              <a:ext uri="{FF2B5EF4-FFF2-40B4-BE49-F238E27FC236}">
                <a16:creationId xmlns:a16="http://schemas.microsoft.com/office/drawing/2014/main" id="{A1F24086-3F21-B5D2-6181-90CCB6BE789D}"/>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7" name="Gerader Verbinder 2406">
            <a:extLst>
              <a:ext uri="{FF2B5EF4-FFF2-40B4-BE49-F238E27FC236}">
                <a16:creationId xmlns:a16="http://schemas.microsoft.com/office/drawing/2014/main" id="{DB3B11C9-D67D-1EFF-C5D7-B9F86F614339}"/>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2411" name="Cross_E59">
          <a:extLst>
            <a:ext uri="{FF2B5EF4-FFF2-40B4-BE49-F238E27FC236}">
              <a16:creationId xmlns:a16="http://schemas.microsoft.com/office/drawing/2014/main" id="{FA2CEC2B-B6BE-0D95-83AC-C4E23AF47EED}"/>
            </a:ext>
          </a:extLst>
        </xdr:cNvPr>
        <xdr:cNvGrpSpPr/>
      </xdr:nvGrpSpPr>
      <xdr:grpSpPr>
        <a:xfrm>
          <a:off x="2842260" y="11186160"/>
          <a:ext cx="601980" cy="167640"/>
          <a:chOff x="2842260" y="11186160"/>
          <a:chExt cx="601980" cy="167640"/>
        </a:xfrm>
      </xdr:grpSpPr>
      <xdr:cxnSp macro="">
        <xdr:nvCxnSpPr>
          <xdr:cNvPr id="2409" name="Gerader Verbinder 2408">
            <a:extLst>
              <a:ext uri="{FF2B5EF4-FFF2-40B4-BE49-F238E27FC236}">
                <a16:creationId xmlns:a16="http://schemas.microsoft.com/office/drawing/2014/main" id="{6E114A12-5CAF-DD9B-996D-44C4B1CF70BD}"/>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10" name="Gerader Verbinder 2409">
            <a:extLst>
              <a:ext uri="{FF2B5EF4-FFF2-40B4-BE49-F238E27FC236}">
                <a16:creationId xmlns:a16="http://schemas.microsoft.com/office/drawing/2014/main" id="{679CEF65-D452-86C0-6E93-5BBD032FFB48}"/>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2414" name="Cross_E60">
          <a:extLst>
            <a:ext uri="{FF2B5EF4-FFF2-40B4-BE49-F238E27FC236}">
              <a16:creationId xmlns:a16="http://schemas.microsoft.com/office/drawing/2014/main" id="{7189A7BC-9A3B-B0F9-0F1E-10ACBCB14055}"/>
            </a:ext>
          </a:extLst>
        </xdr:cNvPr>
        <xdr:cNvGrpSpPr/>
      </xdr:nvGrpSpPr>
      <xdr:grpSpPr>
        <a:xfrm>
          <a:off x="2842260" y="11353800"/>
          <a:ext cx="601980" cy="167640"/>
          <a:chOff x="2842260" y="11353800"/>
          <a:chExt cx="601980" cy="167640"/>
        </a:xfrm>
      </xdr:grpSpPr>
      <xdr:cxnSp macro="">
        <xdr:nvCxnSpPr>
          <xdr:cNvPr id="2412" name="Gerader Verbinder 2411">
            <a:extLst>
              <a:ext uri="{FF2B5EF4-FFF2-40B4-BE49-F238E27FC236}">
                <a16:creationId xmlns:a16="http://schemas.microsoft.com/office/drawing/2014/main" id="{994CA8CB-EFA5-3ADF-BCD5-A8A602462963}"/>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13" name="Gerader Verbinder 2412">
            <a:extLst>
              <a:ext uri="{FF2B5EF4-FFF2-40B4-BE49-F238E27FC236}">
                <a16:creationId xmlns:a16="http://schemas.microsoft.com/office/drawing/2014/main" id="{A0690A7D-F44B-492E-A435-37FA0B22D3C5}"/>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2417" name="Cross_E61">
          <a:extLst>
            <a:ext uri="{FF2B5EF4-FFF2-40B4-BE49-F238E27FC236}">
              <a16:creationId xmlns:a16="http://schemas.microsoft.com/office/drawing/2014/main" id="{04508648-0179-46F9-B8F8-3D0F8B9E4075}"/>
            </a:ext>
          </a:extLst>
        </xdr:cNvPr>
        <xdr:cNvGrpSpPr/>
      </xdr:nvGrpSpPr>
      <xdr:grpSpPr>
        <a:xfrm>
          <a:off x="2842260" y="11521440"/>
          <a:ext cx="601980" cy="228600"/>
          <a:chOff x="2842260" y="11521440"/>
          <a:chExt cx="601980" cy="228600"/>
        </a:xfrm>
      </xdr:grpSpPr>
      <xdr:cxnSp macro="">
        <xdr:nvCxnSpPr>
          <xdr:cNvPr id="2415" name="Gerader Verbinder 2414">
            <a:extLst>
              <a:ext uri="{FF2B5EF4-FFF2-40B4-BE49-F238E27FC236}">
                <a16:creationId xmlns:a16="http://schemas.microsoft.com/office/drawing/2014/main" id="{A30A968A-63A9-4E31-0C5A-D94B16450C9A}"/>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16" name="Gerader Verbinder 2415">
            <a:extLst>
              <a:ext uri="{FF2B5EF4-FFF2-40B4-BE49-F238E27FC236}">
                <a16:creationId xmlns:a16="http://schemas.microsoft.com/office/drawing/2014/main" id="{A6397806-138A-71E0-C561-B2E4927DD6FD}"/>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2420" name="Cross_E62">
          <a:extLst>
            <a:ext uri="{FF2B5EF4-FFF2-40B4-BE49-F238E27FC236}">
              <a16:creationId xmlns:a16="http://schemas.microsoft.com/office/drawing/2014/main" id="{BCF37FB8-54B0-F577-AB4A-667590BDE121}"/>
            </a:ext>
          </a:extLst>
        </xdr:cNvPr>
        <xdr:cNvGrpSpPr/>
      </xdr:nvGrpSpPr>
      <xdr:grpSpPr>
        <a:xfrm>
          <a:off x="2842260" y="11750040"/>
          <a:ext cx="601980" cy="167640"/>
          <a:chOff x="2842260" y="11750040"/>
          <a:chExt cx="601980" cy="167640"/>
        </a:xfrm>
      </xdr:grpSpPr>
      <xdr:cxnSp macro="">
        <xdr:nvCxnSpPr>
          <xdr:cNvPr id="2418" name="Gerader Verbinder 2417">
            <a:extLst>
              <a:ext uri="{FF2B5EF4-FFF2-40B4-BE49-F238E27FC236}">
                <a16:creationId xmlns:a16="http://schemas.microsoft.com/office/drawing/2014/main" id="{40442FAC-CC97-0CD6-8943-695B0D353112}"/>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19" name="Gerader Verbinder 2418">
            <a:extLst>
              <a:ext uri="{FF2B5EF4-FFF2-40B4-BE49-F238E27FC236}">
                <a16:creationId xmlns:a16="http://schemas.microsoft.com/office/drawing/2014/main" id="{251CEDE6-7631-6347-BE6F-18DC60EF1A3A}"/>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2423" name="Cross_E63">
          <a:extLst>
            <a:ext uri="{FF2B5EF4-FFF2-40B4-BE49-F238E27FC236}">
              <a16:creationId xmlns:a16="http://schemas.microsoft.com/office/drawing/2014/main" id="{D710CDAE-794E-47FA-6510-1B2D976C921B}"/>
            </a:ext>
          </a:extLst>
        </xdr:cNvPr>
        <xdr:cNvGrpSpPr/>
      </xdr:nvGrpSpPr>
      <xdr:grpSpPr>
        <a:xfrm>
          <a:off x="2842260" y="11917680"/>
          <a:ext cx="601980" cy="167640"/>
          <a:chOff x="2842260" y="11917680"/>
          <a:chExt cx="601980" cy="167640"/>
        </a:xfrm>
      </xdr:grpSpPr>
      <xdr:cxnSp macro="">
        <xdr:nvCxnSpPr>
          <xdr:cNvPr id="2421" name="Gerader Verbinder 2420">
            <a:extLst>
              <a:ext uri="{FF2B5EF4-FFF2-40B4-BE49-F238E27FC236}">
                <a16:creationId xmlns:a16="http://schemas.microsoft.com/office/drawing/2014/main" id="{0C82D7DB-C297-0CDC-63ED-BA5406FFED07}"/>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22" name="Gerader Verbinder 2421">
            <a:extLst>
              <a:ext uri="{FF2B5EF4-FFF2-40B4-BE49-F238E27FC236}">
                <a16:creationId xmlns:a16="http://schemas.microsoft.com/office/drawing/2014/main" id="{0E7804CA-F4DD-0109-9486-4798EB5CB77B}"/>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2426" name="Cross_E70">
          <a:extLst>
            <a:ext uri="{FF2B5EF4-FFF2-40B4-BE49-F238E27FC236}">
              <a16:creationId xmlns:a16="http://schemas.microsoft.com/office/drawing/2014/main" id="{31BE6C90-8CC1-755F-7D0F-3E5B9AB36FD2}"/>
            </a:ext>
          </a:extLst>
        </xdr:cNvPr>
        <xdr:cNvGrpSpPr/>
      </xdr:nvGrpSpPr>
      <xdr:grpSpPr>
        <a:xfrm>
          <a:off x="2842260" y="13213080"/>
          <a:ext cx="601980" cy="228600"/>
          <a:chOff x="2842260" y="13213080"/>
          <a:chExt cx="601980" cy="228600"/>
        </a:xfrm>
      </xdr:grpSpPr>
      <xdr:cxnSp macro="">
        <xdr:nvCxnSpPr>
          <xdr:cNvPr id="2424" name="Gerader Verbinder 2423">
            <a:extLst>
              <a:ext uri="{FF2B5EF4-FFF2-40B4-BE49-F238E27FC236}">
                <a16:creationId xmlns:a16="http://schemas.microsoft.com/office/drawing/2014/main" id="{D17A38EC-3728-577B-D2F7-3BD3161C6C46}"/>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25" name="Gerader Verbinder 2424">
            <a:extLst>
              <a:ext uri="{FF2B5EF4-FFF2-40B4-BE49-F238E27FC236}">
                <a16:creationId xmlns:a16="http://schemas.microsoft.com/office/drawing/2014/main" id="{92E81FD1-1C02-180E-AE7C-6DFED659ED30}"/>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2429" name="Cross_E71">
          <a:extLst>
            <a:ext uri="{FF2B5EF4-FFF2-40B4-BE49-F238E27FC236}">
              <a16:creationId xmlns:a16="http://schemas.microsoft.com/office/drawing/2014/main" id="{1264690B-223E-26BA-B741-A70BDB5512E4}"/>
            </a:ext>
          </a:extLst>
        </xdr:cNvPr>
        <xdr:cNvGrpSpPr/>
      </xdr:nvGrpSpPr>
      <xdr:grpSpPr>
        <a:xfrm>
          <a:off x="2842260" y="13441680"/>
          <a:ext cx="601980" cy="167640"/>
          <a:chOff x="2842260" y="13441680"/>
          <a:chExt cx="601980" cy="167640"/>
        </a:xfrm>
      </xdr:grpSpPr>
      <xdr:cxnSp macro="">
        <xdr:nvCxnSpPr>
          <xdr:cNvPr id="2427" name="Gerader Verbinder 2426">
            <a:extLst>
              <a:ext uri="{FF2B5EF4-FFF2-40B4-BE49-F238E27FC236}">
                <a16:creationId xmlns:a16="http://schemas.microsoft.com/office/drawing/2014/main" id="{A1DA13E4-C7E5-4553-202D-9A67B8443E39}"/>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28" name="Gerader Verbinder 2427">
            <a:extLst>
              <a:ext uri="{FF2B5EF4-FFF2-40B4-BE49-F238E27FC236}">
                <a16:creationId xmlns:a16="http://schemas.microsoft.com/office/drawing/2014/main" id="{794AD8B8-709C-D2D2-4088-8E0E2027871D}"/>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2432" name="Cross_E72">
          <a:extLst>
            <a:ext uri="{FF2B5EF4-FFF2-40B4-BE49-F238E27FC236}">
              <a16:creationId xmlns:a16="http://schemas.microsoft.com/office/drawing/2014/main" id="{AA6059C2-5B49-EE62-4E02-B647924CF4C2}"/>
            </a:ext>
          </a:extLst>
        </xdr:cNvPr>
        <xdr:cNvGrpSpPr/>
      </xdr:nvGrpSpPr>
      <xdr:grpSpPr>
        <a:xfrm>
          <a:off x="2842260" y="13609320"/>
          <a:ext cx="601980" cy="167641"/>
          <a:chOff x="2842260" y="13609320"/>
          <a:chExt cx="601980" cy="167641"/>
        </a:xfrm>
      </xdr:grpSpPr>
      <xdr:cxnSp macro="">
        <xdr:nvCxnSpPr>
          <xdr:cNvPr id="2430" name="Gerader Verbinder 2429">
            <a:extLst>
              <a:ext uri="{FF2B5EF4-FFF2-40B4-BE49-F238E27FC236}">
                <a16:creationId xmlns:a16="http://schemas.microsoft.com/office/drawing/2014/main" id="{8EBCEBAE-21B7-B629-E788-20330538E159}"/>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1" name="Gerader Verbinder 2430">
            <a:extLst>
              <a:ext uri="{FF2B5EF4-FFF2-40B4-BE49-F238E27FC236}">
                <a16:creationId xmlns:a16="http://schemas.microsoft.com/office/drawing/2014/main" id="{838CB167-6B81-44C4-ECB8-08E61F6B23E6}"/>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2435" name="Cross_E73">
          <a:extLst>
            <a:ext uri="{FF2B5EF4-FFF2-40B4-BE49-F238E27FC236}">
              <a16:creationId xmlns:a16="http://schemas.microsoft.com/office/drawing/2014/main" id="{FA754863-3588-6A99-CAF0-F742F0A0DB5D}"/>
            </a:ext>
          </a:extLst>
        </xdr:cNvPr>
        <xdr:cNvGrpSpPr/>
      </xdr:nvGrpSpPr>
      <xdr:grpSpPr>
        <a:xfrm>
          <a:off x="2842260" y="13776961"/>
          <a:ext cx="601980" cy="228600"/>
          <a:chOff x="2842260" y="13776961"/>
          <a:chExt cx="601980" cy="228600"/>
        </a:xfrm>
      </xdr:grpSpPr>
      <xdr:cxnSp macro="">
        <xdr:nvCxnSpPr>
          <xdr:cNvPr id="2433" name="Gerader Verbinder 2432">
            <a:extLst>
              <a:ext uri="{FF2B5EF4-FFF2-40B4-BE49-F238E27FC236}">
                <a16:creationId xmlns:a16="http://schemas.microsoft.com/office/drawing/2014/main" id="{F28B6BE9-C19E-495B-D9A9-41565D7AA15D}"/>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4" name="Gerader Verbinder 2433">
            <a:extLst>
              <a:ext uri="{FF2B5EF4-FFF2-40B4-BE49-F238E27FC236}">
                <a16:creationId xmlns:a16="http://schemas.microsoft.com/office/drawing/2014/main" id="{E51842A8-1A51-FB35-1F97-0835CFC0B52D}"/>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2438" name="Cross_E74">
          <a:extLst>
            <a:ext uri="{FF2B5EF4-FFF2-40B4-BE49-F238E27FC236}">
              <a16:creationId xmlns:a16="http://schemas.microsoft.com/office/drawing/2014/main" id="{294372D3-94B2-17ED-ABFD-1C5260A80B78}"/>
            </a:ext>
          </a:extLst>
        </xdr:cNvPr>
        <xdr:cNvGrpSpPr/>
      </xdr:nvGrpSpPr>
      <xdr:grpSpPr>
        <a:xfrm>
          <a:off x="2842260" y="14005561"/>
          <a:ext cx="601980" cy="167639"/>
          <a:chOff x="2842260" y="14005561"/>
          <a:chExt cx="601980" cy="167639"/>
        </a:xfrm>
      </xdr:grpSpPr>
      <xdr:cxnSp macro="">
        <xdr:nvCxnSpPr>
          <xdr:cNvPr id="2436" name="Gerader Verbinder 2435">
            <a:extLst>
              <a:ext uri="{FF2B5EF4-FFF2-40B4-BE49-F238E27FC236}">
                <a16:creationId xmlns:a16="http://schemas.microsoft.com/office/drawing/2014/main" id="{13E9AA11-6F57-0036-8F70-717DC7536E42}"/>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7" name="Gerader Verbinder 2436">
            <a:extLst>
              <a:ext uri="{FF2B5EF4-FFF2-40B4-BE49-F238E27FC236}">
                <a16:creationId xmlns:a16="http://schemas.microsoft.com/office/drawing/2014/main" id="{B78E55E1-E320-68B4-C84D-0E5FBBD54235}"/>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2441" name="Cross_E75">
          <a:extLst>
            <a:ext uri="{FF2B5EF4-FFF2-40B4-BE49-F238E27FC236}">
              <a16:creationId xmlns:a16="http://schemas.microsoft.com/office/drawing/2014/main" id="{1787C8A6-BB03-0097-E85B-D83D7EB15B57}"/>
            </a:ext>
          </a:extLst>
        </xdr:cNvPr>
        <xdr:cNvGrpSpPr/>
      </xdr:nvGrpSpPr>
      <xdr:grpSpPr>
        <a:xfrm>
          <a:off x="2842260" y="14173200"/>
          <a:ext cx="601980" cy="167639"/>
          <a:chOff x="2842260" y="14173200"/>
          <a:chExt cx="601980" cy="167639"/>
        </a:xfrm>
      </xdr:grpSpPr>
      <xdr:cxnSp macro="">
        <xdr:nvCxnSpPr>
          <xdr:cNvPr id="2439" name="Gerader Verbinder 2438">
            <a:extLst>
              <a:ext uri="{FF2B5EF4-FFF2-40B4-BE49-F238E27FC236}">
                <a16:creationId xmlns:a16="http://schemas.microsoft.com/office/drawing/2014/main" id="{9C4BA964-A38C-D01C-28E2-0A4382FC1DB8}"/>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40" name="Gerader Verbinder 2439">
            <a:extLst>
              <a:ext uri="{FF2B5EF4-FFF2-40B4-BE49-F238E27FC236}">
                <a16:creationId xmlns:a16="http://schemas.microsoft.com/office/drawing/2014/main" id="{CA3B5F5A-36F6-9089-B3F0-788F509C374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2444" name="Cross_F10">
          <a:extLst>
            <a:ext uri="{FF2B5EF4-FFF2-40B4-BE49-F238E27FC236}">
              <a16:creationId xmlns:a16="http://schemas.microsoft.com/office/drawing/2014/main" id="{ACEF40E5-657C-768B-73A9-0576007BB33B}"/>
            </a:ext>
          </a:extLst>
        </xdr:cNvPr>
        <xdr:cNvGrpSpPr/>
      </xdr:nvGrpSpPr>
      <xdr:grpSpPr>
        <a:xfrm>
          <a:off x="3444240" y="1935480"/>
          <a:ext cx="601980" cy="228600"/>
          <a:chOff x="3444240" y="1935480"/>
          <a:chExt cx="601980" cy="228600"/>
        </a:xfrm>
      </xdr:grpSpPr>
      <xdr:cxnSp macro="">
        <xdr:nvCxnSpPr>
          <xdr:cNvPr id="2442" name="Gerader Verbinder 2441">
            <a:extLst>
              <a:ext uri="{FF2B5EF4-FFF2-40B4-BE49-F238E27FC236}">
                <a16:creationId xmlns:a16="http://schemas.microsoft.com/office/drawing/2014/main" id="{1EE3990F-7314-DC24-5A61-CB4FCB790344}"/>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43" name="Gerader Verbinder 2442">
            <a:extLst>
              <a:ext uri="{FF2B5EF4-FFF2-40B4-BE49-F238E27FC236}">
                <a16:creationId xmlns:a16="http://schemas.microsoft.com/office/drawing/2014/main" id="{21928680-A4AA-CFA9-3D74-D0A5DEC08B11}"/>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2447" name="Cross_F11">
          <a:extLst>
            <a:ext uri="{FF2B5EF4-FFF2-40B4-BE49-F238E27FC236}">
              <a16:creationId xmlns:a16="http://schemas.microsoft.com/office/drawing/2014/main" id="{EE00C5D6-90CC-06CE-49F4-6397FDC1556E}"/>
            </a:ext>
          </a:extLst>
        </xdr:cNvPr>
        <xdr:cNvGrpSpPr/>
      </xdr:nvGrpSpPr>
      <xdr:grpSpPr>
        <a:xfrm>
          <a:off x="3444240" y="2164080"/>
          <a:ext cx="601980" cy="167640"/>
          <a:chOff x="3444240" y="2164080"/>
          <a:chExt cx="601980" cy="167640"/>
        </a:xfrm>
      </xdr:grpSpPr>
      <xdr:cxnSp macro="">
        <xdr:nvCxnSpPr>
          <xdr:cNvPr id="2445" name="Gerader Verbinder 2444">
            <a:extLst>
              <a:ext uri="{FF2B5EF4-FFF2-40B4-BE49-F238E27FC236}">
                <a16:creationId xmlns:a16="http://schemas.microsoft.com/office/drawing/2014/main" id="{F5B3C9F7-3743-E18D-AF36-BC40EBEA06AB}"/>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46" name="Gerader Verbinder 2445">
            <a:extLst>
              <a:ext uri="{FF2B5EF4-FFF2-40B4-BE49-F238E27FC236}">
                <a16:creationId xmlns:a16="http://schemas.microsoft.com/office/drawing/2014/main" id="{F20F0BEA-713F-D180-C40C-843DB1A4746D}"/>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2450" name="Cross_F12">
          <a:extLst>
            <a:ext uri="{FF2B5EF4-FFF2-40B4-BE49-F238E27FC236}">
              <a16:creationId xmlns:a16="http://schemas.microsoft.com/office/drawing/2014/main" id="{B3A14917-EEF4-A64C-62A0-109D1D260984}"/>
            </a:ext>
          </a:extLst>
        </xdr:cNvPr>
        <xdr:cNvGrpSpPr/>
      </xdr:nvGrpSpPr>
      <xdr:grpSpPr>
        <a:xfrm>
          <a:off x="3444240" y="2331720"/>
          <a:ext cx="601980" cy="167640"/>
          <a:chOff x="3444240" y="2331720"/>
          <a:chExt cx="601980" cy="167640"/>
        </a:xfrm>
      </xdr:grpSpPr>
      <xdr:cxnSp macro="">
        <xdr:nvCxnSpPr>
          <xdr:cNvPr id="2448" name="Gerader Verbinder 2447">
            <a:extLst>
              <a:ext uri="{FF2B5EF4-FFF2-40B4-BE49-F238E27FC236}">
                <a16:creationId xmlns:a16="http://schemas.microsoft.com/office/drawing/2014/main" id="{AA026967-1C08-A31E-0B0C-9A74E3F57313}"/>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49" name="Gerader Verbinder 2448">
            <a:extLst>
              <a:ext uri="{FF2B5EF4-FFF2-40B4-BE49-F238E27FC236}">
                <a16:creationId xmlns:a16="http://schemas.microsoft.com/office/drawing/2014/main" id="{86BFC9D1-C148-3B98-A607-12A884DD1E81}"/>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2453" name="Cross_F13">
          <a:extLst>
            <a:ext uri="{FF2B5EF4-FFF2-40B4-BE49-F238E27FC236}">
              <a16:creationId xmlns:a16="http://schemas.microsoft.com/office/drawing/2014/main" id="{4CF0C58B-FCB7-D766-6786-152B0C43AE96}"/>
            </a:ext>
          </a:extLst>
        </xdr:cNvPr>
        <xdr:cNvGrpSpPr/>
      </xdr:nvGrpSpPr>
      <xdr:grpSpPr>
        <a:xfrm>
          <a:off x="3444240" y="2499360"/>
          <a:ext cx="601980" cy="228600"/>
          <a:chOff x="3444240" y="2499360"/>
          <a:chExt cx="601980" cy="228600"/>
        </a:xfrm>
      </xdr:grpSpPr>
      <xdr:cxnSp macro="">
        <xdr:nvCxnSpPr>
          <xdr:cNvPr id="2451" name="Gerader Verbinder 2450">
            <a:extLst>
              <a:ext uri="{FF2B5EF4-FFF2-40B4-BE49-F238E27FC236}">
                <a16:creationId xmlns:a16="http://schemas.microsoft.com/office/drawing/2014/main" id="{56C1ADC5-0F19-DD30-1780-EDACEE6F1FED}"/>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52" name="Gerader Verbinder 2451">
            <a:extLst>
              <a:ext uri="{FF2B5EF4-FFF2-40B4-BE49-F238E27FC236}">
                <a16:creationId xmlns:a16="http://schemas.microsoft.com/office/drawing/2014/main" id="{4297671D-790C-91B6-29D4-2E3C06C1A899}"/>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2456" name="Cross_F14">
          <a:extLst>
            <a:ext uri="{FF2B5EF4-FFF2-40B4-BE49-F238E27FC236}">
              <a16:creationId xmlns:a16="http://schemas.microsoft.com/office/drawing/2014/main" id="{6DD0CD88-0047-BEB6-6C70-B57A474AD62D}"/>
            </a:ext>
          </a:extLst>
        </xdr:cNvPr>
        <xdr:cNvGrpSpPr/>
      </xdr:nvGrpSpPr>
      <xdr:grpSpPr>
        <a:xfrm>
          <a:off x="3444240" y="2727960"/>
          <a:ext cx="601980" cy="167640"/>
          <a:chOff x="3444240" y="2727960"/>
          <a:chExt cx="601980" cy="167640"/>
        </a:xfrm>
      </xdr:grpSpPr>
      <xdr:cxnSp macro="">
        <xdr:nvCxnSpPr>
          <xdr:cNvPr id="2454" name="Gerader Verbinder 2453">
            <a:extLst>
              <a:ext uri="{FF2B5EF4-FFF2-40B4-BE49-F238E27FC236}">
                <a16:creationId xmlns:a16="http://schemas.microsoft.com/office/drawing/2014/main" id="{62D21B70-2FAE-9E78-224A-7DAE61344EB8}"/>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55" name="Gerader Verbinder 2454">
            <a:extLst>
              <a:ext uri="{FF2B5EF4-FFF2-40B4-BE49-F238E27FC236}">
                <a16:creationId xmlns:a16="http://schemas.microsoft.com/office/drawing/2014/main" id="{77C1636A-F0C2-B2E0-B3E7-9D75FA8C828F}"/>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2459" name="Cross_F15">
          <a:extLst>
            <a:ext uri="{FF2B5EF4-FFF2-40B4-BE49-F238E27FC236}">
              <a16:creationId xmlns:a16="http://schemas.microsoft.com/office/drawing/2014/main" id="{E7F8FC44-5B68-4642-55C9-2067C6CD4A3B}"/>
            </a:ext>
          </a:extLst>
        </xdr:cNvPr>
        <xdr:cNvGrpSpPr/>
      </xdr:nvGrpSpPr>
      <xdr:grpSpPr>
        <a:xfrm>
          <a:off x="3444240" y="2895600"/>
          <a:ext cx="601980" cy="167640"/>
          <a:chOff x="3444240" y="2895600"/>
          <a:chExt cx="601980" cy="167640"/>
        </a:xfrm>
      </xdr:grpSpPr>
      <xdr:cxnSp macro="">
        <xdr:nvCxnSpPr>
          <xdr:cNvPr id="2457" name="Gerader Verbinder 2456">
            <a:extLst>
              <a:ext uri="{FF2B5EF4-FFF2-40B4-BE49-F238E27FC236}">
                <a16:creationId xmlns:a16="http://schemas.microsoft.com/office/drawing/2014/main" id="{2F191F7C-C2E8-ABB1-97D5-41BBA8EC8F75}"/>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58" name="Gerader Verbinder 2457">
            <a:extLst>
              <a:ext uri="{FF2B5EF4-FFF2-40B4-BE49-F238E27FC236}">
                <a16:creationId xmlns:a16="http://schemas.microsoft.com/office/drawing/2014/main" id="{93673773-D526-C667-6F1B-D3648A6B9B15}"/>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2462" name="Cross_F19">
          <a:extLst>
            <a:ext uri="{FF2B5EF4-FFF2-40B4-BE49-F238E27FC236}">
              <a16:creationId xmlns:a16="http://schemas.microsoft.com/office/drawing/2014/main" id="{41F13A47-A668-DCDF-7BB5-3C270CB313CF}"/>
            </a:ext>
          </a:extLst>
        </xdr:cNvPr>
        <xdr:cNvGrpSpPr/>
      </xdr:nvGrpSpPr>
      <xdr:grpSpPr>
        <a:xfrm>
          <a:off x="3444240" y="3627120"/>
          <a:ext cx="601980" cy="228600"/>
          <a:chOff x="3444240" y="3627120"/>
          <a:chExt cx="601980" cy="228600"/>
        </a:xfrm>
      </xdr:grpSpPr>
      <xdr:cxnSp macro="">
        <xdr:nvCxnSpPr>
          <xdr:cNvPr id="2460" name="Gerader Verbinder 2459">
            <a:extLst>
              <a:ext uri="{FF2B5EF4-FFF2-40B4-BE49-F238E27FC236}">
                <a16:creationId xmlns:a16="http://schemas.microsoft.com/office/drawing/2014/main" id="{0B2544D1-4416-9F77-EA20-07AA3956AC3D}"/>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1" name="Gerader Verbinder 2460">
            <a:extLst>
              <a:ext uri="{FF2B5EF4-FFF2-40B4-BE49-F238E27FC236}">
                <a16:creationId xmlns:a16="http://schemas.microsoft.com/office/drawing/2014/main" id="{57C5A56E-B819-2F4D-A3B2-BEE4EF854E8B}"/>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2465" name="Cross_F20">
          <a:extLst>
            <a:ext uri="{FF2B5EF4-FFF2-40B4-BE49-F238E27FC236}">
              <a16:creationId xmlns:a16="http://schemas.microsoft.com/office/drawing/2014/main" id="{8BDF4E0E-A799-43CB-3640-10BEB7E3AA1C}"/>
            </a:ext>
          </a:extLst>
        </xdr:cNvPr>
        <xdr:cNvGrpSpPr/>
      </xdr:nvGrpSpPr>
      <xdr:grpSpPr>
        <a:xfrm>
          <a:off x="3444240" y="3855720"/>
          <a:ext cx="601980" cy="167640"/>
          <a:chOff x="3444240" y="3855720"/>
          <a:chExt cx="601980" cy="167640"/>
        </a:xfrm>
      </xdr:grpSpPr>
      <xdr:cxnSp macro="">
        <xdr:nvCxnSpPr>
          <xdr:cNvPr id="2463" name="Gerader Verbinder 2462">
            <a:extLst>
              <a:ext uri="{FF2B5EF4-FFF2-40B4-BE49-F238E27FC236}">
                <a16:creationId xmlns:a16="http://schemas.microsoft.com/office/drawing/2014/main" id="{5D818B65-0712-3329-9452-B83018D29EAA}"/>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4" name="Gerader Verbinder 2463">
            <a:extLst>
              <a:ext uri="{FF2B5EF4-FFF2-40B4-BE49-F238E27FC236}">
                <a16:creationId xmlns:a16="http://schemas.microsoft.com/office/drawing/2014/main" id="{68B026B1-5D31-EF2F-FFDB-BA58DA43CA4E}"/>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2468" name="Cross_F21">
          <a:extLst>
            <a:ext uri="{FF2B5EF4-FFF2-40B4-BE49-F238E27FC236}">
              <a16:creationId xmlns:a16="http://schemas.microsoft.com/office/drawing/2014/main" id="{242DAB3B-3E52-163C-B182-6655FCD4303B}"/>
            </a:ext>
          </a:extLst>
        </xdr:cNvPr>
        <xdr:cNvGrpSpPr/>
      </xdr:nvGrpSpPr>
      <xdr:grpSpPr>
        <a:xfrm>
          <a:off x="3444240" y="4023360"/>
          <a:ext cx="601980" cy="167640"/>
          <a:chOff x="3444240" y="4023360"/>
          <a:chExt cx="601980" cy="167640"/>
        </a:xfrm>
      </xdr:grpSpPr>
      <xdr:cxnSp macro="">
        <xdr:nvCxnSpPr>
          <xdr:cNvPr id="2466" name="Gerader Verbinder 2465">
            <a:extLst>
              <a:ext uri="{FF2B5EF4-FFF2-40B4-BE49-F238E27FC236}">
                <a16:creationId xmlns:a16="http://schemas.microsoft.com/office/drawing/2014/main" id="{C15A5E32-A852-0FA5-8901-F03A858D02EE}"/>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7" name="Gerader Verbinder 2466">
            <a:extLst>
              <a:ext uri="{FF2B5EF4-FFF2-40B4-BE49-F238E27FC236}">
                <a16:creationId xmlns:a16="http://schemas.microsoft.com/office/drawing/2014/main" id="{34192BC2-7036-81D9-6612-AB0767F1C778}"/>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2471" name="Cross_F28">
          <a:extLst>
            <a:ext uri="{FF2B5EF4-FFF2-40B4-BE49-F238E27FC236}">
              <a16:creationId xmlns:a16="http://schemas.microsoft.com/office/drawing/2014/main" id="{8C8F6509-8A1C-AD24-E7E0-93A958BBE236}"/>
            </a:ext>
          </a:extLst>
        </xdr:cNvPr>
        <xdr:cNvGrpSpPr/>
      </xdr:nvGrpSpPr>
      <xdr:grpSpPr>
        <a:xfrm>
          <a:off x="3444240" y="5318760"/>
          <a:ext cx="601980" cy="228600"/>
          <a:chOff x="3444240" y="5318760"/>
          <a:chExt cx="601980" cy="228600"/>
        </a:xfrm>
      </xdr:grpSpPr>
      <xdr:cxnSp macro="">
        <xdr:nvCxnSpPr>
          <xdr:cNvPr id="2469" name="Gerader Verbinder 2468">
            <a:extLst>
              <a:ext uri="{FF2B5EF4-FFF2-40B4-BE49-F238E27FC236}">
                <a16:creationId xmlns:a16="http://schemas.microsoft.com/office/drawing/2014/main" id="{C9F3613B-BAB8-C080-436B-BAF8BE094B4F}"/>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70" name="Gerader Verbinder 2469">
            <a:extLst>
              <a:ext uri="{FF2B5EF4-FFF2-40B4-BE49-F238E27FC236}">
                <a16:creationId xmlns:a16="http://schemas.microsoft.com/office/drawing/2014/main" id="{E4D8E833-8533-0EDE-E915-A0BDEFE6EB33}"/>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2474" name="Cross_F29">
          <a:extLst>
            <a:ext uri="{FF2B5EF4-FFF2-40B4-BE49-F238E27FC236}">
              <a16:creationId xmlns:a16="http://schemas.microsoft.com/office/drawing/2014/main" id="{E949DC04-BED7-001D-7A0C-4E0FE25FCDEC}"/>
            </a:ext>
          </a:extLst>
        </xdr:cNvPr>
        <xdr:cNvGrpSpPr/>
      </xdr:nvGrpSpPr>
      <xdr:grpSpPr>
        <a:xfrm>
          <a:off x="3444240" y="5547360"/>
          <a:ext cx="601980" cy="167640"/>
          <a:chOff x="3444240" y="5547360"/>
          <a:chExt cx="601980" cy="167640"/>
        </a:xfrm>
      </xdr:grpSpPr>
      <xdr:cxnSp macro="">
        <xdr:nvCxnSpPr>
          <xdr:cNvPr id="2472" name="Gerader Verbinder 2471">
            <a:extLst>
              <a:ext uri="{FF2B5EF4-FFF2-40B4-BE49-F238E27FC236}">
                <a16:creationId xmlns:a16="http://schemas.microsoft.com/office/drawing/2014/main" id="{6DE016F5-369E-314E-1050-B8E02A50131A}"/>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73" name="Gerader Verbinder 2472">
            <a:extLst>
              <a:ext uri="{FF2B5EF4-FFF2-40B4-BE49-F238E27FC236}">
                <a16:creationId xmlns:a16="http://schemas.microsoft.com/office/drawing/2014/main" id="{BF6B40F9-3860-6F08-AAA1-4C6F4C83441C}"/>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2477" name="Cross_F30">
          <a:extLst>
            <a:ext uri="{FF2B5EF4-FFF2-40B4-BE49-F238E27FC236}">
              <a16:creationId xmlns:a16="http://schemas.microsoft.com/office/drawing/2014/main" id="{00CC0797-D619-AAF0-F960-3CA6DAE8D502}"/>
            </a:ext>
          </a:extLst>
        </xdr:cNvPr>
        <xdr:cNvGrpSpPr/>
      </xdr:nvGrpSpPr>
      <xdr:grpSpPr>
        <a:xfrm>
          <a:off x="3444240" y="5715000"/>
          <a:ext cx="601980" cy="167640"/>
          <a:chOff x="3444240" y="5715000"/>
          <a:chExt cx="601980" cy="167640"/>
        </a:xfrm>
      </xdr:grpSpPr>
      <xdr:cxnSp macro="">
        <xdr:nvCxnSpPr>
          <xdr:cNvPr id="2475" name="Gerader Verbinder 2474">
            <a:extLst>
              <a:ext uri="{FF2B5EF4-FFF2-40B4-BE49-F238E27FC236}">
                <a16:creationId xmlns:a16="http://schemas.microsoft.com/office/drawing/2014/main" id="{575D3D2F-13E6-1607-CDBF-77E7D8F07AF4}"/>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76" name="Gerader Verbinder 2475">
            <a:extLst>
              <a:ext uri="{FF2B5EF4-FFF2-40B4-BE49-F238E27FC236}">
                <a16:creationId xmlns:a16="http://schemas.microsoft.com/office/drawing/2014/main" id="{37F3D7BA-0485-0077-A816-0C825F1D4287}"/>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2480" name="Cross_F37">
          <a:extLst>
            <a:ext uri="{FF2B5EF4-FFF2-40B4-BE49-F238E27FC236}">
              <a16:creationId xmlns:a16="http://schemas.microsoft.com/office/drawing/2014/main" id="{0C5C4C40-92DA-2716-D378-7FA6CD9ADCF7}"/>
            </a:ext>
          </a:extLst>
        </xdr:cNvPr>
        <xdr:cNvGrpSpPr/>
      </xdr:nvGrpSpPr>
      <xdr:grpSpPr>
        <a:xfrm>
          <a:off x="3444240" y="7010400"/>
          <a:ext cx="601980" cy="228600"/>
          <a:chOff x="3444240" y="7010400"/>
          <a:chExt cx="601980" cy="228600"/>
        </a:xfrm>
      </xdr:grpSpPr>
      <xdr:cxnSp macro="">
        <xdr:nvCxnSpPr>
          <xdr:cNvPr id="2478" name="Gerader Verbinder 2477">
            <a:extLst>
              <a:ext uri="{FF2B5EF4-FFF2-40B4-BE49-F238E27FC236}">
                <a16:creationId xmlns:a16="http://schemas.microsoft.com/office/drawing/2014/main" id="{57AB094B-1056-C9E4-01B5-15CAFA3E3FF5}"/>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79" name="Gerader Verbinder 2478">
            <a:extLst>
              <a:ext uri="{FF2B5EF4-FFF2-40B4-BE49-F238E27FC236}">
                <a16:creationId xmlns:a16="http://schemas.microsoft.com/office/drawing/2014/main" id="{BB7C4907-8A2D-C03E-999E-F65041C16F87}"/>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2483" name="Cross_F38">
          <a:extLst>
            <a:ext uri="{FF2B5EF4-FFF2-40B4-BE49-F238E27FC236}">
              <a16:creationId xmlns:a16="http://schemas.microsoft.com/office/drawing/2014/main" id="{31D2E7F6-31CA-8894-165A-42F5A2228249}"/>
            </a:ext>
          </a:extLst>
        </xdr:cNvPr>
        <xdr:cNvGrpSpPr/>
      </xdr:nvGrpSpPr>
      <xdr:grpSpPr>
        <a:xfrm>
          <a:off x="3444240" y="7239000"/>
          <a:ext cx="601980" cy="167640"/>
          <a:chOff x="3444240" y="7239000"/>
          <a:chExt cx="601980" cy="167640"/>
        </a:xfrm>
      </xdr:grpSpPr>
      <xdr:cxnSp macro="">
        <xdr:nvCxnSpPr>
          <xdr:cNvPr id="2481" name="Gerader Verbinder 2480">
            <a:extLst>
              <a:ext uri="{FF2B5EF4-FFF2-40B4-BE49-F238E27FC236}">
                <a16:creationId xmlns:a16="http://schemas.microsoft.com/office/drawing/2014/main" id="{C6A2F1A0-27BA-7D84-93DA-AA553509FDD0}"/>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82" name="Gerader Verbinder 2481">
            <a:extLst>
              <a:ext uri="{FF2B5EF4-FFF2-40B4-BE49-F238E27FC236}">
                <a16:creationId xmlns:a16="http://schemas.microsoft.com/office/drawing/2014/main" id="{A1604770-E58B-58D7-29C1-98E1D9130531}"/>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2486" name="Cross_F39">
          <a:extLst>
            <a:ext uri="{FF2B5EF4-FFF2-40B4-BE49-F238E27FC236}">
              <a16:creationId xmlns:a16="http://schemas.microsoft.com/office/drawing/2014/main" id="{EC76F2B1-29E9-5FE6-98CB-0334B3D5CBD9}"/>
            </a:ext>
          </a:extLst>
        </xdr:cNvPr>
        <xdr:cNvGrpSpPr/>
      </xdr:nvGrpSpPr>
      <xdr:grpSpPr>
        <a:xfrm>
          <a:off x="3444240" y="7406640"/>
          <a:ext cx="601980" cy="167640"/>
          <a:chOff x="3444240" y="7406640"/>
          <a:chExt cx="601980" cy="167640"/>
        </a:xfrm>
      </xdr:grpSpPr>
      <xdr:cxnSp macro="">
        <xdr:nvCxnSpPr>
          <xdr:cNvPr id="2484" name="Gerader Verbinder 2483">
            <a:extLst>
              <a:ext uri="{FF2B5EF4-FFF2-40B4-BE49-F238E27FC236}">
                <a16:creationId xmlns:a16="http://schemas.microsoft.com/office/drawing/2014/main" id="{B874610B-9B9D-ECDD-0D02-679B6F2B509C}"/>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85" name="Gerader Verbinder 2484">
            <a:extLst>
              <a:ext uri="{FF2B5EF4-FFF2-40B4-BE49-F238E27FC236}">
                <a16:creationId xmlns:a16="http://schemas.microsoft.com/office/drawing/2014/main" id="{9A22ED57-C7AD-9107-8474-21C45B586210}"/>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2489" name="Cross_F40">
          <a:extLst>
            <a:ext uri="{FF2B5EF4-FFF2-40B4-BE49-F238E27FC236}">
              <a16:creationId xmlns:a16="http://schemas.microsoft.com/office/drawing/2014/main" id="{688A3AE8-2397-B6C7-1A59-7B7DAD7F3814}"/>
            </a:ext>
          </a:extLst>
        </xdr:cNvPr>
        <xdr:cNvGrpSpPr/>
      </xdr:nvGrpSpPr>
      <xdr:grpSpPr>
        <a:xfrm>
          <a:off x="3444240" y="7574280"/>
          <a:ext cx="601980" cy="228600"/>
          <a:chOff x="3444240" y="7574280"/>
          <a:chExt cx="601980" cy="228600"/>
        </a:xfrm>
      </xdr:grpSpPr>
      <xdr:cxnSp macro="">
        <xdr:nvCxnSpPr>
          <xdr:cNvPr id="2487" name="Gerader Verbinder 2486">
            <a:extLst>
              <a:ext uri="{FF2B5EF4-FFF2-40B4-BE49-F238E27FC236}">
                <a16:creationId xmlns:a16="http://schemas.microsoft.com/office/drawing/2014/main" id="{02B39008-A3D3-AE52-D5FA-AF559BC1AD13}"/>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88" name="Gerader Verbinder 2487">
            <a:extLst>
              <a:ext uri="{FF2B5EF4-FFF2-40B4-BE49-F238E27FC236}">
                <a16:creationId xmlns:a16="http://schemas.microsoft.com/office/drawing/2014/main" id="{B903EA76-0280-1B55-22BF-72D61A9BDF50}"/>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2492" name="Cross_F41">
          <a:extLst>
            <a:ext uri="{FF2B5EF4-FFF2-40B4-BE49-F238E27FC236}">
              <a16:creationId xmlns:a16="http://schemas.microsoft.com/office/drawing/2014/main" id="{497F7D1B-29F5-EB3F-A471-07DB10410E60}"/>
            </a:ext>
          </a:extLst>
        </xdr:cNvPr>
        <xdr:cNvGrpSpPr/>
      </xdr:nvGrpSpPr>
      <xdr:grpSpPr>
        <a:xfrm>
          <a:off x="3444240" y="7802880"/>
          <a:ext cx="601980" cy="167640"/>
          <a:chOff x="3444240" y="7802880"/>
          <a:chExt cx="601980" cy="167640"/>
        </a:xfrm>
      </xdr:grpSpPr>
      <xdr:cxnSp macro="">
        <xdr:nvCxnSpPr>
          <xdr:cNvPr id="2490" name="Gerader Verbinder 2489">
            <a:extLst>
              <a:ext uri="{FF2B5EF4-FFF2-40B4-BE49-F238E27FC236}">
                <a16:creationId xmlns:a16="http://schemas.microsoft.com/office/drawing/2014/main" id="{FE84527C-32EA-0360-69C1-252A17FC2A2D}"/>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1" name="Gerader Verbinder 2490">
            <a:extLst>
              <a:ext uri="{FF2B5EF4-FFF2-40B4-BE49-F238E27FC236}">
                <a16:creationId xmlns:a16="http://schemas.microsoft.com/office/drawing/2014/main" id="{3AB2F549-B0B0-B765-97B7-02BBB802CBB6}"/>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2495" name="Cross_F42">
          <a:extLst>
            <a:ext uri="{FF2B5EF4-FFF2-40B4-BE49-F238E27FC236}">
              <a16:creationId xmlns:a16="http://schemas.microsoft.com/office/drawing/2014/main" id="{FB5BE00E-9EA1-7FF6-1739-ACE178C4E611}"/>
            </a:ext>
          </a:extLst>
        </xdr:cNvPr>
        <xdr:cNvGrpSpPr/>
      </xdr:nvGrpSpPr>
      <xdr:grpSpPr>
        <a:xfrm>
          <a:off x="3444240" y="7970520"/>
          <a:ext cx="601980" cy="167640"/>
          <a:chOff x="3444240" y="7970520"/>
          <a:chExt cx="601980" cy="167640"/>
        </a:xfrm>
      </xdr:grpSpPr>
      <xdr:cxnSp macro="">
        <xdr:nvCxnSpPr>
          <xdr:cNvPr id="2493" name="Gerader Verbinder 2492">
            <a:extLst>
              <a:ext uri="{FF2B5EF4-FFF2-40B4-BE49-F238E27FC236}">
                <a16:creationId xmlns:a16="http://schemas.microsoft.com/office/drawing/2014/main" id="{6ECC0305-439A-19F7-CAA3-1062CB18A410}"/>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4" name="Gerader Verbinder 2493">
            <a:extLst>
              <a:ext uri="{FF2B5EF4-FFF2-40B4-BE49-F238E27FC236}">
                <a16:creationId xmlns:a16="http://schemas.microsoft.com/office/drawing/2014/main" id="{F1833542-ED09-5EC7-50AD-84F1158D5302}"/>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2498" name="Cross_F43">
          <a:extLst>
            <a:ext uri="{FF2B5EF4-FFF2-40B4-BE49-F238E27FC236}">
              <a16:creationId xmlns:a16="http://schemas.microsoft.com/office/drawing/2014/main" id="{76C0D89E-0C43-57B0-B578-95A5281E7A18}"/>
            </a:ext>
          </a:extLst>
        </xdr:cNvPr>
        <xdr:cNvGrpSpPr/>
      </xdr:nvGrpSpPr>
      <xdr:grpSpPr>
        <a:xfrm>
          <a:off x="3444240" y="8138160"/>
          <a:ext cx="601980" cy="228600"/>
          <a:chOff x="3444240" y="8138160"/>
          <a:chExt cx="601980" cy="228600"/>
        </a:xfrm>
      </xdr:grpSpPr>
      <xdr:cxnSp macro="">
        <xdr:nvCxnSpPr>
          <xdr:cNvPr id="2496" name="Gerader Verbinder 2495">
            <a:extLst>
              <a:ext uri="{FF2B5EF4-FFF2-40B4-BE49-F238E27FC236}">
                <a16:creationId xmlns:a16="http://schemas.microsoft.com/office/drawing/2014/main" id="{15AD1EAA-4FD3-D0FA-DB4E-34691A84AAE1}"/>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7" name="Gerader Verbinder 2496">
            <a:extLst>
              <a:ext uri="{FF2B5EF4-FFF2-40B4-BE49-F238E27FC236}">
                <a16:creationId xmlns:a16="http://schemas.microsoft.com/office/drawing/2014/main" id="{FC026AB5-C2D2-43F8-64D4-110DB9BB180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2501" name="Cross_F44">
          <a:extLst>
            <a:ext uri="{FF2B5EF4-FFF2-40B4-BE49-F238E27FC236}">
              <a16:creationId xmlns:a16="http://schemas.microsoft.com/office/drawing/2014/main" id="{4F4B9E9D-2878-3D39-E9B5-3D314D020FD1}"/>
            </a:ext>
          </a:extLst>
        </xdr:cNvPr>
        <xdr:cNvGrpSpPr/>
      </xdr:nvGrpSpPr>
      <xdr:grpSpPr>
        <a:xfrm>
          <a:off x="3444240" y="8366760"/>
          <a:ext cx="601980" cy="167640"/>
          <a:chOff x="3444240" y="8366760"/>
          <a:chExt cx="601980" cy="167640"/>
        </a:xfrm>
      </xdr:grpSpPr>
      <xdr:cxnSp macro="">
        <xdr:nvCxnSpPr>
          <xdr:cNvPr id="2499" name="Gerader Verbinder 2498">
            <a:extLst>
              <a:ext uri="{FF2B5EF4-FFF2-40B4-BE49-F238E27FC236}">
                <a16:creationId xmlns:a16="http://schemas.microsoft.com/office/drawing/2014/main" id="{738FEAA4-3C23-2404-50FD-6415B868E73A}"/>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00" name="Gerader Verbinder 2499">
            <a:extLst>
              <a:ext uri="{FF2B5EF4-FFF2-40B4-BE49-F238E27FC236}">
                <a16:creationId xmlns:a16="http://schemas.microsoft.com/office/drawing/2014/main" id="{0A265126-C12B-10DB-1F43-C63121DA1BD6}"/>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2504" name="Cross_F45">
          <a:extLst>
            <a:ext uri="{FF2B5EF4-FFF2-40B4-BE49-F238E27FC236}">
              <a16:creationId xmlns:a16="http://schemas.microsoft.com/office/drawing/2014/main" id="{E17610F6-23C3-84F1-E818-E46F00615FA0}"/>
            </a:ext>
          </a:extLst>
        </xdr:cNvPr>
        <xdr:cNvGrpSpPr/>
      </xdr:nvGrpSpPr>
      <xdr:grpSpPr>
        <a:xfrm>
          <a:off x="3444240" y="8534400"/>
          <a:ext cx="601980" cy="167640"/>
          <a:chOff x="3444240" y="8534400"/>
          <a:chExt cx="601980" cy="167640"/>
        </a:xfrm>
      </xdr:grpSpPr>
      <xdr:cxnSp macro="">
        <xdr:nvCxnSpPr>
          <xdr:cNvPr id="2502" name="Gerader Verbinder 2501">
            <a:extLst>
              <a:ext uri="{FF2B5EF4-FFF2-40B4-BE49-F238E27FC236}">
                <a16:creationId xmlns:a16="http://schemas.microsoft.com/office/drawing/2014/main" id="{16FFE648-CA73-FF9A-ED21-F4D921E6BFF6}"/>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03" name="Gerader Verbinder 2502">
            <a:extLst>
              <a:ext uri="{FF2B5EF4-FFF2-40B4-BE49-F238E27FC236}">
                <a16:creationId xmlns:a16="http://schemas.microsoft.com/office/drawing/2014/main" id="{7A051F7B-B8F4-2322-0A47-DDBE74889D18}"/>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2507" name="Cross_F46">
          <a:extLst>
            <a:ext uri="{FF2B5EF4-FFF2-40B4-BE49-F238E27FC236}">
              <a16:creationId xmlns:a16="http://schemas.microsoft.com/office/drawing/2014/main" id="{B3850608-61E9-BA07-F1B4-F9DDD8752046}"/>
            </a:ext>
          </a:extLst>
        </xdr:cNvPr>
        <xdr:cNvGrpSpPr/>
      </xdr:nvGrpSpPr>
      <xdr:grpSpPr>
        <a:xfrm>
          <a:off x="3444240" y="8702040"/>
          <a:ext cx="601980" cy="228600"/>
          <a:chOff x="3444240" y="8702040"/>
          <a:chExt cx="601980" cy="228600"/>
        </a:xfrm>
      </xdr:grpSpPr>
      <xdr:cxnSp macro="">
        <xdr:nvCxnSpPr>
          <xdr:cNvPr id="2505" name="Gerader Verbinder 2504">
            <a:extLst>
              <a:ext uri="{FF2B5EF4-FFF2-40B4-BE49-F238E27FC236}">
                <a16:creationId xmlns:a16="http://schemas.microsoft.com/office/drawing/2014/main" id="{C50D6B9E-DD69-ECBA-8FF3-B53A95BAC1C8}"/>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06" name="Gerader Verbinder 2505">
            <a:extLst>
              <a:ext uri="{FF2B5EF4-FFF2-40B4-BE49-F238E27FC236}">
                <a16:creationId xmlns:a16="http://schemas.microsoft.com/office/drawing/2014/main" id="{024DC64B-CBB8-2049-2B45-58051A83A8B9}"/>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2510" name="Cross_F47">
          <a:extLst>
            <a:ext uri="{FF2B5EF4-FFF2-40B4-BE49-F238E27FC236}">
              <a16:creationId xmlns:a16="http://schemas.microsoft.com/office/drawing/2014/main" id="{139859A7-BE98-1BA2-DD0F-2A9DB28E2E35}"/>
            </a:ext>
          </a:extLst>
        </xdr:cNvPr>
        <xdr:cNvGrpSpPr/>
      </xdr:nvGrpSpPr>
      <xdr:grpSpPr>
        <a:xfrm>
          <a:off x="3444240" y="8930640"/>
          <a:ext cx="601980" cy="167640"/>
          <a:chOff x="3444240" y="8930640"/>
          <a:chExt cx="601980" cy="167640"/>
        </a:xfrm>
      </xdr:grpSpPr>
      <xdr:cxnSp macro="">
        <xdr:nvCxnSpPr>
          <xdr:cNvPr id="2508" name="Gerader Verbinder 2507">
            <a:extLst>
              <a:ext uri="{FF2B5EF4-FFF2-40B4-BE49-F238E27FC236}">
                <a16:creationId xmlns:a16="http://schemas.microsoft.com/office/drawing/2014/main" id="{614AC735-47E2-CBF2-A903-AB44F96D5A7F}"/>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09" name="Gerader Verbinder 2508">
            <a:extLst>
              <a:ext uri="{FF2B5EF4-FFF2-40B4-BE49-F238E27FC236}">
                <a16:creationId xmlns:a16="http://schemas.microsoft.com/office/drawing/2014/main" id="{ECDB7FAE-DA24-657F-3B30-6540A279615A}"/>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2513" name="Cross_F48">
          <a:extLst>
            <a:ext uri="{FF2B5EF4-FFF2-40B4-BE49-F238E27FC236}">
              <a16:creationId xmlns:a16="http://schemas.microsoft.com/office/drawing/2014/main" id="{D0324CED-5C3B-AABE-565D-A98E564AB7D1}"/>
            </a:ext>
          </a:extLst>
        </xdr:cNvPr>
        <xdr:cNvGrpSpPr/>
      </xdr:nvGrpSpPr>
      <xdr:grpSpPr>
        <a:xfrm>
          <a:off x="3444240" y="9098280"/>
          <a:ext cx="601980" cy="167640"/>
          <a:chOff x="3444240" y="9098280"/>
          <a:chExt cx="601980" cy="167640"/>
        </a:xfrm>
      </xdr:grpSpPr>
      <xdr:cxnSp macro="">
        <xdr:nvCxnSpPr>
          <xdr:cNvPr id="2511" name="Gerader Verbinder 2510">
            <a:extLst>
              <a:ext uri="{FF2B5EF4-FFF2-40B4-BE49-F238E27FC236}">
                <a16:creationId xmlns:a16="http://schemas.microsoft.com/office/drawing/2014/main" id="{50E3859D-B062-53C3-4BB7-6BC67FBA3F90}"/>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12" name="Gerader Verbinder 2511">
            <a:extLst>
              <a:ext uri="{FF2B5EF4-FFF2-40B4-BE49-F238E27FC236}">
                <a16:creationId xmlns:a16="http://schemas.microsoft.com/office/drawing/2014/main" id="{825DE330-3F95-4A20-931C-D0F0966087A1}"/>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2516" name="Cross_F55">
          <a:extLst>
            <a:ext uri="{FF2B5EF4-FFF2-40B4-BE49-F238E27FC236}">
              <a16:creationId xmlns:a16="http://schemas.microsoft.com/office/drawing/2014/main" id="{20A9C547-84E8-4CFD-BDB4-E8B0E837E033}"/>
            </a:ext>
          </a:extLst>
        </xdr:cNvPr>
        <xdr:cNvGrpSpPr/>
      </xdr:nvGrpSpPr>
      <xdr:grpSpPr>
        <a:xfrm>
          <a:off x="3444240" y="10393680"/>
          <a:ext cx="601980" cy="228600"/>
          <a:chOff x="3444240" y="10393680"/>
          <a:chExt cx="601980" cy="228600"/>
        </a:xfrm>
      </xdr:grpSpPr>
      <xdr:cxnSp macro="">
        <xdr:nvCxnSpPr>
          <xdr:cNvPr id="2514" name="Gerader Verbinder 2513">
            <a:extLst>
              <a:ext uri="{FF2B5EF4-FFF2-40B4-BE49-F238E27FC236}">
                <a16:creationId xmlns:a16="http://schemas.microsoft.com/office/drawing/2014/main" id="{E90FF168-6315-4294-D0E7-59AB72CA33E5}"/>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15" name="Gerader Verbinder 2514">
            <a:extLst>
              <a:ext uri="{FF2B5EF4-FFF2-40B4-BE49-F238E27FC236}">
                <a16:creationId xmlns:a16="http://schemas.microsoft.com/office/drawing/2014/main" id="{65C55D53-BA66-8669-2B68-30139480D0A8}"/>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2519" name="Cross_F56">
          <a:extLst>
            <a:ext uri="{FF2B5EF4-FFF2-40B4-BE49-F238E27FC236}">
              <a16:creationId xmlns:a16="http://schemas.microsoft.com/office/drawing/2014/main" id="{54C7B8D0-BDFE-4F2E-C74C-A3E49505B6D9}"/>
            </a:ext>
          </a:extLst>
        </xdr:cNvPr>
        <xdr:cNvGrpSpPr/>
      </xdr:nvGrpSpPr>
      <xdr:grpSpPr>
        <a:xfrm>
          <a:off x="3444240" y="10622280"/>
          <a:ext cx="601980" cy="167640"/>
          <a:chOff x="3444240" y="10622280"/>
          <a:chExt cx="601980" cy="167640"/>
        </a:xfrm>
      </xdr:grpSpPr>
      <xdr:cxnSp macro="">
        <xdr:nvCxnSpPr>
          <xdr:cNvPr id="2517" name="Gerader Verbinder 2516">
            <a:extLst>
              <a:ext uri="{FF2B5EF4-FFF2-40B4-BE49-F238E27FC236}">
                <a16:creationId xmlns:a16="http://schemas.microsoft.com/office/drawing/2014/main" id="{6A1E444C-F532-EEF3-5647-3E3754C06F08}"/>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18" name="Gerader Verbinder 2517">
            <a:extLst>
              <a:ext uri="{FF2B5EF4-FFF2-40B4-BE49-F238E27FC236}">
                <a16:creationId xmlns:a16="http://schemas.microsoft.com/office/drawing/2014/main" id="{9ACC16BF-D5EF-2F11-A10F-212DD543347D}"/>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2522" name="Cross_F57">
          <a:extLst>
            <a:ext uri="{FF2B5EF4-FFF2-40B4-BE49-F238E27FC236}">
              <a16:creationId xmlns:a16="http://schemas.microsoft.com/office/drawing/2014/main" id="{7497D888-366D-BAE8-9EAA-ADD6E8A8341E}"/>
            </a:ext>
          </a:extLst>
        </xdr:cNvPr>
        <xdr:cNvGrpSpPr/>
      </xdr:nvGrpSpPr>
      <xdr:grpSpPr>
        <a:xfrm>
          <a:off x="3444240" y="10789920"/>
          <a:ext cx="601980" cy="167640"/>
          <a:chOff x="3444240" y="10789920"/>
          <a:chExt cx="601980" cy="167640"/>
        </a:xfrm>
      </xdr:grpSpPr>
      <xdr:cxnSp macro="">
        <xdr:nvCxnSpPr>
          <xdr:cNvPr id="2520" name="Gerader Verbinder 2519">
            <a:extLst>
              <a:ext uri="{FF2B5EF4-FFF2-40B4-BE49-F238E27FC236}">
                <a16:creationId xmlns:a16="http://schemas.microsoft.com/office/drawing/2014/main" id="{5F73F1DC-24ED-6A7B-FB98-04B704E15B80}"/>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1" name="Gerader Verbinder 2520">
            <a:extLst>
              <a:ext uri="{FF2B5EF4-FFF2-40B4-BE49-F238E27FC236}">
                <a16:creationId xmlns:a16="http://schemas.microsoft.com/office/drawing/2014/main" id="{EE7A8367-906F-0D81-C246-1C9405F80FF7}"/>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2525" name="Cross_F58">
          <a:extLst>
            <a:ext uri="{FF2B5EF4-FFF2-40B4-BE49-F238E27FC236}">
              <a16:creationId xmlns:a16="http://schemas.microsoft.com/office/drawing/2014/main" id="{97EFDCFB-1650-097D-ADF3-5A9F8D7A8158}"/>
            </a:ext>
          </a:extLst>
        </xdr:cNvPr>
        <xdr:cNvGrpSpPr/>
      </xdr:nvGrpSpPr>
      <xdr:grpSpPr>
        <a:xfrm>
          <a:off x="3444240" y="10957560"/>
          <a:ext cx="601980" cy="228600"/>
          <a:chOff x="3444240" y="10957560"/>
          <a:chExt cx="601980" cy="228600"/>
        </a:xfrm>
      </xdr:grpSpPr>
      <xdr:cxnSp macro="">
        <xdr:nvCxnSpPr>
          <xdr:cNvPr id="2523" name="Gerader Verbinder 2522">
            <a:extLst>
              <a:ext uri="{FF2B5EF4-FFF2-40B4-BE49-F238E27FC236}">
                <a16:creationId xmlns:a16="http://schemas.microsoft.com/office/drawing/2014/main" id="{B5168F0C-8A78-D09F-A183-DE440FB5A26C}"/>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4" name="Gerader Verbinder 2523">
            <a:extLst>
              <a:ext uri="{FF2B5EF4-FFF2-40B4-BE49-F238E27FC236}">
                <a16:creationId xmlns:a16="http://schemas.microsoft.com/office/drawing/2014/main" id="{FB2FB15E-9099-5824-0DE5-1C00F25E6ACE}"/>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2528" name="Cross_F59">
          <a:extLst>
            <a:ext uri="{FF2B5EF4-FFF2-40B4-BE49-F238E27FC236}">
              <a16:creationId xmlns:a16="http://schemas.microsoft.com/office/drawing/2014/main" id="{7ADE7C81-FC77-22F6-F464-4E7FB94E96C8}"/>
            </a:ext>
          </a:extLst>
        </xdr:cNvPr>
        <xdr:cNvGrpSpPr/>
      </xdr:nvGrpSpPr>
      <xdr:grpSpPr>
        <a:xfrm>
          <a:off x="3444240" y="11186160"/>
          <a:ext cx="601980" cy="167640"/>
          <a:chOff x="3444240" y="11186160"/>
          <a:chExt cx="601980" cy="167640"/>
        </a:xfrm>
      </xdr:grpSpPr>
      <xdr:cxnSp macro="">
        <xdr:nvCxnSpPr>
          <xdr:cNvPr id="2526" name="Gerader Verbinder 2525">
            <a:extLst>
              <a:ext uri="{FF2B5EF4-FFF2-40B4-BE49-F238E27FC236}">
                <a16:creationId xmlns:a16="http://schemas.microsoft.com/office/drawing/2014/main" id="{03FC4B91-0E50-8AF8-6552-408AD3A7F9F8}"/>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7" name="Gerader Verbinder 2526">
            <a:extLst>
              <a:ext uri="{FF2B5EF4-FFF2-40B4-BE49-F238E27FC236}">
                <a16:creationId xmlns:a16="http://schemas.microsoft.com/office/drawing/2014/main" id="{C7182B0B-D57A-FBF9-FFDC-C9C8BA4D4A56}"/>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2531" name="Cross_F60">
          <a:extLst>
            <a:ext uri="{FF2B5EF4-FFF2-40B4-BE49-F238E27FC236}">
              <a16:creationId xmlns:a16="http://schemas.microsoft.com/office/drawing/2014/main" id="{270EF10E-53A2-6C33-6A7C-1CE616F931EC}"/>
            </a:ext>
          </a:extLst>
        </xdr:cNvPr>
        <xdr:cNvGrpSpPr/>
      </xdr:nvGrpSpPr>
      <xdr:grpSpPr>
        <a:xfrm>
          <a:off x="3444240" y="11353800"/>
          <a:ext cx="601980" cy="167640"/>
          <a:chOff x="3444240" y="11353800"/>
          <a:chExt cx="601980" cy="167640"/>
        </a:xfrm>
      </xdr:grpSpPr>
      <xdr:cxnSp macro="">
        <xdr:nvCxnSpPr>
          <xdr:cNvPr id="2529" name="Gerader Verbinder 2528">
            <a:extLst>
              <a:ext uri="{FF2B5EF4-FFF2-40B4-BE49-F238E27FC236}">
                <a16:creationId xmlns:a16="http://schemas.microsoft.com/office/drawing/2014/main" id="{0A0816F2-246C-6933-5C40-B557FBECE4A0}"/>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30" name="Gerader Verbinder 2529">
            <a:extLst>
              <a:ext uri="{FF2B5EF4-FFF2-40B4-BE49-F238E27FC236}">
                <a16:creationId xmlns:a16="http://schemas.microsoft.com/office/drawing/2014/main" id="{0F64C254-BE97-8D84-3B35-2CC4127FB196}"/>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2534" name="Cross_F61">
          <a:extLst>
            <a:ext uri="{FF2B5EF4-FFF2-40B4-BE49-F238E27FC236}">
              <a16:creationId xmlns:a16="http://schemas.microsoft.com/office/drawing/2014/main" id="{8F67F3B1-4B78-E15C-D79B-5B9E72805BA1}"/>
            </a:ext>
          </a:extLst>
        </xdr:cNvPr>
        <xdr:cNvGrpSpPr/>
      </xdr:nvGrpSpPr>
      <xdr:grpSpPr>
        <a:xfrm>
          <a:off x="3444240" y="11521440"/>
          <a:ext cx="601980" cy="228600"/>
          <a:chOff x="3444240" y="11521440"/>
          <a:chExt cx="601980" cy="228600"/>
        </a:xfrm>
      </xdr:grpSpPr>
      <xdr:cxnSp macro="">
        <xdr:nvCxnSpPr>
          <xdr:cNvPr id="2532" name="Gerader Verbinder 2531">
            <a:extLst>
              <a:ext uri="{FF2B5EF4-FFF2-40B4-BE49-F238E27FC236}">
                <a16:creationId xmlns:a16="http://schemas.microsoft.com/office/drawing/2014/main" id="{5B45D5BB-28D7-0475-5862-081D8B6618E7}"/>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33" name="Gerader Verbinder 2532">
            <a:extLst>
              <a:ext uri="{FF2B5EF4-FFF2-40B4-BE49-F238E27FC236}">
                <a16:creationId xmlns:a16="http://schemas.microsoft.com/office/drawing/2014/main" id="{E75C2A44-730A-03CB-A666-C2FE5B0109AA}"/>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2537" name="Cross_F62">
          <a:extLst>
            <a:ext uri="{FF2B5EF4-FFF2-40B4-BE49-F238E27FC236}">
              <a16:creationId xmlns:a16="http://schemas.microsoft.com/office/drawing/2014/main" id="{EF3DE33C-794E-4660-BDBF-A6D00D0B7075}"/>
            </a:ext>
          </a:extLst>
        </xdr:cNvPr>
        <xdr:cNvGrpSpPr/>
      </xdr:nvGrpSpPr>
      <xdr:grpSpPr>
        <a:xfrm>
          <a:off x="3444240" y="11750040"/>
          <a:ext cx="601980" cy="167640"/>
          <a:chOff x="3444240" y="11750040"/>
          <a:chExt cx="601980" cy="167640"/>
        </a:xfrm>
      </xdr:grpSpPr>
      <xdr:cxnSp macro="">
        <xdr:nvCxnSpPr>
          <xdr:cNvPr id="2535" name="Gerader Verbinder 2534">
            <a:extLst>
              <a:ext uri="{FF2B5EF4-FFF2-40B4-BE49-F238E27FC236}">
                <a16:creationId xmlns:a16="http://schemas.microsoft.com/office/drawing/2014/main" id="{52DE7699-4BE5-9514-02E8-1CB98EB12F50}"/>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36" name="Gerader Verbinder 2535">
            <a:extLst>
              <a:ext uri="{FF2B5EF4-FFF2-40B4-BE49-F238E27FC236}">
                <a16:creationId xmlns:a16="http://schemas.microsoft.com/office/drawing/2014/main" id="{E14DB896-B3F5-1F05-A8C6-BA6FBAF85ABB}"/>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2540" name="Cross_F63">
          <a:extLst>
            <a:ext uri="{FF2B5EF4-FFF2-40B4-BE49-F238E27FC236}">
              <a16:creationId xmlns:a16="http://schemas.microsoft.com/office/drawing/2014/main" id="{E0F1D9DF-539A-B5CD-1122-A84D89BED53E}"/>
            </a:ext>
          </a:extLst>
        </xdr:cNvPr>
        <xdr:cNvGrpSpPr/>
      </xdr:nvGrpSpPr>
      <xdr:grpSpPr>
        <a:xfrm>
          <a:off x="3444240" y="11917680"/>
          <a:ext cx="601980" cy="167640"/>
          <a:chOff x="3444240" y="11917680"/>
          <a:chExt cx="601980" cy="167640"/>
        </a:xfrm>
      </xdr:grpSpPr>
      <xdr:cxnSp macro="">
        <xdr:nvCxnSpPr>
          <xdr:cNvPr id="2538" name="Gerader Verbinder 2537">
            <a:extLst>
              <a:ext uri="{FF2B5EF4-FFF2-40B4-BE49-F238E27FC236}">
                <a16:creationId xmlns:a16="http://schemas.microsoft.com/office/drawing/2014/main" id="{5889E5D7-408D-60BA-6AEF-B62405A4F52A}"/>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39" name="Gerader Verbinder 2538">
            <a:extLst>
              <a:ext uri="{FF2B5EF4-FFF2-40B4-BE49-F238E27FC236}">
                <a16:creationId xmlns:a16="http://schemas.microsoft.com/office/drawing/2014/main" id="{48200F20-34E8-13D6-4A5A-C9E7A127D412}"/>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2543" name="Cross_F70">
          <a:extLst>
            <a:ext uri="{FF2B5EF4-FFF2-40B4-BE49-F238E27FC236}">
              <a16:creationId xmlns:a16="http://schemas.microsoft.com/office/drawing/2014/main" id="{9D3030A3-8E59-5942-A8B7-9C24BD66D9B7}"/>
            </a:ext>
          </a:extLst>
        </xdr:cNvPr>
        <xdr:cNvGrpSpPr/>
      </xdr:nvGrpSpPr>
      <xdr:grpSpPr>
        <a:xfrm>
          <a:off x="3444240" y="13213080"/>
          <a:ext cx="601980" cy="228600"/>
          <a:chOff x="3444240" y="13213080"/>
          <a:chExt cx="601980" cy="228600"/>
        </a:xfrm>
      </xdr:grpSpPr>
      <xdr:cxnSp macro="">
        <xdr:nvCxnSpPr>
          <xdr:cNvPr id="2541" name="Gerader Verbinder 2540">
            <a:extLst>
              <a:ext uri="{FF2B5EF4-FFF2-40B4-BE49-F238E27FC236}">
                <a16:creationId xmlns:a16="http://schemas.microsoft.com/office/drawing/2014/main" id="{8CFA5188-33A4-BC05-6D0F-EDC18A23C7D8}"/>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42" name="Gerader Verbinder 2541">
            <a:extLst>
              <a:ext uri="{FF2B5EF4-FFF2-40B4-BE49-F238E27FC236}">
                <a16:creationId xmlns:a16="http://schemas.microsoft.com/office/drawing/2014/main" id="{45BAD56F-B875-D4E6-AD34-B82B41B7E92E}"/>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2546" name="Cross_F71">
          <a:extLst>
            <a:ext uri="{FF2B5EF4-FFF2-40B4-BE49-F238E27FC236}">
              <a16:creationId xmlns:a16="http://schemas.microsoft.com/office/drawing/2014/main" id="{F9639844-C817-ACF8-082F-8EBDE0C7EDF1}"/>
            </a:ext>
          </a:extLst>
        </xdr:cNvPr>
        <xdr:cNvGrpSpPr/>
      </xdr:nvGrpSpPr>
      <xdr:grpSpPr>
        <a:xfrm>
          <a:off x="3444240" y="13441680"/>
          <a:ext cx="601980" cy="167640"/>
          <a:chOff x="3444240" y="13441680"/>
          <a:chExt cx="601980" cy="167640"/>
        </a:xfrm>
      </xdr:grpSpPr>
      <xdr:cxnSp macro="">
        <xdr:nvCxnSpPr>
          <xdr:cNvPr id="2544" name="Gerader Verbinder 2543">
            <a:extLst>
              <a:ext uri="{FF2B5EF4-FFF2-40B4-BE49-F238E27FC236}">
                <a16:creationId xmlns:a16="http://schemas.microsoft.com/office/drawing/2014/main" id="{8B1804DD-D416-6FD1-352F-25814419922E}"/>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45" name="Gerader Verbinder 2544">
            <a:extLst>
              <a:ext uri="{FF2B5EF4-FFF2-40B4-BE49-F238E27FC236}">
                <a16:creationId xmlns:a16="http://schemas.microsoft.com/office/drawing/2014/main" id="{2EAAF379-EC31-C978-658F-F7F49D7A0FF3}"/>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2549" name="Cross_F72">
          <a:extLst>
            <a:ext uri="{FF2B5EF4-FFF2-40B4-BE49-F238E27FC236}">
              <a16:creationId xmlns:a16="http://schemas.microsoft.com/office/drawing/2014/main" id="{0F60D8DD-103A-1FBE-EF01-75A2A7D246D5}"/>
            </a:ext>
          </a:extLst>
        </xdr:cNvPr>
        <xdr:cNvGrpSpPr/>
      </xdr:nvGrpSpPr>
      <xdr:grpSpPr>
        <a:xfrm>
          <a:off x="3444240" y="13609320"/>
          <a:ext cx="601980" cy="167641"/>
          <a:chOff x="3444240" y="13609320"/>
          <a:chExt cx="601980" cy="167641"/>
        </a:xfrm>
      </xdr:grpSpPr>
      <xdr:cxnSp macro="">
        <xdr:nvCxnSpPr>
          <xdr:cNvPr id="2547" name="Gerader Verbinder 2546">
            <a:extLst>
              <a:ext uri="{FF2B5EF4-FFF2-40B4-BE49-F238E27FC236}">
                <a16:creationId xmlns:a16="http://schemas.microsoft.com/office/drawing/2014/main" id="{4E03AD60-F40A-1F77-E2D8-150403E7AAC2}"/>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48" name="Gerader Verbinder 2547">
            <a:extLst>
              <a:ext uri="{FF2B5EF4-FFF2-40B4-BE49-F238E27FC236}">
                <a16:creationId xmlns:a16="http://schemas.microsoft.com/office/drawing/2014/main" id="{B1DFE9A8-F6DD-A551-D68D-97B391D99B99}"/>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2552" name="Cross_F73">
          <a:extLst>
            <a:ext uri="{FF2B5EF4-FFF2-40B4-BE49-F238E27FC236}">
              <a16:creationId xmlns:a16="http://schemas.microsoft.com/office/drawing/2014/main" id="{780F99E2-E533-E69F-4AEA-8BEFC97FFAA7}"/>
            </a:ext>
          </a:extLst>
        </xdr:cNvPr>
        <xdr:cNvGrpSpPr/>
      </xdr:nvGrpSpPr>
      <xdr:grpSpPr>
        <a:xfrm>
          <a:off x="3444240" y="13776961"/>
          <a:ext cx="601980" cy="228600"/>
          <a:chOff x="3444240" y="13776961"/>
          <a:chExt cx="601980" cy="228600"/>
        </a:xfrm>
      </xdr:grpSpPr>
      <xdr:cxnSp macro="">
        <xdr:nvCxnSpPr>
          <xdr:cNvPr id="2550" name="Gerader Verbinder 2549">
            <a:extLst>
              <a:ext uri="{FF2B5EF4-FFF2-40B4-BE49-F238E27FC236}">
                <a16:creationId xmlns:a16="http://schemas.microsoft.com/office/drawing/2014/main" id="{406F92A3-9BA7-C030-FF81-8826083E1AB8}"/>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1" name="Gerader Verbinder 2550">
            <a:extLst>
              <a:ext uri="{FF2B5EF4-FFF2-40B4-BE49-F238E27FC236}">
                <a16:creationId xmlns:a16="http://schemas.microsoft.com/office/drawing/2014/main" id="{904EC65D-A8C7-6B21-37CB-4FDA20CDDBD9}"/>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2555" name="Cross_F74">
          <a:extLst>
            <a:ext uri="{FF2B5EF4-FFF2-40B4-BE49-F238E27FC236}">
              <a16:creationId xmlns:a16="http://schemas.microsoft.com/office/drawing/2014/main" id="{6D82C617-F9AF-BE6E-6B9A-28F53AD573EA}"/>
            </a:ext>
          </a:extLst>
        </xdr:cNvPr>
        <xdr:cNvGrpSpPr/>
      </xdr:nvGrpSpPr>
      <xdr:grpSpPr>
        <a:xfrm>
          <a:off x="3444240" y="14005561"/>
          <a:ext cx="601980" cy="167639"/>
          <a:chOff x="3444240" y="14005561"/>
          <a:chExt cx="601980" cy="167639"/>
        </a:xfrm>
      </xdr:grpSpPr>
      <xdr:cxnSp macro="">
        <xdr:nvCxnSpPr>
          <xdr:cNvPr id="2553" name="Gerader Verbinder 2552">
            <a:extLst>
              <a:ext uri="{FF2B5EF4-FFF2-40B4-BE49-F238E27FC236}">
                <a16:creationId xmlns:a16="http://schemas.microsoft.com/office/drawing/2014/main" id="{DA26B8DC-071C-E970-83C3-19FCFEC97FF4}"/>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4" name="Gerader Verbinder 2553">
            <a:extLst>
              <a:ext uri="{FF2B5EF4-FFF2-40B4-BE49-F238E27FC236}">
                <a16:creationId xmlns:a16="http://schemas.microsoft.com/office/drawing/2014/main" id="{01AE4546-DA22-58A9-868C-AA8ED4247C9E}"/>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2558" name="Cross_F75">
          <a:extLst>
            <a:ext uri="{FF2B5EF4-FFF2-40B4-BE49-F238E27FC236}">
              <a16:creationId xmlns:a16="http://schemas.microsoft.com/office/drawing/2014/main" id="{EE926A1F-7BA2-7F5D-E61E-DD725A7D40F8}"/>
            </a:ext>
          </a:extLst>
        </xdr:cNvPr>
        <xdr:cNvGrpSpPr/>
      </xdr:nvGrpSpPr>
      <xdr:grpSpPr>
        <a:xfrm>
          <a:off x="3444240" y="14173200"/>
          <a:ext cx="601980" cy="167639"/>
          <a:chOff x="3444240" y="14173200"/>
          <a:chExt cx="601980" cy="167639"/>
        </a:xfrm>
      </xdr:grpSpPr>
      <xdr:cxnSp macro="">
        <xdr:nvCxnSpPr>
          <xdr:cNvPr id="2556" name="Gerader Verbinder 2555">
            <a:extLst>
              <a:ext uri="{FF2B5EF4-FFF2-40B4-BE49-F238E27FC236}">
                <a16:creationId xmlns:a16="http://schemas.microsoft.com/office/drawing/2014/main" id="{333CDB76-3465-CD7C-FB71-63E71795F33E}"/>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7" name="Gerader Verbinder 2556">
            <a:extLst>
              <a:ext uri="{FF2B5EF4-FFF2-40B4-BE49-F238E27FC236}">
                <a16:creationId xmlns:a16="http://schemas.microsoft.com/office/drawing/2014/main" id="{CE29CB3A-897A-9A24-A750-DFD8196C1E74}"/>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2561" name="Cross_G7">
          <a:extLst>
            <a:ext uri="{FF2B5EF4-FFF2-40B4-BE49-F238E27FC236}">
              <a16:creationId xmlns:a16="http://schemas.microsoft.com/office/drawing/2014/main" id="{637F5412-2C06-533A-9511-E67806953328}"/>
            </a:ext>
          </a:extLst>
        </xdr:cNvPr>
        <xdr:cNvGrpSpPr/>
      </xdr:nvGrpSpPr>
      <xdr:grpSpPr>
        <a:xfrm>
          <a:off x="4046220" y="1371600"/>
          <a:ext cx="601980" cy="228600"/>
          <a:chOff x="4046220" y="1371600"/>
          <a:chExt cx="601980" cy="228600"/>
        </a:xfrm>
      </xdr:grpSpPr>
      <xdr:cxnSp macro="">
        <xdr:nvCxnSpPr>
          <xdr:cNvPr id="2559" name="Gerader Verbinder 2558">
            <a:extLst>
              <a:ext uri="{FF2B5EF4-FFF2-40B4-BE49-F238E27FC236}">
                <a16:creationId xmlns:a16="http://schemas.microsoft.com/office/drawing/2014/main" id="{AAB22381-4681-E529-6D78-9E6B7D820960}"/>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60" name="Gerader Verbinder 2559">
            <a:extLst>
              <a:ext uri="{FF2B5EF4-FFF2-40B4-BE49-F238E27FC236}">
                <a16:creationId xmlns:a16="http://schemas.microsoft.com/office/drawing/2014/main" id="{74C3D7E0-97B6-71FB-9273-896CCE662B54}"/>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2564" name="Cross_G8">
          <a:extLst>
            <a:ext uri="{FF2B5EF4-FFF2-40B4-BE49-F238E27FC236}">
              <a16:creationId xmlns:a16="http://schemas.microsoft.com/office/drawing/2014/main" id="{3276DB3A-9B6F-5E3E-DB30-38E68B2A21CB}"/>
            </a:ext>
          </a:extLst>
        </xdr:cNvPr>
        <xdr:cNvGrpSpPr/>
      </xdr:nvGrpSpPr>
      <xdr:grpSpPr>
        <a:xfrm>
          <a:off x="4046220" y="1600200"/>
          <a:ext cx="601980" cy="167640"/>
          <a:chOff x="4046220" y="1600200"/>
          <a:chExt cx="601980" cy="167640"/>
        </a:xfrm>
      </xdr:grpSpPr>
      <xdr:cxnSp macro="">
        <xdr:nvCxnSpPr>
          <xdr:cNvPr id="2562" name="Gerader Verbinder 2561">
            <a:extLst>
              <a:ext uri="{FF2B5EF4-FFF2-40B4-BE49-F238E27FC236}">
                <a16:creationId xmlns:a16="http://schemas.microsoft.com/office/drawing/2014/main" id="{03D0D6B7-A540-A447-6853-00FD55167690}"/>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63" name="Gerader Verbinder 2562">
            <a:extLst>
              <a:ext uri="{FF2B5EF4-FFF2-40B4-BE49-F238E27FC236}">
                <a16:creationId xmlns:a16="http://schemas.microsoft.com/office/drawing/2014/main" id="{1F43DD58-ECA2-E7B6-76C9-0ECBDEC314F8}"/>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2567" name="Cross_G9">
          <a:extLst>
            <a:ext uri="{FF2B5EF4-FFF2-40B4-BE49-F238E27FC236}">
              <a16:creationId xmlns:a16="http://schemas.microsoft.com/office/drawing/2014/main" id="{CE52F736-F98A-AFF2-8931-DB05AB6112A3}"/>
            </a:ext>
          </a:extLst>
        </xdr:cNvPr>
        <xdr:cNvGrpSpPr/>
      </xdr:nvGrpSpPr>
      <xdr:grpSpPr>
        <a:xfrm>
          <a:off x="4046220" y="1767840"/>
          <a:ext cx="601980" cy="167640"/>
          <a:chOff x="4046220" y="1767840"/>
          <a:chExt cx="601980" cy="167640"/>
        </a:xfrm>
      </xdr:grpSpPr>
      <xdr:cxnSp macro="">
        <xdr:nvCxnSpPr>
          <xdr:cNvPr id="2565" name="Gerader Verbinder 2564">
            <a:extLst>
              <a:ext uri="{FF2B5EF4-FFF2-40B4-BE49-F238E27FC236}">
                <a16:creationId xmlns:a16="http://schemas.microsoft.com/office/drawing/2014/main" id="{2B8C616B-C7C0-26D6-721E-2A33B584A8BD}"/>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66" name="Gerader Verbinder 2565">
            <a:extLst>
              <a:ext uri="{FF2B5EF4-FFF2-40B4-BE49-F238E27FC236}">
                <a16:creationId xmlns:a16="http://schemas.microsoft.com/office/drawing/2014/main" id="{48E3A95B-3B99-C269-AEC0-817B01A6FB3E}"/>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2570" name="Cross_G16">
          <a:extLst>
            <a:ext uri="{FF2B5EF4-FFF2-40B4-BE49-F238E27FC236}">
              <a16:creationId xmlns:a16="http://schemas.microsoft.com/office/drawing/2014/main" id="{3497465C-9BF3-3693-88BE-3D48B6C3CB1D}"/>
            </a:ext>
          </a:extLst>
        </xdr:cNvPr>
        <xdr:cNvGrpSpPr/>
      </xdr:nvGrpSpPr>
      <xdr:grpSpPr>
        <a:xfrm>
          <a:off x="4046220" y="3063240"/>
          <a:ext cx="601980" cy="228600"/>
          <a:chOff x="4046220" y="3063240"/>
          <a:chExt cx="601980" cy="228600"/>
        </a:xfrm>
      </xdr:grpSpPr>
      <xdr:cxnSp macro="">
        <xdr:nvCxnSpPr>
          <xdr:cNvPr id="2568" name="Gerader Verbinder 2567">
            <a:extLst>
              <a:ext uri="{FF2B5EF4-FFF2-40B4-BE49-F238E27FC236}">
                <a16:creationId xmlns:a16="http://schemas.microsoft.com/office/drawing/2014/main" id="{5368A148-1C93-0626-86AE-9D3447551542}"/>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69" name="Gerader Verbinder 2568">
            <a:extLst>
              <a:ext uri="{FF2B5EF4-FFF2-40B4-BE49-F238E27FC236}">
                <a16:creationId xmlns:a16="http://schemas.microsoft.com/office/drawing/2014/main" id="{27F07E96-2499-D5A3-9890-691606EE6346}"/>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2573" name="Cross_G17">
          <a:extLst>
            <a:ext uri="{FF2B5EF4-FFF2-40B4-BE49-F238E27FC236}">
              <a16:creationId xmlns:a16="http://schemas.microsoft.com/office/drawing/2014/main" id="{C0E700D6-8267-EC20-0D39-A5F724E74D14}"/>
            </a:ext>
          </a:extLst>
        </xdr:cNvPr>
        <xdr:cNvGrpSpPr/>
      </xdr:nvGrpSpPr>
      <xdr:grpSpPr>
        <a:xfrm>
          <a:off x="4046220" y="3291840"/>
          <a:ext cx="601980" cy="167640"/>
          <a:chOff x="4046220" y="3291840"/>
          <a:chExt cx="601980" cy="167640"/>
        </a:xfrm>
      </xdr:grpSpPr>
      <xdr:cxnSp macro="">
        <xdr:nvCxnSpPr>
          <xdr:cNvPr id="2571" name="Gerader Verbinder 2570">
            <a:extLst>
              <a:ext uri="{FF2B5EF4-FFF2-40B4-BE49-F238E27FC236}">
                <a16:creationId xmlns:a16="http://schemas.microsoft.com/office/drawing/2014/main" id="{227480BF-E5DD-482D-8B19-EFF8AEAD84B1}"/>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72" name="Gerader Verbinder 2571">
            <a:extLst>
              <a:ext uri="{FF2B5EF4-FFF2-40B4-BE49-F238E27FC236}">
                <a16:creationId xmlns:a16="http://schemas.microsoft.com/office/drawing/2014/main" id="{DCEC3EE2-A7F9-7172-2E3E-ED600B1F762E}"/>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2576" name="Cross_G18">
          <a:extLst>
            <a:ext uri="{FF2B5EF4-FFF2-40B4-BE49-F238E27FC236}">
              <a16:creationId xmlns:a16="http://schemas.microsoft.com/office/drawing/2014/main" id="{1799A0BB-AB7E-84B6-C6A9-A67F9C858C94}"/>
            </a:ext>
          </a:extLst>
        </xdr:cNvPr>
        <xdr:cNvGrpSpPr/>
      </xdr:nvGrpSpPr>
      <xdr:grpSpPr>
        <a:xfrm>
          <a:off x="4046220" y="3459480"/>
          <a:ext cx="601980" cy="167640"/>
          <a:chOff x="4046220" y="3459480"/>
          <a:chExt cx="601980" cy="167640"/>
        </a:xfrm>
      </xdr:grpSpPr>
      <xdr:cxnSp macro="">
        <xdr:nvCxnSpPr>
          <xdr:cNvPr id="2574" name="Gerader Verbinder 2573">
            <a:extLst>
              <a:ext uri="{FF2B5EF4-FFF2-40B4-BE49-F238E27FC236}">
                <a16:creationId xmlns:a16="http://schemas.microsoft.com/office/drawing/2014/main" id="{87DBFDA9-5FAE-FAFC-EA64-723D69DE6781}"/>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75" name="Gerader Verbinder 2574">
            <a:extLst>
              <a:ext uri="{FF2B5EF4-FFF2-40B4-BE49-F238E27FC236}">
                <a16:creationId xmlns:a16="http://schemas.microsoft.com/office/drawing/2014/main" id="{5200871D-3631-3B59-2C75-7D4414477F80}"/>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2579" name="Cross_G25">
          <a:extLst>
            <a:ext uri="{FF2B5EF4-FFF2-40B4-BE49-F238E27FC236}">
              <a16:creationId xmlns:a16="http://schemas.microsoft.com/office/drawing/2014/main" id="{FFAC9988-A3D9-7667-21A4-BEAD10EA261D}"/>
            </a:ext>
          </a:extLst>
        </xdr:cNvPr>
        <xdr:cNvGrpSpPr/>
      </xdr:nvGrpSpPr>
      <xdr:grpSpPr>
        <a:xfrm>
          <a:off x="4046220" y="4754880"/>
          <a:ext cx="601980" cy="228600"/>
          <a:chOff x="4046220" y="4754880"/>
          <a:chExt cx="601980" cy="228600"/>
        </a:xfrm>
      </xdr:grpSpPr>
      <xdr:cxnSp macro="">
        <xdr:nvCxnSpPr>
          <xdr:cNvPr id="2577" name="Gerader Verbinder 2576">
            <a:extLst>
              <a:ext uri="{FF2B5EF4-FFF2-40B4-BE49-F238E27FC236}">
                <a16:creationId xmlns:a16="http://schemas.microsoft.com/office/drawing/2014/main" id="{F6D39ADE-AD0E-5D6F-705E-4D7A2A365A1C}"/>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78" name="Gerader Verbinder 2577">
            <a:extLst>
              <a:ext uri="{FF2B5EF4-FFF2-40B4-BE49-F238E27FC236}">
                <a16:creationId xmlns:a16="http://schemas.microsoft.com/office/drawing/2014/main" id="{297BAE9A-3A29-FB69-02A8-9E352055257C}"/>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2582" name="Cross_G26">
          <a:extLst>
            <a:ext uri="{FF2B5EF4-FFF2-40B4-BE49-F238E27FC236}">
              <a16:creationId xmlns:a16="http://schemas.microsoft.com/office/drawing/2014/main" id="{09B7C0CC-E7F1-2F13-3EEC-7D1326E11376}"/>
            </a:ext>
          </a:extLst>
        </xdr:cNvPr>
        <xdr:cNvGrpSpPr/>
      </xdr:nvGrpSpPr>
      <xdr:grpSpPr>
        <a:xfrm>
          <a:off x="4046220" y="4983480"/>
          <a:ext cx="601980" cy="167640"/>
          <a:chOff x="4046220" y="4983480"/>
          <a:chExt cx="601980" cy="167640"/>
        </a:xfrm>
      </xdr:grpSpPr>
      <xdr:cxnSp macro="">
        <xdr:nvCxnSpPr>
          <xdr:cNvPr id="2580" name="Gerader Verbinder 2579">
            <a:extLst>
              <a:ext uri="{FF2B5EF4-FFF2-40B4-BE49-F238E27FC236}">
                <a16:creationId xmlns:a16="http://schemas.microsoft.com/office/drawing/2014/main" id="{268DC759-7D23-853D-B16B-C997BDDDF038}"/>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1" name="Gerader Verbinder 2580">
            <a:extLst>
              <a:ext uri="{FF2B5EF4-FFF2-40B4-BE49-F238E27FC236}">
                <a16:creationId xmlns:a16="http://schemas.microsoft.com/office/drawing/2014/main" id="{EED5C492-D90D-EE97-A46A-6C001A60B351}"/>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2585" name="Cross_G27">
          <a:extLst>
            <a:ext uri="{FF2B5EF4-FFF2-40B4-BE49-F238E27FC236}">
              <a16:creationId xmlns:a16="http://schemas.microsoft.com/office/drawing/2014/main" id="{80A7B848-5B30-F46D-E5E3-13CE933E41B9}"/>
            </a:ext>
          </a:extLst>
        </xdr:cNvPr>
        <xdr:cNvGrpSpPr/>
      </xdr:nvGrpSpPr>
      <xdr:grpSpPr>
        <a:xfrm>
          <a:off x="4046220" y="5151120"/>
          <a:ext cx="601980" cy="167640"/>
          <a:chOff x="4046220" y="5151120"/>
          <a:chExt cx="601980" cy="167640"/>
        </a:xfrm>
      </xdr:grpSpPr>
      <xdr:cxnSp macro="">
        <xdr:nvCxnSpPr>
          <xdr:cNvPr id="2583" name="Gerader Verbinder 2582">
            <a:extLst>
              <a:ext uri="{FF2B5EF4-FFF2-40B4-BE49-F238E27FC236}">
                <a16:creationId xmlns:a16="http://schemas.microsoft.com/office/drawing/2014/main" id="{1123372C-C2B8-ED8F-03E9-D2109B9F5DE3}"/>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4" name="Gerader Verbinder 2583">
            <a:extLst>
              <a:ext uri="{FF2B5EF4-FFF2-40B4-BE49-F238E27FC236}">
                <a16:creationId xmlns:a16="http://schemas.microsoft.com/office/drawing/2014/main" id="{B844A0C8-B1BD-3D14-7D8E-632E26CB6CA6}"/>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2588" name="Cross_G31">
          <a:extLst>
            <a:ext uri="{FF2B5EF4-FFF2-40B4-BE49-F238E27FC236}">
              <a16:creationId xmlns:a16="http://schemas.microsoft.com/office/drawing/2014/main" id="{EF2607F3-AF5F-3492-C9FF-B8295548CF3C}"/>
            </a:ext>
          </a:extLst>
        </xdr:cNvPr>
        <xdr:cNvGrpSpPr/>
      </xdr:nvGrpSpPr>
      <xdr:grpSpPr>
        <a:xfrm>
          <a:off x="4046220" y="5882640"/>
          <a:ext cx="601980" cy="228600"/>
          <a:chOff x="4046220" y="5882640"/>
          <a:chExt cx="601980" cy="228600"/>
        </a:xfrm>
      </xdr:grpSpPr>
      <xdr:cxnSp macro="">
        <xdr:nvCxnSpPr>
          <xdr:cNvPr id="2586" name="Gerader Verbinder 2585">
            <a:extLst>
              <a:ext uri="{FF2B5EF4-FFF2-40B4-BE49-F238E27FC236}">
                <a16:creationId xmlns:a16="http://schemas.microsoft.com/office/drawing/2014/main" id="{B2BA7B7A-8197-187F-EA20-43FC78D12AB1}"/>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7" name="Gerader Verbinder 2586">
            <a:extLst>
              <a:ext uri="{FF2B5EF4-FFF2-40B4-BE49-F238E27FC236}">
                <a16:creationId xmlns:a16="http://schemas.microsoft.com/office/drawing/2014/main" id="{D7AE09DD-240D-AB8C-D536-7ACADD5128A2}"/>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2591" name="Cross_G32">
          <a:extLst>
            <a:ext uri="{FF2B5EF4-FFF2-40B4-BE49-F238E27FC236}">
              <a16:creationId xmlns:a16="http://schemas.microsoft.com/office/drawing/2014/main" id="{31B79414-C464-1674-9E5D-271C5F23417E}"/>
            </a:ext>
          </a:extLst>
        </xdr:cNvPr>
        <xdr:cNvGrpSpPr/>
      </xdr:nvGrpSpPr>
      <xdr:grpSpPr>
        <a:xfrm>
          <a:off x="4046220" y="6111240"/>
          <a:ext cx="601980" cy="167640"/>
          <a:chOff x="4046220" y="6111240"/>
          <a:chExt cx="601980" cy="167640"/>
        </a:xfrm>
      </xdr:grpSpPr>
      <xdr:cxnSp macro="">
        <xdr:nvCxnSpPr>
          <xdr:cNvPr id="2589" name="Gerader Verbinder 2588">
            <a:extLst>
              <a:ext uri="{FF2B5EF4-FFF2-40B4-BE49-F238E27FC236}">
                <a16:creationId xmlns:a16="http://schemas.microsoft.com/office/drawing/2014/main" id="{8144BE6B-F50B-2EFF-8C3E-9C63F6100491}"/>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90" name="Gerader Verbinder 2589">
            <a:extLst>
              <a:ext uri="{FF2B5EF4-FFF2-40B4-BE49-F238E27FC236}">
                <a16:creationId xmlns:a16="http://schemas.microsoft.com/office/drawing/2014/main" id="{CB2FBEC1-1D66-C7CA-3187-245F6F530167}"/>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2594" name="Cross_G33">
          <a:extLst>
            <a:ext uri="{FF2B5EF4-FFF2-40B4-BE49-F238E27FC236}">
              <a16:creationId xmlns:a16="http://schemas.microsoft.com/office/drawing/2014/main" id="{B77102B8-D6FB-55D2-DD5E-8B3A1F302929}"/>
            </a:ext>
          </a:extLst>
        </xdr:cNvPr>
        <xdr:cNvGrpSpPr/>
      </xdr:nvGrpSpPr>
      <xdr:grpSpPr>
        <a:xfrm>
          <a:off x="4046220" y="6278880"/>
          <a:ext cx="601980" cy="167640"/>
          <a:chOff x="4046220" y="6278880"/>
          <a:chExt cx="601980" cy="167640"/>
        </a:xfrm>
      </xdr:grpSpPr>
      <xdr:cxnSp macro="">
        <xdr:nvCxnSpPr>
          <xdr:cNvPr id="2592" name="Gerader Verbinder 2591">
            <a:extLst>
              <a:ext uri="{FF2B5EF4-FFF2-40B4-BE49-F238E27FC236}">
                <a16:creationId xmlns:a16="http://schemas.microsoft.com/office/drawing/2014/main" id="{B56EC991-427A-DDE5-77CF-FD5903FB5A47}"/>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93" name="Gerader Verbinder 2592">
            <a:extLst>
              <a:ext uri="{FF2B5EF4-FFF2-40B4-BE49-F238E27FC236}">
                <a16:creationId xmlns:a16="http://schemas.microsoft.com/office/drawing/2014/main" id="{30A01B6A-3111-918D-9010-B6FD5B449041}"/>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2597" name="Cross_G43">
          <a:extLst>
            <a:ext uri="{FF2B5EF4-FFF2-40B4-BE49-F238E27FC236}">
              <a16:creationId xmlns:a16="http://schemas.microsoft.com/office/drawing/2014/main" id="{12074227-BEF0-5870-F3D9-671E8139AD6E}"/>
            </a:ext>
          </a:extLst>
        </xdr:cNvPr>
        <xdr:cNvGrpSpPr/>
      </xdr:nvGrpSpPr>
      <xdr:grpSpPr>
        <a:xfrm>
          <a:off x="4046220" y="8138160"/>
          <a:ext cx="601980" cy="228600"/>
          <a:chOff x="4046220" y="8138160"/>
          <a:chExt cx="601980" cy="228600"/>
        </a:xfrm>
      </xdr:grpSpPr>
      <xdr:cxnSp macro="">
        <xdr:nvCxnSpPr>
          <xdr:cNvPr id="2595" name="Gerader Verbinder 2594">
            <a:extLst>
              <a:ext uri="{FF2B5EF4-FFF2-40B4-BE49-F238E27FC236}">
                <a16:creationId xmlns:a16="http://schemas.microsoft.com/office/drawing/2014/main" id="{0088BC18-B5CD-C539-92F3-1C3441031EB5}"/>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96" name="Gerader Verbinder 2595">
            <a:extLst>
              <a:ext uri="{FF2B5EF4-FFF2-40B4-BE49-F238E27FC236}">
                <a16:creationId xmlns:a16="http://schemas.microsoft.com/office/drawing/2014/main" id="{E6B752DE-0E1E-7797-7EE1-A905CAC28E73}"/>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2600" name="Cross_G44">
          <a:extLst>
            <a:ext uri="{FF2B5EF4-FFF2-40B4-BE49-F238E27FC236}">
              <a16:creationId xmlns:a16="http://schemas.microsoft.com/office/drawing/2014/main" id="{41E7089E-6E53-EC59-3657-DCE3638E9AB9}"/>
            </a:ext>
          </a:extLst>
        </xdr:cNvPr>
        <xdr:cNvGrpSpPr/>
      </xdr:nvGrpSpPr>
      <xdr:grpSpPr>
        <a:xfrm>
          <a:off x="4046220" y="8366760"/>
          <a:ext cx="601980" cy="167640"/>
          <a:chOff x="4046220" y="8366760"/>
          <a:chExt cx="601980" cy="167640"/>
        </a:xfrm>
      </xdr:grpSpPr>
      <xdr:cxnSp macro="">
        <xdr:nvCxnSpPr>
          <xdr:cNvPr id="2598" name="Gerader Verbinder 2597">
            <a:extLst>
              <a:ext uri="{FF2B5EF4-FFF2-40B4-BE49-F238E27FC236}">
                <a16:creationId xmlns:a16="http://schemas.microsoft.com/office/drawing/2014/main" id="{AA50A6FF-665A-4923-8A02-6A35F35D22CF}"/>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99" name="Gerader Verbinder 2598">
            <a:extLst>
              <a:ext uri="{FF2B5EF4-FFF2-40B4-BE49-F238E27FC236}">
                <a16:creationId xmlns:a16="http://schemas.microsoft.com/office/drawing/2014/main" id="{7F5ACCAB-C151-C5C8-2F3A-AA85FCD4D451}"/>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2603" name="Cross_G45">
          <a:extLst>
            <a:ext uri="{FF2B5EF4-FFF2-40B4-BE49-F238E27FC236}">
              <a16:creationId xmlns:a16="http://schemas.microsoft.com/office/drawing/2014/main" id="{C910E4EE-872C-F1A9-2BD7-BFE8822B2A5A}"/>
            </a:ext>
          </a:extLst>
        </xdr:cNvPr>
        <xdr:cNvGrpSpPr/>
      </xdr:nvGrpSpPr>
      <xdr:grpSpPr>
        <a:xfrm>
          <a:off x="4046220" y="8534400"/>
          <a:ext cx="601980" cy="167640"/>
          <a:chOff x="4046220" y="8534400"/>
          <a:chExt cx="601980" cy="167640"/>
        </a:xfrm>
      </xdr:grpSpPr>
      <xdr:cxnSp macro="">
        <xdr:nvCxnSpPr>
          <xdr:cNvPr id="2601" name="Gerader Verbinder 2600">
            <a:extLst>
              <a:ext uri="{FF2B5EF4-FFF2-40B4-BE49-F238E27FC236}">
                <a16:creationId xmlns:a16="http://schemas.microsoft.com/office/drawing/2014/main" id="{F8E107B4-83BF-5B1F-EDD8-71C938429C2B}"/>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02" name="Gerader Verbinder 2601">
            <a:extLst>
              <a:ext uri="{FF2B5EF4-FFF2-40B4-BE49-F238E27FC236}">
                <a16:creationId xmlns:a16="http://schemas.microsoft.com/office/drawing/2014/main" id="{A0949C97-1C66-3790-A6E3-EE02D90AD6A4}"/>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2606" name="Cross_G49">
          <a:extLst>
            <a:ext uri="{FF2B5EF4-FFF2-40B4-BE49-F238E27FC236}">
              <a16:creationId xmlns:a16="http://schemas.microsoft.com/office/drawing/2014/main" id="{E1D833E7-D480-A9C6-0796-DD7A401A2591}"/>
            </a:ext>
          </a:extLst>
        </xdr:cNvPr>
        <xdr:cNvGrpSpPr/>
      </xdr:nvGrpSpPr>
      <xdr:grpSpPr>
        <a:xfrm>
          <a:off x="4046220" y="9265920"/>
          <a:ext cx="601980" cy="228600"/>
          <a:chOff x="4046220" y="9265920"/>
          <a:chExt cx="601980" cy="228600"/>
        </a:xfrm>
      </xdr:grpSpPr>
      <xdr:cxnSp macro="">
        <xdr:nvCxnSpPr>
          <xdr:cNvPr id="2604" name="Gerader Verbinder 2603">
            <a:extLst>
              <a:ext uri="{FF2B5EF4-FFF2-40B4-BE49-F238E27FC236}">
                <a16:creationId xmlns:a16="http://schemas.microsoft.com/office/drawing/2014/main" id="{6B81B8D7-832A-3CE1-7BBA-A09CD7345666}"/>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05" name="Gerader Verbinder 2604">
            <a:extLst>
              <a:ext uri="{FF2B5EF4-FFF2-40B4-BE49-F238E27FC236}">
                <a16:creationId xmlns:a16="http://schemas.microsoft.com/office/drawing/2014/main" id="{DC59BC9E-BBF2-5204-7546-672A09C2E6E0}"/>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2609" name="Cross_G50">
          <a:extLst>
            <a:ext uri="{FF2B5EF4-FFF2-40B4-BE49-F238E27FC236}">
              <a16:creationId xmlns:a16="http://schemas.microsoft.com/office/drawing/2014/main" id="{4D0B2DCF-3F25-FBA6-7A37-1D4525E048A9}"/>
            </a:ext>
          </a:extLst>
        </xdr:cNvPr>
        <xdr:cNvGrpSpPr/>
      </xdr:nvGrpSpPr>
      <xdr:grpSpPr>
        <a:xfrm>
          <a:off x="4046220" y="9494520"/>
          <a:ext cx="601980" cy="167640"/>
          <a:chOff x="4046220" y="9494520"/>
          <a:chExt cx="601980" cy="167640"/>
        </a:xfrm>
      </xdr:grpSpPr>
      <xdr:cxnSp macro="">
        <xdr:nvCxnSpPr>
          <xdr:cNvPr id="2607" name="Gerader Verbinder 2606">
            <a:extLst>
              <a:ext uri="{FF2B5EF4-FFF2-40B4-BE49-F238E27FC236}">
                <a16:creationId xmlns:a16="http://schemas.microsoft.com/office/drawing/2014/main" id="{90CEC28B-6A5C-4262-75AA-026B1298DDE4}"/>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08" name="Gerader Verbinder 2607">
            <a:extLst>
              <a:ext uri="{FF2B5EF4-FFF2-40B4-BE49-F238E27FC236}">
                <a16:creationId xmlns:a16="http://schemas.microsoft.com/office/drawing/2014/main" id="{1B8BBEFC-3C62-E5FB-8190-107F9F2115A5}"/>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2612" name="Cross_G51">
          <a:extLst>
            <a:ext uri="{FF2B5EF4-FFF2-40B4-BE49-F238E27FC236}">
              <a16:creationId xmlns:a16="http://schemas.microsoft.com/office/drawing/2014/main" id="{361A17E1-57E8-89AF-5C6B-ADB71908405F}"/>
            </a:ext>
          </a:extLst>
        </xdr:cNvPr>
        <xdr:cNvGrpSpPr/>
      </xdr:nvGrpSpPr>
      <xdr:grpSpPr>
        <a:xfrm>
          <a:off x="4046220" y="9662160"/>
          <a:ext cx="601980" cy="167640"/>
          <a:chOff x="4046220" y="9662160"/>
          <a:chExt cx="601980" cy="167640"/>
        </a:xfrm>
      </xdr:grpSpPr>
      <xdr:cxnSp macro="">
        <xdr:nvCxnSpPr>
          <xdr:cNvPr id="2610" name="Gerader Verbinder 2609">
            <a:extLst>
              <a:ext uri="{FF2B5EF4-FFF2-40B4-BE49-F238E27FC236}">
                <a16:creationId xmlns:a16="http://schemas.microsoft.com/office/drawing/2014/main" id="{0085F3C9-8C2F-14F6-BD06-290413FF0E5C}"/>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1" name="Gerader Verbinder 2610">
            <a:extLst>
              <a:ext uri="{FF2B5EF4-FFF2-40B4-BE49-F238E27FC236}">
                <a16:creationId xmlns:a16="http://schemas.microsoft.com/office/drawing/2014/main" id="{7AA6EEB8-21E4-75CD-F6DC-EA7921BB9C7E}"/>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2615" name="Cross_G64">
          <a:extLst>
            <a:ext uri="{FF2B5EF4-FFF2-40B4-BE49-F238E27FC236}">
              <a16:creationId xmlns:a16="http://schemas.microsoft.com/office/drawing/2014/main" id="{5E0A03A0-D41B-A799-A258-6E46D56B2F3E}"/>
            </a:ext>
          </a:extLst>
        </xdr:cNvPr>
        <xdr:cNvGrpSpPr/>
      </xdr:nvGrpSpPr>
      <xdr:grpSpPr>
        <a:xfrm>
          <a:off x="4046220" y="12085320"/>
          <a:ext cx="601980" cy="228600"/>
          <a:chOff x="4046220" y="12085320"/>
          <a:chExt cx="601980" cy="228600"/>
        </a:xfrm>
      </xdr:grpSpPr>
      <xdr:cxnSp macro="">
        <xdr:nvCxnSpPr>
          <xdr:cNvPr id="2613" name="Gerader Verbinder 2612">
            <a:extLst>
              <a:ext uri="{FF2B5EF4-FFF2-40B4-BE49-F238E27FC236}">
                <a16:creationId xmlns:a16="http://schemas.microsoft.com/office/drawing/2014/main" id="{281A0E8E-E9C5-4740-3EEA-B8CF4C46122C}"/>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4" name="Gerader Verbinder 2613">
            <a:extLst>
              <a:ext uri="{FF2B5EF4-FFF2-40B4-BE49-F238E27FC236}">
                <a16:creationId xmlns:a16="http://schemas.microsoft.com/office/drawing/2014/main" id="{B696A854-B5A5-1B23-9F25-32DB74238274}"/>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2618" name="Cross_G65">
          <a:extLst>
            <a:ext uri="{FF2B5EF4-FFF2-40B4-BE49-F238E27FC236}">
              <a16:creationId xmlns:a16="http://schemas.microsoft.com/office/drawing/2014/main" id="{013A7713-6E28-0424-AF54-A81838EC89FF}"/>
            </a:ext>
          </a:extLst>
        </xdr:cNvPr>
        <xdr:cNvGrpSpPr/>
      </xdr:nvGrpSpPr>
      <xdr:grpSpPr>
        <a:xfrm>
          <a:off x="4046220" y="12313920"/>
          <a:ext cx="601980" cy="167640"/>
          <a:chOff x="4046220" y="12313920"/>
          <a:chExt cx="601980" cy="167640"/>
        </a:xfrm>
      </xdr:grpSpPr>
      <xdr:cxnSp macro="">
        <xdr:nvCxnSpPr>
          <xdr:cNvPr id="2616" name="Gerader Verbinder 2615">
            <a:extLst>
              <a:ext uri="{FF2B5EF4-FFF2-40B4-BE49-F238E27FC236}">
                <a16:creationId xmlns:a16="http://schemas.microsoft.com/office/drawing/2014/main" id="{39766436-631F-F0F9-B348-734D7E3D75AB}"/>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7" name="Gerader Verbinder 2616">
            <a:extLst>
              <a:ext uri="{FF2B5EF4-FFF2-40B4-BE49-F238E27FC236}">
                <a16:creationId xmlns:a16="http://schemas.microsoft.com/office/drawing/2014/main" id="{72545E78-0B13-1EA8-15E6-08FD3C530DE7}"/>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2621" name="Cross_G66">
          <a:extLst>
            <a:ext uri="{FF2B5EF4-FFF2-40B4-BE49-F238E27FC236}">
              <a16:creationId xmlns:a16="http://schemas.microsoft.com/office/drawing/2014/main" id="{25404A02-A201-C3AC-A37F-A08C8492CE7A}"/>
            </a:ext>
          </a:extLst>
        </xdr:cNvPr>
        <xdr:cNvGrpSpPr/>
      </xdr:nvGrpSpPr>
      <xdr:grpSpPr>
        <a:xfrm>
          <a:off x="4046220" y="12481560"/>
          <a:ext cx="601980" cy="167640"/>
          <a:chOff x="4046220" y="12481560"/>
          <a:chExt cx="601980" cy="167640"/>
        </a:xfrm>
      </xdr:grpSpPr>
      <xdr:cxnSp macro="">
        <xdr:nvCxnSpPr>
          <xdr:cNvPr id="2619" name="Gerader Verbinder 2618">
            <a:extLst>
              <a:ext uri="{FF2B5EF4-FFF2-40B4-BE49-F238E27FC236}">
                <a16:creationId xmlns:a16="http://schemas.microsoft.com/office/drawing/2014/main" id="{7216F558-AB37-B12B-C62B-A929911D78CA}"/>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20" name="Gerader Verbinder 2619">
            <a:extLst>
              <a:ext uri="{FF2B5EF4-FFF2-40B4-BE49-F238E27FC236}">
                <a16:creationId xmlns:a16="http://schemas.microsoft.com/office/drawing/2014/main" id="{411B3A3F-3343-1442-8ED0-C91267916263}"/>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2624" name="Cross_G67">
          <a:extLst>
            <a:ext uri="{FF2B5EF4-FFF2-40B4-BE49-F238E27FC236}">
              <a16:creationId xmlns:a16="http://schemas.microsoft.com/office/drawing/2014/main" id="{1FAF8BC9-428C-8D7C-BE43-602139D7D12E}"/>
            </a:ext>
          </a:extLst>
        </xdr:cNvPr>
        <xdr:cNvGrpSpPr/>
      </xdr:nvGrpSpPr>
      <xdr:grpSpPr>
        <a:xfrm>
          <a:off x="4046220" y="12649200"/>
          <a:ext cx="601980" cy="228600"/>
          <a:chOff x="4046220" y="12649200"/>
          <a:chExt cx="601980" cy="228600"/>
        </a:xfrm>
      </xdr:grpSpPr>
      <xdr:cxnSp macro="">
        <xdr:nvCxnSpPr>
          <xdr:cNvPr id="2622" name="Gerader Verbinder 2621">
            <a:extLst>
              <a:ext uri="{FF2B5EF4-FFF2-40B4-BE49-F238E27FC236}">
                <a16:creationId xmlns:a16="http://schemas.microsoft.com/office/drawing/2014/main" id="{DDA2848D-6432-7662-5615-14EA0F819A4C}"/>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23" name="Gerader Verbinder 2622">
            <a:extLst>
              <a:ext uri="{FF2B5EF4-FFF2-40B4-BE49-F238E27FC236}">
                <a16:creationId xmlns:a16="http://schemas.microsoft.com/office/drawing/2014/main" id="{037E7082-6004-7709-A0E3-B968BC240E31}"/>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2627" name="Cross_G68">
          <a:extLst>
            <a:ext uri="{FF2B5EF4-FFF2-40B4-BE49-F238E27FC236}">
              <a16:creationId xmlns:a16="http://schemas.microsoft.com/office/drawing/2014/main" id="{F715C7C8-D606-54B0-0C45-84E2275EAE06}"/>
            </a:ext>
          </a:extLst>
        </xdr:cNvPr>
        <xdr:cNvGrpSpPr/>
      </xdr:nvGrpSpPr>
      <xdr:grpSpPr>
        <a:xfrm>
          <a:off x="4046220" y="12877800"/>
          <a:ext cx="601980" cy="167639"/>
          <a:chOff x="4046220" y="12877800"/>
          <a:chExt cx="601980" cy="167639"/>
        </a:xfrm>
      </xdr:grpSpPr>
      <xdr:cxnSp macro="">
        <xdr:nvCxnSpPr>
          <xdr:cNvPr id="2625" name="Gerader Verbinder 2624">
            <a:extLst>
              <a:ext uri="{FF2B5EF4-FFF2-40B4-BE49-F238E27FC236}">
                <a16:creationId xmlns:a16="http://schemas.microsoft.com/office/drawing/2014/main" id="{57800288-D191-E965-713B-C41066FBB39D}"/>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26" name="Gerader Verbinder 2625">
            <a:extLst>
              <a:ext uri="{FF2B5EF4-FFF2-40B4-BE49-F238E27FC236}">
                <a16:creationId xmlns:a16="http://schemas.microsoft.com/office/drawing/2014/main" id="{518A1E2F-085B-668A-10FA-7496928EDF34}"/>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2630" name="Cross_G69">
          <a:extLst>
            <a:ext uri="{FF2B5EF4-FFF2-40B4-BE49-F238E27FC236}">
              <a16:creationId xmlns:a16="http://schemas.microsoft.com/office/drawing/2014/main" id="{307B9B75-D76E-3FC9-84AF-11DA5501FE17}"/>
            </a:ext>
          </a:extLst>
        </xdr:cNvPr>
        <xdr:cNvGrpSpPr/>
      </xdr:nvGrpSpPr>
      <xdr:grpSpPr>
        <a:xfrm>
          <a:off x="4046220" y="13045439"/>
          <a:ext cx="601980" cy="167641"/>
          <a:chOff x="4046220" y="13045439"/>
          <a:chExt cx="601980" cy="167641"/>
        </a:xfrm>
      </xdr:grpSpPr>
      <xdr:cxnSp macro="">
        <xdr:nvCxnSpPr>
          <xdr:cNvPr id="2628" name="Gerader Verbinder 2627">
            <a:extLst>
              <a:ext uri="{FF2B5EF4-FFF2-40B4-BE49-F238E27FC236}">
                <a16:creationId xmlns:a16="http://schemas.microsoft.com/office/drawing/2014/main" id="{70F494C3-5413-E2CE-5F61-AD238C27D4DF}"/>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29" name="Gerader Verbinder 2628">
            <a:extLst>
              <a:ext uri="{FF2B5EF4-FFF2-40B4-BE49-F238E27FC236}">
                <a16:creationId xmlns:a16="http://schemas.microsoft.com/office/drawing/2014/main" id="{791EDA95-084F-7907-391A-45C0EDB6FAFC}"/>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2633" name="Cross_G70">
          <a:extLst>
            <a:ext uri="{FF2B5EF4-FFF2-40B4-BE49-F238E27FC236}">
              <a16:creationId xmlns:a16="http://schemas.microsoft.com/office/drawing/2014/main" id="{F977C16A-ABA7-1355-8D19-C2E05053672A}"/>
            </a:ext>
          </a:extLst>
        </xdr:cNvPr>
        <xdr:cNvGrpSpPr/>
      </xdr:nvGrpSpPr>
      <xdr:grpSpPr>
        <a:xfrm>
          <a:off x="4046220" y="13213080"/>
          <a:ext cx="601980" cy="228600"/>
          <a:chOff x="4046220" y="13213080"/>
          <a:chExt cx="601980" cy="228600"/>
        </a:xfrm>
      </xdr:grpSpPr>
      <xdr:cxnSp macro="">
        <xdr:nvCxnSpPr>
          <xdr:cNvPr id="2631" name="Gerader Verbinder 2630">
            <a:extLst>
              <a:ext uri="{FF2B5EF4-FFF2-40B4-BE49-F238E27FC236}">
                <a16:creationId xmlns:a16="http://schemas.microsoft.com/office/drawing/2014/main" id="{F8FF8406-4B36-9434-ABF3-D07DFBD895DB}"/>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2" name="Gerader Verbinder 2631">
            <a:extLst>
              <a:ext uri="{FF2B5EF4-FFF2-40B4-BE49-F238E27FC236}">
                <a16:creationId xmlns:a16="http://schemas.microsoft.com/office/drawing/2014/main" id="{39C0A0A7-BEB1-4C37-BC96-821FE37FD9D2}"/>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2636" name="Cross_G71">
          <a:extLst>
            <a:ext uri="{FF2B5EF4-FFF2-40B4-BE49-F238E27FC236}">
              <a16:creationId xmlns:a16="http://schemas.microsoft.com/office/drawing/2014/main" id="{B923259B-A5E8-3CE8-1299-6ED8B1A65509}"/>
            </a:ext>
          </a:extLst>
        </xdr:cNvPr>
        <xdr:cNvGrpSpPr/>
      </xdr:nvGrpSpPr>
      <xdr:grpSpPr>
        <a:xfrm>
          <a:off x="4046220" y="13441680"/>
          <a:ext cx="601980" cy="167640"/>
          <a:chOff x="4046220" y="13441680"/>
          <a:chExt cx="601980" cy="167640"/>
        </a:xfrm>
      </xdr:grpSpPr>
      <xdr:cxnSp macro="">
        <xdr:nvCxnSpPr>
          <xdr:cNvPr id="2634" name="Gerader Verbinder 2633">
            <a:extLst>
              <a:ext uri="{FF2B5EF4-FFF2-40B4-BE49-F238E27FC236}">
                <a16:creationId xmlns:a16="http://schemas.microsoft.com/office/drawing/2014/main" id="{6E95DBBF-D70D-A2BB-7AA3-517AD38B1738}"/>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5" name="Gerader Verbinder 2634">
            <a:extLst>
              <a:ext uri="{FF2B5EF4-FFF2-40B4-BE49-F238E27FC236}">
                <a16:creationId xmlns:a16="http://schemas.microsoft.com/office/drawing/2014/main" id="{EF4A0FCD-1D4B-04E8-2043-44D5E8BB38DD}"/>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2639" name="Cross_G72">
          <a:extLst>
            <a:ext uri="{FF2B5EF4-FFF2-40B4-BE49-F238E27FC236}">
              <a16:creationId xmlns:a16="http://schemas.microsoft.com/office/drawing/2014/main" id="{E810E0C5-C66A-BFCD-56F8-EDE317B12F64}"/>
            </a:ext>
          </a:extLst>
        </xdr:cNvPr>
        <xdr:cNvGrpSpPr/>
      </xdr:nvGrpSpPr>
      <xdr:grpSpPr>
        <a:xfrm>
          <a:off x="4046220" y="13609320"/>
          <a:ext cx="601980" cy="167641"/>
          <a:chOff x="4046220" y="13609320"/>
          <a:chExt cx="601980" cy="167641"/>
        </a:xfrm>
      </xdr:grpSpPr>
      <xdr:cxnSp macro="">
        <xdr:nvCxnSpPr>
          <xdr:cNvPr id="2637" name="Gerader Verbinder 2636">
            <a:extLst>
              <a:ext uri="{FF2B5EF4-FFF2-40B4-BE49-F238E27FC236}">
                <a16:creationId xmlns:a16="http://schemas.microsoft.com/office/drawing/2014/main" id="{323432A2-218C-0DF0-F81D-8F3FD028554E}"/>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38" name="Gerader Verbinder 2637">
            <a:extLst>
              <a:ext uri="{FF2B5EF4-FFF2-40B4-BE49-F238E27FC236}">
                <a16:creationId xmlns:a16="http://schemas.microsoft.com/office/drawing/2014/main" id="{63ECF8DF-52DF-E74B-A0B3-A771A7DE30BA}"/>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2642" name="Cross_H7">
          <a:extLst>
            <a:ext uri="{FF2B5EF4-FFF2-40B4-BE49-F238E27FC236}">
              <a16:creationId xmlns:a16="http://schemas.microsoft.com/office/drawing/2014/main" id="{AEE4EB5F-7897-ED92-E0B0-BEA46FE39E10}"/>
            </a:ext>
          </a:extLst>
        </xdr:cNvPr>
        <xdr:cNvGrpSpPr/>
      </xdr:nvGrpSpPr>
      <xdr:grpSpPr>
        <a:xfrm>
          <a:off x="4648200" y="1371600"/>
          <a:ext cx="601980" cy="228600"/>
          <a:chOff x="4648200" y="1371600"/>
          <a:chExt cx="601980" cy="228600"/>
        </a:xfrm>
      </xdr:grpSpPr>
      <xdr:cxnSp macro="">
        <xdr:nvCxnSpPr>
          <xdr:cNvPr id="2640" name="Gerader Verbinder 2639">
            <a:extLst>
              <a:ext uri="{FF2B5EF4-FFF2-40B4-BE49-F238E27FC236}">
                <a16:creationId xmlns:a16="http://schemas.microsoft.com/office/drawing/2014/main" id="{A4B5181A-FD8B-7D38-B6FC-65E48B389DBB}"/>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1" name="Gerader Verbinder 2640">
            <a:extLst>
              <a:ext uri="{FF2B5EF4-FFF2-40B4-BE49-F238E27FC236}">
                <a16:creationId xmlns:a16="http://schemas.microsoft.com/office/drawing/2014/main" id="{56C136B3-1681-7BB1-A2D3-7A8DBFCF182E}"/>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2645" name="Cross_H8">
          <a:extLst>
            <a:ext uri="{FF2B5EF4-FFF2-40B4-BE49-F238E27FC236}">
              <a16:creationId xmlns:a16="http://schemas.microsoft.com/office/drawing/2014/main" id="{BA86F740-DC54-F829-8A9C-89D9D2EA285C}"/>
            </a:ext>
          </a:extLst>
        </xdr:cNvPr>
        <xdr:cNvGrpSpPr/>
      </xdr:nvGrpSpPr>
      <xdr:grpSpPr>
        <a:xfrm>
          <a:off x="4648200" y="1600200"/>
          <a:ext cx="601980" cy="167640"/>
          <a:chOff x="4648200" y="1600200"/>
          <a:chExt cx="601980" cy="167640"/>
        </a:xfrm>
      </xdr:grpSpPr>
      <xdr:cxnSp macro="">
        <xdr:nvCxnSpPr>
          <xdr:cNvPr id="2643" name="Gerader Verbinder 2642">
            <a:extLst>
              <a:ext uri="{FF2B5EF4-FFF2-40B4-BE49-F238E27FC236}">
                <a16:creationId xmlns:a16="http://schemas.microsoft.com/office/drawing/2014/main" id="{11EB024C-6EF9-0EF6-E836-2B96FF2A85E4}"/>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4" name="Gerader Verbinder 2643">
            <a:extLst>
              <a:ext uri="{FF2B5EF4-FFF2-40B4-BE49-F238E27FC236}">
                <a16:creationId xmlns:a16="http://schemas.microsoft.com/office/drawing/2014/main" id="{16F72F99-CA6C-7AB0-6B7E-6700C57C3A4F}"/>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2648" name="Cross_H9">
          <a:extLst>
            <a:ext uri="{FF2B5EF4-FFF2-40B4-BE49-F238E27FC236}">
              <a16:creationId xmlns:a16="http://schemas.microsoft.com/office/drawing/2014/main" id="{7233A8B5-8792-8206-B411-375EAFF1FD17}"/>
            </a:ext>
          </a:extLst>
        </xdr:cNvPr>
        <xdr:cNvGrpSpPr/>
      </xdr:nvGrpSpPr>
      <xdr:grpSpPr>
        <a:xfrm>
          <a:off x="4648200" y="1767840"/>
          <a:ext cx="601980" cy="167640"/>
          <a:chOff x="4648200" y="1767840"/>
          <a:chExt cx="601980" cy="167640"/>
        </a:xfrm>
      </xdr:grpSpPr>
      <xdr:cxnSp macro="">
        <xdr:nvCxnSpPr>
          <xdr:cNvPr id="2646" name="Gerader Verbinder 2645">
            <a:extLst>
              <a:ext uri="{FF2B5EF4-FFF2-40B4-BE49-F238E27FC236}">
                <a16:creationId xmlns:a16="http://schemas.microsoft.com/office/drawing/2014/main" id="{C0EBE928-83AF-E979-8756-6AE80DE7956A}"/>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7" name="Gerader Verbinder 2646">
            <a:extLst>
              <a:ext uri="{FF2B5EF4-FFF2-40B4-BE49-F238E27FC236}">
                <a16:creationId xmlns:a16="http://schemas.microsoft.com/office/drawing/2014/main" id="{A771F681-6DD7-3DB7-3E36-A35BF81C2F68}"/>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2651" name="Cross_H10">
          <a:extLst>
            <a:ext uri="{FF2B5EF4-FFF2-40B4-BE49-F238E27FC236}">
              <a16:creationId xmlns:a16="http://schemas.microsoft.com/office/drawing/2014/main" id="{E4CA3B2E-6384-8C61-81D5-252F3911C6FF}"/>
            </a:ext>
          </a:extLst>
        </xdr:cNvPr>
        <xdr:cNvGrpSpPr/>
      </xdr:nvGrpSpPr>
      <xdr:grpSpPr>
        <a:xfrm>
          <a:off x="4648200" y="1935480"/>
          <a:ext cx="601980" cy="228600"/>
          <a:chOff x="4648200" y="1935480"/>
          <a:chExt cx="601980" cy="228600"/>
        </a:xfrm>
      </xdr:grpSpPr>
      <xdr:cxnSp macro="">
        <xdr:nvCxnSpPr>
          <xdr:cNvPr id="2649" name="Gerader Verbinder 2648">
            <a:extLst>
              <a:ext uri="{FF2B5EF4-FFF2-40B4-BE49-F238E27FC236}">
                <a16:creationId xmlns:a16="http://schemas.microsoft.com/office/drawing/2014/main" id="{86450961-13E8-4678-4D18-F2EBE7B89794}"/>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0" name="Gerader Verbinder 2649">
            <a:extLst>
              <a:ext uri="{FF2B5EF4-FFF2-40B4-BE49-F238E27FC236}">
                <a16:creationId xmlns:a16="http://schemas.microsoft.com/office/drawing/2014/main" id="{83314283-1828-2A5F-ED6E-87D23BA9E587}"/>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2654" name="Cross_H11">
          <a:extLst>
            <a:ext uri="{FF2B5EF4-FFF2-40B4-BE49-F238E27FC236}">
              <a16:creationId xmlns:a16="http://schemas.microsoft.com/office/drawing/2014/main" id="{E2A6A6E8-9CAD-4C94-C82F-F3ED582EE250}"/>
            </a:ext>
          </a:extLst>
        </xdr:cNvPr>
        <xdr:cNvGrpSpPr/>
      </xdr:nvGrpSpPr>
      <xdr:grpSpPr>
        <a:xfrm>
          <a:off x="4648200" y="2164080"/>
          <a:ext cx="601980" cy="167640"/>
          <a:chOff x="4648200" y="2164080"/>
          <a:chExt cx="601980" cy="167640"/>
        </a:xfrm>
      </xdr:grpSpPr>
      <xdr:cxnSp macro="">
        <xdr:nvCxnSpPr>
          <xdr:cNvPr id="2652" name="Gerader Verbinder 2651">
            <a:extLst>
              <a:ext uri="{FF2B5EF4-FFF2-40B4-BE49-F238E27FC236}">
                <a16:creationId xmlns:a16="http://schemas.microsoft.com/office/drawing/2014/main" id="{4FA43DF5-1FD5-898B-56D4-ADA9A8AA752D}"/>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3" name="Gerader Verbinder 2652">
            <a:extLst>
              <a:ext uri="{FF2B5EF4-FFF2-40B4-BE49-F238E27FC236}">
                <a16:creationId xmlns:a16="http://schemas.microsoft.com/office/drawing/2014/main" id="{5155496B-AA1F-D602-C637-19C9E17B8362}"/>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2657" name="Cross_H12">
          <a:extLst>
            <a:ext uri="{FF2B5EF4-FFF2-40B4-BE49-F238E27FC236}">
              <a16:creationId xmlns:a16="http://schemas.microsoft.com/office/drawing/2014/main" id="{2BED3B39-676C-0272-3F3B-11C01E99308D}"/>
            </a:ext>
          </a:extLst>
        </xdr:cNvPr>
        <xdr:cNvGrpSpPr/>
      </xdr:nvGrpSpPr>
      <xdr:grpSpPr>
        <a:xfrm>
          <a:off x="4648200" y="2331720"/>
          <a:ext cx="601980" cy="167640"/>
          <a:chOff x="4648200" y="2331720"/>
          <a:chExt cx="601980" cy="167640"/>
        </a:xfrm>
      </xdr:grpSpPr>
      <xdr:cxnSp macro="">
        <xdr:nvCxnSpPr>
          <xdr:cNvPr id="2655" name="Gerader Verbinder 2654">
            <a:extLst>
              <a:ext uri="{FF2B5EF4-FFF2-40B4-BE49-F238E27FC236}">
                <a16:creationId xmlns:a16="http://schemas.microsoft.com/office/drawing/2014/main" id="{0DE1488C-46C4-66D7-02F8-74A480A36779}"/>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6" name="Gerader Verbinder 2655">
            <a:extLst>
              <a:ext uri="{FF2B5EF4-FFF2-40B4-BE49-F238E27FC236}">
                <a16:creationId xmlns:a16="http://schemas.microsoft.com/office/drawing/2014/main" id="{E09FF4EF-DF86-EABE-8444-6EE71F2D772F}"/>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2660" name="Cross_H16">
          <a:extLst>
            <a:ext uri="{FF2B5EF4-FFF2-40B4-BE49-F238E27FC236}">
              <a16:creationId xmlns:a16="http://schemas.microsoft.com/office/drawing/2014/main" id="{E5BAC064-6CBE-731A-60FE-7A64C5C95DF6}"/>
            </a:ext>
          </a:extLst>
        </xdr:cNvPr>
        <xdr:cNvGrpSpPr/>
      </xdr:nvGrpSpPr>
      <xdr:grpSpPr>
        <a:xfrm>
          <a:off x="4648200" y="3063240"/>
          <a:ext cx="601980" cy="228600"/>
          <a:chOff x="4648200" y="3063240"/>
          <a:chExt cx="601980" cy="228600"/>
        </a:xfrm>
      </xdr:grpSpPr>
      <xdr:cxnSp macro="">
        <xdr:nvCxnSpPr>
          <xdr:cNvPr id="2658" name="Gerader Verbinder 2657">
            <a:extLst>
              <a:ext uri="{FF2B5EF4-FFF2-40B4-BE49-F238E27FC236}">
                <a16:creationId xmlns:a16="http://schemas.microsoft.com/office/drawing/2014/main" id="{DE10FE45-7928-DF39-06AF-941460449E8B}"/>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59" name="Gerader Verbinder 2658">
            <a:extLst>
              <a:ext uri="{FF2B5EF4-FFF2-40B4-BE49-F238E27FC236}">
                <a16:creationId xmlns:a16="http://schemas.microsoft.com/office/drawing/2014/main" id="{A2829C1E-7FF7-AD48-3149-9C3B6E52E016}"/>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2663" name="Cross_H17">
          <a:extLst>
            <a:ext uri="{FF2B5EF4-FFF2-40B4-BE49-F238E27FC236}">
              <a16:creationId xmlns:a16="http://schemas.microsoft.com/office/drawing/2014/main" id="{44C10400-5CD1-3033-AC33-04E2A5076CEA}"/>
            </a:ext>
          </a:extLst>
        </xdr:cNvPr>
        <xdr:cNvGrpSpPr/>
      </xdr:nvGrpSpPr>
      <xdr:grpSpPr>
        <a:xfrm>
          <a:off x="4648200" y="3291840"/>
          <a:ext cx="601980" cy="167640"/>
          <a:chOff x="4648200" y="3291840"/>
          <a:chExt cx="601980" cy="167640"/>
        </a:xfrm>
      </xdr:grpSpPr>
      <xdr:cxnSp macro="">
        <xdr:nvCxnSpPr>
          <xdr:cNvPr id="2661" name="Gerader Verbinder 2660">
            <a:extLst>
              <a:ext uri="{FF2B5EF4-FFF2-40B4-BE49-F238E27FC236}">
                <a16:creationId xmlns:a16="http://schemas.microsoft.com/office/drawing/2014/main" id="{3F50FD10-F791-272A-E56D-E75CECBDCE98}"/>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2" name="Gerader Verbinder 2661">
            <a:extLst>
              <a:ext uri="{FF2B5EF4-FFF2-40B4-BE49-F238E27FC236}">
                <a16:creationId xmlns:a16="http://schemas.microsoft.com/office/drawing/2014/main" id="{2579A72A-6824-D55C-B677-1968CFF2C21B}"/>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2666" name="Cross_H18">
          <a:extLst>
            <a:ext uri="{FF2B5EF4-FFF2-40B4-BE49-F238E27FC236}">
              <a16:creationId xmlns:a16="http://schemas.microsoft.com/office/drawing/2014/main" id="{40345796-A869-2888-561B-5F6128BC4E3A}"/>
            </a:ext>
          </a:extLst>
        </xdr:cNvPr>
        <xdr:cNvGrpSpPr/>
      </xdr:nvGrpSpPr>
      <xdr:grpSpPr>
        <a:xfrm>
          <a:off x="4648200" y="3459480"/>
          <a:ext cx="601980" cy="167640"/>
          <a:chOff x="4648200" y="3459480"/>
          <a:chExt cx="601980" cy="167640"/>
        </a:xfrm>
      </xdr:grpSpPr>
      <xdr:cxnSp macro="">
        <xdr:nvCxnSpPr>
          <xdr:cNvPr id="2664" name="Gerader Verbinder 2663">
            <a:extLst>
              <a:ext uri="{FF2B5EF4-FFF2-40B4-BE49-F238E27FC236}">
                <a16:creationId xmlns:a16="http://schemas.microsoft.com/office/drawing/2014/main" id="{9D1F282C-963C-ED30-2C18-FC649F5C57DD}"/>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5" name="Gerader Verbinder 2664">
            <a:extLst>
              <a:ext uri="{FF2B5EF4-FFF2-40B4-BE49-F238E27FC236}">
                <a16:creationId xmlns:a16="http://schemas.microsoft.com/office/drawing/2014/main" id="{32DF9386-8C44-32B8-6FA6-85EE97D72E74}"/>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2669" name="Cross_H19">
          <a:extLst>
            <a:ext uri="{FF2B5EF4-FFF2-40B4-BE49-F238E27FC236}">
              <a16:creationId xmlns:a16="http://schemas.microsoft.com/office/drawing/2014/main" id="{2F9F9D26-FA9F-D306-E09D-202C171647D5}"/>
            </a:ext>
          </a:extLst>
        </xdr:cNvPr>
        <xdr:cNvGrpSpPr/>
      </xdr:nvGrpSpPr>
      <xdr:grpSpPr>
        <a:xfrm>
          <a:off x="4648200" y="3627120"/>
          <a:ext cx="601980" cy="228600"/>
          <a:chOff x="4648200" y="3627120"/>
          <a:chExt cx="601980" cy="228600"/>
        </a:xfrm>
      </xdr:grpSpPr>
      <xdr:cxnSp macro="">
        <xdr:nvCxnSpPr>
          <xdr:cNvPr id="2667" name="Gerader Verbinder 2666">
            <a:extLst>
              <a:ext uri="{FF2B5EF4-FFF2-40B4-BE49-F238E27FC236}">
                <a16:creationId xmlns:a16="http://schemas.microsoft.com/office/drawing/2014/main" id="{F16C3DF6-BB04-1AC3-69CB-BA9F4BE3A408}"/>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68" name="Gerader Verbinder 2667">
            <a:extLst>
              <a:ext uri="{FF2B5EF4-FFF2-40B4-BE49-F238E27FC236}">
                <a16:creationId xmlns:a16="http://schemas.microsoft.com/office/drawing/2014/main" id="{DADA410C-77D7-4F70-C0F9-E6C57C4A252A}"/>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2672" name="Cross_H20">
          <a:extLst>
            <a:ext uri="{FF2B5EF4-FFF2-40B4-BE49-F238E27FC236}">
              <a16:creationId xmlns:a16="http://schemas.microsoft.com/office/drawing/2014/main" id="{CA598786-6D7A-34CB-E94E-77B030EF2108}"/>
            </a:ext>
          </a:extLst>
        </xdr:cNvPr>
        <xdr:cNvGrpSpPr/>
      </xdr:nvGrpSpPr>
      <xdr:grpSpPr>
        <a:xfrm>
          <a:off x="4648200" y="3855720"/>
          <a:ext cx="601980" cy="167640"/>
          <a:chOff x="4648200" y="3855720"/>
          <a:chExt cx="601980" cy="167640"/>
        </a:xfrm>
      </xdr:grpSpPr>
      <xdr:cxnSp macro="">
        <xdr:nvCxnSpPr>
          <xdr:cNvPr id="2670" name="Gerader Verbinder 2669">
            <a:extLst>
              <a:ext uri="{FF2B5EF4-FFF2-40B4-BE49-F238E27FC236}">
                <a16:creationId xmlns:a16="http://schemas.microsoft.com/office/drawing/2014/main" id="{AEBC3801-3E4B-1937-1D11-6987E57013E3}"/>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1" name="Gerader Verbinder 2670">
            <a:extLst>
              <a:ext uri="{FF2B5EF4-FFF2-40B4-BE49-F238E27FC236}">
                <a16:creationId xmlns:a16="http://schemas.microsoft.com/office/drawing/2014/main" id="{3677A03B-6DD0-77CB-95D4-2500416DBCC1}"/>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2675" name="Cross_H21">
          <a:extLst>
            <a:ext uri="{FF2B5EF4-FFF2-40B4-BE49-F238E27FC236}">
              <a16:creationId xmlns:a16="http://schemas.microsoft.com/office/drawing/2014/main" id="{7C31BBB7-925F-986E-847E-05DF737BBD2E}"/>
            </a:ext>
          </a:extLst>
        </xdr:cNvPr>
        <xdr:cNvGrpSpPr/>
      </xdr:nvGrpSpPr>
      <xdr:grpSpPr>
        <a:xfrm>
          <a:off x="4648200" y="4023360"/>
          <a:ext cx="601980" cy="167640"/>
          <a:chOff x="4648200" y="4023360"/>
          <a:chExt cx="601980" cy="167640"/>
        </a:xfrm>
      </xdr:grpSpPr>
      <xdr:cxnSp macro="">
        <xdr:nvCxnSpPr>
          <xdr:cNvPr id="2673" name="Gerader Verbinder 2672">
            <a:extLst>
              <a:ext uri="{FF2B5EF4-FFF2-40B4-BE49-F238E27FC236}">
                <a16:creationId xmlns:a16="http://schemas.microsoft.com/office/drawing/2014/main" id="{4DF88EB2-DD09-F3FC-00DF-1AE22D39D61C}"/>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4" name="Gerader Verbinder 2673">
            <a:extLst>
              <a:ext uri="{FF2B5EF4-FFF2-40B4-BE49-F238E27FC236}">
                <a16:creationId xmlns:a16="http://schemas.microsoft.com/office/drawing/2014/main" id="{5D5970E2-AFB2-B59E-A5D7-5EBD702D24B5}"/>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2678" name="Cross_H22">
          <a:extLst>
            <a:ext uri="{FF2B5EF4-FFF2-40B4-BE49-F238E27FC236}">
              <a16:creationId xmlns:a16="http://schemas.microsoft.com/office/drawing/2014/main" id="{3EE73D93-87C3-8F26-7775-4A5E6A2AA711}"/>
            </a:ext>
          </a:extLst>
        </xdr:cNvPr>
        <xdr:cNvGrpSpPr/>
      </xdr:nvGrpSpPr>
      <xdr:grpSpPr>
        <a:xfrm>
          <a:off x="4648200" y="4191000"/>
          <a:ext cx="601980" cy="228600"/>
          <a:chOff x="4648200" y="4191000"/>
          <a:chExt cx="601980" cy="228600"/>
        </a:xfrm>
      </xdr:grpSpPr>
      <xdr:cxnSp macro="">
        <xdr:nvCxnSpPr>
          <xdr:cNvPr id="2676" name="Gerader Verbinder 2675">
            <a:extLst>
              <a:ext uri="{FF2B5EF4-FFF2-40B4-BE49-F238E27FC236}">
                <a16:creationId xmlns:a16="http://schemas.microsoft.com/office/drawing/2014/main" id="{78C3CF2E-61FB-C96A-D15A-B82AF0B781C5}"/>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7" name="Gerader Verbinder 2676">
            <a:extLst>
              <a:ext uri="{FF2B5EF4-FFF2-40B4-BE49-F238E27FC236}">
                <a16:creationId xmlns:a16="http://schemas.microsoft.com/office/drawing/2014/main" id="{65A30015-66D7-4501-C51E-458F9336F85A}"/>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2681" name="Cross_H23">
          <a:extLst>
            <a:ext uri="{FF2B5EF4-FFF2-40B4-BE49-F238E27FC236}">
              <a16:creationId xmlns:a16="http://schemas.microsoft.com/office/drawing/2014/main" id="{CBD9B998-84F9-80C9-721F-6651B80240F3}"/>
            </a:ext>
          </a:extLst>
        </xdr:cNvPr>
        <xdr:cNvGrpSpPr/>
      </xdr:nvGrpSpPr>
      <xdr:grpSpPr>
        <a:xfrm>
          <a:off x="4648200" y="4419600"/>
          <a:ext cx="601980" cy="167640"/>
          <a:chOff x="4648200" y="4419600"/>
          <a:chExt cx="601980" cy="167640"/>
        </a:xfrm>
      </xdr:grpSpPr>
      <xdr:cxnSp macro="">
        <xdr:nvCxnSpPr>
          <xdr:cNvPr id="2679" name="Gerader Verbinder 2678">
            <a:extLst>
              <a:ext uri="{FF2B5EF4-FFF2-40B4-BE49-F238E27FC236}">
                <a16:creationId xmlns:a16="http://schemas.microsoft.com/office/drawing/2014/main" id="{F70DEF2F-496D-5F7E-1670-28BAF7A68E97}"/>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0" name="Gerader Verbinder 2679">
            <a:extLst>
              <a:ext uri="{FF2B5EF4-FFF2-40B4-BE49-F238E27FC236}">
                <a16:creationId xmlns:a16="http://schemas.microsoft.com/office/drawing/2014/main" id="{CE4F8B41-54B3-D659-A95E-D429E66B90AC}"/>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2684" name="Cross_H24">
          <a:extLst>
            <a:ext uri="{FF2B5EF4-FFF2-40B4-BE49-F238E27FC236}">
              <a16:creationId xmlns:a16="http://schemas.microsoft.com/office/drawing/2014/main" id="{06D3F808-6BC7-10B4-D56E-2C9E5EB3E63C}"/>
            </a:ext>
          </a:extLst>
        </xdr:cNvPr>
        <xdr:cNvGrpSpPr/>
      </xdr:nvGrpSpPr>
      <xdr:grpSpPr>
        <a:xfrm>
          <a:off x="4648200" y="4587240"/>
          <a:ext cx="601980" cy="167640"/>
          <a:chOff x="4648200" y="4587240"/>
          <a:chExt cx="601980" cy="167640"/>
        </a:xfrm>
      </xdr:grpSpPr>
      <xdr:cxnSp macro="">
        <xdr:nvCxnSpPr>
          <xdr:cNvPr id="2682" name="Gerader Verbinder 2681">
            <a:extLst>
              <a:ext uri="{FF2B5EF4-FFF2-40B4-BE49-F238E27FC236}">
                <a16:creationId xmlns:a16="http://schemas.microsoft.com/office/drawing/2014/main" id="{736C4676-99DB-50A4-50D3-F5F821C344F2}"/>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3" name="Gerader Verbinder 2682">
            <a:extLst>
              <a:ext uri="{FF2B5EF4-FFF2-40B4-BE49-F238E27FC236}">
                <a16:creationId xmlns:a16="http://schemas.microsoft.com/office/drawing/2014/main" id="{138F7060-2199-A071-4F3C-B8B98008AB67}"/>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2687" name="Cross_H31">
          <a:extLst>
            <a:ext uri="{FF2B5EF4-FFF2-40B4-BE49-F238E27FC236}">
              <a16:creationId xmlns:a16="http://schemas.microsoft.com/office/drawing/2014/main" id="{CF422FE0-0DEB-E516-F361-860251BDD0FE}"/>
            </a:ext>
          </a:extLst>
        </xdr:cNvPr>
        <xdr:cNvGrpSpPr/>
      </xdr:nvGrpSpPr>
      <xdr:grpSpPr>
        <a:xfrm>
          <a:off x="4648200" y="5882640"/>
          <a:ext cx="601980" cy="228600"/>
          <a:chOff x="4648200" y="5882640"/>
          <a:chExt cx="601980" cy="228600"/>
        </a:xfrm>
      </xdr:grpSpPr>
      <xdr:cxnSp macro="">
        <xdr:nvCxnSpPr>
          <xdr:cNvPr id="2685" name="Gerader Verbinder 2684">
            <a:extLst>
              <a:ext uri="{FF2B5EF4-FFF2-40B4-BE49-F238E27FC236}">
                <a16:creationId xmlns:a16="http://schemas.microsoft.com/office/drawing/2014/main" id="{2796F1B3-F990-D88A-9DB9-536CD0F56518}"/>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6" name="Gerader Verbinder 2685">
            <a:extLst>
              <a:ext uri="{FF2B5EF4-FFF2-40B4-BE49-F238E27FC236}">
                <a16:creationId xmlns:a16="http://schemas.microsoft.com/office/drawing/2014/main" id="{28B23E95-5509-D9E2-31B3-50837437FA4C}"/>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2690" name="Cross_H32">
          <a:extLst>
            <a:ext uri="{FF2B5EF4-FFF2-40B4-BE49-F238E27FC236}">
              <a16:creationId xmlns:a16="http://schemas.microsoft.com/office/drawing/2014/main" id="{C720997E-429E-A724-812D-FB822D88C591}"/>
            </a:ext>
          </a:extLst>
        </xdr:cNvPr>
        <xdr:cNvGrpSpPr/>
      </xdr:nvGrpSpPr>
      <xdr:grpSpPr>
        <a:xfrm>
          <a:off x="4648200" y="6111240"/>
          <a:ext cx="601980" cy="167640"/>
          <a:chOff x="4648200" y="6111240"/>
          <a:chExt cx="601980" cy="167640"/>
        </a:xfrm>
      </xdr:grpSpPr>
      <xdr:cxnSp macro="">
        <xdr:nvCxnSpPr>
          <xdr:cNvPr id="2688" name="Gerader Verbinder 2687">
            <a:extLst>
              <a:ext uri="{FF2B5EF4-FFF2-40B4-BE49-F238E27FC236}">
                <a16:creationId xmlns:a16="http://schemas.microsoft.com/office/drawing/2014/main" id="{01B31BAB-BA8A-5A75-8B95-CF531A8528FE}"/>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89" name="Gerader Verbinder 2688">
            <a:extLst>
              <a:ext uri="{FF2B5EF4-FFF2-40B4-BE49-F238E27FC236}">
                <a16:creationId xmlns:a16="http://schemas.microsoft.com/office/drawing/2014/main" id="{FF517019-3BFC-7625-34C7-E155C224D9C8}"/>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2693" name="Cross_H33">
          <a:extLst>
            <a:ext uri="{FF2B5EF4-FFF2-40B4-BE49-F238E27FC236}">
              <a16:creationId xmlns:a16="http://schemas.microsoft.com/office/drawing/2014/main" id="{5FD53D0B-AC73-F2BA-5078-4BF4B87E1605}"/>
            </a:ext>
          </a:extLst>
        </xdr:cNvPr>
        <xdr:cNvGrpSpPr/>
      </xdr:nvGrpSpPr>
      <xdr:grpSpPr>
        <a:xfrm>
          <a:off x="4648200" y="6278880"/>
          <a:ext cx="601980" cy="167640"/>
          <a:chOff x="4648200" y="6278880"/>
          <a:chExt cx="601980" cy="167640"/>
        </a:xfrm>
      </xdr:grpSpPr>
      <xdr:cxnSp macro="">
        <xdr:nvCxnSpPr>
          <xdr:cNvPr id="2691" name="Gerader Verbinder 2690">
            <a:extLst>
              <a:ext uri="{FF2B5EF4-FFF2-40B4-BE49-F238E27FC236}">
                <a16:creationId xmlns:a16="http://schemas.microsoft.com/office/drawing/2014/main" id="{C7A9F72F-ADDD-584E-B793-D856E813B1E7}"/>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2" name="Gerader Verbinder 2691">
            <a:extLst>
              <a:ext uri="{FF2B5EF4-FFF2-40B4-BE49-F238E27FC236}">
                <a16:creationId xmlns:a16="http://schemas.microsoft.com/office/drawing/2014/main" id="{80713373-B030-1DEF-17BA-E3FC939B8B7B}"/>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2696" name="Cross_H34">
          <a:extLst>
            <a:ext uri="{FF2B5EF4-FFF2-40B4-BE49-F238E27FC236}">
              <a16:creationId xmlns:a16="http://schemas.microsoft.com/office/drawing/2014/main" id="{D63359EE-1A80-58B2-13CD-330010BE8FCB}"/>
            </a:ext>
          </a:extLst>
        </xdr:cNvPr>
        <xdr:cNvGrpSpPr/>
      </xdr:nvGrpSpPr>
      <xdr:grpSpPr>
        <a:xfrm>
          <a:off x="4648200" y="6446520"/>
          <a:ext cx="601980" cy="228600"/>
          <a:chOff x="4648200" y="6446520"/>
          <a:chExt cx="601980" cy="228600"/>
        </a:xfrm>
      </xdr:grpSpPr>
      <xdr:cxnSp macro="">
        <xdr:nvCxnSpPr>
          <xdr:cNvPr id="2694" name="Gerader Verbinder 2693">
            <a:extLst>
              <a:ext uri="{FF2B5EF4-FFF2-40B4-BE49-F238E27FC236}">
                <a16:creationId xmlns:a16="http://schemas.microsoft.com/office/drawing/2014/main" id="{AD3B4042-EB8D-DCD8-07B7-7EBC071C7A4A}"/>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5" name="Gerader Verbinder 2694">
            <a:extLst>
              <a:ext uri="{FF2B5EF4-FFF2-40B4-BE49-F238E27FC236}">
                <a16:creationId xmlns:a16="http://schemas.microsoft.com/office/drawing/2014/main" id="{53A4A9D4-1029-78A7-B540-97026309D860}"/>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2699" name="Cross_H35">
          <a:extLst>
            <a:ext uri="{FF2B5EF4-FFF2-40B4-BE49-F238E27FC236}">
              <a16:creationId xmlns:a16="http://schemas.microsoft.com/office/drawing/2014/main" id="{91B58484-0FCE-60DA-B512-D3BBAF5DC810}"/>
            </a:ext>
          </a:extLst>
        </xdr:cNvPr>
        <xdr:cNvGrpSpPr/>
      </xdr:nvGrpSpPr>
      <xdr:grpSpPr>
        <a:xfrm>
          <a:off x="4648200" y="6675120"/>
          <a:ext cx="601980" cy="167640"/>
          <a:chOff x="4648200" y="6675120"/>
          <a:chExt cx="601980" cy="167640"/>
        </a:xfrm>
      </xdr:grpSpPr>
      <xdr:cxnSp macro="">
        <xdr:nvCxnSpPr>
          <xdr:cNvPr id="2697" name="Gerader Verbinder 2696">
            <a:extLst>
              <a:ext uri="{FF2B5EF4-FFF2-40B4-BE49-F238E27FC236}">
                <a16:creationId xmlns:a16="http://schemas.microsoft.com/office/drawing/2014/main" id="{24B0FCB6-587E-4D78-D129-DB42F9B18676}"/>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98" name="Gerader Verbinder 2697">
            <a:extLst>
              <a:ext uri="{FF2B5EF4-FFF2-40B4-BE49-F238E27FC236}">
                <a16:creationId xmlns:a16="http://schemas.microsoft.com/office/drawing/2014/main" id="{52A4194A-F79B-9D54-5178-BC74AF03DFE7}"/>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2702" name="Cross_H36">
          <a:extLst>
            <a:ext uri="{FF2B5EF4-FFF2-40B4-BE49-F238E27FC236}">
              <a16:creationId xmlns:a16="http://schemas.microsoft.com/office/drawing/2014/main" id="{BC2E2696-BC2F-3147-8A76-70DCB7D93227}"/>
            </a:ext>
          </a:extLst>
        </xdr:cNvPr>
        <xdr:cNvGrpSpPr/>
      </xdr:nvGrpSpPr>
      <xdr:grpSpPr>
        <a:xfrm>
          <a:off x="4648200" y="6842760"/>
          <a:ext cx="601980" cy="167640"/>
          <a:chOff x="4648200" y="6842760"/>
          <a:chExt cx="601980" cy="167640"/>
        </a:xfrm>
      </xdr:grpSpPr>
      <xdr:cxnSp macro="">
        <xdr:nvCxnSpPr>
          <xdr:cNvPr id="2700" name="Gerader Verbinder 2699">
            <a:extLst>
              <a:ext uri="{FF2B5EF4-FFF2-40B4-BE49-F238E27FC236}">
                <a16:creationId xmlns:a16="http://schemas.microsoft.com/office/drawing/2014/main" id="{0BBD7F04-B34A-2D65-4C90-3510690CBB98}"/>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1" name="Gerader Verbinder 2700">
            <a:extLst>
              <a:ext uri="{FF2B5EF4-FFF2-40B4-BE49-F238E27FC236}">
                <a16:creationId xmlns:a16="http://schemas.microsoft.com/office/drawing/2014/main" id="{CFBC7442-583D-E2D0-6F13-7C4D6A592763}"/>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2705" name="Cross_H37">
          <a:extLst>
            <a:ext uri="{FF2B5EF4-FFF2-40B4-BE49-F238E27FC236}">
              <a16:creationId xmlns:a16="http://schemas.microsoft.com/office/drawing/2014/main" id="{A0EFA04E-85C2-3817-D447-771EA4C14878}"/>
            </a:ext>
          </a:extLst>
        </xdr:cNvPr>
        <xdr:cNvGrpSpPr/>
      </xdr:nvGrpSpPr>
      <xdr:grpSpPr>
        <a:xfrm>
          <a:off x="4648200" y="7010400"/>
          <a:ext cx="601980" cy="228600"/>
          <a:chOff x="4648200" y="7010400"/>
          <a:chExt cx="601980" cy="228600"/>
        </a:xfrm>
      </xdr:grpSpPr>
      <xdr:cxnSp macro="">
        <xdr:nvCxnSpPr>
          <xdr:cNvPr id="2703" name="Gerader Verbinder 2702">
            <a:extLst>
              <a:ext uri="{FF2B5EF4-FFF2-40B4-BE49-F238E27FC236}">
                <a16:creationId xmlns:a16="http://schemas.microsoft.com/office/drawing/2014/main" id="{83631D95-15A9-5B9D-F908-6F47C21876A8}"/>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4" name="Gerader Verbinder 2703">
            <a:extLst>
              <a:ext uri="{FF2B5EF4-FFF2-40B4-BE49-F238E27FC236}">
                <a16:creationId xmlns:a16="http://schemas.microsoft.com/office/drawing/2014/main" id="{4887575B-F692-8115-8730-895A67096F02}"/>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2708" name="Cross_H38">
          <a:extLst>
            <a:ext uri="{FF2B5EF4-FFF2-40B4-BE49-F238E27FC236}">
              <a16:creationId xmlns:a16="http://schemas.microsoft.com/office/drawing/2014/main" id="{6596B821-61C7-78F5-1759-425707711537}"/>
            </a:ext>
          </a:extLst>
        </xdr:cNvPr>
        <xdr:cNvGrpSpPr/>
      </xdr:nvGrpSpPr>
      <xdr:grpSpPr>
        <a:xfrm>
          <a:off x="4648200" y="7239000"/>
          <a:ext cx="601980" cy="167640"/>
          <a:chOff x="4648200" y="7239000"/>
          <a:chExt cx="601980" cy="167640"/>
        </a:xfrm>
      </xdr:grpSpPr>
      <xdr:cxnSp macro="">
        <xdr:nvCxnSpPr>
          <xdr:cNvPr id="2706" name="Gerader Verbinder 2705">
            <a:extLst>
              <a:ext uri="{FF2B5EF4-FFF2-40B4-BE49-F238E27FC236}">
                <a16:creationId xmlns:a16="http://schemas.microsoft.com/office/drawing/2014/main" id="{5EF8146F-58F4-F06D-789E-7E76ECEDB318}"/>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7" name="Gerader Verbinder 2706">
            <a:extLst>
              <a:ext uri="{FF2B5EF4-FFF2-40B4-BE49-F238E27FC236}">
                <a16:creationId xmlns:a16="http://schemas.microsoft.com/office/drawing/2014/main" id="{097C21F4-F659-F093-7317-B8E5C44E3C54}"/>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2711" name="Cross_H39">
          <a:extLst>
            <a:ext uri="{FF2B5EF4-FFF2-40B4-BE49-F238E27FC236}">
              <a16:creationId xmlns:a16="http://schemas.microsoft.com/office/drawing/2014/main" id="{1CFBFF73-7897-48C8-E42C-707CF2E004D8}"/>
            </a:ext>
          </a:extLst>
        </xdr:cNvPr>
        <xdr:cNvGrpSpPr/>
      </xdr:nvGrpSpPr>
      <xdr:grpSpPr>
        <a:xfrm>
          <a:off x="4648200" y="7406640"/>
          <a:ext cx="601980" cy="167640"/>
          <a:chOff x="4648200" y="7406640"/>
          <a:chExt cx="601980" cy="167640"/>
        </a:xfrm>
      </xdr:grpSpPr>
      <xdr:cxnSp macro="">
        <xdr:nvCxnSpPr>
          <xdr:cNvPr id="2709" name="Gerader Verbinder 2708">
            <a:extLst>
              <a:ext uri="{FF2B5EF4-FFF2-40B4-BE49-F238E27FC236}">
                <a16:creationId xmlns:a16="http://schemas.microsoft.com/office/drawing/2014/main" id="{41220226-70B8-2DA6-784B-F09ED3BBE095}"/>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0" name="Gerader Verbinder 2709">
            <a:extLst>
              <a:ext uri="{FF2B5EF4-FFF2-40B4-BE49-F238E27FC236}">
                <a16:creationId xmlns:a16="http://schemas.microsoft.com/office/drawing/2014/main" id="{E30A0BE5-54A1-97E0-2E41-900A7F16285F}"/>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2714" name="Cross_H40">
          <a:extLst>
            <a:ext uri="{FF2B5EF4-FFF2-40B4-BE49-F238E27FC236}">
              <a16:creationId xmlns:a16="http://schemas.microsoft.com/office/drawing/2014/main" id="{2C6EF960-16D8-5243-AB39-72B640465502}"/>
            </a:ext>
          </a:extLst>
        </xdr:cNvPr>
        <xdr:cNvGrpSpPr/>
      </xdr:nvGrpSpPr>
      <xdr:grpSpPr>
        <a:xfrm>
          <a:off x="4648200" y="7574280"/>
          <a:ext cx="601980" cy="228600"/>
          <a:chOff x="4648200" y="7574280"/>
          <a:chExt cx="601980" cy="228600"/>
        </a:xfrm>
      </xdr:grpSpPr>
      <xdr:cxnSp macro="">
        <xdr:nvCxnSpPr>
          <xdr:cNvPr id="2712" name="Gerader Verbinder 2711">
            <a:extLst>
              <a:ext uri="{FF2B5EF4-FFF2-40B4-BE49-F238E27FC236}">
                <a16:creationId xmlns:a16="http://schemas.microsoft.com/office/drawing/2014/main" id="{26B1E6D0-011E-4832-5A9F-4ECA781FD0D8}"/>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3" name="Gerader Verbinder 2712">
            <a:extLst>
              <a:ext uri="{FF2B5EF4-FFF2-40B4-BE49-F238E27FC236}">
                <a16:creationId xmlns:a16="http://schemas.microsoft.com/office/drawing/2014/main" id="{7192029C-74A6-3FFC-AED8-B784DD4CD5B3}"/>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2717" name="Cross_H41">
          <a:extLst>
            <a:ext uri="{FF2B5EF4-FFF2-40B4-BE49-F238E27FC236}">
              <a16:creationId xmlns:a16="http://schemas.microsoft.com/office/drawing/2014/main" id="{EE02B132-6782-9DEE-02B0-7F331ECABA9F}"/>
            </a:ext>
          </a:extLst>
        </xdr:cNvPr>
        <xdr:cNvGrpSpPr/>
      </xdr:nvGrpSpPr>
      <xdr:grpSpPr>
        <a:xfrm>
          <a:off x="4648200" y="7802880"/>
          <a:ext cx="601980" cy="167640"/>
          <a:chOff x="4648200" y="7802880"/>
          <a:chExt cx="601980" cy="167640"/>
        </a:xfrm>
      </xdr:grpSpPr>
      <xdr:cxnSp macro="">
        <xdr:nvCxnSpPr>
          <xdr:cNvPr id="2715" name="Gerader Verbinder 2714">
            <a:extLst>
              <a:ext uri="{FF2B5EF4-FFF2-40B4-BE49-F238E27FC236}">
                <a16:creationId xmlns:a16="http://schemas.microsoft.com/office/drawing/2014/main" id="{EA4DE22B-7DDA-973E-AE94-1A52D196B500}"/>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6" name="Gerader Verbinder 2715">
            <a:extLst>
              <a:ext uri="{FF2B5EF4-FFF2-40B4-BE49-F238E27FC236}">
                <a16:creationId xmlns:a16="http://schemas.microsoft.com/office/drawing/2014/main" id="{A0C7053E-747E-C161-BDC8-8FEE2E8FE156}"/>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2720" name="Cross_H42">
          <a:extLst>
            <a:ext uri="{FF2B5EF4-FFF2-40B4-BE49-F238E27FC236}">
              <a16:creationId xmlns:a16="http://schemas.microsoft.com/office/drawing/2014/main" id="{2E72317B-C6F5-F474-BB6D-7BD0ACC19F07}"/>
            </a:ext>
          </a:extLst>
        </xdr:cNvPr>
        <xdr:cNvGrpSpPr/>
      </xdr:nvGrpSpPr>
      <xdr:grpSpPr>
        <a:xfrm>
          <a:off x="4648200" y="7970520"/>
          <a:ext cx="601980" cy="167640"/>
          <a:chOff x="4648200" y="7970520"/>
          <a:chExt cx="601980" cy="167640"/>
        </a:xfrm>
      </xdr:grpSpPr>
      <xdr:cxnSp macro="">
        <xdr:nvCxnSpPr>
          <xdr:cNvPr id="2718" name="Gerader Verbinder 2717">
            <a:extLst>
              <a:ext uri="{FF2B5EF4-FFF2-40B4-BE49-F238E27FC236}">
                <a16:creationId xmlns:a16="http://schemas.microsoft.com/office/drawing/2014/main" id="{FF8CEF16-A539-3FD5-E4C4-30BE1CA9D4BC}"/>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19" name="Gerader Verbinder 2718">
            <a:extLst>
              <a:ext uri="{FF2B5EF4-FFF2-40B4-BE49-F238E27FC236}">
                <a16:creationId xmlns:a16="http://schemas.microsoft.com/office/drawing/2014/main" id="{6B91C4AC-42CF-D66B-7EB0-85AF4F2CBCF5}"/>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2723" name="Cross_H52">
          <a:extLst>
            <a:ext uri="{FF2B5EF4-FFF2-40B4-BE49-F238E27FC236}">
              <a16:creationId xmlns:a16="http://schemas.microsoft.com/office/drawing/2014/main" id="{88DFCAC2-E0A9-B7D4-C5CC-AB68ED147377}"/>
            </a:ext>
          </a:extLst>
        </xdr:cNvPr>
        <xdr:cNvGrpSpPr/>
      </xdr:nvGrpSpPr>
      <xdr:grpSpPr>
        <a:xfrm>
          <a:off x="4648200" y="9829800"/>
          <a:ext cx="601980" cy="228600"/>
          <a:chOff x="4648200" y="9829800"/>
          <a:chExt cx="601980" cy="228600"/>
        </a:xfrm>
      </xdr:grpSpPr>
      <xdr:cxnSp macro="">
        <xdr:nvCxnSpPr>
          <xdr:cNvPr id="2721" name="Gerader Verbinder 2720">
            <a:extLst>
              <a:ext uri="{FF2B5EF4-FFF2-40B4-BE49-F238E27FC236}">
                <a16:creationId xmlns:a16="http://schemas.microsoft.com/office/drawing/2014/main" id="{AB8B4237-A175-59E6-DBA9-C274E6B62EC2}"/>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2" name="Gerader Verbinder 2721">
            <a:extLst>
              <a:ext uri="{FF2B5EF4-FFF2-40B4-BE49-F238E27FC236}">
                <a16:creationId xmlns:a16="http://schemas.microsoft.com/office/drawing/2014/main" id="{2B9EDAD9-F6F6-E6FD-72DD-97ED1A19A831}"/>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2726" name="Cross_H53">
          <a:extLst>
            <a:ext uri="{FF2B5EF4-FFF2-40B4-BE49-F238E27FC236}">
              <a16:creationId xmlns:a16="http://schemas.microsoft.com/office/drawing/2014/main" id="{F4FECD25-6A40-9BE9-6D46-54C8FAD410F8}"/>
            </a:ext>
          </a:extLst>
        </xdr:cNvPr>
        <xdr:cNvGrpSpPr/>
      </xdr:nvGrpSpPr>
      <xdr:grpSpPr>
        <a:xfrm>
          <a:off x="4648200" y="10058400"/>
          <a:ext cx="601980" cy="167640"/>
          <a:chOff x="4648200" y="10058400"/>
          <a:chExt cx="601980" cy="167640"/>
        </a:xfrm>
      </xdr:grpSpPr>
      <xdr:cxnSp macro="">
        <xdr:nvCxnSpPr>
          <xdr:cNvPr id="2724" name="Gerader Verbinder 2723">
            <a:extLst>
              <a:ext uri="{FF2B5EF4-FFF2-40B4-BE49-F238E27FC236}">
                <a16:creationId xmlns:a16="http://schemas.microsoft.com/office/drawing/2014/main" id="{6319D983-1CD5-37D9-6C1B-A9F4A83595B7}"/>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5" name="Gerader Verbinder 2724">
            <a:extLst>
              <a:ext uri="{FF2B5EF4-FFF2-40B4-BE49-F238E27FC236}">
                <a16:creationId xmlns:a16="http://schemas.microsoft.com/office/drawing/2014/main" id="{0CE9EFF5-6B5B-0159-A3B5-2C970B6322D6}"/>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2729" name="Cross_H54">
          <a:extLst>
            <a:ext uri="{FF2B5EF4-FFF2-40B4-BE49-F238E27FC236}">
              <a16:creationId xmlns:a16="http://schemas.microsoft.com/office/drawing/2014/main" id="{2B291102-D000-8809-EB2C-5EC068415ED5}"/>
            </a:ext>
          </a:extLst>
        </xdr:cNvPr>
        <xdr:cNvGrpSpPr/>
      </xdr:nvGrpSpPr>
      <xdr:grpSpPr>
        <a:xfrm>
          <a:off x="4648200" y="10226040"/>
          <a:ext cx="601980" cy="167640"/>
          <a:chOff x="4648200" y="10226040"/>
          <a:chExt cx="601980" cy="167640"/>
        </a:xfrm>
      </xdr:grpSpPr>
      <xdr:cxnSp macro="">
        <xdr:nvCxnSpPr>
          <xdr:cNvPr id="2727" name="Gerader Verbinder 2726">
            <a:extLst>
              <a:ext uri="{FF2B5EF4-FFF2-40B4-BE49-F238E27FC236}">
                <a16:creationId xmlns:a16="http://schemas.microsoft.com/office/drawing/2014/main" id="{1106DE97-1016-8C44-1998-FC5721BBA20F}"/>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28" name="Gerader Verbinder 2727">
            <a:extLst>
              <a:ext uri="{FF2B5EF4-FFF2-40B4-BE49-F238E27FC236}">
                <a16:creationId xmlns:a16="http://schemas.microsoft.com/office/drawing/2014/main" id="{9C146D69-6D36-FF10-E40E-5C8DF798A7B8}"/>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2732" name="Cross_H55">
          <a:extLst>
            <a:ext uri="{FF2B5EF4-FFF2-40B4-BE49-F238E27FC236}">
              <a16:creationId xmlns:a16="http://schemas.microsoft.com/office/drawing/2014/main" id="{75C24693-C276-33E7-008A-3A685965F6CE}"/>
            </a:ext>
          </a:extLst>
        </xdr:cNvPr>
        <xdr:cNvGrpSpPr/>
      </xdr:nvGrpSpPr>
      <xdr:grpSpPr>
        <a:xfrm>
          <a:off x="4648200" y="10393680"/>
          <a:ext cx="601980" cy="228600"/>
          <a:chOff x="4648200" y="10393680"/>
          <a:chExt cx="601980" cy="228600"/>
        </a:xfrm>
      </xdr:grpSpPr>
      <xdr:cxnSp macro="">
        <xdr:nvCxnSpPr>
          <xdr:cNvPr id="2730" name="Gerader Verbinder 2729">
            <a:extLst>
              <a:ext uri="{FF2B5EF4-FFF2-40B4-BE49-F238E27FC236}">
                <a16:creationId xmlns:a16="http://schemas.microsoft.com/office/drawing/2014/main" id="{3464FEEB-D2BE-9164-8CD5-68CA348B72A8}"/>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1" name="Gerader Verbinder 2730">
            <a:extLst>
              <a:ext uri="{FF2B5EF4-FFF2-40B4-BE49-F238E27FC236}">
                <a16:creationId xmlns:a16="http://schemas.microsoft.com/office/drawing/2014/main" id="{B20CC502-88DA-911D-41B4-BEEA856D6252}"/>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2735" name="Cross_H56">
          <a:extLst>
            <a:ext uri="{FF2B5EF4-FFF2-40B4-BE49-F238E27FC236}">
              <a16:creationId xmlns:a16="http://schemas.microsoft.com/office/drawing/2014/main" id="{03B28EC4-5209-9E89-A13C-2907D37FE2D3}"/>
            </a:ext>
          </a:extLst>
        </xdr:cNvPr>
        <xdr:cNvGrpSpPr/>
      </xdr:nvGrpSpPr>
      <xdr:grpSpPr>
        <a:xfrm>
          <a:off x="4648200" y="10622280"/>
          <a:ext cx="601980" cy="167640"/>
          <a:chOff x="4648200" y="10622280"/>
          <a:chExt cx="601980" cy="167640"/>
        </a:xfrm>
      </xdr:grpSpPr>
      <xdr:cxnSp macro="">
        <xdr:nvCxnSpPr>
          <xdr:cNvPr id="2733" name="Gerader Verbinder 2732">
            <a:extLst>
              <a:ext uri="{FF2B5EF4-FFF2-40B4-BE49-F238E27FC236}">
                <a16:creationId xmlns:a16="http://schemas.microsoft.com/office/drawing/2014/main" id="{E79AB73F-25F9-33B0-038E-0912B6E506AE}"/>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4" name="Gerader Verbinder 2733">
            <a:extLst>
              <a:ext uri="{FF2B5EF4-FFF2-40B4-BE49-F238E27FC236}">
                <a16:creationId xmlns:a16="http://schemas.microsoft.com/office/drawing/2014/main" id="{537E5C98-F250-673E-51E2-25C0D45EF3CA}"/>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2738" name="Cross_H57">
          <a:extLst>
            <a:ext uri="{FF2B5EF4-FFF2-40B4-BE49-F238E27FC236}">
              <a16:creationId xmlns:a16="http://schemas.microsoft.com/office/drawing/2014/main" id="{865F2CE0-318B-B31F-5CFA-024574646289}"/>
            </a:ext>
          </a:extLst>
        </xdr:cNvPr>
        <xdr:cNvGrpSpPr/>
      </xdr:nvGrpSpPr>
      <xdr:grpSpPr>
        <a:xfrm>
          <a:off x="4648200" y="10789920"/>
          <a:ext cx="601980" cy="167640"/>
          <a:chOff x="4648200" y="10789920"/>
          <a:chExt cx="601980" cy="167640"/>
        </a:xfrm>
      </xdr:grpSpPr>
      <xdr:cxnSp macro="">
        <xdr:nvCxnSpPr>
          <xdr:cNvPr id="2736" name="Gerader Verbinder 2735">
            <a:extLst>
              <a:ext uri="{FF2B5EF4-FFF2-40B4-BE49-F238E27FC236}">
                <a16:creationId xmlns:a16="http://schemas.microsoft.com/office/drawing/2014/main" id="{1B224B42-637E-34DE-21FC-715566DF3609}"/>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7" name="Gerader Verbinder 2736">
            <a:extLst>
              <a:ext uri="{FF2B5EF4-FFF2-40B4-BE49-F238E27FC236}">
                <a16:creationId xmlns:a16="http://schemas.microsoft.com/office/drawing/2014/main" id="{C3231265-7F30-92B1-F347-78E95B2DC23E}"/>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2741" name="Cross_H64">
          <a:extLst>
            <a:ext uri="{FF2B5EF4-FFF2-40B4-BE49-F238E27FC236}">
              <a16:creationId xmlns:a16="http://schemas.microsoft.com/office/drawing/2014/main" id="{A79359E7-2A7C-A579-9836-C62ADA58B522}"/>
            </a:ext>
          </a:extLst>
        </xdr:cNvPr>
        <xdr:cNvGrpSpPr/>
      </xdr:nvGrpSpPr>
      <xdr:grpSpPr>
        <a:xfrm>
          <a:off x="4648200" y="12085320"/>
          <a:ext cx="601980" cy="228600"/>
          <a:chOff x="4648200" y="12085320"/>
          <a:chExt cx="601980" cy="228600"/>
        </a:xfrm>
      </xdr:grpSpPr>
      <xdr:cxnSp macro="">
        <xdr:nvCxnSpPr>
          <xdr:cNvPr id="2739" name="Gerader Verbinder 2738">
            <a:extLst>
              <a:ext uri="{FF2B5EF4-FFF2-40B4-BE49-F238E27FC236}">
                <a16:creationId xmlns:a16="http://schemas.microsoft.com/office/drawing/2014/main" id="{A6B83B8B-CF4E-4642-9193-E4B03CAA7AC2}"/>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0" name="Gerader Verbinder 2739">
            <a:extLst>
              <a:ext uri="{FF2B5EF4-FFF2-40B4-BE49-F238E27FC236}">
                <a16:creationId xmlns:a16="http://schemas.microsoft.com/office/drawing/2014/main" id="{0900FA96-52E5-34A3-D5E6-A9275A8C7F03}"/>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2744" name="Cross_H65">
          <a:extLst>
            <a:ext uri="{FF2B5EF4-FFF2-40B4-BE49-F238E27FC236}">
              <a16:creationId xmlns:a16="http://schemas.microsoft.com/office/drawing/2014/main" id="{DC1CC3BB-C41E-C03D-E949-E657C7AF42C5}"/>
            </a:ext>
          </a:extLst>
        </xdr:cNvPr>
        <xdr:cNvGrpSpPr/>
      </xdr:nvGrpSpPr>
      <xdr:grpSpPr>
        <a:xfrm>
          <a:off x="4648200" y="12313920"/>
          <a:ext cx="601980" cy="167640"/>
          <a:chOff x="4648200" y="12313920"/>
          <a:chExt cx="601980" cy="167640"/>
        </a:xfrm>
      </xdr:grpSpPr>
      <xdr:cxnSp macro="">
        <xdr:nvCxnSpPr>
          <xdr:cNvPr id="2742" name="Gerader Verbinder 2741">
            <a:extLst>
              <a:ext uri="{FF2B5EF4-FFF2-40B4-BE49-F238E27FC236}">
                <a16:creationId xmlns:a16="http://schemas.microsoft.com/office/drawing/2014/main" id="{17BFCFC8-573E-732F-7DF3-BAB40CC9222C}"/>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3" name="Gerader Verbinder 2742">
            <a:extLst>
              <a:ext uri="{FF2B5EF4-FFF2-40B4-BE49-F238E27FC236}">
                <a16:creationId xmlns:a16="http://schemas.microsoft.com/office/drawing/2014/main" id="{B81916C9-F532-24AC-3552-BD6AAD18A319}"/>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2747" name="Cross_H66">
          <a:extLst>
            <a:ext uri="{FF2B5EF4-FFF2-40B4-BE49-F238E27FC236}">
              <a16:creationId xmlns:a16="http://schemas.microsoft.com/office/drawing/2014/main" id="{15B78558-4B64-E88D-43B6-DDE7DB8AFE9B}"/>
            </a:ext>
          </a:extLst>
        </xdr:cNvPr>
        <xdr:cNvGrpSpPr/>
      </xdr:nvGrpSpPr>
      <xdr:grpSpPr>
        <a:xfrm>
          <a:off x="4648200" y="12481560"/>
          <a:ext cx="601980" cy="167640"/>
          <a:chOff x="4648200" y="12481560"/>
          <a:chExt cx="601980" cy="167640"/>
        </a:xfrm>
      </xdr:grpSpPr>
      <xdr:cxnSp macro="">
        <xdr:nvCxnSpPr>
          <xdr:cNvPr id="2745" name="Gerader Verbinder 2744">
            <a:extLst>
              <a:ext uri="{FF2B5EF4-FFF2-40B4-BE49-F238E27FC236}">
                <a16:creationId xmlns:a16="http://schemas.microsoft.com/office/drawing/2014/main" id="{A61C2E55-577A-ED7C-3283-CF70502AB158}"/>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6" name="Gerader Verbinder 2745">
            <a:extLst>
              <a:ext uri="{FF2B5EF4-FFF2-40B4-BE49-F238E27FC236}">
                <a16:creationId xmlns:a16="http://schemas.microsoft.com/office/drawing/2014/main" id="{C57D4480-B083-6C1B-2647-C2CDCF03C138}"/>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2750" name="Cross_H67">
          <a:extLst>
            <a:ext uri="{FF2B5EF4-FFF2-40B4-BE49-F238E27FC236}">
              <a16:creationId xmlns:a16="http://schemas.microsoft.com/office/drawing/2014/main" id="{7E2C65CF-E6CA-9FBB-5DC1-E963E79E4B53}"/>
            </a:ext>
          </a:extLst>
        </xdr:cNvPr>
        <xdr:cNvGrpSpPr/>
      </xdr:nvGrpSpPr>
      <xdr:grpSpPr>
        <a:xfrm>
          <a:off x="4648200" y="12649200"/>
          <a:ext cx="601980" cy="228600"/>
          <a:chOff x="4648200" y="12649200"/>
          <a:chExt cx="601980" cy="228600"/>
        </a:xfrm>
      </xdr:grpSpPr>
      <xdr:cxnSp macro="">
        <xdr:nvCxnSpPr>
          <xdr:cNvPr id="2748" name="Gerader Verbinder 2747">
            <a:extLst>
              <a:ext uri="{FF2B5EF4-FFF2-40B4-BE49-F238E27FC236}">
                <a16:creationId xmlns:a16="http://schemas.microsoft.com/office/drawing/2014/main" id="{AB487EAF-9F8D-8E9F-719F-7141CA80BB7B}"/>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49" name="Gerader Verbinder 2748">
            <a:extLst>
              <a:ext uri="{FF2B5EF4-FFF2-40B4-BE49-F238E27FC236}">
                <a16:creationId xmlns:a16="http://schemas.microsoft.com/office/drawing/2014/main" id="{6A5FB85D-3544-57C5-EAB4-EED04ACA7E78}"/>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2753" name="Cross_H68">
          <a:extLst>
            <a:ext uri="{FF2B5EF4-FFF2-40B4-BE49-F238E27FC236}">
              <a16:creationId xmlns:a16="http://schemas.microsoft.com/office/drawing/2014/main" id="{F517AEE4-774E-70ED-C14F-753C3BF3650E}"/>
            </a:ext>
          </a:extLst>
        </xdr:cNvPr>
        <xdr:cNvGrpSpPr/>
      </xdr:nvGrpSpPr>
      <xdr:grpSpPr>
        <a:xfrm>
          <a:off x="4648200" y="12877800"/>
          <a:ext cx="601980" cy="167639"/>
          <a:chOff x="4648200" y="12877800"/>
          <a:chExt cx="601980" cy="167639"/>
        </a:xfrm>
      </xdr:grpSpPr>
      <xdr:cxnSp macro="">
        <xdr:nvCxnSpPr>
          <xdr:cNvPr id="2751" name="Gerader Verbinder 2750">
            <a:extLst>
              <a:ext uri="{FF2B5EF4-FFF2-40B4-BE49-F238E27FC236}">
                <a16:creationId xmlns:a16="http://schemas.microsoft.com/office/drawing/2014/main" id="{27AE67E5-A712-B411-1AAB-130851CCD742}"/>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2" name="Gerader Verbinder 2751">
            <a:extLst>
              <a:ext uri="{FF2B5EF4-FFF2-40B4-BE49-F238E27FC236}">
                <a16:creationId xmlns:a16="http://schemas.microsoft.com/office/drawing/2014/main" id="{80ED6D57-9281-5F55-B2B3-642C5178AC48}"/>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2756" name="Cross_H69">
          <a:extLst>
            <a:ext uri="{FF2B5EF4-FFF2-40B4-BE49-F238E27FC236}">
              <a16:creationId xmlns:a16="http://schemas.microsoft.com/office/drawing/2014/main" id="{E6172707-835B-5395-DEC6-5DC77EEAEB75}"/>
            </a:ext>
          </a:extLst>
        </xdr:cNvPr>
        <xdr:cNvGrpSpPr/>
      </xdr:nvGrpSpPr>
      <xdr:grpSpPr>
        <a:xfrm>
          <a:off x="4648200" y="13045439"/>
          <a:ext cx="601980" cy="167641"/>
          <a:chOff x="4648200" y="13045439"/>
          <a:chExt cx="601980" cy="167641"/>
        </a:xfrm>
      </xdr:grpSpPr>
      <xdr:cxnSp macro="">
        <xdr:nvCxnSpPr>
          <xdr:cNvPr id="2754" name="Gerader Verbinder 2753">
            <a:extLst>
              <a:ext uri="{FF2B5EF4-FFF2-40B4-BE49-F238E27FC236}">
                <a16:creationId xmlns:a16="http://schemas.microsoft.com/office/drawing/2014/main" id="{65A18456-7612-2538-879F-A7F7F187C8B6}"/>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5" name="Gerader Verbinder 2754">
            <a:extLst>
              <a:ext uri="{FF2B5EF4-FFF2-40B4-BE49-F238E27FC236}">
                <a16:creationId xmlns:a16="http://schemas.microsoft.com/office/drawing/2014/main" id="{114A9377-92D4-1AA6-3F77-FF6B259C18E7}"/>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2759" name="Cross_H73">
          <a:extLst>
            <a:ext uri="{FF2B5EF4-FFF2-40B4-BE49-F238E27FC236}">
              <a16:creationId xmlns:a16="http://schemas.microsoft.com/office/drawing/2014/main" id="{ED8F02E8-4971-A5CC-14CA-202B984DBECF}"/>
            </a:ext>
          </a:extLst>
        </xdr:cNvPr>
        <xdr:cNvGrpSpPr/>
      </xdr:nvGrpSpPr>
      <xdr:grpSpPr>
        <a:xfrm>
          <a:off x="4648200" y="13776961"/>
          <a:ext cx="601980" cy="228600"/>
          <a:chOff x="4648200" y="13776961"/>
          <a:chExt cx="601980" cy="228600"/>
        </a:xfrm>
      </xdr:grpSpPr>
      <xdr:cxnSp macro="">
        <xdr:nvCxnSpPr>
          <xdr:cNvPr id="2757" name="Gerader Verbinder 2756">
            <a:extLst>
              <a:ext uri="{FF2B5EF4-FFF2-40B4-BE49-F238E27FC236}">
                <a16:creationId xmlns:a16="http://schemas.microsoft.com/office/drawing/2014/main" id="{C1D35603-510F-2903-A620-0F0F10F8BFB1}"/>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58" name="Gerader Verbinder 2757">
            <a:extLst>
              <a:ext uri="{FF2B5EF4-FFF2-40B4-BE49-F238E27FC236}">
                <a16:creationId xmlns:a16="http://schemas.microsoft.com/office/drawing/2014/main" id="{B84A15F2-AE5E-DEAF-73F6-11166E4BC14B}"/>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2762" name="Cross_H74">
          <a:extLst>
            <a:ext uri="{FF2B5EF4-FFF2-40B4-BE49-F238E27FC236}">
              <a16:creationId xmlns:a16="http://schemas.microsoft.com/office/drawing/2014/main" id="{72D659B9-0365-1422-FF87-15FF73919524}"/>
            </a:ext>
          </a:extLst>
        </xdr:cNvPr>
        <xdr:cNvGrpSpPr/>
      </xdr:nvGrpSpPr>
      <xdr:grpSpPr>
        <a:xfrm>
          <a:off x="4648200" y="14005561"/>
          <a:ext cx="601980" cy="167639"/>
          <a:chOff x="4648200" y="14005561"/>
          <a:chExt cx="601980" cy="167639"/>
        </a:xfrm>
      </xdr:grpSpPr>
      <xdr:cxnSp macro="">
        <xdr:nvCxnSpPr>
          <xdr:cNvPr id="2760" name="Gerader Verbinder 2759">
            <a:extLst>
              <a:ext uri="{FF2B5EF4-FFF2-40B4-BE49-F238E27FC236}">
                <a16:creationId xmlns:a16="http://schemas.microsoft.com/office/drawing/2014/main" id="{4C180A33-BED2-96B0-8CA4-0CCC9855FBD3}"/>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1" name="Gerader Verbinder 2760">
            <a:extLst>
              <a:ext uri="{FF2B5EF4-FFF2-40B4-BE49-F238E27FC236}">
                <a16:creationId xmlns:a16="http://schemas.microsoft.com/office/drawing/2014/main" id="{D623D394-303E-212E-0E20-72000D72B7E6}"/>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2765" name="Cross_H75">
          <a:extLst>
            <a:ext uri="{FF2B5EF4-FFF2-40B4-BE49-F238E27FC236}">
              <a16:creationId xmlns:a16="http://schemas.microsoft.com/office/drawing/2014/main" id="{3753432E-2713-FB7A-51BC-89C6BA782301}"/>
            </a:ext>
          </a:extLst>
        </xdr:cNvPr>
        <xdr:cNvGrpSpPr/>
      </xdr:nvGrpSpPr>
      <xdr:grpSpPr>
        <a:xfrm>
          <a:off x="4648200" y="14173200"/>
          <a:ext cx="601980" cy="167639"/>
          <a:chOff x="4648200" y="14173200"/>
          <a:chExt cx="601980" cy="167639"/>
        </a:xfrm>
      </xdr:grpSpPr>
      <xdr:cxnSp macro="">
        <xdr:nvCxnSpPr>
          <xdr:cNvPr id="2763" name="Gerader Verbinder 2762">
            <a:extLst>
              <a:ext uri="{FF2B5EF4-FFF2-40B4-BE49-F238E27FC236}">
                <a16:creationId xmlns:a16="http://schemas.microsoft.com/office/drawing/2014/main" id="{DC16323A-29EC-AA55-D712-23004C6A3AA7}"/>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4" name="Gerader Verbinder 2763">
            <a:extLst>
              <a:ext uri="{FF2B5EF4-FFF2-40B4-BE49-F238E27FC236}">
                <a16:creationId xmlns:a16="http://schemas.microsoft.com/office/drawing/2014/main" id="{70564272-AC38-1E10-D24D-CA1BEFEB4891}"/>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2.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42B-6CC4-4142-BE84-017907283CEC}">
  <sheetPr codeName="Tabelle142">
    <tabColor rgb="FF00B0F0"/>
  </sheetPr>
  <dimension ref="B1:N100"/>
  <sheetViews>
    <sheetView workbookViewId="0"/>
  </sheetViews>
  <sheetFormatPr baseColWidth="10" defaultRowHeight="13.2" x14ac:dyDescent="0.25"/>
  <cols>
    <col min="1" max="2" width="3.44140625" style="114" customWidth="1"/>
    <col min="3" max="3" width="25.77734375" style="114" customWidth="1"/>
    <col min="4" max="10" width="11.77734375" style="114" customWidth="1"/>
    <col min="11" max="13" width="8.77734375" style="114" customWidth="1"/>
    <col min="14" max="14" width="8.77734375" style="114" hidden="1" customWidth="1"/>
    <col min="15" max="16384" width="11.5546875" style="114"/>
  </cols>
  <sheetData>
    <row r="1" spans="2:14" ht="18" customHeight="1" thickBot="1" x14ac:dyDescent="0.3"/>
    <row r="2" spans="2:14" ht="18" customHeight="1" x14ac:dyDescent="0.25">
      <c r="B2" s="115" t="str">
        <f>Config!F2&amp;" "&amp;YEAR(Config!G24)</f>
        <v>Mathe Abitur 2026</v>
      </c>
      <c r="C2" s="116"/>
      <c r="D2" s="116"/>
      <c r="E2" s="116"/>
      <c r="F2" s="117"/>
      <c r="G2" s="117"/>
      <c r="H2" s="117"/>
      <c r="I2" s="117"/>
      <c r="J2" s="117"/>
      <c r="K2" s="117"/>
      <c r="L2" s="117"/>
      <c r="M2" s="118" t="str">
        <f>"Kurs "&amp;Config!G26</f>
        <v>Kurs K1</v>
      </c>
    </row>
    <row r="3" spans="2:14" ht="18" customHeight="1" x14ac:dyDescent="0.25">
      <c r="B3" s="119" t="s">
        <v>83</v>
      </c>
      <c r="C3" s="120"/>
      <c r="D3" s="120"/>
      <c r="E3" s="120"/>
      <c r="F3" s="120"/>
      <c r="G3" s="120"/>
      <c r="H3" s="120"/>
      <c r="I3" s="120"/>
      <c r="J3" s="120"/>
      <c r="K3" s="120"/>
      <c r="L3" s="120"/>
      <c r="M3" s="121"/>
    </row>
    <row r="4" spans="2:14" ht="18" customHeight="1" thickBot="1" x14ac:dyDescent="0.3">
      <c r="B4" s="119"/>
      <c r="C4" s="120"/>
      <c r="D4" s="122"/>
      <c r="E4" s="122"/>
      <c r="F4" s="122"/>
      <c r="G4" s="122"/>
      <c r="H4" s="122"/>
      <c r="I4" s="122"/>
      <c r="J4" s="122"/>
      <c r="K4" s="122"/>
      <c r="L4" s="120"/>
      <c r="M4" s="121"/>
    </row>
    <row r="5" spans="2:14" ht="18" customHeight="1" thickBot="1" x14ac:dyDescent="0.3">
      <c r="B5" s="124"/>
      <c r="C5" s="126"/>
      <c r="D5" s="130" t="s">
        <v>9</v>
      </c>
      <c r="E5" s="130" t="s">
        <v>10</v>
      </c>
      <c r="F5" s="130" t="s">
        <v>11</v>
      </c>
      <c r="G5" s="130" t="s">
        <v>12</v>
      </c>
      <c r="H5" s="130" t="s">
        <v>13</v>
      </c>
      <c r="I5" s="130" t="s">
        <v>14</v>
      </c>
      <c r="J5" s="130" t="s">
        <v>112</v>
      </c>
      <c r="K5" s="148" t="s">
        <v>82</v>
      </c>
      <c r="L5" s="147"/>
      <c r="M5" s="149"/>
    </row>
    <row r="6" spans="2:14" ht="18" customHeight="1" thickBot="1" x14ac:dyDescent="0.3">
      <c r="B6" s="125"/>
      <c r="C6" s="127" t="s">
        <v>81</v>
      </c>
      <c r="D6" s="146">
        <f>Config!G21</f>
        <v>15</v>
      </c>
      <c r="E6" s="146">
        <f>Config!I21</f>
        <v>30</v>
      </c>
      <c r="F6" s="146">
        <f>Config!K21</f>
        <v>5</v>
      </c>
      <c r="G6" s="146">
        <f>Config!M21</f>
        <v>17</v>
      </c>
      <c r="H6" s="146">
        <f>Config!O21</f>
        <v>5</v>
      </c>
      <c r="I6" s="146">
        <f>Config!Q21</f>
        <v>18</v>
      </c>
      <c r="J6" s="146">
        <f>Config!S21</f>
        <v>10</v>
      </c>
      <c r="K6" s="158">
        <f t="shared" ref="K6:K29" si="0">SUM(D6:J6)</f>
        <v>100</v>
      </c>
      <c r="L6" s="128" t="s">
        <v>0</v>
      </c>
      <c r="M6" s="150" t="s">
        <v>1</v>
      </c>
      <c r="N6" s="114" t="s">
        <v>84</v>
      </c>
    </row>
    <row r="7" spans="2:14" ht="18" customHeight="1" thickBot="1" x14ac:dyDescent="0.3">
      <c r="B7" s="139">
        <v>1</v>
      </c>
      <c r="C7" s="137" t="str">
        <f>Config!C5&amp;", "&amp;Config!D5</f>
        <v>Höfer, Simon</v>
      </c>
      <c r="D7" s="152">
        <f>VLOOKUP(C7,'Analysis A'!PupilBlock,8,0)</f>
        <v>11.5</v>
      </c>
      <c r="E7" s="152">
        <f>VLOOKUP(C7,'Analysis B'!PupilBlock,12,0)</f>
        <v>22.5</v>
      </c>
      <c r="F7" s="152">
        <f>VLOOKUP(C7,'Stochastik A'!PupilBlock,3,0)</f>
        <v>2.5</v>
      </c>
      <c r="G7" s="152">
        <f>VLOOKUP(C7,'Stochastik B'!PupilBlock,7,0)</f>
        <v>13</v>
      </c>
      <c r="H7" s="152">
        <f>VLOOKUP(C7,'Geometrie A'!PupilBlock,4,0)</f>
        <v>0</v>
      </c>
      <c r="I7" s="152">
        <f>VLOOKUP(C7,'Geometrie B'!PupilBlock,7,0)</f>
        <v>9</v>
      </c>
      <c r="J7" s="152">
        <f>VLOOKUP(C7,Wahlaufgaben!PupilBlock,7,0)</f>
        <v>7</v>
      </c>
      <c r="K7" s="133">
        <f t="shared" si="0"/>
        <v>65.5</v>
      </c>
      <c r="L7" s="160">
        <f>VLOOKUP(VALUE(K7),Notenspiegel!$B$3:$C$302,2,0)</f>
        <v>9</v>
      </c>
      <c r="M7" s="161" t="str">
        <f>VLOOKUP(VALUE(K7),Notenspiegel!$B$3:$D$302,3,0)</f>
        <v>3+</v>
      </c>
      <c r="N7" s="114" t="str">
        <f>VLOOKUP(VALUE(K7),Notenspiegel!$B$3:$E$302,4,0)</f>
        <v>-</v>
      </c>
    </row>
    <row r="8" spans="2:14" ht="18" customHeight="1" thickBot="1" x14ac:dyDescent="0.3">
      <c r="B8" s="140">
        <v>2</v>
      </c>
      <c r="C8" s="132" t="str">
        <f>Config!C6&amp;", "&amp;Config!D6</f>
        <v>Töpfer, Lilian</v>
      </c>
      <c r="D8" s="153">
        <f>VLOOKUP(C8,'Analysis A'!PupilBlock,8,0)</f>
        <v>9</v>
      </c>
      <c r="E8" s="153">
        <f>VLOOKUP(C8,'Analysis B'!PupilBlock,12,0)</f>
        <v>17.5</v>
      </c>
      <c r="F8" s="153">
        <f>VLOOKUP(C8,'Stochastik A'!PupilBlock,3,0)</f>
        <v>5</v>
      </c>
      <c r="G8" s="153">
        <f>VLOOKUP(C8,'Stochastik B'!PupilBlock,7,0)</f>
        <v>7</v>
      </c>
      <c r="H8" s="153">
        <f>VLOOKUP(C8,'Geometrie A'!PupilBlock,4,0)</f>
        <v>3.5</v>
      </c>
      <c r="I8" s="153">
        <f>VLOOKUP(C8,'Geometrie B'!PupilBlock,7,0)</f>
        <v>9</v>
      </c>
      <c r="J8" s="153">
        <f>VLOOKUP(C8,Wahlaufgaben!PupilBlock,7,0)</f>
        <v>7</v>
      </c>
      <c r="K8" s="154">
        <f t="shared" si="0"/>
        <v>58</v>
      </c>
      <c r="L8" s="160">
        <f>VLOOKUP(VALUE(K8),Notenspiegel!$B$3:$C$302,2,0)</f>
        <v>7</v>
      </c>
      <c r="M8" s="161" t="str">
        <f>VLOOKUP(VALUE(K8),Notenspiegel!$B$3:$D$302,3,0)</f>
        <v>3-</v>
      </c>
      <c r="N8" s="114" t="str">
        <f>VLOOKUP(VALUE(K8),Notenspiegel!$B$3:$E$302,4,0)</f>
        <v/>
      </c>
    </row>
    <row r="9" spans="2:14" ht="18" customHeight="1" thickBot="1" x14ac:dyDescent="0.3">
      <c r="B9" s="141">
        <v>3</v>
      </c>
      <c r="C9" s="131" t="str">
        <f>Config!C7&amp;", "&amp;Config!D7</f>
        <v>Fleischmann, Leonie</v>
      </c>
      <c r="D9" s="151">
        <f>VLOOKUP(C9,'Analysis A'!PupilBlock,8,0)</f>
        <v>10.5</v>
      </c>
      <c r="E9" s="151">
        <f>VLOOKUP(C9,'Analysis B'!PupilBlock,12,0)</f>
        <v>11.5</v>
      </c>
      <c r="F9" s="151">
        <f>VLOOKUP(C9,'Stochastik A'!PupilBlock,3,0)</f>
        <v>2.5</v>
      </c>
      <c r="G9" s="151">
        <f>VLOOKUP(C9,'Stochastik B'!PupilBlock,7,0)</f>
        <v>8</v>
      </c>
      <c r="H9" s="151">
        <f>VLOOKUP(C9,'Geometrie A'!PupilBlock,4,0)</f>
        <v>4.5</v>
      </c>
      <c r="I9" s="151">
        <f>VLOOKUP(C9,'Geometrie B'!PupilBlock,7,0)</f>
        <v>14</v>
      </c>
      <c r="J9" s="151">
        <f>VLOOKUP(C9,Wahlaufgaben!PupilBlock,7,0)</f>
        <v>8</v>
      </c>
      <c r="K9" s="133">
        <f t="shared" si="0"/>
        <v>59</v>
      </c>
      <c r="L9" s="155">
        <f>VLOOKUP(VALUE(K9),Notenspiegel!$B$3:$C$302,2,0)</f>
        <v>7</v>
      </c>
      <c r="M9" s="143" t="str">
        <f>VLOOKUP(VALUE(K9),Notenspiegel!$B$3:$D$302,3,0)</f>
        <v>3-</v>
      </c>
      <c r="N9" s="114" t="str">
        <f>VLOOKUP(VALUE(K9),Notenspiegel!$B$3:$E$302,4,0)</f>
        <v>+</v>
      </c>
    </row>
    <row r="10" spans="2:14" ht="18" customHeight="1" thickBot="1" x14ac:dyDescent="0.3">
      <c r="B10" s="140">
        <v>4</v>
      </c>
      <c r="C10" s="132" t="str">
        <f>Config!C8&amp;", "&amp;Config!D8</f>
        <v>Drescher, Cedric</v>
      </c>
      <c r="D10" s="153">
        <f>VLOOKUP(C10,'Analysis A'!PupilBlock,8,0)</f>
        <v>12.5</v>
      </c>
      <c r="E10" s="153">
        <f>VLOOKUP(C10,'Analysis B'!PupilBlock,12,0)</f>
        <v>23</v>
      </c>
      <c r="F10" s="153">
        <f>VLOOKUP(C10,'Stochastik A'!PupilBlock,3,0)</f>
        <v>2.5</v>
      </c>
      <c r="G10" s="153">
        <f>VLOOKUP(C10,'Stochastik B'!PupilBlock,7,0)</f>
        <v>9</v>
      </c>
      <c r="H10" s="153">
        <f>VLOOKUP(C10,'Geometrie A'!PupilBlock,4,0)</f>
        <v>3.5</v>
      </c>
      <c r="I10" s="153">
        <f>VLOOKUP(C10,'Geometrie B'!PupilBlock,7,0)</f>
        <v>13.5</v>
      </c>
      <c r="J10" s="153">
        <f>VLOOKUP(C10,Wahlaufgaben!PupilBlock,7,0)</f>
        <v>6</v>
      </c>
      <c r="K10" s="154">
        <f t="shared" si="0"/>
        <v>70</v>
      </c>
      <c r="L10" s="156">
        <f>VLOOKUP(VALUE(K10),Notenspiegel!$B$3:$C$302,2,0)</f>
        <v>10</v>
      </c>
      <c r="M10" s="144" t="str">
        <f>VLOOKUP(VALUE(K10),Notenspiegel!$B$3:$D$302,3,0)</f>
        <v>2-</v>
      </c>
      <c r="N10" s="114" t="str">
        <f>VLOOKUP(VALUE(K10),Notenspiegel!$B$3:$E$302,4,0)</f>
        <v>--</v>
      </c>
    </row>
    <row r="11" spans="2:14" ht="18" customHeight="1" thickBot="1" x14ac:dyDescent="0.3">
      <c r="B11" s="141">
        <v>5</v>
      </c>
      <c r="C11" s="131" t="str">
        <f>Config!C9&amp;", "&amp;Config!D9</f>
        <v>Baumgarten, Annabell</v>
      </c>
      <c r="D11" s="151">
        <f>VLOOKUP(C11,'Analysis A'!PupilBlock,8,0)</f>
        <v>14</v>
      </c>
      <c r="E11" s="151">
        <f>VLOOKUP(C11,'Analysis B'!PupilBlock,12,0)</f>
        <v>21.5</v>
      </c>
      <c r="F11" s="151">
        <f>VLOOKUP(C11,'Stochastik A'!PupilBlock,3,0)</f>
        <v>2.5</v>
      </c>
      <c r="G11" s="151">
        <f>VLOOKUP(C11,'Stochastik B'!PupilBlock,7,0)</f>
        <v>4.5</v>
      </c>
      <c r="H11" s="151">
        <f>VLOOKUP(C11,'Geometrie A'!PupilBlock,4,0)</f>
        <v>3.5</v>
      </c>
      <c r="I11" s="151">
        <f>VLOOKUP(C11,'Geometrie B'!PupilBlock,7,0)</f>
        <v>12</v>
      </c>
      <c r="J11" s="151">
        <f>VLOOKUP(C11,Wahlaufgaben!PupilBlock,7,0)</f>
        <v>6</v>
      </c>
      <c r="K11" s="133">
        <f t="shared" si="0"/>
        <v>64</v>
      </c>
      <c r="L11" s="162">
        <f>VLOOKUP(VALUE(K11),Notenspiegel!$B$3:$C$302,2,0)</f>
        <v>8</v>
      </c>
      <c r="M11" s="163" t="str">
        <f>VLOOKUP(VALUE(K11),Notenspiegel!$B$3:$D$302,3,0)</f>
        <v>3</v>
      </c>
      <c r="N11" s="114" t="str">
        <f>VLOOKUP(VALUE(K11),Notenspiegel!$B$3:$E$302,4,0)</f>
        <v>+</v>
      </c>
    </row>
    <row r="12" spans="2:14" ht="18" customHeight="1" thickBot="1" x14ac:dyDescent="0.3">
      <c r="B12" s="140">
        <v>6</v>
      </c>
      <c r="C12" s="132" t="str">
        <f>Config!C10&amp;", "&amp;Config!D10</f>
        <v>Traut, Stefanie</v>
      </c>
      <c r="D12" s="153">
        <f>VLOOKUP(C12,'Analysis A'!PupilBlock,8,0)</f>
        <v>12.5</v>
      </c>
      <c r="E12" s="153">
        <f>VLOOKUP(C12,'Analysis B'!PupilBlock,12,0)</f>
        <v>33</v>
      </c>
      <c r="F12" s="153">
        <f>VLOOKUP(C12,'Stochastik A'!PupilBlock,3,0)</f>
        <v>3</v>
      </c>
      <c r="G12" s="153">
        <f>VLOOKUP(C12,'Stochastik B'!PupilBlock,7,0)</f>
        <v>10.5</v>
      </c>
      <c r="H12" s="153">
        <f>VLOOKUP(C12,'Geometrie A'!PupilBlock,4,0)</f>
        <v>4.5</v>
      </c>
      <c r="I12" s="153">
        <f>VLOOKUP(C12,'Geometrie B'!PupilBlock,7,0)</f>
        <v>17</v>
      </c>
      <c r="J12" s="153">
        <f>VLOOKUP(C12,Wahlaufgaben!PupilBlock,7,0)</f>
        <v>8</v>
      </c>
      <c r="K12" s="154">
        <f t="shared" si="0"/>
        <v>88.5</v>
      </c>
      <c r="L12" s="156">
        <f>VLOOKUP(VALUE(K12),Notenspiegel!$B$3:$C$302,2,0)</f>
        <v>13</v>
      </c>
      <c r="M12" s="144" t="str">
        <f>VLOOKUP(VALUE(K12),Notenspiegel!$B$3:$D$302,3,0)</f>
        <v>1-</v>
      </c>
      <c r="N12" s="114" t="str">
        <f>VLOOKUP(VALUE(K12),Notenspiegel!$B$3:$E$302,4,0)</f>
        <v/>
      </c>
    </row>
    <row r="13" spans="2:14" ht="18" customHeight="1" thickBot="1" x14ac:dyDescent="0.3">
      <c r="B13" s="141">
        <v>7</v>
      </c>
      <c r="C13" s="131" t="str">
        <f>Config!C11&amp;", "&amp;Config!D11</f>
        <v>Menke, Damian</v>
      </c>
      <c r="D13" s="151">
        <f>VLOOKUP(C13,'Analysis A'!PupilBlock,8,0)</f>
        <v>12.5</v>
      </c>
      <c r="E13" s="151">
        <f>VLOOKUP(C13,'Analysis B'!PupilBlock,12,0)</f>
        <v>22.5</v>
      </c>
      <c r="F13" s="151">
        <f>VLOOKUP(C13,'Stochastik A'!PupilBlock,3,0)</f>
        <v>5</v>
      </c>
      <c r="G13" s="151">
        <f>VLOOKUP(C13,'Stochastik B'!PupilBlock,7,0)</f>
        <v>8.5</v>
      </c>
      <c r="H13" s="151">
        <f>VLOOKUP(C13,'Geometrie A'!PupilBlock,4,0)</f>
        <v>4.5</v>
      </c>
      <c r="I13" s="151">
        <f>VLOOKUP(C13,'Geometrie B'!PupilBlock,7,0)</f>
        <v>15</v>
      </c>
      <c r="J13" s="151">
        <f>VLOOKUP(C13,Wahlaufgaben!PupilBlock,7,0)</f>
        <v>7</v>
      </c>
      <c r="K13" s="133">
        <f t="shared" si="0"/>
        <v>75</v>
      </c>
      <c r="L13" s="155">
        <f>VLOOKUP(VALUE(K13),Notenspiegel!$B$3:$C$302,2,0)</f>
        <v>11</v>
      </c>
      <c r="M13" s="143" t="str">
        <f>VLOOKUP(VALUE(K13),Notenspiegel!$B$3:$D$302,3,0)</f>
        <v>2</v>
      </c>
      <c r="N13" s="114" t="str">
        <f>VLOOKUP(VALUE(K13),Notenspiegel!$B$3:$E$302,4,0)</f>
        <v>--</v>
      </c>
    </row>
    <row r="14" spans="2:14" ht="18" customHeight="1" thickBot="1" x14ac:dyDescent="0.3">
      <c r="B14" s="140">
        <v>8</v>
      </c>
      <c r="C14" s="132" t="str">
        <f>Config!C12&amp;", "&amp;Config!D12</f>
        <v>Carroll, Meik</v>
      </c>
      <c r="D14" s="153">
        <f>VLOOKUP(C14,'Analysis A'!PupilBlock,8,0)</f>
        <v>9</v>
      </c>
      <c r="E14" s="153">
        <f>VLOOKUP(C14,'Analysis B'!PupilBlock,12,0)</f>
        <v>16.5</v>
      </c>
      <c r="F14" s="153">
        <f>VLOOKUP(C14,'Stochastik A'!PupilBlock,3,0)</f>
        <v>5</v>
      </c>
      <c r="G14" s="153">
        <f>VLOOKUP(C14,'Stochastik B'!PupilBlock,7,0)</f>
        <v>8.5</v>
      </c>
      <c r="H14" s="153">
        <f>VLOOKUP(C14,'Geometrie A'!PupilBlock,4,0)</f>
        <v>4</v>
      </c>
      <c r="I14" s="153">
        <f>VLOOKUP(C14,'Geometrie B'!PupilBlock,7,0)</f>
        <v>13</v>
      </c>
      <c r="J14" s="153">
        <f>VLOOKUP(C14,Wahlaufgaben!PupilBlock,7,0)</f>
        <v>7</v>
      </c>
      <c r="K14" s="154">
        <f t="shared" si="0"/>
        <v>63</v>
      </c>
      <c r="L14" s="160">
        <f>VLOOKUP(VALUE(K14),Notenspiegel!$B$3:$C$302,2,0)</f>
        <v>8</v>
      </c>
      <c r="M14" s="161" t="str">
        <f>VLOOKUP(VALUE(K14),Notenspiegel!$B$3:$D$302,3,0)</f>
        <v>3</v>
      </c>
      <c r="N14" s="114" t="str">
        <f>VLOOKUP(VALUE(K14),Notenspiegel!$B$3:$E$302,4,0)</f>
        <v/>
      </c>
    </row>
    <row r="15" spans="2:14" ht="18" customHeight="1" thickBot="1" x14ac:dyDescent="0.3">
      <c r="B15" s="141">
        <v>9</v>
      </c>
      <c r="C15" s="131" t="str">
        <f>Config!C13&amp;", "&amp;Config!D13</f>
        <v>Hennings, Tomas</v>
      </c>
      <c r="D15" s="151">
        <f>VLOOKUP(C15,'Analysis A'!PupilBlock,8,0)</f>
        <v>10</v>
      </c>
      <c r="E15" s="151">
        <f>VLOOKUP(C15,'Analysis B'!PupilBlock,12,0)</f>
        <v>14.5</v>
      </c>
      <c r="F15" s="151">
        <f>VLOOKUP(C15,'Stochastik A'!PupilBlock,3,0)</f>
        <v>4</v>
      </c>
      <c r="G15" s="151">
        <f>VLOOKUP(C15,'Stochastik B'!PupilBlock,7,0)</f>
        <v>13</v>
      </c>
      <c r="H15" s="151">
        <f>VLOOKUP(C15,'Geometrie A'!PupilBlock,4,0)</f>
        <v>4.5</v>
      </c>
      <c r="I15" s="151">
        <f>VLOOKUP(C15,'Geometrie B'!PupilBlock,7,0)</f>
        <v>4</v>
      </c>
      <c r="J15" s="151">
        <f>VLOOKUP(C15,Wahlaufgaben!PupilBlock,7,0)</f>
        <v>8</v>
      </c>
      <c r="K15" s="133">
        <f t="shared" si="0"/>
        <v>58</v>
      </c>
      <c r="L15" s="155">
        <f>VLOOKUP(VALUE(K15),Notenspiegel!$B$3:$C$302,2,0)</f>
        <v>7</v>
      </c>
      <c r="M15" s="143" t="str">
        <f>VLOOKUP(VALUE(K15),Notenspiegel!$B$3:$D$302,3,0)</f>
        <v>3-</v>
      </c>
      <c r="N15" s="114" t="str">
        <f>VLOOKUP(VALUE(K15),Notenspiegel!$B$3:$E$302,4,0)</f>
        <v/>
      </c>
    </row>
    <row r="16" spans="2:14" ht="18" customHeight="1" thickBot="1" x14ac:dyDescent="0.3">
      <c r="B16" s="140">
        <v>10</v>
      </c>
      <c r="C16" s="132" t="str">
        <f>Config!C14&amp;", "&amp;Config!D14</f>
        <v>Walters, Linn</v>
      </c>
      <c r="D16" s="153">
        <f>VLOOKUP(C16,'Analysis A'!PupilBlock,8,0)</f>
        <v>3</v>
      </c>
      <c r="E16" s="153">
        <f>VLOOKUP(C16,'Analysis B'!PupilBlock,12,0)</f>
        <v>7</v>
      </c>
      <c r="F16" s="153">
        <f>VLOOKUP(C16,'Stochastik A'!PupilBlock,3,0)</f>
        <v>2.5</v>
      </c>
      <c r="G16" s="153">
        <f>VLOOKUP(C16,'Stochastik B'!PupilBlock,7,0)</f>
        <v>8</v>
      </c>
      <c r="H16" s="153">
        <f>VLOOKUP(C16,'Geometrie A'!PupilBlock,4,0)</f>
        <v>1</v>
      </c>
      <c r="I16" s="153">
        <f>VLOOKUP(C16,'Geometrie B'!PupilBlock,7,0)</f>
        <v>8.5</v>
      </c>
      <c r="J16" s="153">
        <f>VLOOKUP(C16,Wahlaufgaben!PupilBlock,7,0)</f>
        <v>8</v>
      </c>
      <c r="K16" s="154">
        <f t="shared" si="0"/>
        <v>38</v>
      </c>
      <c r="L16" s="156">
        <f>VLOOKUP(VALUE(K16),Notenspiegel!$B$3:$C$302,2,0)</f>
        <v>3</v>
      </c>
      <c r="M16" s="144" t="str">
        <f>VLOOKUP(VALUE(K16),Notenspiegel!$B$3:$D$302,3,0)</f>
        <v>5+</v>
      </c>
      <c r="N16" s="114" t="str">
        <f>VLOOKUP(VALUE(K16),Notenspiegel!$B$3:$E$302,4,0)</f>
        <v/>
      </c>
    </row>
    <row r="17" spans="2:14" ht="18" customHeight="1" thickBot="1" x14ac:dyDescent="0.3">
      <c r="B17" s="141">
        <v>11</v>
      </c>
      <c r="C17" s="131" t="str">
        <f>Config!C15&amp;", "&amp;Config!D15</f>
        <v>Junker, Amely</v>
      </c>
      <c r="D17" s="151">
        <f>VLOOKUP(C17,'Analysis A'!PupilBlock,8,0)</f>
        <v>6.5</v>
      </c>
      <c r="E17" s="151">
        <f>VLOOKUP(C17,'Analysis B'!PupilBlock,12,0)</f>
        <v>13.5</v>
      </c>
      <c r="F17" s="151">
        <f>VLOOKUP(C17,'Stochastik A'!PupilBlock,3,0)</f>
        <v>2</v>
      </c>
      <c r="G17" s="151">
        <f>VLOOKUP(C17,'Stochastik B'!PupilBlock,7,0)</f>
        <v>6.5</v>
      </c>
      <c r="H17" s="151">
        <f>VLOOKUP(C17,'Geometrie A'!PupilBlock,4,0)</f>
        <v>2</v>
      </c>
      <c r="I17" s="151">
        <f>VLOOKUP(C17,'Geometrie B'!PupilBlock,7,0)</f>
        <v>13</v>
      </c>
      <c r="J17" s="151">
        <f>VLOOKUP(C17,Wahlaufgaben!PupilBlock,7,0)</f>
        <v>6</v>
      </c>
      <c r="K17" s="133">
        <f t="shared" si="0"/>
        <v>49.5</v>
      </c>
      <c r="L17" s="155">
        <f>VLOOKUP(VALUE(K17),Notenspiegel!$B$3:$C$302,2,0)</f>
        <v>5</v>
      </c>
      <c r="M17" s="143" t="str">
        <f>VLOOKUP(VALUE(K17),Notenspiegel!$B$3:$D$302,3,0)</f>
        <v>4</v>
      </c>
      <c r="N17" s="114" t="str">
        <f>VLOOKUP(VALUE(K17),Notenspiegel!$B$3:$E$302,4,0)</f>
        <v>++</v>
      </c>
    </row>
    <row r="18" spans="2:14" ht="18" customHeight="1" thickBot="1" x14ac:dyDescent="0.3">
      <c r="B18" s="140">
        <v>12</v>
      </c>
      <c r="C18" s="132" t="str">
        <f>Config!C16&amp;", "&amp;Config!D16</f>
        <v>Stephens, Melvin</v>
      </c>
      <c r="D18" s="153">
        <f>VLOOKUP(C18,'Analysis A'!PupilBlock,8,0)</f>
        <v>11.5</v>
      </c>
      <c r="E18" s="153">
        <f>VLOOKUP(C18,'Analysis B'!PupilBlock,12,0)</f>
        <v>27</v>
      </c>
      <c r="F18" s="153">
        <f>VLOOKUP(C18,'Stochastik A'!PupilBlock,3,0)</f>
        <v>2.5</v>
      </c>
      <c r="G18" s="153">
        <f>VLOOKUP(C18,'Stochastik B'!PupilBlock,7,0)</f>
        <v>5.5</v>
      </c>
      <c r="H18" s="153">
        <f>VLOOKUP(C18,'Geometrie A'!PupilBlock,4,0)</f>
        <v>0.5</v>
      </c>
      <c r="I18" s="153">
        <f>VLOOKUP(C18,'Geometrie B'!PupilBlock,7,0)</f>
        <v>13</v>
      </c>
      <c r="J18" s="153">
        <f>VLOOKUP(C18,Wahlaufgaben!PupilBlock,7,0)</f>
        <v>6</v>
      </c>
      <c r="K18" s="154">
        <f t="shared" si="0"/>
        <v>66</v>
      </c>
      <c r="L18" s="164">
        <f>VLOOKUP(VALUE(K18),Notenspiegel!$B$3:$C$302,2,0)</f>
        <v>9</v>
      </c>
      <c r="M18" s="165" t="str">
        <f>VLOOKUP(VALUE(K18),Notenspiegel!$B$3:$D$302,3,0)</f>
        <v>3+</v>
      </c>
      <c r="N18" s="114" t="str">
        <f>VLOOKUP(VALUE(K18),Notenspiegel!$B$3:$E$302,4,0)</f>
        <v/>
      </c>
    </row>
    <row r="19" spans="2:14" ht="18" customHeight="1" thickBot="1" x14ac:dyDescent="0.3">
      <c r="B19" s="141">
        <v>13</v>
      </c>
      <c r="C19" s="131" t="str">
        <f>Config!C17&amp;", "&amp;Config!D17</f>
        <v>Cremer, Marvin</v>
      </c>
      <c r="D19" s="151">
        <f>VLOOKUP(C19,'Analysis A'!PupilBlock,8,0)</f>
        <v>12.5</v>
      </c>
      <c r="E19" s="151">
        <f>VLOOKUP(C19,'Analysis B'!PupilBlock,12,0)</f>
        <v>22</v>
      </c>
      <c r="F19" s="151">
        <f>VLOOKUP(C19,'Stochastik A'!PupilBlock,3,0)</f>
        <v>5</v>
      </c>
      <c r="G19" s="151">
        <f>VLOOKUP(C19,'Stochastik B'!PupilBlock,7,0)</f>
        <v>5.5</v>
      </c>
      <c r="H19" s="151">
        <f>VLOOKUP(C19,'Geometrie A'!PupilBlock,4,0)</f>
        <v>4.5</v>
      </c>
      <c r="I19" s="151">
        <f>VLOOKUP(C19,'Geometrie B'!PupilBlock,7,0)</f>
        <v>3</v>
      </c>
      <c r="J19" s="151">
        <f>VLOOKUP(C19,Wahlaufgaben!PupilBlock,7,0)</f>
        <v>8</v>
      </c>
      <c r="K19" s="133">
        <f t="shared" si="0"/>
        <v>60.5</v>
      </c>
      <c r="L19" s="155">
        <f>VLOOKUP(VALUE(K19),Notenspiegel!$B$3:$C$302,2,0)</f>
        <v>8</v>
      </c>
      <c r="M19" s="143" t="str">
        <f>VLOOKUP(VALUE(K19),Notenspiegel!$B$3:$D$302,3,0)</f>
        <v>3</v>
      </c>
      <c r="N19" s="114" t="str">
        <f>VLOOKUP(VALUE(K19),Notenspiegel!$B$3:$E$302,4,0)</f>
        <v>-</v>
      </c>
    </row>
    <row r="20" spans="2:14" ht="18" customHeight="1" thickBot="1" x14ac:dyDescent="0.3">
      <c r="B20" s="140">
        <v>14</v>
      </c>
      <c r="C20" s="132" t="str">
        <f>Config!C18&amp;", "&amp;Config!D18</f>
        <v>Nash, Jean</v>
      </c>
      <c r="D20" s="153">
        <f>VLOOKUP(C20,'Analysis A'!PupilBlock,8,0)</f>
        <v>13.5</v>
      </c>
      <c r="E20" s="153">
        <f>VLOOKUP(C20,'Analysis B'!PupilBlock,12,0)</f>
        <v>15.5</v>
      </c>
      <c r="F20" s="153">
        <f>VLOOKUP(C20,'Stochastik A'!PupilBlock,3,0)</f>
        <v>5</v>
      </c>
      <c r="G20" s="153">
        <f>VLOOKUP(C20,'Stochastik B'!PupilBlock,7,0)</f>
        <v>8</v>
      </c>
      <c r="H20" s="153">
        <f>VLOOKUP(C20,'Geometrie A'!PupilBlock,4,0)</f>
        <v>4</v>
      </c>
      <c r="I20" s="153">
        <f>VLOOKUP(C20,'Geometrie B'!PupilBlock,7,0)</f>
        <v>14.5</v>
      </c>
      <c r="J20" s="153">
        <f>VLOOKUP(C20,Wahlaufgaben!PupilBlock,7,0)</f>
        <v>7</v>
      </c>
      <c r="K20" s="154">
        <f t="shared" si="0"/>
        <v>67.5</v>
      </c>
      <c r="L20" s="160">
        <f>VLOOKUP(VALUE(K20),Notenspiegel!$B$3:$C$302,2,0)</f>
        <v>9</v>
      </c>
      <c r="M20" s="161" t="str">
        <f>VLOOKUP(VALUE(K20),Notenspiegel!$B$3:$D$302,3,0)</f>
        <v>3+</v>
      </c>
      <c r="N20" s="114" t="str">
        <f>VLOOKUP(VALUE(K20),Notenspiegel!$B$3:$E$302,4,0)</f>
        <v/>
      </c>
    </row>
    <row r="21" spans="2:14" ht="18" customHeight="1" thickBot="1" x14ac:dyDescent="0.3">
      <c r="B21" s="141">
        <v>15</v>
      </c>
      <c r="C21" s="131" t="str">
        <f>Config!C19&amp;", "&amp;Config!D19</f>
        <v>Schön, Leonardo</v>
      </c>
      <c r="D21" s="151">
        <f>VLOOKUP(C21,'Analysis A'!PupilBlock,8,0)</f>
        <v>12</v>
      </c>
      <c r="E21" s="151">
        <f>VLOOKUP(C21,'Analysis B'!PupilBlock,12,0)</f>
        <v>23.5</v>
      </c>
      <c r="F21" s="151">
        <f>VLOOKUP(C21,'Stochastik A'!PupilBlock,3,0)</f>
        <v>2.5</v>
      </c>
      <c r="G21" s="151">
        <f>VLOOKUP(C21,'Stochastik B'!PupilBlock,7,0)</f>
        <v>8</v>
      </c>
      <c r="H21" s="151">
        <f>VLOOKUP(C21,'Geometrie A'!PupilBlock,4,0)</f>
        <v>5</v>
      </c>
      <c r="I21" s="151">
        <f>VLOOKUP(C21,'Geometrie B'!PupilBlock,7,0)</f>
        <v>6.5</v>
      </c>
      <c r="J21" s="151">
        <f>VLOOKUP(C21,Wahlaufgaben!PupilBlock,7,0)</f>
        <v>4</v>
      </c>
      <c r="K21" s="133">
        <f t="shared" si="0"/>
        <v>61.5</v>
      </c>
      <c r="L21" s="164">
        <f>VLOOKUP(VALUE(K21),Notenspiegel!$B$3:$C$302,2,0)</f>
        <v>8</v>
      </c>
      <c r="M21" s="165" t="str">
        <f>VLOOKUP(VALUE(K21),Notenspiegel!$B$3:$D$302,3,0)</f>
        <v>3</v>
      </c>
      <c r="N21" s="114" t="str">
        <f>VLOOKUP(VALUE(K21),Notenspiegel!$B$3:$E$302,4,0)</f>
        <v/>
      </c>
    </row>
    <row r="22" spans="2:14" ht="18" customHeight="1" thickBot="1" x14ac:dyDescent="0.3">
      <c r="B22" s="140">
        <v>16</v>
      </c>
      <c r="C22" s="132" t="str">
        <f>Config!C20&amp;", "&amp;Config!D20</f>
        <v>Sigl, Nicholas</v>
      </c>
      <c r="D22" s="153">
        <f>VLOOKUP(C22,'Analysis A'!PupilBlock,8,0)</f>
        <v>7.5</v>
      </c>
      <c r="E22" s="153">
        <f>VLOOKUP(C22,'Analysis B'!PupilBlock,12,0)</f>
        <v>22</v>
      </c>
      <c r="F22" s="153">
        <f>VLOOKUP(C22,'Stochastik A'!PupilBlock,3,0)</f>
        <v>5</v>
      </c>
      <c r="G22" s="153">
        <f>VLOOKUP(C22,'Stochastik B'!PupilBlock,7,0)</f>
        <v>0</v>
      </c>
      <c r="H22" s="153">
        <f>VLOOKUP(C22,'Geometrie A'!PupilBlock,4,0)</f>
        <v>4.5</v>
      </c>
      <c r="I22" s="153">
        <f>VLOOKUP(C22,'Geometrie B'!PupilBlock,7,0)</f>
        <v>6</v>
      </c>
      <c r="J22" s="153">
        <f>VLOOKUP(C22,Wahlaufgaben!PupilBlock,7,0)</f>
        <v>8</v>
      </c>
      <c r="K22" s="154">
        <f t="shared" si="0"/>
        <v>53</v>
      </c>
      <c r="L22" s="166">
        <f>VLOOKUP(VALUE(K22),Notenspiegel!$B$3:$C$302,2,0)</f>
        <v>6</v>
      </c>
      <c r="M22" s="167" t="str">
        <f>VLOOKUP(VALUE(K22),Notenspiegel!$B$3:$D$302,3,0)</f>
        <v>4+</v>
      </c>
      <c r="N22" s="114" t="str">
        <f>VLOOKUP(VALUE(K22),Notenspiegel!$B$3:$E$302,4,0)</f>
        <v/>
      </c>
    </row>
    <row r="23" spans="2:14" ht="18" customHeight="1" thickBot="1" x14ac:dyDescent="0.3">
      <c r="B23" s="141">
        <v>17</v>
      </c>
      <c r="C23" s="131" t="str">
        <f>Config!C21&amp;", "&amp;Config!D21</f>
        <v>Kainz, Vivienne</v>
      </c>
      <c r="D23" s="151">
        <f>VLOOKUP(C23,'Analysis A'!PupilBlock,8,0)</f>
        <v>1</v>
      </c>
      <c r="E23" s="151">
        <f>VLOOKUP(C23,'Analysis B'!PupilBlock,12,0)</f>
        <v>6.5</v>
      </c>
      <c r="F23" s="151">
        <f>VLOOKUP(C23,'Stochastik A'!PupilBlock,3,0)</f>
        <v>5</v>
      </c>
      <c r="G23" s="151">
        <f>VLOOKUP(C23,'Stochastik B'!PupilBlock,7,0)</f>
        <v>7.5</v>
      </c>
      <c r="H23" s="151">
        <f>VLOOKUP(C23,'Geometrie A'!PupilBlock,4,0)</f>
        <v>5</v>
      </c>
      <c r="I23" s="151">
        <f>VLOOKUP(C23,'Geometrie B'!PupilBlock,7,0)</f>
        <v>4.5</v>
      </c>
      <c r="J23" s="151">
        <f>VLOOKUP(C23,Wahlaufgaben!PupilBlock,7,0)</f>
        <v>10</v>
      </c>
      <c r="K23" s="133">
        <f t="shared" si="0"/>
        <v>39.5</v>
      </c>
      <c r="L23" s="155">
        <f>VLOOKUP(VALUE(K23),Notenspiegel!$B$3:$C$302,2,0)</f>
        <v>3</v>
      </c>
      <c r="M23" s="143" t="str">
        <f>VLOOKUP(VALUE(K23),Notenspiegel!$B$3:$D$302,3,0)</f>
        <v>5+</v>
      </c>
      <c r="N23" s="114" t="str">
        <f>VLOOKUP(VALUE(K23),Notenspiegel!$B$3:$E$302,4,0)</f>
        <v>++</v>
      </c>
    </row>
    <row r="24" spans="2:14" ht="18" customHeight="1" thickBot="1" x14ac:dyDescent="0.3">
      <c r="B24" s="140">
        <v>18</v>
      </c>
      <c r="C24" s="132" t="str">
        <f>Config!C22&amp;", "&amp;Config!D22</f>
        <v>Hartmann, Mads</v>
      </c>
      <c r="D24" s="153">
        <f>VLOOKUP(C24,'Analysis A'!PupilBlock,8,0)</f>
        <v>10</v>
      </c>
      <c r="E24" s="153">
        <f>VLOOKUP(C24,'Analysis B'!PupilBlock,12,0)</f>
        <v>16</v>
      </c>
      <c r="F24" s="153">
        <f>VLOOKUP(C24,'Stochastik A'!PupilBlock,3,0)</f>
        <v>2.5</v>
      </c>
      <c r="G24" s="153">
        <f>VLOOKUP(C24,'Stochastik B'!PupilBlock,7,0)</f>
        <v>7</v>
      </c>
      <c r="H24" s="153">
        <f>VLOOKUP(C24,'Geometrie A'!PupilBlock,4,0)</f>
        <v>1</v>
      </c>
      <c r="I24" s="153">
        <f>VLOOKUP(C24,'Geometrie B'!PupilBlock,7,0)</f>
        <v>14</v>
      </c>
      <c r="J24" s="153">
        <f>VLOOKUP(C24,Wahlaufgaben!PupilBlock,7,0)</f>
        <v>7</v>
      </c>
      <c r="K24" s="154">
        <f t="shared" si="0"/>
        <v>57.5</v>
      </c>
      <c r="L24" s="156">
        <f>VLOOKUP(VALUE(K24),Notenspiegel!$B$3:$C$302,2,0)</f>
        <v>7</v>
      </c>
      <c r="M24" s="144" t="str">
        <f>VLOOKUP(VALUE(K24),Notenspiegel!$B$3:$D$302,3,0)</f>
        <v>3-</v>
      </c>
      <c r="N24" s="114" t="str">
        <f>VLOOKUP(VALUE(K24),Notenspiegel!$B$3:$E$302,4,0)</f>
        <v/>
      </c>
    </row>
    <row r="25" spans="2:14" ht="18" customHeight="1" thickBot="1" x14ac:dyDescent="0.3">
      <c r="B25" s="141">
        <v>19</v>
      </c>
      <c r="C25" s="131" t="str">
        <f>Config!C23&amp;", "&amp;Config!D23</f>
        <v>Ullmann, Raphael</v>
      </c>
      <c r="D25" s="151">
        <f>VLOOKUP(C25,'Analysis A'!PupilBlock,8,0)</f>
        <v>9.5</v>
      </c>
      <c r="E25" s="151">
        <f>VLOOKUP(C25,'Analysis B'!PupilBlock,12,0)</f>
        <v>14.5</v>
      </c>
      <c r="F25" s="151">
        <f>VLOOKUP(C25,'Stochastik A'!PupilBlock,3,0)</f>
        <v>5</v>
      </c>
      <c r="G25" s="151">
        <f>VLOOKUP(C25,'Stochastik B'!PupilBlock,7,0)</f>
        <v>7</v>
      </c>
      <c r="H25" s="151">
        <f>VLOOKUP(C25,'Geometrie A'!PupilBlock,4,0)</f>
        <v>2</v>
      </c>
      <c r="I25" s="151">
        <f>VLOOKUP(C25,'Geometrie B'!PupilBlock,7,0)</f>
        <v>13.5</v>
      </c>
      <c r="J25" s="151">
        <f>VLOOKUP(C25,Wahlaufgaben!PupilBlock,7,0)</f>
        <v>8</v>
      </c>
      <c r="K25" s="133">
        <f t="shared" si="0"/>
        <v>59.5</v>
      </c>
      <c r="L25" s="162">
        <f>VLOOKUP(VALUE(K25),Notenspiegel!$B$3:$C$302,2,0)</f>
        <v>7</v>
      </c>
      <c r="M25" s="163" t="str">
        <f>VLOOKUP(VALUE(K25),Notenspiegel!$B$3:$D$302,3,0)</f>
        <v>3-</v>
      </c>
      <c r="N25" s="114" t="str">
        <f>VLOOKUP(VALUE(K25),Notenspiegel!$B$3:$E$302,4,0)</f>
        <v>++</v>
      </c>
    </row>
    <row r="26" spans="2:14" ht="18" customHeight="1" thickBot="1" x14ac:dyDescent="0.3">
      <c r="B26" s="140">
        <v>20</v>
      </c>
      <c r="C26" s="132" t="str">
        <f>Config!C24&amp;", "&amp;Config!D24</f>
        <v>Hartl, Emmely</v>
      </c>
      <c r="D26" s="153">
        <f>VLOOKUP(C26,'Analysis A'!PupilBlock,8,0)</f>
        <v>13.5</v>
      </c>
      <c r="E26" s="153">
        <f>VLOOKUP(C26,'Analysis B'!PupilBlock,12,0)</f>
        <v>23</v>
      </c>
      <c r="F26" s="153">
        <f>VLOOKUP(C26,'Stochastik A'!PupilBlock,3,0)</f>
        <v>3</v>
      </c>
      <c r="G26" s="153">
        <f>VLOOKUP(C26,'Stochastik B'!PupilBlock,7,0)</f>
        <v>4.5</v>
      </c>
      <c r="H26" s="153">
        <f>VLOOKUP(C26,'Geometrie A'!PupilBlock,4,0)</f>
        <v>2</v>
      </c>
      <c r="I26" s="153">
        <f>VLOOKUP(C26,'Geometrie B'!PupilBlock,7,0)</f>
        <v>15</v>
      </c>
      <c r="J26" s="153">
        <f>VLOOKUP(C26,Wahlaufgaben!PupilBlock,7,0)</f>
        <v>10</v>
      </c>
      <c r="K26" s="154">
        <f t="shared" si="0"/>
        <v>71</v>
      </c>
      <c r="L26" s="156">
        <f>VLOOKUP(VALUE(K26),Notenspiegel!$B$3:$C$302,2,0)</f>
        <v>10</v>
      </c>
      <c r="M26" s="144" t="str">
        <f>VLOOKUP(VALUE(K26),Notenspiegel!$B$3:$D$302,3,0)</f>
        <v>2-</v>
      </c>
      <c r="N26" s="114" t="str">
        <f>VLOOKUP(VALUE(K26),Notenspiegel!$B$3:$E$302,4,0)</f>
        <v/>
      </c>
    </row>
    <row r="27" spans="2:14" ht="18" customHeight="1" thickBot="1" x14ac:dyDescent="0.3">
      <c r="B27" s="141">
        <v>21</v>
      </c>
      <c r="C27" s="131" t="str">
        <f>Config!C25&amp;", "&amp;Config!D25</f>
        <v>Klotz, Karin</v>
      </c>
      <c r="D27" s="151">
        <f>VLOOKUP(C27,'Analysis A'!PupilBlock,8,0)</f>
        <v>13.5</v>
      </c>
      <c r="E27" s="151">
        <f>VLOOKUP(C27,'Analysis B'!PupilBlock,12,0)</f>
        <v>26.5</v>
      </c>
      <c r="F27" s="151">
        <f>VLOOKUP(C27,'Stochastik A'!PupilBlock,3,0)</f>
        <v>4</v>
      </c>
      <c r="G27" s="151">
        <f>VLOOKUP(C27,'Stochastik B'!PupilBlock,7,0)</f>
        <v>6</v>
      </c>
      <c r="H27" s="151">
        <f>VLOOKUP(C27,'Geometrie A'!PupilBlock,4,0)</f>
        <v>5</v>
      </c>
      <c r="I27" s="151">
        <f>VLOOKUP(C27,'Geometrie B'!PupilBlock,7,0)</f>
        <v>16</v>
      </c>
      <c r="J27" s="151">
        <f>VLOOKUP(C27,Wahlaufgaben!PupilBlock,7,0)</f>
        <v>10</v>
      </c>
      <c r="K27" s="133">
        <f t="shared" si="0"/>
        <v>81</v>
      </c>
      <c r="L27" s="155">
        <f>VLOOKUP(VALUE(K27),Notenspiegel!$B$3:$C$302,2,0)</f>
        <v>12</v>
      </c>
      <c r="M27" s="143" t="str">
        <f>VLOOKUP(VALUE(K27),Notenspiegel!$B$3:$D$302,3,0)</f>
        <v>2+</v>
      </c>
      <c r="N27" s="114" t="str">
        <f>VLOOKUP(VALUE(K27),Notenspiegel!$B$3:$E$302,4,0)</f>
        <v/>
      </c>
    </row>
    <row r="28" spans="2:14" ht="18" customHeight="1" thickBot="1" x14ac:dyDescent="0.3">
      <c r="B28" s="140">
        <v>22</v>
      </c>
      <c r="C28" s="132" t="str">
        <f>Config!C26&amp;", "&amp;Config!D26</f>
        <v>Ehlers, Ingo</v>
      </c>
      <c r="D28" s="153">
        <f>VLOOKUP(C28,'Analysis A'!PupilBlock,8,0)</f>
        <v>10</v>
      </c>
      <c r="E28" s="153">
        <f>VLOOKUP(C28,'Analysis B'!PupilBlock,12,0)</f>
        <v>21</v>
      </c>
      <c r="F28" s="153">
        <f>VLOOKUP(C28,'Stochastik A'!PupilBlock,3,0)</f>
        <v>5</v>
      </c>
      <c r="G28" s="153">
        <f>VLOOKUP(C28,'Stochastik B'!PupilBlock,7,0)</f>
        <v>5.5</v>
      </c>
      <c r="H28" s="153">
        <f>VLOOKUP(C28,'Geometrie A'!PupilBlock,4,0)</f>
        <v>5</v>
      </c>
      <c r="I28" s="153">
        <f>VLOOKUP(C28,'Geometrie B'!PupilBlock,7,0)</f>
        <v>14.5</v>
      </c>
      <c r="J28" s="153">
        <f>VLOOKUP(C28,Wahlaufgaben!PupilBlock,7,0)</f>
        <v>7</v>
      </c>
      <c r="K28" s="154">
        <f t="shared" si="0"/>
        <v>68</v>
      </c>
      <c r="L28" s="156">
        <f>VLOOKUP(VALUE(K28),Notenspiegel!$B$3:$C$302,2,0)</f>
        <v>9</v>
      </c>
      <c r="M28" s="144" t="str">
        <f>VLOOKUP(VALUE(K28),Notenspiegel!$B$3:$D$302,3,0)</f>
        <v>3+</v>
      </c>
      <c r="N28" s="114" t="str">
        <f>VLOOKUP(VALUE(K28),Notenspiegel!$B$3:$E$302,4,0)</f>
        <v/>
      </c>
    </row>
    <row r="29" spans="2:14" ht="18" customHeight="1" thickBot="1" x14ac:dyDescent="0.3">
      <c r="B29" s="142">
        <v>23</v>
      </c>
      <c r="C29" s="138" t="str">
        <f>Config!C27&amp;", "&amp;Config!D27</f>
        <v>Lindemann, Mads</v>
      </c>
      <c r="D29" s="157">
        <f>VLOOKUP(C29,'Analysis A'!PupilBlock,8,0)</f>
        <v>7</v>
      </c>
      <c r="E29" s="157">
        <f>VLOOKUP(C29,'Analysis B'!PupilBlock,12,0)</f>
        <v>16</v>
      </c>
      <c r="F29" s="157">
        <f>VLOOKUP(C29,'Stochastik A'!PupilBlock,3,0)</f>
        <v>5</v>
      </c>
      <c r="G29" s="157">
        <f>VLOOKUP(C29,'Stochastik B'!PupilBlock,7,0)</f>
        <v>10</v>
      </c>
      <c r="H29" s="157">
        <f>VLOOKUP(C29,'Geometrie A'!PupilBlock,4,0)</f>
        <v>3</v>
      </c>
      <c r="I29" s="157">
        <f>VLOOKUP(C29,'Geometrie B'!PupilBlock,7,0)</f>
        <v>6.5</v>
      </c>
      <c r="J29" s="157">
        <f>VLOOKUP(C29,Wahlaufgaben!PupilBlock,7,0)</f>
        <v>8</v>
      </c>
      <c r="K29" s="133">
        <f t="shared" si="0"/>
        <v>55.5</v>
      </c>
      <c r="L29" s="209">
        <f>VLOOKUP(VALUE(K29),Notenspiegel!$B$3:$C$302,2,0)</f>
        <v>7</v>
      </c>
      <c r="M29" s="210" t="str">
        <f>VLOOKUP(VALUE(K29),Notenspiegel!$B$3:$D$302,3,0)</f>
        <v>3-</v>
      </c>
      <c r="N29" s="114"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B125B-E086-4471-916B-E4C2A37FE081}">
  <sheetPr codeName="Tabelle135">
    <tabColor rgb="FF92D050"/>
  </sheetPr>
  <dimension ref="B1:J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10" width="8.77734375" style="114" customWidth="1"/>
    <col min="11" max="16384" width="11.5546875" style="114"/>
  </cols>
  <sheetData>
    <row r="1" spans="2:10" ht="18" customHeight="1" thickBot="1" x14ac:dyDescent="0.3"/>
    <row r="2" spans="2:10" ht="18" customHeight="1" x14ac:dyDescent="0.25">
      <c r="B2" s="115" t="str">
        <f>Config!F2&amp;" "&amp;YEAR(Config!G24)</f>
        <v>Mathe Abitur 2026</v>
      </c>
      <c r="C2" s="116"/>
      <c r="D2" s="116"/>
      <c r="E2" s="116"/>
      <c r="F2" s="116"/>
      <c r="G2" s="117"/>
      <c r="H2" s="117"/>
      <c r="I2" s="117"/>
      <c r="J2" s="118" t="str">
        <f>"Kurs "&amp;Config!G26</f>
        <v>Kurs K1</v>
      </c>
    </row>
    <row r="3" spans="2:10" ht="18" customHeight="1" x14ac:dyDescent="0.25">
      <c r="B3" s="119" t="s">
        <v>9</v>
      </c>
      <c r="C3" s="120"/>
      <c r="D3" s="120"/>
      <c r="E3" s="120"/>
      <c r="F3" s="120"/>
      <c r="G3" s="120"/>
      <c r="H3" s="120"/>
      <c r="I3" s="120"/>
      <c r="J3" s="121"/>
    </row>
    <row r="4" spans="2:10" ht="18" customHeight="1" thickBot="1" x14ac:dyDescent="0.3">
      <c r="B4" s="119"/>
      <c r="C4" s="120"/>
      <c r="D4" s="122"/>
      <c r="E4" s="122"/>
      <c r="F4" s="122"/>
      <c r="G4" s="122"/>
      <c r="H4" s="122"/>
      <c r="I4" s="122"/>
      <c r="J4" s="123"/>
    </row>
    <row r="5" spans="2:10" ht="18" customHeight="1" thickBot="1" x14ac:dyDescent="0.3">
      <c r="B5" s="124"/>
      <c r="C5" s="126"/>
      <c r="D5" s="145" t="str">
        <f>Config!F6</f>
        <v>1a</v>
      </c>
      <c r="E5" s="145" t="str">
        <f>Config!F7</f>
        <v>1b</v>
      </c>
      <c r="F5" s="145" t="str">
        <f>Config!F8</f>
        <v>2</v>
      </c>
      <c r="G5" s="145" t="str">
        <f>Config!F9</f>
        <v>3</v>
      </c>
      <c r="H5" s="145" t="str">
        <f>Config!F10</f>
        <v>4a</v>
      </c>
      <c r="I5" s="145" t="str">
        <f>Config!F11</f>
        <v>4b</v>
      </c>
      <c r="J5" s="130" t="s">
        <v>82</v>
      </c>
    </row>
    <row r="6" spans="2:10" ht="18" customHeight="1" thickBot="1" x14ac:dyDescent="0.3">
      <c r="B6" s="125"/>
      <c r="C6" s="127" t="s">
        <v>81</v>
      </c>
      <c r="D6" s="129">
        <f>Config!G6</f>
        <v>2</v>
      </c>
      <c r="E6" s="129">
        <f>Config!G7</f>
        <v>2</v>
      </c>
      <c r="F6" s="129">
        <f>Config!G8</f>
        <v>3</v>
      </c>
      <c r="G6" s="129">
        <f>Config!G9</f>
        <v>3</v>
      </c>
      <c r="H6" s="129">
        <f>Config!G10</f>
        <v>3</v>
      </c>
      <c r="I6" s="129">
        <f>Config!G11</f>
        <v>2</v>
      </c>
      <c r="J6" s="146">
        <f>Config!G21</f>
        <v>15</v>
      </c>
    </row>
    <row r="7" spans="2:10" ht="18" customHeight="1" x14ac:dyDescent="0.25">
      <c r="B7" s="173">
        <v>1</v>
      </c>
      <c r="C7" s="174" t="str">
        <f>Config!C5&amp;", "&amp;Config!D5</f>
        <v>Höfer, Simon</v>
      </c>
      <c r="D7" s="108">
        <v>0.5</v>
      </c>
      <c r="E7" s="108">
        <v>2</v>
      </c>
      <c r="F7" s="108">
        <v>1.5</v>
      </c>
      <c r="G7" s="108">
        <v>2.5</v>
      </c>
      <c r="H7" s="108">
        <v>3</v>
      </c>
      <c r="I7" s="109">
        <v>2</v>
      </c>
      <c r="J7" s="170">
        <f t="shared" ref="J7:J37" si="0">SUM(D7:I7)</f>
        <v>11.5</v>
      </c>
    </row>
    <row r="8" spans="2:10" s="188" customFormat="1" ht="13.2" customHeight="1" x14ac:dyDescent="0.2">
      <c r="B8" s="191"/>
      <c r="C8" s="195" t="s">
        <v>126</v>
      </c>
      <c r="D8" s="103">
        <v>1</v>
      </c>
      <c r="E8" s="102">
        <v>1</v>
      </c>
      <c r="F8" s="102">
        <v>1</v>
      </c>
      <c r="G8" s="102">
        <v>1</v>
      </c>
      <c r="H8" s="102">
        <v>1</v>
      </c>
      <c r="I8" s="177">
        <v>1</v>
      </c>
      <c r="J8" s="190">
        <f>SUM(D8:I8)</f>
        <v>6</v>
      </c>
    </row>
    <row r="9" spans="2:10" s="188" customFormat="1" ht="13.2" customHeight="1" x14ac:dyDescent="0.2">
      <c r="B9" s="205"/>
      <c r="C9" s="206" t="s">
        <v>127</v>
      </c>
      <c r="D9" s="99"/>
      <c r="E9" s="99"/>
      <c r="F9" s="99"/>
      <c r="G9" s="99"/>
      <c r="H9" s="99"/>
      <c r="I9" s="100"/>
      <c r="J9" s="189">
        <f>SUM(D9:I9)</f>
        <v>0</v>
      </c>
    </row>
    <row r="10" spans="2:10" ht="18" customHeight="1" x14ac:dyDescent="0.25">
      <c r="B10" s="171">
        <v>2</v>
      </c>
      <c r="C10" s="172" t="str">
        <f>Config!C6&amp;", "&amp;Config!D6</f>
        <v>Töpfer, Lilian</v>
      </c>
      <c r="D10" s="110">
        <v>1.5</v>
      </c>
      <c r="E10" s="110">
        <v>2</v>
      </c>
      <c r="F10" s="110">
        <v>0.5</v>
      </c>
      <c r="G10" s="110">
        <v>1</v>
      </c>
      <c r="H10" s="110">
        <v>2</v>
      </c>
      <c r="I10" s="111">
        <v>2</v>
      </c>
      <c r="J10" s="176">
        <f t="shared" si="0"/>
        <v>9</v>
      </c>
    </row>
    <row r="11" spans="2:10" s="188" customFormat="1" ht="13.2" customHeight="1" x14ac:dyDescent="0.2">
      <c r="B11" s="194"/>
      <c r="C11" s="196" t="s">
        <v>126</v>
      </c>
      <c r="D11" s="178">
        <v>1</v>
      </c>
      <c r="E11" s="178">
        <v>1</v>
      </c>
      <c r="F11" s="106">
        <v>1</v>
      </c>
      <c r="G11" s="105">
        <v>1</v>
      </c>
      <c r="H11" s="178">
        <v>1</v>
      </c>
      <c r="I11" s="179">
        <v>1</v>
      </c>
      <c r="J11" s="193">
        <f>SUM(D11:I11)</f>
        <v>6</v>
      </c>
    </row>
    <row r="12" spans="2:10" s="188" customFormat="1" ht="13.2" customHeight="1" x14ac:dyDescent="0.2">
      <c r="B12" s="207"/>
      <c r="C12" s="208" t="s">
        <v>127</v>
      </c>
      <c r="D12" s="99"/>
      <c r="E12" s="99"/>
      <c r="F12" s="99"/>
      <c r="G12" s="99"/>
      <c r="H12" s="99"/>
      <c r="I12" s="100"/>
      <c r="J12" s="192">
        <f>SUM(D12:I12)</f>
        <v>0</v>
      </c>
    </row>
    <row r="13" spans="2:10" ht="18" customHeight="1" x14ac:dyDescent="0.25">
      <c r="B13" s="168">
        <v>3</v>
      </c>
      <c r="C13" s="169" t="str">
        <f>Config!C7&amp;", "&amp;Config!D7</f>
        <v>Fleischmann, Leonie</v>
      </c>
      <c r="D13" s="112">
        <v>0.5</v>
      </c>
      <c r="E13" s="112">
        <v>1.5</v>
      </c>
      <c r="F13" s="112">
        <v>1.5</v>
      </c>
      <c r="G13" s="112">
        <v>3</v>
      </c>
      <c r="H13" s="112">
        <v>3</v>
      </c>
      <c r="I13" s="113">
        <v>1</v>
      </c>
      <c r="J13" s="175">
        <f t="shared" si="0"/>
        <v>10.5</v>
      </c>
    </row>
    <row r="14" spans="2:10" s="188" customFormat="1" ht="13.2" customHeight="1" x14ac:dyDescent="0.2">
      <c r="B14" s="191"/>
      <c r="C14" s="195" t="s">
        <v>126</v>
      </c>
      <c r="D14" s="103">
        <v>1</v>
      </c>
      <c r="E14" s="102">
        <v>1</v>
      </c>
      <c r="F14" s="102">
        <v>1</v>
      </c>
      <c r="G14" s="102">
        <v>1</v>
      </c>
      <c r="H14" s="102">
        <v>1</v>
      </c>
      <c r="I14" s="104">
        <v>1</v>
      </c>
      <c r="J14" s="190">
        <f>SUM(D14:I14)</f>
        <v>6</v>
      </c>
    </row>
    <row r="15" spans="2:10" s="188" customFormat="1" ht="13.2" customHeight="1" x14ac:dyDescent="0.2">
      <c r="B15" s="205"/>
      <c r="C15" s="206" t="s">
        <v>127</v>
      </c>
      <c r="D15" s="99"/>
      <c r="E15" s="99"/>
      <c r="F15" s="99"/>
      <c r="G15" s="99"/>
      <c r="H15" s="99"/>
      <c r="I15" s="100"/>
      <c r="J15" s="189">
        <f>SUM(D15:I15)</f>
        <v>0</v>
      </c>
    </row>
    <row r="16" spans="2:10" ht="18" customHeight="1" x14ac:dyDescent="0.25">
      <c r="B16" s="171">
        <v>4</v>
      </c>
      <c r="C16" s="172" t="str">
        <f>Config!C8&amp;", "&amp;Config!D8</f>
        <v>Drescher, Cedric</v>
      </c>
      <c r="D16" s="110">
        <v>2</v>
      </c>
      <c r="E16" s="110">
        <v>2</v>
      </c>
      <c r="F16" s="110">
        <v>1</v>
      </c>
      <c r="G16" s="110">
        <v>3</v>
      </c>
      <c r="H16" s="110">
        <v>2.5</v>
      </c>
      <c r="I16" s="111">
        <v>2</v>
      </c>
      <c r="J16" s="176">
        <f t="shared" si="0"/>
        <v>12.5</v>
      </c>
    </row>
    <row r="17" spans="2:10" s="188" customFormat="1" ht="13.2" customHeight="1" x14ac:dyDescent="0.2">
      <c r="B17" s="194"/>
      <c r="C17" s="196" t="s">
        <v>126</v>
      </c>
      <c r="D17" s="178">
        <v>1</v>
      </c>
      <c r="E17" s="178">
        <v>1</v>
      </c>
      <c r="F17" s="105">
        <v>1</v>
      </c>
      <c r="G17" s="178">
        <v>1</v>
      </c>
      <c r="H17" s="178">
        <v>1</v>
      </c>
      <c r="I17" s="179">
        <v>1</v>
      </c>
      <c r="J17" s="193">
        <f>SUM(D17:I17)</f>
        <v>6</v>
      </c>
    </row>
    <row r="18" spans="2:10" s="188" customFormat="1" ht="13.2" customHeight="1" x14ac:dyDescent="0.2">
      <c r="B18" s="207"/>
      <c r="C18" s="208" t="s">
        <v>127</v>
      </c>
      <c r="D18" s="99"/>
      <c r="E18" s="99"/>
      <c r="F18" s="99"/>
      <c r="G18" s="99"/>
      <c r="H18" s="99"/>
      <c r="I18" s="100"/>
      <c r="J18" s="192">
        <f>SUM(D18:I18)</f>
        <v>0</v>
      </c>
    </row>
    <row r="19" spans="2:10" ht="18" customHeight="1" x14ac:dyDescent="0.25">
      <c r="B19" s="168">
        <v>5</v>
      </c>
      <c r="C19" s="169" t="str">
        <f>Config!C9&amp;", "&amp;Config!D9</f>
        <v>Baumgarten, Annabell</v>
      </c>
      <c r="D19" s="112">
        <v>2</v>
      </c>
      <c r="E19" s="112">
        <v>2</v>
      </c>
      <c r="F19" s="112">
        <v>2.5</v>
      </c>
      <c r="G19" s="112">
        <v>3</v>
      </c>
      <c r="H19" s="112">
        <v>2.5</v>
      </c>
      <c r="I19" s="113">
        <v>2</v>
      </c>
      <c r="J19" s="175">
        <f t="shared" si="0"/>
        <v>14</v>
      </c>
    </row>
    <row r="20" spans="2:10" s="188" customFormat="1" ht="13.2" customHeight="1" x14ac:dyDescent="0.2">
      <c r="B20" s="191"/>
      <c r="C20" s="195" t="s">
        <v>126</v>
      </c>
      <c r="D20" s="102">
        <v>1</v>
      </c>
      <c r="E20" s="102">
        <v>1</v>
      </c>
      <c r="F20" s="102">
        <v>1</v>
      </c>
      <c r="G20" s="102">
        <v>1</v>
      </c>
      <c r="H20" s="102">
        <v>1</v>
      </c>
      <c r="I20" s="177">
        <v>1</v>
      </c>
      <c r="J20" s="190">
        <f>SUM(D20:I20)</f>
        <v>6</v>
      </c>
    </row>
    <row r="21" spans="2:10" s="188" customFormat="1" ht="13.2" customHeight="1" x14ac:dyDescent="0.2">
      <c r="B21" s="205"/>
      <c r="C21" s="206" t="s">
        <v>127</v>
      </c>
      <c r="D21" s="99"/>
      <c r="E21" s="99"/>
      <c r="F21" s="99"/>
      <c r="G21" s="99"/>
      <c r="H21" s="99"/>
      <c r="I21" s="100"/>
      <c r="J21" s="189">
        <f>SUM(D21:I21)</f>
        <v>0</v>
      </c>
    </row>
    <row r="22" spans="2:10" ht="18" customHeight="1" x14ac:dyDescent="0.25">
      <c r="B22" s="171">
        <v>6</v>
      </c>
      <c r="C22" s="172" t="str">
        <f>Config!C10&amp;", "&amp;Config!D10</f>
        <v>Traut, Stefanie</v>
      </c>
      <c r="D22" s="110">
        <v>2</v>
      </c>
      <c r="E22" s="110">
        <v>2</v>
      </c>
      <c r="F22" s="110">
        <v>2</v>
      </c>
      <c r="G22" s="110">
        <v>2</v>
      </c>
      <c r="H22" s="110">
        <v>2.5</v>
      </c>
      <c r="I22" s="111">
        <v>2</v>
      </c>
      <c r="J22" s="176">
        <f t="shared" si="0"/>
        <v>12.5</v>
      </c>
    </row>
    <row r="23" spans="2:10" s="188" customFormat="1" ht="13.2" customHeight="1" x14ac:dyDescent="0.2">
      <c r="B23" s="194"/>
      <c r="C23" s="196" t="s">
        <v>126</v>
      </c>
      <c r="D23" s="178">
        <v>1</v>
      </c>
      <c r="E23" s="178">
        <v>1</v>
      </c>
      <c r="F23" s="178">
        <v>1</v>
      </c>
      <c r="G23" s="178">
        <v>1</v>
      </c>
      <c r="H23" s="178">
        <v>1</v>
      </c>
      <c r="I23" s="179">
        <v>1</v>
      </c>
      <c r="J23" s="193">
        <f>SUM(D23:I23)</f>
        <v>6</v>
      </c>
    </row>
    <row r="24" spans="2:10" s="188" customFormat="1" ht="13.2" customHeight="1" x14ac:dyDescent="0.2">
      <c r="B24" s="207"/>
      <c r="C24" s="208" t="s">
        <v>127</v>
      </c>
      <c r="D24" s="99"/>
      <c r="E24" s="99"/>
      <c r="F24" s="99"/>
      <c r="G24" s="99"/>
      <c r="H24" s="99"/>
      <c r="I24" s="100"/>
      <c r="J24" s="192">
        <f>SUM(D24:I24)</f>
        <v>0</v>
      </c>
    </row>
    <row r="25" spans="2:10" ht="18" customHeight="1" x14ac:dyDescent="0.25">
      <c r="B25" s="168">
        <v>7</v>
      </c>
      <c r="C25" s="169" t="str">
        <f>Config!C11&amp;", "&amp;Config!D11</f>
        <v>Menke, Damian</v>
      </c>
      <c r="D25" s="112">
        <v>1</v>
      </c>
      <c r="E25" s="112">
        <v>1.5</v>
      </c>
      <c r="F25" s="112">
        <v>3</v>
      </c>
      <c r="G25" s="112">
        <v>3</v>
      </c>
      <c r="H25" s="112">
        <v>3</v>
      </c>
      <c r="I25" s="113">
        <v>1</v>
      </c>
      <c r="J25" s="175">
        <f t="shared" si="0"/>
        <v>12.5</v>
      </c>
    </row>
    <row r="26" spans="2:10" s="188" customFormat="1" ht="13.2" customHeight="1" x14ac:dyDescent="0.2">
      <c r="B26" s="191"/>
      <c r="C26" s="195" t="s">
        <v>126</v>
      </c>
      <c r="D26" s="101">
        <v>1</v>
      </c>
      <c r="E26" s="102">
        <v>1</v>
      </c>
      <c r="F26" s="102">
        <v>1</v>
      </c>
      <c r="G26" s="102">
        <v>1</v>
      </c>
      <c r="H26" s="102">
        <v>1</v>
      </c>
      <c r="I26" s="104">
        <v>1</v>
      </c>
      <c r="J26" s="190">
        <f>SUM(D26:I26)</f>
        <v>6</v>
      </c>
    </row>
    <row r="27" spans="2:10" s="188" customFormat="1" ht="13.2" customHeight="1" x14ac:dyDescent="0.2">
      <c r="B27" s="205"/>
      <c r="C27" s="206" t="s">
        <v>127</v>
      </c>
      <c r="D27" s="99"/>
      <c r="E27" s="99"/>
      <c r="F27" s="99"/>
      <c r="G27" s="99"/>
      <c r="H27" s="99"/>
      <c r="I27" s="100"/>
      <c r="J27" s="189">
        <f>SUM(D27:I27)</f>
        <v>0</v>
      </c>
    </row>
    <row r="28" spans="2:10" ht="18" customHeight="1" x14ac:dyDescent="0.25">
      <c r="B28" s="171">
        <v>8</v>
      </c>
      <c r="C28" s="172" t="str">
        <f>Config!C12&amp;", "&amp;Config!D12</f>
        <v>Carroll, Meik</v>
      </c>
      <c r="D28" s="110">
        <v>0.5</v>
      </c>
      <c r="E28" s="110">
        <v>2</v>
      </c>
      <c r="F28" s="110">
        <v>1.5</v>
      </c>
      <c r="G28" s="110">
        <v>1</v>
      </c>
      <c r="H28" s="110">
        <v>3</v>
      </c>
      <c r="I28" s="111">
        <v>1</v>
      </c>
      <c r="J28" s="176">
        <f t="shared" si="0"/>
        <v>9</v>
      </c>
    </row>
    <row r="29" spans="2:10" s="188" customFormat="1" ht="13.2" customHeight="1" x14ac:dyDescent="0.2">
      <c r="B29" s="194"/>
      <c r="C29" s="196" t="s">
        <v>126</v>
      </c>
      <c r="D29" s="106">
        <v>1</v>
      </c>
      <c r="E29" s="178">
        <v>1</v>
      </c>
      <c r="F29" s="178">
        <v>1</v>
      </c>
      <c r="G29" s="105">
        <v>1</v>
      </c>
      <c r="H29" s="178">
        <v>1</v>
      </c>
      <c r="I29" s="107">
        <v>1</v>
      </c>
      <c r="J29" s="193">
        <f>SUM(D29:I29)</f>
        <v>6</v>
      </c>
    </row>
    <row r="30" spans="2:10" s="188" customFormat="1" ht="13.2" customHeight="1" x14ac:dyDescent="0.2">
      <c r="B30" s="207"/>
      <c r="C30" s="208" t="s">
        <v>127</v>
      </c>
      <c r="D30" s="99"/>
      <c r="E30" s="99"/>
      <c r="F30" s="99"/>
      <c r="G30" s="99"/>
      <c r="H30" s="99"/>
      <c r="I30" s="100"/>
      <c r="J30" s="192">
        <f>SUM(D30:I30)</f>
        <v>0</v>
      </c>
    </row>
    <row r="31" spans="2:10" ht="18" customHeight="1" x14ac:dyDescent="0.25">
      <c r="B31" s="168">
        <v>9</v>
      </c>
      <c r="C31" s="169" t="str">
        <f>Config!C13&amp;", "&amp;Config!D13</f>
        <v>Hennings, Tomas</v>
      </c>
      <c r="D31" s="112">
        <v>1.5</v>
      </c>
      <c r="E31" s="112">
        <v>2</v>
      </c>
      <c r="F31" s="112">
        <v>1.5</v>
      </c>
      <c r="G31" s="112">
        <v>1</v>
      </c>
      <c r="H31" s="112">
        <v>2</v>
      </c>
      <c r="I31" s="113">
        <v>2</v>
      </c>
      <c r="J31" s="175">
        <f t="shared" si="0"/>
        <v>10</v>
      </c>
    </row>
    <row r="32" spans="2:10" s="188" customFormat="1" ht="13.2" customHeight="1" x14ac:dyDescent="0.2">
      <c r="B32" s="191"/>
      <c r="C32" s="195" t="s">
        <v>126</v>
      </c>
      <c r="D32" s="102">
        <v>1</v>
      </c>
      <c r="E32" s="102">
        <v>1</v>
      </c>
      <c r="F32" s="102">
        <v>1</v>
      </c>
      <c r="G32" s="101">
        <v>1</v>
      </c>
      <c r="H32" s="102">
        <v>1</v>
      </c>
      <c r="I32" s="177">
        <v>1</v>
      </c>
      <c r="J32" s="190">
        <f>SUM(D32:I32)</f>
        <v>6</v>
      </c>
    </row>
    <row r="33" spans="2:10" s="188" customFormat="1" ht="13.2" customHeight="1" x14ac:dyDescent="0.2">
      <c r="B33" s="205"/>
      <c r="C33" s="206" t="s">
        <v>127</v>
      </c>
      <c r="D33" s="99"/>
      <c r="E33" s="99"/>
      <c r="F33" s="99"/>
      <c r="G33" s="99"/>
      <c r="H33" s="99"/>
      <c r="I33" s="100"/>
      <c r="J33" s="189">
        <f>SUM(D33:I33)</f>
        <v>0</v>
      </c>
    </row>
    <row r="34" spans="2:10" ht="18" customHeight="1" x14ac:dyDescent="0.25">
      <c r="B34" s="171">
        <v>10</v>
      </c>
      <c r="C34" s="172" t="str">
        <f>Config!C14&amp;", "&amp;Config!D14</f>
        <v>Walters, Linn</v>
      </c>
      <c r="D34" s="110">
        <v>0.5</v>
      </c>
      <c r="E34" s="110">
        <v>1</v>
      </c>
      <c r="F34" s="110">
        <v>0</v>
      </c>
      <c r="G34" s="110">
        <v>1</v>
      </c>
      <c r="H34" s="110">
        <v>0.5</v>
      </c>
      <c r="I34" s="111">
        <v>0</v>
      </c>
      <c r="J34" s="176">
        <f t="shared" si="0"/>
        <v>3</v>
      </c>
    </row>
    <row r="35" spans="2:10" s="188" customFormat="1" ht="13.2" customHeight="1" x14ac:dyDescent="0.2">
      <c r="B35" s="194"/>
      <c r="C35" s="196" t="s">
        <v>126</v>
      </c>
      <c r="D35" s="106">
        <v>1</v>
      </c>
      <c r="E35" s="105">
        <v>1</v>
      </c>
      <c r="F35" s="106">
        <v>1</v>
      </c>
      <c r="G35" s="105">
        <v>1</v>
      </c>
      <c r="H35" s="106">
        <v>1</v>
      </c>
      <c r="I35" s="180">
        <v>1</v>
      </c>
      <c r="J35" s="193">
        <f>SUM(D35:I35)</f>
        <v>6</v>
      </c>
    </row>
    <row r="36" spans="2:10" s="188" customFormat="1" ht="13.2" customHeight="1" x14ac:dyDescent="0.2">
      <c r="B36" s="207"/>
      <c r="C36" s="208" t="s">
        <v>127</v>
      </c>
      <c r="D36" s="99"/>
      <c r="E36" s="99"/>
      <c r="F36" s="99"/>
      <c r="G36" s="99"/>
      <c r="H36" s="99"/>
      <c r="I36" s="100"/>
      <c r="J36" s="192">
        <f>SUM(D36:I36)</f>
        <v>0</v>
      </c>
    </row>
    <row r="37" spans="2:10" ht="18" customHeight="1" x14ac:dyDescent="0.25">
      <c r="B37" s="168">
        <v>11</v>
      </c>
      <c r="C37" s="169" t="str">
        <f>Config!C15&amp;", "&amp;Config!D15</f>
        <v>Junker, Amely</v>
      </c>
      <c r="D37" s="112">
        <v>0.5</v>
      </c>
      <c r="E37" s="112">
        <v>2</v>
      </c>
      <c r="F37" s="112">
        <v>1.5</v>
      </c>
      <c r="G37" s="112">
        <v>0</v>
      </c>
      <c r="H37" s="112">
        <v>1.5</v>
      </c>
      <c r="I37" s="113">
        <v>1</v>
      </c>
      <c r="J37" s="175">
        <f t="shared" si="0"/>
        <v>6.5</v>
      </c>
    </row>
    <row r="38" spans="2:10" s="188" customFormat="1" ht="13.2" customHeight="1" x14ac:dyDescent="0.2">
      <c r="B38" s="191"/>
      <c r="C38" s="195" t="s">
        <v>126</v>
      </c>
      <c r="D38" s="103">
        <v>1</v>
      </c>
      <c r="E38" s="102">
        <v>1</v>
      </c>
      <c r="F38" s="102">
        <v>1</v>
      </c>
      <c r="G38" s="103">
        <v>1</v>
      </c>
      <c r="H38" s="102">
        <v>1</v>
      </c>
      <c r="I38" s="104">
        <v>1</v>
      </c>
      <c r="J38" s="190">
        <f>SUM(D38:I38)</f>
        <v>6</v>
      </c>
    </row>
    <row r="39" spans="2:10" s="188" customFormat="1" ht="13.2" customHeight="1" x14ac:dyDescent="0.2">
      <c r="B39" s="205"/>
      <c r="C39" s="206" t="s">
        <v>127</v>
      </c>
      <c r="D39" s="99"/>
      <c r="E39" s="99"/>
      <c r="F39" s="99"/>
      <c r="G39" s="99"/>
      <c r="H39" s="99"/>
      <c r="I39" s="100"/>
      <c r="J39" s="189">
        <f>SUM(D39:I39)</f>
        <v>0</v>
      </c>
    </row>
    <row r="40" spans="2:10" ht="18" customHeight="1" x14ac:dyDescent="0.25">
      <c r="B40" s="171">
        <v>12</v>
      </c>
      <c r="C40" s="172" t="str">
        <f>Config!C16&amp;", "&amp;Config!D16</f>
        <v>Stephens, Melvin</v>
      </c>
      <c r="D40" s="110">
        <v>2</v>
      </c>
      <c r="E40" s="110">
        <v>2</v>
      </c>
      <c r="F40" s="110">
        <v>1</v>
      </c>
      <c r="G40" s="110">
        <v>3</v>
      </c>
      <c r="H40" s="110">
        <v>1.5</v>
      </c>
      <c r="I40" s="111">
        <v>2</v>
      </c>
      <c r="J40" s="176">
        <f t="shared" ref="J40:J70" si="1">SUM(D40:I40)</f>
        <v>11.5</v>
      </c>
    </row>
    <row r="41" spans="2:10" s="188" customFormat="1" ht="13.2" customHeight="1" x14ac:dyDescent="0.2">
      <c r="B41" s="194"/>
      <c r="C41" s="196" t="s">
        <v>126</v>
      </c>
      <c r="D41" s="178">
        <v>1</v>
      </c>
      <c r="E41" s="178">
        <v>1</v>
      </c>
      <c r="F41" s="105">
        <v>1</v>
      </c>
      <c r="G41" s="178">
        <v>1</v>
      </c>
      <c r="H41" s="178">
        <v>1</v>
      </c>
      <c r="I41" s="179">
        <v>1</v>
      </c>
      <c r="J41" s="193">
        <f>SUM(D41:I41)</f>
        <v>6</v>
      </c>
    </row>
    <row r="42" spans="2:10" s="188" customFormat="1" ht="13.2" customHeight="1" x14ac:dyDescent="0.2">
      <c r="B42" s="207"/>
      <c r="C42" s="208" t="s">
        <v>127</v>
      </c>
      <c r="D42" s="99"/>
      <c r="E42" s="99"/>
      <c r="F42" s="99"/>
      <c r="G42" s="99"/>
      <c r="H42" s="99"/>
      <c r="I42" s="100"/>
      <c r="J42" s="192">
        <f>SUM(D42:I42)</f>
        <v>0</v>
      </c>
    </row>
    <row r="43" spans="2:10" ht="18" customHeight="1" x14ac:dyDescent="0.25">
      <c r="B43" s="168">
        <v>13</v>
      </c>
      <c r="C43" s="169" t="str">
        <f>Config!C17&amp;", "&amp;Config!D17</f>
        <v>Cremer, Marvin</v>
      </c>
      <c r="D43" s="112">
        <v>1.5</v>
      </c>
      <c r="E43" s="112">
        <v>2</v>
      </c>
      <c r="F43" s="112">
        <v>1.5</v>
      </c>
      <c r="G43" s="112">
        <v>3</v>
      </c>
      <c r="H43" s="112">
        <v>3</v>
      </c>
      <c r="I43" s="113">
        <v>1.5</v>
      </c>
      <c r="J43" s="175">
        <f t="shared" si="1"/>
        <v>12.5</v>
      </c>
    </row>
    <row r="44" spans="2:10" s="188" customFormat="1" ht="13.2" customHeight="1" x14ac:dyDescent="0.2">
      <c r="B44" s="191"/>
      <c r="C44" s="195" t="s">
        <v>126</v>
      </c>
      <c r="D44" s="102">
        <v>1</v>
      </c>
      <c r="E44" s="102">
        <v>1</v>
      </c>
      <c r="F44" s="102">
        <v>1</v>
      </c>
      <c r="G44" s="102">
        <v>1</v>
      </c>
      <c r="H44" s="102">
        <v>1</v>
      </c>
      <c r="I44" s="177">
        <v>1</v>
      </c>
      <c r="J44" s="190">
        <f>SUM(D44:I44)</f>
        <v>6</v>
      </c>
    </row>
    <row r="45" spans="2:10" s="188" customFormat="1" ht="13.2" customHeight="1" x14ac:dyDescent="0.2">
      <c r="B45" s="205"/>
      <c r="C45" s="206" t="s">
        <v>127</v>
      </c>
      <c r="D45" s="99"/>
      <c r="E45" s="99"/>
      <c r="F45" s="99"/>
      <c r="G45" s="99"/>
      <c r="H45" s="99"/>
      <c r="I45" s="100"/>
      <c r="J45" s="189">
        <f>SUM(D45:I45)</f>
        <v>0</v>
      </c>
    </row>
    <row r="46" spans="2:10" ht="18" customHeight="1" x14ac:dyDescent="0.25">
      <c r="B46" s="171">
        <v>14</v>
      </c>
      <c r="C46" s="172" t="str">
        <f>Config!C18&amp;", "&amp;Config!D18</f>
        <v>Nash, Jean</v>
      </c>
      <c r="D46" s="110">
        <v>2</v>
      </c>
      <c r="E46" s="110">
        <v>2</v>
      </c>
      <c r="F46" s="110">
        <v>1.5</v>
      </c>
      <c r="G46" s="110">
        <v>3</v>
      </c>
      <c r="H46" s="110">
        <v>3</v>
      </c>
      <c r="I46" s="111">
        <v>2</v>
      </c>
      <c r="J46" s="176">
        <f t="shared" si="1"/>
        <v>13.5</v>
      </c>
    </row>
    <row r="47" spans="2:10" s="188" customFormat="1" ht="13.2" customHeight="1" x14ac:dyDescent="0.2">
      <c r="B47" s="194"/>
      <c r="C47" s="196" t="s">
        <v>126</v>
      </c>
      <c r="D47" s="178">
        <v>1</v>
      </c>
      <c r="E47" s="178">
        <v>1</v>
      </c>
      <c r="F47" s="178">
        <v>1</v>
      </c>
      <c r="G47" s="178">
        <v>1</v>
      </c>
      <c r="H47" s="178">
        <v>1</v>
      </c>
      <c r="I47" s="179">
        <v>1</v>
      </c>
      <c r="J47" s="193">
        <f>SUM(D47:I47)</f>
        <v>6</v>
      </c>
    </row>
    <row r="48" spans="2:10" s="188" customFormat="1" ht="13.2" customHeight="1" x14ac:dyDescent="0.2">
      <c r="B48" s="207"/>
      <c r="C48" s="208" t="s">
        <v>127</v>
      </c>
      <c r="D48" s="99"/>
      <c r="E48" s="99"/>
      <c r="F48" s="99"/>
      <c r="G48" s="99"/>
      <c r="H48" s="99"/>
      <c r="I48" s="100"/>
      <c r="J48" s="192">
        <f>SUM(D48:I48)</f>
        <v>0</v>
      </c>
    </row>
    <row r="49" spans="2:10" ht="18" customHeight="1" x14ac:dyDescent="0.25">
      <c r="B49" s="168">
        <v>15</v>
      </c>
      <c r="C49" s="169" t="str">
        <f>Config!C19&amp;", "&amp;Config!D19</f>
        <v>Schön, Leonardo</v>
      </c>
      <c r="D49" s="112">
        <v>1</v>
      </c>
      <c r="E49" s="112">
        <v>2</v>
      </c>
      <c r="F49" s="112">
        <v>1.5</v>
      </c>
      <c r="G49" s="112">
        <v>3</v>
      </c>
      <c r="H49" s="112">
        <v>2.5</v>
      </c>
      <c r="I49" s="113">
        <v>2</v>
      </c>
      <c r="J49" s="175">
        <f t="shared" si="1"/>
        <v>12</v>
      </c>
    </row>
    <row r="50" spans="2:10" s="188" customFormat="1" ht="13.2" customHeight="1" x14ac:dyDescent="0.2">
      <c r="B50" s="191"/>
      <c r="C50" s="195" t="s">
        <v>126</v>
      </c>
      <c r="D50" s="101">
        <v>1</v>
      </c>
      <c r="E50" s="102">
        <v>1</v>
      </c>
      <c r="F50" s="102">
        <v>1</v>
      </c>
      <c r="G50" s="102">
        <v>1</v>
      </c>
      <c r="H50" s="102">
        <v>1</v>
      </c>
      <c r="I50" s="177">
        <v>1</v>
      </c>
      <c r="J50" s="190">
        <f>SUM(D50:I50)</f>
        <v>6</v>
      </c>
    </row>
    <row r="51" spans="2:10" s="188" customFormat="1" ht="13.2" customHeight="1" x14ac:dyDescent="0.2">
      <c r="B51" s="205"/>
      <c r="C51" s="206" t="s">
        <v>127</v>
      </c>
      <c r="D51" s="99"/>
      <c r="E51" s="99"/>
      <c r="F51" s="99"/>
      <c r="G51" s="99"/>
      <c r="H51" s="99"/>
      <c r="I51" s="100"/>
      <c r="J51" s="189">
        <f>SUM(D51:I51)</f>
        <v>0</v>
      </c>
    </row>
    <row r="52" spans="2:10" ht="18" customHeight="1" x14ac:dyDescent="0.25">
      <c r="B52" s="171">
        <v>16</v>
      </c>
      <c r="C52" s="172" t="str">
        <f>Config!C20&amp;", "&amp;Config!D20</f>
        <v>Sigl, Nicholas</v>
      </c>
      <c r="D52" s="110">
        <v>2</v>
      </c>
      <c r="E52" s="110">
        <v>0</v>
      </c>
      <c r="F52" s="110">
        <v>1</v>
      </c>
      <c r="G52" s="110">
        <v>1.5</v>
      </c>
      <c r="H52" s="110">
        <v>2</v>
      </c>
      <c r="I52" s="111">
        <v>1</v>
      </c>
      <c r="J52" s="176">
        <f t="shared" si="1"/>
        <v>7.5</v>
      </c>
    </row>
    <row r="53" spans="2:10" s="188" customFormat="1" ht="13.2" customHeight="1" x14ac:dyDescent="0.2">
      <c r="B53" s="194"/>
      <c r="C53" s="196" t="s">
        <v>126</v>
      </c>
      <c r="D53" s="178">
        <v>1</v>
      </c>
      <c r="E53" s="106">
        <v>1</v>
      </c>
      <c r="F53" s="105">
        <v>1</v>
      </c>
      <c r="G53" s="178">
        <v>1</v>
      </c>
      <c r="H53" s="178">
        <v>1</v>
      </c>
      <c r="I53" s="107">
        <v>1</v>
      </c>
      <c r="J53" s="193">
        <f>SUM(D53:I53)</f>
        <v>6</v>
      </c>
    </row>
    <row r="54" spans="2:10" s="188" customFormat="1" ht="13.2" customHeight="1" x14ac:dyDescent="0.2">
      <c r="B54" s="207"/>
      <c r="C54" s="208" t="s">
        <v>127</v>
      </c>
      <c r="D54" s="99"/>
      <c r="E54" s="99"/>
      <c r="F54" s="99"/>
      <c r="G54" s="99"/>
      <c r="H54" s="99"/>
      <c r="I54" s="100"/>
      <c r="J54" s="192">
        <f>SUM(D54:I54)</f>
        <v>0</v>
      </c>
    </row>
    <row r="55" spans="2:10" ht="18" customHeight="1" x14ac:dyDescent="0.25">
      <c r="B55" s="168">
        <v>17</v>
      </c>
      <c r="C55" s="169" t="str">
        <f>Config!C21&amp;", "&amp;Config!D21</f>
        <v>Kainz, Vivienne</v>
      </c>
      <c r="D55" s="112">
        <v>0.5</v>
      </c>
      <c r="E55" s="112">
        <v>0</v>
      </c>
      <c r="F55" s="112">
        <v>0</v>
      </c>
      <c r="G55" s="112">
        <v>0</v>
      </c>
      <c r="H55" s="112">
        <v>0.5</v>
      </c>
      <c r="I55" s="113">
        <v>0</v>
      </c>
      <c r="J55" s="175">
        <f t="shared" si="1"/>
        <v>1</v>
      </c>
    </row>
    <row r="56" spans="2:10" s="188" customFormat="1" ht="13.2" customHeight="1" x14ac:dyDescent="0.2">
      <c r="B56" s="191"/>
      <c r="C56" s="195" t="s">
        <v>126</v>
      </c>
      <c r="D56" s="103">
        <v>1</v>
      </c>
      <c r="E56" s="103">
        <v>1</v>
      </c>
      <c r="F56" s="103">
        <v>1</v>
      </c>
      <c r="G56" s="103">
        <v>1</v>
      </c>
      <c r="H56" s="103">
        <v>1</v>
      </c>
      <c r="I56" s="181">
        <v>1</v>
      </c>
      <c r="J56" s="190">
        <f>SUM(D56:I56)</f>
        <v>6</v>
      </c>
    </row>
    <row r="57" spans="2:10" s="188" customFormat="1" ht="13.2" customHeight="1" x14ac:dyDescent="0.2">
      <c r="B57" s="205"/>
      <c r="C57" s="206" t="s">
        <v>127</v>
      </c>
      <c r="D57" s="99"/>
      <c r="E57" s="99"/>
      <c r="F57" s="99"/>
      <c r="G57" s="99"/>
      <c r="H57" s="99"/>
      <c r="I57" s="100"/>
      <c r="J57" s="189">
        <f>SUM(D57:I57)</f>
        <v>0</v>
      </c>
    </row>
    <row r="58" spans="2:10" ht="18" customHeight="1" x14ac:dyDescent="0.25">
      <c r="B58" s="171">
        <v>18</v>
      </c>
      <c r="C58" s="172" t="str">
        <f>Config!C22&amp;", "&amp;Config!D22</f>
        <v>Hartmann, Mads</v>
      </c>
      <c r="D58" s="110">
        <v>2</v>
      </c>
      <c r="E58" s="110">
        <v>2</v>
      </c>
      <c r="F58" s="110">
        <v>1</v>
      </c>
      <c r="G58" s="110">
        <v>1</v>
      </c>
      <c r="H58" s="110">
        <v>3</v>
      </c>
      <c r="I58" s="111">
        <v>1</v>
      </c>
      <c r="J58" s="176">
        <f t="shared" si="1"/>
        <v>10</v>
      </c>
    </row>
    <row r="59" spans="2:10" s="188" customFormat="1" ht="13.2" customHeight="1" x14ac:dyDescent="0.2">
      <c r="B59" s="194"/>
      <c r="C59" s="196" t="s">
        <v>126</v>
      </c>
      <c r="D59" s="178">
        <v>1</v>
      </c>
      <c r="E59" s="178">
        <v>1</v>
      </c>
      <c r="F59" s="105">
        <v>1</v>
      </c>
      <c r="G59" s="105">
        <v>1</v>
      </c>
      <c r="H59" s="178">
        <v>1</v>
      </c>
      <c r="I59" s="107">
        <v>1</v>
      </c>
      <c r="J59" s="193">
        <f>SUM(D59:I59)</f>
        <v>6</v>
      </c>
    </row>
    <row r="60" spans="2:10" s="188" customFormat="1" ht="13.2" customHeight="1" x14ac:dyDescent="0.2">
      <c r="B60" s="207"/>
      <c r="C60" s="208" t="s">
        <v>127</v>
      </c>
      <c r="D60" s="99"/>
      <c r="E60" s="99"/>
      <c r="F60" s="99"/>
      <c r="G60" s="99"/>
      <c r="H60" s="99"/>
      <c r="I60" s="100"/>
      <c r="J60" s="192">
        <f>SUM(D60:I60)</f>
        <v>0</v>
      </c>
    </row>
    <row r="61" spans="2:10" ht="18" customHeight="1" x14ac:dyDescent="0.25">
      <c r="B61" s="168">
        <v>19</v>
      </c>
      <c r="C61" s="169" t="str">
        <f>Config!C23&amp;", "&amp;Config!D23</f>
        <v>Ullmann, Raphael</v>
      </c>
      <c r="D61" s="112">
        <v>0.5</v>
      </c>
      <c r="E61" s="112">
        <v>2</v>
      </c>
      <c r="F61" s="112">
        <v>1</v>
      </c>
      <c r="G61" s="112">
        <v>2.5</v>
      </c>
      <c r="H61" s="112">
        <v>1.5</v>
      </c>
      <c r="I61" s="113">
        <v>2</v>
      </c>
      <c r="J61" s="175">
        <f t="shared" si="1"/>
        <v>9.5</v>
      </c>
    </row>
    <row r="62" spans="2:10" s="188" customFormat="1" ht="13.2" customHeight="1" x14ac:dyDescent="0.2">
      <c r="B62" s="191"/>
      <c r="C62" s="195" t="s">
        <v>126</v>
      </c>
      <c r="D62" s="103">
        <v>1</v>
      </c>
      <c r="E62" s="102">
        <v>1</v>
      </c>
      <c r="F62" s="101">
        <v>1</v>
      </c>
      <c r="G62" s="102">
        <v>1</v>
      </c>
      <c r="H62" s="102">
        <v>1</v>
      </c>
      <c r="I62" s="177">
        <v>1</v>
      </c>
      <c r="J62" s="190">
        <f>SUM(D62:I62)</f>
        <v>6</v>
      </c>
    </row>
    <row r="63" spans="2:10" s="188" customFormat="1" ht="13.2" customHeight="1" x14ac:dyDescent="0.2">
      <c r="B63" s="205"/>
      <c r="C63" s="206" t="s">
        <v>127</v>
      </c>
      <c r="D63" s="99"/>
      <c r="E63" s="99"/>
      <c r="F63" s="99"/>
      <c r="G63" s="99"/>
      <c r="H63" s="99"/>
      <c r="I63" s="100"/>
      <c r="J63" s="189">
        <f>SUM(D63:I63)</f>
        <v>0</v>
      </c>
    </row>
    <row r="64" spans="2:10" ht="18" customHeight="1" x14ac:dyDescent="0.25">
      <c r="B64" s="171">
        <v>20</v>
      </c>
      <c r="C64" s="172" t="str">
        <f>Config!C24&amp;", "&amp;Config!D24</f>
        <v>Hartl, Emmely</v>
      </c>
      <c r="D64" s="110">
        <v>1</v>
      </c>
      <c r="E64" s="110">
        <v>2</v>
      </c>
      <c r="F64" s="110">
        <v>2.5</v>
      </c>
      <c r="G64" s="110">
        <v>3</v>
      </c>
      <c r="H64" s="110">
        <v>3</v>
      </c>
      <c r="I64" s="111">
        <v>2</v>
      </c>
      <c r="J64" s="176">
        <f t="shared" si="1"/>
        <v>13.5</v>
      </c>
    </row>
    <row r="65" spans="2:10" s="188" customFormat="1" ht="13.2" customHeight="1" x14ac:dyDescent="0.2">
      <c r="B65" s="194"/>
      <c r="C65" s="196" t="s">
        <v>126</v>
      </c>
      <c r="D65" s="105">
        <v>1</v>
      </c>
      <c r="E65" s="178">
        <v>1</v>
      </c>
      <c r="F65" s="178">
        <v>1</v>
      </c>
      <c r="G65" s="178">
        <v>1</v>
      </c>
      <c r="H65" s="178">
        <v>1</v>
      </c>
      <c r="I65" s="179">
        <v>1</v>
      </c>
      <c r="J65" s="193">
        <f>SUM(D65:I65)</f>
        <v>6</v>
      </c>
    </row>
    <row r="66" spans="2:10" s="188" customFormat="1" ht="13.2" customHeight="1" x14ac:dyDescent="0.2">
      <c r="B66" s="207"/>
      <c r="C66" s="208" t="s">
        <v>127</v>
      </c>
      <c r="D66" s="99"/>
      <c r="E66" s="99"/>
      <c r="F66" s="99"/>
      <c r="G66" s="99"/>
      <c r="H66" s="99"/>
      <c r="I66" s="100"/>
      <c r="J66" s="192">
        <f>SUM(D66:I66)</f>
        <v>0</v>
      </c>
    </row>
    <row r="67" spans="2:10" ht="18" customHeight="1" x14ac:dyDescent="0.25">
      <c r="B67" s="168">
        <v>21</v>
      </c>
      <c r="C67" s="169" t="str">
        <f>Config!C25&amp;", "&amp;Config!D25</f>
        <v>Klotz, Karin</v>
      </c>
      <c r="D67" s="112">
        <v>2</v>
      </c>
      <c r="E67" s="112">
        <v>2</v>
      </c>
      <c r="F67" s="112">
        <v>1.5</v>
      </c>
      <c r="G67" s="112">
        <v>3</v>
      </c>
      <c r="H67" s="112">
        <v>3</v>
      </c>
      <c r="I67" s="113">
        <v>2</v>
      </c>
      <c r="J67" s="175">
        <f t="shared" si="1"/>
        <v>13.5</v>
      </c>
    </row>
    <row r="68" spans="2:10" s="188" customFormat="1" ht="13.2" customHeight="1" x14ac:dyDescent="0.2">
      <c r="B68" s="191"/>
      <c r="C68" s="195" t="s">
        <v>126</v>
      </c>
      <c r="D68" s="102">
        <v>1</v>
      </c>
      <c r="E68" s="102">
        <v>1</v>
      </c>
      <c r="F68" s="102">
        <v>1</v>
      </c>
      <c r="G68" s="102">
        <v>1</v>
      </c>
      <c r="H68" s="102">
        <v>1</v>
      </c>
      <c r="I68" s="177">
        <v>1</v>
      </c>
      <c r="J68" s="190">
        <f>SUM(D68:I68)</f>
        <v>6</v>
      </c>
    </row>
    <row r="69" spans="2:10" s="188" customFormat="1" ht="13.2" customHeight="1" x14ac:dyDescent="0.2">
      <c r="B69" s="205"/>
      <c r="C69" s="206" t="s">
        <v>127</v>
      </c>
      <c r="D69" s="99"/>
      <c r="E69" s="99"/>
      <c r="F69" s="99"/>
      <c r="G69" s="99"/>
      <c r="H69" s="99"/>
      <c r="I69" s="100"/>
      <c r="J69" s="189">
        <f>SUM(D69:I69)</f>
        <v>0</v>
      </c>
    </row>
    <row r="70" spans="2:10" ht="18" customHeight="1" x14ac:dyDescent="0.25">
      <c r="B70" s="171">
        <v>22</v>
      </c>
      <c r="C70" s="172" t="str">
        <f>Config!C26&amp;", "&amp;Config!D26</f>
        <v>Ehlers, Ingo</v>
      </c>
      <c r="D70" s="110">
        <v>0.5</v>
      </c>
      <c r="E70" s="110">
        <v>1.5</v>
      </c>
      <c r="F70" s="110">
        <v>1</v>
      </c>
      <c r="G70" s="110">
        <v>3</v>
      </c>
      <c r="H70" s="110">
        <v>3</v>
      </c>
      <c r="I70" s="111">
        <v>1</v>
      </c>
      <c r="J70" s="176">
        <f t="shared" si="1"/>
        <v>10</v>
      </c>
    </row>
    <row r="71" spans="2:10" s="188" customFormat="1" ht="13.2" customHeight="1" x14ac:dyDescent="0.2">
      <c r="B71" s="194"/>
      <c r="C71" s="196" t="s">
        <v>126</v>
      </c>
      <c r="D71" s="106">
        <v>1</v>
      </c>
      <c r="E71" s="178">
        <v>1</v>
      </c>
      <c r="F71" s="105">
        <v>1</v>
      </c>
      <c r="G71" s="178">
        <v>1</v>
      </c>
      <c r="H71" s="178">
        <v>1</v>
      </c>
      <c r="I71" s="107">
        <v>1</v>
      </c>
      <c r="J71" s="193">
        <f>SUM(D71:I71)</f>
        <v>6</v>
      </c>
    </row>
    <row r="72" spans="2:10" s="188" customFormat="1" ht="13.2" customHeight="1" x14ac:dyDescent="0.2">
      <c r="B72" s="207"/>
      <c r="C72" s="208" t="s">
        <v>127</v>
      </c>
      <c r="D72" s="99"/>
      <c r="E72" s="99"/>
      <c r="F72" s="99"/>
      <c r="G72" s="99"/>
      <c r="H72" s="99"/>
      <c r="I72" s="100"/>
      <c r="J72" s="192">
        <f>SUM(D72:I72)</f>
        <v>0</v>
      </c>
    </row>
    <row r="73" spans="2:10" ht="18" customHeight="1" x14ac:dyDescent="0.25">
      <c r="B73" s="168">
        <v>23</v>
      </c>
      <c r="C73" s="169" t="str">
        <f>Config!C27&amp;", "&amp;Config!D27</f>
        <v>Lindemann, Mads</v>
      </c>
      <c r="D73" s="112">
        <v>0.5</v>
      </c>
      <c r="E73" s="112">
        <v>2</v>
      </c>
      <c r="F73" s="112">
        <v>1.5</v>
      </c>
      <c r="G73" s="112">
        <v>0.5</v>
      </c>
      <c r="H73" s="112">
        <v>1.5</v>
      </c>
      <c r="I73" s="113">
        <v>1</v>
      </c>
      <c r="J73" s="175">
        <f t="shared" ref="J73" si="2">SUM(D73:I73)</f>
        <v>7</v>
      </c>
    </row>
    <row r="74" spans="2:10" s="188" customFormat="1" ht="13.2" customHeight="1" x14ac:dyDescent="0.2">
      <c r="B74" s="191"/>
      <c r="C74" s="195" t="s">
        <v>126</v>
      </c>
      <c r="D74" s="103">
        <v>1</v>
      </c>
      <c r="E74" s="102">
        <v>1</v>
      </c>
      <c r="F74" s="102">
        <v>1</v>
      </c>
      <c r="G74" s="103">
        <v>1</v>
      </c>
      <c r="H74" s="102">
        <v>1</v>
      </c>
      <c r="I74" s="104">
        <v>1</v>
      </c>
      <c r="J74" s="190">
        <f>SUM(D74:I74)</f>
        <v>6</v>
      </c>
    </row>
    <row r="75" spans="2:10" s="188" customFormat="1" ht="13.2" customHeight="1" thickBot="1" x14ac:dyDescent="0.25">
      <c r="B75" s="205"/>
      <c r="C75" s="206" t="s">
        <v>127</v>
      </c>
      <c r="D75" s="99"/>
      <c r="E75" s="99"/>
      <c r="F75" s="99"/>
      <c r="G75" s="99"/>
      <c r="H75" s="99"/>
      <c r="I75" s="100"/>
      <c r="J75" s="189">
        <f>SUM(D75:I75)</f>
        <v>0</v>
      </c>
    </row>
    <row r="76" spans="2:10" ht="18" customHeight="1" thickBot="1" x14ac:dyDescent="0.3">
      <c r="B76" s="134"/>
      <c r="C76" s="135"/>
      <c r="D76" s="135">
        <v>0.60869565217391308</v>
      </c>
      <c r="E76" s="135">
        <v>0.85869565217391308</v>
      </c>
      <c r="F76" s="135">
        <v>0.45652173913043476</v>
      </c>
      <c r="G76" s="135">
        <v>0.6811594202898551</v>
      </c>
      <c r="H76" s="135">
        <v>0.76811594202898548</v>
      </c>
      <c r="I76" s="135">
        <v>0.72826086956521741</v>
      </c>
      <c r="J76" s="136"/>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6">
    <dataValidation type="decimal" allowBlank="1" showErrorMessage="1" sqref="D7:D75" xr:uid="{5174494A-90AC-4652-B541-2EC8F031BF84}">
      <formula1>0</formula1>
      <formula2>$D$6</formula2>
    </dataValidation>
    <dataValidation type="decimal" allowBlank="1" showErrorMessage="1" sqref="E7:E75" xr:uid="{3CA133C0-3C7A-424E-B5C9-ADCFB6DC5928}">
      <formula1>0</formula1>
      <formula2>$E$6</formula2>
    </dataValidation>
    <dataValidation type="decimal" allowBlank="1" showErrorMessage="1" sqref="F7:F75" xr:uid="{D12911EA-6AF5-46DE-AC8E-5FE146661231}">
      <formula1>0</formula1>
      <formula2>$F$6</formula2>
    </dataValidation>
    <dataValidation type="decimal" allowBlank="1" showErrorMessage="1" sqref="G7:G75" xr:uid="{365F6785-A5F6-44D7-A709-6D2B0917B5A3}">
      <formula1>0</formula1>
      <formula2>$G$6</formula2>
    </dataValidation>
    <dataValidation type="decimal" allowBlank="1" showErrorMessage="1" sqref="H7:H75" xr:uid="{BEFFC779-91B5-4ACE-A7EC-A74B03336A2D}">
      <formula1>0</formula1>
      <formula2>$H$6</formula2>
    </dataValidation>
    <dataValidation type="decimal" allowBlank="1" showErrorMessage="1" sqref="I7:I75" xr:uid="{19477E3B-A8E7-40D4-881A-48DC87B4A46F}">
      <formula1>0</formula1>
      <formula2>$I$6</formula2>
    </dataValidation>
  </dataValidations>
  <pageMargins left="0.7" right="0.7" top="0.78740157499999996" bottom="0.78740157499999996"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836A0-9E69-4157-9EEE-FB69460E6F26}">
  <sheetPr codeName="Tabelle136">
    <tabColor rgb="FF92D050"/>
  </sheetPr>
  <dimension ref="B1:N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14" width="8.77734375" style="114" customWidth="1"/>
    <col min="15" max="16384" width="11.5546875" style="114"/>
  </cols>
  <sheetData>
    <row r="1" spans="2:14" ht="18" customHeight="1" thickBot="1" x14ac:dyDescent="0.3"/>
    <row r="2" spans="2:14" ht="18" customHeight="1" x14ac:dyDescent="0.25">
      <c r="B2" s="115" t="str">
        <f>Config!F2&amp;" "&amp;YEAR(Config!G24)</f>
        <v>Mathe Abitur 2026</v>
      </c>
      <c r="C2" s="116"/>
      <c r="D2" s="116"/>
      <c r="E2" s="116"/>
      <c r="F2" s="116"/>
      <c r="G2" s="116"/>
      <c r="H2" s="116"/>
      <c r="I2" s="117"/>
      <c r="J2" s="117"/>
      <c r="K2" s="117"/>
      <c r="L2" s="117"/>
      <c r="M2" s="117"/>
      <c r="N2" s="118" t="str">
        <f>"Kurs "&amp;Config!G26</f>
        <v>Kurs K1</v>
      </c>
    </row>
    <row r="3" spans="2:14" ht="18" customHeight="1" x14ac:dyDescent="0.25">
      <c r="B3" s="119" t="s">
        <v>10</v>
      </c>
      <c r="C3" s="120"/>
      <c r="D3" s="120"/>
      <c r="E3" s="120"/>
      <c r="F3" s="120"/>
      <c r="G3" s="120"/>
      <c r="H3" s="120"/>
      <c r="I3" s="120"/>
      <c r="J3" s="120"/>
      <c r="K3" s="120"/>
      <c r="L3" s="120"/>
      <c r="M3" s="120"/>
      <c r="N3" s="121"/>
    </row>
    <row r="4" spans="2:14" ht="18" customHeight="1" thickBot="1" x14ac:dyDescent="0.3">
      <c r="B4" s="119"/>
      <c r="C4" s="120"/>
      <c r="D4" s="122"/>
      <c r="E4" s="122"/>
      <c r="F4" s="122"/>
      <c r="G4" s="122"/>
      <c r="H4" s="122"/>
      <c r="I4" s="122"/>
      <c r="J4" s="122"/>
      <c r="K4" s="122"/>
      <c r="L4" s="122"/>
      <c r="M4" s="122"/>
      <c r="N4" s="123"/>
    </row>
    <row r="5" spans="2:14" ht="18" customHeight="1" thickBot="1" x14ac:dyDescent="0.3">
      <c r="B5" s="124"/>
      <c r="C5" s="126"/>
      <c r="D5" s="145" t="str">
        <f>Config!H6</f>
        <v>1a</v>
      </c>
      <c r="E5" s="145" t="str">
        <f>Config!H7</f>
        <v>1b</v>
      </c>
      <c r="F5" s="145" t="str">
        <f>Config!H8</f>
        <v>1c</v>
      </c>
      <c r="G5" s="145" t="str">
        <f>Config!H9</f>
        <v>1d</v>
      </c>
      <c r="H5" s="145" t="str">
        <f>Config!H10</f>
        <v>1e</v>
      </c>
      <c r="I5" s="145" t="str">
        <f>Config!H11</f>
        <v>1f</v>
      </c>
      <c r="J5" s="145" t="str">
        <f>Config!H12</f>
        <v>1g</v>
      </c>
      <c r="K5" s="145" t="str">
        <f>Config!H13</f>
        <v>1h</v>
      </c>
      <c r="L5" s="145" t="str">
        <f>Config!H14</f>
        <v>2a</v>
      </c>
      <c r="M5" s="145" t="str">
        <f>Config!H15</f>
        <v>2b</v>
      </c>
      <c r="N5" s="130" t="s">
        <v>82</v>
      </c>
    </row>
    <row r="6" spans="2:14" ht="18" customHeight="1" thickBot="1" x14ac:dyDescent="0.3">
      <c r="B6" s="125"/>
      <c r="C6" s="127" t="s">
        <v>81</v>
      </c>
      <c r="D6" s="129">
        <f>Config!I6</f>
        <v>2</v>
      </c>
      <c r="E6" s="129">
        <f>Config!I7</f>
        <v>3</v>
      </c>
      <c r="F6" s="129">
        <f>Config!I8</f>
        <v>4</v>
      </c>
      <c r="G6" s="129">
        <f>Config!I9</f>
        <v>3</v>
      </c>
      <c r="H6" s="129">
        <f>Config!I10</f>
        <v>3</v>
      </c>
      <c r="I6" s="129">
        <f>Config!I11</f>
        <v>4</v>
      </c>
      <c r="J6" s="129">
        <f>Config!I12</f>
        <v>3</v>
      </c>
      <c r="K6" s="129">
        <f>Config!I13</f>
        <v>4</v>
      </c>
      <c r="L6" s="129">
        <f>Config!I14</f>
        <v>2</v>
      </c>
      <c r="M6" s="129">
        <f>Config!I15</f>
        <v>2</v>
      </c>
      <c r="N6" s="146">
        <f>Config!I21</f>
        <v>30</v>
      </c>
    </row>
    <row r="7" spans="2:14" ht="18" customHeight="1" x14ac:dyDescent="0.25">
      <c r="B7" s="173">
        <v>1</v>
      </c>
      <c r="C7" s="174" t="str">
        <f>Config!C5&amp;", "&amp;Config!D5</f>
        <v>Höfer, Simon</v>
      </c>
      <c r="D7" s="108">
        <v>1.5</v>
      </c>
      <c r="E7" s="108">
        <v>3</v>
      </c>
      <c r="F7" s="108">
        <v>3</v>
      </c>
      <c r="G7" s="108">
        <v>3</v>
      </c>
      <c r="H7" s="108">
        <v>3</v>
      </c>
      <c r="I7" s="108">
        <v>4</v>
      </c>
      <c r="J7" s="108">
        <v>3</v>
      </c>
      <c r="K7" s="108">
        <v>0</v>
      </c>
      <c r="L7" s="108">
        <v>2</v>
      </c>
      <c r="M7" s="109">
        <v>0</v>
      </c>
      <c r="N7" s="170">
        <f t="shared" ref="N7:N37" si="0">SUM(D7:M7)</f>
        <v>22.5</v>
      </c>
    </row>
    <row r="8" spans="2:14" s="188" customFormat="1" ht="13.2" customHeight="1" x14ac:dyDescent="0.2">
      <c r="B8" s="191"/>
      <c r="C8" s="195" t="s">
        <v>126</v>
      </c>
      <c r="D8" s="102">
        <v>1</v>
      </c>
      <c r="E8" s="102">
        <v>1</v>
      </c>
      <c r="F8" s="102">
        <v>1</v>
      </c>
      <c r="G8" s="102">
        <v>1</v>
      </c>
      <c r="H8" s="102">
        <v>1</v>
      </c>
      <c r="I8" s="102">
        <v>1</v>
      </c>
      <c r="J8" s="102">
        <v>1</v>
      </c>
      <c r="K8" s="103">
        <v>1</v>
      </c>
      <c r="L8" s="102">
        <v>1</v>
      </c>
      <c r="M8" s="181">
        <v>1</v>
      </c>
      <c r="N8" s="190">
        <f>SUM(D8:M8)</f>
        <v>10</v>
      </c>
    </row>
    <row r="9" spans="2:14" s="188" customFormat="1" ht="13.2" customHeight="1" x14ac:dyDescent="0.2">
      <c r="B9" s="205"/>
      <c r="C9" s="206" t="s">
        <v>127</v>
      </c>
      <c r="D9" s="99"/>
      <c r="E9" s="99"/>
      <c r="F9" s="99"/>
      <c r="G9" s="99"/>
      <c r="H9" s="99"/>
      <c r="I9" s="99"/>
      <c r="J9" s="99"/>
      <c r="K9" s="99"/>
      <c r="L9" s="99"/>
      <c r="M9" s="100"/>
      <c r="N9" s="189">
        <f>SUM(D9:M9)</f>
        <v>0</v>
      </c>
    </row>
    <row r="10" spans="2:14" ht="18" customHeight="1" x14ac:dyDescent="0.25">
      <c r="B10" s="171">
        <v>2</v>
      </c>
      <c r="C10" s="172" t="str">
        <f>Config!C6&amp;", "&amp;Config!D6</f>
        <v>Töpfer, Lilian</v>
      </c>
      <c r="D10" s="110">
        <v>0.5</v>
      </c>
      <c r="E10" s="110">
        <v>2.5</v>
      </c>
      <c r="F10" s="110">
        <v>3</v>
      </c>
      <c r="G10" s="110">
        <v>3</v>
      </c>
      <c r="H10" s="110">
        <v>3</v>
      </c>
      <c r="I10" s="110">
        <v>4</v>
      </c>
      <c r="J10" s="110">
        <v>0</v>
      </c>
      <c r="K10" s="110">
        <v>0</v>
      </c>
      <c r="L10" s="110">
        <v>1.5</v>
      </c>
      <c r="M10" s="111">
        <v>0</v>
      </c>
      <c r="N10" s="176">
        <f t="shared" si="0"/>
        <v>17.5</v>
      </c>
    </row>
    <row r="11" spans="2:14" s="188" customFormat="1" ht="13.2" customHeight="1" x14ac:dyDescent="0.2">
      <c r="B11" s="194"/>
      <c r="C11" s="196" t="s">
        <v>126</v>
      </c>
      <c r="D11" s="106">
        <v>1</v>
      </c>
      <c r="E11" s="178">
        <v>1</v>
      </c>
      <c r="F11" s="178">
        <v>1</v>
      </c>
      <c r="G11" s="178">
        <v>1</v>
      </c>
      <c r="H11" s="178">
        <v>1</v>
      </c>
      <c r="I11" s="178">
        <v>1</v>
      </c>
      <c r="J11" s="106">
        <v>1</v>
      </c>
      <c r="K11" s="106">
        <v>1</v>
      </c>
      <c r="L11" s="178">
        <v>1</v>
      </c>
      <c r="M11" s="180">
        <v>1</v>
      </c>
      <c r="N11" s="193">
        <f>SUM(D11:M11)</f>
        <v>10</v>
      </c>
    </row>
    <row r="12" spans="2:14" s="188" customFormat="1" ht="13.2" customHeight="1" x14ac:dyDescent="0.2">
      <c r="B12" s="207"/>
      <c r="C12" s="208" t="s">
        <v>127</v>
      </c>
      <c r="D12" s="99"/>
      <c r="E12" s="99"/>
      <c r="F12" s="99"/>
      <c r="G12" s="99"/>
      <c r="H12" s="99"/>
      <c r="I12" s="99"/>
      <c r="J12" s="99"/>
      <c r="K12" s="99"/>
      <c r="L12" s="99"/>
      <c r="M12" s="100"/>
      <c r="N12" s="192">
        <f>SUM(D12:M12)</f>
        <v>0</v>
      </c>
    </row>
    <row r="13" spans="2:14" ht="18" customHeight="1" x14ac:dyDescent="0.25">
      <c r="B13" s="168">
        <v>3</v>
      </c>
      <c r="C13" s="169" t="str">
        <f>Config!C7&amp;", "&amp;Config!D7</f>
        <v>Fleischmann, Leonie</v>
      </c>
      <c r="D13" s="112">
        <v>1</v>
      </c>
      <c r="E13" s="112">
        <v>2</v>
      </c>
      <c r="F13" s="112">
        <v>0</v>
      </c>
      <c r="G13" s="112">
        <v>1</v>
      </c>
      <c r="H13" s="112">
        <v>3</v>
      </c>
      <c r="I13" s="112">
        <v>2.5</v>
      </c>
      <c r="J13" s="112">
        <v>0</v>
      </c>
      <c r="K13" s="112">
        <v>0</v>
      </c>
      <c r="L13" s="112">
        <v>0</v>
      </c>
      <c r="M13" s="113">
        <v>2</v>
      </c>
      <c r="N13" s="175">
        <f t="shared" si="0"/>
        <v>11.5</v>
      </c>
    </row>
    <row r="14" spans="2:14" s="188" customFormat="1" ht="13.2" customHeight="1" x14ac:dyDescent="0.2">
      <c r="B14" s="191"/>
      <c r="C14" s="195" t="s">
        <v>126</v>
      </c>
      <c r="D14" s="101">
        <v>1</v>
      </c>
      <c r="E14" s="102">
        <v>1</v>
      </c>
      <c r="F14" s="103">
        <v>1</v>
      </c>
      <c r="G14" s="101">
        <v>1</v>
      </c>
      <c r="H14" s="102">
        <v>1</v>
      </c>
      <c r="I14" s="102">
        <v>1</v>
      </c>
      <c r="J14" s="103">
        <v>1</v>
      </c>
      <c r="K14" s="103">
        <v>1</v>
      </c>
      <c r="L14" s="103">
        <v>1</v>
      </c>
      <c r="M14" s="177">
        <v>1</v>
      </c>
      <c r="N14" s="190">
        <f>SUM(D14:M14)</f>
        <v>10</v>
      </c>
    </row>
    <row r="15" spans="2:14" s="188" customFormat="1" ht="13.2" customHeight="1" x14ac:dyDescent="0.2">
      <c r="B15" s="205"/>
      <c r="C15" s="206" t="s">
        <v>127</v>
      </c>
      <c r="D15" s="99"/>
      <c r="E15" s="99"/>
      <c r="F15" s="99"/>
      <c r="G15" s="99"/>
      <c r="H15" s="99"/>
      <c r="I15" s="99"/>
      <c r="J15" s="99"/>
      <c r="K15" s="99"/>
      <c r="L15" s="99"/>
      <c r="M15" s="100"/>
      <c r="N15" s="189">
        <f>SUM(D15:M15)</f>
        <v>0</v>
      </c>
    </row>
    <row r="16" spans="2:14" ht="18" customHeight="1" x14ac:dyDescent="0.25">
      <c r="B16" s="171">
        <v>4</v>
      </c>
      <c r="C16" s="172" t="str">
        <f>Config!C8&amp;", "&amp;Config!D8</f>
        <v>Drescher, Cedric</v>
      </c>
      <c r="D16" s="110">
        <v>1</v>
      </c>
      <c r="E16" s="110">
        <v>3</v>
      </c>
      <c r="F16" s="110">
        <v>3</v>
      </c>
      <c r="G16" s="110">
        <v>3</v>
      </c>
      <c r="H16" s="110">
        <v>3</v>
      </c>
      <c r="I16" s="110">
        <v>4</v>
      </c>
      <c r="J16" s="110">
        <v>1.5</v>
      </c>
      <c r="K16" s="110">
        <v>0</v>
      </c>
      <c r="L16" s="110">
        <v>1.5</v>
      </c>
      <c r="M16" s="111">
        <v>3</v>
      </c>
      <c r="N16" s="176">
        <f t="shared" si="0"/>
        <v>23</v>
      </c>
    </row>
    <row r="17" spans="2:14" s="188" customFormat="1" ht="13.2" customHeight="1" x14ac:dyDescent="0.2">
      <c r="B17" s="194"/>
      <c r="C17" s="196" t="s">
        <v>126</v>
      </c>
      <c r="D17" s="105">
        <v>1</v>
      </c>
      <c r="E17" s="178">
        <v>1</v>
      </c>
      <c r="F17" s="178">
        <v>1</v>
      </c>
      <c r="G17" s="178">
        <v>1</v>
      </c>
      <c r="H17" s="178">
        <v>1</v>
      </c>
      <c r="I17" s="178">
        <v>1</v>
      </c>
      <c r="J17" s="178">
        <v>1</v>
      </c>
      <c r="K17" s="106">
        <v>1</v>
      </c>
      <c r="L17" s="178">
        <v>1</v>
      </c>
      <c r="M17" s="179">
        <v>1</v>
      </c>
      <c r="N17" s="193">
        <f>SUM(D17:M17)</f>
        <v>10</v>
      </c>
    </row>
    <row r="18" spans="2:14" s="188" customFormat="1" ht="13.2" customHeight="1" x14ac:dyDescent="0.2">
      <c r="B18" s="207"/>
      <c r="C18" s="208" t="s">
        <v>127</v>
      </c>
      <c r="D18" s="99"/>
      <c r="E18" s="99"/>
      <c r="F18" s="99"/>
      <c r="G18" s="99"/>
      <c r="H18" s="99"/>
      <c r="I18" s="99"/>
      <c r="J18" s="99"/>
      <c r="K18" s="99"/>
      <c r="L18" s="99"/>
      <c r="M18" s="100"/>
      <c r="N18" s="192">
        <f>SUM(D18:M18)</f>
        <v>0</v>
      </c>
    </row>
    <row r="19" spans="2:14" ht="18" customHeight="1" x14ac:dyDescent="0.25">
      <c r="B19" s="168">
        <v>5</v>
      </c>
      <c r="C19" s="169" t="str">
        <f>Config!C9&amp;", "&amp;Config!D9</f>
        <v>Baumgarten, Annabell</v>
      </c>
      <c r="D19" s="112">
        <v>2</v>
      </c>
      <c r="E19" s="112">
        <v>2</v>
      </c>
      <c r="F19" s="112">
        <v>3.5</v>
      </c>
      <c r="G19" s="112">
        <v>2.5</v>
      </c>
      <c r="H19" s="112">
        <v>2</v>
      </c>
      <c r="I19" s="112">
        <v>1</v>
      </c>
      <c r="J19" s="112">
        <v>0.5</v>
      </c>
      <c r="K19" s="112">
        <v>2.5</v>
      </c>
      <c r="L19" s="112">
        <v>2</v>
      </c>
      <c r="M19" s="113">
        <v>3.5</v>
      </c>
      <c r="N19" s="175">
        <f t="shared" si="0"/>
        <v>21.5</v>
      </c>
    </row>
    <row r="20" spans="2:14" s="188" customFormat="1" ht="13.2" customHeight="1" x14ac:dyDescent="0.2">
      <c r="B20" s="191"/>
      <c r="C20" s="195" t="s">
        <v>126</v>
      </c>
      <c r="D20" s="102">
        <v>1</v>
      </c>
      <c r="E20" s="102">
        <v>1</v>
      </c>
      <c r="F20" s="102">
        <v>1</v>
      </c>
      <c r="G20" s="102">
        <v>1</v>
      </c>
      <c r="H20" s="102">
        <v>1</v>
      </c>
      <c r="I20" s="101">
        <v>1</v>
      </c>
      <c r="J20" s="103">
        <v>1</v>
      </c>
      <c r="K20" s="102">
        <v>1</v>
      </c>
      <c r="L20" s="102">
        <v>1</v>
      </c>
      <c r="M20" s="177">
        <v>1</v>
      </c>
      <c r="N20" s="190">
        <f>SUM(D20:M20)</f>
        <v>10</v>
      </c>
    </row>
    <row r="21" spans="2:14" s="188" customFormat="1" ht="13.2" customHeight="1" x14ac:dyDescent="0.2">
      <c r="B21" s="205"/>
      <c r="C21" s="206" t="s">
        <v>127</v>
      </c>
      <c r="D21" s="99"/>
      <c r="E21" s="99"/>
      <c r="F21" s="99"/>
      <c r="G21" s="99"/>
      <c r="H21" s="99"/>
      <c r="I21" s="99"/>
      <c r="J21" s="99"/>
      <c r="K21" s="99"/>
      <c r="L21" s="99"/>
      <c r="M21" s="100"/>
      <c r="N21" s="189">
        <f>SUM(D21:M21)</f>
        <v>0</v>
      </c>
    </row>
    <row r="22" spans="2:14" ht="18" customHeight="1" x14ac:dyDescent="0.25">
      <c r="B22" s="171">
        <v>6</v>
      </c>
      <c r="C22" s="172" t="str">
        <f>Config!C10&amp;", "&amp;Config!D10</f>
        <v>Traut, Stefanie</v>
      </c>
      <c r="D22" s="110">
        <v>2</v>
      </c>
      <c r="E22" s="110">
        <v>3</v>
      </c>
      <c r="F22" s="110">
        <v>4</v>
      </c>
      <c r="G22" s="110">
        <v>3</v>
      </c>
      <c r="H22" s="110">
        <v>3</v>
      </c>
      <c r="I22" s="110">
        <v>4</v>
      </c>
      <c r="J22" s="110">
        <v>3</v>
      </c>
      <c r="K22" s="110">
        <v>4</v>
      </c>
      <c r="L22" s="110">
        <v>2</v>
      </c>
      <c r="M22" s="111">
        <v>5</v>
      </c>
      <c r="N22" s="176">
        <f t="shared" si="0"/>
        <v>33</v>
      </c>
    </row>
    <row r="23" spans="2:14" s="188" customFormat="1" ht="13.2" customHeight="1" x14ac:dyDescent="0.2">
      <c r="B23" s="194"/>
      <c r="C23" s="196" t="s">
        <v>126</v>
      </c>
      <c r="D23" s="178">
        <v>1</v>
      </c>
      <c r="E23" s="178">
        <v>1</v>
      </c>
      <c r="F23" s="178">
        <v>1</v>
      </c>
      <c r="G23" s="178">
        <v>1</v>
      </c>
      <c r="H23" s="178">
        <v>1</v>
      </c>
      <c r="I23" s="178">
        <v>1</v>
      </c>
      <c r="J23" s="178">
        <v>1</v>
      </c>
      <c r="K23" s="178">
        <v>1</v>
      </c>
      <c r="L23" s="178">
        <v>1</v>
      </c>
      <c r="M23" s="179">
        <v>1</v>
      </c>
      <c r="N23" s="193">
        <f>SUM(D23:M23)</f>
        <v>10</v>
      </c>
    </row>
    <row r="24" spans="2:14" s="188" customFormat="1" ht="13.2" customHeight="1" x14ac:dyDescent="0.2">
      <c r="B24" s="207"/>
      <c r="C24" s="208" t="s">
        <v>127</v>
      </c>
      <c r="D24" s="99"/>
      <c r="E24" s="99"/>
      <c r="F24" s="99"/>
      <c r="G24" s="99"/>
      <c r="H24" s="99"/>
      <c r="I24" s="99"/>
      <c r="J24" s="99"/>
      <c r="K24" s="99"/>
      <c r="L24" s="99"/>
      <c r="M24" s="100"/>
      <c r="N24" s="192">
        <f>SUM(D24:M24)</f>
        <v>0</v>
      </c>
    </row>
    <row r="25" spans="2:14" ht="18" customHeight="1" x14ac:dyDescent="0.25">
      <c r="B25" s="168">
        <v>7</v>
      </c>
      <c r="C25" s="169" t="str">
        <f>Config!C11&amp;", "&amp;Config!D11</f>
        <v>Menke, Damian</v>
      </c>
      <c r="D25" s="112">
        <v>1.5</v>
      </c>
      <c r="E25" s="112">
        <v>2.5</v>
      </c>
      <c r="F25" s="112">
        <v>4</v>
      </c>
      <c r="G25" s="112">
        <v>2</v>
      </c>
      <c r="H25" s="112">
        <v>2</v>
      </c>
      <c r="I25" s="112">
        <v>2.5</v>
      </c>
      <c r="J25" s="112">
        <v>0.5</v>
      </c>
      <c r="K25" s="112">
        <v>3</v>
      </c>
      <c r="L25" s="112">
        <v>1</v>
      </c>
      <c r="M25" s="113">
        <v>3.5</v>
      </c>
      <c r="N25" s="175">
        <f t="shared" si="0"/>
        <v>22.5</v>
      </c>
    </row>
    <row r="26" spans="2:14" s="188" customFormat="1" ht="13.2" customHeight="1" x14ac:dyDescent="0.2">
      <c r="B26" s="191"/>
      <c r="C26" s="195" t="s">
        <v>126</v>
      </c>
      <c r="D26" s="102">
        <v>1</v>
      </c>
      <c r="E26" s="102">
        <v>1</v>
      </c>
      <c r="F26" s="102">
        <v>1</v>
      </c>
      <c r="G26" s="102">
        <v>1</v>
      </c>
      <c r="H26" s="102">
        <v>1</v>
      </c>
      <c r="I26" s="102">
        <v>1</v>
      </c>
      <c r="J26" s="103">
        <v>1</v>
      </c>
      <c r="K26" s="102">
        <v>1</v>
      </c>
      <c r="L26" s="101">
        <v>1</v>
      </c>
      <c r="M26" s="177">
        <v>1</v>
      </c>
      <c r="N26" s="190">
        <f>SUM(D26:M26)</f>
        <v>10</v>
      </c>
    </row>
    <row r="27" spans="2:14" s="188" customFormat="1" ht="13.2" customHeight="1" x14ac:dyDescent="0.2">
      <c r="B27" s="205"/>
      <c r="C27" s="206" t="s">
        <v>127</v>
      </c>
      <c r="D27" s="99"/>
      <c r="E27" s="99"/>
      <c r="F27" s="99"/>
      <c r="G27" s="99"/>
      <c r="H27" s="99"/>
      <c r="I27" s="99"/>
      <c r="J27" s="99"/>
      <c r="K27" s="99"/>
      <c r="L27" s="99"/>
      <c r="M27" s="100"/>
      <c r="N27" s="189">
        <f>SUM(D27:M27)</f>
        <v>0</v>
      </c>
    </row>
    <row r="28" spans="2:14" ht="18" customHeight="1" x14ac:dyDescent="0.25">
      <c r="B28" s="171">
        <v>8</v>
      </c>
      <c r="C28" s="172" t="str">
        <f>Config!C12&amp;", "&amp;Config!D12</f>
        <v>Carroll, Meik</v>
      </c>
      <c r="D28" s="110">
        <v>1.5</v>
      </c>
      <c r="E28" s="110">
        <v>1</v>
      </c>
      <c r="F28" s="110">
        <v>2.5</v>
      </c>
      <c r="G28" s="110">
        <v>3</v>
      </c>
      <c r="H28" s="110">
        <v>3</v>
      </c>
      <c r="I28" s="110">
        <v>3.5</v>
      </c>
      <c r="J28" s="110">
        <v>0</v>
      </c>
      <c r="K28" s="110">
        <v>0</v>
      </c>
      <c r="L28" s="110">
        <v>2</v>
      </c>
      <c r="M28" s="111">
        <v>0</v>
      </c>
      <c r="N28" s="176">
        <f t="shared" si="0"/>
        <v>16.5</v>
      </c>
    </row>
    <row r="29" spans="2:14" s="188" customFormat="1" ht="13.2" customHeight="1" x14ac:dyDescent="0.2">
      <c r="B29" s="194"/>
      <c r="C29" s="196" t="s">
        <v>126</v>
      </c>
      <c r="D29" s="178">
        <v>1</v>
      </c>
      <c r="E29" s="105">
        <v>1</v>
      </c>
      <c r="F29" s="178">
        <v>1</v>
      </c>
      <c r="G29" s="178">
        <v>1</v>
      </c>
      <c r="H29" s="178">
        <v>1</v>
      </c>
      <c r="I29" s="178">
        <v>1</v>
      </c>
      <c r="J29" s="106">
        <v>1</v>
      </c>
      <c r="K29" s="106">
        <v>1</v>
      </c>
      <c r="L29" s="178">
        <v>1</v>
      </c>
      <c r="M29" s="180">
        <v>1</v>
      </c>
      <c r="N29" s="193">
        <f>SUM(D29:M29)</f>
        <v>10</v>
      </c>
    </row>
    <row r="30" spans="2:14" s="188" customFormat="1" ht="13.2" customHeight="1" x14ac:dyDescent="0.2">
      <c r="B30" s="207"/>
      <c r="C30" s="208" t="s">
        <v>127</v>
      </c>
      <c r="D30" s="99"/>
      <c r="E30" s="99"/>
      <c r="F30" s="99"/>
      <c r="G30" s="99"/>
      <c r="H30" s="99"/>
      <c r="I30" s="99"/>
      <c r="J30" s="99"/>
      <c r="K30" s="99"/>
      <c r="L30" s="99"/>
      <c r="M30" s="100"/>
      <c r="N30" s="192">
        <f>SUM(D30:M30)</f>
        <v>0</v>
      </c>
    </row>
    <row r="31" spans="2:14" ht="18" customHeight="1" x14ac:dyDescent="0.25">
      <c r="B31" s="168">
        <v>9</v>
      </c>
      <c r="C31" s="169" t="str">
        <f>Config!C13&amp;", "&amp;Config!D13</f>
        <v>Hennings, Tomas</v>
      </c>
      <c r="D31" s="112">
        <v>1.5</v>
      </c>
      <c r="E31" s="112">
        <v>3</v>
      </c>
      <c r="F31" s="112">
        <v>4</v>
      </c>
      <c r="G31" s="112">
        <v>3</v>
      </c>
      <c r="H31" s="112">
        <v>2</v>
      </c>
      <c r="I31" s="112">
        <v>1</v>
      </c>
      <c r="J31" s="112">
        <v>0</v>
      </c>
      <c r="K31" s="112">
        <v>0</v>
      </c>
      <c r="L31" s="112">
        <v>0</v>
      </c>
      <c r="M31" s="113">
        <v>0</v>
      </c>
      <c r="N31" s="175">
        <f t="shared" si="0"/>
        <v>14.5</v>
      </c>
    </row>
    <row r="32" spans="2:14" s="188" customFormat="1" ht="13.2" customHeight="1" x14ac:dyDescent="0.2">
      <c r="B32" s="191"/>
      <c r="C32" s="195" t="s">
        <v>126</v>
      </c>
      <c r="D32" s="102">
        <v>1</v>
      </c>
      <c r="E32" s="102">
        <v>1</v>
      </c>
      <c r="F32" s="102">
        <v>1</v>
      </c>
      <c r="G32" s="102">
        <v>1</v>
      </c>
      <c r="H32" s="102">
        <v>1</v>
      </c>
      <c r="I32" s="101">
        <v>1</v>
      </c>
      <c r="J32" s="103">
        <v>1</v>
      </c>
      <c r="K32" s="103">
        <v>1</v>
      </c>
      <c r="L32" s="103">
        <v>1</v>
      </c>
      <c r="M32" s="181">
        <v>1</v>
      </c>
      <c r="N32" s="190">
        <f>SUM(D32:M32)</f>
        <v>10</v>
      </c>
    </row>
    <row r="33" spans="2:14" s="188" customFormat="1" ht="13.2" customHeight="1" x14ac:dyDescent="0.2">
      <c r="B33" s="205"/>
      <c r="C33" s="206" t="s">
        <v>127</v>
      </c>
      <c r="D33" s="99"/>
      <c r="E33" s="99"/>
      <c r="F33" s="99"/>
      <c r="G33" s="99"/>
      <c r="H33" s="99"/>
      <c r="I33" s="99"/>
      <c r="J33" s="99"/>
      <c r="K33" s="99"/>
      <c r="L33" s="99"/>
      <c r="M33" s="100"/>
      <c r="N33" s="189">
        <f>SUM(D33:M33)</f>
        <v>0</v>
      </c>
    </row>
    <row r="34" spans="2:14" ht="18" customHeight="1" x14ac:dyDescent="0.25">
      <c r="B34" s="171">
        <v>10</v>
      </c>
      <c r="C34" s="172" t="str">
        <f>Config!C14&amp;", "&amp;Config!D14</f>
        <v>Walters, Linn</v>
      </c>
      <c r="D34" s="110">
        <v>0</v>
      </c>
      <c r="E34" s="110">
        <v>1.5</v>
      </c>
      <c r="F34" s="110">
        <v>2.5</v>
      </c>
      <c r="G34" s="110">
        <v>0</v>
      </c>
      <c r="H34" s="110">
        <v>1</v>
      </c>
      <c r="I34" s="110">
        <v>1</v>
      </c>
      <c r="J34" s="110">
        <v>0</v>
      </c>
      <c r="K34" s="110">
        <v>0</v>
      </c>
      <c r="L34" s="110">
        <v>1</v>
      </c>
      <c r="M34" s="111">
        <v>0</v>
      </c>
      <c r="N34" s="176">
        <f t="shared" si="0"/>
        <v>7</v>
      </c>
    </row>
    <row r="35" spans="2:14" s="188" customFormat="1" ht="13.2" customHeight="1" x14ac:dyDescent="0.2">
      <c r="B35" s="194"/>
      <c r="C35" s="196" t="s">
        <v>126</v>
      </c>
      <c r="D35" s="106">
        <v>1</v>
      </c>
      <c r="E35" s="178">
        <v>1</v>
      </c>
      <c r="F35" s="178">
        <v>1</v>
      </c>
      <c r="G35" s="106">
        <v>1</v>
      </c>
      <c r="H35" s="105">
        <v>1</v>
      </c>
      <c r="I35" s="105">
        <v>1</v>
      </c>
      <c r="J35" s="106">
        <v>1</v>
      </c>
      <c r="K35" s="106">
        <v>1</v>
      </c>
      <c r="L35" s="105">
        <v>1</v>
      </c>
      <c r="M35" s="180">
        <v>1</v>
      </c>
      <c r="N35" s="193">
        <f>SUM(D35:M35)</f>
        <v>10</v>
      </c>
    </row>
    <row r="36" spans="2:14" s="188" customFormat="1" ht="13.2" customHeight="1" x14ac:dyDescent="0.2">
      <c r="B36" s="207"/>
      <c r="C36" s="208" t="s">
        <v>127</v>
      </c>
      <c r="D36" s="99"/>
      <c r="E36" s="99"/>
      <c r="F36" s="99"/>
      <c r="G36" s="99"/>
      <c r="H36" s="99"/>
      <c r="I36" s="99"/>
      <c r="J36" s="99"/>
      <c r="K36" s="99"/>
      <c r="L36" s="99"/>
      <c r="M36" s="100"/>
      <c r="N36" s="192">
        <f>SUM(D36:M36)</f>
        <v>0</v>
      </c>
    </row>
    <row r="37" spans="2:14" ht="18" customHeight="1" x14ac:dyDescent="0.25">
      <c r="B37" s="168">
        <v>11</v>
      </c>
      <c r="C37" s="169" t="str">
        <f>Config!C15&amp;", "&amp;Config!D15</f>
        <v>Junker, Amely</v>
      </c>
      <c r="D37" s="112">
        <v>1</v>
      </c>
      <c r="E37" s="112">
        <v>1.5</v>
      </c>
      <c r="F37" s="112">
        <v>4</v>
      </c>
      <c r="G37" s="112">
        <v>1.5</v>
      </c>
      <c r="H37" s="112">
        <v>2</v>
      </c>
      <c r="I37" s="112">
        <v>3.5</v>
      </c>
      <c r="J37" s="112">
        <v>0</v>
      </c>
      <c r="K37" s="112">
        <v>0</v>
      </c>
      <c r="L37" s="112">
        <v>0</v>
      </c>
      <c r="M37" s="113">
        <v>0</v>
      </c>
      <c r="N37" s="175">
        <f t="shared" si="0"/>
        <v>13.5</v>
      </c>
    </row>
    <row r="38" spans="2:14" s="188" customFormat="1" ht="13.2" customHeight="1" x14ac:dyDescent="0.2">
      <c r="B38" s="191"/>
      <c r="C38" s="195" t="s">
        <v>126</v>
      </c>
      <c r="D38" s="101">
        <v>1</v>
      </c>
      <c r="E38" s="102">
        <v>1</v>
      </c>
      <c r="F38" s="102">
        <v>1</v>
      </c>
      <c r="G38" s="102">
        <v>1</v>
      </c>
      <c r="H38" s="102">
        <v>1</v>
      </c>
      <c r="I38" s="102">
        <v>1</v>
      </c>
      <c r="J38" s="103">
        <v>1</v>
      </c>
      <c r="K38" s="103">
        <v>1</v>
      </c>
      <c r="L38" s="103">
        <v>1</v>
      </c>
      <c r="M38" s="181">
        <v>1</v>
      </c>
      <c r="N38" s="190">
        <f>SUM(D38:M38)</f>
        <v>10</v>
      </c>
    </row>
    <row r="39" spans="2:14" s="188" customFormat="1" ht="13.2" customHeight="1" x14ac:dyDescent="0.2">
      <c r="B39" s="205"/>
      <c r="C39" s="206" t="s">
        <v>127</v>
      </c>
      <c r="D39" s="99"/>
      <c r="E39" s="99"/>
      <c r="F39" s="99"/>
      <c r="G39" s="99"/>
      <c r="H39" s="99"/>
      <c r="I39" s="99"/>
      <c r="J39" s="99"/>
      <c r="K39" s="99"/>
      <c r="L39" s="99"/>
      <c r="M39" s="100"/>
      <c r="N39" s="189">
        <f>SUM(D39:M39)</f>
        <v>0</v>
      </c>
    </row>
    <row r="40" spans="2:14" ht="18" customHeight="1" x14ac:dyDescent="0.25">
      <c r="B40" s="171">
        <v>12</v>
      </c>
      <c r="C40" s="172" t="str">
        <f>Config!C16&amp;", "&amp;Config!D16</f>
        <v>Stephens, Melvin</v>
      </c>
      <c r="D40" s="110">
        <v>2</v>
      </c>
      <c r="E40" s="110">
        <v>3</v>
      </c>
      <c r="F40" s="110">
        <v>4</v>
      </c>
      <c r="G40" s="110">
        <v>3</v>
      </c>
      <c r="H40" s="110">
        <v>3</v>
      </c>
      <c r="I40" s="110">
        <v>4</v>
      </c>
      <c r="J40" s="110">
        <v>3</v>
      </c>
      <c r="K40" s="110">
        <v>0</v>
      </c>
      <c r="L40" s="110">
        <v>2</v>
      </c>
      <c r="M40" s="111">
        <v>3</v>
      </c>
      <c r="N40" s="176">
        <f t="shared" ref="N40:N70" si="1">SUM(D40:M40)</f>
        <v>27</v>
      </c>
    </row>
    <row r="41" spans="2:14" s="188" customFormat="1" ht="13.2" customHeight="1" x14ac:dyDescent="0.2">
      <c r="B41" s="194"/>
      <c r="C41" s="196" t="s">
        <v>126</v>
      </c>
      <c r="D41" s="178">
        <v>1</v>
      </c>
      <c r="E41" s="178">
        <v>1</v>
      </c>
      <c r="F41" s="178">
        <v>1</v>
      </c>
      <c r="G41" s="178">
        <v>1</v>
      </c>
      <c r="H41" s="178">
        <v>1</v>
      </c>
      <c r="I41" s="178">
        <v>1</v>
      </c>
      <c r="J41" s="178">
        <v>1</v>
      </c>
      <c r="K41" s="106">
        <v>1</v>
      </c>
      <c r="L41" s="178">
        <v>1</v>
      </c>
      <c r="M41" s="179">
        <v>1</v>
      </c>
      <c r="N41" s="193">
        <f>SUM(D41:M41)</f>
        <v>10</v>
      </c>
    </row>
    <row r="42" spans="2:14" s="188" customFormat="1" ht="13.2" customHeight="1" x14ac:dyDescent="0.2">
      <c r="B42" s="207"/>
      <c r="C42" s="208" t="s">
        <v>127</v>
      </c>
      <c r="D42" s="99"/>
      <c r="E42" s="99"/>
      <c r="F42" s="99"/>
      <c r="G42" s="99"/>
      <c r="H42" s="99"/>
      <c r="I42" s="99"/>
      <c r="J42" s="99"/>
      <c r="K42" s="99"/>
      <c r="L42" s="99"/>
      <c r="M42" s="100"/>
      <c r="N42" s="192">
        <f>SUM(D42:M42)</f>
        <v>0</v>
      </c>
    </row>
    <row r="43" spans="2:14" ht="18" customHeight="1" x14ac:dyDescent="0.25">
      <c r="B43" s="168">
        <v>13</v>
      </c>
      <c r="C43" s="169" t="str">
        <f>Config!C17&amp;", "&amp;Config!D17</f>
        <v>Cremer, Marvin</v>
      </c>
      <c r="D43" s="112">
        <v>0.5</v>
      </c>
      <c r="E43" s="112">
        <v>1.5</v>
      </c>
      <c r="F43" s="112">
        <v>4</v>
      </c>
      <c r="G43" s="112">
        <v>3</v>
      </c>
      <c r="H43" s="112">
        <v>3</v>
      </c>
      <c r="I43" s="112">
        <v>3.5</v>
      </c>
      <c r="J43" s="112">
        <v>0</v>
      </c>
      <c r="K43" s="112">
        <v>0</v>
      </c>
      <c r="L43" s="112">
        <v>2</v>
      </c>
      <c r="M43" s="113">
        <v>4.5</v>
      </c>
      <c r="N43" s="175">
        <f t="shared" si="1"/>
        <v>22</v>
      </c>
    </row>
    <row r="44" spans="2:14" s="188" customFormat="1" ht="13.2" customHeight="1" x14ac:dyDescent="0.2">
      <c r="B44" s="191"/>
      <c r="C44" s="195" t="s">
        <v>126</v>
      </c>
      <c r="D44" s="103">
        <v>1</v>
      </c>
      <c r="E44" s="102">
        <v>1</v>
      </c>
      <c r="F44" s="102">
        <v>1</v>
      </c>
      <c r="G44" s="102">
        <v>1</v>
      </c>
      <c r="H44" s="102">
        <v>1</v>
      </c>
      <c r="I44" s="102">
        <v>1</v>
      </c>
      <c r="J44" s="103">
        <v>1</v>
      </c>
      <c r="K44" s="103">
        <v>1</v>
      </c>
      <c r="L44" s="102">
        <v>1</v>
      </c>
      <c r="M44" s="177">
        <v>1</v>
      </c>
      <c r="N44" s="190">
        <f>SUM(D44:M44)</f>
        <v>10</v>
      </c>
    </row>
    <row r="45" spans="2:14" s="188" customFormat="1" ht="13.2" customHeight="1" x14ac:dyDescent="0.2">
      <c r="B45" s="205"/>
      <c r="C45" s="206" t="s">
        <v>127</v>
      </c>
      <c r="D45" s="99"/>
      <c r="E45" s="99"/>
      <c r="F45" s="99"/>
      <c r="G45" s="99"/>
      <c r="H45" s="99"/>
      <c r="I45" s="99"/>
      <c r="J45" s="99"/>
      <c r="K45" s="99"/>
      <c r="L45" s="99"/>
      <c r="M45" s="100"/>
      <c r="N45" s="189">
        <f>SUM(D45:M45)</f>
        <v>0</v>
      </c>
    </row>
    <row r="46" spans="2:14" ht="18" customHeight="1" x14ac:dyDescent="0.25">
      <c r="B46" s="171">
        <v>14</v>
      </c>
      <c r="C46" s="172" t="str">
        <f>Config!C18&amp;", "&amp;Config!D18</f>
        <v>Nash, Jean</v>
      </c>
      <c r="D46" s="110">
        <v>1.5</v>
      </c>
      <c r="E46" s="110">
        <v>2.5</v>
      </c>
      <c r="F46" s="110">
        <v>3</v>
      </c>
      <c r="G46" s="110">
        <v>2.5</v>
      </c>
      <c r="H46" s="110">
        <v>2</v>
      </c>
      <c r="I46" s="110">
        <v>4</v>
      </c>
      <c r="J46" s="110">
        <v>0</v>
      </c>
      <c r="K46" s="110">
        <v>0</v>
      </c>
      <c r="L46" s="110">
        <v>0</v>
      </c>
      <c r="M46" s="111">
        <v>0</v>
      </c>
      <c r="N46" s="176">
        <f t="shared" si="1"/>
        <v>15.5</v>
      </c>
    </row>
    <row r="47" spans="2:14" s="188" customFormat="1" ht="13.2" customHeight="1" x14ac:dyDescent="0.2">
      <c r="B47" s="194"/>
      <c r="C47" s="196" t="s">
        <v>126</v>
      </c>
      <c r="D47" s="178">
        <v>1</v>
      </c>
      <c r="E47" s="178">
        <v>1</v>
      </c>
      <c r="F47" s="178">
        <v>1</v>
      </c>
      <c r="G47" s="178">
        <v>1</v>
      </c>
      <c r="H47" s="178">
        <v>1</v>
      </c>
      <c r="I47" s="178">
        <v>1</v>
      </c>
      <c r="J47" s="106">
        <v>1</v>
      </c>
      <c r="K47" s="106">
        <v>1</v>
      </c>
      <c r="L47" s="106">
        <v>1</v>
      </c>
      <c r="M47" s="180">
        <v>1</v>
      </c>
      <c r="N47" s="193">
        <f>SUM(D47:M47)</f>
        <v>10</v>
      </c>
    </row>
    <row r="48" spans="2:14" s="188" customFormat="1" ht="13.2" customHeight="1" x14ac:dyDescent="0.2">
      <c r="B48" s="207"/>
      <c r="C48" s="208" t="s">
        <v>127</v>
      </c>
      <c r="D48" s="99"/>
      <c r="E48" s="99"/>
      <c r="F48" s="99"/>
      <c r="G48" s="99"/>
      <c r="H48" s="99"/>
      <c r="I48" s="99"/>
      <c r="J48" s="99"/>
      <c r="K48" s="99"/>
      <c r="L48" s="99"/>
      <c r="M48" s="100"/>
      <c r="N48" s="192">
        <f>SUM(D48:M48)</f>
        <v>0</v>
      </c>
    </row>
    <row r="49" spans="2:14" ht="18" customHeight="1" x14ac:dyDescent="0.25">
      <c r="B49" s="168">
        <v>15</v>
      </c>
      <c r="C49" s="169" t="str">
        <f>Config!C19&amp;", "&amp;Config!D19</f>
        <v>Schön, Leonardo</v>
      </c>
      <c r="D49" s="112">
        <v>1.5</v>
      </c>
      <c r="E49" s="112">
        <v>3</v>
      </c>
      <c r="F49" s="112">
        <v>4</v>
      </c>
      <c r="G49" s="112">
        <v>3</v>
      </c>
      <c r="H49" s="112">
        <v>2.5</v>
      </c>
      <c r="I49" s="112">
        <v>3.5</v>
      </c>
      <c r="J49" s="112">
        <v>0.5</v>
      </c>
      <c r="K49" s="112">
        <v>0</v>
      </c>
      <c r="L49" s="112">
        <v>2</v>
      </c>
      <c r="M49" s="113">
        <v>3.5</v>
      </c>
      <c r="N49" s="175">
        <f t="shared" si="1"/>
        <v>23.5</v>
      </c>
    </row>
    <row r="50" spans="2:14" s="188" customFormat="1" ht="13.2" customHeight="1" x14ac:dyDescent="0.2">
      <c r="B50" s="191"/>
      <c r="C50" s="195" t="s">
        <v>126</v>
      </c>
      <c r="D50" s="101"/>
      <c r="E50" s="101"/>
      <c r="F50" s="101"/>
      <c r="G50" s="101"/>
      <c r="H50" s="101"/>
      <c r="I50" s="101"/>
      <c r="J50" s="101"/>
      <c r="K50" s="101"/>
      <c r="L50" s="101"/>
      <c r="M50" s="104"/>
      <c r="N50" s="190">
        <f>SUM(D50:M50)</f>
        <v>0</v>
      </c>
    </row>
    <row r="51" spans="2:14" s="188" customFormat="1" ht="13.2" customHeight="1" x14ac:dyDescent="0.2">
      <c r="B51" s="205"/>
      <c r="C51" s="206" t="s">
        <v>127</v>
      </c>
      <c r="D51" s="99"/>
      <c r="E51" s="99"/>
      <c r="F51" s="99"/>
      <c r="G51" s="99"/>
      <c r="H51" s="99"/>
      <c r="I51" s="99"/>
      <c r="J51" s="99"/>
      <c r="K51" s="99"/>
      <c r="L51" s="99"/>
      <c r="M51" s="100"/>
      <c r="N51" s="189">
        <f>SUM(D51:M51)</f>
        <v>0</v>
      </c>
    </row>
    <row r="52" spans="2:14" ht="18" customHeight="1" x14ac:dyDescent="0.25">
      <c r="B52" s="171">
        <v>16</v>
      </c>
      <c r="C52" s="172" t="str">
        <f>Config!C20&amp;", "&amp;Config!D20</f>
        <v>Sigl, Nicholas</v>
      </c>
      <c r="D52" s="110">
        <v>1.5</v>
      </c>
      <c r="E52" s="110">
        <v>3</v>
      </c>
      <c r="F52" s="110">
        <v>4</v>
      </c>
      <c r="G52" s="110">
        <v>3</v>
      </c>
      <c r="H52" s="110">
        <v>3</v>
      </c>
      <c r="I52" s="110">
        <v>4</v>
      </c>
      <c r="J52" s="110">
        <v>0</v>
      </c>
      <c r="K52" s="110">
        <v>1.5</v>
      </c>
      <c r="L52" s="110">
        <v>0</v>
      </c>
      <c r="M52" s="111">
        <v>2</v>
      </c>
      <c r="N52" s="176">
        <f t="shared" si="1"/>
        <v>22</v>
      </c>
    </row>
    <row r="53" spans="2:14" s="188" customFormat="1" ht="13.2" customHeight="1" x14ac:dyDescent="0.2">
      <c r="B53" s="194"/>
      <c r="C53" s="196" t="s">
        <v>126</v>
      </c>
      <c r="D53" s="105"/>
      <c r="E53" s="105"/>
      <c r="F53" s="105"/>
      <c r="G53" s="105"/>
      <c r="H53" s="105"/>
      <c r="I53" s="105"/>
      <c r="J53" s="105"/>
      <c r="K53" s="105"/>
      <c r="L53" s="105"/>
      <c r="M53" s="107"/>
      <c r="N53" s="193">
        <f>SUM(D53:M53)</f>
        <v>0</v>
      </c>
    </row>
    <row r="54" spans="2:14" s="188" customFormat="1" ht="13.2" customHeight="1" x14ac:dyDescent="0.2">
      <c r="B54" s="207"/>
      <c r="C54" s="208" t="s">
        <v>127</v>
      </c>
      <c r="D54" s="99"/>
      <c r="E54" s="99"/>
      <c r="F54" s="99"/>
      <c r="G54" s="99"/>
      <c r="H54" s="99"/>
      <c r="I54" s="99"/>
      <c r="J54" s="99"/>
      <c r="K54" s="99"/>
      <c r="L54" s="99"/>
      <c r="M54" s="100"/>
      <c r="N54" s="192">
        <f>SUM(D54:M54)</f>
        <v>0</v>
      </c>
    </row>
    <row r="55" spans="2:14" ht="18" customHeight="1" x14ac:dyDescent="0.25">
      <c r="B55" s="168">
        <v>17</v>
      </c>
      <c r="C55" s="169" t="str">
        <f>Config!C21&amp;", "&amp;Config!D21</f>
        <v>Kainz, Vivienne</v>
      </c>
      <c r="D55" s="112">
        <v>1.5</v>
      </c>
      <c r="E55" s="112">
        <v>1.5</v>
      </c>
      <c r="F55" s="112">
        <v>0</v>
      </c>
      <c r="G55" s="112">
        <v>1.5</v>
      </c>
      <c r="H55" s="112">
        <v>1</v>
      </c>
      <c r="I55" s="112">
        <v>1</v>
      </c>
      <c r="J55" s="112">
        <v>0</v>
      </c>
      <c r="K55" s="112">
        <v>0</v>
      </c>
      <c r="L55" s="112">
        <v>0</v>
      </c>
      <c r="M55" s="113">
        <v>0</v>
      </c>
      <c r="N55" s="175">
        <f t="shared" si="1"/>
        <v>6.5</v>
      </c>
    </row>
    <row r="56" spans="2:14" s="188" customFormat="1" ht="13.2" customHeight="1" x14ac:dyDescent="0.2">
      <c r="B56" s="191"/>
      <c r="C56" s="195" t="s">
        <v>126</v>
      </c>
      <c r="D56" s="101"/>
      <c r="E56" s="101"/>
      <c r="F56" s="101"/>
      <c r="G56" s="101"/>
      <c r="H56" s="101"/>
      <c r="I56" s="101"/>
      <c r="J56" s="101"/>
      <c r="K56" s="101"/>
      <c r="L56" s="101"/>
      <c r="M56" s="104"/>
      <c r="N56" s="190">
        <f>SUM(D56:M56)</f>
        <v>0</v>
      </c>
    </row>
    <row r="57" spans="2:14" s="188" customFormat="1" ht="13.2" customHeight="1" x14ac:dyDescent="0.2">
      <c r="B57" s="205"/>
      <c r="C57" s="206" t="s">
        <v>127</v>
      </c>
      <c r="D57" s="99"/>
      <c r="E57" s="99"/>
      <c r="F57" s="99"/>
      <c r="G57" s="99"/>
      <c r="H57" s="99"/>
      <c r="I57" s="99"/>
      <c r="J57" s="99"/>
      <c r="K57" s="99"/>
      <c r="L57" s="99"/>
      <c r="M57" s="100"/>
      <c r="N57" s="189">
        <f>SUM(D57:M57)</f>
        <v>0</v>
      </c>
    </row>
    <row r="58" spans="2:14" ht="18" customHeight="1" x14ac:dyDescent="0.25">
      <c r="B58" s="171">
        <v>18</v>
      </c>
      <c r="C58" s="172" t="str">
        <f>Config!C22&amp;", "&amp;Config!D22</f>
        <v>Hartmann, Mads</v>
      </c>
      <c r="D58" s="110">
        <v>1</v>
      </c>
      <c r="E58" s="110">
        <v>2.5</v>
      </c>
      <c r="F58" s="110">
        <v>2</v>
      </c>
      <c r="G58" s="110">
        <v>3</v>
      </c>
      <c r="H58" s="110">
        <v>2.5</v>
      </c>
      <c r="I58" s="110">
        <v>3.5</v>
      </c>
      <c r="J58" s="110">
        <v>0</v>
      </c>
      <c r="K58" s="110">
        <v>0</v>
      </c>
      <c r="L58" s="110">
        <v>1.5</v>
      </c>
      <c r="M58" s="111">
        <v>0</v>
      </c>
      <c r="N58" s="176">
        <f t="shared" si="1"/>
        <v>16</v>
      </c>
    </row>
    <row r="59" spans="2:14" s="188" customFormat="1" ht="13.2" customHeight="1" x14ac:dyDescent="0.2">
      <c r="B59" s="194"/>
      <c r="C59" s="196" t="s">
        <v>126</v>
      </c>
      <c r="D59" s="105"/>
      <c r="E59" s="105"/>
      <c r="F59" s="105"/>
      <c r="G59" s="105"/>
      <c r="H59" s="105"/>
      <c r="I59" s="105"/>
      <c r="J59" s="105"/>
      <c r="K59" s="105"/>
      <c r="L59" s="105"/>
      <c r="M59" s="107"/>
      <c r="N59" s="193">
        <f>SUM(D59:M59)</f>
        <v>0</v>
      </c>
    </row>
    <row r="60" spans="2:14" s="188" customFormat="1" ht="13.2" customHeight="1" x14ac:dyDescent="0.2">
      <c r="B60" s="207"/>
      <c r="C60" s="208" t="s">
        <v>127</v>
      </c>
      <c r="D60" s="99"/>
      <c r="E60" s="99"/>
      <c r="F60" s="99"/>
      <c r="G60" s="99"/>
      <c r="H60" s="99"/>
      <c r="I60" s="99"/>
      <c r="J60" s="99"/>
      <c r="K60" s="99"/>
      <c r="L60" s="99"/>
      <c r="M60" s="100"/>
      <c r="N60" s="192">
        <f>SUM(D60:M60)</f>
        <v>0</v>
      </c>
    </row>
    <row r="61" spans="2:14" ht="18" customHeight="1" x14ac:dyDescent="0.25">
      <c r="B61" s="168">
        <v>19</v>
      </c>
      <c r="C61" s="169" t="str">
        <f>Config!C23&amp;", "&amp;Config!D23</f>
        <v>Ullmann, Raphael</v>
      </c>
      <c r="D61" s="112">
        <v>1.5</v>
      </c>
      <c r="E61" s="112">
        <v>2</v>
      </c>
      <c r="F61" s="112">
        <v>3</v>
      </c>
      <c r="G61" s="112">
        <v>0.5</v>
      </c>
      <c r="H61" s="112">
        <v>1</v>
      </c>
      <c r="I61" s="112">
        <v>4</v>
      </c>
      <c r="J61" s="112">
        <v>0.5</v>
      </c>
      <c r="K61" s="112">
        <v>0</v>
      </c>
      <c r="L61" s="112">
        <v>2</v>
      </c>
      <c r="M61" s="113">
        <v>0</v>
      </c>
      <c r="N61" s="175">
        <f t="shared" si="1"/>
        <v>14.5</v>
      </c>
    </row>
    <row r="62" spans="2:14" s="188" customFormat="1" ht="13.2" customHeight="1" x14ac:dyDescent="0.2">
      <c r="B62" s="191"/>
      <c r="C62" s="195" t="s">
        <v>126</v>
      </c>
      <c r="D62" s="101"/>
      <c r="E62" s="101"/>
      <c r="F62" s="101"/>
      <c r="G62" s="101"/>
      <c r="H62" s="101"/>
      <c r="I62" s="101"/>
      <c r="J62" s="101"/>
      <c r="K62" s="101"/>
      <c r="L62" s="101"/>
      <c r="M62" s="104"/>
      <c r="N62" s="190">
        <f>SUM(D62:M62)</f>
        <v>0</v>
      </c>
    </row>
    <row r="63" spans="2:14" s="188" customFormat="1" ht="13.2" customHeight="1" x14ac:dyDescent="0.2">
      <c r="B63" s="205"/>
      <c r="C63" s="206" t="s">
        <v>127</v>
      </c>
      <c r="D63" s="99"/>
      <c r="E63" s="99"/>
      <c r="F63" s="99"/>
      <c r="G63" s="99"/>
      <c r="H63" s="99"/>
      <c r="I63" s="99"/>
      <c r="J63" s="99"/>
      <c r="K63" s="99"/>
      <c r="L63" s="99"/>
      <c r="M63" s="100"/>
      <c r="N63" s="189">
        <f>SUM(D63:M63)</f>
        <v>0</v>
      </c>
    </row>
    <row r="64" spans="2:14" ht="18" customHeight="1" x14ac:dyDescent="0.25">
      <c r="B64" s="171">
        <v>20</v>
      </c>
      <c r="C64" s="172" t="str">
        <f>Config!C24&amp;", "&amp;Config!D24</f>
        <v>Hartl, Emmely</v>
      </c>
      <c r="D64" s="110">
        <v>1.5</v>
      </c>
      <c r="E64" s="110">
        <v>3</v>
      </c>
      <c r="F64" s="110">
        <v>3.5</v>
      </c>
      <c r="G64" s="110">
        <v>2.5</v>
      </c>
      <c r="H64" s="110">
        <v>2</v>
      </c>
      <c r="I64" s="110">
        <v>3.5</v>
      </c>
      <c r="J64" s="110">
        <v>2</v>
      </c>
      <c r="K64" s="110">
        <v>0</v>
      </c>
      <c r="L64" s="110">
        <v>1.5</v>
      </c>
      <c r="M64" s="111">
        <v>3.5</v>
      </c>
      <c r="N64" s="176">
        <f t="shared" si="1"/>
        <v>23</v>
      </c>
    </row>
    <row r="65" spans="2:14" s="188" customFormat="1" ht="13.2" customHeight="1" x14ac:dyDescent="0.2">
      <c r="B65" s="194"/>
      <c r="C65" s="196" t="s">
        <v>126</v>
      </c>
      <c r="D65" s="105"/>
      <c r="E65" s="105"/>
      <c r="F65" s="105"/>
      <c r="G65" s="105"/>
      <c r="H65" s="105"/>
      <c r="I65" s="105"/>
      <c r="J65" s="105"/>
      <c r="K65" s="105"/>
      <c r="L65" s="105"/>
      <c r="M65" s="107"/>
      <c r="N65" s="193">
        <f>SUM(D65:M65)</f>
        <v>0</v>
      </c>
    </row>
    <row r="66" spans="2:14" s="188" customFormat="1" ht="13.2" customHeight="1" x14ac:dyDescent="0.2">
      <c r="B66" s="207"/>
      <c r="C66" s="208" t="s">
        <v>127</v>
      </c>
      <c r="D66" s="99"/>
      <c r="E66" s="99"/>
      <c r="F66" s="99"/>
      <c r="G66" s="99"/>
      <c r="H66" s="99"/>
      <c r="I66" s="99"/>
      <c r="J66" s="99"/>
      <c r="K66" s="99"/>
      <c r="L66" s="99"/>
      <c r="M66" s="100"/>
      <c r="N66" s="192">
        <f>SUM(D66:M66)</f>
        <v>0</v>
      </c>
    </row>
    <row r="67" spans="2:14" ht="18" customHeight="1" x14ac:dyDescent="0.25">
      <c r="B67" s="168">
        <v>21</v>
      </c>
      <c r="C67" s="169" t="str">
        <f>Config!C25&amp;", "&amp;Config!D25</f>
        <v>Klotz, Karin</v>
      </c>
      <c r="D67" s="112">
        <v>2</v>
      </c>
      <c r="E67" s="112">
        <v>2.5</v>
      </c>
      <c r="F67" s="112">
        <v>4</v>
      </c>
      <c r="G67" s="112">
        <v>3</v>
      </c>
      <c r="H67" s="112">
        <v>2.5</v>
      </c>
      <c r="I67" s="112">
        <v>3</v>
      </c>
      <c r="J67" s="112">
        <v>3</v>
      </c>
      <c r="K67" s="112">
        <v>0</v>
      </c>
      <c r="L67" s="112">
        <v>2</v>
      </c>
      <c r="M67" s="113">
        <v>4.5</v>
      </c>
      <c r="N67" s="175">
        <f t="shared" si="1"/>
        <v>26.5</v>
      </c>
    </row>
    <row r="68" spans="2:14" s="188" customFormat="1" ht="13.2" customHeight="1" x14ac:dyDescent="0.2">
      <c r="B68" s="191"/>
      <c r="C68" s="195" t="s">
        <v>126</v>
      </c>
      <c r="D68" s="101"/>
      <c r="E68" s="101"/>
      <c r="F68" s="101"/>
      <c r="G68" s="101"/>
      <c r="H68" s="101"/>
      <c r="I68" s="101"/>
      <c r="J68" s="101"/>
      <c r="K68" s="101"/>
      <c r="L68" s="101"/>
      <c r="M68" s="104"/>
      <c r="N68" s="190">
        <f>SUM(D68:M68)</f>
        <v>0</v>
      </c>
    </row>
    <row r="69" spans="2:14" s="188" customFormat="1" ht="13.2" customHeight="1" x14ac:dyDescent="0.2">
      <c r="B69" s="205"/>
      <c r="C69" s="206" t="s">
        <v>127</v>
      </c>
      <c r="D69" s="99"/>
      <c r="E69" s="99"/>
      <c r="F69" s="99"/>
      <c r="G69" s="99"/>
      <c r="H69" s="99"/>
      <c r="I69" s="99"/>
      <c r="J69" s="99"/>
      <c r="K69" s="99"/>
      <c r="L69" s="99"/>
      <c r="M69" s="100"/>
      <c r="N69" s="189">
        <f>SUM(D69:M69)</f>
        <v>0</v>
      </c>
    </row>
    <row r="70" spans="2:14" ht="18" customHeight="1" x14ac:dyDescent="0.25">
      <c r="B70" s="171">
        <v>22</v>
      </c>
      <c r="C70" s="172" t="str">
        <f>Config!C26&amp;", "&amp;Config!D26</f>
        <v>Ehlers, Ingo</v>
      </c>
      <c r="D70" s="110">
        <v>0.5</v>
      </c>
      <c r="E70" s="110">
        <v>3</v>
      </c>
      <c r="F70" s="110">
        <v>4</v>
      </c>
      <c r="G70" s="110">
        <v>2</v>
      </c>
      <c r="H70" s="110">
        <v>2.5</v>
      </c>
      <c r="I70" s="110">
        <v>3</v>
      </c>
      <c r="J70" s="110">
        <v>1.5</v>
      </c>
      <c r="K70" s="110">
        <v>0</v>
      </c>
      <c r="L70" s="110">
        <v>2</v>
      </c>
      <c r="M70" s="111">
        <v>2.5</v>
      </c>
      <c r="N70" s="176">
        <f t="shared" si="1"/>
        <v>21</v>
      </c>
    </row>
    <row r="71" spans="2:14" s="188" customFormat="1" ht="13.2" customHeight="1" x14ac:dyDescent="0.2">
      <c r="B71" s="194"/>
      <c r="C71" s="196" t="s">
        <v>126</v>
      </c>
      <c r="D71" s="106">
        <v>1</v>
      </c>
      <c r="E71" s="178">
        <v>1</v>
      </c>
      <c r="F71" s="178">
        <v>1</v>
      </c>
      <c r="G71" s="178">
        <v>1</v>
      </c>
      <c r="H71" s="178">
        <v>1</v>
      </c>
      <c r="I71" s="178">
        <v>1</v>
      </c>
      <c r="J71" s="178">
        <v>1</v>
      </c>
      <c r="K71" s="106">
        <v>1</v>
      </c>
      <c r="L71" s="178">
        <v>1</v>
      </c>
      <c r="M71" s="179">
        <v>1</v>
      </c>
      <c r="N71" s="193">
        <f>SUM(D71:M71)</f>
        <v>10</v>
      </c>
    </row>
    <row r="72" spans="2:14" s="188" customFormat="1" ht="13.2" customHeight="1" x14ac:dyDescent="0.2">
      <c r="B72" s="207"/>
      <c r="C72" s="208" t="s">
        <v>127</v>
      </c>
      <c r="D72" s="99"/>
      <c r="E72" s="99"/>
      <c r="F72" s="99"/>
      <c r="G72" s="99"/>
      <c r="H72" s="99"/>
      <c r="I72" s="99"/>
      <c r="J72" s="99"/>
      <c r="K72" s="99"/>
      <c r="L72" s="99"/>
      <c r="M72" s="100"/>
      <c r="N72" s="192">
        <f>SUM(D72:M72)</f>
        <v>0</v>
      </c>
    </row>
    <row r="73" spans="2:14" ht="18" customHeight="1" x14ac:dyDescent="0.25">
      <c r="B73" s="168">
        <v>23</v>
      </c>
      <c r="C73" s="169" t="str">
        <f>Config!C27&amp;", "&amp;Config!D27</f>
        <v>Lindemann, Mads</v>
      </c>
      <c r="D73" s="112">
        <v>1</v>
      </c>
      <c r="E73" s="112">
        <v>2.5</v>
      </c>
      <c r="F73" s="112">
        <v>3.5</v>
      </c>
      <c r="G73" s="112">
        <v>3</v>
      </c>
      <c r="H73" s="112">
        <v>2</v>
      </c>
      <c r="I73" s="112">
        <v>4</v>
      </c>
      <c r="J73" s="112">
        <v>0</v>
      </c>
      <c r="K73" s="112">
        <v>0</v>
      </c>
      <c r="L73" s="112">
        <v>0</v>
      </c>
      <c r="M73" s="113">
        <v>0</v>
      </c>
      <c r="N73" s="175">
        <f t="shared" ref="N73" si="2">SUM(D73:M73)</f>
        <v>16</v>
      </c>
    </row>
    <row r="74" spans="2:14" s="188" customFormat="1" ht="13.2" customHeight="1" x14ac:dyDescent="0.2">
      <c r="B74" s="191"/>
      <c r="C74" s="195" t="s">
        <v>126</v>
      </c>
      <c r="D74" s="101">
        <v>1</v>
      </c>
      <c r="E74" s="102">
        <v>1</v>
      </c>
      <c r="F74" s="102">
        <v>1</v>
      </c>
      <c r="G74" s="102">
        <v>1</v>
      </c>
      <c r="H74" s="102">
        <v>1</v>
      </c>
      <c r="I74" s="102">
        <v>1</v>
      </c>
      <c r="J74" s="103">
        <v>1</v>
      </c>
      <c r="K74" s="103">
        <v>1</v>
      </c>
      <c r="L74" s="103">
        <v>1</v>
      </c>
      <c r="M74" s="181">
        <v>1</v>
      </c>
      <c r="N74" s="190">
        <f>SUM(D74:M74)</f>
        <v>10</v>
      </c>
    </row>
    <row r="75" spans="2:14" s="188" customFormat="1" ht="13.2" customHeight="1" thickBot="1" x14ac:dyDescent="0.25">
      <c r="B75" s="205"/>
      <c r="C75" s="206" t="s">
        <v>127</v>
      </c>
      <c r="D75" s="99"/>
      <c r="E75" s="99"/>
      <c r="F75" s="99"/>
      <c r="G75" s="99"/>
      <c r="H75" s="99"/>
      <c r="I75" s="99"/>
      <c r="J75" s="99"/>
      <c r="K75" s="99"/>
      <c r="L75" s="99"/>
      <c r="M75" s="100"/>
      <c r="N75" s="189">
        <f>SUM(D75:M75)</f>
        <v>0</v>
      </c>
    </row>
    <row r="76" spans="2:14" ht="18" customHeight="1" thickBot="1" x14ac:dyDescent="0.3">
      <c r="B76" s="134"/>
      <c r="C76" s="135"/>
      <c r="D76" s="135">
        <v>0.64130434782608692</v>
      </c>
      <c r="E76" s="135">
        <v>0.79710144927536231</v>
      </c>
      <c r="F76" s="135">
        <v>0.78804347826086951</v>
      </c>
      <c r="G76" s="135">
        <v>0.79710144927536231</v>
      </c>
      <c r="H76" s="135">
        <v>0.78260869565217395</v>
      </c>
      <c r="I76" s="135">
        <v>0.78260869565217395</v>
      </c>
      <c r="J76" s="135">
        <v>0.27536231884057971</v>
      </c>
      <c r="K76" s="135">
        <v>0.11956521739130435</v>
      </c>
      <c r="L76" s="135">
        <v>0.60869565217391308</v>
      </c>
      <c r="M76" s="135">
        <v>0.88043478260869568</v>
      </c>
      <c r="N76" s="136"/>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10">
    <dataValidation type="decimal" allowBlank="1" showErrorMessage="1" sqref="D7:D75" xr:uid="{362A6C64-5ADB-4B2B-8C82-5B6284D3F0AE}">
      <formula1>0</formula1>
      <formula2>$D$6</formula2>
    </dataValidation>
    <dataValidation type="decimal" allowBlank="1" showErrorMessage="1" sqref="E7:E75" xr:uid="{F8E1F255-AFE0-4E4B-8245-16E987810739}">
      <formula1>0</formula1>
      <formula2>$E$6</formula2>
    </dataValidation>
    <dataValidation type="decimal" allowBlank="1" showErrorMessage="1" sqref="F7:F75" xr:uid="{9B9A26B8-F1DD-4A62-91FA-405D55DD3FCE}">
      <formula1>0</formula1>
      <formula2>$F$6</formula2>
    </dataValidation>
    <dataValidation type="decimal" allowBlank="1" showErrorMessage="1" sqref="G7:G75" xr:uid="{A254255D-1849-4710-A6EE-FF720AD0ECEB}">
      <formula1>0</formula1>
      <formula2>$G$6</formula2>
    </dataValidation>
    <dataValidation type="decimal" allowBlank="1" showErrorMessage="1" sqref="H7:H75" xr:uid="{03920713-EC5D-4063-8F69-60462D008B3E}">
      <formula1>0</formula1>
      <formula2>$H$6</formula2>
    </dataValidation>
    <dataValidation type="decimal" allowBlank="1" showErrorMessage="1" sqref="I7:I75" xr:uid="{E39F2A44-9E6B-4B71-B830-49B7C05C4FD7}">
      <formula1>0</formula1>
      <formula2>$I$6</formula2>
    </dataValidation>
    <dataValidation type="decimal" allowBlank="1" showErrorMessage="1" sqref="J7:J75" xr:uid="{0B1AFDB4-2FA1-4781-8EC5-97EAEA877F96}">
      <formula1>0</formula1>
      <formula2>$J$6</formula2>
    </dataValidation>
    <dataValidation type="decimal" allowBlank="1" showErrorMessage="1" sqref="K7:K75" xr:uid="{71390924-DB07-422A-94C6-8E6D36D8FBA7}">
      <formula1>0</formula1>
      <formula2>$K$6</formula2>
    </dataValidation>
    <dataValidation type="decimal" allowBlank="1" showErrorMessage="1" sqref="L7:L75" xr:uid="{FC31A2C6-920C-4585-A96E-367FC2BBE36E}">
      <formula1>0</formula1>
      <formula2>$L$6</formula2>
    </dataValidation>
    <dataValidation type="decimal" allowBlank="1" showErrorMessage="1" sqref="M7:M75" xr:uid="{17144EA4-BD26-4B83-B655-B2122A6DE358}">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40809-F0C1-4C32-B3B2-909C033C7485}">
  <sheetPr codeName="Tabelle137">
    <tabColor rgb="FF92D050"/>
  </sheetPr>
  <dimension ref="B1:E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5" width="8.77734375" style="114" customWidth="1"/>
    <col min="6" max="16384" width="11.5546875" style="114"/>
  </cols>
  <sheetData>
    <row r="1" spans="2:5" ht="18" customHeight="1" thickBot="1" x14ac:dyDescent="0.3"/>
    <row r="2" spans="2:5" ht="18" customHeight="1" x14ac:dyDescent="0.25">
      <c r="B2" s="115" t="str">
        <f>Config!F2&amp;" "&amp;YEAR(Config!G24)</f>
        <v>Mathe Abitur 2026</v>
      </c>
      <c r="C2" s="116"/>
      <c r="D2" s="117"/>
      <c r="E2" s="118" t="str">
        <f>"Kurs "&amp;Config!G26</f>
        <v>Kurs K1</v>
      </c>
    </row>
    <row r="3" spans="2:5" ht="18" customHeight="1" x14ac:dyDescent="0.25">
      <c r="B3" s="119" t="s">
        <v>11</v>
      </c>
      <c r="C3" s="120"/>
      <c r="D3" s="120"/>
      <c r="E3" s="121"/>
    </row>
    <row r="4" spans="2:5" ht="18" customHeight="1" thickBot="1" x14ac:dyDescent="0.3">
      <c r="B4" s="119"/>
      <c r="C4" s="120"/>
      <c r="D4" s="122"/>
      <c r="E4" s="123"/>
    </row>
    <row r="5" spans="2:5" ht="18" customHeight="1" thickBot="1" x14ac:dyDescent="0.3">
      <c r="B5" s="124"/>
      <c r="C5" s="126"/>
      <c r="D5" s="145" t="str">
        <f>Config!J6</f>
        <v>1</v>
      </c>
      <c r="E5" s="130" t="s">
        <v>82</v>
      </c>
    </row>
    <row r="6" spans="2:5" ht="18" customHeight="1" thickBot="1" x14ac:dyDescent="0.3">
      <c r="B6" s="125"/>
      <c r="C6" s="127" t="s">
        <v>81</v>
      </c>
      <c r="D6" s="129">
        <f>Config!K6</f>
        <v>5</v>
      </c>
      <c r="E6" s="146">
        <f>Config!K21</f>
        <v>5</v>
      </c>
    </row>
    <row r="7" spans="2:5" ht="18" customHeight="1" x14ac:dyDescent="0.25">
      <c r="B7" s="173">
        <v>1</v>
      </c>
      <c r="C7" s="174" t="str">
        <f>Config!C5&amp;", "&amp;Config!D5</f>
        <v>Höfer, Simon</v>
      </c>
      <c r="D7" s="109">
        <v>2.5</v>
      </c>
      <c r="E7" s="170">
        <f t="shared" ref="E7:E37" si="0">SUM(D7:D7)</f>
        <v>2.5</v>
      </c>
    </row>
    <row r="8" spans="2:5" s="188" customFormat="1" ht="13.2" customHeight="1" x14ac:dyDescent="0.2">
      <c r="B8" s="191"/>
      <c r="C8" s="195" t="s">
        <v>126</v>
      </c>
      <c r="D8" s="177">
        <v>1</v>
      </c>
      <c r="E8" s="190">
        <f>SUM(D8:D8)</f>
        <v>1</v>
      </c>
    </row>
    <row r="9" spans="2:5" s="188" customFormat="1" ht="13.2" customHeight="1" x14ac:dyDescent="0.2">
      <c r="B9" s="205"/>
      <c r="C9" s="206" t="s">
        <v>127</v>
      </c>
      <c r="D9" s="100"/>
      <c r="E9" s="189">
        <f>SUM(D9:D9)</f>
        <v>0</v>
      </c>
    </row>
    <row r="10" spans="2:5" ht="18" customHeight="1" x14ac:dyDescent="0.25">
      <c r="B10" s="171">
        <v>2</v>
      </c>
      <c r="C10" s="172" t="str">
        <f>Config!C6&amp;", "&amp;Config!D6</f>
        <v>Töpfer, Lilian</v>
      </c>
      <c r="D10" s="111">
        <v>5</v>
      </c>
      <c r="E10" s="176">
        <f t="shared" si="0"/>
        <v>5</v>
      </c>
    </row>
    <row r="11" spans="2:5" s="188" customFormat="1" ht="13.2" customHeight="1" x14ac:dyDescent="0.2">
      <c r="B11" s="194"/>
      <c r="C11" s="196" t="s">
        <v>126</v>
      </c>
      <c r="D11" s="179">
        <v>1</v>
      </c>
      <c r="E11" s="193">
        <f>SUM(D11:D11)</f>
        <v>1</v>
      </c>
    </row>
    <row r="12" spans="2:5" s="188" customFormat="1" ht="13.2" customHeight="1" x14ac:dyDescent="0.2">
      <c r="B12" s="207"/>
      <c r="C12" s="208" t="s">
        <v>127</v>
      </c>
      <c r="D12" s="100"/>
      <c r="E12" s="192">
        <f>SUM(D12:D12)</f>
        <v>0</v>
      </c>
    </row>
    <row r="13" spans="2:5" ht="18" customHeight="1" x14ac:dyDescent="0.25">
      <c r="B13" s="168">
        <v>3</v>
      </c>
      <c r="C13" s="169" t="str">
        <f>Config!C7&amp;", "&amp;Config!D7</f>
        <v>Fleischmann, Leonie</v>
      </c>
      <c r="D13" s="113">
        <v>2.5</v>
      </c>
      <c r="E13" s="175">
        <f t="shared" si="0"/>
        <v>2.5</v>
      </c>
    </row>
    <row r="14" spans="2:5" s="188" customFormat="1" ht="13.2" customHeight="1" x14ac:dyDescent="0.2">
      <c r="B14" s="191"/>
      <c r="C14" s="195" t="s">
        <v>126</v>
      </c>
      <c r="D14" s="177">
        <v>1</v>
      </c>
      <c r="E14" s="190">
        <f>SUM(D14:D14)</f>
        <v>1</v>
      </c>
    </row>
    <row r="15" spans="2:5" s="188" customFormat="1" ht="13.2" customHeight="1" x14ac:dyDescent="0.2">
      <c r="B15" s="205"/>
      <c r="C15" s="206" t="s">
        <v>127</v>
      </c>
      <c r="D15" s="100"/>
      <c r="E15" s="189">
        <f>SUM(D15:D15)</f>
        <v>0</v>
      </c>
    </row>
    <row r="16" spans="2:5" ht="18" customHeight="1" x14ac:dyDescent="0.25">
      <c r="B16" s="171">
        <v>4</v>
      </c>
      <c r="C16" s="172" t="str">
        <f>Config!C8&amp;", "&amp;Config!D8</f>
        <v>Drescher, Cedric</v>
      </c>
      <c r="D16" s="111">
        <v>2.5</v>
      </c>
      <c r="E16" s="176">
        <f t="shared" si="0"/>
        <v>2.5</v>
      </c>
    </row>
    <row r="17" spans="2:5" s="188" customFormat="1" ht="13.2" customHeight="1" x14ac:dyDescent="0.2">
      <c r="B17" s="194"/>
      <c r="C17" s="196" t="s">
        <v>126</v>
      </c>
      <c r="D17" s="179">
        <v>1</v>
      </c>
      <c r="E17" s="193">
        <f>SUM(D17:D17)</f>
        <v>1</v>
      </c>
    </row>
    <row r="18" spans="2:5" s="188" customFormat="1" ht="13.2" customHeight="1" x14ac:dyDescent="0.2">
      <c r="B18" s="207"/>
      <c r="C18" s="208" t="s">
        <v>127</v>
      </c>
      <c r="D18" s="100"/>
      <c r="E18" s="192">
        <f>SUM(D18:D18)</f>
        <v>0</v>
      </c>
    </row>
    <row r="19" spans="2:5" ht="18" customHeight="1" x14ac:dyDescent="0.25">
      <c r="B19" s="168">
        <v>5</v>
      </c>
      <c r="C19" s="169" t="str">
        <f>Config!C9&amp;", "&amp;Config!D9</f>
        <v>Baumgarten, Annabell</v>
      </c>
      <c r="D19" s="113">
        <v>2.5</v>
      </c>
      <c r="E19" s="175">
        <f t="shared" si="0"/>
        <v>2.5</v>
      </c>
    </row>
    <row r="20" spans="2:5" s="188" customFormat="1" ht="13.2" customHeight="1" x14ac:dyDescent="0.2">
      <c r="B20" s="191"/>
      <c r="C20" s="195" t="s">
        <v>126</v>
      </c>
      <c r="D20" s="177">
        <v>1</v>
      </c>
      <c r="E20" s="190">
        <f>SUM(D20:D20)</f>
        <v>1</v>
      </c>
    </row>
    <row r="21" spans="2:5" s="188" customFormat="1" ht="13.2" customHeight="1" x14ac:dyDescent="0.2">
      <c r="B21" s="205"/>
      <c r="C21" s="206" t="s">
        <v>127</v>
      </c>
      <c r="D21" s="100"/>
      <c r="E21" s="189">
        <f>SUM(D21:D21)</f>
        <v>0</v>
      </c>
    </row>
    <row r="22" spans="2:5" ht="18" customHeight="1" x14ac:dyDescent="0.25">
      <c r="B22" s="171">
        <v>6</v>
      </c>
      <c r="C22" s="172" t="str">
        <f>Config!C10&amp;", "&amp;Config!D10</f>
        <v>Traut, Stefanie</v>
      </c>
      <c r="D22" s="111">
        <v>3</v>
      </c>
      <c r="E22" s="176">
        <f t="shared" si="0"/>
        <v>3</v>
      </c>
    </row>
    <row r="23" spans="2:5" s="188" customFormat="1" ht="13.2" customHeight="1" x14ac:dyDescent="0.2">
      <c r="B23" s="194"/>
      <c r="C23" s="196" t="s">
        <v>126</v>
      </c>
      <c r="D23" s="179">
        <v>1</v>
      </c>
      <c r="E23" s="193">
        <f>SUM(D23:D23)</f>
        <v>1</v>
      </c>
    </row>
    <row r="24" spans="2:5" s="188" customFormat="1" ht="13.2" customHeight="1" x14ac:dyDescent="0.2">
      <c r="B24" s="207"/>
      <c r="C24" s="208" t="s">
        <v>127</v>
      </c>
      <c r="D24" s="100"/>
      <c r="E24" s="192">
        <f>SUM(D24:D24)</f>
        <v>0</v>
      </c>
    </row>
    <row r="25" spans="2:5" ht="18" customHeight="1" x14ac:dyDescent="0.25">
      <c r="B25" s="168">
        <v>7</v>
      </c>
      <c r="C25" s="169" t="str">
        <f>Config!C11&amp;", "&amp;Config!D11</f>
        <v>Menke, Damian</v>
      </c>
      <c r="D25" s="113">
        <v>5</v>
      </c>
      <c r="E25" s="175">
        <f t="shared" si="0"/>
        <v>5</v>
      </c>
    </row>
    <row r="26" spans="2:5" s="188" customFormat="1" ht="13.2" customHeight="1" x14ac:dyDescent="0.2">
      <c r="B26" s="191"/>
      <c r="C26" s="195" t="s">
        <v>126</v>
      </c>
      <c r="D26" s="177">
        <v>1</v>
      </c>
      <c r="E26" s="190">
        <f>SUM(D26:D26)</f>
        <v>1</v>
      </c>
    </row>
    <row r="27" spans="2:5" s="188" customFormat="1" ht="13.2" customHeight="1" x14ac:dyDescent="0.2">
      <c r="B27" s="205"/>
      <c r="C27" s="206" t="s">
        <v>127</v>
      </c>
      <c r="D27" s="100"/>
      <c r="E27" s="189">
        <f>SUM(D27:D27)</f>
        <v>0</v>
      </c>
    </row>
    <row r="28" spans="2:5" ht="18" customHeight="1" x14ac:dyDescent="0.25">
      <c r="B28" s="171">
        <v>8</v>
      </c>
      <c r="C28" s="172" t="str">
        <f>Config!C12&amp;", "&amp;Config!D12</f>
        <v>Carroll, Meik</v>
      </c>
      <c r="D28" s="111">
        <v>5</v>
      </c>
      <c r="E28" s="176">
        <f t="shared" si="0"/>
        <v>5</v>
      </c>
    </row>
    <row r="29" spans="2:5" s="188" customFormat="1" ht="13.2" customHeight="1" x14ac:dyDescent="0.2">
      <c r="B29" s="194"/>
      <c r="C29" s="196" t="s">
        <v>126</v>
      </c>
      <c r="D29" s="179">
        <v>1</v>
      </c>
      <c r="E29" s="193">
        <f>SUM(D29:D29)</f>
        <v>1</v>
      </c>
    </row>
    <row r="30" spans="2:5" s="188" customFormat="1" ht="13.2" customHeight="1" x14ac:dyDescent="0.2">
      <c r="B30" s="207"/>
      <c r="C30" s="208" t="s">
        <v>127</v>
      </c>
      <c r="D30" s="100"/>
      <c r="E30" s="192">
        <f>SUM(D30:D30)</f>
        <v>0</v>
      </c>
    </row>
    <row r="31" spans="2:5" ht="18" customHeight="1" x14ac:dyDescent="0.25">
      <c r="B31" s="168">
        <v>9</v>
      </c>
      <c r="C31" s="169" t="str">
        <f>Config!C13&amp;", "&amp;Config!D13</f>
        <v>Hennings, Tomas</v>
      </c>
      <c r="D31" s="113">
        <v>4</v>
      </c>
      <c r="E31" s="175">
        <f t="shared" si="0"/>
        <v>4</v>
      </c>
    </row>
    <row r="32" spans="2:5" s="188" customFormat="1" ht="13.2" customHeight="1" x14ac:dyDescent="0.2">
      <c r="B32" s="191"/>
      <c r="C32" s="195" t="s">
        <v>126</v>
      </c>
      <c r="D32" s="177">
        <v>1</v>
      </c>
      <c r="E32" s="190">
        <f>SUM(D32:D32)</f>
        <v>1</v>
      </c>
    </row>
    <row r="33" spans="2:5" s="188" customFormat="1" ht="13.2" customHeight="1" x14ac:dyDescent="0.2">
      <c r="B33" s="205"/>
      <c r="C33" s="206" t="s">
        <v>127</v>
      </c>
      <c r="D33" s="100"/>
      <c r="E33" s="189">
        <f>SUM(D33:D33)</f>
        <v>0</v>
      </c>
    </row>
    <row r="34" spans="2:5" ht="18" customHeight="1" x14ac:dyDescent="0.25">
      <c r="B34" s="171">
        <v>10</v>
      </c>
      <c r="C34" s="172" t="str">
        <f>Config!C14&amp;", "&amp;Config!D14</f>
        <v>Walters, Linn</v>
      </c>
      <c r="D34" s="111">
        <v>2.5</v>
      </c>
      <c r="E34" s="176">
        <f t="shared" si="0"/>
        <v>2.5</v>
      </c>
    </row>
    <row r="35" spans="2:5" s="188" customFormat="1" ht="13.2" customHeight="1" x14ac:dyDescent="0.2">
      <c r="B35" s="194"/>
      <c r="C35" s="196" t="s">
        <v>126</v>
      </c>
      <c r="D35" s="179">
        <v>1</v>
      </c>
      <c r="E35" s="193">
        <f>SUM(D35:D35)</f>
        <v>1</v>
      </c>
    </row>
    <row r="36" spans="2:5" s="188" customFormat="1" ht="13.2" customHeight="1" x14ac:dyDescent="0.2">
      <c r="B36" s="207"/>
      <c r="C36" s="208" t="s">
        <v>127</v>
      </c>
      <c r="D36" s="100"/>
      <c r="E36" s="192">
        <f>SUM(D36:D36)</f>
        <v>0</v>
      </c>
    </row>
    <row r="37" spans="2:5" ht="18" customHeight="1" x14ac:dyDescent="0.25">
      <c r="B37" s="168">
        <v>11</v>
      </c>
      <c r="C37" s="169" t="str">
        <f>Config!C15&amp;", "&amp;Config!D15</f>
        <v>Junker, Amely</v>
      </c>
      <c r="D37" s="113">
        <v>2</v>
      </c>
      <c r="E37" s="175">
        <f t="shared" si="0"/>
        <v>2</v>
      </c>
    </row>
    <row r="38" spans="2:5" s="188" customFormat="1" ht="13.2" customHeight="1" x14ac:dyDescent="0.2">
      <c r="B38" s="191"/>
      <c r="C38" s="195" t="s">
        <v>126</v>
      </c>
      <c r="D38" s="177">
        <v>1</v>
      </c>
      <c r="E38" s="190">
        <f>SUM(D38:D38)</f>
        <v>1</v>
      </c>
    </row>
    <row r="39" spans="2:5" s="188" customFormat="1" ht="13.2" customHeight="1" x14ac:dyDescent="0.2">
      <c r="B39" s="205"/>
      <c r="C39" s="206" t="s">
        <v>127</v>
      </c>
      <c r="D39" s="100"/>
      <c r="E39" s="189">
        <f>SUM(D39:D39)</f>
        <v>0</v>
      </c>
    </row>
    <row r="40" spans="2:5" ht="18" customHeight="1" x14ac:dyDescent="0.25">
      <c r="B40" s="171">
        <v>12</v>
      </c>
      <c r="C40" s="172" t="str">
        <f>Config!C16&amp;", "&amp;Config!D16</f>
        <v>Stephens, Melvin</v>
      </c>
      <c r="D40" s="111">
        <v>2.5</v>
      </c>
      <c r="E40" s="176">
        <f t="shared" ref="E40:E70" si="1">SUM(D40:D40)</f>
        <v>2.5</v>
      </c>
    </row>
    <row r="41" spans="2:5" s="188" customFormat="1" ht="13.2" customHeight="1" x14ac:dyDescent="0.2">
      <c r="B41" s="194"/>
      <c r="C41" s="196" t="s">
        <v>126</v>
      </c>
      <c r="D41" s="179">
        <v>1</v>
      </c>
      <c r="E41" s="193">
        <f>SUM(D41:D41)</f>
        <v>1</v>
      </c>
    </row>
    <row r="42" spans="2:5" s="188" customFormat="1" ht="13.2" customHeight="1" x14ac:dyDescent="0.2">
      <c r="B42" s="207"/>
      <c r="C42" s="208" t="s">
        <v>127</v>
      </c>
      <c r="D42" s="100"/>
      <c r="E42" s="192">
        <f>SUM(D42:D42)</f>
        <v>0</v>
      </c>
    </row>
    <row r="43" spans="2:5" ht="18" customHeight="1" x14ac:dyDescent="0.25">
      <c r="B43" s="168">
        <v>13</v>
      </c>
      <c r="C43" s="169" t="str">
        <f>Config!C17&amp;", "&amp;Config!D17</f>
        <v>Cremer, Marvin</v>
      </c>
      <c r="D43" s="113">
        <v>5</v>
      </c>
      <c r="E43" s="175">
        <f t="shared" si="1"/>
        <v>5</v>
      </c>
    </row>
    <row r="44" spans="2:5" s="188" customFormat="1" ht="13.2" customHeight="1" x14ac:dyDescent="0.2">
      <c r="B44" s="191"/>
      <c r="C44" s="195" t="s">
        <v>126</v>
      </c>
      <c r="D44" s="177">
        <v>1</v>
      </c>
      <c r="E44" s="190">
        <f>SUM(D44:D44)</f>
        <v>1</v>
      </c>
    </row>
    <row r="45" spans="2:5" s="188" customFormat="1" ht="13.2" customHeight="1" x14ac:dyDescent="0.2">
      <c r="B45" s="205"/>
      <c r="C45" s="206" t="s">
        <v>127</v>
      </c>
      <c r="D45" s="100"/>
      <c r="E45" s="189">
        <f>SUM(D45:D45)</f>
        <v>0</v>
      </c>
    </row>
    <row r="46" spans="2:5" ht="18" customHeight="1" x14ac:dyDescent="0.25">
      <c r="B46" s="171">
        <v>14</v>
      </c>
      <c r="C46" s="172" t="str">
        <f>Config!C18&amp;", "&amp;Config!D18</f>
        <v>Nash, Jean</v>
      </c>
      <c r="D46" s="111">
        <v>5</v>
      </c>
      <c r="E46" s="176">
        <f t="shared" si="1"/>
        <v>5</v>
      </c>
    </row>
    <row r="47" spans="2:5" s="188" customFormat="1" ht="13.2" customHeight="1" x14ac:dyDescent="0.2">
      <c r="B47" s="194"/>
      <c r="C47" s="196" t="s">
        <v>126</v>
      </c>
      <c r="D47" s="179">
        <v>1</v>
      </c>
      <c r="E47" s="193">
        <f>SUM(D47:D47)</f>
        <v>1</v>
      </c>
    </row>
    <row r="48" spans="2:5" s="188" customFormat="1" ht="13.2" customHeight="1" x14ac:dyDescent="0.2">
      <c r="B48" s="207"/>
      <c r="C48" s="208" t="s">
        <v>127</v>
      </c>
      <c r="D48" s="100"/>
      <c r="E48" s="192">
        <f>SUM(D48:D48)</f>
        <v>0</v>
      </c>
    </row>
    <row r="49" spans="2:5" ht="18" customHeight="1" x14ac:dyDescent="0.25">
      <c r="B49" s="168">
        <v>15</v>
      </c>
      <c r="C49" s="169" t="str">
        <f>Config!C19&amp;", "&amp;Config!D19</f>
        <v>Schön, Leonardo</v>
      </c>
      <c r="D49" s="113">
        <v>2.5</v>
      </c>
      <c r="E49" s="175">
        <f t="shared" si="1"/>
        <v>2.5</v>
      </c>
    </row>
    <row r="50" spans="2:5" s="188" customFormat="1" ht="13.2" customHeight="1" x14ac:dyDescent="0.2">
      <c r="B50" s="191"/>
      <c r="C50" s="195" t="s">
        <v>126</v>
      </c>
      <c r="D50" s="177">
        <v>1</v>
      </c>
      <c r="E50" s="190">
        <f>SUM(D50:D50)</f>
        <v>1</v>
      </c>
    </row>
    <row r="51" spans="2:5" s="188" customFormat="1" ht="13.2" customHeight="1" x14ac:dyDescent="0.2">
      <c r="B51" s="205"/>
      <c r="C51" s="206" t="s">
        <v>127</v>
      </c>
      <c r="D51" s="100"/>
      <c r="E51" s="189">
        <f>SUM(D51:D51)</f>
        <v>0</v>
      </c>
    </row>
    <row r="52" spans="2:5" ht="18" customHeight="1" x14ac:dyDescent="0.25">
      <c r="B52" s="171">
        <v>16</v>
      </c>
      <c r="C52" s="172" t="str">
        <f>Config!C20&amp;", "&amp;Config!D20</f>
        <v>Sigl, Nicholas</v>
      </c>
      <c r="D52" s="111">
        <v>5</v>
      </c>
      <c r="E52" s="176">
        <f t="shared" si="1"/>
        <v>5</v>
      </c>
    </row>
    <row r="53" spans="2:5" s="188" customFormat="1" ht="13.2" customHeight="1" x14ac:dyDescent="0.2">
      <c r="B53" s="194"/>
      <c r="C53" s="196" t="s">
        <v>126</v>
      </c>
      <c r="D53" s="179">
        <v>1</v>
      </c>
      <c r="E53" s="193">
        <f>SUM(D53:D53)</f>
        <v>1</v>
      </c>
    </row>
    <row r="54" spans="2:5" s="188" customFormat="1" ht="13.2" customHeight="1" x14ac:dyDescent="0.2">
      <c r="B54" s="207"/>
      <c r="C54" s="208" t="s">
        <v>127</v>
      </c>
      <c r="D54" s="100"/>
      <c r="E54" s="192">
        <f>SUM(D54:D54)</f>
        <v>0</v>
      </c>
    </row>
    <row r="55" spans="2:5" ht="18" customHeight="1" x14ac:dyDescent="0.25">
      <c r="B55" s="168">
        <v>17</v>
      </c>
      <c r="C55" s="169" t="str">
        <f>Config!C21&amp;", "&amp;Config!D21</f>
        <v>Kainz, Vivienne</v>
      </c>
      <c r="D55" s="113">
        <v>5</v>
      </c>
      <c r="E55" s="175">
        <f t="shared" si="1"/>
        <v>5</v>
      </c>
    </row>
    <row r="56" spans="2:5" s="188" customFormat="1" ht="13.2" customHeight="1" x14ac:dyDescent="0.2">
      <c r="B56" s="191"/>
      <c r="C56" s="195" t="s">
        <v>126</v>
      </c>
      <c r="D56" s="177">
        <v>1</v>
      </c>
      <c r="E56" s="190">
        <f>SUM(D56:D56)</f>
        <v>1</v>
      </c>
    </row>
    <row r="57" spans="2:5" s="188" customFormat="1" ht="13.2" customHeight="1" x14ac:dyDescent="0.2">
      <c r="B57" s="205"/>
      <c r="C57" s="206" t="s">
        <v>127</v>
      </c>
      <c r="D57" s="100"/>
      <c r="E57" s="189">
        <f>SUM(D57:D57)</f>
        <v>0</v>
      </c>
    </row>
    <row r="58" spans="2:5" ht="18" customHeight="1" x14ac:dyDescent="0.25">
      <c r="B58" s="171">
        <v>18</v>
      </c>
      <c r="C58" s="172" t="str">
        <f>Config!C22&amp;", "&amp;Config!D22</f>
        <v>Hartmann, Mads</v>
      </c>
      <c r="D58" s="111">
        <v>2.5</v>
      </c>
      <c r="E58" s="176">
        <f t="shared" si="1"/>
        <v>2.5</v>
      </c>
    </row>
    <row r="59" spans="2:5" s="188" customFormat="1" ht="13.2" customHeight="1" x14ac:dyDescent="0.2">
      <c r="B59" s="194"/>
      <c r="C59" s="196" t="s">
        <v>126</v>
      </c>
      <c r="D59" s="179">
        <v>1</v>
      </c>
      <c r="E59" s="193">
        <f>SUM(D59:D59)</f>
        <v>1</v>
      </c>
    </row>
    <row r="60" spans="2:5" s="188" customFormat="1" ht="13.2" customHeight="1" x14ac:dyDescent="0.2">
      <c r="B60" s="207"/>
      <c r="C60" s="208" t="s">
        <v>127</v>
      </c>
      <c r="D60" s="100"/>
      <c r="E60" s="192">
        <f>SUM(D60:D60)</f>
        <v>0</v>
      </c>
    </row>
    <row r="61" spans="2:5" ht="18" customHeight="1" x14ac:dyDescent="0.25">
      <c r="B61" s="168">
        <v>19</v>
      </c>
      <c r="C61" s="169" t="str">
        <f>Config!C23&amp;", "&amp;Config!D23</f>
        <v>Ullmann, Raphael</v>
      </c>
      <c r="D61" s="113">
        <v>5</v>
      </c>
      <c r="E61" s="175">
        <f t="shared" si="1"/>
        <v>5</v>
      </c>
    </row>
    <row r="62" spans="2:5" s="188" customFormat="1" ht="13.2" customHeight="1" x14ac:dyDescent="0.2">
      <c r="B62" s="191"/>
      <c r="C62" s="195" t="s">
        <v>126</v>
      </c>
      <c r="D62" s="177">
        <v>1</v>
      </c>
      <c r="E62" s="190">
        <f>SUM(D62:D62)</f>
        <v>1</v>
      </c>
    </row>
    <row r="63" spans="2:5" s="188" customFormat="1" ht="13.2" customHeight="1" x14ac:dyDescent="0.2">
      <c r="B63" s="205"/>
      <c r="C63" s="206" t="s">
        <v>127</v>
      </c>
      <c r="D63" s="100"/>
      <c r="E63" s="189">
        <f>SUM(D63:D63)</f>
        <v>0</v>
      </c>
    </row>
    <row r="64" spans="2:5" ht="18" customHeight="1" x14ac:dyDescent="0.25">
      <c r="B64" s="171">
        <v>20</v>
      </c>
      <c r="C64" s="172" t="str">
        <f>Config!C24&amp;", "&amp;Config!D24</f>
        <v>Hartl, Emmely</v>
      </c>
      <c r="D64" s="111">
        <v>3</v>
      </c>
      <c r="E64" s="176">
        <f t="shared" si="1"/>
        <v>3</v>
      </c>
    </row>
    <row r="65" spans="2:5" s="188" customFormat="1" ht="13.2" customHeight="1" x14ac:dyDescent="0.2">
      <c r="B65" s="194"/>
      <c r="C65" s="196" t="s">
        <v>126</v>
      </c>
      <c r="D65" s="179">
        <v>1</v>
      </c>
      <c r="E65" s="193">
        <f>SUM(D65:D65)</f>
        <v>1</v>
      </c>
    </row>
    <row r="66" spans="2:5" s="188" customFormat="1" ht="13.2" customHeight="1" x14ac:dyDescent="0.2">
      <c r="B66" s="207"/>
      <c r="C66" s="208" t="s">
        <v>127</v>
      </c>
      <c r="D66" s="100"/>
      <c r="E66" s="192">
        <f>SUM(D66:D66)</f>
        <v>0</v>
      </c>
    </row>
    <row r="67" spans="2:5" ht="18" customHeight="1" x14ac:dyDescent="0.25">
      <c r="B67" s="168">
        <v>21</v>
      </c>
      <c r="C67" s="169" t="str">
        <f>Config!C25&amp;", "&amp;Config!D25</f>
        <v>Klotz, Karin</v>
      </c>
      <c r="D67" s="113">
        <v>4</v>
      </c>
      <c r="E67" s="175">
        <f t="shared" si="1"/>
        <v>4</v>
      </c>
    </row>
    <row r="68" spans="2:5" s="188" customFormat="1" ht="13.2" customHeight="1" x14ac:dyDescent="0.2">
      <c r="B68" s="191"/>
      <c r="C68" s="195" t="s">
        <v>126</v>
      </c>
      <c r="D68" s="177">
        <v>1</v>
      </c>
      <c r="E68" s="190">
        <f>SUM(D68:D68)</f>
        <v>1</v>
      </c>
    </row>
    <row r="69" spans="2:5" s="188" customFormat="1" ht="13.2" customHeight="1" x14ac:dyDescent="0.2">
      <c r="B69" s="205"/>
      <c r="C69" s="206" t="s">
        <v>127</v>
      </c>
      <c r="D69" s="100"/>
      <c r="E69" s="189">
        <f>SUM(D69:D69)</f>
        <v>0</v>
      </c>
    </row>
    <row r="70" spans="2:5" ht="18" customHeight="1" x14ac:dyDescent="0.25">
      <c r="B70" s="171">
        <v>22</v>
      </c>
      <c r="C70" s="172" t="str">
        <f>Config!C26&amp;", "&amp;Config!D26</f>
        <v>Ehlers, Ingo</v>
      </c>
      <c r="D70" s="111">
        <v>5</v>
      </c>
      <c r="E70" s="176">
        <f t="shared" si="1"/>
        <v>5</v>
      </c>
    </row>
    <row r="71" spans="2:5" s="188" customFormat="1" ht="13.2" customHeight="1" x14ac:dyDescent="0.2">
      <c r="B71" s="194"/>
      <c r="C71" s="196" t="s">
        <v>126</v>
      </c>
      <c r="D71" s="179">
        <v>1</v>
      </c>
      <c r="E71" s="193">
        <f>SUM(D71:D71)</f>
        <v>1</v>
      </c>
    </row>
    <row r="72" spans="2:5" s="188" customFormat="1" ht="13.2" customHeight="1" x14ac:dyDescent="0.2">
      <c r="B72" s="207"/>
      <c r="C72" s="208" t="s">
        <v>127</v>
      </c>
      <c r="D72" s="100"/>
      <c r="E72" s="192">
        <f>SUM(D72:D72)</f>
        <v>0</v>
      </c>
    </row>
    <row r="73" spans="2:5" ht="18" customHeight="1" x14ac:dyDescent="0.25">
      <c r="B73" s="168">
        <v>23</v>
      </c>
      <c r="C73" s="169" t="str">
        <f>Config!C27&amp;", "&amp;Config!D27</f>
        <v>Lindemann, Mads</v>
      </c>
      <c r="D73" s="113">
        <v>5</v>
      </c>
      <c r="E73" s="175">
        <f t="shared" ref="E73" si="2">SUM(D73:D73)</f>
        <v>5</v>
      </c>
    </row>
    <row r="74" spans="2:5" s="188" customFormat="1" ht="13.2" customHeight="1" x14ac:dyDescent="0.2">
      <c r="B74" s="191"/>
      <c r="C74" s="195" t="s">
        <v>126</v>
      </c>
      <c r="D74" s="177">
        <v>1</v>
      </c>
      <c r="E74" s="190">
        <f>SUM(D74:D74)</f>
        <v>1</v>
      </c>
    </row>
    <row r="75" spans="2:5" s="188" customFormat="1" ht="13.2" customHeight="1" thickBot="1" x14ac:dyDescent="0.25">
      <c r="B75" s="205"/>
      <c r="C75" s="206" t="s">
        <v>127</v>
      </c>
      <c r="D75" s="100"/>
      <c r="E75" s="189">
        <f>SUM(D75:D75)</f>
        <v>0</v>
      </c>
    </row>
    <row r="76" spans="2:5" ht="18" customHeight="1" thickBot="1" x14ac:dyDescent="0.3">
      <c r="B76" s="134"/>
      <c r="C76" s="135"/>
      <c r="D76" s="135">
        <v>0.74782608695652175</v>
      </c>
      <c r="E76" s="136"/>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1">
    <dataValidation type="decimal" allowBlank="1" showErrorMessage="1" sqref="D7:D75" xr:uid="{59B51C8E-7F9E-46D9-92DB-0B82DBD002EF}">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7093F-1711-4C3F-8A24-A2D8CCB47655}">
  <sheetPr codeName="Tabelle138">
    <tabColor rgb="FF92D050"/>
  </sheetPr>
  <dimension ref="B1:I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9" width="8.77734375" style="114" customWidth="1"/>
    <col min="10" max="16384" width="11.5546875" style="114"/>
  </cols>
  <sheetData>
    <row r="1" spans="2:9" ht="18" customHeight="1" thickBot="1" x14ac:dyDescent="0.3"/>
    <row r="2" spans="2:9" ht="18" customHeight="1" x14ac:dyDescent="0.25">
      <c r="B2" s="115" t="str">
        <f>Config!F2&amp;" "&amp;YEAR(Config!G24)</f>
        <v>Mathe Abitur 2026</v>
      </c>
      <c r="C2" s="116"/>
      <c r="D2" s="116"/>
      <c r="E2" s="116"/>
      <c r="F2" s="117"/>
      <c r="G2" s="117"/>
      <c r="H2" s="117"/>
      <c r="I2" s="118" t="str">
        <f>"Kurs "&amp;Config!G26</f>
        <v>Kurs K1</v>
      </c>
    </row>
    <row r="3" spans="2:9" ht="18" customHeight="1" x14ac:dyDescent="0.25">
      <c r="B3" s="119" t="s">
        <v>12</v>
      </c>
      <c r="C3" s="120"/>
      <c r="D3" s="120"/>
      <c r="E3" s="120"/>
      <c r="F3" s="120"/>
      <c r="G3" s="120"/>
      <c r="H3" s="120"/>
      <c r="I3" s="121"/>
    </row>
    <row r="4" spans="2:9" ht="18" customHeight="1" thickBot="1" x14ac:dyDescent="0.3">
      <c r="B4" s="119"/>
      <c r="C4" s="120"/>
      <c r="D4" s="122"/>
      <c r="E4" s="122"/>
      <c r="F4" s="122"/>
      <c r="G4" s="122"/>
      <c r="H4" s="122"/>
      <c r="I4" s="123"/>
    </row>
    <row r="5" spans="2:9" ht="18" customHeight="1" thickBot="1" x14ac:dyDescent="0.3">
      <c r="B5" s="124"/>
      <c r="C5" s="126"/>
      <c r="D5" s="145" t="str">
        <f>Config!L6</f>
        <v>1a</v>
      </c>
      <c r="E5" s="145" t="str">
        <f>Config!L7</f>
        <v>1b</v>
      </c>
      <c r="F5" s="145" t="str">
        <f>Config!L8</f>
        <v>1c</v>
      </c>
      <c r="G5" s="145" t="str">
        <f>Config!L9</f>
        <v>1d</v>
      </c>
      <c r="H5" s="145" t="str">
        <f>Config!L10</f>
        <v>2</v>
      </c>
      <c r="I5" s="130" t="s">
        <v>82</v>
      </c>
    </row>
    <row r="6" spans="2:9" ht="18" customHeight="1" thickBot="1" x14ac:dyDescent="0.3">
      <c r="B6" s="125"/>
      <c r="C6" s="127" t="s">
        <v>81</v>
      </c>
      <c r="D6" s="129">
        <f>Config!M6</f>
        <v>2</v>
      </c>
      <c r="E6" s="129">
        <f>Config!M7</f>
        <v>2</v>
      </c>
      <c r="F6" s="129">
        <f>Config!M8</f>
        <v>2</v>
      </c>
      <c r="G6" s="129">
        <f>Config!M9</f>
        <v>4</v>
      </c>
      <c r="H6" s="129">
        <f>Config!M10</f>
        <v>7</v>
      </c>
      <c r="I6" s="146">
        <f>Config!M21</f>
        <v>17</v>
      </c>
    </row>
    <row r="7" spans="2:9" ht="18" customHeight="1" x14ac:dyDescent="0.25">
      <c r="B7" s="173">
        <v>1</v>
      </c>
      <c r="C7" s="174" t="str">
        <f>Config!C5&amp;", "&amp;Config!D5</f>
        <v>Höfer, Simon</v>
      </c>
      <c r="D7" s="108">
        <v>2</v>
      </c>
      <c r="E7" s="108">
        <v>2</v>
      </c>
      <c r="F7" s="108">
        <v>2</v>
      </c>
      <c r="G7" s="108">
        <v>4</v>
      </c>
      <c r="H7" s="109">
        <v>3</v>
      </c>
      <c r="I7" s="170">
        <f t="shared" ref="I7:I37" si="0">SUM(D7:H7)</f>
        <v>13</v>
      </c>
    </row>
    <row r="8" spans="2:9" s="188" customFormat="1" ht="13.2" customHeight="1" x14ac:dyDescent="0.2">
      <c r="B8" s="191"/>
      <c r="C8" s="195" t="s">
        <v>126</v>
      </c>
      <c r="D8" s="102">
        <v>1</v>
      </c>
      <c r="E8" s="102">
        <v>1</v>
      </c>
      <c r="F8" s="102">
        <v>1</v>
      </c>
      <c r="G8" s="102">
        <v>1</v>
      </c>
      <c r="H8" s="177">
        <v>1</v>
      </c>
      <c r="I8" s="190">
        <f>SUM(D8:H8)</f>
        <v>5</v>
      </c>
    </row>
    <row r="9" spans="2:9" s="188" customFormat="1" ht="13.2" customHeight="1" x14ac:dyDescent="0.2">
      <c r="B9" s="205"/>
      <c r="C9" s="206" t="s">
        <v>127</v>
      </c>
      <c r="D9" s="99"/>
      <c r="E9" s="99"/>
      <c r="F9" s="99"/>
      <c r="G9" s="99"/>
      <c r="H9" s="100"/>
      <c r="I9" s="189">
        <f>SUM(D9:H9)</f>
        <v>0</v>
      </c>
    </row>
    <row r="10" spans="2:9" ht="18" customHeight="1" x14ac:dyDescent="0.25">
      <c r="B10" s="171">
        <v>2</v>
      </c>
      <c r="C10" s="172" t="str">
        <f>Config!C6&amp;", "&amp;Config!D6</f>
        <v>Töpfer, Lilian</v>
      </c>
      <c r="D10" s="110">
        <v>1</v>
      </c>
      <c r="E10" s="110">
        <v>2</v>
      </c>
      <c r="F10" s="110">
        <v>1</v>
      </c>
      <c r="G10" s="110">
        <v>2</v>
      </c>
      <c r="H10" s="111">
        <v>1</v>
      </c>
      <c r="I10" s="176">
        <f t="shared" si="0"/>
        <v>7</v>
      </c>
    </row>
    <row r="11" spans="2:9" s="188" customFormat="1" ht="13.2" customHeight="1" x14ac:dyDescent="0.2">
      <c r="B11" s="194"/>
      <c r="C11" s="196" t="s">
        <v>126</v>
      </c>
      <c r="D11" s="105">
        <v>1</v>
      </c>
      <c r="E11" s="178">
        <v>1</v>
      </c>
      <c r="F11" s="105">
        <v>1</v>
      </c>
      <c r="G11" s="178">
        <v>1</v>
      </c>
      <c r="H11" s="107">
        <v>1</v>
      </c>
      <c r="I11" s="193">
        <f>SUM(D11:H11)</f>
        <v>5</v>
      </c>
    </row>
    <row r="12" spans="2:9" s="188" customFormat="1" ht="13.2" customHeight="1" x14ac:dyDescent="0.2">
      <c r="B12" s="207"/>
      <c r="C12" s="208" t="s">
        <v>127</v>
      </c>
      <c r="D12" s="99"/>
      <c r="E12" s="99"/>
      <c r="F12" s="99"/>
      <c r="G12" s="99"/>
      <c r="H12" s="100"/>
      <c r="I12" s="192">
        <f>SUM(D12:H12)</f>
        <v>0</v>
      </c>
    </row>
    <row r="13" spans="2:9" ht="18" customHeight="1" x14ac:dyDescent="0.25">
      <c r="B13" s="168">
        <v>3</v>
      </c>
      <c r="C13" s="169" t="str">
        <f>Config!C7&amp;", "&amp;Config!D7</f>
        <v>Fleischmann, Leonie</v>
      </c>
      <c r="D13" s="112">
        <v>2</v>
      </c>
      <c r="E13" s="112">
        <v>2</v>
      </c>
      <c r="F13" s="112">
        <v>1</v>
      </c>
      <c r="G13" s="112">
        <v>3</v>
      </c>
      <c r="H13" s="113">
        <v>0</v>
      </c>
      <c r="I13" s="175">
        <f t="shared" si="0"/>
        <v>8</v>
      </c>
    </row>
    <row r="14" spans="2:9" s="188" customFormat="1" ht="13.2" customHeight="1" x14ac:dyDescent="0.2">
      <c r="B14" s="191"/>
      <c r="C14" s="195" t="s">
        <v>126</v>
      </c>
      <c r="D14" s="102">
        <v>1</v>
      </c>
      <c r="E14" s="102">
        <v>1</v>
      </c>
      <c r="F14" s="101">
        <v>1</v>
      </c>
      <c r="G14" s="102">
        <v>1</v>
      </c>
      <c r="H14" s="181">
        <v>1</v>
      </c>
      <c r="I14" s="190">
        <f>SUM(D14:H14)</f>
        <v>5</v>
      </c>
    </row>
    <row r="15" spans="2:9" s="188" customFormat="1" ht="13.2" customHeight="1" x14ac:dyDescent="0.2">
      <c r="B15" s="205"/>
      <c r="C15" s="206" t="s">
        <v>127</v>
      </c>
      <c r="D15" s="99"/>
      <c r="E15" s="99"/>
      <c r="F15" s="99"/>
      <c r="G15" s="99"/>
      <c r="H15" s="100"/>
      <c r="I15" s="189">
        <f>SUM(D15:H15)</f>
        <v>0</v>
      </c>
    </row>
    <row r="16" spans="2:9" ht="18" customHeight="1" x14ac:dyDescent="0.25">
      <c r="B16" s="171">
        <v>4</v>
      </c>
      <c r="C16" s="172" t="str">
        <f>Config!C8&amp;", "&amp;Config!D8</f>
        <v>Drescher, Cedric</v>
      </c>
      <c r="D16" s="110">
        <v>2</v>
      </c>
      <c r="E16" s="110">
        <v>2</v>
      </c>
      <c r="F16" s="110">
        <v>1</v>
      </c>
      <c r="G16" s="110">
        <v>4</v>
      </c>
      <c r="H16" s="111">
        <v>0</v>
      </c>
      <c r="I16" s="176">
        <f t="shared" si="0"/>
        <v>9</v>
      </c>
    </row>
    <row r="17" spans="2:9" s="188" customFormat="1" ht="13.2" customHeight="1" x14ac:dyDescent="0.2">
      <c r="B17" s="194"/>
      <c r="C17" s="196" t="s">
        <v>126</v>
      </c>
      <c r="D17" s="178">
        <v>1</v>
      </c>
      <c r="E17" s="178">
        <v>1</v>
      </c>
      <c r="F17" s="105">
        <v>1</v>
      </c>
      <c r="G17" s="178">
        <v>1</v>
      </c>
      <c r="H17" s="180">
        <v>1</v>
      </c>
      <c r="I17" s="193">
        <f>SUM(D17:H17)</f>
        <v>5</v>
      </c>
    </row>
    <row r="18" spans="2:9" s="188" customFormat="1" ht="13.2" customHeight="1" x14ac:dyDescent="0.2">
      <c r="B18" s="207"/>
      <c r="C18" s="208" t="s">
        <v>127</v>
      </c>
      <c r="D18" s="99"/>
      <c r="E18" s="99"/>
      <c r="F18" s="99"/>
      <c r="G18" s="99"/>
      <c r="H18" s="100"/>
      <c r="I18" s="192">
        <f>SUM(D18:H18)</f>
        <v>0</v>
      </c>
    </row>
    <row r="19" spans="2:9" ht="18" customHeight="1" x14ac:dyDescent="0.25">
      <c r="B19" s="168">
        <v>5</v>
      </c>
      <c r="C19" s="169" t="str">
        <f>Config!C9&amp;", "&amp;Config!D9</f>
        <v>Baumgarten, Annabell</v>
      </c>
      <c r="D19" s="112">
        <v>1</v>
      </c>
      <c r="E19" s="112">
        <v>1</v>
      </c>
      <c r="F19" s="112">
        <v>1</v>
      </c>
      <c r="G19" s="112">
        <v>1.5</v>
      </c>
      <c r="H19" s="113">
        <v>0</v>
      </c>
      <c r="I19" s="175">
        <f t="shared" si="0"/>
        <v>4.5</v>
      </c>
    </row>
    <row r="20" spans="2:9" s="188" customFormat="1" ht="13.2" customHeight="1" x14ac:dyDescent="0.2">
      <c r="B20" s="191"/>
      <c r="C20" s="195" t="s">
        <v>126</v>
      </c>
      <c r="D20" s="101">
        <v>1</v>
      </c>
      <c r="E20" s="101">
        <v>1</v>
      </c>
      <c r="F20" s="101">
        <v>1</v>
      </c>
      <c r="G20" s="102">
        <v>1</v>
      </c>
      <c r="H20" s="181">
        <v>1</v>
      </c>
      <c r="I20" s="190">
        <f>SUM(D20:H20)</f>
        <v>5</v>
      </c>
    </row>
    <row r="21" spans="2:9" s="188" customFormat="1" ht="13.2" customHeight="1" x14ac:dyDescent="0.2">
      <c r="B21" s="205"/>
      <c r="C21" s="206" t="s">
        <v>127</v>
      </c>
      <c r="D21" s="99"/>
      <c r="E21" s="99"/>
      <c r="F21" s="99"/>
      <c r="G21" s="99"/>
      <c r="H21" s="100"/>
      <c r="I21" s="189">
        <f>SUM(D21:H21)</f>
        <v>0</v>
      </c>
    </row>
    <row r="22" spans="2:9" ht="18" customHeight="1" x14ac:dyDescent="0.25">
      <c r="B22" s="171">
        <v>6</v>
      </c>
      <c r="C22" s="172" t="str">
        <f>Config!C10&amp;", "&amp;Config!D10</f>
        <v>Traut, Stefanie</v>
      </c>
      <c r="D22" s="110">
        <v>2</v>
      </c>
      <c r="E22" s="110">
        <v>0.5</v>
      </c>
      <c r="F22" s="110">
        <v>1</v>
      </c>
      <c r="G22" s="110">
        <v>4</v>
      </c>
      <c r="H22" s="111">
        <v>3</v>
      </c>
      <c r="I22" s="176">
        <f t="shared" si="0"/>
        <v>10.5</v>
      </c>
    </row>
    <row r="23" spans="2:9" s="188" customFormat="1" ht="13.2" customHeight="1" x14ac:dyDescent="0.2">
      <c r="B23" s="194"/>
      <c r="C23" s="196" t="s">
        <v>126</v>
      </c>
      <c r="D23" s="178">
        <v>1</v>
      </c>
      <c r="E23" s="106">
        <v>1</v>
      </c>
      <c r="F23" s="105">
        <v>1</v>
      </c>
      <c r="G23" s="178">
        <v>1</v>
      </c>
      <c r="H23" s="179">
        <v>1</v>
      </c>
      <c r="I23" s="193">
        <f>SUM(D23:H23)</f>
        <v>5</v>
      </c>
    </row>
    <row r="24" spans="2:9" s="188" customFormat="1" ht="13.2" customHeight="1" x14ac:dyDescent="0.2">
      <c r="B24" s="207"/>
      <c r="C24" s="208" t="s">
        <v>127</v>
      </c>
      <c r="D24" s="99"/>
      <c r="E24" s="99"/>
      <c r="F24" s="99"/>
      <c r="G24" s="99"/>
      <c r="H24" s="100"/>
      <c r="I24" s="192">
        <f>SUM(D24:H24)</f>
        <v>0</v>
      </c>
    </row>
    <row r="25" spans="2:9" ht="18" customHeight="1" x14ac:dyDescent="0.25">
      <c r="B25" s="168">
        <v>7</v>
      </c>
      <c r="C25" s="169" t="str">
        <f>Config!C11&amp;", "&amp;Config!D11</f>
        <v>Menke, Damian</v>
      </c>
      <c r="D25" s="112">
        <v>2</v>
      </c>
      <c r="E25" s="112">
        <v>2</v>
      </c>
      <c r="F25" s="112">
        <v>2</v>
      </c>
      <c r="G25" s="112">
        <v>2.5</v>
      </c>
      <c r="H25" s="113">
        <v>0</v>
      </c>
      <c r="I25" s="175">
        <f t="shared" si="0"/>
        <v>8.5</v>
      </c>
    </row>
    <row r="26" spans="2:9" s="188" customFormat="1" ht="13.2" customHeight="1" x14ac:dyDescent="0.2">
      <c r="B26" s="191"/>
      <c r="C26" s="195" t="s">
        <v>126</v>
      </c>
      <c r="D26" s="102">
        <v>1</v>
      </c>
      <c r="E26" s="102">
        <v>1</v>
      </c>
      <c r="F26" s="102">
        <v>1</v>
      </c>
      <c r="G26" s="102">
        <v>1</v>
      </c>
      <c r="H26" s="181">
        <v>1</v>
      </c>
      <c r="I26" s="190">
        <f>SUM(D26:H26)</f>
        <v>5</v>
      </c>
    </row>
    <row r="27" spans="2:9" s="188" customFormat="1" ht="13.2" customHeight="1" x14ac:dyDescent="0.2">
      <c r="B27" s="205"/>
      <c r="C27" s="206" t="s">
        <v>127</v>
      </c>
      <c r="D27" s="99"/>
      <c r="E27" s="99"/>
      <c r="F27" s="99"/>
      <c r="G27" s="99"/>
      <c r="H27" s="100"/>
      <c r="I27" s="189">
        <f>SUM(D27:H27)</f>
        <v>0</v>
      </c>
    </row>
    <row r="28" spans="2:9" ht="18" customHeight="1" x14ac:dyDescent="0.25">
      <c r="B28" s="171">
        <v>8</v>
      </c>
      <c r="C28" s="172" t="str">
        <f>Config!C12&amp;", "&amp;Config!D12</f>
        <v>Carroll, Meik</v>
      </c>
      <c r="D28" s="110">
        <v>2</v>
      </c>
      <c r="E28" s="110">
        <v>2</v>
      </c>
      <c r="F28" s="110">
        <v>2</v>
      </c>
      <c r="G28" s="110">
        <v>2</v>
      </c>
      <c r="H28" s="111">
        <v>0.5</v>
      </c>
      <c r="I28" s="176">
        <f t="shared" si="0"/>
        <v>8.5</v>
      </c>
    </row>
    <row r="29" spans="2:9" s="188" customFormat="1" ht="13.2" customHeight="1" x14ac:dyDescent="0.2">
      <c r="B29" s="194"/>
      <c r="C29" s="196" t="s">
        <v>126</v>
      </c>
      <c r="D29" s="178">
        <v>1</v>
      </c>
      <c r="E29" s="178">
        <v>1</v>
      </c>
      <c r="F29" s="178">
        <v>1</v>
      </c>
      <c r="G29" s="178">
        <v>1</v>
      </c>
      <c r="H29" s="180">
        <v>1</v>
      </c>
      <c r="I29" s="193">
        <f>SUM(D29:H29)</f>
        <v>5</v>
      </c>
    </row>
    <row r="30" spans="2:9" s="188" customFormat="1" ht="13.2" customHeight="1" x14ac:dyDescent="0.2">
      <c r="B30" s="207"/>
      <c r="C30" s="208" t="s">
        <v>127</v>
      </c>
      <c r="D30" s="99"/>
      <c r="E30" s="99"/>
      <c r="F30" s="99"/>
      <c r="G30" s="99"/>
      <c r="H30" s="100"/>
      <c r="I30" s="192">
        <f>SUM(D30:H30)</f>
        <v>0</v>
      </c>
    </row>
    <row r="31" spans="2:9" ht="18" customHeight="1" x14ac:dyDescent="0.25">
      <c r="B31" s="168">
        <v>9</v>
      </c>
      <c r="C31" s="169" t="str">
        <f>Config!C13&amp;", "&amp;Config!D13</f>
        <v>Hennings, Tomas</v>
      </c>
      <c r="D31" s="112">
        <v>2</v>
      </c>
      <c r="E31" s="112">
        <v>2</v>
      </c>
      <c r="F31" s="112">
        <v>2</v>
      </c>
      <c r="G31" s="112">
        <v>4</v>
      </c>
      <c r="H31" s="113">
        <v>3</v>
      </c>
      <c r="I31" s="175">
        <f t="shared" si="0"/>
        <v>13</v>
      </c>
    </row>
    <row r="32" spans="2:9" s="188" customFormat="1" ht="13.2" customHeight="1" x14ac:dyDescent="0.2">
      <c r="B32" s="191"/>
      <c r="C32" s="195" t="s">
        <v>126</v>
      </c>
      <c r="D32" s="102">
        <v>1</v>
      </c>
      <c r="E32" s="102">
        <v>1</v>
      </c>
      <c r="F32" s="102">
        <v>1</v>
      </c>
      <c r="G32" s="102">
        <v>1</v>
      </c>
      <c r="H32" s="177">
        <v>1</v>
      </c>
      <c r="I32" s="190">
        <f>SUM(D32:H32)</f>
        <v>5</v>
      </c>
    </row>
    <row r="33" spans="2:9" s="188" customFormat="1" ht="13.2" customHeight="1" x14ac:dyDescent="0.2">
      <c r="B33" s="205"/>
      <c r="C33" s="206" t="s">
        <v>127</v>
      </c>
      <c r="D33" s="99"/>
      <c r="E33" s="99"/>
      <c r="F33" s="99"/>
      <c r="G33" s="99"/>
      <c r="H33" s="100"/>
      <c r="I33" s="189">
        <f>SUM(D33:H33)</f>
        <v>0</v>
      </c>
    </row>
    <row r="34" spans="2:9" ht="18" customHeight="1" x14ac:dyDescent="0.25">
      <c r="B34" s="171">
        <v>10</v>
      </c>
      <c r="C34" s="172" t="str">
        <f>Config!C14&amp;", "&amp;Config!D14</f>
        <v>Walters, Linn</v>
      </c>
      <c r="D34" s="110">
        <v>2</v>
      </c>
      <c r="E34" s="110">
        <v>2</v>
      </c>
      <c r="F34" s="110">
        <v>2</v>
      </c>
      <c r="G34" s="110">
        <v>2</v>
      </c>
      <c r="H34" s="111">
        <v>0</v>
      </c>
      <c r="I34" s="176">
        <f t="shared" si="0"/>
        <v>8</v>
      </c>
    </row>
    <row r="35" spans="2:9" s="188" customFormat="1" ht="13.2" customHeight="1" x14ac:dyDescent="0.2">
      <c r="B35" s="194"/>
      <c r="C35" s="196" t="s">
        <v>126</v>
      </c>
      <c r="D35" s="178">
        <v>1</v>
      </c>
      <c r="E35" s="178">
        <v>1</v>
      </c>
      <c r="F35" s="178">
        <v>1</v>
      </c>
      <c r="G35" s="178">
        <v>1</v>
      </c>
      <c r="H35" s="180">
        <v>1</v>
      </c>
      <c r="I35" s="193">
        <f>SUM(D35:H35)</f>
        <v>5</v>
      </c>
    </row>
    <row r="36" spans="2:9" s="188" customFormat="1" ht="13.2" customHeight="1" x14ac:dyDescent="0.2">
      <c r="B36" s="207"/>
      <c r="C36" s="208" t="s">
        <v>127</v>
      </c>
      <c r="D36" s="99"/>
      <c r="E36" s="99"/>
      <c r="F36" s="99"/>
      <c r="G36" s="99"/>
      <c r="H36" s="100"/>
      <c r="I36" s="192">
        <f>SUM(D36:H36)</f>
        <v>0</v>
      </c>
    </row>
    <row r="37" spans="2:9" ht="18" customHeight="1" x14ac:dyDescent="0.25">
      <c r="B37" s="168">
        <v>11</v>
      </c>
      <c r="C37" s="169" t="str">
        <f>Config!C15&amp;", "&amp;Config!D15</f>
        <v>Junker, Amely</v>
      </c>
      <c r="D37" s="112">
        <v>1</v>
      </c>
      <c r="E37" s="112">
        <v>0</v>
      </c>
      <c r="F37" s="112">
        <v>2</v>
      </c>
      <c r="G37" s="112">
        <v>1.5</v>
      </c>
      <c r="H37" s="113">
        <v>2</v>
      </c>
      <c r="I37" s="175">
        <f t="shared" si="0"/>
        <v>6.5</v>
      </c>
    </row>
    <row r="38" spans="2:9" s="188" customFormat="1" ht="13.2" customHeight="1" x14ac:dyDescent="0.2">
      <c r="B38" s="191"/>
      <c r="C38" s="195" t="s">
        <v>126</v>
      </c>
      <c r="D38" s="101">
        <v>1</v>
      </c>
      <c r="E38" s="103">
        <v>1</v>
      </c>
      <c r="F38" s="102">
        <v>1</v>
      </c>
      <c r="G38" s="102">
        <v>1</v>
      </c>
      <c r="H38" s="177">
        <v>1</v>
      </c>
      <c r="I38" s="190">
        <f>SUM(D38:H38)</f>
        <v>5</v>
      </c>
    </row>
    <row r="39" spans="2:9" s="188" customFormat="1" ht="13.2" customHeight="1" x14ac:dyDescent="0.2">
      <c r="B39" s="205"/>
      <c r="C39" s="206" t="s">
        <v>127</v>
      </c>
      <c r="D39" s="99"/>
      <c r="E39" s="99"/>
      <c r="F39" s="99"/>
      <c r="G39" s="99"/>
      <c r="H39" s="100"/>
      <c r="I39" s="189">
        <f>SUM(D39:H39)</f>
        <v>0</v>
      </c>
    </row>
    <row r="40" spans="2:9" ht="18" customHeight="1" x14ac:dyDescent="0.25">
      <c r="B40" s="171">
        <v>12</v>
      </c>
      <c r="C40" s="172" t="str">
        <f>Config!C16&amp;", "&amp;Config!D16</f>
        <v>Stephens, Melvin</v>
      </c>
      <c r="D40" s="110">
        <v>2</v>
      </c>
      <c r="E40" s="110">
        <v>2</v>
      </c>
      <c r="F40" s="110">
        <v>1</v>
      </c>
      <c r="G40" s="110">
        <v>0.5</v>
      </c>
      <c r="H40" s="111">
        <v>0</v>
      </c>
      <c r="I40" s="176">
        <f t="shared" ref="I40:I70" si="1">SUM(D40:H40)</f>
        <v>5.5</v>
      </c>
    </row>
    <row r="41" spans="2:9" s="188" customFormat="1" ht="13.2" customHeight="1" x14ac:dyDescent="0.2">
      <c r="B41" s="194"/>
      <c r="C41" s="196" t="s">
        <v>126</v>
      </c>
      <c r="D41" s="178">
        <v>1</v>
      </c>
      <c r="E41" s="178">
        <v>1</v>
      </c>
      <c r="F41" s="105">
        <v>1</v>
      </c>
      <c r="G41" s="106">
        <v>1</v>
      </c>
      <c r="H41" s="180">
        <v>1</v>
      </c>
      <c r="I41" s="193">
        <f>SUM(D41:H41)</f>
        <v>5</v>
      </c>
    </row>
    <row r="42" spans="2:9" s="188" customFormat="1" ht="13.2" customHeight="1" x14ac:dyDescent="0.2">
      <c r="B42" s="207"/>
      <c r="C42" s="208" t="s">
        <v>127</v>
      </c>
      <c r="D42" s="99"/>
      <c r="E42" s="99"/>
      <c r="F42" s="99"/>
      <c r="G42" s="99"/>
      <c r="H42" s="100"/>
      <c r="I42" s="192">
        <f>SUM(D42:H42)</f>
        <v>0</v>
      </c>
    </row>
    <row r="43" spans="2:9" ht="18" customHeight="1" x14ac:dyDescent="0.25">
      <c r="B43" s="168">
        <v>13</v>
      </c>
      <c r="C43" s="169" t="str">
        <f>Config!C17&amp;", "&amp;Config!D17</f>
        <v>Cremer, Marvin</v>
      </c>
      <c r="D43" s="112">
        <v>2</v>
      </c>
      <c r="E43" s="112">
        <v>0</v>
      </c>
      <c r="F43" s="112">
        <v>1.5</v>
      </c>
      <c r="G43" s="112">
        <v>0</v>
      </c>
      <c r="H43" s="113">
        <v>2</v>
      </c>
      <c r="I43" s="175">
        <f t="shared" si="1"/>
        <v>5.5</v>
      </c>
    </row>
    <row r="44" spans="2:9" s="188" customFormat="1" ht="13.2" customHeight="1" x14ac:dyDescent="0.2">
      <c r="B44" s="191"/>
      <c r="C44" s="195" t="s">
        <v>126</v>
      </c>
      <c r="D44" s="102">
        <v>1</v>
      </c>
      <c r="E44" s="103">
        <v>1</v>
      </c>
      <c r="F44" s="102">
        <v>1</v>
      </c>
      <c r="G44" s="103">
        <v>1</v>
      </c>
      <c r="H44" s="177">
        <v>1</v>
      </c>
      <c r="I44" s="190">
        <f>SUM(D44:H44)</f>
        <v>5</v>
      </c>
    </row>
    <row r="45" spans="2:9" s="188" customFormat="1" ht="13.2" customHeight="1" x14ac:dyDescent="0.2">
      <c r="B45" s="205"/>
      <c r="C45" s="206" t="s">
        <v>127</v>
      </c>
      <c r="D45" s="99"/>
      <c r="E45" s="99"/>
      <c r="F45" s="99"/>
      <c r="G45" s="99"/>
      <c r="H45" s="100"/>
      <c r="I45" s="189">
        <f>SUM(D45:H45)</f>
        <v>0</v>
      </c>
    </row>
    <row r="46" spans="2:9" ht="18" customHeight="1" x14ac:dyDescent="0.25">
      <c r="B46" s="171">
        <v>14</v>
      </c>
      <c r="C46" s="172" t="str">
        <f>Config!C18&amp;", "&amp;Config!D18</f>
        <v>Nash, Jean</v>
      </c>
      <c r="D46" s="110">
        <v>2</v>
      </c>
      <c r="E46" s="110">
        <v>0</v>
      </c>
      <c r="F46" s="110">
        <v>1</v>
      </c>
      <c r="G46" s="110">
        <v>2</v>
      </c>
      <c r="H46" s="111">
        <v>3</v>
      </c>
      <c r="I46" s="176">
        <f t="shared" si="1"/>
        <v>8</v>
      </c>
    </row>
    <row r="47" spans="2:9" s="188" customFormat="1" ht="13.2" customHeight="1" x14ac:dyDescent="0.2">
      <c r="B47" s="194"/>
      <c r="C47" s="196" t="s">
        <v>126</v>
      </c>
      <c r="D47" s="178">
        <v>1</v>
      </c>
      <c r="E47" s="106">
        <v>1</v>
      </c>
      <c r="F47" s="105">
        <v>1</v>
      </c>
      <c r="G47" s="178">
        <v>1</v>
      </c>
      <c r="H47" s="179">
        <v>1</v>
      </c>
      <c r="I47" s="193">
        <f>SUM(D47:H47)</f>
        <v>5</v>
      </c>
    </row>
    <row r="48" spans="2:9" s="188" customFormat="1" ht="13.2" customHeight="1" x14ac:dyDescent="0.2">
      <c r="B48" s="207"/>
      <c r="C48" s="208" t="s">
        <v>127</v>
      </c>
      <c r="D48" s="99"/>
      <c r="E48" s="99"/>
      <c r="F48" s="99"/>
      <c r="G48" s="99"/>
      <c r="H48" s="100"/>
      <c r="I48" s="192">
        <f>SUM(D48:H48)</f>
        <v>0</v>
      </c>
    </row>
    <row r="49" spans="2:9" ht="18" customHeight="1" x14ac:dyDescent="0.25">
      <c r="B49" s="168">
        <v>15</v>
      </c>
      <c r="C49" s="169" t="str">
        <f>Config!C19&amp;", "&amp;Config!D19</f>
        <v>Schön, Leonardo</v>
      </c>
      <c r="D49" s="112">
        <v>2</v>
      </c>
      <c r="E49" s="112">
        <v>0.5</v>
      </c>
      <c r="F49" s="112">
        <v>1.5</v>
      </c>
      <c r="G49" s="112">
        <v>3</v>
      </c>
      <c r="H49" s="113">
        <v>1</v>
      </c>
      <c r="I49" s="175">
        <f t="shared" si="1"/>
        <v>8</v>
      </c>
    </row>
    <row r="50" spans="2:9" s="188" customFormat="1" ht="13.2" customHeight="1" x14ac:dyDescent="0.2">
      <c r="B50" s="191"/>
      <c r="C50" s="195" t="s">
        <v>126</v>
      </c>
      <c r="D50" s="102">
        <v>1</v>
      </c>
      <c r="E50" s="103">
        <v>1</v>
      </c>
      <c r="F50" s="102">
        <v>1</v>
      </c>
      <c r="G50" s="102">
        <v>1</v>
      </c>
      <c r="H50" s="104">
        <v>1</v>
      </c>
      <c r="I50" s="190">
        <f>SUM(D50:H50)</f>
        <v>5</v>
      </c>
    </row>
    <row r="51" spans="2:9" s="188" customFormat="1" ht="13.2" customHeight="1" x14ac:dyDescent="0.2">
      <c r="B51" s="205"/>
      <c r="C51" s="206" t="s">
        <v>127</v>
      </c>
      <c r="D51" s="99"/>
      <c r="E51" s="99"/>
      <c r="F51" s="99"/>
      <c r="G51" s="99"/>
      <c r="H51" s="100"/>
      <c r="I51" s="189">
        <f>SUM(D51:H51)</f>
        <v>0</v>
      </c>
    </row>
    <row r="52" spans="2:9" ht="18" customHeight="1" x14ac:dyDescent="0.25">
      <c r="B52" s="171">
        <v>16</v>
      </c>
      <c r="C52" s="172" t="str">
        <f>Config!C20&amp;", "&amp;Config!D20</f>
        <v>Sigl, Nicholas</v>
      </c>
      <c r="D52" s="110">
        <v>0</v>
      </c>
      <c r="E52" s="110">
        <v>0</v>
      </c>
      <c r="F52" s="110">
        <v>0</v>
      </c>
      <c r="G52" s="110">
        <v>0</v>
      </c>
      <c r="H52" s="111">
        <v>0</v>
      </c>
      <c r="I52" s="176">
        <f t="shared" si="1"/>
        <v>0</v>
      </c>
    </row>
    <row r="53" spans="2:9" s="188" customFormat="1" ht="13.2" customHeight="1" x14ac:dyDescent="0.2">
      <c r="B53" s="194"/>
      <c r="C53" s="196" t="s">
        <v>126</v>
      </c>
      <c r="D53" s="106">
        <v>1</v>
      </c>
      <c r="E53" s="106">
        <v>1</v>
      </c>
      <c r="F53" s="106">
        <v>1</v>
      </c>
      <c r="G53" s="106">
        <v>1</v>
      </c>
      <c r="H53" s="180">
        <v>1</v>
      </c>
      <c r="I53" s="193">
        <f>SUM(D53:H53)</f>
        <v>5</v>
      </c>
    </row>
    <row r="54" spans="2:9" s="188" customFormat="1" ht="13.2" customHeight="1" x14ac:dyDescent="0.2">
      <c r="B54" s="207"/>
      <c r="C54" s="208" t="s">
        <v>127</v>
      </c>
      <c r="D54" s="99"/>
      <c r="E54" s="99"/>
      <c r="F54" s="99"/>
      <c r="G54" s="99"/>
      <c r="H54" s="100"/>
      <c r="I54" s="192">
        <f>SUM(D54:H54)</f>
        <v>0</v>
      </c>
    </row>
    <row r="55" spans="2:9" ht="18" customHeight="1" x14ac:dyDescent="0.25">
      <c r="B55" s="168">
        <v>17</v>
      </c>
      <c r="C55" s="169" t="str">
        <f>Config!C21&amp;", "&amp;Config!D21</f>
        <v>Kainz, Vivienne</v>
      </c>
      <c r="D55" s="112">
        <v>1</v>
      </c>
      <c r="E55" s="112">
        <v>1</v>
      </c>
      <c r="F55" s="112">
        <v>1.5</v>
      </c>
      <c r="G55" s="112">
        <v>1</v>
      </c>
      <c r="H55" s="113">
        <v>3</v>
      </c>
      <c r="I55" s="175">
        <f t="shared" si="1"/>
        <v>7.5</v>
      </c>
    </row>
    <row r="56" spans="2:9" s="188" customFormat="1" ht="13.2" customHeight="1" x14ac:dyDescent="0.2">
      <c r="B56" s="191"/>
      <c r="C56" s="195" t="s">
        <v>126</v>
      </c>
      <c r="D56" s="101">
        <v>1</v>
      </c>
      <c r="E56" s="101">
        <v>1</v>
      </c>
      <c r="F56" s="102">
        <v>1</v>
      </c>
      <c r="G56" s="101">
        <v>1</v>
      </c>
      <c r="H56" s="177">
        <v>1</v>
      </c>
      <c r="I56" s="190">
        <f>SUM(D56:H56)</f>
        <v>5</v>
      </c>
    </row>
    <row r="57" spans="2:9" s="188" customFormat="1" ht="13.2" customHeight="1" x14ac:dyDescent="0.2">
      <c r="B57" s="205"/>
      <c r="C57" s="206" t="s">
        <v>127</v>
      </c>
      <c r="D57" s="99"/>
      <c r="E57" s="99"/>
      <c r="F57" s="99"/>
      <c r="G57" s="99"/>
      <c r="H57" s="100"/>
      <c r="I57" s="189">
        <f>SUM(D57:H57)</f>
        <v>0</v>
      </c>
    </row>
    <row r="58" spans="2:9" ht="18" customHeight="1" x14ac:dyDescent="0.25">
      <c r="B58" s="171">
        <v>18</v>
      </c>
      <c r="C58" s="172" t="str">
        <f>Config!C22&amp;", "&amp;Config!D22</f>
        <v>Hartmann, Mads</v>
      </c>
      <c r="D58" s="110">
        <v>2</v>
      </c>
      <c r="E58" s="110">
        <v>2</v>
      </c>
      <c r="F58" s="110">
        <v>1</v>
      </c>
      <c r="G58" s="110">
        <v>2</v>
      </c>
      <c r="H58" s="111">
        <v>0</v>
      </c>
      <c r="I58" s="176">
        <f t="shared" si="1"/>
        <v>7</v>
      </c>
    </row>
    <row r="59" spans="2:9" s="188" customFormat="1" ht="13.2" customHeight="1" x14ac:dyDescent="0.2">
      <c r="B59" s="194"/>
      <c r="C59" s="196" t="s">
        <v>126</v>
      </c>
      <c r="D59" s="178">
        <v>1</v>
      </c>
      <c r="E59" s="178">
        <v>1</v>
      </c>
      <c r="F59" s="105">
        <v>1</v>
      </c>
      <c r="G59" s="178">
        <v>1</v>
      </c>
      <c r="H59" s="180">
        <v>1</v>
      </c>
      <c r="I59" s="193">
        <f>SUM(D59:H59)</f>
        <v>5</v>
      </c>
    </row>
    <row r="60" spans="2:9" s="188" customFormat="1" ht="13.2" customHeight="1" x14ac:dyDescent="0.2">
      <c r="B60" s="207"/>
      <c r="C60" s="208" t="s">
        <v>127</v>
      </c>
      <c r="D60" s="99"/>
      <c r="E60" s="99"/>
      <c r="F60" s="99"/>
      <c r="G60" s="99"/>
      <c r="H60" s="100"/>
      <c r="I60" s="192">
        <f>SUM(D60:H60)</f>
        <v>0</v>
      </c>
    </row>
    <row r="61" spans="2:9" ht="18" customHeight="1" x14ac:dyDescent="0.25">
      <c r="B61" s="168">
        <v>19</v>
      </c>
      <c r="C61" s="169" t="str">
        <f>Config!C23&amp;", "&amp;Config!D23</f>
        <v>Ullmann, Raphael</v>
      </c>
      <c r="D61" s="112">
        <v>2</v>
      </c>
      <c r="E61" s="112">
        <v>0.5</v>
      </c>
      <c r="F61" s="112">
        <v>1.5</v>
      </c>
      <c r="G61" s="112">
        <v>2</v>
      </c>
      <c r="H61" s="113">
        <v>1</v>
      </c>
      <c r="I61" s="175">
        <f t="shared" si="1"/>
        <v>7</v>
      </c>
    </row>
    <row r="62" spans="2:9" s="188" customFormat="1" ht="13.2" customHeight="1" x14ac:dyDescent="0.2">
      <c r="B62" s="191"/>
      <c r="C62" s="195" t="s">
        <v>126</v>
      </c>
      <c r="D62" s="102">
        <v>1</v>
      </c>
      <c r="E62" s="103">
        <v>1</v>
      </c>
      <c r="F62" s="102">
        <v>1</v>
      </c>
      <c r="G62" s="102">
        <v>1</v>
      </c>
      <c r="H62" s="104">
        <v>1</v>
      </c>
      <c r="I62" s="190">
        <f>SUM(D62:H62)</f>
        <v>5</v>
      </c>
    </row>
    <row r="63" spans="2:9" s="188" customFormat="1" ht="13.2" customHeight="1" x14ac:dyDescent="0.2">
      <c r="B63" s="205"/>
      <c r="C63" s="206" t="s">
        <v>127</v>
      </c>
      <c r="D63" s="99"/>
      <c r="E63" s="99"/>
      <c r="F63" s="99"/>
      <c r="G63" s="99"/>
      <c r="H63" s="100"/>
      <c r="I63" s="189">
        <f>SUM(D63:H63)</f>
        <v>0</v>
      </c>
    </row>
    <row r="64" spans="2:9" ht="18" customHeight="1" x14ac:dyDescent="0.25">
      <c r="B64" s="171">
        <v>20</v>
      </c>
      <c r="C64" s="172" t="str">
        <f>Config!C24&amp;", "&amp;Config!D24</f>
        <v>Hartl, Emmely</v>
      </c>
      <c r="D64" s="110">
        <v>2</v>
      </c>
      <c r="E64" s="110">
        <v>0.5</v>
      </c>
      <c r="F64" s="110">
        <v>2</v>
      </c>
      <c r="G64" s="110">
        <v>0</v>
      </c>
      <c r="H64" s="111">
        <v>0</v>
      </c>
      <c r="I64" s="176">
        <f t="shared" si="1"/>
        <v>4.5</v>
      </c>
    </row>
    <row r="65" spans="2:9" s="188" customFormat="1" ht="13.2" customHeight="1" x14ac:dyDescent="0.2">
      <c r="B65" s="194"/>
      <c r="C65" s="196" t="s">
        <v>126</v>
      </c>
      <c r="D65" s="178">
        <v>1</v>
      </c>
      <c r="E65" s="106">
        <v>1</v>
      </c>
      <c r="F65" s="178">
        <v>1</v>
      </c>
      <c r="G65" s="106">
        <v>1</v>
      </c>
      <c r="H65" s="180">
        <v>1</v>
      </c>
      <c r="I65" s="193">
        <f>SUM(D65:H65)</f>
        <v>5</v>
      </c>
    </row>
    <row r="66" spans="2:9" s="188" customFormat="1" ht="13.2" customHeight="1" x14ac:dyDescent="0.2">
      <c r="B66" s="207"/>
      <c r="C66" s="208" t="s">
        <v>127</v>
      </c>
      <c r="D66" s="99"/>
      <c r="E66" s="99"/>
      <c r="F66" s="99"/>
      <c r="G66" s="99"/>
      <c r="H66" s="100"/>
      <c r="I66" s="192">
        <f>SUM(D66:H66)</f>
        <v>0</v>
      </c>
    </row>
    <row r="67" spans="2:9" ht="18" customHeight="1" x14ac:dyDescent="0.25">
      <c r="B67" s="168">
        <v>21</v>
      </c>
      <c r="C67" s="169" t="str">
        <f>Config!C25&amp;", "&amp;Config!D25</f>
        <v>Klotz, Karin</v>
      </c>
      <c r="D67" s="112">
        <v>1</v>
      </c>
      <c r="E67" s="112">
        <v>2</v>
      </c>
      <c r="F67" s="112">
        <v>1</v>
      </c>
      <c r="G67" s="112">
        <v>2</v>
      </c>
      <c r="H67" s="113">
        <v>0</v>
      </c>
      <c r="I67" s="175">
        <f t="shared" si="1"/>
        <v>6</v>
      </c>
    </row>
    <row r="68" spans="2:9" s="188" customFormat="1" ht="13.2" customHeight="1" x14ac:dyDescent="0.2">
      <c r="B68" s="191"/>
      <c r="C68" s="195" t="s">
        <v>126</v>
      </c>
      <c r="D68" s="101">
        <v>1</v>
      </c>
      <c r="E68" s="102">
        <v>1</v>
      </c>
      <c r="F68" s="101">
        <v>1</v>
      </c>
      <c r="G68" s="102">
        <v>1</v>
      </c>
      <c r="H68" s="181">
        <v>1</v>
      </c>
      <c r="I68" s="190">
        <f>SUM(D68:H68)</f>
        <v>5</v>
      </c>
    </row>
    <row r="69" spans="2:9" s="188" customFormat="1" ht="13.2" customHeight="1" x14ac:dyDescent="0.2">
      <c r="B69" s="205"/>
      <c r="C69" s="206" t="s">
        <v>127</v>
      </c>
      <c r="D69" s="99"/>
      <c r="E69" s="99"/>
      <c r="F69" s="99"/>
      <c r="G69" s="99"/>
      <c r="H69" s="100"/>
      <c r="I69" s="189">
        <f>SUM(D69:H69)</f>
        <v>0</v>
      </c>
    </row>
    <row r="70" spans="2:9" ht="18" customHeight="1" x14ac:dyDescent="0.25">
      <c r="B70" s="171">
        <v>22</v>
      </c>
      <c r="C70" s="172" t="str">
        <f>Config!C26&amp;", "&amp;Config!D26</f>
        <v>Ehlers, Ingo</v>
      </c>
      <c r="D70" s="110">
        <v>2</v>
      </c>
      <c r="E70" s="110">
        <v>0</v>
      </c>
      <c r="F70" s="110">
        <v>2</v>
      </c>
      <c r="G70" s="110">
        <v>1.5</v>
      </c>
      <c r="H70" s="111">
        <v>0</v>
      </c>
      <c r="I70" s="176">
        <f t="shared" si="1"/>
        <v>5.5</v>
      </c>
    </row>
    <row r="71" spans="2:9" s="188" customFormat="1" ht="13.2" customHeight="1" x14ac:dyDescent="0.2">
      <c r="B71" s="194"/>
      <c r="C71" s="196" t="s">
        <v>126</v>
      </c>
      <c r="D71" s="178">
        <v>1</v>
      </c>
      <c r="E71" s="106">
        <v>1</v>
      </c>
      <c r="F71" s="178">
        <v>1</v>
      </c>
      <c r="G71" s="178">
        <v>1</v>
      </c>
      <c r="H71" s="180">
        <v>1</v>
      </c>
      <c r="I71" s="193">
        <f>SUM(D71:H71)</f>
        <v>5</v>
      </c>
    </row>
    <row r="72" spans="2:9" s="188" customFormat="1" ht="13.2" customHeight="1" x14ac:dyDescent="0.2">
      <c r="B72" s="207"/>
      <c r="C72" s="208" t="s">
        <v>127</v>
      </c>
      <c r="D72" s="99"/>
      <c r="E72" s="99"/>
      <c r="F72" s="99"/>
      <c r="G72" s="99"/>
      <c r="H72" s="100"/>
      <c r="I72" s="192">
        <f>SUM(D72:H72)</f>
        <v>0</v>
      </c>
    </row>
    <row r="73" spans="2:9" ht="18" customHeight="1" x14ac:dyDescent="0.25">
      <c r="B73" s="168">
        <v>23</v>
      </c>
      <c r="C73" s="169" t="str">
        <f>Config!C27&amp;", "&amp;Config!D27</f>
        <v>Lindemann, Mads</v>
      </c>
      <c r="D73" s="112">
        <v>2</v>
      </c>
      <c r="E73" s="112">
        <v>2</v>
      </c>
      <c r="F73" s="112">
        <v>2</v>
      </c>
      <c r="G73" s="112">
        <v>4</v>
      </c>
      <c r="H73" s="113">
        <v>0</v>
      </c>
      <c r="I73" s="175">
        <f t="shared" ref="I73" si="2">SUM(D73:H73)</f>
        <v>10</v>
      </c>
    </row>
    <row r="74" spans="2:9" s="188" customFormat="1" ht="13.2" customHeight="1" x14ac:dyDescent="0.2">
      <c r="B74" s="191"/>
      <c r="C74" s="195" t="s">
        <v>126</v>
      </c>
      <c r="D74" s="102">
        <v>1</v>
      </c>
      <c r="E74" s="102">
        <v>1</v>
      </c>
      <c r="F74" s="102">
        <v>1</v>
      </c>
      <c r="G74" s="102">
        <v>1</v>
      </c>
      <c r="H74" s="181">
        <v>1</v>
      </c>
      <c r="I74" s="190">
        <f>SUM(D74:H74)</f>
        <v>5</v>
      </c>
    </row>
    <row r="75" spans="2:9" s="188" customFormat="1" ht="13.2" customHeight="1" thickBot="1" x14ac:dyDescent="0.25">
      <c r="B75" s="205"/>
      <c r="C75" s="206" t="s">
        <v>127</v>
      </c>
      <c r="D75" s="99"/>
      <c r="E75" s="99"/>
      <c r="F75" s="99"/>
      <c r="G75" s="99"/>
      <c r="H75" s="100"/>
      <c r="I75" s="189">
        <f>SUM(D75:H75)</f>
        <v>0</v>
      </c>
    </row>
    <row r="76" spans="2:9" ht="18" customHeight="1" thickBot="1" x14ac:dyDescent="0.3">
      <c r="B76" s="134"/>
      <c r="C76" s="135"/>
      <c r="D76" s="135">
        <v>0.84782608695652173</v>
      </c>
      <c r="E76" s="135">
        <v>0.60869565217391308</v>
      </c>
      <c r="F76" s="135">
        <v>0.71739130434782605</v>
      </c>
      <c r="G76" s="135">
        <v>0.52717391304347827</v>
      </c>
      <c r="H76" s="135">
        <v>0.13975155279503104</v>
      </c>
      <c r="I76" s="13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9CB12D2D-2DB1-4890-B9C3-65C926417AB9}">
      <formula1>0</formula1>
      <formula2>$D$6</formula2>
    </dataValidation>
    <dataValidation type="decimal" allowBlank="1" showErrorMessage="1" sqref="E7:E75" xr:uid="{B50F964B-9643-4A4C-AAB3-5EAAED287CB4}">
      <formula1>0</formula1>
      <formula2>$E$6</formula2>
    </dataValidation>
    <dataValidation type="decimal" allowBlank="1" showErrorMessage="1" sqref="F7:F75" xr:uid="{DD03A5FE-3A5A-4E41-9192-577C6205B8DC}">
      <formula1>0</formula1>
      <formula2>$F$6</formula2>
    </dataValidation>
    <dataValidation type="decimal" allowBlank="1" showErrorMessage="1" sqref="G7:G75" xr:uid="{367B71F0-94A3-4868-9075-37BEA873D6EF}">
      <formula1>0</formula1>
      <formula2>$G$6</formula2>
    </dataValidation>
    <dataValidation type="decimal" allowBlank="1" showErrorMessage="1" sqref="H7:H75" xr:uid="{587E646B-9105-4F9B-B27F-17D141DC5980}">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EEF8-5673-481B-8878-1782610C7E81}">
  <sheetPr codeName="Tabelle139">
    <tabColor rgb="FF92D050"/>
  </sheetPr>
  <dimension ref="B1:F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6" width="8.77734375" style="114" customWidth="1"/>
    <col min="7" max="16384" width="11.5546875" style="114"/>
  </cols>
  <sheetData>
    <row r="1" spans="2:6" ht="18" customHeight="1" thickBot="1" x14ac:dyDescent="0.3"/>
    <row r="2" spans="2:6" ht="18" customHeight="1" x14ac:dyDescent="0.25">
      <c r="B2" s="115" t="str">
        <f>Config!F2&amp;" "&amp;YEAR(Config!G24)</f>
        <v>Mathe Abitur 2026</v>
      </c>
      <c r="C2" s="116"/>
      <c r="D2" s="116"/>
      <c r="E2" s="117"/>
      <c r="F2" s="118" t="str">
        <f>"Kurs "&amp;Config!G26</f>
        <v>Kurs K1</v>
      </c>
    </row>
    <row r="3" spans="2:6" ht="18" customHeight="1" x14ac:dyDescent="0.25">
      <c r="B3" s="119" t="s">
        <v>13</v>
      </c>
      <c r="C3" s="120"/>
      <c r="D3" s="120"/>
      <c r="E3" s="120"/>
      <c r="F3" s="121"/>
    </row>
    <row r="4" spans="2:6" ht="18" customHeight="1" thickBot="1" x14ac:dyDescent="0.3">
      <c r="B4" s="119"/>
      <c r="C4" s="120"/>
      <c r="D4" s="122"/>
      <c r="E4" s="122"/>
      <c r="F4" s="123"/>
    </row>
    <row r="5" spans="2:6" ht="18" customHeight="1" thickBot="1" x14ac:dyDescent="0.3">
      <c r="B5" s="124"/>
      <c r="C5" s="126"/>
      <c r="D5" s="145" t="str">
        <f>Config!N6</f>
        <v>1a</v>
      </c>
      <c r="E5" s="145" t="str">
        <f>Config!N7</f>
        <v>1b</v>
      </c>
      <c r="F5" s="130" t="s">
        <v>82</v>
      </c>
    </row>
    <row r="6" spans="2:6" ht="18" customHeight="1" thickBot="1" x14ac:dyDescent="0.3">
      <c r="B6" s="125"/>
      <c r="C6" s="127" t="s">
        <v>81</v>
      </c>
      <c r="D6" s="129">
        <f>Config!O6</f>
        <v>2</v>
      </c>
      <c r="E6" s="129">
        <f>Config!O7</f>
        <v>3</v>
      </c>
      <c r="F6" s="146">
        <f>Config!O21</f>
        <v>5</v>
      </c>
    </row>
    <row r="7" spans="2:6" ht="18" customHeight="1" x14ac:dyDescent="0.25">
      <c r="B7" s="173">
        <v>1</v>
      </c>
      <c r="C7" s="174" t="str">
        <f>Config!C5&amp;", "&amp;Config!D5</f>
        <v>Höfer, Simon</v>
      </c>
      <c r="D7" s="108">
        <v>0</v>
      </c>
      <c r="E7" s="109">
        <v>0</v>
      </c>
      <c r="F7" s="170">
        <f t="shared" ref="F7:F37" si="0">SUM(D7:E7)</f>
        <v>0</v>
      </c>
    </row>
    <row r="8" spans="2:6" s="188" customFormat="1" ht="13.2" customHeight="1" x14ac:dyDescent="0.2">
      <c r="B8" s="191"/>
      <c r="C8" s="195" t="s">
        <v>126</v>
      </c>
      <c r="D8" s="103">
        <v>1</v>
      </c>
      <c r="E8" s="181">
        <v>1</v>
      </c>
      <c r="F8" s="190">
        <f>SUM(D8:E8)</f>
        <v>2</v>
      </c>
    </row>
    <row r="9" spans="2:6" s="188" customFormat="1" ht="13.2" customHeight="1" x14ac:dyDescent="0.2">
      <c r="B9" s="205"/>
      <c r="C9" s="206" t="s">
        <v>127</v>
      </c>
      <c r="D9" s="99"/>
      <c r="E9" s="100"/>
      <c r="F9" s="189">
        <f>SUM(D9:E9)</f>
        <v>0</v>
      </c>
    </row>
    <row r="10" spans="2:6" ht="18" customHeight="1" x14ac:dyDescent="0.25">
      <c r="B10" s="171">
        <v>2</v>
      </c>
      <c r="C10" s="172" t="str">
        <f>Config!C6&amp;", "&amp;Config!D6</f>
        <v>Töpfer, Lilian</v>
      </c>
      <c r="D10" s="110">
        <v>1.5</v>
      </c>
      <c r="E10" s="111">
        <v>2</v>
      </c>
      <c r="F10" s="176">
        <f t="shared" si="0"/>
        <v>3.5</v>
      </c>
    </row>
    <row r="11" spans="2:6" s="188" customFormat="1" ht="13.2" customHeight="1" x14ac:dyDescent="0.2">
      <c r="B11" s="194"/>
      <c r="C11" s="196" t="s">
        <v>126</v>
      </c>
      <c r="D11" s="105"/>
      <c r="E11" s="107"/>
      <c r="F11" s="193">
        <f>SUM(D11:E11)</f>
        <v>0</v>
      </c>
    </row>
    <row r="12" spans="2:6" s="188" customFormat="1" ht="13.2" customHeight="1" x14ac:dyDescent="0.2">
      <c r="B12" s="207"/>
      <c r="C12" s="208" t="s">
        <v>127</v>
      </c>
      <c r="D12" s="99"/>
      <c r="E12" s="100"/>
      <c r="F12" s="192">
        <f>SUM(D12:E12)</f>
        <v>0</v>
      </c>
    </row>
    <row r="13" spans="2:6" ht="18" customHeight="1" x14ac:dyDescent="0.25">
      <c r="B13" s="168">
        <v>3</v>
      </c>
      <c r="C13" s="169" t="str">
        <f>Config!C7&amp;", "&amp;Config!D7</f>
        <v>Fleischmann, Leonie</v>
      </c>
      <c r="D13" s="112">
        <v>2</v>
      </c>
      <c r="E13" s="113">
        <v>2.5</v>
      </c>
      <c r="F13" s="175">
        <f t="shared" si="0"/>
        <v>4.5</v>
      </c>
    </row>
    <row r="14" spans="2:6" s="188" customFormat="1" ht="13.2" customHeight="1" x14ac:dyDescent="0.2">
      <c r="B14" s="191"/>
      <c r="C14" s="195" t="s">
        <v>126</v>
      </c>
      <c r="D14" s="101"/>
      <c r="E14" s="104"/>
      <c r="F14" s="190">
        <f>SUM(D14:E14)</f>
        <v>0</v>
      </c>
    </row>
    <row r="15" spans="2:6" s="188" customFormat="1" ht="13.2" customHeight="1" x14ac:dyDescent="0.2">
      <c r="B15" s="205"/>
      <c r="C15" s="206" t="s">
        <v>127</v>
      </c>
      <c r="D15" s="99"/>
      <c r="E15" s="100"/>
      <c r="F15" s="189">
        <f>SUM(D15:E15)</f>
        <v>0</v>
      </c>
    </row>
    <row r="16" spans="2:6" ht="18" customHeight="1" x14ac:dyDescent="0.25">
      <c r="B16" s="171">
        <v>4</v>
      </c>
      <c r="C16" s="172" t="str">
        <f>Config!C8&amp;", "&amp;Config!D8</f>
        <v>Drescher, Cedric</v>
      </c>
      <c r="D16" s="110">
        <v>2</v>
      </c>
      <c r="E16" s="111">
        <v>1.5</v>
      </c>
      <c r="F16" s="176">
        <f t="shared" si="0"/>
        <v>3.5</v>
      </c>
    </row>
    <row r="17" spans="2:6" s="188" customFormat="1" ht="13.2" customHeight="1" x14ac:dyDescent="0.2">
      <c r="B17" s="194"/>
      <c r="C17" s="196" t="s">
        <v>126</v>
      </c>
      <c r="D17" s="105"/>
      <c r="E17" s="107"/>
      <c r="F17" s="193">
        <f>SUM(D17:E17)</f>
        <v>0</v>
      </c>
    </row>
    <row r="18" spans="2:6" s="188" customFormat="1" ht="13.2" customHeight="1" x14ac:dyDescent="0.2">
      <c r="B18" s="207"/>
      <c r="C18" s="208" t="s">
        <v>127</v>
      </c>
      <c r="D18" s="99"/>
      <c r="E18" s="100"/>
      <c r="F18" s="192">
        <f>SUM(D18:E18)</f>
        <v>0</v>
      </c>
    </row>
    <row r="19" spans="2:6" ht="18" customHeight="1" x14ac:dyDescent="0.25">
      <c r="B19" s="168">
        <v>5</v>
      </c>
      <c r="C19" s="169" t="str">
        <f>Config!C9&amp;", "&amp;Config!D9</f>
        <v>Baumgarten, Annabell</v>
      </c>
      <c r="D19" s="112">
        <v>1.5</v>
      </c>
      <c r="E19" s="113">
        <v>2</v>
      </c>
      <c r="F19" s="175">
        <f t="shared" si="0"/>
        <v>3.5</v>
      </c>
    </row>
    <row r="20" spans="2:6" s="188" customFormat="1" ht="13.2" customHeight="1" x14ac:dyDescent="0.2">
      <c r="B20" s="191"/>
      <c r="C20" s="195" t="s">
        <v>126</v>
      </c>
      <c r="D20" s="101"/>
      <c r="E20" s="104"/>
      <c r="F20" s="190">
        <f>SUM(D20:E20)</f>
        <v>0</v>
      </c>
    </row>
    <row r="21" spans="2:6" s="188" customFormat="1" ht="13.2" customHeight="1" x14ac:dyDescent="0.2">
      <c r="B21" s="205"/>
      <c r="C21" s="206" t="s">
        <v>127</v>
      </c>
      <c r="D21" s="99"/>
      <c r="E21" s="100"/>
      <c r="F21" s="189">
        <f>SUM(D21:E21)</f>
        <v>0</v>
      </c>
    </row>
    <row r="22" spans="2:6" ht="18" customHeight="1" x14ac:dyDescent="0.25">
      <c r="B22" s="171">
        <v>6</v>
      </c>
      <c r="C22" s="172" t="str">
        <f>Config!C10&amp;", "&amp;Config!D10</f>
        <v>Traut, Stefanie</v>
      </c>
      <c r="D22" s="110">
        <v>1.5</v>
      </c>
      <c r="E22" s="111">
        <v>3</v>
      </c>
      <c r="F22" s="176">
        <f t="shared" si="0"/>
        <v>4.5</v>
      </c>
    </row>
    <row r="23" spans="2:6" s="188" customFormat="1" ht="13.2" customHeight="1" x14ac:dyDescent="0.2">
      <c r="B23" s="194"/>
      <c r="C23" s="196" t="s">
        <v>126</v>
      </c>
      <c r="D23" s="105"/>
      <c r="E23" s="107"/>
      <c r="F23" s="193">
        <f>SUM(D23:E23)</f>
        <v>0</v>
      </c>
    </row>
    <row r="24" spans="2:6" s="188" customFormat="1" ht="13.2" customHeight="1" x14ac:dyDescent="0.2">
      <c r="B24" s="207"/>
      <c r="C24" s="208" t="s">
        <v>127</v>
      </c>
      <c r="D24" s="99"/>
      <c r="E24" s="100"/>
      <c r="F24" s="192">
        <f>SUM(D24:E24)</f>
        <v>0</v>
      </c>
    </row>
    <row r="25" spans="2:6" ht="18" customHeight="1" x14ac:dyDescent="0.25">
      <c r="B25" s="168">
        <v>7</v>
      </c>
      <c r="C25" s="169" t="str">
        <f>Config!C11&amp;", "&amp;Config!D11</f>
        <v>Menke, Damian</v>
      </c>
      <c r="D25" s="112">
        <v>2</v>
      </c>
      <c r="E25" s="113">
        <v>2.5</v>
      </c>
      <c r="F25" s="175">
        <f t="shared" si="0"/>
        <v>4.5</v>
      </c>
    </row>
    <row r="26" spans="2:6" s="188" customFormat="1" ht="13.2" customHeight="1" x14ac:dyDescent="0.2">
      <c r="B26" s="191"/>
      <c r="C26" s="195" t="s">
        <v>126</v>
      </c>
      <c r="D26" s="101"/>
      <c r="E26" s="104"/>
      <c r="F26" s="190">
        <f>SUM(D26:E26)</f>
        <v>0</v>
      </c>
    </row>
    <row r="27" spans="2:6" s="188" customFormat="1" ht="13.2" customHeight="1" x14ac:dyDescent="0.2">
      <c r="B27" s="205"/>
      <c r="C27" s="206" t="s">
        <v>127</v>
      </c>
      <c r="D27" s="99"/>
      <c r="E27" s="100"/>
      <c r="F27" s="189">
        <f>SUM(D27:E27)</f>
        <v>0</v>
      </c>
    </row>
    <row r="28" spans="2:6" ht="18" customHeight="1" x14ac:dyDescent="0.25">
      <c r="B28" s="171">
        <v>8</v>
      </c>
      <c r="C28" s="172" t="str">
        <f>Config!C12&amp;", "&amp;Config!D12</f>
        <v>Carroll, Meik</v>
      </c>
      <c r="D28" s="110">
        <v>2</v>
      </c>
      <c r="E28" s="111">
        <v>2</v>
      </c>
      <c r="F28" s="176">
        <f t="shared" si="0"/>
        <v>4</v>
      </c>
    </row>
    <row r="29" spans="2:6" s="188" customFormat="1" ht="13.2" customHeight="1" x14ac:dyDescent="0.2">
      <c r="B29" s="194"/>
      <c r="C29" s="196" t="s">
        <v>126</v>
      </c>
      <c r="D29" s="105"/>
      <c r="E29" s="107"/>
      <c r="F29" s="193">
        <f>SUM(D29:E29)</f>
        <v>0</v>
      </c>
    </row>
    <row r="30" spans="2:6" s="188" customFormat="1" ht="13.2" customHeight="1" x14ac:dyDescent="0.2">
      <c r="B30" s="207"/>
      <c r="C30" s="208" t="s">
        <v>127</v>
      </c>
      <c r="D30" s="99"/>
      <c r="E30" s="100"/>
      <c r="F30" s="192">
        <f>SUM(D30:E30)</f>
        <v>0</v>
      </c>
    </row>
    <row r="31" spans="2:6" ht="18" customHeight="1" x14ac:dyDescent="0.25">
      <c r="B31" s="168">
        <v>9</v>
      </c>
      <c r="C31" s="169" t="str">
        <f>Config!C13&amp;", "&amp;Config!D13</f>
        <v>Hennings, Tomas</v>
      </c>
      <c r="D31" s="112">
        <v>1.5</v>
      </c>
      <c r="E31" s="113">
        <v>3</v>
      </c>
      <c r="F31" s="175">
        <f t="shared" si="0"/>
        <v>4.5</v>
      </c>
    </row>
    <row r="32" spans="2:6" s="188" customFormat="1" ht="13.2" customHeight="1" x14ac:dyDescent="0.2">
      <c r="B32" s="191"/>
      <c r="C32" s="195" t="s">
        <v>126</v>
      </c>
      <c r="D32" s="101"/>
      <c r="E32" s="104"/>
      <c r="F32" s="190">
        <f>SUM(D32:E32)</f>
        <v>0</v>
      </c>
    </row>
    <row r="33" spans="2:6" s="188" customFormat="1" ht="13.2" customHeight="1" x14ac:dyDescent="0.2">
      <c r="B33" s="205"/>
      <c r="C33" s="206" t="s">
        <v>127</v>
      </c>
      <c r="D33" s="99"/>
      <c r="E33" s="100"/>
      <c r="F33" s="189">
        <f>SUM(D33:E33)</f>
        <v>0</v>
      </c>
    </row>
    <row r="34" spans="2:6" ht="18" customHeight="1" x14ac:dyDescent="0.25">
      <c r="B34" s="171">
        <v>10</v>
      </c>
      <c r="C34" s="172" t="str">
        <f>Config!C14&amp;", "&amp;Config!D14</f>
        <v>Walters, Linn</v>
      </c>
      <c r="D34" s="110">
        <v>1</v>
      </c>
      <c r="E34" s="111">
        <v>0</v>
      </c>
      <c r="F34" s="176">
        <f t="shared" si="0"/>
        <v>1</v>
      </c>
    </row>
    <row r="35" spans="2:6" s="188" customFormat="1" ht="13.2" customHeight="1" x14ac:dyDescent="0.2">
      <c r="B35" s="194"/>
      <c r="C35" s="196" t="s">
        <v>126</v>
      </c>
      <c r="D35" s="105"/>
      <c r="E35" s="107"/>
      <c r="F35" s="193">
        <f>SUM(D35:E35)</f>
        <v>0</v>
      </c>
    </row>
    <row r="36" spans="2:6" s="188" customFormat="1" ht="13.2" customHeight="1" x14ac:dyDescent="0.2">
      <c r="B36" s="207"/>
      <c r="C36" s="208" t="s">
        <v>127</v>
      </c>
      <c r="D36" s="99"/>
      <c r="E36" s="100"/>
      <c r="F36" s="192">
        <f>SUM(D36:E36)</f>
        <v>0</v>
      </c>
    </row>
    <row r="37" spans="2:6" ht="18" customHeight="1" x14ac:dyDescent="0.25">
      <c r="B37" s="168">
        <v>11</v>
      </c>
      <c r="C37" s="169" t="str">
        <f>Config!C15&amp;", "&amp;Config!D15</f>
        <v>Junker, Amely</v>
      </c>
      <c r="D37" s="112">
        <v>2</v>
      </c>
      <c r="E37" s="113">
        <v>0</v>
      </c>
      <c r="F37" s="175">
        <f t="shared" si="0"/>
        <v>2</v>
      </c>
    </row>
    <row r="38" spans="2:6" s="188" customFormat="1" ht="13.2" customHeight="1" x14ac:dyDescent="0.2">
      <c r="B38" s="191"/>
      <c r="C38" s="195" t="s">
        <v>126</v>
      </c>
      <c r="D38" s="101"/>
      <c r="E38" s="104"/>
      <c r="F38" s="190">
        <f>SUM(D38:E38)</f>
        <v>0</v>
      </c>
    </row>
    <row r="39" spans="2:6" s="188" customFormat="1" ht="13.2" customHeight="1" x14ac:dyDescent="0.2">
      <c r="B39" s="205"/>
      <c r="C39" s="206" t="s">
        <v>127</v>
      </c>
      <c r="D39" s="99"/>
      <c r="E39" s="100"/>
      <c r="F39" s="189">
        <f>SUM(D39:E39)</f>
        <v>0</v>
      </c>
    </row>
    <row r="40" spans="2:6" ht="18" customHeight="1" x14ac:dyDescent="0.25">
      <c r="B40" s="171">
        <v>12</v>
      </c>
      <c r="C40" s="172" t="str">
        <f>Config!C16&amp;", "&amp;Config!D16</f>
        <v>Stephens, Melvin</v>
      </c>
      <c r="D40" s="110">
        <v>0.5</v>
      </c>
      <c r="E40" s="111">
        <v>0</v>
      </c>
      <c r="F40" s="176">
        <f t="shared" ref="F40:F70" si="1">SUM(D40:E40)</f>
        <v>0.5</v>
      </c>
    </row>
    <row r="41" spans="2:6" s="188" customFormat="1" ht="13.2" customHeight="1" x14ac:dyDescent="0.2">
      <c r="B41" s="194"/>
      <c r="C41" s="196" t="s">
        <v>126</v>
      </c>
      <c r="D41" s="105"/>
      <c r="E41" s="107"/>
      <c r="F41" s="193">
        <f>SUM(D41:E41)</f>
        <v>0</v>
      </c>
    </row>
    <row r="42" spans="2:6" s="188" customFormat="1" ht="13.2" customHeight="1" x14ac:dyDescent="0.2">
      <c r="B42" s="207"/>
      <c r="C42" s="208" t="s">
        <v>127</v>
      </c>
      <c r="D42" s="99"/>
      <c r="E42" s="100"/>
      <c r="F42" s="192">
        <f>SUM(D42:E42)</f>
        <v>0</v>
      </c>
    </row>
    <row r="43" spans="2:6" ht="18" customHeight="1" x14ac:dyDescent="0.25">
      <c r="B43" s="168">
        <v>13</v>
      </c>
      <c r="C43" s="169" t="str">
        <f>Config!C17&amp;", "&amp;Config!D17</f>
        <v>Cremer, Marvin</v>
      </c>
      <c r="D43" s="112">
        <v>1.5</v>
      </c>
      <c r="E43" s="113">
        <v>3</v>
      </c>
      <c r="F43" s="175">
        <f t="shared" si="1"/>
        <v>4.5</v>
      </c>
    </row>
    <row r="44" spans="2:6" s="188" customFormat="1" ht="13.2" customHeight="1" x14ac:dyDescent="0.2">
      <c r="B44" s="191"/>
      <c r="C44" s="195" t="s">
        <v>126</v>
      </c>
      <c r="D44" s="101"/>
      <c r="E44" s="104"/>
      <c r="F44" s="190">
        <f>SUM(D44:E44)</f>
        <v>0</v>
      </c>
    </row>
    <row r="45" spans="2:6" s="188" customFormat="1" ht="13.2" customHeight="1" x14ac:dyDescent="0.2">
      <c r="B45" s="205"/>
      <c r="C45" s="206" t="s">
        <v>127</v>
      </c>
      <c r="D45" s="99"/>
      <c r="E45" s="100"/>
      <c r="F45" s="189">
        <f>SUM(D45:E45)</f>
        <v>0</v>
      </c>
    </row>
    <row r="46" spans="2:6" ht="18" customHeight="1" x14ac:dyDescent="0.25">
      <c r="B46" s="171">
        <v>14</v>
      </c>
      <c r="C46" s="172" t="str">
        <f>Config!C18&amp;", "&amp;Config!D18</f>
        <v>Nash, Jean</v>
      </c>
      <c r="D46" s="110">
        <v>2</v>
      </c>
      <c r="E46" s="111">
        <v>2</v>
      </c>
      <c r="F46" s="176">
        <f t="shared" si="1"/>
        <v>4</v>
      </c>
    </row>
    <row r="47" spans="2:6" s="188" customFormat="1" ht="13.2" customHeight="1" x14ac:dyDescent="0.2">
      <c r="B47" s="194"/>
      <c r="C47" s="196" t="s">
        <v>126</v>
      </c>
      <c r="D47" s="105"/>
      <c r="E47" s="107"/>
      <c r="F47" s="193">
        <f>SUM(D47:E47)</f>
        <v>0</v>
      </c>
    </row>
    <row r="48" spans="2:6" s="188" customFormat="1" ht="13.2" customHeight="1" x14ac:dyDescent="0.2">
      <c r="B48" s="207"/>
      <c r="C48" s="208" t="s">
        <v>127</v>
      </c>
      <c r="D48" s="99"/>
      <c r="E48" s="100"/>
      <c r="F48" s="192">
        <f>SUM(D48:E48)</f>
        <v>0</v>
      </c>
    </row>
    <row r="49" spans="2:6" ht="18" customHeight="1" x14ac:dyDescent="0.25">
      <c r="B49" s="168">
        <v>15</v>
      </c>
      <c r="C49" s="169" t="str">
        <f>Config!C19&amp;", "&amp;Config!D19</f>
        <v>Schön, Leonardo</v>
      </c>
      <c r="D49" s="112">
        <v>2</v>
      </c>
      <c r="E49" s="113">
        <v>3</v>
      </c>
      <c r="F49" s="175">
        <f t="shared" si="1"/>
        <v>5</v>
      </c>
    </row>
    <row r="50" spans="2:6" s="188" customFormat="1" ht="13.2" customHeight="1" x14ac:dyDescent="0.2">
      <c r="B50" s="191"/>
      <c r="C50" s="195" t="s">
        <v>126</v>
      </c>
      <c r="D50" s="101"/>
      <c r="E50" s="104"/>
      <c r="F50" s="190">
        <f>SUM(D50:E50)</f>
        <v>0</v>
      </c>
    </row>
    <row r="51" spans="2:6" s="188" customFormat="1" ht="13.2" customHeight="1" x14ac:dyDescent="0.2">
      <c r="B51" s="205"/>
      <c r="C51" s="206" t="s">
        <v>127</v>
      </c>
      <c r="D51" s="99"/>
      <c r="E51" s="100"/>
      <c r="F51" s="189">
        <f>SUM(D51:E51)</f>
        <v>0</v>
      </c>
    </row>
    <row r="52" spans="2:6" ht="18" customHeight="1" x14ac:dyDescent="0.25">
      <c r="B52" s="171">
        <v>16</v>
      </c>
      <c r="C52" s="172" t="str">
        <f>Config!C20&amp;", "&amp;Config!D20</f>
        <v>Sigl, Nicholas</v>
      </c>
      <c r="D52" s="110">
        <v>2</v>
      </c>
      <c r="E52" s="111">
        <v>2.5</v>
      </c>
      <c r="F52" s="176">
        <f t="shared" si="1"/>
        <v>4.5</v>
      </c>
    </row>
    <row r="53" spans="2:6" s="188" customFormat="1" ht="13.2" customHeight="1" x14ac:dyDescent="0.2">
      <c r="B53" s="194"/>
      <c r="C53" s="196" t="s">
        <v>126</v>
      </c>
      <c r="D53" s="105"/>
      <c r="E53" s="107"/>
      <c r="F53" s="193">
        <f>SUM(D53:E53)</f>
        <v>0</v>
      </c>
    </row>
    <row r="54" spans="2:6" s="188" customFormat="1" ht="13.2" customHeight="1" x14ac:dyDescent="0.2">
      <c r="B54" s="207"/>
      <c r="C54" s="208" t="s">
        <v>127</v>
      </c>
      <c r="D54" s="99"/>
      <c r="E54" s="100"/>
      <c r="F54" s="192">
        <f>SUM(D54:E54)</f>
        <v>0</v>
      </c>
    </row>
    <row r="55" spans="2:6" ht="18" customHeight="1" x14ac:dyDescent="0.25">
      <c r="B55" s="168">
        <v>17</v>
      </c>
      <c r="C55" s="169" t="str">
        <f>Config!C21&amp;", "&amp;Config!D21</f>
        <v>Kainz, Vivienne</v>
      </c>
      <c r="D55" s="112">
        <v>2</v>
      </c>
      <c r="E55" s="113">
        <v>3</v>
      </c>
      <c r="F55" s="175">
        <f t="shared" si="1"/>
        <v>5</v>
      </c>
    </row>
    <row r="56" spans="2:6" s="188" customFormat="1" ht="13.2" customHeight="1" x14ac:dyDescent="0.2">
      <c r="B56" s="191"/>
      <c r="C56" s="195" t="s">
        <v>126</v>
      </c>
      <c r="D56" s="101"/>
      <c r="E56" s="104"/>
      <c r="F56" s="190">
        <f>SUM(D56:E56)</f>
        <v>0</v>
      </c>
    </row>
    <row r="57" spans="2:6" s="188" customFormat="1" ht="13.2" customHeight="1" x14ac:dyDescent="0.2">
      <c r="B57" s="205"/>
      <c r="C57" s="206" t="s">
        <v>127</v>
      </c>
      <c r="D57" s="99"/>
      <c r="E57" s="100"/>
      <c r="F57" s="189">
        <f>SUM(D57:E57)</f>
        <v>0</v>
      </c>
    </row>
    <row r="58" spans="2:6" ht="18" customHeight="1" x14ac:dyDescent="0.25">
      <c r="B58" s="171">
        <v>18</v>
      </c>
      <c r="C58" s="172" t="str">
        <f>Config!C22&amp;", "&amp;Config!D22</f>
        <v>Hartmann, Mads</v>
      </c>
      <c r="D58" s="110">
        <v>1</v>
      </c>
      <c r="E58" s="111">
        <v>0</v>
      </c>
      <c r="F58" s="176">
        <f t="shared" si="1"/>
        <v>1</v>
      </c>
    </row>
    <row r="59" spans="2:6" s="188" customFormat="1" ht="13.2" customHeight="1" x14ac:dyDescent="0.2">
      <c r="B59" s="194"/>
      <c r="C59" s="196" t="s">
        <v>126</v>
      </c>
      <c r="D59" s="105"/>
      <c r="E59" s="107"/>
      <c r="F59" s="193">
        <f>SUM(D59:E59)</f>
        <v>0</v>
      </c>
    </row>
    <row r="60" spans="2:6" s="188" customFormat="1" ht="13.2" customHeight="1" x14ac:dyDescent="0.2">
      <c r="B60" s="207"/>
      <c r="C60" s="208" t="s">
        <v>127</v>
      </c>
      <c r="D60" s="99"/>
      <c r="E60" s="100"/>
      <c r="F60" s="192">
        <f>SUM(D60:E60)</f>
        <v>0</v>
      </c>
    </row>
    <row r="61" spans="2:6" ht="18" customHeight="1" x14ac:dyDescent="0.25">
      <c r="B61" s="168">
        <v>19</v>
      </c>
      <c r="C61" s="169" t="str">
        <f>Config!C23&amp;", "&amp;Config!D23</f>
        <v>Ullmann, Raphael</v>
      </c>
      <c r="D61" s="112">
        <v>2</v>
      </c>
      <c r="E61" s="113">
        <v>0</v>
      </c>
      <c r="F61" s="175">
        <f t="shared" si="1"/>
        <v>2</v>
      </c>
    </row>
    <row r="62" spans="2:6" s="188" customFormat="1" ht="13.2" customHeight="1" x14ac:dyDescent="0.2">
      <c r="B62" s="191"/>
      <c r="C62" s="195" t="s">
        <v>126</v>
      </c>
      <c r="D62" s="101"/>
      <c r="E62" s="104"/>
      <c r="F62" s="190">
        <f>SUM(D62:E62)</f>
        <v>0</v>
      </c>
    </row>
    <row r="63" spans="2:6" s="188" customFormat="1" ht="13.2" customHeight="1" x14ac:dyDescent="0.2">
      <c r="B63" s="205"/>
      <c r="C63" s="206" t="s">
        <v>127</v>
      </c>
      <c r="D63" s="99"/>
      <c r="E63" s="100"/>
      <c r="F63" s="189">
        <f>SUM(D63:E63)</f>
        <v>0</v>
      </c>
    </row>
    <row r="64" spans="2:6" ht="18" customHeight="1" x14ac:dyDescent="0.25">
      <c r="B64" s="171">
        <v>20</v>
      </c>
      <c r="C64" s="172" t="str">
        <f>Config!C24&amp;", "&amp;Config!D24</f>
        <v>Hartl, Emmely</v>
      </c>
      <c r="D64" s="110">
        <v>2</v>
      </c>
      <c r="E64" s="111">
        <v>0</v>
      </c>
      <c r="F64" s="176">
        <f t="shared" si="1"/>
        <v>2</v>
      </c>
    </row>
    <row r="65" spans="2:6" s="188" customFormat="1" ht="13.2" customHeight="1" x14ac:dyDescent="0.2">
      <c r="B65" s="194"/>
      <c r="C65" s="196" t="s">
        <v>126</v>
      </c>
      <c r="D65" s="105"/>
      <c r="E65" s="107"/>
      <c r="F65" s="193">
        <f>SUM(D65:E65)</f>
        <v>0</v>
      </c>
    </row>
    <row r="66" spans="2:6" s="188" customFormat="1" ht="13.2" customHeight="1" x14ac:dyDescent="0.2">
      <c r="B66" s="207"/>
      <c r="C66" s="208" t="s">
        <v>127</v>
      </c>
      <c r="D66" s="99"/>
      <c r="E66" s="100"/>
      <c r="F66" s="192">
        <f>SUM(D66:E66)</f>
        <v>0</v>
      </c>
    </row>
    <row r="67" spans="2:6" ht="18" customHeight="1" x14ac:dyDescent="0.25">
      <c r="B67" s="168">
        <v>21</v>
      </c>
      <c r="C67" s="169" t="str">
        <f>Config!C25&amp;", "&amp;Config!D25</f>
        <v>Klotz, Karin</v>
      </c>
      <c r="D67" s="112">
        <v>2</v>
      </c>
      <c r="E67" s="113">
        <v>3</v>
      </c>
      <c r="F67" s="175">
        <f t="shared" si="1"/>
        <v>5</v>
      </c>
    </row>
    <row r="68" spans="2:6" s="188" customFormat="1" ht="13.2" customHeight="1" x14ac:dyDescent="0.2">
      <c r="B68" s="191"/>
      <c r="C68" s="195" t="s">
        <v>126</v>
      </c>
      <c r="D68" s="101"/>
      <c r="E68" s="104"/>
      <c r="F68" s="190">
        <f>SUM(D68:E68)</f>
        <v>0</v>
      </c>
    </row>
    <row r="69" spans="2:6" s="188" customFormat="1" ht="13.2" customHeight="1" x14ac:dyDescent="0.2">
      <c r="B69" s="205"/>
      <c r="C69" s="206" t="s">
        <v>127</v>
      </c>
      <c r="D69" s="99"/>
      <c r="E69" s="100"/>
      <c r="F69" s="189">
        <f>SUM(D69:E69)</f>
        <v>0</v>
      </c>
    </row>
    <row r="70" spans="2:6" ht="18" customHeight="1" x14ac:dyDescent="0.25">
      <c r="B70" s="171">
        <v>22</v>
      </c>
      <c r="C70" s="172" t="str">
        <f>Config!C26&amp;", "&amp;Config!D26</f>
        <v>Ehlers, Ingo</v>
      </c>
      <c r="D70" s="110">
        <v>2</v>
      </c>
      <c r="E70" s="111">
        <v>3</v>
      </c>
      <c r="F70" s="176">
        <f t="shared" si="1"/>
        <v>5</v>
      </c>
    </row>
    <row r="71" spans="2:6" s="188" customFormat="1" ht="13.2" customHeight="1" x14ac:dyDescent="0.2">
      <c r="B71" s="194"/>
      <c r="C71" s="196" t="s">
        <v>126</v>
      </c>
      <c r="D71" s="105"/>
      <c r="E71" s="107"/>
      <c r="F71" s="193">
        <f>SUM(D71:E71)</f>
        <v>0</v>
      </c>
    </row>
    <row r="72" spans="2:6" s="188" customFormat="1" ht="13.2" customHeight="1" x14ac:dyDescent="0.2">
      <c r="B72" s="207"/>
      <c r="C72" s="208" t="s">
        <v>127</v>
      </c>
      <c r="D72" s="99"/>
      <c r="E72" s="100"/>
      <c r="F72" s="192">
        <f>SUM(D72:E72)</f>
        <v>0</v>
      </c>
    </row>
    <row r="73" spans="2:6" ht="18" customHeight="1" x14ac:dyDescent="0.25">
      <c r="B73" s="168">
        <v>23</v>
      </c>
      <c r="C73" s="169" t="str">
        <f>Config!C27&amp;", "&amp;Config!D27</f>
        <v>Lindemann, Mads</v>
      </c>
      <c r="D73" s="112">
        <v>2</v>
      </c>
      <c r="E73" s="113">
        <v>1</v>
      </c>
      <c r="F73" s="175">
        <f t="shared" ref="F73" si="2">SUM(D73:E73)</f>
        <v>3</v>
      </c>
    </row>
    <row r="74" spans="2:6" s="188" customFormat="1" ht="13.2" customHeight="1" x14ac:dyDescent="0.2">
      <c r="B74" s="191"/>
      <c r="C74" s="195" t="s">
        <v>126</v>
      </c>
      <c r="D74" s="101"/>
      <c r="E74" s="104"/>
      <c r="F74" s="190">
        <f>SUM(D74:E74)</f>
        <v>0</v>
      </c>
    </row>
    <row r="75" spans="2:6" s="188" customFormat="1" ht="13.2" customHeight="1" thickBot="1" x14ac:dyDescent="0.25">
      <c r="B75" s="205"/>
      <c r="C75" s="206" t="s">
        <v>127</v>
      </c>
      <c r="D75" s="99"/>
      <c r="E75" s="100"/>
      <c r="F75" s="189">
        <f>SUM(D75:E75)</f>
        <v>0</v>
      </c>
    </row>
    <row r="76" spans="2:6" ht="18" customHeight="1" thickBot="1" x14ac:dyDescent="0.3">
      <c r="B76" s="134"/>
      <c r="C76" s="135"/>
      <c r="D76" s="135">
        <v>0.82608695652173914</v>
      </c>
      <c r="E76" s="135">
        <v>0.56521739130434778</v>
      </c>
      <c r="F76" s="136"/>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2">
    <dataValidation type="decimal" allowBlank="1" showErrorMessage="1" sqref="D7:D75" xr:uid="{72513304-8B4C-437F-A508-142951FCB543}">
      <formula1>0</formula1>
      <formula2>$D$6</formula2>
    </dataValidation>
    <dataValidation type="decimal" allowBlank="1" showErrorMessage="1" sqref="E7:E75" xr:uid="{50843087-D2BE-48FF-861B-1E041868B99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A65CD-1260-4937-B626-A733326F7768}">
  <sheetPr codeName="Tabelle140">
    <tabColor rgb="FF92D050"/>
  </sheetPr>
  <dimension ref="B1:I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9" width="8.77734375" style="114" customWidth="1"/>
    <col min="10" max="16384" width="11.5546875" style="114"/>
  </cols>
  <sheetData>
    <row r="1" spans="2:9" ht="18" customHeight="1" thickBot="1" x14ac:dyDescent="0.3"/>
    <row r="2" spans="2:9" ht="18" customHeight="1" x14ac:dyDescent="0.25">
      <c r="B2" s="115" t="str">
        <f>Config!F2&amp;" "&amp;YEAR(Config!G24)</f>
        <v>Mathe Abitur 2026</v>
      </c>
      <c r="C2" s="116"/>
      <c r="D2" s="116"/>
      <c r="E2" s="116"/>
      <c r="F2" s="117"/>
      <c r="G2" s="117"/>
      <c r="H2" s="117"/>
      <c r="I2" s="118" t="str">
        <f>"Kurs "&amp;Config!G26</f>
        <v>Kurs K1</v>
      </c>
    </row>
    <row r="3" spans="2:9" ht="18" customHeight="1" x14ac:dyDescent="0.25">
      <c r="B3" s="119" t="s">
        <v>14</v>
      </c>
      <c r="C3" s="120"/>
      <c r="D3" s="120"/>
      <c r="E3" s="120"/>
      <c r="F3" s="120"/>
      <c r="G3" s="120"/>
      <c r="H3" s="120"/>
      <c r="I3" s="121"/>
    </row>
    <row r="4" spans="2:9" ht="18" customHeight="1" thickBot="1" x14ac:dyDescent="0.3">
      <c r="B4" s="119"/>
      <c r="C4" s="120"/>
      <c r="D4" s="122"/>
      <c r="E4" s="122"/>
      <c r="F4" s="122"/>
      <c r="G4" s="122"/>
      <c r="H4" s="122"/>
      <c r="I4" s="123"/>
    </row>
    <row r="5" spans="2:9" ht="18" customHeight="1" thickBot="1" x14ac:dyDescent="0.3">
      <c r="B5" s="124"/>
      <c r="C5" s="126"/>
      <c r="D5" s="145" t="str">
        <f>Config!P6</f>
        <v>1a</v>
      </c>
      <c r="E5" s="145" t="str">
        <f>Config!P7</f>
        <v>1b</v>
      </c>
      <c r="F5" s="145" t="str">
        <f>Config!P8</f>
        <v>1c</v>
      </c>
      <c r="G5" s="145" t="str">
        <f>Config!P9</f>
        <v>1d</v>
      </c>
      <c r="H5" s="145" t="str">
        <f>Config!P10</f>
        <v>1e</v>
      </c>
      <c r="I5" s="130" t="s">
        <v>82</v>
      </c>
    </row>
    <row r="6" spans="2:9" ht="18" customHeight="1" thickBot="1" x14ac:dyDescent="0.3">
      <c r="B6" s="125"/>
      <c r="C6" s="127" t="s">
        <v>81</v>
      </c>
      <c r="D6" s="129">
        <f>Config!Q6</f>
        <v>4</v>
      </c>
      <c r="E6" s="129">
        <f>Config!Q7</f>
        <v>3</v>
      </c>
      <c r="F6" s="129">
        <f>Config!Q8</f>
        <v>4</v>
      </c>
      <c r="G6" s="129">
        <f>Config!Q9</f>
        <v>3</v>
      </c>
      <c r="H6" s="129">
        <f>Config!Q10</f>
        <v>4</v>
      </c>
      <c r="I6" s="146">
        <f>Config!Q21</f>
        <v>18</v>
      </c>
    </row>
    <row r="7" spans="2:9" ht="18" customHeight="1" x14ac:dyDescent="0.25">
      <c r="B7" s="173">
        <v>1</v>
      </c>
      <c r="C7" s="174" t="str">
        <f>Config!C5&amp;", "&amp;Config!D5</f>
        <v>Höfer, Simon</v>
      </c>
      <c r="D7" s="108">
        <v>4</v>
      </c>
      <c r="E7" s="108">
        <v>2</v>
      </c>
      <c r="F7" s="108">
        <v>2</v>
      </c>
      <c r="G7" s="108">
        <v>0.5</v>
      </c>
      <c r="H7" s="109">
        <v>0.5</v>
      </c>
      <c r="I7" s="170">
        <f t="shared" ref="I7:I37" si="0">SUM(D7:H7)</f>
        <v>9</v>
      </c>
    </row>
    <row r="8" spans="2:9" s="188" customFormat="1" ht="13.2" customHeight="1" x14ac:dyDescent="0.2">
      <c r="B8" s="191"/>
      <c r="C8" s="195" t="s">
        <v>126</v>
      </c>
      <c r="D8" s="101"/>
      <c r="E8" s="101"/>
      <c r="F8" s="101"/>
      <c r="G8" s="101"/>
      <c r="H8" s="104"/>
      <c r="I8" s="190">
        <f>SUM(D8:H8)</f>
        <v>0</v>
      </c>
    </row>
    <row r="9" spans="2:9" s="188" customFormat="1" ht="13.2" customHeight="1" x14ac:dyDescent="0.2">
      <c r="B9" s="205"/>
      <c r="C9" s="206" t="s">
        <v>127</v>
      </c>
      <c r="D9" s="99"/>
      <c r="E9" s="99"/>
      <c r="F9" s="99"/>
      <c r="G9" s="99"/>
      <c r="H9" s="100"/>
      <c r="I9" s="189">
        <f>SUM(D9:H9)</f>
        <v>0</v>
      </c>
    </row>
    <row r="10" spans="2:9" ht="18" customHeight="1" x14ac:dyDescent="0.25">
      <c r="B10" s="171">
        <v>2</v>
      </c>
      <c r="C10" s="172" t="str">
        <f>Config!C6&amp;", "&amp;Config!D6</f>
        <v>Töpfer, Lilian</v>
      </c>
      <c r="D10" s="110">
        <v>4</v>
      </c>
      <c r="E10" s="110">
        <v>0</v>
      </c>
      <c r="F10" s="110">
        <v>2.5</v>
      </c>
      <c r="G10" s="110">
        <v>0.5</v>
      </c>
      <c r="H10" s="111">
        <v>2</v>
      </c>
      <c r="I10" s="176">
        <f t="shared" si="0"/>
        <v>9</v>
      </c>
    </row>
    <row r="11" spans="2:9" s="188" customFormat="1" ht="13.2" customHeight="1" x14ac:dyDescent="0.2">
      <c r="B11" s="194"/>
      <c r="C11" s="196" t="s">
        <v>126</v>
      </c>
      <c r="D11" s="105"/>
      <c r="E11" s="105"/>
      <c r="F11" s="105"/>
      <c r="G11" s="105"/>
      <c r="H11" s="107"/>
      <c r="I11" s="193">
        <f>SUM(D11:H11)</f>
        <v>0</v>
      </c>
    </row>
    <row r="12" spans="2:9" s="188" customFormat="1" ht="13.2" customHeight="1" x14ac:dyDescent="0.2">
      <c r="B12" s="207"/>
      <c r="C12" s="208" t="s">
        <v>127</v>
      </c>
      <c r="D12" s="99"/>
      <c r="E12" s="99"/>
      <c r="F12" s="99"/>
      <c r="G12" s="99"/>
      <c r="H12" s="100"/>
      <c r="I12" s="192">
        <f>SUM(D12:H12)</f>
        <v>0</v>
      </c>
    </row>
    <row r="13" spans="2:9" ht="18" customHeight="1" x14ac:dyDescent="0.25">
      <c r="B13" s="168">
        <v>3</v>
      </c>
      <c r="C13" s="169" t="str">
        <f>Config!C7&amp;", "&amp;Config!D7</f>
        <v>Fleischmann, Leonie</v>
      </c>
      <c r="D13" s="112">
        <v>4</v>
      </c>
      <c r="E13" s="112">
        <v>2</v>
      </c>
      <c r="F13" s="112">
        <v>3</v>
      </c>
      <c r="G13" s="112">
        <v>2</v>
      </c>
      <c r="H13" s="113">
        <v>3</v>
      </c>
      <c r="I13" s="175">
        <f t="shared" si="0"/>
        <v>14</v>
      </c>
    </row>
    <row r="14" spans="2:9" s="188" customFormat="1" ht="13.2" customHeight="1" x14ac:dyDescent="0.2">
      <c r="B14" s="191"/>
      <c r="C14" s="195" t="s">
        <v>126</v>
      </c>
      <c r="D14" s="101"/>
      <c r="E14" s="101"/>
      <c r="F14" s="101"/>
      <c r="G14" s="101"/>
      <c r="H14" s="104"/>
      <c r="I14" s="190">
        <f>SUM(D14:H14)</f>
        <v>0</v>
      </c>
    </row>
    <row r="15" spans="2:9" s="188" customFormat="1" ht="13.2" customHeight="1" x14ac:dyDescent="0.2">
      <c r="B15" s="205"/>
      <c r="C15" s="206" t="s">
        <v>127</v>
      </c>
      <c r="D15" s="99"/>
      <c r="E15" s="99"/>
      <c r="F15" s="99"/>
      <c r="G15" s="99"/>
      <c r="H15" s="100"/>
      <c r="I15" s="189">
        <f>SUM(D15:H15)</f>
        <v>0</v>
      </c>
    </row>
    <row r="16" spans="2:9" ht="18" customHeight="1" x14ac:dyDescent="0.25">
      <c r="B16" s="171">
        <v>4</v>
      </c>
      <c r="C16" s="172" t="str">
        <f>Config!C8&amp;", "&amp;Config!D8</f>
        <v>Drescher, Cedric</v>
      </c>
      <c r="D16" s="110">
        <v>4</v>
      </c>
      <c r="E16" s="110">
        <v>2</v>
      </c>
      <c r="F16" s="110">
        <v>3.5</v>
      </c>
      <c r="G16" s="110">
        <v>0</v>
      </c>
      <c r="H16" s="111">
        <v>4</v>
      </c>
      <c r="I16" s="176">
        <f t="shared" si="0"/>
        <v>13.5</v>
      </c>
    </row>
    <row r="17" spans="2:9" s="188" customFormat="1" ht="13.2" customHeight="1" x14ac:dyDescent="0.2">
      <c r="B17" s="194"/>
      <c r="C17" s="196" t="s">
        <v>126</v>
      </c>
      <c r="D17" s="105"/>
      <c r="E17" s="105"/>
      <c r="F17" s="105"/>
      <c r="G17" s="105"/>
      <c r="H17" s="107"/>
      <c r="I17" s="193">
        <f>SUM(D17:H17)</f>
        <v>0</v>
      </c>
    </row>
    <row r="18" spans="2:9" s="188" customFormat="1" ht="13.2" customHeight="1" x14ac:dyDescent="0.2">
      <c r="B18" s="207"/>
      <c r="C18" s="208" t="s">
        <v>127</v>
      </c>
      <c r="D18" s="99"/>
      <c r="E18" s="99"/>
      <c r="F18" s="99"/>
      <c r="G18" s="99"/>
      <c r="H18" s="100"/>
      <c r="I18" s="192">
        <f>SUM(D18:H18)</f>
        <v>0</v>
      </c>
    </row>
    <row r="19" spans="2:9" ht="18" customHeight="1" x14ac:dyDescent="0.25">
      <c r="B19" s="168">
        <v>5</v>
      </c>
      <c r="C19" s="169" t="str">
        <f>Config!C9&amp;", "&amp;Config!D9</f>
        <v>Baumgarten, Annabell</v>
      </c>
      <c r="D19" s="112">
        <v>4</v>
      </c>
      <c r="E19" s="112">
        <v>2</v>
      </c>
      <c r="F19" s="112">
        <v>3</v>
      </c>
      <c r="G19" s="112">
        <v>0</v>
      </c>
      <c r="H19" s="113">
        <v>3</v>
      </c>
      <c r="I19" s="175">
        <f t="shared" si="0"/>
        <v>12</v>
      </c>
    </row>
    <row r="20" spans="2:9" s="188" customFormat="1" ht="13.2" customHeight="1" x14ac:dyDescent="0.2">
      <c r="B20" s="191"/>
      <c r="C20" s="195" t="s">
        <v>126</v>
      </c>
      <c r="D20" s="101"/>
      <c r="E20" s="101"/>
      <c r="F20" s="101"/>
      <c r="G20" s="101"/>
      <c r="H20" s="104"/>
      <c r="I20" s="190">
        <f>SUM(D20:H20)</f>
        <v>0</v>
      </c>
    </row>
    <row r="21" spans="2:9" s="188" customFormat="1" ht="13.2" customHeight="1" x14ac:dyDescent="0.2">
      <c r="B21" s="205"/>
      <c r="C21" s="206" t="s">
        <v>127</v>
      </c>
      <c r="D21" s="99"/>
      <c r="E21" s="99"/>
      <c r="F21" s="99"/>
      <c r="G21" s="99"/>
      <c r="H21" s="100"/>
      <c r="I21" s="189">
        <f>SUM(D21:H21)</f>
        <v>0</v>
      </c>
    </row>
    <row r="22" spans="2:9" ht="18" customHeight="1" x14ac:dyDescent="0.25">
      <c r="B22" s="171">
        <v>6</v>
      </c>
      <c r="C22" s="172" t="str">
        <f>Config!C10&amp;", "&amp;Config!D10</f>
        <v>Traut, Stefanie</v>
      </c>
      <c r="D22" s="110">
        <v>4</v>
      </c>
      <c r="E22" s="110">
        <v>3</v>
      </c>
      <c r="F22" s="110">
        <v>4</v>
      </c>
      <c r="G22" s="110">
        <v>2</v>
      </c>
      <c r="H22" s="111">
        <v>4</v>
      </c>
      <c r="I22" s="176">
        <f t="shared" si="0"/>
        <v>17</v>
      </c>
    </row>
    <row r="23" spans="2:9" s="188" customFormat="1" ht="13.2" customHeight="1" x14ac:dyDescent="0.2">
      <c r="B23" s="194"/>
      <c r="C23" s="196" t="s">
        <v>126</v>
      </c>
      <c r="D23" s="105"/>
      <c r="E23" s="105"/>
      <c r="F23" s="105"/>
      <c r="G23" s="105"/>
      <c r="H23" s="107"/>
      <c r="I23" s="193">
        <f>SUM(D23:H23)</f>
        <v>0</v>
      </c>
    </row>
    <row r="24" spans="2:9" s="188" customFormat="1" ht="13.2" customHeight="1" x14ac:dyDescent="0.2">
      <c r="B24" s="207"/>
      <c r="C24" s="208" t="s">
        <v>127</v>
      </c>
      <c r="D24" s="99"/>
      <c r="E24" s="99"/>
      <c r="F24" s="99"/>
      <c r="G24" s="99"/>
      <c r="H24" s="100"/>
      <c r="I24" s="192">
        <f>SUM(D24:H24)</f>
        <v>0</v>
      </c>
    </row>
    <row r="25" spans="2:9" ht="18" customHeight="1" x14ac:dyDescent="0.25">
      <c r="B25" s="168">
        <v>7</v>
      </c>
      <c r="C25" s="169" t="str">
        <f>Config!C11&amp;", "&amp;Config!D11</f>
        <v>Menke, Damian</v>
      </c>
      <c r="D25" s="112">
        <v>4</v>
      </c>
      <c r="E25" s="112">
        <v>3</v>
      </c>
      <c r="F25" s="112">
        <v>3.5</v>
      </c>
      <c r="G25" s="112">
        <v>0.5</v>
      </c>
      <c r="H25" s="113">
        <v>4</v>
      </c>
      <c r="I25" s="175">
        <f t="shared" si="0"/>
        <v>15</v>
      </c>
    </row>
    <row r="26" spans="2:9" s="188" customFormat="1" ht="13.2" customHeight="1" x14ac:dyDescent="0.2">
      <c r="B26" s="191"/>
      <c r="C26" s="195" t="s">
        <v>126</v>
      </c>
      <c r="D26" s="101"/>
      <c r="E26" s="101"/>
      <c r="F26" s="101"/>
      <c r="G26" s="101"/>
      <c r="H26" s="104"/>
      <c r="I26" s="190">
        <f>SUM(D26:H26)</f>
        <v>0</v>
      </c>
    </row>
    <row r="27" spans="2:9" s="188" customFormat="1" ht="13.2" customHeight="1" x14ac:dyDescent="0.2">
      <c r="B27" s="205"/>
      <c r="C27" s="206" t="s">
        <v>127</v>
      </c>
      <c r="D27" s="99"/>
      <c r="E27" s="99"/>
      <c r="F27" s="99"/>
      <c r="G27" s="99"/>
      <c r="H27" s="100"/>
      <c r="I27" s="189">
        <f>SUM(D27:H27)</f>
        <v>0</v>
      </c>
    </row>
    <row r="28" spans="2:9" ht="18" customHeight="1" x14ac:dyDescent="0.25">
      <c r="B28" s="171">
        <v>8</v>
      </c>
      <c r="C28" s="172" t="str">
        <f>Config!C12&amp;", "&amp;Config!D12</f>
        <v>Carroll, Meik</v>
      </c>
      <c r="D28" s="110">
        <v>3.5</v>
      </c>
      <c r="E28" s="110">
        <v>2</v>
      </c>
      <c r="F28" s="110">
        <v>3.5</v>
      </c>
      <c r="G28" s="110">
        <v>2</v>
      </c>
      <c r="H28" s="111">
        <v>2</v>
      </c>
      <c r="I28" s="176">
        <f t="shared" si="0"/>
        <v>13</v>
      </c>
    </row>
    <row r="29" spans="2:9" s="188" customFormat="1" ht="13.2" customHeight="1" x14ac:dyDescent="0.2">
      <c r="B29" s="194"/>
      <c r="C29" s="196" t="s">
        <v>126</v>
      </c>
      <c r="D29" s="105"/>
      <c r="E29" s="105"/>
      <c r="F29" s="105"/>
      <c r="G29" s="105"/>
      <c r="H29" s="107"/>
      <c r="I29" s="193">
        <f>SUM(D29:H29)</f>
        <v>0</v>
      </c>
    </row>
    <row r="30" spans="2:9" s="188" customFormat="1" ht="13.2" customHeight="1" x14ac:dyDescent="0.2">
      <c r="B30" s="207"/>
      <c r="C30" s="208" t="s">
        <v>127</v>
      </c>
      <c r="D30" s="99"/>
      <c r="E30" s="99"/>
      <c r="F30" s="99"/>
      <c r="G30" s="99"/>
      <c r="H30" s="100"/>
      <c r="I30" s="192">
        <f>SUM(D30:H30)</f>
        <v>0</v>
      </c>
    </row>
    <row r="31" spans="2:9" ht="18" customHeight="1" x14ac:dyDescent="0.25">
      <c r="B31" s="168">
        <v>9</v>
      </c>
      <c r="C31" s="169" t="str">
        <f>Config!C13&amp;", "&amp;Config!D13</f>
        <v>Hennings, Tomas</v>
      </c>
      <c r="D31" s="112">
        <v>2</v>
      </c>
      <c r="E31" s="112">
        <v>0</v>
      </c>
      <c r="F31" s="112">
        <v>1</v>
      </c>
      <c r="G31" s="112">
        <v>1</v>
      </c>
      <c r="H31" s="113">
        <v>0</v>
      </c>
      <c r="I31" s="175">
        <f t="shared" si="0"/>
        <v>4</v>
      </c>
    </row>
    <row r="32" spans="2:9" s="188" customFormat="1" ht="13.2" customHeight="1" x14ac:dyDescent="0.2">
      <c r="B32" s="191"/>
      <c r="C32" s="195" t="s">
        <v>126</v>
      </c>
      <c r="D32" s="102">
        <v>1</v>
      </c>
      <c r="E32" s="103">
        <v>2</v>
      </c>
      <c r="F32" s="103">
        <v>3</v>
      </c>
      <c r="G32" s="101">
        <v>1</v>
      </c>
      <c r="H32" s="181">
        <v>2</v>
      </c>
      <c r="I32" s="190">
        <f>SUM(D32:H32)</f>
        <v>9</v>
      </c>
    </row>
    <row r="33" spans="2:9" s="188" customFormat="1" ht="13.2" customHeight="1" x14ac:dyDescent="0.2">
      <c r="B33" s="205"/>
      <c r="C33" s="206" t="s">
        <v>127</v>
      </c>
      <c r="D33" s="99"/>
      <c r="E33" s="99"/>
      <c r="F33" s="99"/>
      <c r="G33" s="99"/>
      <c r="H33" s="100"/>
      <c r="I33" s="189">
        <f>SUM(D33:H33)</f>
        <v>0</v>
      </c>
    </row>
    <row r="34" spans="2:9" ht="18" customHeight="1" x14ac:dyDescent="0.25">
      <c r="B34" s="171">
        <v>10</v>
      </c>
      <c r="C34" s="172" t="str">
        <f>Config!C14&amp;", "&amp;Config!D14</f>
        <v>Walters, Linn</v>
      </c>
      <c r="D34" s="110">
        <v>2.5</v>
      </c>
      <c r="E34" s="110">
        <v>1</v>
      </c>
      <c r="F34" s="110">
        <v>3</v>
      </c>
      <c r="G34" s="110">
        <v>2</v>
      </c>
      <c r="H34" s="111">
        <v>0</v>
      </c>
      <c r="I34" s="176">
        <f t="shared" si="0"/>
        <v>8.5</v>
      </c>
    </row>
    <row r="35" spans="2:9" s="188" customFormat="1" ht="13.2" customHeight="1" x14ac:dyDescent="0.2">
      <c r="B35" s="194"/>
      <c r="C35" s="196" t="s">
        <v>126</v>
      </c>
      <c r="D35" s="105"/>
      <c r="E35" s="105"/>
      <c r="F35" s="105"/>
      <c r="G35" s="105"/>
      <c r="H35" s="107"/>
      <c r="I35" s="193">
        <f>SUM(D35:H35)</f>
        <v>0</v>
      </c>
    </row>
    <row r="36" spans="2:9" s="188" customFormat="1" ht="13.2" customHeight="1" x14ac:dyDescent="0.2">
      <c r="B36" s="207"/>
      <c r="C36" s="208" t="s">
        <v>127</v>
      </c>
      <c r="D36" s="99"/>
      <c r="E36" s="99"/>
      <c r="F36" s="99"/>
      <c r="G36" s="99"/>
      <c r="H36" s="100"/>
      <c r="I36" s="192">
        <f>SUM(D36:H36)</f>
        <v>0</v>
      </c>
    </row>
    <row r="37" spans="2:9" ht="18" customHeight="1" x14ac:dyDescent="0.25">
      <c r="B37" s="168">
        <v>11</v>
      </c>
      <c r="C37" s="169" t="str">
        <f>Config!C15&amp;", "&amp;Config!D15</f>
        <v>Junker, Amely</v>
      </c>
      <c r="D37" s="112">
        <v>4</v>
      </c>
      <c r="E37" s="112">
        <v>3</v>
      </c>
      <c r="F37" s="112">
        <v>2</v>
      </c>
      <c r="G37" s="112">
        <v>2</v>
      </c>
      <c r="H37" s="113">
        <v>2</v>
      </c>
      <c r="I37" s="175">
        <f t="shared" si="0"/>
        <v>13</v>
      </c>
    </row>
    <row r="38" spans="2:9" s="188" customFormat="1" ht="13.2" customHeight="1" x14ac:dyDescent="0.2">
      <c r="B38" s="191"/>
      <c r="C38" s="195" t="s">
        <v>126</v>
      </c>
      <c r="D38" s="102">
        <v>1</v>
      </c>
      <c r="E38" s="102">
        <v>2</v>
      </c>
      <c r="F38" s="103">
        <v>3</v>
      </c>
      <c r="G38" s="102">
        <v>1</v>
      </c>
      <c r="H38" s="104">
        <v>2</v>
      </c>
      <c r="I38" s="190">
        <f>SUM(D38:H38)</f>
        <v>9</v>
      </c>
    </row>
    <row r="39" spans="2:9" s="188" customFormat="1" ht="13.2" customHeight="1" x14ac:dyDescent="0.2">
      <c r="B39" s="205"/>
      <c r="C39" s="206" t="s">
        <v>127</v>
      </c>
      <c r="D39" s="99"/>
      <c r="E39" s="99"/>
      <c r="F39" s="99"/>
      <c r="G39" s="99"/>
      <c r="H39" s="100"/>
      <c r="I39" s="189">
        <f>SUM(D39:H39)</f>
        <v>0</v>
      </c>
    </row>
    <row r="40" spans="2:9" ht="18" customHeight="1" x14ac:dyDescent="0.25">
      <c r="B40" s="171">
        <v>12</v>
      </c>
      <c r="C40" s="172" t="str">
        <f>Config!C16&amp;", "&amp;Config!D16</f>
        <v>Stephens, Melvin</v>
      </c>
      <c r="D40" s="110">
        <v>4</v>
      </c>
      <c r="E40" s="110">
        <v>2</v>
      </c>
      <c r="F40" s="110">
        <v>3</v>
      </c>
      <c r="G40" s="110">
        <v>2</v>
      </c>
      <c r="H40" s="111">
        <v>2</v>
      </c>
      <c r="I40" s="176">
        <f t="shared" ref="I40:I70" si="1">SUM(D40:H40)</f>
        <v>13</v>
      </c>
    </row>
    <row r="41" spans="2:9" s="188" customFormat="1" ht="13.2" customHeight="1" x14ac:dyDescent="0.2">
      <c r="B41" s="194"/>
      <c r="C41" s="196" t="s">
        <v>126</v>
      </c>
      <c r="D41" s="178">
        <v>1</v>
      </c>
      <c r="E41" s="105">
        <v>2</v>
      </c>
      <c r="F41" s="105">
        <v>3</v>
      </c>
      <c r="G41" s="178">
        <v>1</v>
      </c>
      <c r="H41" s="107">
        <v>2</v>
      </c>
      <c r="I41" s="193">
        <f>SUM(D41:H41)</f>
        <v>9</v>
      </c>
    </row>
    <row r="42" spans="2:9" s="188" customFormat="1" ht="13.2" customHeight="1" x14ac:dyDescent="0.2">
      <c r="B42" s="207"/>
      <c r="C42" s="208" t="s">
        <v>127</v>
      </c>
      <c r="D42" s="99"/>
      <c r="E42" s="99"/>
      <c r="F42" s="99"/>
      <c r="G42" s="99"/>
      <c r="H42" s="100"/>
      <c r="I42" s="192">
        <f>SUM(D42:H42)</f>
        <v>0</v>
      </c>
    </row>
    <row r="43" spans="2:9" ht="18" customHeight="1" x14ac:dyDescent="0.25">
      <c r="B43" s="168">
        <v>13</v>
      </c>
      <c r="C43" s="169" t="str">
        <f>Config!C17&amp;", "&amp;Config!D17</f>
        <v>Cremer, Marvin</v>
      </c>
      <c r="D43" s="112">
        <v>3</v>
      </c>
      <c r="E43" s="112">
        <v>0</v>
      </c>
      <c r="F43" s="112">
        <v>0</v>
      </c>
      <c r="G43" s="112">
        <v>0</v>
      </c>
      <c r="H43" s="113">
        <v>0</v>
      </c>
      <c r="I43" s="175">
        <f t="shared" si="1"/>
        <v>3</v>
      </c>
    </row>
    <row r="44" spans="2:9" s="188" customFormat="1" ht="13.2" customHeight="1" x14ac:dyDescent="0.2">
      <c r="B44" s="191"/>
      <c r="C44" s="195" t="s">
        <v>126</v>
      </c>
      <c r="D44" s="101"/>
      <c r="E44" s="101"/>
      <c r="F44" s="101"/>
      <c r="G44" s="101"/>
      <c r="H44" s="104"/>
      <c r="I44" s="190">
        <f>SUM(D44:H44)</f>
        <v>0</v>
      </c>
    </row>
    <row r="45" spans="2:9" s="188" customFormat="1" ht="13.2" customHeight="1" x14ac:dyDescent="0.2">
      <c r="B45" s="205"/>
      <c r="C45" s="206" t="s">
        <v>127</v>
      </c>
      <c r="D45" s="99"/>
      <c r="E45" s="99"/>
      <c r="F45" s="99"/>
      <c r="G45" s="99"/>
      <c r="H45" s="100"/>
      <c r="I45" s="189">
        <f>SUM(D45:H45)</f>
        <v>0</v>
      </c>
    </row>
    <row r="46" spans="2:9" ht="18" customHeight="1" x14ac:dyDescent="0.25">
      <c r="B46" s="171">
        <v>14</v>
      </c>
      <c r="C46" s="172" t="str">
        <f>Config!C18&amp;", "&amp;Config!D18</f>
        <v>Nash, Jean</v>
      </c>
      <c r="D46" s="110">
        <v>4</v>
      </c>
      <c r="E46" s="110">
        <v>3</v>
      </c>
      <c r="F46" s="110">
        <v>2</v>
      </c>
      <c r="G46" s="110">
        <v>2</v>
      </c>
      <c r="H46" s="111">
        <v>3.5</v>
      </c>
      <c r="I46" s="176">
        <f t="shared" si="1"/>
        <v>14.5</v>
      </c>
    </row>
    <row r="47" spans="2:9" s="188" customFormat="1" ht="13.2" customHeight="1" x14ac:dyDescent="0.2">
      <c r="B47" s="194"/>
      <c r="C47" s="196" t="s">
        <v>126</v>
      </c>
      <c r="D47" s="178">
        <v>1</v>
      </c>
      <c r="E47" s="178">
        <v>2</v>
      </c>
      <c r="F47" s="106">
        <v>3</v>
      </c>
      <c r="G47" s="178">
        <v>1</v>
      </c>
      <c r="H47" s="179">
        <v>2</v>
      </c>
      <c r="I47" s="193">
        <f>SUM(D47:H47)</f>
        <v>9</v>
      </c>
    </row>
    <row r="48" spans="2:9" s="188" customFormat="1" ht="13.2" customHeight="1" x14ac:dyDescent="0.2">
      <c r="B48" s="207"/>
      <c r="C48" s="208" t="s">
        <v>127</v>
      </c>
      <c r="D48" s="99"/>
      <c r="E48" s="99"/>
      <c r="F48" s="99"/>
      <c r="G48" s="99"/>
      <c r="H48" s="100"/>
      <c r="I48" s="192">
        <f>SUM(D48:H48)</f>
        <v>0</v>
      </c>
    </row>
    <row r="49" spans="2:9" ht="18" customHeight="1" x14ac:dyDescent="0.25">
      <c r="B49" s="168">
        <v>15</v>
      </c>
      <c r="C49" s="169" t="str">
        <f>Config!C19&amp;", "&amp;Config!D19</f>
        <v>Schön, Leonardo</v>
      </c>
      <c r="D49" s="112">
        <v>4</v>
      </c>
      <c r="E49" s="112">
        <v>1</v>
      </c>
      <c r="F49" s="112">
        <v>1</v>
      </c>
      <c r="G49" s="112">
        <v>0.5</v>
      </c>
      <c r="H49" s="113">
        <v>0</v>
      </c>
      <c r="I49" s="175">
        <f t="shared" si="1"/>
        <v>6.5</v>
      </c>
    </row>
    <row r="50" spans="2:9" s="188" customFormat="1" ht="13.2" customHeight="1" x14ac:dyDescent="0.2">
      <c r="B50" s="191"/>
      <c r="C50" s="195" t="s">
        <v>126</v>
      </c>
      <c r="D50" s="102">
        <v>1</v>
      </c>
      <c r="E50" s="103">
        <v>2</v>
      </c>
      <c r="F50" s="103">
        <v>3</v>
      </c>
      <c r="G50" s="103">
        <v>1</v>
      </c>
      <c r="H50" s="181">
        <v>2</v>
      </c>
      <c r="I50" s="190">
        <f>SUM(D50:H50)</f>
        <v>9</v>
      </c>
    </row>
    <row r="51" spans="2:9" s="188" customFormat="1" ht="13.2" customHeight="1" x14ac:dyDescent="0.2">
      <c r="B51" s="205"/>
      <c r="C51" s="206" t="s">
        <v>127</v>
      </c>
      <c r="D51" s="99"/>
      <c r="E51" s="99"/>
      <c r="F51" s="99"/>
      <c r="G51" s="99"/>
      <c r="H51" s="100"/>
      <c r="I51" s="189">
        <f>SUM(D51:H51)</f>
        <v>0</v>
      </c>
    </row>
    <row r="52" spans="2:9" ht="18" customHeight="1" x14ac:dyDescent="0.25">
      <c r="B52" s="171">
        <v>16</v>
      </c>
      <c r="C52" s="172" t="str">
        <f>Config!C20&amp;", "&amp;Config!D20</f>
        <v>Sigl, Nicholas</v>
      </c>
      <c r="D52" s="110">
        <v>4</v>
      </c>
      <c r="E52" s="110">
        <v>0.5</v>
      </c>
      <c r="F52" s="110">
        <v>1</v>
      </c>
      <c r="G52" s="110">
        <v>0.5</v>
      </c>
      <c r="H52" s="111">
        <v>0</v>
      </c>
      <c r="I52" s="176">
        <f t="shared" si="1"/>
        <v>6</v>
      </c>
    </row>
    <row r="53" spans="2:9" s="188" customFormat="1" ht="13.2" customHeight="1" x14ac:dyDescent="0.2">
      <c r="B53" s="194"/>
      <c r="C53" s="196" t="s">
        <v>126</v>
      </c>
      <c r="D53" s="105"/>
      <c r="E53" s="105"/>
      <c r="F53" s="105"/>
      <c r="G53" s="105"/>
      <c r="H53" s="107"/>
      <c r="I53" s="193">
        <f>SUM(D53:H53)</f>
        <v>0</v>
      </c>
    </row>
    <row r="54" spans="2:9" s="188" customFormat="1" ht="13.2" customHeight="1" x14ac:dyDescent="0.2">
      <c r="B54" s="207"/>
      <c r="C54" s="208" t="s">
        <v>127</v>
      </c>
      <c r="D54" s="99"/>
      <c r="E54" s="99"/>
      <c r="F54" s="99"/>
      <c r="G54" s="99"/>
      <c r="H54" s="100"/>
      <c r="I54" s="192">
        <f>SUM(D54:H54)</f>
        <v>0</v>
      </c>
    </row>
    <row r="55" spans="2:9" ht="18" customHeight="1" x14ac:dyDescent="0.25">
      <c r="B55" s="168">
        <v>17</v>
      </c>
      <c r="C55" s="169" t="str">
        <f>Config!C21&amp;", "&amp;Config!D21</f>
        <v>Kainz, Vivienne</v>
      </c>
      <c r="D55" s="112">
        <v>2</v>
      </c>
      <c r="E55" s="112">
        <v>0</v>
      </c>
      <c r="F55" s="112">
        <v>1</v>
      </c>
      <c r="G55" s="112">
        <v>1.5</v>
      </c>
      <c r="H55" s="113">
        <v>0</v>
      </c>
      <c r="I55" s="175">
        <f t="shared" si="1"/>
        <v>4.5</v>
      </c>
    </row>
    <row r="56" spans="2:9" s="188" customFormat="1" ht="13.2" customHeight="1" x14ac:dyDescent="0.2">
      <c r="B56" s="191"/>
      <c r="C56" s="195" t="s">
        <v>126</v>
      </c>
      <c r="D56" s="101"/>
      <c r="E56" s="101"/>
      <c r="F56" s="101"/>
      <c r="G56" s="101"/>
      <c r="H56" s="104"/>
      <c r="I56" s="190">
        <f>SUM(D56:H56)</f>
        <v>0</v>
      </c>
    </row>
    <row r="57" spans="2:9" s="188" customFormat="1" ht="13.2" customHeight="1" x14ac:dyDescent="0.2">
      <c r="B57" s="205"/>
      <c r="C57" s="206" t="s">
        <v>127</v>
      </c>
      <c r="D57" s="99"/>
      <c r="E57" s="99"/>
      <c r="F57" s="99"/>
      <c r="G57" s="99"/>
      <c r="H57" s="100"/>
      <c r="I57" s="189">
        <f>SUM(D57:H57)</f>
        <v>0</v>
      </c>
    </row>
    <row r="58" spans="2:9" ht="18" customHeight="1" x14ac:dyDescent="0.25">
      <c r="B58" s="171">
        <v>18</v>
      </c>
      <c r="C58" s="172" t="str">
        <f>Config!C22&amp;", "&amp;Config!D22</f>
        <v>Hartmann, Mads</v>
      </c>
      <c r="D58" s="110">
        <v>4</v>
      </c>
      <c r="E58" s="110">
        <v>3</v>
      </c>
      <c r="F58" s="110">
        <v>3</v>
      </c>
      <c r="G58" s="110">
        <v>0</v>
      </c>
      <c r="H58" s="111">
        <v>4</v>
      </c>
      <c r="I58" s="176">
        <f t="shared" si="1"/>
        <v>14</v>
      </c>
    </row>
    <row r="59" spans="2:9" s="188" customFormat="1" ht="13.2" customHeight="1" x14ac:dyDescent="0.2">
      <c r="B59" s="194"/>
      <c r="C59" s="196" t="s">
        <v>126</v>
      </c>
      <c r="D59" s="105"/>
      <c r="E59" s="105"/>
      <c r="F59" s="105"/>
      <c r="G59" s="105"/>
      <c r="H59" s="107"/>
      <c r="I59" s="193">
        <f>SUM(D59:H59)</f>
        <v>0</v>
      </c>
    </row>
    <row r="60" spans="2:9" s="188" customFormat="1" ht="13.2" customHeight="1" x14ac:dyDescent="0.2">
      <c r="B60" s="207"/>
      <c r="C60" s="208" t="s">
        <v>127</v>
      </c>
      <c r="D60" s="99"/>
      <c r="E60" s="99"/>
      <c r="F60" s="99"/>
      <c r="G60" s="99"/>
      <c r="H60" s="100"/>
      <c r="I60" s="192">
        <f>SUM(D60:H60)</f>
        <v>0</v>
      </c>
    </row>
    <row r="61" spans="2:9" ht="18" customHeight="1" x14ac:dyDescent="0.25">
      <c r="B61" s="168">
        <v>19</v>
      </c>
      <c r="C61" s="169" t="str">
        <f>Config!C23&amp;", "&amp;Config!D23</f>
        <v>Ullmann, Raphael</v>
      </c>
      <c r="D61" s="112">
        <v>4</v>
      </c>
      <c r="E61" s="112">
        <v>1</v>
      </c>
      <c r="F61" s="112">
        <v>3</v>
      </c>
      <c r="G61" s="112">
        <v>2</v>
      </c>
      <c r="H61" s="113">
        <v>3.5</v>
      </c>
      <c r="I61" s="175">
        <f t="shared" si="1"/>
        <v>13.5</v>
      </c>
    </row>
    <row r="62" spans="2:9" s="188" customFormat="1" ht="13.2" customHeight="1" x14ac:dyDescent="0.2">
      <c r="B62" s="191"/>
      <c r="C62" s="195" t="s">
        <v>126</v>
      </c>
      <c r="D62" s="101"/>
      <c r="E62" s="101"/>
      <c r="F62" s="101"/>
      <c r="G62" s="101"/>
      <c r="H62" s="104"/>
      <c r="I62" s="190">
        <f>SUM(D62:H62)</f>
        <v>0</v>
      </c>
    </row>
    <row r="63" spans="2:9" s="188" customFormat="1" ht="13.2" customHeight="1" x14ac:dyDescent="0.2">
      <c r="B63" s="205"/>
      <c r="C63" s="206" t="s">
        <v>127</v>
      </c>
      <c r="D63" s="99"/>
      <c r="E63" s="99"/>
      <c r="F63" s="99"/>
      <c r="G63" s="99"/>
      <c r="H63" s="100"/>
      <c r="I63" s="189">
        <f>SUM(D63:H63)</f>
        <v>0</v>
      </c>
    </row>
    <row r="64" spans="2:9" ht="18" customHeight="1" x14ac:dyDescent="0.25">
      <c r="B64" s="171">
        <v>20</v>
      </c>
      <c r="C64" s="172" t="str">
        <f>Config!C24&amp;", "&amp;Config!D24</f>
        <v>Hartl, Emmely</v>
      </c>
      <c r="D64" s="110">
        <v>4</v>
      </c>
      <c r="E64" s="110">
        <v>2</v>
      </c>
      <c r="F64" s="110">
        <v>3</v>
      </c>
      <c r="G64" s="110">
        <v>2</v>
      </c>
      <c r="H64" s="111">
        <v>4</v>
      </c>
      <c r="I64" s="176">
        <f t="shared" si="1"/>
        <v>15</v>
      </c>
    </row>
    <row r="65" spans="2:9" s="188" customFormat="1" ht="13.2" customHeight="1" x14ac:dyDescent="0.2">
      <c r="B65" s="194"/>
      <c r="C65" s="196" t="s">
        <v>126</v>
      </c>
      <c r="D65" s="105"/>
      <c r="E65" s="105"/>
      <c r="F65" s="105"/>
      <c r="G65" s="105"/>
      <c r="H65" s="107"/>
      <c r="I65" s="193">
        <f>SUM(D65:H65)</f>
        <v>0</v>
      </c>
    </row>
    <row r="66" spans="2:9" s="188" customFormat="1" ht="13.2" customHeight="1" x14ac:dyDescent="0.2">
      <c r="B66" s="207"/>
      <c r="C66" s="208" t="s">
        <v>127</v>
      </c>
      <c r="D66" s="99"/>
      <c r="E66" s="99"/>
      <c r="F66" s="99"/>
      <c r="G66" s="99"/>
      <c r="H66" s="100"/>
      <c r="I66" s="192">
        <f>SUM(D66:H66)</f>
        <v>0</v>
      </c>
    </row>
    <row r="67" spans="2:9" ht="18" customHeight="1" x14ac:dyDescent="0.25">
      <c r="B67" s="168">
        <v>21</v>
      </c>
      <c r="C67" s="169" t="str">
        <f>Config!C25&amp;", "&amp;Config!D25</f>
        <v>Klotz, Karin</v>
      </c>
      <c r="D67" s="112">
        <v>4</v>
      </c>
      <c r="E67" s="112">
        <v>3</v>
      </c>
      <c r="F67" s="112">
        <v>4</v>
      </c>
      <c r="G67" s="112">
        <v>2</v>
      </c>
      <c r="H67" s="113">
        <v>3</v>
      </c>
      <c r="I67" s="175">
        <f t="shared" si="1"/>
        <v>16</v>
      </c>
    </row>
    <row r="68" spans="2:9" s="188" customFormat="1" ht="13.2" customHeight="1" x14ac:dyDescent="0.2">
      <c r="B68" s="191"/>
      <c r="C68" s="195" t="s">
        <v>126</v>
      </c>
      <c r="D68" s="101"/>
      <c r="E68" s="101"/>
      <c r="F68" s="101"/>
      <c r="G68" s="101"/>
      <c r="H68" s="104"/>
      <c r="I68" s="190">
        <f>SUM(D68:H68)</f>
        <v>0</v>
      </c>
    </row>
    <row r="69" spans="2:9" s="188" customFormat="1" ht="13.2" customHeight="1" x14ac:dyDescent="0.2">
      <c r="B69" s="205"/>
      <c r="C69" s="206" t="s">
        <v>127</v>
      </c>
      <c r="D69" s="99"/>
      <c r="E69" s="99"/>
      <c r="F69" s="99"/>
      <c r="G69" s="99"/>
      <c r="H69" s="100"/>
      <c r="I69" s="189">
        <f>SUM(D69:H69)</f>
        <v>0</v>
      </c>
    </row>
    <row r="70" spans="2:9" ht="18" customHeight="1" x14ac:dyDescent="0.25">
      <c r="B70" s="171">
        <v>22</v>
      </c>
      <c r="C70" s="172" t="str">
        <f>Config!C26&amp;", "&amp;Config!D26</f>
        <v>Ehlers, Ingo</v>
      </c>
      <c r="D70" s="110">
        <v>4</v>
      </c>
      <c r="E70" s="110">
        <v>2</v>
      </c>
      <c r="F70" s="110">
        <v>4</v>
      </c>
      <c r="G70" s="110">
        <v>2</v>
      </c>
      <c r="H70" s="111">
        <v>2.5</v>
      </c>
      <c r="I70" s="176">
        <f t="shared" si="1"/>
        <v>14.5</v>
      </c>
    </row>
    <row r="71" spans="2:9" s="188" customFormat="1" ht="13.2" customHeight="1" x14ac:dyDescent="0.2">
      <c r="B71" s="194"/>
      <c r="C71" s="196" t="s">
        <v>126</v>
      </c>
      <c r="D71" s="178">
        <v>1</v>
      </c>
      <c r="E71" s="105">
        <v>2</v>
      </c>
      <c r="F71" s="178">
        <v>3</v>
      </c>
      <c r="G71" s="178">
        <v>1</v>
      </c>
      <c r="H71" s="179">
        <v>2</v>
      </c>
      <c r="I71" s="193">
        <f>SUM(D71:H71)</f>
        <v>9</v>
      </c>
    </row>
    <row r="72" spans="2:9" s="188" customFormat="1" ht="13.2" customHeight="1" x14ac:dyDescent="0.2">
      <c r="B72" s="207"/>
      <c r="C72" s="208" t="s">
        <v>127</v>
      </c>
      <c r="D72" s="99"/>
      <c r="E72" s="99"/>
      <c r="F72" s="99"/>
      <c r="G72" s="99"/>
      <c r="H72" s="100"/>
      <c r="I72" s="192">
        <f>SUM(D72:H72)</f>
        <v>0</v>
      </c>
    </row>
    <row r="73" spans="2:9" ht="18" customHeight="1" x14ac:dyDescent="0.25">
      <c r="B73" s="168">
        <v>23</v>
      </c>
      <c r="C73" s="169" t="str">
        <f>Config!C27&amp;", "&amp;Config!D27</f>
        <v>Lindemann, Mads</v>
      </c>
      <c r="D73" s="112">
        <v>4</v>
      </c>
      <c r="E73" s="112">
        <v>0</v>
      </c>
      <c r="F73" s="112">
        <v>2</v>
      </c>
      <c r="G73" s="112">
        <v>0.5</v>
      </c>
      <c r="H73" s="113">
        <v>0</v>
      </c>
      <c r="I73" s="175">
        <f t="shared" ref="I73" si="2">SUM(D73:H73)</f>
        <v>6.5</v>
      </c>
    </row>
    <row r="74" spans="2:9" s="188" customFormat="1" ht="13.2" customHeight="1" x14ac:dyDescent="0.2">
      <c r="B74" s="191"/>
      <c r="C74" s="195" t="s">
        <v>126</v>
      </c>
      <c r="D74" s="102">
        <v>1</v>
      </c>
      <c r="E74" s="103">
        <v>2</v>
      </c>
      <c r="F74" s="103">
        <v>3</v>
      </c>
      <c r="G74" s="103">
        <v>1</v>
      </c>
      <c r="H74" s="181">
        <v>2</v>
      </c>
      <c r="I74" s="190">
        <f>SUM(D74:H74)</f>
        <v>9</v>
      </c>
    </row>
    <row r="75" spans="2:9" s="188" customFormat="1" ht="13.2" customHeight="1" thickBot="1" x14ac:dyDescent="0.25">
      <c r="B75" s="205"/>
      <c r="C75" s="206" t="s">
        <v>127</v>
      </c>
      <c r="D75" s="99"/>
      <c r="E75" s="99"/>
      <c r="F75" s="99"/>
      <c r="G75" s="99"/>
      <c r="H75" s="100"/>
      <c r="I75" s="189">
        <f>SUM(D75:H75)</f>
        <v>0</v>
      </c>
    </row>
    <row r="76" spans="2:9" ht="18" customHeight="1" thickBot="1" x14ac:dyDescent="0.3">
      <c r="B76" s="134"/>
      <c r="C76" s="135"/>
      <c r="D76" s="135">
        <v>0.92391304347826086</v>
      </c>
      <c r="E76" s="135">
        <v>0.54347826086956519</v>
      </c>
      <c r="F76" s="135">
        <v>0.63043478260869568</v>
      </c>
      <c r="G76" s="135">
        <v>0.39855072463768115</v>
      </c>
      <c r="H76" s="135">
        <v>0.51086956521739135</v>
      </c>
      <c r="I76" s="13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FEA34B44-723C-4CC9-8233-DF938E318CDD}">
      <formula1>0</formula1>
      <formula2>$D$6</formula2>
    </dataValidation>
    <dataValidation type="decimal" allowBlank="1" showErrorMessage="1" sqref="E7:E75" xr:uid="{E7132950-C00A-4592-8769-165CD83B44BE}">
      <formula1>0</formula1>
      <formula2>$E$6</formula2>
    </dataValidation>
    <dataValidation type="decimal" allowBlank="1" showErrorMessage="1" sqref="F7:F75" xr:uid="{AAD54FA5-0AFD-43F0-A590-8A4A0D51C4DB}">
      <formula1>0</formula1>
      <formula2>$F$6</formula2>
    </dataValidation>
    <dataValidation type="decimal" allowBlank="1" showErrorMessage="1" sqref="G7:G75" xr:uid="{E307FABB-8FF5-44B6-BAC2-AD3DC057CAC1}">
      <formula1>0</formula1>
      <formula2>$G$6</formula2>
    </dataValidation>
    <dataValidation type="decimal" allowBlank="1" showErrorMessage="1" sqref="H7:H75" xr:uid="{E7B27B88-C13A-48B1-A2E7-A2CC7C5E7573}">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EFDF3-1865-42D2-9183-8731BE839DD7}">
  <sheetPr codeName="Tabelle141">
    <tabColor rgb="FF92D050"/>
  </sheetPr>
  <dimension ref="B1:I146"/>
  <sheetViews>
    <sheetView workbookViewId="0">
      <selection activeCell="D8" sqref="D8"/>
    </sheetView>
  </sheetViews>
  <sheetFormatPr baseColWidth="10" defaultRowHeight="13.2" x14ac:dyDescent="0.25"/>
  <cols>
    <col min="1" max="2" width="3.44140625" style="114" customWidth="1"/>
    <col min="3" max="3" width="25.77734375" style="114" customWidth="1"/>
    <col min="4" max="9" width="8.77734375" style="114" customWidth="1"/>
    <col min="10" max="16384" width="11.5546875" style="114"/>
  </cols>
  <sheetData>
    <row r="1" spans="2:9" ht="18" customHeight="1" thickBot="1" x14ac:dyDescent="0.3"/>
    <row r="2" spans="2:9" ht="18" customHeight="1" x14ac:dyDescent="0.25">
      <c r="B2" s="115" t="str">
        <f>Config!F2&amp;" "&amp;YEAR(Config!G24)</f>
        <v>Mathe Abitur 2026</v>
      </c>
      <c r="C2" s="116"/>
      <c r="D2" s="116"/>
      <c r="E2" s="116"/>
      <c r="F2" s="117"/>
      <c r="G2" s="117"/>
      <c r="H2" s="117"/>
      <c r="I2" s="118" t="str">
        <f>"Kurs "&amp;Config!G26</f>
        <v>Kurs K1</v>
      </c>
    </row>
    <row r="3" spans="2:9" ht="18" customHeight="1" x14ac:dyDescent="0.25">
      <c r="B3" s="119" t="s">
        <v>112</v>
      </c>
      <c r="C3" s="120"/>
      <c r="D3" s="120"/>
      <c r="E3" s="120"/>
      <c r="F3" s="120"/>
      <c r="G3" s="120"/>
      <c r="H3" s="120"/>
      <c r="I3" s="121"/>
    </row>
    <row r="4" spans="2:9" ht="18" customHeight="1" thickBot="1" x14ac:dyDescent="0.3">
      <c r="B4" s="119"/>
      <c r="C4" s="120"/>
      <c r="D4" s="122"/>
      <c r="E4" s="122"/>
      <c r="F4" s="122"/>
      <c r="G4" s="122"/>
      <c r="H4" s="122"/>
      <c r="I4" s="123"/>
    </row>
    <row r="5" spans="2:9" ht="18" customHeight="1" thickBot="1" x14ac:dyDescent="0.3">
      <c r="B5" s="124"/>
      <c r="C5" s="126"/>
      <c r="D5" s="145" t="str">
        <f>Config!R6</f>
        <v>6</v>
      </c>
      <c r="E5" s="145" t="str">
        <f>Config!R7</f>
        <v>7a</v>
      </c>
      <c r="F5" s="145" t="str">
        <f>Config!R8</f>
        <v>7b</v>
      </c>
      <c r="G5" s="145" t="str">
        <f>Config!R9</f>
        <v>8</v>
      </c>
      <c r="H5" s="145" t="str">
        <f>Config!R10</f>
        <v>9</v>
      </c>
      <c r="I5" s="130" t="s">
        <v>82</v>
      </c>
    </row>
    <row r="6" spans="2:9" ht="18" customHeight="1" thickBot="1" x14ac:dyDescent="0.3">
      <c r="B6" s="125"/>
      <c r="C6" s="127" t="s">
        <v>81</v>
      </c>
      <c r="D6" s="129">
        <f>Config!S6</f>
        <v>5</v>
      </c>
      <c r="E6" s="129">
        <f>Config!S7</f>
        <v>2</v>
      </c>
      <c r="F6" s="129">
        <f>Config!S8</f>
        <v>3</v>
      </c>
      <c r="G6" s="129">
        <f>Config!S9</f>
        <v>5</v>
      </c>
      <c r="H6" s="129">
        <f>Config!S10</f>
        <v>5</v>
      </c>
      <c r="I6" s="146">
        <f>Config!S21</f>
        <v>10</v>
      </c>
    </row>
    <row r="7" spans="2:9" ht="18" customHeight="1" x14ac:dyDescent="0.25">
      <c r="B7" s="173">
        <v>1</v>
      </c>
      <c r="C7" s="174" t="str">
        <f>Config!C5&amp;", "&amp;Config!D5</f>
        <v>Höfer, Simon</v>
      </c>
      <c r="D7" s="108">
        <v>4</v>
      </c>
      <c r="E7" s="108">
        <v>0</v>
      </c>
      <c r="F7" s="108">
        <v>3</v>
      </c>
      <c r="G7" s="182"/>
      <c r="H7" s="183"/>
      <c r="I7" s="170">
        <f t="shared" ref="I7:I37" si="0">SUM(D7:H7)</f>
        <v>7</v>
      </c>
    </row>
    <row r="8" spans="2:9" s="188" customFormat="1" ht="13.2" customHeight="1" x14ac:dyDescent="0.2">
      <c r="B8" s="191"/>
      <c r="C8" s="195" t="s">
        <v>126</v>
      </c>
      <c r="D8" s="102">
        <v>1</v>
      </c>
      <c r="E8" s="103">
        <v>2</v>
      </c>
      <c r="F8" s="101">
        <v>3</v>
      </c>
      <c r="G8" s="201"/>
      <c r="H8" s="203"/>
      <c r="I8" s="190">
        <f>SUM(D8:H8)</f>
        <v>6</v>
      </c>
    </row>
    <row r="9" spans="2:9" s="188" customFormat="1" ht="13.2" customHeight="1" x14ac:dyDescent="0.2">
      <c r="B9" s="205"/>
      <c r="C9" s="206" t="s">
        <v>127</v>
      </c>
      <c r="D9" s="99"/>
      <c r="E9" s="99"/>
      <c r="F9" s="99"/>
      <c r="G9" s="197"/>
      <c r="H9" s="198"/>
      <c r="I9" s="189">
        <f>SUM(D9:H9)</f>
        <v>0</v>
      </c>
    </row>
    <row r="10" spans="2:9" ht="18" customHeight="1" x14ac:dyDescent="0.25">
      <c r="B10" s="171">
        <v>2</v>
      </c>
      <c r="C10" s="172" t="str">
        <f>Config!C6&amp;", "&amp;Config!D6</f>
        <v>Töpfer, Lilian</v>
      </c>
      <c r="D10" s="110">
        <v>3</v>
      </c>
      <c r="E10" s="184"/>
      <c r="F10" s="184"/>
      <c r="G10" s="110">
        <v>4</v>
      </c>
      <c r="H10" s="185"/>
      <c r="I10" s="176">
        <f t="shared" si="0"/>
        <v>7</v>
      </c>
    </row>
    <row r="11" spans="2:9" s="188" customFormat="1" ht="13.2" customHeight="1" x14ac:dyDescent="0.2">
      <c r="B11" s="194"/>
      <c r="C11" s="196" t="s">
        <v>126</v>
      </c>
      <c r="D11" s="178">
        <v>1</v>
      </c>
      <c r="E11" s="202"/>
      <c r="F11" s="202"/>
      <c r="G11" s="178">
        <v>1</v>
      </c>
      <c r="H11" s="204"/>
      <c r="I11" s="193">
        <f>SUM(D11:H11)</f>
        <v>2</v>
      </c>
    </row>
    <row r="12" spans="2:9" s="188" customFormat="1" ht="13.2" customHeight="1" x14ac:dyDescent="0.2">
      <c r="B12" s="207"/>
      <c r="C12" s="208" t="s">
        <v>127</v>
      </c>
      <c r="D12" s="99"/>
      <c r="E12" s="199"/>
      <c r="F12" s="199"/>
      <c r="G12" s="99"/>
      <c r="H12" s="200"/>
      <c r="I12" s="192">
        <f>SUM(D12:H12)</f>
        <v>0</v>
      </c>
    </row>
    <row r="13" spans="2:9" ht="18" customHeight="1" x14ac:dyDescent="0.25">
      <c r="B13" s="168">
        <v>3</v>
      </c>
      <c r="C13" s="169" t="str">
        <f>Config!C7&amp;", "&amp;Config!D7</f>
        <v>Fleischmann, Leonie</v>
      </c>
      <c r="D13" s="186"/>
      <c r="E13" s="186"/>
      <c r="F13" s="186"/>
      <c r="G13" s="112">
        <v>5</v>
      </c>
      <c r="H13" s="113">
        <v>3</v>
      </c>
      <c r="I13" s="175">
        <f t="shared" si="0"/>
        <v>8</v>
      </c>
    </row>
    <row r="14" spans="2:9" s="188" customFormat="1" ht="13.2" customHeight="1" x14ac:dyDescent="0.2">
      <c r="B14" s="191"/>
      <c r="C14" s="195" t="s">
        <v>126</v>
      </c>
      <c r="D14" s="201"/>
      <c r="E14" s="201"/>
      <c r="F14" s="201"/>
      <c r="G14" s="102">
        <v>2</v>
      </c>
      <c r="H14" s="104">
        <v>3</v>
      </c>
      <c r="I14" s="190">
        <f>SUM(D14:H14)</f>
        <v>5</v>
      </c>
    </row>
    <row r="15" spans="2:9" s="188" customFormat="1" ht="13.2" customHeight="1" x14ac:dyDescent="0.2">
      <c r="B15" s="205"/>
      <c r="C15" s="206" t="s">
        <v>127</v>
      </c>
      <c r="D15" s="197"/>
      <c r="E15" s="197"/>
      <c r="F15" s="197"/>
      <c r="G15" s="99"/>
      <c r="H15" s="100"/>
      <c r="I15" s="189">
        <f>SUM(D15:H15)</f>
        <v>0</v>
      </c>
    </row>
    <row r="16" spans="2:9" ht="18" customHeight="1" x14ac:dyDescent="0.25">
      <c r="B16" s="171">
        <v>4</v>
      </c>
      <c r="C16" s="172" t="str">
        <f>Config!C8&amp;", "&amp;Config!D8</f>
        <v>Drescher, Cedric</v>
      </c>
      <c r="D16" s="110">
        <v>1</v>
      </c>
      <c r="E16" s="110">
        <v>2</v>
      </c>
      <c r="F16" s="110">
        <v>3</v>
      </c>
      <c r="G16" s="184"/>
      <c r="H16" s="185"/>
      <c r="I16" s="176">
        <f t="shared" si="0"/>
        <v>6</v>
      </c>
    </row>
    <row r="17" spans="2:9" s="188" customFormat="1" ht="13.2" customHeight="1" x14ac:dyDescent="0.2">
      <c r="B17" s="194"/>
      <c r="C17" s="196" t="s">
        <v>126</v>
      </c>
      <c r="D17" s="105">
        <v>1</v>
      </c>
      <c r="E17" s="105">
        <v>2</v>
      </c>
      <c r="F17" s="105">
        <v>3</v>
      </c>
      <c r="G17" s="202"/>
      <c r="H17" s="204"/>
      <c r="I17" s="193">
        <f>SUM(D17:H17)</f>
        <v>6</v>
      </c>
    </row>
    <row r="18" spans="2:9" s="188" customFormat="1" ht="13.2" customHeight="1" x14ac:dyDescent="0.2">
      <c r="B18" s="207"/>
      <c r="C18" s="208" t="s">
        <v>127</v>
      </c>
      <c r="D18" s="99"/>
      <c r="E18" s="99"/>
      <c r="F18" s="99"/>
      <c r="G18" s="199"/>
      <c r="H18" s="200"/>
      <c r="I18" s="192">
        <f>SUM(D18:H18)</f>
        <v>0</v>
      </c>
    </row>
    <row r="19" spans="2:9" ht="18" customHeight="1" x14ac:dyDescent="0.25">
      <c r="B19" s="168">
        <v>5</v>
      </c>
      <c r="C19" s="169" t="str">
        <f>Config!C9&amp;", "&amp;Config!D9</f>
        <v>Baumgarten, Annabell</v>
      </c>
      <c r="D19" s="112">
        <v>1</v>
      </c>
      <c r="E19" s="186"/>
      <c r="F19" s="186"/>
      <c r="G19" s="112">
        <v>5</v>
      </c>
      <c r="H19" s="187"/>
      <c r="I19" s="175">
        <f t="shared" si="0"/>
        <v>6</v>
      </c>
    </row>
    <row r="20" spans="2:9" s="188" customFormat="1" ht="13.2" customHeight="1" x14ac:dyDescent="0.2">
      <c r="B20" s="191"/>
      <c r="C20" s="195" t="s">
        <v>126</v>
      </c>
      <c r="D20" s="101">
        <v>1</v>
      </c>
      <c r="E20" s="201"/>
      <c r="F20" s="201"/>
      <c r="G20" s="102">
        <v>3</v>
      </c>
      <c r="H20" s="203"/>
      <c r="I20" s="190">
        <f>SUM(D20:H20)</f>
        <v>4</v>
      </c>
    </row>
    <row r="21" spans="2:9" s="188" customFormat="1" ht="13.2" customHeight="1" x14ac:dyDescent="0.2">
      <c r="B21" s="205"/>
      <c r="C21" s="206" t="s">
        <v>127</v>
      </c>
      <c r="D21" s="99"/>
      <c r="E21" s="197"/>
      <c r="F21" s="197"/>
      <c r="G21" s="99"/>
      <c r="H21" s="198"/>
      <c r="I21" s="189">
        <f>SUM(D21:H21)</f>
        <v>0</v>
      </c>
    </row>
    <row r="22" spans="2:9" ht="18" customHeight="1" x14ac:dyDescent="0.25">
      <c r="B22" s="171">
        <v>6</v>
      </c>
      <c r="C22" s="172" t="str">
        <f>Config!C10&amp;", "&amp;Config!D10</f>
        <v>Traut, Stefanie</v>
      </c>
      <c r="D22" s="184"/>
      <c r="E22" s="110">
        <v>2</v>
      </c>
      <c r="F22" s="110">
        <v>3</v>
      </c>
      <c r="G22" s="110">
        <v>3</v>
      </c>
      <c r="H22" s="185"/>
      <c r="I22" s="176">
        <f t="shared" si="0"/>
        <v>8</v>
      </c>
    </row>
    <row r="23" spans="2:9" s="188" customFormat="1" ht="13.2" customHeight="1" x14ac:dyDescent="0.2">
      <c r="B23" s="194"/>
      <c r="C23" s="196" t="s">
        <v>126</v>
      </c>
      <c r="D23" s="202"/>
      <c r="E23" s="105">
        <v>2</v>
      </c>
      <c r="F23" s="105">
        <v>3</v>
      </c>
      <c r="G23" s="105">
        <v>3</v>
      </c>
      <c r="H23" s="204"/>
      <c r="I23" s="193">
        <f>SUM(D23:H23)</f>
        <v>8</v>
      </c>
    </row>
    <row r="24" spans="2:9" s="188" customFormat="1" ht="13.2" customHeight="1" x14ac:dyDescent="0.2">
      <c r="B24" s="207"/>
      <c r="C24" s="208" t="s">
        <v>127</v>
      </c>
      <c r="D24" s="199"/>
      <c r="E24" s="99"/>
      <c r="F24" s="99"/>
      <c r="G24" s="99"/>
      <c r="H24" s="200"/>
      <c r="I24" s="192">
        <f>SUM(D24:H24)</f>
        <v>0</v>
      </c>
    </row>
    <row r="25" spans="2:9" ht="18" customHeight="1" x14ac:dyDescent="0.25">
      <c r="B25" s="168">
        <v>7</v>
      </c>
      <c r="C25" s="169" t="str">
        <f>Config!C11&amp;", "&amp;Config!D11</f>
        <v>Menke, Damian</v>
      </c>
      <c r="D25" s="186"/>
      <c r="E25" s="112">
        <v>1</v>
      </c>
      <c r="F25" s="112">
        <v>2</v>
      </c>
      <c r="G25" s="186"/>
      <c r="H25" s="113">
        <v>4</v>
      </c>
      <c r="I25" s="175">
        <f t="shared" si="0"/>
        <v>7</v>
      </c>
    </row>
    <row r="26" spans="2:9" s="188" customFormat="1" ht="13.2" customHeight="1" x14ac:dyDescent="0.2">
      <c r="B26" s="191"/>
      <c r="C26" s="195" t="s">
        <v>126</v>
      </c>
      <c r="D26" s="201"/>
      <c r="E26" s="101">
        <v>1</v>
      </c>
      <c r="F26" s="101">
        <v>2</v>
      </c>
      <c r="G26" s="201"/>
      <c r="H26" s="104">
        <v>4</v>
      </c>
      <c r="I26" s="190">
        <f>SUM(D26:H26)</f>
        <v>7</v>
      </c>
    </row>
    <row r="27" spans="2:9" s="188" customFormat="1" ht="13.2" customHeight="1" x14ac:dyDescent="0.2">
      <c r="B27" s="205"/>
      <c r="C27" s="206" t="s">
        <v>127</v>
      </c>
      <c r="D27" s="197"/>
      <c r="E27" s="99"/>
      <c r="F27" s="99"/>
      <c r="G27" s="197"/>
      <c r="H27" s="100"/>
      <c r="I27" s="189">
        <f>SUM(D27:H27)</f>
        <v>0</v>
      </c>
    </row>
    <row r="28" spans="2:9" ht="18" customHeight="1" x14ac:dyDescent="0.25">
      <c r="B28" s="171">
        <v>8</v>
      </c>
      <c r="C28" s="172" t="str">
        <f>Config!C12&amp;", "&amp;Config!D12</f>
        <v>Carroll, Meik</v>
      </c>
      <c r="D28" s="184"/>
      <c r="E28" s="184"/>
      <c r="F28" s="184"/>
      <c r="G28" s="110">
        <v>4</v>
      </c>
      <c r="H28" s="111">
        <v>3</v>
      </c>
      <c r="I28" s="176">
        <f t="shared" si="0"/>
        <v>7</v>
      </c>
    </row>
    <row r="29" spans="2:9" s="188" customFormat="1" ht="13.2" customHeight="1" x14ac:dyDescent="0.2">
      <c r="B29" s="194"/>
      <c r="C29" s="196" t="s">
        <v>126</v>
      </c>
      <c r="D29" s="202"/>
      <c r="E29" s="202"/>
      <c r="F29" s="202"/>
      <c r="G29" s="105">
        <v>4</v>
      </c>
      <c r="H29" s="107">
        <v>3</v>
      </c>
      <c r="I29" s="193">
        <f>SUM(D29:H29)</f>
        <v>7</v>
      </c>
    </row>
    <row r="30" spans="2:9" s="188" customFormat="1" ht="13.2" customHeight="1" x14ac:dyDescent="0.2">
      <c r="B30" s="207"/>
      <c r="C30" s="208" t="s">
        <v>127</v>
      </c>
      <c r="D30" s="199"/>
      <c r="E30" s="199"/>
      <c r="F30" s="199"/>
      <c r="G30" s="99"/>
      <c r="H30" s="100"/>
      <c r="I30" s="192">
        <f>SUM(D30:H30)</f>
        <v>0</v>
      </c>
    </row>
    <row r="31" spans="2:9" ht="18" customHeight="1" x14ac:dyDescent="0.25">
      <c r="B31" s="168">
        <v>9</v>
      </c>
      <c r="C31" s="169" t="str">
        <f>Config!C13&amp;", "&amp;Config!D13</f>
        <v>Hennings, Tomas</v>
      </c>
      <c r="D31" s="112">
        <v>5</v>
      </c>
      <c r="E31" s="112">
        <v>2</v>
      </c>
      <c r="F31" s="112">
        <v>1</v>
      </c>
      <c r="G31" s="186"/>
      <c r="H31" s="187"/>
      <c r="I31" s="175">
        <f t="shared" si="0"/>
        <v>8</v>
      </c>
    </row>
    <row r="32" spans="2:9" s="188" customFormat="1" ht="13.2" customHeight="1" x14ac:dyDescent="0.2">
      <c r="B32" s="191"/>
      <c r="C32" s="195" t="s">
        <v>126</v>
      </c>
      <c r="D32" s="102">
        <v>1</v>
      </c>
      <c r="E32" s="101">
        <v>2</v>
      </c>
      <c r="F32" s="103">
        <v>3</v>
      </c>
      <c r="G32" s="201"/>
      <c r="H32" s="203"/>
      <c r="I32" s="190">
        <f>SUM(D32:H32)</f>
        <v>6</v>
      </c>
    </row>
    <row r="33" spans="2:9" s="188" customFormat="1" ht="13.2" customHeight="1" x14ac:dyDescent="0.2">
      <c r="B33" s="205"/>
      <c r="C33" s="206" t="s">
        <v>127</v>
      </c>
      <c r="D33" s="99"/>
      <c r="E33" s="99"/>
      <c r="F33" s="99"/>
      <c r="G33" s="197"/>
      <c r="H33" s="198"/>
      <c r="I33" s="189">
        <f>SUM(D33:H33)</f>
        <v>0</v>
      </c>
    </row>
    <row r="34" spans="2:9" ht="18" customHeight="1" x14ac:dyDescent="0.25">
      <c r="B34" s="171">
        <v>10</v>
      </c>
      <c r="C34" s="172" t="str">
        <f>Config!C14&amp;", "&amp;Config!D14</f>
        <v>Walters, Linn</v>
      </c>
      <c r="D34" s="184"/>
      <c r="E34" s="110">
        <v>1</v>
      </c>
      <c r="F34" s="110">
        <v>2</v>
      </c>
      <c r="G34" s="110">
        <v>5</v>
      </c>
      <c r="H34" s="185"/>
      <c r="I34" s="176">
        <f t="shared" si="0"/>
        <v>8</v>
      </c>
    </row>
    <row r="35" spans="2:9" s="188" customFormat="1" ht="13.2" customHeight="1" x14ac:dyDescent="0.2">
      <c r="B35" s="194"/>
      <c r="C35" s="196" t="s">
        <v>126</v>
      </c>
      <c r="D35" s="202"/>
      <c r="E35" s="105">
        <v>1</v>
      </c>
      <c r="F35" s="105">
        <v>2</v>
      </c>
      <c r="G35" s="105">
        <v>5</v>
      </c>
      <c r="H35" s="204"/>
      <c r="I35" s="193">
        <f>SUM(D35:H35)</f>
        <v>8</v>
      </c>
    </row>
    <row r="36" spans="2:9" s="188" customFormat="1" ht="13.2" customHeight="1" x14ac:dyDescent="0.2">
      <c r="B36" s="207"/>
      <c r="C36" s="208" t="s">
        <v>127</v>
      </c>
      <c r="D36" s="199"/>
      <c r="E36" s="99"/>
      <c r="F36" s="99"/>
      <c r="G36" s="99"/>
      <c r="H36" s="200"/>
      <c r="I36" s="192">
        <f>SUM(D36:H36)</f>
        <v>0</v>
      </c>
    </row>
    <row r="37" spans="2:9" ht="18" customHeight="1" x14ac:dyDescent="0.25">
      <c r="B37" s="168">
        <v>11</v>
      </c>
      <c r="C37" s="169" t="str">
        <f>Config!C15&amp;", "&amp;Config!D15</f>
        <v>Junker, Amely</v>
      </c>
      <c r="D37" s="112">
        <v>2</v>
      </c>
      <c r="E37" s="186"/>
      <c r="F37" s="186"/>
      <c r="G37" s="112">
        <v>4</v>
      </c>
      <c r="H37" s="187"/>
      <c r="I37" s="175">
        <f t="shared" si="0"/>
        <v>6</v>
      </c>
    </row>
    <row r="38" spans="2:9" s="188" customFormat="1" ht="13.2" customHeight="1" x14ac:dyDescent="0.2">
      <c r="B38" s="191"/>
      <c r="C38" s="195" t="s">
        <v>126</v>
      </c>
      <c r="D38" s="101">
        <v>2</v>
      </c>
      <c r="E38" s="201"/>
      <c r="F38" s="201"/>
      <c r="G38" s="101">
        <v>4</v>
      </c>
      <c r="H38" s="203"/>
      <c r="I38" s="190">
        <f>SUM(D38:H38)</f>
        <v>6</v>
      </c>
    </row>
    <row r="39" spans="2:9" s="188" customFormat="1" ht="13.2" customHeight="1" x14ac:dyDescent="0.2">
      <c r="B39" s="205"/>
      <c r="C39" s="206" t="s">
        <v>127</v>
      </c>
      <c r="D39" s="99"/>
      <c r="E39" s="197"/>
      <c r="F39" s="197"/>
      <c r="G39" s="99"/>
      <c r="H39" s="198"/>
      <c r="I39" s="189">
        <f>SUM(D39:H39)</f>
        <v>0</v>
      </c>
    </row>
    <row r="40" spans="2:9" ht="18" customHeight="1" x14ac:dyDescent="0.25">
      <c r="B40" s="171">
        <v>12</v>
      </c>
      <c r="C40" s="172" t="str">
        <f>Config!C16&amp;", "&amp;Config!D16</f>
        <v>Stephens, Melvin</v>
      </c>
      <c r="D40" s="110">
        <v>5</v>
      </c>
      <c r="E40" s="184"/>
      <c r="F40" s="184"/>
      <c r="G40" s="110">
        <v>1</v>
      </c>
      <c r="H40" s="185"/>
      <c r="I40" s="176">
        <f t="shared" ref="I40:I70" si="1">SUM(D40:H40)</f>
        <v>6</v>
      </c>
    </row>
    <row r="41" spans="2:9" s="188" customFormat="1" ht="13.2" customHeight="1" x14ac:dyDescent="0.2">
      <c r="B41" s="194"/>
      <c r="C41" s="196" t="s">
        <v>126</v>
      </c>
      <c r="D41" s="105">
        <v>5</v>
      </c>
      <c r="E41" s="202"/>
      <c r="F41" s="202"/>
      <c r="G41" s="105">
        <v>1</v>
      </c>
      <c r="H41" s="204"/>
      <c r="I41" s="193">
        <f>SUM(D41:H41)</f>
        <v>6</v>
      </c>
    </row>
    <row r="42" spans="2:9" s="188" customFormat="1" ht="13.2" customHeight="1" x14ac:dyDescent="0.2">
      <c r="B42" s="207"/>
      <c r="C42" s="208" t="s">
        <v>127</v>
      </c>
      <c r="D42" s="99"/>
      <c r="E42" s="199"/>
      <c r="F42" s="199"/>
      <c r="G42" s="99"/>
      <c r="H42" s="200"/>
      <c r="I42" s="192">
        <f>SUM(D42:H42)</f>
        <v>0</v>
      </c>
    </row>
    <row r="43" spans="2:9" ht="18" customHeight="1" x14ac:dyDescent="0.25">
      <c r="B43" s="168">
        <v>13</v>
      </c>
      <c r="C43" s="169" t="str">
        <f>Config!C17&amp;", "&amp;Config!D17</f>
        <v>Cremer, Marvin</v>
      </c>
      <c r="D43" s="112">
        <v>3</v>
      </c>
      <c r="E43" s="186"/>
      <c r="F43" s="186"/>
      <c r="G43" s="186"/>
      <c r="H43" s="113">
        <v>5</v>
      </c>
      <c r="I43" s="175">
        <f t="shared" si="1"/>
        <v>8</v>
      </c>
    </row>
    <row r="44" spans="2:9" s="188" customFormat="1" ht="13.2" customHeight="1" x14ac:dyDescent="0.2">
      <c r="B44" s="191"/>
      <c r="C44" s="195" t="s">
        <v>126</v>
      </c>
      <c r="D44" s="101">
        <v>3</v>
      </c>
      <c r="E44" s="201"/>
      <c r="F44" s="201"/>
      <c r="G44" s="201"/>
      <c r="H44" s="104">
        <v>5</v>
      </c>
      <c r="I44" s="190">
        <f>SUM(D44:H44)</f>
        <v>8</v>
      </c>
    </row>
    <row r="45" spans="2:9" s="188" customFormat="1" ht="13.2" customHeight="1" x14ac:dyDescent="0.2">
      <c r="B45" s="205"/>
      <c r="C45" s="206" t="s">
        <v>127</v>
      </c>
      <c r="D45" s="99"/>
      <c r="E45" s="197"/>
      <c r="F45" s="197"/>
      <c r="G45" s="197"/>
      <c r="H45" s="100"/>
      <c r="I45" s="189">
        <f>SUM(D45:H45)</f>
        <v>0</v>
      </c>
    </row>
    <row r="46" spans="2:9" ht="18" customHeight="1" x14ac:dyDescent="0.25">
      <c r="B46" s="171">
        <v>14</v>
      </c>
      <c r="C46" s="172" t="str">
        <f>Config!C18&amp;", "&amp;Config!D18</f>
        <v>Nash, Jean</v>
      </c>
      <c r="D46" s="184"/>
      <c r="E46" s="184"/>
      <c r="F46" s="184"/>
      <c r="G46" s="110">
        <v>4</v>
      </c>
      <c r="H46" s="111">
        <v>3</v>
      </c>
      <c r="I46" s="176">
        <f t="shared" si="1"/>
        <v>7</v>
      </c>
    </row>
    <row r="47" spans="2:9" s="188" customFormat="1" ht="13.2" customHeight="1" x14ac:dyDescent="0.2">
      <c r="B47" s="194"/>
      <c r="C47" s="196" t="s">
        <v>126</v>
      </c>
      <c r="D47" s="202"/>
      <c r="E47" s="202"/>
      <c r="F47" s="202"/>
      <c r="G47" s="105">
        <v>4</v>
      </c>
      <c r="H47" s="107">
        <v>3</v>
      </c>
      <c r="I47" s="193">
        <f>SUM(D47:H47)</f>
        <v>7</v>
      </c>
    </row>
    <row r="48" spans="2:9" s="188" customFormat="1" ht="13.2" customHeight="1" x14ac:dyDescent="0.2">
      <c r="B48" s="207"/>
      <c r="C48" s="208" t="s">
        <v>127</v>
      </c>
      <c r="D48" s="199"/>
      <c r="E48" s="199"/>
      <c r="F48" s="199"/>
      <c r="G48" s="99"/>
      <c r="H48" s="100"/>
      <c r="I48" s="192">
        <f>SUM(D48:H48)</f>
        <v>0</v>
      </c>
    </row>
    <row r="49" spans="2:9" ht="18" customHeight="1" x14ac:dyDescent="0.25">
      <c r="B49" s="168">
        <v>15</v>
      </c>
      <c r="C49" s="169" t="str">
        <f>Config!C19&amp;", "&amp;Config!D19</f>
        <v>Schön, Leonardo</v>
      </c>
      <c r="D49" s="186"/>
      <c r="E49" s="112">
        <v>1</v>
      </c>
      <c r="F49" s="112">
        <v>2</v>
      </c>
      <c r="G49" s="186"/>
      <c r="H49" s="113">
        <v>1</v>
      </c>
      <c r="I49" s="175">
        <f t="shared" si="1"/>
        <v>4</v>
      </c>
    </row>
    <row r="50" spans="2:9" s="188" customFormat="1" ht="13.2" customHeight="1" x14ac:dyDescent="0.2">
      <c r="B50" s="191"/>
      <c r="C50" s="195" t="s">
        <v>126</v>
      </c>
      <c r="D50" s="201"/>
      <c r="E50" s="101">
        <v>1</v>
      </c>
      <c r="F50" s="101">
        <v>2</v>
      </c>
      <c r="G50" s="201"/>
      <c r="H50" s="104">
        <v>1</v>
      </c>
      <c r="I50" s="190">
        <f>SUM(D50:H50)</f>
        <v>4</v>
      </c>
    </row>
    <row r="51" spans="2:9" s="188" customFormat="1" ht="13.2" customHeight="1" x14ac:dyDescent="0.2">
      <c r="B51" s="205"/>
      <c r="C51" s="206" t="s">
        <v>127</v>
      </c>
      <c r="D51" s="197"/>
      <c r="E51" s="99"/>
      <c r="F51" s="99"/>
      <c r="G51" s="197"/>
      <c r="H51" s="100"/>
      <c r="I51" s="189">
        <f>SUM(D51:H51)</f>
        <v>0</v>
      </c>
    </row>
    <row r="52" spans="2:9" ht="18" customHeight="1" x14ac:dyDescent="0.25">
      <c r="B52" s="171">
        <v>16</v>
      </c>
      <c r="C52" s="172" t="str">
        <f>Config!C20&amp;", "&amp;Config!D20</f>
        <v>Sigl, Nicholas</v>
      </c>
      <c r="D52" s="184"/>
      <c r="E52" s="110">
        <v>1</v>
      </c>
      <c r="F52" s="110">
        <v>2</v>
      </c>
      <c r="G52" s="110">
        <v>5</v>
      </c>
      <c r="H52" s="185"/>
      <c r="I52" s="176">
        <f t="shared" si="1"/>
        <v>8</v>
      </c>
    </row>
    <row r="53" spans="2:9" s="188" customFormat="1" ht="13.2" customHeight="1" x14ac:dyDescent="0.2">
      <c r="B53" s="194"/>
      <c r="C53" s="196" t="s">
        <v>126</v>
      </c>
      <c r="D53" s="202"/>
      <c r="E53" s="105">
        <v>1</v>
      </c>
      <c r="F53" s="105">
        <v>2</v>
      </c>
      <c r="G53" s="105">
        <v>5</v>
      </c>
      <c r="H53" s="204"/>
      <c r="I53" s="193">
        <f>SUM(D53:H53)</f>
        <v>8</v>
      </c>
    </row>
    <row r="54" spans="2:9" s="188" customFormat="1" ht="13.2" customHeight="1" x14ac:dyDescent="0.2">
      <c r="B54" s="207"/>
      <c r="C54" s="208" t="s">
        <v>127</v>
      </c>
      <c r="D54" s="199"/>
      <c r="E54" s="99"/>
      <c r="F54" s="99"/>
      <c r="G54" s="99"/>
      <c r="H54" s="200"/>
      <c r="I54" s="192">
        <f>SUM(D54:H54)</f>
        <v>0</v>
      </c>
    </row>
    <row r="55" spans="2:9" ht="18" customHeight="1" x14ac:dyDescent="0.25">
      <c r="B55" s="168">
        <v>17</v>
      </c>
      <c r="C55" s="169" t="str">
        <f>Config!C21&amp;", "&amp;Config!D21</f>
        <v>Kainz, Vivienne</v>
      </c>
      <c r="D55" s="112">
        <v>5</v>
      </c>
      <c r="E55" s="186"/>
      <c r="F55" s="186"/>
      <c r="G55" s="112">
        <v>5</v>
      </c>
      <c r="H55" s="187"/>
      <c r="I55" s="175">
        <f t="shared" si="1"/>
        <v>10</v>
      </c>
    </row>
    <row r="56" spans="2:9" s="188" customFormat="1" ht="13.2" customHeight="1" x14ac:dyDescent="0.2">
      <c r="B56" s="191"/>
      <c r="C56" s="195" t="s">
        <v>126</v>
      </c>
      <c r="D56" s="101">
        <v>5</v>
      </c>
      <c r="E56" s="201"/>
      <c r="F56" s="201"/>
      <c r="G56" s="101">
        <v>5</v>
      </c>
      <c r="H56" s="203"/>
      <c r="I56" s="190">
        <f>SUM(D56:H56)</f>
        <v>10</v>
      </c>
    </row>
    <row r="57" spans="2:9" s="188" customFormat="1" ht="13.2" customHeight="1" x14ac:dyDescent="0.2">
      <c r="B57" s="205"/>
      <c r="C57" s="206" t="s">
        <v>127</v>
      </c>
      <c r="D57" s="99"/>
      <c r="E57" s="197"/>
      <c r="F57" s="197"/>
      <c r="G57" s="99"/>
      <c r="H57" s="198"/>
      <c r="I57" s="189">
        <f>SUM(D57:H57)</f>
        <v>0</v>
      </c>
    </row>
    <row r="58" spans="2:9" ht="18" customHeight="1" x14ac:dyDescent="0.25">
      <c r="B58" s="171">
        <v>18</v>
      </c>
      <c r="C58" s="172" t="str">
        <f>Config!C22&amp;", "&amp;Config!D22</f>
        <v>Hartmann, Mads</v>
      </c>
      <c r="D58" s="184"/>
      <c r="E58" s="184"/>
      <c r="F58" s="184"/>
      <c r="G58" s="110">
        <v>3</v>
      </c>
      <c r="H58" s="111">
        <v>4</v>
      </c>
      <c r="I58" s="176">
        <f t="shared" si="1"/>
        <v>7</v>
      </c>
    </row>
    <row r="59" spans="2:9" s="188" customFormat="1" ht="13.2" customHeight="1" x14ac:dyDescent="0.2">
      <c r="B59" s="194"/>
      <c r="C59" s="196" t="s">
        <v>126</v>
      </c>
      <c r="D59" s="202"/>
      <c r="E59" s="202"/>
      <c r="F59" s="202"/>
      <c r="G59" s="105">
        <v>3</v>
      </c>
      <c r="H59" s="107">
        <v>4</v>
      </c>
      <c r="I59" s="193">
        <f>SUM(D59:H59)</f>
        <v>7</v>
      </c>
    </row>
    <row r="60" spans="2:9" s="188" customFormat="1" ht="13.2" customHeight="1" x14ac:dyDescent="0.2">
      <c r="B60" s="207"/>
      <c r="C60" s="208" t="s">
        <v>127</v>
      </c>
      <c r="D60" s="199"/>
      <c r="E60" s="199"/>
      <c r="F60" s="199"/>
      <c r="G60" s="99"/>
      <c r="H60" s="100"/>
      <c r="I60" s="192">
        <f>SUM(D60:H60)</f>
        <v>0</v>
      </c>
    </row>
    <row r="61" spans="2:9" ht="18" customHeight="1" x14ac:dyDescent="0.25">
      <c r="B61" s="168">
        <v>19</v>
      </c>
      <c r="C61" s="169" t="str">
        <f>Config!C23&amp;", "&amp;Config!D23</f>
        <v>Ullmann, Raphael</v>
      </c>
      <c r="D61" s="186"/>
      <c r="E61" s="186"/>
      <c r="F61" s="186"/>
      <c r="G61" s="112">
        <v>5</v>
      </c>
      <c r="H61" s="113">
        <v>3</v>
      </c>
      <c r="I61" s="175">
        <f t="shared" si="1"/>
        <v>8</v>
      </c>
    </row>
    <row r="62" spans="2:9" s="188" customFormat="1" ht="13.2" customHeight="1" x14ac:dyDescent="0.2">
      <c r="B62" s="191"/>
      <c r="C62" s="195" t="s">
        <v>126</v>
      </c>
      <c r="D62" s="201"/>
      <c r="E62" s="201"/>
      <c r="F62" s="201"/>
      <c r="G62" s="102">
        <v>1</v>
      </c>
      <c r="H62" s="177">
        <v>2</v>
      </c>
      <c r="I62" s="190">
        <f>SUM(D62:H62)</f>
        <v>3</v>
      </c>
    </row>
    <row r="63" spans="2:9" s="188" customFormat="1" ht="13.2" customHeight="1" x14ac:dyDescent="0.2">
      <c r="B63" s="205"/>
      <c r="C63" s="206" t="s">
        <v>127</v>
      </c>
      <c r="D63" s="197"/>
      <c r="E63" s="197"/>
      <c r="F63" s="197"/>
      <c r="G63" s="99"/>
      <c r="H63" s="100"/>
      <c r="I63" s="189">
        <f>SUM(D63:H63)</f>
        <v>0</v>
      </c>
    </row>
    <row r="64" spans="2:9" ht="18" customHeight="1" x14ac:dyDescent="0.25">
      <c r="B64" s="171">
        <v>20</v>
      </c>
      <c r="C64" s="172" t="str">
        <f>Config!C24&amp;", "&amp;Config!D24</f>
        <v>Hartl, Emmely</v>
      </c>
      <c r="D64" s="110">
        <v>5</v>
      </c>
      <c r="E64" s="110">
        <v>2</v>
      </c>
      <c r="F64" s="110">
        <v>3</v>
      </c>
      <c r="G64" s="184"/>
      <c r="H64" s="185"/>
      <c r="I64" s="176">
        <f t="shared" si="1"/>
        <v>10</v>
      </c>
    </row>
    <row r="65" spans="2:9" s="188" customFormat="1" ht="13.2" customHeight="1" x14ac:dyDescent="0.2">
      <c r="B65" s="194"/>
      <c r="C65" s="196" t="s">
        <v>126</v>
      </c>
      <c r="D65" s="178">
        <v>1</v>
      </c>
      <c r="E65" s="105">
        <v>2</v>
      </c>
      <c r="F65" s="178">
        <v>2</v>
      </c>
      <c r="G65" s="202"/>
      <c r="H65" s="204"/>
      <c r="I65" s="193">
        <f>SUM(D65:H65)</f>
        <v>5</v>
      </c>
    </row>
    <row r="66" spans="2:9" s="188" customFormat="1" ht="13.2" customHeight="1" x14ac:dyDescent="0.2">
      <c r="B66" s="207"/>
      <c r="C66" s="208" t="s">
        <v>127</v>
      </c>
      <c r="D66" s="99"/>
      <c r="E66" s="99"/>
      <c r="F66" s="99"/>
      <c r="G66" s="199"/>
      <c r="H66" s="200"/>
      <c r="I66" s="192">
        <f>SUM(D66:H66)</f>
        <v>0</v>
      </c>
    </row>
    <row r="67" spans="2:9" ht="18" customHeight="1" x14ac:dyDescent="0.25">
      <c r="B67" s="168">
        <v>21</v>
      </c>
      <c r="C67" s="169" t="str">
        <f>Config!C25&amp;", "&amp;Config!D25</f>
        <v>Klotz, Karin</v>
      </c>
      <c r="D67" s="112">
        <v>5</v>
      </c>
      <c r="E67" s="112">
        <v>2</v>
      </c>
      <c r="F67" s="112">
        <v>3</v>
      </c>
      <c r="G67" s="186"/>
      <c r="H67" s="187"/>
      <c r="I67" s="175">
        <f t="shared" si="1"/>
        <v>10</v>
      </c>
    </row>
    <row r="68" spans="2:9" s="188" customFormat="1" ht="13.2" customHeight="1" x14ac:dyDescent="0.2">
      <c r="B68" s="191"/>
      <c r="C68" s="195" t="s">
        <v>126</v>
      </c>
      <c r="D68" s="102">
        <v>1</v>
      </c>
      <c r="E68" s="101">
        <v>2</v>
      </c>
      <c r="F68" s="101">
        <v>3</v>
      </c>
      <c r="G68" s="201"/>
      <c r="H68" s="203"/>
      <c r="I68" s="190">
        <f>SUM(D68:H68)</f>
        <v>6</v>
      </c>
    </row>
    <row r="69" spans="2:9" s="188" customFormat="1" ht="13.2" customHeight="1" x14ac:dyDescent="0.2">
      <c r="B69" s="205"/>
      <c r="C69" s="206" t="s">
        <v>127</v>
      </c>
      <c r="D69" s="99"/>
      <c r="E69" s="99"/>
      <c r="F69" s="99"/>
      <c r="G69" s="197"/>
      <c r="H69" s="198"/>
      <c r="I69" s="189">
        <f>SUM(D69:H69)</f>
        <v>0</v>
      </c>
    </row>
    <row r="70" spans="2:9" ht="18" customHeight="1" x14ac:dyDescent="0.25">
      <c r="B70" s="171">
        <v>22</v>
      </c>
      <c r="C70" s="172" t="str">
        <f>Config!C26&amp;", "&amp;Config!D26</f>
        <v>Ehlers, Ingo</v>
      </c>
      <c r="D70" s="110">
        <v>2</v>
      </c>
      <c r="E70" s="184"/>
      <c r="F70" s="184"/>
      <c r="G70" s="184"/>
      <c r="H70" s="111">
        <v>5</v>
      </c>
      <c r="I70" s="176">
        <f t="shared" si="1"/>
        <v>7</v>
      </c>
    </row>
    <row r="71" spans="2:9" s="188" customFormat="1" ht="13.2" customHeight="1" x14ac:dyDescent="0.2">
      <c r="B71" s="194"/>
      <c r="C71" s="196" t="s">
        <v>126</v>
      </c>
      <c r="D71" s="178">
        <v>1</v>
      </c>
      <c r="E71" s="202"/>
      <c r="F71" s="202"/>
      <c r="G71" s="202"/>
      <c r="H71" s="179">
        <v>2</v>
      </c>
      <c r="I71" s="193">
        <f>SUM(D71:H71)</f>
        <v>3</v>
      </c>
    </row>
    <row r="72" spans="2:9" s="188" customFormat="1" ht="13.2" customHeight="1" x14ac:dyDescent="0.2">
      <c r="B72" s="207"/>
      <c r="C72" s="208" t="s">
        <v>127</v>
      </c>
      <c r="D72" s="99"/>
      <c r="E72" s="199"/>
      <c r="F72" s="199"/>
      <c r="G72" s="199"/>
      <c r="H72" s="100"/>
      <c r="I72" s="192">
        <f>SUM(D72:H72)</f>
        <v>0</v>
      </c>
    </row>
    <row r="73" spans="2:9" ht="18" customHeight="1" x14ac:dyDescent="0.25">
      <c r="B73" s="168">
        <v>23</v>
      </c>
      <c r="C73" s="169" t="str">
        <f>Config!C27&amp;", "&amp;Config!D27</f>
        <v>Lindemann, Mads</v>
      </c>
      <c r="D73" s="112">
        <v>3</v>
      </c>
      <c r="E73" s="186"/>
      <c r="F73" s="186"/>
      <c r="G73" s="112">
        <v>5</v>
      </c>
      <c r="H73" s="187"/>
      <c r="I73" s="175">
        <f t="shared" ref="I73" si="2">SUM(D73:H73)</f>
        <v>8</v>
      </c>
    </row>
    <row r="74" spans="2:9" s="188" customFormat="1" ht="13.2" customHeight="1" x14ac:dyDescent="0.2">
      <c r="B74" s="191"/>
      <c r="C74" s="195" t="s">
        <v>126</v>
      </c>
      <c r="D74" s="102">
        <v>2</v>
      </c>
      <c r="E74" s="201"/>
      <c r="F74" s="201"/>
      <c r="G74" s="102">
        <v>4</v>
      </c>
      <c r="H74" s="203"/>
      <c r="I74" s="190">
        <f>SUM(D74:H74)</f>
        <v>6</v>
      </c>
    </row>
    <row r="75" spans="2:9" s="188" customFormat="1" ht="13.2" customHeight="1" thickBot="1" x14ac:dyDescent="0.25">
      <c r="B75" s="205"/>
      <c r="C75" s="206" t="s">
        <v>127</v>
      </c>
      <c r="D75" s="99"/>
      <c r="E75" s="197"/>
      <c r="F75" s="197"/>
      <c r="G75" s="99"/>
      <c r="H75" s="198"/>
      <c r="I75" s="189">
        <f>SUM(D75:H75)</f>
        <v>0</v>
      </c>
    </row>
    <row r="76" spans="2:9" ht="18" customHeight="1" thickBot="1" x14ac:dyDescent="0.3">
      <c r="B76" s="134"/>
      <c r="C76" s="135"/>
      <c r="D76" s="135">
        <v>0.67692307692307696</v>
      </c>
      <c r="E76" s="135">
        <v>0.7</v>
      </c>
      <c r="F76" s="135">
        <v>0.8</v>
      </c>
      <c r="G76" s="135">
        <v>0.82857142857142863</v>
      </c>
      <c r="H76" s="135">
        <v>0.68888888888888888</v>
      </c>
      <c r="I76" s="136"/>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heet="1" objects="1" scenarios="1" selectLockedCells="1"/>
  <dataValidations count="5">
    <dataValidation type="decimal" allowBlank="1" showErrorMessage="1" sqref="D7:D75" xr:uid="{44C1BC30-84E2-4F09-A44E-19C1964D557F}">
      <formula1>0</formula1>
      <formula2>$D$6</formula2>
    </dataValidation>
    <dataValidation type="decimal" allowBlank="1" showErrorMessage="1" sqref="E7:E75" xr:uid="{ABECE62D-166B-4EA9-935E-58789C373A81}">
      <formula1>0</formula1>
      <formula2>$E$6</formula2>
    </dataValidation>
    <dataValidation type="decimal" allowBlank="1" showErrorMessage="1" sqref="F7:F75" xr:uid="{A5D8020A-139D-45F7-9C5A-20D314070270}">
      <formula1>0</formula1>
      <formula2>$F$6</formula2>
    </dataValidation>
    <dataValidation type="decimal" allowBlank="1" showErrorMessage="1" sqref="G7:G75" xr:uid="{F0F92BE1-AA0F-4E83-AA01-FB7131A447F4}">
      <formula1>0</formula1>
      <formula2>$G$6</formula2>
    </dataValidation>
    <dataValidation type="decimal" allowBlank="1" showErrorMessage="1" sqref="H7:H75" xr:uid="{79DB6013-CE24-4512-A7B6-3080B47F1310}">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8774A-7389-467E-86ED-8DEF221F59F4}">
  <sheetPr codeName="Tabelle143">
    <tabColor rgb="FFFFC000"/>
  </sheetPr>
  <dimension ref="B1:N100"/>
  <sheetViews>
    <sheetView workbookViewId="0">
      <selection activeCell="D7" sqref="D7"/>
    </sheetView>
  </sheetViews>
  <sheetFormatPr baseColWidth="10" defaultRowHeight="13.2" x14ac:dyDescent="0.25"/>
  <cols>
    <col min="1" max="2" width="3.44140625" style="114" customWidth="1"/>
    <col min="3" max="3" width="25.77734375" style="114" customWidth="1"/>
    <col min="4" max="8" width="4.77734375" style="114" customWidth="1"/>
    <col min="9" max="9" width="2.77734375" style="114" customWidth="1"/>
    <col min="10" max="16384" width="11.5546875" style="114"/>
  </cols>
  <sheetData>
    <row r="1" spans="2:14" ht="18" customHeight="1" thickBot="1" x14ac:dyDescent="0.3"/>
    <row r="2" spans="2:14" ht="18" customHeight="1" x14ac:dyDescent="0.25">
      <c r="B2" s="115" t="str">
        <f>Config!F2&amp;" "&amp;YEAR(Config!G24)</f>
        <v>Mathe Abitur 2026</v>
      </c>
      <c r="C2" s="116"/>
      <c r="D2" s="116"/>
      <c r="E2" s="116"/>
      <c r="F2" s="117"/>
      <c r="G2" s="117"/>
      <c r="H2" s="118" t="str">
        <f>"Kurs "&amp;Config!G26</f>
        <v>Kurs K1</v>
      </c>
    </row>
    <row r="3" spans="2:14" ht="18" customHeight="1" x14ac:dyDescent="0.25">
      <c r="B3" s="119" t="s">
        <v>124</v>
      </c>
      <c r="C3" s="120"/>
      <c r="D3" s="120"/>
      <c r="E3" s="120"/>
      <c r="F3" s="120"/>
      <c r="G3" s="120"/>
      <c r="H3" s="121"/>
    </row>
    <row r="4" spans="2:14" ht="18" customHeight="1" thickBot="1" x14ac:dyDescent="0.3">
      <c r="B4" s="119"/>
      <c r="C4" s="120"/>
      <c r="D4" s="122"/>
      <c r="E4" s="122"/>
      <c r="F4" s="122"/>
      <c r="G4" s="122"/>
      <c r="H4" s="123"/>
    </row>
    <row r="5" spans="2:14" ht="18" customHeight="1" thickBot="1" x14ac:dyDescent="0.3">
      <c r="B5" s="124"/>
      <c r="C5" s="126"/>
      <c r="D5" s="145" t="str">
        <f>Config!R6</f>
        <v>6</v>
      </c>
      <c r="E5" s="145" t="str">
        <f>Config!R7</f>
        <v>7a</v>
      </c>
      <c r="F5" s="145" t="str">
        <f>Config!R8</f>
        <v>7b</v>
      </c>
      <c r="G5" s="145" t="str">
        <f>Config!R9</f>
        <v>8</v>
      </c>
      <c r="H5" s="145" t="str">
        <f>Config!R10</f>
        <v>9</v>
      </c>
    </row>
    <row r="6" spans="2:14" ht="18" customHeight="1" thickBot="1" x14ac:dyDescent="0.3">
      <c r="B6" s="125"/>
      <c r="C6" s="127" t="s">
        <v>81</v>
      </c>
      <c r="D6" s="159" t="s">
        <v>112</v>
      </c>
      <c r="E6" s="159" t="s">
        <v>112</v>
      </c>
      <c r="F6" s="159" t="s">
        <v>112</v>
      </c>
      <c r="G6" s="159" t="s">
        <v>112</v>
      </c>
      <c r="H6" s="159" t="s">
        <v>112</v>
      </c>
      <c r="J6" s="276" t="s">
        <v>125</v>
      </c>
      <c r="K6" s="277"/>
      <c r="L6" s="277"/>
      <c r="M6" s="277"/>
      <c r="N6" s="278"/>
    </row>
    <row r="7" spans="2:14" ht="18" customHeight="1" x14ac:dyDescent="0.25">
      <c r="B7" s="139">
        <v>1</v>
      </c>
      <c r="C7" s="137" t="str">
        <f>Config!C5&amp;", "&amp;Config!D5</f>
        <v>Höfer, Simon</v>
      </c>
      <c r="D7" s="63" t="s">
        <v>120</v>
      </c>
      <c r="E7" s="63" t="s">
        <v>120</v>
      </c>
      <c r="F7" s="63" t="s">
        <v>120</v>
      </c>
      <c r="G7" s="63"/>
      <c r="H7" s="64"/>
      <c r="J7" s="279"/>
      <c r="K7" s="280"/>
      <c r="L7" s="280"/>
      <c r="M7" s="280"/>
      <c r="N7" s="281"/>
    </row>
    <row r="8" spans="2:14" ht="18" customHeight="1" thickBot="1" x14ac:dyDescent="0.3">
      <c r="B8" s="141">
        <v>2</v>
      </c>
      <c r="C8" s="131" t="str">
        <f>Config!C6&amp;", "&amp;Config!D6</f>
        <v>Töpfer, Lilian</v>
      </c>
      <c r="D8" s="62" t="s">
        <v>120</v>
      </c>
      <c r="E8" s="62"/>
      <c r="F8" s="62"/>
      <c r="G8" s="62" t="s">
        <v>120</v>
      </c>
      <c r="H8" s="65"/>
      <c r="J8" s="282"/>
      <c r="K8" s="283"/>
      <c r="L8" s="283"/>
      <c r="M8" s="283"/>
      <c r="N8" s="284"/>
    </row>
    <row r="9" spans="2:14" ht="18" customHeight="1" x14ac:dyDescent="0.25">
      <c r="B9" s="141">
        <v>3</v>
      </c>
      <c r="C9" s="131" t="str">
        <f>Config!C7&amp;", "&amp;Config!D7</f>
        <v>Fleischmann, Leonie</v>
      </c>
      <c r="D9" s="62"/>
      <c r="E9" s="62"/>
      <c r="F9" s="62"/>
      <c r="G9" s="62" t="s">
        <v>120</v>
      </c>
      <c r="H9" s="65" t="s">
        <v>120</v>
      </c>
    </row>
    <row r="10" spans="2:14" ht="18" customHeight="1" x14ac:dyDescent="0.25">
      <c r="B10" s="141">
        <v>4</v>
      </c>
      <c r="C10" s="131" t="str">
        <f>Config!C8&amp;", "&amp;Config!D8</f>
        <v>Drescher, Cedric</v>
      </c>
      <c r="D10" s="62" t="s">
        <v>120</v>
      </c>
      <c r="E10" s="62" t="s">
        <v>120</v>
      </c>
      <c r="F10" s="62" t="s">
        <v>120</v>
      </c>
      <c r="G10" s="62"/>
      <c r="H10" s="65"/>
    </row>
    <row r="11" spans="2:14" ht="18" customHeight="1" x14ac:dyDescent="0.25">
      <c r="B11" s="141">
        <v>5</v>
      </c>
      <c r="C11" s="131" t="str">
        <f>Config!C9&amp;", "&amp;Config!D9</f>
        <v>Baumgarten, Annabell</v>
      </c>
      <c r="D11" s="62" t="s">
        <v>120</v>
      </c>
      <c r="E11" s="62"/>
      <c r="F11" s="62"/>
      <c r="G11" s="62" t="s">
        <v>120</v>
      </c>
      <c r="H11" s="65"/>
    </row>
    <row r="12" spans="2:14" ht="18" customHeight="1" x14ac:dyDescent="0.25">
      <c r="B12" s="141">
        <v>6</v>
      </c>
      <c r="C12" s="131" t="str">
        <f>Config!C10&amp;", "&amp;Config!D10</f>
        <v>Traut, Stefanie</v>
      </c>
      <c r="D12" s="62"/>
      <c r="E12" s="62" t="s">
        <v>120</v>
      </c>
      <c r="F12" s="62" t="s">
        <v>120</v>
      </c>
      <c r="G12" s="62" t="s">
        <v>120</v>
      </c>
      <c r="H12" s="65"/>
    </row>
    <row r="13" spans="2:14" ht="18" customHeight="1" x14ac:dyDescent="0.25">
      <c r="B13" s="141">
        <v>7</v>
      </c>
      <c r="C13" s="131" t="str">
        <f>Config!C11&amp;", "&amp;Config!D11</f>
        <v>Menke, Damian</v>
      </c>
      <c r="D13" s="62"/>
      <c r="E13" s="62" t="s">
        <v>120</v>
      </c>
      <c r="F13" s="62" t="s">
        <v>120</v>
      </c>
      <c r="G13" s="62"/>
      <c r="H13" s="65" t="s">
        <v>120</v>
      </c>
    </row>
    <row r="14" spans="2:14" ht="18" customHeight="1" x14ac:dyDescent="0.25">
      <c r="B14" s="141">
        <v>8</v>
      </c>
      <c r="C14" s="131" t="str">
        <f>Config!C12&amp;", "&amp;Config!D12</f>
        <v>Carroll, Meik</v>
      </c>
      <c r="D14" s="62"/>
      <c r="E14" s="62"/>
      <c r="F14" s="62"/>
      <c r="G14" s="62" t="s">
        <v>120</v>
      </c>
      <c r="H14" s="65" t="s">
        <v>120</v>
      </c>
    </row>
    <row r="15" spans="2:14" ht="18" customHeight="1" x14ac:dyDescent="0.25">
      <c r="B15" s="141">
        <v>9</v>
      </c>
      <c r="C15" s="131" t="str">
        <f>Config!C13&amp;", "&amp;Config!D13</f>
        <v>Hennings, Tomas</v>
      </c>
      <c r="D15" s="62" t="s">
        <v>120</v>
      </c>
      <c r="E15" s="62" t="s">
        <v>120</v>
      </c>
      <c r="F15" s="62" t="s">
        <v>120</v>
      </c>
      <c r="G15" s="62"/>
      <c r="H15" s="65"/>
    </row>
    <row r="16" spans="2:14" ht="18" customHeight="1" x14ac:dyDescent="0.25">
      <c r="B16" s="141">
        <v>10</v>
      </c>
      <c r="C16" s="131" t="str">
        <f>Config!C14&amp;", "&amp;Config!D14</f>
        <v>Walters, Linn</v>
      </c>
      <c r="D16" s="62"/>
      <c r="E16" s="62" t="s">
        <v>120</v>
      </c>
      <c r="F16" s="62" t="s">
        <v>120</v>
      </c>
      <c r="G16" s="62" t="s">
        <v>120</v>
      </c>
      <c r="H16" s="65"/>
    </row>
    <row r="17" spans="2:8" ht="18" customHeight="1" x14ac:dyDescent="0.25">
      <c r="B17" s="141">
        <v>11</v>
      </c>
      <c r="C17" s="131" t="str">
        <f>Config!C15&amp;", "&amp;Config!D15</f>
        <v>Junker, Amely</v>
      </c>
      <c r="D17" s="62" t="s">
        <v>120</v>
      </c>
      <c r="E17" s="62"/>
      <c r="F17" s="62"/>
      <c r="G17" s="62" t="s">
        <v>120</v>
      </c>
      <c r="H17" s="65"/>
    </row>
    <row r="18" spans="2:8" ht="18" customHeight="1" x14ac:dyDescent="0.25">
      <c r="B18" s="141">
        <v>12</v>
      </c>
      <c r="C18" s="131" t="str">
        <f>Config!C16&amp;", "&amp;Config!D16</f>
        <v>Stephens, Melvin</v>
      </c>
      <c r="D18" s="62" t="s">
        <v>120</v>
      </c>
      <c r="E18" s="62"/>
      <c r="F18" s="62"/>
      <c r="G18" s="62" t="s">
        <v>120</v>
      </c>
      <c r="H18" s="65"/>
    </row>
    <row r="19" spans="2:8" ht="18" customHeight="1" x14ac:dyDescent="0.25">
      <c r="B19" s="141">
        <v>13</v>
      </c>
      <c r="C19" s="131" t="str">
        <f>Config!C17&amp;", "&amp;Config!D17</f>
        <v>Cremer, Marvin</v>
      </c>
      <c r="D19" s="62" t="s">
        <v>120</v>
      </c>
      <c r="E19" s="62"/>
      <c r="F19" s="62"/>
      <c r="G19" s="62"/>
      <c r="H19" s="65" t="s">
        <v>120</v>
      </c>
    </row>
    <row r="20" spans="2:8" ht="18" customHeight="1" x14ac:dyDescent="0.25">
      <c r="B20" s="141">
        <v>14</v>
      </c>
      <c r="C20" s="131" t="str">
        <f>Config!C18&amp;", "&amp;Config!D18</f>
        <v>Nash, Jean</v>
      </c>
      <c r="D20" s="62"/>
      <c r="E20" s="62"/>
      <c r="F20" s="62"/>
      <c r="G20" s="62" t="s">
        <v>120</v>
      </c>
      <c r="H20" s="65" t="s">
        <v>120</v>
      </c>
    </row>
    <row r="21" spans="2:8" ht="18" customHeight="1" x14ac:dyDescent="0.25">
      <c r="B21" s="141">
        <v>15</v>
      </c>
      <c r="C21" s="131" t="str">
        <f>Config!C19&amp;", "&amp;Config!D19</f>
        <v>Schön, Leonardo</v>
      </c>
      <c r="D21" s="62"/>
      <c r="E21" s="62" t="s">
        <v>120</v>
      </c>
      <c r="F21" s="62" t="s">
        <v>120</v>
      </c>
      <c r="G21" s="62"/>
      <c r="H21" s="65" t="s">
        <v>120</v>
      </c>
    </row>
    <row r="22" spans="2:8" ht="18" customHeight="1" x14ac:dyDescent="0.25">
      <c r="B22" s="141">
        <v>16</v>
      </c>
      <c r="C22" s="131" t="str">
        <f>Config!C20&amp;", "&amp;Config!D20</f>
        <v>Sigl, Nicholas</v>
      </c>
      <c r="D22" s="62"/>
      <c r="E22" s="62" t="s">
        <v>120</v>
      </c>
      <c r="F22" s="62" t="s">
        <v>120</v>
      </c>
      <c r="G22" s="62" t="s">
        <v>120</v>
      </c>
      <c r="H22" s="65"/>
    </row>
    <row r="23" spans="2:8" ht="18" customHeight="1" x14ac:dyDescent="0.25">
      <c r="B23" s="141">
        <v>17</v>
      </c>
      <c r="C23" s="131" t="str">
        <f>Config!C21&amp;", "&amp;Config!D21</f>
        <v>Kainz, Vivienne</v>
      </c>
      <c r="D23" s="62" t="s">
        <v>120</v>
      </c>
      <c r="E23" s="62"/>
      <c r="F23" s="62"/>
      <c r="G23" s="62" t="s">
        <v>120</v>
      </c>
      <c r="H23" s="65"/>
    </row>
    <row r="24" spans="2:8" ht="18" customHeight="1" x14ac:dyDescent="0.25">
      <c r="B24" s="141">
        <v>18</v>
      </c>
      <c r="C24" s="131" t="str">
        <f>Config!C22&amp;", "&amp;Config!D22</f>
        <v>Hartmann, Mads</v>
      </c>
      <c r="D24" s="62"/>
      <c r="E24" s="62"/>
      <c r="F24" s="62"/>
      <c r="G24" s="62" t="s">
        <v>120</v>
      </c>
      <c r="H24" s="65" t="s">
        <v>120</v>
      </c>
    </row>
    <row r="25" spans="2:8" ht="18" customHeight="1" x14ac:dyDescent="0.25">
      <c r="B25" s="141">
        <v>19</v>
      </c>
      <c r="C25" s="131" t="str">
        <f>Config!C23&amp;", "&amp;Config!D23</f>
        <v>Ullmann, Raphael</v>
      </c>
      <c r="D25" s="62"/>
      <c r="E25" s="62"/>
      <c r="F25" s="62"/>
      <c r="G25" s="62" t="s">
        <v>120</v>
      </c>
      <c r="H25" s="65" t="s">
        <v>120</v>
      </c>
    </row>
    <row r="26" spans="2:8" ht="18" customHeight="1" x14ac:dyDescent="0.25">
      <c r="B26" s="141">
        <v>20</v>
      </c>
      <c r="C26" s="131" t="str">
        <f>Config!C24&amp;", "&amp;Config!D24</f>
        <v>Hartl, Emmely</v>
      </c>
      <c r="D26" s="62" t="s">
        <v>120</v>
      </c>
      <c r="E26" s="62" t="s">
        <v>120</v>
      </c>
      <c r="F26" s="62" t="s">
        <v>120</v>
      </c>
      <c r="G26" s="62"/>
      <c r="H26" s="65"/>
    </row>
    <row r="27" spans="2:8" ht="18" customHeight="1" x14ac:dyDescent="0.25">
      <c r="B27" s="141">
        <v>21</v>
      </c>
      <c r="C27" s="131" t="str">
        <f>Config!C25&amp;", "&amp;Config!D25</f>
        <v>Klotz, Karin</v>
      </c>
      <c r="D27" s="62" t="s">
        <v>120</v>
      </c>
      <c r="E27" s="62" t="s">
        <v>120</v>
      </c>
      <c r="F27" s="62" t="s">
        <v>120</v>
      </c>
      <c r="G27" s="62"/>
      <c r="H27" s="65"/>
    </row>
    <row r="28" spans="2:8" ht="18" customHeight="1" x14ac:dyDescent="0.25">
      <c r="B28" s="141">
        <v>22</v>
      </c>
      <c r="C28" s="131" t="str">
        <f>Config!C26&amp;", "&amp;Config!D26</f>
        <v>Ehlers, Ingo</v>
      </c>
      <c r="D28" s="62" t="s">
        <v>120</v>
      </c>
      <c r="E28" s="62"/>
      <c r="F28" s="62"/>
      <c r="G28" s="62"/>
      <c r="H28" s="65" t="s">
        <v>120</v>
      </c>
    </row>
    <row r="29" spans="2:8" ht="18" customHeight="1" thickBot="1" x14ac:dyDescent="0.3">
      <c r="B29" s="142">
        <v>23</v>
      </c>
      <c r="C29" s="138"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D07E09A-F438-426B-B04D-A08E57450A9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21" t="s">
        <v>6</v>
      </c>
      <c r="C2" s="222"/>
      <c r="D2" s="223"/>
      <c r="F2" s="266" t="s">
        <v>96</v>
      </c>
      <c r="G2" s="267"/>
      <c r="H2" s="267"/>
      <c r="I2" s="267"/>
      <c r="J2" s="267"/>
      <c r="K2" s="267"/>
      <c r="L2" s="267"/>
      <c r="M2" s="267"/>
      <c r="N2" s="267"/>
      <c r="O2" s="267"/>
      <c r="P2" s="267"/>
      <c r="Q2" s="267"/>
      <c r="R2" s="267"/>
      <c r="S2" s="268"/>
      <c r="T2" s="79" t="s">
        <v>88</v>
      </c>
      <c r="V2" s="243" t="s">
        <v>89</v>
      </c>
      <c r="W2" s="244"/>
      <c r="X2" s="244"/>
      <c r="Y2" s="244"/>
      <c r="Z2" s="245"/>
      <c r="AB2" s="243" t="s">
        <v>129</v>
      </c>
      <c r="AC2" s="244"/>
      <c r="AD2" s="244"/>
      <c r="AE2" s="244"/>
      <c r="AF2" s="245"/>
    </row>
    <row r="3" spans="2:32" ht="13.2" customHeight="1" x14ac:dyDescent="0.25">
      <c r="B3" s="224"/>
      <c r="C3" s="225"/>
      <c r="D3" s="226"/>
      <c r="F3" s="269"/>
      <c r="G3" s="270"/>
      <c r="H3" s="270"/>
      <c r="I3" s="270"/>
      <c r="J3" s="270"/>
      <c r="K3" s="270"/>
      <c r="L3" s="270"/>
      <c r="M3" s="270"/>
      <c r="N3" s="270"/>
      <c r="O3" s="270"/>
      <c r="P3" s="270"/>
      <c r="Q3" s="270"/>
      <c r="R3" s="270"/>
      <c r="S3" s="271"/>
      <c r="V3" s="80" t="s">
        <v>90</v>
      </c>
      <c r="W3" s="227" t="s">
        <v>122</v>
      </c>
      <c r="X3" s="227"/>
      <c r="Y3" s="227"/>
      <c r="Z3" s="228"/>
      <c r="AB3" s="95" t="s">
        <v>130</v>
      </c>
      <c r="AC3" s="227" t="s">
        <v>131</v>
      </c>
      <c r="AD3" s="227"/>
      <c r="AE3" s="227"/>
      <c r="AF3" s="228"/>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27"/>
      <c r="X4" s="227"/>
      <c r="Y4" s="227"/>
      <c r="Z4" s="228"/>
      <c r="AB4" s="80"/>
      <c r="AC4" s="227"/>
      <c r="AD4" s="227"/>
      <c r="AE4" s="227"/>
      <c r="AF4" s="228"/>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27"/>
      <c r="X5" s="227"/>
      <c r="Y5" s="227"/>
      <c r="Z5" s="228"/>
      <c r="AB5" s="80"/>
      <c r="AC5" s="227"/>
      <c r="AD5" s="227"/>
      <c r="AE5" s="227"/>
      <c r="AF5" s="228"/>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27"/>
      <c r="X6" s="227"/>
      <c r="Y6" s="227"/>
      <c r="Z6" s="228"/>
      <c r="AB6" s="95" t="s">
        <v>130</v>
      </c>
      <c r="AC6" s="227"/>
      <c r="AD6" s="227"/>
      <c r="AE6" s="227"/>
      <c r="AF6" s="228"/>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27"/>
      <c r="X7" s="227"/>
      <c r="Y7" s="227"/>
      <c r="Z7" s="228"/>
      <c r="AB7" s="80"/>
      <c r="AC7" s="227"/>
      <c r="AD7" s="227"/>
      <c r="AE7" s="227"/>
      <c r="AF7" s="228"/>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27"/>
      <c r="X8" s="227"/>
      <c r="Y8" s="227"/>
      <c r="Z8" s="228"/>
      <c r="AB8" s="80"/>
      <c r="AC8" s="227"/>
      <c r="AD8" s="227"/>
      <c r="AE8" s="227"/>
      <c r="AF8" s="228"/>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27"/>
      <c r="X9" s="227"/>
      <c r="Y9" s="227"/>
      <c r="Z9" s="228"/>
      <c r="AB9" s="95"/>
      <c r="AC9" s="227"/>
      <c r="AD9" s="227"/>
      <c r="AE9" s="227"/>
      <c r="AF9" s="228"/>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27"/>
      <c r="X10" s="227"/>
      <c r="Y10" s="227"/>
      <c r="Z10" s="228"/>
      <c r="AB10" s="80"/>
      <c r="AC10" s="227"/>
      <c r="AD10" s="227"/>
      <c r="AE10" s="227"/>
      <c r="AF10" s="228"/>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27"/>
      <c r="X11" s="227"/>
      <c r="Y11" s="227"/>
      <c r="Z11" s="228"/>
      <c r="AB11" s="95" t="s">
        <v>130</v>
      </c>
      <c r="AC11" s="227"/>
      <c r="AD11" s="227"/>
      <c r="AE11" s="227"/>
      <c r="AF11" s="228"/>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27"/>
      <c r="X12" s="227"/>
      <c r="Y12" s="227"/>
      <c r="Z12" s="228"/>
      <c r="AB12" s="95"/>
      <c r="AC12" s="227"/>
      <c r="AD12" s="227"/>
      <c r="AE12" s="227"/>
      <c r="AF12" s="228"/>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27"/>
      <c r="X13" s="227"/>
      <c r="Y13" s="227"/>
      <c r="Z13" s="228"/>
      <c r="AB13" s="80"/>
      <c r="AC13" s="227"/>
      <c r="AD13" s="227"/>
      <c r="AE13" s="227"/>
      <c r="AF13" s="228"/>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27"/>
      <c r="X14" s="227"/>
      <c r="Y14" s="227"/>
      <c r="Z14" s="228"/>
      <c r="AB14" s="80"/>
      <c r="AC14" s="227"/>
      <c r="AD14" s="227"/>
      <c r="AE14" s="227"/>
      <c r="AF14" s="228"/>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27"/>
      <c r="X15" s="227"/>
      <c r="Y15" s="227"/>
      <c r="Z15" s="228"/>
      <c r="AB15" s="95"/>
      <c r="AC15" s="227"/>
      <c r="AD15" s="227"/>
      <c r="AE15" s="227"/>
      <c r="AF15" s="228"/>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27"/>
      <c r="X16" s="227"/>
      <c r="Y16" s="227"/>
      <c r="Z16" s="228"/>
      <c r="AB16" s="95" t="s">
        <v>130</v>
      </c>
      <c r="AC16" s="227"/>
      <c r="AD16" s="227"/>
      <c r="AE16" s="227"/>
      <c r="AF16" s="228"/>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27"/>
      <c r="X17" s="227"/>
      <c r="Y17" s="227"/>
      <c r="Z17" s="228"/>
      <c r="AB17" s="80"/>
      <c r="AC17" s="227"/>
      <c r="AD17" s="227"/>
      <c r="AE17" s="227"/>
      <c r="AF17" s="228"/>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27"/>
      <c r="X18" s="227"/>
      <c r="Y18" s="227"/>
      <c r="Z18" s="228"/>
      <c r="AB18" s="95"/>
      <c r="AC18" s="227"/>
      <c r="AD18" s="227"/>
      <c r="AE18" s="227"/>
      <c r="AF18" s="228"/>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27"/>
      <c r="X19" s="227"/>
      <c r="Y19" s="227"/>
      <c r="Z19" s="228"/>
      <c r="AB19" s="80"/>
      <c r="AC19" s="227"/>
      <c r="AD19" s="227"/>
      <c r="AE19" s="227"/>
      <c r="AF19" s="228"/>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27"/>
      <c r="X20" s="227"/>
      <c r="Y20" s="227"/>
      <c r="Z20" s="228"/>
      <c r="AB20" s="80"/>
      <c r="AC20" s="227"/>
      <c r="AD20" s="227"/>
      <c r="AE20" s="227"/>
      <c r="AF20" s="228"/>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27"/>
      <c r="X21" s="227"/>
      <c r="Y21" s="227"/>
      <c r="Z21" s="228"/>
      <c r="AB21" s="95"/>
      <c r="AC21" s="227"/>
      <c r="AD21" s="227"/>
      <c r="AE21" s="227"/>
      <c r="AF21" s="228"/>
    </row>
    <row r="22" spans="2:32" ht="13.8" thickBot="1" x14ac:dyDescent="0.3">
      <c r="B22" s="5">
        <v>18</v>
      </c>
      <c r="C22" s="13" t="s">
        <v>75</v>
      </c>
      <c r="D22" s="14" t="s">
        <v>53</v>
      </c>
      <c r="F22" s="272" t="s">
        <v>118</v>
      </c>
      <c r="G22" s="273"/>
      <c r="H22" s="233" t="s">
        <v>118</v>
      </c>
      <c r="I22" s="273"/>
      <c r="J22" s="233" t="s">
        <v>118</v>
      </c>
      <c r="K22" s="273"/>
      <c r="L22" s="233" t="s">
        <v>118</v>
      </c>
      <c r="M22" s="273"/>
      <c r="N22" s="233" t="s">
        <v>118</v>
      </c>
      <c r="O22" s="273"/>
      <c r="P22" s="233" t="s">
        <v>118</v>
      </c>
      <c r="Q22" s="273"/>
      <c r="R22" s="233" t="s">
        <v>119</v>
      </c>
      <c r="S22" s="234"/>
      <c r="T22" s="79" t="s">
        <v>88</v>
      </c>
      <c r="V22" s="4"/>
      <c r="W22" s="227"/>
      <c r="X22" s="227"/>
      <c r="Y22" s="227"/>
      <c r="Z22" s="228"/>
      <c r="AB22" s="4"/>
      <c r="AC22" s="227"/>
      <c r="AD22" s="227"/>
      <c r="AE22" s="227"/>
      <c r="AF22" s="228"/>
    </row>
    <row r="23" spans="2:32" ht="13.2" customHeight="1" thickBot="1" x14ac:dyDescent="0.3">
      <c r="B23" s="5">
        <v>19</v>
      </c>
      <c r="C23" s="77" t="s">
        <v>76</v>
      </c>
      <c r="D23" s="78" t="s">
        <v>54</v>
      </c>
      <c r="V23" s="4"/>
      <c r="W23" s="227"/>
      <c r="X23" s="227"/>
      <c r="Y23" s="227"/>
      <c r="Z23" s="228"/>
      <c r="AB23" s="4"/>
      <c r="AC23" s="227"/>
      <c r="AD23" s="227"/>
      <c r="AE23" s="227"/>
      <c r="AF23" s="228"/>
    </row>
    <row r="24" spans="2:32" ht="13.2" customHeight="1" x14ac:dyDescent="0.25">
      <c r="B24" s="5">
        <v>20</v>
      </c>
      <c r="C24" s="13" t="s">
        <v>77</v>
      </c>
      <c r="D24" s="14" t="s">
        <v>55</v>
      </c>
      <c r="F24" s="22" t="s">
        <v>22</v>
      </c>
      <c r="G24" s="255">
        <v>46150</v>
      </c>
      <c r="H24" s="256"/>
      <c r="J24" s="257" t="s">
        <v>99</v>
      </c>
      <c r="K24" s="258"/>
      <c r="L24" s="258"/>
      <c r="M24" s="258"/>
      <c r="N24" s="258"/>
      <c r="O24" s="258"/>
      <c r="P24" s="258"/>
      <c r="Q24" s="259"/>
      <c r="V24" s="4" t="s">
        <v>123</v>
      </c>
      <c r="W24" s="227"/>
      <c r="X24" s="227"/>
      <c r="Y24" s="227"/>
      <c r="Z24" s="228"/>
      <c r="AB24" s="95"/>
      <c r="AC24" s="227"/>
      <c r="AD24" s="227"/>
      <c r="AE24" s="227"/>
      <c r="AF24" s="228"/>
    </row>
    <row r="25" spans="2:32" ht="13.2" customHeight="1" x14ac:dyDescent="0.25">
      <c r="B25" s="5">
        <v>21</v>
      </c>
      <c r="C25" s="77" t="s">
        <v>78</v>
      </c>
      <c r="D25" s="78" t="s">
        <v>56</v>
      </c>
      <c r="F25" s="23" t="s">
        <v>30</v>
      </c>
      <c r="G25" s="231" t="s">
        <v>86</v>
      </c>
      <c r="H25" s="232"/>
      <c r="J25" s="260" t="s">
        <v>98</v>
      </c>
      <c r="K25" s="261"/>
      <c r="L25" s="261"/>
      <c r="M25" s="261"/>
      <c r="N25" s="261"/>
      <c r="O25" s="261"/>
      <c r="P25" s="261"/>
      <c r="Q25" s="262"/>
      <c r="V25" s="4"/>
      <c r="W25" s="227"/>
      <c r="X25" s="227"/>
      <c r="Y25" s="227"/>
      <c r="Z25" s="228"/>
      <c r="AB25" s="4"/>
      <c r="AC25" s="227"/>
      <c r="AD25" s="227"/>
      <c r="AE25" s="227"/>
      <c r="AF25" s="228"/>
    </row>
    <row r="26" spans="2:32" ht="13.2" customHeight="1" thickBot="1" x14ac:dyDescent="0.3">
      <c r="B26" s="5">
        <v>22</v>
      </c>
      <c r="C26" s="13" t="s">
        <v>79</v>
      </c>
      <c r="D26" s="14" t="s">
        <v>57</v>
      </c>
      <c r="F26" s="23" t="s">
        <v>21</v>
      </c>
      <c r="G26" s="231" t="s">
        <v>87</v>
      </c>
      <c r="H26" s="232"/>
      <c r="J26" s="263"/>
      <c r="K26" s="264"/>
      <c r="L26" s="264"/>
      <c r="M26" s="264"/>
      <c r="N26" s="264"/>
      <c r="O26" s="264"/>
      <c r="P26" s="264"/>
      <c r="Q26" s="265"/>
      <c r="V26" s="4"/>
      <c r="W26" s="227"/>
      <c r="X26" s="227"/>
      <c r="Y26" s="227"/>
      <c r="Z26" s="228"/>
      <c r="AB26" s="4"/>
      <c r="AC26" s="227"/>
      <c r="AD26" s="227"/>
      <c r="AE26" s="227"/>
      <c r="AF26" s="228"/>
    </row>
    <row r="27" spans="2:32" ht="13.2" customHeight="1" thickBot="1" x14ac:dyDescent="0.3">
      <c r="B27" s="5">
        <v>23</v>
      </c>
      <c r="C27" s="77" t="s">
        <v>80</v>
      </c>
      <c r="D27" s="78" t="s">
        <v>53</v>
      </c>
      <c r="F27" s="23" t="s">
        <v>126</v>
      </c>
      <c r="G27" s="231" t="s">
        <v>132</v>
      </c>
      <c r="H27" s="232"/>
      <c r="I27" s="94" t="s">
        <v>88</v>
      </c>
      <c r="V27" s="4"/>
      <c r="W27" s="227"/>
      <c r="X27" s="227"/>
      <c r="Y27" s="227"/>
      <c r="Z27" s="228"/>
      <c r="AB27" s="4"/>
      <c r="AC27" s="227"/>
      <c r="AD27" s="227"/>
      <c r="AE27" s="227"/>
      <c r="AF27" s="228"/>
    </row>
    <row r="28" spans="2:32" ht="13.2" customHeight="1" thickBot="1" x14ac:dyDescent="0.3">
      <c r="B28" s="5">
        <v>24</v>
      </c>
      <c r="C28" s="13"/>
      <c r="D28" s="14"/>
      <c r="F28" s="24" t="s">
        <v>127</v>
      </c>
      <c r="G28" s="235" t="s">
        <v>133</v>
      </c>
      <c r="H28" s="236"/>
      <c r="I28" s="94" t="s">
        <v>88</v>
      </c>
      <c r="N28" s="237" t="s">
        <v>128</v>
      </c>
      <c r="O28" s="238"/>
      <c r="P28" s="238"/>
      <c r="Q28" s="239"/>
      <c r="V28" s="4"/>
      <c r="W28" s="227"/>
      <c r="X28" s="227"/>
      <c r="Y28" s="227"/>
      <c r="Z28" s="228"/>
      <c r="AB28" s="4"/>
      <c r="AC28" s="227"/>
      <c r="AD28" s="227"/>
      <c r="AE28" s="227"/>
      <c r="AF28" s="228"/>
    </row>
    <row r="29" spans="2:32" ht="13.2" customHeight="1" thickBot="1" x14ac:dyDescent="0.3">
      <c r="B29" s="5">
        <v>25</v>
      </c>
      <c r="C29" s="77"/>
      <c r="D29" s="78"/>
      <c r="N29" s="240"/>
      <c r="O29" s="241"/>
      <c r="P29" s="241"/>
      <c r="Q29" s="242"/>
      <c r="V29" s="92"/>
      <c r="W29" s="229"/>
      <c r="X29" s="229"/>
      <c r="Y29" s="229"/>
      <c r="Z29" s="230"/>
      <c r="AB29" s="92"/>
      <c r="AC29" s="229"/>
      <c r="AD29" s="229"/>
      <c r="AE29" s="229"/>
      <c r="AF29" s="230"/>
    </row>
    <row r="30" spans="2:32" ht="13.2" customHeight="1" thickBot="1" x14ac:dyDescent="0.3">
      <c r="B30" s="5">
        <v>26</v>
      </c>
      <c r="C30" s="13"/>
      <c r="D30" s="14"/>
    </row>
    <row r="31" spans="2:32" ht="13.2" customHeight="1" x14ac:dyDescent="0.25">
      <c r="B31" s="5">
        <v>27</v>
      </c>
      <c r="C31" s="77"/>
      <c r="D31" s="78"/>
      <c r="F31" s="246" t="s">
        <v>97</v>
      </c>
      <c r="G31" s="247"/>
      <c r="H31" s="247"/>
      <c r="I31" s="247"/>
      <c r="J31" s="247"/>
      <c r="K31" s="247"/>
      <c r="L31" s="247"/>
      <c r="M31" s="247"/>
      <c r="N31" s="247"/>
      <c r="O31" s="247"/>
      <c r="P31" s="247"/>
      <c r="Q31" s="248"/>
    </row>
    <row r="32" spans="2:32" ht="13.2" customHeight="1" x14ac:dyDescent="0.25">
      <c r="B32" s="5">
        <v>28</v>
      </c>
      <c r="C32" s="13"/>
      <c r="D32" s="14"/>
      <c r="F32" s="249"/>
      <c r="G32" s="250"/>
      <c r="H32" s="250"/>
      <c r="I32" s="250"/>
      <c r="J32" s="250"/>
      <c r="K32" s="250"/>
      <c r="L32" s="250"/>
      <c r="M32" s="250"/>
      <c r="N32" s="250"/>
      <c r="O32" s="250"/>
      <c r="P32" s="250"/>
      <c r="Q32" s="251"/>
    </row>
    <row r="33" spans="2:25" ht="13.2" customHeight="1" x14ac:dyDescent="0.25">
      <c r="B33" s="5">
        <v>29</v>
      </c>
      <c r="C33" s="77"/>
      <c r="D33" s="78"/>
      <c r="F33" s="249"/>
      <c r="G33" s="250"/>
      <c r="H33" s="250"/>
      <c r="I33" s="250"/>
      <c r="J33" s="250"/>
      <c r="K33" s="250"/>
      <c r="L33" s="250"/>
      <c r="M33" s="250"/>
      <c r="N33" s="250"/>
      <c r="O33" s="250"/>
      <c r="P33" s="250"/>
      <c r="Q33" s="251"/>
    </row>
    <row r="34" spans="2:25" ht="13.2" customHeight="1" x14ac:dyDescent="0.25">
      <c r="B34" s="5">
        <v>30</v>
      </c>
      <c r="C34" s="13"/>
      <c r="D34" s="14"/>
      <c r="F34" s="249"/>
      <c r="G34" s="250"/>
      <c r="H34" s="250"/>
      <c r="I34" s="250"/>
      <c r="J34" s="250"/>
      <c r="K34" s="250"/>
      <c r="L34" s="250"/>
      <c r="M34" s="250"/>
      <c r="N34" s="250"/>
      <c r="O34" s="250"/>
      <c r="P34" s="250"/>
      <c r="Q34" s="251"/>
    </row>
    <row r="35" spans="2:25" ht="13.2" customHeight="1" x14ac:dyDescent="0.25">
      <c r="B35" s="5">
        <v>31</v>
      </c>
      <c r="C35" s="77"/>
      <c r="D35" s="78"/>
      <c r="F35" s="249"/>
      <c r="G35" s="250"/>
      <c r="H35" s="250"/>
      <c r="I35" s="250"/>
      <c r="J35" s="250"/>
      <c r="K35" s="250"/>
      <c r="L35" s="250"/>
      <c r="M35" s="250"/>
      <c r="N35" s="250"/>
      <c r="O35" s="250"/>
      <c r="P35" s="250"/>
      <c r="Q35" s="251"/>
    </row>
    <row r="36" spans="2:25" ht="13.2" customHeight="1" x14ac:dyDescent="0.25">
      <c r="B36" s="5">
        <v>32</v>
      </c>
      <c r="C36" s="13"/>
      <c r="D36" s="14"/>
      <c r="F36" s="249"/>
      <c r="G36" s="250"/>
      <c r="H36" s="250"/>
      <c r="I36" s="250"/>
      <c r="J36" s="250"/>
      <c r="K36" s="250"/>
      <c r="L36" s="250"/>
      <c r="M36" s="250"/>
      <c r="N36" s="250"/>
      <c r="O36" s="250"/>
      <c r="P36" s="250"/>
      <c r="Q36" s="251"/>
    </row>
    <row r="37" spans="2:25" ht="13.2" customHeight="1" thickBot="1" x14ac:dyDescent="0.3">
      <c r="B37" s="5">
        <v>33</v>
      </c>
      <c r="C37" s="77"/>
      <c r="D37" s="78"/>
      <c r="F37" s="249"/>
      <c r="G37" s="250"/>
      <c r="H37" s="250"/>
      <c r="I37" s="250"/>
      <c r="J37" s="250"/>
      <c r="K37" s="250"/>
      <c r="L37" s="250"/>
      <c r="M37" s="250"/>
      <c r="N37" s="250"/>
      <c r="O37" s="250"/>
      <c r="P37" s="250"/>
      <c r="Q37" s="251"/>
    </row>
    <row r="38" spans="2:25" ht="13.2" customHeight="1" x14ac:dyDescent="0.25">
      <c r="B38" s="5">
        <v>34</v>
      </c>
      <c r="C38" s="13"/>
      <c r="D38" s="14"/>
      <c r="F38" s="249"/>
      <c r="G38" s="250"/>
      <c r="H38" s="250"/>
      <c r="I38" s="250"/>
      <c r="J38" s="250"/>
      <c r="K38" s="250"/>
      <c r="L38" s="250"/>
      <c r="M38" s="250"/>
      <c r="N38" s="250"/>
      <c r="O38" s="250"/>
      <c r="P38" s="250"/>
      <c r="Q38" s="251"/>
      <c r="V38" s="211" t="s">
        <v>134</v>
      </c>
      <c r="W38" s="212"/>
      <c r="X38" s="212"/>
      <c r="Y38" s="213"/>
    </row>
    <row r="39" spans="2:25" ht="13.2" customHeight="1" x14ac:dyDescent="0.25">
      <c r="B39" s="5">
        <v>35</v>
      </c>
      <c r="C39" s="77"/>
      <c r="D39" s="78"/>
      <c r="F39" s="249"/>
      <c r="G39" s="250"/>
      <c r="H39" s="250"/>
      <c r="I39" s="250"/>
      <c r="J39" s="250"/>
      <c r="K39" s="250"/>
      <c r="L39" s="250"/>
      <c r="M39" s="250"/>
      <c r="N39" s="250"/>
      <c r="O39" s="250"/>
      <c r="P39" s="250"/>
      <c r="Q39" s="251"/>
      <c r="V39" s="214"/>
      <c r="W39" s="215"/>
      <c r="X39" s="215"/>
      <c r="Y39" s="216"/>
    </row>
    <row r="40" spans="2:25" ht="13.2" customHeight="1" x14ac:dyDescent="0.25">
      <c r="B40" s="5">
        <v>36</v>
      </c>
      <c r="C40" s="13"/>
      <c r="D40" s="14"/>
      <c r="F40" s="249"/>
      <c r="G40" s="250"/>
      <c r="H40" s="250"/>
      <c r="I40" s="250"/>
      <c r="J40" s="250"/>
      <c r="K40" s="250"/>
      <c r="L40" s="250"/>
      <c r="M40" s="250"/>
      <c r="N40" s="250"/>
      <c r="O40" s="250"/>
      <c r="P40" s="250"/>
      <c r="Q40" s="251"/>
      <c r="V40" s="98">
        <v>1</v>
      </c>
      <c r="W40" s="217" t="s">
        <v>135</v>
      </c>
      <c r="X40" s="217"/>
      <c r="Y40" s="218"/>
    </row>
    <row r="41" spans="2:25" ht="13.2" customHeight="1" x14ac:dyDescent="0.25">
      <c r="B41" s="5">
        <v>37</v>
      </c>
      <c r="C41" s="77"/>
      <c r="D41" s="78"/>
      <c r="F41" s="249"/>
      <c r="G41" s="250"/>
      <c r="H41" s="250"/>
      <c r="I41" s="250"/>
      <c r="J41" s="250"/>
      <c r="K41" s="250"/>
      <c r="L41" s="250"/>
      <c r="M41" s="250"/>
      <c r="N41" s="250"/>
      <c r="O41" s="250"/>
      <c r="P41" s="250"/>
      <c r="Q41" s="251"/>
      <c r="V41" s="98">
        <v>1</v>
      </c>
      <c r="W41" s="217" t="s">
        <v>136</v>
      </c>
      <c r="X41" s="217"/>
      <c r="Y41" s="218"/>
    </row>
    <row r="42" spans="2:25" ht="13.2" customHeight="1" x14ac:dyDescent="0.25">
      <c r="B42" s="5">
        <v>38</v>
      </c>
      <c r="C42" s="13"/>
      <c r="D42" s="14"/>
      <c r="F42" s="249"/>
      <c r="G42" s="250"/>
      <c r="H42" s="250"/>
      <c r="I42" s="250"/>
      <c r="J42" s="250"/>
      <c r="K42" s="250"/>
      <c r="L42" s="250"/>
      <c r="M42" s="250"/>
      <c r="N42" s="250"/>
      <c r="O42" s="250"/>
      <c r="P42" s="250"/>
      <c r="Q42" s="251"/>
      <c r="V42" s="96"/>
      <c r="W42" s="219"/>
      <c r="X42" s="219"/>
      <c r="Y42" s="220"/>
    </row>
    <row r="43" spans="2:25" ht="13.2" customHeight="1" x14ac:dyDescent="0.25">
      <c r="B43" s="5">
        <v>39</v>
      </c>
      <c r="C43" s="77"/>
      <c r="D43" s="78"/>
      <c r="F43" s="249"/>
      <c r="G43" s="250"/>
      <c r="H43" s="250"/>
      <c r="I43" s="250"/>
      <c r="J43" s="250"/>
      <c r="K43" s="250"/>
      <c r="L43" s="250"/>
      <c r="M43" s="250"/>
      <c r="N43" s="250"/>
      <c r="O43" s="250"/>
      <c r="P43" s="250"/>
      <c r="Q43" s="251"/>
      <c r="V43" s="96"/>
      <c r="W43" s="219"/>
      <c r="X43" s="219"/>
      <c r="Y43" s="220"/>
    </row>
    <row r="44" spans="2:25" ht="13.2" customHeight="1" thickBot="1" x14ac:dyDescent="0.3">
      <c r="B44" s="6">
        <v>40</v>
      </c>
      <c r="C44" s="15"/>
      <c r="D44" s="16"/>
      <c r="F44" s="252"/>
      <c r="G44" s="253"/>
      <c r="H44" s="253"/>
      <c r="I44" s="253"/>
      <c r="J44" s="253"/>
      <c r="K44" s="253"/>
      <c r="L44" s="253"/>
      <c r="M44" s="253"/>
      <c r="N44" s="253"/>
      <c r="O44" s="253"/>
      <c r="P44" s="253"/>
      <c r="Q44" s="254"/>
      <c r="V44" s="97"/>
      <c r="W44" s="274"/>
      <c r="X44" s="274"/>
      <c r="Y44" s="275"/>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46" t="s">
        <v>32</v>
      </c>
      <c r="H2" s="247"/>
      <c r="I2" s="247"/>
      <c r="J2" s="247"/>
      <c r="K2" s="247"/>
      <c r="L2" s="248"/>
    </row>
    <row r="3" spans="2:15" x14ac:dyDescent="0.25">
      <c r="B3" s="35">
        <v>0</v>
      </c>
      <c r="C3" s="36">
        <v>0</v>
      </c>
      <c r="D3" s="37">
        <v>6</v>
      </c>
      <c r="E3" s="27" t="str">
        <f>IF(AND($C3=$C4,$C4&lt;$C5),"+",IF($C3&lt;$C4,"++",""))</f>
        <v/>
      </c>
      <c r="F3" s="31"/>
      <c r="G3" s="249"/>
      <c r="H3" s="250"/>
      <c r="I3" s="250"/>
      <c r="J3" s="250"/>
      <c r="K3" s="250"/>
      <c r="L3" s="251"/>
    </row>
    <row r="4" spans="2:15" x14ac:dyDescent="0.25">
      <c r="B4" s="38">
        <v>0.5</v>
      </c>
      <c r="C4" s="39">
        <v>0</v>
      </c>
      <c r="D4" s="40">
        <v>6</v>
      </c>
      <c r="E4" s="27" t="str">
        <f>IF(AND($C4=$C5,$C5&lt;$C6),"+",IF($C4&lt;$C5,"++",""))</f>
        <v/>
      </c>
      <c r="F4" s="31"/>
      <c r="G4" s="249"/>
      <c r="H4" s="250"/>
      <c r="I4" s="250"/>
      <c r="J4" s="250"/>
      <c r="K4" s="250"/>
      <c r="L4" s="251"/>
    </row>
    <row r="5" spans="2:15" x14ac:dyDescent="0.25">
      <c r="B5" s="38">
        <v>1</v>
      </c>
      <c r="C5" s="39">
        <v>0</v>
      </c>
      <c r="D5" s="40">
        <v>6</v>
      </c>
      <c r="E5" s="27" t="str">
        <f t="shared" ref="E5:E50" si="0">IF(AND($C5=$C6,$C6&lt;$C7),"+",IF($C5&lt;$C6,"++",IF(AND($C5=$C4,$C4&gt;$C3),"-",IF($C5&gt;$C4,"--",""))))</f>
        <v/>
      </c>
      <c r="F5" s="31"/>
      <c r="G5" s="249"/>
      <c r="H5" s="250"/>
      <c r="I5" s="250"/>
      <c r="J5" s="250"/>
      <c r="K5" s="250"/>
      <c r="L5" s="251"/>
    </row>
    <row r="6" spans="2:15" x14ac:dyDescent="0.25">
      <c r="B6" s="38">
        <v>1.5</v>
      </c>
      <c r="C6" s="39">
        <v>0</v>
      </c>
      <c r="D6" s="40">
        <v>6</v>
      </c>
      <c r="E6" s="27" t="str">
        <f t="shared" si="0"/>
        <v/>
      </c>
      <c r="F6" s="31"/>
      <c r="G6" s="249"/>
      <c r="H6" s="250"/>
      <c r="I6" s="250"/>
      <c r="J6" s="250"/>
      <c r="K6" s="250"/>
      <c r="L6" s="251"/>
    </row>
    <row r="7" spans="2:15" x14ac:dyDescent="0.25">
      <c r="B7" s="38">
        <v>2</v>
      </c>
      <c r="C7" s="39">
        <v>0</v>
      </c>
      <c r="D7" s="40">
        <v>6</v>
      </c>
      <c r="E7" s="27" t="str">
        <f t="shared" si="0"/>
        <v/>
      </c>
      <c r="F7" s="31"/>
      <c r="G7" s="249"/>
      <c r="H7" s="250"/>
      <c r="I7" s="250"/>
      <c r="J7" s="250"/>
      <c r="K7" s="250"/>
      <c r="L7" s="251"/>
    </row>
    <row r="8" spans="2:15" ht="12.75" customHeight="1" x14ac:dyDescent="0.25">
      <c r="B8" s="38">
        <v>2.5</v>
      </c>
      <c r="C8" s="39">
        <v>0</v>
      </c>
      <c r="D8" s="40">
        <v>6</v>
      </c>
      <c r="E8" s="27" t="str">
        <f t="shared" si="0"/>
        <v/>
      </c>
      <c r="F8" s="31"/>
      <c r="G8" s="249"/>
      <c r="H8" s="250"/>
      <c r="I8" s="250"/>
      <c r="J8" s="250"/>
      <c r="K8" s="250"/>
      <c r="L8" s="251"/>
      <c r="M8" s="32"/>
      <c r="N8" s="32"/>
      <c r="O8" s="32"/>
    </row>
    <row r="9" spans="2:15" x14ac:dyDescent="0.25">
      <c r="B9" s="38">
        <v>3</v>
      </c>
      <c r="C9" s="39">
        <v>0</v>
      </c>
      <c r="D9" s="40">
        <v>6</v>
      </c>
      <c r="E9" s="27" t="str">
        <f t="shared" si="0"/>
        <v/>
      </c>
      <c r="F9" s="31"/>
      <c r="G9" s="249"/>
      <c r="H9" s="250"/>
      <c r="I9" s="250"/>
      <c r="J9" s="250"/>
      <c r="K9" s="250"/>
      <c r="L9" s="251"/>
      <c r="M9" s="32"/>
      <c r="N9" s="32"/>
      <c r="O9" s="32"/>
    </row>
    <row r="10" spans="2:15" x14ac:dyDescent="0.25">
      <c r="B10" s="38">
        <v>3.5</v>
      </c>
      <c r="C10" s="39">
        <v>0</v>
      </c>
      <c r="D10" s="40">
        <v>6</v>
      </c>
      <c r="E10" s="27" t="str">
        <f t="shared" si="0"/>
        <v/>
      </c>
      <c r="F10" s="31"/>
      <c r="G10" s="249"/>
      <c r="H10" s="250"/>
      <c r="I10" s="250"/>
      <c r="J10" s="250"/>
      <c r="K10" s="250"/>
      <c r="L10" s="251"/>
      <c r="M10" s="32"/>
      <c r="N10" s="32"/>
      <c r="O10" s="32"/>
    </row>
    <row r="11" spans="2:15" x14ac:dyDescent="0.25">
      <c r="B11" s="38">
        <v>4</v>
      </c>
      <c r="C11" s="39">
        <v>0</v>
      </c>
      <c r="D11" s="40">
        <v>6</v>
      </c>
      <c r="E11" s="27" t="str">
        <f t="shared" si="0"/>
        <v/>
      </c>
      <c r="G11" s="249"/>
      <c r="H11" s="250"/>
      <c r="I11" s="250"/>
      <c r="J11" s="250"/>
      <c r="K11" s="250"/>
      <c r="L11" s="251"/>
      <c r="M11" s="32"/>
      <c r="N11" s="32"/>
      <c r="O11" s="32"/>
    </row>
    <row r="12" spans="2:15" x14ac:dyDescent="0.25">
      <c r="B12" s="38">
        <v>4.5</v>
      </c>
      <c r="C12" s="39">
        <v>0</v>
      </c>
      <c r="D12" s="40">
        <v>6</v>
      </c>
      <c r="E12" s="27" t="str">
        <f t="shared" si="0"/>
        <v/>
      </c>
      <c r="F12" s="31"/>
      <c r="G12" s="249"/>
      <c r="H12" s="250"/>
      <c r="I12" s="250"/>
      <c r="J12" s="250"/>
      <c r="K12" s="250"/>
      <c r="L12" s="251"/>
      <c r="M12" s="32"/>
      <c r="N12" s="32"/>
      <c r="O12" s="32"/>
    </row>
    <row r="13" spans="2:15" x14ac:dyDescent="0.25">
      <c r="B13" s="38">
        <v>5</v>
      </c>
      <c r="C13" s="39">
        <v>0</v>
      </c>
      <c r="D13" s="40">
        <v>6</v>
      </c>
      <c r="E13" s="27" t="str">
        <f t="shared" si="0"/>
        <v/>
      </c>
      <c r="F13" s="31"/>
      <c r="G13" s="249"/>
      <c r="H13" s="250"/>
      <c r="I13" s="250"/>
      <c r="J13" s="250"/>
      <c r="K13" s="250"/>
      <c r="L13" s="251"/>
      <c r="M13" s="32"/>
      <c r="N13" s="32"/>
      <c r="O13" s="32"/>
    </row>
    <row r="14" spans="2:15" x14ac:dyDescent="0.25">
      <c r="B14" s="38">
        <v>5.5</v>
      </c>
      <c r="C14" s="39">
        <v>0</v>
      </c>
      <c r="D14" s="40">
        <v>6</v>
      </c>
      <c r="E14" s="27" t="str">
        <f t="shared" si="0"/>
        <v/>
      </c>
      <c r="F14" s="31"/>
      <c r="G14" s="249"/>
      <c r="H14" s="250"/>
      <c r="I14" s="250"/>
      <c r="J14" s="250"/>
      <c r="K14" s="250"/>
      <c r="L14" s="25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2026-05-05T23:00:22Z</dcterms:modified>
</cp:coreProperties>
</file>