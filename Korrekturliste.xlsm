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D5467CA6-9768-444E-8AF2-6F90F4FCB6A4}" xr6:coauthVersionLast="47" xr6:coauthVersionMax="47" xr10:uidLastSave="{00000000-0000-0000-0000-000000000000}"/>
  <bookViews>
    <workbookView xWindow="-108" yWindow="-108" windowWidth="30936" windowHeight="16776" activeTab="9" xr2:uid="{00000000-000D-0000-FFFF-FFFF00000000}"/>
  </bookViews>
  <sheets>
    <sheet name="Noten" sheetId="3137" r:id="rId1"/>
    <sheet name="Analysis A" sheetId="3130" r:id="rId2"/>
    <sheet name="Analysis B" sheetId="3131" r:id="rId3"/>
    <sheet name="Stochastik A" sheetId="3132" r:id="rId4"/>
    <sheet name="Stochastik B" sheetId="3133" r:id="rId5"/>
    <sheet name="Geometrie A" sheetId="3134" r:id="rId6"/>
    <sheet name="Geometrie B" sheetId="3135" r:id="rId7"/>
    <sheet name="Wahlaufgaben" sheetId="3136" r:id="rId8"/>
    <sheet name="ConfigW" sheetId="3138"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A'!$C$7:$J$75</definedName>
    <definedName name="PupilBlock" localSheetId="2">'Analysis B'!$C$7:$N$75</definedName>
    <definedName name="PupilBlock" localSheetId="5">'Geometrie A'!$C$7:$F$75</definedName>
    <definedName name="PupilBlock" localSheetId="6">'Geometrie B'!$C$7:$I$75</definedName>
    <definedName name="PupilBlock" localSheetId="3">'Stochastik A'!$C$7:$E$75</definedName>
    <definedName name="PupilBlock" localSheetId="4">'Stochastik B'!$C$7:$I$75</definedName>
    <definedName name="PupilBlock" localSheetId="7">Wahlaufgaben!$C$7:$I$75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3137" l="1"/>
  <c r="C7" i="3130"/>
  <c r="J7" i="3130"/>
  <c r="D7" i="3137"/>
  <c r="C7" i="3131"/>
  <c r="N7" i="3131"/>
  <c r="E7" i="3137"/>
  <c r="C7" i="3132"/>
  <c r="E7" i="3132"/>
  <c r="F7" i="3137"/>
  <c r="C7" i="3133"/>
  <c r="I7" i="3133"/>
  <c r="G7" i="3137"/>
  <c r="C7" i="3136"/>
  <c r="I7" i="3136"/>
  <c r="J7" i="3137"/>
  <c r="C7" i="3135"/>
  <c r="I7" i="3135"/>
  <c r="I7" i="3137"/>
  <c r="C7" i="3134"/>
  <c r="F7" i="3134"/>
  <c r="H7" i="3137"/>
  <c r="K7" i="3137"/>
  <c r="L7" i="3137"/>
  <c r="C8" i="3137"/>
  <c r="C10" i="3130"/>
  <c r="J10" i="3130"/>
  <c r="D8" i="3137"/>
  <c r="C10" i="3131"/>
  <c r="N10" i="3131"/>
  <c r="E8" i="3137"/>
  <c r="C10" i="3132"/>
  <c r="E10" i="3132"/>
  <c r="F8" i="3137"/>
  <c r="C10" i="3133"/>
  <c r="I10" i="3133"/>
  <c r="G8" i="3137"/>
  <c r="C10" i="3136"/>
  <c r="I10" i="3136"/>
  <c r="J8" i="3137"/>
  <c r="C10" i="3135"/>
  <c r="I10" i="3135"/>
  <c r="I8" i="3137"/>
  <c r="C10" i="3134"/>
  <c r="F10" i="3134"/>
  <c r="H8" i="3137"/>
  <c r="K8" i="3137"/>
  <c r="L8" i="3137"/>
  <c r="C9" i="3137"/>
  <c r="C13" i="3130"/>
  <c r="J13" i="3130"/>
  <c r="D9" i="3137"/>
  <c r="C13" i="3131"/>
  <c r="N13" i="3131"/>
  <c r="E9" i="3137"/>
  <c r="C13" i="3132"/>
  <c r="E13" i="3132"/>
  <c r="F9" i="3137"/>
  <c r="C13" i="3133"/>
  <c r="I13" i="3133"/>
  <c r="G9" i="3137"/>
  <c r="C13" i="3136"/>
  <c r="I13" i="3136"/>
  <c r="J9" i="3137"/>
  <c r="C13" i="3135"/>
  <c r="I13" i="3135"/>
  <c r="I9" i="3137"/>
  <c r="C13" i="3134"/>
  <c r="F13" i="3134"/>
  <c r="H9" i="3137"/>
  <c r="K9" i="3137"/>
  <c r="L9" i="3137"/>
  <c r="C10" i="3137"/>
  <c r="C16" i="3130"/>
  <c r="J16" i="3130"/>
  <c r="D10" i="3137"/>
  <c r="C16" i="3131"/>
  <c r="N16" i="3131"/>
  <c r="E10" i="3137"/>
  <c r="C16" i="3132"/>
  <c r="E16" i="3132"/>
  <c r="F10" i="3137"/>
  <c r="C16" i="3133"/>
  <c r="I16" i="3133"/>
  <c r="G10" i="3137"/>
  <c r="C16" i="3136"/>
  <c r="I16" i="3136"/>
  <c r="J10" i="3137"/>
  <c r="C16" i="3135"/>
  <c r="I16" i="3135"/>
  <c r="I10" i="3137"/>
  <c r="C16" i="3134"/>
  <c r="F16" i="3134"/>
  <c r="H10" i="3137"/>
  <c r="K10" i="3137"/>
  <c r="L10" i="3137"/>
  <c r="C29" i="3137"/>
  <c r="C19" i="3130"/>
  <c r="C22" i="3130"/>
  <c r="C25" i="3130"/>
  <c r="J75" i="3130"/>
  <c r="J74" i="3130"/>
  <c r="J73" i="3130"/>
  <c r="C73" i="3130"/>
  <c r="J72" i="3130"/>
  <c r="J71" i="3130"/>
  <c r="J70" i="3130"/>
  <c r="C70" i="3130"/>
  <c r="J69" i="3130"/>
  <c r="J68" i="3130"/>
  <c r="J67" i="3130"/>
  <c r="C67" i="3130"/>
  <c r="J66" i="3130"/>
  <c r="J65" i="3130"/>
  <c r="J64" i="3130"/>
  <c r="C64" i="3130"/>
  <c r="J63" i="3130"/>
  <c r="J62" i="3130"/>
  <c r="J61" i="3130"/>
  <c r="C61" i="3130"/>
  <c r="J60" i="3130"/>
  <c r="J59" i="3130"/>
  <c r="J58" i="3130"/>
  <c r="C58" i="3130"/>
  <c r="J57" i="3130"/>
  <c r="J56" i="3130"/>
  <c r="J55" i="3130"/>
  <c r="C55" i="3130"/>
  <c r="J54" i="3130"/>
  <c r="J53" i="3130"/>
  <c r="J52" i="3130"/>
  <c r="C52" i="3130"/>
  <c r="J51" i="3130"/>
  <c r="J50" i="3130"/>
  <c r="J49" i="3130"/>
  <c r="C49" i="3130"/>
  <c r="J48" i="3130"/>
  <c r="J47" i="3130"/>
  <c r="J46" i="3130"/>
  <c r="C46" i="3130"/>
  <c r="J45" i="3130"/>
  <c r="J44" i="3130"/>
  <c r="J43" i="3130"/>
  <c r="C43" i="3130"/>
  <c r="J42" i="3130"/>
  <c r="J41" i="3130"/>
  <c r="J40" i="3130"/>
  <c r="C40" i="3130"/>
  <c r="J39" i="3130"/>
  <c r="J38" i="3130"/>
  <c r="J37" i="3130"/>
  <c r="C37" i="3130"/>
  <c r="J36" i="3130"/>
  <c r="J35" i="3130"/>
  <c r="J34" i="3130"/>
  <c r="C34" i="3130"/>
  <c r="J33" i="3130"/>
  <c r="J32" i="3130"/>
  <c r="J31" i="3130"/>
  <c r="C31" i="3130"/>
  <c r="J30" i="3130"/>
  <c r="J29" i="3130"/>
  <c r="J28" i="3130"/>
  <c r="C28" i="3130"/>
  <c r="J27" i="3130"/>
  <c r="J26" i="3130"/>
  <c r="J25" i="3130"/>
  <c r="J24" i="3130"/>
  <c r="J23" i="3130"/>
  <c r="J22" i="3130"/>
  <c r="J21" i="3130"/>
  <c r="J20" i="3130"/>
  <c r="J19" i="3130"/>
  <c r="J18" i="3130"/>
  <c r="J17" i="3130"/>
  <c r="J15" i="3130"/>
  <c r="J14" i="3130"/>
  <c r="J12" i="3130"/>
  <c r="J11" i="3130"/>
  <c r="J9" i="3130"/>
  <c r="J8" i="3130"/>
  <c r="D29" i="3137"/>
  <c r="C19" i="3131"/>
  <c r="C22" i="3131"/>
  <c r="C25" i="3131"/>
  <c r="C28" i="3131"/>
  <c r="N75" i="3131"/>
  <c r="N74" i="3131"/>
  <c r="N73" i="3131"/>
  <c r="C73" i="3131"/>
  <c r="N72" i="3131"/>
  <c r="N71" i="3131"/>
  <c r="N70" i="3131"/>
  <c r="C70" i="3131"/>
  <c r="N69" i="3131"/>
  <c r="N68" i="3131"/>
  <c r="N67" i="3131"/>
  <c r="C67" i="3131"/>
  <c r="N66" i="3131"/>
  <c r="N65" i="3131"/>
  <c r="N64" i="3131"/>
  <c r="C64" i="3131"/>
  <c r="N63" i="3131"/>
  <c r="N62" i="3131"/>
  <c r="N61" i="3131"/>
  <c r="C61" i="3131"/>
  <c r="N60" i="3131"/>
  <c r="N59" i="3131"/>
  <c r="N58" i="3131"/>
  <c r="C58" i="3131"/>
  <c r="N57" i="3131"/>
  <c r="N56" i="3131"/>
  <c r="N55" i="3131"/>
  <c r="C55" i="3131"/>
  <c r="N54" i="3131"/>
  <c r="N53" i="3131"/>
  <c r="N52" i="3131"/>
  <c r="C52" i="3131"/>
  <c r="N51" i="3131"/>
  <c r="N50" i="3131"/>
  <c r="N49" i="3131"/>
  <c r="C49" i="3131"/>
  <c r="N48" i="3131"/>
  <c r="N47" i="3131"/>
  <c r="N46" i="3131"/>
  <c r="C46" i="3131"/>
  <c r="N45" i="3131"/>
  <c r="N44" i="3131"/>
  <c r="N43" i="3131"/>
  <c r="C43" i="3131"/>
  <c r="N42" i="3131"/>
  <c r="N41" i="3131"/>
  <c r="N40" i="3131"/>
  <c r="C40" i="3131"/>
  <c r="N39" i="3131"/>
  <c r="N38" i="3131"/>
  <c r="N37" i="3131"/>
  <c r="C37" i="3131"/>
  <c r="N36" i="3131"/>
  <c r="N35" i="3131"/>
  <c r="N34" i="3131"/>
  <c r="C34" i="3131"/>
  <c r="N33" i="3131"/>
  <c r="N32" i="3131"/>
  <c r="N31" i="3131"/>
  <c r="C31" i="3131"/>
  <c r="N30" i="3131"/>
  <c r="N29" i="3131"/>
  <c r="N28" i="3131"/>
  <c r="N27" i="3131"/>
  <c r="N26" i="3131"/>
  <c r="N25" i="3131"/>
  <c r="N24" i="3131"/>
  <c r="N23" i="3131"/>
  <c r="N22" i="3131"/>
  <c r="N21" i="3131"/>
  <c r="N20" i="3131"/>
  <c r="N19" i="3131"/>
  <c r="N18" i="3131"/>
  <c r="N17" i="3131"/>
  <c r="N15" i="3131"/>
  <c r="N14" i="3131"/>
  <c r="N12" i="3131"/>
  <c r="N11" i="3131"/>
  <c r="N9" i="3131"/>
  <c r="N8" i="3131"/>
  <c r="E29" i="3137"/>
  <c r="C19" i="3132"/>
  <c r="C22" i="3132"/>
  <c r="C25" i="3132"/>
  <c r="C28" i="3132"/>
  <c r="E75" i="3132"/>
  <c r="E74" i="3132"/>
  <c r="E73" i="3132"/>
  <c r="C73" i="3132"/>
  <c r="E72" i="3132"/>
  <c r="E71" i="3132"/>
  <c r="E70" i="3132"/>
  <c r="C70" i="3132"/>
  <c r="E69" i="3132"/>
  <c r="E68" i="3132"/>
  <c r="E67" i="3132"/>
  <c r="C67" i="3132"/>
  <c r="E66" i="3132"/>
  <c r="E65" i="3132"/>
  <c r="E64" i="3132"/>
  <c r="C64" i="3132"/>
  <c r="E63" i="3132"/>
  <c r="E62" i="3132"/>
  <c r="E61" i="3132"/>
  <c r="C61" i="3132"/>
  <c r="E60" i="3132"/>
  <c r="E59" i="3132"/>
  <c r="E58" i="3132"/>
  <c r="C58" i="3132"/>
  <c r="E57" i="3132"/>
  <c r="E56" i="3132"/>
  <c r="E55" i="3132"/>
  <c r="C55" i="3132"/>
  <c r="E54" i="3132"/>
  <c r="E53" i="3132"/>
  <c r="E52" i="3132"/>
  <c r="C52" i="3132"/>
  <c r="E51" i="3132"/>
  <c r="E50" i="3132"/>
  <c r="E49" i="3132"/>
  <c r="C49" i="3132"/>
  <c r="E48" i="3132"/>
  <c r="E47" i="3132"/>
  <c r="E46" i="3132"/>
  <c r="C46" i="3132"/>
  <c r="E45" i="3132"/>
  <c r="E44" i="3132"/>
  <c r="E43" i="3132"/>
  <c r="C43" i="3132"/>
  <c r="E42" i="3132"/>
  <c r="E41" i="3132"/>
  <c r="E40" i="3132"/>
  <c r="C40" i="3132"/>
  <c r="E39" i="3132"/>
  <c r="E38" i="3132"/>
  <c r="E37" i="3132"/>
  <c r="C37" i="3132"/>
  <c r="E36" i="3132"/>
  <c r="E35" i="3132"/>
  <c r="E34" i="3132"/>
  <c r="C34" i="3132"/>
  <c r="E33" i="3132"/>
  <c r="E32" i="3132"/>
  <c r="E31" i="3132"/>
  <c r="C31" i="3132"/>
  <c r="E30" i="3132"/>
  <c r="E29" i="3132"/>
  <c r="E28" i="3132"/>
  <c r="E27" i="3132"/>
  <c r="E26" i="3132"/>
  <c r="E25" i="3132"/>
  <c r="E24" i="3132"/>
  <c r="E23" i="3132"/>
  <c r="E22" i="3132"/>
  <c r="E21" i="3132"/>
  <c r="E20" i="3132"/>
  <c r="E19" i="3132"/>
  <c r="E18" i="3132"/>
  <c r="E17" i="3132"/>
  <c r="E15" i="3132"/>
  <c r="E14" i="3132"/>
  <c r="E12" i="3132"/>
  <c r="E11" i="3132"/>
  <c r="E9" i="3132"/>
  <c r="E8" i="3132"/>
  <c r="F29" i="3137"/>
  <c r="C19" i="3133"/>
  <c r="C22" i="3133"/>
  <c r="C25" i="3133"/>
  <c r="C28" i="3133"/>
  <c r="I75" i="3133"/>
  <c r="I74" i="3133"/>
  <c r="I73" i="3133"/>
  <c r="C73" i="3133"/>
  <c r="I72" i="3133"/>
  <c r="I71" i="3133"/>
  <c r="I70" i="3133"/>
  <c r="C70" i="3133"/>
  <c r="I69" i="3133"/>
  <c r="I68" i="3133"/>
  <c r="I67" i="3133"/>
  <c r="C67" i="3133"/>
  <c r="I66" i="3133"/>
  <c r="I65" i="3133"/>
  <c r="I64" i="3133"/>
  <c r="C64" i="3133"/>
  <c r="I63" i="3133"/>
  <c r="I62" i="3133"/>
  <c r="I61" i="3133"/>
  <c r="C61" i="3133"/>
  <c r="I60" i="3133"/>
  <c r="I59" i="3133"/>
  <c r="I58" i="3133"/>
  <c r="C58" i="3133"/>
  <c r="I57" i="3133"/>
  <c r="I56" i="3133"/>
  <c r="I55" i="3133"/>
  <c r="C55" i="3133"/>
  <c r="I54" i="3133"/>
  <c r="I53" i="3133"/>
  <c r="I52" i="3133"/>
  <c r="C52" i="3133"/>
  <c r="I51" i="3133"/>
  <c r="I50" i="3133"/>
  <c r="I49" i="3133"/>
  <c r="C49" i="3133"/>
  <c r="I48" i="3133"/>
  <c r="I47" i="3133"/>
  <c r="I46" i="3133"/>
  <c r="C46" i="3133"/>
  <c r="I45" i="3133"/>
  <c r="I44" i="3133"/>
  <c r="I43" i="3133"/>
  <c r="C43" i="3133"/>
  <c r="I42" i="3133"/>
  <c r="I41" i="3133"/>
  <c r="I40" i="3133"/>
  <c r="C40" i="3133"/>
  <c r="I39" i="3133"/>
  <c r="I38" i="3133"/>
  <c r="I37" i="3133"/>
  <c r="C37" i="3133"/>
  <c r="I36" i="3133"/>
  <c r="I35" i="3133"/>
  <c r="I34" i="3133"/>
  <c r="C34" i="3133"/>
  <c r="I33" i="3133"/>
  <c r="I32" i="3133"/>
  <c r="I31" i="3133"/>
  <c r="C31" i="3133"/>
  <c r="I30" i="3133"/>
  <c r="I29" i="3133"/>
  <c r="I28" i="3133"/>
  <c r="I27" i="3133"/>
  <c r="I26" i="3133"/>
  <c r="I25" i="3133"/>
  <c r="I24" i="3133"/>
  <c r="I23" i="3133"/>
  <c r="I22" i="3133"/>
  <c r="I21" i="3133"/>
  <c r="I20" i="3133"/>
  <c r="I19" i="3133"/>
  <c r="I18" i="3133"/>
  <c r="I17" i="3133"/>
  <c r="I15" i="3133"/>
  <c r="I14" i="3133"/>
  <c r="I12" i="3133"/>
  <c r="I11" i="3133"/>
  <c r="I9" i="3133"/>
  <c r="I8" i="3133"/>
  <c r="G29" i="3137"/>
  <c r="C19" i="3136"/>
  <c r="C22" i="3136"/>
  <c r="C25" i="3136"/>
  <c r="C28" i="3136"/>
  <c r="I75" i="3136"/>
  <c r="I74" i="3136"/>
  <c r="I73" i="3136"/>
  <c r="C73" i="3136"/>
  <c r="I72" i="3136"/>
  <c r="I71" i="3136"/>
  <c r="I70" i="3136"/>
  <c r="C70" i="3136"/>
  <c r="I69" i="3136"/>
  <c r="I68" i="3136"/>
  <c r="I67" i="3136"/>
  <c r="C67" i="3136"/>
  <c r="I66" i="3136"/>
  <c r="I65" i="3136"/>
  <c r="I64" i="3136"/>
  <c r="C64" i="3136"/>
  <c r="I63" i="3136"/>
  <c r="I62" i="3136"/>
  <c r="I61" i="3136"/>
  <c r="C61" i="3136"/>
  <c r="I60" i="3136"/>
  <c r="I59" i="3136"/>
  <c r="I58" i="3136"/>
  <c r="C58" i="3136"/>
  <c r="I57" i="3136"/>
  <c r="I56" i="3136"/>
  <c r="I55" i="3136"/>
  <c r="C55" i="3136"/>
  <c r="I54" i="3136"/>
  <c r="I53" i="3136"/>
  <c r="I52" i="3136"/>
  <c r="C52" i="3136"/>
  <c r="I51" i="3136"/>
  <c r="I50" i="3136"/>
  <c r="I49" i="3136"/>
  <c r="C49" i="3136"/>
  <c r="I48" i="3136"/>
  <c r="I47" i="3136"/>
  <c r="I46" i="3136"/>
  <c r="C46" i="3136"/>
  <c r="I45" i="3136"/>
  <c r="I44" i="3136"/>
  <c r="I43" i="3136"/>
  <c r="C43" i="3136"/>
  <c r="I42" i="3136"/>
  <c r="I41" i="3136"/>
  <c r="I40" i="3136"/>
  <c r="C40" i="3136"/>
  <c r="I39" i="3136"/>
  <c r="I38" i="3136"/>
  <c r="I37" i="3136"/>
  <c r="C37" i="3136"/>
  <c r="I36" i="3136"/>
  <c r="I35" i="3136"/>
  <c r="I34" i="3136"/>
  <c r="C34" i="3136"/>
  <c r="I33" i="3136"/>
  <c r="I32" i="3136"/>
  <c r="I31" i="3136"/>
  <c r="C31" i="3136"/>
  <c r="I30" i="3136"/>
  <c r="I29" i="3136"/>
  <c r="I28" i="3136"/>
  <c r="I27" i="3136"/>
  <c r="I26" i="3136"/>
  <c r="I25" i="3136"/>
  <c r="I24" i="3136"/>
  <c r="I23" i="3136"/>
  <c r="I22" i="3136"/>
  <c r="I21" i="3136"/>
  <c r="I20" i="3136"/>
  <c r="I19" i="3136"/>
  <c r="I18" i="3136"/>
  <c r="I17" i="3136"/>
  <c r="I15" i="3136"/>
  <c r="I14" i="3136"/>
  <c r="I12" i="3136"/>
  <c r="I11" i="3136"/>
  <c r="I9" i="3136"/>
  <c r="I8" i="3136"/>
  <c r="J29" i="3137"/>
  <c r="C19" i="3135"/>
  <c r="C22" i="3135"/>
  <c r="C25" i="3135"/>
  <c r="C28" i="3135"/>
  <c r="I75" i="3135"/>
  <c r="I74" i="3135"/>
  <c r="I73" i="3135"/>
  <c r="C73" i="3135"/>
  <c r="I72" i="3135"/>
  <c r="I71" i="3135"/>
  <c r="I70" i="3135"/>
  <c r="C70" i="3135"/>
  <c r="I69" i="3135"/>
  <c r="I68" i="3135"/>
  <c r="I67" i="3135"/>
  <c r="C67" i="3135"/>
  <c r="I66" i="3135"/>
  <c r="I65" i="3135"/>
  <c r="I64" i="3135"/>
  <c r="C64" i="3135"/>
  <c r="I63" i="3135"/>
  <c r="I62" i="3135"/>
  <c r="I61" i="3135"/>
  <c r="C61" i="3135"/>
  <c r="I60" i="3135"/>
  <c r="I59" i="3135"/>
  <c r="I58" i="3135"/>
  <c r="C58" i="3135"/>
  <c r="I57" i="3135"/>
  <c r="I56" i="3135"/>
  <c r="I55" i="3135"/>
  <c r="C55" i="3135"/>
  <c r="I54" i="3135"/>
  <c r="I53" i="3135"/>
  <c r="I52" i="3135"/>
  <c r="C52" i="3135"/>
  <c r="I51" i="3135"/>
  <c r="I50" i="3135"/>
  <c r="I49" i="3135"/>
  <c r="C49" i="3135"/>
  <c r="I48" i="3135"/>
  <c r="I47" i="3135"/>
  <c r="I46" i="3135"/>
  <c r="C46" i="3135"/>
  <c r="I45" i="3135"/>
  <c r="I44" i="3135"/>
  <c r="I43" i="3135"/>
  <c r="C43" i="3135"/>
  <c r="I42" i="3135"/>
  <c r="I41" i="3135"/>
  <c r="I40" i="3135"/>
  <c r="C40" i="3135"/>
  <c r="I39" i="3135"/>
  <c r="I38" i="3135"/>
  <c r="I37" i="3135"/>
  <c r="C37" i="3135"/>
  <c r="I36" i="3135"/>
  <c r="I35" i="3135"/>
  <c r="I34" i="3135"/>
  <c r="C34" i="3135"/>
  <c r="I33" i="3135"/>
  <c r="I32" i="3135"/>
  <c r="I31" i="3135"/>
  <c r="C31" i="3135"/>
  <c r="I30" i="3135"/>
  <c r="I29" i="3135"/>
  <c r="I28" i="3135"/>
  <c r="I27" i="3135"/>
  <c r="I26" i="3135"/>
  <c r="I25" i="3135"/>
  <c r="I24" i="3135"/>
  <c r="I23" i="3135"/>
  <c r="I22" i="3135"/>
  <c r="I21" i="3135"/>
  <c r="I20" i="3135"/>
  <c r="I19" i="3135"/>
  <c r="I18" i="3135"/>
  <c r="I17" i="3135"/>
  <c r="I15" i="3135"/>
  <c r="I14" i="3135"/>
  <c r="I12" i="3135"/>
  <c r="I11" i="3135"/>
  <c r="I9" i="3135"/>
  <c r="I8" i="3135"/>
  <c r="I29" i="3137"/>
  <c r="C19" i="3134"/>
  <c r="C22" i="3134"/>
  <c r="C25" i="3134"/>
  <c r="C28" i="3134"/>
  <c r="F75" i="3134"/>
  <c r="F74" i="3134"/>
  <c r="F73" i="3134"/>
  <c r="C73" i="3134"/>
  <c r="F72" i="3134"/>
  <c r="F71" i="3134"/>
  <c r="F70" i="3134"/>
  <c r="C70" i="3134"/>
  <c r="F69" i="3134"/>
  <c r="F68" i="3134"/>
  <c r="F67" i="3134"/>
  <c r="C67" i="3134"/>
  <c r="F66" i="3134"/>
  <c r="F65" i="3134"/>
  <c r="F64" i="3134"/>
  <c r="C64" i="3134"/>
  <c r="F63" i="3134"/>
  <c r="F62" i="3134"/>
  <c r="F61" i="3134"/>
  <c r="C61" i="3134"/>
  <c r="F60" i="3134"/>
  <c r="F59" i="3134"/>
  <c r="F58" i="3134"/>
  <c r="C58" i="3134"/>
  <c r="F57" i="3134"/>
  <c r="F56" i="3134"/>
  <c r="F55" i="3134"/>
  <c r="C55" i="3134"/>
  <c r="F54" i="3134"/>
  <c r="F53" i="3134"/>
  <c r="F52" i="3134"/>
  <c r="C52" i="3134"/>
  <c r="F51" i="3134"/>
  <c r="F50" i="3134"/>
  <c r="F49" i="3134"/>
  <c r="C49" i="3134"/>
  <c r="F48" i="3134"/>
  <c r="F47" i="3134"/>
  <c r="F46" i="3134"/>
  <c r="C46" i="3134"/>
  <c r="F45" i="3134"/>
  <c r="F44" i="3134"/>
  <c r="F43" i="3134"/>
  <c r="C43" i="3134"/>
  <c r="F42" i="3134"/>
  <c r="F41" i="3134"/>
  <c r="F40" i="3134"/>
  <c r="C40" i="3134"/>
  <c r="F39" i="3134"/>
  <c r="F38" i="3134"/>
  <c r="F37" i="3134"/>
  <c r="C37" i="3134"/>
  <c r="F36" i="3134"/>
  <c r="F35" i="3134"/>
  <c r="F34" i="3134"/>
  <c r="C34" i="3134"/>
  <c r="F33" i="3134"/>
  <c r="F32" i="3134"/>
  <c r="F31" i="3134"/>
  <c r="C31" i="3134"/>
  <c r="F30" i="3134"/>
  <c r="F29" i="3134"/>
  <c r="F28" i="3134"/>
  <c r="F27" i="3134"/>
  <c r="F26" i="3134"/>
  <c r="F25" i="3134"/>
  <c r="F24" i="3134"/>
  <c r="F23" i="3134"/>
  <c r="F22" i="3134"/>
  <c r="F21" i="3134"/>
  <c r="F20" i="3134"/>
  <c r="F19" i="3134"/>
  <c r="F18" i="3134"/>
  <c r="F17" i="3134"/>
  <c r="F15" i="3134"/>
  <c r="F14" i="3134"/>
  <c r="F12" i="3134"/>
  <c r="F11" i="3134"/>
  <c r="F9" i="3134"/>
  <c r="F8" i="3134"/>
  <c r="H29" i="3137"/>
  <c r="K29" i="3137"/>
  <c r="L29" i="3137"/>
  <c r="C28" i="3137"/>
  <c r="D28" i="3137"/>
  <c r="E28" i="3137"/>
  <c r="F28" i="3137"/>
  <c r="G28" i="3137"/>
  <c r="J28" i="3137"/>
  <c r="I28" i="3137"/>
  <c r="H28" i="3137"/>
  <c r="K28" i="3137"/>
  <c r="L28" i="3137"/>
  <c r="C27" i="3137"/>
  <c r="D27" i="3137"/>
  <c r="E27" i="3137"/>
  <c r="F27" i="3137"/>
  <c r="G27" i="3137"/>
  <c r="J27" i="3137"/>
  <c r="I27" i="3137"/>
  <c r="H27" i="3137"/>
  <c r="K27" i="3137"/>
  <c r="L27" i="3137"/>
  <c r="C26" i="3137"/>
  <c r="D26" i="3137"/>
  <c r="E26" i="3137"/>
  <c r="F26" i="3137"/>
  <c r="G26" i="3137"/>
  <c r="J26" i="3137"/>
  <c r="I26" i="3137"/>
  <c r="H26" i="3137"/>
  <c r="K26" i="3137"/>
  <c r="L26" i="3137"/>
  <c r="C25" i="3137"/>
  <c r="D25" i="3137"/>
  <c r="E25" i="3137"/>
  <c r="F25" i="3137"/>
  <c r="G25" i="3137"/>
  <c r="J25" i="3137"/>
  <c r="I25" i="3137"/>
  <c r="H25" i="3137"/>
  <c r="K25" i="3137"/>
  <c r="L25" i="3137"/>
  <c r="C24" i="3137"/>
  <c r="D24" i="3137"/>
  <c r="E24" i="3137"/>
  <c r="F24" i="3137"/>
  <c r="G24" i="3137"/>
  <c r="J24" i="3137"/>
  <c r="I24" i="3137"/>
  <c r="H24" i="3137"/>
  <c r="K24" i="3137"/>
  <c r="L24" i="3137"/>
  <c r="C23" i="3137"/>
  <c r="D23" i="3137"/>
  <c r="E23" i="3137"/>
  <c r="F23" i="3137"/>
  <c r="G23" i="3137"/>
  <c r="J23" i="3137"/>
  <c r="I23" i="3137"/>
  <c r="H23" i="3137"/>
  <c r="K23" i="3137"/>
  <c r="L23" i="3137"/>
  <c r="C22" i="3137"/>
  <c r="D22" i="3137"/>
  <c r="E22" i="3137"/>
  <c r="F22" i="3137"/>
  <c r="G22" i="3137"/>
  <c r="J22" i="3137"/>
  <c r="I22" i="3137"/>
  <c r="H22" i="3137"/>
  <c r="K22" i="3137"/>
  <c r="L22" i="3137"/>
  <c r="C21" i="3137"/>
  <c r="D21" i="3137"/>
  <c r="E21" i="3137"/>
  <c r="F21" i="3137"/>
  <c r="G21" i="3137"/>
  <c r="J21" i="3137"/>
  <c r="I21" i="3137"/>
  <c r="H21" i="3137"/>
  <c r="K21" i="3137"/>
  <c r="L21" i="3137"/>
  <c r="C20" i="3137"/>
  <c r="D20" i="3137"/>
  <c r="E20" i="3137"/>
  <c r="F20" i="3137"/>
  <c r="G20" i="3137"/>
  <c r="J20" i="3137"/>
  <c r="I20" i="3137"/>
  <c r="H20" i="3137"/>
  <c r="K20" i="3137"/>
  <c r="L20" i="3137"/>
  <c r="C19" i="3137"/>
  <c r="D19" i="3137"/>
  <c r="E19" i="3137"/>
  <c r="F19" i="3137"/>
  <c r="G19" i="3137"/>
  <c r="J19" i="3137"/>
  <c r="I19" i="3137"/>
  <c r="H19" i="3137"/>
  <c r="K19" i="3137"/>
  <c r="L19" i="3137"/>
  <c r="C18" i="3137"/>
  <c r="D18" i="3137"/>
  <c r="E18" i="3137"/>
  <c r="F18" i="3137"/>
  <c r="G18" i="3137"/>
  <c r="J18" i="3137"/>
  <c r="I18" i="3137"/>
  <c r="H18" i="3137"/>
  <c r="K18" i="3137"/>
  <c r="L18" i="3137"/>
  <c r="C17" i="3137"/>
  <c r="D17" i="3137"/>
  <c r="E17" i="3137"/>
  <c r="F17" i="3137"/>
  <c r="G17" i="3137"/>
  <c r="J17" i="3137"/>
  <c r="I17" i="3137"/>
  <c r="H17" i="3137"/>
  <c r="K17" i="3137"/>
  <c r="L17" i="3137"/>
  <c r="C16" i="3137"/>
  <c r="D16" i="3137"/>
  <c r="E16" i="3137"/>
  <c r="F16" i="3137"/>
  <c r="G16" i="3137"/>
  <c r="J16" i="3137"/>
  <c r="I16" i="3137"/>
  <c r="H16" i="3137"/>
  <c r="K16" i="3137"/>
  <c r="L16" i="3137"/>
  <c r="C15" i="3137"/>
  <c r="D15" i="3137"/>
  <c r="E15" i="3137"/>
  <c r="F15" i="3137"/>
  <c r="G15" i="3137"/>
  <c r="J15" i="3137"/>
  <c r="I15" i="3137"/>
  <c r="H15" i="3137"/>
  <c r="K15" i="3137"/>
  <c r="L15" i="3137"/>
  <c r="C14" i="3137"/>
  <c r="D14" i="3137"/>
  <c r="E14" i="3137"/>
  <c r="F14" i="3137"/>
  <c r="G14" i="3137"/>
  <c r="J14" i="3137"/>
  <c r="I14" i="3137"/>
  <c r="H14" i="3137"/>
  <c r="K14" i="3137"/>
  <c r="L14" i="3137"/>
  <c r="C13" i="3137"/>
  <c r="D13" i="3137"/>
  <c r="E13" i="3137"/>
  <c r="F13" i="3137"/>
  <c r="G13" i="3137"/>
  <c r="J13" i="3137"/>
  <c r="I13" i="3137"/>
  <c r="H13" i="3137"/>
  <c r="K13" i="3137"/>
  <c r="L13" i="3137"/>
  <c r="C12" i="3137"/>
  <c r="D12" i="3137"/>
  <c r="E12" i="3137"/>
  <c r="F12" i="3137"/>
  <c r="G12" i="3137"/>
  <c r="J12" i="3137"/>
  <c r="I12" i="3137"/>
  <c r="H12" i="3137"/>
  <c r="K12" i="3137"/>
  <c r="L12" i="3137"/>
  <c r="C11" i="3137"/>
  <c r="D11" i="3137"/>
  <c r="E11" i="3137"/>
  <c r="F11" i="3137"/>
  <c r="G11" i="3137"/>
  <c r="J11" i="3137"/>
  <c r="I11" i="3137"/>
  <c r="H11" i="3137"/>
  <c r="K11" i="3137"/>
  <c r="L11" i="3137"/>
  <c r="L30" i="3137"/>
  <c r="G21" i="14"/>
  <c r="I21" i="14"/>
  <c r="K21" i="14"/>
  <c r="M21" i="14"/>
  <c r="Q21" i="14"/>
  <c r="O21" i="14"/>
  <c r="D5" i="3138"/>
  <c r="E5" i="3138"/>
  <c r="F5" i="3138"/>
  <c r="G5" i="3138"/>
  <c r="H5" i="3138"/>
  <c r="C7" i="3138"/>
  <c r="C8" i="3138"/>
  <c r="C9" i="3138"/>
  <c r="C10" i="3138"/>
  <c r="C11" i="3138"/>
  <c r="C12" i="3138"/>
  <c r="C13" i="3138"/>
  <c r="C14" i="3138"/>
  <c r="C15" i="3138"/>
  <c r="C16" i="3138"/>
  <c r="C17" i="3138"/>
  <c r="C18" i="3138"/>
  <c r="C19" i="3138"/>
  <c r="C20" i="3138"/>
  <c r="C21" i="3138"/>
  <c r="C22" i="3138"/>
  <c r="C23" i="3138"/>
  <c r="C24" i="3138"/>
  <c r="C25" i="3138"/>
  <c r="C26" i="3138"/>
  <c r="C27" i="3138"/>
  <c r="C28" i="3138"/>
  <c r="C29" i="3138"/>
  <c r="H2" i="3138"/>
  <c r="B2" i="3138"/>
  <c r="E3" i="11"/>
  <c r="E26" i="11"/>
  <c r="E71" i="11"/>
  <c r="E76" i="11"/>
  <c r="E102" i="11"/>
  <c r="E120" i="11"/>
  <c r="E136" i="11"/>
  <c r="E134" i="11"/>
  <c r="E138" i="11"/>
  <c r="N7" i="3137"/>
  <c r="E21" i="11"/>
  <c r="E56" i="11"/>
  <c r="E66" i="11"/>
  <c r="E80" i="11"/>
  <c r="E87" i="11"/>
  <c r="E105" i="11"/>
  <c r="E119" i="11"/>
  <c r="N8" i="3137"/>
  <c r="E24" i="11"/>
  <c r="E47" i="11"/>
  <c r="E52" i="11"/>
  <c r="E68" i="11"/>
  <c r="E77" i="11"/>
  <c r="E121" i="11"/>
  <c r="N9" i="3137"/>
  <c r="E28" i="11"/>
  <c r="E74" i="11"/>
  <c r="E79" i="11"/>
  <c r="E97" i="11"/>
  <c r="E104" i="11"/>
  <c r="E131" i="11"/>
  <c r="E143" i="11"/>
  <c r="N10" i="3137"/>
  <c r="E31" i="11"/>
  <c r="E88" i="11"/>
  <c r="E95" i="11"/>
  <c r="N11" i="3137"/>
  <c r="E94" i="11"/>
  <c r="E100" i="11"/>
  <c r="E130" i="11"/>
  <c r="E164" i="11"/>
  <c r="E180" i="11"/>
  <c r="N12" i="3137"/>
  <c r="E73" i="11"/>
  <c r="E83" i="11"/>
  <c r="E109" i="11"/>
  <c r="E139" i="11"/>
  <c r="E153" i="11"/>
  <c r="N13" i="3137"/>
  <c r="E54" i="11"/>
  <c r="E64" i="11"/>
  <c r="E81" i="11"/>
  <c r="E89" i="11"/>
  <c r="E115" i="11"/>
  <c r="E129" i="11"/>
  <c r="N14" i="3137"/>
  <c r="E23" i="11"/>
  <c r="E60" i="11"/>
  <c r="E86" i="11"/>
  <c r="E103" i="11"/>
  <c r="N15" i="3137"/>
  <c r="E9" i="11"/>
  <c r="E44" i="11"/>
  <c r="E46" i="11"/>
  <c r="E63" i="11"/>
  <c r="N16" i="3137"/>
  <c r="E16" i="11"/>
  <c r="E43" i="11"/>
  <c r="E90" i="11"/>
  <c r="N17" i="3137"/>
  <c r="E85" i="11"/>
  <c r="E96" i="11"/>
  <c r="E123" i="11"/>
  <c r="E135" i="11"/>
  <c r="N18" i="3137"/>
  <c r="E72" i="11"/>
  <c r="E82" i="11"/>
  <c r="E93" i="11"/>
  <c r="E108" i="11"/>
  <c r="E124" i="11"/>
  <c r="N19" i="3137"/>
  <c r="E30" i="11"/>
  <c r="E61" i="11"/>
  <c r="N20" i="3137"/>
  <c r="E27" i="11"/>
  <c r="E118" i="11"/>
  <c r="E126" i="11"/>
  <c r="N21" i="3137"/>
  <c r="E18" i="11"/>
  <c r="E62" i="11"/>
  <c r="N22" i="3137"/>
  <c r="E5" i="11"/>
  <c r="E53" i="11"/>
  <c r="N23" i="3137"/>
  <c r="E55" i="11"/>
  <c r="N24" i="3137"/>
  <c r="E22" i="11"/>
  <c r="E51" i="11"/>
  <c r="E75" i="11"/>
  <c r="E106" i="11"/>
  <c r="E122" i="11"/>
  <c r="N25" i="3137"/>
  <c r="E91" i="11"/>
  <c r="E125" i="11"/>
  <c r="E145" i="11"/>
  <c r="N26" i="3137"/>
  <c r="E113" i="11"/>
  <c r="E165" i="11"/>
  <c r="N27" i="3137"/>
  <c r="E65" i="11"/>
  <c r="N28" i="3137"/>
  <c r="E17" i="11"/>
  <c r="E49" i="11"/>
  <c r="E59" i="11"/>
  <c r="E98" i="11"/>
  <c r="E114" i="11"/>
  <c r="N29" i="3137"/>
  <c r="D6" i="3137"/>
  <c r="D30" i="3137"/>
  <c r="E6" i="3137"/>
  <c r="E30" i="3137"/>
  <c r="F6" i="3137"/>
  <c r="F30" i="3137"/>
  <c r="G6" i="3137"/>
  <c r="G30" i="3137"/>
  <c r="H6" i="3137"/>
  <c r="H30" i="3137"/>
  <c r="I6" i="3137"/>
  <c r="I30" i="3137"/>
  <c r="J6" i="3137"/>
  <c r="J30" i="3137"/>
  <c r="M7" i="3137"/>
  <c r="M8" i="3137"/>
  <c r="M9" i="3137"/>
  <c r="M10" i="3137"/>
  <c r="M11" i="3137"/>
  <c r="M12" i="3137"/>
  <c r="M13" i="3137"/>
  <c r="M14" i="3137"/>
  <c r="M15" i="3137"/>
  <c r="M16" i="3137"/>
  <c r="M17" i="3137"/>
  <c r="M18" i="3137"/>
  <c r="M19" i="3137"/>
  <c r="M20" i="3137"/>
  <c r="M21" i="3137"/>
  <c r="M22" i="3137"/>
  <c r="M23" i="3137"/>
  <c r="M24" i="3137"/>
  <c r="M25" i="3137"/>
  <c r="M26" i="3137"/>
  <c r="M27" i="3137"/>
  <c r="M28" i="3137"/>
  <c r="M29" i="3137"/>
  <c r="K6" i="3137"/>
  <c r="M2" i="3137"/>
  <c r="B2" i="3137"/>
  <c r="D6" i="3136"/>
  <c r="D76" i="3136"/>
  <c r="E6" i="3136"/>
  <c r="E76" i="3136"/>
  <c r="F6" i="3136"/>
  <c r="F76" i="3136"/>
  <c r="G6" i="3136"/>
  <c r="G76" i="3136"/>
  <c r="H6" i="3136"/>
  <c r="H76" i="3136"/>
  <c r="I6" i="3136"/>
  <c r="D5" i="3136"/>
  <c r="E5" i="3136"/>
  <c r="F5" i="3136"/>
  <c r="G5" i="3136"/>
  <c r="H5" i="3136"/>
  <c r="I2" i="3136"/>
  <c r="B2" i="3136"/>
  <c r="D6" i="3135"/>
  <c r="D76" i="3135"/>
  <c r="E6" i="3135"/>
  <c r="E76" i="3135"/>
  <c r="F6" i="3135"/>
  <c r="F76" i="3135"/>
  <c r="G6" i="3135"/>
  <c r="G76" i="3135"/>
  <c r="H6" i="3135"/>
  <c r="H76" i="3135"/>
  <c r="I6" i="3135"/>
  <c r="D5" i="3135"/>
  <c r="E5" i="3135"/>
  <c r="F5" i="3135"/>
  <c r="G5" i="3135"/>
  <c r="H5" i="3135"/>
  <c r="I2" i="3135"/>
  <c r="B2" i="3135"/>
  <c r="D6" i="3134"/>
  <c r="D76" i="3134"/>
  <c r="E6" i="3134"/>
  <c r="E76" i="3134"/>
  <c r="F6" i="3134"/>
  <c r="D5" i="3134"/>
  <c r="E5" i="3134"/>
  <c r="F2" i="3134"/>
  <c r="B2" i="3134"/>
  <c r="D6" i="3133"/>
  <c r="D76" i="3133"/>
  <c r="E6" i="3133"/>
  <c r="E76" i="3133"/>
  <c r="F6" i="3133"/>
  <c r="F76" i="3133"/>
  <c r="G6" i="3133"/>
  <c r="G76" i="3133"/>
  <c r="H6" i="3133"/>
  <c r="H76" i="3133"/>
  <c r="I6" i="3133"/>
  <c r="D5" i="3133"/>
  <c r="E5" i="3133"/>
  <c r="F5" i="3133"/>
  <c r="G5" i="3133"/>
  <c r="H5" i="3133"/>
  <c r="I2" i="3133"/>
  <c r="B2" i="3133"/>
  <c r="D6" i="3132"/>
  <c r="D76" i="3132"/>
  <c r="E6" i="3132"/>
  <c r="D5" i="3132"/>
  <c r="E2" i="3132"/>
  <c r="B2" i="3132"/>
  <c r="D6" i="3131"/>
  <c r="D76" i="3131"/>
  <c r="E6" i="3131"/>
  <c r="E76" i="3131"/>
  <c r="F6" i="3131"/>
  <c r="F76" i="3131"/>
  <c r="G6" i="3131"/>
  <c r="G76" i="3131"/>
  <c r="H6" i="3131"/>
  <c r="H76" i="3131"/>
  <c r="I6" i="3131"/>
  <c r="I76" i="3131"/>
  <c r="J6" i="3131"/>
  <c r="J76" i="3131"/>
  <c r="K6" i="3131"/>
  <c r="K76" i="3131"/>
  <c r="L6" i="3131"/>
  <c r="L76" i="3131"/>
  <c r="M6" i="3131"/>
  <c r="M76" i="3131"/>
  <c r="N6" i="3131"/>
  <c r="D5" i="3131"/>
  <c r="E5" i="3131"/>
  <c r="F5" i="3131"/>
  <c r="G5" i="3131"/>
  <c r="H5" i="3131"/>
  <c r="I5" i="3131"/>
  <c r="J5" i="3131"/>
  <c r="K5" i="3131"/>
  <c r="L5" i="3131"/>
  <c r="M5" i="3131"/>
  <c r="N2" i="3131"/>
  <c r="B2" i="3131"/>
  <c r="D6" i="3130"/>
  <c r="D76" i="3130"/>
  <c r="E6" i="3130"/>
  <c r="E76" i="3130"/>
  <c r="F6" i="3130"/>
  <c r="F76" i="3130"/>
  <c r="G6" i="3130"/>
  <c r="G76" i="3130"/>
  <c r="H6" i="3130"/>
  <c r="H76" i="3130"/>
  <c r="I6" i="3130"/>
  <c r="I76" i="3130"/>
  <c r="J6" i="3130"/>
  <c r="D5" i="3130"/>
  <c r="E5" i="3130"/>
  <c r="F5" i="3130"/>
  <c r="G5" i="3130"/>
  <c r="H5" i="3130"/>
  <c r="I5" i="3130"/>
  <c r="J2" i="3130"/>
  <c r="B2" i="3130"/>
  <c r="E111" i="11"/>
  <c r="E133" i="11"/>
  <c r="E170" i="11"/>
  <c r="E147" i="11"/>
  <c r="E69" i="11"/>
  <c r="E132" i="11"/>
  <c r="E110" i="11"/>
  <c r="E112" i="11"/>
  <c r="E155" i="11"/>
  <c r="E117" i="11"/>
  <c r="E116" i="11"/>
  <c r="E175" i="11"/>
  <c r="E146" i="11"/>
  <c r="E127" i="11"/>
  <c r="E40" i="11"/>
  <c r="E35" i="11"/>
  <c r="E70" i="11"/>
  <c r="E101" i="11"/>
  <c r="E19" i="11"/>
  <c r="E84" i="11"/>
  <c r="E15" i="11"/>
  <c r="E141" i="11"/>
  <c r="E107" i="11"/>
  <c r="E137" i="11"/>
  <c r="E42" i="11"/>
  <c r="E78" i="11"/>
  <c r="E39" i="11"/>
  <c r="E25" i="11"/>
  <c r="E38" i="11"/>
  <c r="E92" i="11"/>
  <c r="E11" i="11"/>
  <c r="E34" i="11"/>
  <c r="E48" i="11"/>
  <c r="E37" i="11"/>
  <c r="E67" i="11"/>
  <c r="E50" i="11"/>
  <c r="E33" i="11"/>
  <c r="E13" i="11"/>
  <c r="E142" i="11"/>
  <c r="E99" i="11"/>
  <c r="E29" i="11"/>
  <c r="E157" i="11"/>
  <c r="E57" i="11"/>
  <c r="E36" i="11"/>
  <c r="E32" i="11"/>
  <c r="E58" i="11"/>
  <c r="E151" i="11"/>
  <c r="E176" i="11"/>
  <c r="E128"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 r="M30" i="3137" a="1"/>
  <c r="M30" i="31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<sst xmlns="http://schemas.openxmlformats.org/spreadsheetml/2006/main" count="795" uniqueCount="137">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</sst>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
      <sz val="9"/>
      <name val="Arial"/>
      <family val="2"/>
    </font>
  </fonts>
  <fills count="17">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
      <patternFill patternType="solid">
        <fgColor rgb="FFFFDCDC"/>
        <bgColor indexed="64"/>
      </patternFill>
    </fill>
    <fill>
      <patternFill patternType="solid">
        <fgColor rgb="FFE6FFE6"/>
        <bgColor indexed="64"/>
      </patternFill>
    </fill>
  </fills>
  <borders count="8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8"/>
      </top>
      <bottom style="medium">
        <color indexed="8"/>
      </bottom>
      <diagonal/>
    </border>
    <border>
      <left style="medium">
        <color indexed="8"/>
      </left>
      <right style="thin">
        <color indexed="8"/>
      </right>
      <top/>
      <bottom/>
      <diagonal/>
    </border>
    <border>
      <left style="thin">
        <color indexed="8"/>
      </left>
      <right style="thin">
        <color indexed="8"/>
      </right>
      <top/>
      <bottom/>
      <diagonal/>
    </border>
    <border>
      <left style="thin">
        <color indexed="8"/>
      </left>
      <right/>
      <top/>
      <bottom/>
      <diagonal/>
    </border>
    <border>
      <left style="medium">
        <color indexed="8"/>
      </left>
      <right style="medium">
        <color indexed="8"/>
      </right>
      <top/>
      <bottom/>
      <diagonal/>
    </border>
    <border>
      <left style="medium">
        <color indexed="8"/>
      </left>
      <right style="thin">
        <color indexed="8"/>
      </right>
      <top/>
      <bottom style="hair">
        <color rgb="FFE8E8E8"/>
      </bottom>
      <diagonal/>
    </border>
    <border>
      <left style="thin">
        <color indexed="8"/>
      </left>
      <right style="thin">
        <color indexed="8"/>
      </right>
      <top/>
      <bottom style="hair">
        <color rgb="FFE8E8E8"/>
      </bottom>
      <diagonal/>
    </border>
    <border>
      <left style="medium">
        <color indexed="8"/>
      </left>
      <right style="medium">
        <color indexed="8"/>
      </right>
      <top/>
      <bottom style="hair">
        <color rgb="FFE8E8E8"/>
      </bottom>
      <diagonal/>
    </border>
    <border>
      <left style="medium">
        <color indexed="8"/>
      </left>
      <right style="thin">
        <color indexed="8"/>
      </right>
      <top/>
      <bottom style="hair">
        <color rgb="FFD9D9D9"/>
      </bottom>
      <diagonal/>
    </border>
    <border>
      <left style="thin">
        <color indexed="8"/>
      </left>
      <right style="thin">
        <color indexed="8"/>
      </right>
      <top/>
      <bottom style="hair">
        <color rgb="FFD9D9D9"/>
      </bottom>
      <diagonal/>
    </border>
    <border>
      <left style="medium">
        <color indexed="8"/>
      </left>
      <right style="medium">
        <color indexed="8"/>
      </right>
      <top/>
      <bottom style="hair">
        <color rgb="FFD9D9D9"/>
      </bottom>
      <diagonal/>
    </border>
    <border>
      <left style="medium">
        <color indexed="8"/>
      </left>
      <right style="medium">
        <color indexed="8"/>
      </right>
      <top style="medium">
        <color indexed="8"/>
      </top>
      <bottom style="hair">
        <color rgb="FFE8E8E8"/>
      </bottom>
      <diagonal/>
    </border>
    <border>
      <left style="medium">
        <color indexed="8"/>
      </left>
      <right style="thin">
        <color indexed="8"/>
      </right>
      <top style="medium">
        <color indexed="8"/>
      </top>
      <bottom style="hair">
        <color rgb="FFE8E8E8"/>
      </bottom>
      <diagonal/>
    </border>
    <border>
      <left style="thin">
        <color indexed="8"/>
      </left>
      <right style="thin">
        <color indexed="8"/>
      </right>
      <top style="medium">
        <color indexed="8"/>
      </top>
      <bottom style="hair">
        <color rgb="FFE8E8E8"/>
      </bottom>
      <diagonal/>
    </border>
    <border>
      <left style="thin">
        <color indexed="8"/>
      </left>
      <right/>
      <top style="medium">
        <color indexed="8"/>
      </top>
      <bottom style="hair">
        <color rgb="FFE8E8E8"/>
      </bottom>
      <diagonal/>
    </border>
    <border>
      <left style="thin">
        <color indexed="8"/>
      </left>
      <right/>
      <top/>
      <bottom style="hair">
        <color rgb="FFE8E8E8"/>
      </bottom>
      <diagonal/>
    </border>
    <border>
      <left style="thin">
        <color indexed="8"/>
      </left>
      <right/>
      <top/>
      <bottom style="hair">
        <color rgb="FFD9D9D9"/>
      </bottom>
      <diagonal/>
    </border>
    <border>
      <left style="medium">
        <color indexed="8"/>
      </left>
      <right style="thin">
        <color indexed="8"/>
      </right>
      <top style="thin">
        <color indexed="8"/>
      </top>
      <bottom style="hair">
        <color rgb="FFD9D9D9"/>
      </bottom>
      <diagonal/>
    </border>
    <border>
      <left style="thin">
        <color indexed="8"/>
      </left>
      <right style="thin">
        <color indexed="8"/>
      </right>
      <top style="thin">
        <color indexed="8"/>
      </top>
      <bottom style="hair">
        <color rgb="FFD9D9D9"/>
      </bottom>
      <diagonal/>
    </border>
    <border>
      <left style="thin">
        <color indexed="8"/>
      </left>
      <right/>
      <top style="thin">
        <color indexed="8"/>
      </top>
      <bottom style="hair">
        <color rgb="FFD9D9D9"/>
      </bottom>
      <diagonal/>
    </border>
    <border>
      <left style="medium">
        <color indexed="8"/>
      </left>
      <right style="medium">
        <color indexed="8"/>
      </right>
      <top style="thin">
        <color indexed="8"/>
      </top>
      <bottom style="hair">
        <color rgb="FFD9D9D9"/>
      </bottom>
      <diagonal/>
    </border>
    <border>
      <left style="medium">
        <color indexed="8"/>
      </left>
      <right style="thin">
        <color indexed="8"/>
      </right>
      <top style="thin">
        <color indexed="8"/>
      </top>
      <bottom style="hair">
        <color rgb="FFE8E8E8"/>
      </bottom>
      <diagonal/>
    </border>
    <border>
      <left style="thin">
        <color indexed="8"/>
      </left>
      <right style="thin">
        <color indexed="8"/>
      </right>
      <top style="thin">
        <color indexed="8"/>
      </top>
      <bottom style="hair">
        <color rgb="FFE8E8E8"/>
      </bottom>
      <diagonal/>
    </border>
    <border>
      <left style="thin">
        <color indexed="8"/>
      </left>
      <right/>
      <top style="thin">
        <color indexed="8"/>
      </top>
      <bottom style="hair">
        <color rgb="FFE8E8E8"/>
      </bottom>
      <diagonal/>
    </border>
    <border>
      <left style="medium">
        <color indexed="8"/>
      </left>
      <right style="medium">
        <color indexed="8"/>
      </right>
      <top style="thin">
        <color indexed="8"/>
      </top>
      <bottom style="hair">
        <color rgb="FFE8E8E8"/>
      </bottom>
      <diagonal/>
    </border>
    <border>
      <left/>
      <right style="medium">
        <color indexed="8"/>
      </right>
      <top style="medium">
        <color indexed="8"/>
      </top>
      <bottom style="medium">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82">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3" fillId="4" borderId="5" xfId="0" applyFont="1" applyFill="1" applyBorder="1" applyAlignment="1">
      <alignment horizontal="center" vertical="center"/>
    </xf>
    <xf numFmtId="0" fontId="13" fillId="4" borderId="23" xfId="0" applyFont="1" applyFill="1" applyBorder="1" applyAlignment="1">
      <alignment horizontal="center" vertical="center"/>
    </xf>
    <xf numFmtId="0" fontId="13" fillId="3" borderId="58" xfId="0" applyFont="1" applyFill="1" applyBorder="1" applyAlignment="1" applyProtection="1">
      <alignment horizontal="center" vertical="center"/>
      <protection locked="0"/>
    </xf>
    <xf numFmtId="0" fontId="4" fillId="13" borderId="62" xfId="0" applyFont="1" applyFill="1" applyBorder="1" applyAlignment="1" applyProtection="1">
      <alignment horizontal="center" vertical="center"/>
      <protection locked="0"/>
    </xf>
    <xf numFmtId="0" fontId="4" fillId="13" borderId="63" xfId="0" applyFont="1" applyFill="1" applyBorder="1" applyAlignment="1" applyProtection="1">
      <alignment horizontal="center" vertical="center"/>
      <protection locked="0"/>
    </xf>
    <xf numFmtId="0" fontId="4" fillId="13" borderId="66" xfId="0" applyFont="1" applyFill="1" applyBorder="1" applyAlignment="1" applyProtection="1">
      <alignment horizontal="center" vertical="center"/>
      <protection locked="0"/>
    </xf>
    <xf numFmtId="0" fontId="4" fillId="15" borderId="66" xfId="0" applyFont="1" applyFill="1" applyBorder="1" applyAlignment="1" applyProtection="1">
      <alignment horizontal="center" vertical="center"/>
      <protection locked="0"/>
    </xf>
    <xf numFmtId="0" fontId="4" fillId="16" borderId="66" xfId="0" applyFont="1" applyFill="1" applyBorder="1" applyAlignment="1" applyProtection="1">
      <alignment horizontal="center" vertical="center"/>
      <protection locked="0"/>
    </xf>
    <xf numFmtId="0" fontId="4" fillId="13" borderId="75" xfId="0" applyFont="1" applyFill="1" applyBorder="1" applyAlignment="1" applyProtection="1">
      <alignment horizontal="center" vertical="center"/>
      <protection locked="0"/>
    </xf>
    <xf numFmtId="0" fontId="4" fillId="15" borderId="62" xfId="0" applyFont="1" applyFill="1" applyBorder="1" applyAlignment="1" applyProtection="1">
      <alignment horizontal="center" vertical="center"/>
      <protection locked="0"/>
    </xf>
    <xf numFmtId="0" fontId="4" fillId="13" borderId="69" xfId="0" applyFont="1" applyFill="1" applyBorder="1" applyAlignment="1" applyProtection="1">
      <alignment horizontal="center" vertical="center"/>
      <protection locked="0"/>
    </xf>
    <xf numFmtId="0" fontId="4" fillId="16" borderId="69" xfId="0" applyFont="1" applyFill="1" applyBorder="1" applyAlignment="1" applyProtection="1">
      <alignment horizontal="center" vertical="center"/>
      <protection locked="0"/>
    </xf>
    <xf numFmtId="0" fontId="4" fillId="13" borderId="76" xfId="0" applyFont="1" applyFill="1" applyBorder="1" applyAlignment="1" applyProtection="1">
      <alignment horizontal="center" vertical="center"/>
      <protection locked="0"/>
    </xf>
    <xf numFmtId="0" fontId="2" fillId="13" borderId="73" xfId="0" applyFont="1" applyFill="1" applyBorder="1" applyAlignment="1" applyProtection="1">
      <alignment horizontal="center" vertical="center"/>
      <protection locked="0"/>
    </xf>
    <xf numFmtId="0" fontId="2" fillId="13" borderId="74" xfId="0" applyFont="1" applyFill="1" applyBorder="1" applyAlignment="1" applyProtection="1">
      <alignment horizontal="center" vertical="center"/>
      <protection locked="0"/>
    </xf>
    <xf numFmtId="0" fontId="2" fillId="13" borderId="78" xfId="0" applyFont="1" applyFill="1" applyBorder="1" applyAlignment="1" applyProtection="1">
      <alignment horizontal="center" vertical="center"/>
      <protection locked="0"/>
    </xf>
    <xf numFmtId="0" fontId="2" fillId="13" borderId="79" xfId="0" applyFont="1" applyFill="1" applyBorder="1" applyAlignment="1" applyProtection="1">
      <alignment horizontal="center" vertical="center"/>
      <protection locked="0"/>
    </xf>
    <xf numFmtId="0" fontId="2" fillId="13" borderId="82" xfId="0" applyFont="1" applyFill="1" applyBorder="1" applyAlignment="1" applyProtection="1">
      <alignment horizontal="center" vertical="center"/>
      <protection locked="0"/>
    </xf>
    <xf numFmtId="0" fontId="2" fillId="13" borderId="83" xfId="0" applyFont="1" applyFill="1" applyBorder="1" applyAlignment="1" applyProtection="1">
      <alignment horizontal="center" vertical="center"/>
      <protection locked="0"/>
    </xf>
    <xf numFmtId="0" fontId="4" fillId="10" borderId="0" xfId="0" applyFont="1" applyFill="1"/>
    <xf numFmtId="0" fontId="4" fillId="12" borderId="64" xfId="0" applyFont="1" applyFill="1" applyBorder="1" applyAlignment="1">
      <alignment horizontal="center" vertical="center"/>
    </xf>
    <xf numFmtId="0" fontId="4" fillId="12" borderId="67" xfId="0" applyFont="1" applyFill="1" applyBorder="1" applyAlignment="1">
      <alignment horizontal="center" vertical="center"/>
    </xf>
    <xf numFmtId="0" fontId="4" fillId="12" borderId="65" xfId="0" applyFont="1" applyFill="1" applyBorder="1" applyAlignment="1">
      <alignment horizontal="right"/>
    </xf>
    <xf numFmtId="0" fontId="4" fillId="14" borderId="64" xfId="0" applyFont="1" applyFill="1" applyBorder="1" applyAlignment="1">
      <alignment horizontal="center" vertical="center"/>
    </xf>
    <xf numFmtId="0" fontId="4" fillId="14" borderId="70" xfId="0" applyFont="1" applyFill="1" applyBorder="1" applyAlignment="1">
      <alignment horizontal="center" vertical="center"/>
    </xf>
    <xf numFmtId="0" fontId="4" fillId="14" borderId="68" xfId="0" applyFont="1" applyFill="1" applyBorder="1" applyAlignment="1">
      <alignment horizontal="right"/>
    </xf>
    <xf numFmtId="0" fontId="4" fillId="12" borderId="66" xfId="0" applyFont="1" applyFill="1" applyBorder="1" applyAlignment="1">
      <alignment horizontal="right"/>
    </xf>
    <xf numFmtId="0" fontId="4" fillId="14" borderId="69" xfId="0" applyFont="1" applyFill="1" applyBorder="1" applyAlignment="1">
      <alignment horizontal="right"/>
    </xf>
    <xf numFmtId="0" fontId="4" fillId="12" borderId="62" xfId="0" applyFont="1" applyFill="1" applyBorder="1" applyAlignment="1">
      <alignment horizontal="center" vertical="center"/>
    </xf>
    <xf numFmtId="0" fontId="4" fillId="12" borderId="63" xfId="0" applyFont="1" applyFill="1" applyBorder="1" applyAlignment="1">
      <alignment horizontal="center" vertical="center"/>
    </xf>
    <xf numFmtId="0" fontId="4" fillId="14" borderId="62" xfId="0" applyFont="1" applyFill="1" applyBorder="1" applyAlignment="1">
      <alignment horizontal="center" vertical="center"/>
    </xf>
    <xf numFmtId="0" fontId="4" fillId="14" borderId="63" xfId="0" applyFont="1" applyFill="1" applyBorder="1" applyAlignment="1">
      <alignment horizontal="center" vertical="center"/>
    </xf>
    <xf numFmtId="0" fontId="4" fillId="12" borderId="66" xfId="0" applyFont="1" applyFill="1" applyBorder="1" applyAlignment="1">
      <alignment horizontal="center" vertical="center"/>
    </xf>
    <xf numFmtId="0" fontId="4" fillId="14" borderId="69" xfId="0" applyFont="1" applyFill="1" applyBorder="1" applyAlignment="1">
      <alignment horizontal="center" vertical="center"/>
    </xf>
    <xf numFmtId="0" fontId="2" fillId="12" borderId="73" xfId="0" applyFont="1" applyFill="1" applyBorder="1" applyAlignment="1">
      <alignment horizontal="center" vertical="center"/>
    </xf>
    <xf numFmtId="0" fontId="2" fillId="12" borderId="74" xfId="0" applyFont="1" applyFill="1" applyBorder="1" applyAlignment="1">
      <alignment horizontal="center" vertical="center"/>
    </xf>
    <xf numFmtId="0" fontId="4" fillId="12" borderId="75" xfId="0" applyFont="1" applyFill="1" applyBorder="1" applyAlignment="1">
      <alignment horizontal="center" vertical="center"/>
    </xf>
    <xf numFmtId="0" fontId="4" fillId="14" borderId="76" xfId="0" applyFont="1" applyFill="1" applyBorder="1" applyAlignment="1">
      <alignment horizontal="center" vertical="center"/>
    </xf>
    <xf numFmtId="0" fontId="2" fillId="12" borderId="82" xfId="0" applyFont="1" applyFill="1" applyBorder="1" applyAlignment="1">
      <alignment horizontal="center" vertical="center"/>
    </xf>
    <xf numFmtId="0" fontId="2" fillId="12" borderId="83" xfId="0" applyFont="1" applyFill="1" applyBorder="1" applyAlignment="1">
      <alignment horizontal="center" vertical="center"/>
    </xf>
    <xf numFmtId="0" fontId="2" fillId="14" borderId="78" xfId="0" applyFont="1" applyFill="1" applyBorder="1" applyAlignment="1">
      <alignment horizontal="center" vertical="center"/>
    </xf>
    <xf numFmtId="0" fontId="2" fillId="14" borderId="79" xfId="0" applyFont="1" applyFill="1" applyBorder="1" applyAlignment="1">
      <alignment horizontal="center" vertical="center"/>
    </xf>
    <xf numFmtId="0" fontId="4" fillId="12" borderId="61" xfId="0" applyFont="1" applyFill="1" applyBorder="1" applyAlignment="1">
      <alignment horizontal="right"/>
    </xf>
    <xf numFmtId="0" fontId="4" fillId="12" borderId="62" xfId="0" applyFont="1" applyFill="1" applyBorder="1" applyAlignment="1">
      <alignment horizontal="right"/>
    </xf>
    <xf numFmtId="0" fontId="4" fillId="14" borderId="61" xfId="0" applyFont="1" applyFill="1" applyBorder="1" applyAlignment="1">
      <alignment horizontal="right"/>
    </xf>
    <xf numFmtId="0" fontId="4" fillId="14" borderId="62" xfId="0" applyFont="1" applyFill="1" applyBorder="1" applyAlignment="1">
      <alignment horizontal="right"/>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0" fillId="14" borderId="36" xfId="0" applyFill="1" applyBorder="1"/>
    <xf numFmtId="0" fontId="0" fillId="12" borderId="37" xfId="0" applyFill="1" applyBorder="1" applyAlignment="1">
      <alignment horizontal="center" vertical="center"/>
    </xf>
    <xf numFmtId="9" fontId="0" fillId="12" borderId="37" xfId="0" applyNumberFormat="1" applyFill="1" applyBorder="1" applyAlignment="1">
      <alignment horizontal="center" vertical="center"/>
    </xf>
    <xf numFmtId="9" fontId="0" fillId="12" borderId="60" xfId="0" applyNumberFormat="1" applyFill="1" applyBorder="1" applyAlignment="1">
      <alignment horizontal="center" vertical="center"/>
    </xf>
    <xf numFmtId="9" fontId="0" fillId="12" borderId="85" xfId="0" applyNumberFormat="1" applyFill="1" applyBorder="1" applyAlignment="1">
      <alignment horizontal="center" vertical="center"/>
    </xf>
    <xf numFmtId="0" fontId="0" fillId="12" borderId="38" xfId="0" applyFill="1" applyBorder="1"/>
    <xf numFmtId="0" fontId="0" fillId="12" borderId="41" xfId="0" applyFill="1" applyBorder="1"/>
    <xf numFmtId="0" fontId="0" fillId="12" borderId="43" xfId="0" applyFill="1" applyBorder="1"/>
    <xf numFmtId="0" fontId="0" fillId="14" borderId="44" xfId="0" applyFill="1" applyBorder="1"/>
    <xf numFmtId="0" fontId="0" fillId="12" borderId="44" xfId="0" applyFill="1" applyBorder="1"/>
    <xf numFmtId="0" fontId="0" fillId="12" borderId="45" xfId="0" applyFill="1" applyBorder="1"/>
    <xf numFmtId="0" fontId="0" fillId="12" borderId="56" xfId="0" applyFill="1" applyBorder="1" applyAlignment="1">
      <alignment horizontal="center" vertical="center"/>
    </xf>
    <xf numFmtId="0" fontId="0" fillId="14" borderId="56" xfId="0" applyFill="1" applyBorder="1" applyAlignment="1">
      <alignment horizontal="center" vertic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38" xfId="0" applyFill="1" applyBorder="1" applyAlignment="1">
      <alignment horizontal="center" vertical="center"/>
    </xf>
    <xf numFmtId="0" fontId="0" fillId="14" borderId="36" xfId="0" applyFill="1" applyBorder="1" applyAlignment="1">
      <alignment horizontal="center" vertical="center"/>
    </xf>
    <xf numFmtId="0" fontId="0" fillId="14" borderId="37" xfId="0" applyFill="1" applyBorder="1" applyAlignment="1">
      <alignment horizontal="center" vertic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0" fontId="0" fillId="12" borderId="41" xfId="0" applyFill="1" applyBorder="1" applyAlignment="1">
      <alignment horizontal="center" vertical="center"/>
    </xf>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0" fillId="12" borderId="81" xfId="0" applyFill="1" applyBorder="1"/>
    <xf numFmtId="0" fontId="0" fillId="12" borderId="82" xfId="0" applyFill="1" applyBorder="1"/>
    <xf numFmtId="0" fontId="0" fillId="12" borderId="71" xfId="0" applyFill="1" applyBorder="1" applyAlignment="1">
      <alignment horizontal="center" vertical="center"/>
    </xf>
    <xf numFmtId="0" fontId="0" fillId="14" borderId="77" xfId="0" applyFill="1" applyBorder="1"/>
    <xf numFmtId="0" fontId="0" fillId="14" borderId="78" xfId="0" applyFill="1" applyBorder="1"/>
    <xf numFmtId="0" fontId="0" fillId="12" borderId="72" xfId="0" applyFill="1" applyBorder="1"/>
    <xf numFmtId="0" fontId="0" fillId="12" borderId="73" xfId="0" applyFill="1" applyBorder="1"/>
    <xf numFmtId="0" fontId="0" fillId="12" borderId="84" xfId="0" applyFill="1" applyBorder="1" applyAlignment="1">
      <alignment horizontal="center" vertical="center"/>
    </xf>
    <xf numFmtId="0" fontId="0" fillId="14" borderId="80" xfId="0" applyFill="1" applyBorder="1" applyAlignment="1">
      <alignment horizontal="center" vertical="center"/>
    </xf>
    <xf numFmtId="0" fontId="4" fillId="16" borderId="62" xfId="0" applyFont="1" applyFill="1" applyBorder="1" applyAlignment="1" applyProtection="1">
      <alignment horizontal="center" vertical="center"/>
      <protection locked="0"/>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57" xfId="0" applyFont="1" applyFill="1" applyBorder="1" applyAlignment="1">
      <alignment horizontal="left"/>
    </xf>
    <xf numFmtId="0" fontId="4" fillId="4" borderId="5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47"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5.emf"/><Relationship Id="rId7" Type="http://schemas.openxmlformats.org/officeDocument/2006/relationships/image" Target="../media/image11.emf"/><Relationship Id="rId12"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0.emf"/><Relationship Id="rId11" Type="http://schemas.openxmlformats.org/officeDocument/2006/relationships/image" Target="../media/image2.emf"/><Relationship Id="rId5" Type="http://schemas.openxmlformats.org/officeDocument/2006/relationships/image" Target="../media/image9.emf"/><Relationship Id="rId10" Type="http://schemas.openxmlformats.org/officeDocument/2006/relationships/image" Target="../media/image3.emf"/><Relationship Id="rId4" Type="http://schemas.openxmlformats.org/officeDocument/2006/relationships/image" Target="../media/image8.emf"/><Relationship Id="rId9"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4</xdr:col>
      <xdr:colOff>0</xdr:colOff>
      <xdr:row>13</xdr:row>
      <xdr:rowOff>0</xdr:rowOff>
    </xdr:to>
    <xdr:grpSp>
      <xdr:nvGrpSpPr>
        <xdr:cNvPr id="724" name="Cross_D13">
          <a:extLst>
            <a:ext uri="{FF2B5EF4-FFF2-40B4-BE49-F238E27FC236}">
              <a16:creationId xmlns:a16="http://schemas.microsoft.com/office/drawing/2014/main" id="{5C6BB1AC-5E0B-1472-4C58-68E7A745DCB0}"/>
            </a:ext>
          </a:extLst>
        </xdr:cNvPr>
        <xdr:cNvGrpSpPr/>
      </xdr:nvGrpSpPr>
      <xdr:grpSpPr>
        <a:xfrm>
          <a:off x="2240280" y="2499360"/>
          <a:ext cx="601980" cy="228600"/>
          <a:chOff x="2240280" y="2499360"/>
          <a:chExt cx="601980" cy="228600"/>
        </a:xfrm>
      </xdr:grpSpPr>
      <xdr:cxnSp macro="">
        <xdr:nvCxnSpPr>
          <xdr:cNvPr id="722" name="Gerader Verbinder 721">
            <a:extLst>
              <a:ext uri="{FF2B5EF4-FFF2-40B4-BE49-F238E27FC236}">
                <a16:creationId xmlns:a16="http://schemas.microsoft.com/office/drawing/2014/main" id="{D5FD823C-7EEA-9093-273B-3F062BFA42AA}"/>
              </a:ext>
            </a:extLst>
          </xdr:cNvPr>
          <xdr:cNvCxnSpPr/>
        </xdr:nvCxnSpPr>
        <xdr:spPr>
          <a:xfrm>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3" name="Gerader Verbinder 722">
            <a:extLst>
              <a:ext uri="{FF2B5EF4-FFF2-40B4-BE49-F238E27FC236}">
                <a16:creationId xmlns:a16="http://schemas.microsoft.com/office/drawing/2014/main" id="{6345ACD8-B68D-6BBF-3711-4EC2892029F5}"/>
              </a:ext>
            </a:extLst>
          </xdr:cNvPr>
          <xdr:cNvCxnSpPr/>
        </xdr:nvCxnSpPr>
        <xdr:spPr>
          <a:xfrm flipH="1">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727" name="Cross_D14">
          <a:extLst>
            <a:ext uri="{FF2B5EF4-FFF2-40B4-BE49-F238E27FC236}">
              <a16:creationId xmlns:a16="http://schemas.microsoft.com/office/drawing/2014/main" id="{31551B7B-F301-560E-84DF-4A663C6BF460}"/>
            </a:ext>
          </a:extLst>
        </xdr:cNvPr>
        <xdr:cNvGrpSpPr/>
      </xdr:nvGrpSpPr>
      <xdr:grpSpPr>
        <a:xfrm>
          <a:off x="2240280" y="2727960"/>
          <a:ext cx="601980" cy="167640"/>
          <a:chOff x="2240280" y="2727960"/>
          <a:chExt cx="601980" cy="167640"/>
        </a:xfrm>
      </xdr:grpSpPr>
      <xdr:cxnSp macro="">
        <xdr:nvCxnSpPr>
          <xdr:cNvPr id="725" name="Gerader Verbinder 724">
            <a:extLst>
              <a:ext uri="{FF2B5EF4-FFF2-40B4-BE49-F238E27FC236}">
                <a16:creationId xmlns:a16="http://schemas.microsoft.com/office/drawing/2014/main" id="{532D5C8C-BB13-51DD-979F-1F93544E0AF3}"/>
              </a:ext>
            </a:extLst>
          </xdr:cNvPr>
          <xdr:cNvCxnSpPr/>
        </xdr:nvCxnSpPr>
        <xdr:spPr>
          <a:xfrm>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6" name="Gerader Verbinder 725">
            <a:extLst>
              <a:ext uri="{FF2B5EF4-FFF2-40B4-BE49-F238E27FC236}">
                <a16:creationId xmlns:a16="http://schemas.microsoft.com/office/drawing/2014/main" id="{AB8B1ED2-1022-18BB-591A-538A0C675C6C}"/>
              </a:ext>
            </a:extLst>
          </xdr:cNvPr>
          <xdr:cNvCxnSpPr/>
        </xdr:nvCxnSpPr>
        <xdr:spPr>
          <a:xfrm flipH="1">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730" name="Cross_D15">
          <a:extLst>
            <a:ext uri="{FF2B5EF4-FFF2-40B4-BE49-F238E27FC236}">
              <a16:creationId xmlns:a16="http://schemas.microsoft.com/office/drawing/2014/main" id="{2D6460B3-F6F0-8D32-CE63-F33BAA0BC6B5}"/>
            </a:ext>
          </a:extLst>
        </xdr:cNvPr>
        <xdr:cNvGrpSpPr/>
      </xdr:nvGrpSpPr>
      <xdr:grpSpPr>
        <a:xfrm>
          <a:off x="2240280" y="2895600"/>
          <a:ext cx="601980" cy="167640"/>
          <a:chOff x="2240280" y="2895600"/>
          <a:chExt cx="601980" cy="167640"/>
        </a:xfrm>
      </xdr:grpSpPr>
      <xdr:cxnSp macro="">
        <xdr:nvCxnSpPr>
          <xdr:cNvPr id="728" name="Gerader Verbinder 727">
            <a:extLst>
              <a:ext uri="{FF2B5EF4-FFF2-40B4-BE49-F238E27FC236}">
                <a16:creationId xmlns:a16="http://schemas.microsoft.com/office/drawing/2014/main" id="{65E13179-3B53-D8FC-DB8B-A592F1272BF9}"/>
              </a:ext>
            </a:extLst>
          </xdr:cNvPr>
          <xdr:cNvCxnSpPr/>
        </xdr:nvCxnSpPr>
        <xdr:spPr>
          <a:xfrm>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9" name="Gerader Verbinder 728">
            <a:extLst>
              <a:ext uri="{FF2B5EF4-FFF2-40B4-BE49-F238E27FC236}">
                <a16:creationId xmlns:a16="http://schemas.microsoft.com/office/drawing/2014/main" id="{E8890733-9760-64C7-64C2-B9743AA855ED}"/>
              </a:ext>
            </a:extLst>
          </xdr:cNvPr>
          <xdr:cNvCxnSpPr/>
        </xdr:nvCxnSpPr>
        <xdr:spPr>
          <a:xfrm flipH="1">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733" name="Cross_D22">
          <a:extLst>
            <a:ext uri="{FF2B5EF4-FFF2-40B4-BE49-F238E27FC236}">
              <a16:creationId xmlns:a16="http://schemas.microsoft.com/office/drawing/2014/main" id="{AD4C8B13-BC44-245B-2501-B3E542DB9872}"/>
            </a:ext>
          </a:extLst>
        </xdr:cNvPr>
        <xdr:cNvGrpSpPr/>
      </xdr:nvGrpSpPr>
      <xdr:grpSpPr>
        <a:xfrm>
          <a:off x="2240280" y="4191000"/>
          <a:ext cx="601980" cy="228600"/>
          <a:chOff x="2240280" y="4191000"/>
          <a:chExt cx="601980" cy="228600"/>
        </a:xfrm>
      </xdr:grpSpPr>
      <xdr:cxnSp macro="">
        <xdr:nvCxnSpPr>
          <xdr:cNvPr id="731" name="Gerader Verbinder 730">
            <a:extLst>
              <a:ext uri="{FF2B5EF4-FFF2-40B4-BE49-F238E27FC236}">
                <a16:creationId xmlns:a16="http://schemas.microsoft.com/office/drawing/2014/main" id="{2C13BEEA-BA6B-123C-1A52-72571E349215}"/>
              </a:ext>
            </a:extLst>
          </xdr:cNvPr>
          <xdr:cNvCxnSpPr/>
        </xdr:nvCxnSpPr>
        <xdr:spPr>
          <a:xfrm>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2" name="Gerader Verbinder 731">
            <a:extLst>
              <a:ext uri="{FF2B5EF4-FFF2-40B4-BE49-F238E27FC236}">
                <a16:creationId xmlns:a16="http://schemas.microsoft.com/office/drawing/2014/main" id="{46645777-FEBF-6510-B6B5-07A466A5FCD7}"/>
              </a:ext>
            </a:extLst>
          </xdr:cNvPr>
          <xdr:cNvCxnSpPr/>
        </xdr:nvCxnSpPr>
        <xdr:spPr>
          <a:xfrm flipH="1">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736" name="Cross_D23">
          <a:extLst>
            <a:ext uri="{FF2B5EF4-FFF2-40B4-BE49-F238E27FC236}">
              <a16:creationId xmlns:a16="http://schemas.microsoft.com/office/drawing/2014/main" id="{DE85F235-A482-9838-F265-7827A52F19A8}"/>
            </a:ext>
          </a:extLst>
        </xdr:cNvPr>
        <xdr:cNvGrpSpPr/>
      </xdr:nvGrpSpPr>
      <xdr:grpSpPr>
        <a:xfrm>
          <a:off x="2240280" y="4419600"/>
          <a:ext cx="601980" cy="167640"/>
          <a:chOff x="2240280" y="4419600"/>
          <a:chExt cx="601980" cy="167640"/>
        </a:xfrm>
      </xdr:grpSpPr>
      <xdr:cxnSp macro="">
        <xdr:nvCxnSpPr>
          <xdr:cNvPr id="734" name="Gerader Verbinder 733">
            <a:extLst>
              <a:ext uri="{FF2B5EF4-FFF2-40B4-BE49-F238E27FC236}">
                <a16:creationId xmlns:a16="http://schemas.microsoft.com/office/drawing/2014/main" id="{514A19DB-EB19-3B31-6E0C-CB27353CE49C}"/>
              </a:ext>
            </a:extLst>
          </xdr:cNvPr>
          <xdr:cNvCxnSpPr/>
        </xdr:nvCxnSpPr>
        <xdr:spPr>
          <a:xfrm>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5" name="Gerader Verbinder 734">
            <a:extLst>
              <a:ext uri="{FF2B5EF4-FFF2-40B4-BE49-F238E27FC236}">
                <a16:creationId xmlns:a16="http://schemas.microsoft.com/office/drawing/2014/main" id="{FF4D55C0-6BF6-C9E6-173D-475794148A0D}"/>
              </a:ext>
            </a:extLst>
          </xdr:cNvPr>
          <xdr:cNvCxnSpPr/>
        </xdr:nvCxnSpPr>
        <xdr:spPr>
          <a:xfrm flipH="1">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739" name="Cross_D24">
          <a:extLst>
            <a:ext uri="{FF2B5EF4-FFF2-40B4-BE49-F238E27FC236}">
              <a16:creationId xmlns:a16="http://schemas.microsoft.com/office/drawing/2014/main" id="{D5027730-671F-22DF-B933-45B77E3356AF}"/>
            </a:ext>
          </a:extLst>
        </xdr:cNvPr>
        <xdr:cNvGrpSpPr/>
      </xdr:nvGrpSpPr>
      <xdr:grpSpPr>
        <a:xfrm>
          <a:off x="2240280" y="4587240"/>
          <a:ext cx="601980" cy="167640"/>
          <a:chOff x="2240280" y="4587240"/>
          <a:chExt cx="601980" cy="167640"/>
        </a:xfrm>
      </xdr:grpSpPr>
      <xdr:cxnSp macro="">
        <xdr:nvCxnSpPr>
          <xdr:cNvPr id="737" name="Gerader Verbinder 736">
            <a:extLst>
              <a:ext uri="{FF2B5EF4-FFF2-40B4-BE49-F238E27FC236}">
                <a16:creationId xmlns:a16="http://schemas.microsoft.com/office/drawing/2014/main" id="{644C64CA-9785-D911-623B-2EE25926CCBD}"/>
              </a:ext>
            </a:extLst>
          </xdr:cNvPr>
          <xdr:cNvCxnSpPr/>
        </xdr:nvCxnSpPr>
        <xdr:spPr>
          <a:xfrm>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8" name="Gerader Verbinder 737">
            <a:extLst>
              <a:ext uri="{FF2B5EF4-FFF2-40B4-BE49-F238E27FC236}">
                <a16:creationId xmlns:a16="http://schemas.microsoft.com/office/drawing/2014/main" id="{B6696DCF-1435-533F-14F8-B3296A8E05DA}"/>
              </a:ext>
            </a:extLst>
          </xdr:cNvPr>
          <xdr:cNvCxnSpPr/>
        </xdr:nvCxnSpPr>
        <xdr:spPr>
          <a:xfrm flipH="1">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742" name="Cross_D25">
          <a:extLst>
            <a:ext uri="{FF2B5EF4-FFF2-40B4-BE49-F238E27FC236}">
              <a16:creationId xmlns:a16="http://schemas.microsoft.com/office/drawing/2014/main" id="{DFE81CB9-60C8-FFB7-6224-59E396877A90}"/>
            </a:ext>
          </a:extLst>
        </xdr:cNvPr>
        <xdr:cNvGrpSpPr/>
      </xdr:nvGrpSpPr>
      <xdr:grpSpPr>
        <a:xfrm>
          <a:off x="2240280" y="4754880"/>
          <a:ext cx="601980" cy="228600"/>
          <a:chOff x="2240280" y="4754880"/>
          <a:chExt cx="601980" cy="228600"/>
        </a:xfrm>
      </xdr:grpSpPr>
      <xdr:cxnSp macro="">
        <xdr:nvCxnSpPr>
          <xdr:cNvPr id="740" name="Gerader Verbinder 739">
            <a:extLst>
              <a:ext uri="{FF2B5EF4-FFF2-40B4-BE49-F238E27FC236}">
                <a16:creationId xmlns:a16="http://schemas.microsoft.com/office/drawing/2014/main" id="{259DBF36-05E6-188C-1D54-577BDE837EBD}"/>
              </a:ext>
            </a:extLst>
          </xdr:cNvPr>
          <xdr:cNvCxnSpPr/>
        </xdr:nvCxnSpPr>
        <xdr:spPr>
          <a:xfrm>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1" name="Gerader Verbinder 740">
            <a:extLst>
              <a:ext uri="{FF2B5EF4-FFF2-40B4-BE49-F238E27FC236}">
                <a16:creationId xmlns:a16="http://schemas.microsoft.com/office/drawing/2014/main" id="{40F209AC-4391-5F5E-DA72-1CC1161DFEB3}"/>
              </a:ext>
            </a:extLst>
          </xdr:cNvPr>
          <xdr:cNvCxnSpPr/>
        </xdr:nvCxnSpPr>
        <xdr:spPr>
          <a:xfrm flipH="1">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745" name="Cross_D26">
          <a:extLst>
            <a:ext uri="{FF2B5EF4-FFF2-40B4-BE49-F238E27FC236}">
              <a16:creationId xmlns:a16="http://schemas.microsoft.com/office/drawing/2014/main" id="{16612E1B-4CFB-E7D3-46B5-CB042FCF3DB8}"/>
            </a:ext>
          </a:extLst>
        </xdr:cNvPr>
        <xdr:cNvGrpSpPr/>
      </xdr:nvGrpSpPr>
      <xdr:grpSpPr>
        <a:xfrm>
          <a:off x="2240280" y="4983480"/>
          <a:ext cx="601980" cy="167640"/>
          <a:chOff x="2240280" y="4983480"/>
          <a:chExt cx="601980" cy="167640"/>
        </a:xfrm>
      </xdr:grpSpPr>
      <xdr:cxnSp macro="">
        <xdr:nvCxnSpPr>
          <xdr:cNvPr id="743" name="Gerader Verbinder 742">
            <a:extLst>
              <a:ext uri="{FF2B5EF4-FFF2-40B4-BE49-F238E27FC236}">
                <a16:creationId xmlns:a16="http://schemas.microsoft.com/office/drawing/2014/main" id="{E1562913-60B9-5B54-BEEC-892BB3101385}"/>
              </a:ext>
            </a:extLst>
          </xdr:cNvPr>
          <xdr:cNvCxnSpPr/>
        </xdr:nvCxnSpPr>
        <xdr:spPr>
          <a:xfrm>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4" name="Gerader Verbinder 743">
            <a:extLst>
              <a:ext uri="{FF2B5EF4-FFF2-40B4-BE49-F238E27FC236}">
                <a16:creationId xmlns:a16="http://schemas.microsoft.com/office/drawing/2014/main" id="{BD6328F1-C9AD-4AFA-6DE4-D656AF52DBFE}"/>
              </a:ext>
            </a:extLst>
          </xdr:cNvPr>
          <xdr:cNvCxnSpPr/>
        </xdr:nvCxnSpPr>
        <xdr:spPr>
          <a:xfrm flipH="1">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748" name="Cross_D27">
          <a:extLst>
            <a:ext uri="{FF2B5EF4-FFF2-40B4-BE49-F238E27FC236}">
              <a16:creationId xmlns:a16="http://schemas.microsoft.com/office/drawing/2014/main" id="{84538361-01D4-5820-0B0E-D9D0A146F202}"/>
            </a:ext>
          </a:extLst>
        </xdr:cNvPr>
        <xdr:cNvGrpSpPr/>
      </xdr:nvGrpSpPr>
      <xdr:grpSpPr>
        <a:xfrm>
          <a:off x="2240280" y="5151120"/>
          <a:ext cx="601980" cy="167640"/>
          <a:chOff x="2240280" y="5151120"/>
          <a:chExt cx="601980" cy="167640"/>
        </a:xfrm>
      </xdr:grpSpPr>
      <xdr:cxnSp macro="">
        <xdr:nvCxnSpPr>
          <xdr:cNvPr id="746" name="Gerader Verbinder 745">
            <a:extLst>
              <a:ext uri="{FF2B5EF4-FFF2-40B4-BE49-F238E27FC236}">
                <a16:creationId xmlns:a16="http://schemas.microsoft.com/office/drawing/2014/main" id="{ACA4333C-FEA1-D61E-9BC8-BD5BFEDE6447}"/>
              </a:ext>
            </a:extLst>
          </xdr:cNvPr>
          <xdr:cNvCxnSpPr/>
        </xdr:nvCxnSpPr>
        <xdr:spPr>
          <a:xfrm>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7" name="Gerader Verbinder 746">
            <a:extLst>
              <a:ext uri="{FF2B5EF4-FFF2-40B4-BE49-F238E27FC236}">
                <a16:creationId xmlns:a16="http://schemas.microsoft.com/office/drawing/2014/main" id="{A252C721-AA90-41E3-2040-1D827253E53C}"/>
              </a:ext>
            </a:extLst>
          </xdr:cNvPr>
          <xdr:cNvCxnSpPr/>
        </xdr:nvCxnSpPr>
        <xdr:spPr>
          <a:xfrm flipH="1">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751" name="Cross_D28">
          <a:extLst>
            <a:ext uri="{FF2B5EF4-FFF2-40B4-BE49-F238E27FC236}">
              <a16:creationId xmlns:a16="http://schemas.microsoft.com/office/drawing/2014/main" id="{944E50F0-BF9B-A4CC-125A-1A1D7324FEC8}"/>
            </a:ext>
          </a:extLst>
        </xdr:cNvPr>
        <xdr:cNvGrpSpPr/>
      </xdr:nvGrpSpPr>
      <xdr:grpSpPr>
        <a:xfrm>
          <a:off x="2240280" y="5318760"/>
          <a:ext cx="601980" cy="228600"/>
          <a:chOff x="2240280" y="5318760"/>
          <a:chExt cx="601980" cy="228600"/>
        </a:xfrm>
      </xdr:grpSpPr>
      <xdr:cxnSp macro="">
        <xdr:nvCxnSpPr>
          <xdr:cNvPr id="749" name="Gerader Verbinder 748">
            <a:extLst>
              <a:ext uri="{FF2B5EF4-FFF2-40B4-BE49-F238E27FC236}">
                <a16:creationId xmlns:a16="http://schemas.microsoft.com/office/drawing/2014/main" id="{187E7F7E-706B-6F65-320A-8904B6C92FA7}"/>
              </a:ext>
            </a:extLst>
          </xdr:cNvPr>
          <xdr:cNvCxnSpPr/>
        </xdr:nvCxnSpPr>
        <xdr:spPr>
          <a:xfrm>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0" name="Gerader Verbinder 749">
            <a:extLst>
              <a:ext uri="{FF2B5EF4-FFF2-40B4-BE49-F238E27FC236}">
                <a16:creationId xmlns:a16="http://schemas.microsoft.com/office/drawing/2014/main" id="{F11063D7-6A3A-F41D-5F14-352AA805D626}"/>
              </a:ext>
            </a:extLst>
          </xdr:cNvPr>
          <xdr:cNvCxnSpPr/>
        </xdr:nvCxnSpPr>
        <xdr:spPr>
          <a:xfrm flipH="1">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754" name="Cross_D29">
          <a:extLst>
            <a:ext uri="{FF2B5EF4-FFF2-40B4-BE49-F238E27FC236}">
              <a16:creationId xmlns:a16="http://schemas.microsoft.com/office/drawing/2014/main" id="{40C1F184-1EB7-4052-F9F7-5F8B71E7500F}"/>
            </a:ext>
          </a:extLst>
        </xdr:cNvPr>
        <xdr:cNvGrpSpPr/>
      </xdr:nvGrpSpPr>
      <xdr:grpSpPr>
        <a:xfrm>
          <a:off x="2240280" y="5547360"/>
          <a:ext cx="601980" cy="167640"/>
          <a:chOff x="2240280" y="5547360"/>
          <a:chExt cx="601980" cy="167640"/>
        </a:xfrm>
      </xdr:grpSpPr>
      <xdr:cxnSp macro="">
        <xdr:nvCxnSpPr>
          <xdr:cNvPr id="752" name="Gerader Verbinder 751">
            <a:extLst>
              <a:ext uri="{FF2B5EF4-FFF2-40B4-BE49-F238E27FC236}">
                <a16:creationId xmlns:a16="http://schemas.microsoft.com/office/drawing/2014/main" id="{3C77DF5A-A00D-3812-DBEB-9DAE95DB7162}"/>
              </a:ext>
            </a:extLst>
          </xdr:cNvPr>
          <xdr:cNvCxnSpPr/>
        </xdr:nvCxnSpPr>
        <xdr:spPr>
          <a:xfrm>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3" name="Gerader Verbinder 752">
            <a:extLst>
              <a:ext uri="{FF2B5EF4-FFF2-40B4-BE49-F238E27FC236}">
                <a16:creationId xmlns:a16="http://schemas.microsoft.com/office/drawing/2014/main" id="{21F5CDEF-27BE-39D6-4EAD-E1F3128BB160}"/>
              </a:ext>
            </a:extLst>
          </xdr:cNvPr>
          <xdr:cNvCxnSpPr/>
        </xdr:nvCxnSpPr>
        <xdr:spPr>
          <a:xfrm flipH="1">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29</xdr:row>
      <xdr:rowOff>0</xdr:rowOff>
    </xdr:from>
    <xdr:to>
      <xdr:col>4</xdr:col>
      <xdr:colOff>0</xdr:colOff>
      <xdr:row>30</xdr:row>
      <xdr:rowOff>0</xdr:rowOff>
    </xdr:to>
    <xdr:grpSp>
      <xdr:nvGrpSpPr>
        <xdr:cNvPr id="757" name="Cross_D30">
          <a:extLst>
            <a:ext uri="{FF2B5EF4-FFF2-40B4-BE49-F238E27FC236}">
              <a16:creationId xmlns:a16="http://schemas.microsoft.com/office/drawing/2014/main" id="{564C61D7-A494-CE70-3638-D67A91D40D89}"/>
            </a:ext>
          </a:extLst>
        </xdr:cNvPr>
        <xdr:cNvGrpSpPr/>
      </xdr:nvGrpSpPr>
      <xdr:grpSpPr>
        <a:xfrm>
          <a:off x="2240280" y="5715000"/>
          <a:ext cx="601980" cy="167640"/>
          <a:chOff x="2240280" y="5715000"/>
          <a:chExt cx="601980" cy="167640"/>
        </a:xfrm>
      </xdr:grpSpPr>
      <xdr:cxnSp macro="">
        <xdr:nvCxnSpPr>
          <xdr:cNvPr id="755" name="Gerader Verbinder 754">
            <a:extLst>
              <a:ext uri="{FF2B5EF4-FFF2-40B4-BE49-F238E27FC236}">
                <a16:creationId xmlns:a16="http://schemas.microsoft.com/office/drawing/2014/main" id="{8EED35F0-BAF3-2253-9323-DC561644D5D1}"/>
              </a:ext>
            </a:extLst>
          </xdr:cNvPr>
          <xdr:cNvCxnSpPr/>
        </xdr:nvCxnSpPr>
        <xdr:spPr>
          <a:xfrm>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6" name="Gerader Verbinder 755">
            <a:extLst>
              <a:ext uri="{FF2B5EF4-FFF2-40B4-BE49-F238E27FC236}">
                <a16:creationId xmlns:a16="http://schemas.microsoft.com/office/drawing/2014/main" id="{FE19202B-2487-1E0B-11E0-967CFB4E7762}"/>
              </a:ext>
            </a:extLst>
          </xdr:cNvPr>
          <xdr:cNvCxnSpPr/>
        </xdr:nvCxnSpPr>
        <xdr:spPr>
          <a:xfrm flipH="1">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33</xdr:row>
      <xdr:rowOff>0</xdr:rowOff>
    </xdr:from>
    <xdr:to>
      <xdr:col>4</xdr:col>
      <xdr:colOff>0</xdr:colOff>
      <xdr:row>34</xdr:row>
      <xdr:rowOff>0</xdr:rowOff>
    </xdr:to>
    <xdr:grpSp>
      <xdr:nvGrpSpPr>
        <xdr:cNvPr id="760" name="Cross_D34">
          <a:extLst>
            <a:ext uri="{FF2B5EF4-FFF2-40B4-BE49-F238E27FC236}">
              <a16:creationId xmlns:a16="http://schemas.microsoft.com/office/drawing/2014/main" id="{4BDBA90C-1955-EA2E-2B20-1701C402228F}"/>
            </a:ext>
          </a:extLst>
        </xdr:cNvPr>
        <xdr:cNvGrpSpPr/>
      </xdr:nvGrpSpPr>
      <xdr:grpSpPr>
        <a:xfrm>
          <a:off x="2240280" y="6446520"/>
          <a:ext cx="601980" cy="228600"/>
          <a:chOff x="2240280" y="6446520"/>
          <a:chExt cx="601980" cy="228600"/>
        </a:xfrm>
      </xdr:grpSpPr>
      <xdr:cxnSp macro="">
        <xdr:nvCxnSpPr>
          <xdr:cNvPr id="758" name="Gerader Verbinder 757">
            <a:extLst>
              <a:ext uri="{FF2B5EF4-FFF2-40B4-BE49-F238E27FC236}">
                <a16:creationId xmlns:a16="http://schemas.microsoft.com/office/drawing/2014/main" id="{8B6FE544-7D96-DBA6-B0A6-8C83401C96F0}"/>
              </a:ext>
            </a:extLst>
          </xdr:cNvPr>
          <xdr:cNvCxnSpPr/>
        </xdr:nvCxnSpPr>
        <xdr:spPr>
          <a:xfrm>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9" name="Gerader Verbinder 758">
            <a:extLst>
              <a:ext uri="{FF2B5EF4-FFF2-40B4-BE49-F238E27FC236}">
                <a16:creationId xmlns:a16="http://schemas.microsoft.com/office/drawing/2014/main" id="{981A41C7-43E6-F809-931C-3839DC9D8AA4}"/>
              </a:ext>
            </a:extLst>
          </xdr:cNvPr>
          <xdr:cNvCxnSpPr/>
        </xdr:nvCxnSpPr>
        <xdr:spPr>
          <a:xfrm flipH="1">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34</xdr:row>
      <xdr:rowOff>0</xdr:rowOff>
    </xdr:from>
    <xdr:to>
      <xdr:col>4</xdr:col>
      <xdr:colOff>0</xdr:colOff>
      <xdr:row>35</xdr:row>
      <xdr:rowOff>0</xdr:rowOff>
    </xdr:to>
    <xdr:grpSp>
      <xdr:nvGrpSpPr>
        <xdr:cNvPr id="763" name="Cross_D35">
          <a:extLst>
            <a:ext uri="{FF2B5EF4-FFF2-40B4-BE49-F238E27FC236}">
              <a16:creationId xmlns:a16="http://schemas.microsoft.com/office/drawing/2014/main" id="{AC239324-9F3C-EC53-0080-A4A636CA4F40}"/>
            </a:ext>
          </a:extLst>
        </xdr:cNvPr>
        <xdr:cNvGrpSpPr/>
      </xdr:nvGrpSpPr>
      <xdr:grpSpPr>
        <a:xfrm>
          <a:off x="2240280" y="6675120"/>
          <a:ext cx="601980" cy="167640"/>
          <a:chOff x="2240280" y="6675120"/>
          <a:chExt cx="601980" cy="167640"/>
        </a:xfrm>
      </xdr:grpSpPr>
      <xdr:cxnSp macro="">
        <xdr:nvCxnSpPr>
          <xdr:cNvPr id="761" name="Gerader Verbinder 760">
            <a:extLst>
              <a:ext uri="{FF2B5EF4-FFF2-40B4-BE49-F238E27FC236}">
                <a16:creationId xmlns:a16="http://schemas.microsoft.com/office/drawing/2014/main" id="{74B14878-ABC9-D9A2-4BDC-8F545E423D8B}"/>
              </a:ext>
            </a:extLst>
          </xdr:cNvPr>
          <xdr:cNvCxnSpPr/>
        </xdr:nvCxnSpPr>
        <xdr:spPr>
          <a:xfrm>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2" name="Gerader Verbinder 761">
            <a:extLst>
              <a:ext uri="{FF2B5EF4-FFF2-40B4-BE49-F238E27FC236}">
                <a16:creationId xmlns:a16="http://schemas.microsoft.com/office/drawing/2014/main" id="{2D6D9DBB-0F50-8E5D-9522-785459AC3911}"/>
              </a:ext>
            </a:extLst>
          </xdr:cNvPr>
          <xdr:cNvCxnSpPr/>
        </xdr:nvCxnSpPr>
        <xdr:spPr>
          <a:xfrm flipH="1">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35</xdr:row>
      <xdr:rowOff>0</xdr:rowOff>
    </xdr:from>
    <xdr:to>
      <xdr:col>4</xdr:col>
      <xdr:colOff>0</xdr:colOff>
      <xdr:row>36</xdr:row>
      <xdr:rowOff>0</xdr:rowOff>
    </xdr:to>
    <xdr:grpSp>
      <xdr:nvGrpSpPr>
        <xdr:cNvPr id="766" name="Cross_D36">
          <a:extLst>
            <a:ext uri="{FF2B5EF4-FFF2-40B4-BE49-F238E27FC236}">
              <a16:creationId xmlns:a16="http://schemas.microsoft.com/office/drawing/2014/main" id="{AD9E72A7-7240-A44F-0F6A-ADC93B1D2CEE}"/>
            </a:ext>
          </a:extLst>
        </xdr:cNvPr>
        <xdr:cNvGrpSpPr/>
      </xdr:nvGrpSpPr>
      <xdr:grpSpPr>
        <a:xfrm>
          <a:off x="2240280" y="6842760"/>
          <a:ext cx="601980" cy="167640"/>
          <a:chOff x="2240280" y="6842760"/>
          <a:chExt cx="601980" cy="167640"/>
        </a:xfrm>
      </xdr:grpSpPr>
      <xdr:cxnSp macro="">
        <xdr:nvCxnSpPr>
          <xdr:cNvPr id="764" name="Gerader Verbinder 763">
            <a:extLst>
              <a:ext uri="{FF2B5EF4-FFF2-40B4-BE49-F238E27FC236}">
                <a16:creationId xmlns:a16="http://schemas.microsoft.com/office/drawing/2014/main" id="{2E284259-E1B7-9B2F-6119-6400B0C2B1E0}"/>
              </a:ext>
            </a:extLst>
          </xdr:cNvPr>
          <xdr:cNvCxnSpPr/>
        </xdr:nvCxnSpPr>
        <xdr:spPr>
          <a:xfrm>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5" name="Gerader Verbinder 764">
            <a:extLst>
              <a:ext uri="{FF2B5EF4-FFF2-40B4-BE49-F238E27FC236}">
                <a16:creationId xmlns:a16="http://schemas.microsoft.com/office/drawing/2014/main" id="{E8E7E2A5-A10F-5052-DF9C-20FDA3BEC8E0}"/>
              </a:ext>
            </a:extLst>
          </xdr:cNvPr>
          <xdr:cNvCxnSpPr/>
        </xdr:nvCxnSpPr>
        <xdr:spPr>
          <a:xfrm flipH="1">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45</xdr:row>
      <xdr:rowOff>0</xdr:rowOff>
    </xdr:from>
    <xdr:to>
      <xdr:col>4</xdr:col>
      <xdr:colOff>0</xdr:colOff>
      <xdr:row>46</xdr:row>
      <xdr:rowOff>0</xdr:rowOff>
    </xdr:to>
    <xdr:grpSp>
      <xdr:nvGrpSpPr>
        <xdr:cNvPr id="769" name="Cross_D46">
          <a:extLst>
            <a:ext uri="{FF2B5EF4-FFF2-40B4-BE49-F238E27FC236}">
              <a16:creationId xmlns:a16="http://schemas.microsoft.com/office/drawing/2014/main" id="{17CC3139-CD6A-F03F-D482-34AE03E4B83A}"/>
            </a:ext>
          </a:extLst>
        </xdr:cNvPr>
        <xdr:cNvGrpSpPr/>
      </xdr:nvGrpSpPr>
      <xdr:grpSpPr>
        <a:xfrm>
          <a:off x="2240280" y="8702040"/>
          <a:ext cx="601980" cy="228600"/>
          <a:chOff x="2240280" y="8702040"/>
          <a:chExt cx="601980" cy="228600"/>
        </a:xfrm>
      </xdr:grpSpPr>
      <xdr:cxnSp macro="">
        <xdr:nvCxnSpPr>
          <xdr:cNvPr id="767" name="Gerader Verbinder 766">
            <a:extLst>
              <a:ext uri="{FF2B5EF4-FFF2-40B4-BE49-F238E27FC236}">
                <a16:creationId xmlns:a16="http://schemas.microsoft.com/office/drawing/2014/main" id="{37FA0081-DA56-AF34-7791-DF5C31352D10}"/>
              </a:ext>
            </a:extLst>
          </xdr:cNvPr>
          <xdr:cNvCxnSpPr/>
        </xdr:nvCxnSpPr>
        <xdr:spPr>
          <a:xfrm>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8" name="Gerader Verbinder 767">
            <a:extLst>
              <a:ext uri="{FF2B5EF4-FFF2-40B4-BE49-F238E27FC236}">
                <a16:creationId xmlns:a16="http://schemas.microsoft.com/office/drawing/2014/main" id="{B4F31C77-6424-B0D2-4236-8A833ED3CE49}"/>
              </a:ext>
            </a:extLst>
          </xdr:cNvPr>
          <xdr:cNvCxnSpPr/>
        </xdr:nvCxnSpPr>
        <xdr:spPr>
          <a:xfrm flipH="1">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46</xdr:row>
      <xdr:rowOff>0</xdr:rowOff>
    </xdr:from>
    <xdr:to>
      <xdr:col>4</xdr:col>
      <xdr:colOff>0</xdr:colOff>
      <xdr:row>47</xdr:row>
      <xdr:rowOff>0</xdr:rowOff>
    </xdr:to>
    <xdr:grpSp>
      <xdr:nvGrpSpPr>
        <xdr:cNvPr id="772" name="Cross_D47">
          <a:extLst>
            <a:ext uri="{FF2B5EF4-FFF2-40B4-BE49-F238E27FC236}">
              <a16:creationId xmlns:a16="http://schemas.microsoft.com/office/drawing/2014/main" id="{6F89F466-0051-2565-6F96-59D56970673A}"/>
            </a:ext>
          </a:extLst>
        </xdr:cNvPr>
        <xdr:cNvGrpSpPr/>
      </xdr:nvGrpSpPr>
      <xdr:grpSpPr>
        <a:xfrm>
          <a:off x="2240280" y="8930640"/>
          <a:ext cx="601980" cy="167640"/>
          <a:chOff x="2240280" y="8930640"/>
          <a:chExt cx="601980" cy="167640"/>
        </a:xfrm>
      </xdr:grpSpPr>
      <xdr:cxnSp macro="">
        <xdr:nvCxnSpPr>
          <xdr:cNvPr id="770" name="Gerader Verbinder 769">
            <a:extLst>
              <a:ext uri="{FF2B5EF4-FFF2-40B4-BE49-F238E27FC236}">
                <a16:creationId xmlns:a16="http://schemas.microsoft.com/office/drawing/2014/main" id="{82B491A8-CCE5-8BE8-E7F3-4D51D025A109}"/>
              </a:ext>
            </a:extLst>
          </xdr:cNvPr>
          <xdr:cNvCxnSpPr/>
        </xdr:nvCxnSpPr>
        <xdr:spPr>
          <a:xfrm>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1" name="Gerader Verbinder 770">
            <a:extLst>
              <a:ext uri="{FF2B5EF4-FFF2-40B4-BE49-F238E27FC236}">
                <a16:creationId xmlns:a16="http://schemas.microsoft.com/office/drawing/2014/main" id="{7C02F951-6D15-AA3A-D81F-471B80A1A088}"/>
              </a:ext>
            </a:extLst>
          </xdr:cNvPr>
          <xdr:cNvCxnSpPr/>
        </xdr:nvCxnSpPr>
        <xdr:spPr>
          <a:xfrm flipH="1">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47</xdr:row>
      <xdr:rowOff>0</xdr:rowOff>
    </xdr:from>
    <xdr:to>
      <xdr:col>4</xdr:col>
      <xdr:colOff>0</xdr:colOff>
      <xdr:row>48</xdr:row>
      <xdr:rowOff>0</xdr:rowOff>
    </xdr:to>
    <xdr:grpSp>
      <xdr:nvGrpSpPr>
        <xdr:cNvPr id="775" name="Cross_D48">
          <a:extLst>
            <a:ext uri="{FF2B5EF4-FFF2-40B4-BE49-F238E27FC236}">
              <a16:creationId xmlns:a16="http://schemas.microsoft.com/office/drawing/2014/main" id="{95E09511-081B-0753-B0D3-5E5BAA3F8DEE}"/>
            </a:ext>
          </a:extLst>
        </xdr:cNvPr>
        <xdr:cNvGrpSpPr/>
      </xdr:nvGrpSpPr>
      <xdr:grpSpPr>
        <a:xfrm>
          <a:off x="2240280" y="9098280"/>
          <a:ext cx="601980" cy="167640"/>
          <a:chOff x="2240280" y="9098280"/>
          <a:chExt cx="601980" cy="167640"/>
        </a:xfrm>
      </xdr:grpSpPr>
      <xdr:cxnSp macro="">
        <xdr:nvCxnSpPr>
          <xdr:cNvPr id="773" name="Gerader Verbinder 772">
            <a:extLst>
              <a:ext uri="{FF2B5EF4-FFF2-40B4-BE49-F238E27FC236}">
                <a16:creationId xmlns:a16="http://schemas.microsoft.com/office/drawing/2014/main" id="{24F861C5-EF3B-CD7D-04E1-4BB9E9603989}"/>
              </a:ext>
            </a:extLst>
          </xdr:cNvPr>
          <xdr:cNvCxnSpPr/>
        </xdr:nvCxnSpPr>
        <xdr:spPr>
          <a:xfrm>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4" name="Gerader Verbinder 773">
            <a:extLst>
              <a:ext uri="{FF2B5EF4-FFF2-40B4-BE49-F238E27FC236}">
                <a16:creationId xmlns:a16="http://schemas.microsoft.com/office/drawing/2014/main" id="{A68A7A9D-E963-8742-3C2A-055A7EF13F2C}"/>
              </a:ext>
            </a:extLst>
          </xdr:cNvPr>
          <xdr:cNvCxnSpPr/>
        </xdr:nvCxnSpPr>
        <xdr:spPr>
          <a:xfrm flipH="1">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48</xdr:row>
      <xdr:rowOff>0</xdr:rowOff>
    </xdr:from>
    <xdr:to>
      <xdr:col>4</xdr:col>
      <xdr:colOff>0</xdr:colOff>
      <xdr:row>49</xdr:row>
      <xdr:rowOff>0</xdr:rowOff>
    </xdr:to>
    <xdr:grpSp>
      <xdr:nvGrpSpPr>
        <xdr:cNvPr id="778" name="Cross_D49">
          <a:extLst>
            <a:ext uri="{FF2B5EF4-FFF2-40B4-BE49-F238E27FC236}">
              <a16:creationId xmlns:a16="http://schemas.microsoft.com/office/drawing/2014/main" id="{0C1673D1-661F-8218-0DEB-57111D9056F8}"/>
            </a:ext>
          </a:extLst>
        </xdr:cNvPr>
        <xdr:cNvGrpSpPr/>
      </xdr:nvGrpSpPr>
      <xdr:grpSpPr>
        <a:xfrm>
          <a:off x="2240280" y="9265920"/>
          <a:ext cx="601980" cy="228600"/>
          <a:chOff x="2240280" y="9265920"/>
          <a:chExt cx="601980" cy="228600"/>
        </a:xfrm>
      </xdr:grpSpPr>
      <xdr:cxnSp macro="">
        <xdr:nvCxnSpPr>
          <xdr:cNvPr id="776" name="Gerader Verbinder 775">
            <a:extLst>
              <a:ext uri="{FF2B5EF4-FFF2-40B4-BE49-F238E27FC236}">
                <a16:creationId xmlns:a16="http://schemas.microsoft.com/office/drawing/2014/main" id="{37A305E1-BAEE-61F6-9199-C2A3E95784D7}"/>
              </a:ext>
            </a:extLst>
          </xdr:cNvPr>
          <xdr:cNvCxnSpPr/>
        </xdr:nvCxnSpPr>
        <xdr:spPr>
          <a:xfrm>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7" name="Gerader Verbinder 776">
            <a:extLst>
              <a:ext uri="{FF2B5EF4-FFF2-40B4-BE49-F238E27FC236}">
                <a16:creationId xmlns:a16="http://schemas.microsoft.com/office/drawing/2014/main" id="{4227EDDF-795A-BA03-D093-AB74FB425576}"/>
              </a:ext>
            </a:extLst>
          </xdr:cNvPr>
          <xdr:cNvCxnSpPr/>
        </xdr:nvCxnSpPr>
        <xdr:spPr>
          <a:xfrm flipH="1">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49</xdr:row>
      <xdr:rowOff>0</xdr:rowOff>
    </xdr:from>
    <xdr:to>
      <xdr:col>4</xdr:col>
      <xdr:colOff>0</xdr:colOff>
      <xdr:row>50</xdr:row>
      <xdr:rowOff>0</xdr:rowOff>
    </xdr:to>
    <xdr:grpSp>
      <xdr:nvGrpSpPr>
        <xdr:cNvPr id="781" name="Cross_D50">
          <a:extLst>
            <a:ext uri="{FF2B5EF4-FFF2-40B4-BE49-F238E27FC236}">
              <a16:creationId xmlns:a16="http://schemas.microsoft.com/office/drawing/2014/main" id="{9BA31DA0-972F-7612-9E24-AFAAEC576DC6}"/>
            </a:ext>
          </a:extLst>
        </xdr:cNvPr>
        <xdr:cNvGrpSpPr/>
      </xdr:nvGrpSpPr>
      <xdr:grpSpPr>
        <a:xfrm>
          <a:off x="2240280" y="9494520"/>
          <a:ext cx="601980" cy="167640"/>
          <a:chOff x="2240280" y="9494520"/>
          <a:chExt cx="601980" cy="167640"/>
        </a:xfrm>
      </xdr:grpSpPr>
      <xdr:cxnSp macro="">
        <xdr:nvCxnSpPr>
          <xdr:cNvPr id="779" name="Gerader Verbinder 778">
            <a:extLst>
              <a:ext uri="{FF2B5EF4-FFF2-40B4-BE49-F238E27FC236}">
                <a16:creationId xmlns:a16="http://schemas.microsoft.com/office/drawing/2014/main" id="{867D2DB1-6128-AF98-4CE1-EA25429E4F57}"/>
              </a:ext>
            </a:extLst>
          </xdr:cNvPr>
          <xdr:cNvCxnSpPr/>
        </xdr:nvCxnSpPr>
        <xdr:spPr>
          <a:xfrm>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80" name="Gerader Verbinder 779">
            <a:extLst>
              <a:ext uri="{FF2B5EF4-FFF2-40B4-BE49-F238E27FC236}">
                <a16:creationId xmlns:a16="http://schemas.microsoft.com/office/drawing/2014/main" id="{280CAE30-3503-0236-B486-057974546913}"/>
              </a:ext>
            </a:extLst>
          </xdr:cNvPr>
          <xdr:cNvCxnSpPr/>
        </xdr:nvCxnSpPr>
        <xdr:spPr>
          <a:xfrm flipH="1">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50</xdr:row>
      <xdr:rowOff>0</xdr:rowOff>
    </xdr:from>
    <xdr:to>
      <xdr:col>4</xdr:col>
      <xdr:colOff>0</xdr:colOff>
      <xdr:row>51</xdr:row>
      <xdr:rowOff>0</xdr:rowOff>
    </xdr:to>
    <xdr:grpSp>
      <xdr:nvGrpSpPr>
        <xdr:cNvPr id="784" name="Cross_D51">
          <a:extLst>
            <a:ext uri="{FF2B5EF4-FFF2-40B4-BE49-F238E27FC236}">
              <a16:creationId xmlns:a16="http://schemas.microsoft.com/office/drawing/2014/main" id="{72A49D57-BACA-FE94-4C58-DFAEF473F963}"/>
            </a:ext>
          </a:extLst>
        </xdr:cNvPr>
        <xdr:cNvGrpSpPr/>
      </xdr:nvGrpSpPr>
      <xdr:grpSpPr>
        <a:xfrm>
          <a:off x="2240280" y="9662160"/>
          <a:ext cx="601980" cy="167640"/>
          <a:chOff x="2240280" y="9662160"/>
          <a:chExt cx="601980" cy="167640"/>
        </a:xfrm>
      </xdr:grpSpPr>
      <xdr:cxnSp macro="">
        <xdr:nvCxnSpPr>
          <xdr:cNvPr id="782" name="Gerader Verbinder 781">
            <a:extLst>
              <a:ext uri="{FF2B5EF4-FFF2-40B4-BE49-F238E27FC236}">
                <a16:creationId xmlns:a16="http://schemas.microsoft.com/office/drawing/2014/main" id="{D243FA4E-6E3E-F14D-7A3E-1A83B49D65BD}"/>
              </a:ext>
            </a:extLst>
          </xdr:cNvPr>
          <xdr:cNvCxnSpPr/>
        </xdr:nvCxnSpPr>
        <xdr:spPr>
          <a:xfrm>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83" name="Gerader Verbinder 782">
            <a:extLst>
              <a:ext uri="{FF2B5EF4-FFF2-40B4-BE49-F238E27FC236}">
                <a16:creationId xmlns:a16="http://schemas.microsoft.com/office/drawing/2014/main" id="{573E6BA0-B2C1-8D2A-BBB2-B5BF3C9E5E23}"/>
              </a:ext>
            </a:extLst>
          </xdr:cNvPr>
          <xdr:cNvCxnSpPr/>
        </xdr:nvCxnSpPr>
        <xdr:spPr>
          <a:xfrm flipH="1">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51</xdr:row>
      <xdr:rowOff>0</xdr:rowOff>
    </xdr:from>
    <xdr:to>
      <xdr:col>4</xdr:col>
      <xdr:colOff>0</xdr:colOff>
      <xdr:row>52</xdr:row>
      <xdr:rowOff>0</xdr:rowOff>
    </xdr:to>
    <xdr:grpSp>
      <xdr:nvGrpSpPr>
        <xdr:cNvPr id="787" name="Cross_D52">
          <a:extLst>
            <a:ext uri="{FF2B5EF4-FFF2-40B4-BE49-F238E27FC236}">
              <a16:creationId xmlns:a16="http://schemas.microsoft.com/office/drawing/2014/main" id="{95348437-B047-9B41-8307-5E49987C7152}"/>
            </a:ext>
          </a:extLst>
        </xdr:cNvPr>
        <xdr:cNvGrpSpPr/>
      </xdr:nvGrpSpPr>
      <xdr:grpSpPr>
        <a:xfrm>
          <a:off x="2240280" y="9829800"/>
          <a:ext cx="601980" cy="228600"/>
          <a:chOff x="2240280" y="9829800"/>
          <a:chExt cx="601980" cy="228600"/>
        </a:xfrm>
      </xdr:grpSpPr>
      <xdr:cxnSp macro="">
        <xdr:nvCxnSpPr>
          <xdr:cNvPr id="785" name="Gerader Verbinder 784">
            <a:extLst>
              <a:ext uri="{FF2B5EF4-FFF2-40B4-BE49-F238E27FC236}">
                <a16:creationId xmlns:a16="http://schemas.microsoft.com/office/drawing/2014/main" id="{FCB68C98-F5EA-0804-20E1-4F1A8EE3093E}"/>
              </a:ext>
            </a:extLst>
          </xdr:cNvPr>
          <xdr:cNvCxnSpPr/>
        </xdr:nvCxnSpPr>
        <xdr:spPr>
          <a:xfrm>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86" name="Gerader Verbinder 785">
            <a:extLst>
              <a:ext uri="{FF2B5EF4-FFF2-40B4-BE49-F238E27FC236}">
                <a16:creationId xmlns:a16="http://schemas.microsoft.com/office/drawing/2014/main" id="{E0D4E529-4E7C-73C3-FA68-CCA36D58EFD9}"/>
              </a:ext>
            </a:extLst>
          </xdr:cNvPr>
          <xdr:cNvCxnSpPr/>
        </xdr:nvCxnSpPr>
        <xdr:spPr>
          <a:xfrm flipH="1">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52</xdr:row>
      <xdr:rowOff>0</xdr:rowOff>
    </xdr:from>
    <xdr:to>
      <xdr:col>4</xdr:col>
      <xdr:colOff>0</xdr:colOff>
      <xdr:row>53</xdr:row>
      <xdr:rowOff>0</xdr:rowOff>
    </xdr:to>
    <xdr:grpSp>
      <xdr:nvGrpSpPr>
        <xdr:cNvPr id="790" name="Cross_D53">
          <a:extLst>
            <a:ext uri="{FF2B5EF4-FFF2-40B4-BE49-F238E27FC236}">
              <a16:creationId xmlns:a16="http://schemas.microsoft.com/office/drawing/2014/main" id="{8CC01A4E-7B51-AC71-B229-ECA71928B559}"/>
            </a:ext>
          </a:extLst>
        </xdr:cNvPr>
        <xdr:cNvGrpSpPr/>
      </xdr:nvGrpSpPr>
      <xdr:grpSpPr>
        <a:xfrm>
          <a:off x="2240280" y="10058400"/>
          <a:ext cx="601980" cy="167640"/>
          <a:chOff x="2240280" y="10058400"/>
          <a:chExt cx="601980" cy="167640"/>
        </a:xfrm>
      </xdr:grpSpPr>
      <xdr:cxnSp macro="">
        <xdr:nvCxnSpPr>
          <xdr:cNvPr id="788" name="Gerader Verbinder 787">
            <a:extLst>
              <a:ext uri="{FF2B5EF4-FFF2-40B4-BE49-F238E27FC236}">
                <a16:creationId xmlns:a16="http://schemas.microsoft.com/office/drawing/2014/main" id="{B095FDEE-8BE5-4FE7-D367-C70418CF3EA3}"/>
              </a:ext>
            </a:extLst>
          </xdr:cNvPr>
          <xdr:cNvCxnSpPr/>
        </xdr:nvCxnSpPr>
        <xdr:spPr>
          <a:xfrm>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89" name="Gerader Verbinder 788">
            <a:extLst>
              <a:ext uri="{FF2B5EF4-FFF2-40B4-BE49-F238E27FC236}">
                <a16:creationId xmlns:a16="http://schemas.microsoft.com/office/drawing/2014/main" id="{04177602-CBE6-6CDE-CC9B-E8C49F11CDCA}"/>
              </a:ext>
            </a:extLst>
          </xdr:cNvPr>
          <xdr:cNvCxnSpPr/>
        </xdr:nvCxnSpPr>
        <xdr:spPr>
          <a:xfrm flipH="1">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53</xdr:row>
      <xdr:rowOff>0</xdr:rowOff>
    </xdr:from>
    <xdr:to>
      <xdr:col>4</xdr:col>
      <xdr:colOff>0</xdr:colOff>
      <xdr:row>54</xdr:row>
      <xdr:rowOff>0</xdr:rowOff>
    </xdr:to>
    <xdr:grpSp>
      <xdr:nvGrpSpPr>
        <xdr:cNvPr id="793" name="Cross_D54">
          <a:extLst>
            <a:ext uri="{FF2B5EF4-FFF2-40B4-BE49-F238E27FC236}">
              <a16:creationId xmlns:a16="http://schemas.microsoft.com/office/drawing/2014/main" id="{255E996C-0F06-EFEF-2553-22CAC4B7E5B6}"/>
            </a:ext>
          </a:extLst>
        </xdr:cNvPr>
        <xdr:cNvGrpSpPr/>
      </xdr:nvGrpSpPr>
      <xdr:grpSpPr>
        <a:xfrm>
          <a:off x="2240280" y="10226040"/>
          <a:ext cx="601980" cy="167640"/>
          <a:chOff x="2240280" y="10226040"/>
          <a:chExt cx="601980" cy="167640"/>
        </a:xfrm>
      </xdr:grpSpPr>
      <xdr:cxnSp macro="">
        <xdr:nvCxnSpPr>
          <xdr:cNvPr id="791" name="Gerader Verbinder 790">
            <a:extLst>
              <a:ext uri="{FF2B5EF4-FFF2-40B4-BE49-F238E27FC236}">
                <a16:creationId xmlns:a16="http://schemas.microsoft.com/office/drawing/2014/main" id="{C3AD3E50-032B-A929-CAB0-4D1D00D32629}"/>
              </a:ext>
            </a:extLst>
          </xdr:cNvPr>
          <xdr:cNvCxnSpPr/>
        </xdr:nvCxnSpPr>
        <xdr:spPr>
          <a:xfrm>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92" name="Gerader Verbinder 791">
            <a:extLst>
              <a:ext uri="{FF2B5EF4-FFF2-40B4-BE49-F238E27FC236}">
                <a16:creationId xmlns:a16="http://schemas.microsoft.com/office/drawing/2014/main" id="{127A29FA-13F0-9AE0-277F-2B6CF1CCA4D0}"/>
              </a:ext>
            </a:extLst>
          </xdr:cNvPr>
          <xdr:cNvCxnSpPr/>
        </xdr:nvCxnSpPr>
        <xdr:spPr>
          <a:xfrm flipH="1">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57</xdr:row>
      <xdr:rowOff>0</xdr:rowOff>
    </xdr:from>
    <xdr:to>
      <xdr:col>4</xdr:col>
      <xdr:colOff>0</xdr:colOff>
      <xdr:row>58</xdr:row>
      <xdr:rowOff>0</xdr:rowOff>
    </xdr:to>
    <xdr:grpSp>
      <xdr:nvGrpSpPr>
        <xdr:cNvPr id="796" name="Cross_D58">
          <a:extLst>
            <a:ext uri="{FF2B5EF4-FFF2-40B4-BE49-F238E27FC236}">
              <a16:creationId xmlns:a16="http://schemas.microsoft.com/office/drawing/2014/main" id="{5710A8A4-BF02-FA05-F28C-9511946AD8E8}"/>
            </a:ext>
          </a:extLst>
        </xdr:cNvPr>
        <xdr:cNvGrpSpPr/>
      </xdr:nvGrpSpPr>
      <xdr:grpSpPr>
        <a:xfrm>
          <a:off x="2240280" y="10957560"/>
          <a:ext cx="601980" cy="228600"/>
          <a:chOff x="2240280" y="10957560"/>
          <a:chExt cx="601980" cy="228600"/>
        </a:xfrm>
      </xdr:grpSpPr>
      <xdr:cxnSp macro="">
        <xdr:nvCxnSpPr>
          <xdr:cNvPr id="794" name="Gerader Verbinder 793">
            <a:extLst>
              <a:ext uri="{FF2B5EF4-FFF2-40B4-BE49-F238E27FC236}">
                <a16:creationId xmlns:a16="http://schemas.microsoft.com/office/drawing/2014/main" id="{E0C34C27-76B6-EE26-8C99-C5718F7CF63B}"/>
              </a:ext>
            </a:extLst>
          </xdr:cNvPr>
          <xdr:cNvCxnSpPr/>
        </xdr:nvCxnSpPr>
        <xdr:spPr>
          <a:xfrm>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95" name="Gerader Verbinder 794">
            <a:extLst>
              <a:ext uri="{FF2B5EF4-FFF2-40B4-BE49-F238E27FC236}">
                <a16:creationId xmlns:a16="http://schemas.microsoft.com/office/drawing/2014/main" id="{80815F29-D748-2498-24C4-2FEB16A04C6C}"/>
              </a:ext>
            </a:extLst>
          </xdr:cNvPr>
          <xdr:cNvCxnSpPr/>
        </xdr:nvCxnSpPr>
        <xdr:spPr>
          <a:xfrm flipH="1">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58</xdr:row>
      <xdr:rowOff>0</xdr:rowOff>
    </xdr:from>
    <xdr:to>
      <xdr:col>4</xdr:col>
      <xdr:colOff>0</xdr:colOff>
      <xdr:row>59</xdr:row>
      <xdr:rowOff>0</xdr:rowOff>
    </xdr:to>
    <xdr:grpSp>
      <xdr:nvGrpSpPr>
        <xdr:cNvPr id="799" name="Cross_D59">
          <a:extLst>
            <a:ext uri="{FF2B5EF4-FFF2-40B4-BE49-F238E27FC236}">
              <a16:creationId xmlns:a16="http://schemas.microsoft.com/office/drawing/2014/main" id="{2105DEC2-26FA-CBB2-CCC9-2DE50AE327ED}"/>
            </a:ext>
          </a:extLst>
        </xdr:cNvPr>
        <xdr:cNvGrpSpPr/>
      </xdr:nvGrpSpPr>
      <xdr:grpSpPr>
        <a:xfrm>
          <a:off x="2240280" y="11186160"/>
          <a:ext cx="601980" cy="167640"/>
          <a:chOff x="2240280" y="11186160"/>
          <a:chExt cx="601980" cy="167640"/>
        </a:xfrm>
      </xdr:grpSpPr>
      <xdr:cxnSp macro="">
        <xdr:nvCxnSpPr>
          <xdr:cNvPr id="797" name="Gerader Verbinder 796">
            <a:extLst>
              <a:ext uri="{FF2B5EF4-FFF2-40B4-BE49-F238E27FC236}">
                <a16:creationId xmlns:a16="http://schemas.microsoft.com/office/drawing/2014/main" id="{A168796C-9463-71BB-C8DA-8FCD0E4B10BD}"/>
              </a:ext>
            </a:extLst>
          </xdr:cNvPr>
          <xdr:cNvCxnSpPr/>
        </xdr:nvCxnSpPr>
        <xdr:spPr>
          <a:xfrm>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98" name="Gerader Verbinder 797">
            <a:extLst>
              <a:ext uri="{FF2B5EF4-FFF2-40B4-BE49-F238E27FC236}">
                <a16:creationId xmlns:a16="http://schemas.microsoft.com/office/drawing/2014/main" id="{4336ABF8-6F1F-9B44-6F5C-EBDC52847F24}"/>
              </a:ext>
            </a:extLst>
          </xdr:cNvPr>
          <xdr:cNvCxnSpPr/>
        </xdr:nvCxnSpPr>
        <xdr:spPr>
          <a:xfrm flipH="1">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59</xdr:row>
      <xdr:rowOff>0</xdr:rowOff>
    </xdr:from>
    <xdr:to>
      <xdr:col>4</xdr:col>
      <xdr:colOff>0</xdr:colOff>
      <xdr:row>60</xdr:row>
      <xdr:rowOff>0</xdr:rowOff>
    </xdr:to>
    <xdr:grpSp>
      <xdr:nvGrpSpPr>
        <xdr:cNvPr id="802" name="Cross_D60">
          <a:extLst>
            <a:ext uri="{FF2B5EF4-FFF2-40B4-BE49-F238E27FC236}">
              <a16:creationId xmlns:a16="http://schemas.microsoft.com/office/drawing/2014/main" id="{057D78BE-1DB4-332F-AE09-3E83ABF84FA6}"/>
            </a:ext>
          </a:extLst>
        </xdr:cNvPr>
        <xdr:cNvGrpSpPr/>
      </xdr:nvGrpSpPr>
      <xdr:grpSpPr>
        <a:xfrm>
          <a:off x="2240280" y="11353800"/>
          <a:ext cx="601980" cy="167640"/>
          <a:chOff x="2240280" y="11353800"/>
          <a:chExt cx="601980" cy="167640"/>
        </a:xfrm>
      </xdr:grpSpPr>
      <xdr:cxnSp macro="">
        <xdr:nvCxnSpPr>
          <xdr:cNvPr id="800" name="Gerader Verbinder 799">
            <a:extLst>
              <a:ext uri="{FF2B5EF4-FFF2-40B4-BE49-F238E27FC236}">
                <a16:creationId xmlns:a16="http://schemas.microsoft.com/office/drawing/2014/main" id="{02233B08-F5CF-3749-8389-C33CEBB71948}"/>
              </a:ext>
            </a:extLst>
          </xdr:cNvPr>
          <xdr:cNvCxnSpPr/>
        </xdr:nvCxnSpPr>
        <xdr:spPr>
          <a:xfrm>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01" name="Gerader Verbinder 800">
            <a:extLst>
              <a:ext uri="{FF2B5EF4-FFF2-40B4-BE49-F238E27FC236}">
                <a16:creationId xmlns:a16="http://schemas.microsoft.com/office/drawing/2014/main" id="{13EFE9AB-6265-1350-5343-2602FF1B5426}"/>
              </a:ext>
            </a:extLst>
          </xdr:cNvPr>
          <xdr:cNvCxnSpPr/>
        </xdr:nvCxnSpPr>
        <xdr:spPr>
          <a:xfrm flipH="1">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60</xdr:row>
      <xdr:rowOff>0</xdr:rowOff>
    </xdr:from>
    <xdr:to>
      <xdr:col>4</xdr:col>
      <xdr:colOff>0</xdr:colOff>
      <xdr:row>61</xdr:row>
      <xdr:rowOff>0</xdr:rowOff>
    </xdr:to>
    <xdr:grpSp>
      <xdr:nvGrpSpPr>
        <xdr:cNvPr id="805" name="Cross_D61">
          <a:extLst>
            <a:ext uri="{FF2B5EF4-FFF2-40B4-BE49-F238E27FC236}">
              <a16:creationId xmlns:a16="http://schemas.microsoft.com/office/drawing/2014/main" id="{EE56777E-7D4E-69D5-C28F-A15765AB8975}"/>
            </a:ext>
          </a:extLst>
        </xdr:cNvPr>
        <xdr:cNvGrpSpPr/>
      </xdr:nvGrpSpPr>
      <xdr:grpSpPr>
        <a:xfrm>
          <a:off x="2240280" y="11521440"/>
          <a:ext cx="601980" cy="228600"/>
          <a:chOff x="2240280" y="11521440"/>
          <a:chExt cx="601980" cy="228600"/>
        </a:xfrm>
      </xdr:grpSpPr>
      <xdr:cxnSp macro="">
        <xdr:nvCxnSpPr>
          <xdr:cNvPr id="803" name="Gerader Verbinder 802">
            <a:extLst>
              <a:ext uri="{FF2B5EF4-FFF2-40B4-BE49-F238E27FC236}">
                <a16:creationId xmlns:a16="http://schemas.microsoft.com/office/drawing/2014/main" id="{8804EC28-2E25-3EBC-663D-341E106BFF62}"/>
              </a:ext>
            </a:extLst>
          </xdr:cNvPr>
          <xdr:cNvCxnSpPr/>
        </xdr:nvCxnSpPr>
        <xdr:spPr>
          <a:xfrm>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04" name="Gerader Verbinder 803">
            <a:extLst>
              <a:ext uri="{FF2B5EF4-FFF2-40B4-BE49-F238E27FC236}">
                <a16:creationId xmlns:a16="http://schemas.microsoft.com/office/drawing/2014/main" id="{BDE22894-C69E-9C82-76CF-942520F6E8E2}"/>
              </a:ext>
            </a:extLst>
          </xdr:cNvPr>
          <xdr:cNvCxnSpPr/>
        </xdr:nvCxnSpPr>
        <xdr:spPr>
          <a:xfrm flipH="1">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61</xdr:row>
      <xdr:rowOff>0</xdr:rowOff>
    </xdr:from>
    <xdr:to>
      <xdr:col>4</xdr:col>
      <xdr:colOff>0</xdr:colOff>
      <xdr:row>62</xdr:row>
      <xdr:rowOff>0</xdr:rowOff>
    </xdr:to>
    <xdr:grpSp>
      <xdr:nvGrpSpPr>
        <xdr:cNvPr id="808" name="Cross_D62">
          <a:extLst>
            <a:ext uri="{FF2B5EF4-FFF2-40B4-BE49-F238E27FC236}">
              <a16:creationId xmlns:a16="http://schemas.microsoft.com/office/drawing/2014/main" id="{2E375496-1375-1CCE-4E54-C1B4CD1A0E94}"/>
            </a:ext>
          </a:extLst>
        </xdr:cNvPr>
        <xdr:cNvGrpSpPr/>
      </xdr:nvGrpSpPr>
      <xdr:grpSpPr>
        <a:xfrm>
          <a:off x="2240280" y="11750040"/>
          <a:ext cx="601980" cy="167640"/>
          <a:chOff x="2240280" y="11750040"/>
          <a:chExt cx="601980" cy="167640"/>
        </a:xfrm>
      </xdr:grpSpPr>
      <xdr:cxnSp macro="">
        <xdr:nvCxnSpPr>
          <xdr:cNvPr id="806" name="Gerader Verbinder 805">
            <a:extLst>
              <a:ext uri="{FF2B5EF4-FFF2-40B4-BE49-F238E27FC236}">
                <a16:creationId xmlns:a16="http://schemas.microsoft.com/office/drawing/2014/main" id="{2482F313-5ACE-F681-D2C4-90ACB793E53B}"/>
              </a:ext>
            </a:extLst>
          </xdr:cNvPr>
          <xdr:cNvCxnSpPr/>
        </xdr:nvCxnSpPr>
        <xdr:spPr>
          <a:xfrm>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07" name="Gerader Verbinder 806">
            <a:extLst>
              <a:ext uri="{FF2B5EF4-FFF2-40B4-BE49-F238E27FC236}">
                <a16:creationId xmlns:a16="http://schemas.microsoft.com/office/drawing/2014/main" id="{CF4A87B6-7787-9652-A5BA-ED3C11732B1E}"/>
              </a:ext>
            </a:extLst>
          </xdr:cNvPr>
          <xdr:cNvCxnSpPr/>
        </xdr:nvCxnSpPr>
        <xdr:spPr>
          <a:xfrm flipH="1">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62</xdr:row>
      <xdr:rowOff>0</xdr:rowOff>
    </xdr:from>
    <xdr:to>
      <xdr:col>4</xdr:col>
      <xdr:colOff>0</xdr:colOff>
      <xdr:row>63</xdr:row>
      <xdr:rowOff>0</xdr:rowOff>
    </xdr:to>
    <xdr:grpSp>
      <xdr:nvGrpSpPr>
        <xdr:cNvPr id="811" name="Cross_D63">
          <a:extLst>
            <a:ext uri="{FF2B5EF4-FFF2-40B4-BE49-F238E27FC236}">
              <a16:creationId xmlns:a16="http://schemas.microsoft.com/office/drawing/2014/main" id="{3B399A76-AD70-0540-E3A2-94F2943E3D97}"/>
            </a:ext>
          </a:extLst>
        </xdr:cNvPr>
        <xdr:cNvGrpSpPr/>
      </xdr:nvGrpSpPr>
      <xdr:grpSpPr>
        <a:xfrm>
          <a:off x="2240280" y="11917680"/>
          <a:ext cx="601980" cy="167640"/>
          <a:chOff x="2240280" y="11917680"/>
          <a:chExt cx="601980" cy="167640"/>
        </a:xfrm>
      </xdr:grpSpPr>
      <xdr:cxnSp macro="">
        <xdr:nvCxnSpPr>
          <xdr:cNvPr id="809" name="Gerader Verbinder 808">
            <a:extLst>
              <a:ext uri="{FF2B5EF4-FFF2-40B4-BE49-F238E27FC236}">
                <a16:creationId xmlns:a16="http://schemas.microsoft.com/office/drawing/2014/main" id="{EC1C36DA-472F-EBD9-6DF8-BFA928FA4E3D}"/>
              </a:ext>
            </a:extLst>
          </xdr:cNvPr>
          <xdr:cNvCxnSpPr/>
        </xdr:nvCxnSpPr>
        <xdr:spPr>
          <a:xfrm>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10" name="Gerader Verbinder 809">
            <a:extLst>
              <a:ext uri="{FF2B5EF4-FFF2-40B4-BE49-F238E27FC236}">
                <a16:creationId xmlns:a16="http://schemas.microsoft.com/office/drawing/2014/main" id="{E7F3B72B-A984-7EB3-B476-64590E9FF563}"/>
              </a:ext>
            </a:extLst>
          </xdr:cNvPr>
          <xdr:cNvCxnSpPr/>
        </xdr:nvCxnSpPr>
        <xdr:spPr>
          <a:xfrm flipH="1">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9</xdr:row>
      <xdr:rowOff>0</xdr:rowOff>
    </xdr:from>
    <xdr:to>
      <xdr:col>5</xdr:col>
      <xdr:colOff>0</xdr:colOff>
      <xdr:row>10</xdr:row>
      <xdr:rowOff>0</xdr:rowOff>
    </xdr:to>
    <xdr:grpSp>
      <xdr:nvGrpSpPr>
        <xdr:cNvPr id="814" name="Cross_E10">
          <a:extLst>
            <a:ext uri="{FF2B5EF4-FFF2-40B4-BE49-F238E27FC236}">
              <a16:creationId xmlns:a16="http://schemas.microsoft.com/office/drawing/2014/main" id="{C1C5ABB2-CD62-9927-BE11-6E273196E09B}"/>
            </a:ext>
          </a:extLst>
        </xdr:cNvPr>
        <xdr:cNvGrpSpPr/>
      </xdr:nvGrpSpPr>
      <xdr:grpSpPr>
        <a:xfrm>
          <a:off x="2842260" y="1935480"/>
          <a:ext cx="601980" cy="228600"/>
          <a:chOff x="2842260" y="1935480"/>
          <a:chExt cx="601980" cy="228600"/>
        </a:xfrm>
      </xdr:grpSpPr>
      <xdr:cxnSp macro="">
        <xdr:nvCxnSpPr>
          <xdr:cNvPr id="812" name="Gerader Verbinder 811">
            <a:extLst>
              <a:ext uri="{FF2B5EF4-FFF2-40B4-BE49-F238E27FC236}">
                <a16:creationId xmlns:a16="http://schemas.microsoft.com/office/drawing/2014/main" id="{BBC30DA9-D28F-C620-6AF4-B19BE3A29688}"/>
              </a:ext>
            </a:extLst>
          </xdr:cNvPr>
          <xdr:cNvCxnSpPr/>
        </xdr:nvCxnSpPr>
        <xdr:spPr>
          <a:xfrm>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13" name="Gerader Verbinder 812">
            <a:extLst>
              <a:ext uri="{FF2B5EF4-FFF2-40B4-BE49-F238E27FC236}">
                <a16:creationId xmlns:a16="http://schemas.microsoft.com/office/drawing/2014/main" id="{38036608-524A-0DD1-B1DA-6FC164BA4674}"/>
              </a:ext>
            </a:extLst>
          </xdr:cNvPr>
          <xdr:cNvCxnSpPr/>
        </xdr:nvCxnSpPr>
        <xdr:spPr>
          <a:xfrm flipH="1">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817" name="Cross_E11">
          <a:extLst>
            <a:ext uri="{FF2B5EF4-FFF2-40B4-BE49-F238E27FC236}">
              <a16:creationId xmlns:a16="http://schemas.microsoft.com/office/drawing/2014/main" id="{77C24C8F-C0CF-48D2-73BB-CDFD2816A7A1}"/>
            </a:ext>
          </a:extLst>
        </xdr:cNvPr>
        <xdr:cNvGrpSpPr/>
      </xdr:nvGrpSpPr>
      <xdr:grpSpPr>
        <a:xfrm>
          <a:off x="2842260" y="2164080"/>
          <a:ext cx="601980" cy="167640"/>
          <a:chOff x="2842260" y="2164080"/>
          <a:chExt cx="601980" cy="167640"/>
        </a:xfrm>
      </xdr:grpSpPr>
      <xdr:cxnSp macro="">
        <xdr:nvCxnSpPr>
          <xdr:cNvPr id="815" name="Gerader Verbinder 814">
            <a:extLst>
              <a:ext uri="{FF2B5EF4-FFF2-40B4-BE49-F238E27FC236}">
                <a16:creationId xmlns:a16="http://schemas.microsoft.com/office/drawing/2014/main" id="{B5AD95D4-E0F6-DF15-12AA-CF9890136255}"/>
              </a:ext>
            </a:extLst>
          </xdr:cNvPr>
          <xdr:cNvCxnSpPr/>
        </xdr:nvCxnSpPr>
        <xdr:spPr>
          <a:xfrm>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16" name="Gerader Verbinder 815">
            <a:extLst>
              <a:ext uri="{FF2B5EF4-FFF2-40B4-BE49-F238E27FC236}">
                <a16:creationId xmlns:a16="http://schemas.microsoft.com/office/drawing/2014/main" id="{7B4AFE23-6A6C-475C-E4C0-5884F28CC23A}"/>
              </a:ext>
            </a:extLst>
          </xdr:cNvPr>
          <xdr:cNvCxnSpPr/>
        </xdr:nvCxnSpPr>
        <xdr:spPr>
          <a:xfrm flipH="1">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820" name="Cross_E12">
          <a:extLst>
            <a:ext uri="{FF2B5EF4-FFF2-40B4-BE49-F238E27FC236}">
              <a16:creationId xmlns:a16="http://schemas.microsoft.com/office/drawing/2014/main" id="{2BB8A7B1-778F-3C06-A19C-0190968D625D}"/>
            </a:ext>
          </a:extLst>
        </xdr:cNvPr>
        <xdr:cNvGrpSpPr/>
      </xdr:nvGrpSpPr>
      <xdr:grpSpPr>
        <a:xfrm>
          <a:off x="2842260" y="2331720"/>
          <a:ext cx="601980" cy="167640"/>
          <a:chOff x="2842260" y="2331720"/>
          <a:chExt cx="601980" cy="167640"/>
        </a:xfrm>
      </xdr:grpSpPr>
      <xdr:cxnSp macro="">
        <xdr:nvCxnSpPr>
          <xdr:cNvPr id="818" name="Gerader Verbinder 817">
            <a:extLst>
              <a:ext uri="{FF2B5EF4-FFF2-40B4-BE49-F238E27FC236}">
                <a16:creationId xmlns:a16="http://schemas.microsoft.com/office/drawing/2014/main" id="{9C7F8EF6-A5E7-DEF3-83FC-C9A6AF9CA36B}"/>
              </a:ext>
            </a:extLst>
          </xdr:cNvPr>
          <xdr:cNvCxnSpPr/>
        </xdr:nvCxnSpPr>
        <xdr:spPr>
          <a:xfrm>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19" name="Gerader Verbinder 818">
            <a:extLst>
              <a:ext uri="{FF2B5EF4-FFF2-40B4-BE49-F238E27FC236}">
                <a16:creationId xmlns:a16="http://schemas.microsoft.com/office/drawing/2014/main" id="{DAB58E4B-88D6-66C9-D07E-5EEEB0CBFBF1}"/>
              </a:ext>
            </a:extLst>
          </xdr:cNvPr>
          <xdr:cNvCxnSpPr/>
        </xdr:nvCxnSpPr>
        <xdr:spPr>
          <a:xfrm flipH="1">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823" name="Cross_E13">
          <a:extLst>
            <a:ext uri="{FF2B5EF4-FFF2-40B4-BE49-F238E27FC236}">
              <a16:creationId xmlns:a16="http://schemas.microsoft.com/office/drawing/2014/main" id="{2E7F9A7C-5FCD-4092-45DB-089F478C8A57}"/>
            </a:ext>
          </a:extLst>
        </xdr:cNvPr>
        <xdr:cNvGrpSpPr/>
      </xdr:nvGrpSpPr>
      <xdr:grpSpPr>
        <a:xfrm>
          <a:off x="2842260" y="2499360"/>
          <a:ext cx="601980" cy="228600"/>
          <a:chOff x="2842260" y="2499360"/>
          <a:chExt cx="601980" cy="228600"/>
        </a:xfrm>
      </xdr:grpSpPr>
      <xdr:cxnSp macro="">
        <xdr:nvCxnSpPr>
          <xdr:cNvPr id="821" name="Gerader Verbinder 820">
            <a:extLst>
              <a:ext uri="{FF2B5EF4-FFF2-40B4-BE49-F238E27FC236}">
                <a16:creationId xmlns:a16="http://schemas.microsoft.com/office/drawing/2014/main" id="{1F541396-808D-935D-A271-54B7BB61EFB4}"/>
              </a:ext>
            </a:extLst>
          </xdr:cNvPr>
          <xdr:cNvCxnSpPr/>
        </xdr:nvCxnSpPr>
        <xdr:spPr>
          <a:xfrm>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22" name="Gerader Verbinder 821">
            <a:extLst>
              <a:ext uri="{FF2B5EF4-FFF2-40B4-BE49-F238E27FC236}">
                <a16:creationId xmlns:a16="http://schemas.microsoft.com/office/drawing/2014/main" id="{6D115D85-3297-537E-8CEC-FC6AEE180CE6}"/>
              </a:ext>
            </a:extLst>
          </xdr:cNvPr>
          <xdr:cNvCxnSpPr/>
        </xdr:nvCxnSpPr>
        <xdr:spPr>
          <a:xfrm flipH="1">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826" name="Cross_E14">
          <a:extLst>
            <a:ext uri="{FF2B5EF4-FFF2-40B4-BE49-F238E27FC236}">
              <a16:creationId xmlns:a16="http://schemas.microsoft.com/office/drawing/2014/main" id="{82CC23A8-455A-92B8-73CF-F58C9D44259A}"/>
            </a:ext>
          </a:extLst>
        </xdr:cNvPr>
        <xdr:cNvGrpSpPr/>
      </xdr:nvGrpSpPr>
      <xdr:grpSpPr>
        <a:xfrm>
          <a:off x="2842260" y="2727960"/>
          <a:ext cx="601980" cy="167640"/>
          <a:chOff x="2842260" y="2727960"/>
          <a:chExt cx="601980" cy="167640"/>
        </a:xfrm>
      </xdr:grpSpPr>
      <xdr:cxnSp macro="">
        <xdr:nvCxnSpPr>
          <xdr:cNvPr id="824" name="Gerader Verbinder 823">
            <a:extLst>
              <a:ext uri="{FF2B5EF4-FFF2-40B4-BE49-F238E27FC236}">
                <a16:creationId xmlns:a16="http://schemas.microsoft.com/office/drawing/2014/main" id="{888F7839-1B81-BAA2-979C-F6D8C20BA0F4}"/>
              </a:ext>
            </a:extLst>
          </xdr:cNvPr>
          <xdr:cNvCxnSpPr/>
        </xdr:nvCxnSpPr>
        <xdr:spPr>
          <a:xfrm>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25" name="Gerader Verbinder 824">
            <a:extLst>
              <a:ext uri="{FF2B5EF4-FFF2-40B4-BE49-F238E27FC236}">
                <a16:creationId xmlns:a16="http://schemas.microsoft.com/office/drawing/2014/main" id="{61A62A1D-30C8-25F5-F37C-9801969584BF}"/>
              </a:ext>
            </a:extLst>
          </xdr:cNvPr>
          <xdr:cNvCxnSpPr/>
        </xdr:nvCxnSpPr>
        <xdr:spPr>
          <a:xfrm flipH="1">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829" name="Cross_E15">
          <a:extLst>
            <a:ext uri="{FF2B5EF4-FFF2-40B4-BE49-F238E27FC236}">
              <a16:creationId xmlns:a16="http://schemas.microsoft.com/office/drawing/2014/main" id="{29E16A90-7DDD-30E5-2D43-D0DDAECDFDFB}"/>
            </a:ext>
          </a:extLst>
        </xdr:cNvPr>
        <xdr:cNvGrpSpPr/>
      </xdr:nvGrpSpPr>
      <xdr:grpSpPr>
        <a:xfrm>
          <a:off x="2842260" y="2895600"/>
          <a:ext cx="601980" cy="167640"/>
          <a:chOff x="2842260" y="2895600"/>
          <a:chExt cx="601980" cy="167640"/>
        </a:xfrm>
      </xdr:grpSpPr>
      <xdr:cxnSp macro="">
        <xdr:nvCxnSpPr>
          <xdr:cNvPr id="827" name="Gerader Verbinder 826">
            <a:extLst>
              <a:ext uri="{FF2B5EF4-FFF2-40B4-BE49-F238E27FC236}">
                <a16:creationId xmlns:a16="http://schemas.microsoft.com/office/drawing/2014/main" id="{5AFCDB01-4E3A-66E1-6D97-87411EA06792}"/>
              </a:ext>
            </a:extLst>
          </xdr:cNvPr>
          <xdr:cNvCxnSpPr/>
        </xdr:nvCxnSpPr>
        <xdr:spPr>
          <a:xfrm>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28" name="Gerader Verbinder 827">
            <a:extLst>
              <a:ext uri="{FF2B5EF4-FFF2-40B4-BE49-F238E27FC236}">
                <a16:creationId xmlns:a16="http://schemas.microsoft.com/office/drawing/2014/main" id="{93892407-1D99-DDA3-C0C8-476F4640E7DA}"/>
              </a:ext>
            </a:extLst>
          </xdr:cNvPr>
          <xdr:cNvCxnSpPr/>
        </xdr:nvCxnSpPr>
        <xdr:spPr>
          <a:xfrm flipH="1">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832" name="Cross_E19">
          <a:extLst>
            <a:ext uri="{FF2B5EF4-FFF2-40B4-BE49-F238E27FC236}">
              <a16:creationId xmlns:a16="http://schemas.microsoft.com/office/drawing/2014/main" id="{C9FF0C9D-6119-683A-FA79-E2A3AD830AAB}"/>
            </a:ext>
          </a:extLst>
        </xdr:cNvPr>
        <xdr:cNvGrpSpPr/>
      </xdr:nvGrpSpPr>
      <xdr:grpSpPr>
        <a:xfrm>
          <a:off x="2842260" y="3627120"/>
          <a:ext cx="601980" cy="228600"/>
          <a:chOff x="2842260" y="3627120"/>
          <a:chExt cx="601980" cy="228600"/>
        </a:xfrm>
      </xdr:grpSpPr>
      <xdr:cxnSp macro="">
        <xdr:nvCxnSpPr>
          <xdr:cNvPr id="830" name="Gerader Verbinder 829">
            <a:extLst>
              <a:ext uri="{FF2B5EF4-FFF2-40B4-BE49-F238E27FC236}">
                <a16:creationId xmlns:a16="http://schemas.microsoft.com/office/drawing/2014/main" id="{F44AC10A-C8BB-9707-E3F1-03DF74FEAD34}"/>
              </a:ext>
            </a:extLst>
          </xdr:cNvPr>
          <xdr:cNvCxnSpPr/>
        </xdr:nvCxnSpPr>
        <xdr:spPr>
          <a:xfrm>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31" name="Gerader Verbinder 830">
            <a:extLst>
              <a:ext uri="{FF2B5EF4-FFF2-40B4-BE49-F238E27FC236}">
                <a16:creationId xmlns:a16="http://schemas.microsoft.com/office/drawing/2014/main" id="{FD44B01E-956F-67C9-CAE1-C75C2CC3629B}"/>
              </a:ext>
            </a:extLst>
          </xdr:cNvPr>
          <xdr:cNvCxnSpPr/>
        </xdr:nvCxnSpPr>
        <xdr:spPr>
          <a:xfrm flipH="1">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835" name="Cross_E20">
          <a:extLst>
            <a:ext uri="{FF2B5EF4-FFF2-40B4-BE49-F238E27FC236}">
              <a16:creationId xmlns:a16="http://schemas.microsoft.com/office/drawing/2014/main" id="{35D3A931-9216-A80C-8CF1-82F7714A55E9}"/>
            </a:ext>
          </a:extLst>
        </xdr:cNvPr>
        <xdr:cNvGrpSpPr/>
      </xdr:nvGrpSpPr>
      <xdr:grpSpPr>
        <a:xfrm>
          <a:off x="2842260" y="3855720"/>
          <a:ext cx="601980" cy="167640"/>
          <a:chOff x="2842260" y="3855720"/>
          <a:chExt cx="601980" cy="167640"/>
        </a:xfrm>
      </xdr:grpSpPr>
      <xdr:cxnSp macro="">
        <xdr:nvCxnSpPr>
          <xdr:cNvPr id="833" name="Gerader Verbinder 832">
            <a:extLst>
              <a:ext uri="{FF2B5EF4-FFF2-40B4-BE49-F238E27FC236}">
                <a16:creationId xmlns:a16="http://schemas.microsoft.com/office/drawing/2014/main" id="{C3B867A8-6494-B61D-96B6-29B9AC2F59FC}"/>
              </a:ext>
            </a:extLst>
          </xdr:cNvPr>
          <xdr:cNvCxnSpPr/>
        </xdr:nvCxnSpPr>
        <xdr:spPr>
          <a:xfrm>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34" name="Gerader Verbinder 833">
            <a:extLst>
              <a:ext uri="{FF2B5EF4-FFF2-40B4-BE49-F238E27FC236}">
                <a16:creationId xmlns:a16="http://schemas.microsoft.com/office/drawing/2014/main" id="{9FEB9234-573A-A36D-83D3-04C134852366}"/>
              </a:ext>
            </a:extLst>
          </xdr:cNvPr>
          <xdr:cNvCxnSpPr/>
        </xdr:nvCxnSpPr>
        <xdr:spPr>
          <a:xfrm flipH="1">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838" name="Cross_E21">
          <a:extLst>
            <a:ext uri="{FF2B5EF4-FFF2-40B4-BE49-F238E27FC236}">
              <a16:creationId xmlns:a16="http://schemas.microsoft.com/office/drawing/2014/main" id="{AFDA666B-4598-CAB1-71FD-9226D594F03D}"/>
            </a:ext>
          </a:extLst>
        </xdr:cNvPr>
        <xdr:cNvGrpSpPr/>
      </xdr:nvGrpSpPr>
      <xdr:grpSpPr>
        <a:xfrm>
          <a:off x="2842260" y="4023360"/>
          <a:ext cx="601980" cy="167640"/>
          <a:chOff x="2842260" y="4023360"/>
          <a:chExt cx="601980" cy="167640"/>
        </a:xfrm>
      </xdr:grpSpPr>
      <xdr:cxnSp macro="">
        <xdr:nvCxnSpPr>
          <xdr:cNvPr id="836" name="Gerader Verbinder 835">
            <a:extLst>
              <a:ext uri="{FF2B5EF4-FFF2-40B4-BE49-F238E27FC236}">
                <a16:creationId xmlns:a16="http://schemas.microsoft.com/office/drawing/2014/main" id="{5EE843F4-C843-0626-84B1-9DD7CAAC7BD9}"/>
              </a:ext>
            </a:extLst>
          </xdr:cNvPr>
          <xdr:cNvCxnSpPr/>
        </xdr:nvCxnSpPr>
        <xdr:spPr>
          <a:xfrm>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37" name="Gerader Verbinder 836">
            <a:extLst>
              <a:ext uri="{FF2B5EF4-FFF2-40B4-BE49-F238E27FC236}">
                <a16:creationId xmlns:a16="http://schemas.microsoft.com/office/drawing/2014/main" id="{D146AFAE-4F34-04EF-A78E-C1776D88676D}"/>
              </a:ext>
            </a:extLst>
          </xdr:cNvPr>
          <xdr:cNvCxnSpPr/>
        </xdr:nvCxnSpPr>
        <xdr:spPr>
          <a:xfrm flipH="1">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841" name="Cross_E28">
          <a:extLst>
            <a:ext uri="{FF2B5EF4-FFF2-40B4-BE49-F238E27FC236}">
              <a16:creationId xmlns:a16="http://schemas.microsoft.com/office/drawing/2014/main" id="{3D2AF6AA-4BCB-A7E1-2D68-93722B7EEE96}"/>
            </a:ext>
          </a:extLst>
        </xdr:cNvPr>
        <xdr:cNvGrpSpPr/>
      </xdr:nvGrpSpPr>
      <xdr:grpSpPr>
        <a:xfrm>
          <a:off x="2842260" y="5318760"/>
          <a:ext cx="601980" cy="228600"/>
          <a:chOff x="2842260" y="5318760"/>
          <a:chExt cx="601980" cy="228600"/>
        </a:xfrm>
      </xdr:grpSpPr>
      <xdr:cxnSp macro="">
        <xdr:nvCxnSpPr>
          <xdr:cNvPr id="839" name="Gerader Verbinder 838">
            <a:extLst>
              <a:ext uri="{FF2B5EF4-FFF2-40B4-BE49-F238E27FC236}">
                <a16:creationId xmlns:a16="http://schemas.microsoft.com/office/drawing/2014/main" id="{7B8F6ADD-D4C8-17DE-88A0-2DDC35186742}"/>
              </a:ext>
            </a:extLst>
          </xdr:cNvPr>
          <xdr:cNvCxnSpPr/>
        </xdr:nvCxnSpPr>
        <xdr:spPr>
          <a:xfrm>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40" name="Gerader Verbinder 839">
            <a:extLst>
              <a:ext uri="{FF2B5EF4-FFF2-40B4-BE49-F238E27FC236}">
                <a16:creationId xmlns:a16="http://schemas.microsoft.com/office/drawing/2014/main" id="{35805C90-CD66-10E4-CE25-8CA4B5D43289}"/>
              </a:ext>
            </a:extLst>
          </xdr:cNvPr>
          <xdr:cNvCxnSpPr/>
        </xdr:nvCxnSpPr>
        <xdr:spPr>
          <a:xfrm flipH="1">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844" name="Cross_E29">
          <a:extLst>
            <a:ext uri="{FF2B5EF4-FFF2-40B4-BE49-F238E27FC236}">
              <a16:creationId xmlns:a16="http://schemas.microsoft.com/office/drawing/2014/main" id="{423738BF-AF6E-8C9D-868A-E019F9123A4C}"/>
            </a:ext>
          </a:extLst>
        </xdr:cNvPr>
        <xdr:cNvGrpSpPr/>
      </xdr:nvGrpSpPr>
      <xdr:grpSpPr>
        <a:xfrm>
          <a:off x="2842260" y="5547360"/>
          <a:ext cx="601980" cy="167640"/>
          <a:chOff x="2842260" y="5547360"/>
          <a:chExt cx="601980" cy="167640"/>
        </a:xfrm>
      </xdr:grpSpPr>
      <xdr:cxnSp macro="">
        <xdr:nvCxnSpPr>
          <xdr:cNvPr id="842" name="Gerader Verbinder 841">
            <a:extLst>
              <a:ext uri="{FF2B5EF4-FFF2-40B4-BE49-F238E27FC236}">
                <a16:creationId xmlns:a16="http://schemas.microsoft.com/office/drawing/2014/main" id="{12E3FBD2-D915-20DB-E8CD-A4EB9DAD2E07}"/>
              </a:ext>
            </a:extLst>
          </xdr:cNvPr>
          <xdr:cNvCxnSpPr/>
        </xdr:nvCxnSpPr>
        <xdr:spPr>
          <a:xfrm>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43" name="Gerader Verbinder 842">
            <a:extLst>
              <a:ext uri="{FF2B5EF4-FFF2-40B4-BE49-F238E27FC236}">
                <a16:creationId xmlns:a16="http://schemas.microsoft.com/office/drawing/2014/main" id="{4F7FF6C6-8BB9-2EA7-1542-C0FC78961BD1}"/>
              </a:ext>
            </a:extLst>
          </xdr:cNvPr>
          <xdr:cNvCxnSpPr/>
        </xdr:nvCxnSpPr>
        <xdr:spPr>
          <a:xfrm flipH="1">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29</xdr:row>
      <xdr:rowOff>0</xdr:rowOff>
    </xdr:from>
    <xdr:to>
      <xdr:col>5</xdr:col>
      <xdr:colOff>0</xdr:colOff>
      <xdr:row>30</xdr:row>
      <xdr:rowOff>0</xdr:rowOff>
    </xdr:to>
    <xdr:grpSp>
      <xdr:nvGrpSpPr>
        <xdr:cNvPr id="847" name="Cross_E30">
          <a:extLst>
            <a:ext uri="{FF2B5EF4-FFF2-40B4-BE49-F238E27FC236}">
              <a16:creationId xmlns:a16="http://schemas.microsoft.com/office/drawing/2014/main" id="{9CB0162B-7BF0-1C71-29E7-30B4E59F3201}"/>
            </a:ext>
          </a:extLst>
        </xdr:cNvPr>
        <xdr:cNvGrpSpPr/>
      </xdr:nvGrpSpPr>
      <xdr:grpSpPr>
        <a:xfrm>
          <a:off x="2842260" y="5715000"/>
          <a:ext cx="601980" cy="167640"/>
          <a:chOff x="2842260" y="5715000"/>
          <a:chExt cx="601980" cy="167640"/>
        </a:xfrm>
      </xdr:grpSpPr>
      <xdr:cxnSp macro="">
        <xdr:nvCxnSpPr>
          <xdr:cNvPr id="845" name="Gerader Verbinder 844">
            <a:extLst>
              <a:ext uri="{FF2B5EF4-FFF2-40B4-BE49-F238E27FC236}">
                <a16:creationId xmlns:a16="http://schemas.microsoft.com/office/drawing/2014/main" id="{B997AF39-594F-1E31-19CB-731A4E53B5F9}"/>
              </a:ext>
            </a:extLst>
          </xdr:cNvPr>
          <xdr:cNvCxnSpPr/>
        </xdr:nvCxnSpPr>
        <xdr:spPr>
          <a:xfrm>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46" name="Gerader Verbinder 845">
            <a:extLst>
              <a:ext uri="{FF2B5EF4-FFF2-40B4-BE49-F238E27FC236}">
                <a16:creationId xmlns:a16="http://schemas.microsoft.com/office/drawing/2014/main" id="{DA9A8710-3A51-3621-BCF3-4EB873C0CF89}"/>
              </a:ext>
            </a:extLst>
          </xdr:cNvPr>
          <xdr:cNvCxnSpPr/>
        </xdr:nvCxnSpPr>
        <xdr:spPr>
          <a:xfrm flipH="1">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36</xdr:row>
      <xdr:rowOff>0</xdr:rowOff>
    </xdr:from>
    <xdr:to>
      <xdr:col>5</xdr:col>
      <xdr:colOff>0</xdr:colOff>
      <xdr:row>37</xdr:row>
      <xdr:rowOff>0</xdr:rowOff>
    </xdr:to>
    <xdr:grpSp>
      <xdr:nvGrpSpPr>
        <xdr:cNvPr id="850" name="Cross_E37">
          <a:extLst>
            <a:ext uri="{FF2B5EF4-FFF2-40B4-BE49-F238E27FC236}">
              <a16:creationId xmlns:a16="http://schemas.microsoft.com/office/drawing/2014/main" id="{DDB18925-8224-CDAA-93B2-4F92D4E89720}"/>
            </a:ext>
          </a:extLst>
        </xdr:cNvPr>
        <xdr:cNvGrpSpPr/>
      </xdr:nvGrpSpPr>
      <xdr:grpSpPr>
        <a:xfrm>
          <a:off x="2842260" y="7010400"/>
          <a:ext cx="601980" cy="228600"/>
          <a:chOff x="2842260" y="7010400"/>
          <a:chExt cx="601980" cy="228600"/>
        </a:xfrm>
      </xdr:grpSpPr>
      <xdr:cxnSp macro="">
        <xdr:nvCxnSpPr>
          <xdr:cNvPr id="848" name="Gerader Verbinder 847">
            <a:extLst>
              <a:ext uri="{FF2B5EF4-FFF2-40B4-BE49-F238E27FC236}">
                <a16:creationId xmlns:a16="http://schemas.microsoft.com/office/drawing/2014/main" id="{5360A1EC-7476-EDD9-6A69-FFF232800335}"/>
              </a:ext>
            </a:extLst>
          </xdr:cNvPr>
          <xdr:cNvCxnSpPr/>
        </xdr:nvCxnSpPr>
        <xdr:spPr>
          <a:xfrm>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49" name="Gerader Verbinder 848">
            <a:extLst>
              <a:ext uri="{FF2B5EF4-FFF2-40B4-BE49-F238E27FC236}">
                <a16:creationId xmlns:a16="http://schemas.microsoft.com/office/drawing/2014/main" id="{B268AE73-C086-8DBA-4C56-43CBC81B4784}"/>
              </a:ext>
            </a:extLst>
          </xdr:cNvPr>
          <xdr:cNvCxnSpPr/>
        </xdr:nvCxnSpPr>
        <xdr:spPr>
          <a:xfrm flipH="1">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37</xdr:row>
      <xdr:rowOff>0</xdr:rowOff>
    </xdr:from>
    <xdr:to>
      <xdr:col>5</xdr:col>
      <xdr:colOff>0</xdr:colOff>
      <xdr:row>38</xdr:row>
      <xdr:rowOff>0</xdr:rowOff>
    </xdr:to>
    <xdr:grpSp>
      <xdr:nvGrpSpPr>
        <xdr:cNvPr id="853" name="Cross_E38">
          <a:extLst>
            <a:ext uri="{FF2B5EF4-FFF2-40B4-BE49-F238E27FC236}">
              <a16:creationId xmlns:a16="http://schemas.microsoft.com/office/drawing/2014/main" id="{DC52944E-8235-0482-35B0-80D39D028C5A}"/>
            </a:ext>
          </a:extLst>
        </xdr:cNvPr>
        <xdr:cNvGrpSpPr/>
      </xdr:nvGrpSpPr>
      <xdr:grpSpPr>
        <a:xfrm>
          <a:off x="2842260" y="7239000"/>
          <a:ext cx="601980" cy="167640"/>
          <a:chOff x="2842260" y="7239000"/>
          <a:chExt cx="601980" cy="167640"/>
        </a:xfrm>
      </xdr:grpSpPr>
      <xdr:cxnSp macro="">
        <xdr:nvCxnSpPr>
          <xdr:cNvPr id="851" name="Gerader Verbinder 850">
            <a:extLst>
              <a:ext uri="{FF2B5EF4-FFF2-40B4-BE49-F238E27FC236}">
                <a16:creationId xmlns:a16="http://schemas.microsoft.com/office/drawing/2014/main" id="{3E2B4061-C40E-1A7C-FF61-3A8E43033F36}"/>
              </a:ext>
            </a:extLst>
          </xdr:cNvPr>
          <xdr:cNvCxnSpPr/>
        </xdr:nvCxnSpPr>
        <xdr:spPr>
          <a:xfrm>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52" name="Gerader Verbinder 851">
            <a:extLst>
              <a:ext uri="{FF2B5EF4-FFF2-40B4-BE49-F238E27FC236}">
                <a16:creationId xmlns:a16="http://schemas.microsoft.com/office/drawing/2014/main" id="{39142704-0951-A58E-F50B-35AB36854DA7}"/>
              </a:ext>
            </a:extLst>
          </xdr:cNvPr>
          <xdr:cNvCxnSpPr/>
        </xdr:nvCxnSpPr>
        <xdr:spPr>
          <a:xfrm flipH="1">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38</xdr:row>
      <xdr:rowOff>0</xdr:rowOff>
    </xdr:from>
    <xdr:to>
      <xdr:col>5</xdr:col>
      <xdr:colOff>0</xdr:colOff>
      <xdr:row>39</xdr:row>
      <xdr:rowOff>0</xdr:rowOff>
    </xdr:to>
    <xdr:grpSp>
      <xdr:nvGrpSpPr>
        <xdr:cNvPr id="856" name="Cross_E39">
          <a:extLst>
            <a:ext uri="{FF2B5EF4-FFF2-40B4-BE49-F238E27FC236}">
              <a16:creationId xmlns:a16="http://schemas.microsoft.com/office/drawing/2014/main" id="{DBEE00C3-D8AB-85B5-315F-3625AE873CDD}"/>
            </a:ext>
          </a:extLst>
        </xdr:cNvPr>
        <xdr:cNvGrpSpPr/>
      </xdr:nvGrpSpPr>
      <xdr:grpSpPr>
        <a:xfrm>
          <a:off x="2842260" y="7406640"/>
          <a:ext cx="601980" cy="167640"/>
          <a:chOff x="2842260" y="7406640"/>
          <a:chExt cx="601980" cy="167640"/>
        </a:xfrm>
      </xdr:grpSpPr>
      <xdr:cxnSp macro="">
        <xdr:nvCxnSpPr>
          <xdr:cNvPr id="854" name="Gerader Verbinder 853">
            <a:extLst>
              <a:ext uri="{FF2B5EF4-FFF2-40B4-BE49-F238E27FC236}">
                <a16:creationId xmlns:a16="http://schemas.microsoft.com/office/drawing/2014/main" id="{71A04A6E-48F3-5C75-DC6D-7F37962E4FDE}"/>
              </a:ext>
            </a:extLst>
          </xdr:cNvPr>
          <xdr:cNvCxnSpPr/>
        </xdr:nvCxnSpPr>
        <xdr:spPr>
          <a:xfrm>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55" name="Gerader Verbinder 854">
            <a:extLst>
              <a:ext uri="{FF2B5EF4-FFF2-40B4-BE49-F238E27FC236}">
                <a16:creationId xmlns:a16="http://schemas.microsoft.com/office/drawing/2014/main" id="{5D6EA5F0-8810-B3DE-CA2C-C4ABC150B20A}"/>
              </a:ext>
            </a:extLst>
          </xdr:cNvPr>
          <xdr:cNvCxnSpPr/>
        </xdr:nvCxnSpPr>
        <xdr:spPr>
          <a:xfrm flipH="1">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39</xdr:row>
      <xdr:rowOff>0</xdr:rowOff>
    </xdr:from>
    <xdr:to>
      <xdr:col>5</xdr:col>
      <xdr:colOff>0</xdr:colOff>
      <xdr:row>40</xdr:row>
      <xdr:rowOff>0</xdr:rowOff>
    </xdr:to>
    <xdr:grpSp>
      <xdr:nvGrpSpPr>
        <xdr:cNvPr id="859" name="Cross_E40">
          <a:extLst>
            <a:ext uri="{FF2B5EF4-FFF2-40B4-BE49-F238E27FC236}">
              <a16:creationId xmlns:a16="http://schemas.microsoft.com/office/drawing/2014/main" id="{C33BFEF0-660F-A9EF-B524-66F1D9D93521}"/>
            </a:ext>
          </a:extLst>
        </xdr:cNvPr>
        <xdr:cNvGrpSpPr/>
      </xdr:nvGrpSpPr>
      <xdr:grpSpPr>
        <a:xfrm>
          <a:off x="2842260" y="7574280"/>
          <a:ext cx="601980" cy="228600"/>
          <a:chOff x="2842260" y="7574280"/>
          <a:chExt cx="601980" cy="228600"/>
        </a:xfrm>
      </xdr:grpSpPr>
      <xdr:cxnSp macro="">
        <xdr:nvCxnSpPr>
          <xdr:cNvPr id="857" name="Gerader Verbinder 856">
            <a:extLst>
              <a:ext uri="{FF2B5EF4-FFF2-40B4-BE49-F238E27FC236}">
                <a16:creationId xmlns:a16="http://schemas.microsoft.com/office/drawing/2014/main" id="{16AD423F-CB97-95A8-FA5D-38ADD46D1AF9}"/>
              </a:ext>
            </a:extLst>
          </xdr:cNvPr>
          <xdr:cNvCxnSpPr/>
        </xdr:nvCxnSpPr>
        <xdr:spPr>
          <a:xfrm>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58" name="Gerader Verbinder 857">
            <a:extLst>
              <a:ext uri="{FF2B5EF4-FFF2-40B4-BE49-F238E27FC236}">
                <a16:creationId xmlns:a16="http://schemas.microsoft.com/office/drawing/2014/main" id="{FF517E66-3414-FBF7-17D4-42EF0CD02FB1}"/>
              </a:ext>
            </a:extLst>
          </xdr:cNvPr>
          <xdr:cNvCxnSpPr/>
        </xdr:nvCxnSpPr>
        <xdr:spPr>
          <a:xfrm flipH="1">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40</xdr:row>
      <xdr:rowOff>0</xdr:rowOff>
    </xdr:from>
    <xdr:to>
      <xdr:col>5</xdr:col>
      <xdr:colOff>0</xdr:colOff>
      <xdr:row>41</xdr:row>
      <xdr:rowOff>0</xdr:rowOff>
    </xdr:to>
    <xdr:grpSp>
      <xdr:nvGrpSpPr>
        <xdr:cNvPr id="862" name="Cross_E41">
          <a:extLst>
            <a:ext uri="{FF2B5EF4-FFF2-40B4-BE49-F238E27FC236}">
              <a16:creationId xmlns:a16="http://schemas.microsoft.com/office/drawing/2014/main" id="{1459F567-3DA6-3DAC-EFE3-4B32DB03060B}"/>
            </a:ext>
          </a:extLst>
        </xdr:cNvPr>
        <xdr:cNvGrpSpPr/>
      </xdr:nvGrpSpPr>
      <xdr:grpSpPr>
        <a:xfrm>
          <a:off x="2842260" y="7802880"/>
          <a:ext cx="601980" cy="167640"/>
          <a:chOff x="2842260" y="7802880"/>
          <a:chExt cx="601980" cy="167640"/>
        </a:xfrm>
      </xdr:grpSpPr>
      <xdr:cxnSp macro="">
        <xdr:nvCxnSpPr>
          <xdr:cNvPr id="860" name="Gerader Verbinder 859">
            <a:extLst>
              <a:ext uri="{FF2B5EF4-FFF2-40B4-BE49-F238E27FC236}">
                <a16:creationId xmlns:a16="http://schemas.microsoft.com/office/drawing/2014/main" id="{44679CF4-DFF5-5FE2-B41A-CB58D50469FF}"/>
              </a:ext>
            </a:extLst>
          </xdr:cNvPr>
          <xdr:cNvCxnSpPr/>
        </xdr:nvCxnSpPr>
        <xdr:spPr>
          <a:xfrm>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61" name="Gerader Verbinder 860">
            <a:extLst>
              <a:ext uri="{FF2B5EF4-FFF2-40B4-BE49-F238E27FC236}">
                <a16:creationId xmlns:a16="http://schemas.microsoft.com/office/drawing/2014/main" id="{97998B75-1124-9C5C-CA25-E6E473BB6DCE}"/>
              </a:ext>
            </a:extLst>
          </xdr:cNvPr>
          <xdr:cNvCxnSpPr/>
        </xdr:nvCxnSpPr>
        <xdr:spPr>
          <a:xfrm flipH="1">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41</xdr:row>
      <xdr:rowOff>0</xdr:rowOff>
    </xdr:from>
    <xdr:to>
      <xdr:col>5</xdr:col>
      <xdr:colOff>0</xdr:colOff>
      <xdr:row>42</xdr:row>
      <xdr:rowOff>0</xdr:rowOff>
    </xdr:to>
    <xdr:grpSp>
      <xdr:nvGrpSpPr>
        <xdr:cNvPr id="865" name="Cross_E42">
          <a:extLst>
            <a:ext uri="{FF2B5EF4-FFF2-40B4-BE49-F238E27FC236}">
              <a16:creationId xmlns:a16="http://schemas.microsoft.com/office/drawing/2014/main" id="{B680C7F0-2082-C3F7-85A9-7B0827AB3834}"/>
            </a:ext>
          </a:extLst>
        </xdr:cNvPr>
        <xdr:cNvGrpSpPr/>
      </xdr:nvGrpSpPr>
      <xdr:grpSpPr>
        <a:xfrm>
          <a:off x="2842260" y="7970520"/>
          <a:ext cx="601980" cy="167640"/>
          <a:chOff x="2842260" y="7970520"/>
          <a:chExt cx="601980" cy="167640"/>
        </a:xfrm>
      </xdr:grpSpPr>
      <xdr:cxnSp macro="">
        <xdr:nvCxnSpPr>
          <xdr:cNvPr id="863" name="Gerader Verbinder 862">
            <a:extLst>
              <a:ext uri="{FF2B5EF4-FFF2-40B4-BE49-F238E27FC236}">
                <a16:creationId xmlns:a16="http://schemas.microsoft.com/office/drawing/2014/main" id="{54B679D9-A18D-1391-7666-53C922F59B79}"/>
              </a:ext>
            </a:extLst>
          </xdr:cNvPr>
          <xdr:cNvCxnSpPr/>
        </xdr:nvCxnSpPr>
        <xdr:spPr>
          <a:xfrm>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64" name="Gerader Verbinder 863">
            <a:extLst>
              <a:ext uri="{FF2B5EF4-FFF2-40B4-BE49-F238E27FC236}">
                <a16:creationId xmlns:a16="http://schemas.microsoft.com/office/drawing/2014/main" id="{A914B733-3B69-7FF8-8AE6-F0F4B7E5D53F}"/>
              </a:ext>
            </a:extLst>
          </xdr:cNvPr>
          <xdr:cNvCxnSpPr/>
        </xdr:nvCxnSpPr>
        <xdr:spPr>
          <a:xfrm flipH="1">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42</xdr:row>
      <xdr:rowOff>0</xdr:rowOff>
    </xdr:from>
    <xdr:to>
      <xdr:col>5</xdr:col>
      <xdr:colOff>0</xdr:colOff>
      <xdr:row>43</xdr:row>
      <xdr:rowOff>0</xdr:rowOff>
    </xdr:to>
    <xdr:grpSp>
      <xdr:nvGrpSpPr>
        <xdr:cNvPr id="868" name="Cross_E43">
          <a:extLst>
            <a:ext uri="{FF2B5EF4-FFF2-40B4-BE49-F238E27FC236}">
              <a16:creationId xmlns:a16="http://schemas.microsoft.com/office/drawing/2014/main" id="{2E04172B-7374-EDB7-1C2E-E10849CEBB02}"/>
            </a:ext>
          </a:extLst>
        </xdr:cNvPr>
        <xdr:cNvGrpSpPr/>
      </xdr:nvGrpSpPr>
      <xdr:grpSpPr>
        <a:xfrm>
          <a:off x="2842260" y="8138160"/>
          <a:ext cx="601980" cy="228600"/>
          <a:chOff x="2842260" y="8138160"/>
          <a:chExt cx="601980" cy="228600"/>
        </a:xfrm>
      </xdr:grpSpPr>
      <xdr:cxnSp macro="">
        <xdr:nvCxnSpPr>
          <xdr:cNvPr id="866" name="Gerader Verbinder 865">
            <a:extLst>
              <a:ext uri="{FF2B5EF4-FFF2-40B4-BE49-F238E27FC236}">
                <a16:creationId xmlns:a16="http://schemas.microsoft.com/office/drawing/2014/main" id="{64639071-2ACA-C336-5EE8-2637E3386688}"/>
              </a:ext>
            </a:extLst>
          </xdr:cNvPr>
          <xdr:cNvCxnSpPr/>
        </xdr:nvCxnSpPr>
        <xdr:spPr>
          <a:xfrm>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67" name="Gerader Verbinder 866">
            <a:extLst>
              <a:ext uri="{FF2B5EF4-FFF2-40B4-BE49-F238E27FC236}">
                <a16:creationId xmlns:a16="http://schemas.microsoft.com/office/drawing/2014/main" id="{FDE9ACE8-1D4A-9E15-6507-06D511DDEBA9}"/>
              </a:ext>
            </a:extLst>
          </xdr:cNvPr>
          <xdr:cNvCxnSpPr/>
        </xdr:nvCxnSpPr>
        <xdr:spPr>
          <a:xfrm flipH="1">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43</xdr:row>
      <xdr:rowOff>0</xdr:rowOff>
    </xdr:from>
    <xdr:to>
      <xdr:col>5</xdr:col>
      <xdr:colOff>0</xdr:colOff>
      <xdr:row>44</xdr:row>
      <xdr:rowOff>0</xdr:rowOff>
    </xdr:to>
    <xdr:grpSp>
      <xdr:nvGrpSpPr>
        <xdr:cNvPr id="871" name="Cross_E44">
          <a:extLst>
            <a:ext uri="{FF2B5EF4-FFF2-40B4-BE49-F238E27FC236}">
              <a16:creationId xmlns:a16="http://schemas.microsoft.com/office/drawing/2014/main" id="{67F740CC-DD56-49C3-A305-9AFDD0089ED3}"/>
            </a:ext>
          </a:extLst>
        </xdr:cNvPr>
        <xdr:cNvGrpSpPr/>
      </xdr:nvGrpSpPr>
      <xdr:grpSpPr>
        <a:xfrm>
          <a:off x="2842260" y="8366760"/>
          <a:ext cx="601980" cy="167640"/>
          <a:chOff x="2842260" y="8366760"/>
          <a:chExt cx="601980" cy="167640"/>
        </a:xfrm>
      </xdr:grpSpPr>
      <xdr:cxnSp macro="">
        <xdr:nvCxnSpPr>
          <xdr:cNvPr id="869" name="Gerader Verbinder 868">
            <a:extLst>
              <a:ext uri="{FF2B5EF4-FFF2-40B4-BE49-F238E27FC236}">
                <a16:creationId xmlns:a16="http://schemas.microsoft.com/office/drawing/2014/main" id="{7C425B9D-F0D8-4365-F95C-117B5868A42D}"/>
              </a:ext>
            </a:extLst>
          </xdr:cNvPr>
          <xdr:cNvCxnSpPr/>
        </xdr:nvCxnSpPr>
        <xdr:spPr>
          <a:xfrm>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0" name="Gerader Verbinder 869">
            <a:extLst>
              <a:ext uri="{FF2B5EF4-FFF2-40B4-BE49-F238E27FC236}">
                <a16:creationId xmlns:a16="http://schemas.microsoft.com/office/drawing/2014/main" id="{5DDCB739-9D82-8161-DC0F-1D039A63412F}"/>
              </a:ext>
            </a:extLst>
          </xdr:cNvPr>
          <xdr:cNvCxnSpPr/>
        </xdr:nvCxnSpPr>
        <xdr:spPr>
          <a:xfrm flipH="1">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44</xdr:row>
      <xdr:rowOff>0</xdr:rowOff>
    </xdr:from>
    <xdr:to>
      <xdr:col>5</xdr:col>
      <xdr:colOff>0</xdr:colOff>
      <xdr:row>45</xdr:row>
      <xdr:rowOff>0</xdr:rowOff>
    </xdr:to>
    <xdr:grpSp>
      <xdr:nvGrpSpPr>
        <xdr:cNvPr id="874" name="Cross_E45">
          <a:extLst>
            <a:ext uri="{FF2B5EF4-FFF2-40B4-BE49-F238E27FC236}">
              <a16:creationId xmlns:a16="http://schemas.microsoft.com/office/drawing/2014/main" id="{4A05057A-4F9E-73F8-5CEC-DD50EFF90215}"/>
            </a:ext>
          </a:extLst>
        </xdr:cNvPr>
        <xdr:cNvGrpSpPr/>
      </xdr:nvGrpSpPr>
      <xdr:grpSpPr>
        <a:xfrm>
          <a:off x="2842260" y="8534400"/>
          <a:ext cx="601980" cy="167640"/>
          <a:chOff x="2842260" y="8534400"/>
          <a:chExt cx="601980" cy="167640"/>
        </a:xfrm>
      </xdr:grpSpPr>
      <xdr:cxnSp macro="">
        <xdr:nvCxnSpPr>
          <xdr:cNvPr id="872" name="Gerader Verbinder 871">
            <a:extLst>
              <a:ext uri="{FF2B5EF4-FFF2-40B4-BE49-F238E27FC236}">
                <a16:creationId xmlns:a16="http://schemas.microsoft.com/office/drawing/2014/main" id="{D345F85A-9CF9-2EFE-6E2D-5BE366138670}"/>
              </a:ext>
            </a:extLst>
          </xdr:cNvPr>
          <xdr:cNvCxnSpPr/>
        </xdr:nvCxnSpPr>
        <xdr:spPr>
          <a:xfrm>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3" name="Gerader Verbinder 872">
            <a:extLst>
              <a:ext uri="{FF2B5EF4-FFF2-40B4-BE49-F238E27FC236}">
                <a16:creationId xmlns:a16="http://schemas.microsoft.com/office/drawing/2014/main" id="{A2EA651F-BC8D-DB13-8F41-0879C0009CE2}"/>
              </a:ext>
            </a:extLst>
          </xdr:cNvPr>
          <xdr:cNvCxnSpPr/>
        </xdr:nvCxnSpPr>
        <xdr:spPr>
          <a:xfrm flipH="1">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45</xdr:row>
      <xdr:rowOff>0</xdr:rowOff>
    </xdr:from>
    <xdr:to>
      <xdr:col>5</xdr:col>
      <xdr:colOff>0</xdr:colOff>
      <xdr:row>46</xdr:row>
      <xdr:rowOff>0</xdr:rowOff>
    </xdr:to>
    <xdr:grpSp>
      <xdr:nvGrpSpPr>
        <xdr:cNvPr id="877" name="Cross_E46">
          <a:extLst>
            <a:ext uri="{FF2B5EF4-FFF2-40B4-BE49-F238E27FC236}">
              <a16:creationId xmlns:a16="http://schemas.microsoft.com/office/drawing/2014/main" id="{AB06A826-61E9-ED2C-CA4D-FA4986DD51E9}"/>
            </a:ext>
          </a:extLst>
        </xdr:cNvPr>
        <xdr:cNvGrpSpPr/>
      </xdr:nvGrpSpPr>
      <xdr:grpSpPr>
        <a:xfrm>
          <a:off x="2842260" y="8702040"/>
          <a:ext cx="601980" cy="228600"/>
          <a:chOff x="2842260" y="8702040"/>
          <a:chExt cx="601980" cy="228600"/>
        </a:xfrm>
      </xdr:grpSpPr>
      <xdr:cxnSp macro="">
        <xdr:nvCxnSpPr>
          <xdr:cNvPr id="875" name="Gerader Verbinder 874">
            <a:extLst>
              <a:ext uri="{FF2B5EF4-FFF2-40B4-BE49-F238E27FC236}">
                <a16:creationId xmlns:a16="http://schemas.microsoft.com/office/drawing/2014/main" id="{E4834A44-74CF-F910-C6B0-7B63B360F612}"/>
              </a:ext>
            </a:extLst>
          </xdr:cNvPr>
          <xdr:cNvCxnSpPr/>
        </xdr:nvCxnSpPr>
        <xdr:spPr>
          <a:xfrm>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6" name="Gerader Verbinder 875">
            <a:extLst>
              <a:ext uri="{FF2B5EF4-FFF2-40B4-BE49-F238E27FC236}">
                <a16:creationId xmlns:a16="http://schemas.microsoft.com/office/drawing/2014/main" id="{5E6EC163-4C18-76F4-2EC9-8DA2CA4D928F}"/>
              </a:ext>
            </a:extLst>
          </xdr:cNvPr>
          <xdr:cNvCxnSpPr/>
        </xdr:nvCxnSpPr>
        <xdr:spPr>
          <a:xfrm flipH="1">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46</xdr:row>
      <xdr:rowOff>0</xdr:rowOff>
    </xdr:from>
    <xdr:to>
      <xdr:col>5</xdr:col>
      <xdr:colOff>0</xdr:colOff>
      <xdr:row>47</xdr:row>
      <xdr:rowOff>0</xdr:rowOff>
    </xdr:to>
    <xdr:grpSp>
      <xdr:nvGrpSpPr>
        <xdr:cNvPr id="880" name="Cross_E47">
          <a:extLst>
            <a:ext uri="{FF2B5EF4-FFF2-40B4-BE49-F238E27FC236}">
              <a16:creationId xmlns:a16="http://schemas.microsoft.com/office/drawing/2014/main" id="{E013E00E-7FB4-E0C9-D581-56734788A4A5}"/>
            </a:ext>
          </a:extLst>
        </xdr:cNvPr>
        <xdr:cNvGrpSpPr/>
      </xdr:nvGrpSpPr>
      <xdr:grpSpPr>
        <a:xfrm>
          <a:off x="2842260" y="8930640"/>
          <a:ext cx="601980" cy="167640"/>
          <a:chOff x="2842260" y="8930640"/>
          <a:chExt cx="601980" cy="167640"/>
        </a:xfrm>
      </xdr:grpSpPr>
      <xdr:cxnSp macro="">
        <xdr:nvCxnSpPr>
          <xdr:cNvPr id="878" name="Gerader Verbinder 877">
            <a:extLst>
              <a:ext uri="{FF2B5EF4-FFF2-40B4-BE49-F238E27FC236}">
                <a16:creationId xmlns:a16="http://schemas.microsoft.com/office/drawing/2014/main" id="{A031CAF0-C639-D0D5-FA6C-57A01D9D6CC0}"/>
              </a:ext>
            </a:extLst>
          </xdr:cNvPr>
          <xdr:cNvCxnSpPr/>
        </xdr:nvCxnSpPr>
        <xdr:spPr>
          <a:xfrm>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9" name="Gerader Verbinder 878">
            <a:extLst>
              <a:ext uri="{FF2B5EF4-FFF2-40B4-BE49-F238E27FC236}">
                <a16:creationId xmlns:a16="http://schemas.microsoft.com/office/drawing/2014/main" id="{24D7AB53-B98E-3575-2B43-E6060536611F}"/>
              </a:ext>
            </a:extLst>
          </xdr:cNvPr>
          <xdr:cNvCxnSpPr/>
        </xdr:nvCxnSpPr>
        <xdr:spPr>
          <a:xfrm flipH="1">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47</xdr:row>
      <xdr:rowOff>0</xdr:rowOff>
    </xdr:from>
    <xdr:to>
      <xdr:col>5</xdr:col>
      <xdr:colOff>0</xdr:colOff>
      <xdr:row>48</xdr:row>
      <xdr:rowOff>0</xdr:rowOff>
    </xdr:to>
    <xdr:grpSp>
      <xdr:nvGrpSpPr>
        <xdr:cNvPr id="883" name="Cross_E48">
          <a:extLst>
            <a:ext uri="{FF2B5EF4-FFF2-40B4-BE49-F238E27FC236}">
              <a16:creationId xmlns:a16="http://schemas.microsoft.com/office/drawing/2014/main" id="{BEAA2C4B-9E31-7C8A-84A9-86EA6EE1E29E}"/>
            </a:ext>
          </a:extLst>
        </xdr:cNvPr>
        <xdr:cNvGrpSpPr/>
      </xdr:nvGrpSpPr>
      <xdr:grpSpPr>
        <a:xfrm>
          <a:off x="2842260" y="9098280"/>
          <a:ext cx="601980" cy="167640"/>
          <a:chOff x="2842260" y="9098280"/>
          <a:chExt cx="601980" cy="167640"/>
        </a:xfrm>
      </xdr:grpSpPr>
      <xdr:cxnSp macro="">
        <xdr:nvCxnSpPr>
          <xdr:cNvPr id="881" name="Gerader Verbinder 880">
            <a:extLst>
              <a:ext uri="{FF2B5EF4-FFF2-40B4-BE49-F238E27FC236}">
                <a16:creationId xmlns:a16="http://schemas.microsoft.com/office/drawing/2014/main" id="{BA401B94-2358-53E8-C66A-F9CE1CA7C52E}"/>
              </a:ext>
            </a:extLst>
          </xdr:cNvPr>
          <xdr:cNvCxnSpPr/>
        </xdr:nvCxnSpPr>
        <xdr:spPr>
          <a:xfrm>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2" name="Gerader Verbinder 881">
            <a:extLst>
              <a:ext uri="{FF2B5EF4-FFF2-40B4-BE49-F238E27FC236}">
                <a16:creationId xmlns:a16="http://schemas.microsoft.com/office/drawing/2014/main" id="{91894616-77A2-1C7A-B239-C91E1C8D2295}"/>
              </a:ext>
            </a:extLst>
          </xdr:cNvPr>
          <xdr:cNvCxnSpPr/>
        </xdr:nvCxnSpPr>
        <xdr:spPr>
          <a:xfrm flipH="1">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54</xdr:row>
      <xdr:rowOff>0</xdr:rowOff>
    </xdr:from>
    <xdr:to>
      <xdr:col>5</xdr:col>
      <xdr:colOff>0</xdr:colOff>
      <xdr:row>55</xdr:row>
      <xdr:rowOff>0</xdr:rowOff>
    </xdr:to>
    <xdr:grpSp>
      <xdr:nvGrpSpPr>
        <xdr:cNvPr id="886" name="Cross_E55">
          <a:extLst>
            <a:ext uri="{FF2B5EF4-FFF2-40B4-BE49-F238E27FC236}">
              <a16:creationId xmlns:a16="http://schemas.microsoft.com/office/drawing/2014/main" id="{99147CFE-E7C2-C538-42E4-D5A8D53B8841}"/>
            </a:ext>
          </a:extLst>
        </xdr:cNvPr>
        <xdr:cNvGrpSpPr/>
      </xdr:nvGrpSpPr>
      <xdr:grpSpPr>
        <a:xfrm>
          <a:off x="2842260" y="10393680"/>
          <a:ext cx="601980" cy="228600"/>
          <a:chOff x="2842260" y="10393680"/>
          <a:chExt cx="601980" cy="228600"/>
        </a:xfrm>
      </xdr:grpSpPr>
      <xdr:cxnSp macro="">
        <xdr:nvCxnSpPr>
          <xdr:cNvPr id="884" name="Gerader Verbinder 883">
            <a:extLst>
              <a:ext uri="{FF2B5EF4-FFF2-40B4-BE49-F238E27FC236}">
                <a16:creationId xmlns:a16="http://schemas.microsoft.com/office/drawing/2014/main" id="{D1E2D775-5ADA-E3D9-112D-3B04449BB1BB}"/>
              </a:ext>
            </a:extLst>
          </xdr:cNvPr>
          <xdr:cNvCxnSpPr/>
        </xdr:nvCxnSpPr>
        <xdr:spPr>
          <a:xfrm>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5" name="Gerader Verbinder 884">
            <a:extLst>
              <a:ext uri="{FF2B5EF4-FFF2-40B4-BE49-F238E27FC236}">
                <a16:creationId xmlns:a16="http://schemas.microsoft.com/office/drawing/2014/main" id="{AADE7F84-21CA-E937-7A33-F42D3693737B}"/>
              </a:ext>
            </a:extLst>
          </xdr:cNvPr>
          <xdr:cNvCxnSpPr/>
        </xdr:nvCxnSpPr>
        <xdr:spPr>
          <a:xfrm flipH="1">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55</xdr:row>
      <xdr:rowOff>0</xdr:rowOff>
    </xdr:from>
    <xdr:to>
      <xdr:col>5</xdr:col>
      <xdr:colOff>0</xdr:colOff>
      <xdr:row>56</xdr:row>
      <xdr:rowOff>0</xdr:rowOff>
    </xdr:to>
    <xdr:grpSp>
      <xdr:nvGrpSpPr>
        <xdr:cNvPr id="889" name="Cross_E56">
          <a:extLst>
            <a:ext uri="{FF2B5EF4-FFF2-40B4-BE49-F238E27FC236}">
              <a16:creationId xmlns:a16="http://schemas.microsoft.com/office/drawing/2014/main" id="{2673A63D-80E7-2308-CFA0-21585AFA2025}"/>
            </a:ext>
          </a:extLst>
        </xdr:cNvPr>
        <xdr:cNvGrpSpPr/>
      </xdr:nvGrpSpPr>
      <xdr:grpSpPr>
        <a:xfrm>
          <a:off x="2842260" y="10622280"/>
          <a:ext cx="601980" cy="167640"/>
          <a:chOff x="2842260" y="10622280"/>
          <a:chExt cx="601980" cy="167640"/>
        </a:xfrm>
      </xdr:grpSpPr>
      <xdr:cxnSp macro="">
        <xdr:nvCxnSpPr>
          <xdr:cNvPr id="887" name="Gerader Verbinder 886">
            <a:extLst>
              <a:ext uri="{FF2B5EF4-FFF2-40B4-BE49-F238E27FC236}">
                <a16:creationId xmlns:a16="http://schemas.microsoft.com/office/drawing/2014/main" id="{6F7A73BB-9E8E-2879-A82B-87BA627C97A0}"/>
              </a:ext>
            </a:extLst>
          </xdr:cNvPr>
          <xdr:cNvCxnSpPr/>
        </xdr:nvCxnSpPr>
        <xdr:spPr>
          <a:xfrm>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8" name="Gerader Verbinder 887">
            <a:extLst>
              <a:ext uri="{FF2B5EF4-FFF2-40B4-BE49-F238E27FC236}">
                <a16:creationId xmlns:a16="http://schemas.microsoft.com/office/drawing/2014/main" id="{02892E50-8847-FA84-C0FA-FE582DB9CB6F}"/>
              </a:ext>
            </a:extLst>
          </xdr:cNvPr>
          <xdr:cNvCxnSpPr/>
        </xdr:nvCxnSpPr>
        <xdr:spPr>
          <a:xfrm flipH="1">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56</xdr:row>
      <xdr:rowOff>0</xdr:rowOff>
    </xdr:from>
    <xdr:to>
      <xdr:col>5</xdr:col>
      <xdr:colOff>0</xdr:colOff>
      <xdr:row>57</xdr:row>
      <xdr:rowOff>0</xdr:rowOff>
    </xdr:to>
    <xdr:grpSp>
      <xdr:nvGrpSpPr>
        <xdr:cNvPr id="892" name="Cross_E57">
          <a:extLst>
            <a:ext uri="{FF2B5EF4-FFF2-40B4-BE49-F238E27FC236}">
              <a16:creationId xmlns:a16="http://schemas.microsoft.com/office/drawing/2014/main" id="{14482FFD-13F8-A944-82DD-C4BAE90D9DDF}"/>
            </a:ext>
          </a:extLst>
        </xdr:cNvPr>
        <xdr:cNvGrpSpPr/>
      </xdr:nvGrpSpPr>
      <xdr:grpSpPr>
        <a:xfrm>
          <a:off x="2842260" y="10789920"/>
          <a:ext cx="601980" cy="167640"/>
          <a:chOff x="2842260" y="10789920"/>
          <a:chExt cx="601980" cy="167640"/>
        </a:xfrm>
      </xdr:grpSpPr>
      <xdr:cxnSp macro="">
        <xdr:nvCxnSpPr>
          <xdr:cNvPr id="890" name="Gerader Verbinder 889">
            <a:extLst>
              <a:ext uri="{FF2B5EF4-FFF2-40B4-BE49-F238E27FC236}">
                <a16:creationId xmlns:a16="http://schemas.microsoft.com/office/drawing/2014/main" id="{120A4325-BC64-9488-2CA2-85DF362F9F16}"/>
              </a:ext>
            </a:extLst>
          </xdr:cNvPr>
          <xdr:cNvCxnSpPr/>
        </xdr:nvCxnSpPr>
        <xdr:spPr>
          <a:xfrm>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1" name="Gerader Verbinder 890">
            <a:extLst>
              <a:ext uri="{FF2B5EF4-FFF2-40B4-BE49-F238E27FC236}">
                <a16:creationId xmlns:a16="http://schemas.microsoft.com/office/drawing/2014/main" id="{DB31565F-15CC-C5C0-0442-66768F194BD7}"/>
              </a:ext>
            </a:extLst>
          </xdr:cNvPr>
          <xdr:cNvCxnSpPr/>
        </xdr:nvCxnSpPr>
        <xdr:spPr>
          <a:xfrm flipH="1">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57</xdr:row>
      <xdr:rowOff>0</xdr:rowOff>
    </xdr:from>
    <xdr:to>
      <xdr:col>5</xdr:col>
      <xdr:colOff>0</xdr:colOff>
      <xdr:row>58</xdr:row>
      <xdr:rowOff>0</xdr:rowOff>
    </xdr:to>
    <xdr:grpSp>
      <xdr:nvGrpSpPr>
        <xdr:cNvPr id="895" name="Cross_E58">
          <a:extLst>
            <a:ext uri="{FF2B5EF4-FFF2-40B4-BE49-F238E27FC236}">
              <a16:creationId xmlns:a16="http://schemas.microsoft.com/office/drawing/2014/main" id="{209D2DF3-6A33-2E9F-5ABD-47D59EE5BBAC}"/>
            </a:ext>
          </a:extLst>
        </xdr:cNvPr>
        <xdr:cNvGrpSpPr/>
      </xdr:nvGrpSpPr>
      <xdr:grpSpPr>
        <a:xfrm>
          <a:off x="2842260" y="10957560"/>
          <a:ext cx="601980" cy="228600"/>
          <a:chOff x="2842260" y="10957560"/>
          <a:chExt cx="601980" cy="228600"/>
        </a:xfrm>
      </xdr:grpSpPr>
      <xdr:cxnSp macro="">
        <xdr:nvCxnSpPr>
          <xdr:cNvPr id="893" name="Gerader Verbinder 892">
            <a:extLst>
              <a:ext uri="{FF2B5EF4-FFF2-40B4-BE49-F238E27FC236}">
                <a16:creationId xmlns:a16="http://schemas.microsoft.com/office/drawing/2014/main" id="{6DFF2E91-BA2B-A5BA-5059-4EBFD16574EF}"/>
              </a:ext>
            </a:extLst>
          </xdr:cNvPr>
          <xdr:cNvCxnSpPr/>
        </xdr:nvCxnSpPr>
        <xdr:spPr>
          <a:xfrm>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4" name="Gerader Verbinder 893">
            <a:extLst>
              <a:ext uri="{FF2B5EF4-FFF2-40B4-BE49-F238E27FC236}">
                <a16:creationId xmlns:a16="http://schemas.microsoft.com/office/drawing/2014/main" id="{E9C67A19-0B36-2903-0AA6-A62A1339ED5D}"/>
              </a:ext>
            </a:extLst>
          </xdr:cNvPr>
          <xdr:cNvCxnSpPr/>
        </xdr:nvCxnSpPr>
        <xdr:spPr>
          <a:xfrm flipH="1">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58</xdr:row>
      <xdr:rowOff>0</xdr:rowOff>
    </xdr:from>
    <xdr:to>
      <xdr:col>5</xdr:col>
      <xdr:colOff>0</xdr:colOff>
      <xdr:row>59</xdr:row>
      <xdr:rowOff>0</xdr:rowOff>
    </xdr:to>
    <xdr:grpSp>
      <xdr:nvGrpSpPr>
        <xdr:cNvPr id="898" name="Cross_E59">
          <a:extLst>
            <a:ext uri="{FF2B5EF4-FFF2-40B4-BE49-F238E27FC236}">
              <a16:creationId xmlns:a16="http://schemas.microsoft.com/office/drawing/2014/main" id="{EFE65FAC-5CA2-65AF-3DB0-63D653B3A053}"/>
            </a:ext>
          </a:extLst>
        </xdr:cNvPr>
        <xdr:cNvGrpSpPr/>
      </xdr:nvGrpSpPr>
      <xdr:grpSpPr>
        <a:xfrm>
          <a:off x="2842260" y="11186160"/>
          <a:ext cx="601980" cy="167640"/>
          <a:chOff x="2842260" y="11186160"/>
          <a:chExt cx="601980" cy="167640"/>
        </a:xfrm>
      </xdr:grpSpPr>
      <xdr:cxnSp macro="">
        <xdr:nvCxnSpPr>
          <xdr:cNvPr id="896" name="Gerader Verbinder 895">
            <a:extLst>
              <a:ext uri="{FF2B5EF4-FFF2-40B4-BE49-F238E27FC236}">
                <a16:creationId xmlns:a16="http://schemas.microsoft.com/office/drawing/2014/main" id="{74595331-8414-70CD-9DD9-9491C9FE8C90}"/>
              </a:ext>
            </a:extLst>
          </xdr:cNvPr>
          <xdr:cNvCxnSpPr/>
        </xdr:nvCxnSpPr>
        <xdr:spPr>
          <a:xfrm>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7" name="Gerader Verbinder 896">
            <a:extLst>
              <a:ext uri="{FF2B5EF4-FFF2-40B4-BE49-F238E27FC236}">
                <a16:creationId xmlns:a16="http://schemas.microsoft.com/office/drawing/2014/main" id="{C1DA5383-AB9F-A3B0-DAA3-22DB704C3626}"/>
              </a:ext>
            </a:extLst>
          </xdr:cNvPr>
          <xdr:cNvCxnSpPr/>
        </xdr:nvCxnSpPr>
        <xdr:spPr>
          <a:xfrm flipH="1">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59</xdr:row>
      <xdr:rowOff>0</xdr:rowOff>
    </xdr:from>
    <xdr:to>
      <xdr:col>5</xdr:col>
      <xdr:colOff>0</xdr:colOff>
      <xdr:row>60</xdr:row>
      <xdr:rowOff>0</xdr:rowOff>
    </xdr:to>
    <xdr:grpSp>
      <xdr:nvGrpSpPr>
        <xdr:cNvPr id="901" name="Cross_E60">
          <a:extLst>
            <a:ext uri="{FF2B5EF4-FFF2-40B4-BE49-F238E27FC236}">
              <a16:creationId xmlns:a16="http://schemas.microsoft.com/office/drawing/2014/main" id="{661F0ED3-F9FA-7871-2850-153FE26F137C}"/>
            </a:ext>
          </a:extLst>
        </xdr:cNvPr>
        <xdr:cNvGrpSpPr/>
      </xdr:nvGrpSpPr>
      <xdr:grpSpPr>
        <a:xfrm>
          <a:off x="2842260" y="11353800"/>
          <a:ext cx="601980" cy="167640"/>
          <a:chOff x="2842260" y="11353800"/>
          <a:chExt cx="601980" cy="167640"/>
        </a:xfrm>
      </xdr:grpSpPr>
      <xdr:cxnSp macro="">
        <xdr:nvCxnSpPr>
          <xdr:cNvPr id="899" name="Gerader Verbinder 898">
            <a:extLst>
              <a:ext uri="{FF2B5EF4-FFF2-40B4-BE49-F238E27FC236}">
                <a16:creationId xmlns:a16="http://schemas.microsoft.com/office/drawing/2014/main" id="{634E85D6-F802-D38F-81AD-F82086948AE1}"/>
              </a:ext>
            </a:extLst>
          </xdr:cNvPr>
          <xdr:cNvCxnSpPr/>
        </xdr:nvCxnSpPr>
        <xdr:spPr>
          <a:xfrm>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0" name="Gerader Verbinder 899">
            <a:extLst>
              <a:ext uri="{FF2B5EF4-FFF2-40B4-BE49-F238E27FC236}">
                <a16:creationId xmlns:a16="http://schemas.microsoft.com/office/drawing/2014/main" id="{F41E7271-8CDB-83A7-7E42-1D8088758A5F}"/>
              </a:ext>
            </a:extLst>
          </xdr:cNvPr>
          <xdr:cNvCxnSpPr/>
        </xdr:nvCxnSpPr>
        <xdr:spPr>
          <a:xfrm flipH="1">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60</xdr:row>
      <xdr:rowOff>0</xdr:rowOff>
    </xdr:from>
    <xdr:to>
      <xdr:col>5</xdr:col>
      <xdr:colOff>0</xdr:colOff>
      <xdr:row>61</xdr:row>
      <xdr:rowOff>0</xdr:rowOff>
    </xdr:to>
    <xdr:grpSp>
      <xdr:nvGrpSpPr>
        <xdr:cNvPr id="904" name="Cross_E61">
          <a:extLst>
            <a:ext uri="{FF2B5EF4-FFF2-40B4-BE49-F238E27FC236}">
              <a16:creationId xmlns:a16="http://schemas.microsoft.com/office/drawing/2014/main" id="{10A8225A-47FB-EF66-53E4-CA818D16C9CD}"/>
            </a:ext>
          </a:extLst>
        </xdr:cNvPr>
        <xdr:cNvGrpSpPr/>
      </xdr:nvGrpSpPr>
      <xdr:grpSpPr>
        <a:xfrm>
          <a:off x="2842260" y="11521440"/>
          <a:ext cx="601980" cy="228600"/>
          <a:chOff x="2842260" y="11521440"/>
          <a:chExt cx="601980" cy="228600"/>
        </a:xfrm>
      </xdr:grpSpPr>
      <xdr:cxnSp macro="">
        <xdr:nvCxnSpPr>
          <xdr:cNvPr id="902" name="Gerader Verbinder 901">
            <a:extLst>
              <a:ext uri="{FF2B5EF4-FFF2-40B4-BE49-F238E27FC236}">
                <a16:creationId xmlns:a16="http://schemas.microsoft.com/office/drawing/2014/main" id="{6AAD247D-057E-7CE1-6A8E-9A348D8D808E}"/>
              </a:ext>
            </a:extLst>
          </xdr:cNvPr>
          <xdr:cNvCxnSpPr/>
        </xdr:nvCxnSpPr>
        <xdr:spPr>
          <a:xfrm>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3" name="Gerader Verbinder 902">
            <a:extLst>
              <a:ext uri="{FF2B5EF4-FFF2-40B4-BE49-F238E27FC236}">
                <a16:creationId xmlns:a16="http://schemas.microsoft.com/office/drawing/2014/main" id="{7AF83FB3-A60D-6EE3-2EC2-00C62EA0E4A6}"/>
              </a:ext>
            </a:extLst>
          </xdr:cNvPr>
          <xdr:cNvCxnSpPr/>
        </xdr:nvCxnSpPr>
        <xdr:spPr>
          <a:xfrm flipH="1">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61</xdr:row>
      <xdr:rowOff>0</xdr:rowOff>
    </xdr:from>
    <xdr:to>
      <xdr:col>5</xdr:col>
      <xdr:colOff>0</xdr:colOff>
      <xdr:row>62</xdr:row>
      <xdr:rowOff>0</xdr:rowOff>
    </xdr:to>
    <xdr:grpSp>
      <xdr:nvGrpSpPr>
        <xdr:cNvPr id="907" name="Cross_E62">
          <a:extLst>
            <a:ext uri="{FF2B5EF4-FFF2-40B4-BE49-F238E27FC236}">
              <a16:creationId xmlns:a16="http://schemas.microsoft.com/office/drawing/2014/main" id="{F79D7E83-29B3-113C-2B9A-AA95BAED7D3A}"/>
            </a:ext>
          </a:extLst>
        </xdr:cNvPr>
        <xdr:cNvGrpSpPr/>
      </xdr:nvGrpSpPr>
      <xdr:grpSpPr>
        <a:xfrm>
          <a:off x="2842260" y="11750040"/>
          <a:ext cx="601980" cy="167640"/>
          <a:chOff x="2842260" y="11750040"/>
          <a:chExt cx="601980" cy="167640"/>
        </a:xfrm>
      </xdr:grpSpPr>
      <xdr:cxnSp macro="">
        <xdr:nvCxnSpPr>
          <xdr:cNvPr id="905" name="Gerader Verbinder 904">
            <a:extLst>
              <a:ext uri="{FF2B5EF4-FFF2-40B4-BE49-F238E27FC236}">
                <a16:creationId xmlns:a16="http://schemas.microsoft.com/office/drawing/2014/main" id="{DA619F03-4FCC-9ADF-43B3-460645A60CCD}"/>
              </a:ext>
            </a:extLst>
          </xdr:cNvPr>
          <xdr:cNvCxnSpPr/>
        </xdr:nvCxnSpPr>
        <xdr:spPr>
          <a:xfrm>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6" name="Gerader Verbinder 905">
            <a:extLst>
              <a:ext uri="{FF2B5EF4-FFF2-40B4-BE49-F238E27FC236}">
                <a16:creationId xmlns:a16="http://schemas.microsoft.com/office/drawing/2014/main" id="{35C2C399-0928-25D9-4BAC-D98608866DFD}"/>
              </a:ext>
            </a:extLst>
          </xdr:cNvPr>
          <xdr:cNvCxnSpPr/>
        </xdr:nvCxnSpPr>
        <xdr:spPr>
          <a:xfrm flipH="1">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62</xdr:row>
      <xdr:rowOff>0</xdr:rowOff>
    </xdr:from>
    <xdr:to>
      <xdr:col>5</xdr:col>
      <xdr:colOff>0</xdr:colOff>
      <xdr:row>63</xdr:row>
      <xdr:rowOff>0</xdr:rowOff>
    </xdr:to>
    <xdr:grpSp>
      <xdr:nvGrpSpPr>
        <xdr:cNvPr id="910" name="Cross_E63">
          <a:extLst>
            <a:ext uri="{FF2B5EF4-FFF2-40B4-BE49-F238E27FC236}">
              <a16:creationId xmlns:a16="http://schemas.microsoft.com/office/drawing/2014/main" id="{5294A57C-161E-04AA-AC0D-434413386CA1}"/>
            </a:ext>
          </a:extLst>
        </xdr:cNvPr>
        <xdr:cNvGrpSpPr/>
      </xdr:nvGrpSpPr>
      <xdr:grpSpPr>
        <a:xfrm>
          <a:off x="2842260" y="11917680"/>
          <a:ext cx="601980" cy="167640"/>
          <a:chOff x="2842260" y="11917680"/>
          <a:chExt cx="601980" cy="167640"/>
        </a:xfrm>
      </xdr:grpSpPr>
      <xdr:cxnSp macro="">
        <xdr:nvCxnSpPr>
          <xdr:cNvPr id="908" name="Gerader Verbinder 907">
            <a:extLst>
              <a:ext uri="{FF2B5EF4-FFF2-40B4-BE49-F238E27FC236}">
                <a16:creationId xmlns:a16="http://schemas.microsoft.com/office/drawing/2014/main" id="{D970793E-CF4D-C541-B63F-FF05831C2A68}"/>
              </a:ext>
            </a:extLst>
          </xdr:cNvPr>
          <xdr:cNvCxnSpPr/>
        </xdr:nvCxnSpPr>
        <xdr:spPr>
          <a:xfrm>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9" name="Gerader Verbinder 908">
            <a:extLst>
              <a:ext uri="{FF2B5EF4-FFF2-40B4-BE49-F238E27FC236}">
                <a16:creationId xmlns:a16="http://schemas.microsoft.com/office/drawing/2014/main" id="{21E368FA-C4C6-D999-6508-248052AA3152}"/>
              </a:ext>
            </a:extLst>
          </xdr:cNvPr>
          <xdr:cNvCxnSpPr/>
        </xdr:nvCxnSpPr>
        <xdr:spPr>
          <a:xfrm flipH="1">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69</xdr:row>
      <xdr:rowOff>0</xdr:rowOff>
    </xdr:from>
    <xdr:to>
      <xdr:col>5</xdr:col>
      <xdr:colOff>0</xdr:colOff>
      <xdr:row>70</xdr:row>
      <xdr:rowOff>0</xdr:rowOff>
    </xdr:to>
    <xdr:grpSp>
      <xdr:nvGrpSpPr>
        <xdr:cNvPr id="913" name="Cross_E70">
          <a:extLst>
            <a:ext uri="{FF2B5EF4-FFF2-40B4-BE49-F238E27FC236}">
              <a16:creationId xmlns:a16="http://schemas.microsoft.com/office/drawing/2014/main" id="{37D29D0C-19FE-552A-2691-72CBFB42912D}"/>
            </a:ext>
          </a:extLst>
        </xdr:cNvPr>
        <xdr:cNvGrpSpPr/>
      </xdr:nvGrpSpPr>
      <xdr:grpSpPr>
        <a:xfrm>
          <a:off x="2842260" y="13213080"/>
          <a:ext cx="601980" cy="228600"/>
          <a:chOff x="2842260" y="13213080"/>
          <a:chExt cx="601980" cy="228600"/>
        </a:xfrm>
      </xdr:grpSpPr>
      <xdr:cxnSp macro="">
        <xdr:nvCxnSpPr>
          <xdr:cNvPr id="911" name="Gerader Verbinder 910">
            <a:extLst>
              <a:ext uri="{FF2B5EF4-FFF2-40B4-BE49-F238E27FC236}">
                <a16:creationId xmlns:a16="http://schemas.microsoft.com/office/drawing/2014/main" id="{C40D5883-0F76-8A1A-E6B1-87F52C38324A}"/>
              </a:ext>
            </a:extLst>
          </xdr:cNvPr>
          <xdr:cNvCxnSpPr/>
        </xdr:nvCxnSpPr>
        <xdr:spPr>
          <a:xfrm>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2" name="Gerader Verbinder 911">
            <a:extLst>
              <a:ext uri="{FF2B5EF4-FFF2-40B4-BE49-F238E27FC236}">
                <a16:creationId xmlns:a16="http://schemas.microsoft.com/office/drawing/2014/main" id="{F3742B38-D655-F9DD-442C-6325DEB5D249}"/>
              </a:ext>
            </a:extLst>
          </xdr:cNvPr>
          <xdr:cNvCxnSpPr/>
        </xdr:nvCxnSpPr>
        <xdr:spPr>
          <a:xfrm flipH="1">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70</xdr:row>
      <xdr:rowOff>0</xdr:rowOff>
    </xdr:from>
    <xdr:to>
      <xdr:col>5</xdr:col>
      <xdr:colOff>0</xdr:colOff>
      <xdr:row>71</xdr:row>
      <xdr:rowOff>0</xdr:rowOff>
    </xdr:to>
    <xdr:grpSp>
      <xdr:nvGrpSpPr>
        <xdr:cNvPr id="916" name="Cross_E71">
          <a:extLst>
            <a:ext uri="{FF2B5EF4-FFF2-40B4-BE49-F238E27FC236}">
              <a16:creationId xmlns:a16="http://schemas.microsoft.com/office/drawing/2014/main" id="{DCF75D1A-EC82-CC45-F69E-515EF2143E76}"/>
            </a:ext>
          </a:extLst>
        </xdr:cNvPr>
        <xdr:cNvGrpSpPr/>
      </xdr:nvGrpSpPr>
      <xdr:grpSpPr>
        <a:xfrm>
          <a:off x="2842260" y="13441680"/>
          <a:ext cx="601980" cy="167640"/>
          <a:chOff x="2842260" y="13441680"/>
          <a:chExt cx="601980" cy="167640"/>
        </a:xfrm>
      </xdr:grpSpPr>
      <xdr:cxnSp macro="">
        <xdr:nvCxnSpPr>
          <xdr:cNvPr id="914" name="Gerader Verbinder 913">
            <a:extLst>
              <a:ext uri="{FF2B5EF4-FFF2-40B4-BE49-F238E27FC236}">
                <a16:creationId xmlns:a16="http://schemas.microsoft.com/office/drawing/2014/main" id="{80C42C93-6359-4A37-9B36-88477DCCFADF}"/>
              </a:ext>
            </a:extLst>
          </xdr:cNvPr>
          <xdr:cNvCxnSpPr/>
        </xdr:nvCxnSpPr>
        <xdr:spPr>
          <a:xfrm>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5" name="Gerader Verbinder 914">
            <a:extLst>
              <a:ext uri="{FF2B5EF4-FFF2-40B4-BE49-F238E27FC236}">
                <a16:creationId xmlns:a16="http://schemas.microsoft.com/office/drawing/2014/main" id="{67A39338-E8F6-6C99-5EDC-BA0A43229ABA}"/>
              </a:ext>
            </a:extLst>
          </xdr:cNvPr>
          <xdr:cNvCxnSpPr/>
        </xdr:nvCxnSpPr>
        <xdr:spPr>
          <a:xfrm flipH="1">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71</xdr:row>
      <xdr:rowOff>0</xdr:rowOff>
    </xdr:from>
    <xdr:to>
      <xdr:col>5</xdr:col>
      <xdr:colOff>0</xdr:colOff>
      <xdr:row>72</xdr:row>
      <xdr:rowOff>1</xdr:rowOff>
    </xdr:to>
    <xdr:grpSp>
      <xdr:nvGrpSpPr>
        <xdr:cNvPr id="919" name="Cross_E72">
          <a:extLst>
            <a:ext uri="{FF2B5EF4-FFF2-40B4-BE49-F238E27FC236}">
              <a16:creationId xmlns:a16="http://schemas.microsoft.com/office/drawing/2014/main" id="{22C51338-8DD5-0178-617C-B9437271CAFE}"/>
            </a:ext>
          </a:extLst>
        </xdr:cNvPr>
        <xdr:cNvGrpSpPr/>
      </xdr:nvGrpSpPr>
      <xdr:grpSpPr>
        <a:xfrm>
          <a:off x="2842260" y="13609320"/>
          <a:ext cx="601980" cy="167641"/>
          <a:chOff x="2842260" y="13609320"/>
          <a:chExt cx="601980" cy="167641"/>
        </a:xfrm>
      </xdr:grpSpPr>
      <xdr:cxnSp macro="">
        <xdr:nvCxnSpPr>
          <xdr:cNvPr id="917" name="Gerader Verbinder 916">
            <a:extLst>
              <a:ext uri="{FF2B5EF4-FFF2-40B4-BE49-F238E27FC236}">
                <a16:creationId xmlns:a16="http://schemas.microsoft.com/office/drawing/2014/main" id="{C45D0575-AA85-442C-C404-5969AD7E1664}"/>
              </a:ext>
            </a:extLst>
          </xdr:cNvPr>
          <xdr:cNvCxnSpPr/>
        </xdr:nvCxnSpPr>
        <xdr:spPr>
          <a:xfrm>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8" name="Gerader Verbinder 917">
            <a:extLst>
              <a:ext uri="{FF2B5EF4-FFF2-40B4-BE49-F238E27FC236}">
                <a16:creationId xmlns:a16="http://schemas.microsoft.com/office/drawing/2014/main" id="{0C47B60D-8538-64AD-3D2F-582DB8FFB5CA}"/>
              </a:ext>
            </a:extLst>
          </xdr:cNvPr>
          <xdr:cNvCxnSpPr/>
        </xdr:nvCxnSpPr>
        <xdr:spPr>
          <a:xfrm flipH="1">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72</xdr:row>
      <xdr:rowOff>1</xdr:rowOff>
    </xdr:from>
    <xdr:to>
      <xdr:col>5</xdr:col>
      <xdr:colOff>0</xdr:colOff>
      <xdr:row>73</xdr:row>
      <xdr:rowOff>1</xdr:rowOff>
    </xdr:to>
    <xdr:grpSp>
      <xdr:nvGrpSpPr>
        <xdr:cNvPr id="922" name="Cross_E73">
          <a:extLst>
            <a:ext uri="{FF2B5EF4-FFF2-40B4-BE49-F238E27FC236}">
              <a16:creationId xmlns:a16="http://schemas.microsoft.com/office/drawing/2014/main" id="{56422102-1C07-6F31-962C-46DACF150FF6}"/>
            </a:ext>
          </a:extLst>
        </xdr:cNvPr>
        <xdr:cNvGrpSpPr/>
      </xdr:nvGrpSpPr>
      <xdr:grpSpPr>
        <a:xfrm>
          <a:off x="2842260" y="13776961"/>
          <a:ext cx="601980" cy="228600"/>
          <a:chOff x="2842260" y="13776961"/>
          <a:chExt cx="601980" cy="228600"/>
        </a:xfrm>
      </xdr:grpSpPr>
      <xdr:cxnSp macro="">
        <xdr:nvCxnSpPr>
          <xdr:cNvPr id="920" name="Gerader Verbinder 919">
            <a:extLst>
              <a:ext uri="{FF2B5EF4-FFF2-40B4-BE49-F238E27FC236}">
                <a16:creationId xmlns:a16="http://schemas.microsoft.com/office/drawing/2014/main" id="{C559E0E1-137E-4775-4F11-6476F141A3D7}"/>
              </a:ext>
            </a:extLst>
          </xdr:cNvPr>
          <xdr:cNvCxnSpPr/>
        </xdr:nvCxnSpPr>
        <xdr:spPr>
          <a:xfrm>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1" name="Gerader Verbinder 920">
            <a:extLst>
              <a:ext uri="{FF2B5EF4-FFF2-40B4-BE49-F238E27FC236}">
                <a16:creationId xmlns:a16="http://schemas.microsoft.com/office/drawing/2014/main" id="{25792107-4641-CC89-25D9-AE27E6E807B4}"/>
              </a:ext>
            </a:extLst>
          </xdr:cNvPr>
          <xdr:cNvCxnSpPr/>
        </xdr:nvCxnSpPr>
        <xdr:spPr>
          <a:xfrm flipH="1">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73</xdr:row>
      <xdr:rowOff>1</xdr:rowOff>
    </xdr:from>
    <xdr:to>
      <xdr:col>5</xdr:col>
      <xdr:colOff>0</xdr:colOff>
      <xdr:row>74</xdr:row>
      <xdr:rowOff>0</xdr:rowOff>
    </xdr:to>
    <xdr:grpSp>
      <xdr:nvGrpSpPr>
        <xdr:cNvPr id="925" name="Cross_E74">
          <a:extLst>
            <a:ext uri="{FF2B5EF4-FFF2-40B4-BE49-F238E27FC236}">
              <a16:creationId xmlns:a16="http://schemas.microsoft.com/office/drawing/2014/main" id="{7967DCBF-3F4D-A250-A6D5-3E6F4C2E34F2}"/>
            </a:ext>
          </a:extLst>
        </xdr:cNvPr>
        <xdr:cNvGrpSpPr/>
      </xdr:nvGrpSpPr>
      <xdr:grpSpPr>
        <a:xfrm>
          <a:off x="2842260" y="14005561"/>
          <a:ext cx="601980" cy="167639"/>
          <a:chOff x="2842260" y="14005561"/>
          <a:chExt cx="601980" cy="167639"/>
        </a:xfrm>
      </xdr:grpSpPr>
      <xdr:cxnSp macro="">
        <xdr:nvCxnSpPr>
          <xdr:cNvPr id="923" name="Gerader Verbinder 922">
            <a:extLst>
              <a:ext uri="{FF2B5EF4-FFF2-40B4-BE49-F238E27FC236}">
                <a16:creationId xmlns:a16="http://schemas.microsoft.com/office/drawing/2014/main" id="{C666B740-1A7E-F40B-BE36-799C55D8352A}"/>
              </a:ext>
            </a:extLst>
          </xdr:cNvPr>
          <xdr:cNvCxnSpPr/>
        </xdr:nvCxnSpPr>
        <xdr:spPr>
          <a:xfrm>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4" name="Gerader Verbinder 923">
            <a:extLst>
              <a:ext uri="{FF2B5EF4-FFF2-40B4-BE49-F238E27FC236}">
                <a16:creationId xmlns:a16="http://schemas.microsoft.com/office/drawing/2014/main" id="{1F89059C-703A-3286-757D-FCA924B383F3}"/>
              </a:ext>
            </a:extLst>
          </xdr:cNvPr>
          <xdr:cNvCxnSpPr/>
        </xdr:nvCxnSpPr>
        <xdr:spPr>
          <a:xfrm flipH="1">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74</xdr:row>
      <xdr:rowOff>0</xdr:rowOff>
    </xdr:from>
    <xdr:to>
      <xdr:col>5</xdr:col>
      <xdr:colOff>0</xdr:colOff>
      <xdr:row>74</xdr:row>
      <xdr:rowOff>167639</xdr:rowOff>
    </xdr:to>
    <xdr:grpSp>
      <xdr:nvGrpSpPr>
        <xdr:cNvPr id="928" name="Cross_E75">
          <a:extLst>
            <a:ext uri="{FF2B5EF4-FFF2-40B4-BE49-F238E27FC236}">
              <a16:creationId xmlns:a16="http://schemas.microsoft.com/office/drawing/2014/main" id="{A4BFF509-391F-E9BA-61CC-CAAF1DFD1115}"/>
            </a:ext>
          </a:extLst>
        </xdr:cNvPr>
        <xdr:cNvGrpSpPr/>
      </xdr:nvGrpSpPr>
      <xdr:grpSpPr>
        <a:xfrm>
          <a:off x="2842260" y="14173200"/>
          <a:ext cx="601980" cy="167639"/>
          <a:chOff x="2842260" y="14173200"/>
          <a:chExt cx="601980" cy="167639"/>
        </a:xfrm>
      </xdr:grpSpPr>
      <xdr:cxnSp macro="">
        <xdr:nvCxnSpPr>
          <xdr:cNvPr id="926" name="Gerader Verbinder 925">
            <a:extLst>
              <a:ext uri="{FF2B5EF4-FFF2-40B4-BE49-F238E27FC236}">
                <a16:creationId xmlns:a16="http://schemas.microsoft.com/office/drawing/2014/main" id="{56B71EEA-6654-17C1-C8B0-3A6A418938C5}"/>
              </a:ext>
            </a:extLst>
          </xdr:cNvPr>
          <xdr:cNvCxnSpPr/>
        </xdr:nvCxnSpPr>
        <xdr:spPr>
          <a:xfrm>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7" name="Gerader Verbinder 926">
            <a:extLst>
              <a:ext uri="{FF2B5EF4-FFF2-40B4-BE49-F238E27FC236}">
                <a16:creationId xmlns:a16="http://schemas.microsoft.com/office/drawing/2014/main" id="{8DF91656-E70F-7C7C-B9BA-C21520A20617}"/>
              </a:ext>
            </a:extLst>
          </xdr:cNvPr>
          <xdr:cNvCxnSpPr/>
        </xdr:nvCxnSpPr>
        <xdr:spPr>
          <a:xfrm flipH="1">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9</xdr:row>
      <xdr:rowOff>0</xdr:rowOff>
    </xdr:from>
    <xdr:to>
      <xdr:col>6</xdr:col>
      <xdr:colOff>0</xdr:colOff>
      <xdr:row>10</xdr:row>
      <xdr:rowOff>0</xdr:rowOff>
    </xdr:to>
    <xdr:grpSp>
      <xdr:nvGrpSpPr>
        <xdr:cNvPr id="931" name="Cross_F10">
          <a:extLst>
            <a:ext uri="{FF2B5EF4-FFF2-40B4-BE49-F238E27FC236}">
              <a16:creationId xmlns:a16="http://schemas.microsoft.com/office/drawing/2014/main" id="{F88E4D6E-3E57-94EC-3C5A-13560285A633}"/>
            </a:ext>
          </a:extLst>
        </xdr:cNvPr>
        <xdr:cNvGrpSpPr/>
      </xdr:nvGrpSpPr>
      <xdr:grpSpPr>
        <a:xfrm>
          <a:off x="3444240" y="1935480"/>
          <a:ext cx="601980" cy="228600"/>
          <a:chOff x="3444240" y="1935480"/>
          <a:chExt cx="601980" cy="228600"/>
        </a:xfrm>
      </xdr:grpSpPr>
      <xdr:cxnSp macro="">
        <xdr:nvCxnSpPr>
          <xdr:cNvPr id="929" name="Gerader Verbinder 928">
            <a:extLst>
              <a:ext uri="{FF2B5EF4-FFF2-40B4-BE49-F238E27FC236}">
                <a16:creationId xmlns:a16="http://schemas.microsoft.com/office/drawing/2014/main" id="{38FF5FAB-D018-5900-52F4-6D1EE30A0731}"/>
              </a:ext>
            </a:extLst>
          </xdr:cNvPr>
          <xdr:cNvCxnSpPr/>
        </xdr:nvCxnSpPr>
        <xdr:spPr>
          <a:xfrm>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30" name="Gerader Verbinder 929">
            <a:extLst>
              <a:ext uri="{FF2B5EF4-FFF2-40B4-BE49-F238E27FC236}">
                <a16:creationId xmlns:a16="http://schemas.microsoft.com/office/drawing/2014/main" id="{CF381693-29D8-DC32-F4EF-FA36A0D75D73}"/>
              </a:ext>
            </a:extLst>
          </xdr:cNvPr>
          <xdr:cNvCxnSpPr/>
        </xdr:nvCxnSpPr>
        <xdr:spPr>
          <a:xfrm flipH="1">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934" name="Cross_F11">
          <a:extLst>
            <a:ext uri="{FF2B5EF4-FFF2-40B4-BE49-F238E27FC236}">
              <a16:creationId xmlns:a16="http://schemas.microsoft.com/office/drawing/2014/main" id="{E3D0F04B-2CD4-05B3-66E2-8A44C69F7DD1}"/>
            </a:ext>
          </a:extLst>
        </xdr:cNvPr>
        <xdr:cNvGrpSpPr/>
      </xdr:nvGrpSpPr>
      <xdr:grpSpPr>
        <a:xfrm>
          <a:off x="3444240" y="2164080"/>
          <a:ext cx="601980" cy="167640"/>
          <a:chOff x="3444240" y="2164080"/>
          <a:chExt cx="601980" cy="167640"/>
        </a:xfrm>
      </xdr:grpSpPr>
      <xdr:cxnSp macro="">
        <xdr:nvCxnSpPr>
          <xdr:cNvPr id="932" name="Gerader Verbinder 931">
            <a:extLst>
              <a:ext uri="{FF2B5EF4-FFF2-40B4-BE49-F238E27FC236}">
                <a16:creationId xmlns:a16="http://schemas.microsoft.com/office/drawing/2014/main" id="{055196A1-1886-064F-9530-278E3DF9C101}"/>
              </a:ext>
            </a:extLst>
          </xdr:cNvPr>
          <xdr:cNvCxnSpPr/>
        </xdr:nvCxnSpPr>
        <xdr:spPr>
          <a:xfrm>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33" name="Gerader Verbinder 932">
            <a:extLst>
              <a:ext uri="{FF2B5EF4-FFF2-40B4-BE49-F238E27FC236}">
                <a16:creationId xmlns:a16="http://schemas.microsoft.com/office/drawing/2014/main" id="{3C39FB0A-50A5-5AAC-D881-DCFF17847AAF}"/>
              </a:ext>
            </a:extLst>
          </xdr:cNvPr>
          <xdr:cNvCxnSpPr/>
        </xdr:nvCxnSpPr>
        <xdr:spPr>
          <a:xfrm flipH="1">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937" name="Cross_F12">
          <a:extLst>
            <a:ext uri="{FF2B5EF4-FFF2-40B4-BE49-F238E27FC236}">
              <a16:creationId xmlns:a16="http://schemas.microsoft.com/office/drawing/2014/main" id="{705F219B-4AD1-F7D9-CAF1-7877C3B6AF08}"/>
            </a:ext>
          </a:extLst>
        </xdr:cNvPr>
        <xdr:cNvGrpSpPr/>
      </xdr:nvGrpSpPr>
      <xdr:grpSpPr>
        <a:xfrm>
          <a:off x="3444240" y="2331720"/>
          <a:ext cx="601980" cy="167640"/>
          <a:chOff x="3444240" y="2331720"/>
          <a:chExt cx="601980" cy="167640"/>
        </a:xfrm>
      </xdr:grpSpPr>
      <xdr:cxnSp macro="">
        <xdr:nvCxnSpPr>
          <xdr:cNvPr id="935" name="Gerader Verbinder 934">
            <a:extLst>
              <a:ext uri="{FF2B5EF4-FFF2-40B4-BE49-F238E27FC236}">
                <a16:creationId xmlns:a16="http://schemas.microsoft.com/office/drawing/2014/main" id="{C23627C1-AEC8-CEB7-7098-3948D1CA0213}"/>
              </a:ext>
            </a:extLst>
          </xdr:cNvPr>
          <xdr:cNvCxnSpPr/>
        </xdr:nvCxnSpPr>
        <xdr:spPr>
          <a:xfrm>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36" name="Gerader Verbinder 935">
            <a:extLst>
              <a:ext uri="{FF2B5EF4-FFF2-40B4-BE49-F238E27FC236}">
                <a16:creationId xmlns:a16="http://schemas.microsoft.com/office/drawing/2014/main" id="{629BF5F5-ED25-5B11-EBAB-9E501C4DF6B7}"/>
              </a:ext>
            </a:extLst>
          </xdr:cNvPr>
          <xdr:cNvCxnSpPr/>
        </xdr:nvCxnSpPr>
        <xdr:spPr>
          <a:xfrm flipH="1">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940" name="Cross_F13">
          <a:extLst>
            <a:ext uri="{FF2B5EF4-FFF2-40B4-BE49-F238E27FC236}">
              <a16:creationId xmlns:a16="http://schemas.microsoft.com/office/drawing/2014/main" id="{CC1FB14A-109B-7BD0-D1D7-535F7B9E929A}"/>
            </a:ext>
          </a:extLst>
        </xdr:cNvPr>
        <xdr:cNvGrpSpPr/>
      </xdr:nvGrpSpPr>
      <xdr:grpSpPr>
        <a:xfrm>
          <a:off x="3444240" y="2499360"/>
          <a:ext cx="601980" cy="228600"/>
          <a:chOff x="3444240" y="2499360"/>
          <a:chExt cx="601980" cy="228600"/>
        </a:xfrm>
      </xdr:grpSpPr>
      <xdr:cxnSp macro="">
        <xdr:nvCxnSpPr>
          <xdr:cNvPr id="938" name="Gerader Verbinder 937">
            <a:extLst>
              <a:ext uri="{FF2B5EF4-FFF2-40B4-BE49-F238E27FC236}">
                <a16:creationId xmlns:a16="http://schemas.microsoft.com/office/drawing/2014/main" id="{1F24BB75-7949-814E-1525-D8431E514C08}"/>
              </a:ext>
            </a:extLst>
          </xdr:cNvPr>
          <xdr:cNvCxnSpPr/>
        </xdr:nvCxnSpPr>
        <xdr:spPr>
          <a:xfrm>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39" name="Gerader Verbinder 938">
            <a:extLst>
              <a:ext uri="{FF2B5EF4-FFF2-40B4-BE49-F238E27FC236}">
                <a16:creationId xmlns:a16="http://schemas.microsoft.com/office/drawing/2014/main" id="{EB3E97F9-C90C-D162-E885-38C77FDAE1F8}"/>
              </a:ext>
            </a:extLst>
          </xdr:cNvPr>
          <xdr:cNvCxnSpPr/>
        </xdr:nvCxnSpPr>
        <xdr:spPr>
          <a:xfrm flipH="1">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943" name="Cross_F14">
          <a:extLst>
            <a:ext uri="{FF2B5EF4-FFF2-40B4-BE49-F238E27FC236}">
              <a16:creationId xmlns:a16="http://schemas.microsoft.com/office/drawing/2014/main" id="{A68630B0-D33D-A3B9-55D2-F998498E02D1}"/>
            </a:ext>
          </a:extLst>
        </xdr:cNvPr>
        <xdr:cNvGrpSpPr/>
      </xdr:nvGrpSpPr>
      <xdr:grpSpPr>
        <a:xfrm>
          <a:off x="3444240" y="2727960"/>
          <a:ext cx="601980" cy="167640"/>
          <a:chOff x="3444240" y="2727960"/>
          <a:chExt cx="601980" cy="167640"/>
        </a:xfrm>
      </xdr:grpSpPr>
      <xdr:cxnSp macro="">
        <xdr:nvCxnSpPr>
          <xdr:cNvPr id="941" name="Gerader Verbinder 940">
            <a:extLst>
              <a:ext uri="{FF2B5EF4-FFF2-40B4-BE49-F238E27FC236}">
                <a16:creationId xmlns:a16="http://schemas.microsoft.com/office/drawing/2014/main" id="{ED409D9A-5A1F-E484-B0A1-2055CBBABFE9}"/>
              </a:ext>
            </a:extLst>
          </xdr:cNvPr>
          <xdr:cNvCxnSpPr/>
        </xdr:nvCxnSpPr>
        <xdr:spPr>
          <a:xfrm>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42" name="Gerader Verbinder 941">
            <a:extLst>
              <a:ext uri="{FF2B5EF4-FFF2-40B4-BE49-F238E27FC236}">
                <a16:creationId xmlns:a16="http://schemas.microsoft.com/office/drawing/2014/main" id="{87C5B5D2-0438-9BA4-7C46-B8452D1CBE54}"/>
              </a:ext>
            </a:extLst>
          </xdr:cNvPr>
          <xdr:cNvCxnSpPr/>
        </xdr:nvCxnSpPr>
        <xdr:spPr>
          <a:xfrm flipH="1">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946" name="Cross_F15">
          <a:extLst>
            <a:ext uri="{FF2B5EF4-FFF2-40B4-BE49-F238E27FC236}">
              <a16:creationId xmlns:a16="http://schemas.microsoft.com/office/drawing/2014/main" id="{D3CC4C6A-B28B-4A54-90B3-B5B8946EA1A9}"/>
            </a:ext>
          </a:extLst>
        </xdr:cNvPr>
        <xdr:cNvGrpSpPr/>
      </xdr:nvGrpSpPr>
      <xdr:grpSpPr>
        <a:xfrm>
          <a:off x="3444240" y="2895600"/>
          <a:ext cx="601980" cy="167640"/>
          <a:chOff x="3444240" y="2895600"/>
          <a:chExt cx="601980" cy="167640"/>
        </a:xfrm>
      </xdr:grpSpPr>
      <xdr:cxnSp macro="">
        <xdr:nvCxnSpPr>
          <xdr:cNvPr id="944" name="Gerader Verbinder 943">
            <a:extLst>
              <a:ext uri="{FF2B5EF4-FFF2-40B4-BE49-F238E27FC236}">
                <a16:creationId xmlns:a16="http://schemas.microsoft.com/office/drawing/2014/main" id="{23AE161D-7FF2-75BA-058C-D65F61C932D5}"/>
              </a:ext>
            </a:extLst>
          </xdr:cNvPr>
          <xdr:cNvCxnSpPr/>
        </xdr:nvCxnSpPr>
        <xdr:spPr>
          <a:xfrm>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45" name="Gerader Verbinder 944">
            <a:extLst>
              <a:ext uri="{FF2B5EF4-FFF2-40B4-BE49-F238E27FC236}">
                <a16:creationId xmlns:a16="http://schemas.microsoft.com/office/drawing/2014/main" id="{117C1322-9DB8-47A2-F8EC-F29051C76225}"/>
              </a:ext>
            </a:extLst>
          </xdr:cNvPr>
          <xdr:cNvCxnSpPr/>
        </xdr:nvCxnSpPr>
        <xdr:spPr>
          <a:xfrm flipH="1">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949" name="Cross_F19">
          <a:extLst>
            <a:ext uri="{FF2B5EF4-FFF2-40B4-BE49-F238E27FC236}">
              <a16:creationId xmlns:a16="http://schemas.microsoft.com/office/drawing/2014/main" id="{A24EA4F3-BC52-E5B2-E747-06606D00CA39}"/>
            </a:ext>
          </a:extLst>
        </xdr:cNvPr>
        <xdr:cNvGrpSpPr/>
      </xdr:nvGrpSpPr>
      <xdr:grpSpPr>
        <a:xfrm>
          <a:off x="3444240" y="3627120"/>
          <a:ext cx="601980" cy="228600"/>
          <a:chOff x="3444240" y="3627120"/>
          <a:chExt cx="601980" cy="228600"/>
        </a:xfrm>
      </xdr:grpSpPr>
      <xdr:cxnSp macro="">
        <xdr:nvCxnSpPr>
          <xdr:cNvPr id="947" name="Gerader Verbinder 946">
            <a:extLst>
              <a:ext uri="{FF2B5EF4-FFF2-40B4-BE49-F238E27FC236}">
                <a16:creationId xmlns:a16="http://schemas.microsoft.com/office/drawing/2014/main" id="{576C87C3-64CA-86FD-FCF9-A0D8855B428D}"/>
              </a:ext>
            </a:extLst>
          </xdr:cNvPr>
          <xdr:cNvCxnSpPr/>
        </xdr:nvCxnSpPr>
        <xdr:spPr>
          <a:xfrm>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48" name="Gerader Verbinder 947">
            <a:extLst>
              <a:ext uri="{FF2B5EF4-FFF2-40B4-BE49-F238E27FC236}">
                <a16:creationId xmlns:a16="http://schemas.microsoft.com/office/drawing/2014/main" id="{BEE1DDAC-6636-8247-DE2C-8A240FE50238}"/>
              </a:ext>
            </a:extLst>
          </xdr:cNvPr>
          <xdr:cNvCxnSpPr/>
        </xdr:nvCxnSpPr>
        <xdr:spPr>
          <a:xfrm flipH="1">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952" name="Cross_F20">
          <a:extLst>
            <a:ext uri="{FF2B5EF4-FFF2-40B4-BE49-F238E27FC236}">
              <a16:creationId xmlns:a16="http://schemas.microsoft.com/office/drawing/2014/main" id="{FF0BB01E-8606-2E68-5D80-CEC1981784C7}"/>
            </a:ext>
          </a:extLst>
        </xdr:cNvPr>
        <xdr:cNvGrpSpPr/>
      </xdr:nvGrpSpPr>
      <xdr:grpSpPr>
        <a:xfrm>
          <a:off x="3444240" y="3855720"/>
          <a:ext cx="601980" cy="167640"/>
          <a:chOff x="3444240" y="3855720"/>
          <a:chExt cx="601980" cy="167640"/>
        </a:xfrm>
      </xdr:grpSpPr>
      <xdr:cxnSp macro="">
        <xdr:nvCxnSpPr>
          <xdr:cNvPr id="950" name="Gerader Verbinder 949">
            <a:extLst>
              <a:ext uri="{FF2B5EF4-FFF2-40B4-BE49-F238E27FC236}">
                <a16:creationId xmlns:a16="http://schemas.microsoft.com/office/drawing/2014/main" id="{17B18232-A0F8-12AD-3B58-81F00B5038AE}"/>
              </a:ext>
            </a:extLst>
          </xdr:cNvPr>
          <xdr:cNvCxnSpPr/>
        </xdr:nvCxnSpPr>
        <xdr:spPr>
          <a:xfrm>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51" name="Gerader Verbinder 950">
            <a:extLst>
              <a:ext uri="{FF2B5EF4-FFF2-40B4-BE49-F238E27FC236}">
                <a16:creationId xmlns:a16="http://schemas.microsoft.com/office/drawing/2014/main" id="{7C815CA6-A91A-A2B1-522B-0E26F9C9C4B7}"/>
              </a:ext>
            </a:extLst>
          </xdr:cNvPr>
          <xdr:cNvCxnSpPr/>
        </xdr:nvCxnSpPr>
        <xdr:spPr>
          <a:xfrm flipH="1">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955" name="Cross_F21">
          <a:extLst>
            <a:ext uri="{FF2B5EF4-FFF2-40B4-BE49-F238E27FC236}">
              <a16:creationId xmlns:a16="http://schemas.microsoft.com/office/drawing/2014/main" id="{CB353F67-6DE4-8CB7-B782-62EBAE1EF112}"/>
            </a:ext>
          </a:extLst>
        </xdr:cNvPr>
        <xdr:cNvGrpSpPr/>
      </xdr:nvGrpSpPr>
      <xdr:grpSpPr>
        <a:xfrm>
          <a:off x="3444240" y="4023360"/>
          <a:ext cx="601980" cy="167640"/>
          <a:chOff x="3444240" y="4023360"/>
          <a:chExt cx="601980" cy="167640"/>
        </a:xfrm>
      </xdr:grpSpPr>
      <xdr:cxnSp macro="">
        <xdr:nvCxnSpPr>
          <xdr:cNvPr id="953" name="Gerader Verbinder 952">
            <a:extLst>
              <a:ext uri="{FF2B5EF4-FFF2-40B4-BE49-F238E27FC236}">
                <a16:creationId xmlns:a16="http://schemas.microsoft.com/office/drawing/2014/main" id="{FA3BDB2B-5940-8E47-BA45-B75154F833B0}"/>
              </a:ext>
            </a:extLst>
          </xdr:cNvPr>
          <xdr:cNvCxnSpPr/>
        </xdr:nvCxnSpPr>
        <xdr:spPr>
          <a:xfrm>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54" name="Gerader Verbinder 953">
            <a:extLst>
              <a:ext uri="{FF2B5EF4-FFF2-40B4-BE49-F238E27FC236}">
                <a16:creationId xmlns:a16="http://schemas.microsoft.com/office/drawing/2014/main" id="{10557EC8-BA05-A020-E070-87EA93D679D3}"/>
              </a:ext>
            </a:extLst>
          </xdr:cNvPr>
          <xdr:cNvCxnSpPr/>
        </xdr:nvCxnSpPr>
        <xdr:spPr>
          <a:xfrm flipH="1">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958" name="Cross_F28">
          <a:extLst>
            <a:ext uri="{FF2B5EF4-FFF2-40B4-BE49-F238E27FC236}">
              <a16:creationId xmlns:a16="http://schemas.microsoft.com/office/drawing/2014/main" id="{099C9102-3A3E-0C13-9B6C-060AD65F1EEA}"/>
            </a:ext>
          </a:extLst>
        </xdr:cNvPr>
        <xdr:cNvGrpSpPr/>
      </xdr:nvGrpSpPr>
      <xdr:grpSpPr>
        <a:xfrm>
          <a:off x="3444240" y="5318760"/>
          <a:ext cx="601980" cy="228600"/>
          <a:chOff x="3444240" y="5318760"/>
          <a:chExt cx="601980" cy="228600"/>
        </a:xfrm>
      </xdr:grpSpPr>
      <xdr:cxnSp macro="">
        <xdr:nvCxnSpPr>
          <xdr:cNvPr id="956" name="Gerader Verbinder 955">
            <a:extLst>
              <a:ext uri="{FF2B5EF4-FFF2-40B4-BE49-F238E27FC236}">
                <a16:creationId xmlns:a16="http://schemas.microsoft.com/office/drawing/2014/main" id="{2C273673-DBC2-D31A-D8DD-659A4104AFC3}"/>
              </a:ext>
            </a:extLst>
          </xdr:cNvPr>
          <xdr:cNvCxnSpPr/>
        </xdr:nvCxnSpPr>
        <xdr:spPr>
          <a:xfrm>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57" name="Gerader Verbinder 956">
            <a:extLst>
              <a:ext uri="{FF2B5EF4-FFF2-40B4-BE49-F238E27FC236}">
                <a16:creationId xmlns:a16="http://schemas.microsoft.com/office/drawing/2014/main" id="{58193C91-4A69-5DC8-EB92-E9C25B99A2DE}"/>
              </a:ext>
            </a:extLst>
          </xdr:cNvPr>
          <xdr:cNvCxnSpPr/>
        </xdr:nvCxnSpPr>
        <xdr:spPr>
          <a:xfrm flipH="1">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961" name="Cross_F29">
          <a:extLst>
            <a:ext uri="{FF2B5EF4-FFF2-40B4-BE49-F238E27FC236}">
              <a16:creationId xmlns:a16="http://schemas.microsoft.com/office/drawing/2014/main" id="{A0E9D5A7-2BEC-6FCB-09BC-F98E98865A34}"/>
            </a:ext>
          </a:extLst>
        </xdr:cNvPr>
        <xdr:cNvGrpSpPr/>
      </xdr:nvGrpSpPr>
      <xdr:grpSpPr>
        <a:xfrm>
          <a:off x="3444240" y="5547360"/>
          <a:ext cx="601980" cy="167640"/>
          <a:chOff x="3444240" y="5547360"/>
          <a:chExt cx="601980" cy="167640"/>
        </a:xfrm>
      </xdr:grpSpPr>
      <xdr:cxnSp macro="">
        <xdr:nvCxnSpPr>
          <xdr:cNvPr id="959" name="Gerader Verbinder 958">
            <a:extLst>
              <a:ext uri="{FF2B5EF4-FFF2-40B4-BE49-F238E27FC236}">
                <a16:creationId xmlns:a16="http://schemas.microsoft.com/office/drawing/2014/main" id="{6E977530-0C66-595F-F7B9-22142070961C}"/>
              </a:ext>
            </a:extLst>
          </xdr:cNvPr>
          <xdr:cNvCxnSpPr/>
        </xdr:nvCxnSpPr>
        <xdr:spPr>
          <a:xfrm>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60" name="Gerader Verbinder 959">
            <a:extLst>
              <a:ext uri="{FF2B5EF4-FFF2-40B4-BE49-F238E27FC236}">
                <a16:creationId xmlns:a16="http://schemas.microsoft.com/office/drawing/2014/main" id="{5E764442-AF63-EB0F-21E2-2A968F49B1CF}"/>
              </a:ext>
            </a:extLst>
          </xdr:cNvPr>
          <xdr:cNvCxnSpPr/>
        </xdr:nvCxnSpPr>
        <xdr:spPr>
          <a:xfrm flipH="1">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29</xdr:row>
      <xdr:rowOff>0</xdr:rowOff>
    </xdr:from>
    <xdr:to>
      <xdr:col>6</xdr:col>
      <xdr:colOff>0</xdr:colOff>
      <xdr:row>30</xdr:row>
      <xdr:rowOff>0</xdr:rowOff>
    </xdr:to>
    <xdr:grpSp>
      <xdr:nvGrpSpPr>
        <xdr:cNvPr id="964" name="Cross_F30">
          <a:extLst>
            <a:ext uri="{FF2B5EF4-FFF2-40B4-BE49-F238E27FC236}">
              <a16:creationId xmlns:a16="http://schemas.microsoft.com/office/drawing/2014/main" id="{06ABC489-12CE-3D88-B8AA-BEFFCF250A2F}"/>
            </a:ext>
          </a:extLst>
        </xdr:cNvPr>
        <xdr:cNvGrpSpPr/>
      </xdr:nvGrpSpPr>
      <xdr:grpSpPr>
        <a:xfrm>
          <a:off x="3444240" y="5715000"/>
          <a:ext cx="601980" cy="167640"/>
          <a:chOff x="3444240" y="5715000"/>
          <a:chExt cx="601980" cy="167640"/>
        </a:xfrm>
      </xdr:grpSpPr>
      <xdr:cxnSp macro="">
        <xdr:nvCxnSpPr>
          <xdr:cNvPr id="962" name="Gerader Verbinder 961">
            <a:extLst>
              <a:ext uri="{FF2B5EF4-FFF2-40B4-BE49-F238E27FC236}">
                <a16:creationId xmlns:a16="http://schemas.microsoft.com/office/drawing/2014/main" id="{83A42A20-C370-92C1-0B13-672BFBEBCB9C}"/>
              </a:ext>
            </a:extLst>
          </xdr:cNvPr>
          <xdr:cNvCxnSpPr/>
        </xdr:nvCxnSpPr>
        <xdr:spPr>
          <a:xfrm>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63" name="Gerader Verbinder 962">
            <a:extLst>
              <a:ext uri="{FF2B5EF4-FFF2-40B4-BE49-F238E27FC236}">
                <a16:creationId xmlns:a16="http://schemas.microsoft.com/office/drawing/2014/main" id="{C409F47C-7F84-7D08-BA23-C30CE146D2E6}"/>
              </a:ext>
            </a:extLst>
          </xdr:cNvPr>
          <xdr:cNvCxnSpPr/>
        </xdr:nvCxnSpPr>
        <xdr:spPr>
          <a:xfrm flipH="1">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36</xdr:row>
      <xdr:rowOff>0</xdr:rowOff>
    </xdr:from>
    <xdr:to>
      <xdr:col>6</xdr:col>
      <xdr:colOff>0</xdr:colOff>
      <xdr:row>37</xdr:row>
      <xdr:rowOff>0</xdr:rowOff>
    </xdr:to>
    <xdr:grpSp>
      <xdr:nvGrpSpPr>
        <xdr:cNvPr id="967" name="Cross_F37">
          <a:extLst>
            <a:ext uri="{FF2B5EF4-FFF2-40B4-BE49-F238E27FC236}">
              <a16:creationId xmlns:a16="http://schemas.microsoft.com/office/drawing/2014/main" id="{084922A3-EF38-06ED-5F52-DB9291488821}"/>
            </a:ext>
          </a:extLst>
        </xdr:cNvPr>
        <xdr:cNvGrpSpPr/>
      </xdr:nvGrpSpPr>
      <xdr:grpSpPr>
        <a:xfrm>
          <a:off x="3444240" y="7010400"/>
          <a:ext cx="601980" cy="228600"/>
          <a:chOff x="3444240" y="7010400"/>
          <a:chExt cx="601980" cy="228600"/>
        </a:xfrm>
      </xdr:grpSpPr>
      <xdr:cxnSp macro="">
        <xdr:nvCxnSpPr>
          <xdr:cNvPr id="965" name="Gerader Verbinder 964">
            <a:extLst>
              <a:ext uri="{FF2B5EF4-FFF2-40B4-BE49-F238E27FC236}">
                <a16:creationId xmlns:a16="http://schemas.microsoft.com/office/drawing/2014/main" id="{025E8DB9-AF70-CDF9-326D-3345292A5024}"/>
              </a:ext>
            </a:extLst>
          </xdr:cNvPr>
          <xdr:cNvCxnSpPr/>
        </xdr:nvCxnSpPr>
        <xdr:spPr>
          <a:xfrm>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66" name="Gerader Verbinder 965">
            <a:extLst>
              <a:ext uri="{FF2B5EF4-FFF2-40B4-BE49-F238E27FC236}">
                <a16:creationId xmlns:a16="http://schemas.microsoft.com/office/drawing/2014/main" id="{78D47893-7073-FE00-34BF-699203D5453E}"/>
              </a:ext>
            </a:extLst>
          </xdr:cNvPr>
          <xdr:cNvCxnSpPr/>
        </xdr:nvCxnSpPr>
        <xdr:spPr>
          <a:xfrm flipH="1">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37</xdr:row>
      <xdr:rowOff>0</xdr:rowOff>
    </xdr:from>
    <xdr:to>
      <xdr:col>6</xdr:col>
      <xdr:colOff>0</xdr:colOff>
      <xdr:row>38</xdr:row>
      <xdr:rowOff>0</xdr:rowOff>
    </xdr:to>
    <xdr:grpSp>
      <xdr:nvGrpSpPr>
        <xdr:cNvPr id="970" name="Cross_F38">
          <a:extLst>
            <a:ext uri="{FF2B5EF4-FFF2-40B4-BE49-F238E27FC236}">
              <a16:creationId xmlns:a16="http://schemas.microsoft.com/office/drawing/2014/main" id="{6C418D0C-3EE3-6E31-B156-86103601877B}"/>
            </a:ext>
          </a:extLst>
        </xdr:cNvPr>
        <xdr:cNvGrpSpPr/>
      </xdr:nvGrpSpPr>
      <xdr:grpSpPr>
        <a:xfrm>
          <a:off x="3444240" y="7239000"/>
          <a:ext cx="601980" cy="167640"/>
          <a:chOff x="3444240" y="7239000"/>
          <a:chExt cx="601980" cy="167640"/>
        </a:xfrm>
      </xdr:grpSpPr>
      <xdr:cxnSp macro="">
        <xdr:nvCxnSpPr>
          <xdr:cNvPr id="968" name="Gerader Verbinder 967">
            <a:extLst>
              <a:ext uri="{FF2B5EF4-FFF2-40B4-BE49-F238E27FC236}">
                <a16:creationId xmlns:a16="http://schemas.microsoft.com/office/drawing/2014/main" id="{582343AE-386A-8BB1-80ED-892BC35FE3AE}"/>
              </a:ext>
            </a:extLst>
          </xdr:cNvPr>
          <xdr:cNvCxnSpPr/>
        </xdr:nvCxnSpPr>
        <xdr:spPr>
          <a:xfrm>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69" name="Gerader Verbinder 968">
            <a:extLst>
              <a:ext uri="{FF2B5EF4-FFF2-40B4-BE49-F238E27FC236}">
                <a16:creationId xmlns:a16="http://schemas.microsoft.com/office/drawing/2014/main" id="{5EC29310-8303-2D49-93D9-503A9988E7FF}"/>
              </a:ext>
            </a:extLst>
          </xdr:cNvPr>
          <xdr:cNvCxnSpPr/>
        </xdr:nvCxnSpPr>
        <xdr:spPr>
          <a:xfrm flipH="1">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38</xdr:row>
      <xdr:rowOff>0</xdr:rowOff>
    </xdr:from>
    <xdr:to>
      <xdr:col>6</xdr:col>
      <xdr:colOff>0</xdr:colOff>
      <xdr:row>39</xdr:row>
      <xdr:rowOff>0</xdr:rowOff>
    </xdr:to>
    <xdr:grpSp>
      <xdr:nvGrpSpPr>
        <xdr:cNvPr id="973" name="Cross_F39">
          <a:extLst>
            <a:ext uri="{FF2B5EF4-FFF2-40B4-BE49-F238E27FC236}">
              <a16:creationId xmlns:a16="http://schemas.microsoft.com/office/drawing/2014/main" id="{6DDE6290-7708-B03B-F47F-D0832A2E2AA6}"/>
            </a:ext>
          </a:extLst>
        </xdr:cNvPr>
        <xdr:cNvGrpSpPr/>
      </xdr:nvGrpSpPr>
      <xdr:grpSpPr>
        <a:xfrm>
          <a:off x="3444240" y="7406640"/>
          <a:ext cx="601980" cy="167640"/>
          <a:chOff x="3444240" y="7406640"/>
          <a:chExt cx="601980" cy="167640"/>
        </a:xfrm>
      </xdr:grpSpPr>
      <xdr:cxnSp macro="">
        <xdr:nvCxnSpPr>
          <xdr:cNvPr id="971" name="Gerader Verbinder 970">
            <a:extLst>
              <a:ext uri="{FF2B5EF4-FFF2-40B4-BE49-F238E27FC236}">
                <a16:creationId xmlns:a16="http://schemas.microsoft.com/office/drawing/2014/main" id="{633ABA2A-AED2-2634-474F-CD7E2A645E4D}"/>
              </a:ext>
            </a:extLst>
          </xdr:cNvPr>
          <xdr:cNvCxnSpPr/>
        </xdr:nvCxnSpPr>
        <xdr:spPr>
          <a:xfrm>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72" name="Gerader Verbinder 971">
            <a:extLst>
              <a:ext uri="{FF2B5EF4-FFF2-40B4-BE49-F238E27FC236}">
                <a16:creationId xmlns:a16="http://schemas.microsoft.com/office/drawing/2014/main" id="{638CA4F4-D19C-1E2A-0815-DEBB58D8CD67}"/>
              </a:ext>
            </a:extLst>
          </xdr:cNvPr>
          <xdr:cNvCxnSpPr/>
        </xdr:nvCxnSpPr>
        <xdr:spPr>
          <a:xfrm flipH="1">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39</xdr:row>
      <xdr:rowOff>0</xdr:rowOff>
    </xdr:from>
    <xdr:to>
      <xdr:col>6</xdr:col>
      <xdr:colOff>0</xdr:colOff>
      <xdr:row>40</xdr:row>
      <xdr:rowOff>0</xdr:rowOff>
    </xdr:to>
    <xdr:grpSp>
      <xdr:nvGrpSpPr>
        <xdr:cNvPr id="976" name="Cross_F40">
          <a:extLst>
            <a:ext uri="{FF2B5EF4-FFF2-40B4-BE49-F238E27FC236}">
              <a16:creationId xmlns:a16="http://schemas.microsoft.com/office/drawing/2014/main" id="{C4B95048-B267-92E3-6A87-8653C2B61A81}"/>
            </a:ext>
          </a:extLst>
        </xdr:cNvPr>
        <xdr:cNvGrpSpPr/>
      </xdr:nvGrpSpPr>
      <xdr:grpSpPr>
        <a:xfrm>
          <a:off x="3444240" y="7574280"/>
          <a:ext cx="601980" cy="228600"/>
          <a:chOff x="3444240" y="7574280"/>
          <a:chExt cx="601980" cy="228600"/>
        </a:xfrm>
      </xdr:grpSpPr>
      <xdr:cxnSp macro="">
        <xdr:nvCxnSpPr>
          <xdr:cNvPr id="974" name="Gerader Verbinder 973">
            <a:extLst>
              <a:ext uri="{FF2B5EF4-FFF2-40B4-BE49-F238E27FC236}">
                <a16:creationId xmlns:a16="http://schemas.microsoft.com/office/drawing/2014/main" id="{5E2E3222-8154-C012-2D80-BB34D287AE7E}"/>
              </a:ext>
            </a:extLst>
          </xdr:cNvPr>
          <xdr:cNvCxnSpPr/>
        </xdr:nvCxnSpPr>
        <xdr:spPr>
          <a:xfrm>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75" name="Gerader Verbinder 974">
            <a:extLst>
              <a:ext uri="{FF2B5EF4-FFF2-40B4-BE49-F238E27FC236}">
                <a16:creationId xmlns:a16="http://schemas.microsoft.com/office/drawing/2014/main" id="{03BECED7-3339-622D-E400-220BD79A294A}"/>
              </a:ext>
            </a:extLst>
          </xdr:cNvPr>
          <xdr:cNvCxnSpPr/>
        </xdr:nvCxnSpPr>
        <xdr:spPr>
          <a:xfrm flipH="1">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40</xdr:row>
      <xdr:rowOff>0</xdr:rowOff>
    </xdr:from>
    <xdr:to>
      <xdr:col>6</xdr:col>
      <xdr:colOff>0</xdr:colOff>
      <xdr:row>41</xdr:row>
      <xdr:rowOff>0</xdr:rowOff>
    </xdr:to>
    <xdr:grpSp>
      <xdr:nvGrpSpPr>
        <xdr:cNvPr id="979" name="Cross_F41">
          <a:extLst>
            <a:ext uri="{FF2B5EF4-FFF2-40B4-BE49-F238E27FC236}">
              <a16:creationId xmlns:a16="http://schemas.microsoft.com/office/drawing/2014/main" id="{621FFDCA-926B-F828-8F6F-4315F5F8B4E6}"/>
            </a:ext>
          </a:extLst>
        </xdr:cNvPr>
        <xdr:cNvGrpSpPr/>
      </xdr:nvGrpSpPr>
      <xdr:grpSpPr>
        <a:xfrm>
          <a:off x="3444240" y="7802880"/>
          <a:ext cx="601980" cy="167640"/>
          <a:chOff x="3444240" y="7802880"/>
          <a:chExt cx="601980" cy="167640"/>
        </a:xfrm>
      </xdr:grpSpPr>
      <xdr:cxnSp macro="">
        <xdr:nvCxnSpPr>
          <xdr:cNvPr id="977" name="Gerader Verbinder 976">
            <a:extLst>
              <a:ext uri="{FF2B5EF4-FFF2-40B4-BE49-F238E27FC236}">
                <a16:creationId xmlns:a16="http://schemas.microsoft.com/office/drawing/2014/main" id="{D3360456-115B-89F8-AB74-E3D8A687CE35}"/>
              </a:ext>
            </a:extLst>
          </xdr:cNvPr>
          <xdr:cNvCxnSpPr/>
        </xdr:nvCxnSpPr>
        <xdr:spPr>
          <a:xfrm>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78" name="Gerader Verbinder 977">
            <a:extLst>
              <a:ext uri="{FF2B5EF4-FFF2-40B4-BE49-F238E27FC236}">
                <a16:creationId xmlns:a16="http://schemas.microsoft.com/office/drawing/2014/main" id="{EF8DAE4D-2833-33D8-9BB7-22D130AC6A62}"/>
              </a:ext>
            </a:extLst>
          </xdr:cNvPr>
          <xdr:cNvCxnSpPr/>
        </xdr:nvCxnSpPr>
        <xdr:spPr>
          <a:xfrm flipH="1">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41</xdr:row>
      <xdr:rowOff>0</xdr:rowOff>
    </xdr:from>
    <xdr:to>
      <xdr:col>6</xdr:col>
      <xdr:colOff>0</xdr:colOff>
      <xdr:row>42</xdr:row>
      <xdr:rowOff>0</xdr:rowOff>
    </xdr:to>
    <xdr:grpSp>
      <xdr:nvGrpSpPr>
        <xdr:cNvPr id="982" name="Cross_F42">
          <a:extLst>
            <a:ext uri="{FF2B5EF4-FFF2-40B4-BE49-F238E27FC236}">
              <a16:creationId xmlns:a16="http://schemas.microsoft.com/office/drawing/2014/main" id="{2CAE6CFD-666E-D4CD-96C1-173EF9BA3F67}"/>
            </a:ext>
          </a:extLst>
        </xdr:cNvPr>
        <xdr:cNvGrpSpPr/>
      </xdr:nvGrpSpPr>
      <xdr:grpSpPr>
        <a:xfrm>
          <a:off x="3444240" y="7970520"/>
          <a:ext cx="601980" cy="167640"/>
          <a:chOff x="3444240" y="7970520"/>
          <a:chExt cx="601980" cy="167640"/>
        </a:xfrm>
      </xdr:grpSpPr>
      <xdr:cxnSp macro="">
        <xdr:nvCxnSpPr>
          <xdr:cNvPr id="980" name="Gerader Verbinder 979">
            <a:extLst>
              <a:ext uri="{FF2B5EF4-FFF2-40B4-BE49-F238E27FC236}">
                <a16:creationId xmlns:a16="http://schemas.microsoft.com/office/drawing/2014/main" id="{E67A435A-A990-3749-A73E-87E8FC9C2180}"/>
              </a:ext>
            </a:extLst>
          </xdr:cNvPr>
          <xdr:cNvCxnSpPr/>
        </xdr:nvCxnSpPr>
        <xdr:spPr>
          <a:xfrm>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81" name="Gerader Verbinder 980">
            <a:extLst>
              <a:ext uri="{FF2B5EF4-FFF2-40B4-BE49-F238E27FC236}">
                <a16:creationId xmlns:a16="http://schemas.microsoft.com/office/drawing/2014/main" id="{ED7E97E5-7753-F585-0CB2-642871410CC4}"/>
              </a:ext>
            </a:extLst>
          </xdr:cNvPr>
          <xdr:cNvCxnSpPr/>
        </xdr:nvCxnSpPr>
        <xdr:spPr>
          <a:xfrm flipH="1">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42</xdr:row>
      <xdr:rowOff>0</xdr:rowOff>
    </xdr:from>
    <xdr:to>
      <xdr:col>6</xdr:col>
      <xdr:colOff>0</xdr:colOff>
      <xdr:row>43</xdr:row>
      <xdr:rowOff>0</xdr:rowOff>
    </xdr:to>
    <xdr:grpSp>
      <xdr:nvGrpSpPr>
        <xdr:cNvPr id="985" name="Cross_F43">
          <a:extLst>
            <a:ext uri="{FF2B5EF4-FFF2-40B4-BE49-F238E27FC236}">
              <a16:creationId xmlns:a16="http://schemas.microsoft.com/office/drawing/2014/main" id="{BB1C3424-27D6-D498-7AF0-2BB11791553C}"/>
            </a:ext>
          </a:extLst>
        </xdr:cNvPr>
        <xdr:cNvGrpSpPr/>
      </xdr:nvGrpSpPr>
      <xdr:grpSpPr>
        <a:xfrm>
          <a:off x="3444240" y="8138160"/>
          <a:ext cx="601980" cy="228600"/>
          <a:chOff x="3444240" y="8138160"/>
          <a:chExt cx="601980" cy="228600"/>
        </a:xfrm>
      </xdr:grpSpPr>
      <xdr:cxnSp macro="">
        <xdr:nvCxnSpPr>
          <xdr:cNvPr id="983" name="Gerader Verbinder 982">
            <a:extLst>
              <a:ext uri="{FF2B5EF4-FFF2-40B4-BE49-F238E27FC236}">
                <a16:creationId xmlns:a16="http://schemas.microsoft.com/office/drawing/2014/main" id="{D4DBEFDD-07B0-E8D5-7016-09D63FBF6851}"/>
              </a:ext>
            </a:extLst>
          </xdr:cNvPr>
          <xdr:cNvCxnSpPr/>
        </xdr:nvCxnSpPr>
        <xdr:spPr>
          <a:xfrm>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84" name="Gerader Verbinder 983">
            <a:extLst>
              <a:ext uri="{FF2B5EF4-FFF2-40B4-BE49-F238E27FC236}">
                <a16:creationId xmlns:a16="http://schemas.microsoft.com/office/drawing/2014/main" id="{4B2B2E53-1D22-E05C-4972-FF7F0AC6EB74}"/>
              </a:ext>
            </a:extLst>
          </xdr:cNvPr>
          <xdr:cNvCxnSpPr/>
        </xdr:nvCxnSpPr>
        <xdr:spPr>
          <a:xfrm flipH="1">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43</xdr:row>
      <xdr:rowOff>0</xdr:rowOff>
    </xdr:from>
    <xdr:to>
      <xdr:col>6</xdr:col>
      <xdr:colOff>0</xdr:colOff>
      <xdr:row>44</xdr:row>
      <xdr:rowOff>0</xdr:rowOff>
    </xdr:to>
    <xdr:grpSp>
      <xdr:nvGrpSpPr>
        <xdr:cNvPr id="988" name="Cross_F44">
          <a:extLst>
            <a:ext uri="{FF2B5EF4-FFF2-40B4-BE49-F238E27FC236}">
              <a16:creationId xmlns:a16="http://schemas.microsoft.com/office/drawing/2014/main" id="{84662971-D838-5D94-73B0-85CE68B3D929}"/>
            </a:ext>
          </a:extLst>
        </xdr:cNvPr>
        <xdr:cNvGrpSpPr/>
      </xdr:nvGrpSpPr>
      <xdr:grpSpPr>
        <a:xfrm>
          <a:off x="3444240" y="8366760"/>
          <a:ext cx="601980" cy="167640"/>
          <a:chOff x="3444240" y="8366760"/>
          <a:chExt cx="601980" cy="167640"/>
        </a:xfrm>
      </xdr:grpSpPr>
      <xdr:cxnSp macro="">
        <xdr:nvCxnSpPr>
          <xdr:cNvPr id="986" name="Gerader Verbinder 985">
            <a:extLst>
              <a:ext uri="{FF2B5EF4-FFF2-40B4-BE49-F238E27FC236}">
                <a16:creationId xmlns:a16="http://schemas.microsoft.com/office/drawing/2014/main" id="{0C81B072-9ABE-BA81-16FA-B7E0FAAB70D3}"/>
              </a:ext>
            </a:extLst>
          </xdr:cNvPr>
          <xdr:cNvCxnSpPr/>
        </xdr:nvCxnSpPr>
        <xdr:spPr>
          <a:xfrm>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87" name="Gerader Verbinder 986">
            <a:extLst>
              <a:ext uri="{FF2B5EF4-FFF2-40B4-BE49-F238E27FC236}">
                <a16:creationId xmlns:a16="http://schemas.microsoft.com/office/drawing/2014/main" id="{AE8F701D-B0B3-4EF9-3C60-8C284B68B0EB}"/>
              </a:ext>
            </a:extLst>
          </xdr:cNvPr>
          <xdr:cNvCxnSpPr/>
        </xdr:nvCxnSpPr>
        <xdr:spPr>
          <a:xfrm flipH="1">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44</xdr:row>
      <xdr:rowOff>0</xdr:rowOff>
    </xdr:from>
    <xdr:to>
      <xdr:col>6</xdr:col>
      <xdr:colOff>0</xdr:colOff>
      <xdr:row>45</xdr:row>
      <xdr:rowOff>0</xdr:rowOff>
    </xdr:to>
    <xdr:grpSp>
      <xdr:nvGrpSpPr>
        <xdr:cNvPr id="991" name="Cross_F45">
          <a:extLst>
            <a:ext uri="{FF2B5EF4-FFF2-40B4-BE49-F238E27FC236}">
              <a16:creationId xmlns:a16="http://schemas.microsoft.com/office/drawing/2014/main" id="{0A1589BD-FF0C-1B0A-2ECE-A96D05D539F5}"/>
            </a:ext>
          </a:extLst>
        </xdr:cNvPr>
        <xdr:cNvGrpSpPr/>
      </xdr:nvGrpSpPr>
      <xdr:grpSpPr>
        <a:xfrm>
          <a:off x="3444240" y="8534400"/>
          <a:ext cx="601980" cy="167640"/>
          <a:chOff x="3444240" y="8534400"/>
          <a:chExt cx="601980" cy="167640"/>
        </a:xfrm>
      </xdr:grpSpPr>
      <xdr:cxnSp macro="">
        <xdr:nvCxnSpPr>
          <xdr:cNvPr id="989" name="Gerader Verbinder 988">
            <a:extLst>
              <a:ext uri="{FF2B5EF4-FFF2-40B4-BE49-F238E27FC236}">
                <a16:creationId xmlns:a16="http://schemas.microsoft.com/office/drawing/2014/main" id="{DC1EED2D-47DD-FE1E-5E04-70BB1E5C29CD}"/>
              </a:ext>
            </a:extLst>
          </xdr:cNvPr>
          <xdr:cNvCxnSpPr/>
        </xdr:nvCxnSpPr>
        <xdr:spPr>
          <a:xfrm>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90" name="Gerader Verbinder 989">
            <a:extLst>
              <a:ext uri="{FF2B5EF4-FFF2-40B4-BE49-F238E27FC236}">
                <a16:creationId xmlns:a16="http://schemas.microsoft.com/office/drawing/2014/main" id="{6AB597B6-9FE0-000A-CCAF-B3F39EC7EF97}"/>
              </a:ext>
            </a:extLst>
          </xdr:cNvPr>
          <xdr:cNvCxnSpPr/>
        </xdr:nvCxnSpPr>
        <xdr:spPr>
          <a:xfrm flipH="1">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45</xdr:row>
      <xdr:rowOff>0</xdr:rowOff>
    </xdr:from>
    <xdr:to>
      <xdr:col>6</xdr:col>
      <xdr:colOff>0</xdr:colOff>
      <xdr:row>46</xdr:row>
      <xdr:rowOff>0</xdr:rowOff>
    </xdr:to>
    <xdr:grpSp>
      <xdr:nvGrpSpPr>
        <xdr:cNvPr id="994" name="Cross_F46">
          <a:extLst>
            <a:ext uri="{FF2B5EF4-FFF2-40B4-BE49-F238E27FC236}">
              <a16:creationId xmlns:a16="http://schemas.microsoft.com/office/drawing/2014/main" id="{7CDCCCA3-9D04-442D-AD95-D21E57C63663}"/>
            </a:ext>
          </a:extLst>
        </xdr:cNvPr>
        <xdr:cNvGrpSpPr/>
      </xdr:nvGrpSpPr>
      <xdr:grpSpPr>
        <a:xfrm>
          <a:off x="3444240" y="8702040"/>
          <a:ext cx="601980" cy="228600"/>
          <a:chOff x="3444240" y="8702040"/>
          <a:chExt cx="601980" cy="228600"/>
        </a:xfrm>
      </xdr:grpSpPr>
      <xdr:cxnSp macro="">
        <xdr:nvCxnSpPr>
          <xdr:cNvPr id="992" name="Gerader Verbinder 991">
            <a:extLst>
              <a:ext uri="{FF2B5EF4-FFF2-40B4-BE49-F238E27FC236}">
                <a16:creationId xmlns:a16="http://schemas.microsoft.com/office/drawing/2014/main" id="{917D82E7-9BEC-6A62-E795-11461841D8CC}"/>
              </a:ext>
            </a:extLst>
          </xdr:cNvPr>
          <xdr:cNvCxnSpPr/>
        </xdr:nvCxnSpPr>
        <xdr:spPr>
          <a:xfrm>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93" name="Gerader Verbinder 992">
            <a:extLst>
              <a:ext uri="{FF2B5EF4-FFF2-40B4-BE49-F238E27FC236}">
                <a16:creationId xmlns:a16="http://schemas.microsoft.com/office/drawing/2014/main" id="{AE1D3182-7648-9682-F235-B209F329E6C5}"/>
              </a:ext>
            </a:extLst>
          </xdr:cNvPr>
          <xdr:cNvCxnSpPr/>
        </xdr:nvCxnSpPr>
        <xdr:spPr>
          <a:xfrm flipH="1">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46</xdr:row>
      <xdr:rowOff>0</xdr:rowOff>
    </xdr:from>
    <xdr:to>
      <xdr:col>6</xdr:col>
      <xdr:colOff>0</xdr:colOff>
      <xdr:row>47</xdr:row>
      <xdr:rowOff>0</xdr:rowOff>
    </xdr:to>
    <xdr:grpSp>
      <xdr:nvGrpSpPr>
        <xdr:cNvPr id="997" name="Cross_F47">
          <a:extLst>
            <a:ext uri="{FF2B5EF4-FFF2-40B4-BE49-F238E27FC236}">
              <a16:creationId xmlns:a16="http://schemas.microsoft.com/office/drawing/2014/main" id="{142047E7-873C-BE78-BBDD-E457B0ADDAB2}"/>
            </a:ext>
          </a:extLst>
        </xdr:cNvPr>
        <xdr:cNvGrpSpPr/>
      </xdr:nvGrpSpPr>
      <xdr:grpSpPr>
        <a:xfrm>
          <a:off x="3444240" y="8930640"/>
          <a:ext cx="601980" cy="167640"/>
          <a:chOff x="3444240" y="8930640"/>
          <a:chExt cx="601980" cy="167640"/>
        </a:xfrm>
      </xdr:grpSpPr>
      <xdr:cxnSp macro="">
        <xdr:nvCxnSpPr>
          <xdr:cNvPr id="995" name="Gerader Verbinder 994">
            <a:extLst>
              <a:ext uri="{FF2B5EF4-FFF2-40B4-BE49-F238E27FC236}">
                <a16:creationId xmlns:a16="http://schemas.microsoft.com/office/drawing/2014/main" id="{3681FD55-B995-A85A-AAF6-445B96585A14}"/>
              </a:ext>
            </a:extLst>
          </xdr:cNvPr>
          <xdr:cNvCxnSpPr/>
        </xdr:nvCxnSpPr>
        <xdr:spPr>
          <a:xfrm>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96" name="Gerader Verbinder 995">
            <a:extLst>
              <a:ext uri="{FF2B5EF4-FFF2-40B4-BE49-F238E27FC236}">
                <a16:creationId xmlns:a16="http://schemas.microsoft.com/office/drawing/2014/main" id="{00A389AA-2E8C-AE3D-2441-50F9B41BDB4D}"/>
              </a:ext>
            </a:extLst>
          </xdr:cNvPr>
          <xdr:cNvCxnSpPr/>
        </xdr:nvCxnSpPr>
        <xdr:spPr>
          <a:xfrm flipH="1">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47</xdr:row>
      <xdr:rowOff>0</xdr:rowOff>
    </xdr:from>
    <xdr:to>
      <xdr:col>6</xdr:col>
      <xdr:colOff>0</xdr:colOff>
      <xdr:row>48</xdr:row>
      <xdr:rowOff>0</xdr:rowOff>
    </xdr:to>
    <xdr:grpSp>
      <xdr:nvGrpSpPr>
        <xdr:cNvPr id="1000" name="Cross_F48">
          <a:extLst>
            <a:ext uri="{FF2B5EF4-FFF2-40B4-BE49-F238E27FC236}">
              <a16:creationId xmlns:a16="http://schemas.microsoft.com/office/drawing/2014/main" id="{ADF235E1-72A0-3AE6-6C73-35A30D686E09}"/>
            </a:ext>
          </a:extLst>
        </xdr:cNvPr>
        <xdr:cNvGrpSpPr/>
      </xdr:nvGrpSpPr>
      <xdr:grpSpPr>
        <a:xfrm>
          <a:off x="3444240" y="9098280"/>
          <a:ext cx="601980" cy="167640"/>
          <a:chOff x="3444240" y="9098280"/>
          <a:chExt cx="601980" cy="167640"/>
        </a:xfrm>
      </xdr:grpSpPr>
      <xdr:cxnSp macro="">
        <xdr:nvCxnSpPr>
          <xdr:cNvPr id="998" name="Gerader Verbinder 997">
            <a:extLst>
              <a:ext uri="{FF2B5EF4-FFF2-40B4-BE49-F238E27FC236}">
                <a16:creationId xmlns:a16="http://schemas.microsoft.com/office/drawing/2014/main" id="{39A05179-97BF-0DE3-46F6-F8C959FDDF71}"/>
              </a:ext>
            </a:extLst>
          </xdr:cNvPr>
          <xdr:cNvCxnSpPr/>
        </xdr:nvCxnSpPr>
        <xdr:spPr>
          <a:xfrm>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99" name="Gerader Verbinder 998">
            <a:extLst>
              <a:ext uri="{FF2B5EF4-FFF2-40B4-BE49-F238E27FC236}">
                <a16:creationId xmlns:a16="http://schemas.microsoft.com/office/drawing/2014/main" id="{4C0BBD20-3FFB-38B7-24CB-4DC6814F60DC}"/>
              </a:ext>
            </a:extLst>
          </xdr:cNvPr>
          <xdr:cNvCxnSpPr/>
        </xdr:nvCxnSpPr>
        <xdr:spPr>
          <a:xfrm flipH="1">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54</xdr:row>
      <xdr:rowOff>0</xdr:rowOff>
    </xdr:from>
    <xdr:to>
      <xdr:col>6</xdr:col>
      <xdr:colOff>0</xdr:colOff>
      <xdr:row>55</xdr:row>
      <xdr:rowOff>0</xdr:rowOff>
    </xdr:to>
    <xdr:grpSp>
      <xdr:nvGrpSpPr>
        <xdr:cNvPr id="1003" name="Cross_F55">
          <a:extLst>
            <a:ext uri="{FF2B5EF4-FFF2-40B4-BE49-F238E27FC236}">
              <a16:creationId xmlns:a16="http://schemas.microsoft.com/office/drawing/2014/main" id="{0C1D463F-F0DC-1E9A-51B9-228F117ECB0B}"/>
            </a:ext>
          </a:extLst>
        </xdr:cNvPr>
        <xdr:cNvGrpSpPr/>
      </xdr:nvGrpSpPr>
      <xdr:grpSpPr>
        <a:xfrm>
          <a:off x="3444240" y="10393680"/>
          <a:ext cx="601980" cy="228600"/>
          <a:chOff x="3444240" y="10393680"/>
          <a:chExt cx="601980" cy="228600"/>
        </a:xfrm>
      </xdr:grpSpPr>
      <xdr:cxnSp macro="">
        <xdr:nvCxnSpPr>
          <xdr:cNvPr id="1001" name="Gerader Verbinder 1000">
            <a:extLst>
              <a:ext uri="{FF2B5EF4-FFF2-40B4-BE49-F238E27FC236}">
                <a16:creationId xmlns:a16="http://schemas.microsoft.com/office/drawing/2014/main" id="{14D28A02-7DF2-5D01-1BCC-C456ACB064BC}"/>
              </a:ext>
            </a:extLst>
          </xdr:cNvPr>
          <xdr:cNvCxnSpPr/>
        </xdr:nvCxnSpPr>
        <xdr:spPr>
          <a:xfrm>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02" name="Gerader Verbinder 1001">
            <a:extLst>
              <a:ext uri="{FF2B5EF4-FFF2-40B4-BE49-F238E27FC236}">
                <a16:creationId xmlns:a16="http://schemas.microsoft.com/office/drawing/2014/main" id="{5AECEEED-5C97-FBCF-F29B-408225DA0702}"/>
              </a:ext>
            </a:extLst>
          </xdr:cNvPr>
          <xdr:cNvCxnSpPr/>
        </xdr:nvCxnSpPr>
        <xdr:spPr>
          <a:xfrm flipH="1">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55</xdr:row>
      <xdr:rowOff>0</xdr:rowOff>
    </xdr:from>
    <xdr:to>
      <xdr:col>6</xdr:col>
      <xdr:colOff>0</xdr:colOff>
      <xdr:row>56</xdr:row>
      <xdr:rowOff>0</xdr:rowOff>
    </xdr:to>
    <xdr:grpSp>
      <xdr:nvGrpSpPr>
        <xdr:cNvPr id="1006" name="Cross_F56">
          <a:extLst>
            <a:ext uri="{FF2B5EF4-FFF2-40B4-BE49-F238E27FC236}">
              <a16:creationId xmlns:a16="http://schemas.microsoft.com/office/drawing/2014/main" id="{71183DB2-A009-2B96-08CD-E7E6FC07027C}"/>
            </a:ext>
          </a:extLst>
        </xdr:cNvPr>
        <xdr:cNvGrpSpPr/>
      </xdr:nvGrpSpPr>
      <xdr:grpSpPr>
        <a:xfrm>
          <a:off x="3444240" y="10622280"/>
          <a:ext cx="601980" cy="167640"/>
          <a:chOff x="3444240" y="10622280"/>
          <a:chExt cx="601980" cy="167640"/>
        </a:xfrm>
      </xdr:grpSpPr>
      <xdr:cxnSp macro="">
        <xdr:nvCxnSpPr>
          <xdr:cNvPr id="1004" name="Gerader Verbinder 1003">
            <a:extLst>
              <a:ext uri="{FF2B5EF4-FFF2-40B4-BE49-F238E27FC236}">
                <a16:creationId xmlns:a16="http://schemas.microsoft.com/office/drawing/2014/main" id="{319B1C8A-6FAA-7B30-1F73-0E7D39681D81}"/>
              </a:ext>
            </a:extLst>
          </xdr:cNvPr>
          <xdr:cNvCxnSpPr/>
        </xdr:nvCxnSpPr>
        <xdr:spPr>
          <a:xfrm>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05" name="Gerader Verbinder 1004">
            <a:extLst>
              <a:ext uri="{FF2B5EF4-FFF2-40B4-BE49-F238E27FC236}">
                <a16:creationId xmlns:a16="http://schemas.microsoft.com/office/drawing/2014/main" id="{21D076CE-A7C0-493F-6C47-0D7ACDBF48D2}"/>
              </a:ext>
            </a:extLst>
          </xdr:cNvPr>
          <xdr:cNvCxnSpPr/>
        </xdr:nvCxnSpPr>
        <xdr:spPr>
          <a:xfrm flipH="1">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56</xdr:row>
      <xdr:rowOff>0</xdr:rowOff>
    </xdr:from>
    <xdr:to>
      <xdr:col>6</xdr:col>
      <xdr:colOff>0</xdr:colOff>
      <xdr:row>57</xdr:row>
      <xdr:rowOff>0</xdr:rowOff>
    </xdr:to>
    <xdr:grpSp>
      <xdr:nvGrpSpPr>
        <xdr:cNvPr id="1009" name="Cross_F57">
          <a:extLst>
            <a:ext uri="{FF2B5EF4-FFF2-40B4-BE49-F238E27FC236}">
              <a16:creationId xmlns:a16="http://schemas.microsoft.com/office/drawing/2014/main" id="{62493D77-5CBC-F606-726F-20A96CF39AAE}"/>
            </a:ext>
          </a:extLst>
        </xdr:cNvPr>
        <xdr:cNvGrpSpPr/>
      </xdr:nvGrpSpPr>
      <xdr:grpSpPr>
        <a:xfrm>
          <a:off x="3444240" y="10789920"/>
          <a:ext cx="601980" cy="167640"/>
          <a:chOff x="3444240" y="10789920"/>
          <a:chExt cx="601980" cy="167640"/>
        </a:xfrm>
      </xdr:grpSpPr>
      <xdr:cxnSp macro="">
        <xdr:nvCxnSpPr>
          <xdr:cNvPr id="1007" name="Gerader Verbinder 1006">
            <a:extLst>
              <a:ext uri="{FF2B5EF4-FFF2-40B4-BE49-F238E27FC236}">
                <a16:creationId xmlns:a16="http://schemas.microsoft.com/office/drawing/2014/main" id="{CD0E6DFA-2D57-CE44-294A-5D4F47D3E9A5}"/>
              </a:ext>
            </a:extLst>
          </xdr:cNvPr>
          <xdr:cNvCxnSpPr/>
        </xdr:nvCxnSpPr>
        <xdr:spPr>
          <a:xfrm>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08" name="Gerader Verbinder 1007">
            <a:extLst>
              <a:ext uri="{FF2B5EF4-FFF2-40B4-BE49-F238E27FC236}">
                <a16:creationId xmlns:a16="http://schemas.microsoft.com/office/drawing/2014/main" id="{832C914A-D677-BD01-5D7B-0F4E0FFAE51E}"/>
              </a:ext>
            </a:extLst>
          </xdr:cNvPr>
          <xdr:cNvCxnSpPr/>
        </xdr:nvCxnSpPr>
        <xdr:spPr>
          <a:xfrm flipH="1">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57</xdr:row>
      <xdr:rowOff>0</xdr:rowOff>
    </xdr:from>
    <xdr:to>
      <xdr:col>6</xdr:col>
      <xdr:colOff>0</xdr:colOff>
      <xdr:row>58</xdr:row>
      <xdr:rowOff>0</xdr:rowOff>
    </xdr:to>
    <xdr:grpSp>
      <xdr:nvGrpSpPr>
        <xdr:cNvPr id="1012" name="Cross_F58">
          <a:extLst>
            <a:ext uri="{FF2B5EF4-FFF2-40B4-BE49-F238E27FC236}">
              <a16:creationId xmlns:a16="http://schemas.microsoft.com/office/drawing/2014/main" id="{2931F403-B079-E658-F61D-7B8A62A0BB22}"/>
            </a:ext>
          </a:extLst>
        </xdr:cNvPr>
        <xdr:cNvGrpSpPr/>
      </xdr:nvGrpSpPr>
      <xdr:grpSpPr>
        <a:xfrm>
          <a:off x="3444240" y="10957560"/>
          <a:ext cx="601980" cy="228600"/>
          <a:chOff x="3444240" y="10957560"/>
          <a:chExt cx="601980" cy="228600"/>
        </a:xfrm>
      </xdr:grpSpPr>
      <xdr:cxnSp macro="">
        <xdr:nvCxnSpPr>
          <xdr:cNvPr id="1010" name="Gerader Verbinder 1009">
            <a:extLst>
              <a:ext uri="{FF2B5EF4-FFF2-40B4-BE49-F238E27FC236}">
                <a16:creationId xmlns:a16="http://schemas.microsoft.com/office/drawing/2014/main" id="{22961D29-5665-7F98-9D49-8E49977C9D76}"/>
              </a:ext>
            </a:extLst>
          </xdr:cNvPr>
          <xdr:cNvCxnSpPr/>
        </xdr:nvCxnSpPr>
        <xdr:spPr>
          <a:xfrm>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11" name="Gerader Verbinder 1010">
            <a:extLst>
              <a:ext uri="{FF2B5EF4-FFF2-40B4-BE49-F238E27FC236}">
                <a16:creationId xmlns:a16="http://schemas.microsoft.com/office/drawing/2014/main" id="{1A3D1E8B-73D9-B2E6-D4D3-FB6D281556EF}"/>
              </a:ext>
            </a:extLst>
          </xdr:cNvPr>
          <xdr:cNvCxnSpPr/>
        </xdr:nvCxnSpPr>
        <xdr:spPr>
          <a:xfrm flipH="1">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58</xdr:row>
      <xdr:rowOff>0</xdr:rowOff>
    </xdr:from>
    <xdr:to>
      <xdr:col>6</xdr:col>
      <xdr:colOff>0</xdr:colOff>
      <xdr:row>59</xdr:row>
      <xdr:rowOff>0</xdr:rowOff>
    </xdr:to>
    <xdr:grpSp>
      <xdr:nvGrpSpPr>
        <xdr:cNvPr id="1015" name="Cross_F59">
          <a:extLst>
            <a:ext uri="{FF2B5EF4-FFF2-40B4-BE49-F238E27FC236}">
              <a16:creationId xmlns:a16="http://schemas.microsoft.com/office/drawing/2014/main" id="{468FDE09-89B3-5D58-6A17-BD9C9107D300}"/>
            </a:ext>
          </a:extLst>
        </xdr:cNvPr>
        <xdr:cNvGrpSpPr/>
      </xdr:nvGrpSpPr>
      <xdr:grpSpPr>
        <a:xfrm>
          <a:off x="3444240" y="11186160"/>
          <a:ext cx="601980" cy="167640"/>
          <a:chOff x="3444240" y="11186160"/>
          <a:chExt cx="601980" cy="167640"/>
        </a:xfrm>
      </xdr:grpSpPr>
      <xdr:cxnSp macro="">
        <xdr:nvCxnSpPr>
          <xdr:cNvPr id="1013" name="Gerader Verbinder 1012">
            <a:extLst>
              <a:ext uri="{FF2B5EF4-FFF2-40B4-BE49-F238E27FC236}">
                <a16:creationId xmlns:a16="http://schemas.microsoft.com/office/drawing/2014/main" id="{C4A7D6BE-4297-A670-1714-4D6309D7184F}"/>
              </a:ext>
            </a:extLst>
          </xdr:cNvPr>
          <xdr:cNvCxnSpPr/>
        </xdr:nvCxnSpPr>
        <xdr:spPr>
          <a:xfrm>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14" name="Gerader Verbinder 1013">
            <a:extLst>
              <a:ext uri="{FF2B5EF4-FFF2-40B4-BE49-F238E27FC236}">
                <a16:creationId xmlns:a16="http://schemas.microsoft.com/office/drawing/2014/main" id="{2635D57C-D63B-384A-CF46-E9C977A4FBA6}"/>
              </a:ext>
            </a:extLst>
          </xdr:cNvPr>
          <xdr:cNvCxnSpPr/>
        </xdr:nvCxnSpPr>
        <xdr:spPr>
          <a:xfrm flipH="1">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59</xdr:row>
      <xdr:rowOff>0</xdr:rowOff>
    </xdr:from>
    <xdr:to>
      <xdr:col>6</xdr:col>
      <xdr:colOff>0</xdr:colOff>
      <xdr:row>60</xdr:row>
      <xdr:rowOff>0</xdr:rowOff>
    </xdr:to>
    <xdr:grpSp>
      <xdr:nvGrpSpPr>
        <xdr:cNvPr id="1018" name="Cross_F60">
          <a:extLst>
            <a:ext uri="{FF2B5EF4-FFF2-40B4-BE49-F238E27FC236}">
              <a16:creationId xmlns:a16="http://schemas.microsoft.com/office/drawing/2014/main" id="{B91DC3E1-10D5-AF3D-61C8-6CE3749932A3}"/>
            </a:ext>
          </a:extLst>
        </xdr:cNvPr>
        <xdr:cNvGrpSpPr/>
      </xdr:nvGrpSpPr>
      <xdr:grpSpPr>
        <a:xfrm>
          <a:off x="3444240" y="11353800"/>
          <a:ext cx="601980" cy="167640"/>
          <a:chOff x="3444240" y="11353800"/>
          <a:chExt cx="601980" cy="167640"/>
        </a:xfrm>
      </xdr:grpSpPr>
      <xdr:cxnSp macro="">
        <xdr:nvCxnSpPr>
          <xdr:cNvPr id="1016" name="Gerader Verbinder 1015">
            <a:extLst>
              <a:ext uri="{FF2B5EF4-FFF2-40B4-BE49-F238E27FC236}">
                <a16:creationId xmlns:a16="http://schemas.microsoft.com/office/drawing/2014/main" id="{EFA3C8F2-6AB4-5F52-1052-453C037B028B}"/>
              </a:ext>
            </a:extLst>
          </xdr:cNvPr>
          <xdr:cNvCxnSpPr/>
        </xdr:nvCxnSpPr>
        <xdr:spPr>
          <a:xfrm>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17" name="Gerader Verbinder 1016">
            <a:extLst>
              <a:ext uri="{FF2B5EF4-FFF2-40B4-BE49-F238E27FC236}">
                <a16:creationId xmlns:a16="http://schemas.microsoft.com/office/drawing/2014/main" id="{5B40D5DA-781F-7958-C491-0EC38AACCD89}"/>
              </a:ext>
            </a:extLst>
          </xdr:cNvPr>
          <xdr:cNvCxnSpPr/>
        </xdr:nvCxnSpPr>
        <xdr:spPr>
          <a:xfrm flipH="1">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60</xdr:row>
      <xdr:rowOff>0</xdr:rowOff>
    </xdr:from>
    <xdr:to>
      <xdr:col>6</xdr:col>
      <xdr:colOff>0</xdr:colOff>
      <xdr:row>61</xdr:row>
      <xdr:rowOff>0</xdr:rowOff>
    </xdr:to>
    <xdr:grpSp>
      <xdr:nvGrpSpPr>
        <xdr:cNvPr id="1021" name="Cross_F61">
          <a:extLst>
            <a:ext uri="{FF2B5EF4-FFF2-40B4-BE49-F238E27FC236}">
              <a16:creationId xmlns:a16="http://schemas.microsoft.com/office/drawing/2014/main" id="{5727FF56-25AD-14BD-6E27-44307E10D310}"/>
            </a:ext>
          </a:extLst>
        </xdr:cNvPr>
        <xdr:cNvGrpSpPr/>
      </xdr:nvGrpSpPr>
      <xdr:grpSpPr>
        <a:xfrm>
          <a:off x="3444240" y="11521440"/>
          <a:ext cx="601980" cy="228600"/>
          <a:chOff x="3444240" y="11521440"/>
          <a:chExt cx="601980" cy="228600"/>
        </a:xfrm>
      </xdr:grpSpPr>
      <xdr:cxnSp macro="">
        <xdr:nvCxnSpPr>
          <xdr:cNvPr id="1019" name="Gerader Verbinder 1018">
            <a:extLst>
              <a:ext uri="{FF2B5EF4-FFF2-40B4-BE49-F238E27FC236}">
                <a16:creationId xmlns:a16="http://schemas.microsoft.com/office/drawing/2014/main" id="{93DCAC63-224D-B385-0459-05750ED06BE4}"/>
              </a:ext>
            </a:extLst>
          </xdr:cNvPr>
          <xdr:cNvCxnSpPr/>
        </xdr:nvCxnSpPr>
        <xdr:spPr>
          <a:xfrm>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20" name="Gerader Verbinder 1019">
            <a:extLst>
              <a:ext uri="{FF2B5EF4-FFF2-40B4-BE49-F238E27FC236}">
                <a16:creationId xmlns:a16="http://schemas.microsoft.com/office/drawing/2014/main" id="{1912EBCC-6434-3032-571F-AA228BBB37DB}"/>
              </a:ext>
            </a:extLst>
          </xdr:cNvPr>
          <xdr:cNvCxnSpPr/>
        </xdr:nvCxnSpPr>
        <xdr:spPr>
          <a:xfrm flipH="1">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61</xdr:row>
      <xdr:rowOff>0</xdr:rowOff>
    </xdr:from>
    <xdr:to>
      <xdr:col>6</xdr:col>
      <xdr:colOff>0</xdr:colOff>
      <xdr:row>62</xdr:row>
      <xdr:rowOff>0</xdr:rowOff>
    </xdr:to>
    <xdr:grpSp>
      <xdr:nvGrpSpPr>
        <xdr:cNvPr id="1024" name="Cross_F62">
          <a:extLst>
            <a:ext uri="{FF2B5EF4-FFF2-40B4-BE49-F238E27FC236}">
              <a16:creationId xmlns:a16="http://schemas.microsoft.com/office/drawing/2014/main" id="{5F67402D-0EFE-F4DD-F494-FFC8EA2AE8C1}"/>
            </a:ext>
          </a:extLst>
        </xdr:cNvPr>
        <xdr:cNvGrpSpPr/>
      </xdr:nvGrpSpPr>
      <xdr:grpSpPr>
        <a:xfrm>
          <a:off x="3444240" y="11750040"/>
          <a:ext cx="601980" cy="167640"/>
          <a:chOff x="3444240" y="11750040"/>
          <a:chExt cx="601980" cy="167640"/>
        </a:xfrm>
      </xdr:grpSpPr>
      <xdr:cxnSp macro="">
        <xdr:nvCxnSpPr>
          <xdr:cNvPr id="1022" name="Gerader Verbinder 1021">
            <a:extLst>
              <a:ext uri="{FF2B5EF4-FFF2-40B4-BE49-F238E27FC236}">
                <a16:creationId xmlns:a16="http://schemas.microsoft.com/office/drawing/2014/main" id="{4E99DF85-F6DA-8969-758F-E06E97A6566E}"/>
              </a:ext>
            </a:extLst>
          </xdr:cNvPr>
          <xdr:cNvCxnSpPr/>
        </xdr:nvCxnSpPr>
        <xdr:spPr>
          <a:xfrm>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23" name="Gerader Verbinder 1022">
            <a:extLst>
              <a:ext uri="{FF2B5EF4-FFF2-40B4-BE49-F238E27FC236}">
                <a16:creationId xmlns:a16="http://schemas.microsoft.com/office/drawing/2014/main" id="{8B384D22-C561-DAE5-B9AE-FCDE060B94A7}"/>
              </a:ext>
            </a:extLst>
          </xdr:cNvPr>
          <xdr:cNvCxnSpPr/>
        </xdr:nvCxnSpPr>
        <xdr:spPr>
          <a:xfrm flipH="1">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62</xdr:row>
      <xdr:rowOff>0</xdr:rowOff>
    </xdr:from>
    <xdr:to>
      <xdr:col>6</xdr:col>
      <xdr:colOff>0</xdr:colOff>
      <xdr:row>63</xdr:row>
      <xdr:rowOff>0</xdr:rowOff>
    </xdr:to>
    <xdr:grpSp>
      <xdr:nvGrpSpPr>
        <xdr:cNvPr id="1027" name="Cross_F63">
          <a:extLst>
            <a:ext uri="{FF2B5EF4-FFF2-40B4-BE49-F238E27FC236}">
              <a16:creationId xmlns:a16="http://schemas.microsoft.com/office/drawing/2014/main" id="{27B2177C-63C0-0CFE-C2B2-71B9D5619708}"/>
            </a:ext>
          </a:extLst>
        </xdr:cNvPr>
        <xdr:cNvGrpSpPr/>
      </xdr:nvGrpSpPr>
      <xdr:grpSpPr>
        <a:xfrm>
          <a:off x="3444240" y="11917680"/>
          <a:ext cx="601980" cy="167640"/>
          <a:chOff x="3444240" y="11917680"/>
          <a:chExt cx="601980" cy="167640"/>
        </a:xfrm>
      </xdr:grpSpPr>
      <xdr:cxnSp macro="">
        <xdr:nvCxnSpPr>
          <xdr:cNvPr id="1025" name="Gerader Verbinder 1024">
            <a:extLst>
              <a:ext uri="{FF2B5EF4-FFF2-40B4-BE49-F238E27FC236}">
                <a16:creationId xmlns:a16="http://schemas.microsoft.com/office/drawing/2014/main" id="{6625CB7F-EDE1-3A76-F9FB-12108FA53235}"/>
              </a:ext>
            </a:extLst>
          </xdr:cNvPr>
          <xdr:cNvCxnSpPr/>
        </xdr:nvCxnSpPr>
        <xdr:spPr>
          <a:xfrm>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26" name="Gerader Verbinder 1025">
            <a:extLst>
              <a:ext uri="{FF2B5EF4-FFF2-40B4-BE49-F238E27FC236}">
                <a16:creationId xmlns:a16="http://schemas.microsoft.com/office/drawing/2014/main" id="{9EF9277A-4A07-9906-5416-FF103CCC52F5}"/>
              </a:ext>
            </a:extLst>
          </xdr:cNvPr>
          <xdr:cNvCxnSpPr/>
        </xdr:nvCxnSpPr>
        <xdr:spPr>
          <a:xfrm flipH="1">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69</xdr:row>
      <xdr:rowOff>0</xdr:rowOff>
    </xdr:from>
    <xdr:to>
      <xdr:col>6</xdr:col>
      <xdr:colOff>0</xdr:colOff>
      <xdr:row>70</xdr:row>
      <xdr:rowOff>0</xdr:rowOff>
    </xdr:to>
    <xdr:grpSp>
      <xdr:nvGrpSpPr>
        <xdr:cNvPr id="1030" name="Cross_F70">
          <a:extLst>
            <a:ext uri="{FF2B5EF4-FFF2-40B4-BE49-F238E27FC236}">
              <a16:creationId xmlns:a16="http://schemas.microsoft.com/office/drawing/2014/main" id="{58CE24F9-3D78-5892-4EEF-4F5AC7229BC2}"/>
            </a:ext>
          </a:extLst>
        </xdr:cNvPr>
        <xdr:cNvGrpSpPr/>
      </xdr:nvGrpSpPr>
      <xdr:grpSpPr>
        <a:xfrm>
          <a:off x="3444240" y="13213080"/>
          <a:ext cx="601980" cy="228600"/>
          <a:chOff x="3444240" y="13213080"/>
          <a:chExt cx="601980" cy="228600"/>
        </a:xfrm>
      </xdr:grpSpPr>
      <xdr:cxnSp macro="">
        <xdr:nvCxnSpPr>
          <xdr:cNvPr id="1028" name="Gerader Verbinder 1027">
            <a:extLst>
              <a:ext uri="{FF2B5EF4-FFF2-40B4-BE49-F238E27FC236}">
                <a16:creationId xmlns:a16="http://schemas.microsoft.com/office/drawing/2014/main" id="{06C70346-B156-1ED5-1FAA-845D9B7678CB}"/>
              </a:ext>
            </a:extLst>
          </xdr:cNvPr>
          <xdr:cNvCxnSpPr/>
        </xdr:nvCxnSpPr>
        <xdr:spPr>
          <a:xfrm>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29" name="Gerader Verbinder 1028">
            <a:extLst>
              <a:ext uri="{FF2B5EF4-FFF2-40B4-BE49-F238E27FC236}">
                <a16:creationId xmlns:a16="http://schemas.microsoft.com/office/drawing/2014/main" id="{D5BCEB4C-20A4-4660-7A76-0A093D87150A}"/>
              </a:ext>
            </a:extLst>
          </xdr:cNvPr>
          <xdr:cNvCxnSpPr/>
        </xdr:nvCxnSpPr>
        <xdr:spPr>
          <a:xfrm flipH="1">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70</xdr:row>
      <xdr:rowOff>0</xdr:rowOff>
    </xdr:from>
    <xdr:to>
      <xdr:col>6</xdr:col>
      <xdr:colOff>0</xdr:colOff>
      <xdr:row>71</xdr:row>
      <xdr:rowOff>0</xdr:rowOff>
    </xdr:to>
    <xdr:grpSp>
      <xdr:nvGrpSpPr>
        <xdr:cNvPr id="1033" name="Cross_F71">
          <a:extLst>
            <a:ext uri="{FF2B5EF4-FFF2-40B4-BE49-F238E27FC236}">
              <a16:creationId xmlns:a16="http://schemas.microsoft.com/office/drawing/2014/main" id="{219D28CD-198F-EB92-B485-7F6EAD450FB8}"/>
            </a:ext>
          </a:extLst>
        </xdr:cNvPr>
        <xdr:cNvGrpSpPr/>
      </xdr:nvGrpSpPr>
      <xdr:grpSpPr>
        <a:xfrm>
          <a:off x="3444240" y="13441680"/>
          <a:ext cx="601980" cy="167640"/>
          <a:chOff x="3444240" y="13441680"/>
          <a:chExt cx="601980" cy="167640"/>
        </a:xfrm>
      </xdr:grpSpPr>
      <xdr:cxnSp macro="">
        <xdr:nvCxnSpPr>
          <xdr:cNvPr id="1031" name="Gerader Verbinder 1030">
            <a:extLst>
              <a:ext uri="{FF2B5EF4-FFF2-40B4-BE49-F238E27FC236}">
                <a16:creationId xmlns:a16="http://schemas.microsoft.com/office/drawing/2014/main" id="{A00AB6E7-CD22-84F2-890E-439625A04A20}"/>
              </a:ext>
            </a:extLst>
          </xdr:cNvPr>
          <xdr:cNvCxnSpPr/>
        </xdr:nvCxnSpPr>
        <xdr:spPr>
          <a:xfrm>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32" name="Gerader Verbinder 1031">
            <a:extLst>
              <a:ext uri="{FF2B5EF4-FFF2-40B4-BE49-F238E27FC236}">
                <a16:creationId xmlns:a16="http://schemas.microsoft.com/office/drawing/2014/main" id="{4C9D2046-CA9D-1187-E0AF-09C342A592D7}"/>
              </a:ext>
            </a:extLst>
          </xdr:cNvPr>
          <xdr:cNvCxnSpPr/>
        </xdr:nvCxnSpPr>
        <xdr:spPr>
          <a:xfrm flipH="1">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71</xdr:row>
      <xdr:rowOff>0</xdr:rowOff>
    </xdr:from>
    <xdr:to>
      <xdr:col>6</xdr:col>
      <xdr:colOff>0</xdr:colOff>
      <xdr:row>72</xdr:row>
      <xdr:rowOff>1</xdr:rowOff>
    </xdr:to>
    <xdr:grpSp>
      <xdr:nvGrpSpPr>
        <xdr:cNvPr id="1036" name="Cross_F72">
          <a:extLst>
            <a:ext uri="{FF2B5EF4-FFF2-40B4-BE49-F238E27FC236}">
              <a16:creationId xmlns:a16="http://schemas.microsoft.com/office/drawing/2014/main" id="{0B1C4554-11CB-AF43-1BDD-8D84C23C5A1A}"/>
            </a:ext>
          </a:extLst>
        </xdr:cNvPr>
        <xdr:cNvGrpSpPr/>
      </xdr:nvGrpSpPr>
      <xdr:grpSpPr>
        <a:xfrm>
          <a:off x="3444240" y="13609320"/>
          <a:ext cx="601980" cy="167641"/>
          <a:chOff x="3444240" y="13609320"/>
          <a:chExt cx="601980" cy="167641"/>
        </a:xfrm>
      </xdr:grpSpPr>
      <xdr:cxnSp macro="">
        <xdr:nvCxnSpPr>
          <xdr:cNvPr id="1034" name="Gerader Verbinder 1033">
            <a:extLst>
              <a:ext uri="{FF2B5EF4-FFF2-40B4-BE49-F238E27FC236}">
                <a16:creationId xmlns:a16="http://schemas.microsoft.com/office/drawing/2014/main" id="{97EE57C9-4AF8-6C8D-628A-BAB4D7CCEF79}"/>
              </a:ext>
            </a:extLst>
          </xdr:cNvPr>
          <xdr:cNvCxnSpPr/>
        </xdr:nvCxnSpPr>
        <xdr:spPr>
          <a:xfrm>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35" name="Gerader Verbinder 1034">
            <a:extLst>
              <a:ext uri="{FF2B5EF4-FFF2-40B4-BE49-F238E27FC236}">
                <a16:creationId xmlns:a16="http://schemas.microsoft.com/office/drawing/2014/main" id="{2A289F1A-B2E2-2D70-E0D9-81367E2E67DA}"/>
              </a:ext>
            </a:extLst>
          </xdr:cNvPr>
          <xdr:cNvCxnSpPr/>
        </xdr:nvCxnSpPr>
        <xdr:spPr>
          <a:xfrm flipH="1">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72</xdr:row>
      <xdr:rowOff>1</xdr:rowOff>
    </xdr:from>
    <xdr:to>
      <xdr:col>6</xdr:col>
      <xdr:colOff>0</xdr:colOff>
      <xdr:row>73</xdr:row>
      <xdr:rowOff>1</xdr:rowOff>
    </xdr:to>
    <xdr:grpSp>
      <xdr:nvGrpSpPr>
        <xdr:cNvPr id="1039" name="Cross_F73">
          <a:extLst>
            <a:ext uri="{FF2B5EF4-FFF2-40B4-BE49-F238E27FC236}">
              <a16:creationId xmlns:a16="http://schemas.microsoft.com/office/drawing/2014/main" id="{8C0DBFE8-53DB-6E99-D7F4-4D8D0819C255}"/>
            </a:ext>
          </a:extLst>
        </xdr:cNvPr>
        <xdr:cNvGrpSpPr/>
      </xdr:nvGrpSpPr>
      <xdr:grpSpPr>
        <a:xfrm>
          <a:off x="3444240" y="13776961"/>
          <a:ext cx="601980" cy="228600"/>
          <a:chOff x="3444240" y="13776961"/>
          <a:chExt cx="601980" cy="228600"/>
        </a:xfrm>
      </xdr:grpSpPr>
      <xdr:cxnSp macro="">
        <xdr:nvCxnSpPr>
          <xdr:cNvPr id="1037" name="Gerader Verbinder 1036">
            <a:extLst>
              <a:ext uri="{FF2B5EF4-FFF2-40B4-BE49-F238E27FC236}">
                <a16:creationId xmlns:a16="http://schemas.microsoft.com/office/drawing/2014/main" id="{AC3C82F1-7B61-7E52-2C4B-34F11F248F05}"/>
              </a:ext>
            </a:extLst>
          </xdr:cNvPr>
          <xdr:cNvCxnSpPr/>
        </xdr:nvCxnSpPr>
        <xdr:spPr>
          <a:xfrm>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38" name="Gerader Verbinder 1037">
            <a:extLst>
              <a:ext uri="{FF2B5EF4-FFF2-40B4-BE49-F238E27FC236}">
                <a16:creationId xmlns:a16="http://schemas.microsoft.com/office/drawing/2014/main" id="{7B1C4D33-7A26-E860-AA7E-E9676358EFE7}"/>
              </a:ext>
            </a:extLst>
          </xdr:cNvPr>
          <xdr:cNvCxnSpPr/>
        </xdr:nvCxnSpPr>
        <xdr:spPr>
          <a:xfrm flipH="1">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73</xdr:row>
      <xdr:rowOff>1</xdr:rowOff>
    </xdr:from>
    <xdr:to>
      <xdr:col>6</xdr:col>
      <xdr:colOff>0</xdr:colOff>
      <xdr:row>74</xdr:row>
      <xdr:rowOff>0</xdr:rowOff>
    </xdr:to>
    <xdr:grpSp>
      <xdr:nvGrpSpPr>
        <xdr:cNvPr id="1042" name="Cross_F74">
          <a:extLst>
            <a:ext uri="{FF2B5EF4-FFF2-40B4-BE49-F238E27FC236}">
              <a16:creationId xmlns:a16="http://schemas.microsoft.com/office/drawing/2014/main" id="{CC8048BF-BBE7-3373-D6BA-E50B844DB5E8}"/>
            </a:ext>
          </a:extLst>
        </xdr:cNvPr>
        <xdr:cNvGrpSpPr/>
      </xdr:nvGrpSpPr>
      <xdr:grpSpPr>
        <a:xfrm>
          <a:off x="3444240" y="14005561"/>
          <a:ext cx="601980" cy="167639"/>
          <a:chOff x="3444240" y="14005561"/>
          <a:chExt cx="601980" cy="167639"/>
        </a:xfrm>
      </xdr:grpSpPr>
      <xdr:cxnSp macro="">
        <xdr:nvCxnSpPr>
          <xdr:cNvPr id="1040" name="Gerader Verbinder 1039">
            <a:extLst>
              <a:ext uri="{FF2B5EF4-FFF2-40B4-BE49-F238E27FC236}">
                <a16:creationId xmlns:a16="http://schemas.microsoft.com/office/drawing/2014/main" id="{B6D9E22E-EA31-2F9F-D3EC-B89899B45824}"/>
              </a:ext>
            </a:extLst>
          </xdr:cNvPr>
          <xdr:cNvCxnSpPr/>
        </xdr:nvCxnSpPr>
        <xdr:spPr>
          <a:xfrm>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41" name="Gerader Verbinder 1040">
            <a:extLst>
              <a:ext uri="{FF2B5EF4-FFF2-40B4-BE49-F238E27FC236}">
                <a16:creationId xmlns:a16="http://schemas.microsoft.com/office/drawing/2014/main" id="{FE97AF2A-4CA1-E293-AC46-B72B919E8397}"/>
              </a:ext>
            </a:extLst>
          </xdr:cNvPr>
          <xdr:cNvCxnSpPr/>
        </xdr:nvCxnSpPr>
        <xdr:spPr>
          <a:xfrm flipH="1">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74</xdr:row>
      <xdr:rowOff>0</xdr:rowOff>
    </xdr:from>
    <xdr:to>
      <xdr:col>6</xdr:col>
      <xdr:colOff>0</xdr:colOff>
      <xdr:row>74</xdr:row>
      <xdr:rowOff>167639</xdr:rowOff>
    </xdr:to>
    <xdr:grpSp>
      <xdr:nvGrpSpPr>
        <xdr:cNvPr id="1045" name="Cross_F75">
          <a:extLst>
            <a:ext uri="{FF2B5EF4-FFF2-40B4-BE49-F238E27FC236}">
              <a16:creationId xmlns:a16="http://schemas.microsoft.com/office/drawing/2014/main" id="{49A952E2-68F5-5A31-9292-CB6021172473}"/>
            </a:ext>
          </a:extLst>
        </xdr:cNvPr>
        <xdr:cNvGrpSpPr/>
      </xdr:nvGrpSpPr>
      <xdr:grpSpPr>
        <a:xfrm>
          <a:off x="3444240" y="14173200"/>
          <a:ext cx="601980" cy="167639"/>
          <a:chOff x="3444240" y="14173200"/>
          <a:chExt cx="601980" cy="167639"/>
        </a:xfrm>
      </xdr:grpSpPr>
      <xdr:cxnSp macro="">
        <xdr:nvCxnSpPr>
          <xdr:cNvPr id="1043" name="Gerader Verbinder 1042">
            <a:extLst>
              <a:ext uri="{FF2B5EF4-FFF2-40B4-BE49-F238E27FC236}">
                <a16:creationId xmlns:a16="http://schemas.microsoft.com/office/drawing/2014/main" id="{C767A2DF-F5AF-6AA8-4301-1E00D15F1FAC}"/>
              </a:ext>
            </a:extLst>
          </xdr:cNvPr>
          <xdr:cNvCxnSpPr/>
        </xdr:nvCxnSpPr>
        <xdr:spPr>
          <a:xfrm>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44" name="Gerader Verbinder 1043">
            <a:extLst>
              <a:ext uri="{FF2B5EF4-FFF2-40B4-BE49-F238E27FC236}">
                <a16:creationId xmlns:a16="http://schemas.microsoft.com/office/drawing/2014/main" id="{F6929AA8-2C88-4175-3639-F683F3562863}"/>
              </a:ext>
            </a:extLst>
          </xdr:cNvPr>
          <xdr:cNvCxnSpPr/>
        </xdr:nvCxnSpPr>
        <xdr:spPr>
          <a:xfrm flipH="1">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1048" name="Cross_G7">
          <a:extLst>
            <a:ext uri="{FF2B5EF4-FFF2-40B4-BE49-F238E27FC236}">
              <a16:creationId xmlns:a16="http://schemas.microsoft.com/office/drawing/2014/main" id="{B15ACC18-A459-C382-77B9-885BE32E189E}"/>
            </a:ext>
          </a:extLst>
        </xdr:cNvPr>
        <xdr:cNvGrpSpPr/>
      </xdr:nvGrpSpPr>
      <xdr:grpSpPr>
        <a:xfrm>
          <a:off x="4046220" y="1371600"/>
          <a:ext cx="601980" cy="228600"/>
          <a:chOff x="4046220" y="1371600"/>
          <a:chExt cx="601980" cy="228600"/>
        </a:xfrm>
      </xdr:grpSpPr>
      <xdr:cxnSp macro="">
        <xdr:nvCxnSpPr>
          <xdr:cNvPr id="1046" name="Gerader Verbinder 1045">
            <a:extLst>
              <a:ext uri="{FF2B5EF4-FFF2-40B4-BE49-F238E27FC236}">
                <a16:creationId xmlns:a16="http://schemas.microsoft.com/office/drawing/2014/main" id="{15B2D9CE-C007-EBE5-E855-CB5070CCB8ED}"/>
              </a:ext>
            </a:extLst>
          </xdr:cNvPr>
          <xdr:cNvCxnSpPr/>
        </xdr:nvCxnSpPr>
        <xdr:spPr>
          <a:xfrm>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47" name="Gerader Verbinder 1046">
            <a:extLst>
              <a:ext uri="{FF2B5EF4-FFF2-40B4-BE49-F238E27FC236}">
                <a16:creationId xmlns:a16="http://schemas.microsoft.com/office/drawing/2014/main" id="{7D841462-2EAD-AB3B-133C-4004B9290D44}"/>
              </a:ext>
            </a:extLst>
          </xdr:cNvPr>
          <xdr:cNvCxnSpPr/>
        </xdr:nvCxnSpPr>
        <xdr:spPr>
          <a:xfrm flipH="1">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xdr:row>
      <xdr:rowOff>0</xdr:rowOff>
    </xdr:from>
    <xdr:to>
      <xdr:col>7</xdr:col>
      <xdr:colOff>0</xdr:colOff>
      <xdr:row>8</xdr:row>
      <xdr:rowOff>0</xdr:rowOff>
    </xdr:to>
    <xdr:grpSp>
      <xdr:nvGrpSpPr>
        <xdr:cNvPr id="1051" name="Cross_G8">
          <a:extLst>
            <a:ext uri="{FF2B5EF4-FFF2-40B4-BE49-F238E27FC236}">
              <a16:creationId xmlns:a16="http://schemas.microsoft.com/office/drawing/2014/main" id="{99012773-496F-E07F-6BF8-BAACD936F195}"/>
            </a:ext>
          </a:extLst>
        </xdr:cNvPr>
        <xdr:cNvGrpSpPr/>
      </xdr:nvGrpSpPr>
      <xdr:grpSpPr>
        <a:xfrm>
          <a:off x="4046220" y="1600200"/>
          <a:ext cx="601980" cy="167640"/>
          <a:chOff x="4046220" y="1600200"/>
          <a:chExt cx="601980" cy="167640"/>
        </a:xfrm>
      </xdr:grpSpPr>
      <xdr:cxnSp macro="">
        <xdr:nvCxnSpPr>
          <xdr:cNvPr id="1049" name="Gerader Verbinder 1048">
            <a:extLst>
              <a:ext uri="{FF2B5EF4-FFF2-40B4-BE49-F238E27FC236}">
                <a16:creationId xmlns:a16="http://schemas.microsoft.com/office/drawing/2014/main" id="{4CC9124E-136A-E34F-D19D-2ADB67981EDA}"/>
              </a:ext>
            </a:extLst>
          </xdr:cNvPr>
          <xdr:cNvCxnSpPr/>
        </xdr:nvCxnSpPr>
        <xdr:spPr>
          <a:xfrm>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0" name="Gerader Verbinder 1049">
            <a:extLst>
              <a:ext uri="{FF2B5EF4-FFF2-40B4-BE49-F238E27FC236}">
                <a16:creationId xmlns:a16="http://schemas.microsoft.com/office/drawing/2014/main" id="{E9335CAC-46D0-5300-381D-6154FA8F40AA}"/>
              </a:ext>
            </a:extLst>
          </xdr:cNvPr>
          <xdr:cNvCxnSpPr/>
        </xdr:nvCxnSpPr>
        <xdr:spPr>
          <a:xfrm flipH="1">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8</xdr:row>
      <xdr:rowOff>0</xdr:rowOff>
    </xdr:from>
    <xdr:to>
      <xdr:col>7</xdr:col>
      <xdr:colOff>0</xdr:colOff>
      <xdr:row>9</xdr:row>
      <xdr:rowOff>0</xdr:rowOff>
    </xdr:to>
    <xdr:grpSp>
      <xdr:nvGrpSpPr>
        <xdr:cNvPr id="1054" name="Cross_G9">
          <a:extLst>
            <a:ext uri="{FF2B5EF4-FFF2-40B4-BE49-F238E27FC236}">
              <a16:creationId xmlns:a16="http://schemas.microsoft.com/office/drawing/2014/main" id="{1EFCA36B-F204-FBB5-0E98-8D97012B6492}"/>
            </a:ext>
          </a:extLst>
        </xdr:cNvPr>
        <xdr:cNvGrpSpPr/>
      </xdr:nvGrpSpPr>
      <xdr:grpSpPr>
        <a:xfrm>
          <a:off x="4046220" y="1767840"/>
          <a:ext cx="601980" cy="167640"/>
          <a:chOff x="4046220" y="1767840"/>
          <a:chExt cx="601980" cy="167640"/>
        </a:xfrm>
      </xdr:grpSpPr>
      <xdr:cxnSp macro="">
        <xdr:nvCxnSpPr>
          <xdr:cNvPr id="1052" name="Gerader Verbinder 1051">
            <a:extLst>
              <a:ext uri="{FF2B5EF4-FFF2-40B4-BE49-F238E27FC236}">
                <a16:creationId xmlns:a16="http://schemas.microsoft.com/office/drawing/2014/main" id="{6B4D3A33-D132-D448-3EFB-49D580AA4824}"/>
              </a:ext>
            </a:extLst>
          </xdr:cNvPr>
          <xdr:cNvCxnSpPr/>
        </xdr:nvCxnSpPr>
        <xdr:spPr>
          <a:xfrm>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3" name="Gerader Verbinder 1052">
            <a:extLst>
              <a:ext uri="{FF2B5EF4-FFF2-40B4-BE49-F238E27FC236}">
                <a16:creationId xmlns:a16="http://schemas.microsoft.com/office/drawing/2014/main" id="{DA91A86F-292F-DAC8-1362-1604C3BD524E}"/>
              </a:ext>
            </a:extLst>
          </xdr:cNvPr>
          <xdr:cNvCxnSpPr/>
        </xdr:nvCxnSpPr>
        <xdr:spPr>
          <a:xfrm flipH="1">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1057" name="Cross_G16">
          <a:extLst>
            <a:ext uri="{FF2B5EF4-FFF2-40B4-BE49-F238E27FC236}">
              <a16:creationId xmlns:a16="http://schemas.microsoft.com/office/drawing/2014/main" id="{8BF93D23-D3C5-CD6E-7325-AB7E738F4AAD}"/>
            </a:ext>
          </a:extLst>
        </xdr:cNvPr>
        <xdr:cNvGrpSpPr/>
      </xdr:nvGrpSpPr>
      <xdr:grpSpPr>
        <a:xfrm>
          <a:off x="4046220" y="3063240"/>
          <a:ext cx="601980" cy="228600"/>
          <a:chOff x="4046220" y="3063240"/>
          <a:chExt cx="601980" cy="228600"/>
        </a:xfrm>
      </xdr:grpSpPr>
      <xdr:cxnSp macro="">
        <xdr:nvCxnSpPr>
          <xdr:cNvPr id="1055" name="Gerader Verbinder 1054">
            <a:extLst>
              <a:ext uri="{FF2B5EF4-FFF2-40B4-BE49-F238E27FC236}">
                <a16:creationId xmlns:a16="http://schemas.microsoft.com/office/drawing/2014/main" id="{7BF78814-FE17-C4DA-7C3D-2EFFBFC3D3BF}"/>
              </a:ext>
            </a:extLst>
          </xdr:cNvPr>
          <xdr:cNvCxnSpPr/>
        </xdr:nvCxnSpPr>
        <xdr:spPr>
          <a:xfrm>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6" name="Gerader Verbinder 1055">
            <a:extLst>
              <a:ext uri="{FF2B5EF4-FFF2-40B4-BE49-F238E27FC236}">
                <a16:creationId xmlns:a16="http://schemas.microsoft.com/office/drawing/2014/main" id="{5BADB62F-4BC9-9281-82E1-862650439877}"/>
              </a:ext>
            </a:extLst>
          </xdr:cNvPr>
          <xdr:cNvCxnSpPr/>
        </xdr:nvCxnSpPr>
        <xdr:spPr>
          <a:xfrm flipH="1">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1060" name="Cross_G17">
          <a:extLst>
            <a:ext uri="{FF2B5EF4-FFF2-40B4-BE49-F238E27FC236}">
              <a16:creationId xmlns:a16="http://schemas.microsoft.com/office/drawing/2014/main" id="{0949D6ED-650B-0658-738E-F29DD7BDB900}"/>
            </a:ext>
          </a:extLst>
        </xdr:cNvPr>
        <xdr:cNvGrpSpPr/>
      </xdr:nvGrpSpPr>
      <xdr:grpSpPr>
        <a:xfrm>
          <a:off x="4046220" y="3291840"/>
          <a:ext cx="601980" cy="167640"/>
          <a:chOff x="4046220" y="3291840"/>
          <a:chExt cx="601980" cy="167640"/>
        </a:xfrm>
      </xdr:grpSpPr>
      <xdr:cxnSp macro="">
        <xdr:nvCxnSpPr>
          <xdr:cNvPr id="1058" name="Gerader Verbinder 1057">
            <a:extLst>
              <a:ext uri="{FF2B5EF4-FFF2-40B4-BE49-F238E27FC236}">
                <a16:creationId xmlns:a16="http://schemas.microsoft.com/office/drawing/2014/main" id="{9E84A631-C73F-8272-61CD-34ACDBF5D065}"/>
              </a:ext>
            </a:extLst>
          </xdr:cNvPr>
          <xdr:cNvCxnSpPr/>
        </xdr:nvCxnSpPr>
        <xdr:spPr>
          <a:xfrm>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9" name="Gerader Verbinder 1058">
            <a:extLst>
              <a:ext uri="{FF2B5EF4-FFF2-40B4-BE49-F238E27FC236}">
                <a16:creationId xmlns:a16="http://schemas.microsoft.com/office/drawing/2014/main" id="{866691CA-A309-C31E-A6EF-E62F19C91C1B}"/>
              </a:ext>
            </a:extLst>
          </xdr:cNvPr>
          <xdr:cNvCxnSpPr/>
        </xdr:nvCxnSpPr>
        <xdr:spPr>
          <a:xfrm flipH="1">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1063" name="Cross_G18">
          <a:extLst>
            <a:ext uri="{FF2B5EF4-FFF2-40B4-BE49-F238E27FC236}">
              <a16:creationId xmlns:a16="http://schemas.microsoft.com/office/drawing/2014/main" id="{C32515B1-3D6F-A7B4-44F6-35C234CA6A05}"/>
            </a:ext>
          </a:extLst>
        </xdr:cNvPr>
        <xdr:cNvGrpSpPr/>
      </xdr:nvGrpSpPr>
      <xdr:grpSpPr>
        <a:xfrm>
          <a:off x="4046220" y="3459480"/>
          <a:ext cx="601980" cy="167640"/>
          <a:chOff x="4046220" y="3459480"/>
          <a:chExt cx="601980" cy="167640"/>
        </a:xfrm>
      </xdr:grpSpPr>
      <xdr:cxnSp macro="">
        <xdr:nvCxnSpPr>
          <xdr:cNvPr id="1061" name="Gerader Verbinder 1060">
            <a:extLst>
              <a:ext uri="{FF2B5EF4-FFF2-40B4-BE49-F238E27FC236}">
                <a16:creationId xmlns:a16="http://schemas.microsoft.com/office/drawing/2014/main" id="{28F0F32C-0621-7067-D8F1-0842C75AD287}"/>
              </a:ext>
            </a:extLst>
          </xdr:cNvPr>
          <xdr:cNvCxnSpPr/>
        </xdr:nvCxnSpPr>
        <xdr:spPr>
          <a:xfrm>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62" name="Gerader Verbinder 1061">
            <a:extLst>
              <a:ext uri="{FF2B5EF4-FFF2-40B4-BE49-F238E27FC236}">
                <a16:creationId xmlns:a16="http://schemas.microsoft.com/office/drawing/2014/main" id="{683043E0-E171-2F57-4DDF-BF347B6E7A99}"/>
              </a:ext>
            </a:extLst>
          </xdr:cNvPr>
          <xdr:cNvCxnSpPr/>
        </xdr:nvCxnSpPr>
        <xdr:spPr>
          <a:xfrm flipH="1">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1066" name="Cross_G25">
          <a:extLst>
            <a:ext uri="{FF2B5EF4-FFF2-40B4-BE49-F238E27FC236}">
              <a16:creationId xmlns:a16="http://schemas.microsoft.com/office/drawing/2014/main" id="{5905AB98-5E3B-6E44-8468-B7159770C840}"/>
            </a:ext>
          </a:extLst>
        </xdr:cNvPr>
        <xdr:cNvGrpSpPr/>
      </xdr:nvGrpSpPr>
      <xdr:grpSpPr>
        <a:xfrm>
          <a:off x="4046220" y="4754880"/>
          <a:ext cx="601980" cy="228600"/>
          <a:chOff x="4046220" y="4754880"/>
          <a:chExt cx="601980" cy="228600"/>
        </a:xfrm>
      </xdr:grpSpPr>
      <xdr:cxnSp macro="">
        <xdr:nvCxnSpPr>
          <xdr:cNvPr id="1064" name="Gerader Verbinder 1063">
            <a:extLst>
              <a:ext uri="{FF2B5EF4-FFF2-40B4-BE49-F238E27FC236}">
                <a16:creationId xmlns:a16="http://schemas.microsoft.com/office/drawing/2014/main" id="{AE54B485-2939-476B-42D6-930C3FECE5DB}"/>
              </a:ext>
            </a:extLst>
          </xdr:cNvPr>
          <xdr:cNvCxnSpPr/>
        </xdr:nvCxnSpPr>
        <xdr:spPr>
          <a:xfrm>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65" name="Gerader Verbinder 1064">
            <a:extLst>
              <a:ext uri="{FF2B5EF4-FFF2-40B4-BE49-F238E27FC236}">
                <a16:creationId xmlns:a16="http://schemas.microsoft.com/office/drawing/2014/main" id="{197621B8-7C1A-BBA4-F61E-C2CC13150B7E}"/>
              </a:ext>
            </a:extLst>
          </xdr:cNvPr>
          <xdr:cNvCxnSpPr/>
        </xdr:nvCxnSpPr>
        <xdr:spPr>
          <a:xfrm flipH="1">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1069" name="Cross_G26">
          <a:extLst>
            <a:ext uri="{FF2B5EF4-FFF2-40B4-BE49-F238E27FC236}">
              <a16:creationId xmlns:a16="http://schemas.microsoft.com/office/drawing/2014/main" id="{0244437C-A998-9488-45D9-206DBF7D8EE3}"/>
            </a:ext>
          </a:extLst>
        </xdr:cNvPr>
        <xdr:cNvGrpSpPr/>
      </xdr:nvGrpSpPr>
      <xdr:grpSpPr>
        <a:xfrm>
          <a:off x="4046220" y="4983480"/>
          <a:ext cx="601980" cy="167640"/>
          <a:chOff x="4046220" y="4983480"/>
          <a:chExt cx="601980" cy="167640"/>
        </a:xfrm>
      </xdr:grpSpPr>
      <xdr:cxnSp macro="">
        <xdr:nvCxnSpPr>
          <xdr:cNvPr id="1067" name="Gerader Verbinder 1066">
            <a:extLst>
              <a:ext uri="{FF2B5EF4-FFF2-40B4-BE49-F238E27FC236}">
                <a16:creationId xmlns:a16="http://schemas.microsoft.com/office/drawing/2014/main" id="{DC7D2B18-FDC7-49AC-F149-14D9B60E52F7}"/>
              </a:ext>
            </a:extLst>
          </xdr:cNvPr>
          <xdr:cNvCxnSpPr/>
        </xdr:nvCxnSpPr>
        <xdr:spPr>
          <a:xfrm>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68" name="Gerader Verbinder 1067">
            <a:extLst>
              <a:ext uri="{FF2B5EF4-FFF2-40B4-BE49-F238E27FC236}">
                <a16:creationId xmlns:a16="http://schemas.microsoft.com/office/drawing/2014/main" id="{E4254B4A-7098-136B-D757-BAF04DEDAC18}"/>
              </a:ext>
            </a:extLst>
          </xdr:cNvPr>
          <xdr:cNvCxnSpPr/>
        </xdr:nvCxnSpPr>
        <xdr:spPr>
          <a:xfrm flipH="1">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1072" name="Cross_G27">
          <a:extLst>
            <a:ext uri="{FF2B5EF4-FFF2-40B4-BE49-F238E27FC236}">
              <a16:creationId xmlns:a16="http://schemas.microsoft.com/office/drawing/2014/main" id="{CA640F45-1A73-2F8F-571A-F765A8464F86}"/>
            </a:ext>
          </a:extLst>
        </xdr:cNvPr>
        <xdr:cNvGrpSpPr/>
      </xdr:nvGrpSpPr>
      <xdr:grpSpPr>
        <a:xfrm>
          <a:off x="4046220" y="5151120"/>
          <a:ext cx="601980" cy="167640"/>
          <a:chOff x="4046220" y="5151120"/>
          <a:chExt cx="601980" cy="167640"/>
        </a:xfrm>
      </xdr:grpSpPr>
      <xdr:cxnSp macro="">
        <xdr:nvCxnSpPr>
          <xdr:cNvPr id="1070" name="Gerader Verbinder 1069">
            <a:extLst>
              <a:ext uri="{FF2B5EF4-FFF2-40B4-BE49-F238E27FC236}">
                <a16:creationId xmlns:a16="http://schemas.microsoft.com/office/drawing/2014/main" id="{FB35EA17-AA4A-A11B-37C5-E67B1C9C6792}"/>
              </a:ext>
            </a:extLst>
          </xdr:cNvPr>
          <xdr:cNvCxnSpPr/>
        </xdr:nvCxnSpPr>
        <xdr:spPr>
          <a:xfrm>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71" name="Gerader Verbinder 1070">
            <a:extLst>
              <a:ext uri="{FF2B5EF4-FFF2-40B4-BE49-F238E27FC236}">
                <a16:creationId xmlns:a16="http://schemas.microsoft.com/office/drawing/2014/main" id="{B74BAE76-77CD-6BFC-F4E9-4D7AF076B6EC}"/>
              </a:ext>
            </a:extLst>
          </xdr:cNvPr>
          <xdr:cNvCxnSpPr/>
        </xdr:nvCxnSpPr>
        <xdr:spPr>
          <a:xfrm flipH="1">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30</xdr:row>
      <xdr:rowOff>0</xdr:rowOff>
    </xdr:from>
    <xdr:to>
      <xdr:col>7</xdr:col>
      <xdr:colOff>0</xdr:colOff>
      <xdr:row>31</xdr:row>
      <xdr:rowOff>0</xdr:rowOff>
    </xdr:to>
    <xdr:grpSp>
      <xdr:nvGrpSpPr>
        <xdr:cNvPr id="1075" name="Cross_G31">
          <a:extLst>
            <a:ext uri="{FF2B5EF4-FFF2-40B4-BE49-F238E27FC236}">
              <a16:creationId xmlns:a16="http://schemas.microsoft.com/office/drawing/2014/main" id="{C4FBA9D3-7C1E-E501-C7F7-60FC3707935D}"/>
            </a:ext>
          </a:extLst>
        </xdr:cNvPr>
        <xdr:cNvGrpSpPr/>
      </xdr:nvGrpSpPr>
      <xdr:grpSpPr>
        <a:xfrm>
          <a:off x="4046220" y="5882640"/>
          <a:ext cx="601980" cy="228600"/>
          <a:chOff x="4046220" y="5882640"/>
          <a:chExt cx="601980" cy="228600"/>
        </a:xfrm>
      </xdr:grpSpPr>
      <xdr:cxnSp macro="">
        <xdr:nvCxnSpPr>
          <xdr:cNvPr id="1073" name="Gerader Verbinder 1072">
            <a:extLst>
              <a:ext uri="{FF2B5EF4-FFF2-40B4-BE49-F238E27FC236}">
                <a16:creationId xmlns:a16="http://schemas.microsoft.com/office/drawing/2014/main" id="{22F137E1-92ED-6581-8E6C-75F846141632}"/>
              </a:ext>
            </a:extLst>
          </xdr:cNvPr>
          <xdr:cNvCxnSpPr/>
        </xdr:nvCxnSpPr>
        <xdr:spPr>
          <a:xfrm>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74" name="Gerader Verbinder 1073">
            <a:extLst>
              <a:ext uri="{FF2B5EF4-FFF2-40B4-BE49-F238E27FC236}">
                <a16:creationId xmlns:a16="http://schemas.microsoft.com/office/drawing/2014/main" id="{C8CDE66C-5793-1CD6-1F05-C402E0E33AA0}"/>
              </a:ext>
            </a:extLst>
          </xdr:cNvPr>
          <xdr:cNvCxnSpPr/>
        </xdr:nvCxnSpPr>
        <xdr:spPr>
          <a:xfrm flipH="1">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31</xdr:row>
      <xdr:rowOff>0</xdr:rowOff>
    </xdr:from>
    <xdr:to>
      <xdr:col>7</xdr:col>
      <xdr:colOff>0</xdr:colOff>
      <xdr:row>32</xdr:row>
      <xdr:rowOff>0</xdr:rowOff>
    </xdr:to>
    <xdr:grpSp>
      <xdr:nvGrpSpPr>
        <xdr:cNvPr id="1078" name="Cross_G32">
          <a:extLst>
            <a:ext uri="{FF2B5EF4-FFF2-40B4-BE49-F238E27FC236}">
              <a16:creationId xmlns:a16="http://schemas.microsoft.com/office/drawing/2014/main" id="{BFFD3BB4-94DD-7F91-C621-44C07052A54B}"/>
            </a:ext>
          </a:extLst>
        </xdr:cNvPr>
        <xdr:cNvGrpSpPr/>
      </xdr:nvGrpSpPr>
      <xdr:grpSpPr>
        <a:xfrm>
          <a:off x="4046220" y="6111240"/>
          <a:ext cx="601980" cy="167640"/>
          <a:chOff x="4046220" y="6111240"/>
          <a:chExt cx="601980" cy="167640"/>
        </a:xfrm>
      </xdr:grpSpPr>
      <xdr:cxnSp macro="">
        <xdr:nvCxnSpPr>
          <xdr:cNvPr id="1076" name="Gerader Verbinder 1075">
            <a:extLst>
              <a:ext uri="{FF2B5EF4-FFF2-40B4-BE49-F238E27FC236}">
                <a16:creationId xmlns:a16="http://schemas.microsoft.com/office/drawing/2014/main" id="{61E16C9F-EE4B-F743-50DE-DE1C62092ADE}"/>
              </a:ext>
            </a:extLst>
          </xdr:cNvPr>
          <xdr:cNvCxnSpPr/>
        </xdr:nvCxnSpPr>
        <xdr:spPr>
          <a:xfrm>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77" name="Gerader Verbinder 1076">
            <a:extLst>
              <a:ext uri="{FF2B5EF4-FFF2-40B4-BE49-F238E27FC236}">
                <a16:creationId xmlns:a16="http://schemas.microsoft.com/office/drawing/2014/main" id="{CD8E8FB2-4BFA-C53A-1BB2-A09D9B93DC4D}"/>
              </a:ext>
            </a:extLst>
          </xdr:cNvPr>
          <xdr:cNvCxnSpPr/>
        </xdr:nvCxnSpPr>
        <xdr:spPr>
          <a:xfrm flipH="1">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32</xdr:row>
      <xdr:rowOff>0</xdr:rowOff>
    </xdr:from>
    <xdr:to>
      <xdr:col>7</xdr:col>
      <xdr:colOff>0</xdr:colOff>
      <xdr:row>33</xdr:row>
      <xdr:rowOff>0</xdr:rowOff>
    </xdr:to>
    <xdr:grpSp>
      <xdr:nvGrpSpPr>
        <xdr:cNvPr id="1081" name="Cross_G33">
          <a:extLst>
            <a:ext uri="{FF2B5EF4-FFF2-40B4-BE49-F238E27FC236}">
              <a16:creationId xmlns:a16="http://schemas.microsoft.com/office/drawing/2014/main" id="{C3D9ED71-6D14-2271-488B-0E14E8B3E15C}"/>
            </a:ext>
          </a:extLst>
        </xdr:cNvPr>
        <xdr:cNvGrpSpPr/>
      </xdr:nvGrpSpPr>
      <xdr:grpSpPr>
        <a:xfrm>
          <a:off x="4046220" y="6278880"/>
          <a:ext cx="601980" cy="167640"/>
          <a:chOff x="4046220" y="6278880"/>
          <a:chExt cx="601980" cy="167640"/>
        </a:xfrm>
      </xdr:grpSpPr>
      <xdr:cxnSp macro="">
        <xdr:nvCxnSpPr>
          <xdr:cNvPr id="1079" name="Gerader Verbinder 1078">
            <a:extLst>
              <a:ext uri="{FF2B5EF4-FFF2-40B4-BE49-F238E27FC236}">
                <a16:creationId xmlns:a16="http://schemas.microsoft.com/office/drawing/2014/main" id="{4D44B401-1F6C-F168-5EF3-FB44F77BF81A}"/>
              </a:ext>
            </a:extLst>
          </xdr:cNvPr>
          <xdr:cNvCxnSpPr/>
        </xdr:nvCxnSpPr>
        <xdr:spPr>
          <a:xfrm>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0" name="Gerader Verbinder 1079">
            <a:extLst>
              <a:ext uri="{FF2B5EF4-FFF2-40B4-BE49-F238E27FC236}">
                <a16:creationId xmlns:a16="http://schemas.microsoft.com/office/drawing/2014/main" id="{DD13EF7A-4B63-BFC8-FF29-674A8A34B03E}"/>
              </a:ext>
            </a:extLst>
          </xdr:cNvPr>
          <xdr:cNvCxnSpPr/>
        </xdr:nvCxnSpPr>
        <xdr:spPr>
          <a:xfrm flipH="1">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42</xdr:row>
      <xdr:rowOff>0</xdr:rowOff>
    </xdr:from>
    <xdr:to>
      <xdr:col>7</xdr:col>
      <xdr:colOff>0</xdr:colOff>
      <xdr:row>43</xdr:row>
      <xdr:rowOff>0</xdr:rowOff>
    </xdr:to>
    <xdr:grpSp>
      <xdr:nvGrpSpPr>
        <xdr:cNvPr id="1084" name="Cross_G43">
          <a:extLst>
            <a:ext uri="{FF2B5EF4-FFF2-40B4-BE49-F238E27FC236}">
              <a16:creationId xmlns:a16="http://schemas.microsoft.com/office/drawing/2014/main" id="{A6D7CA4B-8A80-E900-72AE-16C866CA3D3E}"/>
            </a:ext>
          </a:extLst>
        </xdr:cNvPr>
        <xdr:cNvGrpSpPr/>
      </xdr:nvGrpSpPr>
      <xdr:grpSpPr>
        <a:xfrm>
          <a:off x="4046220" y="8138160"/>
          <a:ext cx="601980" cy="228600"/>
          <a:chOff x="4046220" y="8138160"/>
          <a:chExt cx="601980" cy="228600"/>
        </a:xfrm>
      </xdr:grpSpPr>
      <xdr:cxnSp macro="">
        <xdr:nvCxnSpPr>
          <xdr:cNvPr id="1082" name="Gerader Verbinder 1081">
            <a:extLst>
              <a:ext uri="{FF2B5EF4-FFF2-40B4-BE49-F238E27FC236}">
                <a16:creationId xmlns:a16="http://schemas.microsoft.com/office/drawing/2014/main" id="{3B04DD1B-96EE-340B-C478-B626F0E029AE}"/>
              </a:ext>
            </a:extLst>
          </xdr:cNvPr>
          <xdr:cNvCxnSpPr/>
        </xdr:nvCxnSpPr>
        <xdr:spPr>
          <a:xfrm>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3" name="Gerader Verbinder 1082">
            <a:extLst>
              <a:ext uri="{FF2B5EF4-FFF2-40B4-BE49-F238E27FC236}">
                <a16:creationId xmlns:a16="http://schemas.microsoft.com/office/drawing/2014/main" id="{71A4D15A-D0F0-9602-6E66-E277A6CEA4B2}"/>
              </a:ext>
            </a:extLst>
          </xdr:cNvPr>
          <xdr:cNvCxnSpPr/>
        </xdr:nvCxnSpPr>
        <xdr:spPr>
          <a:xfrm flipH="1">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43</xdr:row>
      <xdr:rowOff>0</xdr:rowOff>
    </xdr:from>
    <xdr:to>
      <xdr:col>7</xdr:col>
      <xdr:colOff>0</xdr:colOff>
      <xdr:row>44</xdr:row>
      <xdr:rowOff>0</xdr:rowOff>
    </xdr:to>
    <xdr:grpSp>
      <xdr:nvGrpSpPr>
        <xdr:cNvPr id="1087" name="Cross_G44">
          <a:extLst>
            <a:ext uri="{FF2B5EF4-FFF2-40B4-BE49-F238E27FC236}">
              <a16:creationId xmlns:a16="http://schemas.microsoft.com/office/drawing/2014/main" id="{A7234387-F18C-164D-7714-F44BB2453AF7}"/>
            </a:ext>
          </a:extLst>
        </xdr:cNvPr>
        <xdr:cNvGrpSpPr/>
      </xdr:nvGrpSpPr>
      <xdr:grpSpPr>
        <a:xfrm>
          <a:off x="4046220" y="8366760"/>
          <a:ext cx="601980" cy="167640"/>
          <a:chOff x="4046220" y="8366760"/>
          <a:chExt cx="601980" cy="167640"/>
        </a:xfrm>
      </xdr:grpSpPr>
      <xdr:cxnSp macro="">
        <xdr:nvCxnSpPr>
          <xdr:cNvPr id="1085" name="Gerader Verbinder 1084">
            <a:extLst>
              <a:ext uri="{FF2B5EF4-FFF2-40B4-BE49-F238E27FC236}">
                <a16:creationId xmlns:a16="http://schemas.microsoft.com/office/drawing/2014/main" id="{71BD3413-C627-CF8D-FE11-FA98630CB4BF}"/>
              </a:ext>
            </a:extLst>
          </xdr:cNvPr>
          <xdr:cNvCxnSpPr/>
        </xdr:nvCxnSpPr>
        <xdr:spPr>
          <a:xfrm>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6" name="Gerader Verbinder 1085">
            <a:extLst>
              <a:ext uri="{FF2B5EF4-FFF2-40B4-BE49-F238E27FC236}">
                <a16:creationId xmlns:a16="http://schemas.microsoft.com/office/drawing/2014/main" id="{88473B68-5874-2234-60F6-C0462B1A6207}"/>
              </a:ext>
            </a:extLst>
          </xdr:cNvPr>
          <xdr:cNvCxnSpPr/>
        </xdr:nvCxnSpPr>
        <xdr:spPr>
          <a:xfrm flipH="1">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44</xdr:row>
      <xdr:rowOff>0</xdr:rowOff>
    </xdr:from>
    <xdr:to>
      <xdr:col>7</xdr:col>
      <xdr:colOff>0</xdr:colOff>
      <xdr:row>45</xdr:row>
      <xdr:rowOff>0</xdr:rowOff>
    </xdr:to>
    <xdr:grpSp>
      <xdr:nvGrpSpPr>
        <xdr:cNvPr id="1090" name="Cross_G45">
          <a:extLst>
            <a:ext uri="{FF2B5EF4-FFF2-40B4-BE49-F238E27FC236}">
              <a16:creationId xmlns:a16="http://schemas.microsoft.com/office/drawing/2014/main" id="{A0CBD76B-17AF-36D6-5945-A2D69FF7852B}"/>
            </a:ext>
          </a:extLst>
        </xdr:cNvPr>
        <xdr:cNvGrpSpPr/>
      </xdr:nvGrpSpPr>
      <xdr:grpSpPr>
        <a:xfrm>
          <a:off x="4046220" y="8534400"/>
          <a:ext cx="601980" cy="167640"/>
          <a:chOff x="4046220" y="8534400"/>
          <a:chExt cx="601980" cy="167640"/>
        </a:xfrm>
      </xdr:grpSpPr>
      <xdr:cxnSp macro="">
        <xdr:nvCxnSpPr>
          <xdr:cNvPr id="1088" name="Gerader Verbinder 1087">
            <a:extLst>
              <a:ext uri="{FF2B5EF4-FFF2-40B4-BE49-F238E27FC236}">
                <a16:creationId xmlns:a16="http://schemas.microsoft.com/office/drawing/2014/main" id="{4587AC85-D9AC-6D45-AE18-4BFADDBFD7BC}"/>
              </a:ext>
            </a:extLst>
          </xdr:cNvPr>
          <xdr:cNvCxnSpPr/>
        </xdr:nvCxnSpPr>
        <xdr:spPr>
          <a:xfrm>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9" name="Gerader Verbinder 1088">
            <a:extLst>
              <a:ext uri="{FF2B5EF4-FFF2-40B4-BE49-F238E27FC236}">
                <a16:creationId xmlns:a16="http://schemas.microsoft.com/office/drawing/2014/main" id="{CF838A1D-BB4B-4FC3-078C-7345EDA23E25}"/>
              </a:ext>
            </a:extLst>
          </xdr:cNvPr>
          <xdr:cNvCxnSpPr/>
        </xdr:nvCxnSpPr>
        <xdr:spPr>
          <a:xfrm flipH="1">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48</xdr:row>
      <xdr:rowOff>0</xdr:rowOff>
    </xdr:from>
    <xdr:to>
      <xdr:col>7</xdr:col>
      <xdr:colOff>0</xdr:colOff>
      <xdr:row>49</xdr:row>
      <xdr:rowOff>0</xdr:rowOff>
    </xdr:to>
    <xdr:grpSp>
      <xdr:nvGrpSpPr>
        <xdr:cNvPr id="1093" name="Cross_G49">
          <a:extLst>
            <a:ext uri="{FF2B5EF4-FFF2-40B4-BE49-F238E27FC236}">
              <a16:creationId xmlns:a16="http://schemas.microsoft.com/office/drawing/2014/main" id="{479EC103-0BD2-F47B-952A-4E9C66046643}"/>
            </a:ext>
          </a:extLst>
        </xdr:cNvPr>
        <xdr:cNvGrpSpPr/>
      </xdr:nvGrpSpPr>
      <xdr:grpSpPr>
        <a:xfrm>
          <a:off x="4046220" y="9265920"/>
          <a:ext cx="601980" cy="228600"/>
          <a:chOff x="4046220" y="9265920"/>
          <a:chExt cx="601980" cy="228600"/>
        </a:xfrm>
      </xdr:grpSpPr>
      <xdr:cxnSp macro="">
        <xdr:nvCxnSpPr>
          <xdr:cNvPr id="1091" name="Gerader Verbinder 1090">
            <a:extLst>
              <a:ext uri="{FF2B5EF4-FFF2-40B4-BE49-F238E27FC236}">
                <a16:creationId xmlns:a16="http://schemas.microsoft.com/office/drawing/2014/main" id="{DB81C444-B231-FE0A-3283-69ED021C5CE7}"/>
              </a:ext>
            </a:extLst>
          </xdr:cNvPr>
          <xdr:cNvCxnSpPr/>
        </xdr:nvCxnSpPr>
        <xdr:spPr>
          <a:xfrm>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92" name="Gerader Verbinder 1091">
            <a:extLst>
              <a:ext uri="{FF2B5EF4-FFF2-40B4-BE49-F238E27FC236}">
                <a16:creationId xmlns:a16="http://schemas.microsoft.com/office/drawing/2014/main" id="{B0C233B6-C42D-C9DD-C3AD-5062CE560BD1}"/>
              </a:ext>
            </a:extLst>
          </xdr:cNvPr>
          <xdr:cNvCxnSpPr/>
        </xdr:nvCxnSpPr>
        <xdr:spPr>
          <a:xfrm flipH="1">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49</xdr:row>
      <xdr:rowOff>0</xdr:rowOff>
    </xdr:from>
    <xdr:to>
      <xdr:col>7</xdr:col>
      <xdr:colOff>0</xdr:colOff>
      <xdr:row>50</xdr:row>
      <xdr:rowOff>0</xdr:rowOff>
    </xdr:to>
    <xdr:grpSp>
      <xdr:nvGrpSpPr>
        <xdr:cNvPr id="1096" name="Cross_G50">
          <a:extLst>
            <a:ext uri="{FF2B5EF4-FFF2-40B4-BE49-F238E27FC236}">
              <a16:creationId xmlns:a16="http://schemas.microsoft.com/office/drawing/2014/main" id="{530AFCBA-A884-3A87-2EAE-A0A4F65E638F}"/>
            </a:ext>
          </a:extLst>
        </xdr:cNvPr>
        <xdr:cNvGrpSpPr/>
      </xdr:nvGrpSpPr>
      <xdr:grpSpPr>
        <a:xfrm>
          <a:off x="4046220" y="9494520"/>
          <a:ext cx="601980" cy="167640"/>
          <a:chOff x="4046220" y="9494520"/>
          <a:chExt cx="601980" cy="167640"/>
        </a:xfrm>
      </xdr:grpSpPr>
      <xdr:cxnSp macro="">
        <xdr:nvCxnSpPr>
          <xdr:cNvPr id="1094" name="Gerader Verbinder 1093">
            <a:extLst>
              <a:ext uri="{FF2B5EF4-FFF2-40B4-BE49-F238E27FC236}">
                <a16:creationId xmlns:a16="http://schemas.microsoft.com/office/drawing/2014/main" id="{D0556F71-B258-4F8E-FBA2-22E886570C0A}"/>
              </a:ext>
            </a:extLst>
          </xdr:cNvPr>
          <xdr:cNvCxnSpPr/>
        </xdr:nvCxnSpPr>
        <xdr:spPr>
          <a:xfrm>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95" name="Gerader Verbinder 1094">
            <a:extLst>
              <a:ext uri="{FF2B5EF4-FFF2-40B4-BE49-F238E27FC236}">
                <a16:creationId xmlns:a16="http://schemas.microsoft.com/office/drawing/2014/main" id="{E70DBB50-5B86-F193-963B-25FEC920FA80}"/>
              </a:ext>
            </a:extLst>
          </xdr:cNvPr>
          <xdr:cNvCxnSpPr/>
        </xdr:nvCxnSpPr>
        <xdr:spPr>
          <a:xfrm flipH="1">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50</xdr:row>
      <xdr:rowOff>0</xdr:rowOff>
    </xdr:from>
    <xdr:to>
      <xdr:col>7</xdr:col>
      <xdr:colOff>0</xdr:colOff>
      <xdr:row>51</xdr:row>
      <xdr:rowOff>0</xdr:rowOff>
    </xdr:to>
    <xdr:grpSp>
      <xdr:nvGrpSpPr>
        <xdr:cNvPr id="1099" name="Cross_G51">
          <a:extLst>
            <a:ext uri="{FF2B5EF4-FFF2-40B4-BE49-F238E27FC236}">
              <a16:creationId xmlns:a16="http://schemas.microsoft.com/office/drawing/2014/main" id="{61C85618-0ACF-B6DD-5693-AAB2B6E3BC6C}"/>
            </a:ext>
          </a:extLst>
        </xdr:cNvPr>
        <xdr:cNvGrpSpPr/>
      </xdr:nvGrpSpPr>
      <xdr:grpSpPr>
        <a:xfrm>
          <a:off x="4046220" y="9662160"/>
          <a:ext cx="601980" cy="167640"/>
          <a:chOff x="4046220" y="9662160"/>
          <a:chExt cx="601980" cy="167640"/>
        </a:xfrm>
      </xdr:grpSpPr>
      <xdr:cxnSp macro="">
        <xdr:nvCxnSpPr>
          <xdr:cNvPr id="1097" name="Gerader Verbinder 1096">
            <a:extLst>
              <a:ext uri="{FF2B5EF4-FFF2-40B4-BE49-F238E27FC236}">
                <a16:creationId xmlns:a16="http://schemas.microsoft.com/office/drawing/2014/main" id="{1120736B-ADA7-94F6-45FA-C7B9955A28E7}"/>
              </a:ext>
            </a:extLst>
          </xdr:cNvPr>
          <xdr:cNvCxnSpPr/>
        </xdr:nvCxnSpPr>
        <xdr:spPr>
          <a:xfrm>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98" name="Gerader Verbinder 1097">
            <a:extLst>
              <a:ext uri="{FF2B5EF4-FFF2-40B4-BE49-F238E27FC236}">
                <a16:creationId xmlns:a16="http://schemas.microsoft.com/office/drawing/2014/main" id="{92BE6617-B988-669B-1D9C-F3685BB29D30}"/>
              </a:ext>
            </a:extLst>
          </xdr:cNvPr>
          <xdr:cNvCxnSpPr/>
        </xdr:nvCxnSpPr>
        <xdr:spPr>
          <a:xfrm flipH="1">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63</xdr:row>
      <xdr:rowOff>0</xdr:rowOff>
    </xdr:from>
    <xdr:to>
      <xdr:col>7</xdr:col>
      <xdr:colOff>0</xdr:colOff>
      <xdr:row>64</xdr:row>
      <xdr:rowOff>0</xdr:rowOff>
    </xdr:to>
    <xdr:grpSp>
      <xdr:nvGrpSpPr>
        <xdr:cNvPr id="1102" name="Cross_G64">
          <a:extLst>
            <a:ext uri="{FF2B5EF4-FFF2-40B4-BE49-F238E27FC236}">
              <a16:creationId xmlns:a16="http://schemas.microsoft.com/office/drawing/2014/main" id="{76C407FE-6DC5-B938-30ED-DCA92608105A}"/>
            </a:ext>
          </a:extLst>
        </xdr:cNvPr>
        <xdr:cNvGrpSpPr/>
      </xdr:nvGrpSpPr>
      <xdr:grpSpPr>
        <a:xfrm>
          <a:off x="4046220" y="12085320"/>
          <a:ext cx="601980" cy="228600"/>
          <a:chOff x="4046220" y="12085320"/>
          <a:chExt cx="601980" cy="228600"/>
        </a:xfrm>
      </xdr:grpSpPr>
      <xdr:cxnSp macro="">
        <xdr:nvCxnSpPr>
          <xdr:cNvPr id="1100" name="Gerader Verbinder 1099">
            <a:extLst>
              <a:ext uri="{FF2B5EF4-FFF2-40B4-BE49-F238E27FC236}">
                <a16:creationId xmlns:a16="http://schemas.microsoft.com/office/drawing/2014/main" id="{4B93871A-7380-FA43-6443-38FCA541ED4B}"/>
              </a:ext>
            </a:extLst>
          </xdr:cNvPr>
          <xdr:cNvCxnSpPr/>
        </xdr:nvCxnSpPr>
        <xdr:spPr>
          <a:xfrm>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01" name="Gerader Verbinder 1100">
            <a:extLst>
              <a:ext uri="{FF2B5EF4-FFF2-40B4-BE49-F238E27FC236}">
                <a16:creationId xmlns:a16="http://schemas.microsoft.com/office/drawing/2014/main" id="{AEEAC863-9208-D55C-53DA-A50D823E7C07}"/>
              </a:ext>
            </a:extLst>
          </xdr:cNvPr>
          <xdr:cNvCxnSpPr/>
        </xdr:nvCxnSpPr>
        <xdr:spPr>
          <a:xfrm flipH="1">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64</xdr:row>
      <xdr:rowOff>0</xdr:rowOff>
    </xdr:from>
    <xdr:to>
      <xdr:col>7</xdr:col>
      <xdr:colOff>0</xdr:colOff>
      <xdr:row>65</xdr:row>
      <xdr:rowOff>0</xdr:rowOff>
    </xdr:to>
    <xdr:grpSp>
      <xdr:nvGrpSpPr>
        <xdr:cNvPr id="1105" name="Cross_G65">
          <a:extLst>
            <a:ext uri="{FF2B5EF4-FFF2-40B4-BE49-F238E27FC236}">
              <a16:creationId xmlns:a16="http://schemas.microsoft.com/office/drawing/2014/main" id="{E24CBCFC-674E-B42B-8BC7-6913BA609CC6}"/>
            </a:ext>
          </a:extLst>
        </xdr:cNvPr>
        <xdr:cNvGrpSpPr/>
      </xdr:nvGrpSpPr>
      <xdr:grpSpPr>
        <a:xfrm>
          <a:off x="4046220" y="12313920"/>
          <a:ext cx="601980" cy="167640"/>
          <a:chOff x="4046220" y="12313920"/>
          <a:chExt cx="601980" cy="167640"/>
        </a:xfrm>
      </xdr:grpSpPr>
      <xdr:cxnSp macro="">
        <xdr:nvCxnSpPr>
          <xdr:cNvPr id="1103" name="Gerader Verbinder 1102">
            <a:extLst>
              <a:ext uri="{FF2B5EF4-FFF2-40B4-BE49-F238E27FC236}">
                <a16:creationId xmlns:a16="http://schemas.microsoft.com/office/drawing/2014/main" id="{8E6C36B0-6762-3666-8F0D-1DFC922FE387}"/>
              </a:ext>
            </a:extLst>
          </xdr:cNvPr>
          <xdr:cNvCxnSpPr/>
        </xdr:nvCxnSpPr>
        <xdr:spPr>
          <a:xfrm>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04" name="Gerader Verbinder 1103">
            <a:extLst>
              <a:ext uri="{FF2B5EF4-FFF2-40B4-BE49-F238E27FC236}">
                <a16:creationId xmlns:a16="http://schemas.microsoft.com/office/drawing/2014/main" id="{0587B0E2-8FB5-A2A0-3864-4F4BA67BA6A0}"/>
              </a:ext>
            </a:extLst>
          </xdr:cNvPr>
          <xdr:cNvCxnSpPr/>
        </xdr:nvCxnSpPr>
        <xdr:spPr>
          <a:xfrm flipH="1">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65</xdr:row>
      <xdr:rowOff>0</xdr:rowOff>
    </xdr:from>
    <xdr:to>
      <xdr:col>7</xdr:col>
      <xdr:colOff>0</xdr:colOff>
      <xdr:row>66</xdr:row>
      <xdr:rowOff>0</xdr:rowOff>
    </xdr:to>
    <xdr:grpSp>
      <xdr:nvGrpSpPr>
        <xdr:cNvPr id="1108" name="Cross_G66">
          <a:extLst>
            <a:ext uri="{FF2B5EF4-FFF2-40B4-BE49-F238E27FC236}">
              <a16:creationId xmlns:a16="http://schemas.microsoft.com/office/drawing/2014/main" id="{97772507-484B-6A4D-AA98-0219A22439D9}"/>
            </a:ext>
          </a:extLst>
        </xdr:cNvPr>
        <xdr:cNvGrpSpPr/>
      </xdr:nvGrpSpPr>
      <xdr:grpSpPr>
        <a:xfrm>
          <a:off x="4046220" y="12481560"/>
          <a:ext cx="601980" cy="167640"/>
          <a:chOff x="4046220" y="12481560"/>
          <a:chExt cx="601980" cy="167640"/>
        </a:xfrm>
      </xdr:grpSpPr>
      <xdr:cxnSp macro="">
        <xdr:nvCxnSpPr>
          <xdr:cNvPr id="1106" name="Gerader Verbinder 1105">
            <a:extLst>
              <a:ext uri="{FF2B5EF4-FFF2-40B4-BE49-F238E27FC236}">
                <a16:creationId xmlns:a16="http://schemas.microsoft.com/office/drawing/2014/main" id="{4FD42BB0-45C2-DBA8-D135-7C6FB22F57F8}"/>
              </a:ext>
            </a:extLst>
          </xdr:cNvPr>
          <xdr:cNvCxnSpPr/>
        </xdr:nvCxnSpPr>
        <xdr:spPr>
          <a:xfrm>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07" name="Gerader Verbinder 1106">
            <a:extLst>
              <a:ext uri="{FF2B5EF4-FFF2-40B4-BE49-F238E27FC236}">
                <a16:creationId xmlns:a16="http://schemas.microsoft.com/office/drawing/2014/main" id="{5AB0D5DD-E2B7-2978-670E-C9F90F9619AE}"/>
              </a:ext>
            </a:extLst>
          </xdr:cNvPr>
          <xdr:cNvCxnSpPr/>
        </xdr:nvCxnSpPr>
        <xdr:spPr>
          <a:xfrm flipH="1">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66</xdr:row>
      <xdr:rowOff>0</xdr:rowOff>
    </xdr:from>
    <xdr:to>
      <xdr:col>7</xdr:col>
      <xdr:colOff>0</xdr:colOff>
      <xdr:row>67</xdr:row>
      <xdr:rowOff>0</xdr:rowOff>
    </xdr:to>
    <xdr:grpSp>
      <xdr:nvGrpSpPr>
        <xdr:cNvPr id="1111" name="Cross_G67">
          <a:extLst>
            <a:ext uri="{FF2B5EF4-FFF2-40B4-BE49-F238E27FC236}">
              <a16:creationId xmlns:a16="http://schemas.microsoft.com/office/drawing/2014/main" id="{7349F9FD-1A4E-3E9E-E8C6-68F919694C2D}"/>
            </a:ext>
          </a:extLst>
        </xdr:cNvPr>
        <xdr:cNvGrpSpPr/>
      </xdr:nvGrpSpPr>
      <xdr:grpSpPr>
        <a:xfrm>
          <a:off x="4046220" y="12649200"/>
          <a:ext cx="601980" cy="228600"/>
          <a:chOff x="4046220" y="12649200"/>
          <a:chExt cx="601980" cy="228600"/>
        </a:xfrm>
      </xdr:grpSpPr>
      <xdr:cxnSp macro="">
        <xdr:nvCxnSpPr>
          <xdr:cNvPr id="1109" name="Gerader Verbinder 1108">
            <a:extLst>
              <a:ext uri="{FF2B5EF4-FFF2-40B4-BE49-F238E27FC236}">
                <a16:creationId xmlns:a16="http://schemas.microsoft.com/office/drawing/2014/main" id="{4957C0A8-7467-BB3D-8207-4FA7C6921C36}"/>
              </a:ext>
            </a:extLst>
          </xdr:cNvPr>
          <xdr:cNvCxnSpPr/>
        </xdr:nvCxnSpPr>
        <xdr:spPr>
          <a:xfrm>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0" name="Gerader Verbinder 1109">
            <a:extLst>
              <a:ext uri="{FF2B5EF4-FFF2-40B4-BE49-F238E27FC236}">
                <a16:creationId xmlns:a16="http://schemas.microsoft.com/office/drawing/2014/main" id="{087CC351-0C55-9E60-EE20-C5A34D9E272C}"/>
              </a:ext>
            </a:extLst>
          </xdr:cNvPr>
          <xdr:cNvCxnSpPr/>
        </xdr:nvCxnSpPr>
        <xdr:spPr>
          <a:xfrm flipH="1">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0</xdr:rowOff>
    </xdr:from>
    <xdr:to>
      <xdr:col>7</xdr:col>
      <xdr:colOff>0</xdr:colOff>
      <xdr:row>67</xdr:row>
      <xdr:rowOff>167639</xdr:rowOff>
    </xdr:to>
    <xdr:grpSp>
      <xdr:nvGrpSpPr>
        <xdr:cNvPr id="1114" name="Cross_G68">
          <a:extLst>
            <a:ext uri="{FF2B5EF4-FFF2-40B4-BE49-F238E27FC236}">
              <a16:creationId xmlns:a16="http://schemas.microsoft.com/office/drawing/2014/main" id="{5A793F78-9972-3389-D8D6-CA92592F3CD6}"/>
            </a:ext>
          </a:extLst>
        </xdr:cNvPr>
        <xdr:cNvGrpSpPr/>
      </xdr:nvGrpSpPr>
      <xdr:grpSpPr>
        <a:xfrm>
          <a:off x="4046220" y="12877800"/>
          <a:ext cx="601980" cy="167639"/>
          <a:chOff x="4046220" y="12877800"/>
          <a:chExt cx="601980" cy="167639"/>
        </a:xfrm>
      </xdr:grpSpPr>
      <xdr:cxnSp macro="">
        <xdr:nvCxnSpPr>
          <xdr:cNvPr id="1112" name="Gerader Verbinder 1111">
            <a:extLst>
              <a:ext uri="{FF2B5EF4-FFF2-40B4-BE49-F238E27FC236}">
                <a16:creationId xmlns:a16="http://schemas.microsoft.com/office/drawing/2014/main" id="{0F75A25F-0066-48D2-993E-581C8EDDCDD0}"/>
              </a:ext>
            </a:extLst>
          </xdr:cNvPr>
          <xdr:cNvCxnSpPr/>
        </xdr:nvCxnSpPr>
        <xdr:spPr>
          <a:xfrm>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3" name="Gerader Verbinder 1112">
            <a:extLst>
              <a:ext uri="{FF2B5EF4-FFF2-40B4-BE49-F238E27FC236}">
                <a16:creationId xmlns:a16="http://schemas.microsoft.com/office/drawing/2014/main" id="{3CD76F1B-6884-AC6F-3D08-FE793B760F60}"/>
              </a:ext>
            </a:extLst>
          </xdr:cNvPr>
          <xdr:cNvCxnSpPr/>
        </xdr:nvCxnSpPr>
        <xdr:spPr>
          <a:xfrm flipH="1">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167639</xdr:rowOff>
    </xdr:from>
    <xdr:to>
      <xdr:col>7</xdr:col>
      <xdr:colOff>0</xdr:colOff>
      <xdr:row>69</xdr:row>
      <xdr:rowOff>0</xdr:rowOff>
    </xdr:to>
    <xdr:grpSp>
      <xdr:nvGrpSpPr>
        <xdr:cNvPr id="1117" name="Cross_G69">
          <a:extLst>
            <a:ext uri="{FF2B5EF4-FFF2-40B4-BE49-F238E27FC236}">
              <a16:creationId xmlns:a16="http://schemas.microsoft.com/office/drawing/2014/main" id="{28EEAA7A-02F0-9A9F-1194-2E36FD655066}"/>
            </a:ext>
          </a:extLst>
        </xdr:cNvPr>
        <xdr:cNvGrpSpPr/>
      </xdr:nvGrpSpPr>
      <xdr:grpSpPr>
        <a:xfrm>
          <a:off x="4046220" y="13045439"/>
          <a:ext cx="601980" cy="167641"/>
          <a:chOff x="4046220" y="13045439"/>
          <a:chExt cx="601980" cy="167641"/>
        </a:xfrm>
      </xdr:grpSpPr>
      <xdr:cxnSp macro="">
        <xdr:nvCxnSpPr>
          <xdr:cNvPr id="1115" name="Gerader Verbinder 1114">
            <a:extLst>
              <a:ext uri="{FF2B5EF4-FFF2-40B4-BE49-F238E27FC236}">
                <a16:creationId xmlns:a16="http://schemas.microsoft.com/office/drawing/2014/main" id="{7589E83E-06A1-F47B-35A5-D947FC324D1C}"/>
              </a:ext>
            </a:extLst>
          </xdr:cNvPr>
          <xdr:cNvCxnSpPr/>
        </xdr:nvCxnSpPr>
        <xdr:spPr>
          <a:xfrm>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6" name="Gerader Verbinder 1115">
            <a:extLst>
              <a:ext uri="{FF2B5EF4-FFF2-40B4-BE49-F238E27FC236}">
                <a16:creationId xmlns:a16="http://schemas.microsoft.com/office/drawing/2014/main" id="{9A00DDA2-A18A-AFA3-A224-39B0CDA913A2}"/>
              </a:ext>
            </a:extLst>
          </xdr:cNvPr>
          <xdr:cNvCxnSpPr/>
        </xdr:nvCxnSpPr>
        <xdr:spPr>
          <a:xfrm flipH="1">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69</xdr:row>
      <xdr:rowOff>0</xdr:rowOff>
    </xdr:from>
    <xdr:to>
      <xdr:col>7</xdr:col>
      <xdr:colOff>0</xdr:colOff>
      <xdr:row>70</xdr:row>
      <xdr:rowOff>0</xdr:rowOff>
    </xdr:to>
    <xdr:grpSp>
      <xdr:nvGrpSpPr>
        <xdr:cNvPr id="1120" name="Cross_G70">
          <a:extLst>
            <a:ext uri="{FF2B5EF4-FFF2-40B4-BE49-F238E27FC236}">
              <a16:creationId xmlns:a16="http://schemas.microsoft.com/office/drawing/2014/main" id="{36EC435B-DF40-762A-1F9A-3AB0C917A606}"/>
            </a:ext>
          </a:extLst>
        </xdr:cNvPr>
        <xdr:cNvGrpSpPr/>
      </xdr:nvGrpSpPr>
      <xdr:grpSpPr>
        <a:xfrm>
          <a:off x="4046220" y="13213080"/>
          <a:ext cx="601980" cy="228600"/>
          <a:chOff x="4046220" y="13213080"/>
          <a:chExt cx="601980" cy="228600"/>
        </a:xfrm>
      </xdr:grpSpPr>
      <xdr:cxnSp macro="">
        <xdr:nvCxnSpPr>
          <xdr:cNvPr id="1118" name="Gerader Verbinder 1117">
            <a:extLst>
              <a:ext uri="{FF2B5EF4-FFF2-40B4-BE49-F238E27FC236}">
                <a16:creationId xmlns:a16="http://schemas.microsoft.com/office/drawing/2014/main" id="{5A705807-6386-3D4E-FDEF-CB8D9CD7E0C4}"/>
              </a:ext>
            </a:extLst>
          </xdr:cNvPr>
          <xdr:cNvCxnSpPr/>
        </xdr:nvCxnSpPr>
        <xdr:spPr>
          <a:xfrm>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9" name="Gerader Verbinder 1118">
            <a:extLst>
              <a:ext uri="{FF2B5EF4-FFF2-40B4-BE49-F238E27FC236}">
                <a16:creationId xmlns:a16="http://schemas.microsoft.com/office/drawing/2014/main" id="{9359C1BC-4574-32D5-37CC-AD94F4BF9573}"/>
              </a:ext>
            </a:extLst>
          </xdr:cNvPr>
          <xdr:cNvCxnSpPr/>
        </xdr:nvCxnSpPr>
        <xdr:spPr>
          <a:xfrm flipH="1">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70</xdr:row>
      <xdr:rowOff>0</xdr:rowOff>
    </xdr:from>
    <xdr:to>
      <xdr:col>7</xdr:col>
      <xdr:colOff>0</xdr:colOff>
      <xdr:row>71</xdr:row>
      <xdr:rowOff>0</xdr:rowOff>
    </xdr:to>
    <xdr:grpSp>
      <xdr:nvGrpSpPr>
        <xdr:cNvPr id="1123" name="Cross_G71">
          <a:extLst>
            <a:ext uri="{FF2B5EF4-FFF2-40B4-BE49-F238E27FC236}">
              <a16:creationId xmlns:a16="http://schemas.microsoft.com/office/drawing/2014/main" id="{3151138C-22A0-A3FB-D174-CFB04947EB96}"/>
            </a:ext>
          </a:extLst>
        </xdr:cNvPr>
        <xdr:cNvGrpSpPr/>
      </xdr:nvGrpSpPr>
      <xdr:grpSpPr>
        <a:xfrm>
          <a:off x="4046220" y="13441680"/>
          <a:ext cx="601980" cy="167640"/>
          <a:chOff x="4046220" y="13441680"/>
          <a:chExt cx="601980" cy="167640"/>
        </a:xfrm>
      </xdr:grpSpPr>
      <xdr:cxnSp macro="">
        <xdr:nvCxnSpPr>
          <xdr:cNvPr id="1121" name="Gerader Verbinder 1120">
            <a:extLst>
              <a:ext uri="{FF2B5EF4-FFF2-40B4-BE49-F238E27FC236}">
                <a16:creationId xmlns:a16="http://schemas.microsoft.com/office/drawing/2014/main" id="{A2444EDA-FF27-F444-9B91-9B6D60326E9F}"/>
              </a:ext>
            </a:extLst>
          </xdr:cNvPr>
          <xdr:cNvCxnSpPr/>
        </xdr:nvCxnSpPr>
        <xdr:spPr>
          <a:xfrm>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22" name="Gerader Verbinder 1121">
            <a:extLst>
              <a:ext uri="{FF2B5EF4-FFF2-40B4-BE49-F238E27FC236}">
                <a16:creationId xmlns:a16="http://schemas.microsoft.com/office/drawing/2014/main" id="{B6C23D4B-AFE7-302D-DFA5-D7BA268669DD}"/>
              </a:ext>
            </a:extLst>
          </xdr:cNvPr>
          <xdr:cNvCxnSpPr/>
        </xdr:nvCxnSpPr>
        <xdr:spPr>
          <a:xfrm flipH="1">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71</xdr:row>
      <xdr:rowOff>0</xdr:rowOff>
    </xdr:from>
    <xdr:to>
      <xdr:col>7</xdr:col>
      <xdr:colOff>0</xdr:colOff>
      <xdr:row>72</xdr:row>
      <xdr:rowOff>1</xdr:rowOff>
    </xdr:to>
    <xdr:grpSp>
      <xdr:nvGrpSpPr>
        <xdr:cNvPr id="1126" name="Cross_G72">
          <a:extLst>
            <a:ext uri="{FF2B5EF4-FFF2-40B4-BE49-F238E27FC236}">
              <a16:creationId xmlns:a16="http://schemas.microsoft.com/office/drawing/2014/main" id="{700F60C1-4CEC-A738-AF8B-C25366F347F4}"/>
            </a:ext>
          </a:extLst>
        </xdr:cNvPr>
        <xdr:cNvGrpSpPr/>
      </xdr:nvGrpSpPr>
      <xdr:grpSpPr>
        <a:xfrm>
          <a:off x="4046220" y="13609320"/>
          <a:ext cx="601980" cy="167641"/>
          <a:chOff x="4046220" y="13609320"/>
          <a:chExt cx="601980" cy="167641"/>
        </a:xfrm>
      </xdr:grpSpPr>
      <xdr:cxnSp macro="">
        <xdr:nvCxnSpPr>
          <xdr:cNvPr id="1124" name="Gerader Verbinder 1123">
            <a:extLst>
              <a:ext uri="{FF2B5EF4-FFF2-40B4-BE49-F238E27FC236}">
                <a16:creationId xmlns:a16="http://schemas.microsoft.com/office/drawing/2014/main" id="{923E4AE6-8DD9-4D16-1C6A-51EF129489C6}"/>
              </a:ext>
            </a:extLst>
          </xdr:cNvPr>
          <xdr:cNvCxnSpPr/>
        </xdr:nvCxnSpPr>
        <xdr:spPr>
          <a:xfrm>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25" name="Gerader Verbinder 1124">
            <a:extLst>
              <a:ext uri="{FF2B5EF4-FFF2-40B4-BE49-F238E27FC236}">
                <a16:creationId xmlns:a16="http://schemas.microsoft.com/office/drawing/2014/main" id="{7B21326F-130A-7F98-0640-6EA98178B8EC}"/>
              </a:ext>
            </a:extLst>
          </xdr:cNvPr>
          <xdr:cNvCxnSpPr/>
        </xdr:nvCxnSpPr>
        <xdr:spPr>
          <a:xfrm flipH="1">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1129" name="Cross_H7">
          <a:extLst>
            <a:ext uri="{FF2B5EF4-FFF2-40B4-BE49-F238E27FC236}">
              <a16:creationId xmlns:a16="http://schemas.microsoft.com/office/drawing/2014/main" id="{8AFE343F-04DD-8869-BD10-4141374B054C}"/>
            </a:ext>
          </a:extLst>
        </xdr:cNvPr>
        <xdr:cNvGrpSpPr/>
      </xdr:nvGrpSpPr>
      <xdr:grpSpPr>
        <a:xfrm>
          <a:off x="4648200" y="1371600"/>
          <a:ext cx="601980" cy="228600"/>
          <a:chOff x="4648200" y="1371600"/>
          <a:chExt cx="601980" cy="228600"/>
        </a:xfrm>
      </xdr:grpSpPr>
      <xdr:cxnSp macro="">
        <xdr:nvCxnSpPr>
          <xdr:cNvPr id="1127" name="Gerader Verbinder 1126">
            <a:extLst>
              <a:ext uri="{FF2B5EF4-FFF2-40B4-BE49-F238E27FC236}">
                <a16:creationId xmlns:a16="http://schemas.microsoft.com/office/drawing/2014/main" id="{AF741EC0-4E73-DC51-EFAC-80C6AACF78B3}"/>
              </a:ext>
            </a:extLst>
          </xdr:cNvPr>
          <xdr:cNvCxnSpPr/>
        </xdr:nvCxnSpPr>
        <xdr:spPr>
          <a:xfrm>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28" name="Gerader Verbinder 1127">
            <a:extLst>
              <a:ext uri="{FF2B5EF4-FFF2-40B4-BE49-F238E27FC236}">
                <a16:creationId xmlns:a16="http://schemas.microsoft.com/office/drawing/2014/main" id="{33FAB7E1-F971-A00D-5FB6-5B4B454CEF6F}"/>
              </a:ext>
            </a:extLst>
          </xdr:cNvPr>
          <xdr:cNvCxnSpPr/>
        </xdr:nvCxnSpPr>
        <xdr:spPr>
          <a:xfrm flipH="1">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1132" name="Cross_H8">
          <a:extLst>
            <a:ext uri="{FF2B5EF4-FFF2-40B4-BE49-F238E27FC236}">
              <a16:creationId xmlns:a16="http://schemas.microsoft.com/office/drawing/2014/main" id="{5A6C468F-8B74-3E01-EBAC-BDB5D9DCF9B8}"/>
            </a:ext>
          </a:extLst>
        </xdr:cNvPr>
        <xdr:cNvGrpSpPr/>
      </xdr:nvGrpSpPr>
      <xdr:grpSpPr>
        <a:xfrm>
          <a:off x="4648200" y="1600200"/>
          <a:ext cx="601980" cy="167640"/>
          <a:chOff x="4648200" y="1600200"/>
          <a:chExt cx="601980" cy="167640"/>
        </a:xfrm>
      </xdr:grpSpPr>
      <xdr:cxnSp macro="">
        <xdr:nvCxnSpPr>
          <xdr:cNvPr id="1130" name="Gerader Verbinder 1129">
            <a:extLst>
              <a:ext uri="{FF2B5EF4-FFF2-40B4-BE49-F238E27FC236}">
                <a16:creationId xmlns:a16="http://schemas.microsoft.com/office/drawing/2014/main" id="{5A0C8777-ABF2-122E-918D-25343B8E1CC8}"/>
              </a:ext>
            </a:extLst>
          </xdr:cNvPr>
          <xdr:cNvCxnSpPr/>
        </xdr:nvCxnSpPr>
        <xdr:spPr>
          <a:xfrm>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31" name="Gerader Verbinder 1130">
            <a:extLst>
              <a:ext uri="{FF2B5EF4-FFF2-40B4-BE49-F238E27FC236}">
                <a16:creationId xmlns:a16="http://schemas.microsoft.com/office/drawing/2014/main" id="{2FDF7A69-FC85-5FA0-E238-65955A4F0FB3}"/>
              </a:ext>
            </a:extLst>
          </xdr:cNvPr>
          <xdr:cNvCxnSpPr/>
        </xdr:nvCxnSpPr>
        <xdr:spPr>
          <a:xfrm flipH="1">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1135" name="Cross_H9">
          <a:extLst>
            <a:ext uri="{FF2B5EF4-FFF2-40B4-BE49-F238E27FC236}">
              <a16:creationId xmlns:a16="http://schemas.microsoft.com/office/drawing/2014/main" id="{623145D1-01DF-5A90-31B5-7AF7D3A22960}"/>
            </a:ext>
          </a:extLst>
        </xdr:cNvPr>
        <xdr:cNvGrpSpPr/>
      </xdr:nvGrpSpPr>
      <xdr:grpSpPr>
        <a:xfrm>
          <a:off x="4648200" y="1767840"/>
          <a:ext cx="601980" cy="167640"/>
          <a:chOff x="4648200" y="1767840"/>
          <a:chExt cx="601980" cy="167640"/>
        </a:xfrm>
      </xdr:grpSpPr>
      <xdr:cxnSp macro="">
        <xdr:nvCxnSpPr>
          <xdr:cNvPr id="1133" name="Gerader Verbinder 1132">
            <a:extLst>
              <a:ext uri="{FF2B5EF4-FFF2-40B4-BE49-F238E27FC236}">
                <a16:creationId xmlns:a16="http://schemas.microsoft.com/office/drawing/2014/main" id="{7D83B512-7811-BD21-3C13-5A1F8CB9C2E3}"/>
              </a:ext>
            </a:extLst>
          </xdr:cNvPr>
          <xdr:cNvCxnSpPr/>
        </xdr:nvCxnSpPr>
        <xdr:spPr>
          <a:xfrm>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34" name="Gerader Verbinder 1133">
            <a:extLst>
              <a:ext uri="{FF2B5EF4-FFF2-40B4-BE49-F238E27FC236}">
                <a16:creationId xmlns:a16="http://schemas.microsoft.com/office/drawing/2014/main" id="{53A83CB4-29EA-7107-20B3-A19F2FF90709}"/>
              </a:ext>
            </a:extLst>
          </xdr:cNvPr>
          <xdr:cNvCxnSpPr/>
        </xdr:nvCxnSpPr>
        <xdr:spPr>
          <a:xfrm flipH="1">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1138" name="Cross_H10">
          <a:extLst>
            <a:ext uri="{FF2B5EF4-FFF2-40B4-BE49-F238E27FC236}">
              <a16:creationId xmlns:a16="http://schemas.microsoft.com/office/drawing/2014/main" id="{16EDCBCC-E30A-7752-FC4D-8314C134194C}"/>
            </a:ext>
          </a:extLst>
        </xdr:cNvPr>
        <xdr:cNvGrpSpPr/>
      </xdr:nvGrpSpPr>
      <xdr:grpSpPr>
        <a:xfrm>
          <a:off x="4648200" y="1935480"/>
          <a:ext cx="601980" cy="228600"/>
          <a:chOff x="4648200" y="1935480"/>
          <a:chExt cx="601980" cy="228600"/>
        </a:xfrm>
      </xdr:grpSpPr>
      <xdr:cxnSp macro="">
        <xdr:nvCxnSpPr>
          <xdr:cNvPr id="1136" name="Gerader Verbinder 1135">
            <a:extLst>
              <a:ext uri="{FF2B5EF4-FFF2-40B4-BE49-F238E27FC236}">
                <a16:creationId xmlns:a16="http://schemas.microsoft.com/office/drawing/2014/main" id="{2EB5189E-96D9-4735-0762-6F4A92BAC7AC}"/>
              </a:ext>
            </a:extLst>
          </xdr:cNvPr>
          <xdr:cNvCxnSpPr/>
        </xdr:nvCxnSpPr>
        <xdr:spPr>
          <a:xfrm>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37" name="Gerader Verbinder 1136">
            <a:extLst>
              <a:ext uri="{FF2B5EF4-FFF2-40B4-BE49-F238E27FC236}">
                <a16:creationId xmlns:a16="http://schemas.microsoft.com/office/drawing/2014/main" id="{1D54E726-93A1-D594-8678-830388BC74F8}"/>
              </a:ext>
            </a:extLst>
          </xdr:cNvPr>
          <xdr:cNvCxnSpPr/>
        </xdr:nvCxnSpPr>
        <xdr:spPr>
          <a:xfrm flipH="1">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1141" name="Cross_H11">
          <a:extLst>
            <a:ext uri="{FF2B5EF4-FFF2-40B4-BE49-F238E27FC236}">
              <a16:creationId xmlns:a16="http://schemas.microsoft.com/office/drawing/2014/main" id="{40B947DF-08AC-8EB5-FDF8-DD7F8362C1BC}"/>
            </a:ext>
          </a:extLst>
        </xdr:cNvPr>
        <xdr:cNvGrpSpPr/>
      </xdr:nvGrpSpPr>
      <xdr:grpSpPr>
        <a:xfrm>
          <a:off x="4648200" y="2164080"/>
          <a:ext cx="601980" cy="167640"/>
          <a:chOff x="4648200" y="2164080"/>
          <a:chExt cx="601980" cy="167640"/>
        </a:xfrm>
      </xdr:grpSpPr>
      <xdr:cxnSp macro="">
        <xdr:nvCxnSpPr>
          <xdr:cNvPr id="1139" name="Gerader Verbinder 1138">
            <a:extLst>
              <a:ext uri="{FF2B5EF4-FFF2-40B4-BE49-F238E27FC236}">
                <a16:creationId xmlns:a16="http://schemas.microsoft.com/office/drawing/2014/main" id="{CF32CF54-AF2E-70C6-FD95-4E2D0CA0E4A3}"/>
              </a:ext>
            </a:extLst>
          </xdr:cNvPr>
          <xdr:cNvCxnSpPr/>
        </xdr:nvCxnSpPr>
        <xdr:spPr>
          <a:xfrm>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40" name="Gerader Verbinder 1139">
            <a:extLst>
              <a:ext uri="{FF2B5EF4-FFF2-40B4-BE49-F238E27FC236}">
                <a16:creationId xmlns:a16="http://schemas.microsoft.com/office/drawing/2014/main" id="{BF0D27FC-2062-667D-D09B-457831195B34}"/>
              </a:ext>
            </a:extLst>
          </xdr:cNvPr>
          <xdr:cNvCxnSpPr/>
        </xdr:nvCxnSpPr>
        <xdr:spPr>
          <a:xfrm flipH="1">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1144" name="Cross_H12">
          <a:extLst>
            <a:ext uri="{FF2B5EF4-FFF2-40B4-BE49-F238E27FC236}">
              <a16:creationId xmlns:a16="http://schemas.microsoft.com/office/drawing/2014/main" id="{A1444C2B-C752-2FDF-FDCD-26E0317F8FFD}"/>
            </a:ext>
          </a:extLst>
        </xdr:cNvPr>
        <xdr:cNvGrpSpPr/>
      </xdr:nvGrpSpPr>
      <xdr:grpSpPr>
        <a:xfrm>
          <a:off x="4648200" y="2331720"/>
          <a:ext cx="601980" cy="167640"/>
          <a:chOff x="4648200" y="2331720"/>
          <a:chExt cx="601980" cy="167640"/>
        </a:xfrm>
      </xdr:grpSpPr>
      <xdr:cxnSp macro="">
        <xdr:nvCxnSpPr>
          <xdr:cNvPr id="1142" name="Gerader Verbinder 1141">
            <a:extLst>
              <a:ext uri="{FF2B5EF4-FFF2-40B4-BE49-F238E27FC236}">
                <a16:creationId xmlns:a16="http://schemas.microsoft.com/office/drawing/2014/main" id="{B85671AE-C849-E9AD-119B-BC3A233CC7B0}"/>
              </a:ext>
            </a:extLst>
          </xdr:cNvPr>
          <xdr:cNvCxnSpPr/>
        </xdr:nvCxnSpPr>
        <xdr:spPr>
          <a:xfrm>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43" name="Gerader Verbinder 1142">
            <a:extLst>
              <a:ext uri="{FF2B5EF4-FFF2-40B4-BE49-F238E27FC236}">
                <a16:creationId xmlns:a16="http://schemas.microsoft.com/office/drawing/2014/main" id="{7732EB27-92DA-26D4-3F1C-4AA2F1A142A4}"/>
              </a:ext>
            </a:extLst>
          </xdr:cNvPr>
          <xdr:cNvCxnSpPr/>
        </xdr:nvCxnSpPr>
        <xdr:spPr>
          <a:xfrm flipH="1">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1147" name="Cross_H16">
          <a:extLst>
            <a:ext uri="{FF2B5EF4-FFF2-40B4-BE49-F238E27FC236}">
              <a16:creationId xmlns:a16="http://schemas.microsoft.com/office/drawing/2014/main" id="{B4495317-AEC5-EB76-4D31-64CDC7031849}"/>
            </a:ext>
          </a:extLst>
        </xdr:cNvPr>
        <xdr:cNvGrpSpPr/>
      </xdr:nvGrpSpPr>
      <xdr:grpSpPr>
        <a:xfrm>
          <a:off x="4648200" y="3063240"/>
          <a:ext cx="601980" cy="228600"/>
          <a:chOff x="4648200" y="3063240"/>
          <a:chExt cx="601980" cy="228600"/>
        </a:xfrm>
      </xdr:grpSpPr>
      <xdr:cxnSp macro="">
        <xdr:nvCxnSpPr>
          <xdr:cNvPr id="1145" name="Gerader Verbinder 1144">
            <a:extLst>
              <a:ext uri="{FF2B5EF4-FFF2-40B4-BE49-F238E27FC236}">
                <a16:creationId xmlns:a16="http://schemas.microsoft.com/office/drawing/2014/main" id="{FA2B2DCB-414A-CD43-B2A1-153B811352F3}"/>
              </a:ext>
            </a:extLst>
          </xdr:cNvPr>
          <xdr:cNvCxnSpPr/>
        </xdr:nvCxnSpPr>
        <xdr:spPr>
          <a:xfrm>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46" name="Gerader Verbinder 1145">
            <a:extLst>
              <a:ext uri="{FF2B5EF4-FFF2-40B4-BE49-F238E27FC236}">
                <a16:creationId xmlns:a16="http://schemas.microsoft.com/office/drawing/2014/main" id="{362DA96E-D9F4-37F0-489D-B77A5A5732D9}"/>
              </a:ext>
            </a:extLst>
          </xdr:cNvPr>
          <xdr:cNvCxnSpPr/>
        </xdr:nvCxnSpPr>
        <xdr:spPr>
          <a:xfrm flipH="1">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1150" name="Cross_H17">
          <a:extLst>
            <a:ext uri="{FF2B5EF4-FFF2-40B4-BE49-F238E27FC236}">
              <a16:creationId xmlns:a16="http://schemas.microsoft.com/office/drawing/2014/main" id="{52E08B2E-9856-AC2B-6E94-67DF8D94FAD6}"/>
            </a:ext>
          </a:extLst>
        </xdr:cNvPr>
        <xdr:cNvGrpSpPr/>
      </xdr:nvGrpSpPr>
      <xdr:grpSpPr>
        <a:xfrm>
          <a:off x="4648200" y="3291840"/>
          <a:ext cx="601980" cy="167640"/>
          <a:chOff x="4648200" y="3291840"/>
          <a:chExt cx="601980" cy="167640"/>
        </a:xfrm>
      </xdr:grpSpPr>
      <xdr:cxnSp macro="">
        <xdr:nvCxnSpPr>
          <xdr:cNvPr id="1148" name="Gerader Verbinder 1147">
            <a:extLst>
              <a:ext uri="{FF2B5EF4-FFF2-40B4-BE49-F238E27FC236}">
                <a16:creationId xmlns:a16="http://schemas.microsoft.com/office/drawing/2014/main" id="{3A904FFE-5AF0-9596-9951-9B3E4DF08DBD}"/>
              </a:ext>
            </a:extLst>
          </xdr:cNvPr>
          <xdr:cNvCxnSpPr/>
        </xdr:nvCxnSpPr>
        <xdr:spPr>
          <a:xfrm>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49" name="Gerader Verbinder 1148">
            <a:extLst>
              <a:ext uri="{FF2B5EF4-FFF2-40B4-BE49-F238E27FC236}">
                <a16:creationId xmlns:a16="http://schemas.microsoft.com/office/drawing/2014/main" id="{920FDCA7-996E-9931-A194-8B1B4467D323}"/>
              </a:ext>
            </a:extLst>
          </xdr:cNvPr>
          <xdr:cNvCxnSpPr/>
        </xdr:nvCxnSpPr>
        <xdr:spPr>
          <a:xfrm flipH="1">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1153" name="Cross_H18">
          <a:extLst>
            <a:ext uri="{FF2B5EF4-FFF2-40B4-BE49-F238E27FC236}">
              <a16:creationId xmlns:a16="http://schemas.microsoft.com/office/drawing/2014/main" id="{60341BFD-7A45-FCCE-E92B-9A9FE56B9ECF}"/>
            </a:ext>
          </a:extLst>
        </xdr:cNvPr>
        <xdr:cNvGrpSpPr/>
      </xdr:nvGrpSpPr>
      <xdr:grpSpPr>
        <a:xfrm>
          <a:off x="4648200" y="3459480"/>
          <a:ext cx="601980" cy="167640"/>
          <a:chOff x="4648200" y="3459480"/>
          <a:chExt cx="601980" cy="167640"/>
        </a:xfrm>
      </xdr:grpSpPr>
      <xdr:cxnSp macro="">
        <xdr:nvCxnSpPr>
          <xdr:cNvPr id="1151" name="Gerader Verbinder 1150">
            <a:extLst>
              <a:ext uri="{FF2B5EF4-FFF2-40B4-BE49-F238E27FC236}">
                <a16:creationId xmlns:a16="http://schemas.microsoft.com/office/drawing/2014/main" id="{C4FE871A-7C98-BD04-82B9-585BEF892D52}"/>
              </a:ext>
            </a:extLst>
          </xdr:cNvPr>
          <xdr:cNvCxnSpPr/>
        </xdr:nvCxnSpPr>
        <xdr:spPr>
          <a:xfrm>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52" name="Gerader Verbinder 1151">
            <a:extLst>
              <a:ext uri="{FF2B5EF4-FFF2-40B4-BE49-F238E27FC236}">
                <a16:creationId xmlns:a16="http://schemas.microsoft.com/office/drawing/2014/main" id="{9730F7E4-3ED6-8046-6A02-E66B48F75103}"/>
              </a:ext>
            </a:extLst>
          </xdr:cNvPr>
          <xdr:cNvCxnSpPr/>
        </xdr:nvCxnSpPr>
        <xdr:spPr>
          <a:xfrm flipH="1">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1156" name="Cross_H19">
          <a:extLst>
            <a:ext uri="{FF2B5EF4-FFF2-40B4-BE49-F238E27FC236}">
              <a16:creationId xmlns:a16="http://schemas.microsoft.com/office/drawing/2014/main" id="{A40B236C-077D-17AF-9134-CF0646FE0C48}"/>
            </a:ext>
          </a:extLst>
        </xdr:cNvPr>
        <xdr:cNvGrpSpPr/>
      </xdr:nvGrpSpPr>
      <xdr:grpSpPr>
        <a:xfrm>
          <a:off x="4648200" y="3627120"/>
          <a:ext cx="601980" cy="228600"/>
          <a:chOff x="4648200" y="3627120"/>
          <a:chExt cx="601980" cy="228600"/>
        </a:xfrm>
      </xdr:grpSpPr>
      <xdr:cxnSp macro="">
        <xdr:nvCxnSpPr>
          <xdr:cNvPr id="1154" name="Gerader Verbinder 1153">
            <a:extLst>
              <a:ext uri="{FF2B5EF4-FFF2-40B4-BE49-F238E27FC236}">
                <a16:creationId xmlns:a16="http://schemas.microsoft.com/office/drawing/2014/main" id="{AFE34B6C-32C5-48F1-E447-26BBEDEA835C}"/>
              </a:ext>
            </a:extLst>
          </xdr:cNvPr>
          <xdr:cNvCxnSpPr/>
        </xdr:nvCxnSpPr>
        <xdr:spPr>
          <a:xfrm>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55" name="Gerader Verbinder 1154">
            <a:extLst>
              <a:ext uri="{FF2B5EF4-FFF2-40B4-BE49-F238E27FC236}">
                <a16:creationId xmlns:a16="http://schemas.microsoft.com/office/drawing/2014/main" id="{3E6BBA9F-825F-B5BD-A1A5-A85B0516E6CD}"/>
              </a:ext>
            </a:extLst>
          </xdr:cNvPr>
          <xdr:cNvCxnSpPr/>
        </xdr:nvCxnSpPr>
        <xdr:spPr>
          <a:xfrm flipH="1">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1159" name="Cross_H20">
          <a:extLst>
            <a:ext uri="{FF2B5EF4-FFF2-40B4-BE49-F238E27FC236}">
              <a16:creationId xmlns:a16="http://schemas.microsoft.com/office/drawing/2014/main" id="{455E7EC0-C5E0-68D5-FF88-87B1860ED9BB}"/>
            </a:ext>
          </a:extLst>
        </xdr:cNvPr>
        <xdr:cNvGrpSpPr/>
      </xdr:nvGrpSpPr>
      <xdr:grpSpPr>
        <a:xfrm>
          <a:off x="4648200" y="3855720"/>
          <a:ext cx="601980" cy="167640"/>
          <a:chOff x="4648200" y="3855720"/>
          <a:chExt cx="601980" cy="167640"/>
        </a:xfrm>
      </xdr:grpSpPr>
      <xdr:cxnSp macro="">
        <xdr:nvCxnSpPr>
          <xdr:cNvPr id="1157" name="Gerader Verbinder 1156">
            <a:extLst>
              <a:ext uri="{FF2B5EF4-FFF2-40B4-BE49-F238E27FC236}">
                <a16:creationId xmlns:a16="http://schemas.microsoft.com/office/drawing/2014/main" id="{956DC3D9-D3E3-84F9-2867-AD4155F61449}"/>
              </a:ext>
            </a:extLst>
          </xdr:cNvPr>
          <xdr:cNvCxnSpPr/>
        </xdr:nvCxnSpPr>
        <xdr:spPr>
          <a:xfrm>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58" name="Gerader Verbinder 1157">
            <a:extLst>
              <a:ext uri="{FF2B5EF4-FFF2-40B4-BE49-F238E27FC236}">
                <a16:creationId xmlns:a16="http://schemas.microsoft.com/office/drawing/2014/main" id="{F33A668A-9DB1-846A-9964-EF3CA48F5D51}"/>
              </a:ext>
            </a:extLst>
          </xdr:cNvPr>
          <xdr:cNvCxnSpPr/>
        </xdr:nvCxnSpPr>
        <xdr:spPr>
          <a:xfrm flipH="1">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1162" name="Cross_H21">
          <a:extLst>
            <a:ext uri="{FF2B5EF4-FFF2-40B4-BE49-F238E27FC236}">
              <a16:creationId xmlns:a16="http://schemas.microsoft.com/office/drawing/2014/main" id="{11BEC195-1502-FEFF-D556-99A21E240240}"/>
            </a:ext>
          </a:extLst>
        </xdr:cNvPr>
        <xdr:cNvGrpSpPr/>
      </xdr:nvGrpSpPr>
      <xdr:grpSpPr>
        <a:xfrm>
          <a:off x="4648200" y="4023360"/>
          <a:ext cx="601980" cy="167640"/>
          <a:chOff x="4648200" y="4023360"/>
          <a:chExt cx="601980" cy="167640"/>
        </a:xfrm>
      </xdr:grpSpPr>
      <xdr:cxnSp macro="">
        <xdr:nvCxnSpPr>
          <xdr:cNvPr id="1160" name="Gerader Verbinder 1159">
            <a:extLst>
              <a:ext uri="{FF2B5EF4-FFF2-40B4-BE49-F238E27FC236}">
                <a16:creationId xmlns:a16="http://schemas.microsoft.com/office/drawing/2014/main" id="{0D041D9E-4A11-39C6-E808-72EF1D44BA03}"/>
              </a:ext>
            </a:extLst>
          </xdr:cNvPr>
          <xdr:cNvCxnSpPr/>
        </xdr:nvCxnSpPr>
        <xdr:spPr>
          <a:xfrm>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61" name="Gerader Verbinder 1160">
            <a:extLst>
              <a:ext uri="{FF2B5EF4-FFF2-40B4-BE49-F238E27FC236}">
                <a16:creationId xmlns:a16="http://schemas.microsoft.com/office/drawing/2014/main" id="{16941467-A02B-5882-FC4F-EC3DDDD438BE}"/>
              </a:ext>
            </a:extLst>
          </xdr:cNvPr>
          <xdr:cNvCxnSpPr/>
        </xdr:nvCxnSpPr>
        <xdr:spPr>
          <a:xfrm flipH="1">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1165" name="Cross_H22">
          <a:extLst>
            <a:ext uri="{FF2B5EF4-FFF2-40B4-BE49-F238E27FC236}">
              <a16:creationId xmlns:a16="http://schemas.microsoft.com/office/drawing/2014/main" id="{CDA33FE9-236A-05CA-0E1B-AFB385D8EBED}"/>
            </a:ext>
          </a:extLst>
        </xdr:cNvPr>
        <xdr:cNvGrpSpPr/>
      </xdr:nvGrpSpPr>
      <xdr:grpSpPr>
        <a:xfrm>
          <a:off x="4648200" y="4191000"/>
          <a:ext cx="601980" cy="228600"/>
          <a:chOff x="4648200" y="4191000"/>
          <a:chExt cx="601980" cy="228600"/>
        </a:xfrm>
      </xdr:grpSpPr>
      <xdr:cxnSp macro="">
        <xdr:nvCxnSpPr>
          <xdr:cNvPr id="1163" name="Gerader Verbinder 1162">
            <a:extLst>
              <a:ext uri="{FF2B5EF4-FFF2-40B4-BE49-F238E27FC236}">
                <a16:creationId xmlns:a16="http://schemas.microsoft.com/office/drawing/2014/main" id="{8D0BCDFB-4858-4276-0B40-FA83A582C428}"/>
              </a:ext>
            </a:extLst>
          </xdr:cNvPr>
          <xdr:cNvCxnSpPr/>
        </xdr:nvCxnSpPr>
        <xdr:spPr>
          <a:xfrm>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64" name="Gerader Verbinder 1163">
            <a:extLst>
              <a:ext uri="{FF2B5EF4-FFF2-40B4-BE49-F238E27FC236}">
                <a16:creationId xmlns:a16="http://schemas.microsoft.com/office/drawing/2014/main" id="{BD9761B7-1669-D54A-6F6C-CE9ADADC8F57}"/>
              </a:ext>
            </a:extLst>
          </xdr:cNvPr>
          <xdr:cNvCxnSpPr/>
        </xdr:nvCxnSpPr>
        <xdr:spPr>
          <a:xfrm flipH="1">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1168" name="Cross_H23">
          <a:extLst>
            <a:ext uri="{FF2B5EF4-FFF2-40B4-BE49-F238E27FC236}">
              <a16:creationId xmlns:a16="http://schemas.microsoft.com/office/drawing/2014/main" id="{4FC291B6-08B5-8DBB-7934-0DF31184C7C7}"/>
            </a:ext>
          </a:extLst>
        </xdr:cNvPr>
        <xdr:cNvGrpSpPr/>
      </xdr:nvGrpSpPr>
      <xdr:grpSpPr>
        <a:xfrm>
          <a:off x="4648200" y="4419600"/>
          <a:ext cx="601980" cy="167640"/>
          <a:chOff x="4648200" y="4419600"/>
          <a:chExt cx="601980" cy="167640"/>
        </a:xfrm>
      </xdr:grpSpPr>
      <xdr:cxnSp macro="">
        <xdr:nvCxnSpPr>
          <xdr:cNvPr id="1166" name="Gerader Verbinder 1165">
            <a:extLst>
              <a:ext uri="{FF2B5EF4-FFF2-40B4-BE49-F238E27FC236}">
                <a16:creationId xmlns:a16="http://schemas.microsoft.com/office/drawing/2014/main" id="{7746C457-6291-19D2-4856-D8592E2FD4D7}"/>
              </a:ext>
            </a:extLst>
          </xdr:cNvPr>
          <xdr:cNvCxnSpPr/>
        </xdr:nvCxnSpPr>
        <xdr:spPr>
          <a:xfrm>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67" name="Gerader Verbinder 1166">
            <a:extLst>
              <a:ext uri="{FF2B5EF4-FFF2-40B4-BE49-F238E27FC236}">
                <a16:creationId xmlns:a16="http://schemas.microsoft.com/office/drawing/2014/main" id="{06EB84DC-9071-EF71-EBC5-FDCDD2E32EDD}"/>
              </a:ext>
            </a:extLst>
          </xdr:cNvPr>
          <xdr:cNvCxnSpPr/>
        </xdr:nvCxnSpPr>
        <xdr:spPr>
          <a:xfrm flipH="1">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1171" name="Cross_H24">
          <a:extLst>
            <a:ext uri="{FF2B5EF4-FFF2-40B4-BE49-F238E27FC236}">
              <a16:creationId xmlns:a16="http://schemas.microsoft.com/office/drawing/2014/main" id="{99BB151C-984F-5400-CD03-8130D74E6842}"/>
            </a:ext>
          </a:extLst>
        </xdr:cNvPr>
        <xdr:cNvGrpSpPr/>
      </xdr:nvGrpSpPr>
      <xdr:grpSpPr>
        <a:xfrm>
          <a:off x="4648200" y="4587240"/>
          <a:ext cx="601980" cy="167640"/>
          <a:chOff x="4648200" y="4587240"/>
          <a:chExt cx="601980" cy="167640"/>
        </a:xfrm>
      </xdr:grpSpPr>
      <xdr:cxnSp macro="">
        <xdr:nvCxnSpPr>
          <xdr:cNvPr id="1169" name="Gerader Verbinder 1168">
            <a:extLst>
              <a:ext uri="{FF2B5EF4-FFF2-40B4-BE49-F238E27FC236}">
                <a16:creationId xmlns:a16="http://schemas.microsoft.com/office/drawing/2014/main" id="{9AB2ED3F-61CF-1FCB-FD42-58ABC04346AD}"/>
              </a:ext>
            </a:extLst>
          </xdr:cNvPr>
          <xdr:cNvCxnSpPr/>
        </xdr:nvCxnSpPr>
        <xdr:spPr>
          <a:xfrm>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70" name="Gerader Verbinder 1169">
            <a:extLst>
              <a:ext uri="{FF2B5EF4-FFF2-40B4-BE49-F238E27FC236}">
                <a16:creationId xmlns:a16="http://schemas.microsoft.com/office/drawing/2014/main" id="{5F5B88FA-468C-6F6C-6CFB-B0787AF25814}"/>
              </a:ext>
            </a:extLst>
          </xdr:cNvPr>
          <xdr:cNvCxnSpPr/>
        </xdr:nvCxnSpPr>
        <xdr:spPr>
          <a:xfrm flipH="1">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30</xdr:row>
      <xdr:rowOff>0</xdr:rowOff>
    </xdr:from>
    <xdr:to>
      <xdr:col>8</xdr:col>
      <xdr:colOff>0</xdr:colOff>
      <xdr:row>31</xdr:row>
      <xdr:rowOff>0</xdr:rowOff>
    </xdr:to>
    <xdr:grpSp>
      <xdr:nvGrpSpPr>
        <xdr:cNvPr id="1174" name="Cross_H31">
          <a:extLst>
            <a:ext uri="{FF2B5EF4-FFF2-40B4-BE49-F238E27FC236}">
              <a16:creationId xmlns:a16="http://schemas.microsoft.com/office/drawing/2014/main" id="{6E80D1C5-675E-7163-51E9-28475C49299E}"/>
            </a:ext>
          </a:extLst>
        </xdr:cNvPr>
        <xdr:cNvGrpSpPr/>
      </xdr:nvGrpSpPr>
      <xdr:grpSpPr>
        <a:xfrm>
          <a:off x="4648200" y="5882640"/>
          <a:ext cx="601980" cy="228600"/>
          <a:chOff x="4648200" y="5882640"/>
          <a:chExt cx="601980" cy="228600"/>
        </a:xfrm>
      </xdr:grpSpPr>
      <xdr:cxnSp macro="">
        <xdr:nvCxnSpPr>
          <xdr:cNvPr id="1172" name="Gerader Verbinder 1171">
            <a:extLst>
              <a:ext uri="{FF2B5EF4-FFF2-40B4-BE49-F238E27FC236}">
                <a16:creationId xmlns:a16="http://schemas.microsoft.com/office/drawing/2014/main" id="{2900A714-085C-DD14-834F-BC94ED05124C}"/>
              </a:ext>
            </a:extLst>
          </xdr:cNvPr>
          <xdr:cNvCxnSpPr/>
        </xdr:nvCxnSpPr>
        <xdr:spPr>
          <a:xfrm>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73" name="Gerader Verbinder 1172">
            <a:extLst>
              <a:ext uri="{FF2B5EF4-FFF2-40B4-BE49-F238E27FC236}">
                <a16:creationId xmlns:a16="http://schemas.microsoft.com/office/drawing/2014/main" id="{AE2E8640-5165-1A04-B52D-34BAECFBB58B}"/>
              </a:ext>
            </a:extLst>
          </xdr:cNvPr>
          <xdr:cNvCxnSpPr/>
        </xdr:nvCxnSpPr>
        <xdr:spPr>
          <a:xfrm flipH="1">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31</xdr:row>
      <xdr:rowOff>0</xdr:rowOff>
    </xdr:from>
    <xdr:to>
      <xdr:col>8</xdr:col>
      <xdr:colOff>0</xdr:colOff>
      <xdr:row>32</xdr:row>
      <xdr:rowOff>0</xdr:rowOff>
    </xdr:to>
    <xdr:grpSp>
      <xdr:nvGrpSpPr>
        <xdr:cNvPr id="1177" name="Cross_H32">
          <a:extLst>
            <a:ext uri="{FF2B5EF4-FFF2-40B4-BE49-F238E27FC236}">
              <a16:creationId xmlns:a16="http://schemas.microsoft.com/office/drawing/2014/main" id="{9E27BEA6-09D7-2E94-D719-1ED6CCE1351A}"/>
            </a:ext>
          </a:extLst>
        </xdr:cNvPr>
        <xdr:cNvGrpSpPr/>
      </xdr:nvGrpSpPr>
      <xdr:grpSpPr>
        <a:xfrm>
          <a:off x="4648200" y="6111240"/>
          <a:ext cx="601980" cy="167640"/>
          <a:chOff x="4648200" y="6111240"/>
          <a:chExt cx="601980" cy="167640"/>
        </a:xfrm>
      </xdr:grpSpPr>
      <xdr:cxnSp macro="">
        <xdr:nvCxnSpPr>
          <xdr:cNvPr id="1175" name="Gerader Verbinder 1174">
            <a:extLst>
              <a:ext uri="{FF2B5EF4-FFF2-40B4-BE49-F238E27FC236}">
                <a16:creationId xmlns:a16="http://schemas.microsoft.com/office/drawing/2014/main" id="{0F4FB8DB-5692-AAF3-F6AD-3B96202EA8AE}"/>
              </a:ext>
            </a:extLst>
          </xdr:cNvPr>
          <xdr:cNvCxnSpPr/>
        </xdr:nvCxnSpPr>
        <xdr:spPr>
          <a:xfrm>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76" name="Gerader Verbinder 1175">
            <a:extLst>
              <a:ext uri="{FF2B5EF4-FFF2-40B4-BE49-F238E27FC236}">
                <a16:creationId xmlns:a16="http://schemas.microsoft.com/office/drawing/2014/main" id="{81FC5B7E-E7A5-830F-D5EB-D340547EDBA1}"/>
              </a:ext>
            </a:extLst>
          </xdr:cNvPr>
          <xdr:cNvCxnSpPr/>
        </xdr:nvCxnSpPr>
        <xdr:spPr>
          <a:xfrm flipH="1">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32</xdr:row>
      <xdr:rowOff>0</xdr:rowOff>
    </xdr:from>
    <xdr:to>
      <xdr:col>8</xdr:col>
      <xdr:colOff>0</xdr:colOff>
      <xdr:row>33</xdr:row>
      <xdr:rowOff>0</xdr:rowOff>
    </xdr:to>
    <xdr:grpSp>
      <xdr:nvGrpSpPr>
        <xdr:cNvPr id="1180" name="Cross_H33">
          <a:extLst>
            <a:ext uri="{FF2B5EF4-FFF2-40B4-BE49-F238E27FC236}">
              <a16:creationId xmlns:a16="http://schemas.microsoft.com/office/drawing/2014/main" id="{9959084D-B50E-C287-0603-6D3FF0648BBA}"/>
            </a:ext>
          </a:extLst>
        </xdr:cNvPr>
        <xdr:cNvGrpSpPr/>
      </xdr:nvGrpSpPr>
      <xdr:grpSpPr>
        <a:xfrm>
          <a:off x="4648200" y="6278880"/>
          <a:ext cx="601980" cy="167640"/>
          <a:chOff x="4648200" y="6278880"/>
          <a:chExt cx="601980" cy="167640"/>
        </a:xfrm>
      </xdr:grpSpPr>
      <xdr:cxnSp macro="">
        <xdr:nvCxnSpPr>
          <xdr:cNvPr id="1178" name="Gerader Verbinder 1177">
            <a:extLst>
              <a:ext uri="{FF2B5EF4-FFF2-40B4-BE49-F238E27FC236}">
                <a16:creationId xmlns:a16="http://schemas.microsoft.com/office/drawing/2014/main" id="{35E176EF-52A6-5E88-D320-88C74DAA7B11}"/>
              </a:ext>
            </a:extLst>
          </xdr:cNvPr>
          <xdr:cNvCxnSpPr/>
        </xdr:nvCxnSpPr>
        <xdr:spPr>
          <a:xfrm>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79" name="Gerader Verbinder 1178">
            <a:extLst>
              <a:ext uri="{FF2B5EF4-FFF2-40B4-BE49-F238E27FC236}">
                <a16:creationId xmlns:a16="http://schemas.microsoft.com/office/drawing/2014/main" id="{56942ED3-CABC-D57E-D95C-02A731536C25}"/>
              </a:ext>
            </a:extLst>
          </xdr:cNvPr>
          <xdr:cNvCxnSpPr/>
        </xdr:nvCxnSpPr>
        <xdr:spPr>
          <a:xfrm flipH="1">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33</xdr:row>
      <xdr:rowOff>0</xdr:rowOff>
    </xdr:from>
    <xdr:to>
      <xdr:col>8</xdr:col>
      <xdr:colOff>0</xdr:colOff>
      <xdr:row>34</xdr:row>
      <xdr:rowOff>0</xdr:rowOff>
    </xdr:to>
    <xdr:grpSp>
      <xdr:nvGrpSpPr>
        <xdr:cNvPr id="1183" name="Cross_H34">
          <a:extLst>
            <a:ext uri="{FF2B5EF4-FFF2-40B4-BE49-F238E27FC236}">
              <a16:creationId xmlns:a16="http://schemas.microsoft.com/office/drawing/2014/main" id="{655C71A1-435D-3564-9971-B9B2BEF30AFE}"/>
            </a:ext>
          </a:extLst>
        </xdr:cNvPr>
        <xdr:cNvGrpSpPr/>
      </xdr:nvGrpSpPr>
      <xdr:grpSpPr>
        <a:xfrm>
          <a:off x="4648200" y="6446520"/>
          <a:ext cx="601980" cy="228600"/>
          <a:chOff x="4648200" y="6446520"/>
          <a:chExt cx="601980" cy="228600"/>
        </a:xfrm>
      </xdr:grpSpPr>
      <xdr:cxnSp macro="">
        <xdr:nvCxnSpPr>
          <xdr:cNvPr id="1181" name="Gerader Verbinder 1180">
            <a:extLst>
              <a:ext uri="{FF2B5EF4-FFF2-40B4-BE49-F238E27FC236}">
                <a16:creationId xmlns:a16="http://schemas.microsoft.com/office/drawing/2014/main" id="{EAE167F2-7E33-A0A4-1913-F1C640EA8D74}"/>
              </a:ext>
            </a:extLst>
          </xdr:cNvPr>
          <xdr:cNvCxnSpPr/>
        </xdr:nvCxnSpPr>
        <xdr:spPr>
          <a:xfrm>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82" name="Gerader Verbinder 1181">
            <a:extLst>
              <a:ext uri="{FF2B5EF4-FFF2-40B4-BE49-F238E27FC236}">
                <a16:creationId xmlns:a16="http://schemas.microsoft.com/office/drawing/2014/main" id="{3460C887-AF37-BD43-5BB9-62A198B8D90D}"/>
              </a:ext>
            </a:extLst>
          </xdr:cNvPr>
          <xdr:cNvCxnSpPr/>
        </xdr:nvCxnSpPr>
        <xdr:spPr>
          <a:xfrm flipH="1">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34</xdr:row>
      <xdr:rowOff>0</xdr:rowOff>
    </xdr:from>
    <xdr:to>
      <xdr:col>8</xdr:col>
      <xdr:colOff>0</xdr:colOff>
      <xdr:row>35</xdr:row>
      <xdr:rowOff>0</xdr:rowOff>
    </xdr:to>
    <xdr:grpSp>
      <xdr:nvGrpSpPr>
        <xdr:cNvPr id="1186" name="Cross_H35">
          <a:extLst>
            <a:ext uri="{FF2B5EF4-FFF2-40B4-BE49-F238E27FC236}">
              <a16:creationId xmlns:a16="http://schemas.microsoft.com/office/drawing/2014/main" id="{C587E704-7C7F-4958-CE9C-9D7200E0B687}"/>
            </a:ext>
          </a:extLst>
        </xdr:cNvPr>
        <xdr:cNvGrpSpPr/>
      </xdr:nvGrpSpPr>
      <xdr:grpSpPr>
        <a:xfrm>
          <a:off x="4648200" y="6675120"/>
          <a:ext cx="601980" cy="167640"/>
          <a:chOff x="4648200" y="6675120"/>
          <a:chExt cx="601980" cy="167640"/>
        </a:xfrm>
      </xdr:grpSpPr>
      <xdr:cxnSp macro="">
        <xdr:nvCxnSpPr>
          <xdr:cNvPr id="1184" name="Gerader Verbinder 1183">
            <a:extLst>
              <a:ext uri="{FF2B5EF4-FFF2-40B4-BE49-F238E27FC236}">
                <a16:creationId xmlns:a16="http://schemas.microsoft.com/office/drawing/2014/main" id="{9794C38A-BFE8-9A52-96C8-8816A5A79F2D}"/>
              </a:ext>
            </a:extLst>
          </xdr:cNvPr>
          <xdr:cNvCxnSpPr/>
        </xdr:nvCxnSpPr>
        <xdr:spPr>
          <a:xfrm>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85" name="Gerader Verbinder 1184">
            <a:extLst>
              <a:ext uri="{FF2B5EF4-FFF2-40B4-BE49-F238E27FC236}">
                <a16:creationId xmlns:a16="http://schemas.microsoft.com/office/drawing/2014/main" id="{6B2B5A93-AF6C-9E63-AE60-BB668BA09F2E}"/>
              </a:ext>
            </a:extLst>
          </xdr:cNvPr>
          <xdr:cNvCxnSpPr/>
        </xdr:nvCxnSpPr>
        <xdr:spPr>
          <a:xfrm flipH="1">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35</xdr:row>
      <xdr:rowOff>0</xdr:rowOff>
    </xdr:from>
    <xdr:to>
      <xdr:col>8</xdr:col>
      <xdr:colOff>0</xdr:colOff>
      <xdr:row>36</xdr:row>
      <xdr:rowOff>0</xdr:rowOff>
    </xdr:to>
    <xdr:grpSp>
      <xdr:nvGrpSpPr>
        <xdr:cNvPr id="1189" name="Cross_H36">
          <a:extLst>
            <a:ext uri="{FF2B5EF4-FFF2-40B4-BE49-F238E27FC236}">
              <a16:creationId xmlns:a16="http://schemas.microsoft.com/office/drawing/2014/main" id="{11C100C9-1168-5A98-88FD-DF5A8724C7E4}"/>
            </a:ext>
          </a:extLst>
        </xdr:cNvPr>
        <xdr:cNvGrpSpPr/>
      </xdr:nvGrpSpPr>
      <xdr:grpSpPr>
        <a:xfrm>
          <a:off x="4648200" y="6842760"/>
          <a:ext cx="601980" cy="167640"/>
          <a:chOff x="4648200" y="6842760"/>
          <a:chExt cx="601980" cy="167640"/>
        </a:xfrm>
      </xdr:grpSpPr>
      <xdr:cxnSp macro="">
        <xdr:nvCxnSpPr>
          <xdr:cNvPr id="1187" name="Gerader Verbinder 1186">
            <a:extLst>
              <a:ext uri="{FF2B5EF4-FFF2-40B4-BE49-F238E27FC236}">
                <a16:creationId xmlns:a16="http://schemas.microsoft.com/office/drawing/2014/main" id="{67A32427-5221-B97B-F1F2-16AC1E140511}"/>
              </a:ext>
            </a:extLst>
          </xdr:cNvPr>
          <xdr:cNvCxnSpPr/>
        </xdr:nvCxnSpPr>
        <xdr:spPr>
          <a:xfrm>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88" name="Gerader Verbinder 1187">
            <a:extLst>
              <a:ext uri="{FF2B5EF4-FFF2-40B4-BE49-F238E27FC236}">
                <a16:creationId xmlns:a16="http://schemas.microsoft.com/office/drawing/2014/main" id="{6B8BE992-C45E-6F77-178D-1E5F557E0D43}"/>
              </a:ext>
            </a:extLst>
          </xdr:cNvPr>
          <xdr:cNvCxnSpPr/>
        </xdr:nvCxnSpPr>
        <xdr:spPr>
          <a:xfrm flipH="1">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36</xdr:row>
      <xdr:rowOff>0</xdr:rowOff>
    </xdr:from>
    <xdr:to>
      <xdr:col>8</xdr:col>
      <xdr:colOff>0</xdr:colOff>
      <xdr:row>37</xdr:row>
      <xdr:rowOff>0</xdr:rowOff>
    </xdr:to>
    <xdr:grpSp>
      <xdr:nvGrpSpPr>
        <xdr:cNvPr id="1192" name="Cross_H37">
          <a:extLst>
            <a:ext uri="{FF2B5EF4-FFF2-40B4-BE49-F238E27FC236}">
              <a16:creationId xmlns:a16="http://schemas.microsoft.com/office/drawing/2014/main" id="{E4D367FD-7506-651D-334D-493F2E96FDEC}"/>
            </a:ext>
          </a:extLst>
        </xdr:cNvPr>
        <xdr:cNvGrpSpPr/>
      </xdr:nvGrpSpPr>
      <xdr:grpSpPr>
        <a:xfrm>
          <a:off x="4648200" y="7010400"/>
          <a:ext cx="601980" cy="228600"/>
          <a:chOff x="4648200" y="7010400"/>
          <a:chExt cx="601980" cy="228600"/>
        </a:xfrm>
      </xdr:grpSpPr>
      <xdr:cxnSp macro="">
        <xdr:nvCxnSpPr>
          <xdr:cNvPr id="1190" name="Gerader Verbinder 1189">
            <a:extLst>
              <a:ext uri="{FF2B5EF4-FFF2-40B4-BE49-F238E27FC236}">
                <a16:creationId xmlns:a16="http://schemas.microsoft.com/office/drawing/2014/main" id="{0D70BFFA-0653-1491-D0FB-1F15D7A6A44B}"/>
              </a:ext>
            </a:extLst>
          </xdr:cNvPr>
          <xdr:cNvCxnSpPr/>
        </xdr:nvCxnSpPr>
        <xdr:spPr>
          <a:xfrm>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91" name="Gerader Verbinder 1190">
            <a:extLst>
              <a:ext uri="{FF2B5EF4-FFF2-40B4-BE49-F238E27FC236}">
                <a16:creationId xmlns:a16="http://schemas.microsoft.com/office/drawing/2014/main" id="{7CDD291B-DA20-5385-3C38-CA51F23365BA}"/>
              </a:ext>
            </a:extLst>
          </xdr:cNvPr>
          <xdr:cNvCxnSpPr/>
        </xdr:nvCxnSpPr>
        <xdr:spPr>
          <a:xfrm flipH="1">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37</xdr:row>
      <xdr:rowOff>0</xdr:rowOff>
    </xdr:from>
    <xdr:to>
      <xdr:col>8</xdr:col>
      <xdr:colOff>0</xdr:colOff>
      <xdr:row>38</xdr:row>
      <xdr:rowOff>0</xdr:rowOff>
    </xdr:to>
    <xdr:grpSp>
      <xdr:nvGrpSpPr>
        <xdr:cNvPr id="1195" name="Cross_H38">
          <a:extLst>
            <a:ext uri="{FF2B5EF4-FFF2-40B4-BE49-F238E27FC236}">
              <a16:creationId xmlns:a16="http://schemas.microsoft.com/office/drawing/2014/main" id="{55F30A74-E235-56F8-A4D3-C6017E62D22B}"/>
            </a:ext>
          </a:extLst>
        </xdr:cNvPr>
        <xdr:cNvGrpSpPr/>
      </xdr:nvGrpSpPr>
      <xdr:grpSpPr>
        <a:xfrm>
          <a:off x="4648200" y="7239000"/>
          <a:ext cx="601980" cy="167640"/>
          <a:chOff x="4648200" y="7239000"/>
          <a:chExt cx="601980" cy="167640"/>
        </a:xfrm>
      </xdr:grpSpPr>
      <xdr:cxnSp macro="">
        <xdr:nvCxnSpPr>
          <xdr:cNvPr id="1193" name="Gerader Verbinder 1192">
            <a:extLst>
              <a:ext uri="{FF2B5EF4-FFF2-40B4-BE49-F238E27FC236}">
                <a16:creationId xmlns:a16="http://schemas.microsoft.com/office/drawing/2014/main" id="{0561B69F-011A-FA8D-588A-C9B3FD2048F0}"/>
              </a:ext>
            </a:extLst>
          </xdr:cNvPr>
          <xdr:cNvCxnSpPr/>
        </xdr:nvCxnSpPr>
        <xdr:spPr>
          <a:xfrm>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94" name="Gerader Verbinder 1193">
            <a:extLst>
              <a:ext uri="{FF2B5EF4-FFF2-40B4-BE49-F238E27FC236}">
                <a16:creationId xmlns:a16="http://schemas.microsoft.com/office/drawing/2014/main" id="{081E18D5-6F50-2BAA-D03E-DAE664D8167D}"/>
              </a:ext>
            </a:extLst>
          </xdr:cNvPr>
          <xdr:cNvCxnSpPr/>
        </xdr:nvCxnSpPr>
        <xdr:spPr>
          <a:xfrm flipH="1">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38</xdr:row>
      <xdr:rowOff>0</xdr:rowOff>
    </xdr:from>
    <xdr:to>
      <xdr:col>8</xdr:col>
      <xdr:colOff>0</xdr:colOff>
      <xdr:row>39</xdr:row>
      <xdr:rowOff>0</xdr:rowOff>
    </xdr:to>
    <xdr:grpSp>
      <xdr:nvGrpSpPr>
        <xdr:cNvPr id="1198" name="Cross_H39">
          <a:extLst>
            <a:ext uri="{FF2B5EF4-FFF2-40B4-BE49-F238E27FC236}">
              <a16:creationId xmlns:a16="http://schemas.microsoft.com/office/drawing/2014/main" id="{5C29B3AD-7227-2939-2F39-02602221FB06}"/>
            </a:ext>
          </a:extLst>
        </xdr:cNvPr>
        <xdr:cNvGrpSpPr/>
      </xdr:nvGrpSpPr>
      <xdr:grpSpPr>
        <a:xfrm>
          <a:off x="4648200" y="7406640"/>
          <a:ext cx="601980" cy="167640"/>
          <a:chOff x="4648200" y="7406640"/>
          <a:chExt cx="601980" cy="167640"/>
        </a:xfrm>
      </xdr:grpSpPr>
      <xdr:cxnSp macro="">
        <xdr:nvCxnSpPr>
          <xdr:cNvPr id="1196" name="Gerader Verbinder 1195">
            <a:extLst>
              <a:ext uri="{FF2B5EF4-FFF2-40B4-BE49-F238E27FC236}">
                <a16:creationId xmlns:a16="http://schemas.microsoft.com/office/drawing/2014/main" id="{9A60C44F-7A19-F971-9CBD-FF7BAF07C280}"/>
              </a:ext>
            </a:extLst>
          </xdr:cNvPr>
          <xdr:cNvCxnSpPr/>
        </xdr:nvCxnSpPr>
        <xdr:spPr>
          <a:xfrm>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97" name="Gerader Verbinder 1196">
            <a:extLst>
              <a:ext uri="{FF2B5EF4-FFF2-40B4-BE49-F238E27FC236}">
                <a16:creationId xmlns:a16="http://schemas.microsoft.com/office/drawing/2014/main" id="{F4E30941-85E1-70CE-6BC7-BD988782ED45}"/>
              </a:ext>
            </a:extLst>
          </xdr:cNvPr>
          <xdr:cNvCxnSpPr/>
        </xdr:nvCxnSpPr>
        <xdr:spPr>
          <a:xfrm flipH="1">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39</xdr:row>
      <xdr:rowOff>0</xdr:rowOff>
    </xdr:from>
    <xdr:to>
      <xdr:col>8</xdr:col>
      <xdr:colOff>0</xdr:colOff>
      <xdr:row>40</xdr:row>
      <xdr:rowOff>0</xdr:rowOff>
    </xdr:to>
    <xdr:grpSp>
      <xdr:nvGrpSpPr>
        <xdr:cNvPr id="1201" name="Cross_H40">
          <a:extLst>
            <a:ext uri="{FF2B5EF4-FFF2-40B4-BE49-F238E27FC236}">
              <a16:creationId xmlns:a16="http://schemas.microsoft.com/office/drawing/2014/main" id="{EABDB8BF-00F4-E93A-7059-71F1A560EAB9}"/>
            </a:ext>
          </a:extLst>
        </xdr:cNvPr>
        <xdr:cNvGrpSpPr/>
      </xdr:nvGrpSpPr>
      <xdr:grpSpPr>
        <a:xfrm>
          <a:off x="4648200" y="7574280"/>
          <a:ext cx="601980" cy="228600"/>
          <a:chOff x="4648200" y="7574280"/>
          <a:chExt cx="601980" cy="228600"/>
        </a:xfrm>
      </xdr:grpSpPr>
      <xdr:cxnSp macro="">
        <xdr:nvCxnSpPr>
          <xdr:cNvPr id="1199" name="Gerader Verbinder 1198">
            <a:extLst>
              <a:ext uri="{FF2B5EF4-FFF2-40B4-BE49-F238E27FC236}">
                <a16:creationId xmlns:a16="http://schemas.microsoft.com/office/drawing/2014/main" id="{EF63B7C4-79E6-AAB6-F280-A0595BDEAAA1}"/>
              </a:ext>
            </a:extLst>
          </xdr:cNvPr>
          <xdr:cNvCxnSpPr/>
        </xdr:nvCxnSpPr>
        <xdr:spPr>
          <a:xfrm>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00" name="Gerader Verbinder 1199">
            <a:extLst>
              <a:ext uri="{FF2B5EF4-FFF2-40B4-BE49-F238E27FC236}">
                <a16:creationId xmlns:a16="http://schemas.microsoft.com/office/drawing/2014/main" id="{C4C15AA6-1934-404C-EBE5-70000BA802E7}"/>
              </a:ext>
            </a:extLst>
          </xdr:cNvPr>
          <xdr:cNvCxnSpPr/>
        </xdr:nvCxnSpPr>
        <xdr:spPr>
          <a:xfrm flipH="1">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40</xdr:row>
      <xdr:rowOff>0</xdr:rowOff>
    </xdr:from>
    <xdr:to>
      <xdr:col>8</xdr:col>
      <xdr:colOff>0</xdr:colOff>
      <xdr:row>41</xdr:row>
      <xdr:rowOff>0</xdr:rowOff>
    </xdr:to>
    <xdr:grpSp>
      <xdr:nvGrpSpPr>
        <xdr:cNvPr id="1204" name="Cross_H41">
          <a:extLst>
            <a:ext uri="{FF2B5EF4-FFF2-40B4-BE49-F238E27FC236}">
              <a16:creationId xmlns:a16="http://schemas.microsoft.com/office/drawing/2014/main" id="{9AE95756-45A8-05E4-C8CF-E6DBD8DC989A}"/>
            </a:ext>
          </a:extLst>
        </xdr:cNvPr>
        <xdr:cNvGrpSpPr/>
      </xdr:nvGrpSpPr>
      <xdr:grpSpPr>
        <a:xfrm>
          <a:off x="4648200" y="7802880"/>
          <a:ext cx="601980" cy="167640"/>
          <a:chOff x="4648200" y="7802880"/>
          <a:chExt cx="601980" cy="167640"/>
        </a:xfrm>
      </xdr:grpSpPr>
      <xdr:cxnSp macro="">
        <xdr:nvCxnSpPr>
          <xdr:cNvPr id="1202" name="Gerader Verbinder 1201">
            <a:extLst>
              <a:ext uri="{FF2B5EF4-FFF2-40B4-BE49-F238E27FC236}">
                <a16:creationId xmlns:a16="http://schemas.microsoft.com/office/drawing/2014/main" id="{25022CC5-3892-BEFB-9F2A-950E35E19F84}"/>
              </a:ext>
            </a:extLst>
          </xdr:cNvPr>
          <xdr:cNvCxnSpPr/>
        </xdr:nvCxnSpPr>
        <xdr:spPr>
          <a:xfrm>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03" name="Gerader Verbinder 1202">
            <a:extLst>
              <a:ext uri="{FF2B5EF4-FFF2-40B4-BE49-F238E27FC236}">
                <a16:creationId xmlns:a16="http://schemas.microsoft.com/office/drawing/2014/main" id="{DC5717B6-6AA0-0639-699A-699FD258BE05}"/>
              </a:ext>
            </a:extLst>
          </xdr:cNvPr>
          <xdr:cNvCxnSpPr/>
        </xdr:nvCxnSpPr>
        <xdr:spPr>
          <a:xfrm flipH="1">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41</xdr:row>
      <xdr:rowOff>0</xdr:rowOff>
    </xdr:from>
    <xdr:to>
      <xdr:col>8</xdr:col>
      <xdr:colOff>0</xdr:colOff>
      <xdr:row>42</xdr:row>
      <xdr:rowOff>0</xdr:rowOff>
    </xdr:to>
    <xdr:grpSp>
      <xdr:nvGrpSpPr>
        <xdr:cNvPr id="1207" name="Cross_H42">
          <a:extLst>
            <a:ext uri="{FF2B5EF4-FFF2-40B4-BE49-F238E27FC236}">
              <a16:creationId xmlns:a16="http://schemas.microsoft.com/office/drawing/2014/main" id="{7BB39292-8C67-0DAC-6C05-B8FDB254968B}"/>
            </a:ext>
          </a:extLst>
        </xdr:cNvPr>
        <xdr:cNvGrpSpPr/>
      </xdr:nvGrpSpPr>
      <xdr:grpSpPr>
        <a:xfrm>
          <a:off x="4648200" y="7970520"/>
          <a:ext cx="601980" cy="167640"/>
          <a:chOff x="4648200" y="7970520"/>
          <a:chExt cx="601980" cy="167640"/>
        </a:xfrm>
      </xdr:grpSpPr>
      <xdr:cxnSp macro="">
        <xdr:nvCxnSpPr>
          <xdr:cNvPr id="1205" name="Gerader Verbinder 1204">
            <a:extLst>
              <a:ext uri="{FF2B5EF4-FFF2-40B4-BE49-F238E27FC236}">
                <a16:creationId xmlns:a16="http://schemas.microsoft.com/office/drawing/2014/main" id="{8F02DE18-D2D7-41D4-5D6B-973562820830}"/>
              </a:ext>
            </a:extLst>
          </xdr:cNvPr>
          <xdr:cNvCxnSpPr/>
        </xdr:nvCxnSpPr>
        <xdr:spPr>
          <a:xfrm>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06" name="Gerader Verbinder 1205">
            <a:extLst>
              <a:ext uri="{FF2B5EF4-FFF2-40B4-BE49-F238E27FC236}">
                <a16:creationId xmlns:a16="http://schemas.microsoft.com/office/drawing/2014/main" id="{F003AB11-AC4E-C076-175B-B68E9BCA3271}"/>
              </a:ext>
            </a:extLst>
          </xdr:cNvPr>
          <xdr:cNvCxnSpPr/>
        </xdr:nvCxnSpPr>
        <xdr:spPr>
          <a:xfrm flipH="1">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51</xdr:row>
      <xdr:rowOff>0</xdr:rowOff>
    </xdr:from>
    <xdr:to>
      <xdr:col>8</xdr:col>
      <xdr:colOff>0</xdr:colOff>
      <xdr:row>52</xdr:row>
      <xdr:rowOff>0</xdr:rowOff>
    </xdr:to>
    <xdr:grpSp>
      <xdr:nvGrpSpPr>
        <xdr:cNvPr id="1210" name="Cross_H52">
          <a:extLst>
            <a:ext uri="{FF2B5EF4-FFF2-40B4-BE49-F238E27FC236}">
              <a16:creationId xmlns:a16="http://schemas.microsoft.com/office/drawing/2014/main" id="{FDDEE1F0-AD9A-B6D7-8CA4-2D23B25C77C3}"/>
            </a:ext>
          </a:extLst>
        </xdr:cNvPr>
        <xdr:cNvGrpSpPr/>
      </xdr:nvGrpSpPr>
      <xdr:grpSpPr>
        <a:xfrm>
          <a:off x="4648200" y="9829800"/>
          <a:ext cx="601980" cy="228600"/>
          <a:chOff x="4648200" y="9829800"/>
          <a:chExt cx="601980" cy="228600"/>
        </a:xfrm>
      </xdr:grpSpPr>
      <xdr:cxnSp macro="">
        <xdr:nvCxnSpPr>
          <xdr:cNvPr id="1208" name="Gerader Verbinder 1207">
            <a:extLst>
              <a:ext uri="{FF2B5EF4-FFF2-40B4-BE49-F238E27FC236}">
                <a16:creationId xmlns:a16="http://schemas.microsoft.com/office/drawing/2014/main" id="{73DC6CA9-89A8-A7DB-EC8C-F6FF2EA2C628}"/>
              </a:ext>
            </a:extLst>
          </xdr:cNvPr>
          <xdr:cNvCxnSpPr/>
        </xdr:nvCxnSpPr>
        <xdr:spPr>
          <a:xfrm>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09" name="Gerader Verbinder 1208">
            <a:extLst>
              <a:ext uri="{FF2B5EF4-FFF2-40B4-BE49-F238E27FC236}">
                <a16:creationId xmlns:a16="http://schemas.microsoft.com/office/drawing/2014/main" id="{DB89E4E3-455B-EB2B-AB4F-FEE829097E9E}"/>
              </a:ext>
            </a:extLst>
          </xdr:cNvPr>
          <xdr:cNvCxnSpPr/>
        </xdr:nvCxnSpPr>
        <xdr:spPr>
          <a:xfrm flipH="1">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52</xdr:row>
      <xdr:rowOff>0</xdr:rowOff>
    </xdr:from>
    <xdr:to>
      <xdr:col>8</xdr:col>
      <xdr:colOff>0</xdr:colOff>
      <xdr:row>53</xdr:row>
      <xdr:rowOff>0</xdr:rowOff>
    </xdr:to>
    <xdr:grpSp>
      <xdr:nvGrpSpPr>
        <xdr:cNvPr id="1213" name="Cross_H53">
          <a:extLst>
            <a:ext uri="{FF2B5EF4-FFF2-40B4-BE49-F238E27FC236}">
              <a16:creationId xmlns:a16="http://schemas.microsoft.com/office/drawing/2014/main" id="{9779D4E1-42BF-106E-08D7-A4BF199B6C78}"/>
            </a:ext>
          </a:extLst>
        </xdr:cNvPr>
        <xdr:cNvGrpSpPr/>
      </xdr:nvGrpSpPr>
      <xdr:grpSpPr>
        <a:xfrm>
          <a:off x="4648200" y="10058400"/>
          <a:ext cx="601980" cy="167640"/>
          <a:chOff x="4648200" y="10058400"/>
          <a:chExt cx="601980" cy="167640"/>
        </a:xfrm>
      </xdr:grpSpPr>
      <xdr:cxnSp macro="">
        <xdr:nvCxnSpPr>
          <xdr:cNvPr id="1211" name="Gerader Verbinder 1210">
            <a:extLst>
              <a:ext uri="{FF2B5EF4-FFF2-40B4-BE49-F238E27FC236}">
                <a16:creationId xmlns:a16="http://schemas.microsoft.com/office/drawing/2014/main" id="{BA0157FF-8847-30E1-E98D-7B2330D8FACB}"/>
              </a:ext>
            </a:extLst>
          </xdr:cNvPr>
          <xdr:cNvCxnSpPr/>
        </xdr:nvCxnSpPr>
        <xdr:spPr>
          <a:xfrm>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12" name="Gerader Verbinder 1211">
            <a:extLst>
              <a:ext uri="{FF2B5EF4-FFF2-40B4-BE49-F238E27FC236}">
                <a16:creationId xmlns:a16="http://schemas.microsoft.com/office/drawing/2014/main" id="{C28CE7BE-EAC9-A089-7B5C-80A8C9012653}"/>
              </a:ext>
            </a:extLst>
          </xdr:cNvPr>
          <xdr:cNvCxnSpPr/>
        </xdr:nvCxnSpPr>
        <xdr:spPr>
          <a:xfrm flipH="1">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53</xdr:row>
      <xdr:rowOff>0</xdr:rowOff>
    </xdr:from>
    <xdr:to>
      <xdr:col>8</xdr:col>
      <xdr:colOff>0</xdr:colOff>
      <xdr:row>54</xdr:row>
      <xdr:rowOff>0</xdr:rowOff>
    </xdr:to>
    <xdr:grpSp>
      <xdr:nvGrpSpPr>
        <xdr:cNvPr id="1216" name="Cross_H54">
          <a:extLst>
            <a:ext uri="{FF2B5EF4-FFF2-40B4-BE49-F238E27FC236}">
              <a16:creationId xmlns:a16="http://schemas.microsoft.com/office/drawing/2014/main" id="{50E04B6B-5C9F-57BB-3FB8-4CF71F563306}"/>
            </a:ext>
          </a:extLst>
        </xdr:cNvPr>
        <xdr:cNvGrpSpPr/>
      </xdr:nvGrpSpPr>
      <xdr:grpSpPr>
        <a:xfrm>
          <a:off x="4648200" y="10226040"/>
          <a:ext cx="601980" cy="167640"/>
          <a:chOff x="4648200" y="10226040"/>
          <a:chExt cx="601980" cy="167640"/>
        </a:xfrm>
      </xdr:grpSpPr>
      <xdr:cxnSp macro="">
        <xdr:nvCxnSpPr>
          <xdr:cNvPr id="1214" name="Gerader Verbinder 1213">
            <a:extLst>
              <a:ext uri="{FF2B5EF4-FFF2-40B4-BE49-F238E27FC236}">
                <a16:creationId xmlns:a16="http://schemas.microsoft.com/office/drawing/2014/main" id="{15769B02-D4C8-B4AC-7390-609541ACA743}"/>
              </a:ext>
            </a:extLst>
          </xdr:cNvPr>
          <xdr:cNvCxnSpPr/>
        </xdr:nvCxnSpPr>
        <xdr:spPr>
          <a:xfrm>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15" name="Gerader Verbinder 1214">
            <a:extLst>
              <a:ext uri="{FF2B5EF4-FFF2-40B4-BE49-F238E27FC236}">
                <a16:creationId xmlns:a16="http://schemas.microsoft.com/office/drawing/2014/main" id="{E358E6C7-BDA5-CB3E-5B01-31B01E049491}"/>
              </a:ext>
            </a:extLst>
          </xdr:cNvPr>
          <xdr:cNvCxnSpPr/>
        </xdr:nvCxnSpPr>
        <xdr:spPr>
          <a:xfrm flipH="1">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54</xdr:row>
      <xdr:rowOff>0</xdr:rowOff>
    </xdr:from>
    <xdr:to>
      <xdr:col>8</xdr:col>
      <xdr:colOff>0</xdr:colOff>
      <xdr:row>55</xdr:row>
      <xdr:rowOff>0</xdr:rowOff>
    </xdr:to>
    <xdr:grpSp>
      <xdr:nvGrpSpPr>
        <xdr:cNvPr id="1219" name="Cross_H55">
          <a:extLst>
            <a:ext uri="{FF2B5EF4-FFF2-40B4-BE49-F238E27FC236}">
              <a16:creationId xmlns:a16="http://schemas.microsoft.com/office/drawing/2014/main" id="{4E6495DC-E431-134F-C59C-BD3585912D64}"/>
            </a:ext>
          </a:extLst>
        </xdr:cNvPr>
        <xdr:cNvGrpSpPr/>
      </xdr:nvGrpSpPr>
      <xdr:grpSpPr>
        <a:xfrm>
          <a:off x="4648200" y="10393680"/>
          <a:ext cx="601980" cy="228600"/>
          <a:chOff x="4648200" y="10393680"/>
          <a:chExt cx="601980" cy="228600"/>
        </a:xfrm>
      </xdr:grpSpPr>
      <xdr:cxnSp macro="">
        <xdr:nvCxnSpPr>
          <xdr:cNvPr id="1217" name="Gerader Verbinder 1216">
            <a:extLst>
              <a:ext uri="{FF2B5EF4-FFF2-40B4-BE49-F238E27FC236}">
                <a16:creationId xmlns:a16="http://schemas.microsoft.com/office/drawing/2014/main" id="{35F8BCC5-08DE-6863-0B7C-FA83834BD13E}"/>
              </a:ext>
            </a:extLst>
          </xdr:cNvPr>
          <xdr:cNvCxnSpPr/>
        </xdr:nvCxnSpPr>
        <xdr:spPr>
          <a:xfrm>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18" name="Gerader Verbinder 1217">
            <a:extLst>
              <a:ext uri="{FF2B5EF4-FFF2-40B4-BE49-F238E27FC236}">
                <a16:creationId xmlns:a16="http://schemas.microsoft.com/office/drawing/2014/main" id="{D6C33DC0-DF57-879D-0282-E13E6E627AD9}"/>
              </a:ext>
            </a:extLst>
          </xdr:cNvPr>
          <xdr:cNvCxnSpPr/>
        </xdr:nvCxnSpPr>
        <xdr:spPr>
          <a:xfrm flipH="1">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55</xdr:row>
      <xdr:rowOff>0</xdr:rowOff>
    </xdr:from>
    <xdr:to>
      <xdr:col>8</xdr:col>
      <xdr:colOff>0</xdr:colOff>
      <xdr:row>56</xdr:row>
      <xdr:rowOff>0</xdr:rowOff>
    </xdr:to>
    <xdr:grpSp>
      <xdr:nvGrpSpPr>
        <xdr:cNvPr id="1222" name="Cross_H56">
          <a:extLst>
            <a:ext uri="{FF2B5EF4-FFF2-40B4-BE49-F238E27FC236}">
              <a16:creationId xmlns:a16="http://schemas.microsoft.com/office/drawing/2014/main" id="{D7AB02AD-12BC-2042-F998-E0FB771F7B11}"/>
            </a:ext>
          </a:extLst>
        </xdr:cNvPr>
        <xdr:cNvGrpSpPr/>
      </xdr:nvGrpSpPr>
      <xdr:grpSpPr>
        <a:xfrm>
          <a:off x="4648200" y="10622280"/>
          <a:ext cx="601980" cy="167640"/>
          <a:chOff x="4648200" y="10622280"/>
          <a:chExt cx="601980" cy="167640"/>
        </a:xfrm>
      </xdr:grpSpPr>
      <xdr:cxnSp macro="">
        <xdr:nvCxnSpPr>
          <xdr:cNvPr id="1220" name="Gerader Verbinder 1219">
            <a:extLst>
              <a:ext uri="{FF2B5EF4-FFF2-40B4-BE49-F238E27FC236}">
                <a16:creationId xmlns:a16="http://schemas.microsoft.com/office/drawing/2014/main" id="{55CDD4C3-8A77-D475-5B05-F3047777DCFB}"/>
              </a:ext>
            </a:extLst>
          </xdr:cNvPr>
          <xdr:cNvCxnSpPr/>
        </xdr:nvCxnSpPr>
        <xdr:spPr>
          <a:xfrm>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21" name="Gerader Verbinder 1220">
            <a:extLst>
              <a:ext uri="{FF2B5EF4-FFF2-40B4-BE49-F238E27FC236}">
                <a16:creationId xmlns:a16="http://schemas.microsoft.com/office/drawing/2014/main" id="{E09DDF9C-2BD4-3651-512F-C17EE7C8890A}"/>
              </a:ext>
            </a:extLst>
          </xdr:cNvPr>
          <xdr:cNvCxnSpPr/>
        </xdr:nvCxnSpPr>
        <xdr:spPr>
          <a:xfrm flipH="1">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56</xdr:row>
      <xdr:rowOff>0</xdr:rowOff>
    </xdr:from>
    <xdr:to>
      <xdr:col>8</xdr:col>
      <xdr:colOff>0</xdr:colOff>
      <xdr:row>57</xdr:row>
      <xdr:rowOff>0</xdr:rowOff>
    </xdr:to>
    <xdr:grpSp>
      <xdr:nvGrpSpPr>
        <xdr:cNvPr id="1225" name="Cross_H57">
          <a:extLst>
            <a:ext uri="{FF2B5EF4-FFF2-40B4-BE49-F238E27FC236}">
              <a16:creationId xmlns:a16="http://schemas.microsoft.com/office/drawing/2014/main" id="{D0AF1808-82EC-CC48-2A93-D2373CA7E6EF}"/>
            </a:ext>
          </a:extLst>
        </xdr:cNvPr>
        <xdr:cNvGrpSpPr/>
      </xdr:nvGrpSpPr>
      <xdr:grpSpPr>
        <a:xfrm>
          <a:off x="4648200" y="10789920"/>
          <a:ext cx="601980" cy="167640"/>
          <a:chOff x="4648200" y="10789920"/>
          <a:chExt cx="601980" cy="167640"/>
        </a:xfrm>
      </xdr:grpSpPr>
      <xdr:cxnSp macro="">
        <xdr:nvCxnSpPr>
          <xdr:cNvPr id="1223" name="Gerader Verbinder 1222">
            <a:extLst>
              <a:ext uri="{FF2B5EF4-FFF2-40B4-BE49-F238E27FC236}">
                <a16:creationId xmlns:a16="http://schemas.microsoft.com/office/drawing/2014/main" id="{51E32D43-4CFB-250E-7C19-3DDA6C0EBA1A}"/>
              </a:ext>
            </a:extLst>
          </xdr:cNvPr>
          <xdr:cNvCxnSpPr/>
        </xdr:nvCxnSpPr>
        <xdr:spPr>
          <a:xfrm>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24" name="Gerader Verbinder 1223">
            <a:extLst>
              <a:ext uri="{FF2B5EF4-FFF2-40B4-BE49-F238E27FC236}">
                <a16:creationId xmlns:a16="http://schemas.microsoft.com/office/drawing/2014/main" id="{22A3FE35-62F6-B864-F850-0B1EF3EA627F}"/>
              </a:ext>
            </a:extLst>
          </xdr:cNvPr>
          <xdr:cNvCxnSpPr/>
        </xdr:nvCxnSpPr>
        <xdr:spPr>
          <a:xfrm flipH="1">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63</xdr:row>
      <xdr:rowOff>0</xdr:rowOff>
    </xdr:from>
    <xdr:to>
      <xdr:col>8</xdr:col>
      <xdr:colOff>0</xdr:colOff>
      <xdr:row>64</xdr:row>
      <xdr:rowOff>0</xdr:rowOff>
    </xdr:to>
    <xdr:grpSp>
      <xdr:nvGrpSpPr>
        <xdr:cNvPr id="1228" name="Cross_H64">
          <a:extLst>
            <a:ext uri="{FF2B5EF4-FFF2-40B4-BE49-F238E27FC236}">
              <a16:creationId xmlns:a16="http://schemas.microsoft.com/office/drawing/2014/main" id="{8C2FBBFC-2354-B31E-8424-48AC5B19AFE5}"/>
            </a:ext>
          </a:extLst>
        </xdr:cNvPr>
        <xdr:cNvGrpSpPr/>
      </xdr:nvGrpSpPr>
      <xdr:grpSpPr>
        <a:xfrm>
          <a:off x="4648200" y="12085320"/>
          <a:ext cx="601980" cy="228600"/>
          <a:chOff x="4648200" y="12085320"/>
          <a:chExt cx="601980" cy="228600"/>
        </a:xfrm>
      </xdr:grpSpPr>
      <xdr:cxnSp macro="">
        <xdr:nvCxnSpPr>
          <xdr:cNvPr id="1226" name="Gerader Verbinder 1225">
            <a:extLst>
              <a:ext uri="{FF2B5EF4-FFF2-40B4-BE49-F238E27FC236}">
                <a16:creationId xmlns:a16="http://schemas.microsoft.com/office/drawing/2014/main" id="{5C29CA13-5B1E-FA81-7753-CBCE4CB1761C}"/>
              </a:ext>
            </a:extLst>
          </xdr:cNvPr>
          <xdr:cNvCxnSpPr/>
        </xdr:nvCxnSpPr>
        <xdr:spPr>
          <a:xfrm>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27" name="Gerader Verbinder 1226">
            <a:extLst>
              <a:ext uri="{FF2B5EF4-FFF2-40B4-BE49-F238E27FC236}">
                <a16:creationId xmlns:a16="http://schemas.microsoft.com/office/drawing/2014/main" id="{E56DAAB7-CD02-B7C6-B54D-92E606CC16F4}"/>
              </a:ext>
            </a:extLst>
          </xdr:cNvPr>
          <xdr:cNvCxnSpPr/>
        </xdr:nvCxnSpPr>
        <xdr:spPr>
          <a:xfrm flipH="1">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64</xdr:row>
      <xdr:rowOff>0</xdr:rowOff>
    </xdr:from>
    <xdr:to>
      <xdr:col>8</xdr:col>
      <xdr:colOff>0</xdr:colOff>
      <xdr:row>65</xdr:row>
      <xdr:rowOff>0</xdr:rowOff>
    </xdr:to>
    <xdr:grpSp>
      <xdr:nvGrpSpPr>
        <xdr:cNvPr id="1231" name="Cross_H65">
          <a:extLst>
            <a:ext uri="{FF2B5EF4-FFF2-40B4-BE49-F238E27FC236}">
              <a16:creationId xmlns:a16="http://schemas.microsoft.com/office/drawing/2014/main" id="{A5F6F8E2-9525-BA46-FB9B-7E8E4E684BD2}"/>
            </a:ext>
          </a:extLst>
        </xdr:cNvPr>
        <xdr:cNvGrpSpPr/>
      </xdr:nvGrpSpPr>
      <xdr:grpSpPr>
        <a:xfrm>
          <a:off x="4648200" y="12313920"/>
          <a:ext cx="601980" cy="167640"/>
          <a:chOff x="4648200" y="12313920"/>
          <a:chExt cx="601980" cy="167640"/>
        </a:xfrm>
      </xdr:grpSpPr>
      <xdr:cxnSp macro="">
        <xdr:nvCxnSpPr>
          <xdr:cNvPr id="1229" name="Gerader Verbinder 1228">
            <a:extLst>
              <a:ext uri="{FF2B5EF4-FFF2-40B4-BE49-F238E27FC236}">
                <a16:creationId xmlns:a16="http://schemas.microsoft.com/office/drawing/2014/main" id="{B6C32D3F-5091-1E36-71B9-CD7292823111}"/>
              </a:ext>
            </a:extLst>
          </xdr:cNvPr>
          <xdr:cNvCxnSpPr/>
        </xdr:nvCxnSpPr>
        <xdr:spPr>
          <a:xfrm>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30" name="Gerader Verbinder 1229">
            <a:extLst>
              <a:ext uri="{FF2B5EF4-FFF2-40B4-BE49-F238E27FC236}">
                <a16:creationId xmlns:a16="http://schemas.microsoft.com/office/drawing/2014/main" id="{8DDA7F45-C3BD-8827-35E2-EDAD0284BBAB}"/>
              </a:ext>
            </a:extLst>
          </xdr:cNvPr>
          <xdr:cNvCxnSpPr/>
        </xdr:nvCxnSpPr>
        <xdr:spPr>
          <a:xfrm flipH="1">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65</xdr:row>
      <xdr:rowOff>0</xdr:rowOff>
    </xdr:from>
    <xdr:to>
      <xdr:col>8</xdr:col>
      <xdr:colOff>0</xdr:colOff>
      <xdr:row>66</xdr:row>
      <xdr:rowOff>0</xdr:rowOff>
    </xdr:to>
    <xdr:grpSp>
      <xdr:nvGrpSpPr>
        <xdr:cNvPr id="1234" name="Cross_H66">
          <a:extLst>
            <a:ext uri="{FF2B5EF4-FFF2-40B4-BE49-F238E27FC236}">
              <a16:creationId xmlns:a16="http://schemas.microsoft.com/office/drawing/2014/main" id="{A5164881-B73B-46CB-BC05-5B021B25532C}"/>
            </a:ext>
          </a:extLst>
        </xdr:cNvPr>
        <xdr:cNvGrpSpPr/>
      </xdr:nvGrpSpPr>
      <xdr:grpSpPr>
        <a:xfrm>
          <a:off x="4648200" y="12481560"/>
          <a:ext cx="601980" cy="167640"/>
          <a:chOff x="4648200" y="12481560"/>
          <a:chExt cx="601980" cy="167640"/>
        </a:xfrm>
      </xdr:grpSpPr>
      <xdr:cxnSp macro="">
        <xdr:nvCxnSpPr>
          <xdr:cNvPr id="1232" name="Gerader Verbinder 1231">
            <a:extLst>
              <a:ext uri="{FF2B5EF4-FFF2-40B4-BE49-F238E27FC236}">
                <a16:creationId xmlns:a16="http://schemas.microsoft.com/office/drawing/2014/main" id="{EC7A6790-DC40-9FAF-7396-5DA48F38EA2D}"/>
              </a:ext>
            </a:extLst>
          </xdr:cNvPr>
          <xdr:cNvCxnSpPr/>
        </xdr:nvCxnSpPr>
        <xdr:spPr>
          <a:xfrm>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33" name="Gerader Verbinder 1232">
            <a:extLst>
              <a:ext uri="{FF2B5EF4-FFF2-40B4-BE49-F238E27FC236}">
                <a16:creationId xmlns:a16="http://schemas.microsoft.com/office/drawing/2014/main" id="{20691094-C209-7956-2807-42B5484FE73F}"/>
              </a:ext>
            </a:extLst>
          </xdr:cNvPr>
          <xdr:cNvCxnSpPr/>
        </xdr:nvCxnSpPr>
        <xdr:spPr>
          <a:xfrm flipH="1">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66</xdr:row>
      <xdr:rowOff>0</xdr:rowOff>
    </xdr:from>
    <xdr:to>
      <xdr:col>8</xdr:col>
      <xdr:colOff>0</xdr:colOff>
      <xdr:row>67</xdr:row>
      <xdr:rowOff>0</xdr:rowOff>
    </xdr:to>
    <xdr:grpSp>
      <xdr:nvGrpSpPr>
        <xdr:cNvPr id="1237" name="Cross_H67">
          <a:extLst>
            <a:ext uri="{FF2B5EF4-FFF2-40B4-BE49-F238E27FC236}">
              <a16:creationId xmlns:a16="http://schemas.microsoft.com/office/drawing/2014/main" id="{74149250-B4B8-7A7F-D218-382F13AA0994}"/>
            </a:ext>
          </a:extLst>
        </xdr:cNvPr>
        <xdr:cNvGrpSpPr/>
      </xdr:nvGrpSpPr>
      <xdr:grpSpPr>
        <a:xfrm>
          <a:off x="4648200" y="12649200"/>
          <a:ext cx="601980" cy="228600"/>
          <a:chOff x="4648200" y="12649200"/>
          <a:chExt cx="601980" cy="228600"/>
        </a:xfrm>
      </xdr:grpSpPr>
      <xdr:cxnSp macro="">
        <xdr:nvCxnSpPr>
          <xdr:cNvPr id="1235" name="Gerader Verbinder 1234">
            <a:extLst>
              <a:ext uri="{FF2B5EF4-FFF2-40B4-BE49-F238E27FC236}">
                <a16:creationId xmlns:a16="http://schemas.microsoft.com/office/drawing/2014/main" id="{24175B3B-9571-2746-997A-FD6ED9012518}"/>
              </a:ext>
            </a:extLst>
          </xdr:cNvPr>
          <xdr:cNvCxnSpPr/>
        </xdr:nvCxnSpPr>
        <xdr:spPr>
          <a:xfrm>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36" name="Gerader Verbinder 1235">
            <a:extLst>
              <a:ext uri="{FF2B5EF4-FFF2-40B4-BE49-F238E27FC236}">
                <a16:creationId xmlns:a16="http://schemas.microsoft.com/office/drawing/2014/main" id="{D64A5858-9B7B-A2B6-99AA-0BB61777205C}"/>
              </a:ext>
            </a:extLst>
          </xdr:cNvPr>
          <xdr:cNvCxnSpPr/>
        </xdr:nvCxnSpPr>
        <xdr:spPr>
          <a:xfrm flipH="1">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0</xdr:rowOff>
    </xdr:from>
    <xdr:to>
      <xdr:col>8</xdr:col>
      <xdr:colOff>0</xdr:colOff>
      <xdr:row>67</xdr:row>
      <xdr:rowOff>167639</xdr:rowOff>
    </xdr:to>
    <xdr:grpSp>
      <xdr:nvGrpSpPr>
        <xdr:cNvPr id="1240" name="Cross_H68">
          <a:extLst>
            <a:ext uri="{FF2B5EF4-FFF2-40B4-BE49-F238E27FC236}">
              <a16:creationId xmlns:a16="http://schemas.microsoft.com/office/drawing/2014/main" id="{594B0E56-3BF8-2FE7-AAF9-AC9D01050DBB}"/>
            </a:ext>
          </a:extLst>
        </xdr:cNvPr>
        <xdr:cNvGrpSpPr/>
      </xdr:nvGrpSpPr>
      <xdr:grpSpPr>
        <a:xfrm>
          <a:off x="4648200" y="12877800"/>
          <a:ext cx="601980" cy="167639"/>
          <a:chOff x="4648200" y="12877800"/>
          <a:chExt cx="601980" cy="167639"/>
        </a:xfrm>
      </xdr:grpSpPr>
      <xdr:cxnSp macro="">
        <xdr:nvCxnSpPr>
          <xdr:cNvPr id="1238" name="Gerader Verbinder 1237">
            <a:extLst>
              <a:ext uri="{FF2B5EF4-FFF2-40B4-BE49-F238E27FC236}">
                <a16:creationId xmlns:a16="http://schemas.microsoft.com/office/drawing/2014/main" id="{CBB59E57-42D4-6934-76F7-26A40F02C981}"/>
              </a:ext>
            </a:extLst>
          </xdr:cNvPr>
          <xdr:cNvCxnSpPr/>
        </xdr:nvCxnSpPr>
        <xdr:spPr>
          <a:xfrm>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39" name="Gerader Verbinder 1238">
            <a:extLst>
              <a:ext uri="{FF2B5EF4-FFF2-40B4-BE49-F238E27FC236}">
                <a16:creationId xmlns:a16="http://schemas.microsoft.com/office/drawing/2014/main" id="{0D782C01-4673-4E9E-6F69-A0BB23314D8B}"/>
              </a:ext>
            </a:extLst>
          </xdr:cNvPr>
          <xdr:cNvCxnSpPr/>
        </xdr:nvCxnSpPr>
        <xdr:spPr>
          <a:xfrm flipH="1">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167639</xdr:rowOff>
    </xdr:from>
    <xdr:to>
      <xdr:col>8</xdr:col>
      <xdr:colOff>0</xdr:colOff>
      <xdr:row>69</xdr:row>
      <xdr:rowOff>0</xdr:rowOff>
    </xdr:to>
    <xdr:grpSp>
      <xdr:nvGrpSpPr>
        <xdr:cNvPr id="1243" name="Cross_H69">
          <a:extLst>
            <a:ext uri="{FF2B5EF4-FFF2-40B4-BE49-F238E27FC236}">
              <a16:creationId xmlns:a16="http://schemas.microsoft.com/office/drawing/2014/main" id="{F834C070-D687-841B-5F45-4424E67312A2}"/>
            </a:ext>
          </a:extLst>
        </xdr:cNvPr>
        <xdr:cNvGrpSpPr/>
      </xdr:nvGrpSpPr>
      <xdr:grpSpPr>
        <a:xfrm>
          <a:off x="4648200" y="13045439"/>
          <a:ext cx="601980" cy="167641"/>
          <a:chOff x="4648200" y="13045439"/>
          <a:chExt cx="601980" cy="167641"/>
        </a:xfrm>
      </xdr:grpSpPr>
      <xdr:cxnSp macro="">
        <xdr:nvCxnSpPr>
          <xdr:cNvPr id="1241" name="Gerader Verbinder 1240">
            <a:extLst>
              <a:ext uri="{FF2B5EF4-FFF2-40B4-BE49-F238E27FC236}">
                <a16:creationId xmlns:a16="http://schemas.microsoft.com/office/drawing/2014/main" id="{B11537C3-436C-03E3-CFEE-254905B978DE}"/>
              </a:ext>
            </a:extLst>
          </xdr:cNvPr>
          <xdr:cNvCxnSpPr/>
        </xdr:nvCxnSpPr>
        <xdr:spPr>
          <a:xfrm>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42" name="Gerader Verbinder 1241">
            <a:extLst>
              <a:ext uri="{FF2B5EF4-FFF2-40B4-BE49-F238E27FC236}">
                <a16:creationId xmlns:a16="http://schemas.microsoft.com/office/drawing/2014/main" id="{712B6774-783A-5E37-B659-EABCABDAA9EA}"/>
              </a:ext>
            </a:extLst>
          </xdr:cNvPr>
          <xdr:cNvCxnSpPr/>
        </xdr:nvCxnSpPr>
        <xdr:spPr>
          <a:xfrm flipH="1">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72</xdr:row>
      <xdr:rowOff>1</xdr:rowOff>
    </xdr:from>
    <xdr:to>
      <xdr:col>8</xdr:col>
      <xdr:colOff>0</xdr:colOff>
      <xdr:row>73</xdr:row>
      <xdr:rowOff>1</xdr:rowOff>
    </xdr:to>
    <xdr:grpSp>
      <xdr:nvGrpSpPr>
        <xdr:cNvPr id="1246" name="Cross_H73">
          <a:extLst>
            <a:ext uri="{FF2B5EF4-FFF2-40B4-BE49-F238E27FC236}">
              <a16:creationId xmlns:a16="http://schemas.microsoft.com/office/drawing/2014/main" id="{6B0B5CCB-D73C-42A2-716B-08DFCF7D8E3F}"/>
            </a:ext>
          </a:extLst>
        </xdr:cNvPr>
        <xdr:cNvGrpSpPr/>
      </xdr:nvGrpSpPr>
      <xdr:grpSpPr>
        <a:xfrm>
          <a:off x="4648200" y="13776961"/>
          <a:ext cx="601980" cy="228600"/>
          <a:chOff x="4648200" y="13776961"/>
          <a:chExt cx="601980" cy="228600"/>
        </a:xfrm>
      </xdr:grpSpPr>
      <xdr:cxnSp macro="">
        <xdr:nvCxnSpPr>
          <xdr:cNvPr id="1244" name="Gerader Verbinder 1243">
            <a:extLst>
              <a:ext uri="{FF2B5EF4-FFF2-40B4-BE49-F238E27FC236}">
                <a16:creationId xmlns:a16="http://schemas.microsoft.com/office/drawing/2014/main" id="{118EC54F-123C-9361-FD08-1E1DCFADB7EC}"/>
              </a:ext>
            </a:extLst>
          </xdr:cNvPr>
          <xdr:cNvCxnSpPr/>
        </xdr:nvCxnSpPr>
        <xdr:spPr>
          <a:xfrm>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45" name="Gerader Verbinder 1244">
            <a:extLst>
              <a:ext uri="{FF2B5EF4-FFF2-40B4-BE49-F238E27FC236}">
                <a16:creationId xmlns:a16="http://schemas.microsoft.com/office/drawing/2014/main" id="{EC9E8A0C-617B-9135-F716-A1D365409B4F}"/>
              </a:ext>
            </a:extLst>
          </xdr:cNvPr>
          <xdr:cNvCxnSpPr/>
        </xdr:nvCxnSpPr>
        <xdr:spPr>
          <a:xfrm flipH="1">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73</xdr:row>
      <xdr:rowOff>1</xdr:rowOff>
    </xdr:from>
    <xdr:to>
      <xdr:col>8</xdr:col>
      <xdr:colOff>0</xdr:colOff>
      <xdr:row>74</xdr:row>
      <xdr:rowOff>0</xdr:rowOff>
    </xdr:to>
    <xdr:grpSp>
      <xdr:nvGrpSpPr>
        <xdr:cNvPr id="1249" name="Cross_H74">
          <a:extLst>
            <a:ext uri="{FF2B5EF4-FFF2-40B4-BE49-F238E27FC236}">
              <a16:creationId xmlns:a16="http://schemas.microsoft.com/office/drawing/2014/main" id="{D4F0F503-F578-6B0B-1932-A5F1C7F40827}"/>
            </a:ext>
          </a:extLst>
        </xdr:cNvPr>
        <xdr:cNvGrpSpPr/>
      </xdr:nvGrpSpPr>
      <xdr:grpSpPr>
        <a:xfrm>
          <a:off x="4648200" y="14005561"/>
          <a:ext cx="601980" cy="167639"/>
          <a:chOff x="4648200" y="14005561"/>
          <a:chExt cx="601980" cy="167639"/>
        </a:xfrm>
      </xdr:grpSpPr>
      <xdr:cxnSp macro="">
        <xdr:nvCxnSpPr>
          <xdr:cNvPr id="1247" name="Gerader Verbinder 1246">
            <a:extLst>
              <a:ext uri="{FF2B5EF4-FFF2-40B4-BE49-F238E27FC236}">
                <a16:creationId xmlns:a16="http://schemas.microsoft.com/office/drawing/2014/main" id="{45D582A8-23FF-B1C0-E0CA-3F0757426BDA}"/>
              </a:ext>
            </a:extLst>
          </xdr:cNvPr>
          <xdr:cNvCxnSpPr/>
        </xdr:nvCxnSpPr>
        <xdr:spPr>
          <a:xfrm>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48" name="Gerader Verbinder 1247">
            <a:extLst>
              <a:ext uri="{FF2B5EF4-FFF2-40B4-BE49-F238E27FC236}">
                <a16:creationId xmlns:a16="http://schemas.microsoft.com/office/drawing/2014/main" id="{EE1F531C-6D46-C67E-EFAA-AE4D1D0F05A9}"/>
              </a:ext>
            </a:extLst>
          </xdr:cNvPr>
          <xdr:cNvCxnSpPr/>
        </xdr:nvCxnSpPr>
        <xdr:spPr>
          <a:xfrm flipH="1">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74</xdr:row>
      <xdr:rowOff>0</xdr:rowOff>
    </xdr:from>
    <xdr:to>
      <xdr:col>8</xdr:col>
      <xdr:colOff>0</xdr:colOff>
      <xdr:row>74</xdr:row>
      <xdr:rowOff>167639</xdr:rowOff>
    </xdr:to>
    <xdr:grpSp>
      <xdr:nvGrpSpPr>
        <xdr:cNvPr id="1252" name="Cross_H75">
          <a:extLst>
            <a:ext uri="{FF2B5EF4-FFF2-40B4-BE49-F238E27FC236}">
              <a16:creationId xmlns:a16="http://schemas.microsoft.com/office/drawing/2014/main" id="{E04EE89A-D165-15EE-62D7-DFE30B38B480}"/>
            </a:ext>
          </a:extLst>
        </xdr:cNvPr>
        <xdr:cNvGrpSpPr/>
      </xdr:nvGrpSpPr>
      <xdr:grpSpPr>
        <a:xfrm>
          <a:off x="4648200" y="14173200"/>
          <a:ext cx="601980" cy="167639"/>
          <a:chOff x="4648200" y="14173200"/>
          <a:chExt cx="601980" cy="167639"/>
        </a:xfrm>
      </xdr:grpSpPr>
      <xdr:cxnSp macro="">
        <xdr:nvCxnSpPr>
          <xdr:cNvPr id="1250" name="Gerader Verbinder 1249">
            <a:extLst>
              <a:ext uri="{FF2B5EF4-FFF2-40B4-BE49-F238E27FC236}">
                <a16:creationId xmlns:a16="http://schemas.microsoft.com/office/drawing/2014/main" id="{10230F11-1A4C-F3AC-43AE-19E6A69ED246}"/>
              </a:ext>
            </a:extLst>
          </xdr:cNvPr>
          <xdr:cNvCxnSpPr/>
        </xdr:nvCxnSpPr>
        <xdr:spPr>
          <a:xfrm>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51" name="Gerader Verbinder 1250">
            <a:extLst>
              <a:ext uri="{FF2B5EF4-FFF2-40B4-BE49-F238E27FC236}">
                <a16:creationId xmlns:a16="http://schemas.microsoft.com/office/drawing/2014/main" id="{15F90A98-0CC4-3D46-0C7E-ADA8DDC5E026}"/>
              </a:ext>
            </a:extLst>
          </xdr:cNvPr>
          <xdr:cNvCxnSpPr/>
        </xdr:nvCxnSpPr>
        <xdr:spPr>
          <a:xfrm flipH="1">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F542B-6CC4-4142-BE84-017907283CEC}">
  <sheetPr codeName="Tabelle142">
    <tabColor rgb="FF00B0F0"/>
  </sheetPr>
  <dimension ref="B1:N100"/>
  <sheetViews>
    <sheetView workbookViewId="0"/>
  </sheetViews>
  <sheetFormatPr baseColWidth="10" defaultRowHeight="13.2" x14ac:dyDescent="0.25"/>
  <cols>
    <col min="1" max="2" width="3.44140625" style="142" customWidth="1"/>
    <col min="3" max="3" width="25.77734375" style="142" customWidth="1"/>
    <col min="4" max="10" width="11.77734375" style="142" customWidth="1"/>
    <col min="11" max="13" width="8.77734375" style="142" customWidth="1"/>
    <col min="14" max="14" width="8.77734375" style="142" hidden="1" customWidth="1"/>
    <col min="15" max="16384" width="11.5546875" style="142"/>
  </cols>
  <sheetData>
    <row r="1" spans="2:14" ht="18" customHeight="1" thickBot="1" x14ac:dyDescent="0.3"/>
    <row r="2" spans="2:14" ht="18" customHeight="1" x14ac:dyDescent="0.25">
      <c r="B2" s="143" t="str">
        <f>Config!F2&amp;" "&amp;YEAR(Config!G24)</f>
        <v>Mathe Abitur 2026</v>
      </c>
      <c r="C2" s="144"/>
      <c r="D2" s="144"/>
      <c r="E2" s="144"/>
      <c r="F2" s="145"/>
      <c r="G2" s="145"/>
      <c r="H2" s="145"/>
      <c r="I2" s="145"/>
      <c r="J2" s="145"/>
      <c r="K2" s="145"/>
      <c r="L2" s="145"/>
      <c r="M2" s="146" t="str">
        <f>"Kurs "&amp;Config!G26</f>
        <v>Kurs K1</v>
      </c>
    </row>
    <row r="3" spans="2:14" ht="18" customHeight="1" x14ac:dyDescent="0.25">
      <c r="B3" s="147" t="s">
        <v>83</v>
      </c>
      <c r="C3" s="148"/>
      <c r="D3" s="148"/>
      <c r="E3" s="148"/>
      <c r="F3" s="148"/>
      <c r="G3" s="148"/>
      <c r="H3" s="148"/>
      <c r="I3" s="148"/>
      <c r="J3" s="148"/>
      <c r="K3" s="148"/>
      <c r="L3" s="148"/>
      <c r="M3" s="149"/>
    </row>
    <row r="4" spans="2:14" ht="18" customHeight="1" thickBot="1" x14ac:dyDescent="0.3">
      <c r="B4" s="147"/>
      <c r="C4" s="148"/>
      <c r="D4" s="150"/>
      <c r="E4" s="150"/>
      <c r="F4" s="150"/>
      <c r="G4" s="150"/>
      <c r="H4" s="150"/>
      <c r="I4" s="150"/>
      <c r="J4" s="150"/>
      <c r="K4" s="150"/>
      <c r="L4" s="148"/>
      <c r="M4" s="149"/>
    </row>
    <row r="5" spans="2:14" ht="18" customHeight="1" thickBot="1" x14ac:dyDescent="0.3">
      <c r="B5" s="152"/>
      <c r="C5" s="154"/>
      <c r="D5" s="158" t="s">
        <v>9</v>
      </c>
      <c r="E5" s="158" t="s">
        <v>10</v>
      </c>
      <c r="F5" s="158" t="s">
        <v>11</v>
      </c>
      <c r="G5" s="158" t="s">
        <v>12</v>
      </c>
      <c r="H5" s="158" t="s">
        <v>13</v>
      </c>
      <c r="I5" s="158" t="s">
        <v>14</v>
      </c>
      <c r="J5" s="158" t="s">
        <v>112</v>
      </c>
      <c r="K5" s="176" t="s">
        <v>82</v>
      </c>
      <c r="L5" s="175"/>
      <c r="M5" s="177"/>
    </row>
    <row r="6" spans="2:14" ht="18" customHeight="1" thickBot="1" x14ac:dyDescent="0.3">
      <c r="B6" s="153"/>
      <c r="C6" s="155" t="s">
        <v>81</v>
      </c>
      <c r="D6" s="174">
        <f>Config!G21</f>
        <v>15</v>
      </c>
      <c r="E6" s="174">
        <f>Config!I21</f>
        <v>30</v>
      </c>
      <c r="F6" s="174">
        <f>Config!K21</f>
        <v>5</v>
      </c>
      <c r="G6" s="174">
        <f>Config!M21</f>
        <v>17</v>
      </c>
      <c r="H6" s="174">
        <f>Config!O21</f>
        <v>5</v>
      </c>
      <c r="I6" s="174">
        <f>Config!Q21</f>
        <v>18</v>
      </c>
      <c r="J6" s="174">
        <f>Config!S21</f>
        <v>10</v>
      </c>
      <c r="K6" s="186">
        <f t="shared" ref="K6:K29" si="0">SUM(D6:J6)</f>
        <v>100</v>
      </c>
      <c r="L6" s="156" t="s">
        <v>0</v>
      </c>
      <c r="M6" s="178" t="s">
        <v>1</v>
      </c>
      <c r="N6" s="142" t="s">
        <v>84</v>
      </c>
    </row>
    <row r="7" spans="2:14" ht="18" customHeight="1" thickBot="1" x14ac:dyDescent="0.3">
      <c r="B7" s="167">
        <v>1</v>
      </c>
      <c r="C7" s="165" t="str">
        <f>Config!C5&amp;", "&amp;Config!D5</f>
        <v>Höfer, Simon</v>
      </c>
      <c r="D7" s="180">
        <f>VLOOKUP(C7,'Analysis A'!PupilBlock,8,0)</f>
        <v>11.5</v>
      </c>
      <c r="E7" s="180">
        <f>VLOOKUP(C7,'Analysis B'!PupilBlock,12,0)</f>
        <v>22.5</v>
      </c>
      <c r="F7" s="180">
        <f>VLOOKUP(C7,'Stochastik A'!PupilBlock,3,0)</f>
        <v>2.5</v>
      </c>
      <c r="G7" s="180">
        <f>VLOOKUP(C7,'Stochastik B'!PupilBlock,7,0)</f>
        <v>13</v>
      </c>
      <c r="H7" s="180">
        <f>VLOOKUP(C7,'Geometrie A'!PupilBlock,4,0)</f>
        <v>0</v>
      </c>
      <c r="I7" s="180">
        <f>VLOOKUP(C7,'Geometrie B'!PupilBlock,7,0)</f>
        <v>9</v>
      </c>
      <c r="J7" s="180">
        <f>VLOOKUP(C7,Wahlaufgaben!PupilBlock,7,0)</f>
        <v>7</v>
      </c>
      <c r="K7" s="161">
        <f t="shared" si="0"/>
        <v>65.5</v>
      </c>
      <c r="L7" s="194">
        <f>VLOOKUP(VALUE(K7),Notenspiegel!$B$3:$C$302,2,0)</f>
        <v>9</v>
      </c>
      <c r="M7" s="195" t="str">
        <f>VLOOKUP(VALUE(K7),Notenspiegel!$B$3:$D$302,3,0)</f>
        <v>3+</v>
      </c>
      <c r="N7" s="142" t="str">
        <f>VLOOKUP(VALUE(K7),Notenspiegel!$B$3:$E$302,4,0)</f>
        <v>-</v>
      </c>
    </row>
    <row r="8" spans="2:14" ht="18" customHeight="1" thickBot="1" x14ac:dyDescent="0.3">
      <c r="B8" s="168">
        <v>2</v>
      </c>
      <c r="C8" s="160" t="str">
        <f>Config!C6&amp;", "&amp;Config!D6</f>
        <v>Töpfer, Lilian</v>
      </c>
      <c r="D8" s="181">
        <f>VLOOKUP(C8,'Analysis A'!PupilBlock,8,0)</f>
        <v>9</v>
      </c>
      <c r="E8" s="181">
        <f>VLOOKUP(C8,'Analysis B'!PupilBlock,12,0)</f>
        <v>17.5</v>
      </c>
      <c r="F8" s="181">
        <f>VLOOKUP(C8,'Stochastik A'!PupilBlock,3,0)</f>
        <v>5</v>
      </c>
      <c r="G8" s="181">
        <f>VLOOKUP(C8,'Stochastik B'!PupilBlock,7,0)</f>
        <v>7</v>
      </c>
      <c r="H8" s="181">
        <f>VLOOKUP(C8,'Geometrie A'!PupilBlock,4,0)</f>
        <v>3.5</v>
      </c>
      <c r="I8" s="181">
        <f>VLOOKUP(C8,'Geometrie B'!PupilBlock,7,0)</f>
        <v>9</v>
      </c>
      <c r="J8" s="181">
        <f>VLOOKUP(C8,Wahlaufgaben!PupilBlock,7,0)</f>
        <v>7</v>
      </c>
      <c r="K8" s="182">
        <f t="shared" si="0"/>
        <v>58</v>
      </c>
      <c r="L8" s="184">
        <f>VLOOKUP(VALUE(K8),Notenspiegel!$B$3:$C$302,2,0)</f>
        <v>7</v>
      </c>
      <c r="M8" s="172" t="str">
        <f>VLOOKUP(VALUE(K8),Notenspiegel!$B$3:$D$302,3,0)</f>
        <v>3-</v>
      </c>
      <c r="N8" s="142" t="str">
        <f>VLOOKUP(VALUE(K8),Notenspiegel!$B$3:$E$302,4,0)</f>
        <v/>
      </c>
    </row>
    <row r="9" spans="2:14" ht="18" customHeight="1" thickBot="1" x14ac:dyDescent="0.3">
      <c r="B9" s="169">
        <v>3</v>
      </c>
      <c r="C9" s="159" t="str">
        <f>Config!C7&amp;", "&amp;Config!D7</f>
        <v>Fleischmann, Leonie</v>
      </c>
      <c r="D9" s="179">
        <f>VLOOKUP(C9,'Analysis A'!PupilBlock,8,0)</f>
        <v>10.5</v>
      </c>
      <c r="E9" s="179">
        <f>VLOOKUP(C9,'Analysis B'!PupilBlock,12,0)</f>
        <v>11.5</v>
      </c>
      <c r="F9" s="179">
        <f>VLOOKUP(C9,'Stochastik A'!PupilBlock,3,0)</f>
        <v>2.5</v>
      </c>
      <c r="G9" s="179">
        <f>VLOOKUP(C9,'Stochastik B'!PupilBlock,7,0)</f>
        <v>8</v>
      </c>
      <c r="H9" s="179">
        <f>VLOOKUP(C9,'Geometrie A'!PupilBlock,4,0)</f>
        <v>4.5</v>
      </c>
      <c r="I9" s="179">
        <f>VLOOKUP(C9,'Geometrie B'!PupilBlock,7,0)</f>
        <v>14</v>
      </c>
      <c r="J9" s="179">
        <f>VLOOKUP(C9,Wahlaufgaben!PupilBlock,7,0)</f>
        <v>8</v>
      </c>
      <c r="K9" s="161">
        <f t="shared" si="0"/>
        <v>59</v>
      </c>
      <c r="L9" s="188">
        <f>VLOOKUP(VALUE(K9),Notenspiegel!$B$3:$C$302,2,0)</f>
        <v>7</v>
      </c>
      <c r="M9" s="189" t="str">
        <f>VLOOKUP(VALUE(K9),Notenspiegel!$B$3:$D$302,3,0)</f>
        <v>3-</v>
      </c>
      <c r="N9" s="142" t="str">
        <f>VLOOKUP(VALUE(K9),Notenspiegel!$B$3:$E$302,4,0)</f>
        <v>+</v>
      </c>
    </row>
    <row r="10" spans="2:14" ht="18" customHeight="1" thickBot="1" x14ac:dyDescent="0.3">
      <c r="B10" s="168">
        <v>4</v>
      </c>
      <c r="C10" s="160" t="str">
        <f>Config!C8&amp;", "&amp;Config!D8</f>
        <v>Drescher, Cedric</v>
      </c>
      <c r="D10" s="181">
        <f>VLOOKUP(C10,'Analysis A'!PupilBlock,8,0)</f>
        <v>12.5</v>
      </c>
      <c r="E10" s="181">
        <f>VLOOKUP(C10,'Analysis B'!PupilBlock,12,0)</f>
        <v>23</v>
      </c>
      <c r="F10" s="181">
        <f>VLOOKUP(C10,'Stochastik A'!PupilBlock,3,0)</f>
        <v>2.5</v>
      </c>
      <c r="G10" s="181">
        <f>VLOOKUP(C10,'Stochastik B'!PupilBlock,7,0)</f>
        <v>9</v>
      </c>
      <c r="H10" s="181">
        <f>VLOOKUP(C10,'Geometrie A'!PupilBlock,4,0)</f>
        <v>3.5</v>
      </c>
      <c r="I10" s="181">
        <f>VLOOKUP(C10,'Geometrie B'!PupilBlock,7,0)</f>
        <v>13.5</v>
      </c>
      <c r="J10" s="181">
        <f>VLOOKUP(C10,Wahlaufgaben!PupilBlock,7,0)</f>
        <v>6</v>
      </c>
      <c r="K10" s="182">
        <f t="shared" si="0"/>
        <v>70</v>
      </c>
      <c r="L10" s="190">
        <f>VLOOKUP(VALUE(K10),Notenspiegel!$B$3:$C$302,2,0)</f>
        <v>10</v>
      </c>
      <c r="M10" s="191" t="str">
        <f>VLOOKUP(VALUE(K10),Notenspiegel!$B$3:$D$302,3,0)</f>
        <v>2-</v>
      </c>
      <c r="N10" s="142" t="str">
        <f>VLOOKUP(VALUE(K10),Notenspiegel!$B$3:$E$302,4,0)</f>
        <v>--</v>
      </c>
    </row>
    <row r="11" spans="2:14" ht="18" customHeight="1" thickBot="1" x14ac:dyDescent="0.3">
      <c r="B11" s="169">
        <v>5</v>
      </c>
      <c r="C11" s="159" t="str">
        <f>Config!C9&amp;", "&amp;Config!D9</f>
        <v>Baumgarten, Annabell</v>
      </c>
      <c r="D11" s="179">
        <f>VLOOKUP(C11,'Analysis A'!PupilBlock,8,0)</f>
        <v>14</v>
      </c>
      <c r="E11" s="179">
        <f>VLOOKUP(C11,'Analysis B'!PupilBlock,12,0)</f>
        <v>21.5</v>
      </c>
      <c r="F11" s="179">
        <f>VLOOKUP(C11,'Stochastik A'!PupilBlock,3,0)</f>
        <v>2.5</v>
      </c>
      <c r="G11" s="179">
        <f>VLOOKUP(C11,'Stochastik B'!PupilBlock,7,0)</f>
        <v>4.5</v>
      </c>
      <c r="H11" s="179">
        <f>VLOOKUP(C11,'Geometrie A'!PupilBlock,4,0)</f>
        <v>3.5</v>
      </c>
      <c r="I11" s="179">
        <f>VLOOKUP(C11,'Geometrie B'!PupilBlock,7,0)</f>
        <v>12</v>
      </c>
      <c r="J11" s="179">
        <f>VLOOKUP(C11,Wahlaufgaben!PupilBlock,7,0)</f>
        <v>6</v>
      </c>
      <c r="K11" s="161">
        <f t="shared" si="0"/>
        <v>64</v>
      </c>
      <c r="L11" s="188">
        <f>VLOOKUP(VALUE(K11),Notenspiegel!$B$3:$C$302,2,0)</f>
        <v>8</v>
      </c>
      <c r="M11" s="189" t="str">
        <f>VLOOKUP(VALUE(K11),Notenspiegel!$B$3:$D$302,3,0)</f>
        <v>3</v>
      </c>
      <c r="N11" s="142" t="str">
        <f>VLOOKUP(VALUE(K11),Notenspiegel!$B$3:$E$302,4,0)</f>
        <v>+</v>
      </c>
    </row>
    <row r="12" spans="2:14" ht="18" customHeight="1" thickBot="1" x14ac:dyDescent="0.3">
      <c r="B12" s="168">
        <v>6</v>
      </c>
      <c r="C12" s="160" t="str">
        <f>Config!C10&amp;", "&amp;Config!D10</f>
        <v>Traut, Stefanie</v>
      </c>
      <c r="D12" s="181">
        <f>VLOOKUP(C12,'Analysis A'!PupilBlock,8,0)</f>
        <v>12.5</v>
      </c>
      <c r="E12" s="181">
        <f>VLOOKUP(C12,'Analysis B'!PupilBlock,12,0)</f>
        <v>33</v>
      </c>
      <c r="F12" s="181">
        <f>VLOOKUP(C12,'Stochastik A'!PupilBlock,3,0)</f>
        <v>3</v>
      </c>
      <c r="G12" s="181">
        <f>VLOOKUP(C12,'Stochastik B'!PupilBlock,7,0)</f>
        <v>10.5</v>
      </c>
      <c r="H12" s="181">
        <f>VLOOKUP(C12,'Geometrie A'!PupilBlock,4,0)</f>
        <v>4.5</v>
      </c>
      <c r="I12" s="181">
        <f>VLOOKUP(C12,'Geometrie B'!PupilBlock,7,0)</f>
        <v>17</v>
      </c>
      <c r="J12" s="181">
        <f>VLOOKUP(C12,Wahlaufgaben!PupilBlock,7,0)</f>
        <v>8</v>
      </c>
      <c r="K12" s="182">
        <f t="shared" si="0"/>
        <v>88.5</v>
      </c>
      <c r="L12" s="184">
        <f>VLOOKUP(VALUE(K12),Notenspiegel!$B$3:$C$302,2,0)</f>
        <v>13</v>
      </c>
      <c r="M12" s="172" t="str">
        <f>VLOOKUP(VALUE(K12),Notenspiegel!$B$3:$D$302,3,0)</f>
        <v>1-</v>
      </c>
      <c r="N12" s="142" t="str">
        <f>VLOOKUP(VALUE(K12),Notenspiegel!$B$3:$E$302,4,0)</f>
        <v/>
      </c>
    </row>
    <row r="13" spans="2:14" ht="18" customHeight="1" thickBot="1" x14ac:dyDescent="0.3">
      <c r="B13" s="169">
        <v>7</v>
      </c>
      <c r="C13" s="159" t="str">
        <f>Config!C11&amp;", "&amp;Config!D11</f>
        <v>Menke, Damian</v>
      </c>
      <c r="D13" s="179">
        <f>VLOOKUP(C13,'Analysis A'!PupilBlock,8,0)</f>
        <v>12.5</v>
      </c>
      <c r="E13" s="179">
        <f>VLOOKUP(C13,'Analysis B'!PupilBlock,12,0)</f>
        <v>22.5</v>
      </c>
      <c r="F13" s="179">
        <f>VLOOKUP(C13,'Stochastik A'!PupilBlock,3,0)</f>
        <v>5</v>
      </c>
      <c r="G13" s="179">
        <f>VLOOKUP(C13,'Stochastik B'!PupilBlock,7,0)</f>
        <v>8.5</v>
      </c>
      <c r="H13" s="179">
        <f>VLOOKUP(C13,'Geometrie A'!PupilBlock,4,0)</f>
        <v>4.5</v>
      </c>
      <c r="I13" s="179">
        <f>VLOOKUP(C13,'Geometrie B'!PupilBlock,7,0)</f>
        <v>15</v>
      </c>
      <c r="J13" s="179">
        <f>VLOOKUP(C13,Wahlaufgaben!PupilBlock,7,0)</f>
        <v>7</v>
      </c>
      <c r="K13" s="161">
        <f t="shared" si="0"/>
        <v>75</v>
      </c>
      <c r="L13" s="190">
        <f>VLOOKUP(VALUE(K13),Notenspiegel!$B$3:$C$302,2,0)</f>
        <v>11</v>
      </c>
      <c r="M13" s="191" t="str">
        <f>VLOOKUP(VALUE(K13),Notenspiegel!$B$3:$D$302,3,0)</f>
        <v>2</v>
      </c>
      <c r="N13" s="142" t="str">
        <f>VLOOKUP(VALUE(K13),Notenspiegel!$B$3:$E$302,4,0)</f>
        <v>--</v>
      </c>
    </row>
    <row r="14" spans="2:14" ht="18" customHeight="1" thickBot="1" x14ac:dyDescent="0.3">
      <c r="B14" s="168">
        <v>8</v>
      </c>
      <c r="C14" s="160" t="str">
        <f>Config!C12&amp;", "&amp;Config!D12</f>
        <v>Carroll, Meik</v>
      </c>
      <c r="D14" s="181">
        <f>VLOOKUP(C14,'Analysis A'!PupilBlock,8,0)</f>
        <v>9</v>
      </c>
      <c r="E14" s="181">
        <f>VLOOKUP(C14,'Analysis B'!PupilBlock,12,0)</f>
        <v>16.5</v>
      </c>
      <c r="F14" s="181">
        <f>VLOOKUP(C14,'Stochastik A'!PupilBlock,3,0)</f>
        <v>5</v>
      </c>
      <c r="G14" s="181">
        <f>VLOOKUP(C14,'Stochastik B'!PupilBlock,7,0)</f>
        <v>8.5</v>
      </c>
      <c r="H14" s="181">
        <f>VLOOKUP(C14,'Geometrie A'!PupilBlock,4,0)</f>
        <v>4</v>
      </c>
      <c r="I14" s="181">
        <f>VLOOKUP(C14,'Geometrie B'!PupilBlock,7,0)</f>
        <v>13</v>
      </c>
      <c r="J14" s="181">
        <f>VLOOKUP(C14,Wahlaufgaben!PupilBlock,7,0)</f>
        <v>7</v>
      </c>
      <c r="K14" s="182">
        <f t="shared" si="0"/>
        <v>63</v>
      </c>
      <c r="L14" s="184">
        <f>VLOOKUP(VALUE(K14),Notenspiegel!$B$3:$C$302,2,0)</f>
        <v>8</v>
      </c>
      <c r="M14" s="172" t="str">
        <f>VLOOKUP(VALUE(K14),Notenspiegel!$B$3:$D$302,3,0)</f>
        <v>3</v>
      </c>
      <c r="N14" s="142" t="str">
        <f>VLOOKUP(VALUE(K14),Notenspiegel!$B$3:$E$302,4,0)</f>
        <v/>
      </c>
    </row>
    <row r="15" spans="2:14" ht="18" customHeight="1" thickBot="1" x14ac:dyDescent="0.3">
      <c r="B15" s="169">
        <v>9</v>
      </c>
      <c r="C15" s="159" t="str">
        <f>Config!C13&amp;", "&amp;Config!D13</f>
        <v>Hennings, Tomas</v>
      </c>
      <c r="D15" s="179">
        <f>VLOOKUP(C15,'Analysis A'!PupilBlock,8,0)</f>
        <v>10</v>
      </c>
      <c r="E15" s="179">
        <f>VLOOKUP(C15,'Analysis B'!PupilBlock,12,0)</f>
        <v>14.5</v>
      </c>
      <c r="F15" s="179">
        <f>VLOOKUP(C15,'Stochastik A'!PupilBlock,3,0)</f>
        <v>4</v>
      </c>
      <c r="G15" s="179">
        <f>VLOOKUP(C15,'Stochastik B'!PupilBlock,7,0)</f>
        <v>13</v>
      </c>
      <c r="H15" s="179">
        <f>VLOOKUP(C15,'Geometrie A'!PupilBlock,4,0)</f>
        <v>4.5</v>
      </c>
      <c r="I15" s="179">
        <f>VLOOKUP(C15,'Geometrie B'!PupilBlock,7,0)</f>
        <v>4</v>
      </c>
      <c r="J15" s="179">
        <f>VLOOKUP(C15,Wahlaufgaben!PupilBlock,7,0)</f>
        <v>8</v>
      </c>
      <c r="K15" s="161">
        <f t="shared" si="0"/>
        <v>58</v>
      </c>
      <c r="L15" s="183">
        <f>VLOOKUP(VALUE(K15),Notenspiegel!$B$3:$C$302,2,0)</f>
        <v>7</v>
      </c>
      <c r="M15" s="171" t="str">
        <f>VLOOKUP(VALUE(K15),Notenspiegel!$B$3:$D$302,3,0)</f>
        <v>3-</v>
      </c>
      <c r="N15" s="142" t="str">
        <f>VLOOKUP(VALUE(K15),Notenspiegel!$B$3:$E$302,4,0)</f>
        <v/>
      </c>
    </row>
    <row r="16" spans="2:14" ht="18" customHeight="1" thickBot="1" x14ac:dyDescent="0.3">
      <c r="B16" s="168">
        <v>10</v>
      </c>
      <c r="C16" s="160" t="str">
        <f>Config!C14&amp;", "&amp;Config!D14</f>
        <v>Walters, Linn</v>
      </c>
      <c r="D16" s="181">
        <f>VLOOKUP(C16,'Analysis A'!PupilBlock,8,0)</f>
        <v>3</v>
      </c>
      <c r="E16" s="181">
        <f>VLOOKUP(C16,'Analysis B'!PupilBlock,12,0)</f>
        <v>7</v>
      </c>
      <c r="F16" s="181">
        <f>VLOOKUP(C16,'Stochastik A'!PupilBlock,3,0)</f>
        <v>2.5</v>
      </c>
      <c r="G16" s="181">
        <f>VLOOKUP(C16,'Stochastik B'!PupilBlock,7,0)</f>
        <v>8</v>
      </c>
      <c r="H16" s="181">
        <f>VLOOKUP(C16,'Geometrie A'!PupilBlock,4,0)</f>
        <v>1</v>
      </c>
      <c r="I16" s="181">
        <f>VLOOKUP(C16,'Geometrie B'!PupilBlock,7,0)</f>
        <v>8.5</v>
      </c>
      <c r="J16" s="181">
        <f>VLOOKUP(C16,Wahlaufgaben!PupilBlock,7,0)</f>
        <v>8</v>
      </c>
      <c r="K16" s="182">
        <f t="shared" si="0"/>
        <v>38</v>
      </c>
      <c r="L16" s="184">
        <f>VLOOKUP(VALUE(K16),Notenspiegel!$B$3:$C$302,2,0)</f>
        <v>3</v>
      </c>
      <c r="M16" s="172" t="str">
        <f>VLOOKUP(VALUE(K16),Notenspiegel!$B$3:$D$302,3,0)</f>
        <v>5+</v>
      </c>
      <c r="N16" s="142" t="str">
        <f>VLOOKUP(VALUE(K16),Notenspiegel!$B$3:$E$302,4,0)</f>
        <v/>
      </c>
    </row>
    <row r="17" spans="2:14" ht="18" customHeight="1" thickBot="1" x14ac:dyDescent="0.3">
      <c r="B17" s="169">
        <v>11</v>
      </c>
      <c r="C17" s="159" t="str">
        <f>Config!C15&amp;", "&amp;Config!D15</f>
        <v>Junker, Amely</v>
      </c>
      <c r="D17" s="179">
        <f>VLOOKUP(C17,'Analysis A'!PupilBlock,8,0)</f>
        <v>6.5</v>
      </c>
      <c r="E17" s="179">
        <f>VLOOKUP(C17,'Analysis B'!PupilBlock,12,0)</f>
        <v>13.5</v>
      </c>
      <c r="F17" s="179">
        <f>VLOOKUP(C17,'Stochastik A'!PupilBlock,3,0)</f>
        <v>2</v>
      </c>
      <c r="G17" s="179">
        <f>VLOOKUP(C17,'Stochastik B'!PupilBlock,7,0)</f>
        <v>6.5</v>
      </c>
      <c r="H17" s="179">
        <f>VLOOKUP(C17,'Geometrie A'!PupilBlock,4,0)</f>
        <v>2</v>
      </c>
      <c r="I17" s="179">
        <f>VLOOKUP(C17,'Geometrie B'!PupilBlock,7,0)</f>
        <v>13</v>
      </c>
      <c r="J17" s="179">
        <f>VLOOKUP(C17,Wahlaufgaben!PupilBlock,7,0)</f>
        <v>6</v>
      </c>
      <c r="K17" s="161">
        <f t="shared" si="0"/>
        <v>49.5</v>
      </c>
      <c r="L17" s="192">
        <f>VLOOKUP(VALUE(K17),Notenspiegel!$B$3:$C$302,2,0)</f>
        <v>5</v>
      </c>
      <c r="M17" s="193" t="str">
        <f>VLOOKUP(VALUE(K17),Notenspiegel!$B$3:$D$302,3,0)</f>
        <v>4</v>
      </c>
      <c r="N17" s="142" t="str">
        <f>VLOOKUP(VALUE(K17),Notenspiegel!$B$3:$E$302,4,0)</f>
        <v>++</v>
      </c>
    </row>
    <row r="18" spans="2:14" ht="18" customHeight="1" thickBot="1" x14ac:dyDescent="0.3">
      <c r="B18" s="168">
        <v>12</v>
      </c>
      <c r="C18" s="160" t="str">
        <f>Config!C16&amp;", "&amp;Config!D16</f>
        <v>Stephens, Melvin</v>
      </c>
      <c r="D18" s="181">
        <f>VLOOKUP(C18,'Analysis A'!PupilBlock,8,0)</f>
        <v>11.5</v>
      </c>
      <c r="E18" s="181">
        <f>VLOOKUP(C18,'Analysis B'!PupilBlock,12,0)</f>
        <v>27</v>
      </c>
      <c r="F18" s="181">
        <f>VLOOKUP(C18,'Stochastik A'!PupilBlock,3,0)</f>
        <v>2.5</v>
      </c>
      <c r="G18" s="181">
        <f>VLOOKUP(C18,'Stochastik B'!PupilBlock,7,0)</f>
        <v>5.5</v>
      </c>
      <c r="H18" s="181">
        <f>VLOOKUP(C18,'Geometrie A'!PupilBlock,4,0)</f>
        <v>0.5</v>
      </c>
      <c r="I18" s="181">
        <f>VLOOKUP(C18,'Geometrie B'!PupilBlock,7,0)</f>
        <v>13</v>
      </c>
      <c r="J18" s="181">
        <f>VLOOKUP(C18,Wahlaufgaben!PupilBlock,7,0)</f>
        <v>6</v>
      </c>
      <c r="K18" s="182">
        <f t="shared" si="0"/>
        <v>66</v>
      </c>
      <c r="L18" s="184">
        <f>VLOOKUP(VALUE(K18),Notenspiegel!$B$3:$C$302,2,0)</f>
        <v>9</v>
      </c>
      <c r="M18" s="172" t="str">
        <f>VLOOKUP(VALUE(K18),Notenspiegel!$B$3:$D$302,3,0)</f>
        <v>3+</v>
      </c>
      <c r="N18" s="142" t="str">
        <f>VLOOKUP(VALUE(K18),Notenspiegel!$B$3:$E$302,4,0)</f>
        <v/>
      </c>
    </row>
    <row r="19" spans="2:14" ht="18" customHeight="1" thickBot="1" x14ac:dyDescent="0.3">
      <c r="B19" s="169">
        <v>13</v>
      </c>
      <c r="C19" s="159" t="str">
        <f>Config!C17&amp;", "&amp;Config!D17</f>
        <v>Cremer, Marvin</v>
      </c>
      <c r="D19" s="179">
        <f>VLOOKUP(C19,'Analysis A'!PupilBlock,8,0)</f>
        <v>12.5</v>
      </c>
      <c r="E19" s="179">
        <f>VLOOKUP(C19,'Analysis B'!PupilBlock,12,0)</f>
        <v>22</v>
      </c>
      <c r="F19" s="179">
        <f>VLOOKUP(C19,'Stochastik A'!PupilBlock,3,0)</f>
        <v>5</v>
      </c>
      <c r="G19" s="179">
        <f>VLOOKUP(C19,'Stochastik B'!PupilBlock,7,0)</f>
        <v>5.5</v>
      </c>
      <c r="H19" s="179">
        <f>VLOOKUP(C19,'Geometrie A'!PupilBlock,4,0)</f>
        <v>4.5</v>
      </c>
      <c r="I19" s="179">
        <f>VLOOKUP(C19,'Geometrie B'!PupilBlock,7,0)</f>
        <v>3</v>
      </c>
      <c r="J19" s="179">
        <f>VLOOKUP(C19,Wahlaufgaben!PupilBlock,7,0)</f>
        <v>8</v>
      </c>
      <c r="K19" s="161">
        <f t="shared" si="0"/>
        <v>60.5</v>
      </c>
      <c r="L19" s="194">
        <f>VLOOKUP(VALUE(K19),Notenspiegel!$B$3:$C$302,2,0)</f>
        <v>8</v>
      </c>
      <c r="M19" s="195" t="str">
        <f>VLOOKUP(VALUE(K19),Notenspiegel!$B$3:$D$302,3,0)</f>
        <v>3</v>
      </c>
      <c r="N19" s="142" t="str">
        <f>VLOOKUP(VALUE(K19),Notenspiegel!$B$3:$E$302,4,0)</f>
        <v>-</v>
      </c>
    </row>
    <row r="20" spans="2:14" ht="18" customHeight="1" thickBot="1" x14ac:dyDescent="0.3">
      <c r="B20" s="168">
        <v>14</v>
      </c>
      <c r="C20" s="160" t="str">
        <f>Config!C18&amp;", "&amp;Config!D18</f>
        <v>Nash, Jean</v>
      </c>
      <c r="D20" s="181">
        <f>VLOOKUP(C20,'Analysis A'!PupilBlock,8,0)</f>
        <v>13.5</v>
      </c>
      <c r="E20" s="181">
        <f>VLOOKUP(C20,'Analysis B'!PupilBlock,12,0)</f>
        <v>15.5</v>
      </c>
      <c r="F20" s="181">
        <f>VLOOKUP(C20,'Stochastik A'!PupilBlock,3,0)</f>
        <v>5</v>
      </c>
      <c r="G20" s="181">
        <f>VLOOKUP(C20,'Stochastik B'!PupilBlock,7,0)</f>
        <v>8</v>
      </c>
      <c r="H20" s="181">
        <f>VLOOKUP(C20,'Geometrie A'!PupilBlock,4,0)</f>
        <v>4</v>
      </c>
      <c r="I20" s="181">
        <f>VLOOKUP(C20,'Geometrie B'!PupilBlock,7,0)</f>
        <v>14.5</v>
      </c>
      <c r="J20" s="181">
        <f>VLOOKUP(C20,Wahlaufgaben!PupilBlock,7,0)</f>
        <v>7</v>
      </c>
      <c r="K20" s="182">
        <f t="shared" si="0"/>
        <v>67.5</v>
      </c>
      <c r="L20" s="184">
        <f>VLOOKUP(VALUE(K20),Notenspiegel!$B$3:$C$302,2,0)</f>
        <v>9</v>
      </c>
      <c r="M20" s="172" t="str">
        <f>VLOOKUP(VALUE(K20),Notenspiegel!$B$3:$D$302,3,0)</f>
        <v>3+</v>
      </c>
      <c r="N20" s="142" t="str">
        <f>VLOOKUP(VALUE(K20),Notenspiegel!$B$3:$E$302,4,0)</f>
        <v/>
      </c>
    </row>
    <row r="21" spans="2:14" ht="18" customHeight="1" thickBot="1" x14ac:dyDescent="0.3">
      <c r="B21" s="169">
        <v>15</v>
      </c>
      <c r="C21" s="159" t="str">
        <f>Config!C19&amp;", "&amp;Config!D19</f>
        <v>Schön, Leonardo</v>
      </c>
      <c r="D21" s="179">
        <f>VLOOKUP(C21,'Analysis A'!PupilBlock,8,0)</f>
        <v>12</v>
      </c>
      <c r="E21" s="179">
        <f>VLOOKUP(C21,'Analysis B'!PupilBlock,12,0)</f>
        <v>23.5</v>
      </c>
      <c r="F21" s="179">
        <f>VLOOKUP(C21,'Stochastik A'!PupilBlock,3,0)</f>
        <v>2.5</v>
      </c>
      <c r="G21" s="179">
        <f>VLOOKUP(C21,'Stochastik B'!PupilBlock,7,0)</f>
        <v>8</v>
      </c>
      <c r="H21" s="179">
        <f>VLOOKUP(C21,'Geometrie A'!PupilBlock,4,0)</f>
        <v>5</v>
      </c>
      <c r="I21" s="179">
        <f>VLOOKUP(C21,'Geometrie B'!PupilBlock,7,0)</f>
        <v>6.5</v>
      </c>
      <c r="J21" s="179">
        <f>VLOOKUP(C21,Wahlaufgaben!PupilBlock,7,0)</f>
        <v>4</v>
      </c>
      <c r="K21" s="161">
        <f t="shared" si="0"/>
        <v>61.5</v>
      </c>
      <c r="L21" s="183">
        <f>VLOOKUP(VALUE(K21),Notenspiegel!$B$3:$C$302,2,0)</f>
        <v>8</v>
      </c>
      <c r="M21" s="171" t="str">
        <f>VLOOKUP(VALUE(K21),Notenspiegel!$B$3:$D$302,3,0)</f>
        <v>3</v>
      </c>
      <c r="N21" s="142" t="str">
        <f>VLOOKUP(VALUE(K21),Notenspiegel!$B$3:$E$302,4,0)</f>
        <v/>
      </c>
    </row>
    <row r="22" spans="2:14" ht="18" customHeight="1" thickBot="1" x14ac:dyDescent="0.3">
      <c r="B22" s="168">
        <v>16</v>
      </c>
      <c r="C22" s="160" t="str">
        <f>Config!C20&amp;", "&amp;Config!D20</f>
        <v>Sigl, Nicholas</v>
      </c>
      <c r="D22" s="181">
        <f>VLOOKUP(C22,'Analysis A'!PupilBlock,8,0)</f>
        <v>7.5</v>
      </c>
      <c r="E22" s="181">
        <f>VLOOKUP(C22,'Analysis B'!PupilBlock,12,0)</f>
        <v>22</v>
      </c>
      <c r="F22" s="181">
        <f>VLOOKUP(C22,'Stochastik A'!PupilBlock,3,0)</f>
        <v>5</v>
      </c>
      <c r="G22" s="181">
        <f>VLOOKUP(C22,'Stochastik B'!PupilBlock,7,0)</f>
        <v>0</v>
      </c>
      <c r="H22" s="181">
        <f>VLOOKUP(C22,'Geometrie A'!PupilBlock,4,0)</f>
        <v>4.5</v>
      </c>
      <c r="I22" s="181">
        <f>VLOOKUP(C22,'Geometrie B'!PupilBlock,7,0)</f>
        <v>6</v>
      </c>
      <c r="J22" s="181">
        <f>VLOOKUP(C22,Wahlaufgaben!PupilBlock,7,0)</f>
        <v>8</v>
      </c>
      <c r="K22" s="182">
        <f t="shared" si="0"/>
        <v>53</v>
      </c>
      <c r="L22" s="184">
        <f>VLOOKUP(VALUE(K22),Notenspiegel!$B$3:$C$302,2,0)</f>
        <v>6</v>
      </c>
      <c r="M22" s="172" t="str">
        <f>VLOOKUP(VALUE(K22),Notenspiegel!$B$3:$D$302,3,0)</f>
        <v>4+</v>
      </c>
      <c r="N22" s="142" t="str">
        <f>VLOOKUP(VALUE(K22),Notenspiegel!$B$3:$E$302,4,0)</f>
        <v/>
      </c>
    </row>
    <row r="23" spans="2:14" ht="18" customHeight="1" thickBot="1" x14ac:dyDescent="0.3">
      <c r="B23" s="169">
        <v>17</v>
      </c>
      <c r="C23" s="159" t="str">
        <f>Config!C21&amp;", "&amp;Config!D21</f>
        <v>Kainz, Vivienne</v>
      </c>
      <c r="D23" s="179">
        <f>VLOOKUP(C23,'Analysis A'!PupilBlock,8,0)</f>
        <v>1</v>
      </c>
      <c r="E23" s="179">
        <f>VLOOKUP(C23,'Analysis B'!PupilBlock,12,0)</f>
        <v>6.5</v>
      </c>
      <c r="F23" s="179">
        <f>VLOOKUP(C23,'Stochastik A'!PupilBlock,3,0)</f>
        <v>5</v>
      </c>
      <c r="G23" s="179">
        <f>VLOOKUP(C23,'Stochastik B'!PupilBlock,7,0)</f>
        <v>7.5</v>
      </c>
      <c r="H23" s="179">
        <f>VLOOKUP(C23,'Geometrie A'!PupilBlock,4,0)</f>
        <v>5</v>
      </c>
      <c r="I23" s="179">
        <f>VLOOKUP(C23,'Geometrie B'!PupilBlock,7,0)</f>
        <v>4.5</v>
      </c>
      <c r="J23" s="179">
        <f>VLOOKUP(C23,Wahlaufgaben!PupilBlock,7,0)</f>
        <v>10</v>
      </c>
      <c r="K23" s="161">
        <f t="shared" si="0"/>
        <v>39.5</v>
      </c>
      <c r="L23" s="192">
        <f>VLOOKUP(VALUE(K23),Notenspiegel!$B$3:$C$302,2,0)</f>
        <v>3</v>
      </c>
      <c r="M23" s="193" t="str">
        <f>VLOOKUP(VALUE(K23),Notenspiegel!$B$3:$D$302,3,0)</f>
        <v>5+</v>
      </c>
      <c r="N23" s="142" t="str">
        <f>VLOOKUP(VALUE(K23),Notenspiegel!$B$3:$E$302,4,0)</f>
        <v>++</v>
      </c>
    </row>
    <row r="24" spans="2:14" ht="18" customHeight="1" thickBot="1" x14ac:dyDescent="0.3">
      <c r="B24" s="168">
        <v>18</v>
      </c>
      <c r="C24" s="160" t="str">
        <f>Config!C22&amp;", "&amp;Config!D22</f>
        <v>Hartmann, Mads</v>
      </c>
      <c r="D24" s="181">
        <f>VLOOKUP(C24,'Analysis A'!PupilBlock,8,0)</f>
        <v>10</v>
      </c>
      <c r="E24" s="181">
        <f>VLOOKUP(C24,'Analysis B'!PupilBlock,12,0)</f>
        <v>16</v>
      </c>
      <c r="F24" s="181">
        <f>VLOOKUP(C24,'Stochastik A'!PupilBlock,3,0)</f>
        <v>2.5</v>
      </c>
      <c r="G24" s="181">
        <f>VLOOKUP(C24,'Stochastik B'!PupilBlock,7,0)</f>
        <v>7</v>
      </c>
      <c r="H24" s="181">
        <f>VLOOKUP(C24,'Geometrie A'!PupilBlock,4,0)</f>
        <v>1</v>
      </c>
      <c r="I24" s="181">
        <f>VLOOKUP(C24,'Geometrie B'!PupilBlock,7,0)</f>
        <v>14</v>
      </c>
      <c r="J24" s="181">
        <f>VLOOKUP(C24,Wahlaufgaben!PupilBlock,7,0)</f>
        <v>7</v>
      </c>
      <c r="K24" s="182">
        <f t="shared" si="0"/>
        <v>57.5</v>
      </c>
      <c r="L24" s="184">
        <f>VLOOKUP(VALUE(K24),Notenspiegel!$B$3:$C$302,2,0)</f>
        <v>7</v>
      </c>
      <c r="M24" s="172" t="str">
        <f>VLOOKUP(VALUE(K24),Notenspiegel!$B$3:$D$302,3,0)</f>
        <v>3-</v>
      </c>
      <c r="N24" s="142" t="str">
        <f>VLOOKUP(VALUE(K24),Notenspiegel!$B$3:$E$302,4,0)</f>
        <v/>
      </c>
    </row>
    <row r="25" spans="2:14" ht="18" customHeight="1" thickBot="1" x14ac:dyDescent="0.3">
      <c r="B25" s="169">
        <v>19</v>
      </c>
      <c r="C25" s="159" t="str">
        <f>Config!C23&amp;", "&amp;Config!D23</f>
        <v>Ullmann, Raphael</v>
      </c>
      <c r="D25" s="179">
        <f>VLOOKUP(C25,'Analysis A'!PupilBlock,8,0)</f>
        <v>9.5</v>
      </c>
      <c r="E25" s="179">
        <f>VLOOKUP(C25,'Analysis B'!PupilBlock,12,0)</f>
        <v>14.5</v>
      </c>
      <c r="F25" s="179">
        <f>VLOOKUP(C25,'Stochastik A'!PupilBlock,3,0)</f>
        <v>5</v>
      </c>
      <c r="G25" s="179">
        <f>VLOOKUP(C25,'Stochastik B'!PupilBlock,7,0)</f>
        <v>7</v>
      </c>
      <c r="H25" s="179">
        <f>VLOOKUP(C25,'Geometrie A'!PupilBlock,4,0)</f>
        <v>2</v>
      </c>
      <c r="I25" s="179">
        <f>VLOOKUP(C25,'Geometrie B'!PupilBlock,7,0)</f>
        <v>13.5</v>
      </c>
      <c r="J25" s="179">
        <f>VLOOKUP(C25,Wahlaufgaben!PupilBlock,7,0)</f>
        <v>8</v>
      </c>
      <c r="K25" s="161">
        <f t="shared" si="0"/>
        <v>59.5</v>
      </c>
      <c r="L25" s="192">
        <f>VLOOKUP(VALUE(K25),Notenspiegel!$B$3:$C$302,2,0)</f>
        <v>7</v>
      </c>
      <c r="M25" s="193" t="str">
        <f>VLOOKUP(VALUE(K25),Notenspiegel!$B$3:$D$302,3,0)</f>
        <v>3-</v>
      </c>
      <c r="N25" s="142" t="str">
        <f>VLOOKUP(VALUE(K25),Notenspiegel!$B$3:$E$302,4,0)</f>
        <v>++</v>
      </c>
    </row>
    <row r="26" spans="2:14" ht="18" customHeight="1" thickBot="1" x14ac:dyDescent="0.3">
      <c r="B26" s="168">
        <v>20</v>
      </c>
      <c r="C26" s="160" t="str">
        <f>Config!C24&amp;", "&amp;Config!D24</f>
        <v>Hartl, Emmely</v>
      </c>
      <c r="D26" s="181">
        <f>VLOOKUP(C26,'Analysis A'!PupilBlock,8,0)</f>
        <v>13.5</v>
      </c>
      <c r="E26" s="181">
        <f>VLOOKUP(C26,'Analysis B'!PupilBlock,12,0)</f>
        <v>23</v>
      </c>
      <c r="F26" s="181">
        <f>VLOOKUP(C26,'Stochastik A'!PupilBlock,3,0)</f>
        <v>3</v>
      </c>
      <c r="G26" s="181">
        <f>VLOOKUP(C26,'Stochastik B'!PupilBlock,7,0)</f>
        <v>4.5</v>
      </c>
      <c r="H26" s="181">
        <f>VLOOKUP(C26,'Geometrie A'!PupilBlock,4,0)</f>
        <v>2</v>
      </c>
      <c r="I26" s="181">
        <f>VLOOKUP(C26,'Geometrie B'!PupilBlock,7,0)</f>
        <v>15</v>
      </c>
      <c r="J26" s="181">
        <f>VLOOKUP(C26,Wahlaufgaben!PupilBlock,7,0)</f>
        <v>10</v>
      </c>
      <c r="K26" s="182">
        <f t="shared" si="0"/>
        <v>71</v>
      </c>
      <c r="L26" s="184">
        <f>VLOOKUP(VALUE(K26),Notenspiegel!$B$3:$C$302,2,0)</f>
        <v>10</v>
      </c>
      <c r="M26" s="172" t="str">
        <f>VLOOKUP(VALUE(K26),Notenspiegel!$B$3:$D$302,3,0)</f>
        <v>2-</v>
      </c>
      <c r="N26" s="142" t="str">
        <f>VLOOKUP(VALUE(K26),Notenspiegel!$B$3:$E$302,4,0)</f>
        <v/>
      </c>
    </row>
    <row r="27" spans="2:14" ht="18" customHeight="1" thickBot="1" x14ac:dyDescent="0.3">
      <c r="B27" s="169">
        <v>21</v>
      </c>
      <c r="C27" s="159" t="str">
        <f>Config!C25&amp;", "&amp;Config!D25</f>
        <v>Klotz, Karin</v>
      </c>
      <c r="D27" s="179">
        <f>VLOOKUP(C27,'Analysis A'!PupilBlock,8,0)</f>
        <v>13.5</v>
      </c>
      <c r="E27" s="179">
        <f>VLOOKUP(C27,'Analysis B'!PupilBlock,12,0)</f>
        <v>26.5</v>
      </c>
      <c r="F27" s="179">
        <f>VLOOKUP(C27,'Stochastik A'!PupilBlock,3,0)</f>
        <v>4</v>
      </c>
      <c r="G27" s="179">
        <f>VLOOKUP(C27,'Stochastik B'!PupilBlock,7,0)</f>
        <v>6</v>
      </c>
      <c r="H27" s="179">
        <f>VLOOKUP(C27,'Geometrie A'!PupilBlock,4,0)</f>
        <v>5</v>
      </c>
      <c r="I27" s="179">
        <f>VLOOKUP(C27,'Geometrie B'!PupilBlock,7,0)</f>
        <v>16</v>
      </c>
      <c r="J27" s="179">
        <f>VLOOKUP(C27,Wahlaufgaben!PupilBlock,7,0)</f>
        <v>10</v>
      </c>
      <c r="K27" s="161">
        <f t="shared" si="0"/>
        <v>81</v>
      </c>
      <c r="L27" s="183">
        <f>VLOOKUP(VALUE(K27),Notenspiegel!$B$3:$C$302,2,0)</f>
        <v>12</v>
      </c>
      <c r="M27" s="171" t="str">
        <f>VLOOKUP(VALUE(K27),Notenspiegel!$B$3:$D$302,3,0)</f>
        <v>2+</v>
      </c>
      <c r="N27" s="142" t="str">
        <f>VLOOKUP(VALUE(K27),Notenspiegel!$B$3:$E$302,4,0)</f>
        <v/>
      </c>
    </row>
    <row r="28" spans="2:14" ht="18" customHeight="1" thickBot="1" x14ac:dyDescent="0.3">
      <c r="B28" s="168">
        <v>22</v>
      </c>
      <c r="C28" s="160" t="str">
        <f>Config!C26&amp;", "&amp;Config!D26</f>
        <v>Ehlers, Ingo</v>
      </c>
      <c r="D28" s="181">
        <f>VLOOKUP(C28,'Analysis A'!PupilBlock,8,0)</f>
        <v>10</v>
      </c>
      <c r="E28" s="181">
        <f>VLOOKUP(C28,'Analysis B'!PupilBlock,12,0)</f>
        <v>21</v>
      </c>
      <c r="F28" s="181">
        <f>VLOOKUP(C28,'Stochastik A'!PupilBlock,3,0)</f>
        <v>5</v>
      </c>
      <c r="G28" s="181">
        <f>VLOOKUP(C28,'Stochastik B'!PupilBlock,7,0)</f>
        <v>5.5</v>
      </c>
      <c r="H28" s="181">
        <f>VLOOKUP(C28,'Geometrie A'!PupilBlock,4,0)</f>
        <v>5</v>
      </c>
      <c r="I28" s="181">
        <f>VLOOKUP(C28,'Geometrie B'!PupilBlock,7,0)</f>
        <v>14.5</v>
      </c>
      <c r="J28" s="181">
        <f>VLOOKUP(C28,Wahlaufgaben!PupilBlock,7,0)</f>
        <v>7</v>
      </c>
      <c r="K28" s="182">
        <f t="shared" si="0"/>
        <v>68</v>
      </c>
      <c r="L28" s="184">
        <f>VLOOKUP(VALUE(K28),Notenspiegel!$B$3:$C$302,2,0)</f>
        <v>9</v>
      </c>
      <c r="M28" s="172" t="str">
        <f>VLOOKUP(VALUE(K28),Notenspiegel!$B$3:$D$302,3,0)</f>
        <v>3+</v>
      </c>
      <c r="N28" s="142" t="str">
        <f>VLOOKUP(VALUE(K28),Notenspiegel!$B$3:$E$302,4,0)</f>
        <v/>
      </c>
    </row>
    <row r="29" spans="2:14" ht="18" customHeight="1" thickBot="1" x14ac:dyDescent="0.3">
      <c r="B29" s="170">
        <v>23</v>
      </c>
      <c r="C29" s="166" t="str">
        <f>Config!C27&amp;", "&amp;Config!D27</f>
        <v>Lindemann, Mads</v>
      </c>
      <c r="D29" s="185">
        <f>VLOOKUP(C29,'Analysis A'!PupilBlock,8,0)</f>
        <v>7</v>
      </c>
      <c r="E29" s="185">
        <f>VLOOKUP(C29,'Analysis B'!PupilBlock,12,0)</f>
        <v>16</v>
      </c>
      <c r="F29" s="185">
        <f>VLOOKUP(C29,'Stochastik A'!PupilBlock,3,0)</f>
        <v>5</v>
      </c>
      <c r="G29" s="185">
        <f>VLOOKUP(C29,'Stochastik B'!PupilBlock,7,0)</f>
        <v>10</v>
      </c>
      <c r="H29" s="185">
        <f>VLOOKUP(C29,'Geometrie A'!PupilBlock,4,0)</f>
        <v>3</v>
      </c>
      <c r="I29" s="185">
        <f>VLOOKUP(C29,'Geometrie B'!PupilBlock,7,0)</f>
        <v>6.5</v>
      </c>
      <c r="J29" s="185">
        <f>VLOOKUP(C29,Wahlaufgaben!PupilBlock,7,0)</f>
        <v>8</v>
      </c>
      <c r="K29" s="161">
        <f t="shared" si="0"/>
        <v>55.5</v>
      </c>
      <c r="L29" s="196">
        <f>VLOOKUP(VALUE(K29),Notenspiegel!$B$3:$C$302,2,0)</f>
        <v>7</v>
      </c>
      <c r="M29" s="197" t="str">
        <f>VLOOKUP(VALUE(K29),Notenspiegel!$B$3:$D$302,3,0)</f>
        <v>3-</v>
      </c>
      <c r="N29" s="142" t="str">
        <f>VLOOKUP(VALUE(K29),Notenspiegel!$B$3:$E$302,4,0)</f>
        <v>-</v>
      </c>
    </row>
    <row r="30" spans="2:14" ht="18" customHeight="1" thickBot="1" x14ac:dyDescent="0.3">
      <c r="B30" s="68"/>
      <c r="C30" s="69"/>
      <c r="D30" s="69">
        <f t="shared" ref="D30:J30" si="1">SUM(D7:D29)/(23*D6)</f>
        <v>0.67391304347826086</v>
      </c>
      <c r="E30" s="69">
        <f t="shared" si="1"/>
        <v>0.63260869565217392</v>
      </c>
      <c r="F30" s="69">
        <f t="shared" si="1"/>
        <v>0.74782608695652175</v>
      </c>
      <c r="G30" s="69">
        <f t="shared" si="1"/>
        <v>0.4373401534526854</v>
      </c>
      <c r="H30" s="69">
        <f t="shared" si="1"/>
        <v>0.66956521739130437</v>
      </c>
      <c r="I30" s="69">
        <f t="shared" si="1"/>
        <v>0.61594202898550721</v>
      </c>
      <c r="J30" s="69">
        <f t="shared" si="1"/>
        <v>0.74347826086956526</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B125B-E086-4471-916B-E4C2A37FE081}">
  <sheetPr codeName="Tabelle135">
    <tabColor rgb="FF92D050"/>
  </sheetPr>
  <dimension ref="B1:J146"/>
  <sheetViews>
    <sheetView workbookViewId="0">
      <selection activeCell="D7" sqref="D7"/>
    </sheetView>
  </sheetViews>
  <sheetFormatPr baseColWidth="10" defaultRowHeight="13.2" x14ac:dyDescent="0.25"/>
  <cols>
    <col min="1" max="2" width="3.44140625" style="142" customWidth="1"/>
    <col min="3" max="3" width="25.77734375" style="142" customWidth="1"/>
    <col min="4" max="10" width="8.77734375" style="142" customWidth="1"/>
    <col min="11" max="16384" width="11.5546875" style="142"/>
  </cols>
  <sheetData>
    <row r="1" spans="2:10" ht="18" customHeight="1" thickBot="1" x14ac:dyDescent="0.3"/>
    <row r="2" spans="2:10" ht="18" customHeight="1" x14ac:dyDescent="0.25">
      <c r="B2" s="143" t="str">
        <f>Config!F2&amp;" "&amp;YEAR(Config!G24)</f>
        <v>Mathe Abitur 2026</v>
      </c>
      <c r="C2" s="144"/>
      <c r="D2" s="144"/>
      <c r="E2" s="144"/>
      <c r="F2" s="144"/>
      <c r="G2" s="145"/>
      <c r="H2" s="145"/>
      <c r="I2" s="145"/>
      <c r="J2" s="146" t="str">
        <f>"Kurs "&amp;Config!G26</f>
        <v>Kurs K1</v>
      </c>
    </row>
    <row r="3" spans="2:10" ht="18" customHeight="1" x14ac:dyDescent="0.25">
      <c r="B3" s="147" t="s">
        <v>9</v>
      </c>
      <c r="C3" s="148"/>
      <c r="D3" s="148"/>
      <c r="E3" s="148"/>
      <c r="F3" s="148"/>
      <c r="G3" s="148"/>
      <c r="H3" s="148"/>
      <c r="I3" s="148"/>
      <c r="J3" s="149"/>
    </row>
    <row r="4" spans="2:10" ht="18" customHeight="1" thickBot="1" x14ac:dyDescent="0.3">
      <c r="B4" s="147"/>
      <c r="C4" s="148"/>
      <c r="D4" s="150"/>
      <c r="E4" s="150"/>
      <c r="F4" s="150"/>
      <c r="G4" s="150"/>
      <c r="H4" s="150"/>
      <c r="I4" s="150"/>
      <c r="J4" s="151"/>
    </row>
    <row r="5" spans="2:10" ht="18" customHeight="1" thickBot="1" x14ac:dyDescent="0.3">
      <c r="B5" s="152"/>
      <c r="C5" s="154"/>
      <c r="D5" s="173" t="str">
        <f>Config!F6</f>
        <v>1a</v>
      </c>
      <c r="E5" s="173" t="str">
        <f>Config!F7</f>
        <v>1b</v>
      </c>
      <c r="F5" s="173" t="str">
        <f>Config!F8</f>
        <v>2</v>
      </c>
      <c r="G5" s="173" t="str">
        <f>Config!F9</f>
        <v>3</v>
      </c>
      <c r="H5" s="173" t="str">
        <f>Config!F10</f>
        <v>4a</v>
      </c>
      <c r="I5" s="173" t="str">
        <f>Config!F11</f>
        <v>4b</v>
      </c>
      <c r="J5" s="158" t="s">
        <v>82</v>
      </c>
    </row>
    <row r="6" spans="2:10" ht="18" customHeight="1" thickBot="1" x14ac:dyDescent="0.3">
      <c r="B6" s="153"/>
      <c r="C6" s="155" t="s">
        <v>81</v>
      </c>
      <c r="D6" s="157">
        <f>Config!G6</f>
        <v>2</v>
      </c>
      <c r="E6" s="157">
        <f>Config!G7</f>
        <v>2</v>
      </c>
      <c r="F6" s="157">
        <f>Config!G8</f>
        <v>3</v>
      </c>
      <c r="G6" s="157">
        <f>Config!G9</f>
        <v>3</v>
      </c>
      <c r="H6" s="157">
        <f>Config!G10</f>
        <v>3</v>
      </c>
      <c r="I6" s="157">
        <f>Config!G11</f>
        <v>2</v>
      </c>
      <c r="J6" s="174">
        <f>Config!G21</f>
        <v>15</v>
      </c>
    </row>
    <row r="7" spans="2:10" ht="18" customHeight="1" x14ac:dyDescent="0.25">
      <c r="B7" s="203">
        <v>1</v>
      </c>
      <c r="C7" s="204" t="str">
        <f>Config!C5&amp;", "&amp;Config!D5</f>
        <v>Höfer, Simon</v>
      </c>
      <c r="D7" s="109">
        <v>0.5</v>
      </c>
      <c r="E7" s="109">
        <v>2</v>
      </c>
      <c r="F7" s="109">
        <v>1.5</v>
      </c>
      <c r="G7" s="109">
        <v>2.5</v>
      </c>
      <c r="H7" s="109">
        <v>3</v>
      </c>
      <c r="I7" s="110">
        <v>2</v>
      </c>
      <c r="J7" s="200">
        <f t="shared" ref="J7:J38" si="0">SUM(D7:I7)</f>
        <v>11.5</v>
      </c>
    </row>
    <row r="8" spans="2:10" s="115" customFormat="1" ht="13.2" customHeight="1" x14ac:dyDescent="0.2">
      <c r="B8" s="118"/>
      <c r="C8" s="122" t="s">
        <v>126</v>
      </c>
      <c r="D8" s="101">
        <v>0.5</v>
      </c>
      <c r="E8" s="101">
        <v>2</v>
      </c>
      <c r="F8" s="103">
        <v>2</v>
      </c>
      <c r="G8" s="102">
        <v>2</v>
      </c>
      <c r="H8" s="101">
        <v>3</v>
      </c>
      <c r="I8" s="104">
        <v>2</v>
      </c>
      <c r="J8" s="117">
        <f t="shared" si="0"/>
        <v>11.5</v>
      </c>
    </row>
    <row r="9" spans="2:10" s="115" customFormat="1" ht="13.2" customHeight="1" x14ac:dyDescent="0.2">
      <c r="B9" s="138"/>
      <c r="C9" s="139" t="s">
        <v>127</v>
      </c>
      <c r="D9" s="99">
        <v>0.5</v>
      </c>
      <c r="E9" s="99">
        <v>2</v>
      </c>
      <c r="F9" s="207">
        <v>2</v>
      </c>
      <c r="G9" s="105">
        <v>2</v>
      </c>
      <c r="H9" s="99">
        <v>3</v>
      </c>
      <c r="I9" s="100">
        <v>2</v>
      </c>
      <c r="J9" s="116">
        <f t="shared" si="0"/>
        <v>11.5</v>
      </c>
    </row>
    <row r="10" spans="2:10" ht="18" customHeight="1" x14ac:dyDescent="0.25">
      <c r="B10" s="201">
        <v>2</v>
      </c>
      <c r="C10" s="202" t="str">
        <f>Config!C6&amp;", "&amp;Config!D6</f>
        <v>Töpfer, Lilian</v>
      </c>
      <c r="D10" s="111">
        <v>1.5</v>
      </c>
      <c r="E10" s="111">
        <v>2</v>
      </c>
      <c r="F10" s="111">
        <v>0.5</v>
      </c>
      <c r="G10" s="111">
        <v>1</v>
      </c>
      <c r="H10" s="111">
        <v>2</v>
      </c>
      <c r="I10" s="112">
        <v>2</v>
      </c>
      <c r="J10" s="206">
        <f t="shared" si="0"/>
        <v>9</v>
      </c>
    </row>
    <row r="11" spans="2:10" s="115" customFormat="1" ht="13.2" customHeight="1" x14ac:dyDescent="0.2">
      <c r="B11" s="121"/>
      <c r="C11" s="123" t="s">
        <v>126</v>
      </c>
      <c r="D11" s="106">
        <v>1.5</v>
      </c>
      <c r="E11" s="106">
        <v>2</v>
      </c>
      <c r="F11" s="107">
        <v>1</v>
      </c>
      <c r="G11" s="107">
        <v>1.5</v>
      </c>
      <c r="H11" s="106"/>
      <c r="I11" s="108"/>
      <c r="J11" s="120">
        <f t="shared" si="0"/>
        <v>6</v>
      </c>
    </row>
    <row r="12" spans="2:10" s="115" customFormat="1" ht="13.2" customHeight="1" x14ac:dyDescent="0.2">
      <c r="B12" s="140"/>
      <c r="C12" s="141" t="s">
        <v>127</v>
      </c>
      <c r="D12" s="105">
        <v>1</v>
      </c>
      <c r="E12" s="99">
        <v>2</v>
      </c>
      <c r="F12" s="207">
        <v>1</v>
      </c>
      <c r="G12" s="105">
        <v>0.5</v>
      </c>
      <c r="H12" s="99">
        <v>2</v>
      </c>
      <c r="I12" s="100">
        <v>2</v>
      </c>
      <c r="J12" s="119">
        <f t="shared" si="0"/>
        <v>8.5</v>
      </c>
    </row>
    <row r="13" spans="2:10" ht="18" customHeight="1" x14ac:dyDescent="0.25">
      <c r="B13" s="198">
        <v>3</v>
      </c>
      <c r="C13" s="199" t="str">
        <f>Config!C7&amp;", "&amp;Config!D7</f>
        <v>Fleischmann, Leonie</v>
      </c>
      <c r="D13" s="113">
        <v>0.5</v>
      </c>
      <c r="E13" s="113">
        <v>1.5</v>
      </c>
      <c r="F13" s="113">
        <v>1.5</v>
      </c>
      <c r="G13" s="113">
        <v>3</v>
      </c>
      <c r="H13" s="113">
        <v>3</v>
      </c>
      <c r="I13" s="114">
        <v>1</v>
      </c>
      <c r="J13" s="205">
        <f t="shared" si="0"/>
        <v>10.5</v>
      </c>
    </row>
    <row r="14" spans="2:10" s="115" customFormat="1" ht="13.2" customHeight="1" x14ac:dyDescent="0.2">
      <c r="B14" s="118"/>
      <c r="C14" s="122" t="s">
        <v>126</v>
      </c>
      <c r="D14" s="101"/>
      <c r="E14" s="101"/>
      <c r="F14" s="101"/>
      <c r="G14" s="101"/>
      <c r="H14" s="101"/>
      <c r="I14" s="104"/>
      <c r="J14" s="117">
        <f t="shared" si="0"/>
        <v>0</v>
      </c>
    </row>
    <row r="15" spans="2:10" s="115" customFormat="1" ht="13.2" customHeight="1" x14ac:dyDescent="0.2">
      <c r="B15" s="138"/>
      <c r="C15" s="139" t="s">
        <v>127</v>
      </c>
      <c r="D15" s="99"/>
      <c r="E15" s="99"/>
      <c r="F15" s="99"/>
      <c r="G15" s="99"/>
      <c r="H15" s="99"/>
      <c r="I15" s="100"/>
      <c r="J15" s="116">
        <f t="shared" si="0"/>
        <v>0</v>
      </c>
    </row>
    <row r="16" spans="2:10" ht="18" customHeight="1" x14ac:dyDescent="0.25">
      <c r="B16" s="201">
        <v>4</v>
      </c>
      <c r="C16" s="202" t="str">
        <f>Config!C8&amp;", "&amp;Config!D8</f>
        <v>Drescher, Cedric</v>
      </c>
      <c r="D16" s="111">
        <v>2</v>
      </c>
      <c r="E16" s="111">
        <v>2</v>
      </c>
      <c r="F16" s="111">
        <v>1</v>
      </c>
      <c r="G16" s="111">
        <v>3</v>
      </c>
      <c r="H16" s="111">
        <v>2.5</v>
      </c>
      <c r="I16" s="112">
        <v>2</v>
      </c>
      <c r="J16" s="206">
        <f t="shared" si="0"/>
        <v>12.5</v>
      </c>
    </row>
    <row r="17" spans="2:10" s="115" customFormat="1" ht="13.2" customHeight="1" x14ac:dyDescent="0.2">
      <c r="B17" s="121"/>
      <c r="C17" s="123" t="s">
        <v>126</v>
      </c>
      <c r="D17" s="106"/>
      <c r="E17" s="106"/>
      <c r="F17" s="106"/>
      <c r="G17" s="106"/>
      <c r="H17" s="106"/>
      <c r="I17" s="108"/>
      <c r="J17" s="120">
        <f t="shared" si="0"/>
        <v>0</v>
      </c>
    </row>
    <row r="18" spans="2:10" s="115" customFormat="1" ht="13.2" customHeight="1" x14ac:dyDescent="0.2">
      <c r="B18" s="140"/>
      <c r="C18" s="141" t="s">
        <v>127</v>
      </c>
      <c r="D18" s="99"/>
      <c r="E18" s="99"/>
      <c r="F18" s="99"/>
      <c r="G18" s="99"/>
      <c r="H18" s="99"/>
      <c r="I18" s="100"/>
      <c r="J18" s="119">
        <f t="shared" si="0"/>
        <v>0</v>
      </c>
    </row>
    <row r="19" spans="2:10" ht="18" customHeight="1" x14ac:dyDescent="0.25">
      <c r="B19" s="198">
        <v>5</v>
      </c>
      <c r="C19" s="199" t="str">
        <f>Config!C9&amp;", "&amp;Config!D9</f>
        <v>Baumgarten, Annabell</v>
      </c>
      <c r="D19" s="113">
        <v>2</v>
      </c>
      <c r="E19" s="113">
        <v>2</v>
      </c>
      <c r="F19" s="113">
        <v>2.5</v>
      </c>
      <c r="G19" s="113">
        <v>3</v>
      </c>
      <c r="H19" s="113">
        <v>2.5</v>
      </c>
      <c r="I19" s="114">
        <v>2</v>
      </c>
      <c r="J19" s="205">
        <f t="shared" si="0"/>
        <v>14</v>
      </c>
    </row>
    <row r="20" spans="2:10" s="115" customFormat="1" ht="13.2" customHeight="1" x14ac:dyDescent="0.2">
      <c r="B20" s="118"/>
      <c r="C20" s="122" t="s">
        <v>126</v>
      </c>
      <c r="D20" s="101"/>
      <c r="E20" s="101"/>
      <c r="F20" s="101"/>
      <c r="G20" s="101"/>
      <c r="H20" s="101"/>
      <c r="I20" s="104"/>
      <c r="J20" s="117">
        <f t="shared" si="0"/>
        <v>0</v>
      </c>
    </row>
    <row r="21" spans="2:10" s="115" customFormat="1" ht="13.2" customHeight="1" x14ac:dyDescent="0.2">
      <c r="B21" s="138"/>
      <c r="C21" s="139" t="s">
        <v>127</v>
      </c>
      <c r="D21" s="99"/>
      <c r="E21" s="99"/>
      <c r="F21" s="99"/>
      <c r="G21" s="99"/>
      <c r="H21" s="99"/>
      <c r="I21" s="100"/>
      <c r="J21" s="116">
        <f t="shared" si="0"/>
        <v>0</v>
      </c>
    </row>
    <row r="22" spans="2:10" ht="18" customHeight="1" x14ac:dyDescent="0.25">
      <c r="B22" s="201">
        <v>6</v>
      </c>
      <c r="C22" s="202" t="str">
        <f>Config!C10&amp;", "&amp;Config!D10</f>
        <v>Traut, Stefanie</v>
      </c>
      <c r="D22" s="111">
        <v>2</v>
      </c>
      <c r="E22" s="111">
        <v>2</v>
      </c>
      <c r="F22" s="111">
        <v>2</v>
      </c>
      <c r="G22" s="111">
        <v>2</v>
      </c>
      <c r="H22" s="111">
        <v>2.5</v>
      </c>
      <c r="I22" s="112">
        <v>2</v>
      </c>
      <c r="J22" s="206">
        <f t="shared" si="0"/>
        <v>12.5</v>
      </c>
    </row>
    <row r="23" spans="2:10" s="115" customFormat="1" ht="13.2" customHeight="1" x14ac:dyDescent="0.2">
      <c r="B23" s="121"/>
      <c r="C23" s="123" t="s">
        <v>126</v>
      </c>
      <c r="D23" s="106"/>
      <c r="E23" s="106"/>
      <c r="F23" s="106"/>
      <c r="G23" s="106"/>
      <c r="H23" s="106"/>
      <c r="I23" s="108"/>
      <c r="J23" s="120">
        <f t="shared" si="0"/>
        <v>0</v>
      </c>
    </row>
    <row r="24" spans="2:10" s="115" customFormat="1" ht="13.2" customHeight="1" x14ac:dyDescent="0.2">
      <c r="B24" s="140"/>
      <c r="C24" s="141" t="s">
        <v>127</v>
      </c>
      <c r="D24" s="99"/>
      <c r="E24" s="99"/>
      <c r="F24" s="99"/>
      <c r="G24" s="99"/>
      <c r="H24" s="99"/>
      <c r="I24" s="100"/>
      <c r="J24" s="119">
        <f t="shared" si="0"/>
        <v>0</v>
      </c>
    </row>
    <row r="25" spans="2:10" ht="18" customHeight="1" x14ac:dyDescent="0.25">
      <c r="B25" s="198">
        <v>7</v>
      </c>
      <c r="C25" s="199" t="str">
        <f>Config!C11&amp;", "&amp;Config!D11</f>
        <v>Menke, Damian</v>
      </c>
      <c r="D25" s="113">
        <v>1</v>
      </c>
      <c r="E25" s="113">
        <v>1.5</v>
      </c>
      <c r="F25" s="113">
        <v>3</v>
      </c>
      <c r="G25" s="113">
        <v>3</v>
      </c>
      <c r="H25" s="113">
        <v>3</v>
      </c>
      <c r="I25" s="114">
        <v>1</v>
      </c>
      <c r="J25" s="205">
        <f t="shared" si="0"/>
        <v>12.5</v>
      </c>
    </row>
    <row r="26" spans="2:10" s="115" customFormat="1" ht="13.2" customHeight="1" x14ac:dyDescent="0.2">
      <c r="B26" s="118"/>
      <c r="C26" s="122" t="s">
        <v>126</v>
      </c>
      <c r="D26" s="101"/>
      <c r="E26" s="101"/>
      <c r="F26" s="101"/>
      <c r="G26" s="101"/>
      <c r="H26" s="101"/>
      <c r="I26" s="104"/>
      <c r="J26" s="117">
        <f t="shared" si="0"/>
        <v>0</v>
      </c>
    </row>
    <row r="27" spans="2:10" s="115" customFormat="1" ht="13.2" customHeight="1" x14ac:dyDescent="0.2">
      <c r="B27" s="138"/>
      <c r="C27" s="139" t="s">
        <v>127</v>
      </c>
      <c r="D27" s="99"/>
      <c r="E27" s="99"/>
      <c r="F27" s="99"/>
      <c r="G27" s="99"/>
      <c r="H27" s="99"/>
      <c r="I27" s="100"/>
      <c r="J27" s="116">
        <f t="shared" si="0"/>
        <v>0</v>
      </c>
    </row>
    <row r="28" spans="2:10" ht="18" customHeight="1" x14ac:dyDescent="0.25">
      <c r="B28" s="201">
        <v>8</v>
      </c>
      <c r="C28" s="202" t="str">
        <f>Config!C12&amp;", "&amp;Config!D12</f>
        <v>Carroll, Meik</v>
      </c>
      <c r="D28" s="111">
        <v>0.5</v>
      </c>
      <c r="E28" s="111">
        <v>2</v>
      </c>
      <c r="F28" s="111">
        <v>1.5</v>
      </c>
      <c r="G28" s="111">
        <v>1</v>
      </c>
      <c r="H28" s="111">
        <v>3</v>
      </c>
      <c r="I28" s="112">
        <v>1</v>
      </c>
      <c r="J28" s="206">
        <f t="shared" si="0"/>
        <v>9</v>
      </c>
    </row>
    <row r="29" spans="2:10" s="115" customFormat="1" ht="13.2" customHeight="1" x14ac:dyDescent="0.2">
      <c r="B29" s="121"/>
      <c r="C29" s="123" t="s">
        <v>126</v>
      </c>
      <c r="D29" s="106"/>
      <c r="E29" s="106"/>
      <c r="F29" s="106"/>
      <c r="G29" s="106"/>
      <c r="H29" s="106"/>
      <c r="I29" s="108"/>
      <c r="J29" s="120">
        <f t="shared" si="0"/>
        <v>0</v>
      </c>
    </row>
    <row r="30" spans="2:10" s="115" customFormat="1" ht="13.2" customHeight="1" x14ac:dyDescent="0.2">
      <c r="B30" s="140"/>
      <c r="C30" s="141" t="s">
        <v>127</v>
      </c>
      <c r="D30" s="99"/>
      <c r="E30" s="99"/>
      <c r="F30" s="99"/>
      <c r="G30" s="99"/>
      <c r="H30" s="99"/>
      <c r="I30" s="100"/>
      <c r="J30" s="119">
        <f t="shared" si="0"/>
        <v>0</v>
      </c>
    </row>
    <row r="31" spans="2:10" ht="18" customHeight="1" x14ac:dyDescent="0.25">
      <c r="B31" s="198">
        <v>9</v>
      </c>
      <c r="C31" s="199" t="str">
        <f>Config!C13&amp;", "&amp;Config!D13</f>
        <v>Hennings, Tomas</v>
      </c>
      <c r="D31" s="113">
        <v>1.5</v>
      </c>
      <c r="E31" s="113">
        <v>2</v>
      </c>
      <c r="F31" s="113">
        <v>1.5</v>
      </c>
      <c r="G31" s="113">
        <v>1</v>
      </c>
      <c r="H31" s="113">
        <v>2</v>
      </c>
      <c r="I31" s="114">
        <v>2</v>
      </c>
      <c r="J31" s="205">
        <f t="shared" si="0"/>
        <v>10</v>
      </c>
    </row>
    <row r="32" spans="2:10" s="115" customFormat="1" ht="13.2" customHeight="1" x14ac:dyDescent="0.2">
      <c r="B32" s="118"/>
      <c r="C32" s="122" t="s">
        <v>126</v>
      </c>
      <c r="D32" s="101"/>
      <c r="E32" s="101"/>
      <c r="F32" s="101"/>
      <c r="G32" s="101"/>
      <c r="H32" s="101"/>
      <c r="I32" s="104"/>
      <c r="J32" s="117">
        <f t="shared" si="0"/>
        <v>0</v>
      </c>
    </row>
    <row r="33" spans="2:10" s="115" customFormat="1" ht="13.2" customHeight="1" x14ac:dyDescent="0.2">
      <c r="B33" s="138"/>
      <c r="C33" s="139" t="s">
        <v>127</v>
      </c>
      <c r="D33" s="99"/>
      <c r="E33" s="99"/>
      <c r="F33" s="99"/>
      <c r="G33" s="99"/>
      <c r="H33" s="99"/>
      <c r="I33" s="100"/>
      <c r="J33" s="116">
        <f t="shared" si="0"/>
        <v>0</v>
      </c>
    </row>
    <row r="34" spans="2:10" ht="18" customHeight="1" x14ac:dyDescent="0.25">
      <c r="B34" s="201">
        <v>10</v>
      </c>
      <c r="C34" s="202" t="str">
        <f>Config!C14&amp;", "&amp;Config!D14</f>
        <v>Walters, Linn</v>
      </c>
      <c r="D34" s="111">
        <v>0.5</v>
      </c>
      <c r="E34" s="111">
        <v>1</v>
      </c>
      <c r="F34" s="111">
        <v>0</v>
      </c>
      <c r="G34" s="111">
        <v>1</v>
      </c>
      <c r="H34" s="111">
        <v>0.5</v>
      </c>
      <c r="I34" s="112">
        <v>0</v>
      </c>
      <c r="J34" s="206">
        <f t="shared" si="0"/>
        <v>3</v>
      </c>
    </row>
    <row r="35" spans="2:10" s="115" customFormat="1" ht="13.2" customHeight="1" x14ac:dyDescent="0.2">
      <c r="B35" s="121"/>
      <c r="C35" s="123" t="s">
        <v>126</v>
      </c>
      <c r="D35" s="106"/>
      <c r="E35" s="106"/>
      <c r="F35" s="106"/>
      <c r="G35" s="106"/>
      <c r="H35" s="106"/>
      <c r="I35" s="108"/>
      <c r="J35" s="120">
        <f t="shared" si="0"/>
        <v>0</v>
      </c>
    </row>
    <row r="36" spans="2:10" s="115" customFormat="1" ht="13.2" customHeight="1" x14ac:dyDescent="0.2">
      <c r="B36" s="140"/>
      <c r="C36" s="141" t="s">
        <v>127</v>
      </c>
      <c r="D36" s="99"/>
      <c r="E36" s="99"/>
      <c r="F36" s="99"/>
      <c r="G36" s="99"/>
      <c r="H36" s="99"/>
      <c r="I36" s="100"/>
      <c r="J36" s="119">
        <f t="shared" si="0"/>
        <v>0</v>
      </c>
    </row>
    <row r="37" spans="2:10" ht="18" customHeight="1" x14ac:dyDescent="0.25">
      <c r="B37" s="198">
        <v>11</v>
      </c>
      <c r="C37" s="199" t="str">
        <f>Config!C15&amp;", "&amp;Config!D15</f>
        <v>Junker, Amely</v>
      </c>
      <c r="D37" s="113">
        <v>0.5</v>
      </c>
      <c r="E37" s="113">
        <v>2</v>
      </c>
      <c r="F37" s="113">
        <v>1.5</v>
      </c>
      <c r="G37" s="113">
        <v>0</v>
      </c>
      <c r="H37" s="113">
        <v>1.5</v>
      </c>
      <c r="I37" s="114">
        <v>1</v>
      </c>
      <c r="J37" s="205">
        <f t="shared" si="0"/>
        <v>6.5</v>
      </c>
    </row>
    <row r="38" spans="2:10" s="115" customFormat="1" ht="13.2" customHeight="1" x14ac:dyDescent="0.2">
      <c r="B38" s="118"/>
      <c r="C38" s="122" t="s">
        <v>126</v>
      </c>
      <c r="D38" s="101"/>
      <c r="E38" s="101"/>
      <c r="F38" s="101"/>
      <c r="G38" s="101"/>
      <c r="H38" s="101"/>
      <c r="I38" s="104"/>
      <c r="J38" s="117">
        <f t="shared" si="0"/>
        <v>0</v>
      </c>
    </row>
    <row r="39" spans="2:10" s="115" customFormat="1" ht="13.2" customHeight="1" x14ac:dyDescent="0.2">
      <c r="B39" s="138"/>
      <c r="C39" s="139" t="s">
        <v>127</v>
      </c>
      <c r="D39" s="99"/>
      <c r="E39" s="99"/>
      <c r="F39" s="99"/>
      <c r="G39" s="99"/>
      <c r="H39" s="99"/>
      <c r="I39" s="100"/>
      <c r="J39" s="116">
        <f t="shared" ref="J39:J70" si="1">SUM(D39:I39)</f>
        <v>0</v>
      </c>
    </row>
    <row r="40" spans="2:10" ht="18" customHeight="1" x14ac:dyDescent="0.25">
      <c r="B40" s="201">
        <v>12</v>
      </c>
      <c r="C40" s="202" t="str">
        <f>Config!C16&amp;", "&amp;Config!D16</f>
        <v>Stephens, Melvin</v>
      </c>
      <c r="D40" s="111">
        <v>2</v>
      </c>
      <c r="E40" s="111">
        <v>2</v>
      </c>
      <c r="F40" s="111">
        <v>1</v>
      </c>
      <c r="G40" s="111">
        <v>3</v>
      </c>
      <c r="H40" s="111">
        <v>1.5</v>
      </c>
      <c r="I40" s="112">
        <v>2</v>
      </c>
      <c r="J40" s="206">
        <f t="shared" si="1"/>
        <v>11.5</v>
      </c>
    </row>
    <row r="41" spans="2:10" s="115" customFormat="1" ht="13.2" customHeight="1" x14ac:dyDescent="0.2">
      <c r="B41" s="121"/>
      <c r="C41" s="123" t="s">
        <v>126</v>
      </c>
      <c r="D41" s="106"/>
      <c r="E41" s="106"/>
      <c r="F41" s="106"/>
      <c r="G41" s="106"/>
      <c r="H41" s="106"/>
      <c r="I41" s="108"/>
      <c r="J41" s="120">
        <f t="shared" si="1"/>
        <v>0</v>
      </c>
    </row>
    <row r="42" spans="2:10" s="115" customFormat="1" ht="13.2" customHeight="1" x14ac:dyDescent="0.2">
      <c r="B42" s="140"/>
      <c r="C42" s="141" t="s">
        <v>127</v>
      </c>
      <c r="D42" s="99"/>
      <c r="E42" s="99"/>
      <c r="F42" s="99"/>
      <c r="G42" s="99"/>
      <c r="H42" s="99"/>
      <c r="I42" s="100"/>
      <c r="J42" s="119">
        <f t="shared" si="1"/>
        <v>0</v>
      </c>
    </row>
    <row r="43" spans="2:10" ht="18" customHeight="1" x14ac:dyDescent="0.25">
      <c r="B43" s="198">
        <v>13</v>
      </c>
      <c r="C43" s="199" t="str">
        <f>Config!C17&amp;", "&amp;Config!D17</f>
        <v>Cremer, Marvin</v>
      </c>
      <c r="D43" s="113">
        <v>1.5</v>
      </c>
      <c r="E43" s="113">
        <v>2</v>
      </c>
      <c r="F43" s="113">
        <v>1.5</v>
      </c>
      <c r="G43" s="113">
        <v>3</v>
      </c>
      <c r="H43" s="113">
        <v>3</v>
      </c>
      <c r="I43" s="114">
        <v>1.5</v>
      </c>
      <c r="J43" s="205">
        <f t="shared" si="1"/>
        <v>12.5</v>
      </c>
    </row>
    <row r="44" spans="2:10" s="115" customFormat="1" ht="13.2" customHeight="1" x14ac:dyDescent="0.2">
      <c r="B44" s="118"/>
      <c r="C44" s="122" t="s">
        <v>126</v>
      </c>
      <c r="D44" s="101"/>
      <c r="E44" s="101"/>
      <c r="F44" s="101"/>
      <c r="G44" s="101"/>
      <c r="H44" s="101"/>
      <c r="I44" s="104"/>
      <c r="J44" s="117">
        <f t="shared" si="1"/>
        <v>0</v>
      </c>
    </row>
    <row r="45" spans="2:10" s="115" customFormat="1" ht="13.2" customHeight="1" x14ac:dyDescent="0.2">
      <c r="B45" s="138"/>
      <c r="C45" s="139" t="s">
        <v>127</v>
      </c>
      <c r="D45" s="99"/>
      <c r="E45" s="99"/>
      <c r="F45" s="99"/>
      <c r="G45" s="99"/>
      <c r="H45" s="99"/>
      <c r="I45" s="100"/>
      <c r="J45" s="116">
        <f t="shared" si="1"/>
        <v>0</v>
      </c>
    </row>
    <row r="46" spans="2:10" ht="18" customHeight="1" x14ac:dyDescent="0.25">
      <c r="B46" s="201">
        <v>14</v>
      </c>
      <c r="C46" s="202" t="str">
        <f>Config!C18&amp;", "&amp;Config!D18</f>
        <v>Nash, Jean</v>
      </c>
      <c r="D46" s="111">
        <v>2</v>
      </c>
      <c r="E46" s="111">
        <v>2</v>
      </c>
      <c r="F46" s="111">
        <v>1.5</v>
      </c>
      <c r="G46" s="111">
        <v>3</v>
      </c>
      <c r="H46" s="111">
        <v>3</v>
      </c>
      <c r="I46" s="112">
        <v>2</v>
      </c>
      <c r="J46" s="206">
        <f t="shared" si="1"/>
        <v>13.5</v>
      </c>
    </row>
    <row r="47" spans="2:10" s="115" customFormat="1" ht="13.2" customHeight="1" x14ac:dyDescent="0.2">
      <c r="B47" s="121"/>
      <c r="C47" s="123" t="s">
        <v>126</v>
      </c>
      <c r="D47" s="106"/>
      <c r="E47" s="106"/>
      <c r="F47" s="106"/>
      <c r="G47" s="106"/>
      <c r="H47" s="106"/>
      <c r="I47" s="108"/>
      <c r="J47" s="120">
        <f t="shared" si="1"/>
        <v>0</v>
      </c>
    </row>
    <row r="48" spans="2:10" s="115" customFormat="1" ht="13.2" customHeight="1" x14ac:dyDescent="0.2">
      <c r="B48" s="140"/>
      <c r="C48" s="141" t="s">
        <v>127</v>
      </c>
      <c r="D48" s="99"/>
      <c r="E48" s="99"/>
      <c r="F48" s="99"/>
      <c r="G48" s="99"/>
      <c r="H48" s="99"/>
      <c r="I48" s="100"/>
      <c r="J48" s="119">
        <f t="shared" si="1"/>
        <v>0</v>
      </c>
    </row>
    <row r="49" spans="2:10" ht="18" customHeight="1" x14ac:dyDescent="0.25">
      <c r="B49" s="198">
        <v>15</v>
      </c>
      <c r="C49" s="199" t="str">
        <f>Config!C19&amp;", "&amp;Config!D19</f>
        <v>Schön, Leonardo</v>
      </c>
      <c r="D49" s="113">
        <v>1</v>
      </c>
      <c r="E49" s="113">
        <v>2</v>
      </c>
      <c r="F49" s="113">
        <v>1.5</v>
      </c>
      <c r="G49" s="113">
        <v>3</v>
      </c>
      <c r="H49" s="113">
        <v>2.5</v>
      </c>
      <c r="I49" s="114">
        <v>2</v>
      </c>
      <c r="J49" s="205">
        <f t="shared" si="1"/>
        <v>12</v>
      </c>
    </row>
    <row r="50" spans="2:10" s="115" customFormat="1" ht="13.2" customHeight="1" x14ac:dyDescent="0.2">
      <c r="B50" s="118"/>
      <c r="C50" s="122" t="s">
        <v>126</v>
      </c>
      <c r="D50" s="101"/>
      <c r="E50" s="101"/>
      <c r="F50" s="101"/>
      <c r="G50" s="101"/>
      <c r="H50" s="101"/>
      <c r="I50" s="104"/>
      <c r="J50" s="117">
        <f t="shared" si="1"/>
        <v>0</v>
      </c>
    </row>
    <row r="51" spans="2:10" s="115" customFormat="1" ht="13.2" customHeight="1" x14ac:dyDescent="0.2">
      <c r="B51" s="138"/>
      <c r="C51" s="139" t="s">
        <v>127</v>
      </c>
      <c r="D51" s="99"/>
      <c r="E51" s="99"/>
      <c r="F51" s="99"/>
      <c r="G51" s="99"/>
      <c r="H51" s="99"/>
      <c r="I51" s="100"/>
      <c r="J51" s="116">
        <f t="shared" si="1"/>
        <v>0</v>
      </c>
    </row>
    <row r="52" spans="2:10" ht="18" customHeight="1" x14ac:dyDescent="0.25">
      <c r="B52" s="201">
        <v>16</v>
      </c>
      <c r="C52" s="202" t="str">
        <f>Config!C20&amp;", "&amp;Config!D20</f>
        <v>Sigl, Nicholas</v>
      </c>
      <c r="D52" s="111">
        <v>2</v>
      </c>
      <c r="E52" s="111">
        <v>0</v>
      </c>
      <c r="F52" s="111">
        <v>1</v>
      </c>
      <c r="G52" s="111">
        <v>1.5</v>
      </c>
      <c r="H52" s="111">
        <v>2</v>
      </c>
      <c r="I52" s="112">
        <v>1</v>
      </c>
      <c r="J52" s="206">
        <f t="shared" si="1"/>
        <v>7.5</v>
      </c>
    </row>
    <row r="53" spans="2:10" s="115" customFormat="1" ht="13.2" customHeight="1" x14ac:dyDescent="0.2">
      <c r="B53" s="121"/>
      <c r="C53" s="123" t="s">
        <v>126</v>
      </c>
      <c r="D53" s="106"/>
      <c r="E53" s="106"/>
      <c r="F53" s="106"/>
      <c r="G53" s="106"/>
      <c r="H53" s="106"/>
      <c r="I53" s="108"/>
      <c r="J53" s="120">
        <f t="shared" si="1"/>
        <v>0</v>
      </c>
    </row>
    <row r="54" spans="2:10" s="115" customFormat="1" ht="13.2" customHeight="1" x14ac:dyDescent="0.2">
      <c r="B54" s="140"/>
      <c r="C54" s="141" t="s">
        <v>127</v>
      </c>
      <c r="D54" s="99"/>
      <c r="E54" s="99"/>
      <c r="F54" s="99"/>
      <c r="G54" s="99"/>
      <c r="H54" s="99"/>
      <c r="I54" s="100"/>
      <c r="J54" s="119">
        <f t="shared" si="1"/>
        <v>0</v>
      </c>
    </row>
    <row r="55" spans="2:10" ht="18" customHeight="1" x14ac:dyDescent="0.25">
      <c r="B55" s="198">
        <v>17</v>
      </c>
      <c r="C55" s="199" t="str">
        <f>Config!C21&amp;", "&amp;Config!D21</f>
        <v>Kainz, Vivienne</v>
      </c>
      <c r="D55" s="113">
        <v>0.5</v>
      </c>
      <c r="E55" s="113">
        <v>0</v>
      </c>
      <c r="F55" s="113">
        <v>0</v>
      </c>
      <c r="G55" s="113">
        <v>0</v>
      </c>
      <c r="H55" s="113">
        <v>0.5</v>
      </c>
      <c r="I55" s="114">
        <v>0</v>
      </c>
      <c r="J55" s="205">
        <f t="shared" si="1"/>
        <v>1</v>
      </c>
    </row>
    <row r="56" spans="2:10" s="115" customFormat="1" ht="13.2" customHeight="1" x14ac:dyDescent="0.2">
      <c r="B56" s="118"/>
      <c r="C56" s="122" t="s">
        <v>126</v>
      </c>
      <c r="D56" s="101"/>
      <c r="E56" s="101"/>
      <c r="F56" s="101"/>
      <c r="G56" s="101"/>
      <c r="H56" s="101"/>
      <c r="I56" s="104"/>
      <c r="J56" s="117">
        <f t="shared" si="1"/>
        <v>0</v>
      </c>
    </row>
    <row r="57" spans="2:10" s="115" customFormat="1" ht="13.2" customHeight="1" x14ac:dyDescent="0.2">
      <c r="B57" s="138"/>
      <c r="C57" s="139" t="s">
        <v>127</v>
      </c>
      <c r="D57" s="99"/>
      <c r="E57" s="99"/>
      <c r="F57" s="99"/>
      <c r="G57" s="99"/>
      <c r="H57" s="99"/>
      <c r="I57" s="100"/>
      <c r="J57" s="116">
        <f t="shared" si="1"/>
        <v>0</v>
      </c>
    </row>
    <row r="58" spans="2:10" ht="18" customHeight="1" x14ac:dyDescent="0.25">
      <c r="B58" s="201">
        <v>18</v>
      </c>
      <c r="C58" s="202" t="str">
        <f>Config!C22&amp;", "&amp;Config!D22</f>
        <v>Hartmann, Mads</v>
      </c>
      <c r="D58" s="111">
        <v>2</v>
      </c>
      <c r="E58" s="111">
        <v>2</v>
      </c>
      <c r="F58" s="111">
        <v>1</v>
      </c>
      <c r="G58" s="111">
        <v>1</v>
      </c>
      <c r="H58" s="111">
        <v>3</v>
      </c>
      <c r="I58" s="112">
        <v>1</v>
      </c>
      <c r="J58" s="206">
        <f t="shared" si="1"/>
        <v>10</v>
      </c>
    </row>
    <row r="59" spans="2:10" s="115" customFormat="1" ht="13.2" customHeight="1" x14ac:dyDescent="0.2">
      <c r="B59" s="121"/>
      <c r="C59" s="123" t="s">
        <v>126</v>
      </c>
      <c r="D59" s="106"/>
      <c r="E59" s="106"/>
      <c r="F59" s="106"/>
      <c r="G59" s="106"/>
      <c r="H59" s="106"/>
      <c r="I59" s="108"/>
      <c r="J59" s="120">
        <f t="shared" si="1"/>
        <v>0</v>
      </c>
    </row>
    <row r="60" spans="2:10" s="115" customFormat="1" ht="13.2" customHeight="1" x14ac:dyDescent="0.2">
      <c r="B60" s="140"/>
      <c r="C60" s="141" t="s">
        <v>127</v>
      </c>
      <c r="D60" s="99"/>
      <c r="E60" s="99"/>
      <c r="F60" s="99"/>
      <c r="G60" s="99"/>
      <c r="H60" s="99"/>
      <c r="I60" s="100"/>
      <c r="J60" s="119">
        <f t="shared" si="1"/>
        <v>0</v>
      </c>
    </row>
    <row r="61" spans="2:10" ht="18" customHeight="1" x14ac:dyDescent="0.25">
      <c r="B61" s="198">
        <v>19</v>
      </c>
      <c r="C61" s="199" t="str">
        <f>Config!C23&amp;", "&amp;Config!D23</f>
        <v>Ullmann, Raphael</v>
      </c>
      <c r="D61" s="113">
        <v>0.5</v>
      </c>
      <c r="E61" s="113">
        <v>2</v>
      </c>
      <c r="F61" s="113">
        <v>1</v>
      </c>
      <c r="G61" s="113">
        <v>2.5</v>
      </c>
      <c r="H61" s="113">
        <v>1.5</v>
      </c>
      <c r="I61" s="114">
        <v>2</v>
      </c>
      <c r="J61" s="205">
        <f t="shared" si="1"/>
        <v>9.5</v>
      </c>
    </row>
    <row r="62" spans="2:10" s="115" customFormat="1" ht="13.2" customHeight="1" x14ac:dyDescent="0.2">
      <c r="B62" s="118"/>
      <c r="C62" s="122" t="s">
        <v>126</v>
      </c>
      <c r="D62" s="101"/>
      <c r="E62" s="101"/>
      <c r="F62" s="101"/>
      <c r="G62" s="101"/>
      <c r="H62" s="101"/>
      <c r="I62" s="104"/>
      <c r="J62" s="117">
        <f t="shared" si="1"/>
        <v>0</v>
      </c>
    </row>
    <row r="63" spans="2:10" s="115" customFormat="1" ht="13.2" customHeight="1" x14ac:dyDescent="0.2">
      <c r="B63" s="138"/>
      <c r="C63" s="139" t="s">
        <v>127</v>
      </c>
      <c r="D63" s="99"/>
      <c r="E63" s="99"/>
      <c r="F63" s="99"/>
      <c r="G63" s="99"/>
      <c r="H63" s="99"/>
      <c r="I63" s="100"/>
      <c r="J63" s="116">
        <f t="shared" si="1"/>
        <v>0</v>
      </c>
    </row>
    <row r="64" spans="2:10" ht="18" customHeight="1" x14ac:dyDescent="0.25">
      <c r="B64" s="201">
        <v>20</v>
      </c>
      <c r="C64" s="202" t="str">
        <f>Config!C24&amp;", "&amp;Config!D24</f>
        <v>Hartl, Emmely</v>
      </c>
      <c r="D64" s="111">
        <v>1</v>
      </c>
      <c r="E64" s="111">
        <v>2</v>
      </c>
      <c r="F64" s="111">
        <v>2.5</v>
      </c>
      <c r="G64" s="111">
        <v>3</v>
      </c>
      <c r="H64" s="111">
        <v>3</v>
      </c>
      <c r="I64" s="112">
        <v>2</v>
      </c>
      <c r="J64" s="206">
        <f t="shared" si="1"/>
        <v>13.5</v>
      </c>
    </row>
    <row r="65" spans="2:10" s="115" customFormat="1" ht="13.2" customHeight="1" x14ac:dyDescent="0.2">
      <c r="B65" s="121"/>
      <c r="C65" s="123" t="s">
        <v>126</v>
      </c>
      <c r="D65" s="106"/>
      <c r="E65" s="106"/>
      <c r="F65" s="106"/>
      <c r="G65" s="106"/>
      <c r="H65" s="106"/>
      <c r="I65" s="108"/>
      <c r="J65" s="120">
        <f t="shared" si="1"/>
        <v>0</v>
      </c>
    </row>
    <row r="66" spans="2:10" s="115" customFormat="1" ht="13.2" customHeight="1" x14ac:dyDescent="0.2">
      <c r="B66" s="140"/>
      <c r="C66" s="141" t="s">
        <v>127</v>
      </c>
      <c r="D66" s="99"/>
      <c r="E66" s="99"/>
      <c r="F66" s="99"/>
      <c r="G66" s="99"/>
      <c r="H66" s="99"/>
      <c r="I66" s="100"/>
      <c r="J66" s="119">
        <f t="shared" si="1"/>
        <v>0</v>
      </c>
    </row>
    <row r="67" spans="2:10" ht="18" customHeight="1" x14ac:dyDescent="0.25">
      <c r="B67" s="198">
        <v>21</v>
      </c>
      <c r="C67" s="199" t="str">
        <f>Config!C25&amp;", "&amp;Config!D25</f>
        <v>Klotz, Karin</v>
      </c>
      <c r="D67" s="113">
        <v>2</v>
      </c>
      <c r="E67" s="113">
        <v>2</v>
      </c>
      <c r="F67" s="113">
        <v>1.5</v>
      </c>
      <c r="G67" s="113">
        <v>3</v>
      </c>
      <c r="H67" s="113">
        <v>3</v>
      </c>
      <c r="I67" s="114">
        <v>2</v>
      </c>
      <c r="J67" s="205">
        <f t="shared" si="1"/>
        <v>13.5</v>
      </c>
    </row>
    <row r="68" spans="2:10" s="115" customFormat="1" ht="13.2" customHeight="1" x14ac:dyDescent="0.2">
      <c r="B68" s="118"/>
      <c r="C68" s="122" t="s">
        <v>126</v>
      </c>
      <c r="D68" s="101"/>
      <c r="E68" s="101"/>
      <c r="F68" s="101"/>
      <c r="G68" s="101"/>
      <c r="H68" s="101"/>
      <c r="I68" s="104"/>
      <c r="J68" s="117">
        <f t="shared" si="1"/>
        <v>0</v>
      </c>
    </row>
    <row r="69" spans="2:10" s="115" customFormat="1" ht="13.2" customHeight="1" x14ac:dyDescent="0.2">
      <c r="B69" s="138"/>
      <c r="C69" s="139" t="s">
        <v>127</v>
      </c>
      <c r="D69" s="99"/>
      <c r="E69" s="99"/>
      <c r="F69" s="99"/>
      <c r="G69" s="99"/>
      <c r="H69" s="99"/>
      <c r="I69" s="100"/>
      <c r="J69" s="116">
        <f t="shared" si="1"/>
        <v>0</v>
      </c>
    </row>
    <row r="70" spans="2:10" ht="18" customHeight="1" x14ac:dyDescent="0.25">
      <c r="B70" s="201">
        <v>22</v>
      </c>
      <c r="C70" s="202" t="str">
        <f>Config!C26&amp;", "&amp;Config!D26</f>
        <v>Ehlers, Ingo</v>
      </c>
      <c r="D70" s="111">
        <v>0.5</v>
      </c>
      <c r="E70" s="111">
        <v>1.5</v>
      </c>
      <c r="F70" s="111">
        <v>1</v>
      </c>
      <c r="G70" s="111">
        <v>3</v>
      </c>
      <c r="H70" s="111">
        <v>3</v>
      </c>
      <c r="I70" s="112">
        <v>1</v>
      </c>
      <c r="J70" s="206">
        <f t="shared" si="1"/>
        <v>10</v>
      </c>
    </row>
    <row r="71" spans="2:10" s="115" customFormat="1" ht="13.2" customHeight="1" x14ac:dyDescent="0.2">
      <c r="B71" s="121"/>
      <c r="C71" s="123" t="s">
        <v>126</v>
      </c>
      <c r="D71" s="106"/>
      <c r="E71" s="106"/>
      <c r="F71" s="106"/>
      <c r="G71" s="106"/>
      <c r="H71" s="106"/>
      <c r="I71" s="108"/>
      <c r="J71" s="120">
        <f t="shared" ref="J71:J75" si="2">SUM(D71:I71)</f>
        <v>0</v>
      </c>
    </row>
    <row r="72" spans="2:10" s="115" customFormat="1" ht="13.2" customHeight="1" x14ac:dyDescent="0.2">
      <c r="B72" s="140"/>
      <c r="C72" s="141" t="s">
        <v>127</v>
      </c>
      <c r="D72" s="99"/>
      <c r="E72" s="99"/>
      <c r="F72" s="99"/>
      <c r="G72" s="99"/>
      <c r="H72" s="99"/>
      <c r="I72" s="100"/>
      <c r="J72" s="119">
        <f t="shared" si="2"/>
        <v>0</v>
      </c>
    </row>
    <row r="73" spans="2:10" ht="18" customHeight="1" x14ac:dyDescent="0.25">
      <c r="B73" s="198">
        <v>23</v>
      </c>
      <c r="C73" s="199" t="str">
        <f>Config!C27&amp;", "&amp;Config!D27</f>
        <v>Lindemann, Mads</v>
      </c>
      <c r="D73" s="113">
        <v>0.5</v>
      </c>
      <c r="E73" s="113">
        <v>2</v>
      </c>
      <c r="F73" s="113">
        <v>1.5</v>
      </c>
      <c r="G73" s="113">
        <v>0.5</v>
      </c>
      <c r="H73" s="113">
        <v>1.5</v>
      </c>
      <c r="I73" s="114">
        <v>1</v>
      </c>
      <c r="J73" s="205">
        <f t="shared" si="2"/>
        <v>7</v>
      </c>
    </row>
    <row r="74" spans="2:10" s="115" customFormat="1" ht="13.2" customHeight="1" x14ac:dyDescent="0.2">
      <c r="B74" s="118"/>
      <c r="C74" s="122" t="s">
        <v>126</v>
      </c>
      <c r="D74" s="101"/>
      <c r="E74" s="101"/>
      <c r="F74" s="101"/>
      <c r="G74" s="101"/>
      <c r="H74" s="101"/>
      <c r="I74" s="104"/>
      <c r="J74" s="117">
        <f t="shared" si="2"/>
        <v>0</v>
      </c>
    </row>
    <row r="75" spans="2:10" s="115" customFormat="1" ht="13.2" customHeight="1" thickBot="1" x14ac:dyDescent="0.25">
      <c r="B75" s="138"/>
      <c r="C75" s="139" t="s">
        <v>127</v>
      </c>
      <c r="D75" s="99"/>
      <c r="E75" s="99"/>
      <c r="F75" s="99"/>
      <c r="G75" s="99"/>
      <c r="H75" s="99"/>
      <c r="I75" s="100"/>
      <c r="J75" s="116">
        <f t="shared" si="2"/>
        <v>0</v>
      </c>
    </row>
    <row r="76" spans="2:10" ht="18" customHeight="1" thickBot="1" x14ac:dyDescent="0.3">
      <c r="B76" s="162"/>
      <c r="C76" s="163"/>
      <c r="D76" s="163">
        <f>IF(COUNTIFS(D7:D73,"&lt;&gt;",C7:C73,"&lt;&gt;ZK",C7:C73,"&lt;&gt;DK")&lt;&gt;0,SUMIFS(D7:D73,C7:C73,"&lt;&gt;ZK",C7:C73,"&lt;&gt;DK")/(COUNTIFS(D7:D73,"&lt;&gt;",C7:C73,"&lt;&gt;ZK",C7:C73,"&lt;&gt;DK")*D6),0)</f>
        <v>0.60869565217391308</v>
      </c>
      <c r="E76" s="163">
        <f>IF(COUNTIFS(E7:E73,"&lt;&gt;",C7:C73,"&lt;&gt;ZK",C7:C73,"&lt;&gt;DK")&lt;&gt;0,SUMIFS(E7:E73,C7:C73,"&lt;&gt;ZK",C7:C73,"&lt;&gt;DK")/(COUNTIFS(E7:E73,"&lt;&gt;",C7:C73,"&lt;&gt;ZK",C7:C73,"&lt;&gt;DK")*E6),0)</f>
        <v>0.85869565217391308</v>
      </c>
      <c r="F76" s="163">
        <f>IF(COUNTIFS(F7:F73,"&lt;&gt;",C7:C73,"&lt;&gt;ZK",C7:C73,"&lt;&gt;DK")&lt;&gt;0,SUMIFS(F7:F73,C7:C73,"&lt;&gt;ZK",C7:C73,"&lt;&gt;DK")/(COUNTIFS(F7:F73,"&lt;&gt;",C7:C73,"&lt;&gt;ZK",C7:C73,"&lt;&gt;DK")*F6),0)</f>
        <v>0.45652173913043476</v>
      </c>
      <c r="G76" s="163">
        <f>IF(COUNTIFS(G7:G73,"&lt;&gt;",C7:C73,"&lt;&gt;ZK",C7:C73,"&lt;&gt;DK")&lt;&gt;0,SUMIFS(G7:G73,C7:C73,"&lt;&gt;ZK",C7:C73,"&lt;&gt;DK")/(COUNTIFS(G7:G73,"&lt;&gt;",C7:C73,"&lt;&gt;ZK",C7:C73,"&lt;&gt;DK")*G6),0)</f>
        <v>0.6811594202898551</v>
      </c>
      <c r="H76" s="163">
        <f>IF(COUNTIFS(H7:H73,"&lt;&gt;",C7:C73,"&lt;&gt;ZK",C7:C73,"&lt;&gt;DK")&lt;&gt;0,SUMIFS(H7:H73,C7:C73,"&lt;&gt;ZK",C7:C73,"&lt;&gt;DK")/(COUNTIFS(H7:H73,"&lt;&gt;",C7:C73,"&lt;&gt;ZK",C7:C73,"&lt;&gt;DK")*H6),0)</f>
        <v>0.76811594202898548</v>
      </c>
      <c r="I76" s="163">
        <f>IF(COUNTIFS(I7:I73,"&lt;&gt;",C7:C73,"&lt;&gt;ZK",C7:C73,"&lt;&gt;DK")&lt;&gt;0,SUMIFS(I7:I73,C7:C73,"&lt;&gt;ZK",C7:C73,"&lt;&gt;DK")/(COUNTIFS(I7:I73,"&lt;&gt;",C7:C73,"&lt;&gt;ZK",C7:C73,"&lt;&gt;DK")*I6),0)</f>
        <v>0.72826086956521741</v>
      </c>
      <c r="J76" s="164"/>
    </row>
    <row r="77" spans="2:10" ht="18" customHeight="1" x14ac:dyDescent="0.25"/>
    <row r="78" spans="2:10" ht="18" customHeight="1" x14ac:dyDescent="0.25"/>
    <row r="79" spans="2:10" ht="18" customHeight="1" x14ac:dyDescent="0.25"/>
    <row r="80" spans="2:1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6">
    <dataValidation type="decimal" allowBlank="1" showErrorMessage="1" sqref="D7:D75" xr:uid="{5174494A-90AC-4652-B541-2EC8F031BF84}">
      <formula1>0</formula1>
      <formula2>$D$6</formula2>
    </dataValidation>
    <dataValidation type="decimal" allowBlank="1" showErrorMessage="1" sqref="E7:E75" xr:uid="{3CA133C0-3C7A-424E-B5C9-ADCFB6DC5928}">
      <formula1>0</formula1>
      <formula2>$E$6</formula2>
    </dataValidation>
    <dataValidation type="decimal" allowBlank="1" showErrorMessage="1" sqref="F7:F75" xr:uid="{D12911EA-6AF5-46DE-AC8E-5FE146661231}">
      <formula1>0</formula1>
      <formula2>$F$6</formula2>
    </dataValidation>
    <dataValidation type="decimal" allowBlank="1" showErrorMessage="1" sqref="G7:G75" xr:uid="{365F6785-A5F6-44D7-A709-6D2B0917B5A3}">
      <formula1>0</formula1>
      <formula2>$G$6</formula2>
    </dataValidation>
    <dataValidation type="decimal" allowBlank="1" showErrorMessage="1" sqref="H7:H75" xr:uid="{BEFFC779-91B5-4ACE-A7EC-A74B03336A2D}">
      <formula1>0</formula1>
      <formula2>$H$6</formula2>
    </dataValidation>
    <dataValidation type="decimal" allowBlank="1" showErrorMessage="1" sqref="I7:I75" xr:uid="{19477E3B-A8E7-40D4-881A-48DC87B4A46F}">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836A0-9E69-4157-9EEE-FB69460E6F26}">
  <sheetPr codeName="Tabelle136">
    <tabColor rgb="FF92D050"/>
  </sheetPr>
  <dimension ref="B1:N146"/>
  <sheetViews>
    <sheetView workbookViewId="0">
      <selection activeCell="D8" sqref="D8"/>
    </sheetView>
  </sheetViews>
  <sheetFormatPr baseColWidth="10" defaultRowHeight="13.2" x14ac:dyDescent="0.25"/>
  <cols>
    <col min="1" max="2" width="3.44140625" style="142" customWidth="1"/>
    <col min="3" max="3" width="25.77734375" style="142" customWidth="1"/>
    <col min="4" max="14" width="8.77734375" style="142" customWidth="1"/>
    <col min="15" max="16384" width="11.5546875" style="142"/>
  </cols>
  <sheetData>
    <row r="1" spans="2:14" ht="18" customHeight="1" thickBot="1" x14ac:dyDescent="0.3"/>
    <row r="2" spans="2:14" ht="18" customHeight="1" x14ac:dyDescent="0.25">
      <c r="B2" s="143" t="str">
        <f>Config!F2&amp;" "&amp;YEAR(Config!G24)</f>
        <v>Mathe Abitur 2026</v>
      </c>
      <c r="C2" s="144"/>
      <c r="D2" s="144"/>
      <c r="E2" s="144"/>
      <c r="F2" s="144"/>
      <c r="G2" s="144"/>
      <c r="H2" s="144"/>
      <c r="I2" s="145"/>
      <c r="J2" s="145"/>
      <c r="K2" s="145"/>
      <c r="L2" s="145"/>
      <c r="M2" s="145"/>
      <c r="N2" s="146" t="str">
        <f>"Kurs "&amp;Config!G26</f>
        <v>Kurs K1</v>
      </c>
    </row>
    <row r="3" spans="2:14" ht="18" customHeight="1" x14ac:dyDescent="0.25">
      <c r="B3" s="147" t="s">
        <v>10</v>
      </c>
      <c r="C3" s="148"/>
      <c r="D3" s="148"/>
      <c r="E3" s="148"/>
      <c r="F3" s="148"/>
      <c r="G3" s="148"/>
      <c r="H3" s="148"/>
      <c r="I3" s="148"/>
      <c r="J3" s="148"/>
      <c r="K3" s="148"/>
      <c r="L3" s="148"/>
      <c r="M3" s="148"/>
      <c r="N3" s="149"/>
    </row>
    <row r="4" spans="2:14" ht="18" customHeight="1" thickBot="1" x14ac:dyDescent="0.3">
      <c r="B4" s="147"/>
      <c r="C4" s="148"/>
      <c r="D4" s="150"/>
      <c r="E4" s="150"/>
      <c r="F4" s="150"/>
      <c r="G4" s="150"/>
      <c r="H4" s="150"/>
      <c r="I4" s="150"/>
      <c r="J4" s="150"/>
      <c r="K4" s="150"/>
      <c r="L4" s="150"/>
      <c r="M4" s="150"/>
      <c r="N4" s="151"/>
    </row>
    <row r="5" spans="2:14" ht="18" customHeight="1" thickBot="1" x14ac:dyDescent="0.3">
      <c r="B5" s="152"/>
      <c r="C5" s="154"/>
      <c r="D5" s="173" t="str">
        <f>Config!H6</f>
        <v>1a</v>
      </c>
      <c r="E5" s="173" t="str">
        <f>Config!H7</f>
        <v>1b</v>
      </c>
      <c r="F5" s="173" t="str">
        <f>Config!H8</f>
        <v>1c</v>
      </c>
      <c r="G5" s="173" t="str">
        <f>Config!H9</f>
        <v>1d</v>
      </c>
      <c r="H5" s="173" t="str">
        <f>Config!H10</f>
        <v>1e</v>
      </c>
      <c r="I5" s="173" t="str">
        <f>Config!H11</f>
        <v>1f</v>
      </c>
      <c r="J5" s="173" t="str">
        <f>Config!H12</f>
        <v>1g</v>
      </c>
      <c r="K5" s="173" t="str">
        <f>Config!H13</f>
        <v>1h</v>
      </c>
      <c r="L5" s="173" t="str">
        <f>Config!H14</f>
        <v>2a</v>
      </c>
      <c r="M5" s="173" t="str">
        <f>Config!H15</f>
        <v>2b</v>
      </c>
      <c r="N5" s="158" t="s">
        <v>82</v>
      </c>
    </row>
    <row r="6" spans="2:14" ht="18" customHeight="1" thickBot="1" x14ac:dyDescent="0.3">
      <c r="B6" s="153"/>
      <c r="C6" s="155" t="s">
        <v>81</v>
      </c>
      <c r="D6" s="157">
        <f>Config!I6</f>
        <v>2</v>
      </c>
      <c r="E6" s="157">
        <f>Config!I7</f>
        <v>3</v>
      </c>
      <c r="F6" s="157">
        <f>Config!I8</f>
        <v>4</v>
      </c>
      <c r="G6" s="157">
        <f>Config!I9</f>
        <v>3</v>
      </c>
      <c r="H6" s="157">
        <f>Config!I10</f>
        <v>3</v>
      </c>
      <c r="I6" s="157">
        <f>Config!I11</f>
        <v>4</v>
      </c>
      <c r="J6" s="157">
        <f>Config!I12</f>
        <v>3</v>
      </c>
      <c r="K6" s="157">
        <f>Config!I13</f>
        <v>4</v>
      </c>
      <c r="L6" s="157">
        <f>Config!I14</f>
        <v>2</v>
      </c>
      <c r="M6" s="157">
        <f>Config!I15</f>
        <v>2</v>
      </c>
      <c r="N6" s="174">
        <f>Config!I21</f>
        <v>30</v>
      </c>
    </row>
    <row r="7" spans="2:14" ht="18" customHeight="1" x14ac:dyDescent="0.25">
      <c r="B7" s="203">
        <v>1</v>
      </c>
      <c r="C7" s="204" t="str">
        <f>Config!C5&amp;", "&amp;Config!D5</f>
        <v>Höfer, Simon</v>
      </c>
      <c r="D7" s="109">
        <v>1.5</v>
      </c>
      <c r="E7" s="109">
        <v>3</v>
      </c>
      <c r="F7" s="109">
        <v>3</v>
      </c>
      <c r="G7" s="109">
        <v>3</v>
      </c>
      <c r="H7" s="109">
        <v>3</v>
      </c>
      <c r="I7" s="109">
        <v>4</v>
      </c>
      <c r="J7" s="109">
        <v>3</v>
      </c>
      <c r="K7" s="109">
        <v>0</v>
      </c>
      <c r="L7" s="109">
        <v>2</v>
      </c>
      <c r="M7" s="110">
        <v>0</v>
      </c>
      <c r="N7" s="200">
        <f t="shared" ref="N7:N38" si="0">SUM(D7:M7)</f>
        <v>22.5</v>
      </c>
    </row>
    <row r="8" spans="2:14" s="115" customFormat="1" ht="13.2" customHeight="1" x14ac:dyDescent="0.2">
      <c r="B8" s="118"/>
      <c r="C8" s="122" t="s">
        <v>126</v>
      </c>
      <c r="D8" s="101"/>
      <c r="E8" s="101"/>
      <c r="F8" s="101"/>
      <c r="G8" s="101"/>
      <c r="H8" s="101"/>
      <c r="I8" s="101"/>
      <c r="J8" s="101"/>
      <c r="K8" s="101"/>
      <c r="L8" s="101"/>
      <c r="M8" s="104"/>
      <c r="N8" s="117">
        <f t="shared" si="0"/>
        <v>0</v>
      </c>
    </row>
    <row r="9" spans="2:14" s="115" customFormat="1" ht="13.2" customHeight="1" x14ac:dyDescent="0.2">
      <c r="B9" s="138"/>
      <c r="C9" s="139" t="s">
        <v>127</v>
      </c>
      <c r="D9" s="99"/>
      <c r="E9" s="99"/>
      <c r="F9" s="99"/>
      <c r="G9" s="99"/>
      <c r="H9" s="99"/>
      <c r="I9" s="99"/>
      <c r="J9" s="99"/>
      <c r="K9" s="99"/>
      <c r="L9" s="99"/>
      <c r="M9" s="100"/>
      <c r="N9" s="116">
        <f t="shared" si="0"/>
        <v>0</v>
      </c>
    </row>
    <row r="10" spans="2:14" ht="18" customHeight="1" x14ac:dyDescent="0.25">
      <c r="B10" s="201">
        <v>2</v>
      </c>
      <c r="C10" s="202" t="str">
        <f>Config!C6&amp;", "&amp;Config!D6</f>
        <v>Töpfer, Lilian</v>
      </c>
      <c r="D10" s="111">
        <v>0.5</v>
      </c>
      <c r="E10" s="111">
        <v>2.5</v>
      </c>
      <c r="F10" s="111">
        <v>3</v>
      </c>
      <c r="G10" s="111">
        <v>3</v>
      </c>
      <c r="H10" s="111">
        <v>3</v>
      </c>
      <c r="I10" s="111">
        <v>4</v>
      </c>
      <c r="J10" s="111">
        <v>0</v>
      </c>
      <c r="K10" s="111">
        <v>0</v>
      </c>
      <c r="L10" s="111">
        <v>1.5</v>
      </c>
      <c r="M10" s="112">
        <v>0</v>
      </c>
      <c r="N10" s="206">
        <f t="shared" si="0"/>
        <v>17.5</v>
      </c>
    </row>
    <row r="11" spans="2:14" s="115" customFormat="1" ht="13.2" customHeight="1" x14ac:dyDescent="0.2">
      <c r="B11" s="121"/>
      <c r="C11" s="123" t="s">
        <v>126</v>
      </c>
      <c r="D11" s="106"/>
      <c r="E11" s="106"/>
      <c r="F11" s="106"/>
      <c r="G11" s="106"/>
      <c r="H11" s="106"/>
      <c r="I11" s="106"/>
      <c r="J11" s="106"/>
      <c r="K11" s="106"/>
      <c r="L11" s="106"/>
      <c r="M11" s="108"/>
      <c r="N11" s="120">
        <f t="shared" si="0"/>
        <v>0</v>
      </c>
    </row>
    <row r="12" spans="2:14" s="115" customFormat="1" ht="13.2" customHeight="1" x14ac:dyDescent="0.2">
      <c r="B12" s="140"/>
      <c r="C12" s="141" t="s">
        <v>127</v>
      </c>
      <c r="D12" s="99"/>
      <c r="E12" s="99"/>
      <c r="F12" s="99"/>
      <c r="G12" s="99"/>
      <c r="H12" s="99"/>
      <c r="I12" s="99"/>
      <c r="J12" s="99"/>
      <c r="K12" s="99"/>
      <c r="L12" s="99"/>
      <c r="M12" s="100"/>
      <c r="N12" s="119">
        <f t="shared" si="0"/>
        <v>0</v>
      </c>
    </row>
    <row r="13" spans="2:14" ht="18" customHeight="1" x14ac:dyDescent="0.25">
      <c r="B13" s="198">
        <v>3</v>
      </c>
      <c r="C13" s="199" t="str">
        <f>Config!C7&amp;", "&amp;Config!D7</f>
        <v>Fleischmann, Leonie</v>
      </c>
      <c r="D13" s="113">
        <v>1</v>
      </c>
      <c r="E13" s="113">
        <v>2</v>
      </c>
      <c r="F13" s="113">
        <v>0</v>
      </c>
      <c r="G13" s="113">
        <v>1</v>
      </c>
      <c r="H13" s="113">
        <v>3</v>
      </c>
      <c r="I13" s="113">
        <v>2.5</v>
      </c>
      <c r="J13" s="113">
        <v>0</v>
      </c>
      <c r="K13" s="113">
        <v>0</v>
      </c>
      <c r="L13" s="113">
        <v>0</v>
      </c>
      <c r="M13" s="114">
        <v>2</v>
      </c>
      <c r="N13" s="205">
        <f t="shared" si="0"/>
        <v>11.5</v>
      </c>
    </row>
    <row r="14" spans="2:14" s="115" customFormat="1" ht="13.2" customHeight="1" x14ac:dyDescent="0.2">
      <c r="B14" s="118"/>
      <c r="C14" s="122" t="s">
        <v>126</v>
      </c>
      <c r="D14" s="101"/>
      <c r="E14" s="101"/>
      <c r="F14" s="101"/>
      <c r="G14" s="101"/>
      <c r="H14" s="101"/>
      <c r="I14" s="101"/>
      <c r="J14" s="101"/>
      <c r="K14" s="101"/>
      <c r="L14" s="101"/>
      <c r="M14" s="104"/>
      <c r="N14" s="117">
        <f t="shared" si="0"/>
        <v>0</v>
      </c>
    </row>
    <row r="15" spans="2:14" s="115" customFormat="1" ht="13.2" customHeight="1" x14ac:dyDescent="0.2">
      <c r="B15" s="138"/>
      <c r="C15" s="139" t="s">
        <v>127</v>
      </c>
      <c r="D15" s="99"/>
      <c r="E15" s="99"/>
      <c r="F15" s="99"/>
      <c r="G15" s="99"/>
      <c r="H15" s="99"/>
      <c r="I15" s="99"/>
      <c r="J15" s="99"/>
      <c r="K15" s="99"/>
      <c r="L15" s="99"/>
      <c r="M15" s="100"/>
      <c r="N15" s="116">
        <f t="shared" si="0"/>
        <v>0</v>
      </c>
    </row>
    <row r="16" spans="2:14" ht="18" customHeight="1" x14ac:dyDescent="0.25">
      <c r="B16" s="201">
        <v>4</v>
      </c>
      <c r="C16" s="202" t="str">
        <f>Config!C8&amp;", "&amp;Config!D8</f>
        <v>Drescher, Cedric</v>
      </c>
      <c r="D16" s="111">
        <v>1</v>
      </c>
      <c r="E16" s="111">
        <v>3</v>
      </c>
      <c r="F16" s="111">
        <v>3</v>
      </c>
      <c r="G16" s="111">
        <v>3</v>
      </c>
      <c r="H16" s="111">
        <v>3</v>
      </c>
      <c r="I16" s="111">
        <v>4</v>
      </c>
      <c r="J16" s="111">
        <v>1.5</v>
      </c>
      <c r="K16" s="111">
        <v>0</v>
      </c>
      <c r="L16" s="111">
        <v>1.5</v>
      </c>
      <c r="M16" s="112">
        <v>3</v>
      </c>
      <c r="N16" s="206">
        <f t="shared" si="0"/>
        <v>23</v>
      </c>
    </row>
    <row r="17" spans="2:14" s="115" customFormat="1" ht="13.2" customHeight="1" x14ac:dyDescent="0.2">
      <c r="B17" s="121"/>
      <c r="C17" s="123" t="s">
        <v>126</v>
      </c>
      <c r="D17" s="106"/>
      <c r="E17" s="106"/>
      <c r="F17" s="106"/>
      <c r="G17" s="106"/>
      <c r="H17" s="106"/>
      <c r="I17" s="106"/>
      <c r="J17" s="106"/>
      <c r="K17" s="106"/>
      <c r="L17" s="106"/>
      <c r="M17" s="108"/>
      <c r="N17" s="120">
        <f t="shared" si="0"/>
        <v>0</v>
      </c>
    </row>
    <row r="18" spans="2:14" s="115" customFormat="1" ht="13.2" customHeight="1" x14ac:dyDescent="0.2">
      <c r="B18" s="140"/>
      <c r="C18" s="141" t="s">
        <v>127</v>
      </c>
      <c r="D18" s="99"/>
      <c r="E18" s="99"/>
      <c r="F18" s="99"/>
      <c r="G18" s="99"/>
      <c r="H18" s="99"/>
      <c r="I18" s="99"/>
      <c r="J18" s="99"/>
      <c r="K18" s="99"/>
      <c r="L18" s="99"/>
      <c r="M18" s="100"/>
      <c r="N18" s="119">
        <f t="shared" si="0"/>
        <v>0</v>
      </c>
    </row>
    <row r="19" spans="2:14" ht="18" customHeight="1" x14ac:dyDescent="0.25">
      <c r="B19" s="198">
        <v>5</v>
      </c>
      <c r="C19" s="199" t="str">
        <f>Config!C9&amp;", "&amp;Config!D9</f>
        <v>Baumgarten, Annabell</v>
      </c>
      <c r="D19" s="113">
        <v>2</v>
      </c>
      <c r="E19" s="113">
        <v>2</v>
      </c>
      <c r="F19" s="113">
        <v>3.5</v>
      </c>
      <c r="G19" s="113">
        <v>2.5</v>
      </c>
      <c r="H19" s="113">
        <v>2</v>
      </c>
      <c r="I19" s="113">
        <v>1</v>
      </c>
      <c r="J19" s="113">
        <v>0.5</v>
      </c>
      <c r="K19" s="113">
        <v>2.5</v>
      </c>
      <c r="L19" s="113">
        <v>2</v>
      </c>
      <c r="M19" s="114">
        <v>3.5</v>
      </c>
      <c r="N19" s="205">
        <f t="shared" si="0"/>
        <v>21.5</v>
      </c>
    </row>
    <row r="20" spans="2:14" s="115" customFormat="1" ht="13.2" customHeight="1" x14ac:dyDescent="0.2">
      <c r="B20" s="118"/>
      <c r="C20" s="122" t="s">
        <v>126</v>
      </c>
      <c r="D20" s="101"/>
      <c r="E20" s="101"/>
      <c r="F20" s="101"/>
      <c r="G20" s="101"/>
      <c r="H20" s="101"/>
      <c r="I20" s="101"/>
      <c r="J20" s="101"/>
      <c r="K20" s="101"/>
      <c r="L20" s="101"/>
      <c r="M20" s="104"/>
      <c r="N20" s="117">
        <f t="shared" si="0"/>
        <v>0</v>
      </c>
    </row>
    <row r="21" spans="2:14" s="115" customFormat="1" ht="13.2" customHeight="1" x14ac:dyDescent="0.2">
      <c r="B21" s="138"/>
      <c r="C21" s="139" t="s">
        <v>127</v>
      </c>
      <c r="D21" s="99"/>
      <c r="E21" s="99"/>
      <c r="F21" s="99"/>
      <c r="G21" s="99"/>
      <c r="H21" s="99"/>
      <c r="I21" s="99"/>
      <c r="J21" s="99"/>
      <c r="K21" s="99"/>
      <c r="L21" s="99"/>
      <c r="M21" s="100"/>
      <c r="N21" s="116">
        <f t="shared" si="0"/>
        <v>0</v>
      </c>
    </row>
    <row r="22" spans="2:14" ht="18" customHeight="1" x14ac:dyDescent="0.25">
      <c r="B22" s="201">
        <v>6</v>
      </c>
      <c r="C22" s="202" t="str">
        <f>Config!C10&amp;", "&amp;Config!D10</f>
        <v>Traut, Stefanie</v>
      </c>
      <c r="D22" s="111">
        <v>2</v>
      </c>
      <c r="E22" s="111">
        <v>3</v>
      </c>
      <c r="F22" s="111">
        <v>4</v>
      </c>
      <c r="G22" s="111">
        <v>3</v>
      </c>
      <c r="H22" s="111">
        <v>3</v>
      </c>
      <c r="I22" s="111">
        <v>4</v>
      </c>
      <c r="J22" s="111">
        <v>3</v>
      </c>
      <c r="K22" s="111">
        <v>4</v>
      </c>
      <c r="L22" s="111">
        <v>2</v>
      </c>
      <c r="M22" s="112">
        <v>5</v>
      </c>
      <c r="N22" s="206">
        <f t="shared" si="0"/>
        <v>33</v>
      </c>
    </row>
    <row r="23" spans="2:14" s="115" customFormat="1" ht="13.2" customHeight="1" x14ac:dyDescent="0.2">
      <c r="B23" s="121"/>
      <c r="C23" s="123" t="s">
        <v>126</v>
      </c>
      <c r="D23" s="106"/>
      <c r="E23" s="106"/>
      <c r="F23" s="106"/>
      <c r="G23" s="106"/>
      <c r="H23" s="106"/>
      <c r="I23" s="106"/>
      <c r="J23" s="106"/>
      <c r="K23" s="106"/>
      <c r="L23" s="106"/>
      <c r="M23" s="108"/>
      <c r="N23" s="120">
        <f t="shared" si="0"/>
        <v>0</v>
      </c>
    </row>
    <row r="24" spans="2:14" s="115" customFormat="1" ht="13.2" customHeight="1" x14ac:dyDescent="0.2">
      <c r="B24" s="140"/>
      <c r="C24" s="141" t="s">
        <v>127</v>
      </c>
      <c r="D24" s="99"/>
      <c r="E24" s="99"/>
      <c r="F24" s="99"/>
      <c r="G24" s="99"/>
      <c r="H24" s="99"/>
      <c r="I24" s="99"/>
      <c r="J24" s="99"/>
      <c r="K24" s="99"/>
      <c r="L24" s="99"/>
      <c r="M24" s="100"/>
      <c r="N24" s="119">
        <f t="shared" si="0"/>
        <v>0</v>
      </c>
    </row>
    <row r="25" spans="2:14" ht="18" customHeight="1" x14ac:dyDescent="0.25">
      <c r="B25" s="198">
        <v>7</v>
      </c>
      <c r="C25" s="199" t="str">
        <f>Config!C11&amp;", "&amp;Config!D11</f>
        <v>Menke, Damian</v>
      </c>
      <c r="D25" s="113">
        <v>1.5</v>
      </c>
      <c r="E25" s="113">
        <v>2.5</v>
      </c>
      <c r="F25" s="113">
        <v>4</v>
      </c>
      <c r="G25" s="113">
        <v>2</v>
      </c>
      <c r="H25" s="113">
        <v>2</v>
      </c>
      <c r="I25" s="113">
        <v>2.5</v>
      </c>
      <c r="J25" s="113">
        <v>0.5</v>
      </c>
      <c r="K25" s="113">
        <v>3</v>
      </c>
      <c r="L25" s="113">
        <v>1</v>
      </c>
      <c r="M25" s="114">
        <v>3.5</v>
      </c>
      <c r="N25" s="205">
        <f t="shared" si="0"/>
        <v>22.5</v>
      </c>
    </row>
    <row r="26" spans="2:14" s="115" customFormat="1" ht="13.2" customHeight="1" x14ac:dyDescent="0.2">
      <c r="B26" s="118"/>
      <c r="C26" s="122" t="s">
        <v>126</v>
      </c>
      <c r="D26" s="101"/>
      <c r="E26" s="101"/>
      <c r="F26" s="101"/>
      <c r="G26" s="101"/>
      <c r="H26" s="101"/>
      <c r="I26" s="101"/>
      <c r="J26" s="101"/>
      <c r="K26" s="101"/>
      <c r="L26" s="101"/>
      <c r="M26" s="104"/>
      <c r="N26" s="117">
        <f t="shared" si="0"/>
        <v>0</v>
      </c>
    </row>
    <row r="27" spans="2:14" s="115" customFormat="1" ht="13.2" customHeight="1" x14ac:dyDescent="0.2">
      <c r="B27" s="138"/>
      <c r="C27" s="139" t="s">
        <v>127</v>
      </c>
      <c r="D27" s="99"/>
      <c r="E27" s="99"/>
      <c r="F27" s="99"/>
      <c r="G27" s="99"/>
      <c r="H27" s="99"/>
      <c r="I27" s="99"/>
      <c r="J27" s="99"/>
      <c r="K27" s="99"/>
      <c r="L27" s="99"/>
      <c r="M27" s="100"/>
      <c r="N27" s="116">
        <f t="shared" si="0"/>
        <v>0</v>
      </c>
    </row>
    <row r="28" spans="2:14" ht="18" customHeight="1" x14ac:dyDescent="0.25">
      <c r="B28" s="201">
        <v>8</v>
      </c>
      <c r="C28" s="202" t="str">
        <f>Config!C12&amp;", "&amp;Config!D12</f>
        <v>Carroll, Meik</v>
      </c>
      <c r="D28" s="111">
        <v>1.5</v>
      </c>
      <c r="E28" s="111">
        <v>1</v>
      </c>
      <c r="F28" s="111">
        <v>2.5</v>
      </c>
      <c r="G28" s="111">
        <v>3</v>
      </c>
      <c r="H28" s="111">
        <v>3</v>
      </c>
      <c r="I28" s="111">
        <v>3.5</v>
      </c>
      <c r="J28" s="111">
        <v>0</v>
      </c>
      <c r="K28" s="111">
        <v>0</v>
      </c>
      <c r="L28" s="111">
        <v>2</v>
      </c>
      <c r="M28" s="112">
        <v>0</v>
      </c>
      <c r="N28" s="206">
        <f t="shared" si="0"/>
        <v>16.5</v>
      </c>
    </row>
    <row r="29" spans="2:14" s="115" customFormat="1" ht="13.2" customHeight="1" x14ac:dyDescent="0.2">
      <c r="B29" s="121"/>
      <c r="C29" s="123" t="s">
        <v>126</v>
      </c>
      <c r="D29" s="106"/>
      <c r="E29" s="106"/>
      <c r="F29" s="106"/>
      <c r="G29" s="106"/>
      <c r="H29" s="106"/>
      <c r="I29" s="106"/>
      <c r="J29" s="106"/>
      <c r="K29" s="106"/>
      <c r="L29" s="106"/>
      <c r="M29" s="108"/>
      <c r="N29" s="120">
        <f t="shared" si="0"/>
        <v>0</v>
      </c>
    </row>
    <row r="30" spans="2:14" s="115" customFormat="1" ht="13.2" customHeight="1" x14ac:dyDescent="0.2">
      <c r="B30" s="140"/>
      <c r="C30" s="141" t="s">
        <v>127</v>
      </c>
      <c r="D30" s="99"/>
      <c r="E30" s="99"/>
      <c r="F30" s="99"/>
      <c r="G30" s="99"/>
      <c r="H30" s="99"/>
      <c r="I30" s="99"/>
      <c r="J30" s="99"/>
      <c r="K30" s="99"/>
      <c r="L30" s="99"/>
      <c r="M30" s="100"/>
      <c r="N30" s="119">
        <f t="shared" si="0"/>
        <v>0</v>
      </c>
    </row>
    <row r="31" spans="2:14" ht="18" customHeight="1" x14ac:dyDescent="0.25">
      <c r="B31" s="198">
        <v>9</v>
      </c>
      <c r="C31" s="199" t="str">
        <f>Config!C13&amp;", "&amp;Config!D13</f>
        <v>Hennings, Tomas</v>
      </c>
      <c r="D31" s="113">
        <v>1.5</v>
      </c>
      <c r="E31" s="113">
        <v>3</v>
      </c>
      <c r="F31" s="113">
        <v>4</v>
      </c>
      <c r="G31" s="113">
        <v>3</v>
      </c>
      <c r="H31" s="113">
        <v>2</v>
      </c>
      <c r="I31" s="113">
        <v>1</v>
      </c>
      <c r="J31" s="113">
        <v>0</v>
      </c>
      <c r="K31" s="113">
        <v>0</v>
      </c>
      <c r="L31" s="113">
        <v>0</v>
      </c>
      <c r="M31" s="114">
        <v>0</v>
      </c>
      <c r="N31" s="205">
        <f t="shared" si="0"/>
        <v>14.5</v>
      </c>
    </row>
    <row r="32" spans="2:14" s="115" customFormat="1" ht="13.2" customHeight="1" x14ac:dyDescent="0.2">
      <c r="B32" s="118"/>
      <c r="C32" s="122" t="s">
        <v>126</v>
      </c>
      <c r="D32" s="101"/>
      <c r="E32" s="101"/>
      <c r="F32" s="101"/>
      <c r="G32" s="101"/>
      <c r="H32" s="101"/>
      <c r="I32" s="101"/>
      <c r="J32" s="101"/>
      <c r="K32" s="101"/>
      <c r="L32" s="101"/>
      <c r="M32" s="104"/>
      <c r="N32" s="117">
        <f t="shared" si="0"/>
        <v>0</v>
      </c>
    </row>
    <row r="33" spans="2:14" s="115" customFormat="1" ht="13.2" customHeight="1" x14ac:dyDescent="0.2">
      <c r="B33" s="138"/>
      <c r="C33" s="139" t="s">
        <v>127</v>
      </c>
      <c r="D33" s="99"/>
      <c r="E33" s="99"/>
      <c r="F33" s="99"/>
      <c r="G33" s="99"/>
      <c r="H33" s="99"/>
      <c r="I33" s="99"/>
      <c r="J33" s="99"/>
      <c r="K33" s="99"/>
      <c r="L33" s="99"/>
      <c r="M33" s="100"/>
      <c r="N33" s="116">
        <f t="shared" si="0"/>
        <v>0</v>
      </c>
    </row>
    <row r="34" spans="2:14" ht="18" customHeight="1" x14ac:dyDescent="0.25">
      <c r="B34" s="201">
        <v>10</v>
      </c>
      <c r="C34" s="202" t="str">
        <f>Config!C14&amp;", "&amp;Config!D14</f>
        <v>Walters, Linn</v>
      </c>
      <c r="D34" s="111">
        <v>0</v>
      </c>
      <c r="E34" s="111">
        <v>1.5</v>
      </c>
      <c r="F34" s="111">
        <v>2.5</v>
      </c>
      <c r="G34" s="111">
        <v>0</v>
      </c>
      <c r="H34" s="111">
        <v>1</v>
      </c>
      <c r="I34" s="111">
        <v>1</v>
      </c>
      <c r="J34" s="111">
        <v>0</v>
      </c>
      <c r="K34" s="111">
        <v>0</v>
      </c>
      <c r="L34" s="111">
        <v>1</v>
      </c>
      <c r="M34" s="112">
        <v>0</v>
      </c>
      <c r="N34" s="206">
        <f t="shared" si="0"/>
        <v>7</v>
      </c>
    </row>
    <row r="35" spans="2:14" s="115" customFormat="1" ht="13.2" customHeight="1" x14ac:dyDescent="0.2">
      <c r="B35" s="121"/>
      <c r="C35" s="123" t="s">
        <v>126</v>
      </c>
      <c r="D35" s="106"/>
      <c r="E35" s="106"/>
      <c r="F35" s="106"/>
      <c r="G35" s="106"/>
      <c r="H35" s="106"/>
      <c r="I35" s="106"/>
      <c r="J35" s="106"/>
      <c r="K35" s="106"/>
      <c r="L35" s="106"/>
      <c r="M35" s="108"/>
      <c r="N35" s="120">
        <f t="shared" si="0"/>
        <v>0</v>
      </c>
    </row>
    <row r="36" spans="2:14" s="115" customFormat="1" ht="13.2" customHeight="1" x14ac:dyDescent="0.2">
      <c r="B36" s="140"/>
      <c r="C36" s="141" t="s">
        <v>127</v>
      </c>
      <c r="D36" s="99"/>
      <c r="E36" s="99"/>
      <c r="F36" s="99"/>
      <c r="G36" s="99"/>
      <c r="H36" s="99"/>
      <c r="I36" s="99"/>
      <c r="J36" s="99"/>
      <c r="K36" s="99"/>
      <c r="L36" s="99"/>
      <c r="M36" s="100"/>
      <c r="N36" s="119">
        <f t="shared" si="0"/>
        <v>0</v>
      </c>
    </row>
    <row r="37" spans="2:14" ht="18" customHeight="1" x14ac:dyDescent="0.25">
      <c r="B37" s="198">
        <v>11</v>
      </c>
      <c r="C37" s="199" t="str">
        <f>Config!C15&amp;", "&amp;Config!D15</f>
        <v>Junker, Amely</v>
      </c>
      <c r="D37" s="113">
        <v>1</v>
      </c>
      <c r="E37" s="113">
        <v>1.5</v>
      </c>
      <c r="F37" s="113">
        <v>4</v>
      </c>
      <c r="G37" s="113">
        <v>1.5</v>
      </c>
      <c r="H37" s="113">
        <v>2</v>
      </c>
      <c r="I37" s="113">
        <v>3.5</v>
      </c>
      <c r="J37" s="113">
        <v>0</v>
      </c>
      <c r="K37" s="113">
        <v>0</v>
      </c>
      <c r="L37" s="113">
        <v>0</v>
      </c>
      <c r="M37" s="114">
        <v>0</v>
      </c>
      <c r="N37" s="205">
        <f t="shared" si="0"/>
        <v>13.5</v>
      </c>
    </row>
    <row r="38" spans="2:14" s="115" customFormat="1" ht="13.2" customHeight="1" x14ac:dyDescent="0.2">
      <c r="B38" s="118"/>
      <c r="C38" s="122" t="s">
        <v>126</v>
      </c>
      <c r="D38" s="101"/>
      <c r="E38" s="101"/>
      <c r="F38" s="101"/>
      <c r="G38" s="101"/>
      <c r="H38" s="101"/>
      <c r="I38" s="101"/>
      <c r="J38" s="101"/>
      <c r="K38" s="101"/>
      <c r="L38" s="101"/>
      <c r="M38" s="104"/>
      <c r="N38" s="117">
        <f t="shared" si="0"/>
        <v>0</v>
      </c>
    </row>
    <row r="39" spans="2:14" s="115" customFormat="1" ht="13.2" customHeight="1" x14ac:dyDescent="0.2">
      <c r="B39" s="138"/>
      <c r="C39" s="139" t="s">
        <v>127</v>
      </c>
      <c r="D39" s="99"/>
      <c r="E39" s="99"/>
      <c r="F39" s="99"/>
      <c r="G39" s="99"/>
      <c r="H39" s="99"/>
      <c r="I39" s="99"/>
      <c r="J39" s="99"/>
      <c r="K39" s="99"/>
      <c r="L39" s="99"/>
      <c r="M39" s="100"/>
      <c r="N39" s="116">
        <f t="shared" ref="N39:N70" si="1">SUM(D39:M39)</f>
        <v>0</v>
      </c>
    </row>
    <row r="40" spans="2:14" ht="18" customHeight="1" x14ac:dyDescent="0.25">
      <c r="B40" s="201">
        <v>12</v>
      </c>
      <c r="C40" s="202" t="str">
        <f>Config!C16&amp;", "&amp;Config!D16</f>
        <v>Stephens, Melvin</v>
      </c>
      <c r="D40" s="111">
        <v>2</v>
      </c>
      <c r="E40" s="111">
        <v>3</v>
      </c>
      <c r="F40" s="111">
        <v>4</v>
      </c>
      <c r="G40" s="111">
        <v>3</v>
      </c>
      <c r="H40" s="111">
        <v>3</v>
      </c>
      <c r="I40" s="111">
        <v>4</v>
      </c>
      <c r="J40" s="111">
        <v>3</v>
      </c>
      <c r="K40" s="111">
        <v>0</v>
      </c>
      <c r="L40" s="111">
        <v>2</v>
      </c>
      <c r="M40" s="112">
        <v>3</v>
      </c>
      <c r="N40" s="206">
        <f t="shared" si="1"/>
        <v>27</v>
      </c>
    </row>
    <row r="41" spans="2:14" s="115" customFormat="1" ht="13.2" customHeight="1" x14ac:dyDescent="0.2">
      <c r="B41" s="121"/>
      <c r="C41" s="123" t="s">
        <v>126</v>
      </c>
      <c r="D41" s="106"/>
      <c r="E41" s="106"/>
      <c r="F41" s="106"/>
      <c r="G41" s="106"/>
      <c r="H41" s="106"/>
      <c r="I41" s="106"/>
      <c r="J41" s="106"/>
      <c r="K41" s="106"/>
      <c r="L41" s="106"/>
      <c r="M41" s="108"/>
      <c r="N41" s="120">
        <f t="shared" si="1"/>
        <v>0</v>
      </c>
    </row>
    <row r="42" spans="2:14" s="115" customFormat="1" ht="13.2" customHeight="1" x14ac:dyDescent="0.2">
      <c r="B42" s="140"/>
      <c r="C42" s="141" t="s">
        <v>127</v>
      </c>
      <c r="D42" s="99"/>
      <c r="E42" s="99"/>
      <c r="F42" s="99"/>
      <c r="G42" s="99"/>
      <c r="H42" s="99"/>
      <c r="I42" s="99"/>
      <c r="J42" s="99"/>
      <c r="K42" s="99"/>
      <c r="L42" s="99"/>
      <c r="M42" s="100"/>
      <c r="N42" s="119">
        <f t="shared" si="1"/>
        <v>0</v>
      </c>
    </row>
    <row r="43" spans="2:14" ht="18" customHeight="1" x14ac:dyDescent="0.25">
      <c r="B43" s="198">
        <v>13</v>
      </c>
      <c r="C43" s="199" t="str">
        <f>Config!C17&amp;", "&amp;Config!D17</f>
        <v>Cremer, Marvin</v>
      </c>
      <c r="D43" s="113">
        <v>0.5</v>
      </c>
      <c r="E43" s="113">
        <v>1.5</v>
      </c>
      <c r="F43" s="113">
        <v>4</v>
      </c>
      <c r="G43" s="113">
        <v>3</v>
      </c>
      <c r="H43" s="113">
        <v>3</v>
      </c>
      <c r="I43" s="113">
        <v>3.5</v>
      </c>
      <c r="J43" s="113">
        <v>0</v>
      </c>
      <c r="K43" s="113">
        <v>0</v>
      </c>
      <c r="L43" s="113">
        <v>2</v>
      </c>
      <c r="M43" s="114">
        <v>4.5</v>
      </c>
      <c r="N43" s="205">
        <f t="shared" si="1"/>
        <v>22</v>
      </c>
    </row>
    <row r="44" spans="2:14" s="115" customFormat="1" ht="13.2" customHeight="1" x14ac:dyDescent="0.2">
      <c r="B44" s="118"/>
      <c r="C44" s="122" t="s">
        <v>126</v>
      </c>
      <c r="D44" s="101"/>
      <c r="E44" s="101"/>
      <c r="F44" s="101"/>
      <c r="G44" s="101"/>
      <c r="H44" s="101"/>
      <c r="I44" s="101"/>
      <c r="J44" s="101"/>
      <c r="K44" s="101"/>
      <c r="L44" s="101"/>
      <c r="M44" s="104"/>
      <c r="N44" s="117">
        <f t="shared" si="1"/>
        <v>0</v>
      </c>
    </row>
    <row r="45" spans="2:14" s="115" customFormat="1" ht="13.2" customHeight="1" x14ac:dyDescent="0.2">
      <c r="B45" s="138"/>
      <c r="C45" s="139" t="s">
        <v>127</v>
      </c>
      <c r="D45" s="99"/>
      <c r="E45" s="99"/>
      <c r="F45" s="99"/>
      <c r="G45" s="99"/>
      <c r="H45" s="99"/>
      <c r="I45" s="99"/>
      <c r="J45" s="99"/>
      <c r="K45" s="99"/>
      <c r="L45" s="99"/>
      <c r="M45" s="100"/>
      <c r="N45" s="116">
        <f t="shared" si="1"/>
        <v>0</v>
      </c>
    </row>
    <row r="46" spans="2:14" ht="18" customHeight="1" x14ac:dyDescent="0.25">
      <c r="B46" s="201">
        <v>14</v>
      </c>
      <c r="C46" s="202" t="str">
        <f>Config!C18&amp;", "&amp;Config!D18</f>
        <v>Nash, Jean</v>
      </c>
      <c r="D46" s="111">
        <v>1.5</v>
      </c>
      <c r="E46" s="111">
        <v>2.5</v>
      </c>
      <c r="F46" s="111">
        <v>3</v>
      </c>
      <c r="G46" s="111">
        <v>2.5</v>
      </c>
      <c r="H46" s="111">
        <v>2</v>
      </c>
      <c r="I46" s="111">
        <v>4</v>
      </c>
      <c r="J46" s="111">
        <v>0</v>
      </c>
      <c r="K46" s="111">
        <v>0</v>
      </c>
      <c r="L46" s="111">
        <v>0</v>
      </c>
      <c r="M46" s="112">
        <v>0</v>
      </c>
      <c r="N46" s="206">
        <f t="shared" si="1"/>
        <v>15.5</v>
      </c>
    </row>
    <row r="47" spans="2:14" s="115" customFormat="1" ht="13.2" customHeight="1" x14ac:dyDescent="0.2">
      <c r="B47" s="121"/>
      <c r="C47" s="123" t="s">
        <v>126</v>
      </c>
      <c r="D47" s="106"/>
      <c r="E47" s="106"/>
      <c r="F47" s="106"/>
      <c r="G47" s="106"/>
      <c r="H47" s="106"/>
      <c r="I47" s="106"/>
      <c r="J47" s="106"/>
      <c r="K47" s="106"/>
      <c r="L47" s="106"/>
      <c r="M47" s="108"/>
      <c r="N47" s="120">
        <f t="shared" si="1"/>
        <v>0</v>
      </c>
    </row>
    <row r="48" spans="2:14" s="115" customFormat="1" ht="13.2" customHeight="1" x14ac:dyDescent="0.2">
      <c r="B48" s="140"/>
      <c r="C48" s="141" t="s">
        <v>127</v>
      </c>
      <c r="D48" s="99"/>
      <c r="E48" s="99"/>
      <c r="F48" s="99"/>
      <c r="G48" s="99"/>
      <c r="H48" s="99"/>
      <c r="I48" s="99"/>
      <c r="J48" s="99"/>
      <c r="K48" s="99"/>
      <c r="L48" s="99"/>
      <c r="M48" s="100"/>
      <c r="N48" s="119">
        <f t="shared" si="1"/>
        <v>0</v>
      </c>
    </row>
    <row r="49" spans="2:14" ht="18" customHeight="1" x14ac:dyDescent="0.25">
      <c r="B49" s="198">
        <v>15</v>
      </c>
      <c r="C49" s="199" t="str">
        <f>Config!C19&amp;", "&amp;Config!D19</f>
        <v>Schön, Leonardo</v>
      </c>
      <c r="D49" s="113">
        <v>1.5</v>
      </c>
      <c r="E49" s="113">
        <v>3</v>
      </c>
      <c r="F49" s="113">
        <v>4</v>
      </c>
      <c r="G49" s="113">
        <v>3</v>
      </c>
      <c r="H49" s="113">
        <v>2.5</v>
      </c>
      <c r="I49" s="113">
        <v>3.5</v>
      </c>
      <c r="J49" s="113">
        <v>0.5</v>
      </c>
      <c r="K49" s="113">
        <v>0</v>
      </c>
      <c r="L49" s="113">
        <v>2</v>
      </c>
      <c r="M49" s="114">
        <v>3.5</v>
      </c>
      <c r="N49" s="205">
        <f t="shared" si="1"/>
        <v>23.5</v>
      </c>
    </row>
    <row r="50" spans="2:14" s="115" customFormat="1" ht="13.2" customHeight="1" x14ac:dyDescent="0.2">
      <c r="B50" s="118"/>
      <c r="C50" s="122" t="s">
        <v>126</v>
      </c>
      <c r="D50" s="101"/>
      <c r="E50" s="101"/>
      <c r="F50" s="101"/>
      <c r="G50" s="101"/>
      <c r="H50" s="101"/>
      <c r="I50" s="101"/>
      <c r="J50" s="101"/>
      <c r="K50" s="101"/>
      <c r="L50" s="101"/>
      <c r="M50" s="104"/>
      <c r="N50" s="117">
        <f t="shared" si="1"/>
        <v>0</v>
      </c>
    </row>
    <row r="51" spans="2:14" s="115" customFormat="1" ht="13.2" customHeight="1" x14ac:dyDescent="0.2">
      <c r="B51" s="138"/>
      <c r="C51" s="139" t="s">
        <v>127</v>
      </c>
      <c r="D51" s="99"/>
      <c r="E51" s="99"/>
      <c r="F51" s="99"/>
      <c r="G51" s="99"/>
      <c r="H51" s="99"/>
      <c r="I51" s="99"/>
      <c r="J51" s="99"/>
      <c r="K51" s="99"/>
      <c r="L51" s="99"/>
      <c r="M51" s="100"/>
      <c r="N51" s="116">
        <f t="shared" si="1"/>
        <v>0</v>
      </c>
    </row>
    <row r="52" spans="2:14" ht="18" customHeight="1" x14ac:dyDescent="0.25">
      <c r="B52" s="201">
        <v>16</v>
      </c>
      <c r="C52" s="202" t="str">
        <f>Config!C20&amp;", "&amp;Config!D20</f>
        <v>Sigl, Nicholas</v>
      </c>
      <c r="D52" s="111">
        <v>1.5</v>
      </c>
      <c r="E52" s="111">
        <v>3</v>
      </c>
      <c r="F52" s="111">
        <v>4</v>
      </c>
      <c r="G52" s="111">
        <v>3</v>
      </c>
      <c r="H52" s="111">
        <v>3</v>
      </c>
      <c r="I52" s="111">
        <v>4</v>
      </c>
      <c r="J52" s="111">
        <v>0</v>
      </c>
      <c r="K52" s="111">
        <v>1.5</v>
      </c>
      <c r="L52" s="111">
        <v>0</v>
      </c>
      <c r="M52" s="112">
        <v>2</v>
      </c>
      <c r="N52" s="206">
        <f t="shared" si="1"/>
        <v>22</v>
      </c>
    </row>
    <row r="53" spans="2:14" s="115" customFormat="1" ht="13.2" customHeight="1" x14ac:dyDescent="0.2">
      <c r="B53" s="121"/>
      <c r="C53" s="123" t="s">
        <v>126</v>
      </c>
      <c r="D53" s="106"/>
      <c r="E53" s="106"/>
      <c r="F53" s="106"/>
      <c r="G53" s="106"/>
      <c r="H53" s="106"/>
      <c r="I53" s="106"/>
      <c r="J53" s="106"/>
      <c r="K53" s="106"/>
      <c r="L53" s="106"/>
      <c r="M53" s="108"/>
      <c r="N53" s="120">
        <f t="shared" si="1"/>
        <v>0</v>
      </c>
    </row>
    <row r="54" spans="2:14" s="115" customFormat="1" ht="13.2" customHeight="1" x14ac:dyDescent="0.2">
      <c r="B54" s="140"/>
      <c r="C54" s="141" t="s">
        <v>127</v>
      </c>
      <c r="D54" s="99"/>
      <c r="E54" s="99"/>
      <c r="F54" s="99"/>
      <c r="G54" s="99"/>
      <c r="H54" s="99"/>
      <c r="I54" s="99"/>
      <c r="J54" s="99"/>
      <c r="K54" s="99"/>
      <c r="L54" s="99"/>
      <c r="M54" s="100"/>
      <c r="N54" s="119">
        <f t="shared" si="1"/>
        <v>0</v>
      </c>
    </row>
    <row r="55" spans="2:14" ht="18" customHeight="1" x14ac:dyDescent="0.25">
      <c r="B55" s="198">
        <v>17</v>
      </c>
      <c r="C55" s="199" t="str">
        <f>Config!C21&amp;", "&amp;Config!D21</f>
        <v>Kainz, Vivienne</v>
      </c>
      <c r="D55" s="113">
        <v>1.5</v>
      </c>
      <c r="E55" s="113">
        <v>1.5</v>
      </c>
      <c r="F55" s="113">
        <v>0</v>
      </c>
      <c r="G55" s="113">
        <v>1.5</v>
      </c>
      <c r="H55" s="113">
        <v>1</v>
      </c>
      <c r="I55" s="113">
        <v>1</v>
      </c>
      <c r="J55" s="113">
        <v>0</v>
      </c>
      <c r="K55" s="113">
        <v>0</v>
      </c>
      <c r="L55" s="113">
        <v>0</v>
      </c>
      <c r="M55" s="114">
        <v>0</v>
      </c>
      <c r="N55" s="205">
        <f t="shared" si="1"/>
        <v>6.5</v>
      </c>
    </row>
    <row r="56" spans="2:14" s="115" customFormat="1" ht="13.2" customHeight="1" x14ac:dyDescent="0.2">
      <c r="B56" s="118"/>
      <c r="C56" s="122" t="s">
        <v>126</v>
      </c>
      <c r="D56" s="101"/>
      <c r="E56" s="101"/>
      <c r="F56" s="101"/>
      <c r="G56" s="101"/>
      <c r="H56" s="101"/>
      <c r="I56" s="101"/>
      <c r="J56" s="101"/>
      <c r="K56" s="101"/>
      <c r="L56" s="101"/>
      <c r="M56" s="104"/>
      <c r="N56" s="117">
        <f t="shared" si="1"/>
        <v>0</v>
      </c>
    </row>
    <row r="57" spans="2:14" s="115" customFormat="1" ht="13.2" customHeight="1" x14ac:dyDescent="0.2">
      <c r="B57" s="138"/>
      <c r="C57" s="139" t="s">
        <v>127</v>
      </c>
      <c r="D57" s="99"/>
      <c r="E57" s="99"/>
      <c r="F57" s="99"/>
      <c r="G57" s="99"/>
      <c r="H57" s="99"/>
      <c r="I57" s="99"/>
      <c r="J57" s="99"/>
      <c r="K57" s="99"/>
      <c r="L57" s="99"/>
      <c r="M57" s="100"/>
      <c r="N57" s="116">
        <f t="shared" si="1"/>
        <v>0</v>
      </c>
    </row>
    <row r="58" spans="2:14" ht="18" customHeight="1" x14ac:dyDescent="0.25">
      <c r="B58" s="201">
        <v>18</v>
      </c>
      <c r="C58" s="202" t="str">
        <f>Config!C22&amp;", "&amp;Config!D22</f>
        <v>Hartmann, Mads</v>
      </c>
      <c r="D58" s="111">
        <v>1</v>
      </c>
      <c r="E58" s="111">
        <v>2.5</v>
      </c>
      <c r="F58" s="111">
        <v>2</v>
      </c>
      <c r="G58" s="111">
        <v>3</v>
      </c>
      <c r="H58" s="111">
        <v>2.5</v>
      </c>
      <c r="I58" s="111">
        <v>3.5</v>
      </c>
      <c r="J58" s="111">
        <v>0</v>
      </c>
      <c r="K58" s="111">
        <v>0</v>
      </c>
      <c r="L58" s="111">
        <v>1.5</v>
      </c>
      <c r="M58" s="112">
        <v>0</v>
      </c>
      <c r="N58" s="206">
        <f t="shared" si="1"/>
        <v>16</v>
      </c>
    </row>
    <row r="59" spans="2:14" s="115" customFormat="1" ht="13.2" customHeight="1" x14ac:dyDescent="0.2">
      <c r="B59" s="121"/>
      <c r="C59" s="123" t="s">
        <v>126</v>
      </c>
      <c r="D59" s="106"/>
      <c r="E59" s="106"/>
      <c r="F59" s="106"/>
      <c r="G59" s="106"/>
      <c r="H59" s="106"/>
      <c r="I59" s="106"/>
      <c r="J59" s="106"/>
      <c r="K59" s="106"/>
      <c r="L59" s="106"/>
      <c r="M59" s="108"/>
      <c r="N59" s="120">
        <f t="shared" si="1"/>
        <v>0</v>
      </c>
    </row>
    <row r="60" spans="2:14" s="115" customFormat="1" ht="13.2" customHeight="1" x14ac:dyDescent="0.2">
      <c r="B60" s="140"/>
      <c r="C60" s="141" t="s">
        <v>127</v>
      </c>
      <c r="D60" s="99"/>
      <c r="E60" s="99"/>
      <c r="F60" s="99"/>
      <c r="G60" s="99"/>
      <c r="H60" s="99"/>
      <c r="I60" s="99"/>
      <c r="J60" s="99"/>
      <c r="K60" s="99"/>
      <c r="L60" s="99"/>
      <c r="M60" s="100"/>
      <c r="N60" s="119">
        <f t="shared" si="1"/>
        <v>0</v>
      </c>
    </row>
    <row r="61" spans="2:14" ht="18" customHeight="1" x14ac:dyDescent="0.25">
      <c r="B61" s="198">
        <v>19</v>
      </c>
      <c r="C61" s="199" t="str">
        <f>Config!C23&amp;", "&amp;Config!D23</f>
        <v>Ullmann, Raphael</v>
      </c>
      <c r="D61" s="113">
        <v>1.5</v>
      </c>
      <c r="E61" s="113">
        <v>2</v>
      </c>
      <c r="F61" s="113">
        <v>3</v>
      </c>
      <c r="G61" s="113">
        <v>0.5</v>
      </c>
      <c r="H61" s="113">
        <v>1</v>
      </c>
      <c r="I61" s="113">
        <v>4</v>
      </c>
      <c r="J61" s="113">
        <v>0.5</v>
      </c>
      <c r="K61" s="113">
        <v>0</v>
      </c>
      <c r="L61" s="113">
        <v>2</v>
      </c>
      <c r="M61" s="114">
        <v>0</v>
      </c>
      <c r="N61" s="205">
        <f t="shared" si="1"/>
        <v>14.5</v>
      </c>
    </row>
    <row r="62" spans="2:14" s="115" customFormat="1" ht="13.2" customHeight="1" x14ac:dyDescent="0.2">
      <c r="B62" s="118"/>
      <c r="C62" s="122" t="s">
        <v>126</v>
      </c>
      <c r="D62" s="101"/>
      <c r="E62" s="101"/>
      <c r="F62" s="101"/>
      <c r="G62" s="101"/>
      <c r="H62" s="101"/>
      <c r="I62" s="101"/>
      <c r="J62" s="101"/>
      <c r="K62" s="101"/>
      <c r="L62" s="101"/>
      <c r="M62" s="104"/>
      <c r="N62" s="117">
        <f t="shared" si="1"/>
        <v>0</v>
      </c>
    </row>
    <row r="63" spans="2:14" s="115" customFormat="1" ht="13.2" customHeight="1" x14ac:dyDescent="0.2">
      <c r="B63" s="138"/>
      <c r="C63" s="139" t="s">
        <v>127</v>
      </c>
      <c r="D63" s="99"/>
      <c r="E63" s="99"/>
      <c r="F63" s="99"/>
      <c r="G63" s="99"/>
      <c r="H63" s="99"/>
      <c r="I63" s="99"/>
      <c r="J63" s="99"/>
      <c r="K63" s="99"/>
      <c r="L63" s="99"/>
      <c r="M63" s="100"/>
      <c r="N63" s="116">
        <f t="shared" si="1"/>
        <v>0</v>
      </c>
    </row>
    <row r="64" spans="2:14" ht="18" customHeight="1" x14ac:dyDescent="0.25">
      <c r="B64" s="201">
        <v>20</v>
      </c>
      <c r="C64" s="202" t="str">
        <f>Config!C24&amp;", "&amp;Config!D24</f>
        <v>Hartl, Emmely</v>
      </c>
      <c r="D64" s="111">
        <v>1.5</v>
      </c>
      <c r="E64" s="111">
        <v>3</v>
      </c>
      <c r="F64" s="111">
        <v>3.5</v>
      </c>
      <c r="G64" s="111">
        <v>2.5</v>
      </c>
      <c r="H64" s="111">
        <v>2</v>
      </c>
      <c r="I64" s="111">
        <v>3.5</v>
      </c>
      <c r="J64" s="111">
        <v>2</v>
      </c>
      <c r="K64" s="111">
        <v>0</v>
      </c>
      <c r="L64" s="111">
        <v>1.5</v>
      </c>
      <c r="M64" s="112">
        <v>3.5</v>
      </c>
      <c r="N64" s="206">
        <f t="shared" si="1"/>
        <v>23</v>
      </c>
    </row>
    <row r="65" spans="2:14" s="115" customFormat="1" ht="13.2" customHeight="1" x14ac:dyDescent="0.2">
      <c r="B65" s="121"/>
      <c r="C65" s="123" t="s">
        <v>126</v>
      </c>
      <c r="D65" s="106"/>
      <c r="E65" s="106"/>
      <c r="F65" s="106"/>
      <c r="G65" s="106"/>
      <c r="H65" s="106"/>
      <c r="I65" s="106"/>
      <c r="J65" s="106"/>
      <c r="K65" s="106"/>
      <c r="L65" s="106"/>
      <c r="M65" s="108"/>
      <c r="N65" s="120">
        <f t="shared" si="1"/>
        <v>0</v>
      </c>
    </row>
    <row r="66" spans="2:14" s="115" customFormat="1" ht="13.2" customHeight="1" x14ac:dyDescent="0.2">
      <c r="B66" s="140"/>
      <c r="C66" s="141" t="s">
        <v>127</v>
      </c>
      <c r="D66" s="99"/>
      <c r="E66" s="99"/>
      <c r="F66" s="99"/>
      <c r="G66" s="99"/>
      <c r="H66" s="99"/>
      <c r="I66" s="99"/>
      <c r="J66" s="99"/>
      <c r="K66" s="99"/>
      <c r="L66" s="99"/>
      <c r="M66" s="100"/>
      <c r="N66" s="119">
        <f t="shared" si="1"/>
        <v>0</v>
      </c>
    </row>
    <row r="67" spans="2:14" ht="18" customHeight="1" x14ac:dyDescent="0.25">
      <c r="B67" s="198">
        <v>21</v>
      </c>
      <c r="C67" s="199" t="str">
        <f>Config!C25&amp;", "&amp;Config!D25</f>
        <v>Klotz, Karin</v>
      </c>
      <c r="D67" s="113">
        <v>2</v>
      </c>
      <c r="E67" s="113">
        <v>2.5</v>
      </c>
      <c r="F67" s="113">
        <v>4</v>
      </c>
      <c r="G67" s="113">
        <v>3</v>
      </c>
      <c r="H67" s="113">
        <v>2.5</v>
      </c>
      <c r="I67" s="113">
        <v>3</v>
      </c>
      <c r="J67" s="113">
        <v>3</v>
      </c>
      <c r="K67" s="113">
        <v>0</v>
      </c>
      <c r="L67" s="113">
        <v>2</v>
      </c>
      <c r="M67" s="114">
        <v>4.5</v>
      </c>
      <c r="N67" s="205">
        <f t="shared" si="1"/>
        <v>26.5</v>
      </c>
    </row>
    <row r="68" spans="2:14" s="115" customFormat="1" ht="13.2" customHeight="1" x14ac:dyDescent="0.2">
      <c r="B68" s="118"/>
      <c r="C68" s="122" t="s">
        <v>126</v>
      </c>
      <c r="D68" s="101"/>
      <c r="E68" s="101"/>
      <c r="F68" s="101"/>
      <c r="G68" s="101"/>
      <c r="H68" s="101"/>
      <c r="I68" s="101"/>
      <c r="J68" s="101"/>
      <c r="K68" s="101"/>
      <c r="L68" s="101"/>
      <c r="M68" s="104"/>
      <c r="N68" s="117">
        <f t="shared" si="1"/>
        <v>0</v>
      </c>
    </row>
    <row r="69" spans="2:14" s="115" customFormat="1" ht="13.2" customHeight="1" x14ac:dyDescent="0.2">
      <c r="B69" s="138"/>
      <c r="C69" s="139" t="s">
        <v>127</v>
      </c>
      <c r="D69" s="99"/>
      <c r="E69" s="99"/>
      <c r="F69" s="99"/>
      <c r="G69" s="99"/>
      <c r="H69" s="99"/>
      <c r="I69" s="99"/>
      <c r="J69" s="99"/>
      <c r="K69" s="99"/>
      <c r="L69" s="99"/>
      <c r="M69" s="100"/>
      <c r="N69" s="116">
        <f t="shared" si="1"/>
        <v>0</v>
      </c>
    </row>
    <row r="70" spans="2:14" ht="18" customHeight="1" x14ac:dyDescent="0.25">
      <c r="B70" s="201">
        <v>22</v>
      </c>
      <c r="C70" s="202" t="str">
        <f>Config!C26&amp;", "&amp;Config!D26</f>
        <v>Ehlers, Ingo</v>
      </c>
      <c r="D70" s="111">
        <v>0.5</v>
      </c>
      <c r="E70" s="111">
        <v>3</v>
      </c>
      <c r="F70" s="111">
        <v>4</v>
      </c>
      <c r="G70" s="111">
        <v>2</v>
      </c>
      <c r="H70" s="111">
        <v>2.5</v>
      </c>
      <c r="I70" s="111">
        <v>3</v>
      </c>
      <c r="J70" s="111">
        <v>1.5</v>
      </c>
      <c r="K70" s="111">
        <v>0</v>
      </c>
      <c r="L70" s="111">
        <v>2</v>
      </c>
      <c r="M70" s="112">
        <v>2.5</v>
      </c>
      <c r="N70" s="206">
        <f t="shared" si="1"/>
        <v>21</v>
      </c>
    </row>
    <row r="71" spans="2:14" s="115" customFormat="1" ht="13.2" customHeight="1" x14ac:dyDescent="0.2">
      <c r="B71" s="121"/>
      <c r="C71" s="123" t="s">
        <v>126</v>
      </c>
      <c r="D71" s="106"/>
      <c r="E71" s="106"/>
      <c r="F71" s="106"/>
      <c r="G71" s="106"/>
      <c r="H71" s="106"/>
      <c r="I71" s="106"/>
      <c r="J71" s="106"/>
      <c r="K71" s="106"/>
      <c r="L71" s="106"/>
      <c r="M71" s="108"/>
      <c r="N71" s="120">
        <f t="shared" ref="N71:N75" si="2">SUM(D71:M71)</f>
        <v>0</v>
      </c>
    </row>
    <row r="72" spans="2:14" s="115" customFormat="1" ht="13.2" customHeight="1" x14ac:dyDescent="0.2">
      <c r="B72" s="140"/>
      <c r="C72" s="141" t="s">
        <v>127</v>
      </c>
      <c r="D72" s="99"/>
      <c r="E72" s="99"/>
      <c r="F72" s="99"/>
      <c r="G72" s="99"/>
      <c r="H72" s="99"/>
      <c r="I72" s="99"/>
      <c r="J72" s="99"/>
      <c r="K72" s="99"/>
      <c r="L72" s="99"/>
      <c r="M72" s="100"/>
      <c r="N72" s="119">
        <f t="shared" si="2"/>
        <v>0</v>
      </c>
    </row>
    <row r="73" spans="2:14" ht="18" customHeight="1" x14ac:dyDescent="0.25">
      <c r="B73" s="198">
        <v>23</v>
      </c>
      <c r="C73" s="199" t="str">
        <f>Config!C27&amp;", "&amp;Config!D27</f>
        <v>Lindemann, Mads</v>
      </c>
      <c r="D73" s="113">
        <v>1</v>
      </c>
      <c r="E73" s="113">
        <v>2.5</v>
      </c>
      <c r="F73" s="113">
        <v>3.5</v>
      </c>
      <c r="G73" s="113">
        <v>3</v>
      </c>
      <c r="H73" s="113">
        <v>2</v>
      </c>
      <c r="I73" s="113">
        <v>4</v>
      </c>
      <c r="J73" s="113">
        <v>0</v>
      </c>
      <c r="K73" s="113">
        <v>0</v>
      </c>
      <c r="L73" s="113">
        <v>0</v>
      </c>
      <c r="M73" s="114">
        <v>0</v>
      </c>
      <c r="N73" s="205">
        <f t="shared" si="2"/>
        <v>16</v>
      </c>
    </row>
    <row r="74" spans="2:14" s="115" customFormat="1" ht="13.2" customHeight="1" x14ac:dyDescent="0.2">
      <c r="B74" s="118"/>
      <c r="C74" s="122" t="s">
        <v>126</v>
      </c>
      <c r="D74" s="101"/>
      <c r="E74" s="101"/>
      <c r="F74" s="101"/>
      <c r="G74" s="101"/>
      <c r="H74" s="101"/>
      <c r="I74" s="101"/>
      <c r="J74" s="101"/>
      <c r="K74" s="101"/>
      <c r="L74" s="101"/>
      <c r="M74" s="104"/>
      <c r="N74" s="117">
        <f t="shared" si="2"/>
        <v>0</v>
      </c>
    </row>
    <row r="75" spans="2:14" s="115" customFormat="1" ht="13.2" customHeight="1" thickBot="1" x14ac:dyDescent="0.25">
      <c r="B75" s="138"/>
      <c r="C75" s="139" t="s">
        <v>127</v>
      </c>
      <c r="D75" s="99"/>
      <c r="E75" s="99"/>
      <c r="F75" s="99"/>
      <c r="G75" s="99"/>
      <c r="H75" s="99"/>
      <c r="I75" s="99"/>
      <c r="J75" s="99"/>
      <c r="K75" s="99"/>
      <c r="L75" s="99"/>
      <c r="M75" s="100"/>
      <c r="N75" s="116">
        <f t="shared" si="2"/>
        <v>0</v>
      </c>
    </row>
    <row r="76" spans="2:14" ht="18" customHeight="1" thickBot="1" x14ac:dyDescent="0.3">
      <c r="B76" s="162"/>
      <c r="C76" s="163"/>
      <c r="D76" s="163">
        <f>IF(COUNTIFS(D7:D73,"&lt;&gt;",C7:C73,"&lt;&gt;ZK",C7:C73,"&lt;&gt;DK")&lt;&gt;0,SUMIFS(D7:D73,C7:C73,"&lt;&gt;ZK",C7:C73,"&lt;&gt;DK")/(COUNTIFS(D7:D73,"&lt;&gt;",C7:C73,"&lt;&gt;ZK",C7:C73,"&lt;&gt;DK")*D6),0)</f>
        <v>0.64130434782608692</v>
      </c>
      <c r="E76" s="163">
        <f>IF(COUNTIFS(E7:E73,"&lt;&gt;",C7:C73,"&lt;&gt;ZK",C7:C73,"&lt;&gt;DK")&lt;&gt;0,SUMIFS(E7:E73,C7:C73,"&lt;&gt;ZK",C7:C73,"&lt;&gt;DK")/(COUNTIFS(E7:E73,"&lt;&gt;",C7:C73,"&lt;&gt;ZK",C7:C73,"&lt;&gt;DK")*E6),0)</f>
        <v>0.79710144927536231</v>
      </c>
      <c r="F76" s="163">
        <f>IF(COUNTIFS(F7:F73,"&lt;&gt;",C7:C73,"&lt;&gt;ZK",C7:C73,"&lt;&gt;DK")&lt;&gt;0,SUMIFS(F7:F73,C7:C73,"&lt;&gt;ZK",C7:C73,"&lt;&gt;DK")/(COUNTIFS(F7:F73,"&lt;&gt;",C7:C73,"&lt;&gt;ZK",C7:C73,"&lt;&gt;DK")*F6),0)</f>
        <v>0.78804347826086951</v>
      </c>
      <c r="G76" s="163">
        <f>IF(COUNTIFS(G7:G73,"&lt;&gt;",C7:C73,"&lt;&gt;ZK",C7:C73,"&lt;&gt;DK")&lt;&gt;0,SUMIFS(G7:G73,C7:C73,"&lt;&gt;ZK",C7:C73,"&lt;&gt;DK")/(COUNTIFS(G7:G73,"&lt;&gt;",C7:C73,"&lt;&gt;ZK",C7:C73,"&lt;&gt;DK")*G6),0)</f>
        <v>0.79710144927536231</v>
      </c>
      <c r="H76" s="163">
        <f>IF(COUNTIFS(H7:H73,"&lt;&gt;",C7:C73,"&lt;&gt;ZK",C7:C73,"&lt;&gt;DK")&lt;&gt;0,SUMIFS(H7:H73,C7:C73,"&lt;&gt;ZK",C7:C73,"&lt;&gt;DK")/(COUNTIFS(H7:H73,"&lt;&gt;",C7:C73,"&lt;&gt;ZK",C7:C73,"&lt;&gt;DK")*H6),0)</f>
        <v>0.78260869565217395</v>
      </c>
      <c r="I76" s="163">
        <f>IF(COUNTIFS(I7:I73,"&lt;&gt;",C7:C73,"&lt;&gt;ZK",C7:C73,"&lt;&gt;DK")&lt;&gt;0,SUMIFS(I7:I73,C7:C73,"&lt;&gt;ZK",C7:C73,"&lt;&gt;DK")/(COUNTIFS(I7:I73,"&lt;&gt;",C7:C73,"&lt;&gt;ZK",C7:C73,"&lt;&gt;DK")*I6),0)</f>
        <v>0.78260869565217395</v>
      </c>
      <c r="J76" s="163">
        <f>IF(COUNTIFS(J7:J73,"&lt;&gt;",C7:C73,"&lt;&gt;ZK",C7:C73,"&lt;&gt;DK")&lt;&gt;0,SUMIFS(J7:J73,C7:C73,"&lt;&gt;ZK",C7:C73,"&lt;&gt;DK")/(COUNTIFS(J7:J73,"&lt;&gt;",C7:C73,"&lt;&gt;ZK",C7:C73,"&lt;&gt;DK")*J6),0)</f>
        <v>0.27536231884057971</v>
      </c>
      <c r="K76" s="163">
        <f>IF(COUNTIFS(K7:K73,"&lt;&gt;",C7:C73,"&lt;&gt;ZK",C7:C73,"&lt;&gt;DK")&lt;&gt;0,SUMIFS(K7:K73,C7:C73,"&lt;&gt;ZK",C7:C73,"&lt;&gt;DK")/(COUNTIFS(K7:K73,"&lt;&gt;",C7:C73,"&lt;&gt;ZK",C7:C73,"&lt;&gt;DK")*K6),0)</f>
        <v>0.11956521739130435</v>
      </c>
      <c r="L76" s="163">
        <f>IF(COUNTIFS(L7:L73,"&lt;&gt;",C7:C73,"&lt;&gt;ZK",C7:C73,"&lt;&gt;DK")&lt;&gt;0,SUMIFS(L7:L73,C7:C73,"&lt;&gt;ZK",C7:C73,"&lt;&gt;DK")/(COUNTIFS(L7:L73,"&lt;&gt;",C7:C73,"&lt;&gt;ZK",C7:C73,"&lt;&gt;DK")*L6),0)</f>
        <v>0.60869565217391308</v>
      </c>
      <c r="M76" s="163">
        <f>IF(COUNTIFS(M7:M73,"&lt;&gt;",C7:C73,"&lt;&gt;ZK",C7:C73,"&lt;&gt;DK")&lt;&gt;0,SUMIFS(M7:M73,C7:C73,"&lt;&gt;ZK",C7:C73,"&lt;&gt;DK")/(COUNTIFS(M7:M73,"&lt;&gt;",C7:C73,"&lt;&gt;ZK",C7:C73,"&lt;&gt;DK")*M6),0)</f>
        <v>0.88043478260869568</v>
      </c>
      <c r="N76" s="164"/>
    </row>
    <row r="77" spans="2:14" ht="18" customHeight="1" x14ac:dyDescent="0.25"/>
    <row r="78" spans="2:14" ht="18" customHeight="1" x14ac:dyDescent="0.25"/>
    <row r="79" spans="2:14" ht="18" customHeight="1" x14ac:dyDescent="0.25"/>
    <row r="80" spans="2:14"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10">
    <dataValidation type="decimal" allowBlank="1" showErrorMessage="1" sqref="D7:D75" xr:uid="{362A6C64-5ADB-4B2B-8C82-5B6284D3F0AE}">
      <formula1>0</formula1>
      <formula2>$D$6</formula2>
    </dataValidation>
    <dataValidation type="decimal" allowBlank="1" showErrorMessage="1" sqref="E7:E75" xr:uid="{F8E1F255-AFE0-4E4B-8245-16E987810739}">
      <formula1>0</formula1>
      <formula2>$E$6</formula2>
    </dataValidation>
    <dataValidation type="decimal" allowBlank="1" showErrorMessage="1" sqref="F7:F75" xr:uid="{9B9A26B8-F1DD-4A62-91FA-405D55DD3FCE}">
      <formula1>0</formula1>
      <formula2>$F$6</formula2>
    </dataValidation>
    <dataValidation type="decimal" allowBlank="1" showErrorMessage="1" sqref="G7:G75" xr:uid="{A254255D-1849-4710-A6EE-FF720AD0ECEB}">
      <formula1>0</formula1>
      <formula2>$G$6</formula2>
    </dataValidation>
    <dataValidation type="decimal" allowBlank="1" showErrorMessage="1" sqref="H7:H75" xr:uid="{03920713-EC5D-4063-8F69-60462D008B3E}">
      <formula1>0</formula1>
      <formula2>$H$6</formula2>
    </dataValidation>
    <dataValidation type="decimal" allowBlank="1" showErrorMessage="1" sqref="I7:I75" xr:uid="{E39F2A44-9E6B-4B71-B830-49B7C05C4FD7}">
      <formula1>0</formula1>
      <formula2>$I$6</formula2>
    </dataValidation>
    <dataValidation type="decimal" allowBlank="1" showErrorMessage="1" sqref="J7:J75" xr:uid="{0B1AFDB4-2FA1-4781-8EC5-97EAEA877F96}">
      <formula1>0</formula1>
      <formula2>$J$6</formula2>
    </dataValidation>
    <dataValidation type="decimal" allowBlank="1" showErrorMessage="1" sqref="K7:K75" xr:uid="{71390924-DB07-422A-94C6-8E6D36D8FBA7}">
      <formula1>0</formula1>
      <formula2>$K$6</formula2>
    </dataValidation>
    <dataValidation type="decimal" allowBlank="1" showErrorMessage="1" sqref="L7:L75" xr:uid="{FC31A2C6-920C-4585-A96E-367FC2BBE36E}">
      <formula1>0</formula1>
      <formula2>$L$6</formula2>
    </dataValidation>
    <dataValidation type="decimal" allowBlank="1" showErrorMessage="1" sqref="M7:M75" xr:uid="{17144EA4-BD26-4B83-B655-B2122A6DE358}">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40809-F0C1-4C32-B3B2-909C033C7485}">
  <sheetPr codeName="Tabelle137">
    <tabColor rgb="FF92D050"/>
  </sheetPr>
  <dimension ref="B1:E146"/>
  <sheetViews>
    <sheetView workbookViewId="0">
      <selection activeCell="D8" sqref="D8"/>
    </sheetView>
  </sheetViews>
  <sheetFormatPr baseColWidth="10" defaultRowHeight="13.2" x14ac:dyDescent="0.25"/>
  <cols>
    <col min="1" max="2" width="3.44140625" style="142" customWidth="1"/>
    <col min="3" max="3" width="25.77734375" style="142" customWidth="1"/>
    <col min="4" max="5" width="8.77734375" style="142" customWidth="1"/>
    <col min="6" max="16384" width="11.5546875" style="142"/>
  </cols>
  <sheetData>
    <row r="1" spans="2:5" ht="18" customHeight="1" thickBot="1" x14ac:dyDescent="0.3"/>
    <row r="2" spans="2:5" ht="18" customHeight="1" x14ac:dyDescent="0.25">
      <c r="B2" s="143" t="str">
        <f>Config!F2&amp;" "&amp;YEAR(Config!G24)</f>
        <v>Mathe Abitur 2026</v>
      </c>
      <c r="C2" s="144"/>
      <c r="D2" s="145"/>
      <c r="E2" s="146" t="str">
        <f>"Kurs "&amp;Config!G26</f>
        <v>Kurs K1</v>
      </c>
    </row>
    <row r="3" spans="2:5" ht="18" customHeight="1" x14ac:dyDescent="0.25">
      <c r="B3" s="147" t="s">
        <v>11</v>
      </c>
      <c r="C3" s="148"/>
      <c r="D3" s="148"/>
      <c r="E3" s="149"/>
    </row>
    <row r="4" spans="2:5" ht="18" customHeight="1" thickBot="1" x14ac:dyDescent="0.3">
      <c r="B4" s="147"/>
      <c r="C4" s="148"/>
      <c r="D4" s="150"/>
      <c r="E4" s="151"/>
    </row>
    <row r="5" spans="2:5" ht="18" customHeight="1" thickBot="1" x14ac:dyDescent="0.3">
      <c r="B5" s="152"/>
      <c r="C5" s="154"/>
      <c r="D5" s="173" t="str">
        <f>Config!J6</f>
        <v>1</v>
      </c>
      <c r="E5" s="158" t="s">
        <v>82</v>
      </c>
    </row>
    <row r="6" spans="2:5" ht="18" customHeight="1" thickBot="1" x14ac:dyDescent="0.3">
      <c r="B6" s="153"/>
      <c r="C6" s="155" t="s">
        <v>81</v>
      </c>
      <c r="D6" s="157">
        <f>Config!K6</f>
        <v>5</v>
      </c>
      <c r="E6" s="174">
        <f>Config!K21</f>
        <v>5</v>
      </c>
    </row>
    <row r="7" spans="2:5" ht="18" customHeight="1" x14ac:dyDescent="0.25">
      <c r="B7" s="203">
        <v>1</v>
      </c>
      <c r="C7" s="204" t="str">
        <f>Config!C5&amp;", "&amp;Config!D5</f>
        <v>Höfer, Simon</v>
      </c>
      <c r="D7" s="110">
        <v>2.5</v>
      </c>
      <c r="E7" s="200">
        <f t="shared" ref="E7:E38" si="0">SUM(D7:D7)</f>
        <v>2.5</v>
      </c>
    </row>
    <row r="8" spans="2:5" s="115" customFormat="1" ht="13.2" customHeight="1" x14ac:dyDescent="0.2">
      <c r="B8" s="118"/>
      <c r="C8" s="122" t="s">
        <v>126</v>
      </c>
      <c r="D8" s="104"/>
      <c r="E8" s="117">
        <f t="shared" si="0"/>
        <v>0</v>
      </c>
    </row>
    <row r="9" spans="2:5" s="115" customFormat="1" ht="13.2" customHeight="1" x14ac:dyDescent="0.2">
      <c r="B9" s="138"/>
      <c r="C9" s="139" t="s">
        <v>127</v>
      </c>
      <c r="D9" s="100"/>
      <c r="E9" s="116">
        <f t="shared" si="0"/>
        <v>0</v>
      </c>
    </row>
    <row r="10" spans="2:5" ht="18" customHeight="1" x14ac:dyDescent="0.25">
      <c r="B10" s="201">
        <v>2</v>
      </c>
      <c r="C10" s="202" t="str">
        <f>Config!C6&amp;", "&amp;Config!D6</f>
        <v>Töpfer, Lilian</v>
      </c>
      <c r="D10" s="112">
        <v>5</v>
      </c>
      <c r="E10" s="206">
        <f t="shared" si="0"/>
        <v>5</v>
      </c>
    </row>
    <row r="11" spans="2:5" s="115" customFormat="1" ht="13.2" customHeight="1" x14ac:dyDescent="0.2">
      <c r="B11" s="121"/>
      <c r="C11" s="123" t="s">
        <v>126</v>
      </c>
      <c r="D11" s="108"/>
      <c r="E11" s="120">
        <f t="shared" si="0"/>
        <v>0</v>
      </c>
    </row>
    <row r="12" spans="2:5" s="115" customFormat="1" ht="13.2" customHeight="1" x14ac:dyDescent="0.2">
      <c r="B12" s="140"/>
      <c r="C12" s="141" t="s">
        <v>127</v>
      </c>
      <c r="D12" s="100"/>
      <c r="E12" s="119">
        <f t="shared" si="0"/>
        <v>0</v>
      </c>
    </row>
    <row r="13" spans="2:5" ht="18" customHeight="1" x14ac:dyDescent="0.25">
      <c r="B13" s="198">
        <v>3</v>
      </c>
      <c r="C13" s="199" t="str">
        <f>Config!C7&amp;", "&amp;Config!D7</f>
        <v>Fleischmann, Leonie</v>
      </c>
      <c r="D13" s="114">
        <v>2.5</v>
      </c>
      <c r="E13" s="205">
        <f t="shared" si="0"/>
        <v>2.5</v>
      </c>
    </row>
    <row r="14" spans="2:5" s="115" customFormat="1" ht="13.2" customHeight="1" x14ac:dyDescent="0.2">
      <c r="B14" s="118"/>
      <c r="C14" s="122" t="s">
        <v>126</v>
      </c>
      <c r="D14" s="104"/>
      <c r="E14" s="117">
        <f t="shared" si="0"/>
        <v>0</v>
      </c>
    </row>
    <row r="15" spans="2:5" s="115" customFormat="1" ht="13.2" customHeight="1" x14ac:dyDescent="0.2">
      <c r="B15" s="138"/>
      <c r="C15" s="139" t="s">
        <v>127</v>
      </c>
      <c r="D15" s="100"/>
      <c r="E15" s="116">
        <f t="shared" si="0"/>
        <v>0</v>
      </c>
    </row>
    <row r="16" spans="2:5" ht="18" customHeight="1" x14ac:dyDescent="0.25">
      <c r="B16" s="201">
        <v>4</v>
      </c>
      <c r="C16" s="202" t="str">
        <f>Config!C8&amp;", "&amp;Config!D8</f>
        <v>Drescher, Cedric</v>
      </c>
      <c r="D16" s="112">
        <v>2.5</v>
      </c>
      <c r="E16" s="206">
        <f t="shared" si="0"/>
        <v>2.5</v>
      </c>
    </row>
    <row r="17" spans="2:5" s="115" customFormat="1" ht="13.2" customHeight="1" x14ac:dyDescent="0.2">
      <c r="B17" s="121"/>
      <c r="C17" s="123" t="s">
        <v>126</v>
      </c>
      <c r="D17" s="108"/>
      <c r="E17" s="120">
        <f t="shared" si="0"/>
        <v>0</v>
      </c>
    </row>
    <row r="18" spans="2:5" s="115" customFormat="1" ht="13.2" customHeight="1" x14ac:dyDescent="0.2">
      <c r="B18" s="140"/>
      <c r="C18" s="141" t="s">
        <v>127</v>
      </c>
      <c r="D18" s="100"/>
      <c r="E18" s="119">
        <f t="shared" si="0"/>
        <v>0</v>
      </c>
    </row>
    <row r="19" spans="2:5" ht="18" customHeight="1" x14ac:dyDescent="0.25">
      <c r="B19" s="198">
        <v>5</v>
      </c>
      <c r="C19" s="199" t="str">
        <f>Config!C9&amp;", "&amp;Config!D9</f>
        <v>Baumgarten, Annabell</v>
      </c>
      <c r="D19" s="114">
        <v>2.5</v>
      </c>
      <c r="E19" s="205">
        <f t="shared" si="0"/>
        <v>2.5</v>
      </c>
    </row>
    <row r="20" spans="2:5" s="115" customFormat="1" ht="13.2" customHeight="1" x14ac:dyDescent="0.2">
      <c r="B20" s="118"/>
      <c r="C20" s="122" t="s">
        <v>126</v>
      </c>
      <c r="D20" s="104"/>
      <c r="E20" s="117">
        <f t="shared" si="0"/>
        <v>0</v>
      </c>
    </row>
    <row r="21" spans="2:5" s="115" customFormat="1" ht="13.2" customHeight="1" x14ac:dyDescent="0.2">
      <c r="B21" s="138"/>
      <c r="C21" s="139" t="s">
        <v>127</v>
      </c>
      <c r="D21" s="100"/>
      <c r="E21" s="116">
        <f t="shared" si="0"/>
        <v>0</v>
      </c>
    </row>
    <row r="22" spans="2:5" ht="18" customHeight="1" x14ac:dyDescent="0.25">
      <c r="B22" s="201">
        <v>6</v>
      </c>
      <c r="C22" s="202" t="str">
        <f>Config!C10&amp;", "&amp;Config!D10</f>
        <v>Traut, Stefanie</v>
      </c>
      <c r="D22" s="112">
        <v>3</v>
      </c>
      <c r="E22" s="206">
        <f t="shared" si="0"/>
        <v>3</v>
      </c>
    </row>
    <row r="23" spans="2:5" s="115" customFormat="1" ht="13.2" customHeight="1" x14ac:dyDescent="0.2">
      <c r="B23" s="121"/>
      <c r="C23" s="123" t="s">
        <v>126</v>
      </c>
      <c r="D23" s="108"/>
      <c r="E23" s="120">
        <f t="shared" si="0"/>
        <v>0</v>
      </c>
    </row>
    <row r="24" spans="2:5" s="115" customFormat="1" ht="13.2" customHeight="1" x14ac:dyDescent="0.2">
      <c r="B24" s="140"/>
      <c r="C24" s="141" t="s">
        <v>127</v>
      </c>
      <c r="D24" s="100"/>
      <c r="E24" s="119">
        <f t="shared" si="0"/>
        <v>0</v>
      </c>
    </row>
    <row r="25" spans="2:5" ht="18" customHeight="1" x14ac:dyDescent="0.25">
      <c r="B25" s="198">
        <v>7</v>
      </c>
      <c r="C25" s="199" t="str">
        <f>Config!C11&amp;", "&amp;Config!D11</f>
        <v>Menke, Damian</v>
      </c>
      <c r="D25" s="114">
        <v>5</v>
      </c>
      <c r="E25" s="205">
        <f t="shared" si="0"/>
        <v>5</v>
      </c>
    </row>
    <row r="26" spans="2:5" s="115" customFormat="1" ht="13.2" customHeight="1" x14ac:dyDescent="0.2">
      <c r="B26" s="118"/>
      <c r="C26" s="122" t="s">
        <v>126</v>
      </c>
      <c r="D26" s="104"/>
      <c r="E26" s="117">
        <f t="shared" si="0"/>
        <v>0</v>
      </c>
    </row>
    <row r="27" spans="2:5" s="115" customFormat="1" ht="13.2" customHeight="1" x14ac:dyDescent="0.2">
      <c r="B27" s="138"/>
      <c r="C27" s="139" t="s">
        <v>127</v>
      </c>
      <c r="D27" s="100"/>
      <c r="E27" s="116">
        <f t="shared" si="0"/>
        <v>0</v>
      </c>
    </row>
    <row r="28" spans="2:5" ht="18" customHeight="1" x14ac:dyDescent="0.25">
      <c r="B28" s="201">
        <v>8</v>
      </c>
      <c r="C28" s="202" t="str">
        <f>Config!C12&amp;", "&amp;Config!D12</f>
        <v>Carroll, Meik</v>
      </c>
      <c r="D28" s="112">
        <v>5</v>
      </c>
      <c r="E28" s="206">
        <f t="shared" si="0"/>
        <v>5</v>
      </c>
    </row>
    <row r="29" spans="2:5" s="115" customFormat="1" ht="13.2" customHeight="1" x14ac:dyDescent="0.2">
      <c r="B29" s="121"/>
      <c r="C29" s="123" t="s">
        <v>126</v>
      </c>
      <c r="D29" s="108"/>
      <c r="E29" s="120">
        <f t="shared" si="0"/>
        <v>0</v>
      </c>
    </row>
    <row r="30" spans="2:5" s="115" customFormat="1" ht="13.2" customHeight="1" x14ac:dyDescent="0.2">
      <c r="B30" s="140"/>
      <c r="C30" s="141" t="s">
        <v>127</v>
      </c>
      <c r="D30" s="100"/>
      <c r="E30" s="119">
        <f t="shared" si="0"/>
        <v>0</v>
      </c>
    </row>
    <row r="31" spans="2:5" ht="18" customHeight="1" x14ac:dyDescent="0.25">
      <c r="B31" s="198">
        <v>9</v>
      </c>
      <c r="C31" s="199" t="str">
        <f>Config!C13&amp;", "&amp;Config!D13</f>
        <v>Hennings, Tomas</v>
      </c>
      <c r="D31" s="114">
        <v>4</v>
      </c>
      <c r="E31" s="205">
        <f t="shared" si="0"/>
        <v>4</v>
      </c>
    </row>
    <row r="32" spans="2:5" s="115" customFormat="1" ht="13.2" customHeight="1" x14ac:dyDescent="0.2">
      <c r="B32" s="118"/>
      <c r="C32" s="122" t="s">
        <v>126</v>
      </c>
      <c r="D32" s="104"/>
      <c r="E32" s="117">
        <f t="shared" si="0"/>
        <v>0</v>
      </c>
    </row>
    <row r="33" spans="2:5" s="115" customFormat="1" ht="13.2" customHeight="1" x14ac:dyDescent="0.2">
      <c r="B33" s="138"/>
      <c r="C33" s="139" t="s">
        <v>127</v>
      </c>
      <c r="D33" s="100"/>
      <c r="E33" s="116">
        <f t="shared" si="0"/>
        <v>0</v>
      </c>
    </row>
    <row r="34" spans="2:5" ht="18" customHeight="1" x14ac:dyDescent="0.25">
      <c r="B34" s="201">
        <v>10</v>
      </c>
      <c r="C34" s="202" t="str">
        <f>Config!C14&amp;", "&amp;Config!D14</f>
        <v>Walters, Linn</v>
      </c>
      <c r="D34" s="112">
        <v>2.5</v>
      </c>
      <c r="E34" s="206">
        <f t="shared" si="0"/>
        <v>2.5</v>
      </c>
    </row>
    <row r="35" spans="2:5" s="115" customFormat="1" ht="13.2" customHeight="1" x14ac:dyDescent="0.2">
      <c r="B35" s="121"/>
      <c r="C35" s="123" t="s">
        <v>126</v>
      </c>
      <c r="D35" s="108"/>
      <c r="E35" s="120">
        <f t="shared" si="0"/>
        <v>0</v>
      </c>
    </row>
    <row r="36" spans="2:5" s="115" customFormat="1" ht="13.2" customHeight="1" x14ac:dyDescent="0.2">
      <c r="B36" s="140"/>
      <c r="C36" s="141" t="s">
        <v>127</v>
      </c>
      <c r="D36" s="100"/>
      <c r="E36" s="119">
        <f t="shared" si="0"/>
        <v>0</v>
      </c>
    </row>
    <row r="37" spans="2:5" ht="18" customHeight="1" x14ac:dyDescent="0.25">
      <c r="B37" s="198">
        <v>11</v>
      </c>
      <c r="C37" s="199" t="str">
        <f>Config!C15&amp;", "&amp;Config!D15</f>
        <v>Junker, Amely</v>
      </c>
      <c r="D37" s="114">
        <v>2</v>
      </c>
      <c r="E37" s="205">
        <f t="shared" si="0"/>
        <v>2</v>
      </c>
    </row>
    <row r="38" spans="2:5" s="115" customFormat="1" ht="13.2" customHeight="1" x14ac:dyDescent="0.2">
      <c r="B38" s="118"/>
      <c r="C38" s="122" t="s">
        <v>126</v>
      </c>
      <c r="D38" s="104"/>
      <c r="E38" s="117">
        <f t="shared" si="0"/>
        <v>0</v>
      </c>
    </row>
    <row r="39" spans="2:5" s="115" customFormat="1" ht="13.2" customHeight="1" x14ac:dyDescent="0.2">
      <c r="B39" s="138"/>
      <c r="C39" s="139" t="s">
        <v>127</v>
      </c>
      <c r="D39" s="100"/>
      <c r="E39" s="116">
        <f t="shared" ref="E39:E70" si="1">SUM(D39:D39)</f>
        <v>0</v>
      </c>
    </row>
    <row r="40" spans="2:5" ht="18" customHeight="1" x14ac:dyDescent="0.25">
      <c r="B40" s="201">
        <v>12</v>
      </c>
      <c r="C40" s="202" t="str">
        <f>Config!C16&amp;", "&amp;Config!D16</f>
        <v>Stephens, Melvin</v>
      </c>
      <c r="D40" s="112">
        <v>2.5</v>
      </c>
      <c r="E40" s="206">
        <f t="shared" si="1"/>
        <v>2.5</v>
      </c>
    </row>
    <row r="41" spans="2:5" s="115" customFormat="1" ht="13.2" customHeight="1" x14ac:dyDescent="0.2">
      <c r="B41" s="121"/>
      <c r="C41" s="123" t="s">
        <v>126</v>
      </c>
      <c r="D41" s="108"/>
      <c r="E41" s="120">
        <f t="shared" si="1"/>
        <v>0</v>
      </c>
    </row>
    <row r="42" spans="2:5" s="115" customFormat="1" ht="13.2" customHeight="1" x14ac:dyDescent="0.2">
      <c r="B42" s="140"/>
      <c r="C42" s="141" t="s">
        <v>127</v>
      </c>
      <c r="D42" s="100"/>
      <c r="E42" s="119">
        <f t="shared" si="1"/>
        <v>0</v>
      </c>
    </row>
    <row r="43" spans="2:5" ht="18" customHeight="1" x14ac:dyDescent="0.25">
      <c r="B43" s="198">
        <v>13</v>
      </c>
      <c r="C43" s="199" t="str">
        <f>Config!C17&amp;", "&amp;Config!D17</f>
        <v>Cremer, Marvin</v>
      </c>
      <c r="D43" s="114">
        <v>5</v>
      </c>
      <c r="E43" s="205">
        <f t="shared" si="1"/>
        <v>5</v>
      </c>
    </row>
    <row r="44" spans="2:5" s="115" customFormat="1" ht="13.2" customHeight="1" x14ac:dyDescent="0.2">
      <c r="B44" s="118"/>
      <c r="C44" s="122" t="s">
        <v>126</v>
      </c>
      <c r="D44" s="104"/>
      <c r="E44" s="117">
        <f t="shared" si="1"/>
        <v>0</v>
      </c>
    </row>
    <row r="45" spans="2:5" s="115" customFormat="1" ht="13.2" customHeight="1" x14ac:dyDescent="0.2">
      <c r="B45" s="138"/>
      <c r="C45" s="139" t="s">
        <v>127</v>
      </c>
      <c r="D45" s="100"/>
      <c r="E45" s="116">
        <f t="shared" si="1"/>
        <v>0</v>
      </c>
    </row>
    <row r="46" spans="2:5" ht="18" customHeight="1" x14ac:dyDescent="0.25">
      <c r="B46" s="201">
        <v>14</v>
      </c>
      <c r="C46" s="202" t="str">
        <f>Config!C18&amp;", "&amp;Config!D18</f>
        <v>Nash, Jean</v>
      </c>
      <c r="D46" s="112">
        <v>5</v>
      </c>
      <c r="E46" s="206">
        <f t="shared" si="1"/>
        <v>5</v>
      </c>
    </row>
    <row r="47" spans="2:5" s="115" customFormat="1" ht="13.2" customHeight="1" x14ac:dyDescent="0.2">
      <c r="B47" s="121"/>
      <c r="C47" s="123" t="s">
        <v>126</v>
      </c>
      <c r="D47" s="108"/>
      <c r="E47" s="120">
        <f t="shared" si="1"/>
        <v>0</v>
      </c>
    </row>
    <row r="48" spans="2:5" s="115" customFormat="1" ht="13.2" customHeight="1" x14ac:dyDescent="0.2">
      <c r="B48" s="140"/>
      <c r="C48" s="141" t="s">
        <v>127</v>
      </c>
      <c r="D48" s="100"/>
      <c r="E48" s="119">
        <f t="shared" si="1"/>
        <v>0</v>
      </c>
    </row>
    <row r="49" spans="2:5" ht="18" customHeight="1" x14ac:dyDescent="0.25">
      <c r="B49" s="198">
        <v>15</v>
      </c>
      <c r="C49" s="199" t="str">
        <f>Config!C19&amp;", "&amp;Config!D19</f>
        <v>Schön, Leonardo</v>
      </c>
      <c r="D49" s="114">
        <v>2.5</v>
      </c>
      <c r="E49" s="205">
        <f t="shared" si="1"/>
        <v>2.5</v>
      </c>
    </row>
    <row r="50" spans="2:5" s="115" customFormat="1" ht="13.2" customHeight="1" x14ac:dyDescent="0.2">
      <c r="B50" s="118"/>
      <c r="C50" s="122" t="s">
        <v>126</v>
      </c>
      <c r="D50" s="104"/>
      <c r="E50" s="117">
        <f t="shared" si="1"/>
        <v>0</v>
      </c>
    </row>
    <row r="51" spans="2:5" s="115" customFormat="1" ht="13.2" customHeight="1" x14ac:dyDescent="0.2">
      <c r="B51" s="138"/>
      <c r="C51" s="139" t="s">
        <v>127</v>
      </c>
      <c r="D51" s="100"/>
      <c r="E51" s="116">
        <f t="shared" si="1"/>
        <v>0</v>
      </c>
    </row>
    <row r="52" spans="2:5" ht="18" customHeight="1" x14ac:dyDescent="0.25">
      <c r="B52" s="201">
        <v>16</v>
      </c>
      <c r="C52" s="202" t="str">
        <f>Config!C20&amp;", "&amp;Config!D20</f>
        <v>Sigl, Nicholas</v>
      </c>
      <c r="D52" s="112">
        <v>5</v>
      </c>
      <c r="E52" s="206">
        <f t="shared" si="1"/>
        <v>5</v>
      </c>
    </row>
    <row r="53" spans="2:5" s="115" customFormat="1" ht="13.2" customHeight="1" x14ac:dyDescent="0.2">
      <c r="B53" s="121"/>
      <c r="C53" s="123" t="s">
        <v>126</v>
      </c>
      <c r="D53" s="108"/>
      <c r="E53" s="120">
        <f t="shared" si="1"/>
        <v>0</v>
      </c>
    </row>
    <row r="54" spans="2:5" s="115" customFormat="1" ht="13.2" customHeight="1" x14ac:dyDescent="0.2">
      <c r="B54" s="140"/>
      <c r="C54" s="141" t="s">
        <v>127</v>
      </c>
      <c r="D54" s="100"/>
      <c r="E54" s="119">
        <f t="shared" si="1"/>
        <v>0</v>
      </c>
    </row>
    <row r="55" spans="2:5" ht="18" customHeight="1" x14ac:dyDescent="0.25">
      <c r="B55" s="198">
        <v>17</v>
      </c>
      <c r="C55" s="199" t="str">
        <f>Config!C21&amp;", "&amp;Config!D21</f>
        <v>Kainz, Vivienne</v>
      </c>
      <c r="D55" s="114">
        <v>5</v>
      </c>
      <c r="E55" s="205">
        <f t="shared" si="1"/>
        <v>5</v>
      </c>
    </row>
    <row r="56" spans="2:5" s="115" customFormat="1" ht="13.2" customHeight="1" x14ac:dyDescent="0.2">
      <c r="B56" s="118"/>
      <c r="C56" s="122" t="s">
        <v>126</v>
      </c>
      <c r="D56" s="104"/>
      <c r="E56" s="117">
        <f t="shared" si="1"/>
        <v>0</v>
      </c>
    </row>
    <row r="57" spans="2:5" s="115" customFormat="1" ht="13.2" customHeight="1" x14ac:dyDescent="0.2">
      <c r="B57" s="138"/>
      <c r="C57" s="139" t="s">
        <v>127</v>
      </c>
      <c r="D57" s="100"/>
      <c r="E57" s="116">
        <f t="shared" si="1"/>
        <v>0</v>
      </c>
    </row>
    <row r="58" spans="2:5" ht="18" customHeight="1" x14ac:dyDescent="0.25">
      <c r="B58" s="201">
        <v>18</v>
      </c>
      <c r="C58" s="202" t="str">
        <f>Config!C22&amp;", "&amp;Config!D22</f>
        <v>Hartmann, Mads</v>
      </c>
      <c r="D58" s="112">
        <v>2.5</v>
      </c>
      <c r="E58" s="206">
        <f t="shared" si="1"/>
        <v>2.5</v>
      </c>
    </row>
    <row r="59" spans="2:5" s="115" customFormat="1" ht="13.2" customHeight="1" x14ac:dyDescent="0.2">
      <c r="B59" s="121"/>
      <c r="C59" s="123" t="s">
        <v>126</v>
      </c>
      <c r="D59" s="108"/>
      <c r="E59" s="120">
        <f t="shared" si="1"/>
        <v>0</v>
      </c>
    </row>
    <row r="60" spans="2:5" s="115" customFormat="1" ht="13.2" customHeight="1" x14ac:dyDescent="0.2">
      <c r="B60" s="140"/>
      <c r="C60" s="141" t="s">
        <v>127</v>
      </c>
      <c r="D60" s="100"/>
      <c r="E60" s="119">
        <f t="shared" si="1"/>
        <v>0</v>
      </c>
    </row>
    <row r="61" spans="2:5" ht="18" customHeight="1" x14ac:dyDescent="0.25">
      <c r="B61" s="198">
        <v>19</v>
      </c>
      <c r="C61" s="199" t="str">
        <f>Config!C23&amp;", "&amp;Config!D23</f>
        <v>Ullmann, Raphael</v>
      </c>
      <c r="D61" s="114">
        <v>5</v>
      </c>
      <c r="E61" s="205">
        <f t="shared" si="1"/>
        <v>5</v>
      </c>
    </row>
    <row r="62" spans="2:5" s="115" customFormat="1" ht="13.2" customHeight="1" x14ac:dyDescent="0.2">
      <c r="B62" s="118"/>
      <c r="C62" s="122" t="s">
        <v>126</v>
      </c>
      <c r="D62" s="104"/>
      <c r="E62" s="117">
        <f t="shared" si="1"/>
        <v>0</v>
      </c>
    </row>
    <row r="63" spans="2:5" s="115" customFormat="1" ht="13.2" customHeight="1" x14ac:dyDescent="0.2">
      <c r="B63" s="138"/>
      <c r="C63" s="139" t="s">
        <v>127</v>
      </c>
      <c r="D63" s="100"/>
      <c r="E63" s="116">
        <f t="shared" si="1"/>
        <v>0</v>
      </c>
    </row>
    <row r="64" spans="2:5" ht="18" customHeight="1" x14ac:dyDescent="0.25">
      <c r="B64" s="201">
        <v>20</v>
      </c>
      <c r="C64" s="202" t="str">
        <f>Config!C24&amp;", "&amp;Config!D24</f>
        <v>Hartl, Emmely</v>
      </c>
      <c r="D64" s="112">
        <v>3</v>
      </c>
      <c r="E64" s="206">
        <f t="shared" si="1"/>
        <v>3</v>
      </c>
    </row>
    <row r="65" spans="2:5" s="115" customFormat="1" ht="13.2" customHeight="1" x14ac:dyDescent="0.2">
      <c r="B65" s="121"/>
      <c r="C65" s="123" t="s">
        <v>126</v>
      </c>
      <c r="D65" s="108"/>
      <c r="E65" s="120">
        <f t="shared" si="1"/>
        <v>0</v>
      </c>
    </row>
    <row r="66" spans="2:5" s="115" customFormat="1" ht="13.2" customHeight="1" x14ac:dyDescent="0.2">
      <c r="B66" s="140"/>
      <c r="C66" s="141" t="s">
        <v>127</v>
      </c>
      <c r="D66" s="100"/>
      <c r="E66" s="119">
        <f t="shared" si="1"/>
        <v>0</v>
      </c>
    </row>
    <row r="67" spans="2:5" ht="18" customHeight="1" x14ac:dyDescent="0.25">
      <c r="B67" s="198">
        <v>21</v>
      </c>
      <c r="C67" s="199" t="str">
        <f>Config!C25&amp;", "&amp;Config!D25</f>
        <v>Klotz, Karin</v>
      </c>
      <c r="D67" s="114">
        <v>4</v>
      </c>
      <c r="E67" s="205">
        <f t="shared" si="1"/>
        <v>4</v>
      </c>
    </row>
    <row r="68" spans="2:5" s="115" customFormat="1" ht="13.2" customHeight="1" x14ac:dyDescent="0.2">
      <c r="B68" s="118"/>
      <c r="C68" s="122" t="s">
        <v>126</v>
      </c>
      <c r="D68" s="104"/>
      <c r="E68" s="117">
        <f t="shared" si="1"/>
        <v>0</v>
      </c>
    </row>
    <row r="69" spans="2:5" s="115" customFormat="1" ht="13.2" customHeight="1" x14ac:dyDescent="0.2">
      <c r="B69" s="138"/>
      <c r="C69" s="139" t="s">
        <v>127</v>
      </c>
      <c r="D69" s="100"/>
      <c r="E69" s="116">
        <f t="shared" si="1"/>
        <v>0</v>
      </c>
    </row>
    <row r="70" spans="2:5" ht="18" customHeight="1" x14ac:dyDescent="0.25">
      <c r="B70" s="201">
        <v>22</v>
      </c>
      <c r="C70" s="202" t="str">
        <f>Config!C26&amp;", "&amp;Config!D26</f>
        <v>Ehlers, Ingo</v>
      </c>
      <c r="D70" s="112">
        <v>5</v>
      </c>
      <c r="E70" s="206">
        <f t="shared" si="1"/>
        <v>5</v>
      </c>
    </row>
    <row r="71" spans="2:5" s="115" customFormat="1" ht="13.2" customHeight="1" x14ac:dyDescent="0.2">
      <c r="B71" s="121"/>
      <c r="C71" s="123" t="s">
        <v>126</v>
      </c>
      <c r="D71" s="108"/>
      <c r="E71" s="120">
        <f t="shared" ref="E71:E75" si="2">SUM(D71:D71)</f>
        <v>0</v>
      </c>
    </row>
    <row r="72" spans="2:5" s="115" customFormat="1" ht="13.2" customHeight="1" x14ac:dyDescent="0.2">
      <c r="B72" s="140"/>
      <c r="C72" s="141" t="s">
        <v>127</v>
      </c>
      <c r="D72" s="100"/>
      <c r="E72" s="119">
        <f t="shared" si="2"/>
        <v>0</v>
      </c>
    </row>
    <row r="73" spans="2:5" ht="18" customHeight="1" x14ac:dyDescent="0.25">
      <c r="B73" s="198">
        <v>23</v>
      </c>
      <c r="C73" s="199" t="str">
        <f>Config!C27&amp;", "&amp;Config!D27</f>
        <v>Lindemann, Mads</v>
      </c>
      <c r="D73" s="114">
        <v>5</v>
      </c>
      <c r="E73" s="205">
        <f t="shared" si="2"/>
        <v>5</v>
      </c>
    </row>
    <row r="74" spans="2:5" s="115" customFormat="1" ht="13.2" customHeight="1" x14ac:dyDescent="0.2">
      <c r="B74" s="118"/>
      <c r="C74" s="122" t="s">
        <v>126</v>
      </c>
      <c r="D74" s="104"/>
      <c r="E74" s="117">
        <f t="shared" si="2"/>
        <v>0</v>
      </c>
    </row>
    <row r="75" spans="2:5" s="115" customFormat="1" ht="13.2" customHeight="1" thickBot="1" x14ac:dyDescent="0.25">
      <c r="B75" s="138"/>
      <c r="C75" s="139" t="s">
        <v>127</v>
      </c>
      <c r="D75" s="100"/>
      <c r="E75" s="116">
        <f t="shared" si="2"/>
        <v>0</v>
      </c>
    </row>
    <row r="76" spans="2:5" ht="18" customHeight="1" thickBot="1" x14ac:dyDescent="0.3">
      <c r="B76" s="162"/>
      <c r="C76" s="163"/>
      <c r="D76" s="163">
        <f>IF(COUNTIFS(D7:D73,"&lt;&gt;",C7:C73,"&lt;&gt;ZK",C7:C73,"&lt;&gt;DK")&lt;&gt;0,SUMIFS(D7:D73,C7:C73,"&lt;&gt;ZK",C7:C73,"&lt;&gt;DK")/(COUNTIFS(D7:D73,"&lt;&gt;",C7:C73,"&lt;&gt;ZK",C7:C73,"&lt;&gt;DK")*D6),0)</f>
        <v>0.74782608695652175</v>
      </c>
      <c r="E76" s="164"/>
    </row>
    <row r="77" spans="2:5" ht="18" customHeight="1" x14ac:dyDescent="0.25"/>
    <row r="78" spans="2:5" ht="18" customHeight="1" x14ac:dyDescent="0.25"/>
    <row r="79" spans="2:5" ht="18" customHeight="1" x14ac:dyDescent="0.25"/>
    <row r="80" spans="2:5"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1">
    <dataValidation type="decimal" allowBlank="1" showErrorMessage="1" sqref="D7:D75" xr:uid="{59B51C8E-7F9E-46D9-92DB-0B82DBD002EF}">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7093F-1711-4C3F-8A24-A2D8CCB47655}">
  <sheetPr codeName="Tabelle138">
    <tabColor rgb="FF92D050"/>
  </sheetPr>
  <dimension ref="B1:I146"/>
  <sheetViews>
    <sheetView workbookViewId="0">
      <selection activeCell="D8" sqref="D8"/>
    </sheetView>
  </sheetViews>
  <sheetFormatPr baseColWidth="10" defaultRowHeight="13.2" x14ac:dyDescent="0.25"/>
  <cols>
    <col min="1" max="2" width="3.44140625" style="142" customWidth="1"/>
    <col min="3" max="3" width="25.77734375" style="142" customWidth="1"/>
    <col min="4" max="9" width="8.77734375" style="142" customWidth="1"/>
    <col min="10" max="16384" width="11.5546875" style="142"/>
  </cols>
  <sheetData>
    <row r="1" spans="2:9" ht="18" customHeight="1" thickBot="1" x14ac:dyDescent="0.3"/>
    <row r="2" spans="2:9" ht="18" customHeight="1" x14ac:dyDescent="0.25">
      <c r="B2" s="143" t="str">
        <f>Config!F2&amp;" "&amp;YEAR(Config!G24)</f>
        <v>Mathe Abitur 2026</v>
      </c>
      <c r="C2" s="144"/>
      <c r="D2" s="144"/>
      <c r="E2" s="144"/>
      <c r="F2" s="145"/>
      <c r="G2" s="145"/>
      <c r="H2" s="145"/>
      <c r="I2" s="146" t="str">
        <f>"Kurs "&amp;Config!G26</f>
        <v>Kurs K1</v>
      </c>
    </row>
    <row r="3" spans="2:9" ht="18" customHeight="1" x14ac:dyDescent="0.25">
      <c r="B3" s="147" t="s">
        <v>12</v>
      </c>
      <c r="C3" s="148"/>
      <c r="D3" s="148"/>
      <c r="E3" s="148"/>
      <c r="F3" s="148"/>
      <c r="G3" s="148"/>
      <c r="H3" s="148"/>
      <c r="I3" s="149"/>
    </row>
    <row r="4" spans="2:9" ht="18" customHeight="1" thickBot="1" x14ac:dyDescent="0.3">
      <c r="B4" s="147"/>
      <c r="C4" s="148"/>
      <c r="D4" s="150"/>
      <c r="E4" s="150"/>
      <c r="F4" s="150"/>
      <c r="G4" s="150"/>
      <c r="H4" s="150"/>
      <c r="I4" s="151"/>
    </row>
    <row r="5" spans="2:9" ht="18" customHeight="1" thickBot="1" x14ac:dyDescent="0.3">
      <c r="B5" s="152"/>
      <c r="C5" s="154"/>
      <c r="D5" s="173" t="str">
        <f>Config!L6</f>
        <v>1a</v>
      </c>
      <c r="E5" s="173" t="str">
        <f>Config!L7</f>
        <v>1b</v>
      </c>
      <c r="F5" s="173" t="str">
        <f>Config!L8</f>
        <v>1c</v>
      </c>
      <c r="G5" s="173" t="str">
        <f>Config!L9</f>
        <v>1d</v>
      </c>
      <c r="H5" s="173" t="str">
        <f>Config!L10</f>
        <v>2</v>
      </c>
      <c r="I5" s="158" t="s">
        <v>82</v>
      </c>
    </row>
    <row r="6" spans="2:9" ht="18" customHeight="1" thickBot="1" x14ac:dyDescent="0.3">
      <c r="B6" s="153"/>
      <c r="C6" s="155" t="s">
        <v>81</v>
      </c>
      <c r="D6" s="157">
        <f>Config!M6</f>
        <v>2</v>
      </c>
      <c r="E6" s="157">
        <f>Config!M7</f>
        <v>2</v>
      </c>
      <c r="F6" s="157">
        <f>Config!M8</f>
        <v>2</v>
      </c>
      <c r="G6" s="157">
        <f>Config!M9</f>
        <v>4</v>
      </c>
      <c r="H6" s="157">
        <f>Config!M10</f>
        <v>7</v>
      </c>
      <c r="I6" s="174">
        <f>Config!M21</f>
        <v>17</v>
      </c>
    </row>
    <row r="7" spans="2:9" ht="18" customHeight="1" x14ac:dyDescent="0.25">
      <c r="B7" s="203">
        <v>1</v>
      </c>
      <c r="C7" s="204" t="str">
        <f>Config!C5&amp;", "&amp;Config!D5</f>
        <v>Höfer, Simon</v>
      </c>
      <c r="D7" s="109">
        <v>2</v>
      </c>
      <c r="E7" s="109">
        <v>2</v>
      </c>
      <c r="F7" s="109">
        <v>2</v>
      </c>
      <c r="G7" s="109">
        <v>4</v>
      </c>
      <c r="H7" s="110">
        <v>3</v>
      </c>
      <c r="I7" s="200">
        <f t="shared" ref="I7:I38" si="0">SUM(D7:H7)</f>
        <v>13</v>
      </c>
    </row>
    <row r="8" spans="2:9" s="115" customFormat="1" ht="13.2" customHeight="1" x14ac:dyDescent="0.2">
      <c r="B8" s="118"/>
      <c r="C8" s="122" t="s">
        <v>126</v>
      </c>
      <c r="D8" s="101"/>
      <c r="E8" s="101"/>
      <c r="F8" s="101"/>
      <c r="G8" s="101"/>
      <c r="H8" s="104"/>
      <c r="I8" s="117">
        <f t="shared" si="0"/>
        <v>0</v>
      </c>
    </row>
    <row r="9" spans="2:9" s="115" customFormat="1" ht="13.2" customHeight="1" x14ac:dyDescent="0.2">
      <c r="B9" s="138"/>
      <c r="C9" s="139" t="s">
        <v>127</v>
      </c>
      <c r="D9" s="99"/>
      <c r="E9" s="99"/>
      <c r="F9" s="99"/>
      <c r="G9" s="99"/>
      <c r="H9" s="100"/>
      <c r="I9" s="116">
        <f t="shared" si="0"/>
        <v>0</v>
      </c>
    </row>
    <row r="10" spans="2:9" ht="18" customHeight="1" x14ac:dyDescent="0.25">
      <c r="B10" s="201">
        <v>2</v>
      </c>
      <c r="C10" s="202" t="str">
        <f>Config!C6&amp;", "&amp;Config!D6</f>
        <v>Töpfer, Lilian</v>
      </c>
      <c r="D10" s="111">
        <v>1</v>
      </c>
      <c r="E10" s="111">
        <v>2</v>
      </c>
      <c r="F10" s="111">
        <v>1</v>
      </c>
      <c r="G10" s="111">
        <v>2</v>
      </c>
      <c r="H10" s="112">
        <v>1</v>
      </c>
      <c r="I10" s="206">
        <f t="shared" si="0"/>
        <v>7</v>
      </c>
    </row>
    <row r="11" spans="2:9" s="115" customFormat="1" ht="13.2" customHeight="1" x14ac:dyDescent="0.2">
      <c r="B11" s="121"/>
      <c r="C11" s="123" t="s">
        <v>126</v>
      </c>
      <c r="D11" s="106"/>
      <c r="E11" s="106"/>
      <c r="F11" s="106"/>
      <c r="G11" s="106"/>
      <c r="H11" s="108"/>
      <c r="I11" s="120">
        <f t="shared" si="0"/>
        <v>0</v>
      </c>
    </row>
    <row r="12" spans="2:9" s="115" customFormat="1" ht="13.2" customHeight="1" x14ac:dyDescent="0.2">
      <c r="B12" s="140"/>
      <c r="C12" s="141" t="s">
        <v>127</v>
      </c>
      <c r="D12" s="99"/>
      <c r="E12" s="99"/>
      <c r="F12" s="99"/>
      <c r="G12" s="99"/>
      <c r="H12" s="100"/>
      <c r="I12" s="119">
        <f t="shared" si="0"/>
        <v>0</v>
      </c>
    </row>
    <row r="13" spans="2:9" ht="18" customHeight="1" x14ac:dyDescent="0.25">
      <c r="B13" s="198">
        <v>3</v>
      </c>
      <c r="C13" s="199" t="str">
        <f>Config!C7&amp;", "&amp;Config!D7</f>
        <v>Fleischmann, Leonie</v>
      </c>
      <c r="D13" s="113">
        <v>2</v>
      </c>
      <c r="E13" s="113">
        <v>2</v>
      </c>
      <c r="F13" s="113">
        <v>1</v>
      </c>
      <c r="G13" s="113">
        <v>3</v>
      </c>
      <c r="H13" s="114">
        <v>0</v>
      </c>
      <c r="I13" s="205">
        <f t="shared" si="0"/>
        <v>8</v>
      </c>
    </row>
    <row r="14" spans="2:9" s="115" customFormat="1" ht="13.2" customHeight="1" x14ac:dyDescent="0.2">
      <c r="B14" s="118"/>
      <c r="C14" s="122" t="s">
        <v>126</v>
      </c>
      <c r="D14" s="101"/>
      <c r="E14" s="101"/>
      <c r="F14" s="101"/>
      <c r="G14" s="101"/>
      <c r="H14" s="104"/>
      <c r="I14" s="117">
        <f t="shared" si="0"/>
        <v>0</v>
      </c>
    </row>
    <row r="15" spans="2:9" s="115" customFormat="1" ht="13.2" customHeight="1" x14ac:dyDescent="0.2">
      <c r="B15" s="138"/>
      <c r="C15" s="139" t="s">
        <v>127</v>
      </c>
      <c r="D15" s="99"/>
      <c r="E15" s="99"/>
      <c r="F15" s="99"/>
      <c r="G15" s="99"/>
      <c r="H15" s="100"/>
      <c r="I15" s="116">
        <f t="shared" si="0"/>
        <v>0</v>
      </c>
    </row>
    <row r="16" spans="2:9" ht="18" customHeight="1" x14ac:dyDescent="0.25">
      <c r="B16" s="201">
        <v>4</v>
      </c>
      <c r="C16" s="202" t="str">
        <f>Config!C8&amp;", "&amp;Config!D8</f>
        <v>Drescher, Cedric</v>
      </c>
      <c r="D16" s="111">
        <v>2</v>
      </c>
      <c r="E16" s="111">
        <v>2</v>
      </c>
      <c r="F16" s="111">
        <v>1</v>
      </c>
      <c r="G16" s="111">
        <v>4</v>
      </c>
      <c r="H16" s="112">
        <v>0</v>
      </c>
      <c r="I16" s="206">
        <f t="shared" si="0"/>
        <v>9</v>
      </c>
    </row>
    <row r="17" spans="2:9" s="115" customFormat="1" ht="13.2" customHeight="1" x14ac:dyDescent="0.2">
      <c r="B17" s="121"/>
      <c r="C17" s="123" t="s">
        <v>126</v>
      </c>
      <c r="D17" s="106"/>
      <c r="E17" s="106"/>
      <c r="F17" s="106"/>
      <c r="G17" s="106"/>
      <c r="H17" s="108"/>
      <c r="I17" s="120">
        <f t="shared" si="0"/>
        <v>0</v>
      </c>
    </row>
    <row r="18" spans="2:9" s="115" customFormat="1" ht="13.2" customHeight="1" x14ac:dyDescent="0.2">
      <c r="B18" s="140"/>
      <c r="C18" s="141" t="s">
        <v>127</v>
      </c>
      <c r="D18" s="99"/>
      <c r="E18" s="99"/>
      <c r="F18" s="99"/>
      <c r="G18" s="99"/>
      <c r="H18" s="100"/>
      <c r="I18" s="119">
        <f t="shared" si="0"/>
        <v>0</v>
      </c>
    </row>
    <row r="19" spans="2:9" ht="18" customHeight="1" x14ac:dyDescent="0.25">
      <c r="B19" s="198">
        <v>5</v>
      </c>
      <c r="C19" s="199" t="str">
        <f>Config!C9&amp;", "&amp;Config!D9</f>
        <v>Baumgarten, Annabell</v>
      </c>
      <c r="D19" s="113">
        <v>1</v>
      </c>
      <c r="E19" s="113">
        <v>1</v>
      </c>
      <c r="F19" s="113">
        <v>1</v>
      </c>
      <c r="G19" s="113">
        <v>1.5</v>
      </c>
      <c r="H19" s="114">
        <v>0</v>
      </c>
      <c r="I19" s="205">
        <f t="shared" si="0"/>
        <v>4.5</v>
      </c>
    </row>
    <row r="20" spans="2:9" s="115" customFormat="1" ht="13.2" customHeight="1" x14ac:dyDescent="0.2">
      <c r="B20" s="118"/>
      <c r="C20" s="122" t="s">
        <v>126</v>
      </c>
      <c r="D20" s="101"/>
      <c r="E20" s="101"/>
      <c r="F20" s="101"/>
      <c r="G20" s="101"/>
      <c r="H20" s="104"/>
      <c r="I20" s="117">
        <f t="shared" si="0"/>
        <v>0</v>
      </c>
    </row>
    <row r="21" spans="2:9" s="115" customFormat="1" ht="13.2" customHeight="1" x14ac:dyDescent="0.2">
      <c r="B21" s="138"/>
      <c r="C21" s="139" t="s">
        <v>127</v>
      </c>
      <c r="D21" s="99"/>
      <c r="E21" s="99"/>
      <c r="F21" s="99"/>
      <c r="G21" s="99"/>
      <c r="H21" s="100"/>
      <c r="I21" s="116">
        <f t="shared" si="0"/>
        <v>0</v>
      </c>
    </row>
    <row r="22" spans="2:9" ht="18" customHeight="1" x14ac:dyDescent="0.25">
      <c r="B22" s="201">
        <v>6</v>
      </c>
      <c r="C22" s="202" t="str">
        <f>Config!C10&amp;", "&amp;Config!D10</f>
        <v>Traut, Stefanie</v>
      </c>
      <c r="D22" s="111">
        <v>2</v>
      </c>
      <c r="E22" s="111">
        <v>0.5</v>
      </c>
      <c r="F22" s="111">
        <v>1</v>
      </c>
      <c r="G22" s="111">
        <v>4</v>
      </c>
      <c r="H22" s="112">
        <v>3</v>
      </c>
      <c r="I22" s="206">
        <f t="shared" si="0"/>
        <v>10.5</v>
      </c>
    </row>
    <row r="23" spans="2:9" s="115" customFormat="1" ht="13.2" customHeight="1" x14ac:dyDescent="0.2">
      <c r="B23" s="121"/>
      <c r="C23" s="123" t="s">
        <v>126</v>
      </c>
      <c r="D23" s="106"/>
      <c r="E23" s="106"/>
      <c r="F23" s="106"/>
      <c r="G23" s="106"/>
      <c r="H23" s="108"/>
      <c r="I23" s="120">
        <f t="shared" si="0"/>
        <v>0</v>
      </c>
    </row>
    <row r="24" spans="2:9" s="115" customFormat="1" ht="13.2" customHeight="1" x14ac:dyDescent="0.2">
      <c r="B24" s="140"/>
      <c r="C24" s="141" t="s">
        <v>127</v>
      </c>
      <c r="D24" s="99"/>
      <c r="E24" s="99"/>
      <c r="F24" s="99"/>
      <c r="G24" s="99"/>
      <c r="H24" s="100"/>
      <c r="I24" s="119">
        <f t="shared" si="0"/>
        <v>0</v>
      </c>
    </row>
    <row r="25" spans="2:9" ht="18" customHeight="1" x14ac:dyDescent="0.25">
      <c r="B25" s="198">
        <v>7</v>
      </c>
      <c r="C25" s="199" t="str">
        <f>Config!C11&amp;", "&amp;Config!D11</f>
        <v>Menke, Damian</v>
      </c>
      <c r="D25" s="113">
        <v>2</v>
      </c>
      <c r="E25" s="113">
        <v>2</v>
      </c>
      <c r="F25" s="113">
        <v>2</v>
      </c>
      <c r="G25" s="113">
        <v>2.5</v>
      </c>
      <c r="H25" s="114">
        <v>0</v>
      </c>
      <c r="I25" s="205">
        <f t="shared" si="0"/>
        <v>8.5</v>
      </c>
    </row>
    <row r="26" spans="2:9" s="115" customFormat="1" ht="13.2" customHeight="1" x14ac:dyDescent="0.2">
      <c r="B26" s="118"/>
      <c r="C26" s="122" t="s">
        <v>126</v>
      </c>
      <c r="D26" s="101"/>
      <c r="E26" s="101"/>
      <c r="F26" s="101"/>
      <c r="G26" s="101"/>
      <c r="H26" s="104"/>
      <c r="I26" s="117">
        <f t="shared" si="0"/>
        <v>0</v>
      </c>
    </row>
    <row r="27" spans="2:9" s="115" customFormat="1" ht="13.2" customHeight="1" x14ac:dyDescent="0.2">
      <c r="B27" s="138"/>
      <c r="C27" s="139" t="s">
        <v>127</v>
      </c>
      <c r="D27" s="99"/>
      <c r="E27" s="99"/>
      <c r="F27" s="99"/>
      <c r="G27" s="99"/>
      <c r="H27" s="100"/>
      <c r="I27" s="116">
        <f t="shared" si="0"/>
        <v>0</v>
      </c>
    </row>
    <row r="28" spans="2:9" ht="18" customHeight="1" x14ac:dyDescent="0.25">
      <c r="B28" s="201">
        <v>8</v>
      </c>
      <c r="C28" s="202" t="str">
        <f>Config!C12&amp;", "&amp;Config!D12</f>
        <v>Carroll, Meik</v>
      </c>
      <c r="D28" s="111">
        <v>2</v>
      </c>
      <c r="E28" s="111">
        <v>2</v>
      </c>
      <c r="F28" s="111">
        <v>2</v>
      </c>
      <c r="G28" s="111">
        <v>2</v>
      </c>
      <c r="H28" s="112">
        <v>0.5</v>
      </c>
      <c r="I28" s="206">
        <f t="shared" si="0"/>
        <v>8.5</v>
      </c>
    </row>
    <row r="29" spans="2:9" s="115" customFormat="1" ht="13.2" customHeight="1" x14ac:dyDescent="0.2">
      <c r="B29" s="121"/>
      <c r="C29" s="123" t="s">
        <v>126</v>
      </c>
      <c r="D29" s="106"/>
      <c r="E29" s="106"/>
      <c r="F29" s="106"/>
      <c r="G29" s="106"/>
      <c r="H29" s="108"/>
      <c r="I29" s="120">
        <f t="shared" si="0"/>
        <v>0</v>
      </c>
    </row>
    <row r="30" spans="2:9" s="115" customFormat="1" ht="13.2" customHeight="1" x14ac:dyDescent="0.2">
      <c r="B30" s="140"/>
      <c r="C30" s="141" t="s">
        <v>127</v>
      </c>
      <c r="D30" s="99"/>
      <c r="E30" s="99"/>
      <c r="F30" s="99"/>
      <c r="G30" s="99"/>
      <c r="H30" s="100"/>
      <c r="I30" s="119">
        <f t="shared" si="0"/>
        <v>0</v>
      </c>
    </row>
    <row r="31" spans="2:9" ht="18" customHeight="1" x14ac:dyDescent="0.25">
      <c r="B31" s="198">
        <v>9</v>
      </c>
      <c r="C31" s="199" t="str">
        <f>Config!C13&amp;", "&amp;Config!D13</f>
        <v>Hennings, Tomas</v>
      </c>
      <c r="D31" s="113">
        <v>2</v>
      </c>
      <c r="E31" s="113">
        <v>2</v>
      </c>
      <c r="F31" s="113">
        <v>2</v>
      </c>
      <c r="G31" s="113">
        <v>4</v>
      </c>
      <c r="H31" s="114">
        <v>3</v>
      </c>
      <c r="I31" s="205">
        <f t="shared" si="0"/>
        <v>13</v>
      </c>
    </row>
    <row r="32" spans="2:9" s="115" customFormat="1" ht="13.2" customHeight="1" x14ac:dyDescent="0.2">
      <c r="B32" s="118"/>
      <c r="C32" s="122" t="s">
        <v>126</v>
      </c>
      <c r="D32" s="101"/>
      <c r="E32" s="101"/>
      <c r="F32" s="101"/>
      <c r="G32" s="101"/>
      <c r="H32" s="104"/>
      <c r="I32" s="117">
        <f t="shared" si="0"/>
        <v>0</v>
      </c>
    </row>
    <row r="33" spans="2:9" s="115" customFormat="1" ht="13.2" customHeight="1" x14ac:dyDescent="0.2">
      <c r="B33" s="138"/>
      <c r="C33" s="139" t="s">
        <v>127</v>
      </c>
      <c r="D33" s="99"/>
      <c r="E33" s="99"/>
      <c r="F33" s="99"/>
      <c r="G33" s="99"/>
      <c r="H33" s="100"/>
      <c r="I33" s="116">
        <f t="shared" si="0"/>
        <v>0</v>
      </c>
    </row>
    <row r="34" spans="2:9" ht="18" customHeight="1" x14ac:dyDescent="0.25">
      <c r="B34" s="201">
        <v>10</v>
      </c>
      <c r="C34" s="202" t="str">
        <f>Config!C14&amp;", "&amp;Config!D14</f>
        <v>Walters, Linn</v>
      </c>
      <c r="D34" s="111">
        <v>2</v>
      </c>
      <c r="E34" s="111">
        <v>2</v>
      </c>
      <c r="F34" s="111">
        <v>2</v>
      </c>
      <c r="G34" s="111">
        <v>2</v>
      </c>
      <c r="H34" s="112">
        <v>0</v>
      </c>
      <c r="I34" s="206">
        <f t="shared" si="0"/>
        <v>8</v>
      </c>
    </row>
    <row r="35" spans="2:9" s="115" customFormat="1" ht="13.2" customHeight="1" x14ac:dyDescent="0.2">
      <c r="B35" s="121"/>
      <c r="C35" s="123" t="s">
        <v>126</v>
      </c>
      <c r="D35" s="106"/>
      <c r="E35" s="106"/>
      <c r="F35" s="106"/>
      <c r="G35" s="106"/>
      <c r="H35" s="108"/>
      <c r="I35" s="120">
        <f t="shared" si="0"/>
        <v>0</v>
      </c>
    </row>
    <row r="36" spans="2:9" s="115" customFormat="1" ht="13.2" customHeight="1" x14ac:dyDescent="0.2">
      <c r="B36" s="140"/>
      <c r="C36" s="141" t="s">
        <v>127</v>
      </c>
      <c r="D36" s="99"/>
      <c r="E36" s="99"/>
      <c r="F36" s="99"/>
      <c r="G36" s="99"/>
      <c r="H36" s="100"/>
      <c r="I36" s="119">
        <f t="shared" si="0"/>
        <v>0</v>
      </c>
    </row>
    <row r="37" spans="2:9" ht="18" customHeight="1" x14ac:dyDescent="0.25">
      <c r="B37" s="198">
        <v>11</v>
      </c>
      <c r="C37" s="199" t="str">
        <f>Config!C15&amp;", "&amp;Config!D15</f>
        <v>Junker, Amely</v>
      </c>
      <c r="D37" s="113">
        <v>1</v>
      </c>
      <c r="E37" s="113">
        <v>0</v>
      </c>
      <c r="F37" s="113">
        <v>2</v>
      </c>
      <c r="G37" s="113">
        <v>1.5</v>
      </c>
      <c r="H37" s="114">
        <v>2</v>
      </c>
      <c r="I37" s="205">
        <f t="shared" si="0"/>
        <v>6.5</v>
      </c>
    </row>
    <row r="38" spans="2:9" s="115" customFormat="1" ht="13.2" customHeight="1" x14ac:dyDescent="0.2">
      <c r="B38" s="118"/>
      <c r="C38" s="122" t="s">
        <v>126</v>
      </c>
      <c r="D38" s="101"/>
      <c r="E38" s="101"/>
      <c r="F38" s="101"/>
      <c r="G38" s="101"/>
      <c r="H38" s="104"/>
      <c r="I38" s="117">
        <f t="shared" si="0"/>
        <v>0</v>
      </c>
    </row>
    <row r="39" spans="2:9" s="115" customFormat="1" ht="13.2" customHeight="1" x14ac:dyDescent="0.2">
      <c r="B39" s="138"/>
      <c r="C39" s="139" t="s">
        <v>127</v>
      </c>
      <c r="D39" s="99"/>
      <c r="E39" s="99"/>
      <c r="F39" s="99"/>
      <c r="G39" s="99"/>
      <c r="H39" s="100"/>
      <c r="I39" s="116">
        <f t="shared" ref="I39:I70" si="1">SUM(D39:H39)</f>
        <v>0</v>
      </c>
    </row>
    <row r="40" spans="2:9" ht="18" customHeight="1" x14ac:dyDescent="0.25">
      <c r="B40" s="201">
        <v>12</v>
      </c>
      <c r="C40" s="202" t="str">
        <f>Config!C16&amp;", "&amp;Config!D16</f>
        <v>Stephens, Melvin</v>
      </c>
      <c r="D40" s="111">
        <v>2</v>
      </c>
      <c r="E40" s="111">
        <v>2</v>
      </c>
      <c r="F40" s="111">
        <v>1</v>
      </c>
      <c r="G40" s="111">
        <v>0.5</v>
      </c>
      <c r="H40" s="112">
        <v>0</v>
      </c>
      <c r="I40" s="206">
        <f t="shared" si="1"/>
        <v>5.5</v>
      </c>
    </row>
    <row r="41" spans="2:9" s="115" customFormat="1" ht="13.2" customHeight="1" x14ac:dyDescent="0.2">
      <c r="B41" s="121"/>
      <c r="C41" s="123" t="s">
        <v>126</v>
      </c>
      <c r="D41" s="106"/>
      <c r="E41" s="106"/>
      <c r="F41" s="106"/>
      <c r="G41" s="106"/>
      <c r="H41" s="108"/>
      <c r="I41" s="120">
        <f t="shared" si="1"/>
        <v>0</v>
      </c>
    </row>
    <row r="42" spans="2:9" s="115" customFormat="1" ht="13.2" customHeight="1" x14ac:dyDescent="0.2">
      <c r="B42" s="140"/>
      <c r="C42" s="141" t="s">
        <v>127</v>
      </c>
      <c r="D42" s="99"/>
      <c r="E42" s="99"/>
      <c r="F42" s="99"/>
      <c r="G42" s="99"/>
      <c r="H42" s="100"/>
      <c r="I42" s="119">
        <f t="shared" si="1"/>
        <v>0</v>
      </c>
    </row>
    <row r="43" spans="2:9" ht="18" customHeight="1" x14ac:dyDescent="0.25">
      <c r="B43" s="198">
        <v>13</v>
      </c>
      <c r="C43" s="199" t="str">
        <f>Config!C17&amp;", "&amp;Config!D17</f>
        <v>Cremer, Marvin</v>
      </c>
      <c r="D43" s="113">
        <v>2</v>
      </c>
      <c r="E43" s="113">
        <v>0</v>
      </c>
      <c r="F43" s="113">
        <v>1.5</v>
      </c>
      <c r="G43" s="113">
        <v>0</v>
      </c>
      <c r="H43" s="114">
        <v>2</v>
      </c>
      <c r="I43" s="205">
        <f t="shared" si="1"/>
        <v>5.5</v>
      </c>
    </row>
    <row r="44" spans="2:9" s="115" customFormat="1" ht="13.2" customHeight="1" x14ac:dyDescent="0.2">
      <c r="B44" s="118"/>
      <c r="C44" s="122" t="s">
        <v>126</v>
      </c>
      <c r="D44" s="101"/>
      <c r="E44" s="101"/>
      <c r="F44" s="101"/>
      <c r="G44" s="101"/>
      <c r="H44" s="104"/>
      <c r="I44" s="117">
        <f t="shared" si="1"/>
        <v>0</v>
      </c>
    </row>
    <row r="45" spans="2:9" s="115" customFormat="1" ht="13.2" customHeight="1" x14ac:dyDescent="0.2">
      <c r="B45" s="138"/>
      <c r="C45" s="139" t="s">
        <v>127</v>
      </c>
      <c r="D45" s="99"/>
      <c r="E45" s="99"/>
      <c r="F45" s="99"/>
      <c r="G45" s="99"/>
      <c r="H45" s="100"/>
      <c r="I45" s="116">
        <f t="shared" si="1"/>
        <v>0</v>
      </c>
    </row>
    <row r="46" spans="2:9" ht="18" customHeight="1" x14ac:dyDescent="0.25">
      <c r="B46" s="201">
        <v>14</v>
      </c>
      <c r="C46" s="202" t="str">
        <f>Config!C18&amp;", "&amp;Config!D18</f>
        <v>Nash, Jean</v>
      </c>
      <c r="D46" s="111">
        <v>2</v>
      </c>
      <c r="E46" s="111">
        <v>0</v>
      </c>
      <c r="F46" s="111">
        <v>1</v>
      </c>
      <c r="G46" s="111">
        <v>2</v>
      </c>
      <c r="H46" s="112">
        <v>3</v>
      </c>
      <c r="I46" s="206">
        <f t="shared" si="1"/>
        <v>8</v>
      </c>
    </row>
    <row r="47" spans="2:9" s="115" customFormat="1" ht="13.2" customHeight="1" x14ac:dyDescent="0.2">
      <c r="B47" s="121"/>
      <c r="C47" s="123" t="s">
        <v>126</v>
      </c>
      <c r="D47" s="106"/>
      <c r="E47" s="106"/>
      <c r="F47" s="106"/>
      <c r="G47" s="106"/>
      <c r="H47" s="108"/>
      <c r="I47" s="120">
        <f t="shared" si="1"/>
        <v>0</v>
      </c>
    </row>
    <row r="48" spans="2:9" s="115" customFormat="1" ht="13.2" customHeight="1" x14ac:dyDescent="0.2">
      <c r="B48" s="140"/>
      <c r="C48" s="141" t="s">
        <v>127</v>
      </c>
      <c r="D48" s="99"/>
      <c r="E48" s="99"/>
      <c r="F48" s="99"/>
      <c r="G48" s="99"/>
      <c r="H48" s="100"/>
      <c r="I48" s="119">
        <f t="shared" si="1"/>
        <v>0</v>
      </c>
    </row>
    <row r="49" spans="2:9" ht="18" customHeight="1" x14ac:dyDescent="0.25">
      <c r="B49" s="198">
        <v>15</v>
      </c>
      <c r="C49" s="199" t="str">
        <f>Config!C19&amp;", "&amp;Config!D19</f>
        <v>Schön, Leonardo</v>
      </c>
      <c r="D49" s="113">
        <v>2</v>
      </c>
      <c r="E49" s="113">
        <v>0.5</v>
      </c>
      <c r="F49" s="113">
        <v>1.5</v>
      </c>
      <c r="G49" s="113">
        <v>3</v>
      </c>
      <c r="H49" s="114">
        <v>1</v>
      </c>
      <c r="I49" s="205">
        <f t="shared" si="1"/>
        <v>8</v>
      </c>
    </row>
    <row r="50" spans="2:9" s="115" customFormat="1" ht="13.2" customHeight="1" x14ac:dyDescent="0.2">
      <c r="B50" s="118"/>
      <c r="C50" s="122" t="s">
        <v>126</v>
      </c>
      <c r="D50" s="101"/>
      <c r="E50" s="101"/>
      <c r="F50" s="101"/>
      <c r="G50" s="101"/>
      <c r="H50" s="104"/>
      <c r="I50" s="117">
        <f t="shared" si="1"/>
        <v>0</v>
      </c>
    </row>
    <row r="51" spans="2:9" s="115" customFormat="1" ht="13.2" customHeight="1" x14ac:dyDescent="0.2">
      <c r="B51" s="138"/>
      <c r="C51" s="139" t="s">
        <v>127</v>
      </c>
      <c r="D51" s="99"/>
      <c r="E51" s="99"/>
      <c r="F51" s="99"/>
      <c r="G51" s="99"/>
      <c r="H51" s="100"/>
      <c r="I51" s="116">
        <f t="shared" si="1"/>
        <v>0</v>
      </c>
    </row>
    <row r="52" spans="2:9" ht="18" customHeight="1" x14ac:dyDescent="0.25">
      <c r="B52" s="201">
        <v>16</v>
      </c>
      <c r="C52" s="202" t="str">
        <f>Config!C20&amp;", "&amp;Config!D20</f>
        <v>Sigl, Nicholas</v>
      </c>
      <c r="D52" s="111">
        <v>0</v>
      </c>
      <c r="E52" s="111">
        <v>0</v>
      </c>
      <c r="F52" s="111">
        <v>0</v>
      </c>
      <c r="G52" s="111">
        <v>0</v>
      </c>
      <c r="H52" s="112">
        <v>0</v>
      </c>
      <c r="I52" s="206">
        <f t="shared" si="1"/>
        <v>0</v>
      </c>
    </row>
    <row r="53" spans="2:9" s="115" customFormat="1" ht="13.2" customHeight="1" x14ac:dyDescent="0.2">
      <c r="B53" s="121"/>
      <c r="C53" s="123" t="s">
        <v>126</v>
      </c>
      <c r="D53" s="106"/>
      <c r="E53" s="106"/>
      <c r="F53" s="106"/>
      <c r="G53" s="106"/>
      <c r="H53" s="108"/>
      <c r="I53" s="120">
        <f t="shared" si="1"/>
        <v>0</v>
      </c>
    </row>
    <row r="54" spans="2:9" s="115" customFormat="1" ht="13.2" customHeight="1" x14ac:dyDescent="0.2">
      <c r="B54" s="140"/>
      <c r="C54" s="141" t="s">
        <v>127</v>
      </c>
      <c r="D54" s="99"/>
      <c r="E54" s="99"/>
      <c r="F54" s="99"/>
      <c r="G54" s="99"/>
      <c r="H54" s="100"/>
      <c r="I54" s="119">
        <f t="shared" si="1"/>
        <v>0</v>
      </c>
    </row>
    <row r="55" spans="2:9" ht="18" customHeight="1" x14ac:dyDescent="0.25">
      <c r="B55" s="198">
        <v>17</v>
      </c>
      <c r="C55" s="199" t="str">
        <f>Config!C21&amp;", "&amp;Config!D21</f>
        <v>Kainz, Vivienne</v>
      </c>
      <c r="D55" s="113">
        <v>1</v>
      </c>
      <c r="E55" s="113">
        <v>1</v>
      </c>
      <c r="F55" s="113">
        <v>1.5</v>
      </c>
      <c r="G55" s="113">
        <v>1</v>
      </c>
      <c r="H55" s="114">
        <v>3</v>
      </c>
      <c r="I55" s="205">
        <f t="shared" si="1"/>
        <v>7.5</v>
      </c>
    </row>
    <row r="56" spans="2:9" s="115" customFormat="1" ht="13.2" customHeight="1" x14ac:dyDescent="0.2">
      <c r="B56" s="118"/>
      <c r="C56" s="122" t="s">
        <v>126</v>
      </c>
      <c r="D56" s="101"/>
      <c r="E56" s="101"/>
      <c r="F56" s="101"/>
      <c r="G56" s="101"/>
      <c r="H56" s="104"/>
      <c r="I56" s="117">
        <f t="shared" si="1"/>
        <v>0</v>
      </c>
    </row>
    <row r="57" spans="2:9" s="115" customFormat="1" ht="13.2" customHeight="1" x14ac:dyDescent="0.2">
      <c r="B57" s="138"/>
      <c r="C57" s="139" t="s">
        <v>127</v>
      </c>
      <c r="D57" s="99"/>
      <c r="E57" s="99"/>
      <c r="F57" s="99"/>
      <c r="G57" s="99"/>
      <c r="H57" s="100"/>
      <c r="I57" s="116">
        <f t="shared" si="1"/>
        <v>0</v>
      </c>
    </row>
    <row r="58" spans="2:9" ht="18" customHeight="1" x14ac:dyDescent="0.25">
      <c r="B58" s="201">
        <v>18</v>
      </c>
      <c r="C58" s="202" t="str">
        <f>Config!C22&amp;", "&amp;Config!D22</f>
        <v>Hartmann, Mads</v>
      </c>
      <c r="D58" s="111">
        <v>2</v>
      </c>
      <c r="E58" s="111">
        <v>2</v>
      </c>
      <c r="F58" s="111">
        <v>1</v>
      </c>
      <c r="G58" s="111">
        <v>2</v>
      </c>
      <c r="H58" s="112">
        <v>0</v>
      </c>
      <c r="I58" s="206">
        <f t="shared" si="1"/>
        <v>7</v>
      </c>
    </row>
    <row r="59" spans="2:9" s="115" customFormat="1" ht="13.2" customHeight="1" x14ac:dyDescent="0.2">
      <c r="B59" s="121"/>
      <c r="C59" s="123" t="s">
        <v>126</v>
      </c>
      <c r="D59" s="106"/>
      <c r="E59" s="106"/>
      <c r="F59" s="106"/>
      <c r="G59" s="106"/>
      <c r="H59" s="108"/>
      <c r="I59" s="120">
        <f t="shared" si="1"/>
        <v>0</v>
      </c>
    </row>
    <row r="60" spans="2:9" s="115" customFormat="1" ht="13.2" customHeight="1" x14ac:dyDescent="0.2">
      <c r="B60" s="140"/>
      <c r="C60" s="141" t="s">
        <v>127</v>
      </c>
      <c r="D60" s="99"/>
      <c r="E60" s="99"/>
      <c r="F60" s="99"/>
      <c r="G60" s="99"/>
      <c r="H60" s="100"/>
      <c r="I60" s="119">
        <f t="shared" si="1"/>
        <v>0</v>
      </c>
    </row>
    <row r="61" spans="2:9" ht="18" customHeight="1" x14ac:dyDescent="0.25">
      <c r="B61" s="198">
        <v>19</v>
      </c>
      <c r="C61" s="199" t="str">
        <f>Config!C23&amp;", "&amp;Config!D23</f>
        <v>Ullmann, Raphael</v>
      </c>
      <c r="D61" s="113">
        <v>2</v>
      </c>
      <c r="E61" s="113">
        <v>0.5</v>
      </c>
      <c r="F61" s="113">
        <v>1.5</v>
      </c>
      <c r="G61" s="113">
        <v>2</v>
      </c>
      <c r="H61" s="114">
        <v>1</v>
      </c>
      <c r="I61" s="205">
        <f t="shared" si="1"/>
        <v>7</v>
      </c>
    </row>
    <row r="62" spans="2:9" s="115" customFormat="1" ht="13.2" customHeight="1" x14ac:dyDescent="0.2">
      <c r="B62" s="118"/>
      <c r="C62" s="122" t="s">
        <v>126</v>
      </c>
      <c r="D62" s="101"/>
      <c r="E62" s="101"/>
      <c r="F62" s="101"/>
      <c r="G62" s="101"/>
      <c r="H62" s="104"/>
      <c r="I62" s="117">
        <f t="shared" si="1"/>
        <v>0</v>
      </c>
    </row>
    <row r="63" spans="2:9" s="115" customFormat="1" ht="13.2" customHeight="1" x14ac:dyDescent="0.2">
      <c r="B63" s="138"/>
      <c r="C63" s="139" t="s">
        <v>127</v>
      </c>
      <c r="D63" s="99"/>
      <c r="E63" s="99"/>
      <c r="F63" s="99"/>
      <c r="G63" s="99"/>
      <c r="H63" s="100"/>
      <c r="I63" s="116">
        <f t="shared" si="1"/>
        <v>0</v>
      </c>
    </row>
    <row r="64" spans="2:9" ht="18" customHeight="1" x14ac:dyDescent="0.25">
      <c r="B64" s="201">
        <v>20</v>
      </c>
      <c r="C64" s="202" t="str">
        <f>Config!C24&amp;", "&amp;Config!D24</f>
        <v>Hartl, Emmely</v>
      </c>
      <c r="D64" s="111">
        <v>2</v>
      </c>
      <c r="E64" s="111">
        <v>0.5</v>
      </c>
      <c r="F64" s="111">
        <v>2</v>
      </c>
      <c r="G64" s="111">
        <v>0</v>
      </c>
      <c r="H64" s="112">
        <v>0</v>
      </c>
      <c r="I64" s="206">
        <f t="shared" si="1"/>
        <v>4.5</v>
      </c>
    </row>
    <row r="65" spans="2:9" s="115" customFormat="1" ht="13.2" customHeight="1" x14ac:dyDescent="0.2">
      <c r="B65" s="121"/>
      <c r="C65" s="123" t="s">
        <v>126</v>
      </c>
      <c r="D65" s="106"/>
      <c r="E65" s="106"/>
      <c r="F65" s="106"/>
      <c r="G65" s="106"/>
      <c r="H65" s="108"/>
      <c r="I65" s="120">
        <f t="shared" si="1"/>
        <v>0</v>
      </c>
    </row>
    <row r="66" spans="2:9" s="115" customFormat="1" ht="13.2" customHeight="1" x14ac:dyDescent="0.2">
      <c r="B66" s="140"/>
      <c r="C66" s="141" t="s">
        <v>127</v>
      </c>
      <c r="D66" s="99"/>
      <c r="E66" s="99"/>
      <c r="F66" s="99"/>
      <c r="G66" s="99"/>
      <c r="H66" s="100"/>
      <c r="I66" s="119">
        <f t="shared" si="1"/>
        <v>0</v>
      </c>
    </row>
    <row r="67" spans="2:9" ht="18" customHeight="1" x14ac:dyDescent="0.25">
      <c r="B67" s="198">
        <v>21</v>
      </c>
      <c r="C67" s="199" t="str">
        <f>Config!C25&amp;", "&amp;Config!D25</f>
        <v>Klotz, Karin</v>
      </c>
      <c r="D67" s="113">
        <v>1</v>
      </c>
      <c r="E67" s="113">
        <v>2</v>
      </c>
      <c r="F67" s="113">
        <v>1</v>
      </c>
      <c r="G67" s="113">
        <v>2</v>
      </c>
      <c r="H67" s="114">
        <v>0</v>
      </c>
      <c r="I67" s="205">
        <f t="shared" si="1"/>
        <v>6</v>
      </c>
    </row>
    <row r="68" spans="2:9" s="115" customFormat="1" ht="13.2" customHeight="1" x14ac:dyDescent="0.2">
      <c r="B68" s="118"/>
      <c r="C68" s="122" t="s">
        <v>126</v>
      </c>
      <c r="D68" s="101"/>
      <c r="E68" s="101"/>
      <c r="F68" s="101"/>
      <c r="G68" s="101"/>
      <c r="H68" s="104"/>
      <c r="I68" s="117">
        <f t="shared" si="1"/>
        <v>0</v>
      </c>
    </row>
    <row r="69" spans="2:9" s="115" customFormat="1" ht="13.2" customHeight="1" x14ac:dyDescent="0.2">
      <c r="B69" s="138"/>
      <c r="C69" s="139" t="s">
        <v>127</v>
      </c>
      <c r="D69" s="99"/>
      <c r="E69" s="99"/>
      <c r="F69" s="99"/>
      <c r="G69" s="99"/>
      <c r="H69" s="100"/>
      <c r="I69" s="116">
        <f t="shared" si="1"/>
        <v>0</v>
      </c>
    </row>
    <row r="70" spans="2:9" ht="18" customHeight="1" x14ac:dyDescent="0.25">
      <c r="B70" s="201">
        <v>22</v>
      </c>
      <c r="C70" s="202" t="str">
        <f>Config!C26&amp;", "&amp;Config!D26</f>
        <v>Ehlers, Ingo</v>
      </c>
      <c r="D70" s="111">
        <v>2</v>
      </c>
      <c r="E70" s="111">
        <v>0</v>
      </c>
      <c r="F70" s="111">
        <v>2</v>
      </c>
      <c r="G70" s="111">
        <v>1.5</v>
      </c>
      <c r="H70" s="112">
        <v>0</v>
      </c>
      <c r="I70" s="206">
        <f t="shared" si="1"/>
        <v>5.5</v>
      </c>
    </row>
    <row r="71" spans="2:9" s="115" customFormat="1" ht="13.2" customHeight="1" x14ac:dyDescent="0.2">
      <c r="B71" s="121"/>
      <c r="C71" s="123" t="s">
        <v>126</v>
      </c>
      <c r="D71" s="106"/>
      <c r="E71" s="106"/>
      <c r="F71" s="106"/>
      <c r="G71" s="106"/>
      <c r="H71" s="108"/>
      <c r="I71" s="120">
        <f t="shared" ref="I71:I75" si="2">SUM(D71:H71)</f>
        <v>0</v>
      </c>
    </row>
    <row r="72" spans="2:9" s="115" customFormat="1" ht="13.2" customHeight="1" x14ac:dyDescent="0.2">
      <c r="B72" s="140"/>
      <c r="C72" s="141" t="s">
        <v>127</v>
      </c>
      <c r="D72" s="99"/>
      <c r="E72" s="99"/>
      <c r="F72" s="99"/>
      <c r="G72" s="99"/>
      <c r="H72" s="100"/>
      <c r="I72" s="119">
        <f t="shared" si="2"/>
        <v>0</v>
      </c>
    </row>
    <row r="73" spans="2:9" ht="18" customHeight="1" x14ac:dyDescent="0.25">
      <c r="B73" s="198">
        <v>23</v>
      </c>
      <c r="C73" s="199" t="str">
        <f>Config!C27&amp;", "&amp;Config!D27</f>
        <v>Lindemann, Mads</v>
      </c>
      <c r="D73" s="113">
        <v>2</v>
      </c>
      <c r="E73" s="113">
        <v>2</v>
      </c>
      <c r="F73" s="113">
        <v>2</v>
      </c>
      <c r="G73" s="113">
        <v>4</v>
      </c>
      <c r="H73" s="114">
        <v>0</v>
      </c>
      <c r="I73" s="205">
        <f t="shared" si="2"/>
        <v>10</v>
      </c>
    </row>
    <row r="74" spans="2:9" s="115" customFormat="1" ht="13.2" customHeight="1" x14ac:dyDescent="0.2">
      <c r="B74" s="118"/>
      <c r="C74" s="122" t="s">
        <v>126</v>
      </c>
      <c r="D74" s="101"/>
      <c r="E74" s="101"/>
      <c r="F74" s="101"/>
      <c r="G74" s="101"/>
      <c r="H74" s="104"/>
      <c r="I74" s="117">
        <f t="shared" si="2"/>
        <v>0</v>
      </c>
    </row>
    <row r="75" spans="2:9" s="115" customFormat="1" ht="13.2" customHeight="1" thickBot="1" x14ac:dyDescent="0.25">
      <c r="B75" s="138"/>
      <c r="C75" s="139" t="s">
        <v>127</v>
      </c>
      <c r="D75" s="99"/>
      <c r="E75" s="99"/>
      <c r="F75" s="99"/>
      <c r="G75" s="99"/>
      <c r="H75" s="100"/>
      <c r="I75" s="116">
        <f t="shared" si="2"/>
        <v>0</v>
      </c>
    </row>
    <row r="76" spans="2:9" ht="18" customHeight="1" thickBot="1" x14ac:dyDescent="0.3">
      <c r="B76" s="162"/>
      <c r="C76" s="163"/>
      <c r="D76" s="163">
        <f>IF(COUNTIFS(D7:D73,"&lt;&gt;",C7:C73,"&lt;&gt;ZK",C7:C73,"&lt;&gt;DK")&lt;&gt;0,SUMIFS(D7:D73,C7:C73,"&lt;&gt;ZK",C7:C73,"&lt;&gt;DK")/(COUNTIFS(D7:D73,"&lt;&gt;",C7:C73,"&lt;&gt;ZK",C7:C73,"&lt;&gt;DK")*D6),0)</f>
        <v>0.84782608695652173</v>
      </c>
      <c r="E76" s="163">
        <f>IF(COUNTIFS(E7:E73,"&lt;&gt;",C7:C73,"&lt;&gt;ZK",C7:C73,"&lt;&gt;DK")&lt;&gt;0,SUMIFS(E7:E73,C7:C73,"&lt;&gt;ZK",C7:C73,"&lt;&gt;DK")/(COUNTIFS(E7:E73,"&lt;&gt;",C7:C73,"&lt;&gt;ZK",C7:C73,"&lt;&gt;DK")*E6),0)</f>
        <v>0.60869565217391308</v>
      </c>
      <c r="F76" s="163">
        <f>IF(COUNTIFS(F7:F73,"&lt;&gt;",C7:C73,"&lt;&gt;ZK",C7:C73,"&lt;&gt;DK")&lt;&gt;0,SUMIFS(F7:F73,C7:C73,"&lt;&gt;ZK",C7:C73,"&lt;&gt;DK")/(COUNTIFS(F7:F73,"&lt;&gt;",C7:C73,"&lt;&gt;ZK",C7:C73,"&lt;&gt;DK")*F6),0)</f>
        <v>0.71739130434782605</v>
      </c>
      <c r="G76" s="163">
        <f>IF(COUNTIFS(G7:G73,"&lt;&gt;",C7:C73,"&lt;&gt;ZK",C7:C73,"&lt;&gt;DK")&lt;&gt;0,SUMIFS(G7:G73,C7:C73,"&lt;&gt;ZK",C7:C73,"&lt;&gt;DK")/(COUNTIFS(G7:G73,"&lt;&gt;",C7:C73,"&lt;&gt;ZK",C7:C73,"&lt;&gt;DK")*G6),0)</f>
        <v>0.52717391304347827</v>
      </c>
      <c r="H76" s="163">
        <f>IF(COUNTIFS(H7:H73,"&lt;&gt;",C7:C73,"&lt;&gt;ZK",C7:C73,"&lt;&gt;DK")&lt;&gt;0,SUMIFS(H7:H73,C7:C73,"&lt;&gt;ZK",C7:C73,"&lt;&gt;DK")/(COUNTIFS(H7:H73,"&lt;&gt;",C7:C73,"&lt;&gt;ZK",C7:C73,"&lt;&gt;DK")*H6),0)</f>
        <v>0.13975155279503104</v>
      </c>
      <c r="I76" s="164"/>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5">
    <dataValidation type="decimal" allowBlank="1" showErrorMessage="1" sqref="D7:D75" xr:uid="{9CB12D2D-2DB1-4890-B9C3-65C926417AB9}">
      <formula1>0</formula1>
      <formula2>$D$6</formula2>
    </dataValidation>
    <dataValidation type="decimal" allowBlank="1" showErrorMessage="1" sqref="E7:E75" xr:uid="{B50F964B-9643-4A4C-AAB3-5EAAED287CB4}">
      <formula1>0</formula1>
      <formula2>$E$6</formula2>
    </dataValidation>
    <dataValidation type="decimal" allowBlank="1" showErrorMessage="1" sqref="F7:F75" xr:uid="{DD03A5FE-3A5A-4E41-9192-577C6205B8DC}">
      <formula1>0</formula1>
      <formula2>$F$6</formula2>
    </dataValidation>
    <dataValidation type="decimal" allowBlank="1" showErrorMessage="1" sqref="G7:G75" xr:uid="{367B71F0-94A3-4868-9075-37BEA873D6EF}">
      <formula1>0</formula1>
      <formula2>$G$6</formula2>
    </dataValidation>
    <dataValidation type="decimal" allowBlank="1" showErrorMessage="1" sqref="H7:H75" xr:uid="{587E646B-9105-4F9B-B27F-17D141DC5980}">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0EEF8-5673-481B-8878-1782610C7E81}">
  <sheetPr codeName="Tabelle139">
    <tabColor rgb="FF92D050"/>
  </sheetPr>
  <dimension ref="B1:F146"/>
  <sheetViews>
    <sheetView workbookViewId="0">
      <selection activeCell="D8" sqref="D8"/>
    </sheetView>
  </sheetViews>
  <sheetFormatPr baseColWidth="10" defaultRowHeight="13.2" x14ac:dyDescent="0.25"/>
  <cols>
    <col min="1" max="2" width="3.44140625" style="142" customWidth="1"/>
    <col min="3" max="3" width="25.77734375" style="142" customWidth="1"/>
    <col min="4" max="6" width="8.77734375" style="142" customWidth="1"/>
    <col min="7" max="16384" width="11.5546875" style="142"/>
  </cols>
  <sheetData>
    <row r="1" spans="2:6" ht="18" customHeight="1" thickBot="1" x14ac:dyDescent="0.3"/>
    <row r="2" spans="2:6" ht="18" customHeight="1" x14ac:dyDescent="0.25">
      <c r="B2" s="143" t="str">
        <f>Config!F2&amp;" "&amp;YEAR(Config!G24)</f>
        <v>Mathe Abitur 2026</v>
      </c>
      <c r="C2" s="144"/>
      <c r="D2" s="144"/>
      <c r="E2" s="145"/>
      <c r="F2" s="146" t="str">
        <f>"Kurs "&amp;Config!G26</f>
        <v>Kurs K1</v>
      </c>
    </row>
    <row r="3" spans="2:6" ht="18" customHeight="1" x14ac:dyDescent="0.25">
      <c r="B3" s="147" t="s">
        <v>13</v>
      </c>
      <c r="C3" s="148"/>
      <c r="D3" s="148"/>
      <c r="E3" s="148"/>
      <c r="F3" s="149"/>
    </row>
    <row r="4" spans="2:6" ht="18" customHeight="1" thickBot="1" x14ac:dyDescent="0.3">
      <c r="B4" s="147"/>
      <c r="C4" s="148"/>
      <c r="D4" s="150"/>
      <c r="E4" s="150"/>
      <c r="F4" s="151"/>
    </row>
    <row r="5" spans="2:6" ht="18" customHeight="1" thickBot="1" x14ac:dyDescent="0.3">
      <c r="B5" s="152"/>
      <c r="C5" s="154"/>
      <c r="D5" s="173" t="str">
        <f>Config!N6</f>
        <v>1a</v>
      </c>
      <c r="E5" s="173" t="str">
        <f>Config!N7</f>
        <v>1b</v>
      </c>
      <c r="F5" s="158" t="s">
        <v>82</v>
      </c>
    </row>
    <row r="6" spans="2:6" ht="18" customHeight="1" thickBot="1" x14ac:dyDescent="0.3">
      <c r="B6" s="153"/>
      <c r="C6" s="155" t="s">
        <v>81</v>
      </c>
      <c r="D6" s="157">
        <f>Config!O6</f>
        <v>2</v>
      </c>
      <c r="E6" s="157">
        <f>Config!O7</f>
        <v>3</v>
      </c>
      <c r="F6" s="174">
        <f>Config!O21</f>
        <v>5</v>
      </c>
    </row>
    <row r="7" spans="2:6" ht="18" customHeight="1" x14ac:dyDescent="0.25">
      <c r="B7" s="203">
        <v>1</v>
      </c>
      <c r="C7" s="204" t="str">
        <f>Config!C5&amp;", "&amp;Config!D5</f>
        <v>Höfer, Simon</v>
      </c>
      <c r="D7" s="109">
        <v>0</v>
      </c>
      <c r="E7" s="110">
        <v>0</v>
      </c>
      <c r="F7" s="200">
        <f t="shared" ref="F7:F38" si="0">SUM(D7:E7)</f>
        <v>0</v>
      </c>
    </row>
    <row r="8" spans="2:6" s="115" customFormat="1" ht="13.2" customHeight="1" x14ac:dyDescent="0.2">
      <c r="B8" s="118"/>
      <c r="C8" s="122" t="s">
        <v>126</v>
      </c>
      <c r="D8" s="101"/>
      <c r="E8" s="104"/>
      <c r="F8" s="117">
        <f t="shared" si="0"/>
        <v>0</v>
      </c>
    </row>
    <row r="9" spans="2:6" s="115" customFormat="1" ht="13.2" customHeight="1" x14ac:dyDescent="0.2">
      <c r="B9" s="138"/>
      <c r="C9" s="139" t="s">
        <v>127</v>
      </c>
      <c r="D9" s="99"/>
      <c r="E9" s="100"/>
      <c r="F9" s="116">
        <f t="shared" si="0"/>
        <v>0</v>
      </c>
    </row>
    <row r="10" spans="2:6" ht="18" customHeight="1" x14ac:dyDescent="0.25">
      <c r="B10" s="201">
        <v>2</v>
      </c>
      <c r="C10" s="202" t="str">
        <f>Config!C6&amp;", "&amp;Config!D6</f>
        <v>Töpfer, Lilian</v>
      </c>
      <c r="D10" s="111">
        <v>1.5</v>
      </c>
      <c r="E10" s="112">
        <v>2</v>
      </c>
      <c r="F10" s="206">
        <f t="shared" si="0"/>
        <v>3.5</v>
      </c>
    </row>
    <row r="11" spans="2:6" s="115" customFormat="1" ht="13.2" customHeight="1" x14ac:dyDescent="0.2">
      <c r="B11" s="121"/>
      <c r="C11" s="123" t="s">
        <v>126</v>
      </c>
      <c r="D11" s="106"/>
      <c r="E11" s="108"/>
      <c r="F11" s="120">
        <f t="shared" si="0"/>
        <v>0</v>
      </c>
    </row>
    <row r="12" spans="2:6" s="115" customFormat="1" ht="13.2" customHeight="1" x14ac:dyDescent="0.2">
      <c r="B12" s="140"/>
      <c r="C12" s="141" t="s">
        <v>127</v>
      </c>
      <c r="D12" s="99"/>
      <c r="E12" s="100"/>
      <c r="F12" s="119">
        <f t="shared" si="0"/>
        <v>0</v>
      </c>
    </row>
    <row r="13" spans="2:6" ht="18" customHeight="1" x14ac:dyDescent="0.25">
      <c r="B13" s="198">
        <v>3</v>
      </c>
      <c r="C13" s="199" t="str">
        <f>Config!C7&amp;", "&amp;Config!D7</f>
        <v>Fleischmann, Leonie</v>
      </c>
      <c r="D13" s="113">
        <v>2</v>
      </c>
      <c r="E13" s="114">
        <v>2.5</v>
      </c>
      <c r="F13" s="205">
        <f t="shared" si="0"/>
        <v>4.5</v>
      </c>
    </row>
    <row r="14" spans="2:6" s="115" customFormat="1" ht="13.2" customHeight="1" x14ac:dyDescent="0.2">
      <c r="B14" s="118"/>
      <c r="C14" s="122" t="s">
        <v>126</v>
      </c>
      <c r="D14" s="101"/>
      <c r="E14" s="104"/>
      <c r="F14" s="117">
        <f t="shared" si="0"/>
        <v>0</v>
      </c>
    </row>
    <row r="15" spans="2:6" s="115" customFormat="1" ht="13.2" customHeight="1" x14ac:dyDescent="0.2">
      <c r="B15" s="138"/>
      <c r="C15" s="139" t="s">
        <v>127</v>
      </c>
      <c r="D15" s="99"/>
      <c r="E15" s="100"/>
      <c r="F15" s="116">
        <f t="shared" si="0"/>
        <v>0</v>
      </c>
    </row>
    <row r="16" spans="2:6" ht="18" customHeight="1" x14ac:dyDescent="0.25">
      <c r="B16" s="201">
        <v>4</v>
      </c>
      <c r="C16" s="202" t="str">
        <f>Config!C8&amp;", "&amp;Config!D8</f>
        <v>Drescher, Cedric</v>
      </c>
      <c r="D16" s="111">
        <v>2</v>
      </c>
      <c r="E16" s="112">
        <v>1.5</v>
      </c>
      <c r="F16" s="206">
        <f t="shared" si="0"/>
        <v>3.5</v>
      </c>
    </row>
    <row r="17" spans="2:6" s="115" customFormat="1" ht="13.2" customHeight="1" x14ac:dyDescent="0.2">
      <c r="B17" s="121"/>
      <c r="C17" s="123" t="s">
        <v>126</v>
      </c>
      <c r="D17" s="106"/>
      <c r="E17" s="108"/>
      <c r="F17" s="120">
        <f t="shared" si="0"/>
        <v>0</v>
      </c>
    </row>
    <row r="18" spans="2:6" s="115" customFormat="1" ht="13.2" customHeight="1" x14ac:dyDescent="0.2">
      <c r="B18" s="140"/>
      <c r="C18" s="141" t="s">
        <v>127</v>
      </c>
      <c r="D18" s="99"/>
      <c r="E18" s="100"/>
      <c r="F18" s="119">
        <f t="shared" si="0"/>
        <v>0</v>
      </c>
    </row>
    <row r="19" spans="2:6" ht="18" customHeight="1" x14ac:dyDescent="0.25">
      <c r="B19" s="198">
        <v>5</v>
      </c>
      <c r="C19" s="199" t="str">
        <f>Config!C9&amp;", "&amp;Config!D9</f>
        <v>Baumgarten, Annabell</v>
      </c>
      <c r="D19" s="113">
        <v>1.5</v>
      </c>
      <c r="E19" s="114">
        <v>2</v>
      </c>
      <c r="F19" s="205">
        <f t="shared" si="0"/>
        <v>3.5</v>
      </c>
    </row>
    <row r="20" spans="2:6" s="115" customFormat="1" ht="13.2" customHeight="1" x14ac:dyDescent="0.2">
      <c r="B20" s="118"/>
      <c r="C20" s="122" t="s">
        <v>126</v>
      </c>
      <c r="D20" s="101"/>
      <c r="E20" s="104"/>
      <c r="F20" s="117">
        <f t="shared" si="0"/>
        <v>0</v>
      </c>
    </row>
    <row r="21" spans="2:6" s="115" customFormat="1" ht="13.2" customHeight="1" x14ac:dyDescent="0.2">
      <c r="B21" s="138"/>
      <c r="C21" s="139" t="s">
        <v>127</v>
      </c>
      <c r="D21" s="99"/>
      <c r="E21" s="100"/>
      <c r="F21" s="116">
        <f t="shared" si="0"/>
        <v>0</v>
      </c>
    </row>
    <row r="22" spans="2:6" ht="18" customHeight="1" x14ac:dyDescent="0.25">
      <c r="B22" s="201">
        <v>6</v>
      </c>
      <c r="C22" s="202" t="str">
        <f>Config!C10&amp;", "&amp;Config!D10</f>
        <v>Traut, Stefanie</v>
      </c>
      <c r="D22" s="111">
        <v>1.5</v>
      </c>
      <c r="E22" s="112">
        <v>3</v>
      </c>
      <c r="F22" s="206">
        <f t="shared" si="0"/>
        <v>4.5</v>
      </c>
    </row>
    <row r="23" spans="2:6" s="115" customFormat="1" ht="13.2" customHeight="1" x14ac:dyDescent="0.2">
      <c r="B23" s="121"/>
      <c r="C23" s="123" t="s">
        <v>126</v>
      </c>
      <c r="D23" s="106"/>
      <c r="E23" s="108"/>
      <c r="F23" s="120">
        <f t="shared" si="0"/>
        <v>0</v>
      </c>
    </row>
    <row r="24" spans="2:6" s="115" customFormat="1" ht="13.2" customHeight="1" x14ac:dyDescent="0.2">
      <c r="B24" s="140"/>
      <c r="C24" s="141" t="s">
        <v>127</v>
      </c>
      <c r="D24" s="99"/>
      <c r="E24" s="100"/>
      <c r="F24" s="119">
        <f t="shared" si="0"/>
        <v>0</v>
      </c>
    </row>
    <row r="25" spans="2:6" ht="18" customHeight="1" x14ac:dyDescent="0.25">
      <c r="B25" s="198">
        <v>7</v>
      </c>
      <c r="C25" s="199" t="str">
        <f>Config!C11&amp;", "&amp;Config!D11</f>
        <v>Menke, Damian</v>
      </c>
      <c r="D25" s="113">
        <v>2</v>
      </c>
      <c r="E25" s="114">
        <v>2.5</v>
      </c>
      <c r="F25" s="205">
        <f t="shared" si="0"/>
        <v>4.5</v>
      </c>
    </row>
    <row r="26" spans="2:6" s="115" customFormat="1" ht="13.2" customHeight="1" x14ac:dyDescent="0.2">
      <c r="B26" s="118"/>
      <c r="C26" s="122" t="s">
        <v>126</v>
      </c>
      <c r="D26" s="101"/>
      <c r="E26" s="104"/>
      <c r="F26" s="117">
        <f t="shared" si="0"/>
        <v>0</v>
      </c>
    </row>
    <row r="27" spans="2:6" s="115" customFormat="1" ht="13.2" customHeight="1" x14ac:dyDescent="0.2">
      <c r="B27" s="138"/>
      <c r="C27" s="139" t="s">
        <v>127</v>
      </c>
      <c r="D27" s="99"/>
      <c r="E27" s="100"/>
      <c r="F27" s="116">
        <f t="shared" si="0"/>
        <v>0</v>
      </c>
    </row>
    <row r="28" spans="2:6" ht="18" customHeight="1" x14ac:dyDescent="0.25">
      <c r="B28" s="201">
        <v>8</v>
      </c>
      <c r="C28" s="202" t="str">
        <f>Config!C12&amp;", "&amp;Config!D12</f>
        <v>Carroll, Meik</v>
      </c>
      <c r="D28" s="111">
        <v>2</v>
      </c>
      <c r="E28" s="112">
        <v>2</v>
      </c>
      <c r="F28" s="206">
        <f t="shared" si="0"/>
        <v>4</v>
      </c>
    </row>
    <row r="29" spans="2:6" s="115" customFormat="1" ht="13.2" customHeight="1" x14ac:dyDescent="0.2">
      <c r="B29" s="121"/>
      <c r="C29" s="123" t="s">
        <v>126</v>
      </c>
      <c r="D29" s="106"/>
      <c r="E29" s="108"/>
      <c r="F29" s="120">
        <f t="shared" si="0"/>
        <v>0</v>
      </c>
    </row>
    <row r="30" spans="2:6" s="115" customFormat="1" ht="13.2" customHeight="1" x14ac:dyDescent="0.2">
      <c r="B30" s="140"/>
      <c r="C30" s="141" t="s">
        <v>127</v>
      </c>
      <c r="D30" s="99"/>
      <c r="E30" s="100"/>
      <c r="F30" s="119">
        <f t="shared" si="0"/>
        <v>0</v>
      </c>
    </row>
    <row r="31" spans="2:6" ht="18" customHeight="1" x14ac:dyDescent="0.25">
      <c r="B31" s="198">
        <v>9</v>
      </c>
      <c r="C31" s="199" t="str">
        <f>Config!C13&amp;", "&amp;Config!D13</f>
        <v>Hennings, Tomas</v>
      </c>
      <c r="D31" s="113">
        <v>1.5</v>
      </c>
      <c r="E31" s="114">
        <v>3</v>
      </c>
      <c r="F31" s="205">
        <f t="shared" si="0"/>
        <v>4.5</v>
      </c>
    </row>
    <row r="32" spans="2:6" s="115" customFormat="1" ht="13.2" customHeight="1" x14ac:dyDescent="0.2">
      <c r="B32" s="118"/>
      <c r="C32" s="122" t="s">
        <v>126</v>
      </c>
      <c r="D32" s="101"/>
      <c r="E32" s="104"/>
      <c r="F32" s="117">
        <f t="shared" si="0"/>
        <v>0</v>
      </c>
    </row>
    <row r="33" spans="2:6" s="115" customFormat="1" ht="13.2" customHeight="1" x14ac:dyDescent="0.2">
      <c r="B33" s="138"/>
      <c r="C33" s="139" t="s">
        <v>127</v>
      </c>
      <c r="D33" s="99"/>
      <c r="E33" s="100"/>
      <c r="F33" s="116">
        <f t="shared" si="0"/>
        <v>0</v>
      </c>
    </row>
    <row r="34" spans="2:6" ht="18" customHeight="1" x14ac:dyDescent="0.25">
      <c r="B34" s="201">
        <v>10</v>
      </c>
      <c r="C34" s="202" t="str">
        <f>Config!C14&amp;", "&amp;Config!D14</f>
        <v>Walters, Linn</v>
      </c>
      <c r="D34" s="111">
        <v>1</v>
      </c>
      <c r="E34" s="112">
        <v>0</v>
      </c>
      <c r="F34" s="206">
        <f t="shared" si="0"/>
        <v>1</v>
      </c>
    </row>
    <row r="35" spans="2:6" s="115" customFormat="1" ht="13.2" customHeight="1" x14ac:dyDescent="0.2">
      <c r="B35" s="121"/>
      <c r="C35" s="123" t="s">
        <v>126</v>
      </c>
      <c r="D35" s="106"/>
      <c r="E35" s="108"/>
      <c r="F35" s="120">
        <f t="shared" si="0"/>
        <v>0</v>
      </c>
    </row>
    <row r="36" spans="2:6" s="115" customFormat="1" ht="13.2" customHeight="1" x14ac:dyDescent="0.2">
      <c r="B36" s="140"/>
      <c r="C36" s="141" t="s">
        <v>127</v>
      </c>
      <c r="D36" s="99"/>
      <c r="E36" s="100"/>
      <c r="F36" s="119">
        <f t="shared" si="0"/>
        <v>0</v>
      </c>
    </row>
    <row r="37" spans="2:6" ht="18" customHeight="1" x14ac:dyDescent="0.25">
      <c r="B37" s="198">
        <v>11</v>
      </c>
      <c r="C37" s="199" t="str">
        <f>Config!C15&amp;", "&amp;Config!D15</f>
        <v>Junker, Amely</v>
      </c>
      <c r="D37" s="113">
        <v>2</v>
      </c>
      <c r="E37" s="114">
        <v>0</v>
      </c>
      <c r="F37" s="205">
        <f t="shared" si="0"/>
        <v>2</v>
      </c>
    </row>
    <row r="38" spans="2:6" s="115" customFormat="1" ht="13.2" customHeight="1" x14ac:dyDescent="0.2">
      <c r="B38" s="118"/>
      <c r="C38" s="122" t="s">
        <v>126</v>
      </c>
      <c r="D38" s="101"/>
      <c r="E38" s="104"/>
      <c r="F38" s="117">
        <f t="shared" si="0"/>
        <v>0</v>
      </c>
    </row>
    <row r="39" spans="2:6" s="115" customFormat="1" ht="13.2" customHeight="1" x14ac:dyDescent="0.2">
      <c r="B39" s="138"/>
      <c r="C39" s="139" t="s">
        <v>127</v>
      </c>
      <c r="D39" s="99"/>
      <c r="E39" s="100"/>
      <c r="F39" s="116">
        <f t="shared" ref="F39:F70" si="1">SUM(D39:E39)</f>
        <v>0</v>
      </c>
    </row>
    <row r="40" spans="2:6" ht="18" customHeight="1" x14ac:dyDescent="0.25">
      <c r="B40" s="201">
        <v>12</v>
      </c>
      <c r="C40" s="202" t="str">
        <f>Config!C16&amp;", "&amp;Config!D16</f>
        <v>Stephens, Melvin</v>
      </c>
      <c r="D40" s="111">
        <v>0.5</v>
      </c>
      <c r="E40" s="112">
        <v>0</v>
      </c>
      <c r="F40" s="206">
        <f t="shared" si="1"/>
        <v>0.5</v>
      </c>
    </row>
    <row r="41" spans="2:6" s="115" customFormat="1" ht="13.2" customHeight="1" x14ac:dyDescent="0.2">
      <c r="B41" s="121"/>
      <c r="C41" s="123" t="s">
        <v>126</v>
      </c>
      <c r="D41" s="106"/>
      <c r="E41" s="108"/>
      <c r="F41" s="120">
        <f t="shared" si="1"/>
        <v>0</v>
      </c>
    </row>
    <row r="42" spans="2:6" s="115" customFormat="1" ht="13.2" customHeight="1" x14ac:dyDescent="0.2">
      <c r="B42" s="140"/>
      <c r="C42" s="141" t="s">
        <v>127</v>
      </c>
      <c r="D42" s="99"/>
      <c r="E42" s="100"/>
      <c r="F42" s="119">
        <f t="shared" si="1"/>
        <v>0</v>
      </c>
    </row>
    <row r="43" spans="2:6" ht="18" customHeight="1" x14ac:dyDescent="0.25">
      <c r="B43" s="198">
        <v>13</v>
      </c>
      <c r="C43" s="199" t="str">
        <f>Config!C17&amp;", "&amp;Config!D17</f>
        <v>Cremer, Marvin</v>
      </c>
      <c r="D43" s="113">
        <v>1.5</v>
      </c>
      <c r="E43" s="114">
        <v>3</v>
      </c>
      <c r="F43" s="205">
        <f t="shared" si="1"/>
        <v>4.5</v>
      </c>
    </row>
    <row r="44" spans="2:6" s="115" customFormat="1" ht="13.2" customHeight="1" x14ac:dyDescent="0.2">
      <c r="B44" s="118"/>
      <c r="C44" s="122" t="s">
        <v>126</v>
      </c>
      <c r="D44" s="101"/>
      <c r="E44" s="104"/>
      <c r="F44" s="117">
        <f t="shared" si="1"/>
        <v>0</v>
      </c>
    </row>
    <row r="45" spans="2:6" s="115" customFormat="1" ht="13.2" customHeight="1" x14ac:dyDescent="0.2">
      <c r="B45" s="138"/>
      <c r="C45" s="139" t="s">
        <v>127</v>
      </c>
      <c r="D45" s="99"/>
      <c r="E45" s="100"/>
      <c r="F45" s="116">
        <f t="shared" si="1"/>
        <v>0</v>
      </c>
    </row>
    <row r="46" spans="2:6" ht="18" customHeight="1" x14ac:dyDescent="0.25">
      <c r="B46" s="201">
        <v>14</v>
      </c>
      <c r="C46" s="202" t="str">
        <f>Config!C18&amp;", "&amp;Config!D18</f>
        <v>Nash, Jean</v>
      </c>
      <c r="D46" s="111">
        <v>2</v>
      </c>
      <c r="E46" s="112">
        <v>2</v>
      </c>
      <c r="F46" s="206">
        <f t="shared" si="1"/>
        <v>4</v>
      </c>
    </row>
    <row r="47" spans="2:6" s="115" customFormat="1" ht="13.2" customHeight="1" x14ac:dyDescent="0.2">
      <c r="B47" s="121"/>
      <c r="C47" s="123" t="s">
        <v>126</v>
      </c>
      <c r="D47" s="106"/>
      <c r="E47" s="108"/>
      <c r="F47" s="120">
        <f t="shared" si="1"/>
        <v>0</v>
      </c>
    </row>
    <row r="48" spans="2:6" s="115" customFormat="1" ht="13.2" customHeight="1" x14ac:dyDescent="0.2">
      <c r="B48" s="140"/>
      <c r="C48" s="141" t="s">
        <v>127</v>
      </c>
      <c r="D48" s="99"/>
      <c r="E48" s="100"/>
      <c r="F48" s="119">
        <f t="shared" si="1"/>
        <v>0</v>
      </c>
    </row>
    <row r="49" spans="2:6" ht="18" customHeight="1" x14ac:dyDescent="0.25">
      <c r="B49" s="198">
        <v>15</v>
      </c>
      <c r="C49" s="199" t="str">
        <f>Config!C19&amp;", "&amp;Config!D19</f>
        <v>Schön, Leonardo</v>
      </c>
      <c r="D49" s="113">
        <v>2</v>
      </c>
      <c r="E49" s="114">
        <v>3</v>
      </c>
      <c r="F49" s="205">
        <f t="shared" si="1"/>
        <v>5</v>
      </c>
    </row>
    <row r="50" spans="2:6" s="115" customFormat="1" ht="13.2" customHeight="1" x14ac:dyDescent="0.2">
      <c r="B50" s="118"/>
      <c r="C50" s="122" t="s">
        <v>126</v>
      </c>
      <c r="D50" s="101"/>
      <c r="E50" s="104"/>
      <c r="F50" s="117">
        <f t="shared" si="1"/>
        <v>0</v>
      </c>
    </row>
    <row r="51" spans="2:6" s="115" customFormat="1" ht="13.2" customHeight="1" x14ac:dyDescent="0.2">
      <c r="B51" s="138"/>
      <c r="C51" s="139" t="s">
        <v>127</v>
      </c>
      <c r="D51" s="99"/>
      <c r="E51" s="100"/>
      <c r="F51" s="116">
        <f t="shared" si="1"/>
        <v>0</v>
      </c>
    </row>
    <row r="52" spans="2:6" ht="18" customHeight="1" x14ac:dyDescent="0.25">
      <c r="B52" s="201">
        <v>16</v>
      </c>
      <c r="C52" s="202" t="str">
        <f>Config!C20&amp;", "&amp;Config!D20</f>
        <v>Sigl, Nicholas</v>
      </c>
      <c r="D52" s="111">
        <v>2</v>
      </c>
      <c r="E52" s="112">
        <v>2.5</v>
      </c>
      <c r="F52" s="206">
        <f t="shared" si="1"/>
        <v>4.5</v>
      </c>
    </row>
    <row r="53" spans="2:6" s="115" customFormat="1" ht="13.2" customHeight="1" x14ac:dyDescent="0.2">
      <c r="B53" s="121"/>
      <c r="C53" s="123" t="s">
        <v>126</v>
      </c>
      <c r="D53" s="106"/>
      <c r="E53" s="108"/>
      <c r="F53" s="120">
        <f t="shared" si="1"/>
        <v>0</v>
      </c>
    </row>
    <row r="54" spans="2:6" s="115" customFormat="1" ht="13.2" customHeight="1" x14ac:dyDescent="0.2">
      <c r="B54" s="140"/>
      <c r="C54" s="141" t="s">
        <v>127</v>
      </c>
      <c r="D54" s="99"/>
      <c r="E54" s="100"/>
      <c r="F54" s="119">
        <f t="shared" si="1"/>
        <v>0</v>
      </c>
    </row>
    <row r="55" spans="2:6" ht="18" customHeight="1" x14ac:dyDescent="0.25">
      <c r="B55" s="198">
        <v>17</v>
      </c>
      <c r="C55" s="199" t="str">
        <f>Config!C21&amp;", "&amp;Config!D21</f>
        <v>Kainz, Vivienne</v>
      </c>
      <c r="D55" s="113">
        <v>2</v>
      </c>
      <c r="E55" s="114">
        <v>3</v>
      </c>
      <c r="F55" s="205">
        <f t="shared" si="1"/>
        <v>5</v>
      </c>
    </row>
    <row r="56" spans="2:6" s="115" customFormat="1" ht="13.2" customHeight="1" x14ac:dyDescent="0.2">
      <c r="B56" s="118"/>
      <c r="C56" s="122" t="s">
        <v>126</v>
      </c>
      <c r="D56" s="101"/>
      <c r="E56" s="104"/>
      <c r="F56" s="117">
        <f t="shared" si="1"/>
        <v>0</v>
      </c>
    </row>
    <row r="57" spans="2:6" s="115" customFormat="1" ht="13.2" customHeight="1" x14ac:dyDescent="0.2">
      <c r="B57" s="138"/>
      <c r="C57" s="139" t="s">
        <v>127</v>
      </c>
      <c r="D57" s="99"/>
      <c r="E57" s="100"/>
      <c r="F57" s="116">
        <f t="shared" si="1"/>
        <v>0</v>
      </c>
    </row>
    <row r="58" spans="2:6" ht="18" customHeight="1" x14ac:dyDescent="0.25">
      <c r="B58" s="201">
        <v>18</v>
      </c>
      <c r="C58" s="202" t="str">
        <f>Config!C22&amp;", "&amp;Config!D22</f>
        <v>Hartmann, Mads</v>
      </c>
      <c r="D58" s="111">
        <v>1</v>
      </c>
      <c r="E58" s="112">
        <v>0</v>
      </c>
      <c r="F58" s="206">
        <f t="shared" si="1"/>
        <v>1</v>
      </c>
    </row>
    <row r="59" spans="2:6" s="115" customFormat="1" ht="13.2" customHeight="1" x14ac:dyDescent="0.2">
      <c r="B59" s="121"/>
      <c r="C59" s="123" t="s">
        <v>126</v>
      </c>
      <c r="D59" s="106"/>
      <c r="E59" s="108"/>
      <c r="F59" s="120">
        <f t="shared" si="1"/>
        <v>0</v>
      </c>
    </row>
    <row r="60" spans="2:6" s="115" customFormat="1" ht="13.2" customHeight="1" x14ac:dyDescent="0.2">
      <c r="B60" s="140"/>
      <c r="C60" s="141" t="s">
        <v>127</v>
      </c>
      <c r="D60" s="99"/>
      <c r="E60" s="100"/>
      <c r="F60" s="119">
        <f t="shared" si="1"/>
        <v>0</v>
      </c>
    </row>
    <row r="61" spans="2:6" ht="18" customHeight="1" x14ac:dyDescent="0.25">
      <c r="B61" s="198">
        <v>19</v>
      </c>
      <c r="C61" s="199" t="str">
        <f>Config!C23&amp;", "&amp;Config!D23</f>
        <v>Ullmann, Raphael</v>
      </c>
      <c r="D61" s="113">
        <v>2</v>
      </c>
      <c r="E61" s="114">
        <v>0</v>
      </c>
      <c r="F61" s="205">
        <f t="shared" si="1"/>
        <v>2</v>
      </c>
    </row>
    <row r="62" spans="2:6" s="115" customFormat="1" ht="13.2" customHeight="1" x14ac:dyDescent="0.2">
      <c r="B62" s="118"/>
      <c r="C62" s="122" t="s">
        <v>126</v>
      </c>
      <c r="D62" s="101"/>
      <c r="E62" s="104"/>
      <c r="F62" s="117">
        <f t="shared" si="1"/>
        <v>0</v>
      </c>
    </row>
    <row r="63" spans="2:6" s="115" customFormat="1" ht="13.2" customHeight="1" x14ac:dyDescent="0.2">
      <c r="B63" s="138"/>
      <c r="C63" s="139" t="s">
        <v>127</v>
      </c>
      <c r="D63" s="99"/>
      <c r="E63" s="100"/>
      <c r="F63" s="116">
        <f t="shared" si="1"/>
        <v>0</v>
      </c>
    </row>
    <row r="64" spans="2:6" ht="18" customHeight="1" x14ac:dyDescent="0.25">
      <c r="B64" s="201">
        <v>20</v>
      </c>
      <c r="C64" s="202" t="str">
        <f>Config!C24&amp;", "&amp;Config!D24</f>
        <v>Hartl, Emmely</v>
      </c>
      <c r="D64" s="111">
        <v>2</v>
      </c>
      <c r="E64" s="112">
        <v>0</v>
      </c>
      <c r="F64" s="206">
        <f t="shared" si="1"/>
        <v>2</v>
      </c>
    </row>
    <row r="65" spans="2:6" s="115" customFormat="1" ht="13.2" customHeight="1" x14ac:dyDescent="0.2">
      <c r="B65" s="121"/>
      <c r="C65" s="123" t="s">
        <v>126</v>
      </c>
      <c r="D65" s="106"/>
      <c r="E65" s="108"/>
      <c r="F65" s="120">
        <f t="shared" si="1"/>
        <v>0</v>
      </c>
    </row>
    <row r="66" spans="2:6" s="115" customFormat="1" ht="13.2" customHeight="1" x14ac:dyDescent="0.2">
      <c r="B66" s="140"/>
      <c r="C66" s="141" t="s">
        <v>127</v>
      </c>
      <c r="D66" s="99"/>
      <c r="E66" s="100"/>
      <c r="F66" s="119">
        <f t="shared" si="1"/>
        <v>0</v>
      </c>
    </row>
    <row r="67" spans="2:6" ht="18" customHeight="1" x14ac:dyDescent="0.25">
      <c r="B67" s="198">
        <v>21</v>
      </c>
      <c r="C67" s="199" t="str">
        <f>Config!C25&amp;", "&amp;Config!D25</f>
        <v>Klotz, Karin</v>
      </c>
      <c r="D67" s="113">
        <v>2</v>
      </c>
      <c r="E67" s="114">
        <v>3</v>
      </c>
      <c r="F67" s="205">
        <f t="shared" si="1"/>
        <v>5</v>
      </c>
    </row>
    <row r="68" spans="2:6" s="115" customFormat="1" ht="13.2" customHeight="1" x14ac:dyDescent="0.2">
      <c r="B68" s="118"/>
      <c r="C68" s="122" t="s">
        <v>126</v>
      </c>
      <c r="D68" s="101"/>
      <c r="E68" s="104"/>
      <c r="F68" s="117">
        <f t="shared" si="1"/>
        <v>0</v>
      </c>
    </row>
    <row r="69" spans="2:6" s="115" customFormat="1" ht="13.2" customHeight="1" x14ac:dyDescent="0.2">
      <c r="B69" s="138"/>
      <c r="C69" s="139" t="s">
        <v>127</v>
      </c>
      <c r="D69" s="99"/>
      <c r="E69" s="100"/>
      <c r="F69" s="116">
        <f t="shared" si="1"/>
        <v>0</v>
      </c>
    </row>
    <row r="70" spans="2:6" ht="18" customHeight="1" x14ac:dyDescent="0.25">
      <c r="B70" s="201">
        <v>22</v>
      </c>
      <c r="C70" s="202" t="str">
        <f>Config!C26&amp;", "&amp;Config!D26</f>
        <v>Ehlers, Ingo</v>
      </c>
      <c r="D70" s="111">
        <v>2</v>
      </c>
      <c r="E70" s="112">
        <v>3</v>
      </c>
      <c r="F70" s="206">
        <f t="shared" si="1"/>
        <v>5</v>
      </c>
    </row>
    <row r="71" spans="2:6" s="115" customFormat="1" ht="13.2" customHeight="1" x14ac:dyDescent="0.2">
      <c r="B71" s="121"/>
      <c r="C71" s="123" t="s">
        <v>126</v>
      </c>
      <c r="D71" s="106"/>
      <c r="E71" s="108"/>
      <c r="F71" s="120">
        <f t="shared" ref="F71:F75" si="2">SUM(D71:E71)</f>
        <v>0</v>
      </c>
    </row>
    <row r="72" spans="2:6" s="115" customFormat="1" ht="13.2" customHeight="1" x14ac:dyDescent="0.2">
      <c r="B72" s="140"/>
      <c r="C72" s="141" t="s">
        <v>127</v>
      </c>
      <c r="D72" s="99"/>
      <c r="E72" s="100"/>
      <c r="F72" s="119">
        <f t="shared" si="2"/>
        <v>0</v>
      </c>
    </row>
    <row r="73" spans="2:6" ht="18" customHeight="1" x14ac:dyDescent="0.25">
      <c r="B73" s="198">
        <v>23</v>
      </c>
      <c r="C73" s="199" t="str">
        <f>Config!C27&amp;", "&amp;Config!D27</f>
        <v>Lindemann, Mads</v>
      </c>
      <c r="D73" s="113">
        <v>2</v>
      </c>
      <c r="E73" s="114">
        <v>1</v>
      </c>
      <c r="F73" s="205">
        <f t="shared" si="2"/>
        <v>3</v>
      </c>
    </row>
    <row r="74" spans="2:6" s="115" customFormat="1" ht="13.2" customHeight="1" x14ac:dyDescent="0.2">
      <c r="B74" s="118"/>
      <c r="C74" s="122" t="s">
        <v>126</v>
      </c>
      <c r="D74" s="101"/>
      <c r="E74" s="104"/>
      <c r="F74" s="117">
        <f t="shared" si="2"/>
        <v>0</v>
      </c>
    </row>
    <row r="75" spans="2:6" s="115" customFormat="1" ht="13.2" customHeight="1" thickBot="1" x14ac:dyDescent="0.25">
      <c r="B75" s="138"/>
      <c r="C75" s="139" t="s">
        <v>127</v>
      </c>
      <c r="D75" s="99"/>
      <c r="E75" s="100"/>
      <c r="F75" s="116">
        <f t="shared" si="2"/>
        <v>0</v>
      </c>
    </row>
    <row r="76" spans="2:6" ht="18" customHeight="1" thickBot="1" x14ac:dyDescent="0.3">
      <c r="B76" s="162"/>
      <c r="C76" s="163"/>
      <c r="D76" s="163">
        <f>IF(COUNTIFS(D7:D73,"&lt;&gt;",C7:C73,"&lt;&gt;ZK",C7:C73,"&lt;&gt;DK")&lt;&gt;0,SUMIFS(D7:D73,C7:C73,"&lt;&gt;ZK",C7:C73,"&lt;&gt;DK")/(COUNTIFS(D7:D73,"&lt;&gt;",C7:C73,"&lt;&gt;ZK",C7:C73,"&lt;&gt;DK")*D6),0)</f>
        <v>0.82608695652173914</v>
      </c>
      <c r="E76" s="163">
        <f>IF(COUNTIFS(E7:E73,"&lt;&gt;",C7:C73,"&lt;&gt;ZK",C7:C73,"&lt;&gt;DK")&lt;&gt;0,SUMIFS(E7:E73,C7:C73,"&lt;&gt;ZK",C7:C73,"&lt;&gt;DK")/(COUNTIFS(E7:E73,"&lt;&gt;",C7:C73,"&lt;&gt;ZK",C7:C73,"&lt;&gt;DK")*E6),0)</f>
        <v>0.56521739130434778</v>
      </c>
      <c r="F76" s="164"/>
    </row>
    <row r="77" spans="2:6" ht="18" customHeight="1" x14ac:dyDescent="0.25"/>
    <row r="78" spans="2:6" ht="18" customHeight="1" x14ac:dyDescent="0.25"/>
    <row r="79" spans="2:6" ht="18" customHeight="1" x14ac:dyDescent="0.25"/>
    <row r="80" spans="2:6"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2">
    <dataValidation type="decimal" allowBlank="1" showErrorMessage="1" sqref="D7:D75" xr:uid="{72513304-8B4C-437F-A508-142951FCB543}">
      <formula1>0</formula1>
      <formula2>$D$6</formula2>
    </dataValidation>
    <dataValidation type="decimal" allowBlank="1" showErrorMessage="1" sqref="E7:E75" xr:uid="{50843087-D2BE-48FF-861B-1E041868B99E}">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A65CD-1260-4937-B626-A733326F7768}">
  <sheetPr codeName="Tabelle140">
    <tabColor rgb="FF92D050"/>
  </sheetPr>
  <dimension ref="B1:I146"/>
  <sheetViews>
    <sheetView workbookViewId="0">
      <selection activeCell="D8" sqref="D8"/>
    </sheetView>
  </sheetViews>
  <sheetFormatPr baseColWidth="10" defaultRowHeight="13.2" x14ac:dyDescent="0.25"/>
  <cols>
    <col min="1" max="2" width="3.44140625" style="142" customWidth="1"/>
    <col min="3" max="3" width="25.77734375" style="142" customWidth="1"/>
    <col min="4" max="9" width="8.77734375" style="142" customWidth="1"/>
    <col min="10" max="16384" width="11.5546875" style="142"/>
  </cols>
  <sheetData>
    <row r="1" spans="2:9" ht="18" customHeight="1" thickBot="1" x14ac:dyDescent="0.3"/>
    <row r="2" spans="2:9" ht="18" customHeight="1" x14ac:dyDescent="0.25">
      <c r="B2" s="143" t="str">
        <f>Config!F2&amp;" "&amp;YEAR(Config!G24)</f>
        <v>Mathe Abitur 2026</v>
      </c>
      <c r="C2" s="144"/>
      <c r="D2" s="144"/>
      <c r="E2" s="144"/>
      <c r="F2" s="145"/>
      <c r="G2" s="145"/>
      <c r="H2" s="145"/>
      <c r="I2" s="146" t="str">
        <f>"Kurs "&amp;Config!G26</f>
        <v>Kurs K1</v>
      </c>
    </row>
    <row r="3" spans="2:9" ht="18" customHeight="1" x14ac:dyDescent="0.25">
      <c r="B3" s="147" t="s">
        <v>14</v>
      </c>
      <c r="C3" s="148"/>
      <c r="D3" s="148"/>
      <c r="E3" s="148"/>
      <c r="F3" s="148"/>
      <c r="G3" s="148"/>
      <c r="H3" s="148"/>
      <c r="I3" s="149"/>
    </row>
    <row r="4" spans="2:9" ht="18" customHeight="1" thickBot="1" x14ac:dyDescent="0.3">
      <c r="B4" s="147"/>
      <c r="C4" s="148"/>
      <c r="D4" s="150"/>
      <c r="E4" s="150"/>
      <c r="F4" s="150"/>
      <c r="G4" s="150"/>
      <c r="H4" s="150"/>
      <c r="I4" s="151"/>
    </row>
    <row r="5" spans="2:9" ht="18" customHeight="1" thickBot="1" x14ac:dyDescent="0.3">
      <c r="B5" s="152"/>
      <c r="C5" s="154"/>
      <c r="D5" s="173" t="str">
        <f>Config!P6</f>
        <v>1a</v>
      </c>
      <c r="E5" s="173" t="str">
        <f>Config!P7</f>
        <v>1b</v>
      </c>
      <c r="F5" s="173" t="str">
        <f>Config!P8</f>
        <v>1c</v>
      </c>
      <c r="G5" s="173" t="str">
        <f>Config!P9</f>
        <v>1d</v>
      </c>
      <c r="H5" s="173" t="str">
        <f>Config!P10</f>
        <v>1e</v>
      </c>
      <c r="I5" s="158" t="s">
        <v>82</v>
      </c>
    </row>
    <row r="6" spans="2:9" ht="18" customHeight="1" thickBot="1" x14ac:dyDescent="0.3">
      <c r="B6" s="153"/>
      <c r="C6" s="155" t="s">
        <v>81</v>
      </c>
      <c r="D6" s="157">
        <f>Config!Q6</f>
        <v>4</v>
      </c>
      <c r="E6" s="157">
        <f>Config!Q7</f>
        <v>3</v>
      </c>
      <c r="F6" s="157">
        <f>Config!Q8</f>
        <v>4</v>
      </c>
      <c r="G6" s="157">
        <f>Config!Q9</f>
        <v>3</v>
      </c>
      <c r="H6" s="157">
        <f>Config!Q10</f>
        <v>4</v>
      </c>
      <c r="I6" s="174">
        <f>Config!Q21</f>
        <v>18</v>
      </c>
    </row>
    <row r="7" spans="2:9" ht="18" customHeight="1" x14ac:dyDescent="0.25">
      <c r="B7" s="203">
        <v>1</v>
      </c>
      <c r="C7" s="204" t="str">
        <f>Config!C5&amp;", "&amp;Config!D5</f>
        <v>Höfer, Simon</v>
      </c>
      <c r="D7" s="109">
        <v>4</v>
      </c>
      <c r="E7" s="109">
        <v>2</v>
      </c>
      <c r="F7" s="109">
        <v>2</v>
      </c>
      <c r="G7" s="109">
        <v>0.5</v>
      </c>
      <c r="H7" s="110">
        <v>0.5</v>
      </c>
      <c r="I7" s="200">
        <f t="shared" ref="I7:I38" si="0">SUM(D7:H7)</f>
        <v>9</v>
      </c>
    </row>
    <row r="8" spans="2:9" s="115" customFormat="1" ht="13.2" customHeight="1" x14ac:dyDescent="0.2">
      <c r="B8" s="118"/>
      <c r="C8" s="122" t="s">
        <v>126</v>
      </c>
      <c r="D8" s="101"/>
      <c r="E8" s="101"/>
      <c r="F8" s="101"/>
      <c r="G8" s="101"/>
      <c r="H8" s="104"/>
      <c r="I8" s="117">
        <f t="shared" si="0"/>
        <v>0</v>
      </c>
    </row>
    <row r="9" spans="2:9" s="115" customFormat="1" ht="13.2" customHeight="1" x14ac:dyDescent="0.2">
      <c r="B9" s="138"/>
      <c r="C9" s="139" t="s">
        <v>127</v>
      </c>
      <c r="D9" s="99"/>
      <c r="E9" s="99"/>
      <c r="F9" s="99"/>
      <c r="G9" s="99"/>
      <c r="H9" s="100"/>
      <c r="I9" s="116">
        <f t="shared" si="0"/>
        <v>0</v>
      </c>
    </row>
    <row r="10" spans="2:9" ht="18" customHeight="1" x14ac:dyDescent="0.25">
      <c r="B10" s="201">
        <v>2</v>
      </c>
      <c r="C10" s="202" t="str">
        <f>Config!C6&amp;", "&amp;Config!D6</f>
        <v>Töpfer, Lilian</v>
      </c>
      <c r="D10" s="111">
        <v>4</v>
      </c>
      <c r="E10" s="111">
        <v>0</v>
      </c>
      <c r="F10" s="111">
        <v>2.5</v>
      </c>
      <c r="G10" s="111">
        <v>0.5</v>
      </c>
      <c r="H10" s="112">
        <v>2</v>
      </c>
      <c r="I10" s="206">
        <f t="shared" si="0"/>
        <v>9</v>
      </c>
    </row>
    <row r="11" spans="2:9" s="115" customFormat="1" ht="13.2" customHeight="1" x14ac:dyDescent="0.2">
      <c r="B11" s="121"/>
      <c r="C11" s="123" t="s">
        <v>126</v>
      </c>
      <c r="D11" s="106"/>
      <c r="E11" s="106"/>
      <c r="F11" s="106"/>
      <c r="G11" s="106"/>
      <c r="H11" s="108"/>
      <c r="I11" s="120">
        <f t="shared" si="0"/>
        <v>0</v>
      </c>
    </row>
    <row r="12" spans="2:9" s="115" customFormat="1" ht="13.2" customHeight="1" x14ac:dyDescent="0.2">
      <c r="B12" s="140"/>
      <c r="C12" s="141" t="s">
        <v>127</v>
      </c>
      <c r="D12" s="99"/>
      <c r="E12" s="99"/>
      <c r="F12" s="99"/>
      <c r="G12" s="99"/>
      <c r="H12" s="100"/>
      <c r="I12" s="119">
        <f t="shared" si="0"/>
        <v>0</v>
      </c>
    </row>
    <row r="13" spans="2:9" ht="18" customHeight="1" x14ac:dyDescent="0.25">
      <c r="B13" s="198">
        <v>3</v>
      </c>
      <c r="C13" s="199" t="str">
        <f>Config!C7&amp;", "&amp;Config!D7</f>
        <v>Fleischmann, Leonie</v>
      </c>
      <c r="D13" s="113">
        <v>4</v>
      </c>
      <c r="E13" s="113">
        <v>2</v>
      </c>
      <c r="F13" s="113">
        <v>3</v>
      </c>
      <c r="G13" s="113">
        <v>2</v>
      </c>
      <c r="H13" s="114">
        <v>3</v>
      </c>
      <c r="I13" s="205">
        <f t="shared" si="0"/>
        <v>14</v>
      </c>
    </row>
    <row r="14" spans="2:9" s="115" customFormat="1" ht="13.2" customHeight="1" x14ac:dyDescent="0.2">
      <c r="B14" s="118"/>
      <c r="C14" s="122" t="s">
        <v>126</v>
      </c>
      <c r="D14" s="101"/>
      <c r="E14" s="101"/>
      <c r="F14" s="101"/>
      <c r="G14" s="101"/>
      <c r="H14" s="104"/>
      <c r="I14" s="117">
        <f t="shared" si="0"/>
        <v>0</v>
      </c>
    </row>
    <row r="15" spans="2:9" s="115" customFormat="1" ht="13.2" customHeight="1" x14ac:dyDescent="0.2">
      <c r="B15" s="138"/>
      <c r="C15" s="139" t="s">
        <v>127</v>
      </c>
      <c r="D15" s="99"/>
      <c r="E15" s="99"/>
      <c r="F15" s="99"/>
      <c r="G15" s="99"/>
      <c r="H15" s="100"/>
      <c r="I15" s="116">
        <f t="shared" si="0"/>
        <v>0</v>
      </c>
    </row>
    <row r="16" spans="2:9" ht="18" customHeight="1" x14ac:dyDescent="0.25">
      <c r="B16" s="201">
        <v>4</v>
      </c>
      <c r="C16" s="202" t="str">
        <f>Config!C8&amp;", "&amp;Config!D8</f>
        <v>Drescher, Cedric</v>
      </c>
      <c r="D16" s="111">
        <v>4</v>
      </c>
      <c r="E16" s="111">
        <v>2</v>
      </c>
      <c r="F16" s="111">
        <v>3.5</v>
      </c>
      <c r="G16" s="111">
        <v>0</v>
      </c>
      <c r="H16" s="112">
        <v>4</v>
      </c>
      <c r="I16" s="206">
        <f t="shared" si="0"/>
        <v>13.5</v>
      </c>
    </row>
    <row r="17" spans="2:9" s="115" customFormat="1" ht="13.2" customHeight="1" x14ac:dyDescent="0.2">
      <c r="B17" s="121"/>
      <c r="C17" s="123" t="s">
        <v>126</v>
      </c>
      <c r="D17" s="106"/>
      <c r="E17" s="106"/>
      <c r="F17" s="106"/>
      <c r="G17" s="106"/>
      <c r="H17" s="108"/>
      <c r="I17" s="120">
        <f t="shared" si="0"/>
        <v>0</v>
      </c>
    </row>
    <row r="18" spans="2:9" s="115" customFormat="1" ht="13.2" customHeight="1" x14ac:dyDescent="0.2">
      <c r="B18" s="140"/>
      <c r="C18" s="141" t="s">
        <v>127</v>
      </c>
      <c r="D18" s="99"/>
      <c r="E18" s="99"/>
      <c r="F18" s="99"/>
      <c r="G18" s="99"/>
      <c r="H18" s="100"/>
      <c r="I18" s="119">
        <f t="shared" si="0"/>
        <v>0</v>
      </c>
    </row>
    <row r="19" spans="2:9" ht="18" customHeight="1" x14ac:dyDescent="0.25">
      <c r="B19" s="198">
        <v>5</v>
      </c>
      <c r="C19" s="199" t="str">
        <f>Config!C9&amp;", "&amp;Config!D9</f>
        <v>Baumgarten, Annabell</v>
      </c>
      <c r="D19" s="113">
        <v>4</v>
      </c>
      <c r="E19" s="113">
        <v>2</v>
      </c>
      <c r="F19" s="113">
        <v>3</v>
      </c>
      <c r="G19" s="113">
        <v>0</v>
      </c>
      <c r="H19" s="114">
        <v>3</v>
      </c>
      <c r="I19" s="205">
        <f t="shared" si="0"/>
        <v>12</v>
      </c>
    </row>
    <row r="20" spans="2:9" s="115" customFormat="1" ht="13.2" customHeight="1" x14ac:dyDescent="0.2">
      <c r="B20" s="118"/>
      <c r="C20" s="122" t="s">
        <v>126</v>
      </c>
      <c r="D20" s="101"/>
      <c r="E20" s="101"/>
      <c r="F20" s="101"/>
      <c r="G20" s="101"/>
      <c r="H20" s="104"/>
      <c r="I20" s="117">
        <f t="shared" si="0"/>
        <v>0</v>
      </c>
    </row>
    <row r="21" spans="2:9" s="115" customFormat="1" ht="13.2" customHeight="1" x14ac:dyDescent="0.2">
      <c r="B21" s="138"/>
      <c r="C21" s="139" t="s">
        <v>127</v>
      </c>
      <c r="D21" s="99"/>
      <c r="E21" s="99"/>
      <c r="F21" s="99"/>
      <c r="G21" s="99"/>
      <c r="H21" s="100"/>
      <c r="I21" s="116">
        <f t="shared" si="0"/>
        <v>0</v>
      </c>
    </row>
    <row r="22" spans="2:9" ht="18" customHeight="1" x14ac:dyDescent="0.25">
      <c r="B22" s="201">
        <v>6</v>
      </c>
      <c r="C22" s="202" t="str">
        <f>Config!C10&amp;", "&amp;Config!D10</f>
        <v>Traut, Stefanie</v>
      </c>
      <c r="D22" s="111">
        <v>4</v>
      </c>
      <c r="E22" s="111">
        <v>3</v>
      </c>
      <c r="F22" s="111">
        <v>4</v>
      </c>
      <c r="G22" s="111">
        <v>2</v>
      </c>
      <c r="H22" s="112">
        <v>4</v>
      </c>
      <c r="I22" s="206">
        <f t="shared" si="0"/>
        <v>17</v>
      </c>
    </row>
    <row r="23" spans="2:9" s="115" customFormat="1" ht="13.2" customHeight="1" x14ac:dyDescent="0.2">
      <c r="B23" s="121"/>
      <c r="C23" s="123" t="s">
        <v>126</v>
      </c>
      <c r="D23" s="106"/>
      <c r="E23" s="106"/>
      <c r="F23" s="106"/>
      <c r="G23" s="106"/>
      <c r="H23" s="108"/>
      <c r="I23" s="120">
        <f t="shared" si="0"/>
        <v>0</v>
      </c>
    </row>
    <row r="24" spans="2:9" s="115" customFormat="1" ht="13.2" customHeight="1" x14ac:dyDescent="0.2">
      <c r="B24" s="140"/>
      <c r="C24" s="141" t="s">
        <v>127</v>
      </c>
      <c r="D24" s="99"/>
      <c r="E24" s="99"/>
      <c r="F24" s="99"/>
      <c r="G24" s="99"/>
      <c r="H24" s="100"/>
      <c r="I24" s="119">
        <f t="shared" si="0"/>
        <v>0</v>
      </c>
    </row>
    <row r="25" spans="2:9" ht="18" customHeight="1" x14ac:dyDescent="0.25">
      <c r="B25" s="198">
        <v>7</v>
      </c>
      <c r="C25" s="199" t="str">
        <f>Config!C11&amp;", "&amp;Config!D11</f>
        <v>Menke, Damian</v>
      </c>
      <c r="D25" s="113">
        <v>4</v>
      </c>
      <c r="E25" s="113">
        <v>3</v>
      </c>
      <c r="F25" s="113">
        <v>3.5</v>
      </c>
      <c r="G25" s="113">
        <v>0.5</v>
      </c>
      <c r="H25" s="114">
        <v>4</v>
      </c>
      <c r="I25" s="205">
        <f t="shared" si="0"/>
        <v>15</v>
      </c>
    </row>
    <row r="26" spans="2:9" s="115" customFormat="1" ht="13.2" customHeight="1" x14ac:dyDescent="0.2">
      <c r="B26" s="118"/>
      <c r="C26" s="122" t="s">
        <v>126</v>
      </c>
      <c r="D26" s="101"/>
      <c r="E26" s="101"/>
      <c r="F26" s="101"/>
      <c r="G26" s="101"/>
      <c r="H26" s="104"/>
      <c r="I26" s="117">
        <f t="shared" si="0"/>
        <v>0</v>
      </c>
    </row>
    <row r="27" spans="2:9" s="115" customFormat="1" ht="13.2" customHeight="1" x14ac:dyDescent="0.2">
      <c r="B27" s="138"/>
      <c r="C27" s="139" t="s">
        <v>127</v>
      </c>
      <c r="D27" s="99"/>
      <c r="E27" s="99"/>
      <c r="F27" s="99"/>
      <c r="G27" s="99"/>
      <c r="H27" s="100"/>
      <c r="I27" s="116">
        <f t="shared" si="0"/>
        <v>0</v>
      </c>
    </row>
    <row r="28" spans="2:9" ht="18" customHeight="1" x14ac:dyDescent="0.25">
      <c r="B28" s="201">
        <v>8</v>
      </c>
      <c r="C28" s="202" t="str">
        <f>Config!C12&amp;", "&amp;Config!D12</f>
        <v>Carroll, Meik</v>
      </c>
      <c r="D28" s="111">
        <v>3.5</v>
      </c>
      <c r="E28" s="111">
        <v>2</v>
      </c>
      <c r="F28" s="111">
        <v>3.5</v>
      </c>
      <c r="G28" s="111">
        <v>2</v>
      </c>
      <c r="H28" s="112">
        <v>2</v>
      </c>
      <c r="I28" s="206">
        <f t="shared" si="0"/>
        <v>13</v>
      </c>
    </row>
    <row r="29" spans="2:9" s="115" customFormat="1" ht="13.2" customHeight="1" x14ac:dyDescent="0.2">
      <c r="B29" s="121"/>
      <c r="C29" s="123" t="s">
        <v>126</v>
      </c>
      <c r="D29" s="106"/>
      <c r="E29" s="106"/>
      <c r="F29" s="106"/>
      <c r="G29" s="106"/>
      <c r="H29" s="108"/>
      <c r="I29" s="120">
        <f t="shared" si="0"/>
        <v>0</v>
      </c>
    </row>
    <row r="30" spans="2:9" s="115" customFormat="1" ht="13.2" customHeight="1" x14ac:dyDescent="0.2">
      <c r="B30" s="140"/>
      <c r="C30" s="141" t="s">
        <v>127</v>
      </c>
      <c r="D30" s="99"/>
      <c r="E30" s="99"/>
      <c r="F30" s="99"/>
      <c r="G30" s="99"/>
      <c r="H30" s="100"/>
      <c r="I30" s="119">
        <f t="shared" si="0"/>
        <v>0</v>
      </c>
    </row>
    <row r="31" spans="2:9" ht="18" customHeight="1" x14ac:dyDescent="0.25">
      <c r="B31" s="198">
        <v>9</v>
      </c>
      <c r="C31" s="199" t="str">
        <f>Config!C13&amp;", "&amp;Config!D13</f>
        <v>Hennings, Tomas</v>
      </c>
      <c r="D31" s="113">
        <v>2</v>
      </c>
      <c r="E31" s="113">
        <v>0</v>
      </c>
      <c r="F31" s="113">
        <v>1</v>
      </c>
      <c r="G31" s="113">
        <v>1</v>
      </c>
      <c r="H31" s="114">
        <v>0</v>
      </c>
      <c r="I31" s="205">
        <f t="shared" si="0"/>
        <v>4</v>
      </c>
    </row>
    <row r="32" spans="2:9" s="115" customFormat="1" ht="13.2" customHeight="1" x14ac:dyDescent="0.2">
      <c r="B32" s="118"/>
      <c r="C32" s="122" t="s">
        <v>126</v>
      </c>
      <c r="D32" s="101"/>
      <c r="E32" s="101"/>
      <c r="F32" s="101"/>
      <c r="G32" s="101"/>
      <c r="H32" s="104"/>
      <c r="I32" s="117">
        <f t="shared" si="0"/>
        <v>0</v>
      </c>
    </row>
    <row r="33" spans="2:9" s="115" customFormat="1" ht="13.2" customHeight="1" x14ac:dyDescent="0.2">
      <c r="B33" s="138"/>
      <c r="C33" s="139" t="s">
        <v>127</v>
      </c>
      <c r="D33" s="99"/>
      <c r="E33" s="99"/>
      <c r="F33" s="99"/>
      <c r="G33" s="99"/>
      <c r="H33" s="100"/>
      <c r="I33" s="116">
        <f t="shared" si="0"/>
        <v>0</v>
      </c>
    </row>
    <row r="34" spans="2:9" ht="18" customHeight="1" x14ac:dyDescent="0.25">
      <c r="B34" s="201">
        <v>10</v>
      </c>
      <c r="C34" s="202" t="str">
        <f>Config!C14&amp;", "&amp;Config!D14</f>
        <v>Walters, Linn</v>
      </c>
      <c r="D34" s="111">
        <v>2.5</v>
      </c>
      <c r="E34" s="111">
        <v>1</v>
      </c>
      <c r="F34" s="111">
        <v>3</v>
      </c>
      <c r="G34" s="111">
        <v>2</v>
      </c>
      <c r="H34" s="112">
        <v>0</v>
      </c>
      <c r="I34" s="206">
        <f t="shared" si="0"/>
        <v>8.5</v>
      </c>
    </row>
    <row r="35" spans="2:9" s="115" customFormat="1" ht="13.2" customHeight="1" x14ac:dyDescent="0.2">
      <c r="B35" s="121"/>
      <c r="C35" s="123" t="s">
        <v>126</v>
      </c>
      <c r="D35" s="106"/>
      <c r="E35" s="106"/>
      <c r="F35" s="106"/>
      <c r="G35" s="106"/>
      <c r="H35" s="108"/>
      <c r="I35" s="120">
        <f t="shared" si="0"/>
        <v>0</v>
      </c>
    </row>
    <row r="36" spans="2:9" s="115" customFormat="1" ht="13.2" customHeight="1" x14ac:dyDescent="0.2">
      <c r="B36" s="140"/>
      <c r="C36" s="141" t="s">
        <v>127</v>
      </c>
      <c r="D36" s="99"/>
      <c r="E36" s="99"/>
      <c r="F36" s="99"/>
      <c r="G36" s="99"/>
      <c r="H36" s="100"/>
      <c r="I36" s="119">
        <f t="shared" si="0"/>
        <v>0</v>
      </c>
    </row>
    <row r="37" spans="2:9" ht="18" customHeight="1" x14ac:dyDescent="0.25">
      <c r="B37" s="198">
        <v>11</v>
      </c>
      <c r="C37" s="199" t="str">
        <f>Config!C15&amp;", "&amp;Config!D15</f>
        <v>Junker, Amely</v>
      </c>
      <c r="D37" s="113">
        <v>4</v>
      </c>
      <c r="E37" s="113">
        <v>3</v>
      </c>
      <c r="F37" s="113">
        <v>2</v>
      </c>
      <c r="G37" s="113">
        <v>2</v>
      </c>
      <c r="H37" s="114">
        <v>2</v>
      </c>
      <c r="I37" s="205">
        <f t="shared" si="0"/>
        <v>13</v>
      </c>
    </row>
    <row r="38" spans="2:9" s="115" customFormat="1" ht="13.2" customHeight="1" x14ac:dyDescent="0.2">
      <c r="B38" s="118"/>
      <c r="C38" s="122" t="s">
        <v>126</v>
      </c>
      <c r="D38" s="101"/>
      <c r="E38" s="101"/>
      <c r="F38" s="101"/>
      <c r="G38" s="101"/>
      <c r="H38" s="104"/>
      <c r="I38" s="117">
        <f t="shared" si="0"/>
        <v>0</v>
      </c>
    </row>
    <row r="39" spans="2:9" s="115" customFormat="1" ht="13.2" customHeight="1" x14ac:dyDescent="0.2">
      <c r="B39" s="138"/>
      <c r="C39" s="139" t="s">
        <v>127</v>
      </c>
      <c r="D39" s="99"/>
      <c r="E39" s="99"/>
      <c r="F39" s="99"/>
      <c r="G39" s="99"/>
      <c r="H39" s="100"/>
      <c r="I39" s="116">
        <f t="shared" ref="I39:I70" si="1">SUM(D39:H39)</f>
        <v>0</v>
      </c>
    </row>
    <row r="40" spans="2:9" ht="18" customHeight="1" x14ac:dyDescent="0.25">
      <c r="B40" s="201">
        <v>12</v>
      </c>
      <c r="C40" s="202" t="str">
        <f>Config!C16&amp;", "&amp;Config!D16</f>
        <v>Stephens, Melvin</v>
      </c>
      <c r="D40" s="111">
        <v>4</v>
      </c>
      <c r="E40" s="111">
        <v>2</v>
      </c>
      <c r="F40" s="111">
        <v>3</v>
      </c>
      <c r="G40" s="111">
        <v>2</v>
      </c>
      <c r="H40" s="112">
        <v>2</v>
      </c>
      <c r="I40" s="206">
        <f t="shared" si="1"/>
        <v>13</v>
      </c>
    </row>
    <row r="41" spans="2:9" s="115" customFormat="1" ht="13.2" customHeight="1" x14ac:dyDescent="0.2">
      <c r="B41" s="121"/>
      <c r="C41" s="123" t="s">
        <v>126</v>
      </c>
      <c r="D41" s="106"/>
      <c r="E41" s="106"/>
      <c r="F41" s="106"/>
      <c r="G41" s="106"/>
      <c r="H41" s="108"/>
      <c r="I41" s="120">
        <f t="shared" si="1"/>
        <v>0</v>
      </c>
    </row>
    <row r="42" spans="2:9" s="115" customFormat="1" ht="13.2" customHeight="1" x14ac:dyDescent="0.2">
      <c r="B42" s="140"/>
      <c r="C42" s="141" t="s">
        <v>127</v>
      </c>
      <c r="D42" s="99"/>
      <c r="E42" s="99"/>
      <c r="F42" s="99"/>
      <c r="G42" s="99"/>
      <c r="H42" s="100"/>
      <c r="I42" s="119">
        <f t="shared" si="1"/>
        <v>0</v>
      </c>
    </row>
    <row r="43" spans="2:9" ht="18" customHeight="1" x14ac:dyDescent="0.25">
      <c r="B43" s="198">
        <v>13</v>
      </c>
      <c r="C43" s="199" t="str">
        <f>Config!C17&amp;", "&amp;Config!D17</f>
        <v>Cremer, Marvin</v>
      </c>
      <c r="D43" s="113">
        <v>3</v>
      </c>
      <c r="E43" s="113">
        <v>0</v>
      </c>
      <c r="F43" s="113">
        <v>0</v>
      </c>
      <c r="G43" s="113">
        <v>0</v>
      </c>
      <c r="H43" s="114">
        <v>0</v>
      </c>
      <c r="I43" s="205">
        <f t="shared" si="1"/>
        <v>3</v>
      </c>
    </row>
    <row r="44" spans="2:9" s="115" customFormat="1" ht="13.2" customHeight="1" x14ac:dyDescent="0.2">
      <c r="B44" s="118"/>
      <c r="C44" s="122" t="s">
        <v>126</v>
      </c>
      <c r="D44" s="101"/>
      <c r="E44" s="101"/>
      <c r="F44" s="101"/>
      <c r="G44" s="101"/>
      <c r="H44" s="104"/>
      <c r="I44" s="117">
        <f t="shared" si="1"/>
        <v>0</v>
      </c>
    </row>
    <row r="45" spans="2:9" s="115" customFormat="1" ht="13.2" customHeight="1" x14ac:dyDescent="0.2">
      <c r="B45" s="138"/>
      <c r="C45" s="139" t="s">
        <v>127</v>
      </c>
      <c r="D45" s="99"/>
      <c r="E45" s="99"/>
      <c r="F45" s="99"/>
      <c r="G45" s="99"/>
      <c r="H45" s="100"/>
      <c r="I45" s="116">
        <f t="shared" si="1"/>
        <v>0</v>
      </c>
    </row>
    <row r="46" spans="2:9" ht="18" customHeight="1" x14ac:dyDescent="0.25">
      <c r="B46" s="201">
        <v>14</v>
      </c>
      <c r="C46" s="202" t="str">
        <f>Config!C18&amp;", "&amp;Config!D18</f>
        <v>Nash, Jean</v>
      </c>
      <c r="D46" s="111">
        <v>4</v>
      </c>
      <c r="E46" s="111">
        <v>3</v>
      </c>
      <c r="F46" s="111">
        <v>2</v>
      </c>
      <c r="G46" s="111">
        <v>2</v>
      </c>
      <c r="H46" s="112">
        <v>3.5</v>
      </c>
      <c r="I46" s="206">
        <f t="shared" si="1"/>
        <v>14.5</v>
      </c>
    </row>
    <row r="47" spans="2:9" s="115" customFormat="1" ht="13.2" customHeight="1" x14ac:dyDescent="0.2">
      <c r="B47" s="121"/>
      <c r="C47" s="123" t="s">
        <v>126</v>
      </c>
      <c r="D47" s="106"/>
      <c r="E47" s="106"/>
      <c r="F47" s="106"/>
      <c r="G47" s="106"/>
      <c r="H47" s="108"/>
      <c r="I47" s="120">
        <f t="shared" si="1"/>
        <v>0</v>
      </c>
    </row>
    <row r="48" spans="2:9" s="115" customFormat="1" ht="13.2" customHeight="1" x14ac:dyDescent="0.2">
      <c r="B48" s="140"/>
      <c r="C48" s="141" t="s">
        <v>127</v>
      </c>
      <c r="D48" s="99"/>
      <c r="E48" s="99"/>
      <c r="F48" s="99"/>
      <c r="G48" s="99"/>
      <c r="H48" s="100"/>
      <c r="I48" s="119">
        <f t="shared" si="1"/>
        <v>0</v>
      </c>
    </row>
    <row r="49" spans="2:9" ht="18" customHeight="1" x14ac:dyDescent="0.25">
      <c r="B49" s="198">
        <v>15</v>
      </c>
      <c r="C49" s="199" t="str">
        <f>Config!C19&amp;", "&amp;Config!D19</f>
        <v>Schön, Leonardo</v>
      </c>
      <c r="D49" s="113">
        <v>4</v>
      </c>
      <c r="E49" s="113">
        <v>1</v>
      </c>
      <c r="F49" s="113">
        <v>1</v>
      </c>
      <c r="G49" s="113">
        <v>0.5</v>
      </c>
      <c r="H49" s="114">
        <v>0</v>
      </c>
      <c r="I49" s="205">
        <f t="shared" si="1"/>
        <v>6.5</v>
      </c>
    </row>
    <row r="50" spans="2:9" s="115" customFormat="1" ht="13.2" customHeight="1" x14ac:dyDescent="0.2">
      <c r="B50" s="118"/>
      <c r="C50" s="122" t="s">
        <v>126</v>
      </c>
      <c r="D50" s="101"/>
      <c r="E50" s="101"/>
      <c r="F50" s="101"/>
      <c r="G50" s="101"/>
      <c r="H50" s="104"/>
      <c r="I50" s="117">
        <f t="shared" si="1"/>
        <v>0</v>
      </c>
    </row>
    <row r="51" spans="2:9" s="115" customFormat="1" ht="13.2" customHeight="1" x14ac:dyDescent="0.2">
      <c r="B51" s="138"/>
      <c r="C51" s="139" t="s">
        <v>127</v>
      </c>
      <c r="D51" s="99"/>
      <c r="E51" s="99"/>
      <c r="F51" s="99"/>
      <c r="G51" s="99"/>
      <c r="H51" s="100"/>
      <c r="I51" s="116">
        <f t="shared" si="1"/>
        <v>0</v>
      </c>
    </row>
    <row r="52" spans="2:9" ht="18" customHeight="1" x14ac:dyDescent="0.25">
      <c r="B52" s="201">
        <v>16</v>
      </c>
      <c r="C52" s="202" t="str">
        <f>Config!C20&amp;", "&amp;Config!D20</f>
        <v>Sigl, Nicholas</v>
      </c>
      <c r="D52" s="111">
        <v>4</v>
      </c>
      <c r="E52" s="111">
        <v>0.5</v>
      </c>
      <c r="F52" s="111">
        <v>1</v>
      </c>
      <c r="G52" s="111">
        <v>0.5</v>
      </c>
      <c r="H52" s="112">
        <v>0</v>
      </c>
      <c r="I52" s="206">
        <f t="shared" si="1"/>
        <v>6</v>
      </c>
    </row>
    <row r="53" spans="2:9" s="115" customFormat="1" ht="13.2" customHeight="1" x14ac:dyDescent="0.2">
      <c r="B53" s="121"/>
      <c r="C53" s="123" t="s">
        <v>126</v>
      </c>
      <c r="D53" s="106"/>
      <c r="E53" s="106"/>
      <c r="F53" s="106"/>
      <c r="G53" s="106"/>
      <c r="H53" s="108"/>
      <c r="I53" s="120">
        <f t="shared" si="1"/>
        <v>0</v>
      </c>
    </row>
    <row r="54" spans="2:9" s="115" customFormat="1" ht="13.2" customHeight="1" x14ac:dyDescent="0.2">
      <c r="B54" s="140"/>
      <c r="C54" s="141" t="s">
        <v>127</v>
      </c>
      <c r="D54" s="99"/>
      <c r="E54" s="99"/>
      <c r="F54" s="99"/>
      <c r="G54" s="99"/>
      <c r="H54" s="100"/>
      <c r="I54" s="119">
        <f t="shared" si="1"/>
        <v>0</v>
      </c>
    </row>
    <row r="55" spans="2:9" ht="18" customHeight="1" x14ac:dyDescent="0.25">
      <c r="B55" s="198">
        <v>17</v>
      </c>
      <c r="C55" s="199" t="str">
        <f>Config!C21&amp;", "&amp;Config!D21</f>
        <v>Kainz, Vivienne</v>
      </c>
      <c r="D55" s="113">
        <v>2</v>
      </c>
      <c r="E55" s="113">
        <v>0</v>
      </c>
      <c r="F55" s="113">
        <v>1</v>
      </c>
      <c r="G55" s="113">
        <v>1.5</v>
      </c>
      <c r="H55" s="114">
        <v>0</v>
      </c>
      <c r="I55" s="205">
        <f t="shared" si="1"/>
        <v>4.5</v>
      </c>
    </row>
    <row r="56" spans="2:9" s="115" customFormat="1" ht="13.2" customHeight="1" x14ac:dyDescent="0.2">
      <c r="B56" s="118"/>
      <c r="C56" s="122" t="s">
        <v>126</v>
      </c>
      <c r="D56" s="101"/>
      <c r="E56" s="101"/>
      <c r="F56" s="101"/>
      <c r="G56" s="101"/>
      <c r="H56" s="104"/>
      <c r="I56" s="117">
        <f t="shared" si="1"/>
        <v>0</v>
      </c>
    </row>
    <row r="57" spans="2:9" s="115" customFormat="1" ht="13.2" customHeight="1" x14ac:dyDescent="0.2">
      <c r="B57" s="138"/>
      <c r="C57" s="139" t="s">
        <v>127</v>
      </c>
      <c r="D57" s="99"/>
      <c r="E57" s="99"/>
      <c r="F57" s="99"/>
      <c r="G57" s="99"/>
      <c r="H57" s="100"/>
      <c r="I57" s="116">
        <f t="shared" si="1"/>
        <v>0</v>
      </c>
    </row>
    <row r="58" spans="2:9" ht="18" customHeight="1" x14ac:dyDescent="0.25">
      <c r="B58" s="201">
        <v>18</v>
      </c>
      <c r="C58" s="202" t="str">
        <f>Config!C22&amp;", "&amp;Config!D22</f>
        <v>Hartmann, Mads</v>
      </c>
      <c r="D58" s="111">
        <v>4</v>
      </c>
      <c r="E58" s="111">
        <v>3</v>
      </c>
      <c r="F58" s="111">
        <v>3</v>
      </c>
      <c r="G58" s="111">
        <v>0</v>
      </c>
      <c r="H58" s="112">
        <v>4</v>
      </c>
      <c r="I58" s="206">
        <f t="shared" si="1"/>
        <v>14</v>
      </c>
    </row>
    <row r="59" spans="2:9" s="115" customFormat="1" ht="13.2" customHeight="1" x14ac:dyDescent="0.2">
      <c r="B59" s="121"/>
      <c r="C59" s="123" t="s">
        <v>126</v>
      </c>
      <c r="D59" s="106"/>
      <c r="E59" s="106"/>
      <c r="F59" s="106"/>
      <c r="G59" s="106"/>
      <c r="H59" s="108"/>
      <c r="I59" s="120">
        <f t="shared" si="1"/>
        <v>0</v>
      </c>
    </row>
    <row r="60" spans="2:9" s="115" customFormat="1" ht="13.2" customHeight="1" x14ac:dyDescent="0.2">
      <c r="B60" s="140"/>
      <c r="C60" s="141" t="s">
        <v>127</v>
      </c>
      <c r="D60" s="99"/>
      <c r="E60" s="99"/>
      <c r="F60" s="99"/>
      <c r="G60" s="99"/>
      <c r="H60" s="100"/>
      <c r="I60" s="119">
        <f t="shared" si="1"/>
        <v>0</v>
      </c>
    </row>
    <row r="61" spans="2:9" ht="18" customHeight="1" x14ac:dyDescent="0.25">
      <c r="B61" s="198">
        <v>19</v>
      </c>
      <c r="C61" s="199" t="str">
        <f>Config!C23&amp;", "&amp;Config!D23</f>
        <v>Ullmann, Raphael</v>
      </c>
      <c r="D61" s="113">
        <v>4</v>
      </c>
      <c r="E61" s="113">
        <v>1</v>
      </c>
      <c r="F61" s="113">
        <v>3</v>
      </c>
      <c r="G61" s="113">
        <v>2</v>
      </c>
      <c r="H61" s="114">
        <v>3.5</v>
      </c>
      <c r="I61" s="205">
        <f t="shared" si="1"/>
        <v>13.5</v>
      </c>
    </row>
    <row r="62" spans="2:9" s="115" customFormat="1" ht="13.2" customHeight="1" x14ac:dyDescent="0.2">
      <c r="B62" s="118"/>
      <c r="C62" s="122" t="s">
        <v>126</v>
      </c>
      <c r="D62" s="101"/>
      <c r="E62" s="101"/>
      <c r="F62" s="101"/>
      <c r="G62" s="101"/>
      <c r="H62" s="104"/>
      <c r="I62" s="117">
        <f t="shared" si="1"/>
        <v>0</v>
      </c>
    </row>
    <row r="63" spans="2:9" s="115" customFormat="1" ht="13.2" customHeight="1" x14ac:dyDescent="0.2">
      <c r="B63" s="138"/>
      <c r="C63" s="139" t="s">
        <v>127</v>
      </c>
      <c r="D63" s="99"/>
      <c r="E63" s="99"/>
      <c r="F63" s="99"/>
      <c r="G63" s="99"/>
      <c r="H63" s="100"/>
      <c r="I63" s="116">
        <f t="shared" si="1"/>
        <v>0</v>
      </c>
    </row>
    <row r="64" spans="2:9" ht="18" customHeight="1" x14ac:dyDescent="0.25">
      <c r="B64" s="201">
        <v>20</v>
      </c>
      <c r="C64" s="202" t="str">
        <f>Config!C24&amp;", "&amp;Config!D24</f>
        <v>Hartl, Emmely</v>
      </c>
      <c r="D64" s="111">
        <v>4</v>
      </c>
      <c r="E64" s="111">
        <v>2</v>
      </c>
      <c r="F64" s="111">
        <v>3</v>
      </c>
      <c r="G64" s="111">
        <v>2</v>
      </c>
      <c r="H64" s="112">
        <v>4</v>
      </c>
      <c r="I64" s="206">
        <f t="shared" si="1"/>
        <v>15</v>
      </c>
    </row>
    <row r="65" spans="2:9" s="115" customFormat="1" ht="13.2" customHeight="1" x14ac:dyDescent="0.2">
      <c r="B65" s="121"/>
      <c r="C65" s="123" t="s">
        <v>126</v>
      </c>
      <c r="D65" s="106"/>
      <c r="E65" s="106"/>
      <c r="F65" s="106"/>
      <c r="G65" s="106"/>
      <c r="H65" s="108"/>
      <c r="I65" s="120">
        <f t="shared" si="1"/>
        <v>0</v>
      </c>
    </row>
    <row r="66" spans="2:9" s="115" customFormat="1" ht="13.2" customHeight="1" x14ac:dyDescent="0.2">
      <c r="B66" s="140"/>
      <c r="C66" s="141" t="s">
        <v>127</v>
      </c>
      <c r="D66" s="99"/>
      <c r="E66" s="99"/>
      <c r="F66" s="99"/>
      <c r="G66" s="99"/>
      <c r="H66" s="100"/>
      <c r="I66" s="119">
        <f t="shared" si="1"/>
        <v>0</v>
      </c>
    </row>
    <row r="67" spans="2:9" ht="18" customHeight="1" x14ac:dyDescent="0.25">
      <c r="B67" s="198">
        <v>21</v>
      </c>
      <c r="C67" s="199" t="str">
        <f>Config!C25&amp;", "&amp;Config!D25</f>
        <v>Klotz, Karin</v>
      </c>
      <c r="D67" s="113">
        <v>4</v>
      </c>
      <c r="E67" s="113">
        <v>3</v>
      </c>
      <c r="F67" s="113">
        <v>4</v>
      </c>
      <c r="G67" s="113">
        <v>2</v>
      </c>
      <c r="H67" s="114">
        <v>3</v>
      </c>
      <c r="I67" s="205">
        <f t="shared" si="1"/>
        <v>16</v>
      </c>
    </row>
    <row r="68" spans="2:9" s="115" customFormat="1" ht="13.2" customHeight="1" x14ac:dyDescent="0.2">
      <c r="B68" s="118"/>
      <c r="C68" s="122" t="s">
        <v>126</v>
      </c>
      <c r="D68" s="101"/>
      <c r="E68" s="101"/>
      <c r="F68" s="101"/>
      <c r="G68" s="101"/>
      <c r="H68" s="104"/>
      <c r="I68" s="117">
        <f t="shared" si="1"/>
        <v>0</v>
      </c>
    </row>
    <row r="69" spans="2:9" s="115" customFormat="1" ht="13.2" customHeight="1" x14ac:dyDescent="0.2">
      <c r="B69" s="138"/>
      <c r="C69" s="139" t="s">
        <v>127</v>
      </c>
      <c r="D69" s="99"/>
      <c r="E69" s="99"/>
      <c r="F69" s="99"/>
      <c r="G69" s="99"/>
      <c r="H69" s="100"/>
      <c r="I69" s="116">
        <f t="shared" si="1"/>
        <v>0</v>
      </c>
    </row>
    <row r="70" spans="2:9" ht="18" customHeight="1" x14ac:dyDescent="0.25">
      <c r="B70" s="201">
        <v>22</v>
      </c>
      <c r="C70" s="202" t="str">
        <f>Config!C26&amp;", "&amp;Config!D26</f>
        <v>Ehlers, Ingo</v>
      </c>
      <c r="D70" s="111">
        <v>4</v>
      </c>
      <c r="E70" s="111">
        <v>2</v>
      </c>
      <c r="F70" s="111">
        <v>4</v>
      </c>
      <c r="G70" s="111">
        <v>2</v>
      </c>
      <c r="H70" s="112">
        <v>2.5</v>
      </c>
      <c r="I70" s="206">
        <f t="shared" si="1"/>
        <v>14.5</v>
      </c>
    </row>
    <row r="71" spans="2:9" s="115" customFormat="1" ht="13.2" customHeight="1" x14ac:dyDescent="0.2">
      <c r="B71" s="121"/>
      <c r="C71" s="123" t="s">
        <v>126</v>
      </c>
      <c r="D71" s="106"/>
      <c r="E71" s="106"/>
      <c r="F71" s="106"/>
      <c r="G71" s="106"/>
      <c r="H71" s="108"/>
      <c r="I71" s="120">
        <f t="shared" ref="I71:I75" si="2">SUM(D71:H71)</f>
        <v>0</v>
      </c>
    </row>
    <row r="72" spans="2:9" s="115" customFormat="1" ht="13.2" customHeight="1" x14ac:dyDescent="0.2">
      <c r="B72" s="140"/>
      <c r="C72" s="141" t="s">
        <v>127</v>
      </c>
      <c r="D72" s="99"/>
      <c r="E72" s="99"/>
      <c r="F72" s="99"/>
      <c r="G72" s="99"/>
      <c r="H72" s="100"/>
      <c r="I72" s="119">
        <f t="shared" si="2"/>
        <v>0</v>
      </c>
    </row>
    <row r="73" spans="2:9" ht="18" customHeight="1" x14ac:dyDescent="0.25">
      <c r="B73" s="198">
        <v>23</v>
      </c>
      <c r="C73" s="199" t="str">
        <f>Config!C27&amp;", "&amp;Config!D27</f>
        <v>Lindemann, Mads</v>
      </c>
      <c r="D73" s="113">
        <v>4</v>
      </c>
      <c r="E73" s="113">
        <v>0</v>
      </c>
      <c r="F73" s="113">
        <v>2</v>
      </c>
      <c r="G73" s="113">
        <v>0.5</v>
      </c>
      <c r="H73" s="114">
        <v>0</v>
      </c>
      <c r="I73" s="205">
        <f t="shared" si="2"/>
        <v>6.5</v>
      </c>
    </row>
    <row r="74" spans="2:9" s="115" customFormat="1" ht="13.2" customHeight="1" x14ac:dyDescent="0.2">
      <c r="B74" s="118"/>
      <c r="C74" s="122" t="s">
        <v>126</v>
      </c>
      <c r="D74" s="101"/>
      <c r="E74" s="101"/>
      <c r="F74" s="101"/>
      <c r="G74" s="101"/>
      <c r="H74" s="104"/>
      <c r="I74" s="117">
        <f t="shared" si="2"/>
        <v>0</v>
      </c>
    </row>
    <row r="75" spans="2:9" s="115" customFormat="1" ht="13.2" customHeight="1" thickBot="1" x14ac:dyDescent="0.25">
      <c r="B75" s="138"/>
      <c r="C75" s="139" t="s">
        <v>127</v>
      </c>
      <c r="D75" s="99"/>
      <c r="E75" s="99"/>
      <c r="F75" s="99"/>
      <c r="G75" s="99"/>
      <c r="H75" s="100"/>
      <c r="I75" s="116">
        <f t="shared" si="2"/>
        <v>0</v>
      </c>
    </row>
    <row r="76" spans="2:9" ht="18" customHeight="1" thickBot="1" x14ac:dyDescent="0.3">
      <c r="B76" s="162"/>
      <c r="C76" s="163"/>
      <c r="D76" s="163">
        <f>IF(COUNTIFS(D7:D73,"&lt;&gt;",C7:C73,"&lt;&gt;ZK",C7:C73,"&lt;&gt;DK")&lt;&gt;0,SUMIFS(D7:D73,C7:C73,"&lt;&gt;ZK",C7:C73,"&lt;&gt;DK")/(COUNTIFS(D7:D73,"&lt;&gt;",C7:C73,"&lt;&gt;ZK",C7:C73,"&lt;&gt;DK")*D6),0)</f>
        <v>0.92391304347826086</v>
      </c>
      <c r="E76" s="163">
        <f>IF(COUNTIFS(E7:E73,"&lt;&gt;",C7:C73,"&lt;&gt;ZK",C7:C73,"&lt;&gt;DK")&lt;&gt;0,SUMIFS(E7:E73,C7:C73,"&lt;&gt;ZK",C7:C73,"&lt;&gt;DK")/(COUNTIFS(E7:E73,"&lt;&gt;",C7:C73,"&lt;&gt;ZK",C7:C73,"&lt;&gt;DK")*E6),0)</f>
        <v>0.54347826086956519</v>
      </c>
      <c r="F76" s="163">
        <f>IF(COUNTIFS(F7:F73,"&lt;&gt;",C7:C73,"&lt;&gt;ZK",C7:C73,"&lt;&gt;DK")&lt;&gt;0,SUMIFS(F7:F73,C7:C73,"&lt;&gt;ZK",C7:C73,"&lt;&gt;DK")/(COUNTIFS(F7:F73,"&lt;&gt;",C7:C73,"&lt;&gt;ZK",C7:C73,"&lt;&gt;DK")*F6),0)</f>
        <v>0.63043478260869568</v>
      </c>
      <c r="G76" s="163">
        <f>IF(COUNTIFS(G7:G73,"&lt;&gt;",C7:C73,"&lt;&gt;ZK",C7:C73,"&lt;&gt;DK")&lt;&gt;0,SUMIFS(G7:G73,C7:C73,"&lt;&gt;ZK",C7:C73,"&lt;&gt;DK")/(COUNTIFS(G7:G73,"&lt;&gt;",C7:C73,"&lt;&gt;ZK",C7:C73,"&lt;&gt;DK")*G6),0)</f>
        <v>0.39855072463768115</v>
      </c>
      <c r="H76" s="163">
        <f>IF(COUNTIFS(H7:H73,"&lt;&gt;",C7:C73,"&lt;&gt;ZK",C7:C73,"&lt;&gt;DK")&lt;&gt;0,SUMIFS(H7:H73,C7:C73,"&lt;&gt;ZK",C7:C73,"&lt;&gt;DK")/(COUNTIFS(H7:H73,"&lt;&gt;",C7:C73,"&lt;&gt;ZK",C7:C73,"&lt;&gt;DK")*H6),0)</f>
        <v>0.51086956521739135</v>
      </c>
      <c r="I76" s="164"/>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5">
    <dataValidation type="decimal" allowBlank="1" showErrorMessage="1" sqref="D7:D75" xr:uid="{FEA34B44-723C-4CC9-8233-DF938E318CDD}">
      <formula1>0</formula1>
      <formula2>$D$6</formula2>
    </dataValidation>
    <dataValidation type="decimal" allowBlank="1" showErrorMessage="1" sqref="E7:E75" xr:uid="{E7132950-C00A-4592-8769-165CD83B44BE}">
      <formula1>0</formula1>
      <formula2>$E$6</formula2>
    </dataValidation>
    <dataValidation type="decimal" allowBlank="1" showErrorMessage="1" sqref="F7:F75" xr:uid="{AAD54FA5-0AFD-43F0-A590-8A4A0D51C4DB}">
      <formula1>0</formula1>
      <formula2>$F$6</formula2>
    </dataValidation>
    <dataValidation type="decimal" allowBlank="1" showErrorMessage="1" sqref="G7:G75" xr:uid="{E307FABB-8FF5-44B6-BAC2-AD3DC057CAC1}">
      <formula1>0</formula1>
      <formula2>$G$6</formula2>
    </dataValidation>
    <dataValidation type="decimal" allowBlank="1" showErrorMessage="1" sqref="H7:H75" xr:uid="{E7B27B88-C13A-48B1-A2E7-A2CC7C5E7573}">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EFDF3-1865-42D2-9183-8731BE839DD7}">
  <sheetPr codeName="Tabelle141">
    <tabColor rgb="FF92D050"/>
  </sheetPr>
  <dimension ref="B1:I146"/>
  <sheetViews>
    <sheetView workbookViewId="0">
      <selection activeCell="F9" sqref="F9"/>
    </sheetView>
  </sheetViews>
  <sheetFormatPr baseColWidth="10" defaultRowHeight="13.2" x14ac:dyDescent="0.25"/>
  <cols>
    <col min="1" max="2" width="3.44140625" style="142" customWidth="1"/>
    <col min="3" max="3" width="25.77734375" style="142" customWidth="1"/>
    <col min="4" max="9" width="8.77734375" style="142" customWidth="1"/>
    <col min="10" max="16384" width="11.5546875" style="142"/>
  </cols>
  <sheetData>
    <row r="1" spans="2:9" ht="18" customHeight="1" thickBot="1" x14ac:dyDescent="0.3"/>
    <row r="2" spans="2:9" ht="18" customHeight="1" x14ac:dyDescent="0.25">
      <c r="B2" s="143" t="str">
        <f>Config!F2&amp;" "&amp;YEAR(Config!G24)</f>
        <v>Mathe Abitur 2026</v>
      </c>
      <c r="C2" s="144"/>
      <c r="D2" s="144"/>
      <c r="E2" s="144"/>
      <c r="F2" s="145"/>
      <c r="G2" s="145"/>
      <c r="H2" s="145"/>
      <c r="I2" s="146" t="str">
        <f>"Kurs "&amp;Config!G26</f>
        <v>Kurs K1</v>
      </c>
    </row>
    <row r="3" spans="2:9" ht="18" customHeight="1" x14ac:dyDescent="0.25">
      <c r="B3" s="147" t="s">
        <v>112</v>
      </c>
      <c r="C3" s="148"/>
      <c r="D3" s="148"/>
      <c r="E3" s="148"/>
      <c r="F3" s="148"/>
      <c r="G3" s="148"/>
      <c r="H3" s="148"/>
      <c r="I3" s="149"/>
    </row>
    <row r="4" spans="2:9" ht="18" customHeight="1" thickBot="1" x14ac:dyDescent="0.3">
      <c r="B4" s="147"/>
      <c r="C4" s="148"/>
      <c r="D4" s="150"/>
      <c r="E4" s="150"/>
      <c r="F4" s="150"/>
      <c r="G4" s="150"/>
      <c r="H4" s="150"/>
      <c r="I4" s="151"/>
    </row>
    <row r="5" spans="2:9" ht="18" customHeight="1" thickBot="1" x14ac:dyDescent="0.3">
      <c r="B5" s="152"/>
      <c r="C5" s="154"/>
      <c r="D5" s="173" t="str">
        <f>Config!R6</f>
        <v>6</v>
      </c>
      <c r="E5" s="173" t="str">
        <f>Config!R7</f>
        <v>7a</v>
      </c>
      <c r="F5" s="173" t="str">
        <f>Config!R8</f>
        <v>7b</v>
      </c>
      <c r="G5" s="173" t="str">
        <f>Config!R9</f>
        <v>8</v>
      </c>
      <c r="H5" s="173" t="str">
        <f>Config!R10</f>
        <v>9</v>
      </c>
      <c r="I5" s="158" t="s">
        <v>82</v>
      </c>
    </row>
    <row r="6" spans="2:9" ht="18" customHeight="1" thickBot="1" x14ac:dyDescent="0.3">
      <c r="B6" s="153"/>
      <c r="C6" s="155" t="s">
        <v>81</v>
      </c>
      <c r="D6" s="157">
        <f>Config!S6</f>
        <v>5</v>
      </c>
      <c r="E6" s="157">
        <f>Config!S7</f>
        <v>2</v>
      </c>
      <c r="F6" s="157">
        <f>Config!S8</f>
        <v>3</v>
      </c>
      <c r="G6" s="157">
        <f>Config!S9</f>
        <v>5</v>
      </c>
      <c r="H6" s="157">
        <f>Config!S10</f>
        <v>5</v>
      </c>
      <c r="I6" s="174">
        <f>Config!S21</f>
        <v>10</v>
      </c>
    </row>
    <row r="7" spans="2:9" ht="18" customHeight="1" x14ac:dyDescent="0.25">
      <c r="B7" s="203">
        <v>1</v>
      </c>
      <c r="C7" s="204" t="str">
        <f>Config!C5&amp;", "&amp;Config!D5</f>
        <v>Höfer, Simon</v>
      </c>
      <c r="D7" s="109">
        <v>4</v>
      </c>
      <c r="E7" s="109">
        <v>0</v>
      </c>
      <c r="F7" s="109">
        <v>3</v>
      </c>
      <c r="G7" s="130"/>
      <c r="H7" s="131"/>
      <c r="I7" s="200">
        <f t="shared" ref="I7:I38" si="0">SUM(D7:H7)</f>
        <v>7</v>
      </c>
    </row>
    <row r="8" spans="2:9" s="115" customFormat="1" ht="13.2" customHeight="1" x14ac:dyDescent="0.2">
      <c r="B8" s="118"/>
      <c r="C8" s="122" t="s">
        <v>126</v>
      </c>
      <c r="D8" s="101">
        <v>4</v>
      </c>
      <c r="E8" s="101">
        <v>0</v>
      </c>
      <c r="F8" s="102">
        <v>2</v>
      </c>
      <c r="G8" s="128"/>
      <c r="H8" s="132"/>
      <c r="I8" s="117">
        <f t="shared" si="0"/>
        <v>6</v>
      </c>
    </row>
    <row r="9" spans="2:9" s="115" customFormat="1" ht="13.2" customHeight="1" x14ac:dyDescent="0.2">
      <c r="B9" s="138"/>
      <c r="C9" s="139" t="s">
        <v>127</v>
      </c>
      <c r="D9" s="105">
        <v>1</v>
      </c>
      <c r="E9" s="99">
        <v>0</v>
      </c>
      <c r="F9" s="99">
        <v>3</v>
      </c>
      <c r="G9" s="124"/>
      <c r="H9" s="125"/>
      <c r="I9" s="116">
        <f t="shared" si="0"/>
        <v>4</v>
      </c>
    </row>
    <row r="10" spans="2:9" ht="18" customHeight="1" x14ac:dyDescent="0.25">
      <c r="B10" s="201">
        <v>2</v>
      </c>
      <c r="C10" s="202" t="str">
        <f>Config!C6&amp;", "&amp;Config!D6</f>
        <v>Töpfer, Lilian</v>
      </c>
      <c r="D10" s="111">
        <v>3</v>
      </c>
      <c r="E10" s="136"/>
      <c r="F10" s="136"/>
      <c r="G10" s="111">
        <v>4</v>
      </c>
      <c r="H10" s="137"/>
      <c r="I10" s="206">
        <f t="shared" si="0"/>
        <v>7</v>
      </c>
    </row>
    <row r="11" spans="2:9" s="115" customFormat="1" ht="13.2" customHeight="1" x14ac:dyDescent="0.2">
      <c r="B11" s="121"/>
      <c r="C11" s="123" t="s">
        <v>126</v>
      </c>
      <c r="D11" s="106"/>
      <c r="E11" s="129"/>
      <c r="F11" s="129"/>
      <c r="G11" s="106"/>
      <c r="H11" s="133"/>
      <c r="I11" s="120">
        <f t="shared" si="0"/>
        <v>0</v>
      </c>
    </row>
    <row r="12" spans="2:9" s="115" customFormat="1" ht="13.2" customHeight="1" x14ac:dyDescent="0.2">
      <c r="B12" s="140"/>
      <c r="C12" s="141" t="s">
        <v>127</v>
      </c>
      <c r="D12" s="99"/>
      <c r="E12" s="126"/>
      <c r="F12" s="126"/>
      <c r="G12" s="99"/>
      <c r="H12" s="127"/>
      <c r="I12" s="119">
        <f t="shared" si="0"/>
        <v>0</v>
      </c>
    </row>
    <row r="13" spans="2:9" ht="18" customHeight="1" x14ac:dyDescent="0.25">
      <c r="B13" s="198">
        <v>3</v>
      </c>
      <c r="C13" s="199" t="str">
        <f>Config!C7&amp;", "&amp;Config!D7</f>
        <v>Fleischmann, Leonie</v>
      </c>
      <c r="D13" s="134"/>
      <c r="E13" s="134"/>
      <c r="F13" s="134"/>
      <c r="G13" s="113">
        <v>5</v>
      </c>
      <c r="H13" s="114">
        <v>3</v>
      </c>
      <c r="I13" s="205">
        <f t="shared" si="0"/>
        <v>8</v>
      </c>
    </row>
    <row r="14" spans="2:9" s="115" customFormat="1" ht="13.2" customHeight="1" x14ac:dyDescent="0.2">
      <c r="B14" s="118"/>
      <c r="C14" s="122" t="s">
        <v>126</v>
      </c>
      <c r="D14" s="128"/>
      <c r="E14" s="128"/>
      <c r="F14" s="128"/>
      <c r="G14" s="101"/>
      <c r="H14" s="104"/>
      <c r="I14" s="117">
        <f t="shared" si="0"/>
        <v>0</v>
      </c>
    </row>
    <row r="15" spans="2:9" s="115" customFormat="1" ht="13.2" customHeight="1" x14ac:dyDescent="0.2">
      <c r="B15" s="138"/>
      <c r="C15" s="139" t="s">
        <v>127</v>
      </c>
      <c r="D15" s="124"/>
      <c r="E15" s="124"/>
      <c r="F15" s="124"/>
      <c r="G15" s="99"/>
      <c r="H15" s="100"/>
      <c r="I15" s="116">
        <f t="shared" si="0"/>
        <v>0</v>
      </c>
    </row>
    <row r="16" spans="2:9" ht="18" customHeight="1" x14ac:dyDescent="0.25">
      <c r="B16" s="201">
        <v>4</v>
      </c>
      <c r="C16" s="202" t="str">
        <f>Config!C8&amp;", "&amp;Config!D8</f>
        <v>Drescher, Cedric</v>
      </c>
      <c r="D16" s="111">
        <v>1</v>
      </c>
      <c r="E16" s="111">
        <v>2</v>
      </c>
      <c r="F16" s="111">
        <v>3</v>
      </c>
      <c r="G16" s="136"/>
      <c r="H16" s="137"/>
      <c r="I16" s="206">
        <f t="shared" si="0"/>
        <v>6</v>
      </c>
    </row>
    <row r="17" spans="2:9" s="115" customFormat="1" ht="13.2" customHeight="1" x14ac:dyDescent="0.2">
      <c r="B17" s="121"/>
      <c r="C17" s="123" t="s">
        <v>126</v>
      </c>
      <c r="D17" s="106"/>
      <c r="E17" s="106"/>
      <c r="F17" s="106"/>
      <c r="G17" s="129"/>
      <c r="H17" s="133"/>
      <c r="I17" s="120">
        <f t="shared" si="0"/>
        <v>0</v>
      </c>
    </row>
    <row r="18" spans="2:9" s="115" customFormat="1" ht="13.2" customHeight="1" x14ac:dyDescent="0.2">
      <c r="B18" s="140"/>
      <c r="C18" s="141" t="s">
        <v>127</v>
      </c>
      <c r="D18" s="99"/>
      <c r="E18" s="99"/>
      <c r="F18" s="99"/>
      <c r="G18" s="126"/>
      <c r="H18" s="127"/>
      <c r="I18" s="119">
        <f t="shared" si="0"/>
        <v>0</v>
      </c>
    </row>
    <row r="19" spans="2:9" ht="18" customHeight="1" x14ac:dyDescent="0.25">
      <c r="B19" s="198">
        <v>5</v>
      </c>
      <c r="C19" s="199" t="str">
        <f>Config!C9&amp;", "&amp;Config!D9</f>
        <v>Baumgarten, Annabell</v>
      </c>
      <c r="D19" s="113">
        <v>1</v>
      </c>
      <c r="E19" s="134"/>
      <c r="F19" s="134"/>
      <c r="G19" s="113">
        <v>5</v>
      </c>
      <c r="H19" s="135"/>
      <c r="I19" s="205">
        <f t="shared" si="0"/>
        <v>6</v>
      </c>
    </row>
    <row r="20" spans="2:9" s="115" customFormat="1" ht="13.2" customHeight="1" x14ac:dyDescent="0.2">
      <c r="B20" s="118"/>
      <c r="C20" s="122" t="s">
        <v>126</v>
      </c>
      <c r="D20" s="101"/>
      <c r="E20" s="128"/>
      <c r="F20" s="128"/>
      <c r="G20" s="101"/>
      <c r="H20" s="132"/>
      <c r="I20" s="117">
        <f t="shared" si="0"/>
        <v>0</v>
      </c>
    </row>
    <row r="21" spans="2:9" s="115" customFormat="1" ht="13.2" customHeight="1" x14ac:dyDescent="0.2">
      <c r="B21" s="138"/>
      <c r="C21" s="139" t="s">
        <v>127</v>
      </c>
      <c r="D21" s="99"/>
      <c r="E21" s="124"/>
      <c r="F21" s="124"/>
      <c r="G21" s="99"/>
      <c r="H21" s="125"/>
      <c r="I21" s="116">
        <f t="shared" si="0"/>
        <v>0</v>
      </c>
    </row>
    <row r="22" spans="2:9" ht="18" customHeight="1" x14ac:dyDescent="0.25">
      <c r="B22" s="201">
        <v>6</v>
      </c>
      <c r="C22" s="202" t="str">
        <f>Config!C10&amp;", "&amp;Config!D10</f>
        <v>Traut, Stefanie</v>
      </c>
      <c r="D22" s="136"/>
      <c r="E22" s="111">
        <v>2</v>
      </c>
      <c r="F22" s="111">
        <v>3</v>
      </c>
      <c r="G22" s="111">
        <v>3</v>
      </c>
      <c r="H22" s="137"/>
      <c r="I22" s="206">
        <f t="shared" si="0"/>
        <v>8</v>
      </c>
    </row>
    <row r="23" spans="2:9" s="115" customFormat="1" ht="13.2" customHeight="1" x14ac:dyDescent="0.2">
      <c r="B23" s="121"/>
      <c r="C23" s="123" t="s">
        <v>126</v>
      </c>
      <c r="D23" s="129"/>
      <c r="E23" s="106"/>
      <c r="F23" s="106"/>
      <c r="G23" s="106"/>
      <c r="H23" s="133"/>
      <c r="I23" s="120">
        <f t="shared" si="0"/>
        <v>0</v>
      </c>
    </row>
    <row r="24" spans="2:9" s="115" customFormat="1" ht="13.2" customHeight="1" x14ac:dyDescent="0.2">
      <c r="B24" s="140"/>
      <c r="C24" s="141" t="s">
        <v>127</v>
      </c>
      <c r="D24" s="126"/>
      <c r="E24" s="99"/>
      <c r="F24" s="99"/>
      <c r="G24" s="99"/>
      <c r="H24" s="127"/>
      <c r="I24" s="119">
        <f t="shared" si="0"/>
        <v>0</v>
      </c>
    </row>
    <row r="25" spans="2:9" ht="18" customHeight="1" x14ac:dyDescent="0.25">
      <c r="B25" s="198">
        <v>7</v>
      </c>
      <c r="C25" s="199" t="str">
        <f>Config!C11&amp;", "&amp;Config!D11</f>
        <v>Menke, Damian</v>
      </c>
      <c r="D25" s="134"/>
      <c r="E25" s="113">
        <v>1</v>
      </c>
      <c r="F25" s="113">
        <v>2</v>
      </c>
      <c r="G25" s="134"/>
      <c r="H25" s="114">
        <v>4</v>
      </c>
      <c r="I25" s="205">
        <f t="shared" si="0"/>
        <v>7</v>
      </c>
    </row>
    <row r="26" spans="2:9" s="115" customFormat="1" ht="13.2" customHeight="1" x14ac:dyDescent="0.2">
      <c r="B26" s="118"/>
      <c r="C26" s="122" t="s">
        <v>126</v>
      </c>
      <c r="D26" s="128"/>
      <c r="E26" s="101"/>
      <c r="F26" s="101"/>
      <c r="G26" s="128"/>
      <c r="H26" s="104"/>
      <c r="I26" s="117">
        <f t="shared" si="0"/>
        <v>0</v>
      </c>
    </row>
    <row r="27" spans="2:9" s="115" customFormat="1" ht="13.2" customHeight="1" x14ac:dyDescent="0.2">
      <c r="B27" s="138"/>
      <c r="C27" s="139" t="s">
        <v>127</v>
      </c>
      <c r="D27" s="124"/>
      <c r="E27" s="99"/>
      <c r="F27" s="99"/>
      <c r="G27" s="124"/>
      <c r="H27" s="100"/>
      <c r="I27" s="116">
        <f t="shared" si="0"/>
        <v>0</v>
      </c>
    </row>
    <row r="28" spans="2:9" ht="18" customHeight="1" x14ac:dyDescent="0.25">
      <c r="B28" s="201">
        <v>8</v>
      </c>
      <c r="C28" s="202" t="str">
        <f>Config!C12&amp;", "&amp;Config!D12</f>
        <v>Carroll, Meik</v>
      </c>
      <c r="D28" s="136"/>
      <c r="E28" s="136"/>
      <c r="F28" s="136"/>
      <c r="G28" s="111">
        <v>4</v>
      </c>
      <c r="H28" s="112">
        <v>3</v>
      </c>
      <c r="I28" s="206">
        <f t="shared" si="0"/>
        <v>7</v>
      </c>
    </row>
    <row r="29" spans="2:9" s="115" customFormat="1" ht="13.2" customHeight="1" x14ac:dyDescent="0.2">
      <c r="B29" s="121"/>
      <c r="C29" s="123" t="s">
        <v>126</v>
      </c>
      <c r="D29" s="129"/>
      <c r="E29" s="129"/>
      <c r="F29" s="129"/>
      <c r="G29" s="106"/>
      <c r="H29" s="108"/>
      <c r="I29" s="120">
        <f t="shared" si="0"/>
        <v>0</v>
      </c>
    </row>
    <row r="30" spans="2:9" s="115" customFormat="1" ht="13.2" customHeight="1" x14ac:dyDescent="0.2">
      <c r="B30" s="140"/>
      <c r="C30" s="141" t="s">
        <v>127</v>
      </c>
      <c r="D30" s="126"/>
      <c r="E30" s="126"/>
      <c r="F30" s="126"/>
      <c r="G30" s="99"/>
      <c r="H30" s="100"/>
      <c r="I30" s="119">
        <f t="shared" si="0"/>
        <v>0</v>
      </c>
    </row>
    <row r="31" spans="2:9" ht="18" customHeight="1" x14ac:dyDescent="0.25">
      <c r="B31" s="198">
        <v>9</v>
      </c>
      <c r="C31" s="199" t="str">
        <f>Config!C13&amp;", "&amp;Config!D13</f>
        <v>Hennings, Tomas</v>
      </c>
      <c r="D31" s="113">
        <v>5</v>
      </c>
      <c r="E31" s="113">
        <v>2</v>
      </c>
      <c r="F31" s="113">
        <v>1</v>
      </c>
      <c r="G31" s="134"/>
      <c r="H31" s="135"/>
      <c r="I31" s="205">
        <f t="shared" si="0"/>
        <v>8</v>
      </c>
    </row>
    <row r="32" spans="2:9" s="115" customFormat="1" ht="13.2" customHeight="1" x14ac:dyDescent="0.2">
      <c r="B32" s="118"/>
      <c r="C32" s="122" t="s">
        <v>126</v>
      </c>
      <c r="D32" s="101"/>
      <c r="E32" s="101"/>
      <c r="F32" s="101"/>
      <c r="G32" s="128"/>
      <c r="H32" s="132"/>
      <c r="I32" s="117">
        <f t="shared" si="0"/>
        <v>0</v>
      </c>
    </row>
    <row r="33" spans="2:9" s="115" customFormat="1" ht="13.2" customHeight="1" x14ac:dyDescent="0.2">
      <c r="B33" s="138"/>
      <c r="C33" s="139" t="s">
        <v>127</v>
      </c>
      <c r="D33" s="99"/>
      <c r="E33" s="99"/>
      <c r="F33" s="99"/>
      <c r="G33" s="124"/>
      <c r="H33" s="125"/>
      <c r="I33" s="116">
        <f t="shared" si="0"/>
        <v>0</v>
      </c>
    </row>
    <row r="34" spans="2:9" ht="18" customHeight="1" x14ac:dyDescent="0.25">
      <c r="B34" s="201">
        <v>10</v>
      </c>
      <c r="C34" s="202" t="str">
        <f>Config!C14&amp;", "&amp;Config!D14</f>
        <v>Walters, Linn</v>
      </c>
      <c r="D34" s="136"/>
      <c r="E34" s="111">
        <v>1</v>
      </c>
      <c r="F34" s="111">
        <v>2</v>
      </c>
      <c r="G34" s="111">
        <v>5</v>
      </c>
      <c r="H34" s="137"/>
      <c r="I34" s="206">
        <f t="shared" si="0"/>
        <v>8</v>
      </c>
    </row>
    <row r="35" spans="2:9" s="115" customFormat="1" ht="13.2" customHeight="1" x14ac:dyDescent="0.2">
      <c r="B35" s="121"/>
      <c r="C35" s="123" t="s">
        <v>126</v>
      </c>
      <c r="D35" s="129"/>
      <c r="E35" s="106"/>
      <c r="F35" s="106"/>
      <c r="G35" s="106"/>
      <c r="H35" s="133"/>
      <c r="I35" s="120">
        <f t="shared" si="0"/>
        <v>0</v>
      </c>
    </row>
    <row r="36" spans="2:9" s="115" customFormat="1" ht="13.2" customHeight="1" x14ac:dyDescent="0.2">
      <c r="B36" s="140"/>
      <c r="C36" s="141" t="s">
        <v>127</v>
      </c>
      <c r="D36" s="126"/>
      <c r="E36" s="99"/>
      <c r="F36" s="99"/>
      <c r="G36" s="99"/>
      <c r="H36" s="127"/>
      <c r="I36" s="119">
        <f t="shared" si="0"/>
        <v>0</v>
      </c>
    </row>
    <row r="37" spans="2:9" ht="18" customHeight="1" x14ac:dyDescent="0.25">
      <c r="B37" s="198">
        <v>11</v>
      </c>
      <c r="C37" s="199" t="str">
        <f>Config!C15&amp;", "&amp;Config!D15</f>
        <v>Junker, Amely</v>
      </c>
      <c r="D37" s="113">
        <v>2</v>
      </c>
      <c r="E37" s="134"/>
      <c r="F37" s="134"/>
      <c r="G37" s="113">
        <v>4</v>
      </c>
      <c r="H37" s="135"/>
      <c r="I37" s="205">
        <f t="shared" si="0"/>
        <v>6</v>
      </c>
    </row>
    <row r="38" spans="2:9" s="115" customFormat="1" ht="13.2" customHeight="1" x14ac:dyDescent="0.2">
      <c r="B38" s="118"/>
      <c r="C38" s="122" t="s">
        <v>126</v>
      </c>
      <c r="D38" s="101"/>
      <c r="E38" s="128"/>
      <c r="F38" s="128"/>
      <c r="G38" s="101"/>
      <c r="H38" s="132"/>
      <c r="I38" s="117">
        <f t="shared" si="0"/>
        <v>0</v>
      </c>
    </row>
    <row r="39" spans="2:9" s="115" customFormat="1" ht="13.2" customHeight="1" x14ac:dyDescent="0.2">
      <c r="B39" s="138"/>
      <c r="C39" s="139" t="s">
        <v>127</v>
      </c>
      <c r="D39" s="99"/>
      <c r="E39" s="124"/>
      <c r="F39" s="124"/>
      <c r="G39" s="99"/>
      <c r="H39" s="125"/>
      <c r="I39" s="116">
        <f t="shared" ref="I39:I70" si="1">SUM(D39:H39)</f>
        <v>0</v>
      </c>
    </row>
    <row r="40" spans="2:9" ht="18" customHeight="1" x14ac:dyDescent="0.25">
      <c r="B40" s="201">
        <v>12</v>
      </c>
      <c r="C40" s="202" t="str">
        <f>Config!C16&amp;", "&amp;Config!D16</f>
        <v>Stephens, Melvin</v>
      </c>
      <c r="D40" s="111">
        <v>5</v>
      </c>
      <c r="E40" s="136"/>
      <c r="F40" s="136"/>
      <c r="G40" s="111">
        <v>1</v>
      </c>
      <c r="H40" s="137"/>
      <c r="I40" s="206">
        <f t="shared" si="1"/>
        <v>6</v>
      </c>
    </row>
    <row r="41" spans="2:9" s="115" customFormat="1" ht="13.2" customHeight="1" x14ac:dyDescent="0.2">
      <c r="B41" s="121"/>
      <c r="C41" s="123" t="s">
        <v>126</v>
      </c>
      <c r="D41" s="106"/>
      <c r="E41" s="129"/>
      <c r="F41" s="129"/>
      <c r="G41" s="106"/>
      <c r="H41" s="133"/>
      <c r="I41" s="120">
        <f t="shared" si="1"/>
        <v>0</v>
      </c>
    </row>
    <row r="42" spans="2:9" s="115" customFormat="1" ht="13.2" customHeight="1" x14ac:dyDescent="0.2">
      <c r="B42" s="140"/>
      <c r="C42" s="141" t="s">
        <v>127</v>
      </c>
      <c r="D42" s="99"/>
      <c r="E42" s="126"/>
      <c r="F42" s="126"/>
      <c r="G42" s="99"/>
      <c r="H42" s="127"/>
      <c r="I42" s="119">
        <f t="shared" si="1"/>
        <v>0</v>
      </c>
    </row>
    <row r="43" spans="2:9" ht="18" customHeight="1" x14ac:dyDescent="0.25">
      <c r="B43" s="198">
        <v>13</v>
      </c>
      <c r="C43" s="199" t="str">
        <f>Config!C17&amp;", "&amp;Config!D17</f>
        <v>Cremer, Marvin</v>
      </c>
      <c r="D43" s="113">
        <v>3</v>
      </c>
      <c r="E43" s="134"/>
      <c r="F43" s="134"/>
      <c r="G43" s="134"/>
      <c r="H43" s="114">
        <v>5</v>
      </c>
      <c r="I43" s="205">
        <f t="shared" si="1"/>
        <v>8</v>
      </c>
    </row>
    <row r="44" spans="2:9" s="115" customFormat="1" ht="13.2" customHeight="1" x14ac:dyDescent="0.2">
      <c r="B44" s="118"/>
      <c r="C44" s="122" t="s">
        <v>126</v>
      </c>
      <c r="D44" s="101"/>
      <c r="E44" s="128"/>
      <c r="F44" s="128"/>
      <c r="G44" s="128"/>
      <c r="H44" s="104"/>
      <c r="I44" s="117">
        <f t="shared" si="1"/>
        <v>0</v>
      </c>
    </row>
    <row r="45" spans="2:9" s="115" customFormat="1" ht="13.2" customHeight="1" x14ac:dyDescent="0.2">
      <c r="B45" s="138"/>
      <c r="C45" s="139" t="s">
        <v>127</v>
      </c>
      <c r="D45" s="99"/>
      <c r="E45" s="124"/>
      <c r="F45" s="124"/>
      <c r="G45" s="124"/>
      <c r="H45" s="100"/>
      <c r="I45" s="116">
        <f t="shared" si="1"/>
        <v>0</v>
      </c>
    </row>
    <row r="46" spans="2:9" ht="18" customHeight="1" x14ac:dyDescent="0.25">
      <c r="B46" s="201">
        <v>14</v>
      </c>
      <c r="C46" s="202" t="str">
        <f>Config!C18&amp;", "&amp;Config!D18</f>
        <v>Nash, Jean</v>
      </c>
      <c r="D46" s="136"/>
      <c r="E46" s="136"/>
      <c r="F46" s="136"/>
      <c r="G46" s="111">
        <v>4</v>
      </c>
      <c r="H46" s="112">
        <v>3</v>
      </c>
      <c r="I46" s="206">
        <f t="shared" si="1"/>
        <v>7</v>
      </c>
    </row>
    <row r="47" spans="2:9" s="115" customFormat="1" ht="13.2" customHeight="1" x14ac:dyDescent="0.2">
      <c r="B47" s="121"/>
      <c r="C47" s="123" t="s">
        <v>126</v>
      </c>
      <c r="D47" s="129"/>
      <c r="E47" s="129"/>
      <c r="F47" s="129"/>
      <c r="G47" s="106"/>
      <c r="H47" s="108"/>
      <c r="I47" s="120">
        <f t="shared" si="1"/>
        <v>0</v>
      </c>
    </row>
    <row r="48" spans="2:9" s="115" customFormat="1" ht="13.2" customHeight="1" x14ac:dyDescent="0.2">
      <c r="B48" s="140"/>
      <c r="C48" s="141" t="s">
        <v>127</v>
      </c>
      <c r="D48" s="126"/>
      <c r="E48" s="126"/>
      <c r="F48" s="126"/>
      <c r="G48" s="99"/>
      <c r="H48" s="100"/>
      <c r="I48" s="119">
        <f t="shared" si="1"/>
        <v>0</v>
      </c>
    </row>
    <row r="49" spans="2:9" ht="18" customHeight="1" x14ac:dyDescent="0.25">
      <c r="B49" s="198">
        <v>15</v>
      </c>
      <c r="C49" s="199" t="str">
        <f>Config!C19&amp;", "&amp;Config!D19</f>
        <v>Schön, Leonardo</v>
      </c>
      <c r="D49" s="134"/>
      <c r="E49" s="113">
        <v>1</v>
      </c>
      <c r="F49" s="113">
        <v>2</v>
      </c>
      <c r="G49" s="134"/>
      <c r="H49" s="114">
        <v>1</v>
      </c>
      <c r="I49" s="205">
        <f t="shared" si="1"/>
        <v>4</v>
      </c>
    </row>
    <row r="50" spans="2:9" s="115" customFormat="1" ht="13.2" customHeight="1" x14ac:dyDescent="0.2">
      <c r="B50" s="118"/>
      <c r="C50" s="122" t="s">
        <v>126</v>
      </c>
      <c r="D50" s="128"/>
      <c r="E50" s="101"/>
      <c r="F50" s="101"/>
      <c r="G50" s="128"/>
      <c r="H50" s="104"/>
      <c r="I50" s="117">
        <f t="shared" si="1"/>
        <v>0</v>
      </c>
    </row>
    <row r="51" spans="2:9" s="115" customFormat="1" ht="13.2" customHeight="1" x14ac:dyDescent="0.2">
      <c r="B51" s="138"/>
      <c r="C51" s="139" t="s">
        <v>127</v>
      </c>
      <c r="D51" s="124"/>
      <c r="E51" s="99"/>
      <c r="F51" s="99"/>
      <c r="G51" s="124"/>
      <c r="H51" s="100"/>
      <c r="I51" s="116">
        <f t="shared" si="1"/>
        <v>0</v>
      </c>
    </row>
    <row r="52" spans="2:9" ht="18" customHeight="1" x14ac:dyDescent="0.25">
      <c r="B52" s="201">
        <v>16</v>
      </c>
      <c r="C52" s="202" t="str">
        <f>Config!C20&amp;", "&amp;Config!D20</f>
        <v>Sigl, Nicholas</v>
      </c>
      <c r="D52" s="136"/>
      <c r="E52" s="111">
        <v>1</v>
      </c>
      <c r="F52" s="111">
        <v>2</v>
      </c>
      <c r="G52" s="111">
        <v>5</v>
      </c>
      <c r="H52" s="137"/>
      <c r="I52" s="206">
        <f t="shared" si="1"/>
        <v>8</v>
      </c>
    </row>
    <row r="53" spans="2:9" s="115" customFormat="1" ht="13.2" customHeight="1" x14ac:dyDescent="0.2">
      <c r="B53" s="121"/>
      <c r="C53" s="123" t="s">
        <v>126</v>
      </c>
      <c r="D53" s="129"/>
      <c r="E53" s="106"/>
      <c r="F53" s="106"/>
      <c r="G53" s="106"/>
      <c r="H53" s="133"/>
      <c r="I53" s="120">
        <f t="shared" si="1"/>
        <v>0</v>
      </c>
    </row>
    <row r="54" spans="2:9" s="115" customFormat="1" ht="13.2" customHeight="1" x14ac:dyDescent="0.2">
      <c r="B54" s="140"/>
      <c r="C54" s="141" t="s">
        <v>127</v>
      </c>
      <c r="D54" s="126"/>
      <c r="E54" s="99"/>
      <c r="F54" s="99"/>
      <c r="G54" s="99"/>
      <c r="H54" s="127"/>
      <c r="I54" s="119">
        <f t="shared" si="1"/>
        <v>0</v>
      </c>
    </row>
    <row r="55" spans="2:9" ht="18" customHeight="1" x14ac:dyDescent="0.25">
      <c r="B55" s="198">
        <v>17</v>
      </c>
      <c r="C55" s="199" t="str">
        <f>Config!C21&amp;", "&amp;Config!D21</f>
        <v>Kainz, Vivienne</v>
      </c>
      <c r="D55" s="113">
        <v>5</v>
      </c>
      <c r="E55" s="134"/>
      <c r="F55" s="134"/>
      <c r="G55" s="113">
        <v>5</v>
      </c>
      <c r="H55" s="135"/>
      <c r="I55" s="205">
        <f t="shared" si="1"/>
        <v>10</v>
      </c>
    </row>
    <row r="56" spans="2:9" s="115" customFormat="1" ht="13.2" customHeight="1" x14ac:dyDescent="0.2">
      <c r="B56" s="118"/>
      <c r="C56" s="122" t="s">
        <v>126</v>
      </c>
      <c r="D56" s="101"/>
      <c r="E56" s="128"/>
      <c r="F56" s="128"/>
      <c r="G56" s="101"/>
      <c r="H56" s="132"/>
      <c r="I56" s="117">
        <f t="shared" si="1"/>
        <v>0</v>
      </c>
    </row>
    <row r="57" spans="2:9" s="115" customFormat="1" ht="13.2" customHeight="1" x14ac:dyDescent="0.2">
      <c r="B57" s="138"/>
      <c r="C57" s="139" t="s">
        <v>127</v>
      </c>
      <c r="D57" s="99"/>
      <c r="E57" s="124"/>
      <c r="F57" s="124"/>
      <c r="G57" s="99"/>
      <c r="H57" s="125"/>
      <c r="I57" s="116">
        <f t="shared" si="1"/>
        <v>0</v>
      </c>
    </row>
    <row r="58" spans="2:9" ht="18" customHeight="1" x14ac:dyDescent="0.25">
      <c r="B58" s="201">
        <v>18</v>
      </c>
      <c r="C58" s="202" t="str">
        <f>Config!C22&amp;", "&amp;Config!D22</f>
        <v>Hartmann, Mads</v>
      </c>
      <c r="D58" s="136"/>
      <c r="E58" s="136"/>
      <c r="F58" s="136"/>
      <c r="G58" s="111">
        <v>3</v>
      </c>
      <c r="H58" s="112">
        <v>4</v>
      </c>
      <c r="I58" s="206">
        <f t="shared" si="1"/>
        <v>7</v>
      </c>
    </row>
    <row r="59" spans="2:9" s="115" customFormat="1" ht="13.2" customHeight="1" x14ac:dyDescent="0.2">
      <c r="B59" s="121"/>
      <c r="C59" s="123" t="s">
        <v>126</v>
      </c>
      <c r="D59" s="129"/>
      <c r="E59" s="129"/>
      <c r="F59" s="129"/>
      <c r="G59" s="106"/>
      <c r="H59" s="108"/>
      <c r="I59" s="120">
        <f t="shared" si="1"/>
        <v>0</v>
      </c>
    </row>
    <row r="60" spans="2:9" s="115" customFormat="1" ht="13.2" customHeight="1" x14ac:dyDescent="0.2">
      <c r="B60" s="140"/>
      <c r="C60" s="141" t="s">
        <v>127</v>
      </c>
      <c r="D60" s="126"/>
      <c r="E60" s="126"/>
      <c r="F60" s="126"/>
      <c r="G60" s="99"/>
      <c r="H60" s="100"/>
      <c r="I60" s="119">
        <f t="shared" si="1"/>
        <v>0</v>
      </c>
    </row>
    <row r="61" spans="2:9" ht="18" customHeight="1" x14ac:dyDescent="0.25">
      <c r="B61" s="198">
        <v>19</v>
      </c>
      <c r="C61" s="199" t="str">
        <f>Config!C23&amp;", "&amp;Config!D23</f>
        <v>Ullmann, Raphael</v>
      </c>
      <c r="D61" s="134"/>
      <c r="E61" s="134"/>
      <c r="F61" s="134"/>
      <c r="G61" s="113">
        <v>5</v>
      </c>
      <c r="H61" s="114">
        <v>3</v>
      </c>
      <c r="I61" s="205">
        <f t="shared" si="1"/>
        <v>8</v>
      </c>
    </row>
    <row r="62" spans="2:9" s="115" customFormat="1" ht="13.2" customHeight="1" x14ac:dyDescent="0.2">
      <c r="B62" s="118"/>
      <c r="C62" s="122" t="s">
        <v>126</v>
      </c>
      <c r="D62" s="128"/>
      <c r="E62" s="128"/>
      <c r="F62" s="128"/>
      <c r="G62" s="101"/>
      <c r="H62" s="104"/>
      <c r="I62" s="117">
        <f t="shared" si="1"/>
        <v>0</v>
      </c>
    </row>
    <row r="63" spans="2:9" s="115" customFormat="1" ht="13.2" customHeight="1" x14ac:dyDescent="0.2">
      <c r="B63" s="138"/>
      <c r="C63" s="139" t="s">
        <v>127</v>
      </c>
      <c r="D63" s="124"/>
      <c r="E63" s="124"/>
      <c r="F63" s="124"/>
      <c r="G63" s="99"/>
      <c r="H63" s="100"/>
      <c r="I63" s="116">
        <f t="shared" si="1"/>
        <v>0</v>
      </c>
    </row>
    <row r="64" spans="2:9" ht="18" customHeight="1" x14ac:dyDescent="0.25">
      <c r="B64" s="201">
        <v>20</v>
      </c>
      <c r="C64" s="202" t="str">
        <f>Config!C24&amp;", "&amp;Config!D24</f>
        <v>Hartl, Emmely</v>
      </c>
      <c r="D64" s="111">
        <v>5</v>
      </c>
      <c r="E64" s="111">
        <v>2</v>
      </c>
      <c r="F64" s="111">
        <v>3</v>
      </c>
      <c r="G64" s="136"/>
      <c r="H64" s="137"/>
      <c r="I64" s="206">
        <f t="shared" si="1"/>
        <v>10</v>
      </c>
    </row>
    <row r="65" spans="2:9" s="115" customFormat="1" ht="13.2" customHeight="1" x14ac:dyDescent="0.2">
      <c r="B65" s="121"/>
      <c r="C65" s="123" t="s">
        <v>126</v>
      </c>
      <c r="D65" s="106"/>
      <c r="E65" s="106"/>
      <c r="F65" s="106"/>
      <c r="G65" s="129"/>
      <c r="H65" s="133"/>
      <c r="I65" s="120">
        <f t="shared" si="1"/>
        <v>0</v>
      </c>
    </row>
    <row r="66" spans="2:9" s="115" customFormat="1" ht="13.2" customHeight="1" x14ac:dyDescent="0.2">
      <c r="B66" s="140"/>
      <c r="C66" s="141" t="s">
        <v>127</v>
      </c>
      <c r="D66" s="99"/>
      <c r="E66" s="99"/>
      <c r="F66" s="99"/>
      <c r="G66" s="126"/>
      <c r="H66" s="127"/>
      <c r="I66" s="119">
        <f t="shared" si="1"/>
        <v>0</v>
      </c>
    </row>
    <row r="67" spans="2:9" ht="18" customHeight="1" x14ac:dyDescent="0.25">
      <c r="B67" s="198">
        <v>21</v>
      </c>
      <c r="C67" s="199" t="str">
        <f>Config!C25&amp;", "&amp;Config!D25</f>
        <v>Klotz, Karin</v>
      </c>
      <c r="D67" s="113">
        <v>5</v>
      </c>
      <c r="E67" s="113">
        <v>2</v>
      </c>
      <c r="F67" s="113">
        <v>3</v>
      </c>
      <c r="G67" s="134"/>
      <c r="H67" s="135"/>
      <c r="I67" s="205">
        <f t="shared" si="1"/>
        <v>10</v>
      </c>
    </row>
    <row r="68" spans="2:9" s="115" customFormat="1" ht="13.2" customHeight="1" x14ac:dyDescent="0.2">
      <c r="B68" s="118"/>
      <c r="C68" s="122" t="s">
        <v>126</v>
      </c>
      <c r="D68" s="101"/>
      <c r="E68" s="101"/>
      <c r="F68" s="101"/>
      <c r="G68" s="128"/>
      <c r="H68" s="132"/>
      <c r="I68" s="117">
        <f t="shared" si="1"/>
        <v>0</v>
      </c>
    </row>
    <row r="69" spans="2:9" s="115" customFormat="1" ht="13.2" customHeight="1" x14ac:dyDescent="0.2">
      <c r="B69" s="138"/>
      <c r="C69" s="139" t="s">
        <v>127</v>
      </c>
      <c r="D69" s="99"/>
      <c r="E69" s="99"/>
      <c r="F69" s="99"/>
      <c r="G69" s="124"/>
      <c r="H69" s="125"/>
      <c r="I69" s="116">
        <f t="shared" si="1"/>
        <v>0</v>
      </c>
    </row>
    <row r="70" spans="2:9" ht="18" customHeight="1" x14ac:dyDescent="0.25">
      <c r="B70" s="201">
        <v>22</v>
      </c>
      <c r="C70" s="202" t="str">
        <f>Config!C26&amp;", "&amp;Config!D26</f>
        <v>Ehlers, Ingo</v>
      </c>
      <c r="D70" s="111">
        <v>2</v>
      </c>
      <c r="E70" s="136"/>
      <c r="F70" s="136"/>
      <c r="G70" s="136"/>
      <c r="H70" s="112">
        <v>5</v>
      </c>
      <c r="I70" s="206">
        <f t="shared" si="1"/>
        <v>7</v>
      </c>
    </row>
    <row r="71" spans="2:9" s="115" customFormat="1" ht="13.2" customHeight="1" x14ac:dyDescent="0.2">
      <c r="B71" s="121"/>
      <c r="C71" s="123" t="s">
        <v>126</v>
      </c>
      <c r="D71" s="106"/>
      <c r="E71" s="129"/>
      <c r="F71" s="129"/>
      <c r="G71" s="129"/>
      <c r="H71" s="108"/>
      <c r="I71" s="120">
        <f t="shared" ref="I71:I75" si="2">SUM(D71:H71)</f>
        <v>0</v>
      </c>
    </row>
    <row r="72" spans="2:9" s="115" customFormat="1" ht="13.2" customHeight="1" x14ac:dyDescent="0.2">
      <c r="B72" s="140"/>
      <c r="C72" s="141" t="s">
        <v>127</v>
      </c>
      <c r="D72" s="99"/>
      <c r="E72" s="126"/>
      <c r="F72" s="126"/>
      <c r="G72" s="126"/>
      <c r="H72" s="100"/>
      <c r="I72" s="119">
        <f t="shared" si="2"/>
        <v>0</v>
      </c>
    </row>
    <row r="73" spans="2:9" ht="18" customHeight="1" x14ac:dyDescent="0.25">
      <c r="B73" s="198">
        <v>23</v>
      </c>
      <c r="C73" s="199" t="str">
        <f>Config!C27&amp;", "&amp;Config!D27</f>
        <v>Lindemann, Mads</v>
      </c>
      <c r="D73" s="113">
        <v>3</v>
      </c>
      <c r="E73" s="134"/>
      <c r="F73" s="134"/>
      <c r="G73" s="113">
        <v>5</v>
      </c>
      <c r="H73" s="135"/>
      <c r="I73" s="205">
        <f t="shared" si="2"/>
        <v>8</v>
      </c>
    </row>
    <row r="74" spans="2:9" s="115" customFormat="1" ht="13.2" customHeight="1" x14ac:dyDescent="0.2">
      <c r="B74" s="118"/>
      <c r="C74" s="122" t="s">
        <v>126</v>
      </c>
      <c r="D74" s="101"/>
      <c r="E74" s="128"/>
      <c r="F74" s="128"/>
      <c r="G74" s="101"/>
      <c r="H74" s="132"/>
      <c r="I74" s="117">
        <f t="shared" si="2"/>
        <v>0</v>
      </c>
    </row>
    <row r="75" spans="2:9" s="115" customFormat="1" ht="13.2" customHeight="1" thickBot="1" x14ac:dyDescent="0.25">
      <c r="B75" s="138"/>
      <c r="C75" s="139" t="s">
        <v>127</v>
      </c>
      <c r="D75" s="99"/>
      <c r="E75" s="124"/>
      <c r="F75" s="124"/>
      <c r="G75" s="99"/>
      <c r="H75" s="125"/>
      <c r="I75" s="116">
        <f t="shared" si="2"/>
        <v>0</v>
      </c>
    </row>
    <row r="76" spans="2:9" ht="18" customHeight="1" thickBot="1" x14ac:dyDescent="0.3">
      <c r="B76" s="162"/>
      <c r="C76" s="163"/>
      <c r="D76" s="163">
        <f>IF(COUNTIFS(D7:D73,"&lt;&gt;",C7:C73,"&lt;&gt;ZK",C7:C73,"&lt;&gt;DK")&lt;&gt;0,SUMIFS(D7:D73,C7:C73,"&lt;&gt;ZK",C7:C73,"&lt;&gt;DK")/(COUNTIFS(D7:D73,"&lt;&gt;",C7:C73,"&lt;&gt;ZK",C7:C73,"&lt;&gt;DK")*D6),0)</f>
        <v>0.67692307692307696</v>
      </c>
      <c r="E76" s="163">
        <f>IF(COUNTIFS(E7:E73,"&lt;&gt;",C7:C73,"&lt;&gt;ZK",C7:C73,"&lt;&gt;DK")&lt;&gt;0,SUMIFS(E7:E73,C7:C73,"&lt;&gt;ZK",C7:C73,"&lt;&gt;DK")/(COUNTIFS(E7:E73,"&lt;&gt;",C7:C73,"&lt;&gt;ZK",C7:C73,"&lt;&gt;DK")*E6),0)</f>
        <v>0.7</v>
      </c>
      <c r="F76" s="163">
        <f>IF(COUNTIFS(F7:F73,"&lt;&gt;",C7:C73,"&lt;&gt;ZK",C7:C73,"&lt;&gt;DK")&lt;&gt;0,SUMIFS(F7:F73,C7:C73,"&lt;&gt;ZK",C7:C73,"&lt;&gt;DK")/(COUNTIFS(F7:F73,"&lt;&gt;",C7:C73,"&lt;&gt;ZK",C7:C73,"&lt;&gt;DK")*F6),0)</f>
        <v>0.8</v>
      </c>
      <c r="G76" s="163">
        <f>IF(COUNTIFS(G7:G73,"&lt;&gt;",C7:C73,"&lt;&gt;ZK",C7:C73,"&lt;&gt;DK")&lt;&gt;0,SUMIFS(G7:G73,C7:C73,"&lt;&gt;ZK",C7:C73,"&lt;&gt;DK")/(COUNTIFS(G7:G73,"&lt;&gt;",C7:C73,"&lt;&gt;ZK",C7:C73,"&lt;&gt;DK")*G6),0)</f>
        <v>0.82857142857142863</v>
      </c>
      <c r="H76" s="163">
        <f>IF(COUNTIFS(H7:H73,"&lt;&gt;",C7:C73,"&lt;&gt;ZK",C7:C73,"&lt;&gt;DK")&lt;&gt;0,SUMIFS(H7:H73,C7:C73,"&lt;&gt;ZK",C7:C73,"&lt;&gt;DK")/(COUNTIFS(H7:H73,"&lt;&gt;",C7:C73,"&lt;&gt;ZK",C7:C73,"&lt;&gt;DK")*H6),0)</f>
        <v>0.68888888888888888</v>
      </c>
      <c r="I76" s="164"/>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5">
    <dataValidation type="decimal" allowBlank="1" showErrorMessage="1" sqref="D7:D75" xr:uid="{44C1BC30-84E2-4F09-A44E-19C1964D557F}">
      <formula1>0</formula1>
      <formula2>$D$6</formula2>
    </dataValidation>
    <dataValidation type="decimal" allowBlank="1" showErrorMessage="1" sqref="E7:E75" xr:uid="{ABECE62D-166B-4EA9-935E-58789C373A81}">
      <formula1>0</formula1>
      <formula2>$E$6</formula2>
    </dataValidation>
    <dataValidation type="decimal" allowBlank="1" showErrorMessage="1" sqref="F7:F75" xr:uid="{A5D8020A-139D-45F7-9C5A-20D314070270}">
      <formula1>0</formula1>
      <formula2>$F$6</formula2>
    </dataValidation>
    <dataValidation type="decimal" allowBlank="1" showErrorMessage="1" sqref="G7:G75" xr:uid="{F0F92BE1-AA0F-4E83-AA01-FB7131A447F4}">
      <formula1>0</formula1>
      <formula2>$G$6</formula2>
    </dataValidation>
    <dataValidation type="decimal" allowBlank="1" showErrorMessage="1" sqref="H7:H75" xr:uid="{79DB6013-CE24-4512-A7B6-3080B47F1310}">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8774A-7389-467E-86ED-8DEF221F59F4}">
  <sheetPr codeName="Tabelle143">
    <tabColor rgb="FFFFC000"/>
  </sheetPr>
  <dimension ref="B1:N100"/>
  <sheetViews>
    <sheetView workbookViewId="0">
      <selection activeCell="D7" sqref="D7"/>
    </sheetView>
  </sheetViews>
  <sheetFormatPr baseColWidth="10" defaultRowHeight="13.2" x14ac:dyDescent="0.25"/>
  <cols>
    <col min="1" max="2" width="3.44140625" style="142" customWidth="1"/>
    <col min="3" max="3" width="25.77734375" style="142" customWidth="1"/>
    <col min="4" max="8" width="4.77734375" style="142" customWidth="1"/>
    <col min="9" max="9" width="2.77734375" style="142" customWidth="1"/>
    <col min="10" max="16384" width="11.5546875" style="142"/>
  </cols>
  <sheetData>
    <row r="1" spans="2:14" ht="18" customHeight="1" thickBot="1" x14ac:dyDescent="0.3"/>
    <row r="2" spans="2:14" ht="18" customHeight="1" x14ac:dyDescent="0.25">
      <c r="B2" s="143" t="str">
        <f>Config!F2&amp;" "&amp;YEAR(Config!G24)</f>
        <v>Mathe Abitur 2026</v>
      </c>
      <c r="C2" s="144"/>
      <c r="D2" s="144"/>
      <c r="E2" s="144"/>
      <c r="F2" s="145"/>
      <c r="G2" s="145"/>
      <c r="H2" s="146" t="str">
        <f>"Kurs "&amp;Config!G26</f>
        <v>Kurs K1</v>
      </c>
    </row>
    <row r="3" spans="2:14" ht="18" customHeight="1" x14ac:dyDescent="0.25">
      <c r="B3" s="147" t="s">
        <v>124</v>
      </c>
      <c r="C3" s="148"/>
      <c r="D3" s="148"/>
      <c r="E3" s="148"/>
      <c r="F3" s="148"/>
      <c r="G3" s="148"/>
      <c r="H3" s="149"/>
    </row>
    <row r="4" spans="2:14" ht="18" customHeight="1" thickBot="1" x14ac:dyDescent="0.3">
      <c r="B4" s="147"/>
      <c r="C4" s="148"/>
      <c r="D4" s="150"/>
      <c r="E4" s="150"/>
      <c r="F4" s="150"/>
      <c r="G4" s="150"/>
      <c r="H4" s="151"/>
    </row>
    <row r="5" spans="2:14" ht="18" customHeight="1" thickBot="1" x14ac:dyDescent="0.3">
      <c r="B5" s="152"/>
      <c r="C5" s="154"/>
      <c r="D5" s="173" t="str">
        <f>Config!R6</f>
        <v>6</v>
      </c>
      <c r="E5" s="173" t="str">
        <f>Config!R7</f>
        <v>7a</v>
      </c>
      <c r="F5" s="173" t="str">
        <f>Config!R8</f>
        <v>7b</v>
      </c>
      <c r="G5" s="173" t="str">
        <f>Config!R9</f>
        <v>8</v>
      </c>
      <c r="H5" s="173" t="str">
        <f>Config!R10</f>
        <v>9</v>
      </c>
    </row>
    <row r="6" spans="2:14" ht="18" customHeight="1" thickBot="1" x14ac:dyDescent="0.3">
      <c r="B6" s="153"/>
      <c r="C6" s="155" t="s">
        <v>81</v>
      </c>
      <c r="D6" s="187" t="s">
        <v>112</v>
      </c>
      <c r="E6" s="187" t="s">
        <v>112</v>
      </c>
      <c r="F6" s="187" t="s">
        <v>112</v>
      </c>
      <c r="G6" s="187" t="s">
        <v>112</v>
      </c>
      <c r="H6" s="187" t="s">
        <v>112</v>
      </c>
      <c r="J6" s="273" t="s">
        <v>125</v>
      </c>
      <c r="K6" s="274"/>
      <c r="L6" s="274"/>
      <c r="M6" s="274"/>
      <c r="N6" s="275"/>
    </row>
    <row r="7" spans="2:14" ht="18" customHeight="1" x14ac:dyDescent="0.25">
      <c r="B7" s="167">
        <v>1</v>
      </c>
      <c r="C7" s="165" t="str">
        <f>Config!C5&amp;", "&amp;Config!D5</f>
        <v>Höfer, Simon</v>
      </c>
      <c r="D7" s="63" t="s">
        <v>120</v>
      </c>
      <c r="E7" s="63" t="s">
        <v>120</v>
      </c>
      <c r="F7" s="63" t="s">
        <v>120</v>
      </c>
      <c r="G7" s="63"/>
      <c r="H7" s="64"/>
      <c r="J7" s="276"/>
      <c r="K7" s="277"/>
      <c r="L7" s="277"/>
      <c r="M7" s="277"/>
      <c r="N7" s="278"/>
    </row>
    <row r="8" spans="2:14" ht="18" customHeight="1" thickBot="1" x14ac:dyDescent="0.3">
      <c r="B8" s="169">
        <v>2</v>
      </c>
      <c r="C8" s="159" t="str">
        <f>Config!C6&amp;", "&amp;Config!D6</f>
        <v>Töpfer, Lilian</v>
      </c>
      <c r="D8" s="62" t="s">
        <v>120</v>
      </c>
      <c r="E8" s="62"/>
      <c r="F8" s="62"/>
      <c r="G8" s="62" t="s">
        <v>120</v>
      </c>
      <c r="H8" s="65"/>
      <c r="J8" s="279"/>
      <c r="K8" s="280"/>
      <c r="L8" s="280"/>
      <c r="M8" s="280"/>
      <c r="N8" s="281"/>
    </row>
    <row r="9" spans="2:14" ht="18" customHeight="1" x14ac:dyDescent="0.25">
      <c r="B9" s="169">
        <v>3</v>
      </c>
      <c r="C9" s="159" t="str">
        <f>Config!C7&amp;", "&amp;Config!D7</f>
        <v>Fleischmann, Leonie</v>
      </c>
      <c r="D9" s="62"/>
      <c r="E9" s="62"/>
      <c r="F9" s="62"/>
      <c r="G9" s="62" t="s">
        <v>120</v>
      </c>
      <c r="H9" s="65" t="s">
        <v>120</v>
      </c>
    </row>
    <row r="10" spans="2:14" ht="18" customHeight="1" x14ac:dyDescent="0.25">
      <c r="B10" s="169">
        <v>4</v>
      </c>
      <c r="C10" s="159" t="str">
        <f>Config!C8&amp;", "&amp;Config!D8</f>
        <v>Drescher, Cedric</v>
      </c>
      <c r="D10" s="62" t="s">
        <v>120</v>
      </c>
      <c r="E10" s="62" t="s">
        <v>120</v>
      </c>
      <c r="F10" s="62" t="s">
        <v>120</v>
      </c>
      <c r="G10" s="62"/>
      <c r="H10" s="65"/>
    </row>
    <row r="11" spans="2:14" ht="18" customHeight="1" x14ac:dyDescent="0.25">
      <c r="B11" s="169">
        <v>5</v>
      </c>
      <c r="C11" s="159" t="str">
        <f>Config!C9&amp;", "&amp;Config!D9</f>
        <v>Baumgarten, Annabell</v>
      </c>
      <c r="D11" s="62" t="s">
        <v>120</v>
      </c>
      <c r="E11" s="62"/>
      <c r="F11" s="62"/>
      <c r="G11" s="62" t="s">
        <v>120</v>
      </c>
      <c r="H11" s="65"/>
    </row>
    <row r="12" spans="2:14" ht="18" customHeight="1" x14ac:dyDescent="0.25">
      <c r="B12" s="169">
        <v>6</v>
      </c>
      <c r="C12" s="159" t="str">
        <f>Config!C10&amp;", "&amp;Config!D10</f>
        <v>Traut, Stefanie</v>
      </c>
      <c r="D12" s="62"/>
      <c r="E12" s="62" t="s">
        <v>120</v>
      </c>
      <c r="F12" s="62" t="s">
        <v>120</v>
      </c>
      <c r="G12" s="62" t="s">
        <v>120</v>
      </c>
      <c r="H12" s="65"/>
    </row>
    <row r="13" spans="2:14" ht="18" customHeight="1" x14ac:dyDescent="0.25">
      <c r="B13" s="169">
        <v>7</v>
      </c>
      <c r="C13" s="159" t="str">
        <f>Config!C11&amp;", "&amp;Config!D11</f>
        <v>Menke, Damian</v>
      </c>
      <c r="D13" s="62"/>
      <c r="E13" s="62" t="s">
        <v>120</v>
      </c>
      <c r="F13" s="62" t="s">
        <v>120</v>
      </c>
      <c r="G13" s="62"/>
      <c r="H13" s="65" t="s">
        <v>120</v>
      </c>
    </row>
    <row r="14" spans="2:14" ht="18" customHeight="1" x14ac:dyDescent="0.25">
      <c r="B14" s="169">
        <v>8</v>
      </c>
      <c r="C14" s="159" t="str">
        <f>Config!C12&amp;", "&amp;Config!D12</f>
        <v>Carroll, Meik</v>
      </c>
      <c r="D14" s="62"/>
      <c r="E14" s="62"/>
      <c r="F14" s="62"/>
      <c r="G14" s="62" t="s">
        <v>120</v>
      </c>
      <c r="H14" s="65" t="s">
        <v>120</v>
      </c>
    </row>
    <row r="15" spans="2:14" ht="18" customHeight="1" x14ac:dyDescent="0.25">
      <c r="B15" s="169">
        <v>9</v>
      </c>
      <c r="C15" s="159" t="str">
        <f>Config!C13&amp;", "&amp;Config!D13</f>
        <v>Hennings, Tomas</v>
      </c>
      <c r="D15" s="62" t="s">
        <v>120</v>
      </c>
      <c r="E15" s="62" t="s">
        <v>120</v>
      </c>
      <c r="F15" s="62" t="s">
        <v>120</v>
      </c>
      <c r="G15" s="62"/>
      <c r="H15" s="65"/>
    </row>
    <row r="16" spans="2:14" ht="18" customHeight="1" x14ac:dyDescent="0.25">
      <c r="B16" s="169">
        <v>10</v>
      </c>
      <c r="C16" s="159" t="str">
        <f>Config!C14&amp;", "&amp;Config!D14</f>
        <v>Walters, Linn</v>
      </c>
      <c r="D16" s="62"/>
      <c r="E16" s="62" t="s">
        <v>120</v>
      </c>
      <c r="F16" s="62" t="s">
        <v>120</v>
      </c>
      <c r="G16" s="62" t="s">
        <v>120</v>
      </c>
      <c r="H16" s="65"/>
    </row>
    <row r="17" spans="2:8" ht="18" customHeight="1" x14ac:dyDescent="0.25">
      <c r="B17" s="169">
        <v>11</v>
      </c>
      <c r="C17" s="159" t="str">
        <f>Config!C15&amp;", "&amp;Config!D15</f>
        <v>Junker, Amely</v>
      </c>
      <c r="D17" s="62" t="s">
        <v>120</v>
      </c>
      <c r="E17" s="62"/>
      <c r="F17" s="62"/>
      <c r="G17" s="62" t="s">
        <v>120</v>
      </c>
      <c r="H17" s="65"/>
    </row>
    <row r="18" spans="2:8" ht="18" customHeight="1" x14ac:dyDescent="0.25">
      <c r="B18" s="169">
        <v>12</v>
      </c>
      <c r="C18" s="159" t="str">
        <f>Config!C16&amp;", "&amp;Config!D16</f>
        <v>Stephens, Melvin</v>
      </c>
      <c r="D18" s="62" t="s">
        <v>120</v>
      </c>
      <c r="E18" s="62"/>
      <c r="F18" s="62"/>
      <c r="G18" s="62" t="s">
        <v>120</v>
      </c>
      <c r="H18" s="65"/>
    </row>
    <row r="19" spans="2:8" ht="18" customHeight="1" x14ac:dyDescent="0.25">
      <c r="B19" s="169">
        <v>13</v>
      </c>
      <c r="C19" s="159" t="str">
        <f>Config!C17&amp;", "&amp;Config!D17</f>
        <v>Cremer, Marvin</v>
      </c>
      <c r="D19" s="62" t="s">
        <v>120</v>
      </c>
      <c r="E19" s="62"/>
      <c r="F19" s="62"/>
      <c r="G19" s="62"/>
      <c r="H19" s="65" t="s">
        <v>120</v>
      </c>
    </row>
    <row r="20" spans="2:8" ht="18" customHeight="1" x14ac:dyDescent="0.25">
      <c r="B20" s="169">
        <v>14</v>
      </c>
      <c r="C20" s="159" t="str">
        <f>Config!C18&amp;", "&amp;Config!D18</f>
        <v>Nash, Jean</v>
      </c>
      <c r="D20" s="62"/>
      <c r="E20" s="62"/>
      <c r="F20" s="62"/>
      <c r="G20" s="62" t="s">
        <v>120</v>
      </c>
      <c r="H20" s="65" t="s">
        <v>120</v>
      </c>
    </row>
    <row r="21" spans="2:8" ht="18" customHeight="1" x14ac:dyDescent="0.25">
      <c r="B21" s="169">
        <v>15</v>
      </c>
      <c r="C21" s="159" t="str">
        <f>Config!C19&amp;", "&amp;Config!D19</f>
        <v>Schön, Leonardo</v>
      </c>
      <c r="D21" s="62"/>
      <c r="E21" s="62" t="s">
        <v>120</v>
      </c>
      <c r="F21" s="62" t="s">
        <v>120</v>
      </c>
      <c r="G21" s="62"/>
      <c r="H21" s="65" t="s">
        <v>120</v>
      </c>
    </row>
    <row r="22" spans="2:8" ht="18" customHeight="1" x14ac:dyDescent="0.25">
      <c r="B22" s="169">
        <v>16</v>
      </c>
      <c r="C22" s="159" t="str">
        <f>Config!C20&amp;", "&amp;Config!D20</f>
        <v>Sigl, Nicholas</v>
      </c>
      <c r="D22" s="62"/>
      <c r="E22" s="62" t="s">
        <v>120</v>
      </c>
      <c r="F22" s="62" t="s">
        <v>120</v>
      </c>
      <c r="G22" s="62" t="s">
        <v>120</v>
      </c>
      <c r="H22" s="65"/>
    </row>
    <row r="23" spans="2:8" ht="18" customHeight="1" x14ac:dyDescent="0.25">
      <c r="B23" s="169">
        <v>17</v>
      </c>
      <c r="C23" s="159" t="str">
        <f>Config!C21&amp;", "&amp;Config!D21</f>
        <v>Kainz, Vivienne</v>
      </c>
      <c r="D23" s="62" t="s">
        <v>120</v>
      </c>
      <c r="E23" s="62"/>
      <c r="F23" s="62"/>
      <c r="G23" s="62" t="s">
        <v>120</v>
      </c>
      <c r="H23" s="65"/>
    </row>
    <row r="24" spans="2:8" ht="18" customHeight="1" x14ac:dyDescent="0.25">
      <c r="B24" s="169">
        <v>18</v>
      </c>
      <c r="C24" s="159" t="str">
        <f>Config!C22&amp;", "&amp;Config!D22</f>
        <v>Hartmann, Mads</v>
      </c>
      <c r="D24" s="62"/>
      <c r="E24" s="62"/>
      <c r="F24" s="62"/>
      <c r="G24" s="62" t="s">
        <v>120</v>
      </c>
      <c r="H24" s="65" t="s">
        <v>120</v>
      </c>
    </row>
    <row r="25" spans="2:8" ht="18" customHeight="1" x14ac:dyDescent="0.25">
      <c r="B25" s="169">
        <v>19</v>
      </c>
      <c r="C25" s="159" t="str">
        <f>Config!C23&amp;", "&amp;Config!D23</f>
        <v>Ullmann, Raphael</v>
      </c>
      <c r="D25" s="62"/>
      <c r="E25" s="62"/>
      <c r="F25" s="62"/>
      <c r="G25" s="62" t="s">
        <v>120</v>
      </c>
      <c r="H25" s="65" t="s">
        <v>120</v>
      </c>
    </row>
    <row r="26" spans="2:8" ht="18" customHeight="1" x14ac:dyDescent="0.25">
      <c r="B26" s="169">
        <v>20</v>
      </c>
      <c r="C26" s="159" t="str">
        <f>Config!C24&amp;", "&amp;Config!D24</f>
        <v>Hartl, Emmely</v>
      </c>
      <c r="D26" s="62" t="s">
        <v>120</v>
      </c>
      <c r="E26" s="62" t="s">
        <v>120</v>
      </c>
      <c r="F26" s="62" t="s">
        <v>120</v>
      </c>
      <c r="G26" s="62"/>
      <c r="H26" s="65"/>
    </row>
    <row r="27" spans="2:8" ht="18" customHeight="1" x14ac:dyDescent="0.25">
      <c r="B27" s="169">
        <v>21</v>
      </c>
      <c r="C27" s="159" t="str">
        <f>Config!C25&amp;", "&amp;Config!D25</f>
        <v>Klotz, Karin</v>
      </c>
      <c r="D27" s="62" t="s">
        <v>120</v>
      </c>
      <c r="E27" s="62" t="s">
        <v>120</v>
      </c>
      <c r="F27" s="62" t="s">
        <v>120</v>
      </c>
      <c r="G27" s="62"/>
      <c r="H27" s="65"/>
    </row>
    <row r="28" spans="2:8" ht="18" customHeight="1" x14ac:dyDescent="0.25">
      <c r="B28" s="169">
        <v>22</v>
      </c>
      <c r="C28" s="159" t="str">
        <f>Config!C26&amp;", "&amp;Config!D26</f>
        <v>Ehlers, Ingo</v>
      </c>
      <c r="D28" s="62" t="s">
        <v>120</v>
      </c>
      <c r="E28" s="62"/>
      <c r="F28" s="62"/>
      <c r="G28" s="62"/>
      <c r="H28" s="65" t="s">
        <v>120</v>
      </c>
    </row>
    <row r="29" spans="2:8" ht="18" customHeight="1" thickBot="1" x14ac:dyDescent="0.3">
      <c r="B29" s="170">
        <v>23</v>
      </c>
      <c r="C29" s="166"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mergeCells count="1">
    <mergeCell ref="J6:N8"/>
  </mergeCells>
  <dataValidations count="1">
    <dataValidation type="list" allowBlank="1" showDropDown="1" showInputMessage="1" showErrorMessage="1" sqref="D7:H29" xr:uid="{CD07E09A-F438-426B-B04D-A08E57450A97}">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G27" sqref="G27:H27"/>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18" t="s">
        <v>6</v>
      </c>
      <c r="C2" s="219"/>
      <c r="D2" s="220"/>
      <c r="F2" s="263" t="s">
        <v>96</v>
      </c>
      <c r="G2" s="264"/>
      <c r="H2" s="264"/>
      <c r="I2" s="264"/>
      <c r="J2" s="264"/>
      <c r="K2" s="264"/>
      <c r="L2" s="264"/>
      <c r="M2" s="264"/>
      <c r="N2" s="264"/>
      <c r="O2" s="264"/>
      <c r="P2" s="264"/>
      <c r="Q2" s="264"/>
      <c r="R2" s="264"/>
      <c r="S2" s="265"/>
      <c r="T2" s="79" t="s">
        <v>88</v>
      </c>
      <c r="V2" s="240" t="s">
        <v>89</v>
      </c>
      <c r="W2" s="241"/>
      <c r="X2" s="241"/>
      <c r="Y2" s="241"/>
      <c r="Z2" s="242"/>
      <c r="AB2" s="240" t="s">
        <v>129</v>
      </c>
      <c r="AC2" s="241"/>
      <c r="AD2" s="241"/>
      <c r="AE2" s="241"/>
      <c r="AF2" s="242"/>
    </row>
    <row r="3" spans="2:32" ht="13.2" customHeight="1" x14ac:dyDescent="0.25">
      <c r="B3" s="221"/>
      <c r="C3" s="222"/>
      <c r="D3" s="223"/>
      <c r="F3" s="266"/>
      <c r="G3" s="267"/>
      <c r="H3" s="267"/>
      <c r="I3" s="267"/>
      <c r="J3" s="267"/>
      <c r="K3" s="267"/>
      <c r="L3" s="267"/>
      <c r="M3" s="267"/>
      <c r="N3" s="267"/>
      <c r="O3" s="267"/>
      <c r="P3" s="267"/>
      <c r="Q3" s="267"/>
      <c r="R3" s="267"/>
      <c r="S3" s="268"/>
      <c r="V3" s="80" t="s">
        <v>90</v>
      </c>
      <c r="W3" s="224" t="s">
        <v>122</v>
      </c>
      <c r="X3" s="224"/>
      <c r="Y3" s="224"/>
      <c r="Z3" s="225"/>
      <c r="AB3" s="95" t="s">
        <v>130</v>
      </c>
      <c r="AC3" s="224" t="s">
        <v>131</v>
      </c>
      <c r="AD3" s="224"/>
      <c r="AE3" s="224"/>
      <c r="AF3" s="225"/>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224"/>
      <c r="X4" s="224"/>
      <c r="Y4" s="224"/>
      <c r="Z4" s="225"/>
      <c r="AB4" s="80"/>
      <c r="AC4" s="224"/>
      <c r="AD4" s="224"/>
      <c r="AE4" s="224"/>
      <c r="AF4" s="225"/>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224"/>
      <c r="X5" s="224"/>
      <c r="Y5" s="224"/>
      <c r="Z5" s="225"/>
      <c r="AB5" s="80"/>
      <c r="AC5" s="224"/>
      <c r="AD5" s="224"/>
      <c r="AE5" s="224"/>
      <c r="AF5" s="225"/>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224"/>
      <c r="X6" s="224"/>
      <c r="Y6" s="224"/>
      <c r="Z6" s="225"/>
      <c r="AB6" s="95" t="s">
        <v>130</v>
      </c>
      <c r="AC6" s="224"/>
      <c r="AD6" s="224"/>
      <c r="AE6" s="224"/>
      <c r="AF6" s="225"/>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224"/>
      <c r="X7" s="224"/>
      <c r="Y7" s="224"/>
      <c r="Z7" s="225"/>
      <c r="AB7" s="80"/>
      <c r="AC7" s="224"/>
      <c r="AD7" s="224"/>
      <c r="AE7" s="224"/>
      <c r="AF7" s="225"/>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224"/>
      <c r="X8" s="224"/>
      <c r="Y8" s="224"/>
      <c r="Z8" s="225"/>
      <c r="AB8" s="80"/>
      <c r="AC8" s="224"/>
      <c r="AD8" s="224"/>
      <c r="AE8" s="224"/>
      <c r="AF8" s="225"/>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224"/>
      <c r="X9" s="224"/>
      <c r="Y9" s="224"/>
      <c r="Z9" s="225"/>
      <c r="AB9" s="95"/>
      <c r="AC9" s="224"/>
      <c r="AD9" s="224"/>
      <c r="AE9" s="224"/>
      <c r="AF9" s="225"/>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224"/>
      <c r="X10" s="224"/>
      <c r="Y10" s="224"/>
      <c r="Z10" s="225"/>
      <c r="AB10" s="80"/>
      <c r="AC10" s="224"/>
      <c r="AD10" s="224"/>
      <c r="AE10" s="224"/>
      <c r="AF10" s="225"/>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224"/>
      <c r="X11" s="224"/>
      <c r="Y11" s="224"/>
      <c r="Z11" s="225"/>
      <c r="AB11" s="95" t="s">
        <v>130</v>
      </c>
      <c r="AC11" s="224"/>
      <c r="AD11" s="224"/>
      <c r="AE11" s="224"/>
      <c r="AF11" s="225"/>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224"/>
      <c r="X12" s="224"/>
      <c r="Y12" s="224"/>
      <c r="Z12" s="225"/>
      <c r="AB12" s="95"/>
      <c r="AC12" s="224"/>
      <c r="AD12" s="224"/>
      <c r="AE12" s="224"/>
      <c r="AF12" s="225"/>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224"/>
      <c r="X13" s="224"/>
      <c r="Y13" s="224"/>
      <c r="Z13" s="225"/>
      <c r="AB13" s="80"/>
      <c r="AC13" s="224"/>
      <c r="AD13" s="224"/>
      <c r="AE13" s="224"/>
      <c r="AF13" s="225"/>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224"/>
      <c r="X14" s="224"/>
      <c r="Y14" s="224"/>
      <c r="Z14" s="225"/>
      <c r="AB14" s="80"/>
      <c r="AC14" s="224"/>
      <c r="AD14" s="224"/>
      <c r="AE14" s="224"/>
      <c r="AF14" s="225"/>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224"/>
      <c r="X15" s="224"/>
      <c r="Y15" s="224"/>
      <c r="Z15" s="225"/>
      <c r="AB15" s="95"/>
      <c r="AC15" s="224"/>
      <c r="AD15" s="224"/>
      <c r="AE15" s="224"/>
      <c r="AF15" s="225"/>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224"/>
      <c r="X16" s="224"/>
      <c r="Y16" s="224"/>
      <c r="Z16" s="225"/>
      <c r="AB16" s="95" t="s">
        <v>130</v>
      </c>
      <c r="AC16" s="224"/>
      <c r="AD16" s="224"/>
      <c r="AE16" s="224"/>
      <c r="AF16" s="225"/>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224"/>
      <c r="X17" s="224"/>
      <c r="Y17" s="224"/>
      <c r="Z17" s="225"/>
      <c r="AB17" s="80"/>
      <c r="AC17" s="224"/>
      <c r="AD17" s="224"/>
      <c r="AE17" s="224"/>
      <c r="AF17" s="225"/>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224"/>
      <c r="X18" s="224"/>
      <c r="Y18" s="224"/>
      <c r="Z18" s="225"/>
      <c r="AB18" s="95"/>
      <c r="AC18" s="224"/>
      <c r="AD18" s="224"/>
      <c r="AE18" s="224"/>
      <c r="AF18" s="225"/>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224"/>
      <c r="X19" s="224"/>
      <c r="Y19" s="224"/>
      <c r="Z19" s="225"/>
      <c r="AB19" s="80"/>
      <c r="AC19" s="224"/>
      <c r="AD19" s="224"/>
      <c r="AE19" s="224"/>
      <c r="AF19" s="225"/>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224"/>
      <c r="X20" s="224"/>
      <c r="Y20" s="224"/>
      <c r="Z20" s="225"/>
      <c r="AB20" s="80"/>
      <c r="AC20" s="224"/>
      <c r="AD20" s="224"/>
      <c r="AE20" s="224"/>
      <c r="AF20" s="225"/>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224"/>
      <c r="X21" s="224"/>
      <c r="Y21" s="224"/>
      <c r="Z21" s="225"/>
      <c r="AB21" s="95"/>
      <c r="AC21" s="224"/>
      <c r="AD21" s="224"/>
      <c r="AE21" s="224"/>
      <c r="AF21" s="225"/>
    </row>
    <row r="22" spans="2:32" ht="13.8" thickBot="1" x14ac:dyDescent="0.3">
      <c r="B22" s="5">
        <v>18</v>
      </c>
      <c r="C22" s="13" t="s">
        <v>75</v>
      </c>
      <c r="D22" s="14" t="s">
        <v>53</v>
      </c>
      <c r="F22" s="269" t="s">
        <v>118</v>
      </c>
      <c r="G22" s="270"/>
      <c r="H22" s="230" t="s">
        <v>118</v>
      </c>
      <c r="I22" s="270"/>
      <c r="J22" s="230" t="s">
        <v>118</v>
      </c>
      <c r="K22" s="270"/>
      <c r="L22" s="230" t="s">
        <v>118</v>
      </c>
      <c r="M22" s="270"/>
      <c r="N22" s="230" t="s">
        <v>118</v>
      </c>
      <c r="O22" s="270"/>
      <c r="P22" s="230" t="s">
        <v>118</v>
      </c>
      <c r="Q22" s="270"/>
      <c r="R22" s="230" t="s">
        <v>119</v>
      </c>
      <c r="S22" s="231"/>
      <c r="T22" s="79" t="s">
        <v>88</v>
      </c>
      <c r="V22" s="4"/>
      <c r="W22" s="224"/>
      <c r="X22" s="224"/>
      <c r="Y22" s="224"/>
      <c r="Z22" s="225"/>
      <c r="AB22" s="4"/>
      <c r="AC22" s="224"/>
      <c r="AD22" s="224"/>
      <c r="AE22" s="224"/>
      <c r="AF22" s="225"/>
    </row>
    <row r="23" spans="2:32" ht="13.2" customHeight="1" thickBot="1" x14ac:dyDescent="0.3">
      <c r="B23" s="5">
        <v>19</v>
      </c>
      <c r="C23" s="77" t="s">
        <v>76</v>
      </c>
      <c r="D23" s="78" t="s">
        <v>54</v>
      </c>
      <c r="V23" s="4"/>
      <c r="W23" s="224"/>
      <c r="X23" s="224"/>
      <c r="Y23" s="224"/>
      <c r="Z23" s="225"/>
      <c r="AB23" s="4"/>
      <c r="AC23" s="224"/>
      <c r="AD23" s="224"/>
      <c r="AE23" s="224"/>
      <c r="AF23" s="225"/>
    </row>
    <row r="24" spans="2:32" ht="13.2" customHeight="1" x14ac:dyDescent="0.25">
      <c r="B24" s="5">
        <v>20</v>
      </c>
      <c r="C24" s="13" t="s">
        <v>77</v>
      </c>
      <c r="D24" s="14" t="s">
        <v>55</v>
      </c>
      <c r="F24" s="22" t="s">
        <v>22</v>
      </c>
      <c r="G24" s="252">
        <v>46150</v>
      </c>
      <c r="H24" s="253"/>
      <c r="J24" s="254" t="s">
        <v>99</v>
      </c>
      <c r="K24" s="255"/>
      <c r="L24" s="255"/>
      <c r="M24" s="255"/>
      <c r="N24" s="255"/>
      <c r="O24" s="255"/>
      <c r="P24" s="255"/>
      <c r="Q24" s="256"/>
      <c r="V24" s="4" t="s">
        <v>123</v>
      </c>
      <c r="W24" s="224"/>
      <c r="X24" s="224"/>
      <c r="Y24" s="224"/>
      <c r="Z24" s="225"/>
      <c r="AB24" s="95"/>
      <c r="AC24" s="224"/>
      <c r="AD24" s="224"/>
      <c r="AE24" s="224"/>
      <c r="AF24" s="225"/>
    </row>
    <row r="25" spans="2:32" ht="13.2" customHeight="1" x14ac:dyDescent="0.25">
      <c r="B25" s="5">
        <v>21</v>
      </c>
      <c r="C25" s="77" t="s">
        <v>78</v>
      </c>
      <c r="D25" s="78" t="s">
        <v>56</v>
      </c>
      <c r="F25" s="23" t="s">
        <v>30</v>
      </c>
      <c r="G25" s="228" t="s">
        <v>86</v>
      </c>
      <c r="H25" s="229"/>
      <c r="J25" s="257" t="s">
        <v>98</v>
      </c>
      <c r="K25" s="258"/>
      <c r="L25" s="258"/>
      <c r="M25" s="258"/>
      <c r="N25" s="258"/>
      <c r="O25" s="258"/>
      <c r="P25" s="258"/>
      <c r="Q25" s="259"/>
      <c r="V25" s="4"/>
      <c r="W25" s="224"/>
      <c r="X25" s="224"/>
      <c r="Y25" s="224"/>
      <c r="Z25" s="225"/>
      <c r="AB25" s="4"/>
      <c r="AC25" s="224"/>
      <c r="AD25" s="224"/>
      <c r="AE25" s="224"/>
      <c r="AF25" s="225"/>
    </row>
    <row r="26" spans="2:32" ht="13.2" customHeight="1" thickBot="1" x14ac:dyDescent="0.3">
      <c r="B26" s="5">
        <v>22</v>
      </c>
      <c r="C26" s="13" t="s">
        <v>79</v>
      </c>
      <c r="D26" s="14" t="s">
        <v>57</v>
      </c>
      <c r="F26" s="23" t="s">
        <v>21</v>
      </c>
      <c r="G26" s="228" t="s">
        <v>87</v>
      </c>
      <c r="H26" s="229"/>
      <c r="J26" s="260"/>
      <c r="K26" s="261"/>
      <c r="L26" s="261"/>
      <c r="M26" s="261"/>
      <c r="N26" s="261"/>
      <c r="O26" s="261"/>
      <c r="P26" s="261"/>
      <c r="Q26" s="262"/>
      <c r="V26" s="4"/>
      <c r="W26" s="224"/>
      <c r="X26" s="224"/>
      <c r="Y26" s="224"/>
      <c r="Z26" s="225"/>
      <c r="AB26" s="4"/>
      <c r="AC26" s="224"/>
      <c r="AD26" s="224"/>
      <c r="AE26" s="224"/>
      <c r="AF26" s="225"/>
    </row>
    <row r="27" spans="2:32" ht="13.2" customHeight="1" thickBot="1" x14ac:dyDescent="0.3">
      <c r="B27" s="5">
        <v>23</v>
      </c>
      <c r="C27" s="77" t="s">
        <v>80</v>
      </c>
      <c r="D27" s="78" t="s">
        <v>53</v>
      </c>
      <c r="F27" s="23" t="s">
        <v>126</v>
      </c>
      <c r="G27" s="228" t="s">
        <v>132</v>
      </c>
      <c r="H27" s="229"/>
      <c r="I27" s="94" t="s">
        <v>88</v>
      </c>
      <c r="V27" s="4"/>
      <c r="W27" s="224"/>
      <c r="X27" s="224"/>
      <c r="Y27" s="224"/>
      <c r="Z27" s="225"/>
      <c r="AB27" s="4"/>
      <c r="AC27" s="224"/>
      <c r="AD27" s="224"/>
      <c r="AE27" s="224"/>
      <c r="AF27" s="225"/>
    </row>
    <row r="28" spans="2:32" ht="13.2" customHeight="1" thickBot="1" x14ac:dyDescent="0.3">
      <c r="B28" s="5">
        <v>24</v>
      </c>
      <c r="C28" s="13"/>
      <c r="D28" s="14"/>
      <c r="F28" s="24" t="s">
        <v>127</v>
      </c>
      <c r="G28" s="232" t="s">
        <v>133</v>
      </c>
      <c r="H28" s="233"/>
      <c r="I28" s="94" t="s">
        <v>88</v>
      </c>
      <c r="N28" s="234" t="s">
        <v>128</v>
      </c>
      <c r="O28" s="235"/>
      <c r="P28" s="235"/>
      <c r="Q28" s="236"/>
      <c r="V28" s="4"/>
      <c r="W28" s="224"/>
      <c r="X28" s="224"/>
      <c r="Y28" s="224"/>
      <c r="Z28" s="225"/>
      <c r="AB28" s="4"/>
      <c r="AC28" s="224"/>
      <c r="AD28" s="224"/>
      <c r="AE28" s="224"/>
      <c r="AF28" s="225"/>
    </row>
    <row r="29" spans="2:32" ht="13.2" customHeight="1" thickBot="1" x14ac:dyDescent="0.3">
      <c r="B29" s="5">
        <v>25</v>
      </c>
      <c r="C29" s="77"/>
      <c r="D29" s="78"/>
      <c r="N29" s="237"/>
      <c r="O29" s="238"/>
      <c r="P29" s="238"/>
      <c r="Q29" s="239"/>
      <c r="V29" s="92"/>
      <c r="W29" s="226"/>
      <c r="X29" s="226"/>
      <c r="Y29" s="226"/>
      <c r="Z29" s="227"/>
      <c r="AB29" s="92"/>
      <c r="AC29" s="226"/>
      <c r="AD29" s="226"/>
      <c r="AE29" s="226"/>
      <c r="AF29" s="227"/>
    </row>
    <row r="30" spans="2:32" ht="13.2" customHeight="1" thickBot="1" x14ac:dyDescent="0.3">
      <c r="B30" s="5">
        <v>26</v>
      </c>
      <c r="C30" s="13"/>
      <c r="D30" s="14"/>
    </row>
    <row r="31" spans="2:32" ht="13.2" customHeight="1" x14ac:dyDescent="0.25">
      <c r="B31" s="5">
        <v>27</v>
      </c>
      <c r="C31" s="77"/>
      <c r="D31" s="78"/>
      <c r="F31" s="243" t="s">
        <v>97</v>
      </c>
      <c r="G31" s="244"/>
      <c r="H31" s="244"/>
      <c r="I31" s="244"/>
      <c r="J31" s="244"/>
      <c r="K31" s="244"/>
      <c r="L31" s="244"/>
      <c r="M31" s="244"/>
      <c r="N31" s="244"/>
      <c r="O31" s="244"/>
      <c r="P31" s="244"/>
      <c r="Q31" s="245"/>
    </row>
    <row r="32" spans="2:32" ht="13.2" customHeight="1" x14ac:dyDescent="0.25">
      <c r="B32" s="5">
        <v>28</v>
      </c>
      <c r="C32" s="13"/>
      <c r="D32" s="14"/>
      <c r="F32" s="246"/>
      <c r="G32" s="247"/>
      <c r="H32" s="247"/>
      <c r="I32" s="247"/>
      <c r="J32" s="247"/>
      <c r="K32" s="247"/>
      <c r="L32" s="247"/>
      <c r="M32" s="247"/>
      <c r="N32" s="247"/>
      <c r="O32" s="247"/>
      <c r="P32" s="247"/>
      <c r="Q32" s="248"/>
    </row>
    <row r="33" spans="2:25" ht="13.2" customHeight="1" x14ac:dyDescent="0.25">
      <c r="B33" s="5">
        <v>29</v>
      </c>
      <c r="C33" s="77"/>
      <c r="D33" s="78"/>
      <c r="F33" s="246"/>
      <c r="G33" s="247"/>
      <c r="H33" s="247"/>
      <c r="I33" s="247"/>
      <c r="J33" s="247"/>
      <c r="K33" s="247"/>
      <c r="L33" s="247"/>
      <c r="M33" s="247"/>
      <c r="N33" s="247"/>
      <c r="O33" s="247"/>
      <c r="P33" s="247"/>
      <c r="Q33" s="248"/>
    </row>
    <row r="34" spans="2:25" ht="13.2" customHeight="1" x14ac:dyDescent="0.25">
      <c r="B34" s="5">
        <v>30</v>
      </c>
      <c r="C34" s="13"/>
      <c r="D34" s="14"/>
      <c r="F34" s="246"/>
      <c r="G34" s="247"/>
      <c r="H34" s="247"/>
      <c r="I34" s="247"/>
      <c r="J34" s="247"/>
      <c r="K34" s="247"/>
      <c r="L34" s="247"/>
      <c r="M34" s="247"/>
      <c r="N34" s="247"/>
      <c r="O34" s="247"/>
      <c r="P34" s="247"/>
      <c r="Q34" s="248"/>
    </row>
    <row r="35" spans="2:25" ht="13.2" customHeight="1" x14ac:dyDescent="0.25">
      <c r="B35" s="5">
        <v>31</v>
      </c>
      <c r="C35" s="77"/>
      <c r="D35" s="78"/>
      <c r="F35" s="246"/>
      <c r="G35" s="247"/>
      <c r="H35" s="247"/>
      <c r="I35" s="247"/>
      <c r="J35" s="247"/>
      <c r="K35" s="247"/>
      <c r="L35" s="247"/>
      <c r="M35" s="247"/>
      <c r="N35" s="247"/>
      <c r="O35" s="247"/>
      <c r="P35" s="247"/>
      <c r="Q35" s="248"/>
    </row>
    <row r="36" spans="2:25" ht="13.2" customHeight="1" x14ac:dyDescent="0.25">
      <c r="B36" s="5">
        <v>32</v>
      </c>
      <c r="C36" s="13"/>
      <c r="D36" s="14"/>
      <c r="F36" s="246"/>
      <c r="G36" s="247"/>
      <c r="H36" s="247"/>
      <c r="I36" s="247"/>
      <c r="J36" s="247"/>
      <c r="K36" s="247"/>
      <c r="L36" s="247"/>
      <c r="M36" s="247"/>
      <c r="N36" s="247"/>
      <c r="O36" s="247"/>
      <c r="P36" s="247"/>
      <c r="Q36" s="248"/>
    </row>
    <row r="37" spans="2:25" ht="13.2" customHeight="1" thickBot="1" x14ac:dyDescent="0.3">
      <c r="B37" s="5">
        <v>33</v>
      </c>
      <c r="C37" s="77"/>
      <c r="D37" s="78"/>
      <c r="F37" s="246"/>
      <c r="G37" s="247"/>
      <c r="H37" s="247"/>
      <c r="I37" s="247"/>
      <c r="J37" s="247"/>
      <c r="K37" s="247"/>
      <c r="L37" s="247"/>
      <c r="M37" s="247"/>
      <c r="N37" s="247"/>
      <c r="O37" s="247"/>
      <c r="P37" s="247"/>
      <c r="Q37" s="248"/>
    </row>
    <row r="38" spans="2:25" ht="13.2" customHeight="1" x14ac:dyDescent="0.25">
      <c r="B38" s="5">
        <v>34</v>
      </c>
      <c r="C38" s="13"/>
      <c r="D38" s="14"/>
      <c r="F38" s="246"/>
      <c r="G38" s="247"/>
      <c r="H38" s="247"/>
      <c r="I38" s="247"/>
      <c r="J38" s="247"/>
      <c r="K38" s="247"/>
      <c r="L38" s="247"/>
      <c r="M38" s="247"/>
      <c r="N38" s="247"/>
      <c r="O38" s="247"/>
      <c r="P38" s="247"/>
      <c r="Q38" s="248"/>
      <c r="V38" s="208" t="s">
        <v>134</v>
      </c>
      <c r="W38" s="209"/>
      <c r="X38" s="209"/>
      <c r="Y38" s="210"/>
    </row>
    <row r="39" spans="2:25" ht="13.2" customHeight="1" x14ac:dyDescent="0.25">
      <c r="B39" s="5">
        <v>35</v>
      </c>
      <c r="C39" s="77"/>
      <c r="D39" s="78"/>
      <c r="F39" s="246"/>
      <c r="G39" s="247"/>
      <c r="H39" s="247"/>
      <c r="I39" s="247"/>
      <c r="J39" s="247"/>
      <c r="K39" s="247"/>
      <c r="L39" s="247"/>
      <c r="M39" s="247"/>
      <c r="N39" s="247"/>
      <c r="O39" s="247"/>
      <c r="P39" s="247"/>
      <c r="Q39" s="248"/>
      <c r="V39" s="211"/>
      <c r="W39" s="212"/>
      <c r="X39" s="212"/>
      <c r="Y39" s="213"/>
    </row>
    <row r="40" spans="2:25" ht="13.2" customHeight="1" x14ac:dyDescent="0.25">
      <c r="B40" s="5">
        <v>36</v>
      </c>
      <c r="C40" s="13"/>
      <c r="D40" s="14"/>
      <c r="F40" s="246"/>
      <c r="G40" s="247"/>
      <c r="H40" s="247"/>
      <c r="I40" s="247"/>
      <c r="J40" s="247"/>
      <c r="K40" s="247"/>
      <c r="L40" s="247"/>
      <c r="M40" s="247"/>
      <c r="N40" s="247"/>
      <c r="O40" s="247"/>
      <c r="P40" s="247"/>
      <c r="Q40" s="248"/>
      <c r="V40" s="98">
        <v>1</v>
      </c>
      <c r="W40" s="214" t="s">
        <v>135</v>
      </c>
      <c r="X40" s="214"/>
      <c r="Y40" s="215"/>
    </row>
    <row r="41" spans="2:25" ht="13.2" customHeight="1" x14ac:dyDescent="0.25">
      <c r="B41" s="5">
        <v>37</v>
      </c>
      <c r="C41" s="77"/>
      <c r="D41" s="78"/>
      <c r="F41" s="246"/>
      <c r="G41" s="247"/>
      <c r="H41" s="247"/>
      <c r="I41" s="247"/>
      <c r="J41" s="247"/>
      <c r="K41" s="247"/>
      <c r="L41" s="247"/>
      <c r="M41" s="247"/>
      <c r="N41" s="247"/>
      <c r="O41" s="247"/>
      <c r="P41" s="247"/>
      <c r="Q41" s="248"/>
      <c r="V41" s="98">
        <v>1</v>
      </c>
      <c r="W41" s="214" t="s">
        <v>136</v>
      </c>
      <c r="X41" s="214"/>
      <c r="Y41" s="215"/>
    </row>
    <row r="42" spans="2:25" ht="13.2" customHeight="1" x14ac:dyDescent="0.25">
      <c r="B42" s="5">
        <v>38</v>
      </c>
      <c r="C42" s="13"/>
      <c r="D42" s="14"/>
      <c r="F42" s="246"/>
      <c r="G42" s="247"/>
      <c r="H42" s="247"/>
      <c r="I42" s="247"/>
      <c r="J42" s="247"/>
      <c r="K42" s="247"/>
      <c r="L42" s="247"/>
      <c r="M42" s="247"/>
      <c r="N42" s="247"/>
      <c r="O42" s="247"/>
      <c r="P42" s="247"/>
      <c r="Q42" s="248"/>
      <c r="V42" s="96"/>
      <c r="W42" s="216"/>
      <c r="X42" s="216"/>
      <c r="Y42" s="217"/>
    </row>
    <row r="43" spans="2:25" ht="13.2" customHeight="1" x14ac:dyDescent="0.25">
      <c r="B43" s="5">
        <v>39</v>
      </c>
      <c r="C43" s="77"/>
      <c r="D43" s="78"/>
      <c r="F43" s="246"/>
      <c r="G43" s="247"/>
      <c r="H43" s="247"/>
      <c r="I43" s="247"/>
      <c r="J43" s="247"/>
      <c r="K43" s="247"/>
      <c r="L43" s="247"/>
      <c r="M43" s="247"/>
      <c r="N43" s="247"/>
      <c r="O43" s="247"/>
      <c r="P43" s="247"/>
      <c r="Q43" s="248"/>
      <c r="V43" s="96"/>
      <c r="W43" s="216"/>
      <c r="X43" s="216"/>
      <c r="Y43" s="217"/>
    </row>
    <row r="44" spans="2:25" ht="13.2" customHeight="1" thickBot="1" x14ac:dyDescent="0.3">
      <c r="B44" s="6">
        <v>40</v>
      </c>
      <c r="C44" s="15"/>
      <c r="D44" s="16"/>
      <c r="F44" s="249"/>
      <c r="G44" s="250"/>
      <c r="H44" s="250"/>
      <c r="I44" s="250"/>
      <c r="J44" s="250"/>
      <c r="K44" s="250"/>
      <c r="L44" s="250"/>
      <c r="M44" s="250"/>
      <c r="N44" s="250"/>
      <c r="O44" s="250"/>
      <c r="P44" s="250"/>
      <c r="Q44" s="251"/>
      <c r="V44" s="97"/>
      <c r="W44" s="271"/>
      <c r="X44" s="271"/>
      <c r="Y44" s="272"/>
    </row>
    <row r="45" spans="2:25" x14ac:dyDescent="0.25">
      <c r="C45" s="10">
        <f>COUNTA(C5:C44)</f>
        <v>23</v>
      </c>
    </row>
  </sheetData>
  <sheetProtection sheet="1" objects="1" scenarios="1" selectLockedCells="1"/>
  <mergeCells count="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 ref="B2:D3"/>
    <mergeCell ref="W3:Z29"/>
    <mergeCell ref="G25:H25"/>
    <mergeCell ref="G26:H26"/>
    <mergeCell ref="R22:S22"/>
    <mergeCell ref="G27:H27"/>
    <mergeCell ref="G28:H28"/>
    <mergeCell ref="N28:Q29"/>
    <mergeCell ref="V38:Y39"/>
    <mergeCell ref="W40:Y40"/>
    <mergeCell ref="W41:Y41"/>
    <mergeCell ref="W42:Y42"/>
    <mergeCell ref="W43:Y43"/>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9" r:id="rId6" name="cmdImportDK">
          <controlPr defaultSize="0" autoLine="0" r:id="rId7">
            <anchor>
              <from>
                <xdr:col>29</xdr:col>
                <xdr:colOff>518160</xdr:colOff>
                <xdr:row>33</xdr:row>
                <xdr:rowOff>0</xdr:rowOff>
              </from>
              <to>
                <xdr:col>31</xdr:col>
                <xdr:colOff>342900</xdr:colOff>
                <xdr:row>36</xdr:row>
                <xdr:rowOff>30480</xdr:rowOff>
              </to>
            </anchor>
          </controlPr>
        </control>
      </mc:Choice>
      <mc:Fallback>
        <control shapeId="10289" r:id="rId6" name="cmdImportDK"/>
      </mc:Fallback>
    </mc:AlternateContent>
    <mc:AlternateContent xmlns:mc="http://schemas.openxmlformats.org/markup-compatibility/2006">
      <mc:Choice Requires="x14">
        <control shapeId="10288" r:id="rId8" name="cmdImportZK">
          <controlPr defaultSize="0" autoLine="0" r:id="rId9">
            <anchor>
              <from>
                <xdr:col>27</xdr:col>
                <xdr:colOff>0</xdr:colOff>
                <xdr:row>33</xdr:row>
                <xdr:rowOff>0</xdr:rowOff>
              </from>
              <to>
                <xdr:col>29</xdr:col>
                <xdr:colOff>441960</xdr:colOff>
                <xdr:row>36</xdr:row>
                <xdr:rowOff>30480</xdr:rowOff>
              </to>
            </anchor>
          </controlPr>
        </control>
      </mc:Choice>
      <mc:Fallback>
        <control shapeId="10288" r:id="rId8" name="cmdImportZK"/>
      </mc:Fallback>
    </mc:AlternateContent>
    <mc:AlternateContent xmlns:mc="http://schemas.openxmlformats.org/markup-compatibility/2006">
      <mc:Choice Requires="x14">
        <control shapeId="10287" r:id="rId10" name="cmdDelZKDK">
          <controlPr defaultSize="0" autoLine="0" r:id="rId11">
            <anchor>
              <from>
                <xdr:col>29</xdr:col>
                <xdr:colOff>518160</xdr:colOff>
                <xdr:row>29</xdr:row>
                <xdr:rowOff>68580</xdr:rowOff>
              </from>
              <to>
                <xdr:col>31</xdr:col>
                <xdr:colOff>342900</xdr:colOff>
                <xdr:row>32</xdr:row>
                <xdr:rowOff>99060</xdr:rowOff>
              </to>
            </anchor>
          </controlPr>
        </control>
      </mc:Choice>
      <mc:Fallback>
        <control shapeId="10287" r:id="rId10" name="cmdDelZKDK"/>
      </mc:Fallback>
    </mc:AlternateContent>
    <mc:AlternateContent xmlns:mc="http://schemas.openxmlformats.org/markup-compatibility/2006">
      <mc:Choice Requires="x14">
        <control shapeId="10285" r:id="rId12" name="cmdAddZKDK">
          <controlPr defaultSize="0" autoLine="0" r:id="rId13">
            <anchor>
              <from>
                <xdr:col>27</xdr:col>
                <xdr:colOff>0</xdr:colOff>
                <xdr:row>29</xdr:row>
                <xdr:rowOff>68580</xdr:rowOff>
              </from>
              <to>
                <xdr:col>29</xdr:col>
                <xdr:colOff>441960</xdr:colOff>
                <xdr:row>32</xdr:row>
                <xdr:rowOff>99060</xdr:rowOff>
              </to>
            </anchor>
          </controlPr>
        </control>
      </mc:Choice>
      <mc:Fallback>
        <control shapeId="10285" r:id="rId12" name="cmdAddZKDK"/>
      </mc:Fallback>
    </mc:AlternateContent>
    <mc:AlternateContent xmlns:mc="http://schemas.openxmlformats.org/markup-compatibility/2006">
      <mc:Choice Requires="x14">
        <control shapeId="10246" r:id="rId14" name="cmdClearAll">
          <controlPr defaultSize="0" autoLine="0" r:id="rId15">
            <anchor>
              <from>
                <xdr:col>23</xdr:col>
                <xdr:colOff>533400</xdr:colOff>
                <xdr:row>29</xdr:row>
                <xdr:rowOff>68580</xdr:rowOff>
              </from>
              <to>
                <xdr:col>25</xdr:col>
                <xdr:colOff>358140</xdr:colOff>
                <xdr:row>32</xdr:row>
                <xdr:rowOff>99060</xdr:rowOff>
              </to>
            </anchor>
          </controlPr>
        </control>
      </mc:Choice>
      <mc:Fallback>
        <control shapeId="10246" r:id="rId14" name="cmdClearAll"/>
      </mc:Fallback>
    </mc:AlternateContent>
    <mc:AlternateContent xmlns:mc="http://schemas.openxmlformats.org/markup-compatibility/2006">
      <mc:Choice Requires="x14">
        <control shapeId="10243" r:id="rId16" name="cmdCreateTables">
          <controlPr defaultSize="0" autoLine="0" r:id="rId17">
            <anchor>
              <from>
                <xdr:col>21</xdr:col>
                <xdr:colOff>0</xdr:colOff>
                <xdr:row>29</xdr:row>
                <xdr:rowOff>68580</xdr:rowOff>
              </from>
              <to>
                <xdr:col>23</xdr:col>
                <xdr:colOff>434340</xdr:colOff>
                <xdr:row>32</xdr:row>
                <xdr:rowOff>99060</xdr:rowOff>
              </to>
            </anchor>
          </controlPr>
        </control>
      </mc:Choice>
      <mc:Fallback>
        <control shapeId="10243" r:id="rId16" name="cmdCreateTables"/>
      </mc:Fallback>
    </mc:AlternateContent>
    <mc:AlternateContent xmlns:mc="http://schemas.openxmlformats.org/markup-compatibility/2006">
      <mc:Choice Requires="x14">
        <control shapeId="10244" r:id="rId18" name="cmdCreateResults">
          <controlPr defaultSize="0" autoLine="0" r:id="rId19">
            <anchor>
              <from>
                <xdr:col>23</xdr:col>
                <xdr:colOff>533400</xdr:colOff>
                <xdr:row>33</xdr:row>
                <xdr:rowOff>0</xdr:rowOff>
              </from>
              <to>
                <xdr:col>25</xdr:col>
                <xdr:colOff>358140</xdr:colOff>
                <xdr:row>36</xdr:row>
                <xdr:rowOff>30480</xdr:rowOff>
              </to>
            </anchor>
          </controlPr>
        </control>
      </mc:Choice>
      <mc:Fallback>
        <control shapeId="10244" r:id="rId18" name="cmdCreateResults"/>
      </mc:Fallback>
    </mc:AlternateContent>
    <mc:AlternateContent xmlns:mc="http://schemas.openxmlformats.org/markup-compatibility/2006">
      <mc:Choice Requires="x14">
        <control shapeId="10276" r:id="rId20" name="btnSelExUpdate">
          <controlPr defaultSize="0" print="0" autoLine="0" r:id="rId21">
            <anchor>
              <from>
                <xdr:col>21</xdr:col>
                <xdr:colOff>0</xdr:colOff>
                <xdr:row>33</xdr:row>
                <xdr:rowOff>0</xdr:rowOff>
              </from>
              <to>
                <xdr:col>23</xdr:col>
                <xdr:colOff>434340</xdr:colOff>
                <xdr:row>36</xdr:row>
                <xdr:rowOff>30480</xdr:rowOff>
              </to>
            </anchor>
          </controlPr>
        </control>
      </mc:Choice>
      <mc:Fallback>
        <control shapeId="10276" r:id="rId20" name="btnSelExUpdate"/>
      </mc:Fallback>
    </mc:AlternateContent>
    <mc:AlternateContent xmlns:mc="http://schemas.openxmlformats.org/markup-compatibility/2006">
      <mc:Choice Requires="x14">
        <control shapeId="10277" r:id="rId22" name="cmdEK">
          <controlPr defaultSize="0" autoLine="0" r:id="rId23">
            <anchor>
              <from>
                <xdr:col>8</xdr:col>
                <xdr:colOff>441960</xdr:colOff>
                <xdr:row>27</xdr:row>
                <xdr:rowOff>0</xdr:rowOff>
              </from>
              <to>
                <xdr:col>9</xdr:col>
                <xdr:colOff>388620</xdr:colOff>
                <xdr:row>28</xdr:row>
                <xdr:rowOff>160020</xdr:rowOff>
              </to>
            </anchor>
          </controlPr>
        </control>
      </mc:Choice>
      <mc:Fallback>
        <control shapeId="10277" r:id="rId22" name="cmdEK"/>
      </mc:Fallback>
    </mc:AlternateContent>
    <mc:AlternateContent xmlns:mc="http://schemas.openxmlformats.org/markup-compatibility/2006">
      <mc:Choice Requires="x14">
        <control shapeId="10278" r:id="rId24" name="cmdZK">
          <controlPr defaultSize="0" autoLine="0" r:id="rId25">
            <anchor>
              <from>
                <xdr:col>9</xdr:col>
                <xdr:colOff>441960</xdr:colOff>
                <xdr:row>27</xdr:row>
                <xdr:rowOff>0</xdr:rowOff>
              </from>
              <to>
                <xdr:col>10</xdr:col>
                <xdr:colOff>388620</xdr:colOff>
                <xdr:row>28</xdr:row>
                <xdr:rowOff>160020</xdr:rowOff>
              </to>
            </anchor>
          </controlPr>
        </control>
      </mc:Choice>
      <mc:Fallback>
        <control shapeId="10278" r:id="rId24" name="cmdZK"/>
      </mc:Fallback>
    </mc:AlternateContent>
    <mc:AlternateContent xmlns:mc="http://schemas.openxmlformats.org/markup-compatibility/2006">
      <mc:Choice Requires="x14">
        <control shapeId="10279" r:id="rId26" name="cmdDK">
          <controlPr defaultSize="0" autoLine="0" r:id="rId27">
            <anchor>
              <from>
                <xdr:col>11</xdr:col>
                <xdr:colOff>0</xdr:colOff>
                <xdr:row>27</xdr:row>
                <xdr:rowOff>0</xdr:rowOff>
              </from>
              <to>
                <xdr:col>11</xdr:col>
                <xdr:colOff>403860</xdr:colOff>
                <xdr:row>28</xdr:row>
                <xdr:rowOff>160020</xdr:rowOff>
              </to>
            </anchor>
          </controlPr>
        </control>
      </mc:Choice>
      <mc:Fallback>
        <control shapeId="10279" r:id="rId26" name="cmdDK"/>
      </mc:Fallback>
    </mc:AlternateContent>
    <mc:AlternateContent xmlns:mc="http://schemas.openxmlformats.org/markup-compatibility/2006">
      <mc:Choice Requires="x14">
        <control shapeId="10280" r:id="rId28" name="cmdAK">
          <controlPr defaultSize="0" autoLine="0" r:id="rId29">
            <anchor>
              <from>
                <xdr:col>12</xdr:col>
                <xdr:colOff>0</xdr:colOff>
                <xdr:row>27</xdr:row>
                <xdr:rowOff>0</xdr:rowOff>
              </from>
              <to>
                <xdr:col>12</xdr:col>
                <xdr:colOff>403860</xdr:colOff>
                <xdr:row>28</xdr:row>
                <xdr:rowOff>160020</xdr:rowOff>
              </to>
            </anchor>
          </controlPr>
        </control>
      </mc:Choice>
      <mc:Fallback>
        <control shapeId="10280" r:id="rId28" name="cmdA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D7" sqref="D7"/>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243" t="s">
        <v>32</v>
      </c>
      <c r="H2" s="244"/>
      <c r="I2" s="244"/>
      <c r="J2" s="244"/>
      <c r="K2" s="244"/>
      <c r="L2" s="245"/>
    </row>
    <row r="3" spans="2:15" x14ac:dyDescent="0.25">
      <c r="B3" s="35">
        <v>0</v>
      </c>
      <c r="C3" s="36">
        <v>0</v>
      </c>
      <c r="D3" s="37">
        <v>6</v>
      </c>
      <c r="E3" s="27" t="str">
        <f>IF(AND($C3=$C4,$C4&lt;$C5),"+",IF($C3&lt;$C4,"++",""))</f>
        <v/>
      </c>
      <c r="F3" s="31"/>
      <c r="G3" s="246"/>
      <c r="H3" s="247"/>
      <c r="I3" s="247"/>
      <c r="J3" s="247"/>
      <c r="K3" s="247"/>
      <c r="L3" s="248"/>
    </row>
    <row r="4" spans="2:15" x14ac:dyDescent="0.25">
      <c r="B4" s="38">
        <v>0.5</v>
      </c>
      <c r="C4" s="39">
        <v>0</v>
      </c>
      <c r="D4" s="40">
        <v>6</v>
      </c>
      <c r="E4" s="27" t="str">
        <f>IF(AND($C4=$C5,$C5&lt;$C6),"+",IF($C4&lt;$C5,"++",""))</f>
        <v/>
      </c>
      <c r="F4" s="31"/>
      <c r="G4" s="246"/>
      <c r="H4" s="247"/>
      <c r="I4" s="247"/>
      <c r="J4" s="247"/>
      <c r="K4" s="247"/>
      <c r="L4" s="248"/>
    </row>
    <row r="5" spans="2:15" x14ac:dyDescent="0.25">
      <c r="B5" s="38">
        <v>1</v>
      </c>
      <c r="C5" s="39">
        <v>0</v>
      </c>
      <c r="D5" s="40">
        <v>6</v>
      </c>
      <c r="E5" s="27" t="str">
        <f t="shared" ref="E5:E50" si="0">IF(AND($C5=$C6,$C6&lt;$C7),"+",IF($C5&lt;$C6,"++",IF(AND($C5=$C4,$C4&gt;$C3),"-",IF($C5&gt;$C4,"--",""))))</f>
        <v/>
      </c>
      <c r="F5" s="31"/>
      <c r="G5" s="246"/>
      <c r="H5" s="247"/>
      <c r="I5" s="247"/>
      <c r="J5" s="247"/>
      <c r="K5" s="247"/>
      <c r="L5" s="248"/>
    </row>
    <row r="6" spans="2:15" x14ac:dyDescent="0.25">
      <c r="B6" s="38">
        <v>1.5</v>
      </c>
      <c r="C6" s="39">
        <v>0</v>
      </c>
      <c r="D6" s="40">
        <v>6</v>
      </c>
      <c r="E6" s="27" t="str">
        <f t="shared" si="0"/>
        <v/>
      </c>
      <c r="F6" s="31"/>
      <c r="G6" s="246"/>
      <c r="H6" s="247"/>
      <c r="I6" s="247"/>
      <c r="J6" s="247"/>
      <c r="K6" s="247"/>
      <c r="L6" s="248"/>
    </row>
    <row r="7" spans="2:15" x14ac:dyDescent="0.25">
      <c r="B7" s="38">
        <v>2</v>
      </c>
      <c r="C7" s="39">
        <v>0</v>
      </c>
      <c r="D7" s="40">
        <v>6</v>
      </c>
      <c r="E7" s="27" t="str">
        <f t="shared" si="0"/>
        <v/>
      </c>
      <c r="F7" s="31"/>
      <c r="G7" s="246"/>
      <c r="H7" s="247"/>
      <c r="I7" s="247"/>
      <c r="J7" s="247"/>
      <c r="K7" s="247"/>
      <c r="L7" s="248"/>
    </row>
    <row r="8" spans="2:15" ht="12.75" customHeight="1" x14ac:dyDescent="0.25">
      <c r="B8" s="38">
        <v>2.5</v>
      </c>
      <c r="C8" s="39">
        <v>0</v>
      </c>
      <c r="D8" s="40">
        <v>6</v>
      </c>
      <c r="E8" s="27" t="str">
        <f t="shared" si="0"/>
        <v/>
      </c>
      <c r="F8" s="31"/>
      <c r="G8" s="246"/>
      <c r="H8" s="247"/>
      <c r="I8" s="247"/>
      <c r="J8" s="247"/>
      <c r="K8" s="247"/>
      <c r="L8" s="248"/>
      <c r="M8" s="32"/>
      <c r="N8" s="32"/>
      <c r="O8" s="32"/>
    </row>
    <row r="9" spans="2:15" x14ac:dyDescent="0.25">
      <c r="B9" s="38">
        <v>3</v>
      </c>
      <c r="C9" s="39">
        <v>0</v>
      </c>
      <c r="D9" s="40">
        <v>6</v>
      </c>
      <c r="E9" s="27" t="str">
        <f t="shared" si="0"/>
        <v/>
      </c>
      <c r="F9" s="31"/>
      <c r="G9" s="246"/>
      <c r="H9" s="247"/>
      <c r="I9" s="247"/>
      <c r="J9" s="247"/>
      <c r="K9" s="247"/>
      <c r="L9" s="248"/>
      <c r="M9" s="32"/>
      <c r="N9" s="32"/>
      <c r="O9" s="32"/>
    </row>
    <row r="10" spans="2:15" x14ac:dyDescent="0.25">
      <c r="B10" s="38">
        <v>3.5</v>
      </c>
      <c r="C10" s="39">
        <v>0</v>
      </c>
      <c r="D10" s="40">
        <v>6</v>
      </c>
      <c r="E10" s="27" t="str">
        <f t="shared" si="0"/>
        <v/>
      </c>
      <c r="F10" s="31"/>
      <c r="G10" s="246"/>
      <c r="H10" s="247"/>
      <c r="I10" s="247"/>
      <c r="J10" s="247"/>
      <c r="K10" s="247"/>
      <c r="L10" s="248"/>
      <c r="M10" s="32"/>
      <c r="N10" s="32"/>
      <c r="O10" s="32"/>
    </row>
    <row r="11" spans="2:15" x14ac:dyDescent="0.25">
      <c r="B11" s="38">
        <v>4</v>
      </c>
      <c r="C11" s="39">
        <v>0</v>
      </c>
      <c r="D11" s="40">
        <v>6</v>
      </c>
      <c r="E11" s="27" t="str">
        <f t="shared" si="0"/>
        <v/>
      </c>
      <c r="G11" s="246"/>
      <c r="H11" s="247"/>
      <c r="I11" s="247"/>
      <c r="J11" s="247"/>
      <c r="K11" s="247"/>
      <c r="L11" s="248"/>
      <c r="M11" s="32"/>
      <c r="N11" s="32"/>
      <c r="O11" s="32"/>
    </row>
    <row r="12" spans="2:15" x14ac:dyDescent="0.25">
      <c r="B12" s="38">
        <v>4.5</v>
      </c>
      <c r="C12" s="39">
        <v>0</v>
      </c>
      <c r="D12" s="40">
        <v>6</v>
      </c>
      <c r="E12" s="27" t="str">
        <f t="shared" si="0"/>
        <v/>
      </c>
      <c r="F12" s="31"/>
      <c r="G12" s="246"/>
      <c r="H12" s="247"/>
      <c r="I12" s="247"/>
      <c r="J12" s="247"/>
      <c r="K12" s="247"/>
      <c r="L12" s="248"/>
      <c r="M12" s="32"/>
      <c r="N12" s="32"/>
      <c r="O12" s="32"/>
    </row>
    <row r="13" spans="2:15" x14ac:dyDescent="0.25">
      <c r="B13" s="38">
        <v>5</v>
      </c>
      <c r="C13" s="39">
        <v>0</v>
      </c>
      <c r="D13" s="40">
        <v>6</v>
      </c>
      <c r="E13" s="27" t="str">
        <f t="shared" si="0"/>
        <v/>
      </c>
      <c r="F13" s="31"/>
      <c r="G13" s="246"/>
      <c r="H13" s="247"/>
      <c r="I13" s="247"/>
      <c r="J13" s="247"/>
      <c r="K13" s="247"/>
      <c r="L13" s="248"/>
      <c r="M13" s="32"/>
      <c r="N13" s="32"/>
      <c r="O13" s="32"/>
    </row>
    <row r="14" spans="2:15" x14ac:dyDescent="0.25">
      <c r="B14" s="38">
        <v>5.5</v>
      </c>
      <c r="C14" s="39">
        <v>0</v>
      </c>
      <c r="D14" s="40">
        <v>6</v>
      </c>
      <c r="E14" s="27" t="str">
        <f t="shared" si="0"/>
        <v/>
      </c>
      <c r="F14" s="31"/>
      <c r="G14" s="246"/>
      <c r="H14" s="247"/>
      <c r="I14" s="247"/>
      <c r="J14" s="247"/>
      <c r="K14" s="247"/>
      <c r="L14" s="248"/>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heet="1" objects="1"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1"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heet="1" objects="1"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2026-05-05T21:32:57Z</cp:lastPrinted>
  <dcterms:created xsi:type="dcterms:W3CDTF">2006-06-24T21:29:52Z</dcterms:created>
  <dcterms:modified xsi:type="dcterms:W3CDTF">2026-05-05T22:47:19Z</dcterms:modified>
</cp:coreProperties>
</file>