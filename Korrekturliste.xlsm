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C1514696-C90C-4CD5-B27A-FB90A6A134D8}" xr6:coauthVersionLast="47" xr6:coauthVersionMax="47" xr10:uidLastSave="{00000000-0000-0000-0000-000000000000}"/>
  <bookViews>
    <workbookView xWindow="-108" yWindow="-108" windowWidth="30936" windowHeight="16776" activeTab="9" xr2:uid="{00000000-000D-0000-FFFF-FFFF00000000}"/>
  </bookViews>
  <sheets>
    <sheet name="Noten" sheetId="2994" r:id="rId1"/>
    <sheet name="Analysis A" sheetId="2987" r:id="rId2"/>
    <sheet name="Analysis B" sheetId="2988" r:id="rId3"/>
    <sheet name="Stochastik A" sheetId="2989" r:id="rId4"/>
    <sheet name="Stochastik B" sheetId="2990" r:id="rId5"/>
    <sheet name="Geometrie A" sheetId="2991" r:id="rId6"/>
    <sheet name="Geometrie B" sheetId="2992" r:id="rId7"/>
    <sheet name="Wahlaufgaben" sheetId="2993" r:id="rId8"/>
    <sheet name="ConfigW" sheetId="2995"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2994" l="1"/>
  <c r="C7" i="2987"/>
  <c r="J7" i="2987"/>
  <c r="D7" i="2994"/>
  <c r="C7" i="2988"/>
  <c r="N7" i="2988"/>
  <c r="E7" i="2994"/>
  <c r="C7" i="2989"/>
  <c r="E7" i="2989"/>
  <c r="F7" i="2994"/>
  <c r="C7" i="2990"/>
  <c r="I7" i="2990"/>
  <c r="G7" i="2994"/>
  <c r="C7" i="2993"/>
  <c r="I7" i="2993"/>
  <c r="J7" i="2994"/>
  <c r="C7" i="2992"/>
  <c r="I7" i="2992"/>
  <c r="I7" i="2994"/>
  <c r="C7" i="2991"/>
  <c r="F7" i="2991"/>
  <c r="H7" i="2994"/>
  <c r="K7" i="2994"/>
  <c r="L7" i="2994"/>
  <c r="C8" i="2994"/>
  <c r="C10" i="2987"/>
  <c r="J10" i="2987"/>
  <c r="D8" i="2994"/>
  <c r="C10" i="2988"/>
  <c r="N10" i="2988"/>
  <c r="E8" i="2994"/>
  <c r="C10" i="2989"/>
  <c r="E10" i="2989"/>
  <c r="F8" i="2994"/>
  <c r="C10" i="2990"/>
  <c r="I10" i="2990"/>
  <c r="G8" i="2994"/>
  <c r="C10" i="2993"/>
  <c r="I10" i="2993"/>
  <c r="J8" i="2994"/>
  <c r="C10" i="2992"/>
  <c r="I10" i="2992"/>
  <c r="I8" i="2994"/>
  <c r="C10" i="2991"/>
  <c r="F10" i="2991"/>
  <c r="H8" i="2994"/>
  <c r="K8" i="2994"/>
  <c r="L8" i="2994"/>
  <c r="C9" i="2994"/>
  <c r="C13" i="2987"/>
  <c r="J13" i="2987"/>
  <c r="D9" i="2994"/>
  <c r="C13" i="2988"/>
  <c r="N13" i="2988"/>
  <c r="E9" i="2994"/>
  <c r="C13" i="2989"/>
  <c r="E13" i="2989"/>
  <c r="F9" i="2994"/>
  <c r="C13" i="2990"/>
  <c r="I13" i="2990"/>
  <c r="G9" i="2994"/>
  <c r="C13" i="2993"/>
  <c r="I13" i="2993"/>
  <c r="J9" i="2994"/>
  <c r="C13" i="2992"/>
  <c r="I13" i="2992"/>
  <c r="I9" i="2994"/>
  <c r="C13" i="2991"/>
  <c r="F13" i="2991"/>
  <c r="H9" i="2994"/>
  <c r="K9" i="2994"/>
  <c r="L9" i="2994"/>
  <c r="C10" i="2994"/>
  <c r="C16" i="2987"/>
  <c r="J16" i="2987"/>
  <c r="D10" i="2994"/>
  <c r="C16" i="2988"/>
  <c r="N16" i="2988"/>
  <c r="E10" i="2994"/>
  <c r="C16" i="2989"/>
  <c r="E16" i="2989"/>
  <c r="F10" i="2994"/>
  <c r="C16" i="2990"/>
  <c r="I16" i="2990"/>
  <c r="G10" i="2994"/>
  <c r="C16" i="2993"/>
  <c r="I16" i="2993"/>
  <c r="J10" i="2994"/>
  <c r="C16" i="2992"/>
  <c r="I16" i="2992"/>
  <c r="I10" i="2994"/>
  <c r="C16" i="2991"/>
  <c r="F16" i="2991"/>
  <c r="H10" i="2994"/>
  <c r="K10" i="2994"/>
  <c r="L10" i="2994"/>
  <c r="C29" i="2994"/>
  <c r="C19" i="2987"/>
  <c r="C22" i="2987"/>
  <c r="C25" i="2987"/>
  <c r="J75" i="2987"/>
  <c r="J74" i="2987"/>
  <c r="J73" i="2987"/>
  <c r="C73" i="2987"/>
  <c r="J72" i="2987"/>
  <c r="J71" i="2987"/>
  <c r="J70" i="2987"/>
  <c r="C70" i="2987"/>
  <c r="J69" i="2987"/>
  <c r="J68" i="2987"/>
  <c r="J67" i="2987"/>
  <c r="C67" i="2987"/>
  <c r="J66" i="2987"/>
  <c r="J65" i="2987"/>
  <c r="J64" i="2987"/>
  <c r="C64" i="2987"/>
  <c r="J63" i="2987"/>
  <c r="J62" i="2987"/>
  <c r="J61" i="2987"/>
  <c r="C61" i="2987"/>
  <c r="J60" i="2987"/>
  <c r="J59" i="2987"/>
  <c r="J58" i="2987"/>
  <c r="C58" i="2987"/>
  <c r="J57" i="2987"/>
  <c r="J56" i="2987"/>
  <c r="J55" i="2987"/>
  <c r="C55" i="2987"/>
  <c r="J54" i="2987"/>
  <c r="J53" i="2987"/>
  <c r="J52" i="2987"/>
  <c r="C52" i="2987"/>
  <c r="J51" i="2987"/>
  <c r="J50" i="2987"/>
  <c r="J49" i="2987"/>
  <c r="C49" i="2987"/>
  <c r="J48" i="2987"/>
  <c r="J47" i="2987"/>
  <c r="J46" i="2987"/>
  <c r="C46" i="2987"/>
  <c r="J45" i="2987"/>
  <c r="J44" i="2987"/>
  <c r="J43" i="2987"/>
  <c r="C43" i="2987"/>
  <c r="J42" i="2987"/>
  <c r="J41" i="2987"/>
  <c r="J40" i="2987"/>
  <c r="C40" i="2987"/>
  <c r="J39" i="2987"/>
  <c r="J38" i="2987"/>
  <c r="J37" i="2987"/>
  <c r="C37" i="2987"/>
  <c r="J36" i="2987"/>
  <c r="J35" i="2987"/>
  <c r="J34" i="2987"/>
  <c r="C34" i="2987"/>
  <c r="J33" i="2987"/>
  <c r="J32" i="2987"/>
  <c r="J31" i="2987"/>
  <c r="C31" i="2987"/>
  <c r="J30" i="2987"/>
  <c r="J29" i="2987"/>
  <c r="J28" i="2987"/>
  <c r="C28" i="2987"/>
  <c r="J27" i="2987"/>
  <c r="J26" i="2987"/>
  <c r="J25" i="2987"/>
  <c r="J24" i="2987"/>
  <c r="J23" i="2987"/>
  <c r="J22" i="2987"/>
  <c r="J21" i="2987"/>
  <c r="J20" i="2987"/>
  <c r="J19" i="2987"/>
  <c r="J18" i="2987"/>
  <c r="J17" i="2987"/>
  <c r="J15" i="2987"/>
  <c r="J14" i="2987"/>
  <c r="J12" i="2987"/>
  <c r="J11" i="2987"/>
  <c r="J9" i="2987"/>
  <c r="J8" i="2987"/>
  <c r="D29" i="2994"/>
  <c r="C19" i="2988"/>
  <c r="C22" i="2988"/>
  <c r="C25" i="2988"/>
  <c r="C28" i="2988"/>
  <c r="N75" i="2988"/>
  <c r="N74" i="2988"/>
  <c r="N73" i="2988"/>
  <c r="C73" i="2988"/>
  <c r="N72" i="2988"/>
  <c r="N71" i="2988"/>
  <c r="N70" i="2988"/>
  <c r="C70" i="2988"/>
  <c r="N69" i="2988"/>
  <c r="N68" i="2988"/>
  <c r="N67" i="2988"/>
  <c r="C67" i="2988"/>
  <c r="N66" i="2988"/>
  <c r="N65" i="2988"/>
  <c r="N64" i="2988"/>
  <c r="C64" i="2988"/>
  <c r="N63" i="2988"/>
  <c r="N62" i="2988"/>
  <c r="N61" i="2988"/>
  <c r="C61" i="2988"/>
  <c r="N60" i="2988"/>
  <c r="N59" i="2988"/>
  <c r="N58" i="2988"/>
  <c r="C58" i="2988"/>
  <c r="N57" i="2988"/>
  <c r="N56" i="2988"/>
  <c r="N55" i="2988"/>
  <c r="C55" i="2988"/>
  <c r="N54" i="2988"/>
  <c r="N53" i="2988"/>
  <c r="N52" i="2988"/>
  <c r="C52" i="2988"/>
  <c r="N51" i="2988"/>
  <c r="N50" i="2988"/>
  <c r="N49" i="2988"/>
  <c r="C49" i="2988"/>
  <c r="N48" i="2988"/>
  <c r="N47" i="2988"/>
  <c r="N46" i="2988"/>
  <c r="C46" i="2988"/>
  <c r="N45" i="2988"/>
  <c r="N44" i="2988"/>
  <c r="N43" i="2988"/>
  <c r="C43" i="2988"/>
  <c r="N42" i="2988"/>
  <c r="N41" i="2988"/>
  <c r="N40" i="2988"/>
  <c r="C40" i="2988"/>
  <c r="N39" i="2988"/>
  <c r="N38" i="2988"/>
  <c r="N37" i="2988"/>
  <c r="C37" i="2988"/>
  <c r="N36" i="2988"/>
  <c r="N35" i="2988"/>
  <c r="N34" i="2988"/>
  <c r="C34" i="2988"/>
  <c r="N33" i="2988"/>
  <c r="N32" i="2988"/>
  <c r="N31" i="2988"/>
  <c r="C31" i="2988"/>
  <c r="N30" i="2988"/>
  <c r="N29" i="2988"/>
  <c r="N28" i="2988"/>
  <c r="N27" i="2988"/>
  <c r="N26" i="2988"/>
  <c r="N25" i="2988"/>
  <c r="N24" i="2988"/>
  <c r="N23" i="2988"/>
  <c r="N22" i="2988"/>
  <c r="N21" i="2988"/>
  <c r="N20" i="2988"/>
  <c r="N19" i="2988"/>
  <c r="N18" i="2988"/>
  <c r="N17" i="2988"/>
  <c r="N15" i="2988"/>
  <c r="N14" i="2988"/>
  <c r="N12" i="2988"/>
  <c r="N11" i="2988"/>
  <c r="N9" i="2988"/>
  <c r="N8" i="2988"/>
  <c r="E29" i="2994"/>
  <c r="C19" i="2989"/>
  <c r="C22" i="2989"/>
  <c r="C25" i="2989"/>
  <c r="C28" i="2989"/>
  <c r="E75" i="2989"/>
  <c r="E74" i="2989"/>
  <c r="E73" i="2989"/>
  <c r="C73" i="2989"/>
  <c r="E72" i="2989"/>
  <c r="E71" i="2989"/>
  <c r="E70" i="2989"/>
  <c r="C70" i="2989"/>
  <c r="E69" i="2989"/>
  <c r="E68" i="2989"/>
  <c r="E67" i="2989"/>
  <c r="C67" i="2989"/>
  <c r="E66" i="2989"/>
  <c r="E65" i="2989"/>
  <c r="E64" i="2989"/>
  <c r="C64" i="2989"/>
  <c r="E63" i="2989"/>
  <c r="E62" i="2989"/>
  <c r="E61" i="2989"/>
  <c r="C61" i="2989"/>
  <c r="E60" i="2989"/>
  <c r="E59" i="2989"/>
  <c r="E58" i="2989"/>
  <c r="C58" i="2989"/>
  <c r="E57" i="2989"/>
  <c r="E56" i="2989"/>
  <c r="E55" i="2989"/>
  <c r="C55" i="2989"/>
  <c r="E54" i="2989"/>
  <c r="E53" i="2989"/>
  <c r="E52" i="2989"/>
  <c r="C52" i="2989"/>
  <c r="E51" i="2989"/>
  <c r="E50" i="2989"/>
  <c r="E49" i="2989"/>
  <c r="C49" i="2989"/>
  <c r="E48" i="2989"/>
  <c r="E47" i="2989"/>
  <c r="E46" i="2989"/>
  <c r="C46" i="2989"/>
  <c r="E45" i="2989"/>
  <c r="E44" i="2989"/>
  <c r="E43" i="2989"/>
  <c r="C43" i="2989"/>
  <c r="E42" i="2989"/>
  <c r="E41" i="2989"/>
  <c r="E40" i="2989"/>
  <c r="C40" i="2989"/>
  <c r="E39" i="2989"/>
  <c r="E38" i="2989"/>
  <c r="E37" i="2989"/>
  <c r="C37" i="2989"/>
  <c r="E36" i="2989"/>
  <c r="E35" i="2989"/>
  <c r="E34" i="2989"/>
  <c r="C34" i="2989"/>
  <c r="E33" i="2989"/>
  <c r="E32" i="2989"/>
  <c r="E31" i="2989"/>
  <c r="C31" i="2989"/>
  <c r="E30" i="2989"/>
  <c r="E29" i="2989"/>
  <c r="E28" i="2989"/>
  <c r="E27" i="2989"/>
  <c r="E26" i="2989"/>
  <c r="E25" i="2989"/>
  <c r="E24" i="2989"/>
  <c r="E23" i="2989"/>
  <c r="E22" i="2989"/>
  <c r="E21" i="2989"/>
  <c r="E20" i="2989"/>
  <c r="E19" i="2989"/>
  <c r="E18" i="2989"/>
  <c r="E17" i="2989"/>
  <c r="E15" i="2989"/>
  <c r="E14" i="2989"/>
  <c r="E12" i="2989"/>
  <c r="E11" i="2989"/>
  <c r="E9" i="2989"/>
  <c r="E8" i="2989"/>
  <c r="F29" i="2994"/>
  <c r="C19" i="2990"/>
  <c r="C22" i="2990"/>
  <c r="C25" i="2990"/>
  <c r="C28" i="2990"/>
  <c r="I75" i="2990"/>
  <c r="I74" i="2990"/>
  <c r="I73" i="2990"/>
  <c r="C73" i="2990"/>
  <c r="I72" i="2990"/>
  <c r="I71" i="2990"/>
  <c r="I70" i="2990"/>
  <c r="C70" i="2990"/>
  <c r="I69" i="2990"/>
  <c r="I68" i="2990"/>
  <c r="I67" i="2990"/>
  <c r="C67" i="2990"/>
  <c r="I66" i="2990"/>
  <c r="I65" i="2990"/>
  <c r="I64" i="2990"/>
  <c r="C64" i="2990"/>
  <c r="I63" i="2990"/>
  <c r="I62" i="2990"/>
  <c r="I61" i="2990"/>
  <c r="C61" i="2990"/>
  <c r="I60" i="2990"/>
  <c r="I59" i="2990"/>
  <c r="I58" i="2990"/>
  <c r="C58" i="2990"/>
  <c r="I57" i="2990"/>
  <c r="I56" i="2990"/>
  <c r="I55" i="2990"/>
  <c r="C55" i="2990"/>
  <c r="I54" i="2990"/>
  <c r="I53" i="2990"/>
  <c r="I52" i="2990"/>
  <c r="C52" i="2990"/>
  <c r="I51" i="2990"/>
  <c r="I50" i="2990"/>
  <c r="I49" i="2990"/>
  <c r="C49" i="2990"/>
  <c r="I48" i="2990"/>
  <c r="I47" i="2990"/>
  <c r="I46" i="2990"/>
  <c r="C46" i="2990"/>
  <c r="I45" i="2990"/>
  <c r="I44" i="2990"/>
  <c r="I43" i="2990"/>
  <c r="C43" i="2990"/>
  <c r="I42" i="2990"/>
  <c r="I41" i="2990"/>
  <c r="I40" i="2990"/>
  <c r="C40" i="2990"/>
  <c r="I39" i="2990"/>
  <c r="I38" i="2990"/>
  <c r="I37" i="2990"/>
  <c r="C37" i="2990"/>
  <c r="I36" i="2990"/>
  <c r="I35" i="2990"/>
  <c r="I34" i="2990"/>
  <c r="C34" i="2990"/>
  <c r="I33" i="2990"/>
  <c r="I32" i="2990"/>
  <c r="I31" i="2990"/>
  <c r="C31" i="2990"/>
  <c r="I30" i="2990"/>
  <c r="I29" i="2990"/>
  <c r="I28" i="2990"/>
  <c r="I27" i="2990"/>
  <c r="I26" i="2990"/>
  <c r="I25" i="2990"/>
  <c r="I24" i="2990"/>
  <c r="I23" i="2990"/>
  <c r="I22" i="2990"/>
  <c r="I21" i="2990"/>
  <c r="I20" i="2990"/>
  <c r="I19" i="2990"/>
  <c r="I18" i="2990"/>
  <c r="I17" i="2990"/>
  <c r="I15" i="2990"/>
  <c r="I14" i="2990"/>
  <c r="I12" i="2990"/>
  <c r="I11" i="2990"/>
  <c r="I9" i="2990"/>
  <c r="I8" i="2990"/>
  <c r="G29" i="2994"/>
  <c r="C19" i="2993"/>
  <c r="C22" i="2993"/>
  <c r="C25" i="2993"/>
  <c r="C28" i="2993"/>
  <c r="I75" i="2993"/>
  <c r="I74" i="2993"/>
  <c r="I73" i="2993"/>
  <c r="C73" i="2993"/>
  <c r="I72" i="2993"/>
  <c r="I71" i="2993"/>
  <c r="I70" i="2993"/>
  <c r="C70" i="2993"/>
  <c r="I69" i="2993"/>
  <c r="I68" i="2993"/>
  <c r="I67" i="2993"/>
  <c r="C67" i="2993"/>
  <c r="I66" i="2993"/>
  <c r="I65" i="2993"/>
  <c r="I64" i="2993"/>
  <c r="C64" i="2993"/>
  <c r="I63" i="2993"/>
  <c r="I62" i="2993"/>
  <c r="I61" i="2993"/>
  <c r="C61" i="2993"/>
  <c r="I60" i="2993"/>
  <c r="I59" i="2993"/>
  <c r="I58" i="2993"/>
  <c r="C58" i="2993"/>
  <c r="I57" i="2993"/>
  <c r="I56" i="2993"/>
  <c r="I55" i="2993"/>
  <c r="C55" i="2993"/>
  <c r="I54" i="2993"/>
  <c r="I53" i="2993"/>
  <c r="I52" i="2993"/>
  <c r="C52" i="2993"/>
  <c r="I51" i="2993"/>
  <c r="I50" i="2993"/>
  <c r="I49" i="2993"/>
  <c r="C49" i="2993"/>
  <c r="I48" i="2993"/>
  <c r="I47" i="2993"/>
  <c r="I46" i="2993"/>
  <c r="C46" i="2993"/>
  <c r="I45" i="2993"/>
  <c r="I44" i="2993"/>
  <c r="I43" i="2993"/>
  <c r="C43" i="2993"/>
  <c r="I42" i="2993"/>
  <c r="I41" i="2993"/>
  <c r="I40" i="2993"/>
  <c r="C40" i="2993"/>
  <c r="I39" i="2993"/>
  <c r="I38" i="2993"/>
  <c r="I37" i="2993"/>
  <c r="C37" i="2993"/>
  <c r="I36" i="2993"/>
  <c r="I35" i="2993"/>
  <c r="I34" i="2993"/>
  <c r="C34" i="2993"/>
  <c r="I33" i="2993"/>
  <c r="I32" i="2993"/>
  <c r="I31" i="2993"/>
  <c r="C31" i="2993"/>
  <c r="I30" i="2993"/>
  <c r="I29" i="2993"/>
  <c r="I28" i="2993"/>
  <c r="I27" i="2993"/>
  <c r="I26" i="2993"/>
  <c r="I25" i="2993"/>
  <c r="I24" i="2993"/>
  <c r="I23" i="2993"/>
  <c r="I22" i="2993"/>
  <c r="I21" i="2993"/>
  <c r="I20" i="2993"/>
  <c r="I19" i="2993"/>
  <c r="I18" i="2993"/>
  <c r="I17" i="2993"/>
  <c r="I15" i="2993"/>
  <c r="I14" i="2993"/>
  <c r="I12" i="2993"/>
  <c r="I11" i="2993"/>
  <c r="I9" i="2993"/>
  <c r="I8" i="2993"/>
  <c r="J29" i="2994"/>
  <c r="C19" i="2992"/>
  <c r="C22" i="2992"/>
  <c r="C25" i="2992"/>
  <c r="C28" i="2992"/>
  <c r="I75" i="2992"/>
  <c r="I74" i="2992"/>
  <c r="I73" i="2992"/>
  <c r="C73" i="2992"/>
  <c r="I72" i="2992"/>
  <c r="I71" i="2992"/>
  <c r="I70" i="2992"/>
  <c r="C70" i="2992"/>
  <c r="I69" i="2992"/>
  <c r="I68" i="2992"/>
  <c r="I67" i="2992"/>
  <c r="C67" i="2992"/>
  <c r="I66" i="2992"/>
  <c r="I65" i="2992"/>
  <c r="I64" i="2992"/>
  <c r="C64" i="2992"/>
  <c r="I63" i="2992"/>
  <c r="I62" i="2992"/>
  <c r="I61" i="2992"/>
  <c r="C61" i="2992"/>
  <c r="I60" i="2992"/>
  <c r="I59" i="2992"/>
  <c r="I58" i="2992"/>
  <c r="C58" i="2992"/>
  <c r="I57" i="2992"/>
  <c r="I56" i="2992"/>
  <c r="I55" i="2992"/>
  <c r="C55" i="2992"/>
  <c r="I54" i="2992"/>
  <c r="I53" i="2992"/>
  <c r="I52" i="2992"/>
  <c r="C52" i="2992"/>
  <c r="I51" i="2992"/>
  <c r="I50" i="2992"/>
  <c r="I49" i="2992"/>
  <c r="C49" i="2992"/>
  <c r="I48" i="2992"/>
  <c r="I47" i="2992"/>
  <c r="I46" i="2992"/>
  <c r="C46" i="2992"/>
  <c r="I45" i="2992"/>
  <c r="I44" i="2992"/>
  <c r="I43" i="2992"/>
  <c r="C43" i="2992"/>
  <c r="I42" i="2992"/>
  <c r="I41" i="2992"/>
  <c r="I40" i="2992"/>
  <c r="C40" i="2992"/>
  <c r="I39" i="2992"/>
  <c r="I38" i="2992"/>
  <c r="I37" i="2992"/>
  <c r="C37" i="2992"/>
  <c r="I36" i="2992"/>
  <c r="I35" i="2992"/>
  <c r="I34" i="2992"/>
  <c r="C34" i="2992"/>
  <c r="I33" i="2992"/>
  <c r="I32" i="2992"/>
  <c r="I31" i="2992"/>
  <c r="C31" i="2992"/>
  <c r="I30" i="2992"/>
  <c r="I29" i="2992"/>
  <c r="I28" i="2992"/>
  <c r="I27" i="2992"/>
  <c r="I26" i="2992"/>
  <c r="I25" i="2992"/>
  <c r="I24" i="2992"/>
  <c r="I23" i="2992"/>
  <c r="I22" i="2992"/>
  <c r="I21" i="2992"/>
  <c r="I20" i="2992"/>
  <c r="I19" i="2992"/>
  <c r="I18" i="2992"/>
  <c r="I17" i="2992"/>
  <c r="I15" i="2992"/>
  <c r="I14" i="2992"/>
  <c r="I12" i="2992"/>
  <c r="I11" i="2992"/>
  <c r="I9" i="2992"/>
  <c r="I8" i="2992"/>
  <c r="I29" i="2994"/>
  <c r="C19" i="2991"/>
  <c r="C22" i="2991"/>
  <c r="C25" i="2991"/>
  <c r="C28" i="2991"/>
  <c r="F75" i="2991"/>
  <c r="F74" i="2991"/>
  <c r="F73" i="2991"/>
  <c r="C73" i="2991"/>
  <c r="F72" i="2991"/>
  <c r="F71" i="2991"/>
  <c r="F70" i="2991"/>
  <c r="C70" i="2991"/>
  <c r="F69" i="2991"/>
  <c r="F68" i="2991"/>
  <c r="F67" i="2991"/>
  <c r="C67" i="2991"/>
  <c r="F66" i="2991"/>
  <c r="F65" i="2991"/>
  <c r="F64" i="2991"/>
  <c r="C64" i="2991"/>
  <c r="F63" i="2991"/>
  <c r="F62" i="2991"/>
  <c r="F61" i="2991"/>
  <c r="C61" i="2991"/>
  <c r="F60" i="2991"/>
  <c r="F59" i="2991"/>
  <c r="F58" i="2991"/>
  <c r="C58" i="2991"/>
  <c r="F57" i="2991"/>
  <c r="F56" i="2991"/>
  <c r="F55" i="2991"/>
  <c r="C55" i="2991"/>
  <c r="F54" i="2991"/>
  <c r="F53" i="2991"/>
  <c r="F52" i="2991"/>
  <c r="C52" i="2991"/>
  <c r="F51" i="2991"/>
  <c r="F50" i="2991"/>
  <c r="F49" i="2991"/>
  <c r="C49" i="2991"/>
  <c r="F48" i="2991"/>
  <c r="F47" i="2991"/>
  <c r="F46" i="2991"/>
  <c r="C46" i="2991"/>
  <c r="F45" i="2991"/>
  <c r="F44" i="2991"/>
  <c r="F43" i="2991"/>
  <c r="C43" i="2991"/>
  <c r="F42" i="2991"/>
  <c r="F41" i="2991"/>
  <c r="F40" i="2991"/>
  <c r="C40" i="2991"/>
  <c r="F39" i="2991"/>
  <c r="F38" i="2991"/>
  <c r="F37" i="2991"/>
  <c r="C37" i="2991"/>
  <c r="F36" i="2991"/>
  <c r="F35" i="2991"/>
  <c r="F34" i="2991"/>
  <c r="C34" i="2991"/>
  <c r="F33" i="2991"/>
  <c r="F32" i="2991"/>
  <c r="F31" i="2991"/>
  <c r="C31" i="2991"/>
  <c r="F30" i="2991"/>
  <c r="F29" i="2991"/>
  <c r="F28" i="2991"/>
  <c r="F27" i="2991"/>
  <c r="F26" i="2991"/>
  <c r="F25" i="2991"/>
  <c r="F24" i="2991"/>
  <c r="F23" i="2991"/>
  <c r="F22" i="2991"/>
  <c r="F21" i="2991"/>
  <c r="F20" i="2991"/>
  <c r="F19" i="2991"/>
  <c r="F18" i="2991"/>
  <c r="F17" i="2991"/>
  <c r="F15" i="2991"/>
  <c r="F14" i="2991"/>
  <c r="F12" i="2991"/>
  <c r="F11" i="2991"/>
  <c r="F9" i="2991"/>
  <c r="F8" i="2991"/>
  <c r="H29" i="2994"/>
  <c r="K29" i="2994"/>
  <c r="L29" i="2994"/>
  <c r="C28" i="2994"/>
  <c r="D28" i="2994"/>
  <c r="E28" i="2994"/>
  <c r="F28" i="2994"/>
  <c r="G28" i="2994"/>
  <c r="J28" i="2994"/>
  <c r="I28" i="2994"/>
  <c r="H28" i="2994"/>
  <c r="K28" i="2994"/>
  <c r="L28" i="2994"/>
  <c r="C27" i="2994"/>
  <c r="D27" i="2994"/>
  <c r="E27" i="2994"/>
  <c r="F27" i="2994"/>
  <c r="G27" i="2994"/>
  <c r="J27" i="2994"/>
  <c r="I27" i="2994"/>
  <c r="H27" i="2994"/>
  <c r="K27" i="2994"/>
  <c r="L27" i="2994"/>
  <c r="C26" i="2994"/>
  <c r="D26" i="2994"/>
  <c r="E26" i="2994"/>
  <c r="F26" i="2994"/>
  <c r="G26" i="2994"/>
  <c r="J26" i="2994"/>
  <c r="I26" i="2994"/>
  <c r="H26" i="2994"/>
  <c r="K26" i="2994"/>
  <c r="L26" i="2994"/>
  <c r="C25" i="2994"/>
  <c r="D25" i="2994"/>
  <c r="E25" i="2994"/>
  <c r="F25" i="2994"/>
  <c r="G25" i="2994"/>
  <c r="J25" i="2994"/>
  <c r="I25" i="2994"/>
  <c r="H25" i="2994"/>
  <c r="K25" i="2994"/>
  <c r="L25" i="2994"/>
  <c r="C24" i="2994"/>
  <c r="D24" i="2994"/>
  <c r="E24" i="2994"/>
  <c r="F24" i="2994"/>
  <c r="G24" i="2994"/>
  <c r="J24" i="2994"/>
  <c r="I24" i="2994"/>
  <c r="H24" i="2994"/>
  <c r="K24" i="2994"/>
  <c r="L24" i="2994"/>
  <c r="C23" i="2994"/>
  <c r="D23" i="2994"/>
  <c r="E23" i="2994"/>
  <c r="F23" i="2994"/>
  <c r="G23" i="2994"/>
  <c r="J23" i="2994"/>
  <c r="I23" i="2994"/>
  <c r="H23" i="2994"/>
  <c r="K23" i="2994"/>
  <c r="L23" i="2994"/>
  <c r="C22" i="2994"/>
  <c r="D22" i="2994"/>
  <c r="E22" i="2994"/>
  <c r="F22" i="2994"/>
  <c r="G22" i="2994"/>
  <c r="J22" i="2994"/>
  <c r="I22" i="2994"/>
  <c r="H22" i="2994"/>
  <c r="K22" i="2994"/>
  <c r="L22" i="2994"/>
  <c r="C21" i="2994"/>
  <c r="D21" i="2994"/>
  <c r="E21" i="2994"/>
  <c r="F21" i="2994"/>
  <c r="G21" i="2994"/>
  <c r="J21" i="2994"/>
  <c r="I21" i="2994"/>
  <c r="H21" i="2994"/>
  <c r="K21" i="2994"/>
  <c r="L21" i="2994"/>
  <c r="C20" i="2994"/>
  <c r="D20" i="2994"/>
  <c r="E20" i="2994"/>
  <c r="F20" i="2994"/>
  <c r="G20" i="2994"/>
  <c r="J20" i="2994"/>
  <c r="I20" i="2994"/>
  <c r="H20" i="2994"/>
  <c r="K20" i="2994"/>
  <c r="L20" i="2994"/>
  <c r="C19" i="2994"/>
  <c r="D19" i="2994"/>
  <c r="E19" i="2994"/>
  <c r="F19" i="2994"/>
  <c r="G19" i="2994"/>
  <c r="J19" i="2994"/>
  <c r="I19" i="2994"/>
  <c r="H19" i="2994"/>
  <c r="K19" i="2994"/>
  <c r="L19" i="2994"/>
  <c r="C18" i="2994"/>
  <c r="D18" i="2994"/>
  <c r="E18" i="2994"/>
  <c r="F18" i="2994"/>
  <c r="G18" i="2994"/>
  <c r="J18" i="2994"/>
  <c r="I18" i="2994"/>
  <c r="H18" i="2994"/>
  <c r="K18" i="2994"/>
  <c r="L18" i="2994"/>
  <c r="C17" i="2994"/>
  <c r="D17" i="2994"/>
  <c r="E17" i="2994"/>
  <c r="F17" i="2994"/>
  <c r="G17" i="2994"/>
  <c r="J17" i="2994"/>
  <c r="I17" i="2994"/>
  <c r="H17" i="2994"/>
  <c r="K17" i="2994"/>
  <c r="L17" i="2994"/>
  <c r="C16" i="2994"/>
  <c r="D16" i="2994"/>
  <c r="E16" i="2994"/>
  <c r="F16" i="2994"/>
  <c r="G16" i="2994"/>
  <c r="J16" i="2994"/>
  <c r="I16" i="2994"/>
  <c r="H16" i="2994"/>
  <c r="K16" i="2994"/>
  <c r="L16" i="2994"/>
  <c r="C15" i="2994"/>
  <c r="D15" i="2994"/>
  <c r="E15" i="2994"/>
  <c r="F15" i="2994"/>
  <c r="G15" i="2994"/>
  <c r="J15" i="2994"/>
  <c r="I15" i="2994"/>
  <c r="H15" i="2994"/>
  <c r="K15" i="2994"/>
  <c r="L15" i="2994"/>
  <c r="C14" i="2994"/>
  <c r="D14" i="2994"/>
  <c r="E14" i="2994"/>
  <c r="F14" i="2994"/>
  <c r="G14" i="2994"/>
  <c r="J14" i="2994"/>
  <c r="I14" i="2994"/>
  <c r="H14" i="2994"/>
  <c r="K14" i="2994"/>
  <c r="L14" i="2994"/>
  <c r="C13" i="2994"/>
  <c r="D13" i="2994"/>
  <c r="E13" i="2994"/>
  <c r="F13" i="2994"/>
  <c r="G13" i="2994"/>
  <c r="J13" i="2994"/>
  <c r="I13" i="2994"/>
  <c r="H13" i="2994"/>
  <c r="K13" i="2994"/>
  <c r="L13" i="2994"/>
  <c r="C12" i="2994"/>
  <c r="D12" i="2994"/>
  <c r="E12" i="2994"/>
  <c r="F12" i="2994"/>
  <c r="G12" i="2994"/>
  <c r="J12" i="2994"/>
  <c r="I12" i="2994"/>
  <c r="H12" i="2994"/>
  <c r="K12" i="2994"/>
  <c r="L12" i="2994"/>
  <c r="C11" i="2994"/>
  <c r="D11" i="2994"/>
  <c r="E11" i="2994"/>
  <c r="F11" i="2994"/>
  <c r="G11" i="2994"/>
  <c r="J11" i="2994"/>
  <c r="I11" i="2994"/>
  <c r="H11" i="2994"/>
  <c r="K11" i="2994"/>
  <c r="L11" i="2994"/>
  <c r="L30" i="2994"/>
  <c r="G21" i="14"/>
  <c r="I21" i="14"/>
  <c r="K21" i="14"/>
  <c r="M21" i="14"/>
  <c r="Q21" i="14"/>
  <c r="O21" i="14"/>
  <c r="D5" i="2995"/>
  <c r="E5" i="2995"/>
  <c r="F5" i="2995"/>
  <c r="G5" i="2995"/>
  <c r="H5" i="2995"/>
  <c r="C7" i="2995"/>
  <c r="C8" i="2995"/>
  <c r="C9" i="2995"/>
  <c r="C10" i="2995"/>
  <c r="C11" i="2995"/>
  <c r="C12" i="2995"/>
  <c r="C13" i="2995"/>
  <c r="C14" i="2995"/>
  <c r="C15" i="2995"/>
  <c r="C16" i="2995"/>
  <c r="C17" i="2995"/>
  <c r="C18" i="2995"/>
  <c r="C19" i="2995"/>
  <c r="C20" i="2995"/>
  <c r="C21" i="2995"/>
  <c r="C22" i="2995"/>
  <c r="C23" i="2995"/>
  <c r="C24" i="2995"/>
  <c r="C25" i="2995"/>
  <c r="C26" i="2995"/>
  <c r="C27" i="2995"/>
  <c r="C28" i="2995"/>
  <c r="C29" i="2995"/>
  <c r="H2" i="2995"/>
  <c r="B2" i="2995"/>
  <c r="E3" i="11"/>
  <c r="E26" i="11"/>
  <c r="E71" i="11"/>
  <c r="E76" i="11"/>
  <c r="E102" i="11"/>
  <c r="E120" i="11"/>
  <c r="E136" i="11"/>
  <c r="E134" i="11"/>
  <c r="E133" i="11"/>
  <c r="E131" i="11"/>
  <c r="E129" i="11"/>
  <c r="N7" i="2994"/>
  <c r="E21" i="11"/>
  <c r="E56" i="11"/>
  <c r="E66" i="11"/>
  <c r="E80" i="11"/>
  <c r="E87" i="11"/>
  <c r="E105" i="11"/>
  <c r="E119" i="11"/>
  <c r="E121" i="11"/>
  <c r="N8" i="2994"/>
  <c r="E24" i="11"/>
  <c r="E47" i="11"/>
  <c r="E52" i="11"/>
  <c r="E68" i="11"/>
  <c r="E77" i="11"/>
  <c r="N9" i="2994"/>
  <c r="E28" i="11"/>
  <c r="E74" i="11"/>
  <c r="E79" i="11"/>
  <c r="E97" i="11"/>
  <c r="E104" i="11"/>
  <c r="E143" i="11"/>
  <c r="N10" i="2994"/>
  <c r="E31" i="11"/>
  <c r="E88" i="11"/>
  <c r="E95" i="11"/>
  <c r="N11" i="2994"/>
  <c r="E94" i="11"/>
  <c r="E100" i="11"/>
  <c r="E130" i="11"/>
  <c r="E164" i="11"/>
  <c r="E180" i="11"/>
  <c r="N12" i="2994"/>
  <c r="E73" i="11"/>
  <c r="E83" i="11"/>
  <c r="E109" i="11"/>
  <c r="E139" i="11"/>
  <c r="E153" i="11"/>
  <c r="N13" i="2994"/>
  <c r="E54" i="11"/>
  <c r="E64" i="11"/>
  <c r="E81" i="11"/>
  <c r="E89" i="11"/>
  <c r="E115" i="11"/>
  <c r="N14" i="2994"/>
  <c r="E23" i="11"/>
  <c r="E60" i="11"/>
  <c r="E86" i="11"/>
  <c r="E103" i="11"/>
  <c r="N15" i="2994"/>
  <c r="E9" i="11"/>
  <c r="E44" i="11"/>
  <c r="E46" i="11"/>
  <c r="E63" i="11"/>
  <c r="N16" i="2994"/>
  <c r="E16" i="11"/>
  <c r="E43" i="11"/>
  <c r="E90" i="11"/>
  <c r="N17" i="2994"/>
  <c r="E85" i="11"/>
  <c r="E96" i="11"/>
  <c r="E123" i="11"/>
  <c r="E135" i="11"/>
  <c r="N18" i="2994"/>
  <c r="E72" i="11"/>
  <c r="E82" i="11"/>
  <c r="E93" i="11"/>
  <c r="E108" i="11"/>
  <c r="E124" i="11"/>
  <c r="N19" i="2994"/>
  <c r="E30" i="11"/>
  <c r="E61" i="11"/>
  <c r="E138" i="11"/>
  <c r="N20" i="2994"/>
  <c r="E27" i="11"/>
  <c r="E118" i="11"/>
  <c r="E126" i="11"/>
  <c r="N21" i="2994"/>
  <c r="E18" i="11"/>
  <c r="E62" i="11"/>
  <c r="N22" i="2994"/>
  <c r="E5" i="11"/>
  <c r="E53" i="11"/>
  <c r="N23" i="2994"/>
  <c r="E55" i="11"/>
  <c r="N24" i="2994"/>
  <c r="E22" i="11"/>
  <c r="E51" i="11"/>
  <c r="E75" i="11"/>
  <c r="E106" i="11"/>
  <c r="E122" i="11"/>
  <c r="N25" i="2994"/>
  <c r="E91" i="11"/>
  <c r="E125" i="11"/>
  <c r="E145" i="11"/>
  <c r="N26" i="2994"/>
  <c r="E113" i="11"/>
  <c r="E165" i="11"/>
  <c r="N27" i="2994"/>
  <c r="E65" i="11"/>
  <c r="N28" i="2994"/>
  <c r="E17" i="11"/>
  <c r="E49" i="11"/>
  <c r="E59" i="11"/>
  <c r="E98" i="11"/>
  <c r="E114" i="11"/>
  <c r="N29" i="2994"/>
  <c r="D6" i="2994"/>
  <c r="D30" i="2994"/>
  <c r="E6" i="2994"/>
  <c r="E30" i="2994"/>
  <c r="F6" i="2994"/>
  <c r="F30" i="2994"/>
  <c r="G6" i="2994"/>
  <c r="G30" i="2994"/>
  <c r="H6" i="2994"/>
  <c r="H30" i="2994"/>
  <c r="I6" i="2994"/>
  <c r="I30" i="2994"/>
  <c r="J6" i="2994"/>
  <c r="J30" i="2994"/>
  <c r="M7" i="2994"/>
  <c r="M8" i="2994"/>
  <c r="M9" i="2994"/>
  <c r="M10" i="2994"/>
  <c r="M11" i="2994"/>
  <c r="M12" i="2994"/>
  <c r="M13" i="2994"/>
  <c r="M14" i="2994"/>
  <c r="M15" i="2994"/>
  <c r="M16" i="2994"/>
  <c r="M17" i="2994"/>
  <c r="M18" i="2994"/>
  <c r="M19" i="2994"/>
  <c r="M20" i="2994"/>
  <c r="M21" i="2994"/>
  <c r="M22" i="2994"/>
  <c r="M23" i="2994"/>
  <c r="M24" i="2994"/>
  <c r="M25" i="2994"/>
  <c r="M26" i="2994"/>
  <c r="M27" i="2994"/>
  <c r="M28" i="2994"/>
  <c r="M29" i="2994"/>
  <c r="K6" i="2994"/>
  <c r="M2" i="2994"/>
  <c r="B2" i="2994"/>
  <c r="D6" i="2993"/>
  <c r="D76" i="2993"/>
  <c r="E6" i="2993"/>
  <c r="E76" i="2993"/>
  <c r="F6" i="2993"/>
  <c r="F76" i="2993"/>
  <c r="G6" i="2993"/>
  <c r="G76" i="2993"/>
  <c r="H6" i="2993"/>
  <c r="H76" i="2993"/>
  <c r="I6" i="2993"/>
  <c r="D5" i="2993"/>
  <c r="E5" i="2993"/>
  <c r="F5" i="2993"/>
  <c r="G5" i="2993"/>
  <c r="H5" i="2993"/>
  <c r="I2" i="2993"/>
  <c r="B2" i="2993"/>
  <c r="D6" i="2992"/>
  <c r="D76" i="2992"/>
  <c r="E6" i="2992"/>
  <c r="E76" i="2992"/>
  <c r="F6" i="2992"/>
  <c r="F76" i="2992"/>
  <c r="G6" i="2992"/>
  <c r="G76" i="2992"/>
  <c r="H6" i="2992"/>
  <c r="H76" i="2992"/>
  <c r="I6" i="2992"/>
  <c r="D5" i="2992"/>
  <c r="E5" i="2992"/>
  <c r="F5" i="2992"/>
  <c r="G5" i="2992"/>
  <c r="H5" i="2992"/>
  <c r="I2" i="2992"/>
  <c r="B2" i="2992"/>
  <c r="D6" i="2991"/>
  <c r="D76" i="2991"/>
  <c r="E6" i="2991"/>
  <c r="E76" i="2991"/>
  <c r="F6" i="2991"/>
  <c r="D5" i="2991"/>
  <c r="E5" i="2991"/>
  <c r="F2" i="2991"/>
  <c r="B2" i="2991"/>
  <c r="D6" i="2990"/>
  <c r="D76" i="2990"/>
  <c r="E6" i="2990"/>
  <c r="E76" i="2990"/>
  <c r="F6" i="2990"/>
  <c r="F76" i="2990"/>
  <c r="G6" i="2990"/>
  <c r="G76" i="2990"/>
  <c r="H6" i="2990"/>
  <c r="H76" i="2990"/>
  <c r="I6" i="2990"/>
  <c r="D5" i="2990"/>
  <c r="E5" i="2990"/>
  <c r="F5" i="2990"/>
  <c r="G5" i="2990"/>
  <c r="H5" i="2990"/>
  <c r="I2" i="2990"/>
  <c r="B2" i="2990"/>
  <c r="D6" i="2989"/>
  <c r="D76" i="2989"/>
  <c r="E6" i="2989"/>
  <c r="D5" i="2989"/>
  <c r="E2" i="2989"/>
  <c r="B2" i="2989"/>
  <c r="D6" i="2988"/>
  <c r="D76" i="2988"/>
  <c r="E6" i="2988"/>
  <c r="E76" i="2988"/>
  <c r="F6" i="2988"/>
  <c r="F76" i="2988"/>
  <c r="G6" i="2988"/>
  <c r="G76" i="2988"/>
  <c r="H6" i="2988"/>
  <c r="H76" i="2988"/>
  <c r="I6" i="2988"/>
  <c r="I76" i="2988"/>
  <c r="J6" i="2988"/>
  <c r="J76" i="2988"/>
  <c r="K6" i="2988"/>
  <c r="K76" i="2988"/>
  <c r="L6" i="2988"/>
  <c r="L76" i="2988"/>
  <c r="M6" i="2988"/>
  <c r="M76" i="2988"/>
  <c r="N6" i="2988"/>
  <c r="D5" i="2988"/>
  <c r="E5" i="2988"/>
  <c r="F5" i="2988"/>
  <c r="G5" i="2988"/>
  <c r="H5" i="2988"/>
  <c r="I5" i="2988"/>
  <c r="J5" i="2988"/>
  <c r="K5" i="2988"/>
  <c r="L5" i="2988"/>
  <c r="M5" i="2988"/>
  <c r="N2" i="2988"/>
  <c r="B2" i="2988"/>
  <c r="D6" i="2987"/>
  <c r="D76" i="2987"/>
  <c r="E6" i="2987"/>
  <c r="E76" i="2987"/>
  <c r="F6" i="2987"/>
  <c r="F76" i="2987"/>
  <c r="G6" i="2987"/>
  <c r="G76" i="2987"/>
  <c r="H6" i="2987"/>
  <c r="H76" i="2987"/>
  <c r="I6" i="2987"/>
  <c r="I76" i="2987"/>
  <c r="J6" i="2987"/>
  <c r="D5" i="2987"/>
  <c r="E5" i="2987"/>
  <c r="F5" i="2987"/>
  <c r="G5" i="2987"/>
  <c r="H5" i="2987"/>
  <c r="I5" i="2987"/>
  <c r="J2" i="2987"/>
  <c r="B2" i="2987"/>
  <c r="E40" i="11"/>
  <c r="E116" i="11"/>
  <c r="E35" i="11"/>
  <c r="E70" i="11"/>
  <c r="E101" i="11"/>
  <c r="E111" i="11"/>
  <c r="E19" i="11"/>
  <c r="E84" i="11"/>
  <c r="E15" i="11"/>
  <c r="E141" i="11"/>
  <c r="E107" i="11"/>
  <c r="E110" i="11"/>
  <c r="E137" i="11"/>
  <c r="E146" i="11"/>
  <c r="E42" i="11"/>
  <c r="E147" i="11"/>
  <c r="E78" i="11"/>
  <c r="E39" i="11"/>
  <c r="E25" i="11"/>
  <c r="E38" i="11"/>
  <c r="E92" i="11"/>
  <c r="E11" i="11"/>
  <c r="E34" i="11"/>
  <c r="E48" i="11"/>
  <c r="E37" i="11"/>
  <c r="E69" i="11"/>
  <c r="E67" i="11"/>
  <c r="E50" i="11"/>
  <c r="E33" i="11"/>
  <c r="E13" i="11"/>
  <c r="E142" i="11"/>
  <c r="E99" i="11"/>
  <c r="E112" i="11"/>
  <c r="E29" i="11"/>
  <c r="E157" i="11"/>
  <c r="E57" i="11"/>
  <c r="E117" i="11"/>
  <c r="E36" i="11"/>
  <c r="E32" i="11"/>
  <c r="E58" i="11"/>
  <c r="E151" i="11"/>
  <c r="E176" i="11"/>
  <c r="E132" i="11"/>
  <c r="E128" i="11"/>
  <c r="R21" i="14"/>
  <c r="E7" i="11"/>
  <c r="E181" i="11"/>
  <c r="E160" i="11"/>
  <c r="E198" i="11"/>
  <c r="E149" i="11"/>
  <c r="E148"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45" i="11"/>
  <c r="E41" i="11"/>
  <c r="E14" i="11"/>
  <c r="E12" i="11"/>
  <c r="E10" i="11"/>
  <c r="E8" i="11"/>
  <c r="E6" i="11"/>
  <c r="N21" i="14"/>
  <c r="J21" i="14"/>
  <c r="L21" i="14"/>
  <c r="C45" i="14"/>
  <c r="M30" i="2994" a="1"/>
  <c r="M30" i="29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<sst xmlns="http://schemas.openxmlformats.org/spreadsheetml/2006/main" count="795" uniqueCount="137">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</sst>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9"/>
      <name val="Arial"/>
      <family val="2"/>
    </font>
  </fonts>
  <fills count="17">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
      <patternFill patternType="solid">
        <fgColor rgb="FFFFDCDC"/>
        <bgColor indexed="64"/>
      </patternFill>
    </fill>
    <fill>
      <patternFill patternType="solid">
        <fgColor rgb="FFE6FFE6"/>
        <bgColor indexed="64"/>
      </patternFill>
    </fill>
  </fills>
  <borders count="8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8"/>
      </top>
      <bottom style="medium">
        <color indexed="8"/>
      </bottom>
      <diagonal/>
    </border>
    <border>
      <left style="medium">
        <color indexed="8"/>
      </left>
      <right style="thin">
        <color indexed="8"/>
      </right>
      <top/>
      <bottom/>
      <diagonal/>
    </border>
    <border>
      <left style="thin">
        <color indexed="8"/>
      </left>
      <right style="thin">
        <color indexed="8"/>
      </right>
      <top/>
      <bottom/>
      <diagonal/>
    </border>
    <border>
      <left style="thin">
        <color indexed="8"/>
      </left>
      <right/>
      <top/>
      <bottom/>
      <diagonal/>
    </border>
    <border>
      <left style="medium">
        <color indexed="8"/>
      </left>
      <right style="medium">
        <color indexed="8"/>
      </right>
      <top/>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style="thin">
        <color indexed="8"/>
      </top>
      <bottom style="hair">
        <color rgb="FFD9D9D9"/>
      </bottom>
      <diagonal/>
    </border>
    <border>
      <left style="thin">
        <color indexed="8"/>
      </left>
      <right style="thin">
        <color indexed="8"/>
      </right>
      <top style="thin">
        <color indexed="8"/>
      </top>
      <bottom style="hair">
        <color rgb="FFD9D9D9"/>
      </bottom>
      <diagonal/>
    </border>
    <border>
      <left style="thin">
        <color indexed="8"/>
      </left>
      <right/>
      <top style="thin">
        <color indexed="8"/>
      </top>
      <bottom style="hair">
        <color rgb="FFD9D9D9"/>
      </bottom>
      <diagonal/>
    </border>
    <border>
      <left style="medium">
        <color indexed="8"/>
      </left>
      <right style="medium">
        <color indexed="8"/>
      </right>
      <top style="thin">
        <color indexed="8"/>
      </top>
      <bottom style="hair">
        <color rgb="FFD9D9D9"/>
      </bottom>
      <diagonal/>
    </border>
    <border>
      <left style="medium">
        <color indexed="8"/>
      </left>
      <right style="thin">
        <color indexed="8"/>
      </right>
      <top style="thin">
        <color indexed="8"/>
      </top>
      <bottom style="hair">
        <color rgb="FFE8E8E8"/>
      </bottom>
      <diagonal/>
    </border>
    <border>
      <left style="thin">
        <color indexed="8"/>
      </left>
      <right style="thin">
        <color indexed="8"/>
      </right>
      <top style="thin">
        <color indexed="8"/>
      </top>
      <bottom style="hair">
        <color rgb="FFE8E8E8"/>
      </bottom>
      <diagonal/>
    </border>
    <border>
      <left style="thin">
        <color indexed="8"/>
      </left>
      <right/>
      <top style="thin">
        <color indexed="8"/>
      </top>
      <bottom style="hair">
        <color rgb="FFE8E8E8"/>
      </bottom>
      <diagonal/>
    </border>
    <border>
      <left style="medium">
        <color indexed="8"/>
      </left>
      <right style="medium">
        <color indexed="8"/>
      </right>
      <top style="thin">
        <color indexed="8"/>
      </top>
      <bottom style="hair">
        <color rgb="FFE8E8E8"/>
      </bottom>
      <diagonal/>
    </border>
    <border>
      <left/>
      <right style="medium">
        <color indexed="8"/>
      </right>
      <top style="medium">
        <color indexed="8"/>
      </top>
      <bottom style="medium">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83">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4" borderId="36" xfId="0" applyFill="1" applyBorder="1"/>
    <xf numFmtId="0" fontId="0" fillId="12" borderId="37" xfId="0" applyFill="1" applyBorder="1" applyAlignment="1">
      <alignment horizontal="center" vertical="center"/>
    </xf>
    <xf numFmtId="0" fontId="0" fillId="12" borderId="56" xfId="0" applyFill="1" applyBorder="1" applyAlignment="1">
      <alignment horizontal="center" vertical="center"/>
    </xf>
    <xf numFmtId="0" fontId="0" fillId="14" borderId="56" xfId="0" applyFill="1" applyBorder="1" applyAlignment="1">
      <alignment horizontal="center" vertic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0" fontId="0" fillId="12" borderId="38" xfId="0" applyFill="1" applyBorder="1"/>
    <xf numFmtId="0" fontId="0" fillId="12" borderId="41" xfId="0" applyFill="1" applyBorder="1"/>
    <xf numFmtId="0" fontId="0" fillId="12" borderId="41" xfId="0" applyFill="1" applyBorder="1" applyAlignment="1">
      <alignment horizontal="center" vertical="center"/>
    </xf>
    <xf numFmtId="0" fontId="0" fillId="12" borderId="43" xfId="0" applyFill="1" applyBorder="1"/>
    <xf numFmtId="0" fontId="0" fillId="14" borderId="44" xfId="0" applyFill="1" applyBorder="1"/>
    <xf numFmtId="0" fontId="0" fillId="12" borderId="44" xfId="0" applyFill="1" applyBorder="1"/>
    <xf numFmtId="0" fontId="0" fillId="12" borderId="45" xfId="0" applyFill="1" applyBorder="1"/>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13" fillId="4" borderId="5" xfId="0" applyFont="1" applyFill="1" applyBorder="1" applyAlignment="1">
      <alignment horizontal="center" vertical="center"/>
    </xf>
    <xf numFmtId="0" fontId="13" fillId="4" borderId="23" xfId="0" applyFont="1" applyFill="1" applyBorder="1" applyAlignment="1">
      <alignment horizontal="center" vertical="center"/>
    </xf>
    <xf numFmtId="0" fontId="13" fillId="3" borderId="58" xfId="0" applyFont="1" applyFill="1" applyBorder="1" applyAlignment="1" applyProtection="1">
      <alignment horizontal="center" vertical="center"/>
      <protection locked="0"/>
    </xf>
    <xf numFmtId="0" fontId="4" fillId="10" borderId="0" xfId="0" applyFont="1" applyFill="1"/>
    <xf numFmtId="0" fontId="4" fillId="13" borderId="62" xfId="0" applyFont="1" applyFill="1" applyBorder="1" applyAlignment="1" applyProtection="1">
      <alignment horizontal="center" vertical="center"/>
      <protection locked="0"/>
    </xf>
    <xf numFmtId="0" fontId="4" fillId="13" borderId="63" xfId="0" applyFont="1" applyFill="1" applyBorder="1" applyAlignment="1" applyProtection="1">
      <alignment horizontal="center" vertical="center"/>
      <protection locked="0"/>
    </xf>
    <xf numFmtId="0" fontId="4" fillId="12" borderId="64" xfId="0" applyFont="1" applyFill="1" applyBorder="1" applyAlignment="1">
      <alignment horizontal="center" vertical="center"/>
    </xf>
    <xf numFmtId="0" fontId="4" fillId="12" borderId="67" xfId="0" applyFont="1" applyFill="1" applyBorder="1" applyAlignment="1">
      <alignment horizontal="center" vertical="center"/>
    </xf>
    <xf numFmtId="0" fontId="4" fillId="14" borderId="64" xfId="0" applyFont="1" applyFill="1" applyBorder="1" applyAlignment="1">
      <alignment horizontal="center" vertical="center"/>
    </xf>
    <xf numFmtId="0" fontId="4" fillId="14" borderId="70" xfId="0" applyFont="1" applyFill="1" applyBorder="1" applyAlignment="1">
      <alignment horizontal="center" vertical="center"/>
    </xf>
    <xf numFmtId="0" fontId="4" fillId="12" borderId="62" xfId="0" applyFont="1" applyFill="1" applyBorder="1" applyAlignment="1">
      <alignment horizontal="center" vertical="center"/>
    </xf>
    <xf numFmtId="0" fontId="4" fillId="12" borderId="63" xfId="0" applyFont="1" applyFill="1" applyBorder="1" applyAlignment="1">
      <alignment horizontal="center" vertical="center"/>
    </xf>
    <xf numFmtId="0" fontId="4" fillId="14" borderId="62" xfId="0" applyFont="1" applyFill="1" applyBorder="1" applyAlignment="1">
      <alignment horizontal="center" vertical="center"/>
    </xf>
    <xf numFmtId="0" fontId="4" fillId="14" borderId="63" xfId="0" applyFont="1" applyFill="1" applyBorder="1" applyAlignment="1">
      <alignment horizontal="center" vertical="center"/>
    </xf>
    <xf numFmtId="0" fontId="0" fillId="12" borderId="72" xfId="0" applyFill="1" applyBorder="1"/>
    <xf numFmtId="0" fontId="0" fillId="12" borderId="73" xfId="0" applyFill="1" applyBorder="1"/>
    <xf numFmtId="0" fontId="0" fillId="12" borderId="71" xfId="0" applyFill="1" applyBorder="1" applyAlignment="1">
      <alignment horizontal="center" vertical="center"/>
    </xf>
    <xf numFmtId="0" fontId="4" fillId="12" borderId="65" xfId="0" applyFont="1" applyFill="1" applyBorder="1" applyAlignment="1">
      <alignment horizontal="right"/>
    </xf>
    <xf numFmtId="0" fontId="4" fillId="12" borderId="66" xfId="0" applyFont="1" applyFill="1" applyBorder="1" applyAlignment="1">
      <alignment horizontal="right"/>
    </xf>
    <xf numFmtId="0" fontId="4" fillId="13" borderId="66" xfId="0" applyFont="1" applyFill="1" applyBorder="1" applyAlignment="1" applyProtection="1">
      <alignment horizontal="center" vertical="center"/>
      <protection locked="0"/>
    </xf>
    <xf numFmtId="0" fontId="4" fillId="15" borderId="66" xfId="0" applyFont="1" applyFill="1" applyBorder="1" applyAlignment="1" applyProtection="1">
      <alignment horizontal="center" vertical="center"/>
      <protection locked="0"/>
    </xf>
    <xf numFmtId="0" fontId="4" fillId="16" borderId="66" xfId="0" applyFont="1" applyFill="1" applyBorder="1" applyAlignment="1" applyProtection="1">
      <alignment horizontal="center" vertical="center"/>
      <protection locked="0"/>
    </xf>
    <xf numFmtId="0" fontId="4" fillId="13" borderId="75" xfId="0" applyFont="1" applyFill="1" applyBorder="1" applyAlignment="1" applyProtection="1">
      <alignment horizontal="center" vertical="center"/>
      <protection locked="0"/>
    </xf>
    <xf numFmtId="0" fontId="4" fillId="12" borderId="61" xfId="0" applyFont="1" applyFill="1" applyBorder="1" applyAlignment="1">
      <alignment horizontal="right"/>
    </xf>
    <xf numFmtId="0" fontId="4" fillId="12" borderId="62" xfId="0" applyFont="1" applyFill="1" applyBorder="1" applyAlignment="1">
      <alignment horizontal="right"/>
    </xf>
    <xf numFmtId="0" fontId="4" fillId="15" borderId="62" xfId="0" applyFont="1" applyFill="1" applyBorder="1" applyAlignment="1" applyProtection="1">
      <alignment horizontal="center" vertical="center"/>
      <protection locked="0"/>
    </xf>
    <xf numFmtId="0" fontId="4" fillId="15" borderId="63" xfId="0" applyFont="1" applyFill="1" applyBorder="1" applyAlignment="1" applyProtection="1">
      <alignment horizontal="center" vertical="center"/>
      <protection locked="0"/>
    </xf>
    <xf numFmtId="0" fontId="4" fillId="14" borderId="68" xfId="0" applyFont="1" applyFill="1" applyBorder="1" applyAlignment="1">
      <alignment horizontal="right"/>
    </xf>
    <xf numFmtId="0" fontId="4" fillId="14" borderId="69" xfId="0" applyFont="1" applyFill="1" applyBorder="1" applyAlignment="1">
      <alignment horizontal="right"/>
    </xf>
    <xf numFmtId="0" fontId="4" fillId="13" borderId="69" xfId="0" applyFont="1" applyFill="1" applyBorder="1" applyAlignment="1" applyProtection="1">
      <alignment horizontal="center" vertical="center"/>
      <protection locked="0"/>
    </xf>
    <xf numFmtId="0" fontId="4" fillId="16" borderId="69" xfId="0" applyFont="1" applyFill="1" applyBorder="1" applyAlignment="1" applyProtection="1">
      <alignment horizontal="center" vertical="center"/>
      <protection locked="0"/>
    </xf>
    <xf numFmtId="0" fontId="4" fillId="15" borderId="69" xfId="0" applyFont="1" applyFill="1" applyBorder="1" applyAlignment="1" applyProtection="1">
      <alignment horizontal="center" vertical="center"/>
      <protection locked="0"/>
    </xf>
    <xf numFmtId="0" fontId="4" fillId="13" borderId="76" xfId="0" applyFont="1" applyFill="1" applyBorder="1" applyAlignment="1" applyProtection="1">
      <alignment horizontal="center" vertical="center"/>
      <protection locked="0"/>
    </xf>
    <xf numFmtId="0" fontId="0" fillId="14" borderId="77" xfId="0" applyFill="1" applyBorder="1"/>
    <xf numFmtId="0" fontId="0" fillId="14" borderId="78" xfId="0" applyFill="1" applyBorder="1"/>
    <xf numFmtId="0" fontId="0" fillId="14" borderId="80" xfId="0" applyFill="1" applyBorder="1" applyAlignment="1">
      <alignment horizontal="center" vertical="center"/>
    </xf>
    <xf numFmtId="0" fontId="4" fillId="14" borderId="61" xfId="0" applyFont="1" applyFill="1" applyBorder="1" applyAlignment="1">
      <alignment horizontal="right"/>
    </xf>
    <xf numFmtId="0" fontId="4" fillId="14" borderId="62" xfId="0" applyFont="1" applyFill="1" applyBorder="1" applyAlignment="1">
      <alignment horizontal="right"/>
    </xf>
    <xf numFmtId="0" fontId="0" fillId="12" borderId="81" xfId="0" applyFill="1" applyBorder="1"/>
    <xf numFmtId="0" fontId="0" fillId="12" borderId="82" xfId="0" applyFill="1" applyBorder="1"/>
    <xf numFmtId="0" fontId="0" fillId="12" borderId="84" xfId="0" applyFill="1" applyBorder="1" applyAlignment="1">
      <alignment horizontal="center" vertical="center"/>
    </xf>
    <xf numFmtId="0" fontId="4" fillId="12" borderId="66" xfId="0" applyFont="1" applyFill="1" applyBorder="1" applyAlignment="1">
      <alignment horizontal="center" vertical="center"/>
    </xf>
    <xf numFmtId="0" fontId="4" fillId="12" borderId="75" xfId="0" applyFont="1" applyFill="1" applyBorder="1" applyAlignment="1">
      <alignment horizontal="center" vertical="center"/>
    </xf>
    <xf numFmtId="0" fontId="4" fillId="14" borderId="69" xfId="0" applyFont="1" applyFill="1" applyBorder="1" applyAlignment="1">
      <alignment horizontal="center" vertical="center"/>
    </xf>
    <xf numFmtId="0" fontId="4" fillId="14" borderId="76" xfId="0" applyFont="1" applyFill="1" applyBorder="1" applyAlignment="1">
      <alignment horizontal="center" vertical="center"/>
    </xf>
    <xf numFmtId="9" fontId="0" fillId="12" borderId="37" xfId="0" applyNumberFormat="1" applyFill="1" applyBorder="1" applyAlignment="1">
      <alignment horizontal="center" vertical="center"/>
    </xf>
    <xf numFmtId="9" fontId="0" fillId="12" borderId="60" xfId="0" applyNumberFormat="1" applyFill="1" applyBorder="1" applyAlignment="1">
      <alignment horizontal="center" vertical="center"/>
    </xf>
    <xf numFmtId="9" fontId="0" fillId="12" borderId="85" xfId="0" applyNumberFormat="1" applyFill="1" applyBorder="1" applyAlignment="1">
      <alignment horizontal="center" vertical="center"/>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49" fontId="4" fillId="4" borderId="47"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2" fillId="13" borderId="73" xfId="0" applyFont="1" applyFill="1" applyBorder="1" applyAlignment="1" applyProtection="1">
      <alignment horizontal="center" vertical="center"/>
      <protection locked="0"/>
    </xf>
    <xf numFmtId="0" fontId="2" fillId="13" borderId="74" xfId="0" applyFont="1" applyFill="1" applyBorder="1" applyAlignment="1" applyProtection="1">
      <alignment horizontal="center" vertical="center"/>
      <protection locked="0"/>
    </xf>
    <xf numFmtId="0" fontId="2" fillId="13" borderId="78" xfId="0" applyFont="1" applyFill="1" applyBorder="1" applyAlignment="1" applyProtection="1">
      <alignment horizontal="center" vertical="center"/>
      <protection locked="0"/>
    </xf>
    <xf numFmtId="0" fontId="2" fillId="13" borderId="79" xfId="0" applyFont="1" applyFill="1" applyBorder="1" applyAlignment="1" applyProtection="1">
      <alignment horizontal="center" vertical="center"/>
      <protection locked="0"/>
    </xf>
    <xf numFmtId="0" fontId="2" fillId="13" borderId="82" xfId="0" applyFont="1" applyFill="1" applyBorder="1" applyAlignment="1" applyProtection="1">
      <alignment horizontal="center" vertical="center"/>
      <protection locked="0"/>
    </xf>
    <xf numFmtId="0" fontId="2" fillId="13" borderId="83" xfId="0" applyFont="1" applyFill="1" applyBorder="1" applyAlignment="1" applyProtection="1">
      <alignment horizontal="center" vertical="center"/>
      <protection locked="0"/>
    </xf>
    <xf numFmtId="0" fontId="2" fillId="12" borderId="73" xfId="0" applyFont="1" applyFill="1" applyBorder="1" applyAlignment="1" applyProtection="1">
      <alignment horizontal="center" vertical="center"/>
    </xf>
    <xf numFmtId="0" fontId="2" fillId="12" borderId="74" xfId="0" applyFont="1" applyFill="1" applyBorder="1" applyAlignment="1" applyProtection="1">
      <alignment horizontal="center" vertical="center"/>
    </xf>
    <xf numFmtId="0" fontId="2" fillId="14" borderId="78" xfId="0" applyFont="1" applyFill="1" applyBorder="1" applyAlignment="1" applyProtection="1">
      <alignment horizontal="center" vertical="center"/>
    </xf>
    <xf numFmtId="0" fontId="2" fillId="14" borderId="79" xfId="0" applyFont="1" applyFill="1" applyBorder="1" applyAlignment="1" applyProtection="1">
      <alignment horizontal="center" vertical="center"/>
    </xf>
    <xf numFmtId="0" fontId="2" fillId="12" borderId="82" xfId="0" applyFont="1" applyFill="1" applyBorder="1" applyAlignment="1" applyProtection="1">
      <alignment horizontal="center" vertical="center"/>
    </xf>
    <xf numFmtId="0" fontId="2" fillId="12" borderId="83" xfId="0" applyFont="1" applyFill="1" applyBorder="1" applyAlignment="1" applyProtection="1">
      <alignment horizontal="center" vertical="center"/>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7216" name="Cross_D13">
          <a:extLst>
            <a:ext uri="{FF2B5EF4-FFF2-40B4-BE49-F238E27FC236}">
              <a16:creationId xmlns:a16="http://schemas.microsoft.com/office/drawing/2014/main" id="{E9412564-995B-2209-3F49-8C4E9E6C9804}"/>
            </a:ext>
          </a:extLst>
        </xdr:cNvPr>
        <xdr:cNvGrpSpPr/>
      </xdr:nvGrpSpPr>
      <xdr:grpSpPr>
        <a:xfrm>
          <a:off x="2232660" y="2164080"/>
          <a:ext cx="594360" cy="228600"/>
          <a:chOff x="2232660" y="2499360"/>
          <a:chExt cx="594360" cy="228600"/>
        </a:xfrm>
      </xdr:grpSpPr>
      <xdr:cxnSp macro="">
        <xdr:nvCxnSpPr>
          <xdr:cNvPr id="7214" name="Gerader Verbinder 7213">
            <a:extLst>
              <a:ext uri="{FF2B5EF4-FFF2-40B4-BE49-F238E27FC236}">
                <a16:creationId xmlns:a16="http://schemas.microsoft.com/office/drawing/2014/main" id="{DA169FF2-0D45-C0EE-096B-73F3039F78E0}"/>
              </a:ext>
            </a:extLst>
          </xdr:cNvPr>
          <xdr:cNvCxnSpPr/>
        </xdr:nvCxnSpPr>
        <xdr:spPr>
          <a:xfrm>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15" name="Gerader Verbinder 7214">
            <a:extLst>
              <a:ext uri="{FF2B5EF4-FFF2-40B4-BE49-F238E27FC236}">
                <a16:creationId xmlns:a16="http://schemas.microsoft.com/office/drawing/2014/main" id="{B9265513-2155-3064-1660-7306B3322C6C}"/>
              </a:ext>
            </a:extLst>
          </xdr:cNvPr>
          <xdr:cNvCxnSpPr/>
        </xdr:nvCxnSpPr>
        <xdr:spPr>
          <a:xfrm flipH="1">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7219" name="Cross_D14">
          <a:extLst>
            <a:ext uri="{FF2B5EF4-FFF2-40B4-BE49-F238E27FC236}">
              <a16:creationId xmlns:a16="http://schemas.microsoft.com/office/drawing/2014/main" id="{E81C1B11-CFB8-E4C9-17D5-CBFCED6EDBFC}"/>
            </a:ext>
          </a:extLst>
        </xdr:cNvPr>
        <xdr:cNvGrpSpPr/>
      </xdr:nvGrpSpPr>
      <xdr:grpSpPr>
        <a:xfrm>
          <a:off x="2232660" y="2392680"/>
          <a:ext cx="594360" cy="167640"/>
          <a:chOff x="2232660" y="2727960"/>
          <a:chExt cx="594360" cy="167640"/>
        </a:xfrm>
      </xdr:grpSpPr>
      <xdr:cxnSp macro="">
        <xdr:nvCxnSpPr>
          <xdr:cNvPr id="7217" name="Gerader Verbinder 7216">
            <a:extLst>
              <a:ext uri="{FF2B5EF4-FFF2-40B4-BE49-F238E27FC236}">
                <a16:creationId xmlns:a16="http://schemas.microsoft.com/office/drawing/2014/main" id="{B6114BFD-34FA-734F-0735-5DE0E11C3D93}"/>
              </a:ext>
            </a:extLst>
          </xdr:cNvPr>
          <xdr:cNvCxnSpPr/>
        </xdr:nvCxnSpPr>
        <xdr:spPr>
          <a:xfrm>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18" name="Gerader Verbinder 7217">
            <a:extLst>
              <a:ext uri="{FF2B5EF4-FFF2-40B4-BE49-F238E27FC236}">
                <a16:creationId xmlns:a16="http://schemas.microsoft.com/office/drawing/2014/main" id="{20AAFB5C-56DE-95F9-76A1-8770292F37C3}"/>
              </a:ext>
            </a:extLst>
          </xdr:cNvPr>
          <xdr:cNvCxnSpPr/>
        </xdr:nvCxnSpPr>
        <xdr:spPr>
          <a:xfrm flipH="1">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7222" name="Cross_D15">
          <a:extLst>
            <a:ext uri="{FF2B5EF4-FFF2-40B4-BE49-F238E27FC236}">
              <a16:creationId xmlns:a16="http://schemas.microsoft.com/office/drawing/2014/main" id="{A5B7DE04-B718-6F16-975C-E939C44BA8EC}"/>
            </a:ext>
          </a:extLst>
        </xdr:cNvPr>
        <xdr:cNvGrpSpPr/>
      </xdr:nvGrpSpPr>
      <xdr:grpSpPr>
        <a:xfrm>
          <a:off x="2232660" y="2560320"/>
          <a:ext cx="594360" cy="0"/>
          <a:chOff x="2232660" y="2895600"/>
          <a:chExt cx="594360" cy="167640"/>
        </a:xfrm>
      </xdr:grpSpPr>
      <xdr:cxnSp macro="">
        <xdr:nvCxnSpPr>
          <xdr:cNvPr id="7220" name="Gerader Verbinder 7219">
            <a:extLst>
              <a:ext uri="{FF2B5EF4-FFF2-40B4-BE49-F238E27FC236}">
                <a16:creationId xmlns:a16="http://schemas.microsoft.com/office/drawing/2014/main" id="{295B8EE6-2855-84E5-4A67-AB0BD526EB61}"/>
              </a:ext>
            </a:extLst>
          </xdr:cNvPr>
          <xdr:cNvCxnSpPr/>
        </xdr:nvCxnSpPr>
        <xdr:spPr>
          <a:xfrm>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21" name="Gerader Verbinder 7220">
            <a:extLst>
              <a:ext uri="{FF2B5EF4-FFF2-40B4-BE49-F238E27FC236}">
                <a16:creationId xmlns:a16="http://schemas.microsoft.com/office/drawing/2014/main" id="{09389113-537D-F8FF-020D-B3891F4C3156}"/>
              </a:ext>
            </a:extLst>
          </xdr:cNvPr>
          <xdr:cNvCxnSpPr/>
        </xdr:nvCxnSpPr>
        <xdr:spPr>
          <a:xfrm flipH="1">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7225" name="Cross_D22">
          <a:extLst>
            <a:ext uri="{FF2B5EF4-FFF2-40B4-BE49-F238E27FC236}">
              <a16:creationId xmlns:a16="http://schemas.microsoft.com/office/drawing/2014/main" id="{81087E5D-4C92-578E-47F2-D59385787C5C}"/>
            </a:ext>
          </a:extLst>
        </xdr:cNvPr>
        <xdr:cNvGrpSpPr/>
      </xdr:nvGrpSpPr>
      <xdr:grpSpPr>
        <a:xfrm>
          <a:off x="2232660" y="3352800"/>
          <a:ext cx="594360" cy="228600"/>
          <a:chOff x="2232660" y="4191000"/>
          <a:chExt cx="594360" cy="228600"/>
        </a:xfrm>
      </xdr:grpSpPr>
      <xdr:cxnSp macro="">
        <xdr:nvCxnSpPr>
          <xdr:cNvPr id="7223" name="Gerader Verbinder 7222">
            <a:extLst>
              <a:ext uri="{FF2B5EF4-FFF2-40B4-BE49-F238E27FC236}">
                <a16:creationId xmlns:a16="http://schemas.microsoft.com/office/drawing/2014/main" id="{41D50CE4-3E9D-81FA-2690-3EFC05D40EF6}"/>
              </a:ext>
            </a:extLst>
          </xdr:cNvPr>
          <xdr:cNvCxnSpPr/>
        </xdr:nvCxnSpPr>
        <xdr:spPr>
          <a:xfrm>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24" name="Gerader Verbinder 7223">
            <a:extLst>
              <a:ext uri="{FF2B5EF4-FFF2-40B4-BE49-F238E27FC236}">
                <a16:creationId xmlns:a16="http://schemas.microsoft.com/office/drawing/2014/main" id="{C9A51777-C487-F246-EB72-5C046449C490}"/>
              </a:ext>
            </a:extLst>
          </xdr:cNvPr>
          <xdr:cNvCxnSpPr/>
        </xdr:nvCxnSpPr>
        <xdr:spPr>
          <a:xfrm flipH="1">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7228" name="Cross_D23">
          <a:extLst>
            <a:ext uri="{FF2B5EF4-FFF2-40B4-BE49-F238E27FC236}">
              <a16:creationId xmlns:a16="http://schemas.microsoft.com/office/drawing/2014/main" id="{07CAFA49-ABE1-418E-F9AC-82CAE54A2DA9}"/>
            </a:ext>
          </a:extLst>
        </xdr:cNvPr>
        <xdr:cNvGrpSpPr/>
      </xdr:nvGrpSpPr>
      <xdr:grpSpPr>
        <a:xfrm>
          <a:off x="2232660" y="3581400"/>
          <a:ext cx="594360" cy="167640"/>
          <a:chOff x="2232660" y="4419600"/>
          <a:chExt cx="594360" cy="167640"/>
        </a:xfrm>
      </xdr:grpSpPr>
      <xdr:cxnSp macro="">
        <xdr:nvCxnSpPr>
          <xdr:cNvPr id="7226" name="Gerader Verbinder 7225">
            <a:extLst>
              <a:ext uri="{FF2B5EF4-FFF2-40B4-BE49-F238E27FC236}">
                <a16:creationId xmlns:a16="http://schemas.microsoft.com/office/drawing/2014/main" id="{2DE8820A-93AF-B376-CCDD-31D3671A5EFB}"/>
              </a:ext>
            </a:extLst>
          </xdr:cNvPr>
          <xdr:cNvCxnSpPr/>
        </xdr:nvCxnSpPr>
        <xdr:spPr>
          <a:xfrm>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27" name="Gerader Verbinder 7226">
            <a:extLst>
              <a:ext uri="{FF2B5EF4-FFF2-40B4-BE49-F238E27FC236}">
                <a16:creationId xmlns:a16="http://schemas.microsoft.com/office/drawing/2014/main" id="{740C7608-E976-2FF7-54A5-A3D91746DA36}"/>
              </a:ext>
            </a:extLst>
          </xdr:cNvPr>
          <xdr:cNvCxnSpPr/>
        </xdr:nvCxnSpPr>
        <xdr:spPr>
          <a:xfrm flipH="1">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7231" name="Cross_D24">
          <a:extLst>
            <a:ext uri="{FF2B5EF4-FFF2-40B4-BE49-F238E27FC236}">
              <a16:creationId xmlns:a16="http://schemas.microsoft.com/office/drawing/2014/main" id="{671DBD45-8BD5-ECE1-D31B-74AEB49C79D1}"/>
            </a:ext>
          </a:extLst>
        </xdr:cNvPr>
        <xdr:cNvGrpSpPr/>
      </xdr:nvGrpSpPr>
      <xdr:grpSpPr>
        <a:xfrm>
          <a:off x="2232660" y="3749040"/>
          <a:ext cx="594360" cy="0"/>
          <a:chOff x="2232660" y="4587240"/>
          <a:chExt cx="594360" cy="167640"/>
        </a:xfrm>
      </xdr:grpSpPr>
      <xdr:cxnSp macro="">
        <xdr:nvCxnSpPr>
          <xdr:cNvPr id="7229" name="Gerader Verbinder 7228">
            <a:extLst>
              <a:ext uri="{FF2B5EF4-FFF2-40B4-BE49-F238E27FC236}">
                <a16:creationId xmlns:a16="http://schemas.microsoft.com/office/drawing/2014/main" id="{40D9CBB0-F127-5B0C-A474-3EF6139062A3}"/>
              </a:ext>
            </a:extLst>
          </xdr:cNvPr>
          <xdr:cNvCxnSpPr/>
        </xdr:nvCxnSpPr>
        <xdr:spPr>
          <a:xfrm>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30" name="Gerader Verbinder 7229">
            <a:extLst>
              <a:ext uri="{FF2B5EF4-FFF2-40B4-BE49-F238E27FC236}">
                <a16:creationId xmlns:a16="http://schemas.microsoft.com/office/drawing/2014/main" id="{6E80B706-FCAB-60F4-84DA-1C82173BECA2}"/>
              </a:ext>
            </a:extLst>
          </xdr:cNvPr>
          <xdr:cNvCxnSpPr/>
        </xdr:nvCxnSpPr>
        <xdr:spPr>
          <a:xfrm flipH="1">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7234" name="Cross_D25">
          <a:extLst>
            <a:ext uri="{FF2B5EF4-FFF2-40B4-BE49-F238E27FC236}">
              <a16:creationId xmlns:a16="http://schemas.microsoft.com/office/drawing/2014/main" id="{8DEA4698-95D6-1F78-58E8-A9735DF879AD}"/>
            </a:ext>
          </a:extLst>
        </xdr:cNvPr>
        <xdr:cNvGrpSpPr/>
      </xdr:nvGrpSpPr>
      <xdr:grpSpPr>
        <a:xfrm>
          <a:off x="2232660" y="3749040"/>
          <a:ext cx="594360" cy="228600"/>
          <a:chOff x="2232660" y="4754880"/>
          <a:chExt cx="594360" cy="228600"/>
        </a:xfrm>
      </xdr:grpSpPr>
      <xdr:cxnSp macro="">
        <xdr:nvCxnSpPr>
          <xdr:cNvPr id="7232" name="Gerader Verbinder 7231">
            <a:extLst>
              <a:ext uri="{FF2B5EF4-FFF2-40B4-BE49-F238E27FC236}">
                <a16:creationId xmlns:a16="http://schemas.microsoft.com/office/drawing/2014/main" id="{9344358F-4745-1481-00BB-A6B3BDFF1E08}"/>
              </a:ext>
            </a:extLst>
          </xdr:cNvPr>
          <xdr:cNvCxnSpPr/>
        </xdr:nvCxnSpPr>
        <xdr:spPr>
          <a:xfrm>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33" name="Gerader Verbinder 7232">
            <a:extLst>
              <a:ext uri="{FF2B5EF4-FFF2-40B4-BE49-F238E27FC236}">
                <a16:creationId xmlns:a16="http://schemas.microsoft.com/office/drawing/2014/main" id="{B4017BFE-A85A-3842-0AE8-F05E5DBE8D53}"/>
              </a:ext>
            </a:extLst>
          </xdr:cNvPr>
          <xdr:cNvCxnSpPr/>
        </xdr:nvCxnSpPr>
        <xdr:spPr>
          <a:xfrm flipH="1">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7237" name="Cross_D26">
          <a:extLst>
            <a:ext uri="{FF2B5EF4-FFF2-40B4-BE49-F238E27FC236}">
              <a16:creationId xmlns:a16="http://schemas.microsoft.com/office/drawing/2014/main" id="{96E8CB76-08DE-CF18-1B04-3A7053D22675}"/>
            </a:ext>
          </a:extLst>
        </xdr:cNvPr>
        <xdr:cNvGrpSpPr/>
      </xdr:nvGrpSpPr>
      <xdr:grpSpPr>
        <a:xfrm>
          <a:off x="2232660" y="3977640"/>
          <a:ext cx="594360" cy="167640"/>
          <a:chOff x="2232660" y="4983480"/>
          <a:chExt cx="594360" cy="167640"/>
        </a:xfrm>
      </xdr:grpSpPr>
      <xdr:cxnSp macro="">
        <xdr:nvCxnSpPr>
          <xdr:cNvPr id="7235" name="Gerader Verbinder 7234">
            <a:extLst>
              <a:ext uri="{FF2B5EF4-FFF2-40B4-BE49-F238E27FC236}">
                <a16:creationId xmlns:a16="http://schemas.microsoft.com/office/drawing/2014/main" id="{ED8AAED5-A4E0-C4B1-CD42-81CA2C3EAC8A}"/>
              </a:ext>
            </a:extLst>
          </xdr:cNvPr>
          <xdr:cNvCxnSpPr/>
        </xdr:nvCxnSpPr>
        <xdr:spPr>
          <a:xfrm>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36" name="Gerader Verbinder 7235">
            <a:extLst>
              <a:ext uri="{FF2B5EF4-FFF2-40B4-BE49-F238E27FC236}">
                <a16:creationId xmlns:a16="http://schemas.microsoft.com/office/drawing/2014/main" id="{6BF2C340-C0EC-FD2C-C004-2ABC8B1D4A7D}"/>
              </a:ext>
            </a:extLst>
          </xdr:cNvPr>
          <xdr:cNvCxnSpPr/>
        </xdr:nvCxnSpPr>
        <xdr:spPr>
          <a:xfrm flipH="1">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7240" name="Cross_D27">
          <a:extLst>
            <a:ext uri="{FF2B5EF4-FFF2-40B4-BE49-F238E27FC236}">
              <a16:creationId xmlns:a16="http://schemas.microsoft.com/office/drawing/2014/main" id="{418CF3D4-BA00-FA60-C929-556DAF8A2457}"/>
            </a:ext>
          </a:extLst>
        </xdr:cNvPr>
        <xdr:cNvGrpSpPr/>
      </xdr:nvGrpSpPr>
      <xdr:grpSpPr>
        <a:xfrm>
          <a:off x="2232660" y="4145280"/>
          <a:ext cx="594360" cy="0"/>
          <a:chOff x="2232660" y="5151120"/>
          <a:chExt cx="594360" cy="167640"/>
        </a:xfrm>
      </xdr:grpSpPr>
      <xdr:cxnSp macro="">
        <xdr:nvCxnSpPr>
          <xdr:cNvPr id="7238" name="Gerader Verbinder 7237">
            <a:extLst>
              <a:ext uri="{FF2B5EF4-FFF2-40B4-BE49-F238E27FC236}">
                <a16:creationId xmlns:a16="http://schemas.microsoft.com/office/drawing/2014/main" id="{EA4521C0-F5F8-F911-7478-7A33C36ED4AC}"/>
              </a:ext>
            </a:extLst>
          </xdr:cNvPr>
          <xdr:cNvCxnSpPr/>
        </xdr:nvCxnSpPr>
        <xdr:spPr>
          <a:xfrm>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39" name="Gerader Verbinder 7238">
            <a:extLst>
              <a:ext uri="{FF2B5EF4-FFF2-40B4-BE49-F238E27FC236}">
                <a16:creationId xmlns:a16="http://schemas.microsoft.com/office/drawing/2014/main" id="{3FD979BF-DA4C-5E38-BEAF-2D2C7B2969E3}"/>
              </a:ext>
            </a:extLst>
          </xdr:cNvPr>
          <xdr:cNvCxnSpPr/>
        </xdr:nvCxnSpPr>
        <xdr:spPr>
          <a:xfrm flipH="1">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7243" name="Cross_D28">
          <a:extLst>
            <a:ext uri="{FF2B5EF4-FFF2-40B4-BE49-F238E27FC236}">
              <a16:creationId xmlns:a16="http://schemas.microsoft.com/office/drawing/2014/main" id="{4136D32F-AF27-BCAE-8A71-3BC66897152D}"/>
            </a:ext>
          </a:extLst>
        </xdr:cNvPr>
        <xdr:cNvGrpSpPr/>
      </xdr:nvGrpSpPr>
      <xdr:grpSpPr>
        <a:xfrm>
          <a:off x="2232660" y="4145280"/>
          <a:ext cx="594360" cy="228600"/>
          <a:chOff x="2232660" y="5318760"/>
          <a:chExt cx="594360" cy="228600"/>
        </a:xfrm>
      </xdr:grpSpPr>
      <xdr:cxnSp macro="">
        <xdr:nvCxnSpPr>
          <xdr:cNvPr id="7241" name="Gerader Verbinder 7240">
            <a:extLst>
              <a:ext uri="{FF2B5EF4-FFF2-40B4-BE49-F238E27FC236}">
                <a16:creationId xmlns:a16="http://schemas.microsoft.com/office/drawing/2014/main" id="{26D1D68A-A4DA-36B5-336E-4AAB8B1416CD}"/>
              </a:ext>
            </a:extLst>
          </xdr:cNvPr>
          <xdr:cNvCxnSpPr/>
        </xdr:nvCxnSpPr>
        <xdr:spPr>
          <a:xfrm>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42" name="Gerader Verbinder 7241">
            <a:extLst>
              <a:ext uri="{FF2B5EF4-FFF2-40B4-BE49-F238E27FC236}">
                <a16:creationId xmlns:a16="http://schemas.microsoft.com/office/drawing/2014/main" id="{FBAC4AE1-2B41-9DEB-9889-8F2B813E4739}"/>
              </a:ext>
            </a:extLst>
          </xdr:cNvPr>
          <xdr:cNvCxnSpPr/>
        </xdr:nvCxnSpPr>
        <xdr:spPr>
          <a:xfrm flipH="1">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7246" name="Cross_D29">
          <a:extLst>
            <a:ext uri="{FF2B5EF4-FFF2-40B4-BE49-F238E27FC236}">
              <a16:creationId xmlns:a16="http://schemas.microsoft.com/office/drawing/2014/main" id="{F79CE666-1F49-029F-2020-E30B12BC9CA5}"/>
            </a:ext>
          </a:extLst>
        </xdr:cNvPr>
        <xdr:cNvGrpSpPr/>
      </xdr:nvGrpSpPr>
      <xdr:grpSpPr>
        <a:xfrm>
          <a:off x="2232660" y="4373880"/>
          <a:ext cx="594360" cy="167640"/>
          <a:chOff x="2232660" y="5547360"/>
          <a:chExt cx="594360" cy="167640"/>
        </a:xfrm>
      </xdr:grpSpPr>
      <xdr:cxnSp macro="">
        <xdr:nvCxnSpPr>
          <xdr:cNvPr id="7244" name="Gerader Verbinder 7243">
            <a:extLst>
              <a:ext uri="{FF2B5EF4-FFF2-40B4-BE49-F238E27FC236}">
                <a16:creationId xmlns:a16="http://schemas.microsoft.com/office/drawing/2014/main" id="{8B9FCBE6-CD8E-6275-7DED-EEEF2011DFF4}"/>
              </a:ext>
            </a:extLst>
          </xdr:cNvPr>
          <xdr:cNvCxnSpPr/>
        </xdr:nvCxnSpPr>
        <xdr:spPr>
          <a:xfrm>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45" name="Gerader Verbinder 7244">
            <a:extLst>
              <a:ext uri="{FF2B5EF4-FFF2-40B4-BE49-F238E27FC236}">
                <a16:creationId xmlns:a16="http://schemas.microsoft.com/office/drawing/2014/main" id="{E3B156CB-F94E-18C7-D6CC-D30D80C72249}"/>
              </a:ext>
            </a:extLst>
          </xdr:cNvPr>
          <xdr:cNvCxnSpPr/>
        </xdr:nvCxnSpPr>
        <xdr:spPr>
          <a:xfrm flipH="1">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7249" name="Cross_D30">
          <a:extLst>
            <a:ext uri="{FF2B5EF4-FFF2-40B4-BE49-F238E27FC236}">
              <a16:creationId xmlns:a16="http://schemas.microsoft.com/office/drawing/2014/main" id="{267F13E4-5D56-CC1C-6CE0-B7B4331E4EB9}"/>
            </a:ext>
          </a:extLst>
        </xdr:cNvPr>
        <xdr:cNvGrpSpPr/>
      </xdr:nvGrpSpPr>
      <xdr:grpSpPr>
        <a:xfrm>
          <a:off x="2232660" y="4541520"/>
          <a:ext cx="594360" cy="0"/>
          <a:chOff x="2232660" y="5715000"/>
          <a:chExt cx="594360" cy="167640"/>
        </a:xfrm>
      </xdr:grpSpPr>
      <xdr:cxnSp macro="">
        <xdr:nvCxnSpPr>
          <xdr:cNvPr id="7247" name="Gerader Verbinder 7246">
            <a:extLst>
              <a:ext uri="{FF2B5EF4-FFF2-40B4-BE49-F238E27FC236}">
                <a16:creationId xmlns:a16="http://schemas.microsoft.com/office/drawing/2014/main" id="{4923F529-AD59-709B-8EF8-B50B7D1DC6C8}"/>
              </a:ext>
            </a:extLst>
          </xdr:cNvPr>
          <xdr:cNvCxnSpPr/>
        </xdr:nvCxnSpPr>
        <xdr:spPr>
          <a:xfrm>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48" name="Gerader Verbinder 7247">
            <a:extLst>
              <a:ext uri="{FF2B5EF4-FFF2-40B4-BE49-F238E27FC236}">
                <a16:creationId xmlns:a16="http://schemas.microsoft.com/office/drawing/2014/main" id="{E3967E37-FBF0-C002-2FF8-A4DDF6F4F821}"/>
              </a:ext>
            </a:extLst>
          </xdr:cNvPr>
          <xdr:cNvCxnSpPr/>
        </xdr:nvCxnSpPr>
        <xdr:spPr>
          <a:xfrm flipH="1">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7252" name="Cross_D34">
          <a:extLst>
            <a:ext uri="{FF2B5EF4-FFF2-40B4-BE49-F238E27FC236}">
              <a16:creationId xmlns:a16="http://schemas.microsoft.com/office/drawing/2014/main" id="{1837007D-FFB0-0FD9-A68B-E3324C59A91C}"/>
            </a:ext>
          </a:extLst>
        </xdr:cNvPr>
        <xdr:cNvGrpSpPr/>
      </xdr:nvGrpSpPr>
      <xdr:grpSpPr>
        <a:xfrm>
          <a:off x="2232660" y="4937760"/>
          <a:ext cx="594360" cy="228600"/>
          <a:chOff x="2232660" y="6446520"/>
          <a:chExt cx="594360" cy="228600"/>
        </a:xfrm>
      </xdr:grpSpPr>
      <xdr:cxnSp macro="">
        <xdr:nvCxnSpPr>
          <xdr:cNvPr id="7250" name="Gerader Verbinder 7249">
            <a:extLst>
              <a:ext uri="{FF2B5EF4-FFF2-40B4-BE49-F238E27FC236}">
                <a16:creationId xmlns:a16="http://schemas.microsoft.com/office/drawing/2014/main" id="{6AF3CF03-CB22-8330-C576-0D5890FA7709}"/>
              </a:ext>
            </a:extLst>
          </xdr:cNvPr>
          <xdr:cNvCxnSpPr/>
        </xdr:nvCxnSpPr>
        <xdr:spPr>
          <a:xfrm>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51" name="Gerader Verbinder 7250">
            <a:extLst>
              <a:ext uri="{FF2B5EF4-FFF2-40B4-BE49-F238E27FC236}">
                <a16:creationId xmlns:a16="http://schemas.microsoft.com/office/drawing/2014/main" id="{1C4C3120-E75D-C578-D264-15B5C3DC81E6}"/>
              </a:ext>
            </a:extLst>
          </xdr:cNvPr>
          <xdr:cNvCxnSpPr/>
        </xdr:nvCxnSpPr>
        <xdr:spPr>
          <a:xfrm flipH="1">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7255" name="Cross_D35">
          <a:extLst>
            <a:ext uri="{FF2B5EF4-FFF2-40B4-BE49-F238E27FC236}">
              <a16:creationId xmlns:a16="http://schemas.microsoft.com/office/drawing/2014/main" id="{0894B3E1-EE08-BDB7-8F5B-98EA6C7D6894}"/>
            </a:ext>
          </a:extLst>
        </xdr:cNvPr>
        <xdr:cNvGrpSpPr/>
      </xdr:nvGrpSpPr>
      <xdr:grpSpPr>
        <a:xfrm>
          <a:off x="2232660" y="5166360"/>
          <a:ext cx="594360" cy="167640"/>
          <a:chOff x="2232660" y="6675120"/>
          <a:chExt cx="594360" cy="167640"/>
        </a:xfrm>
      </xdr:grpSpPr>
      <xdr:cxnSp macro="">
        <xdr:nvCxnSpPr>
          <xdr:cNvPr id="7253" name="Gerader Verbinder 7252">
            <a:extLst>
              <a:ext uri="{FF2B5EF4-FFF2-40B4-BE49-F238E27FC236}">
                <a16:creationId xmlns:a16="http://schemas.microsoft.com/office/drawing/2014/main" id="{585D6AA5-24C0-7D18-6A87-04DAFC885461}"/>
              </a:ext>
            </a:extLst>
          </xdr:cNvPr>
          <xdr:cNvCxnSpPr/>
        </xdr:nvCxnSpPr>
        <xdr:spPr>
          <a:xfrm>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54" name="Gerader Verbinder 7253">
            <a:extLst>
              <a:ext uri="{FF2B5EF4-FFF2-40B4-BE49-F238E27FC236}">
                <a16:creationId xmlns:a16="http://schemas.microsoft.com/office/drawing/2014/main" id="{9B1A0B43-45C6-2C79-4407-9607840BB618}"/>
              </a:ext>
            </a:extLst>
          </xdr:cNvPr>
          <xdr:cNvCxnSpPr/>
        </xdr:nvCxnSpPr>
        <xdr:spPr>
          <a:xfrm flipH="1">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7258" name="Cross_D36">
          <a:extLst>
            <a:ext uri="{FF2B5EF4-FFF2-40B4-BE49-F238E27FC236}">
              <a16:creationId xmlns:a16="http://schemas.microsoft.com/office/drawing/2014/main" id="{9C12990D-7DF8-639C-8893-23781545E05A}"/>
            </a:ext>
          </a:extLst>
        </xdr:cNvPr>
        <xdr:cNvGrpSpPr/>
      </xdr:nvGrpSpPr>
      <xdr:grpSpPr>
        <a:xfrm>
          <a:off x="2232660" y="5334000"/>
          <a:ext cx="594360" cy="0"/>
          <a:chOff x="2232660" y="6842760"/>
          <a:chExt cx="594360" cy="167640"/>
        </a:xfrm>
      </xdr:grpSpPr>
      <xdr:cxnSp macro="">
        <xdr:nvCxnSpPr>
          <xdr:cNvPr id="7256" name="Gerader Verbinder 7255">
            <a:extLst>
              <a:ext uri="{FF2B5EF4-FFF2-40B4-BE49-F238E27FC236}">
                <a16:creationId xmlns:a16="http://schemas.microsoft.com/office/drawing/2014/main" id="{C70F75EC-5354-E0F2-9EFB-2BB3707715F2}"/>
              </a:ext>
            </a:extLst>
          </xdr:cNvPr>
          <xdr:cNvCxnSpPr/>
        </xdr:nvCxnSpPr>
        <xdr:spPr>
          <a:xfrm>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57" name="Gerader Verbinder 7256">
            <a:extLst>
              <a:ext uri="{FF2B5EF4-FFF2-40B4-BE49-F238E27FC236}">
                <a16:creationId xmlns:a16="http://schemas.microsoft.com/office/drawing/2014/main" id="{220D93B8-BD44-6C0C-63C0-9E0EAFA5965D}"/>
              </a:ext>
            </a:extLst>
          </xdr:cNvPr>
          <xdr:cNvCxnSpPr/>
        </xdr:nvCxnSpPr>
        <xdr:spPr>
          <a:xfrm flipH="1">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7261" name="Cross_D46">
          <a:extLst>
            <a:ext uri="{FF2B5EF4-FFF2-40B4-BE49-F238E27FC236}">
              <a16:creationId xmlns:a16="http://schemas.microsoft.com/office/drawing/2014/main" id="{9E5D8447-7C35-8B42-BBCF-A984E83B3006}"/>
            </a:ext>
          </a:extLst>
        </xdr:cNvPr>
        <xdr:cNvGrpSpPr/>
      </xdr:nvGrpSpPr>
      <xdr:grpSpPr>
        <a:xfrm>
          <a:off x="2232660" y="6522720"/>
          <a:ext cx="594360" cy="228600"/>
          <a:chOff x="2232660" y="8702040"/>
          <a:chExt cx="594360" cy="228600"/>
        </a:xfrm>
      </xdr:grpSpPr>
      <xdr:cxnSp macro="">
        <xdr:nvCxnSpPr>
          <xdr:cNvPr id="7259" name="Gerader Verbinder 7258">
            <a:extLst>
              <a:ext uri="{FF2B5EF4-FFF2-40B4-BE49-F238E27FC236}">
                <a16:creationId xmlns:a16="http://schemas.microsoft.com/office/drawing/2014/main" id="{3185FE4C-196A-364C-5C3A-D66BF2A06180}"/>
              </a:ext>
            </a:extLst>
          </xdr:cNvPr>
          <xdr:cNvCxnSpPr/>
        </xdr:nvCxnSpPr>
        <xdr:spPr>
          <a:xfrm>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60" name="Gerader Verbinder 7259">
            <a:extLst>
              <a:ext uri="{FF2B5EF4-FFF2-40B4-BE49-F238E27FC236}">
                <a16:creationId xmlns:a16="http://schemas.microsoft.com/office/drawing/2014/main" id="{981E9FD3-F8E8-B0D4-994D-EE383C6127F4}"/>
              </a:ext>
            </a:extLst>
          </xdr:cNvPr>
          <xdr:cNvCxnSpPr/>
        </xdr:nvCxnSpPr>
        <xdr:spPr>
          <a:xfrm flipH="1">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7264" name="Cross_D47">
          <a:extLst>
            <a:ext uri="{FF2B5EF4-FFF2-40B4-BE49-F238E27FC236}">
              <a16:creationId xmlns:a16="http://schemas.microsoft.com/office/drawing/2014/main" id="{ABD9D550-5968-A6A3-ECA1-F2DCB4C0E461}"/>
            </a:ext>
          </a:extLst>
        </xdr:cNvPr>
        <xdr:cNvGrpSpPr/>
      </xdr:nvGrpSpPr>
      <xdr:grpSpPr>
        <a:xfrm>
          <a:off x="2232660" y="6751320"/>
          <a:ext cx="594360" cy="167640"/>
          <a:chOff x="2232660" y="8930640"/>
          <a:chExt cx="594360" cy="167640"/>
        </a:xfrm>
      </xdr:grpSpPr>
      <xdr:cxnSp macro="">
        <xdr:nvCxnSpPr>
          <xdr:cNvPr id="7262" name="Gerader Verbinder 7261">
            <a:extLst>
              <a:ext uri="{FF2B5EF4-FFF2-40B4-BE49-F238E27FC236}">
                <a16:creationId xmlns:a16="http://schemas.microsoft.com/office/drawing/2014/main" id="{8664DC4A-9B40-961F-E0D9-99A877769E40}"/>
              </a:ext>
            </a:extLst>
          </xdr:cNvPr>
          <xdr:cNvCxnSpPr/>
        </xdr:nvCxnSpPr>
        <xdr:spPr>
          <a:xfrm>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63" name="Gerader Verbinder 7262">
            <a:extLst>
              <a:ext uri="{FF2B5EF4-FFF2-40B4-BE49-F238E27FC236}">
                <a16:creationId xmlns:a16="http://schemas.microsoft.com/office/drawing/2014/main" id="{DDBA4309-163E-8A29-FBBF-3E120EF4936E}"/>
              </a:ext>
            </a:extLst>
          </xdr:cNvPr>
          <xdr:cNvCxnSpPr/>
        </xdr:nvCxnSpPr>
        <xdr:spPr>
          <a:xfrm flipH="1">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7267" name="Cross_D48">
          <a:extLst>
            <a:ext uri="{FF2B5EF4-FFF2-40B4-BE49-F238E27FC236}">
              <a16:creationId xmlns:a16="http://schemas.microsoft.com/office/drawing/2014/main" id="{6C3F2974-A551-8B14-C1E0-E74AA1898C11}"/>
            </a:ext>
          </a:extLst>
        </xdr:cNvPr>
        <xdr:cNvGrpSpPr/>
      </xdr:nvGrpSpPr>
      <xdr:grpSpPr>
        <a:xfrm>
          <a:off x="2232660" y="6918960"/>
          <a:ext cx="594360" cy="0"/>
          <a:chOff x="2232660" y="9098280"/>
          <a:chExt cx="594360" cy="167640"/>
        </a:xfrm>
      </xdr:grpSpPr>
      <xdr:cxnSp macro="">
        <xdr:nvCxnSpPr>
          <xdr:cNvPr id="7265" name="Gerader Verbinder 7264">
            <a:extLst>
              <a:ext uri="{FF2B5EF4-FFF2-40B4-BE49-F238E27FC236}">
                <a16:creationId xmlns:a16="http://schemas.microsoft.com/office/drawing/2014/main" id="{C05F90DC-DCC0-8632-53C6-50F71E374F91}"/>
              </a:ext>
            </a:extLst>
          </xdr:cNvPr>
          <xdr:cNvCxnSpPr/>
        </xdr:nvCxnSpPr>
        <xdr:spPr>
          <a:xfrm>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66" name="Gerader Verbinder 7265">
            <a:extLst>
              <a:ext uri="{FF2B5EF4-FFF2-40B4-BE49-F238E27FC236}">
                <a16:creationId xmlns:a16="http://schemas.microsoft.com/office/drawing/2014/main" id="{E77DDE01-1A57-08A1-2E6A-816F5E9FC0BF}"/>
              </a:ext>
            </a:extLst>
          </xdr:cNvPr>
          <xdr:cNvCxnSpPr/>
        </xdr:nvCxnSpPr>
        <xdr:spPr>
          <a:xfrm flipH="1">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7270" name="Cross_D49">
          <a:extLst>
            <a:ext uri="{FF2B5EF4-FFF2-40B4-BE49-F238E27FC236}">
              <a16:creationId xmlns:a16="http://schemas.microsoft.com/office/drawing/2014/main" id="{A2D074CC-6AE6-8B9F-7676-ACC8BF47C338}"/>
            </a:ext>
          </a:extLst>
        </xdr:cNvPr>
        <xdr:cNvGrpSpPr/>
      </xdr:nvGrpSpPr>
      <xdr:grpSpPr>
        <a:xfrm>
          <a:off x="2232660" y="6918960"/>
          <a:ext cx="594360" cy="228600"/>
          <a:chOff x="2232660" y="9265920"/>
          <a:chExt cx="594360" cy="228600"/>
        </a:xfrm>
      </xdr:grpSpPr>
      <xdr:cxnSp macro="">
        <xdr:nvCxnSpPr>
          <xdr:cNvPr id="7268" name="Gerader Verbinder 7267">
            <a:extLst>
              <a:ext uri="{FF2B5EF4-FFF2-40B4-BE49-F238E27FC236}">
                <a16:creationId xmlns:a16="http://schemas.microsoft.com/office/drawing/2014/main" id="{3CBE7BA8-E26B-1F2F-F061-AE95B0AC9456}"/>
              </a:ext>
            </a:extLst>
          </xdr:cNvPr>
          <xdr:cNvCxnSpPr/>
        </xdr:nvCxnSpPr>
        <xdr:spPr>
          <a:xfrm>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69" name="Gerader Verbinder 7268">
            <a:extLst>
              <a:ext uri="{FF2B5EF4-FFF2-40B4-BE49-F238E27FC236}">
                <a16:creationId xmlns:a16="http://schemas.microsoft.com/office/drawing/2014/main" id="{314603F4-EA53-DD65-0D5F-4D27CC938011}"/>
              </a:ext>
            </a:extLst>
          </xdr:cNvPr>
          <xdr:cNvCxnSpPr/>
        </xdr:nvCxnSpPr>
        <xdr:spPr>
          <a:xfrm flipH="1">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7273" name="Cross_D50">
          <a:extLst>
            <a:ext uri="{FF2B5EF4-FFF2-40B4-BE49-F238E27FC236}">
              <a16:creationId xmlns:a16="http://schemas.microsoft.com/office/drawing/2014/main" id="{6528F7B6-7D40-9D67-4BE0-424556848F41}"/>
            </a:ext>
          </a:extLst>
        </xdr:cNvPr>
        <xdr:cNvGrpSpPr/>
      </xdr:nvGrpSpPr>
      <xdr:grpSpPr>
        <a:xfrm>
          <a:off x="2232660" y="7147560"/>
          <a:ext cx="594360" cy="167640"/>
          <a:chOff x="2232660" y="9494520"/>
          <a:chExt cx="594360" cy="167640"/>
        </a:xfrm>
      </xdr:grpSpPr>
      <xdr:cxnSp macro="">
        <xdr:nvCxnSpPr>
          <xdr:cNvPr id="7271" name="Gerader Verbinder 7270">
            <a:extLst>
              <a:ext uri="{FF2B5EF4-FFF2-40B4-BE49-F238E27FC236}">
                <a16:creationId xmlns:a16="http://schemas.microsoft.com/office/drawing/2014/main" id="{515F2E5F-6BF6-964E-C234-87AB0951110F}"/>
              </a:ext>
            </a:extLst>
          </xdr:cNvPr>
          <xdr:cNvCxnSpPr/>
        </xdr:nvCxnSpPr>
        <xdr:spPr>
          <a:xfrm>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72" name="Gerader Verbinder 7271">
            <a:extLst>
              <a:ext uri="{FF2B5EF4-FFF2-40B4-BE49-F238E27FC236}">
                <a16:creationId xmlns:a16="http://schemas.microsoft.com/office/drawing/2014/main" id="{611CFEEC-4BBC-66E8-6892-E094C7C1EA98}"/>
              </a:ext>
            </a:extLst>
          </xdr:cNvPr>
          <xdr:cNvCxnSpPr/>
        </xdr:nvCxnSpPr>
        <xdr:spPr>
          <a:xfrm flipH="1">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7276" name="Cross_D51">
          <a:extLst>
            <a:ext uri="{FF2B5EF4-FFF2-40B4-BE49-F238E27FC236}">
              <a16:creationId xmlns:a16="http://schemas.microsoft.com/office/drawing/2014/main" id="{D2DD933D-F836-6C2F-4904-5055D681ECF7}"/>
            </a:ext>
          </a:extLst>
        </xdr:cNvPr>
        <xdr:cNvGrpSpPr/>
      </xdr:nvGrpSpPr>
      <xdr:grpSpPr>
        <a:xfrm>
          <a:off x="2232660" y="7315200"/>
          <a:ext cx="594360" cy="0"/>
          <a:chOff x="2232660" y="9662160"/>
          <a:chExt cx="594360" cy="167640"/>
        </a:xfrm>
      </xdr:grpSpPr>
      <xdr:cxnSp macro="">
        <xdr:nvCxnSpPr>
          <xdr:cNvPr id="7274" name="Gerader Verbinder 7273">
            <a:extLst>
              <a:ext uri="{FF2B5EF4-FFF2-40B4-BE49-F238E27FC236}">
                <a16:creationId xmlns:a16="http://schemas.microsoft.com/office/drawing/2014/main" id="{63EF7538-6071-F9E6-D4C7-0AEB7FB840E3}"/>
              </a:ext>
            </a:extLst>
          </xdr:cNvPr>
          <xdr:cNvCxnSpPr/>
        </xdr:nvCxnSpPr>
        <xdr:spPr>
          <a:xfrm>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75" name="Gerader Verbinder 7274">
            <a:extLst>
              <a:ext uri="{FF2B5EF4-FFF2-40B4-BE49-F238E27FC236}">
                <a16:creationId xmlns:a16="http://schemas.microsoft.com/office/drawing/2014/main" id="{BC3757A9-44F0-6C74-F8DB-30E139D98D77}"/>
              </a:ext>
            </a:extLst>
          </xdr:cNvPr>
          <xdr:cNvCxnSpPr/>
        </xdr:nvCxnSpPr>
        <xdr:spPr>
          <a:xfrm flipH="1">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7279" name="Cross_D52">
          <a:extLst>
            <a:ext uri="{FF2B5EF4-FFF2-40B4-BE49-F238E27FC236}">
              <a16:creationId xmlns:a16="http://schemas.microsoft.com/office/drawing/2014/main" id="{3F48E9A5-1694-4C73-C4A9-43C134B29076}"/>
            </a:ext>
          </a:extLst>
        </xdr:cNvPr>
        <xdr:cNvGrpSpPr/>
      </xdr:nvGrpSpPr>
      <xdr:grpSpPr>
        <a:xfrm>
          <a:off x="2232660" y="7315200"/>
          <a:ext cx="594360" cy="228600"/>
          <a:chOff x="2232660" y="9829800"/>
          <a:chExt cx="594360" cy="228600"/>
        </a:xfrm>
      </xdr:grpSpPr>
      <xdr:cxnSp macro="">
        <xdr:nvCxnSpPr>
          <xdr:cNvPr id="7277" name="Gerader Verbinder 7276">
            <a:extLst>
              <a:ext uri="{FF2B5EF4-FFF2-40B4-BE49-F238E27FC236}">
                <a16:creationId xmlns:a16="http://schemas.microsoft.com/office/drawing/2014/main" id="{5AE68985-19CB-C4A3-D330-DCBE6024F119}"/>
              </a:ext>
            </a:extLst>
          </xdr:cNvPr>
          <xdr:cNvCxnSpPr/>
        </xdr:nvCxnSpPr>
        <xdr:spPr>
          <a:xfrm>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78" name="Gerader Verbinder 7277">
            <a:extLst>
              <a:ext uri="{FF2B5EF4-FFF2-40B4-BE49-F238E27FC236}">
                <a16:creationId xmlns:a16="http://schemas.microsoft.com/office/drawing/2014/main" id="{7B72D502-A5B8-8BE0-D845-BE8849A9A1E7}"/>
              </a:ext>
            </a:extLst>
          </xdr:cNvPr>
          <xdr:cNvCxnSpPr/>
        </xdr:nvCxnSpPr>
        <xdr:spPr>
          <a:xfrm flipH="1">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7282" name="Cross_D53">
          <a:extLst>
            <a:ext uri="{FF2B5EF4-FFF2-40B4-BE49-F238E27FC236}">
              <a16:creationId xmlns:a16="http://schemas.microsoft.com/office/drawing/2014/main" id="{4761609F-1C62-4313-CD78-2999CC53A282}"/>
            </a:ext>
          </a:extLst>
        </xdr:cNvPr>
        <xdr:cNvGrpSpPr/>
      </xdr:nvGrpSpPr>
      <xdr:grpSpPr>
        <a:xfrm>
          <a:off x="2232660" y="7543800"/>
          <a:ext cx="594360" cy="167640"/>
          <a:chOff x="2232660" y="10058400"/>
          <a:chExt cx="594360" cy="167640"/>
        </a:xfrm>
      </xdr:grpSpPr>
      <xdr:cxnSp macro="">
        <xdr:nvCxnSpPr>
          <xdr:cNvPr id="7280" name="Gerader Verbinder 7279">
            <a:extLst>
              <a:ext uri="{FF2B5EF4-FFF2-40B4-BE49-F238E27FC236}">
                <a16:creationId xmlns:a16="http://schemas.microsoft.com/office/drawing/2014/main" id="{3278FB8D-5A17-FD73-700F-A44C7100A3D6}"/>
              </a:ext>
            </a:extLst>
          </xdr:cNvPr>
          <xdr:cNvCxnSpPr/>
        </xdr:nvCxnSpPr>
        <xdr:spPr>
          <a:xfrm>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81" name="Gerader Verbinder 7280">
            <a:extLst>
              <a:ext uri="{FF2B5EF4-FFF2-40B4-BE49-F238E27FC236}">
                <a16:creationId xmlns:a16="http://schemas.microsoft.com/office/drawing/2014/main" id="{7A5BF599-0C6A-1779-D5F4-E5A561752346}"/>
              </a:ext>
            </a:extLst>
          </xdr:cNvPr>
          <xdr:cNvCxnSpPr/>
        </xdr:nvCxnSpPr>
        <xdr:spPr>
          <a:xfrm flipH="1">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7285" name="Cross_D54">
          <a:extLst>
            <a:ext uri="{FF2B5EF4-FFF2-40B4-BE49-F238E27FC236}">
              <a16:creationId xmlns:a16="http://schemas.microsoft.com/office/drawing/2014/main" id="{B41C81FA-BCFB-C806-94CD-4F7298D53BFC}"/>
            </a:ext>
          </a:extLst>
        </xdr:cNvPr>
        <xdr:cNvGrpSpPr/>
      </xdr:nvGrpSpPr>
      <xdr:grpSpPr>
        <a:xfrm>
          <a:off x="2232660" y="7711440"/>
          <a:ext cx="594360" cy="0"/>
          <a:chOff x="2232660" y="10226040"/>
          <a:chExt cx="594360" cy="167640"/>
        </a:xfrm>
      </xdr:grpSpPr>
      <xdr:cxnSp macro="">
        <xdr:nvCxnSpPr>
          <xdr:cNvPr id="7283" name="Gerader Verbinder 7282">
            <a:extLst>
              <a:ext uri="{FF2B5EF4-FFF2-40B4-BE49-F238E27FC236}">
                <a16:creationId xmlns:a16="http://schemas.microsoft.com/office/drawing/2014/main" id="{A1AC9285-59C4-F6BD-F2D1-42DE7054AF9C}"/>
              </a:ext>
            </a:extLst>
          </xdr:cNvPr>
          <xdr:cNvCxnSpPr/>
        </xdr:nvCxnSpPr>
        <xdr:spPr>
          <a:xfrm>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84" name="Gerader Verbinder 7283">
            <a:extLst>
              <a:ext uri="{FF2B5EF4-FFF2-40B4-BE49-F238E27FC236}">
                <a16:creationId xmlns:a16="http://schemas.microsoft.com/office/drawing/2014/main" id="{5EAE8D05-699F-1D2F-DA88-E1FA6FB4E3C1}"/>
              </a:ext>
            </a:extLst>
          </xdr:cNvPr>
          <xdr:cNvCxnSpPr/>
        </xdr:nvCxnSpPr>
        <xdr:spPr>
          <a:xfrm flipH="1">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7288" name="Cross_D58">
          <a:extLst>
            <a:ext uri="{FF2B5EF4-FFF2-40B4-BE49-F238E27FC236}">
              <a16:creationId xmlns:a16="http://schemas.microsoft.com/office/drawing/2014/main" id="{C8EF7A37-F8E8-A1F1-EFCE-0CE5E12ED9FD}"/>
            </a:ext>
          </a:extLst>
        </xdr:cNvPr>
        <xdr:cNvGrpSpPr/>
      </xdr:nvGrpSpPr>
      <xdr:grpSpPr>
        <a:xfrm>
          <a:off x="2232660" y="8107680"/>
          <a:ext cx="594360" cy="228600"/>
          <a:chOff x="2232660" y="10957560"/>
          <a:chExt cx="594360" cy="228600"/>
        </a:xfrm>
      </xdr:grpSpPr>
      <xdr:cxnSp macro="">
        <xdr:nvCxnSpPr>
          <xdr:cNvPr id="7286" name="Gerader Verbinder 7285">
            <a:extLst>
              <a:ext uri="{FF2B5EF4-FFF2-40B4-BE49-F238E27FC236}">
                <a16:creationId xmlns:a16="http://schemas.microsoft.com/office/drawing/2014/main" id="{3A3FE2B4-6EEA-FAF8-4A17-0893D940A041}"/>
              </a:ext>
            </a:extLst>
          </xdr:cNvPr>
          <xdr:cNvCxnSpPr/>
        </xdr:nvCxnSpPr>
        <xdr:spPr>
          <a:xfrm>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87" name="Gerader Verbinder 7286">
            <a:extLst>
              <a:ext uri="{FF2B5EF4-FFF2-40B4-BE49-F238E27FC236}">
                <a16:creationId xmlns:a16="http://schemas.microsoft.com/office/drawing/2014/main" id="{7D2020C9-9FFA-8FA6-6709-B7A891F11B61}"/>
              </a:ext>
            </a:extLst>
          </xdr:cNvPr>
          <xdr:cNvCxnSpPr/>
        </xdr:nvCxnSpPr>
        <xdr:spPr>
          <a:xfrm flipH="1">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7291" name="Cross_D59">
          <a:extLst>
            <a:ext uri="{FF2B5EF4-FFF2-40B4-BE49-F238E27FC236}">
              <a16:creationId xmlns:a16="http://schemas.microsoft.com/office/drawing/2014/main" id="{703AC571-6518-2975-B3E4-77BC6FCD82FA}"/>
            </a:ext>
          </a:extLst>
        </xdr:cNvPr>
        <xdr:cNvGrpSpPr/>
      </xdr:nvGrpSpPr>
      <xdr:grpSpPr>
        <a:xfrm>
          <a:off x="2232660" y="8336280"/>
          <a:ext cx="594360" cy="167640"/>
          <a:chOff x="2232660" y="11186160"/>
          <a:chExt cx="594360" cy="167640"/>
        </a:xfrm>
      </xdr:grpSpPr>
      <xdr:cxnSp macro="">
        <xdr:nvCxnSpPr>
          <xdr:cNvPr id="7289" name="Gerader Verbinder 7288">
            <a:extLst>
              <a:ext uri="{FF2B5EF4-FFF2-40B4-BE49-F238E27FC236}">
                <a16:creationId xmlns:a16="http://schemas.microsoft.com/office/drawing/2014/main" id="{B465E393-53EF-7879-28D9-5979F34B4B67}"/>
              </a:ext>
            </a:extLst>
          </xdr:cNvPr>
          <xdr:cNvCxnSpPr/>
        </xdr:nvCxnSpPr>
        <xdr:spPr>
          <a:xfrm>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90" name="Gerader Verbinder 7289">
            <a:extLst>
              <a:ext uri="{FF2B5EF4-FFF2-40B4-BE49-F238E27FC236}">
                <a16:creationId xmlns:a16="http://schemas.microsoft.com/office/drawing/2014/main" id="{0ED0589D-A600-E09C-75B9-C61A2D4B6C8C}"/>
              </a:ext>
            </a:extLst>
          </xdr:cNvPr>
          <xdr:cNvCxnSpPr/>
        </xdr:nvCxnSpPr>
        <xdr:spPr>
          <a:xfrm flipH="1">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7294" name="Cross_D60">
          <a:extLst>
            <a:ext uri="{FF2B5EF4-FFF2-40B4-BE49-F238E27FC236}">
              <a16:creationId xmlns:a16="http://schemas.microsoft.com/office/drawing/2014/main" id="{14DB8C4A-422C-A708-E5E0-A05DE8440070}"/>
            </a:ext>
          </a:extLst>
        </xdr:cNvPr>
        <xdr:cNvGrpSpPr/>
      </xdr:nvGrpSpPr>
      <xdr:grpSpPr>
        <a:xfrm>
          <a:off x="2232660" y="8503920"/>
          <a:ext cx="594360" cy="0"/>
          <a:chOff x="2232660" y="11353800"/>
          <a:chExt cx="594360" cy="167640"/>
        </a:xfrm>
      </xdr:grpSpPr>
      <xdr:cxnSp macro="">
        <xdr:nvCxnSpPr>
          <xdr:cNvPr id="7292" name="Gerader Verbinder 7291">
            <a:extLst>
              <a:ext uri="{FF2B5EF4-FFF2-40B4-BE49-F238E27FC236}">
                <a16:creationId xmlns:a16="http://schemas.microsoft.com/office/drawing/2014/main" id="{69186DFE-F1CB-D705-19F9-F628957D5421}"/>
              </a:ext>
            </a:extLst>
          </xdr:cNvPr>
          <xdr:cNvCxnSpPr/>
        </xdr:nvCxnSpPr>
        <xdr:spPr>
          <a:xfrm>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93" name="Gerader Verbinder 7292">
            <a:extLst>
              <a:ext uri="{FF2B5EF4-FFF2-40B4-BE49-F238E27FC236}">
                <a16:creationId xmlns:a16="http://schemas.microsoft.com/office/drawing/2014/main" id="{610AB169-8473-96AC-0361-FE9834022083}"/>
              </a:ext>
            </a:extLst>
          </xdr:cNvPr>
          <xdr:cNvCxnSpPr/>
        </xdr:nvCxnSpPr>
        <xdr:spPr>
          <a:xfrm flipH="1">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7297" name="Cross_D61">
          <a:extLst>
            <a:ext uri="{FF2B5EF4-FFF2-40B4-BE49-F238E27FC236}">
              <a16:creationId xmlns:a16="http://schemas.microsoft.com/office/drawing/2014/main" id="{7DBAE39A-A3F6-D1D7-E4DC-D5EC457765AB}"/>
            </a:ext>
          </a:extLst>
        </xdr:cNvPr>
        <xdr:cNvGrpSpPr/>
      </xdr:nvGrpSpPr>
      <xdr:grpSpPr>
        <a:xfrm>
          <a:off x="2232660" y="8503920"/>
          <a:ext cx="594360" cy="228600"/>
          <a:chOff x="2232660" y="11521440"/>
          <a:chExt cx="594360" cy="228600"/>
        </a:xfrm>
      </xdr:grpSpPr>
      <xdr:cxnSp macro="">
        <xdr:nvCxnSpPr>
          <xdr:cNvPr id="7295" name="Gerader Verbinder 7294">
            <a:extLst>
              <a:ext uri="{FF2B5EF4-FFF2-40B4-BE49-F238E27FC236}">
                <a16:creationId xmlns:a16="http://schemas.microsoft.com/office/drawing/2014/main" id="{DB31997C-D32E-6BA8-D707-74DA8C607D94}"/>
              </a:ext>
            </a:extLst>
          </xdr:cNvPr>
          <xdr:cNvCxnSpPr/>
        </xdr:nvCxnSpPr>
        <xdr:spPr>
          <a:xfrm>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96" name="Gerader Verbinder 7295">
            <a:extLst>
              <a:ext uri="{FF2B5EF4-FFF2-40B4-BE49-F238E27FC236}">
                <a16:creationId xmlns:a16="http://schemas.microsoft.com/office/drawing/2014/main" id="{0E597AB9-68C2-7DB8-435A-6D712EA81C6B}"/>
              </a:ext>
            </a:extLst>
          </xdr:cNvPr>
          <xdr:cNvCxnSpPr/>
        </xdr:nvCxnSpPr>
        <xdr:spPr>
          <a:xfrm flipH="1">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7300" name="Cross_D62">
          <a:extLst>
            <a:ext uri="{FF2B5EF4-FFF2-40B4-BE49-F238E27FC236}">
              <a16:creationId xmlns:a16="http://schemas.microsoft.com/office/drawing/2014/main" id="{3E3FE900-CA5D-5750-21BE-DBEAD9482A62}"/>
            </a:ext>
          </a:extLst>
        </xdr:cNvPr>
        <xdr:cNvGrpSpPr/>
      </xdr:nvGrpSpPr>
      <xdr:grpSpPr>
        <a:xfrm>
          <a:off x="2232660" y="8732520"/>
          <a:ext cx="594360" cy="167640"/>
          <a:chOff x="2232660" y="11750040"/>
          <a:chExt cx="594360" cy="167640"/>
        </a:xfrm>
      </xdr:grpSpPr>
      <xdr:cxnSp macro="">
        <xdr:nvCxnSpPr>
          <xdr:cNvPr id="7298" name="Gerader Verbinder 7297">
            <a:extLst>
              <a:ext uri="{FF2B5EF4-FFF2-40B4-BE49-F238E27FC236}">
                <a16:creationId xmlns:a16="http://schemas.microsoft.com/office/drawing/2014/main" id="{483E7BA7-28B4-44E4-8CEC-8401F6ADE693}"/>
              </a:ext>
            </a:extLst>
          </xdr:cNvPr>
          <xdr:cNvCxnSpPr/>
        </xdr:nvCxnSpPr>
        <xdr:spPr>
          <a:xfrm>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99" name="Gerader Verbinder 7298">
            <a:extLst>
              <a:ext uri="{FF2B5EF4-FFF2-40B4-BE49-F238E27FC236}">
                <a16:creationId xmlns:a16="http://schemas.microsoft.com/office/drawing/2014/main" id="{99DC2A9E-49A9-BA03-AA33-543C4E8FB547}"/>
              </a:ext>
            </a:extLst>
          </xdr:cNvPr>
          <xdr:cNvCxnSpPr/>
        </xdr:nvCxnSpPr>
        <xdr:spPr>
          <a:xfrm flipH="1">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7303" name="Cross_D63">
          <a:extLst>
            <a:ext uri="{FF2B5EF4-FFF2-40B4-BE49-F238E27FC236}">
              <a16:creationId xmlns:a16="http://schemas.microsoft.com/office/drawing/2014/main" id="{6147531F-E3AA-7E7A-C59C-4218079200BA}"/>
            </a:ext>
          </a:extLst>
        </xdr:cNvPr>
        <xdr:cNvGrpSpPr/>
      </xdr:nvGrpSpPr>
      <xdr:grpSpPr>
        <a:xfrm>
          <a:off x="2232660" y="8900160"/>
          <a:ext cx="594360" cy="0"/>
          <a:chOff x="2232660" y="11917680"/>
          <a:chExt cx="594360" cy="167640"/>
        </a:xfrm>
      </xdr:grpSpPr>
      <xdr:cxnSp macro="">
        <xdr:nvCxnSpPr>
          <xdr:cNvPr id="7301" name="Gerader Verbinder 7300">
            <a:extLst>
              <a:ext uri="{FF2B5EF4-FFF2-40B4-BE49-F238E27FC236}">
                <a16:creationId xmlns:a16="http://schemas.microsoft.com/office/drawing/2014/main" id="{56936096-46F0-B99A-62CD-663C908C7F15}"/>
              </a:ext>
            </a:extLst>
          </xdr:cNvPr>
          <xdr:cNvCxnSpPr/>
        </xdr:nvCxnSpPr>
        <xdr:spPr>
          <a:xfrm>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02" name="Gerader Verbinder 7301">
            <a:extLst>
              <a:ext uri="{FF2B5EF4-FFF2-40B4-BE49-F238E27FC236}">
                <a16:creationId xmlns:a16="http://schemas.microsoft.com/office/drawing/2014/main" id="{391E26D0-BDAC-2B9A-46F0-A6EECC327617}"/>
              </a:ext>
            </a:extLst>
          </xdr:cNvPr>
          <xdr:cNvCxnSpPr/>
        </xdr:nvCxnSpPr>
        <xdr:spPr>
          <a:xfrm flipH="1">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7306" name="Cross_E10">
          <a:extLst>
            <a:ext uri="{FF2B5EF4-FFF2-40B4-BE49-F238E27FC236}">
              <a16:creationId xmlns:a16="http://schemas.microsoft.com/office/drawing/2014/main" id="{B2055685-528C-2DE2-831A-3A2FD1F1FEC3}"/>
            </a:ext>
          </a:extLst>
        </xdr:cNvPr>
        <xdr:cNvGrpSpPr/>
      </xdr:nvGrpSpPr>
      <xdr:grpSpPr>
        <a:xfrm>
          <a:off x="2827020" y="1767840"/>
          <a:ext cx="594360" cy="228600"/>
          <a:chOff x="2827020" y="1935480"/>
          <a:chExt cx="594360" cy="228600"/>
        </a:xfrm>
      </xdr:grpSpPr>
      <xdr:cxnSp macro="">
        <xdr:nvCxnSpPr>
          <xdr:cNvPr id="7304" name="Gerader Verbinder 7303">
            <a:extLst>
              <a:ext uri="{FF2B5EF4-FFF2-40B4-BE49-F238E27FC236}">
                <a16:creationId xmlns:a16="http://schemas.microsoft.com/office/drawing/2014/main" id="{3B3672A2-3A47-5FAA-CE29-9DB10697A4DE}"/>
              </a:ext>
            </a:extLst>
          </xdr:cNvPr>
          <xdr:cNvCxnSpPr/>
        </xdr:nvCxnSpPr>
        <xdr:spPr>
          <a:xfrm>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05" name="Gerader Verbinder 7304">
            <a:extLst>
              <a:ext uri="{FF2B5EF4-FFF2-40B4-BE49-F238E27FC236}">
                <a16:creationId xmlns:a16="http://schemas.microsoft.com/office/drawing/2014/main" id="{AA0EA691-C531-F64C-A4FC-A82A12BD966C}"/>
              </a:ext>
            </a:extLst>
          </xdr:cNvPr>
          <xdr:cNvCxnSpPr/>
        </xdr:nvCxnSpPr>
        <xdr:spPr>
          <a:xfrm flipH="1">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7309" name="Cross_E11">
          <a:extLst>
            <a:ext uri="{FF2B5EF4-FFF2-40B4-BE49-F238E27FC236}">
              <a16:creationId xmlns:a16="http://schemas.microsoft.com/office/drawing/2014/main" id="{5AD613F1-65F4-A1A7-6E16-D0FD6FA009FB}"/>
            </a:ext>
          </a:extLst>
        </xdr:cNvPr>
        <xdr:cNvGrpSpPr/>
      </xdr:nvGrpSpPr>
      <xdr:grpSpPr>
        <a:xfrm>
          <a:off x="2827020" y="1996440"/>
          <a:ext cx="594360" cy="167640"/>
          <a:chOff x="2827020" y="2164080"/>
          <a:chExt cx="594360" cy="167640"/>
        </a:xfrm>
      </xdr:grpSpPr>
      <xdr:cxnSp macro="">
        <xdr:nvCxnSpPr>
          <xdr:cNvPr id="7307" name="Gerader Verbinder 7306">
            <a:extLst>
              <a:ext uri="{FF2B5EF4-FFF2-40B4-BE49-F238E27FC236}">
                <a16:creationId xmlns:a16="http://schemas.microsoft.com/office/drawing/2014/main" id="{E6E8B200-FAFE-FFAC-A13E-D772F4361F95}"/>
              </a:ext>
            </a:extLst>
          </xdr:cNvPr>
          <xdr:cNvCxnSpPr/>
        </xdr:nvCxnSpPr>
        <xdr:spPr>
          <a:xfrm>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08" name="Gerader Verbinder 7307">
            <a:extLst>
              <a:ext uri="{FF2B5EF4-FFF2-40B4-BE49-F238E27FC236}">
                <a16:creationId xmlns:a16="http://schemas.microsoft.com/office/drawing/2014/main" id="{4CCC2194-7E8D-FFEC-C24E-89F1CC49281E}"/>
              </a:ext>
            </a:extLst>
          </xdr:cNvPr>
          <xdr:cNvCxnSpPr/>
        </xdr:nvCxnSpPr>
        <xdr:spPr>
          <a:xfrm flipH="1">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7312" name="Cross_E12">
          <a:extLst>
            <a:ext uri="{FF2B5EF4-FFF2-40B4-BE49-F238E27FC236}">
              <a16:creationId xmlns:a16="http://schemas.microsoft.com/office/drawing/2014/main" id="{08D9F740-000B-ECF6-0E01-AAD3DA7C9D3D}"/>
            </a:ext>
          </a:extLst>
        </xdr:cNvPr>
        <xdr:cNvGrpSpPr/>
      </xdr:nvGrpSpPr>
      <xdr:grpSpPr>
        <a:xfrm>
          <a:off x="2827020" y="2164080"/>
          <a:ext cx="594360" cy="0"/>
          <a:chOff x="2827020" y="2331720"/>
          <a:chExt cx="594360" cy="167640"/>
        </a:xfrm>
      </xdr:grpSpPr>
      <xdr:cxnSp macro="">
        <xdr:nvCxnSpPr>
          <xdr:cNvPr id="7310" name="Gerader Verbinder 7309">
            <a:extLst>
              <a:ext uri="{FF2B5EF4-FFF2-40B4-BE49-F238E27FC236}">
                <a16:creationId xmlns:a16="http://schemas.microsoft.com/office/drawing/2014/main" id="{817D0699-BA72-A75D-FD5F-75E932A63060}"/>
              </a:ext>
            </a:extLst>
          </xdr:cNvPr>
          <xdr:cNvCxnSpPr/>
        </xdr:nvCxnSpPr>
        <xdr:spPr>
          <a:xfrm>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11" name="Gerader Verbinder 7310">
            <a:extLst>
              <a:ext uri="{FF2B5EF4-FFF2-40B4-BE49-F238E27FC236}">
                <a16:creationId xmlns:a16="http://schemas.microsoft.com/office/drawing/2014/main" id="{8D0E9FF4-0E4C-CEEA-2959-AD38A59C68FB}"/>
              </a:ext>
            </a:extLst>
          </xdr:cNvPr>
          <xdr:cNvCxnSpPr/>
        </xdr:nvCxnSpPr>
        <xdr:spPr>
          <a:xfrm flipH="1">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7315" name="Cross_E13">
          <a:extLst>
            <a:ext uri="{FF2B5EF4-FFF2-40B4-BE49-F238E27FC236}">
              <a16:creationId xmlns:a16="http://schemas.microsoft.com/office/drawing/2014/main" id="{7FD047AB-0E68-5ACB-7FC6-F21971858D8E}"/>
            </a:ext>
          </a:extLst>
        </xdr:cNvPr>
        <xdr:cNvGrpSpPr/>
      </xdr:nvGrpSpPr>
      <xdr:grpSpPr>
        <a:xfrm>
          <a:off x="2827020" y="2164080"/>
          <a:ext cx="594360" cy="228600"/>
          <a:chOff x="2827020" y="2499360"/>
          <a:chExt cx="594360" cy="228600"/>
        </a:xfrm>
      </xdr:grpSpPr>
      <xdr:cxnSp macro="">
        <xdr:nvCxnSpPr>
          <xdr:cNvPr id="7313" name="Gerader Verbinder 7312">
            <a:extLst>
              <a:ext uri="{FF2B5EF4-FFF2-40B4-BE49-F238E27FC236}">
                <a16:creationId xmlns:a16="http://schemas.microsoft.com/office/drawing/2014/main" id="{B7DFCF8F-CC1D-B59D-9B15-5879D3B4A337}"/>
              </a:ext>
            </a:extLst>
          </xdr:cNvPr>
          <xdr:cNvCxnSpPr/>
        </xdr:nvCxnSpPr>
        <xdr:spPr>
          <a:xfrm>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14" name="Gerader Verbinder 7313">
            <a:extLst>
              <a:ext uri="{FF2B5EF4-FFF2-40B4-BE49-F238E27FC236}">
                <a16:creationId xmlns:a16="http://schemas.microsoft.com/office/drawing/2014/main" id="{B2CEEF5D-2410-70FB-D6F2-4D422DB1A03B}"/>
              </a:ext>
            </a:extLst>
          </xdr:cNvPr>
          <xdr:cNvCxnSpPr/>
        </xdr:nvCxnSpPr>
        <xdr:spPr>
          <a:xfrm flipH="1">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7318" name="Cross_E14">
          <a:extLst>
            <a:ext uri="{FF2B5EF4-FFF2-40B4-BE49-F238E27FC236}">
              <a16:creationId xmlns:a16="http://schemas.microsoft.com/office/drawing/2014/main" id="{521811DA-3543-0174-1DE1-1D84D27634D2}"/>
            </a:ext>
          </a:extLst>
        </xdr:cNvPr>
        <xdr:cNvGrpSpPr/>
      </xdr:nvGrpSpPr>
      <xdr:grpSpPr>
        <a:xfrm>
          <a:off x="2827020" y="2392680"/>
          <a:ext cx="594360" cy="167640"/>
          <a:chOff x="2827020" y="2727960"/>
          <a:chExt cx="594360" cy="167640"/>
        </a:xfrm>
      </xdr:grpSpPr>
      <xdr:cxnSp macro="">
        <xdr:nvCxnSpPr>
          <xdr:cNvPr id="7316" name="Gerader Verbinder 7315">
            <a:extLst>
              <a:ext uri="{FF2B5EF4-FFF2-40B4-BE49-F238E27FC236}">
                <a16:creationId xmlns:a16="http://schemas.microsoft.com/office/drawing/2014/main" id="{8600A0C9-5B0D-445B-EFA4-BB352AC14B20}"/>
              </a:ext>
            </a:extLst>
          </xdr:cNvPr>
          <xdr:cNvCxnSpPr/>
        </xdr:nvCxnSpPr>
        <xdr:spPr>
          <a:xfrm>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17" name="Gerader Verbinder 7316">
            <a:extLst>
              <a:ext uri="{FF2B5EF4-FFF2-40B4-BE49-F238E27FC236}">
                <a16:creationId xmlns:a16="http://schemas.microsoft.com/office/drawing/2014/main" id="{64FD0C9F-2371-0B75-FA78-1160ABA0E22C}"/>
              </a:ext>
            </a:extLst>
          </xdr:cNvPr>
          <xdr:cNvCxnSpPr/>
        </xdr:nvCxnSpPr>
        <xdr:spPr>
          <a:xfrm flipH="1">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7321" name="Cross_E15">
          <a:extLst>
            <a:ext uri="{FF2B5EF4-FFF2-40B4-BE49-F238E27FC236}">
              <a16:creationId xmlns:a16="http://schemas.microsoft.com/office/drawing/2014/main" id="{5BB99304-629C-51E2-8213-96201E70C93E}"/>
            </a:ext>
          </a:extLst>
        </xdr:cNvPr>
        <xdr:cNvGrpSpPr/>
      </xdr:nvGrpSpPr>
      <xdr:grpSpPr>
        <a:xfrm>
          <a:off x="2827020" y="2560320"/>
          <a:ext cx="594360" cy="0"/>
          <a:chOff x="2827020" y="2895600"/>
          <a:chExt cx="594360" cy="167640"/>
        </a:xfrm>
      </xdr:grpSpPr>
      <xdr:cxnSp macro="">
        <xdr:nvCxnSpPr>
          <xdr:cNvPr id="7319" name="Gerader Verbinder 7318">
            <a:extLst>
              <a:ext uri="{FF2B5EF4-FFF2-40B4-BE49-F238E27FC236}">
                <a16:creationId xmlns:a16="http://schemas.microsoft.com/office/drawing/2014/main" id="{673E0DA7-4BED-F91A-7552-30249CCBB670}"/>
              </a:ext>
            </a:extLst>
          </xdr:cNvPr>
          <xdr:cNvCxnSpPr/>
        </xdr:nvCxnSpPr>
        <xdr:spPr>
          <a:xfrm>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20" name="Gerader Verbinder 7319">
            <a:extLst>
              <a:ext uri="{FF2B5EF4-FFF2-40B4-BE49-F238E27FC236}">
                <a16:creationId xmlns:a16="http://schemas.microsoft.com/office/drawing/2014/main" id="{C4F3A8AC-E86C-C6FC-28DC-F866806D4938}"/>
              </a:ext>
            </a:extLst>
          </xdr:cNvPr>
          <xdr:cNvCxnSpPr/>
        </xdr:nvCxnSpPr>
        <xdr:spPr>
          <a:xfrm flipH="1">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7324" name="Cross_E19">
          <a:extLst>
            <a:ext uri="{FF2B5EF4-FFF2-40B4-BE49-F238E27FC236}">
              <a16:creationId xmlns:a16="http://schemas.microsoft.com/office/drawing/2014/main" id="{AD830AB9-038D-1967-D1F9-D574E0CE61A0}"/>
            </a:ext>
          </a:extLst>
        </xdr:cNvPr>
        <xdr:cNvGrpSpPr/>
      </xdr:nvGrpSpPr>
      <xdr:grpSpPr>
        <a:xfrm>
          <a:off x="2827020" y="2956560"/>
          <a:ext cx="594360" cy="228600"/>
          <a:chOff x="2827020" y="3627120"/>
          <a:chExt cx="594360" cy="228600"/>
        </a:xfrm>
      </xdr:grpSpPr>
      <xdr:cxnSp macro="">
        <xdr:nvCxnSpPr>
          <xdr:cNvPr id="7322" name="Gerader Verbinder 7321">
            <a:extLst>
              <a:ext uri="{FF2B5EF4-FFF2-40B4-BE49-F238E27FC236}">
                <a16:creationId xmlns:a16="http://schemas.microsoft.com/office/drawing/2014/main" id="{794C7996-FF11-EBD5-BD7D-3000DA07BF15}"/>
              </a:ext>
            </a:extLst>
          </xdr:cNvPr>
          <xdr:cNvCxnSpPr/>
        </xdr:nvCxnSpPr>
        <xdr:spPr>
          <a:xfrm>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23" name="Gerader Verbinder 7322">
            <a:extLst>
              <a:ext uri="{FF2B5EF4-FFF2-40B4-BE49-F238E27FC236}">
                <a16:creationId xmlns:a16="http://schemas.microsoft.com/office/drawing/2014/main" id="{CA69C1A3-CABE-E73F-B0C3-457C56E2121A}"/>
              </a:ext>
            </a:extLst>
          </xdr:cNvPr>
          <xdr:cNvCxnSpPr/>
        </xdr:nvCxnSpPr>
        <xdr:spPr>
          <a:xfrm flipH="1">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7327" name="Cross_E20">
          <a:extLst>
            <a:ext uri="{FF2B5EF4-FFF2-40B4-BE49-F238E27FC236}">
              <a16:creationId xmlns:a16="http://schemas.microsoft.com/office/drawing/2014/main" id="{B0207FE8-404C-697B-3AA8-6D06E06FCA92}"/>
            </a:ext>
          </a:extLst>
        </xdr:cNvPr>
        <xdr:cNvGrpSpPr/>
      </xdr:nvGrpSpPr>
      <xdr:grpSpPr>
        <a:xfrm>
          <a:off x="2827020" y="3185160"/>
          <a:ext cx="594360" cy="167640"/>
          <a:chOff x="2827020" y="3855720"/>
          <a:chExt cx="594360" cy="167640"/>
        </a:xfrm>
      </xdr:grpSpPr>
      <xdr:cxnSp macro="">
        <xdr:nvCxnSpPr>
          <xdr:cNvPr id="7325" name="Gerader Verbinder 7324">
            <a:extLst>
              <a:ext uri="{FF2B5EF4-FFF2-40B4-BE49-F238E27FC236}">
                <a16:creationId xmlns:a16="http://schemas.microsoft.com/office/drawing/2014/main" id="{67573732-49C7-9F45-27DF-32D55924656E}"/>
              </a:ext>
            </a:extLst>
          </xdr:cNvPr>
          <xdr:cNvCxnSpPr/>
        </xdr:nvCxnSpPr>
        <xdr:spPr>
          <a:xfrm>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26" name="Gerader Verbinder 7325">
            <a:extLst>
              <a:ext uri="{FF2B5EF4-FFF2-40B4-BE49-F238E27FC236}">
                <a16:creationId xmlns:a16="http://schemas.microsoft.com/office/drawing/2014/main" id="{C3A78D15-F708-4DBB-C976-FCBC858BEFF8}"/>
              </a:ext>
            </a:extLst>
          </xdr:cNvPr>
          <xdr:cNvCxnSpPr/>
        </xdr:nvCxnSpPr>
        <xdr:spPr>
          <a:xfrm flipH="1">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7330" name="Cross_E21">
          <a:extLst>
            <a:ext uri="{FF2B5EF4-FFF2-40B4-BE49-F238E27FC236}">
              <a16:creationId xmlns:a16="http://schemas.microsoft.com/office/drawing/2014/main" id="{D93E909E-3464-30B2-DA7D-040608E27C83}"/>
            </a:ext>
          </a:extLst>
        </xdr:cNvPr>
        <xdr:cNvGrpSpPr/>
      </xdr:nvGrpSpPr>
      <xdr:grpSpPr>
        <a:xfrm>
          <a:off x="2827020" y="3352800"/>
          <a:ext cx="594360" cy="0"/>
          <a:chOff x="2827020" y="4023360"/>
          <a:chExt cx="594360" cy="167640"/>
        </a:xfrm>
      </xdr:grpSpPr>
      <xdr:cxnSp macro="">
        <xdr:nvCxnSpPr>
          <xdr:cNvPr id="7328" name="Gerader Verbinder 7327">
            <a:extLst>
              <a:ext uri="{FF2B5EF4-FFF2-40B4-BE49-F238E27FC236}">
                <a16:creationId xmlns:a16="http://schemas.microsoft.com/office/drawing/2014/main" id="{404B9A2B-A04D-8403-2438-80396DCE885C}"/>
              </a:ext>
            </a:extLst>
          </xdr:cNvPr>
          <xdr:cNvCxnSpPr/>
        </xdr:nvCxnSpPr>
        <xdr:spPr>
          <a:xfrm>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29" name="Gerader Verbinder 7328">
            <a:extLst>
              <a:ext uri="{FF2B5EF4-FFF2-40B4-BE49-F238E27FC236}">
                <a16:creationId xmlns:a16="http://schemas.microsoft.com/office/drawing/2014/main" id="{9E6E836E-F37D-1321-A578-097351A85754}"/>
              </a:ext>
            </a:extLst>
          </xdr:cNvPr>
          <xdr:cNvCxnSpPr/>
        </xdr:nvCxnSpPr>
        <xdr:spPr>
          <a:xfrm flipH="1">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7333" name="Cross_E28">
          <a:extLst>
            <a:ext uri="{FF2B5EF4-FFF2-40B4-BE49-F238E27FC236}">
              <a16:creationId xmlns:a16="http://schemas.microsoft.com/office/drawing/2014/main" id="{5455DC96-0D61-92FA-7F35-9C9BBD1D7E50}"/>
            </a:ext>
          </a:extLst>
        </xdr:cNvPr>
        <xdr:cNvGrpSpPr/>
      </xdr:nvGrpSpPr>
      <xdr:grpSpPr>
        <a:xfrm>
          <a:off x="2827020" y="4145280"/>
          <a:ext cx="594360" cy="228600"/>
          <a:chOff x="2827020" y="5318760"/>
          <a:chExt cx="594360" cy="228600"/>
        </a:xfrm>
      </xdr:grpSpPr>
      <xdr:cxnSp macro="">
        <xdr:nvCxnSpPr>
          <xdr:cNvPr id="7331" name="Gerader Verbinder 7330">
            <a:extLst>
              <a:ext uri="{FF2B5EF4-FFF2-40B4-BE49-F238E27FC236}">
                <a16:creationId xmlns:a16="http://schemas.microsoft.com/office/drawing/2014/main" id="{5C0E8521-4460-6400-4BFC-FD19957FE58B}"/>
              </a:ext>
            </a:extLst>
          </xdr:cNvPr>
          <xdr:cNvCxnSpPr/>
        </xdr:nvCxnSpPr>
        <xdr:spPr>
          <a:xfrm>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32" name="Gerader Verbinder 7331">
            <a:extLst>
              <a:ext uri="{FF2B5EF4-FFF2-40B4-BE49-F238E27FC236}">
                <a16:creationId xmlns:a16="http://schemas.microsoft.com/office/drawing/2014/main" id="{5264C2DC-0DCD-7894-2A5F-0CD747C0C18E}"/>
              </a:ext>
            </a:extLst>
          </xdr:cNvPr>
          <xdr:cNvCxnSpPr/>
        </xdr:nvCxnSpPr>
        <xdr:spPr>
          <a:xfrm flipH="1">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7336" name="Cross_E29">
          <a:extLst>
            <a:ext uri="{FF2B5EF4-FFF2-40B4-BE49-F238E27FC236}">
              <a16:creationId xmlns:a16="http://schemas.microsoft.com/office/drawing/2014/main" id="{6BB4D908-C8AB-661E-D373-C704EDB28279}"/>
            </a:ext>
          </a:extLst>
        </xdr:cNvPr>
        <xdr:cNvGrpSpPr/>
      </xdr:nvGrpSpPr>
      <xdr:grpSpPr>
        <a:xfrm>
          <a:off x="2827020" y="4373880"/>
          <a:ext cx="594360" cy="167640"/>
          <a:chOff x="2827020" y="5547360"/>
          <a:chExt cx="594360" cy="167640"/>
        </a:xfrm>
      </xdr:grpSpPr>
      <xdr:cxnSp macro="">
        <xdr:nvCxnSpPr>
          <xdr:cNvPr id="7334" name="Gerader Verbinder 7333">
            <a:extLst>
              <a:ext uri="{FF2B5EF4-FFF2-40B4-BE49-F238E27FC236}">
                <a16:creationId xmlns:a16="http://schemas.microsoft.com/office/drawing/2014/main" id="{AE11694A-2112-E4C5-6E7E-0736EBA3C08D}"/>
              </a:ext>
            </a:extLst>
          </xdr:cNvPr>
          <xdr:cNvCxnSpPr/>
        </xdr:nvCxnSpPr>
        <xdr:spPr>
          <a:xfrm>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35" name="Gerader Verbinder 7334">
            <a:extLst>
              <a:ext uri="{FF2B5EF4-FFF2-40B4-BE49-F238E27FC236}">
                <a16:creationId xmlns:a16="http://schemas.microsoft.com/office/drawing/2014/main" id="{446EE2AC-FA96-42FC-BA89-C2E7DD31751A}"/>
              </a:ext>
            </a:extLst>
          </xdr:cNvPr>
          <xdr:cNvCxnSpPr/>
        </xdr:nvCxnSpPr>
        <xdr:spPr>
          <a:xfrm flipH="1">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7339" name="Cross_E30">
          <a:extLst>
            <a:ext uri="{FF2B5EF4-FFF2-40B4-BE49-F238E27FC236}">
              <a16:creationId xmlns:a16="http://schemas.microsoft.com/office/drawing/2014/main" id="{4ABAC41C-0AA0-85FA-22A3-B4C5D85233D8}"/>
            </a:ext>
          </a:extLst>
        </xdr:cNvPr>
        <xdr:cNvGrpSpPr/>
      </xdr:nvGrpSpPr>
      <xdr:grpSpPr>
        <a:xfrm>
          <a:off x="2827020" y="4541520"/>
          <a:ext cx="594360" cy="0"/>
          <a:chOff x="2827020" y="5715000"/>
          <a:chExt cx="594360" cy="167640"/>
        </a:xfrm>
      </xdr:grpSpPr>
      <xdr:cxnSp macro="">
        <xdr:nvCxnSpPr>
          <xdr:cNvPr id="7337" name="Gerader Verbinder 7336">
            <a:extLst>
              <a:ext uri="{FF2B5EF4-FFF2-40B4-BE49-F238E27FC236}">
                <a16:creationId xmlns:a16="http://schemas.microsoft.com/office/drawing/2014/main" id="{5853AFD5-4961-8079-7860-7177AF21A030}"/>
              </a:ext>
            </a:extLst>
          </xdr:cNvPr>
          <xdr:cNvCxnSpPr/>
        </xdr:nvCxnSpPr>
        <xdr:spPr>
          <a:xfrm>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38" name="Gerader Verbinder 7337">
            <a:extLst>
              <a:ext uri="{FF2B5EF4-FFF2-40B4-BE49-F238E27FC236}">
                <a16:creationId xmlns:a16="http://schemas.microsoft.com/office/drawing/2014/main" id="{1F3E970E-0D1C-CE20-5EAC-7099675EA7F0}"/>
              </a:ext>
            </a:extLst>
          </xdr:cNvPr>
          <xdr:cNvCxnSpPr/>
        </xdr:nvCxnSpPr>
        <xdr:spPr>
          <a:xfrm flipH="1">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7342" name="Cross_E37">
          <a:extLst>
            <a:ext uri="{FF2B5EF4-FFF2-40B4-BE49-F238E27FC236}">
              <a16:creationId xmlns:a16="http://schemas.microsoft.com/office/drawing/2014/main" id="{0EF9A546-F345-910E-9EE7-4B6A4FABD669}"/>
            </a:ext>
          </a:extLst>
        </xdr:cNvPr>
        <xdr:cNvGrpSpPr/>
      </xdr:nvGrpSpPr>
      <xdr:grpSpPr>
        <a:xfrm>
          <a:off x="2827020" y="5334000"/>
          <a:ext cx="594360" cy="228600"/>
          <a:chOff x="2827020" y="7010400"/>
          <a:chExt cx="594360" cy="228600"/>
        </a:xfrm>
      </xdr:grpSpPr>
      <xdr:cxnSp macro="">
        <xdr:nvCxnSpPr>
          <xdr:cNvPr id="7340" name="Gerader Verbinder 7339">
            <a:extLst>
              <a:ext uri="{FF2B5EF4-FFF2-40B4-BE49-F238E27FC236}">
                <a16:creationId xmlns:a16="http://schemas.microsoft.com/office/drawing/2014/main" id="{BB789D74-513F-0526-8D95-39E7166FEF9C}"/>
              </a:ext>
            </a:extLst>
          </xdr:cNvPr>
          <xdr:cNvCxnSpPr/>
        </xdr:nvCxnSpPr>
        <xdr:spPr>
          <a:xfrm>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41" name="Gerader Verbinder 7340">
            <a:extLst>
              <a:ext uri="{FF2B5EF4-FFF2-40B4-BE49-F238E27FC236}">
                <a16:creationId xmlns:a16="http://schemas.microsoft.com/office/drawing/2014/main" id="{104A87FB-25E5-6F61-154B-28596A8454F3}"/>
              </a:ext>
            </a:extLst>
          </xdr:cNvPr>
          <xdr:cNvCxnSpPr/>
        </xdr:nvCxnSpPr>
        <xdr:spPr>
          <a:xfrm flipH="1">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7345" name="Cross_E38">
          <a:extLst>
            <a:ext uri="{FF2B5EF4-FFF2-40B4-BE49-F238E27FC236}">
              <a16:creationId xmlns:a16="http://schemas.microsoft.com/office/drawing/2014/main" id="{24FE5F4D-247C-626E-622D-496E84F7E961}"/>
            </a:ext>
          </a:extLst>
        </xdr:cNvPr>
        <xdr:cNvGrpSpPr/>
      </xdr:nvGrpSpPr>
      <xdr:grpSpPr>
        <a:xfrm>
          <a:off x="2827020" y="5562600"/>
          <a:ext cx="594360" cy="167640"/>
          <a:chOff x="2827020" y="7239000"/>
          <a:chExt cx="594360" cy="167640"/>
        </a:xfrm>
      </xdr:grpSpPr>
      <xdr:cxnSp macro="">
        <xdr:nvCxnSpPr>
          <xdr:cNvPr id="7343" name="Gerader Verbinder 7342">
            <a:extLst>
              <a:ext uri="{FF2B5EF4-FFF2-40B4-BE49-F238E27FC236}">
                <a16:creationId xmlns:a16="http://schemas.microsoft.com/office/drawing/2014/main" id="{2F609531-A1E3-9712-B487-5D38269E91E8}"/>
              </a:ext>
            </a:extLst>
          </xdr:cNvPr>
          <xdr:cNvCxnSpPr/>
        </xdr:nvCxnSpPr>
        <xdr:spPr>
          <a:xfrm>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44" name="Gerader Verbinder 7343">
            <a:extLst>
              <a:ext uri="{FF2B5EF4-FFF2-40B4-BE49-F238E27FC236}">
                <a16:creationId xmlns:a16="http://schemas.microsoft.com/office/drawing/2014/main" id="{72DB2615-C8CB-5057-E379-853C9CB7D309}"/>
              </a:ext>
            </a:extLst>
          </xdr:cNvPr>
          <xdr:cNvCxnSpPr/>
        </xdr:nvCxnSpPr>
        <xdr:spPr>
          <a:xfrm flipH="1">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7348" name="Cross_E39">
          <a:extLst>
            <a:ext uri="{FF2B5EF4-FFF2-40B4-BE49-F238E27FC236}">
              <a16:creationId xmlns:a16="http://schemas.microsoft.com/office/drawing/2014/main" id="{D742495E-BA67-C7AB-BEA9-ED0A26A4DA17}"/>
            </a:ext>
          </a:extLst>
        </xdr:cNvPr>
        <xdr:cNvGrpSpPr/>
      </xdr:nvGrpSpPr>
      <xdr:grpSpPr>
        <a:xfrm>
          <a:off x="2827020" y="5730240"/>
          <a:ext cx="594360" cy="0"/>
          <a:chOff x="2827020" y="7406640"/>
          <a:chExt cx="594360" cy="167640"/>
        </a:xfrm>
      </xdr:grpSpPr>
      <xdr:cxnSp macro="">
        <xdr:nvCxnSpPr>
          <xdr:cNvPr id="7346" name="Gerader Verbinder 7345">
            <a:extLst>
              <a:ext uri="{FF2B5EF4-FFF2-40B4-BE49-F238E27FC236}">
                <a16:creationId xmlns:a16="http://schemas.microsoft.com/office/drawing/2014/main" id="{8CD31855-F2FF-8A78-9576-CE3566D95DAC}"/>
              </a:ext>
            </a:extLst>
          </xdr:cNvPr>
          <xdr:cNvCxnSpPr/>
        </xdr:nvCxnSpPr>
        <xdr:spPr>
          <a:xfrm>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47" name="Gerader Verbinder 7346">
            <a:extLst>
              <a:ext uri="{FF2B5EF4-FFF2-40B4-BE49-F238E27FC236}">
                <a16:creationId xmlns:a16="http://schemas.microsoft.com/office/drawing/2014/main" id="{277C46B1-88C6-9C9D-1146-CADB2DB7A674}"/>
              </a:ext>
            </a:extLst>
          </xdr:cNvPr>
          <xdr:cNvCxnSpPr/>
        </xdr:nvCxnSpPr>
        <xdr:spPr>
          <a:xfrm flipH="1">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7351" name="Cross_E40">
          <a:extLst>
            <a:ext uri="{FF2B5EF4-FFF2-40B4-BE49-F238E27FC236}">
              <a16:creationId xmlns:a16="http://schemas.microsoft.com/office/drawing/2014/main" id="{F3DBA6CA-C397-4552-33EE-197B9CA7F52C}"/>
            </a:ext>
          </a:extLst>
        </xdr:cNvPr>
        <xdr:cNvGrpSpPr/>
      </xdr:nvGrpSpPr>
      <xdr:grpSpPr>
        <a:xfrm>
          <a:off x="2827020" y="5730240"/>
          <a:ext cx="594360" cy="228600"/>
          <a:chOff x="2827020" y="7574280"/>
          <a:chExt cx="594360" cy="228600"/>
        </a:xfrm>
      </xdr:grpSpPr>
      <xdr:cxnSp macro="">
        <xdr:nvCxnSpPr>
          <xdr:cNvPr id="7349" name="Gerader Verbinder 7348">
            <a:extLst>
              <a:ext uri="{FF2B5EF4-FFF2-40B4-BE49-F238E27FC236}">
                <a16:creationId xmlns:a16="http://schemas.microsoft.com/office/drawing/2014/main" id="{56EF7522-5C48-E84E-BBA0-3FA985DB145E}"/>
              </a:ext>
            </a:extLst>
          </xdr:cNvPr>
          <xdr:cNvCxnSpPr/>
        </xdr:nvCxnSpPr>
        <xdr:spPr>
          <a:xfrm>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50" name="Gerader Verbinder 7349">
            <a:extLst>
              <a:ext uri="{FF2B5EF4-FFF2-40B4-BE49-F238E27FC236}">
                <a16:creationId xmlns:a16="http://schemas.microsoft.com/office/drawing/2014/main" id="{69161FEA-7B86-F991-8FBB-E5E2F9EB19C1}"/>
              </a:ext>
            </a:extLst>
          </xdr:cNvPr>
          <xdr:cNvCxnSpPr/>
        </xdr:nvCxnSpPr>
        <xdr:spPr>
          <a:xfrm flipH="1">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7354" name="Cross_E41">
          <a:extLst>
            <a:ext uri="{FF2B5EF4-FFF2-40B4-BE49-F238E27FC236}">
              <a16:creationId xmlns:a16="http://schemas.microsoft.com/office/drawing/2014/main" id="{5949F665-D9C5-CC4E-D9B0-3F7545149CC8}"/>
            </a:ext>
          </a:extLst>
        </xdr:cNvPr>
        <xdr:cNvGrpSpPr/>
      </xdr:nvGrpSpPr>
      <xdr:grpSpPr>
        <a:xfrm>
          <a:off x="2827020" y="5958840"/>
          <a:ext cx="594360" cy="167640"/>
          <a:chOff x="2827020" y="7802880"/>
          <a:chExt cx="594360" cy="167640"/>
        </a:xfrm>
      </xdr:grpSpPr>
      <xdr:cxnSp macro="">
        <xdr:nvCxnSpPr>
          <xdr:cNvPr id="7352" name="Gerader Verbinder 7351">
            <a:extLst>
              <a:ext uri="{FF2B5EF4-FFF2-40B4-BE49-F238E27FC236}">
                <a16:creationId xmlns:a16="http://schemas.microsoft.com/office/drawing/2014/main" id="{EEADF531-0D6B-F061-B837-7BDB0E27777D}"/>
              </a:ext>
            </a:extLst>
          </xdr:cNvPr>
          <xdr:cNvCxnSpPr/>
        </xdr:nvCxnSpPr>
        <xdr:spPr>
          <a:xfrm>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53" name="Gerader Verbinder 7352">
            <a:extLst>
              <a:ext uri="{FF2B5EF4-FFF2-40B4-BE49-F238E27FC236}">
                <a16:creationId xmlns:a16="http://schemas.microsoft.com/office/drawing/2014/main" id="{BA841DD7-2B97-6FE0-2D48-2F4066C7EC40}"/>
              </a:ext>
            </a:extLst>
          </xdr:cNvPr>
          <xdr:cNvCxnSpPr/>
        </xdr:nvCxnSpPr>
        <xdr:spPr>
          <a:xfrm flipH="1">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7357" name="Cross_E42">
          <a:extLst>
            <a:ext uri="{FF2B5EF4-FFF2-40B4-BE49-F238E27FC236}">
              <a16:creationId xmlns:a16="http://schemas.microsoft.com/office/drawing/2014/main" id="{DF2A2C48-1A73-4BFE-C091-60B57713AF78}"/>
            </a:ext>
          </a:extLst>
        </xdr:cNvPr>
        <xdr:cNvGrpSpPr/>
      </xdr:nvGrpSpPr>
      <xdr:grpSpPr>
        <a:xfrm>
          <a:off x="2827020" y="6126480"/>
          <a:ext cx="594360" cy="0"/>
          <a:chOff x="2827020" y="7970520"/>
          <a:chExt cx="594360" cy="167640"/>
        </a:xfrm>
      </xdr:grpSpPr>
      <xdr:cxnSp macro="">
        <xdr:nvCxnSpPr>
          <xdr:cNvPr id="7355" name="Gerader Verbinder 7354">
            <a:extLst>
              <a:ext uri="{FF2B5EF4-FFF2-40B4-BE49-F238E27FC236}">
                <a16:creationId xmlns:a16="http://schemas.microsoft.com/office/drawing/2014/main" id="{EAADC213-CA39-7EBE-0976-BD1CBA09D89F}"/>
              </a:ext>
            </a:extLst>
          </xdr:cNvPr>
          <xdr:cNvCxnSpPr/>
        </xdr:nvCxnSpPr>
        <xdr:spPr>
          <a:xfrm>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56" name="Gerader Verbinder 7355">
            <a:extLst>
              <a:ext uri="{FF2B5EF4-FFF2-40B4-BE49-F238E27FC236}">
                <a16:creationId xmlns:a16="http://schemas.microsoft.com/office/drawing/2014/main" id="{B9FB79E2-6ADB-EE04-5C3D-D5368338CADB}"/>
              </a:ext>
            </a:extLst>
          </xdr:cNvPr>
          <xdr:cNvCxnSpPr/>
        </xdr:nvCxnSpPr>
        <xdr:spPr>
          <a:xfrm flipH="1">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7360" name="Cross_E43">
          <a:extLst>
            <a:ext uri="{FF2B5EF4-FFF2-40B4-BE49-F238E27FC236}">
              <a16:creationId xmlns:a16="http://schemas.microsoft.com/office/drawing/2014/main" id="{079B2142-D882-AFA0-6B62-C00DF15B3AA9}"/>
            </a:ext>
          </a:extLst>
        </xdr:cNvPr>
        <xdr:cNvGrpSpPr/>
      </xdr:nvGrpSpPr>
      <xdr:grpSpPr>
        <a:xfrm>
          <a:off x="2827020" y="6126480"/>
          <a:ext cx="594360" cy="228600"/>
          <a:chOff x="2827020" y="8138160"/>
          <a:chExt cx="594360" cy="228600"/>
        </a:xfrm>
      </xdr:grpSpPr>
      <xdr:cxnSp macro="">
        <xdr:nvCxnSpPr>
          <xdr:cNvPr id="7358" name="Gerader Verbinder 7357">
            <a:extLst>
              <a:ext uri="{FF2B5EF4-FFF2-40B4-BE49-F238E27FC236}">
                <a16:creationId xmlns:a16="http://schemas.microsoft.com/office/drawing/2014/main" id="{15B987B0-3191-AB90-1941-DE9AAF879C1A}"/>
              </a:ext>
            </a:extLst>
          </xdr:cNvPr>
          <xdr:cNvCxnSpPr/>
        </xdr:nvCxnSpPr>
        <xdr:spPr>
          <a:xfrm>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59" name="Gerader Verbinder 7358">
            <a:extLst>
              <a:ext uri="{FF2B5EF4-FFF2-40B4-BE49-F238E27FC236}">
                <a16:creationId xmlns:a16="http://schemas.microsoft.com/office/drawing/2014/main" id="{12428D12-D0D6-A5D0-1A19-A3EAB198DC27}"/>
              </a:ext>
            </a:extLst>
          </xdr:cNvPr>
          <xdr:cNvCxnSpPr/>
        </xdr:nvCxnSpPr>
        <xdr:spPr>
          <a:xfrm flipH="1">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7363" name="Cross_E44">
          <a:extLst>
            <a:ext uri="{FF2B5EF4-FFF2-40B4-BE49-F238E27FC236}">
              <a16:creationId xmlns:a16="http://schemas.microsoft.com/office/drawing/2014/main" id="{ED18C706-BF97-8B53-5D01-8F2004A5AF02}"/>
            </a:ext>
          </a:extLst>
        </xdr:cNvPr>
        <xdr:cNvGrpSpPr/>
      </xdr:nvGrpSpPr>
      <xdr:grpSpPr>
        <a:xfrm>
          <a:off x="2827020" y="6355080"/>
          <a:ext cx="594360" cy="167640"/>
          <a:chOff x="2827020" y="8366760"/>
          <a:chExt cx="594360" cy="167640"/>
        </a:xfrm>
      </xdr:grpSpPr>
      <xdr:cxnSp macro="">
        <xdr:nvCxnSpPr>
          <xdr:cNvPr id="7361" name="Gerader Verbinder 7360">
            <a:extLst>
              <a:ext uri="{FF2B5EF4-FFF2-40B4-BE49-F238E27FC236}">
                <a16:creationId xmlns:a16="http://schemas.microsoft.com/office/drawing/2014/main" id="{0424ABD3-0248-A774-ABE4-87A637EA47C1}"/>
              </a:ext>
            </a:extLst>
          </xdr:cNvPr>
          <xdr:cNvCxnSpPr/>
        </xdr:nvCxnSpPr>
        <xdr:spPr>
          <a:xfrm>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62" name="Gerader Verbinder 7361">
            <a:extLst>
              <a:ext uri="{FF2B5EF4-FFF2-40B4-BE49-F238E27FC236}">
                <a16:creationId xmlns:a16="http://schemas.microsoft.com/office/drawing/2014/main" id="{C3C2FDB7-B0CD-C01A-C297-44A290EDD771}"/>
              </a:ext>
            </a:extLst>
          </xdr:cNvPr>
          <xdr:cNvCxnSpPr/>
        </xdr:nvCxnSpPr>
        <xdr:spPr>
          <a:xfrm flipH="1">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7366" name="Cross_E45">
          <a:extLst>
            <a:ext uri="{FF2B5EF4-FFF2-40B4-BE49-F238E27FC236}">
              <a16:creationId xmlns:a16="http://schemas.microsoft.com/office/drawing/2014/main" id="{EC6F3E23-44F7-FFF6-3657-9B7098D2412F}"/>
            </a:ext>
          </a:extLst>
        </xdr:cNvPr>
        <xdr:cNvGrpSpPr/>
      </xdr:nvGrpSpPr>
      <xdr:grpSpPr>
        <a:xfrm>
          <a:off x="2827020" y="6522720"/>
          <a:ext cx="594360" cy="0"/>
          <a:chOff x="2827020" y="8534400"/>
          <a:chExt cx="594360" cy="167640"/>
        </a:xfrm>
      </xdr:grpSpPr>
      <xdr:cxnSp macro="">
        <xdr:nvCxnSpPr>
          <xdr:cNvPr id="7364" name="Gerader Verbinder 7363">
            <a:extLst>
              <a:ext uri="{FF2B5EF4-FFF2-40B4-BE49-F238E27FC236}">
                <a16:creationId xmlns:a16="http://schemas.microsoft.com/office/drawing/2014/main" id="{F221C133-AB45-4C1A-68D3-AA83D4521027}"/>
              </a:ext>
            </a:extLst>
          </xdr:cNvPr>
          <xdr:cNvCxnSpPr/>
        </xdr:nvCxnSpPr>
        <xdr:spPr>
          <a:xfrm>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65" name="Gerader Verbinder 7364">
            <a:extLst>
              <a:ext uri="{FF2B5EF4-FFF2-40B4-BE49-F238E27FC236}">
                <a16:creationId xmlns:a16="http://schemas.microsoft.com/office/drawing/2014/main" id="{04669580-F49D-9971-8BFF-FDD798C72169}"/>
              </a:ext>
            </a:extLst>
          </xdr:cNvPr>
          <xdr:cNvCxnSpPr/>
        </xdr:nvCxnSpPr>
        <xdr:spPr>
          <a:xfrm flipH="1">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7369" name="Cross_E46">
          <a:extLst>
            <a:ext uri="{FF2B5EF4-FFF2-40B4-BE49-F238E27FC236}">
              <a16:creationId xmlns:a16="http://schemas.microsoft.com/office/drawing/2014/main" id="{4514D6A1-ACC7-E446-9245-47BB04F77A93}"/>
            </a:ext>
          </a:extLst>
        </xdr:cNvPr>
        <xdr:cNvGrpSpPr/>
      </xdr:nvGrpSpPr>
      <xdr:grpSpPr>
        <a:xfrm>
          <a:off x="2827020" y="6522720"/>
          <a:ext cx="594360" cy="228600"/>
          <a:chOff x="2827020" y="8702040"/>
          <a:chExt cx="594360" cy="228600"/>
        </a:xfrm>
      </xdr:grpSpPr>
      <xdr:cxnSp macro="">
        <xdr:nvCxnSpPr>
          <xdr:cNvPr id="7367" name="Gerader Verbinder 7366">
            <a:extLst>
              <a:ext uri="{FF2B5EF4-FFF2-40B4-BE49-F238E27FC236}">
                <a16:creationId xmlns:a16="http://schemas.microsoft.com/office/drawing/2014/main" id="{6009DE69-FF6D-62FD-CF70-5BE5B370D4FD}"/>
              </a:ext>
            </a:extLst>
          </xdr:cNvPr>
          <xdr:cNvCxnSpPr/>
        </xdr:nvCxnSpPr>
        <xdr:spPr>
          <a:xfrm>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68" name="Gerader Verbinder 7367">
            <a:extLst>
              <a:ext uri="{FF2B5EF4-FFF2-40B4-BE49-F238E27FC236}">
                <a16:creationId xmlns:a16="http://schemas.microsoft.com/office/drawing/2014/main" id="{A465286E-5695-AE63-B0EB-0DE373DA8DF2}"/>
              </a:ext>
            </a:extLst>
          </xdr:cNvPr>
          <xdr:cNvCxnSpPr/>
        </xdr:nvCxnSpPr>
        <xdr:spPr>
          <a:xfrm flipH="1">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7372" name="Cross_E47">
          <a:extLst>
            <a:ext uri="{FF2B5EF4-FFF2-40B4-BE49-F238E27FC236}">
              <a16:creationId xmlns:a16="http://schemas.microsoft.com/office/drawing/2014/main" id="{B1D7B805-F909-C7B2-51C0-D2F28730E24C}"/>
            </a:ext>
          </a:extLst>
        </xdr:cNvPr>
        <xdr:cNvGrpSpPr/>
      </xdr:nvGrpSpPr>
      <xdr:grpSpPr>
        <a:xfrm>
          <a:off x="2827020" y="6751320"/>
          <a:ext cx="594360" cy="167640"/>
          <a:chOff x="2827020" y="8930640"/>
          <a:chExt cx="594360" cy="167640"/>
        </a:xfrm>
      </xdr:grpSpPr>
      <xdr:cxnSp macro="">
        <xdr:nvCxnSpPr>
          <xdr:cNvPr id="7370" name="Gerader Verbinder 7369">
            <a:extLst>
              <a:ext uri="{FF2B5EF4-FFF2-40B4-BE49-F238E27FC236}">
                <a16:creationId xmlns:a16="http://schemas.microsoft.com/office/drawing/2014/main" id="{29A9BBA1-EF5A-2490-4850-56A82F5E7340}"/>
              </a:ext>
            </a:extLst>
          </xdr:cNvPr>
          <xdr:cNvCxnSpPr/>
        </xdr:nvCxnSpPr>
        <xdr:spPr>
          <a:xfrm>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71" name="Gerader Verbinder 7370">
            <a:extLst>
              <a:ext uri="{FF2B5EF4-FFF2-40B4-BE49-F238E27FC236}">
                <a16:creationId xmlns:a16="http://schemas.microsoft.com/office/drawing/2014/main" id="{264E6176-4B70-CDB8-D4D8-546C9833B501}"/>
              </a:ext>
            </a:extLst>
          </xdr:cNvPr>
          <xdr:cNvCxnSpPr/>
        </xdr:nvCxnSpPr>
        <xdr:spPr>
          <a:xfrm flipH="1">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7375" name="Cross_E48">
          <a:extLst>
            <a:ext uri="{FF2B5EF4-FFF2-40B4-BE49-F238E27FC236}">
              <a16:creationId xmlns:a16="http://schemas.microsoft.com/office/drawing/2014/main" id="{2E5D1797-4A1B-76BC-F6D5-3757F2BA30DD}"/>
            </a:ext>
          </a:extLst>
        </xdr:cNvPr>
        <xdr:cNvGrpSpPr/>
      </xdr:nvGrpSpPr>
      <xdr:grpSpPr>
        <a:xfrm>
          <a:off x="2827020" y="6918960"/>
          <a:ext cx="594360" cy="0"/>
          <a:chOff x="2827020" y="9098280"/>
          <a:chExt cx="594360" cy="167640"/>
        </a:xfrm>
      </xdr:grpSpPr>
      <xdr:cxnSp macro="">
        <xdr:nvCxnSpPr>
          <xdr:cNvPr id="7373" name="Gerader Verbinder 7372">
            <a:extLst>
              <a:ext uri="{FF2B5EF4-FFF2-40B4-BE49-F238E27FC236}">
                <a16:creationId xmlns:a16="http://schemas.microsoft.com/office/drawing/2014/main" id="{96637FD1-4B55-B707-D2C9-76A7600B7AC4}"/>
              </a:ext>
            </a:extLst>
          </xdr:cNvPr>
          <xdr:cNvCxnSpPr/>
        </xdr:nvCxnSpPr>
        <xdr:spPr>
          <a:xfrm>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74" name="Gerader Verbinder 7373">
            <a:extLst>
              <a:ext uri="{FF2B5EF4-FFF2-40B4-BE49-F238E27FC236}">
                <a16:creationId xmlns:a16="http://schemas.microsoft.com/office/drawing/2014/main" id="{AA10337F-8225-896A-AE68-5EF1220C2F94}"/>
              </a:ext>
            </a:extLst>
          </xdr:cNvPr>
          <xdr:cNvCxnSpPr/>
        </xdr:nvCxnSpPr>
        <xdr:spPr>
          <a:xfrm flipH="1">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7378" name="Cross_E55">
          <a:extLst>
            <a:ext uri="{FF2B5EF4-FFF2-40B4-BE49-F238E27FC236}">
              <a16:creationId xmlns:a16="http://schemas.microsoft.com/office/drawing/2014/main" id="{BDA9C40E-1E1A-C2AC-E8C0-5AFF580A7EDE}"/>
            </a:ext>
          </a:extLst>
        </xdr:cNvPr>
        <xdr:cNvGrpSpPr/>
      </xdr:nvGrpSpPr>
      <xdr:grpSpPr>
        <a:xfrm>
          <a:off x="2827020" y="7711440"/>
          <a:ext cx="594360" cy="228600"/>
          <a:chOff x="2827020" y="10393680"/>
          <a:chExt cx="594360" cy="228600"/>
        </a:xfrm>
      </xdr:grpSpPr>
      <xdr:cxnSp macro="">
        <xdr:nvCxnSpPr>
          <xdr:cNvPr id="7376" name="Gerader Verbinder 7375">
            <a:extLst>
              <a:ext uri="{FF2B5EF4-FFF2-40B4-BE49-F238E27FC236}">
                <a16:creationId xmlns:a16="http://schemas.microsoft.com/office/drawing/2014/main" id="{1CFBAEC4-EA4E-931E-64A7-98F76997D5B5}"/>
              </a:ext>
            </a:extLst>
          </xdr:cNvPr>
          <xdr:cNvCxnSpPr/>
        </xdr:nvCxnSpPr>
        <xdr:spPr>
          <a:xfrm>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77" name="Gerader Verbinder 7376">
            <a:extLst>
              <a:ext uri="{FF2B5EF4-FFF2-40B4-BE49-F238E27FC236}">
                <a16:creationId xmlns:a16="http://schemas.microsoft.com/office/drawing/2014/main" id="{FA12895B-6377-1448-D522-F989F58E8DE8}"/>
              </a:ext>
            </a:extLst>
          </xdr:cNvPr>
          <xdr:cNvCxnSpPr/>
        </xdr:nvCxnSpPr>
        <xdr:spPr>
          <a:xfrm flipH="1">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7381" name="Cross_E56">
          <a:extLst>
            <a:ext uri="{FF2B5EF4-FFF2-40B4-BE49-F238E27FC236}">
              <a16:creationId xmlns:a16="http://schemas.microsoft.com/office/drawing/2014/main" id="{3C57FE01-4B7E-A8BF-BF98-7C39C005C7DC}"/>
            </a:ext>
          </a:extLst>
        </xdr:cNvPr>
        <xdr:cNvGrpSpPr/>
      </xdr:nvGrpSpPr>
      <xdr:grpSpPr>
        <a:xfrm>
          <a:off x="2827020" y="7940040"/>
          <a:ext cx="594360" cy="167640"/>
          <a:chOff x="2827020" y="10622280"/>
          <a:chExt cx="594360" cy="167640"/>
        </a:xfrm>
      </xdr:grpSpPr>
      <xdr:cxnSp macro="">
        <xdr:nvCxnSpPr>
          <xdr:cNvPr id="7379" name="Gerader Verbinder 7378">
            <a:extLst>
              <a:ext uri="{FF2B5EF4-FFF2-40B4-BE49-F238E27FC236}">
                <a16:creationId xmlns:a16="http://schemas.microsoft.com/office/drawing/2014/main" id="{0A88F90C-8E13-D2A7-7370-C89E68F74081}"/>
              </a:ext>
            </a:extLst>
          </xdr:cNvPr>
          <xdr:cNvCxnSpPr/>
        </xdr:nvCxnSpPr>
        <xdr:spPr>
          <a:xfrm>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80" name="Gerader Verbinder 7379">
            <a:extLst>
              <a:ext uri="{FF2B5EF4-FFF2-40B4-BE49-F238E27FC236}">
                <a16:creationId xmlns:a16="http://schemas.microsoft.com/office/drawing/2014/main" id="{8AD424EB-9FA0-D39D-8D3F-2CEB3C63FDEF}"/>
              </a:ext>
            </a:extLst>
          </xdr:cNvPr>
          <xdr:cNvCxnSpPr/>
        </xdr:nvCxnSpPr>
        <xdr:spPr>
          <a:xfrm flipH="1">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7384" name="Cross_E57">
          <a:extLst>
            <a:ext uri="{FF2B5EF4-FFF2-40B4-BE49-F238E27FC236}">
              <a16:creationId xmlns:a16="http://schemas.microsoft.com/office/drawing/2014/main" id="{178B5E5D-7104-8A2E-DE0A-6BCBB7BE8D84}"/>
            </a:ext>
          </a:extLst>
        </xdr:cNvPr>
        <xdr:cNvGrpSpPr/>
      </xdr:nvGrpSpPr>
      <xdr:grpSpPr>
        <a:xfrm>
          <a:off x="2827020" y="8107680"/>
          <a:ext cx="594360" cy="0"/>
          <a:chOff x="2827020" y="10789920"/>
          <a:chExt cx="594360" cy="167640"/>
        </a:xfrm>
      </xdr:grpSpPr>
      <xdr:cxnSp macro="">
        <xdr:nvCxnSpPr>
          <xdr:cNvPr id="7382" name="Gerader Verbinder 7381">
            <a:extLst>
              <a:ext uri="{FF2B5EF4-FFF2-40B4-BE49-F238E27FC236}">
                <a16:creationId xmlns:a16="http://schemas.microsoft.com/office/drawing/2014/main" id="{B79A0737-CE04-B64E-06E7-5809A2933BBC}"/>
              </a:ext>
            </a:extLst>
          </xdr:cNvPr>
          <xdr:cNvCxnSpPr/>
        </xdr:nvCxnSpPr>
        <xdr:spPr>
          <a:xfrm>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83" name="Gerader Verbinder 7382">
            <a:extLst>
              <a:ext uri="{FF2B5EF4-FFF2-40B4-BE49-F238E27FC236}">
                <a16:creationId xmlns:a16="http://schemas.microsoft.com/office/drawing/2014/main" id="{FD457413-BCA9-CE5D-8706-40F7572DC197}"/>
              </a:ext>
            </a:extLst>
          </xdr:cNvPr>
          <xdr:cNvCxnSpPr/>
        </xdr:nvCxnSpPr>
        <xdr:spPr>
          <a:xfrm flipH="1">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7387" name="Cross_E58">
          <a:extLst>
            <a:ext uri="{FF2B5EF4-FFF2-40B4-BE49-F238E27FC236}">
              <a16:creationId xmlns:a16="http://schemas.microsoft.com/office/drawing/2014/main" id="{E46D1C3C-0B01-5F2B-1EEB-9815CBB2839D}"/>
            </a:ext>
          </a:extLst>
        </xdr:cNvPr>
        <xdr:cNvGrpSpPr/>
      </xdr:nvGrpSpPr>
      <xdr:grpSpPr>
        <a:xfrm>
          <a:off x="2827020" y="8107680"/>
          <a:ext cx="594360" cy="228600"/>
          <a:chOff x="2827020" y="10957560"/>
          <a:chExt cx="594360" cy="228600"/>
        </a:xfrm>
      </xdr:grpSpPr>
      <xdr:cxnSp macro="">
        <xdr:nvCxnSpPr>
          <xdr:cNvPr id="7385" name="Gerader Verbinder 7384">
            <a:extLst>
              <a:ext uri="{FF2B5EF4-FFF2-40B4-BE49-F238E27FC236}">
                <a16:creationId xmlns:a16="http://schemas.microsoft.com/office/drawing/2014/main" id="{847DCB39-51C6-26D0-E2DA-A858886F4CBC}"/>
              </a:ext>
            </a:extLst>
          </xdr:cNvPr>
          <xdr:cNvCxnSpPr/>
        </xdr:nvCxnSpPr>
        <xdr:spPr>
          <a:xfrm>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86" name="Gerader Verbinder 7385">
            <a:extLst>
              <a:ext uri="{FF2B5EF4-FFF2-40B4-BE49-F238E27FC236}">
                <a16:creationId xmlns:a16="http://schemas.microsoft.com/office/drawing/2014/main" id="{9B4CAB28-F033-1094-0D4D-E76C49E17EF7}"/>
              </a:ext>
            </a:extLst>
          </xdr:cNvPr>
          <xdr:cNvCxnSpPr/>
        </xdr:nvCxnSpPr>
        <xdr:spPr>
          <a:xfrm flipH="1">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7390" name="Cross_E59">
          <a:extLst>
            <a:ext uri="{FF2B5EF4-FFF2-40B4-BE49-F238E27FC236}">
              <a16:creationId xmlns:a16="http://schemas.microsoft.com/office/drawing/2014/main" id="{9457B920-95EA-027A-2CF5-67321536155C}"/>
            </a:ext>
          </a:extLst>
        </xdr:cNvPr>
        <xdr:cNvGrpSpPr/>
      </xdr:nvGrpSpPr>
      <xdr:grpSpPr>
        <a:xfrm>
          <a:off x="2827020" y="8336280"/>
          <a:ext cx="594360" cy="167640"/>
          <a:chOff x="2827020" y="11186160"/>
          <a:chExt cx="594360" cy="167640"/>
        </a:xfrm>
      </xdr:grpSpPr>
      <xdr:cxnSp macro="">
        <xdr:nvCxnSpPr>
          <xdr:cNvPr id="7388" name="Gerader Verbinder 7387">
            <a:extLst>
              <a:ext uri="{FF2B5EF4-FFF2-40B4-BE49-F238E27FC236}">
                <a16:creationId xmlns:a16="http://schemas.microsoft.com/office/drawing/2014/main" id="{6BC4DB4F-4C39-EF71-4BBA-3F89563D1F60}"/>
              </a:ext>
            </a:extLst>
          </xdr:cNvPr>
          <xdr:cNvCxnSpPr/>
        </xdr:nvCxnSpPr>
        <xdr:spPr>
          <a:xfrm>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89" name="Gerader Verbinder 7388">
            <a:extLst>
              <a:ext uri="{FF2B5EF4-FFF2-40B4-BE49-F238E27FC236}">
                <a16:creationId xmlns:a16="http://schemas.microsoft.com/office/drawing/2014/main" id="{F2162AE7-A922-ECE6-D7EE-C3EB93E5A4CF}"/>
              </a:ext>
            </a:extLst>
          </xdr:cNvPr>
          <xdr:cNvCxnSpPr/>
        </xdr:nvCxnSpPr>
        <xdr:spPr>
          <a:xfrm flipH="1">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7393" name="Cross_E60">
          <a:extLst>
            <a:ext uri="{FF2B5EF4-FFF2-40B4-BE49-F238E27FC236}">
              <a16:creationId xmlns:a16="http://schemas.microsoft.com/office/drawing/2014/main" id="{95078D68-1ED3-49BC-2037-A70B214395D8}"/>
            </a:ext>
          </a:extLst>
        </xdr:cNvPr>
        <xdr:cNvGrpSpPr/>
      </xdr:nvGrpSpPr>
      <xdr:grpSpPr>
        <a:xfrm>
          <a:off x="2827020" y="8503920"/>
          <a:ext cx="594360" cy="0"/>
          <a:chOff x="2827020" y="11353800"/>
          <a:chExt cx="594360" cy="167640"/>
        </a:xfrm>
      </xdr:grpSpPr>
      <xdr:cxnSp macro="">
        <xdr:nvCxnSpPr>
          <xdr:cNvPr id="7391" name="Gerader Verbinder 7390">
            <a:extLst>
              <a:ext uri="{FF2B5EF4-FFF2-40B4-BE49-F238E27FC236}">
                <a16:creationId xmlns:a16="http://schemas.microsoft.com/office/drawing/2014/main" id="{C8C28CE6-53C4-8898-6FA6-8D186BA70777}"/>
              </a:ext>
            </a:extLst>
          </xdr:cNvPr>
          <xdr:cNvCxnSpPr/>
        </xdr:nvCxnSpPr>
        <xdr:spPr>
          <a:xfrm>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92" name="Gerader Verbinder 7391">
            <a:extLst>
              <a:ext uri="{FF2B5EF4-FFF2-40B4-BE49-F238E27FC236}">
                <a16:creationId xmlns:a16="http://schemas.microsoft.com/office/drawing/2014/main" id="{0BE829CA-8554-9686-2D32-0DF7C1E5DC81}"/>
              </a:ext>
            </a:extLst>
          </xdr:cNvPr>
          <xdr:cNvCxnSpPr/>
        </xdr:nvCxnSpPr>
        <xdr:spPr>
          <a:xfrm flipH="1">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7396" name="Cross_E61">
          <a:extLst>
            <a:ext uri="{FF2B5EF4-FFF2-40B4-BE49-F238E27FC236}">
              <a16:creationId xmlns:a16="http://schemas.microsoft.com/office/drawing/2014/main" id="{72B3A2E3-64F1-1165-18D9-026BDBD9D67D}"/>
            </a:ext>
          </a:extLst>
        </xdr:cNvPr>
        <xdr:cNvGrpSpPr/>
      </xdr:nvGrpSpPr>
      <xdr:grpSpPr>
        <a:xfrm>
          <a:off x="2827020" y="8503920"/>
          <a:ext cx="594360" cy="228600"/>
          <a:chOff x="2827020" y="11521440"/>
          <a:chExt cx="594360" cy="228600"/>
        </a:xfrm>
      </xdr:grpSpPr>
      <xdr:cxnSp macro="">
        <xdr:nvCxnSpPr>
          <xdr:cNvPr id="7394" name="Gerader Verbinder 7393">
            <a:extLst>
              <a:ext uri="{FF2B5EF4-FFF2-40B4-BE49-F238E27FC236}">
                <a16:creationId xmlns:a16="http://schemas.microsoft.com/office/drawing/2014/main" id="{6388DEC6-1ADD-ACFC-DF30-17A9EB88B140}"/>
              </a:ext>
            </a:extLst>
          </xdr:cNvPr>
          <xdr:cNvCxnSpPr/>
        </xdr:nvCxnSpPr>
        <xdr:spPr>
          <a:xfrm>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95" name="Gerader Verbinder 7394">
            <a:extLst>
              <a:ext uri="{FF2B5EF4-FFF2-40B4-BE49-F238E27FC236}">
                <a16:creationId xmlns:a16="http://schemas.microsoft.com/office/drawing/2014/main" id="{90EB2EDB-72EB-3626-7B3D-BD7E4FE5F385}"/>
              </a:ext>
            </a:extLst>
          </xdr:cNvPr>
          <xdr:cNvCxnSpPr/>
        </xdr:nvCxnSpPr>
        <xdr:spPr>
          <a:xfrm flipH="1">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7399" name="Cross_E62">
          <a:extLst>
            <a:ext uri="{FF2B5EF4-FFF2-40B4-BE49-F238E27FC236}">
              <a16:creationId xmlns:a16="http://schemas.microsoft.com/office/drawing/2014/main" id="{1278ECEE-E555-1CAB-904B-9ABED6D8603A}"/>
            </a:ext>
          </a:extLst>
        </xdr:cNvPr>
        <xdr:cNvGrpSpPr/>
      </xdr:nvGrpSpPr>
      <xdr:grpSpPr>
        <a:xfrm>
          <a:off x="2827020" y="8732520"/>
          <a:ext cx="594360" cy="167640"/>
          <a:chOff x="2827020" y="11750040"/>
          <a:chExt cx="594360" cy="167640"/>
        </a:xfrm>
      </xdr:grpSpPr>
      <xdr:cxnSp macro="">
        <xdr:nvCxnSpPr>
          <xdr:cNvPr id="7397" name="Gerader Verbinder 7396">
            <a:extLst>
              <a:ext uri="{FF2B5EF4-FFF2-40B4-BE49-F238E27FC236}">
                <a16:creationId xmlns:a16="http://schemas.microsoft.com/office/drawing/2014/main" id="{BAEA3C41-62F0-639B-C932-68704CAD459E}"/>
              </a:ext>
            </a:extLst>
          </xdr:cNvPr>
          <xdr:cNvCxnSpPr/>
        </xdr:nvCxnSpPr>
        <xdr:spPr>
          <a:xfrm>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98" name="Gerader Verbinder 7397">
            <a:extLst>
              <a:ext uri="{FF2B5EF4-FFF2-40B4-BE49-F238E27FC236}">
                <a16:creationId xmlns:a16="http://schemas.microsoft.com/office/drawing/2014/main" id="{E4737FBD-7BFE-A054-F433-7A4869149D92}"/>
              </a:ext>
            </a:extLst>
          </xdr:cNvPr>
          <xdr:cNvCxnSpPr/>
        </xdr:nvCxnSpPr>
        <xdr:spPr>
          <a:xfrm flipH="1">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7402" name="Cross_E63">
          <a:extLst>
            <a:ext uri="{FF2B5EF4-FFF2-40B4-BE49-F238E27FC236}">
              <a16:creationId xmlns:a16="http://schemas.microsoft.com/office/drawing/2014/main" id="{D2428A8C-28D6-93AB-6D1B-7867410A0469}"/>
            </a:ext>
          </a:extLst>
        </xdr:cNvPr>
        <xdr:cNvGrpSpPr/>
      </xdr:nvGrpSpPr>
      <xdr:grpSpPr>
        <a:xfrm>
          <a:off x="2827020" y="8900160"/>
          <a:ext cx="594360" cy="0"/>
          <a:chOff x="2827020" y="11917680"/>
          <a:chExt cx="594360" cy="167640"/>
        </a:xfrm>
      </xdr:grpSpPr>
      <xdr:cxnSp macro="">
        <xdr:nvCxnSpPr>
          <xdr:cNvPr id="7400" name="Gerader Verbinder 7399">
            <a:extLst>
              <a:ext uri="{FF2B5EF4-FFF2-40B4-BE49-F238E27FC236}">
                <a16:creationId xmlns:a16="http://schemas.microsoft.com/office/drawing/2014/main" id="{ED77E687-7876-1539-F67B-892EF7F60159}"/>
              </a:ext>
            </a:extLst>
          </xdr:cNvPr>
          <xdr:cNvCxnSpPr/>
        </xdr:nvCxnSpPr>
        <xdr:spPr>
          <a:xfrm>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01" name="Gerader Verbinder 7400">
            <a:extLst>
              <a:ext uri="{FF2B5EF4-FFF2-40B4-BE49-F238E27FC236}">
                <a16:creationId xmlns:a16="http://schemas.microsoft.com/office/drawing/2014/main" id="{4344F34C-2267-ABB3-3D67-7718D6C23A62}"/>
              </a:ext>
            </a:extLst>
          </xdr:cNvPr>
          <xdr:cNvCxnSpPr/>
        </xdr:nvCxnSpPr>
        <xdr:spPr>
          <a:xfrm flipH="1">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7405" name="Cross_E70">
          <a:extLst>
            <a:ext uri="{FF2B5EF4-FFF2-40B4-BE49-F238E27FC236}">
              <a16:creationId xmlns:a16="http://schemas.microsoft.com/office/drawing/2014/main" id="{99B4E421-85E8-DAD6-4A00-949A21CD3BFD}"/>
            </a:ext>
          </a:extLst>
        </xdr:cNvPr>
        <xdr:cNvGrpSpPr/>
      </xdr:nvGrpSpPr>
      <xdr:grpSpPr>
        <a:xfrm>
          <a:off x="2827020" y="9692640"/>
          <a:ext cx="594360" cy="228600"/>
          <a:chOff x="2827020" y="13213080"/>
          <a:chExt cx="594360" cy="228600"/>
        </a:xfrm>
      </xdr:grpSpPr>
      <xdr:cxnSp macro="">
        <xdr:nvCxnSpPr>
          <xdr:cNvPr id="7403" name="Gerader Verbinder 7402">
            <a:extLst>
              <a:ext uri="{FF2B5EF4-FFF2-40B4-BE49-F238E27FC236}">
                <a16:creationId xmlns:a16="http://schemas.microsoft.com/office/drawing/2014/main" id="{0BD9868F-C492-24DA-2EE7-FC6E4317FB98}"/>
              </a:ext>
            </a:extLst>
          </xdr:cNvPr>
          <xdr:cNvCxnSpPr/>
        </xdr:nvCxnSpPr>
        <xdr:spPr>
          <a:xfrm>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04" name="Gerader Verbinder 7403">
            <a:extLst>
              <a:ext uri="{FF2B5EF4-FFF2-40B4-BE49-F238E27FC236}">
                <a16:creationId xmlns:a16="http://schemas.microsoft.com/office/drawing/2014/main" id="{24867E11-98C9-6D4F-BAC7-BF5DD436C7DF}"/>
              </a:ext>
            </a:extLst>
          </xdr:cNvPr>
          <xdr:cNvCxnSpPr/>
        </xdr:nvCxnSpPr>
        <xdr:spPr>
          <a:xfrm flipH="1">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7408" name="Cross_E71">
          <a:extLst>
            <a:ext uri="{FF2B5EF4-FFF2-40B4-BE49-F238E27FC236}">
              <a16:creationId xmlns:a16="http://schemas.microsoft.com/office/drawing/2014/main" id="{FC2A0992-C1A7-29BA-15E5-5DF42A7FCBFB}"/>
            </a:ext>
          </a:extLst>
        </xdr:cNvPr>
        <xdr:cNvGrpSpPr/>
      </xdr:nvGrpSpPr>
      <xdr:grpSpPr>
        <a:xfrm>
          <a:off x="2827020" y="9921240"/>
          <a:ext cx="594360" cy="167640"/>
          <a:chOff x="2827020" y="13441680"/>
          <a:chExt cx="594360" cy="167640"/>
        </a:xfrm>
      </xdr:grpSpPr>
      <xdr:cxnSp macro="">
        <xdr:nvCxnSpPr>
          <xdr:cNvPr id="7406" name="Gerader Verbinder 7405">
            <a:extLst>
              <a:ext uri="{FF2B5EF4-FFF2-40B4-BE49-F238E27FC236}">
                <a16:creationId xmlns:a16="http://schemas.microsoft.com/office/drawing/2014/main" id="{A603D1E3-4A0D-09C4-1047-CA15AB8E89CB}"/>
              </a:ext>
            </a:extLst>
          </xdr:cNvPr>
          <xdr:cNvCxnSpPr/>
        </xdr:nvCxnSpPr>
        <xdr:spPr>
          <a:xfrm>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07" name="Gerader Verbinder 7406">
            <a:extLst>
              <a:ext uri="{FF2B5EF4-FFF2-40B4-BE49-F238E27FC236}">
                <a16:creationId xmlns:a16="http://schemas.microsoft.com/office/drawing/2014/main" id="{5FA8AB8A-289C-F338-D98B-E95D6613067B}"/>
              </a:ext>
            </a:extLst>
          </xdr:cNvPr>
          <xdr:cNvCxnSpPr/>
        </xdr:nvCxnSpPr>
        <xdr:spPr>
          <a:xfrm flipH="1">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7411" name="Cross_E72">
          <a:extLst>
            <a:ext uri="{FF2B5EF4-FFF2-40B4-BE49-F238E27FC236}">
              <a16:creationId xmlns:a16="http://schemas.microsoft.com/office/drawing/2014/main" id="{F342D5D4-9AEA-F718-5D94-2797704E1313}"/>
            </a:ext>
          </a:extLst>
        </xdr:cNvPr>
        <xdr:cNvGrpSpPr/>
      </xdr:nvGrpSpPr>
      <xdr:grpSpPr>
        <a:xfrm>
          <a:off x="2827020" y="10088880"/>
          <a:ext cx="594360" cy="1"/>
          <a:chOff x="2827020" y="13609320"/>
          <a:chExt cx="594360" cy="167641"/>
        </a:xfrm>
      </xdr:grpSpPr>
      <xdr:cxnSp macro="">
        <xdr:nvCxnSpPr>
          <xdr:cNvPr id="7409" name="Gerader Verbinder 7408">
            <a:extLst>
              <a:ext uri="{FF2B5EF4-FFF2-40B4-BE49-F238E27FC236}">
                <a16:creationId xmlns:a16="http://schemas.microsoft.com/office/drawing/2014/main" id="{8FBA974D-B9E5-E7EC-6266-EEFB905D232A}"/>
              </a:ext>
            </a:extLst>
          </xdr:cNvPr>
          <xdr:cNvCxnSpPr/>
        </xdr:nvCxnSpPr>
        <xdr:spPr>
          <a:xfrm>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10" name="Gerader Verbinder 7409">
            <a:extLst>
              <a:ext uri="{FF2B5EF4-FFF2-40B4-BE49-F238E27FC236}">
                <a16:creationId xmlns:a16="http://schemas.microsoft.com/office/drawing/2014/main" id="{BDBCDBF4-3597-2D13-D190-34E48D476D21}"/>
              </a:ext>
            </a:extLst>
          </xdr:cNvPr>
          <xdr:cNvCxnSpPr/>
        </xdr:nvCxnSpPr>
        <xdr:spPr>
          <a:xfrm flipH="1">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7414" name="Cross_E73">
          <a:extLst>
            <a:ext uri="{FF2B5EF4-FFF2-40B4-BE49-F238E27FC236}">
              <a16:creationId xmlns:a16="http://schemas.microsoft.com/office/drawing/2014/main" id="{F99EAA04-0F8F-C90B-4114-7AEE5824759D}"/>
            </a:ext>
          </a:extLst>
        </xdr:cNvPr>
        <xdr:cNvGrpSpPr/>
      </xdr:nvGrpSpPr>
      <xdr:grpSpPr>
        <a:xfrm>
          <a:off x="2827020" y="10088881"/>
          <a:ext cx="594360" cy="228600"/>
          <a:chOff x="2827020" y="13776961"/>
          <a:chExt cx="594360" cy="228600"/>
        </a:xfrm>
      </xdr:grpSpPr>
      <xdr:cxnSp macro="">
        <xdr:nvCxnSpPr>
          <xdr:cNvPr id="7412" name="Gerader Verbinder 7411">
            <a:extLst>
              <a:ext uri="{FF2B5EF4-FFF2-40B4-BE49-F238E27FC236}">
                <a16:creationId xmlns:a16="http://schemas.microsoft.com/office/drawing/2014/main" id="{BDD24D61-C080-A956-7901-E567DF4DC5F8}"/>
              </a:ext>
            </a:extLst>
          </xdr:cNvPr>
          <xdr:cNvCxnSpPr/>
        </xdr:nvCxnSpPr>
        <xdr:spPr>
          <a:xfrm>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13" name="Gerader Verbinder 7412">
            <a:extLst>
              <a:ext uri="{FF2B5EF4-FFF2-40B4-BE49-F238E27FC236}">
                <a16:creationId xmlns:a16="http://schemas.microsoft.com/office/drawing/2014/main" id="{30C98775-0C3B-DF62-C807-858BA344B0B9}"/>
              </a:ext>
            </a:extLst>
          </xdr:cNvPr>
          <xdr:cNvCxnSpPr/>
        </xdr:nvCxnSpPr>
        <xdr:spPr>
          <a:xfrm flipH="1">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7417" name="Cross_E74">
          <a:extLst>
            <a:ext uri="{FF2B5EF4-FFF2-40B4-BE49-F238E27FC236}">
              <a16:creationId xmlns:a16="http://schemas.microsoft.com/office/drawing/2014/main" id="{0DB14600-F86B-8548-9CE7-7C8DEA50458B}"/>
            </a:ext>
          </a:extLst>
        </xdr:cNvPr>
        <xdr:cNvGrpSpPr/>
      </xdr:nvGrpSpPr>
      <xdr:grpSpPr>
        <a:xfrm>
          <a:off x="2827020" y="10317481"/>
          <a:ext cx="594360" cy="167639"/>
          <a:chOff x="2827020" y="14005561"/>
          <a:chExt cx="594360" cy="167639"/>
        </a:xfrm>
      </xdr:grpSpPr>
      <xdr:cxnSp macro="">
        <xdr:nvCxnSpPr>
          <xdr:cNvPr id="7415" name="Gerader Verbinder 7414">
            <a:extLst>
              <a:ext uri="{FF2B5EF4-FFF2-40B4-BE49-F238E27FC236}">
                <a16:creationId xmlns:a16="http://schemas.microsoft.com/office/drawing/2014/main" id="{FA75E264-75A7-A01F-A031-66AE78D066C3}"/>
              </a:ext>
            </a:extLst>
          </xdr:cNvPr>
          <xdr:cNvCxnSpPr/>
        </xdr:nvCxnSpPr>
        <xdr:spPr>
          <a:xfrm>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16" name="Gerader Verbinder 7415">
            <a:extLst>
              <a:ext uri="{FF2B5EF4-FFF2-40B4-BE49-F238E27FC236}">
                <a16:creationId xmlns:a16="http://schemas.microsoft.com/office/drawing/2014/main" id="{3686E29B-22C0-7F58-641E-0059C5B5BC47}"/>
              </a:ext>
            </a:extLst>
          </xdr:cNvPr>
          <xdr:cNvCxnSpPr/>
        </xdr:nvCxnSpPr>
        <xdr:spPr>
          <a:xfrm flipH="1">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7420" name="Cross_E75">
          <a:extLst>
            <a:ext uri="{FF2B5EF4-FFF2-40B4-BE49-F238E27FC236}">
              <a16:creationId xmlns:a16="http://schemas.microsoft.com/office/drawing/2014/main" id="{F91D4DD1-2F9B-6545-4029-20DFD20C69DB}"/>
            </a:ext>
          </a:extLst>
        </xdr:cNvPr>
        <xdr:cNvGrpSpPr/>
      </xdr:nvGrpSpPr>
      <xdr:grpSpPr>
        <a:xfrm>
          <a:off x="2827020" y="10485120"/>
          <a:ext cx="594360" cy="0"/>
          <a:chOff x="2827020" y="14173200"/>
          <a:chExt cx="594360" cy="167639"/>
        </a:xfrm>
      </xdr:grpSpPr>
      <xdr:cxnSp macro="">
        <xdr:nvCxnSpPr>
          <xdr:cNvPr id="7418" name="Gerader Verbinder 7417">
            <a:extLst>
              <a:ext uri="{FF2B5EF4-FFF2-40B4-BE49-F238E27FC236}">
                <a16:creationId xmlns:a16="http://schemas.microsoft.com/office/drawing/2014/main" id="{3F34CA3A-7896-13DD-EDDF-343BC7E1AABF}"/>
              </a:ext>
            </a:extLst>
          </xdr:cNvPr>
          <xdr:cNvCxnSpPr/>
        </xdr:nvCxnSpPr>
        <xdr:spPr>
          <a:xfrm>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19" name="Gerader Verbinder 7418">
            <a:extLst>
              <a:ext uri="{FF2B5EF4-FFF2-40B4-BE49-F238E27FC236}">
                <a16:creationId xmlns:a16="http://schemas.microsoft.com/office/drawing/2014/main" id="{AA1AD8D4-9533-463A-C83F-E672F7843D2C}"/>
              </a:ext>
            </a:extLst>
          </xdr:cNvPr>
          <xdr:cNvCxnSpPr/>
        </xdr:nvCxnSpPr>
        <xdr:spPr>
          <a:xfrm flipH="1">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7423" name="Cross_F10">
          <a:extLst>
            <a:ext uri="{FF2B5EF4-FFF2-40B4-BE49-F238E27FC236}">
              <a16:creationId xmlns:a16="http://schemas.microsoft.com/office/drawing/2014/main" id="{F8D36E3A-82C6-805A-6D60-ABB458265687}"/>
            </a:ext>
          </a:extLst>
        </xdr:cNvPr>
        <xdr:cNvGrpSpPr/>
      </xdr:nvGrpSpPr>
      <xdr:grpSpPr>
        <a:xfrm>
          <a:off x="3421380" y="1767840"/>
          <a:ext cx="594360" cy="228600"/>
          <a:chOff x="3421380" y="1935480"/>
          <a:chExt cx="594360" cy="228600"/>
        </a:xfrm>
      </xdr:grpSpPr>
      <xdr:cxnSp macro="">
        <xdr:nvCxnSpPr>
          <xdr:cNvPr id="7421" name="Gerader Verbinder 7420">
            <a:extLst>
              <a:ext uri="{FF2B5EF4-FFF2-40B4-BE49-F238E27FC236}">
                <a16:creationId xmlns:a16="http://schemas.microsoft.com/office/drawing/2014/main" id="{B6F2E8B0-1010-493E-32FD-73C5604ED1E2}"/>
              </a:ext>
            </a:extLst>
          </xdr:cNvPr>
          <xdr:cNvCxnSpPr/>
        </xdr:nvCxnSpPr>
        <xdr:spPr>
          <a:xfrm>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22" name="Gerader Verbinder 7421">
            <a:extLst>
              <a:ext uri="{FF2B5EF4-FFF2-40B4-BE49-F238E27FC236}">
                <a16:creationId xmlns:a16="http://schemas.microsoft.com/office/drawing/2014/main" id="{EB1154E6-EF03-B812-F209-D4CECC949F27}"/>
              </a:ext>
            </a:extLst>
          </xdr:cNvPr>
          <xdr:cNvCxnSpPr/>
        </xdr:nvCxnSpPr>
        <xdr:spPr>
          <a:xfrm flipH="1">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7426" name="Cross_F11">
          <a:extLst>
            <a:ext uri="{FF2B5EF4-FFF2-40B4-BE49-F238E27FC236}">
              <a16:creationId xmlns:a16="http://schemas.microsoft.com/office/drawing/2014/main" id="{FDD8BCE0-946D-6595-81CC-B86E9A664929}"/>
            </a:ext>
          </a:extLst>
        </xdr:cNvPr>
        <xdr:cNvGrpSpPr/>
      </xdr:nvGrpSpPr>
      <xdr:grpSpPr>
        <a:xfrm>
          <a:off x="3421380" y="1996440"/>
          <a:ext cx="594360" cy="167640"/>
          <a:chOff x="3421380" y="2164080"/>
          <a:chExt cx="594360" cy="167640"/>
        </a:xfrm>
      </xdr:grpSpPr>
      <xdr:cxnSp macro="">
        <xdr:nvCxnSpPr>
          <xdr:cNvPr id="7424" name="Gerader Verbinder 7423">
            <a:extLst>
              <a:ext uri="{FF2B5EF4-FFF2-40B4-BE49-F238E27FC236}">
                <a16:creationId xmlns:a16="http://schemas.microsoft.com/office/drawing/2014/main" id="{3341089D-7025-18E0-A2C2-E5C15AD181B1}"/>
              </a:ext>
            </a:extLst>
          </xdr:cNvPr>
          <xdr:cNvCxnSpPr/>
        </xdr:nvCxnSpPr>
        <xdr:spPr>
          <a:xfrm>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25" name="Gerader Verbinder 7424">
            <a:extLst>
              <a:ext uri="{FF2B5EF4-FFF2-40B4-BE49-F238E27FC236}">
                <a16:creationId xmlns:a16="http://schemas.microsoft.com/office/drawing/2014/main" id="{2F4D3067-D9BB-BA25-8BA7-BF3B55A97626}"/>
              </a:ext>
            </a:extLst>
          </xdr:cNvPr>
          <xdr:cNvCxnSpPr/>
        </xdr:nvCxnSpPr>
        <xdr:spPr>
          <a:xfrm flipH="1">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7429" name="Cross_F12">
          <a:extLst>
            <a:ext uri="{FF2B5EF4-FFF2-40B4-BE49-F238E27FC236}">
              <a16:creationId xmlns:a16="http://schemas.microsoft.com/office/drawing/2014/main" id="{7A1D02B7-E132-0343-1B41-7177A05ED70B}"/>
            </a:ext>
          </a:extLst>
        </xdr:cNvPr>
        <xdr:cNvGrpSpPr/>
      </xdr:nvGrpSpPr>
      <xdr:grpSpPr>
        <a:xfrm>
          <a:off x="3421380" y="2164080"/>
          <a:ext cx="594360" cy="0"/>
          <a:chOff x="3421380" y="2331720"/>
          <a:chExt cx="594360" cy="167640"/>
        </a:xfrm>
      </xdr:grpSpPr>
      <xdr:cxnSp macro="">
        <xdr:nvCxnSpPr>
          <xdr:cNvPr id="7427" name="Gerader Verbinder 7426">
            <a:extLst>
              <a:ext uri="{FF2B5EF4-FFF2-40B4-BE49-F238E27FC236}">
                <a16:creationId xmlns:a16="http://schemas.microsoft.com/office/drawing/2014/main" id="{91B0DC11-4AAE-9A44-588F-2132029F6ABF}"/>
              </a:ext>
            </a:extLst>
          </xdr:cNvPr>
          <xdr:cNvCxnSpPr/>
        </xdr:nvCxnSpPr>
        <xdr:spPr>
          <a:xfrm>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28" name="Gerader Verbinder 7427">
            <a:extLst>
              <a:ext uri="{FF2B5EF4-FFF2-40B4-BE49-F238E27FC236}">
                <a16:creationId xmlns:a16="http://schemas.microsoft.com/office/drawing/2014/main" id="{8F1CE06B-CCDF-BB25-605F-8BCFCDC7566C}"/>
              </a:ext>
            </a:extLst>
          </xdr:cNvPr>
          <xdr:cNvCxnSpPr/>
        </xdr:nvCxnSpPr>
        <xdr:spPr>
          <a:xfrm flipH="1">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7432" name="Cross_F13">
          <a:extLst>
            <a:ext uri="{FF2B5EF4-FFF2-40B4-BE49-F238E27FC236}">
              <a16:creationId xmlns:a16="http://schemas.microsoft.com/office/drawing/2014/main" id="{D171F3B8-6338-6C5B-31E6-262F6B78CB6B}"/>
            </a:ext>
          </a:extLst>
        </xdr:cNvPr>
        <xdr:cNvGrpSpPr/>
      </xdr:nvGrpSpPr>
      <xdr:grpSpPr>
        <a:xfrm>
          <a:off x="3421380" y="2164080"/>
          <a:ext cx="594360" cy="228600"/>
          <a:chOff x="3421380" y="2499360"/>
          <a:chExt cx="594360" cy="228600"/>
        </a:xfrm>
      </xdr:grpSpPr>
      <xdr:cxnSp macro="">
        <xdr:nvCxnSpPr>
          <xdr:cNvPr id="7430" name="Gerader Verbinder 7429">
            <a:extLst>
              <a:ext uri="{FF2B5EF4-FFF2-40B4-BE49-F238E27FC236}">
                <a16:creationId xmlns:a16="http://schemas.microsoft.com/office/drawing/2014/main" id="{CBD22A1C-1A62-C0D4-80BD-9DC84C57A6B2}"/>
              </a:ext>
            </a:extLst>
          </xdr:cNvPr>
          <xdr:cNvCxnSpPr/>
        </xdr:nvCxnSpPr>
        <xdr:spPr>
          <a:xfrm>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31" name="Gerader Verbinder 7430">
            <a:extLst>
              <a:ext uri="{FF2B5EF4-FFF2-40B4-BE49-F238E27FC236}">
                <a16:creationId xmlns:a16="http://schemas.microsoft.com/office/drawing/2014/main" id="{45FE119A-4382-5BAE-F2E7-D03C107B9459}"/>
              </a:ext>
            </a:extLst>
          </xdr:cNvPr>
          <xdr:cNvCxnSpPr/>
        </xdr:nvCxnSpPr>
        <xdr:spPr>
          <a:xfrm flipH="1">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7435" name="Cross_F14">
          <a:extLst>
            <a:ext uri="{FF2B5EF4-FFF2-40B4-BE49-F238E27FC236}">
              <a16:creationId xmlns:a16="http://schemas.microsoft.com/office/drawing/2014/main" id="{EF65F1B6-EFF0-8DE0-F602-52C6A9C38620}"/>
            </a:ext>
          </a:extLst>
        </xdr:cNvPr>
        <xdr:cNvGrpSpPr/>
      </xdr:nvGrpSpPr>
      <xdr:grpSpPr>
        <a:xfrm>
          <a:off x="3421380" y="2392680"/>
          <a:ext cx="594360" cy="167640"/>
          <a:chOff x="3421380" y="2727960"/>
          <a:chExt cx="594360" cy="167640"/>
        </a:xfrm>
      </xdr:grpSpPr>
      <xdr:cxnSp macro="">
        <xdr:nvCxnSpPr>
          <xdr:cNvPr id="7433" name="Gerader Verbinder 7432">
            <a:extLst>
              <a:ext uri="{FF2B5EF4-FFF2-40B4-BE49-F238E27FC236}">
                <a16:creationId xmlns:a16="http://schemas.microsoft.com/office/drawing/2014/main" id="{517B2617-FE4E-CB95-592D-A9CBECB35A86}"/>
              </a:ext>
            </a:extLst>
          </xdr:cNvPr>
          <xdr:cNvCxnSpPr/>
        </xdr:nvCxnSpPr>
        <xdr:spPr>
          <a:xfrm>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34" name="Gerader Verbinder 7433">
            <a:extLst>
              <a:ext uri="{FF2B5EF4-FFF2-40B4-BE49-F238E27FC236}">
                <a16:creationId xmlns:a16="http://schemas.microsoft.com/office/drawing/2014/main" id="{149213D2-90E8-DD0B-6936-F3C9DC3BDA6D}"/>
              </a:ext>
            </a:extLst>
          </xdr:cNvPr>
          <xdr:cNvCxnSpPr/>
        </xdr:nvCxnSpPr>
        <xdr:spPr>
          <a:xfrm flipH="1">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7438" name="Cross_F15">
          <a:extLst>
            <a:ext uri="{FF2B5EF4-FFF2-40B4-BE49-F238E27FC236}">
              <a16:creationId xmlns:a16="http://schemas.microsoft.com/office/drawing/2014/main" id="{500BF0FC-46E8-71A1-73B8-32C51334BEA1}"/>
            </a:ext>
          </a:extLst>
        </xdr:cNvPr>
        <xdr:cNvGrpSpPr/>
      </xdr:nvGrpSpPr>
      <xdr:grpSpPr>
        <a:xfrm>
          <a:off x="3421380" y="2560320"/>
          <a:ext cx="594360" cy="0"/>
          <a:chOff x="3421380" y="2895600"/>
          <a:chExt cx="594360" cy="167640"/>
        </a:xfrm>
      </xdr:grpSpPr>
      <xdr:cxnSp macro="">
        <xdr:nvCxnSpPr>
          <xdr:cNvPr id="7436" name="Gerader Verbinder 7435">
            <a:extLst>
              <a:ext uri="{FF2B5EF4-FFF2-40B4-BE49-F238E27FC236}">
                <a16:creationId xmlns:a16="http://schemas.microsoft.com/office/drawing/2014/main" id="{430C157E-BA14-259E-5AED-2614768BF670}"/>
              </a:ext>
            </a:extLst>
          </xdr:cNvPr>
          <xdr:cNvCxnSpPr/>
        </xdr:nvCxnSpPr>
        <xdr:spPr>
          <a:xfrm>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37" name="Gerader Verbinder 7436">
            <a:extLst>
              <a:ext uri="{FF2B5EF4-FFF2-40B4-BE49-F238E27FC236}">
                <a16:creationId xmlns:a16="http://schemas.microsoft.com/office/drawing/2014/main" id="{B723EED5-3E20-2C26-F04E-6286ACDDB149}"/>
              </a:ext>
            </a:extLst>
          </xdr:cNvPr>
          <xdr:cNvCxnSpPr/>
        </xdr:nvCxnSpPr>
        <xdr:spPr>
          <a:xfrm flipH="1">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7441" name="Cross_F19">
          <a:extLst>
            <a:ext uri="{FF2B5EF4-FFF2-40B4-BE49-F238E27FC236}">
              <a16:creationId xmlns:a16="http://schemas.microsoft.com/office/drawing/2014/main" id="{D134B004-0217-314F-B94D-B5C0056EE320}"/>
            </a:ext>
          </a:extLst>
        </xdr:cNvPr>
        <xdr:cNvGrpSpPr/>
      </xdr:nvGrpSpPr>
      <xdr:grpSpPr>
        <a:xfrm>
          <a:off x="3421380" y="2956560"/>
          <a:ext cx="594360" cy="228600"/>
          <a:chOff x="3421380" y="3627120"/>
          <a:chExt cx="594360" cy="228600"/>
        </a:xfrm>
      </xdr:grpSpPr>
      <xdr:cxnSp macro="">
        <xdr:nvCxnSpPr>
          <xdr:cNvPr id="7439" name="Gerader Verbinder 7438">
            <a:extLst>
              <a:ext uri="{FF2B5EF4-FFF2-40B4-BE49-F238E27FC236}">
                <a16:creationId xmlns:a16="http://schemas.microsoft.com/office/drawing/2014/main" id="{95BFF574-47E4-B35D-ACE3-FABDF7E51438}"/>
              </a:ext>
            </a:extLst>
          </xdr:cNvPr>
          <xdr:cNvCxnSpPr/>
        </xdr:nvCxnSpPr>
        <xdr:spPr>
          <a:xfrm>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40" name="Gerader Verbinder 7439">
            <a:extLst>
              <a:ext uri="{FF2B5EF4-FFF2-40B4-BE49-F238E27FC236}">
                <a16:creationId xmlns:a16="http://schemas.microsoft.com/office/drawing/2014/main" id="{9D8BDE9A-0739-C289-F8F1-303A14674212}"/>
              </a:ext>
            </a:extLst>
          </xdr:cNvPr>
          <xdr:cNvCxnSpPr/>
        </xdr:nvCxnSpPr>
        <xdr:spPr>
          <a:xfrm flipH="1">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7444" name="Cross_F20">
          <a:extLst>
            <a:ext uri="{FF2B5EF4-FFF2-40B4-BE49-F238E27FC236}">
              <a16:creationId xmlns:a16="http://schemas.microsoft.com/office/drawing/2014/main" id="{B5CD4925-9858-E3B8-7F88-C855E8DD91B5}"/>
            </a:ext>
          </a:extLst>
        </xdr:cNvPr>
        <xdr:cNvGrpSpPr/>
      </xdr:nvGrpSpPr>
      <xdr:grpSpPr>
        <a:xfrm>
          <a:off x="3421380" y="3185160"/>
          <a:ext cx="594360" cy="167640"/>
          <a:chOff x="3421380" y="3855720"/>
          <a:chExt cx="594360" cy="167640"/>
        </a:xfrm>
      </xdr:grpSpPr>
      <xdr:cxnSp macro="">
        <xdr:nvCxnSpPr>
          <xdr:cNvPr id="7442" name="Gerader Verbinder 7441">
            <a:extLst>
              <a:ext uri="{FF2B5EF4-FFF2-40B4-BE49-F238E27FC236}">
                <a16:creationId xmlns:a16="http://schemas.microsoft.com/office/drawing/2014/main" id="{A36417BC-ED2B-81C6-0E7B-30422B7C791D}"/>
              </a:ext>
            </a:extLst>
          </xdr:cNvPr>
          <xdr:cNvCxnSpPr/>
        </xdr:nvCxnSpPr>
        <xdr:spPr>
          <a:xfrm>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43" name="Gerader Verbinder 7442">
            <a:extLst>
              <a:ext uri="{FF2B5EF4-FFF2-40B4-BE49-F238E27FC236}">
                <a16:creationId xmlns:a16="http://schemas.microsoft.com/office/drawing/2014/main" id="{C03726CB-7D2E-EFE0-061C-64938E821C8B}"/>
              </a:ext>
            </a:extLst>
          </xdr:cNvPr>
          <xdr:cNvCxnSpPr/>
        </xdr:nvCxnSpPr>
        <xdr:spPr>
          <a:xfrm flipH="1">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7447" name="Cross_F21">
          <a:extLst>
            <a:ext uri="{FF2B5EF4-FFF2-40B4-BE49-F238E27FC236}">
              <a16:creationId xmlns:a16="http://schemas.microsoft.com/office/drawing/2014/main" id="{25E5F563-E707-D9EC-E1A5-4AC109714752}"/>
            </a:ext>
          </a:extLst>
        </xdr:cNvPr>
        <xdr:cNvGrpSpPr/>
      </xdr:nvGrpSpPr>
      <xdr:grpSpPr>
        <a:xfrm>
          <a:off x="3421380" y="3352800"/>
          <a:ext cx="594360" cy="0"/>
          <a:chOff x="3421380" y="4023360"/>
          <a:chExt cx="594360" cy="167640"/>
        </a:xfrm>
      </xdr:grpSpPr>
      <xdr:cxnSp macro="">
        <xdr:nvCxnSpPr>
          <xdr:cNvPr id="7445" name="Gerader Verbinder 7444">
            <a:extLst>
              <a:ext uri="{FF2B5EF4-FFF2-40B4-BE49-F238E27FC236}">
                <a16:creationId xmlns:a16="http://schemas.microsoft.com/office/drawing/2014/main" id="{F6C87A3A-A7D0-7FE0-F438-E9189D81F662}"/>
              </a:ext>
            </a:extLst>
          </xdr:cNvPr>
          <xdr:cNvCxnSpPr/>
        </xdr:nvCxnSpPr>
        <xdr:spPr>
          <a:xfrm>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46" name="Gerader Verbinder 7445">
            <a:extLst>
              <a:ext uri="{FF2B5EF4-FFF2-40B4-BE49-F238E27FC236}">
                <a16:creationId xmlns:a16="http://schemas.microsoft.com/office/drawing/2014/main" id="{6A0079F2-6650-44F9-EB69-8FA5C069C6C8}"/>
              </a:ext>
            </a:extLst>
          </xdr:cNvPr>
          <xdr:cNvCxnSpPr/>
        </xdr:nvCxnSpPr>
        <xdr:spPr>
          <a:xfrm flipH="1">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7450" name="Cross_F28">
          <a:extLst>
            <a:ext uri="{FF2B5EF4-FFF2-40B4-BE49-F238E27FC236}">
              <a16:creationId xmlns:a16="http://schemas.microsoft.com/office/drawing/2014/main" id="{C3BE731C-C340-A203-B5AD-1C1A5A80AA3F}"/>
            </a:ext>
          </a:extLst>
        </xdr:cNvPr>
        <xdr:cNvGrpSpPr/>
      </xdr:nvGrpSpPr>
      <xdr:grpSpPr>
        <a:xfrm>
          <a:off x="3421380" y="4145280"/>
          <a:ext cx="594360" cy="228600"/>
          <a:chOff x="3421380" y="5318760"/>
          <a:chExt cx="594360" cy="228600"/>
        </a:xfrm>
      </xdr:grpSpPr>
      <xdr:cxnSp macro="">
        <xdr:nvCxnSpPr>
          <xdr:cNvPr id="7448" name="Gerader Verbinder 7447">
            <a:extLst>
              <a:ext uri="{FF2B5EF4-FFF2-40B4-BE49-F238E27FC236}">
                <a16:creationId xmlns:a16="http://schemas.microsoft.com/office/drawing/2014/main" id="{FF5268CB-DEEC-8177-9864-7DA8C36CD5D0}"/>
              </a:ext>
            </a:extLst>
          </xdr:cNvPr>
          <xdr:cNvCxnSpPr/>
        </xdr:nvCxnSpPr>
        <xdr:spPr>
          <a:xfrm>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49" name="Gerader Verbinder 7448">
            <a:extLst>
              <a:ext uri="{FF2B5EF4-FFF2-40B4-BE49-F238E27FC236}">
                <a16:creationId xmlns:a16="http://schemas.microsoft.com/office/drawing/2014/main" id="{1C3758B4-CF59-0C41-C864-E23AB770DA76}"/>
              </a:ext>
            </a:extLst>
          </xdr:cNvPr>
          <xdr:cNvCxnSpPr/>
        </xdr:nvCxnSpPr>
        <xdr:spPr>
          <a:xfrm flipH="1">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7453" name="Cross_F29">
          <a:extLst>
            <a:ext uri="{FF2B5EF4-FFF2-40B4-BE49-F238E27FC236}">
              <a16:creationId xmlns:a16="http://schemas.microsoft.com/office/drawing/2014/main" id="{46B750C3-D596-8E7E-273A-1F56372FE20C}"/>
            </a:ext>
          </a:extLst>
        </xdr:cNvPr>
        <xdr:cNvGrpSpPr/>
      </xdr:nvGrpSpPr>
      <xdr:grpSpPr>
        <a:xfrm>
          <a:off x="3421380" y="4373880"/>
          <a:ext cx="594360" cy="167640"/>
          <a:chOff x="3421380" y="5547360"/>
          <a:chExt cx="594360" cy="167640"/>
        </a:xfrm>
      </xdr:grpSpPr>
      <xdr:cxnSp macro="">
        <xdr:nvCxnSpPr>
          <xdr:cNvPr id="7451" name="Gerader Verbinder 7450">
            <a:extLst>
              <a:ext uri="{FF2B5EF4-FFF2-40B4-BE49-F238E27FC236}">
                <a16:creationId xmlns:a16="http://schemas.microsoft.com/office/drawing/2014/main" id="{14DFC49F-B106-E1BF-321F-65D88574E73C}"/>
              </a:ext>
            </a:extLst>
          </xdr:cNvPr>
          <xdr:cNvCxnSpPr/>
        </xdr:nvCxnSpPr>
        <xdr:spPr>
          <a:xfrm>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52" name="Gerader Verbinder 7451">
            <a:extLst>
              <a:ext uri="{FF2B5EF4-FFF2-40B4-BE49-F238E27FC236}">
                <a16:creationId xmlns:a16="http://schemas.microsoft.com/office/drawing/2014/main" id="{9C3D5A31-A16D-9F53-6630-E7D9699830EB}"/>
              </a:ext>
            </a:extLst>
          </xdr:cNvPr>
          <xdr:cNvCxnSpPr/>
        </xdr:nvCxnSpPr>
        <xdr:spPr>
          <a:xfrm flipH="1">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7456" name="Cross_F30">
          <a:extLst>
            <a:ext uri="{FF2B5EF4-FFF2-40B4-BE49-F238E27FC236}">
              <a16:creationId xmlns:a16="http://schemas.microsoft.com/office/drawing/2014/main" id="{3D58200A-2763-5301-06CB-FDFB981CAFB3}"/>
            </a:ext>
          </a:extLst>
        </xdr:cNvPr>
        <xdr:cNvGrpSpPr/>
      </xdr:nvGrpSpPr>
      <xdr:grpSpPr>
        <a:xfrm>
          <a:off x="3421380" y="4541520"/>
          <a:ext cx="594360" cy="0"/>
          <a:chOff x="3421380" y="5715000"/>
          <a:chExt cx="594360" cy="167640"/>
        </a:xfrm>
      </xdr:grpSpPr>
      <xdr:cxnSp macro="">
        <xdr:nvCxnSpPr>
          <xdr:cNvPr id="7454" name="Gerader Verbinder 7453">
            <a:extLst>
              <a:ext uri="{FF2B5EF4-FFF2-40B4-BE49-F238E27FC236}">
                <a16:creationId xmlns:a16="http://schemas.microsoft.com/office/drawing/2014/main" id="{6DAAF8DE-5DCC-2F9B-B386-18F5FF10FFC9}"/>
              </a:ext>
            </a:extLst>
          </xdr:cNvPr>
          <xdr:cNvCxnSpPr/>
        </xdr:nvCxnSpPr>
        <xdr:spPr>
          <a:xfrm>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55" name="Gerader Verbinder 7454">
            <a:extLst>
              <a:ext uri="{FF2B5EF4-FFF2-40B4-BE49-F238E27FC236}">
                <a16:creationId xmlns:a16="http://schemas.microsoft.com/office/drawing/2014/main" id="{7CDD9551-4361-CE82-AF7E-A970BEEE6379}"/>
              </a:ext>
            </a:extLst>
          </xdr:cNvPr>
          <xdr:cNvCxnSpPr/>
        </xdr:nvCxnSpPr>
        <xdr:spPr>
          <a:xfrm flipH="1">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7459" name="Cross_F37">
          <a:extLst>
            <a:ext uri="{FF2B5EF4-FFF2-40B4-BE49-F238E27FC236}">
              <a16:creationId xmlns:a16="http://schemas.microsoft.com/office/drawing/2014/main" id="{C39D833D-699A-B829-6C61-0DE7D0DA3DD2}"/>
            </a:ext>
          </a:extLst>
        </xdr:cNvPr>
        <xdr:cNvGrpSpPr/>
      </xdr:nvGrpSpPr>
      <xdr:grpSpPr>
        <a:xfrm>
          <a:off x="3421380" y="5334000"/>
          <a:ext cx="594360" cy="228600"/>
          <a:chOff x="3421380" y="7010400"/>
          <a:chExt cx="594360" cy="228600"/>
        </a:xfrm>
      </xdr:grpSpPr>
      <xdr:cxnSp macro="">
        <xdr:nvCxnSpPr>
          <xdr:cNvPr id="7457" name="Gerader Verbinder 7456">
            <a:extLst>
              <a:ext uri="{FF2B5EF4-FFF2-40B4-BE49-F238E27FC236}">
                <a16:creationId xmlns:a16="http://schemas.microsoft.com/office/drawing/2014/main" id="{9A8D2F93-737A-E00B-1C7A-2BF56C321211}"/>
              </a:ext>
            </a:extLst>
          </xdr:cNvPr>
          <xdr:cNvCxnSpPr/>
        </xdr:nvCxnSpPr>
        <xdr:spPr>
          <a:xfrm>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58" name="Gerader Verbinder 7457">
            <a:extLst>
              <a:ext uri="{FF2B5EF4-FFF2-40B4-BE49-F238E27FC236}">
                <a16:creationId xmlns:a16="http://schemas.microsoft.com/office/drawing/2014/main" id="{F98F8FCB-3E88-DB69-F610-A303F372FBD3}"/>
              </a:ext>
            </a:extLst>
          </xdr:cNvPr>
          <xdr:cNvCxnSpPr/>
        </xdr:nvCxnSpPr>
        <xdr:spPr>
          <a:xfrm flipH="1">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7462" name="Cross_F38">
          <a:extLst>
            <a:ext uri="{FF2B5EF4-FFF2-40B4-BE49-F238E27FC236}">
              <a16:creationId xmlns:a16="http://schemas.microsoft.com/office/drawing/2014/main" id="{2AAE3504-8084-8771-ECF3-490B4B37C12B}"/>
            </a:ext>
          </a:extLst>
        </xdr:cNvPr>
        <xdr:cNvGrpSpPr/>
      </xdr:nvGrpSpPr>
      <xdr:grpSpPr>
        <a:xfrm>
          <a:off x="3421380" y="5562600"/>
          <a:ext cx="594360" cy="167640"/>
          <a:chOff x="3421380" y="7239000"/>
          <a:chExt cx="594360" cy="167640"/>
        </a:xfrm>
      </xdr:grpSpPr>
      <xdr:cxnSp macro="">
        <xdr:nvCxnSpPr>
          <xdr:cNvPr id="7460" name="Gerader Verbinder 7459">
            <a:extLst>
              <a:ext uri="{FF2B5EF4-FFF2-40B4-BE49-F238E27FC236}">
                <a16:creationId xmlns:a16="http://schemas.microsoft.com/office/drawing/2014/main" id="{FAB32108-4488-3B82-74C5-B34AACFF026F}"/>
              </a:ext>
            </a:extLst>
          </xdr:cNvPr>
          <xdr:cNvCxnSpPr/>
        </xdr:nvCxnSpPr>
        <xdr:spPr>
          <a:xfrm>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61" name="Gerader Verbinder 7460">
            <a:extLst>
              <a:ext uri="{FF2B5EF4-FFF2-40B4-BE49-F238E27FC236}">
                <a16:creationId xmlns:a16="http://schemas.microsoft.com/office/drawing/2014/main" id="{47340F5C-BDD1-A89F-5668-7C66C4FE9EAD}"/>
              </a:ext>
            </a:extLst>
          </xdr:cNvPr>
          <xdr:cNvCxnSpPr/>
        </xdr:nvCxnSpPr>
        <xdr:spPr>
          <a:xfrm flipH="1">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7465" name="Cross_F39">
          <a:extLst>
            <a:ext uri="{FF2B5EF4-FFF2-40B4-BE49-F238E27FC236}">
              <a16:creationId xmlns:a16="http://schemas.microsoft.com/office/drawing/2014/main" id="{DC9833EB-6389-FA8D-0559-C1F6D5086E06}"/>
            </a:ext>
          </a:extLst>
        </xdr:cNvPr>
        <xdr:cNvGrpSpPr/>
      </xdr:nvGrpSpPr>
      <xdr:grpSpPr>
        <a:xfrm>
          <a:off x="3421380" y="5730240"/>
          <a:ext cx="594360" cy="0"/>
          <a:chOff x="3421380" y="7406640"/>
          <a:chExt cx="594360" cy="167640"/>
        </a:xfrm>
      </xdr:grpSpPr>
      <xdr:cxnSp macro="">
        <xdr:nvCxnSpPr>
          <xdr:cNvPr id="7463" name="Gerader Verbinder 7462">
            <a:extLst>
              <a:ext uri="{FF2B5EF4-FFF2-40B4-BE49-F238E27FC236}">
                <a16:creationId xmlns:a16="http://schemas.microsoft.com/office/drawing/2014/main" id="{EE98C496-E670-6344-A11E-C94BF2094909}"/>
              </a:ext>
            </a:extLst>
          </xdr:cNvPr>
          <xdr:cNvCxnSpPr/>
        </xdr:nvCxnSpPr>
        <xdr:spPr>
          <a:xfrm>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64" name="Gerader Verbinder 7463">
            <a:extLst>
              <a:ext uri="{FF2B5EF4-FFF2-40B4-BE49-F238E27FC236}">
                <a16:creationId xmlns:a16="http://schemas.microsoft.com/office/drawing/2014/main" id="{976B7B52-0A08-B970-D971-D3FF81439881}"/>
              </a:ext>
            </a:extLst>
          </xdr:cNvPr>
          <xdr:cNvCxnSpPr/>
        </xdr:nvCxnSpPr>
        <xdr:spPr>
          <a:xfrm flipH="1">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7468" name="Cross_F40">
          <a:extLst>
            <a:ext uri="{FF2B5EF4-FFF2-40B4-BE49-F238E27FC236}">
              <a16:creationId xmlns:a16="http://schemas.microsoft.com/office/drawing/2014/main" id="{BF1CB571-E351-98A8-B4A7-9DCDC400E2F2}"/>
            </a:ext>
          </a:extLst>
        </xdr:cNvPr>
        <xdr:cNvGrpSpPr/>
      </xdr:nvGrpSpPr>
      <xdr:grpSpPr>
        <a:xfrm>
          <a:off x="3421380" y="5730240"/>
          <a:ext cx="594360" cy="228600"/>
          <a:chOff x="3421380" y="7574280"/>
          <a:chExt cx="594360" cy="228600"/>
        </a:xfrm>
      </xdr:grpSpPr>
      <xdr:cxnSp macro="">
        <xdr:nvCxnSpPr>
          <xdr:cNvPr id="7466" name="Gerader Verbinder 7465">
            <a:extLst>
              <a:ext uri="{FF2B5EF4-FFF2-40B4-BE49-F238E27FC236}">
                <a16:creationId xmlns:a16="http://schemas.microsoft.com/office/drawing/2014/main" id="{A710B7E0-8F80-3908-7C67-A275D6A94B6E}"/>
              </a:ext>
            </a:extLst>
          </xdr:cNvPr>
          <xdr:cNvCxnSpPr/>
        </xdr:nvCxnSpPr>
        <xdr:spPr>
          <a:xfrm>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67" name="Gerader Verbinder 7466">
            <a:extLst>
              <a:ext uri="{FF2B5EF4-FFF2-40B4-BE49-F238E27FC236}">
                <a16:creationId xmlns:a16="http://schemas.microsoft.com/office/drawing/2014/main" id="{4172D9E4-3935-80FE-9017-FDDADC601382}"/>
              </a:ext>
            </a:extLst>
          </xdr:cNvPr>
          <xdr:cNvCxnSpPr/>
        </xdr:nvCxnSpPr>
        <xdr:spPr>
          <a:xfrm flipH="1">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7471" name="Cross_F41">
          <a:extLst>
            <a:ext uri="{FF2B5EF4-FFF2-40B4-BE49-F238E27FC236}">
              <a16:creationId xmlns:a16="http://schemas.microsoft.com/office/drawing/2014/main" id="{E4790D08-2D7F-C370-DB53-49DE409C7C6E}"/>
            </a:ext>
          </a:extLst>
        </xdr:cNvPr>
        <xdr:cNvGrpSpPr/>
      </xdr:nvGrpSpPr>
      <xdr:grpSpPr>
        <a:xfrm>
          <a:off x="3421380" y="5958840"/>
          <a:ext cx="594360" cy="167640"/>
          <a:chOff x="3421380" y="7802880"/>
          <a:chExt cx="594360" cy="167640"/>
        </a:xfrm>
      </xdr:grpSpPr>
      <xdr:cxnSp macro="">
        <xdr:nvCxnSpPr>
          <xdr:cNvPr id="7469" name="Gerader Verbinder 7468">
            <a:extLst>
              <a:ext uri="{FF2B5EF4-FFF2-40B4-BE49-F238E27FC236}">
                <a16:creationId xmlns:a16="http://schemas.microsoft.com/office/drawing/2014/main" id="{F257E857-F36E-6F9E-1D81-6139D7512106}"/>
              </a:ext>
            </a:extLst>
          </xdr:cNvPr>
          <xdr:cNvCxnSpPr/>
        </xdr:nvCxnSpPr>
        <xdr:spPr>
          <a:xfrm>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70" name="Gerader Verbinder 7469">
            <a:extLst>
              <a:ext uri="{FF2B5EF4-FFF2-40B4-BE49-F238E27FC236}">
                <a16:creationId xmlns:a16="http://schemas.microsoft.com/office/drawing/2014/main" id="{2286B106-E7DD-D136-BAAB-F1EB94B66190}"/>
              </a:ext>
            </a:extLst>
          </xdr:cNvPr>
          <xdr:cNvCxnSpPr/>
        </xdr:nvCxnSpPr>
        <xdr:spPr>
          <a:xfrm flipH="1">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7474" name="Cross_F42">
          <a:extLst>
            <a:ext uri="{FF2B5EF4-FFF2-40B4-BE49-F238E27FC236}">
              <a16:creationId xmlns:a16="http://schemas.microsoft.com/office/drawing/2014/main" id="{607A53C3-C8BD-0F42-9C43-4AFBA2D69FF1}"/>
            </a:ext>
          </a:extLst>
        </xdr:cNvPr>
        <xdr:cNvGrpSpPr/>
      </xdr:nvGrpSpPr>
      <xdr:grpSpPr>
        <a:xfrm>
          <a:off x="3421380" y="6126480"/>
          <a:ext cx="594360" cy="0"/>
          <a:chOff x="3421380" y="7970520"/>
          <a:chExt cx="594360" cy="167640"/>
        </a:xfrm>
      </xdr:grpSpPr>
      <xdr:cxnSp macro="">
        <xdr:nvCxnSpPr>
          <xdr:cNvPr id="7472" name="Gerader Verbinder 7471">
            <a:extLst>
              <a:ext uri="{FF2B5EF4-FFF2-40B4-BE49-F238E27FC236}">
                <a16:creationId xmlns:a16="http://schemas.microsoft.com/office/drawing/2014/main" id="{54B73DB0-D6A3-F747-0AB6-C14593113B61}"/>
              </a:ext>
            </a:extLst>
          </xdr:cNvPr>
          <xdr:cNvCxnSpPr/>
        </xdr:nvCxnSpPr>
        <xdr:spPr>
          <a:xfrm>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73" name="Gerader Verbinder 7472">
            <a:extLst>
              <a:ext uri="{FF2B5EF4-FFF2-40B4-BE49-F238E27FC236}">
                <a16:creationId xmlns:a16="http://schemas.microsoft.com/office/drawing/2014/main" id="{5F9214BC-2A3F-2A32-178E-1F274FA207F0}"/>
              </a:ext>
            </a:extLst>
          </xdr:cNvPr>
          <xdr:cNvCxnSpPr/>
        </xdr:nvCxnSpPr>
        <xdr:spPr>
          <a:xfrm flipH="1">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7477" name="Cross_F43">
          <a:extLst>
            <a:ext uri="{FF2B5EF4-FFF2-40B4-BE49-F238E27FC236}">
              <a16:creationId xmlns:a16="http://schemas.microsoft.com/office/drawing/2014/main" id="{374577D5-75C8-4A56-E751-A047B4A35087}"/>
            </a:ext>
          </a:extLst>
        </xdr:cNvPr>
        <xdr:cNvGrpSpPr/>
      </xdr:nvGrpSpPr>
      <xdr:grpSpPr>
        <a:xfrm>
          <a:off x="3421380" y="6126480"/>
          <a:ext cx="594360" cy="228600"/>
          <a:chOff x="3421380" y="8138160"/>
          <a:chExt cx="594360" cy="228600"/>
        </a:xfrm>
      </xdr:grpSpPr>
      <xdr:cxnSp macro="">
        <xdr:nvCxnSpPr>
          <xdr:cNvPr id="7475" name="Gerader Verbinder 7474">
            <a:extLst>
              <a:ext uri="{FF2B5EF4-FFF2-40B4-BE49-F238E27FC236}">
                <a16:creationId xmlns:a16="http://schemas.microsoft.com/office/drawing/2014/main" id="{22092852-2F99-BBF6-D5A0-74184922E1DF}"/>
              </a:ext>
            </a:extLst>
          </xdr:cNvPr>
          <xdr:cNvCxnSpPr/>
        </xdr:nvCxnSpPr>
        <xdr:spPr>
          <a:xfrm>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76" name="Gerader Verbinder 7475">
            <a:extLst>
              <a:ext uri="{FF2B5EF4-FFF2-40B4-BE49-F238E27FC236}">
                <a16:creationId xmlns:a16="http://schemas.microsoft.com/office/drawing/2014/main" id="{0FB96F80-57C7-B40A-BFBC-02E6E076E2B2}"/>
              </a:ext>
            </a:extLst>
          </xdr:cNvPr>
          <xdr:cNvCxnSpPr/>
        </xdr:nvCxnSpPr>
        <xdr:spPr>
          <a:xfrm flipH="1">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7480" name="Cross_F44">
          <a:extLst>
            <a:ext uri="{FF2B5EF4-FFF2-40B4-BE49-F238E27FC236}">
              <a16:creationId xmlns:a16="http://schemas.microsoft.com/office/drawing/2014/main" id="{20E0EFAC-7852-92E4-3F45-7ED525002680}"/>
            </a:ext>
          </a:extLst>
        </xdr:cNvPr>
        <xdr:cNvGrpSpPr/>
      </xdr:nvGrpSpPr>
      <xdr:grpSpPr>
        <a:xfrm>
          <a:off x="3421380" y="6355080"/>
          <a:ext cx="594360" cy="167640"/>
          <a:chOff x="3421380" y="8366760"/>
          <a:chExt cx="594360" cy="167640"/>
        </a:xfrm>
      </xdr:grpSpPr>
      <xdr:cxnSp macro="">
        <xdr:nvCxnSpPr>
          <xdr:cNvPr id="7478" name="Gerader Verbinder 7477">
            <a:extLst>
              <a:ext uri="{FF2B5EF4-FFF2-40B4-BE49-F238E27FC236}">
                <a16:creationId xmlns:a16="http://schemas.microsoft.com/office/drawing/2014/main" id="{2535F7E1-F46B-B875-7A16-738E539AA0A7}"/>
              </a:ext>
            </a:extLst>
          </xdr:cNvPr>
          <xdr:cNvCxnSpPr/>
        </xdr:nvCxnSpPr>
        <xdr:spPr>
          <a:xfrm>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79" name="Gerader Verbinder 7478">
            <a:extLst>
              <a:ext uri="{FF2B5EF4-FFF2-40B4-BE49-F238E27FC236}">
                <a16:creationId xmlns:a16="http://schemas.microsoft.com/office/drawing/2014/main" id="{1205DD97-70E2-00CD-E515-BA533AD16B6D}"/>
              </a:ext>
            </a:extLst>
          </xdr:cNvPr>
          <xdr:cNvCxnSpPr/>
        </xdr:nvCxnSpPr>
        <xdr:spPr>
          <a:xfrm flipH="1">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7483" name="Cross_F45">
          <a:extLst>
            <a:ext uri="{FF2B5EF4-FFF2-40B4-BE49-F238E27FC236}">
              <a16:creationId xmlns:a16="http://schemas.microsoft.com/office/drawing/2014/main" id="{C4E1B778-1553-3004-1FA5-A5D813A2F6C3}"/>
            </a:ext>
          </a:extLst>
        </xdr:cNvPr>
        <xdr:cNvGrpSpPr/>
      </xdr:nvGrpSpPr>
      <xdr:grpSpPr>
        <a:xfrm>
          <a:off x="3421380" y="6522720"/>
          <a:ext cx="594360" cy="0"/>
          <a:chOff x="3421380" y="8534400"/>
          <a:chExt cx="594360" cy="167640"/>
        </a:xfrm>
      </xdr:grpSpPr>
      <xdr:cxnSp macro="">
        <xdr:nvCxnSpPr>
          <xdr:cNvPr id="7481" name="Gerader Verbinder 7480">
            <a:extLst>
              <a:ext uri="{FF2B5EF4-FFF2-40B4-BE49-F238E27FC236}">
                <a16:creationId xmlns:a16="http://schemas.microsoft.com/office/drawing/2014/main" id="{85AD6724-7F04-C6B4-B6D7-45E29ADACBAF}"/>
              </a:ext>
            </a:extLst>
          </xdr:cNvPr>
          <xdr:cNvCxnSpPr/>
        </xdr:nvCxnSpPr>
        <xdr:spPr>
          <a:xfrm>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82" name="Gerader Verbinder 7481">
            <a:extLst>
              <a:ext uri="{FF2B5EF4-FFF2-40B4-BE49-F238E27FC236}">
                <a16:creationId xmlns:a16="http://schemas.microsoft.com/office/drawing/2014/main" id="{EBD23C8C-5549-2888-0B5F-373920818C8C}"/>
              </a:ext>
            </a:extLst>
          </xdr:cNvPr>
          <xdr:cNvCxnSpPr/>
        </xdr:nvCxnSpPr>
        <xdr:spPr>
          <a:xfrm flipH="1">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7486" name="Cross_F46">
          <a:extLst>
            <a:ext uri="{FF2B5EF4-FFF2-40B4-BE49-F238E27FC236}">
              <a16:creationId xmlns:a16="http://schemas.microsoft.com/office/drawing/2014/main" id="{8528C615-4662-C9EB-A23D-2816868590CF}"/>
            </a:ext>
          </a:extLst>
        </xdr:cNvPr>
        <xdr:cNvGrpSpPr/>
      </xdr:nvGrpSpPr>
      <xdr:grpSpPr>
        <a:xfrm>
          <a:off x="3421380" y="6522720"/>
          <a:ext cx="594360" cy="228600"/>
          <a:chOff x="3421380" y="8702040"/>
          <a:chExt cx="594360" cy="228600"/>
        </a:xfrm>
      </xdr:grpSpPr>
      <xdr:cxnSp macro="">
        <xdr:nvCxnSpPr>
          <xdr:cNvPr id="7484" name="Gerader Verbinder 7483">
            <a:extLst>
              <a:ext uri="{FF2B5EF4-FFF2-40B4-BE49-F238E27FC236}">
                <a16:creationId xmlns:a16="http://schemas.microsoft.com/office/drawing/2014/main" id="{8DCB7D88-A514-42E3-5E03-D8D3761B3A13}"/>
              </a:ext>
            </a:extLst>
          </xdr:cNvPr>
          <xdr:cNvCxnSpPr/>
        </xdr:nvCxnSpPr>
        <xdr:spPr>
          <a:xfrm>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85" name="Gerader Verbinder 7484">
            <a:extLst>
              <a:ext uri="{FF2B5EF4-FFF2-40B4-BE49-F238E27FC236}">
                <a16:creationId xmlns:a16="http://schemas.microsoft.com/office/drawing/2014/main" id="{6AF86C7E-3DF8-7728-ADC0-8B68A7D2A315}"/>
              </a:ext>
            </a:extLst>
          </xdr:cNvPr>
          <xdr:cNvCxnSpPr/>
        </xdr:nvCxnSpPr>
        <xdr:spPr>
          <a:xfrm flipH="1">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7489" name="Cross_F47">
          <a:extLst>
            <a:ext uri="{FF2B5EF4-FFF2-40B4-BE49-F238E27FC236}">
              <a16:creationId xmlns:a16="http://schemas.microsoft.com/office/drawing/2014/main" id="{9E4AC07E-D38D-5BD5-302B-C3134E9A6BC4}"/>
            </a:ext>
          </a:extLst>
        </xdr:cNvPr>
        <xdr:cNvGrpSpPr/>
      </xdr:nvGrpSpPr>
      <xdr:grpSpPr>
        <a:xfrm>
          <a:off x="3421380" y="6751320"/>
          <a:ext cx="594360" cy="167640"/>
          <a:chOff x="3421380" y="8930640"/>
          <a:chExt cx="594360" cy="167640"/>
        </a:xfrm>
      </xdr:grpSpPr>
      <xdr:cxnSp macro="">
        <xdr:nvCxnSpPr>
          <xdr:cNvPr id="7487" name="Gerader Verbinder 7486">
            <a:extLst>
              <a:ext uri="{FF2B5EF4-FFF2-40B4-BE49-F238E27FC236}">
                <a16:creationId xmlns:a16="http://schemas.microsoft.com/office/drawing/2014/main" id="{3FCB13E5-B034-410A-26DB-6112B82F7A63}"/>
              </a:ext>
            </a:extLst>
          </xdr:cNvPr>
          <xdr:cNvCxnSpPr/>
        </xdr:nvCxnSpPr>
        <xdr:spPr>
          <a:xfrm>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88" name="Gerader Verbinder 7487">
            <a:extLst>
              <a:ext uri="{FF2B5EF4-FFF2-40B4-BE49-F238E27FC236}">
                <a16:creationId xmlns:a16="http://schemas.microsoft.com/office/drawing/2014/main" id="{66CA3077-4EDD-B274-F567-E872AA93FB70}"/>
              </a:ext>
            </a:extLst>
          </xdr:cNvPr>
          <xdr:cNvCxnSpPr/>
        </xdr:nvCxnSpPr>
        <xdr:spPr>
          <a:xfrm flipH="1">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7492" name="Cross_F48">
          <a:extLst>
            <a:ext uri="{FF2B5EF4-FFF2-40B4-BE49-F238E27FC236}">
              <a16:creationId xmlns:a16="http://schemas.microsoft.com/office/drawing/2014/main" id="{1FBD0688-5A20-3E36-7230-B0432588A718}"/>
            </a:ext>
          </a:extLst>
        </xdr:cNvPr>
        <xdr:cNvGrpSpPr/>
      </xdr:nvGrpSpPr>
      <xdr:grpSpPr>
        <a:xfrm>
          <a:off x="3421380" y="6918960"/>
          <a:ext cx="594360" cy="0"/>
          <a:chOff x="3421380" y="9098280"/>
          <a:chExt cx="594360" cy="167640"/>
        </a:xfrm>
      </xdr:grpSpPr>
      <xdr:cxnSp macro="">
        <xdr:nvCxnSpPr>
          <xdr:cNvPr id="7490" name="Gerader Verbinder 7489">
            <a:extLst>
              <a:ext uri="{FF2B5EF4-FFF2-40B4-BE49-F238E27FC236}">
                <a16:creationId xmlns:a16="http://schemas.microsoft.com/office/drawing/2014/main" id="{3D2C75DE-720C-340D-EB05-D12C6FB0E2FF}"/>
              </a:ext>
            </a:extLst>
          </xdr:cNvPr>
          <xdr:cNvCxnSpPr/>
        </xdr:nvCxnSpPr>
        <xdr:spPr>
          <a:xfrm>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91" name="Gerader Verbinder 7490">
            <a:extLst>
              <a:ext uri="{FF2B5EF4-FFF2-40B4-BE49-F238E27FC236}">
                <a16:creationId xmlns:a16="http://schemas.microsoft.com/office/drawing/2014/main" id="{02E064C8-698F-25E3-3C37-C676834B9414}"/>
              </a:ext>
            </a:extLst>
          </xdr:cNvPr>
          <xdr:cNvCxnSpPr/>
        </xdr:nvCxnSpPr>
        <xdr:spPr>
          <a:xfrm flipH="1">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7495" name="Cross_F55">
          <a:extLst>
            <a:ext uri="{FF2B5EF4-FFF2-40B4-BE49-F238E27FC236}">
              <a16:creationId xmlns:a16="http://schemas.microsoft.com/office/drawing/2014/main" id="{259DA652-8DF9-4473-D16B-ACAC1FB12980}"/>
            </a:ext>
          </a:extLst>
        </xdr:cNvPr>
        <xdr:cNvGrpSpPr/>
      </xdr:nvGrpSpPr>
      <xdr:grpSpPr>
        <a:xfrm>
          <a:off x="3421380" y="7711440"/>
          <a:ext cx="594360" cy="228600"/>
          <a:chOff x="3421380" y="10393680"/>
          <a:chExt cx="594360" cy="228600"/>
        </a:xfrm>
      </xdr:grpSpPr>
      <xdr:cxnSp macro="">
        <xdr:nvCxnSpPr>
          <xdr:cNvPr id="7493" name="Gerader Verbinder 7492">
            <a:extLst>
              <a:ext uri="{FF2B5EF4-FFF2-40B4-BE49-F238E27FC236}">
                <a16:creationId xmlns:a16="http://schemas.microsoft.com/office/drawing/2014/main" id="{AF1BA98D-7CCA-4AEB-57D9-FC901DC280BB}"/>
              </a:ext>
            </a:extLst>
          </xdr:cNvPr>
          <xdr:cNvCxnSpPr/>
        </xdr:nvCxnSpPr>
        <xdr:spPr>
          <a:xfrm>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94" name="Gerader Verbinder 7493">
            <a:extLst>
              <a:ext uri="{FF2B5EF4-FFF2-40B4-BE49-F238E27FC236}">
                <a16:creationId xmlns:a16="http://schemas.microsoft.com/office/drawing/2014/main" id="{2BCD863E-7244-5E1D-9663-A74AE4F2F5C8}"/>
              </a:ext>
            </a:extLst>
          </xdr:cNvPr>
          <xdr:cNvCxnSpPr/>
        </xdr:nvCxnSpPr>
        <xdr:spPr>
          <a:xfrm flipH="1">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7498" name="Cross_F56">
          <a:extLst>
            <a:ext uri="{FF2B5EF4-FFF2-40B4-BE49-F238E27FC236}">
              <a16:creationId xmlns:a16="http://schemas.microsoft.com/office/drawing/2014/main" id="{F4BBF8D1-7681-4662-7390-0304AE2E90CE}"/>
            </a:ext>
          </a:extLst>
        </xdr:cNvPr>
        <xdr:cNvGrpSpPr/>
      </xdr:nvGrpSpPr>
      <xdr:grpSpPr>
        <a:xfrm>
          <a:off x="3421380" y="7940040"/>
          <a:ext cx="594360" cy="167640"/>
          <a:chOff x="3421380" y="10622280"/>
          <a:chExt cx="594360" cy="167640"/>
        </a:xfrm>
      </xdr:grpSpPr>
      <xdr:cxnSp macro="">
        <xdr:nvCxnSpPr>
          <xdr:cNvPr id="7496" name="Gerader Verbinder 7495">
            <a:extLst>
              <a:ext uri="{FF2B5EF4-FFF2-40B4-BE49-F238E27FC236}">
                <a16:creationId xmlns:a16="http://schemas.microsoft.com/office/drawing/2014/main" id="{E26746BA-1246-8C4F-D502-2DE9F8F78C2A}"/>
              </a:ext>
            </a:extLst>
          </xdr:cNvPr>
          <xdr:cNvCxnSpPr/>
        </xdr:nvCxnSpPr>
        <xdr:spPr>
          <a:xfrm>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97" name="Gerader Verbinder 7496">
            <a:extLst>
              <a:ext uri="{FF2B5EF4-FFF2-40B4-BE49-F238E27FC236}">
                <a16:creationId xmlns:a16="http://schemas.microsoft.com/office/drawing/2014/main" id="{DED17B71-A21F-AA02-64B0-5BC5A0F605E5}"/>
              </a:ext>
            </a:extLst>
          </xdr:cNvPr>
          <xdr:cNvCxnSpPr/>
        </xdr:nvCxnSpPr>
        <xdr:spPr>
          <a:xfrm flipH="1">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7501" name="Cross_F57">
          <a:extLst>
            <a:ext uri="{FF2B5EF4-FFF2-40B4-BE49-F238E27FC236}">
              <a16:creationId xmlns:a16="http://schemas.microsoft.com/office/drawing/2014/main" id="{7343A0E0-82A9-7F40-BDF3-A2AC72D1C1A6}"/>
            </a:ext>
          </a:extLst>
        </xdr:cNvPr>
        <xdr:cNvGrpSpPr/>
      </xdr:nvGrpSpPr>
      <xdr:grpSpPr>
        <a:xfrm>
          <a:off x="3421380" y="8107680"/>
          <a:ext cx="594360" cy="0"/>
          <a:chOff x="3421380" y="10789920"/>
          <a:chExt cx="594360" cy="167640"/>
        </a:xfrm>
      </xdr:grpSpPr>
      <xdr:cxnSp macro="">
        <xdr:nvCxnSpPr>
          <xdr:cNvPr id="7499" name="Gerader Verbinder 7498">
            <a:extLst>
              <a:ext uri="{FF2B5EF4-FFF2-40B4-BE49-F238E27FC236}">
                <a16:creationId xmlns:a16="http://schemas.microsoft.com/office/drawing/2014/main" id="{07C1DA31-A6F8-85E8-36AF-ACCCACEE87E2}"/>
              </a:ext>
            </a:extLst>
          </xdr:cNvPr>
          <xdr:cNvCxnSpPr/>
        </xdr:nvCxnSpPr>
        <xdr:spPr>
          <a:xfrm>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00" name="Gerader Verbinder 7499">
            <a:extLst>
              <a:ext uri="{FF2B5EF4-FFF2-40B4-BE49-F238E27FC236}">
                <a16:creationId xmlns:a16="http://schemas.microsoft.com/office/drawing/2014/main" id="{DB886D08-4CDE-B771-7D15-5A8F5A6C7435}"/>
              </a:ext>
            </a:extLst>
          </xdr:cNvPr>
          <xdr:cNvCxnSpPr/>
        </xdr:nvCxnSpPr>
        <xdr:spPr>
          <a:xfrm flipH="1">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7504" name="Cross_F58">
          <a:extLst>
            <a:ext uri="{FF2B5EF4-FFF2-40B4-BE49-F238E27FC236}">
              <a16:creationId xmlns:a16="http://schemas.microsoft.com/office/drawing/2014/main" id="{8220E8A6-E52D-3DC9-B265-DB0448C5A6E2}"/>
            </a:ext>
          </a:extLst>
        </xdr:cNvPr>
        <xdr:cNvGrpSpPr/>
      </xdr:nvGrpSpPr>
      <xdr:grpSpPr>
        <a:xfrm>
          <a:off x="3421380" y="8107680"/>
          <a:ext cx="594360" cy="228600"/>
          <a:chOff x="3421380" y="10957560"/>
          <a:chExt cx="594360" cy="228600"/>
        </a:xfrm>
      </xdr:grpSpPr>
      <xdr:cxnSp macro="">
        <xdr:nvCxnSpPr>
          <xdr:cNvPr id="7502" name="Gerader Verbinder 7501">
            <a:extLst>
              <a:ext uri="{FF2B5EF4-FFF2-40B4-BE49-F238E27FC236}">
                <a16:creationId xmlns:a16="http://schemas.microsoft.com/office/drawing/2014/main" id="{DF450D94-02AA-AD41-CE48-BE0DCB0433E3}"/>
              </a:ext>
            </a:extLst>
          </xdr:cNvPr>
          <xdr:cNvCxnSpPr/>
        </xdr:nvCxnSpPr>
        <xdr:spPr>
          <a:xfrm>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03" name="Gerader Verbinder 7502">
            <a:extLst>
              <a:ext uri="{FF2B5EF4-FFF2-40B4-BE49-F238E27FC236}">
                <a16:creationId xmlns:a16="http://schemas.microsoft.com/office/drawing/2014/main" id="{8D5818B3-863B-FA26-DC3D-6ADE0AC03973}"/>
              </a:ext>
            </a:extLst>
          </xdr:cNvPr>
          <xdr:cNvCxnSpPr/>
        </xdr:nvCxnSpPr>
        <xdr:spPr>
          <a:xfrm flipH="1">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7507" name="Cross_F59">
          <a:extLst>
            <a:ext uri="{FF2B5EF4-FFF2-40B4-BE49-F238E27FC236}">
              <a16:creationId xmlns:a16="http://schemas.microsoft.com/office/drawing/2014/main" id="{CC4B50BD-E93B-C1B6-ECC8-E93D2A618175}"/>
            </a:ext>
          </a:extLst>
        </xdr:cNvPr>
        <xdr:cNvGrpSpPr/>
      </xdr:nvGrpSpPr>
      <xdr:grpSpPr>
        <a:xfrm>
          <a:off x="3421380" y="8336280"/>
          <a:ext cx="594360" cy="167640"/>
          <a:chOff x="3421380" y="11186160"/>
          <a:chExt cx="594360" cy="167640"/>
        </a:xfrm>
      </xdr:grpSpPr>
      <xdr:cxnSp macro="">
        <xdr:nvCxnSpPr>
          <xdr:cNvPr id="7505" name="Gerader Verbinder 7504">
            <a:extLst>
              <a:ext uri="{FF2B5EF4-FFF2-40B4-BE49-F238E27FC236}">
                <a16:creationId xmlns:a16="http://schemas.microsoft.com/office/drawing/2014/main" id="{380E6850-A0D7-5F57-7089-6FDD7921A00A}"/>
              </a:ext>
            </a:extLst>
          </xdr:cNvPr>
          <xdr:cNvCxnSpPr/>
        </xdr:nvCxnSpPr>
        <xdr:spPr>
          <a:xfrm>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06" name="Gerader Verbinder 7505">
            <a:extLst>
              <a:ext uri="{FF2B5EF4-FFF2-40B4-BE49-F238E27FC236}">
                <a16:creationId xmlns:a16="http://schemas.microsoft.com/office/drawing/2014/main" id="{34B62781-852D-970E-185E-C03E0F36F12A}"/>
              </a:ext>
            </a:extLst>
          </xdr:cNvPr>
          <xdr:cNvCxnSpPr/>
        </xdr:nvCxnSpPr>
        <xdr:spPr>
          <a:xfrm flipH="1">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7510" name="Cross_F60">
          <a:extLst>
            <a:ext uri="{FF2B5EF4-FFF2-40B4-BE49-F238E27FC236}">
              <a16:creationId xmlns:a16="http://schemas.microsoft.com/office/drawing/2014/main" id="{B89D972D-2FA3-06EB-AA64-4CFFD5FF7243}"/>
            </a:ext>
          </a:extLst>
        </xdr:cNvPr>
        <xdr:cNvGrpSpPr/>
      </xdr:nvGrpSpPr>
      <xdr:grpSpPr>
        <a:xfrm>
          <a:off x="3421380" y="8503920"/>
          <a:ext cx="594360" cy="0"/>
          <a:chOff x="3421380" y="11353800"/>
          <a:chExt cx="594360" cy="167640"/>
        </a:xfrm>
      </xdr:grpSpPr>
      <xdr:cxnSp macro="">
        <xdr:nvCxnSpPr>
          <xdr:cNvPr id="7508" name="Gerader Verbinder 7507">
            <a:extLst>
              <a:ext uri="{FF2B5EF4-FFF2-40B4-BE49-F238E27FC236}">
                <a16:creationId xmlns:a16="http://schemas.microsoft.com/office/drawing/2014/main" id="{BB49BFF8-0904-6B88-411B-21937669E4CD}"/>
              </a:ext>
            </a:extLst>
          </xdr:cNvPr>
          <xdr:cNvCxnSpPr/>
        </xdr:nvCxnSpPr>
        <xdr:spPr>
          <a:xfrm>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09" name="Gerader Verbinder 7508">
            <a:extLst>
              <a:ext uri="{FF2B5EF4-FFF2-40B4-BE49-F238E27FC236}">
                <a16:creationId xmlns:a16="http://schemas.microsoft.com/office/drawing/2014/main" id="{C4184BAA-1979-3572-398F-37CCFF529BA5}"/>
              </a:ext>
            </a:extLst>
          </xdr:cNvPr>
          <xdr:cNvCxnSpPr/>
        </xdr:nvCxnSpPr>
        <xdr:spPr>
          <a:xfrm flipH="1">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7513" name="Cross_F61">
          <a:extLst>
            <a:ext uri="{FF2B5EF4-FFF2-40B4-BE49-F238E27FC236}">
              <a16:creationId xmlns:a16="http://schemas.microsoft.com/office/drawing/2014/main" id="{E4882524-8743-43FE-6F33-E06AA1FB2B52}"/>
            </a:ext>
          </a:extLst>
        </xdr:cNvPr>
        <xdr:cNvGrpSpPr/>
      </xdr:nvGrpSpPr>
      <xdr:grpSpPr>
        <a:xfrm>
          <a:off x="3421380" y="8503920"/>
          <a:ext cx="594360" cy="228600"/>
          <a:chOff x="3421380" y="11521440"/>
          <a:chExt cx="594360" cy="228600"/>
        </a:xfrm>
      </xdr:grpSpPr>
      <xdr:cxnSp macro="">
        <xdr:nvCxnSpPr>
          <xdr:cNvPr id="7511" name="Gerader Verbinder 7510">
            <a:extLst>
              <a:ext uri="{FF2B5EF4-FFF2-40B4-BE49-F238E27FC236}">
                <a16:creationId xmlns:a16="http://schemas.microsoft.com/office/drawing/2014/main" id="{8DE4AE92-3368-8A67-33E3-0BF6321CE009}"/>
              </a:ext>
            </a:extLst>
          </xdr:cNvPr>
          <xdr:cNvCxnSpPr/>
        </xdr:nvCxnSpPr>
        <xdr:spPr>
          <a:xfrm>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12" name="Gerader Verbinder 7511">
            <a:extLst>
              <a:ext uri="{FF2B5EF4-FFF2-40B4-BE49-F238E27FC236}">
                <a16:creationId xmlns:a16="http://schemas.microsoft.com/office/drawing/2014/main" id="{855CD2CC-70A9-5679-133C-C5A4B708EFA9}"/>
              </a:ext>
            </a:extLst>
          </xdr:cNvPr>
          <xdr:cNvCxnSpPr/>
        </xdr:nvCxnSpPr>
        <xdr:spPr>
          <a:xfrm flipH="1">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7516" name="Cross_F62">
          <a:extLst>
            <a:ext uri="{FF2B5EF4-FFF2-40B4-BE49-F238E27FC236}">
              <a16:creationId xmlns:a16="http://schemas.microsoft.com/office/drawing/2014/main" id="{2FCF3104-00EB-18C3-5F0B-5F611CD50B19}"/>
            </a:ext>
          </a:extLst>
        </xdr:cNvPr>
        <xdr:cNvGrpSpPr/>
      </xdr:nvGrpSpPr>
      <xdr:grpSpPr>
        <a:xfrm>
          <a:off x="3421380" y="8732520"/>
          <a:ext cx="594360" cy="167640"/>
          <a:chOff x="3421380" y="11750040"/>
          <a:chExt cx="594360" cy="167640"/>
        </a:xfrm>
      </xdr:grpSpPr>
      <xdr:cxnSp macro="">
        <xdr:nvCxnSpPr>
          <xdr:cNvPr id="7514" name="Gerader Verbinder 7513">
            <a:extLst>
              <a:ext uri="{FF2B5EF4-FFF2-40B4-BE49-F238E27FC236}">
                <a16:creationId xmlns:a16="http://schemas.microsoft.com/office/drawing/2014/main" id="{AE61060E-ABCA-C0E3-D730-17E50B4AE30A}"/>
              </a:ext>
            </a:extLst>
          </xdr:cNvPr>
          <xdr:cNvCxnSpPr/>
        </xdr:nvCxnSpPr>
        <xdr:spPr>
          <a:xfrm>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15" name="Gerader Verbinder 7514">
            <a:extLst>
              <a:ext uri="{FF2B5EF4-FFF2-40B4-BE49-F238E27FC236}">
                <a16:creationId xmlns:a16="http://schemas.microsoft.com/office/drawing/2014/main" id="{ACECE08C-5CC2-93F5-5F52-280F5CD63C1B}"/>
              </a:ext>
            </a:extLst>
          </xdr:cNvPr>
          <xdr:cNvCxnSpPr/>
        </xdr:nvCxnSpPr>
        <xdr:spPr>
          <a:xfrm flipH="1">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7519" name="Cross_F63">
          <a:extLst>
            <a:ext uri="{FF2B5EF4-FFF2-40B4-BE49-F238E27FC236}">
              <a16:creationId xmlns:a16="http://schemas.microsoft.com/office/drawing/2014/main" id="{6B4A5695-5E5E-3151-23EF-075072022D85}"/>
            </a:ext>
          </a:extLst>
        </xdr:cNvPr>
        <xdr:cNvGrpSpPr/>
      </xdr:nvGrpSpPr>
      <xdr:grpSpPr>
        <a:xfrm>
          <a:off x="3421380" y="8900160"/>
          <a:ext cx="594360" cy="0"/>
          <a:chOff x="3421380" y="11917680"/>
          <a:chExt cx="594360" cy="167640"/>
        </a:xfrm>
      </xdr:grpSpPr>
      <xdr:cxnSp macro="">
        <xdr:nvCxnSpPr>
          <xdr:cNvPr id="7517" name="Gerader Verbinder 7516">
            <a:extLst>
              <a:ext uri="{FF2B5EF4-FFF2-40B4-BE49-F238E27FC236}">
                <a16:creationId xmlns:a16="http://schemas.microsoft.com/office/drawing/2014/main" id="{6DFBE197-4F55-9DDE-BE8F-C11992DC0467}"/>
              </a:ext>
            </a:extLst>
          </xdr:cNvPr>
          <xdr:cNvCxnSpPr/>
        </xdr:nvCxnSpPr>
        <xdr:spPr>
          <a:xfrm>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18" name="Gerader Verbinder 7517">
            <a:extLst>
              <a:ext uri="{FF2B5EF4-FFF2-40B4-BE49-F238E27FC236}">
                <a16:creationId xmlns:a16="http://schemas.microsoft.com/office/drawing/2014/main" id="{AF34EF12-85AB-1286-DB6B-AFC2AB133F9A}"/>
              </a:ext>
            </a:extLst>
          </xdr:cNvPr>
          <xdr:cNvCxnSpPr/>
        </xdr:nvCxnSpPr>
        <xdr:spPr>
          <a:xfrm flipH="1">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7522" name="Cross_F70">
          <a:extLst>
            <a:ext uri="{FF2B5EF4-FFF2-40B4-BE49-F238E27FC236}">
              <a16:creationId xmlns:a16="http://schemas.microsoft.com/office/drawing/2014/main" id="{E3ECDE39-AC98-46FB-3FEF-25F341D2174D}"/>
            </a:ext>
          </a:extLst>
        </xdr:cNvPr>
        <xdr:cNvGrpSpPr/>
      </xdr:nvGrpSpPr>
      <xdr:grpSpPr>
        <a:xfrm>
          <a:off x="3421380" y="9692640"/>
          <a:ext cx="594360" cy="228600"/>
          <a:chOff x="3421380" y="13213080"/>
          <a:chExt cx="594360" cy="228600"/>
        </a:xfrm>
      </xdr:grpSpPr>
      <xdr:cxnSp macro="">
        <xdr:nvCxnSpPr>
          <xdr:cNvPr id="7520" name="Gerader Verbinder 7519">
            <a:extLst>
              <a:ext uri="{FF2B5EF4-FFF2-40B4-BE49-F238E27FC236}">
                <a16:creationId xmlns:a16="http://schemas.microsoft.com/office/drawing/2014/main" id="{3C8D637D-A017-5ACE-01BB-23BC45387969}"/>
              </a:ext>
            </a:extLst>
          </xdr:cNvPr>
          <xdr:cNvCxnSpPr/>
        </xdr:nvCxnSpPr>
        <xdr:spPr>
          <a:xfrm>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21" name="Gerader Verbinder 7520">
            <a:extLst>
              <a:ext uri="{FF2B5EF4-FFF2-40B4-BE49-F238E27FC236}">
                <a16:creationId xmlns:a16="http://schemas.microsoft.com/office/drawing/2014/main" id="{C8794315-F5F6-77B1-89A3-9A832931D816}"/>
              </a:ext>
            </a:extLst>
          </xdr:cNvPr>
          <xdr:cNvCxnSpPr/>
        </xdr:nvCxnSpPr>
        <xdr:spPr>
          <a:xfrm flipH="1">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7525" name="Cross_F71">
          <a:extLst>
            <a:ext uri="{FF2B5EF4-FFF2-40B4-BE49-F238E27FC236}">
              <a16:creationId xmlns:a16="http://schemas.microsoft.com/office/drawing/2014/main" id="{BE3C8085-B4A1-C24C-5943-990DCF69C31D}"/>
            </a:ext>
          </a:extLst>
        </xdr:cNvPr>
        <xdr:cNvGrpSpPr/>
      </xdr:nvGrpSpPr>
      <xdr:grpSpPr>
        <a:xfrm>
          <a:off x="3421380" y="9921240"/>
          <a:ext cx="594360" cy="167640"/>
          <a:chOff x="3421380" y="13441680"/>
          <a:chExt cx="594360" cy="167640"/>
        </a:xfrm>
      </xdr:grpSpPr>
      <xdr:cxnSp macro="">
        <xdr:nvCxnSpPr>
          <xdr:cNvPr id="7523" name="Gerader Verbinder 7522">
            <a:extLst>
              <a:ext uri="{FF2B5EF4-FFF2-40B4-BE49-F238E27FC236}">
                <a16:creationId xmlns:a16="http://schemas.microsoft.com/office/drawing/2014/main" id="{BC0B1354-A2FF-C0C4-CECE-F91D4CBCBD59}"/>
              </a:ext>
            </a:extLst>
          </xdr:cNvPr>
          <xdr:cNvCxnSpPr/>
        </xdr:nvCxnSpPr>
        <xdr:spPr>
          <a:xfrm>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24" name="Gerader Verbinder 7523">
            <a:extLst>
              <a:ext uri="{FF2B5EF4-FFF2-40B4-BE49-F238E27FC236}">
                <a16:creationId xmlns:a16="http://schemas.microsoft.com/office/drawing/2014/main" id="{EE76ACD1-9FD6-E63B-4563-CC4FF4288D28}"/>
              </a:ext>
            </a:extLst>
          </xdr:cNvPr>
          <xdr:cNvCxnSpPr/>
        </xdr:nvCxnSpPr>
        <xdr:spPr>
          <a:xfrm flipH="1">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7528" name="Cross_F72">
          <a:extLst>
            <a:ext uri="{FF2B5EF4-FFF2-40B4-BE49-F238E27FC236}">
              <a16:creationId xmlns:a16="http://schemas.microsoft.com/office/drawing/2014/main" id="{89E0EA48-6CB5-9F50-4EAC-3E7B410A5604}"/>
            </a:ext>
          </a:extLst>
        </xdr:cNvPr>
        <xdr:cNvGrpSpPr/>
      </xdr:nvGrpSpPr>
      <xdr:grpSpPr>
        <a:xfrm>
          <a:off x="3421380" y="10088880"/>
          <a:ext cx="594360" cy="1"/>
          <a:chOff x="3421380" y="13609320"/>
          <a:chExt cx="594360" cy="167641"/>
        </a:xfrm>
      </xdr:grpSpPr>
      <xdr:cxnSp macro="">
        <xdr:nvCxnSpPr>
          <xdr:cNvPr id="7526" name="Gerader Verbinder 7525">
            <a:extLst>
              <a:ext uri="{FF2B5EF4-FFF2-40B4-BE49-F238E27FC236}">
                <a16:creationId xmlns:a16="http://schemas.microsoft.com/office/drawing/2014/main" id="{692EEB39-AA2A-253C-F36B-9940BFBD9C37}"/>
              </a:ext>
            </a:extLst>
          </xdr:cNvPr>
          <xdr:cNvCxnSpPr/>
        </xdr:nvCxnSpPr>
        <xdr:spPr>
          <a:xfrm>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27" name="Gerader Verbinder 7526">
            <a:extLst>
              <a:ext uri="{FF2B5EF4-FFF2-40B4-BE49-F238E27FC236}">
                <a16:creationId xmlns:a16="http://schemas.microsoft.com/office/drawing/2014/main" id="{4BBCB526-8EDC-553D-6C7C-421945FA0420}"/>
              </a:ext>
            </a:extLst>
          </xdr:cNvPr>
          <xdr:cNvCxnSpPr/>
        </xdr:nvCxnSpPr>
        <xdr:spPr>
          <a:xfrm flipH="1">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7531" name="Cross_F73">
          <a:extLst>
            <a:ext uri="{FF2B5EF4-FFF2-40B4-BE49-F238E27FC236}">
              <a16:creationId xmlns:a16="http://schemas.microsoft.com/office/drawing/2014/main" id="{33E069B5-E356-CF5D-57A7-38E4436EBCD7}"/>
            </a:ext>
          </a:extLst>
        </xdr:cNvPr>
        <xdr:cNvGrpSpPr/>
      </xdr:nvGrpSpPr>
      <xdr:grpSpPr>
        <a:xfrm>
          <a:off x="3421380" y="10088881"/>
          <a:ext cx="594360" cy="228600"/>
          <a:chOff x="3421380" y="13776961"/>
          <a:chExt cx="594360" cy="228600"/>
        </a:xfrm>
      </xdr:grpSpPr>
      <xdr:cxnSp macro="">
        <xdr:nvCxnSpPr>
          <xdr:cNvPr id="7529" name="Gerader Verbinder 7528">
            <a:extLst>
              <a:ext uri="{FF2B5EF4-FFF2-40B4-BE49-F238E27FC236}">
                <a16:creationId xmlns:a16="http://schemas.microsoft.com/office/drawing/2014/main" id="{AE3D5699-4E24-87AE-2753-8FA5F555502F}"/>
              </a:ext>
            </a:extLst>
          </xdr:cNvPr>
          <xdr:cNvCxnSpPr/>
        </xdr:nvCxnSpPr>
        <xdr:spPr>
          <a:xfrm>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30" name="Gerader Verbinder 7529">
            <a:extLst>
              <a:ext uri="{FF2B5EF4-FFF2-40B4-BE49-F238E27FC236}">
                <a16:creationId xmlns:a16="http://schemas.microsoft.com/office/drawing/2014/main" id="{BC82868B-38DD-3BD5-B0DE-27FAD2C7E5EA}"/>
              </a:ext>
            </a:extLst>
          </xdr:cNvPr>
          <xdr:cNvCxnSpPr/>
        </xdr:nvCxnSpPr>
        <xdr:spPr>
          <a:xfrm flipH="1">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7534" name="Cross_F74">
          <a:extLst>
            <a:ext uri="{FF2B5EF4-FFF2-40B4-BE49-F238E27FC236}">
              <a16:creationId xmlns:a16="http://schemas.microsoft.com/office/drawing/2014/main" id="{9BB7FD46-7724-4C40-CB68-73B03C6E3B1D}"/>
            </a:ext>
          </a:extLst>
        </xdr:cNvPr>
        <xdr:cNvGrpSpPr/>
      </xdr:nvGrpSpPr>
      <xdr:grpSpPr>
        <a:xfrm>
          <a:off x="3421380" y="10317481"/>
          <a:ext cx="594360" cy="167639"/>
          <a:chOff x="3421380" y="14005561"/>
          <a:chExt cx="594360" cy="167639"/>
        </a:xfrm>
      </xdr:grpSpPr>
      <xdr:cxnSp macro="">
        <xdr:nvCxnSpPr>
          <xdr:cNvPr id="7532" name="Gerader Verbinder 7531">
            <a:extLst>
              <a:ext uri="{FF2B5EF4-FFF2-40B4-BE49-F238E27FC236}">
                <a16:creationId xmlns:a16="http://schemas.microsoft.com/office/drawing/2014/main" id="{EEA8444F-332C-7109-8052-591887D1C295}"/>
              </a:ext>
            </a:extLst>
          </xdr:cNvPr>
          <xdr:cNvCxnSpPr/>
        </xdr:nvCxnSpPr>
        <xdr:spPr>
          <a:xfrm>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33" name="Gerader Verbinder 7532">
            <a:extLst>
              <a:ext uri="{FF2B5EF4-FFF2-40B4-BE49-F238E27FC236}">
                <a16:creationId xmlns:a16="http://schemas.microsoft.com/office/drawing/2014/main" id="{C0F0DFD7-EF89-2D4B-AD12-9D421692D98F}"/>
              </a:ext>
            </a:extLst>
          </xdr:cNvPr>
          <xdr:cNvCxnSpPr/>
        </xdr:nvCxnSpPr>
        <xdr:spPr>
          <a:xfrm flipH="1">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7537" name="Cross_F75">
          <a:extLst>
            <a:ext uri="{FF2B5EF4-FFF2-40B4-BE49-F238E27FC236}">
              <a16:creationId xmlns:a16="http://schemas.microsoft.com/office/drawing/2014/main" id="{4457BA95-06BF-DE0D-8F55-51F06BF3D6AF}"/>
            </a:ext>
          </a:extLst>
        </xdr:cNvPr>
        <xdr:cNvGrpSpPr/>
      </xdr:nvGrpSpPr>
      <xdr:grpSpPr>
        <a:xfrm>
          <a:off x="3421380" y="10485120"/>
          <a:ext cx="594360" cy="0"/>
          <a:chOff x="3421380" y="14173200"/>
          <a:chExt cx="594360" cy="167639"/>
        </a:xfrm>
      </xdr:grpSpPr>
      <xdr:cxnSp macro="">
        <xdr:nvCxnSpPr>
          <xdr:cNvPr id="7535" name="Gerader Verbinder 7534">
            <a:extLst>
              <a:ext uri="{FF2B5EF4-FFF2-40B4-BE49-F238E27FC236}">
                <a16:creationId xmlns:a16="http://schemas.microsoft.com/office/drawing/2014/main" id="{54AAF77F-2BBA-E14E-4CBB-AD420013DFA2}"/>
              </a:ext>
            </a:extLst>
          </xdr:cNvPr>
          <xdr:cNvCxnSpPr/>
        </xdr:nvCxnSpPr>
        <xdr:spPr>
          <a:xfrm>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36" name="Gerader Verbinder 7535">
            <a:extLst>
              <a:ext uri="{FF2B5EF4-FFF2-40B4-BE49-F238E27FC236}">
                <a16:creationId xmlns:a16="http://schemas.microsoft.com/office/drawing/2014/main" id="{942B6C3A-AED1-5692-D5B0-7E7DC7B1AB44}"/>
              </a:ext>
            </a:extLst>
          </xdr:cNvPr>
          <xdr:cNvCxnSpPr/>
        </xdr:nvCxnSpPr>
        <xdr:spPr>
          <a:xfrm flipH="1">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7540" name="Cross_G7">
          <a:extLst>
            <a:ext uri="{FF2B5EF4-FFF2-40B4-BE49-F238E27FC236}">
              <a16:creationId xmlns:a16="http://schemas.microsoft.com/office/drawing/2014/main" id="{12FE602E-BD19-EBF1-9B87-E36E0F482E6E}"/>
            </a:ext>
          </a:extLst>
        </xdr:cNvPr>
        <xdr:cNvGrpSpPr/>
      </xdr:nvGrpSpPr>
      <xdr:grpSpPr>
        <a:xfrm>
          <a:off x="4015740" y="1371600"/>
          <a:ext cx="594360" cy="228600"/>
          <a:chOff x="4015740" y="1371600"/>
          <a:chExt cx="594360" cy="228600"/>
        </a:xfrm>
      </xdr:grpSpPr>
      <xdr:cxnSp macro="">
        <xdr:nvCxnSpPr>
          <xdr:cNvPr id="7538" name="Gerader Verbinder 7537">
            <a:extLst>
              <a:ext uri="{FF2B5EF4-FFF2-40B4-BE49-F238E27FC236}">
                <a16:creationId xmlns:a16="http://schemas.microsoft.com/office/drawing/2014/main" id="{7AD55C9F-8D0F-578A-45AA-A1FBB985BA0B}"/>
              </a:ext>
            </a:extLst>
          </xdr:cNvPr>
          <xdr:cNvCxnSpPr/>
        </xdr:nvCxnSpPr>
        <xdr:spPr>
          <a:xfrm>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39" name="Gerader Verbinder 7538">
            <a:extLst>
              <a:ext uri="{FF2B5EF4-FFF2-40B4-BE49-F238E27FC236}">
                <a16:creationId xmlns:a16="http://schemas.microsoft.com/office/drawing/2014/main" id="{4A6A71D3-9BD3-2717-E78E-2D1C07DEEE53}"/>
              </a:ext>
            </a:extLst>
          </xdr:cNvPr>
          <xdr:cNvCxnSpPr/>
        </xdr:nvCxnSpPr>
        <xdr:spPr>
          <a:xfrm flipH="1">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7543" name="Cross_G8">
          <a:extLst>
            <a:ext uri="{FF2B5EF4-FFF2-40B4-BE49-F238E27FC236}">
              <a16:creationId xmlns:a16="http://schemas.microsoft.com/office/drawing/2014/main" id="{8F2D0931-494B-B005-7FA0-BBB371F6F0D0}"/>
            </a:ext>
          </a:extLst>
        </xdr:cNvPr>
        <xdr:cNvGrpSpPr/>
      </xdr:nvGrpSpPr>
      <xdr:grpSpPr>
        <a:xfrm>
          <a:off x="4015740" y="1600200"/>
          <a:ext cx="594360" cy="167640"/>
          <a:chOff x="4015740" y="1600200"/>
          <a:chExt cx="594360" cy="167640"/>
        </a:xfrm>
      </xdr:grpSpPr>
      <xdr:cxnSp macro="">
        <xdr:nvCxnSpPr>
          <xdr:cNvPr id="7541" name="Gerader Verbinder 7540">
            <a:extLst>
              <a:ext uri="{FF2B5EF4-FFF2-40B4-BE49-F238E27FC236}">
                <a16:creationId xmlns:a16="http://schemas.microsoft.com/office/drawing/2014/main" id="{8F69040A-DFD3-A4D0-9121-0D5A8D462B76}"/>
              </a:ext>
            </a:extLst>
          </xdr:cNvPr>
          <xdr:cNvCxnSpPr/>
        </xdr:nvCxnSpPr>
        <xdr:spPr>
          <a:xfrm>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42" name="Gerader Verbinder 7541">
            <a:extLst>
              <a:ext uri="{FF2B5EF4-FFF2-40B4-BE49-F238E27FC236}">
                <a16:creationId xmlns:a16="http://schemas.microsoft.com/office/drawing/2014/main" id="{CC6F5083-8A6C-E675-E54E-695EEEF32572}"/>
              </a:ext>
            </a:extLst>
          </xdr:cNvPr>
          <xdr:cNvCxnSpPr/>
        </xdr:nvCxnSpPr>
        <xdr:spPr>
          <a:xfrm flipH="1">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7546" name="Cross_G9">
          <a:extLst>
            <a:ext uri="{FF2B5EF4-FFF2-40B4-BE49-F238E27FC236}">
              <a16:creationId xmlns:a16="http://schemas.microsoft.com/office/drawing/2014/main" id="{5FE081D4-1FD2-3488-B194-62E2FF15B6A0}"/>
            </a:ext>
          </a:extLst>
        </xdr:cNvPr>
        <xdr:cNvGrpSpPr/>
      </xdr:nvGrpSpPr>
      <xdr:grpSpPr>
        <a:xfrm>
          <a:off x="4015740" y="1767840"/>
          <a:ext cx="594360" cy="0"/>
          <a:chOff x="4015740" y="1767840"/>
          <a:chExt cx="594360" cy="167640"/>
        </a:xfrm>
      </xdr:grpSpPr>
      <xdr:cxnSp macro="">
        <xdr:nvCxnSpPr>
          <xdr:cNvPr id="7544" name="Gerader Verbinder 7543">
            <a:extLst>
              <a:ext uri="{FF2B5EF4-FFF2-40B4-BE49-F238E27FC236}">
                <a16:creationId xmlns:a16="http://schemas.microsoft.com/office/drawing/2014/main" id="{7BF5DB35-A13F-B0DE-3C71-F7BE29A82FB4}"/>
              </a:ext>
            </a:extLst>
          </xdr:cNvPr>
          <xdr:cNvCxnSpPr/>
        </xdr:nvCxnSpPr>
        <xdr:spPr>
          <a:xfrm>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45" name="Gerader Verbinder 7544">
            <a:extLst>
              <a:ext uri="{FF2B5EF4-FFF2-40B4-BE49-F238E27FC236}">
                <a16:creationId xmlns:a16="http://schemas.microsoft.com/office/drawing/2014/main" id="{E174308F-C116-BBCC-D7C5-F14548E8F60A}"/>
              </a:ext>
            </a:extLst>
          </xdr:cNvPr>
          <xdr:cNvCxnSpPr/>
        </xdr:nvCxnSpPr>
        <xdr:spPr>
          <a:xfrm flipH="1">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7549" name="Cross_G16">
          <a:extLst>
            <a:ext uri="{FF2B5EF4-FFF2-40B4-BE49-F238E27FC236}">
              <a16:creationId xmlns:a16="http://schemas.microsoft.com/office/drawing/2014/main" id="{95C092B1-37CC-AD12-6A7B-FFE1E4B5C2F2}"/>
            </a:ext>
          </a:extLst>
        </xdr:cNvPr>
        <xdr:cNvGrpSpPr/>
      </xdr:nvGrpSpPr>
      <xdr:grpSpPr>
        <a:xfrm>
          <a:off x="4015740" y="2560320"/>
          <a:ext cx="594360" cy="228600"/>
          <a:chOff x="4015740" y="3063240"/>
          <a:chExt cx="594360" cy="228600"/>
        </a:xfrm>
      </xdr:grpSpPr>
      <xdr:cxnSp macro="">
        <xdr:nvCxnSpPr>
          <xdr:cNvPr id="7547" name="Gerader Verbinder 7546">
            <a:extLst>
              <a:ext uri="{FF2B5EF4-FFF2-40B4-BE49-F238E27FC236}">
                <a16:creationId xmlns:a16="http://schemas.microsoft.com/office/drawing/2014/main" id="{8E394547-D8E6-DAF1-359F-C6840F88CA52}"/>
              </a:ext>
            </a:extLst>
          </xdr:cNvPr>
          <xdr:cNvCxnSpPr/>
        </xdr:nvCxnSpPr>
        <xdr:spPr>
          <a:xfrm>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48" name="Gerader Verbinder 7547">
            <a:extLst>
              <a:ext uri="{FF2B5EF4-FFF2-40B4-BE49-F238E27FC236}">
                <a16:creationId xmlns:a16="http://schemas.microsoft.com/office/drawing/2014/main" id="{3B7A07AF-3A8D-9B16-1D3D-CB2586EC0F72}"/>
              </a:ext>
            </a:extLst>
          </xdr:cNvPr>
          <xdr:cNvCxnSpPr/>
        </xdr:nvCxnSpPr>
        <xdr:spPr>
          <a:xfrm flipH="1">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7552" name="Cross_G17">
          <a:extLst>
            <a:ext uri="{FF2B5EF4-FFF2-40B4-BE49-F238E27FC236}">
              <a16:creationId xmlns:a16="http://schemas.microsoft.com/office/drawing/2014/main" id="{08AFE103-B629-F4A3-D481-BECC22C12888}"/>
            </a:ext>
          </a:extLst>
        </xdr:cNvPr>
        <xdr:cNvGrpSpPr/>
      </xdr:nvGrpSpPr>
      <xdr:grpSpPr>
        <a:xfrm>
          <a:off x="4015740" y="2788920"/>
          <a:ext cx="594360" cy="167640"/>
          <a:chOff x="4015740" y="3291840"/>
          <a:chExt cx="594360" cy="167640"/>
        </a:xfrm>
      </xdr:grpSpPr>
      <xdr:cxnSp macro="">
        <xdr:nvCxnSpPr>
          <xdr:cNvPr id="7550" name="Gerader Verbinder 7549">
            <a:extLst>
              <a:ext uri="{FF2B5EF4-FFF2-40B4-BE49-F238E27FC236}">
                <a16:creationId xmlns:a16="http://schemas.microsoft.com/office/drawing/2014/main" id="{A87A2C3C-FEFA-F4B5-1201-3B3B19629861}"/>
              </a:ext>
            </a:extLst>
          </xdr:cNvPr>
          <xdr:cNvCxnSpPr/>
        </xdr:nvCxnSpPr>
        <xdr:spPr>
          <a:xfrm>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51" name="Gerader Verbinder 7550">
            <a:extLst>
              <a:ext uri="{FF2B5EF4-FFF2-40B4-BE49-F238E27FC236}">
                <a16:creationId xmlns:a16="http://schemas.microsoft.com/office/drawing/2014/main" id="{ECF1D419-E604-CDCD-CE3A-230E0BFE8CB5}"/>
              </a:ext>
            </a:extLst>
          </xdr:cNvPr>
          <xdr:cNvCxnSpPr/>
        </xdr:nvCxnSpPr>
        <xdr:spPr>
          <a:xfrm flipH="1">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7555" name="Cross_G18">
          <a:extLst>
            <a:ext uri="{FF2B5EF4-FFF2-40B4-BE49-F238E27FC236}">
              <a16:creationId xmlns:a16="http://schemas.microsoft.com/office/drawing/2014/main" id="{A8F339F5-EA91-2663-5DE3-9FCF698BF10F}"/>
            </a:ext>
          </a:extLst>
        </xdr:cNvPr>
        <xdr:cNvGrpSpPr/>
      </xdr:nvGrpSpPr>
      <xdr:grpSpPr>
        <a:xfrm>
          <a:off x="4015740" y="2956560"/>
          <a:ext cx="594360" cy="0"/>
          <a:chOff x="4015740" y="3459480"/>
          <a:chExt cx="594360" cy="167640"/>
        </a:xfrm>
      </xdr:grpSpPr>
      <xdr:cxnSp macro="">
        <xdr:nvCxnSpPr>
          <xdr:cNvPr id="7553" name="Gerader Verbinder 7552">
            <a:extLst>
              <a:ext uri="{FF2B5EF4-FFF2-40B4-BE49-F238E27FC236}">
                <a16:creationId xmlns:a16="http://schemas.microsoft.com/office/drawing/2014/main" id="{D5F7BAAF-7855-3741-E28C-105D3D7E4E98}"/>
              </a:ext>
            </a:extLst>
          </xdr:cNvPr>
          <xdr:cNvCxnSpPr/>
        </xdr:nvCxnSpPr>
        <xdr:spPr>
          <a:xfrm>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54" name="Gerader Verbinder 7553">
            <a:extLst>
              <a:ext uri="{FF2B5EF4-FFF2-40B4-BE49-F238E27FC236}">
                <a16:creationId xmlns:a16="http://schemas.microsoft.com/office/drawing/2014/main" id="{38E9C8E6-90B7-779A-4814-53D9DD56AA5E}"/>
              </a:ext>
            </a:extLst>
          </xdr:cNvPr>
          <xdr:cNvCxnSpPr/>
        </xdr:nvCxnSpPr>
        <xdr:spPr>
          <a:xfrm flipH="1">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7558" name="Cross_G25">
          <a:extLst>
            <a:ext uri="{FF2B5EF4-FFF2-40B4-BE49-F238E27FC236}">
              <a16:creationId xmlns:a16="http://schemas.microsoft.com/office/drawing/2014/main" id="{798580EC-8AC8-A074-F99B-9506E7F46CFA}"/>
            </a:ext>
          </a:extLst>
        </xdr:cNvPr>
        <xdr:cNvGrpSpPr/>
      </xdr:nvGrpSpPr>
      <xdr:grpSpPr>
        <a:xfrm>
          <a:off x="4015740" y="3749040"/>
          <a:ext cx="594360" cy="228600"/>
          <a:chOff x="4015740" y="4754880"/>
          <a:chExt cx="594360" cy="228600"/>
        </a:xfrm>
      </xdr:grpSpPr>
      <xdr:cxnSp macro="">
        <xdr:nvCxnSpPr>
          <xdr:cNvPr id="7556" name="Gerader Verbinder 7555">
            <a:extLst>
              <a:ext uri="{FF2B5EF4-FFF2-40B4-BE49-F238E27FC236}">
                <a16:creationId xmlns:a16="http://schemas.microsoft.com/office/drawing/2014/main" id="{503E5F78-CA31-A6D6-BEA1-310720257790}"/>
              </a:ext>
            </a:extLst>
          </xdr:cNvPr>
          <xdr:cNvCxnSpPr/>
        </xdr:nvCxnSpPr>
        <xdr:spPr>
          <a:xfrm>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57" name="Gerader Verbinder 7556">
            <a:extLst>
              <a:ext uri="{FF2B5EF4-FFF2-40B4-BE49-F238E27FC236}">
                <a16:creationId xmlns:a16="http://schemas.microsoft.com/office/drawing/2014/main" id="{C43D74EC-6DBF-6D63-7111-B2B09AB0A5B5}"/>
              </a:ext>
            </a:extLst>
          </xdr:cNvPr>
          <xdr:cNvCxnSpPr/>
        </xdr:nvCxnSpPr>
        <xdr:spPr>
          <a:xfrm flipH="1">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7561" name="Cross_G26">
          <a:extLst>
            <a:ext uri="{FF2B5EF4-FFF2-40B4-BE49-F238E27FC236}">
              <a16:creationId xmlns:a16="http://schemas.microsoft.com/office/drawing/2014/main" id="{5C8E2D0C-FAE5-886B-373A-F2E8FC1844AE}"/>
            </a:ext>
          </a:extLst>
        </xdr:cNvPr>
        <xdr:cNvGrpSpPr/>
      </xdr:nvGrpSpPr>
      <xdr:grpSpPr>
        <a:xfrm>
          <a:off x="4015740" y="3977640"/>
          <a:ext cx="594360" cy="167640"/>
          <a:chOff x="4015740" y="4983480"/>
          <a:chExt cx="594360" cy="167640"/>
        </a:xfrm>
      </xdr:grpSpPr>
      <xdr:cxnSp macro="">
        <xdr:nvCxnSpPr>
          <xdr:cNvPr id="7559" name="Gerader Verbinder 7558">
            <a:extLst>
              <a:ext uri="{FF2B5EF4-FFF2-40B4-BE49-F238E27FC236}">
                <a16:creationId xmlns:a16="http://schemas.microsoft.com/office/drawing/2014/main" id="{FF79BAD9-20AD-D319-8B8D-132133CA8BAA}"/>
              </a:ext>
            </a:extLst>
          </xdr:cNvPr>
          <xdr:cNvCxnSpPr/>
        </xdr:nvCxnSpPr>
        <xdr:spPr>
          <a:xfrm>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60" name="Gerader Verbinder 7559">
            <a:extLst>
              <a:ext uri="{FF2B5EF4-FFF2-40B4-BE49-F238E27FC236}">
                <a16:creationId xmlns:a16="http://schemas.microsoft.com/office/drawing/2014/main" id="{F05D4F82-20CB-2027-0EE3-7ED7BECF7387}"/>
              </a:ext>
            </a:extLst>
          </xdr:cNvPr>
          <xdr:cNvCxnSpPr/>
        </xdr:nvCxnSpPr>
        <xdr:spPr>
          <a:xfrm flipH="1">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7564" name="Cross_G27">
          <a:extLst>
            <a:ext uri="{FF2B5EF4-FFF2-40B4-BE49-F238E27FC236}">
              <a16:creationId xmlns:a16="http://schemas.microsoft.com/office/drawing/2014/main" id="{2D41FBBC-F4CB-4C1F-2719-359AF594E19C}"/>
            </a:ext>
          </a:extLst>
        </xdr:cNvPr>
        <xdr:cNvGrpSpPr/>
      </xdr:nvGrpSpPr>
      <xdr:grpSpPr>
        <a:xfrm>
          <a:off x="4015740" y="4145280"/>
          <a:ext cx="594360" cy="0"/>
          <a:chOff x="4015740" y="5151120"/>
          <a:chExt cx="594360" cy="167640"/>
        </a:xfrm>
      </xdr:grpSpPr>
      <xdr:cxnSp macro="">
        <xdr:nvCxnSpPr>
          <xdr:cNvPr id="7562" name="Gerader Verbinder 7561">
            <a:extLst>
              <a:ext uri="{FF2B5EF4-FFF2-40B4-BE49-F238E27FC236}">
                <a16:creationId xmlns:a16="http://schemas.microsoft.com/office/drawing/2014/main" id="{33D7D97C-83ED-71DF-1EBB-AB228A7CD001}"/>
              </a:ext>
            </a:extLst>
          </xdr:cNvPr>
          <xdr:cNvCxnSpPr/>
        </xdr:nvCxnSpPr>
        <xdr:spPr>
          <a:xfrm>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63" name="Gerader Verbinder 7562">
            <a:extLst>
              <a:ext uri="{FF2B5EF4-FFF2-40B4-BE49-F238E27FC236}">
                <a16:creationId xmlns:a16="http://schemas.microsoft.com/office/drawing/2014/main" id="{FC497C4E-B300-9F14-104D-D5415629F5F1}"/>
              </a:ext>
            </a:extLst>
          </xdr:cNvPr>
          <xdr:cNvCxnSpPr/>
        </xdr:nvCxnSpPr>
        <xdr:spPr>
          <a:xfrm flipH="1">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7567" name="Cross_G31">
          <a:extLst>
            <a:ext uri="{FF2B5EF4-FFF2-40B4-BE49-F238E27FC236}">
              <a16:creationId xmlns:a16="http://schemas.microsoft.com/office/drawing/2014/main" id="{CEDF39A4-52B8-E64C-D1FC-3F4BC847E8E5}"/>
            </a:ext>
          </a:extLst>
        </xdr:cNvPr>
        <xdr:cNvGrpSpPr/>
      </xdr:nvGrpSpPr>
      <xdr:grpSpPr>
        <a:xfrm>
          <a:off x="4015740" y="4541520"/>
          <a:ext cx="594360" cy="228600"/>
          <a:chOff x="4015740" y="5882640"/>
          <a:chExt cx="594360" cy="228600"/>
        </a:xfrm>
      </xdr:grpSpPr>
      <xdr:cxnSp macro="">
        <xdr:nvCxnSpPr>
          <xdr:cNvPr id="7565" name="Gerader Verbinder 7564">
            <a:extLst>
              <a:ext uri="{FF2B5EF4-FFF2-40B4-BE49-F238E27FC236}">
                <a16:creationId xmlns:a16="http://schemas.microsoft.com/office/drawing/2014/main" id="{00CCA493-EADB-9AF8-9963-CF813AF0510B}"/>
              </a:ext>
            </a:extLst>
          </xdr:cNvPr>
          <xdr:cNvCxnSpPr/>
        </xdr:nvCxnSpPr>
        <xdr:spPr>
          <a:xfrm>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66" name="Gerader Verbinder 7565">
            <a:extLst>
              <a:ext uri="{FF2B5EF4-FFF2-40B4-BE49-F238E27FC236}">
                <a16:creationId xmlns:a16="http://schemas.microsoft.com/office/drawing/2014/main" id="{8C16ECC9-6E33-501D-1D96-E8D3B68F0C72}"/>
              </a:ext>
            </a:extLst>
          </xdr:cNvPr>
          <xdr:cNvCxnSpPr/>
        </xdr:nvCxnSpPr>
        <xdr:spPr>
          <a:xfrm flipH="1">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7570" name="Cross_G32">
          <a:extLst>
            <a:ext uri="{FF2B5EF4-FFF2-40B4-BE49-F238E27FC236}">
              <a16:creationId xmlns:a16="http://schemas.microsoft.com/office/drawing/2014/main" id="{64CDDF9E-245E-14F0-A2A2-9F44320B3AE4}"/>
            </a:ext>
          </a:extLst>
        </xdr:cNvPr>
        <xdr:cNvGrpSpPr/>
      </xdr:nvGrpSpPr>
      <xdr:grpSpPr>
        <a:xfrm>
          <a:off x="4015740" y="4770120"/>
          <a:ext cx="594360" cy="167640"/>
          <a:chOff x="4015740" y="6111240"/>
          <a:chExt cx="594360" cy="167640"/>
        </a:xfrm>
      </xdr:grpSpPr>
      <xdr:cxnSp macro="">
        <xdr:nvCxnSpPr>
          <xdr:cNvPr id="7568" name="Gerader Verbinder 7567">
            <a:extLst>
              <a:ext uri="{FF2B5EF4-FFF2-40B4-BE49-F238E27FC236}">
                <a16:creationId xmlns:a16="http://schemas.microsoft.com/office/drawing/2014/main" id="{02783272-2428-AE4E-7DB1-5D0FF1DB8BA6}"/>
              </a:ext>
            </a:extLst>
          </xdr:cNvPr>
          <xdr:cNvCxnSpPr/>
        </xdr:nvCxnSpPr>
        <xdr:spPr>
          <a:xfrm>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69" name="Gerader Verbinder 7568">
            <a:extLst>
              <a:ext uri="{FF2B5EF4-FFF2-40B4-BE49-F238E27FC236}">
                <a16:creationId xmlns:a16="http://schemas.microsoft.com/office/drawing/2014/main" id="{E77A7ABF-3CDD-1A80-27DF-45C8F6E31D65}"/>
              </a:ext>
            </a:extLst>
          </xdr:cNvPr>
          <xdr:cNvCxnSpPr/>
        </xdr:nvCxnSpPr>
        <xdr:spPr>
          <a:xfrm flipH="1">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7573" name="Cross_G33">
          <a:extLst>
            <a:ext uri="{FF2B5EF4-FFF2-40B4-BE49-F238E27FC236}">
              <a16:creationId xmlns:a16="http://schemas.microsoft.com/office/drawing/2014/main" id="{9CAC8C39-6464-2950-5CE7-F0F76CFDDF11}"/>
            </a:ext>
          </a:extLst>
        </xdr:cNvPr>
        <xdr:cNvGrpSpPr/>
      </xdr:nvGrpSpPr>
      <xdr:grpSpPr>
        <a:xfrm>
          <a:off x="4015740" y="4937760"/>
          <a:ext cx="594360" cy="0"/>
          <a:chOff x="4015740" y="6278880"/>
          <a:chExt cx="594360" cy="167640"/>
        </a:xfrm>
      </xdr:grpSpPr>
      <xdr:cxnSp macro="">
        <xdr:nvCxnSpPr>
          <xdr:cNvPr id="7571" name="Gerader Verbinder 7570">
            <a:extLst>
              <a:ext uri="{FF2B5EF4-FFF2-40B4-BE49-F238E27FC236}">
                <a16:creationId xmlns:a16="http://schemas.microsoft.com/office/drawing/2014/main" id="{9B78FEF8-F2D2-ACCC-C9C5-43A85E95F0FE}"/>
              </a:ext>
            </a:extLst>
          </xdr:cNvPr>
          <xdr:cNvCxnSpPr/>
        </xdr:nvCxnSpPr>
        <xdr:spPr>
          <a:xfrm>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72" name="Gerader Verbinder 7571">
            <a:extLst>
              <a:ext uri="{FF2B5EF4-FFF2-40B4-BE49-F238E27FC236}">
                <a16:creationId xmlns:a16="http://schemas.microsoft.com/office/drawing/2014/main" id="{049A1C3C-5A52-94B3-1CC7-4EFDAF805E79}"/>
              </a:ext>
            </a:extLst>
          </xdr:cNvPr>
          <xdr:cNvCxnSpPr/>
        </xdr:nvCxnSpPr>
        <xdr:spPr>
          <a:xfrm flipH="1">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7576" name="Cross_G43">
          <a:extLst>
            <a:ext uri="{FF2B5EF4-FFF2-40B4-BE49-F238E27FC236}">
              <a16:creationId xmlns:a16="http://schemas.microsoft.com/office/drawing/2014/main" id="{82F8DC5F-6B13-192F-951D-9590B680E7CA}"/>
            </a:ext>
          </a:extLst>
        </xdr:cNvPr>
        <xdr:cNvGrpSpPr/>
      </xdr:nvGrpSpPr>
      <xdr:grpSpPr>
        <a:xfrm>
          <a:off x="4015740" y="6126480"/>
          <a:ext cx="594360" cy="228600"/>
          <a:chOff x="4015740" y="8138160"/>
          <a:chExt cx="594360" cy="228600"/>
        </a:xfrm>
      </xdr:grpSpPr>
      <xdr:cxnSp macro="">
        <xdr:nvCxnSpPr>
          <xdr:cNvPr id="7574" name="Gerader Verbinder 7573">
            <a:extLst>
              <a:ext uri="{FF2B5EF4-FFF2-40B4-BE49-F238E27FC236}">
                <a16:creationId xmlns:a16="http://schemas.microsoft.com/office/drawing/2014/main" id="{BC07BEAF-3FDC-2C2D-352A-F61FF5DC3875}"/>
              </a:ext>
            </a:extLst>
          </xdr:cNvPr>
          <xdr:cNvCxnSpPr/>
        </xdr:nvCxnSpPr>
        <xdr:spPr>
          <a:xfrm>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75" name="Gerader Verbinder 7574">
            <a:extLst>
              <a:ext uri="{FF2B5EF4-FFF2-40B4-BE49-F238E27FC236}">
                <a16:creationId xmlns:a16="http://schemas.microsoft.com/office/drawing/2014/main" id="{D8A1BF4A-C537-F2CF-6216-E8BDAE8A17DC}"/>
              </a:ext>
            </a:extLst>
          </xdr:cNvPr>
          <xdr:cNvCxnSpPr/>
        </xdr:nvCxnSpPr>
        <xdr:spPr>
          <a:xfrm flipH="1">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7579" name="Cross_G44">
          <a:extLst>
            <a:ext uri="{FF2B5EF4-FFF2-40B4-BE49-F238E27FC236}">
              <a16:creationId xmlns:a16="http://schemas.microsoft.com/office/drawing/2014/main" id="{F0E95D32-42FF-79BF-033D-A945A3D5950B}"/>
            </a:ext>
          </a:extLst>
        </xdr:cNvPr>
        <xdr:cNvGrpSpPr/>
      </xdr:nvGrpSpPr>
      <xdr:grpSpPr>
        <a:xfrm>
          <a:off x="4015740" y="6355080"/>
          <a:ext cx="594360" cy="167640"/>
          <a:chOff x="4015740" y="8366760"/>
          <a:chExt cx="594360" cy="167640"/>
        </a:xfrm>
      </xdr:grpSpPr>
      <xdr:cxnSp macro="">
        <xdr:nvCxnSpPr>
          <xdr:cNvPr id="7577" name="Gerader Verbinder 7576">
            <a:extLst>
              <a:ext uri="{FF2B5EF4-FFF2-40B4-BE49-F238E27FC236}">
                <a16:creationId xmlns:a16="http://schemas.microsoft.com/office/drawing/2014/main" id="{037F463C-90B6-13FE-6344-E210F867FB50}"/>
              </a:ext>
            </a:extLst>
          </xdr:cNvPr>
          <xdr:cNvCxnSpPr/>
        </xdr:nvCxnSpPr>
        <xdr:spPr>
          <a:xfrm>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78" name="Gerader Verbinder 7577">
            <a:extLst>
              <a:ext uri="{FF2B5EF4-FFF2-40B4-BE49-F238E27FC236}">
                <a16:creationId xmlns:a16="http://schemas.microsoft.com/office/drawing/2014/main" id="{BB4285AB-89EB-3B2C-24CD-F05023685CB7}"/>
              </a:ext>
            </a:extLst>
          </xdr:cNvPr>
          <xdr:cNvCxnSpPr/>
        </xdr:nvCxnSpPr>
        <xdr:spPr>
          <a:xfrm flipH="1">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7582" name="Cross_G45">
          <a:extLst>
            <a:ext uri="{FF2B5EF4-FFF2-40B4-BE49-F238E27FC236}">
              <a16:creationId xmlns:a16="http://schemas.microsoft.com/office/drawing/2014/main" id="{39AE3B86-7D4A-3C6B-1040-EDEA8562A27F}"/>
            </a:ext>
          </a:extLst>
        </xdr:cNvPr>
        <xdr:cNvGrpSpPr/>
      </xdr:nvGrpSpPr>
      <xdr:grpSpPr>
        <a:xfrm>
          <a:off x="4015740" y="6522720"/>
          <a:ext cx="594360" cy="0"/>
          <a:chOff x="4015740" y="8534400"/>
          <a:chExt cx="594360" cy="167640"/>
        </a:xfrm>
      </xdr:grpSpPr>
      <xdr:cxnSp macro="">
        <xdr:nvCxnSpPr>
          <xdr:cNvPr id="7580" name="Gerader Verbinder 7579">
            <a:extLst>
              <a:ext uri="{FF2B5EF4-FFF2-40B4-BE49-F238E27FC236}">
                <a16:creationId xmlns:a16="http://schemas.microsoft.com/office/drawing/2014/main" id="{6B84B314-B27A-20E7-FBB5-10D508F2BD94}"/>
              </a:ext>
            </a:extLst>
          </xdr:cNvPr>
          <xdr:cNvCxnSpPr/>
        </xdr:nvCxnSpPr>
        <xdr:spPr>
          <a:xfrm>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81" name="Gerader Verbinder 7580">
            <a:extLst>
              <a:ext uri="{FF2B5EF4-FFF2-40B4-BE49-F238E27FC236}">
                <a16:creationId xmlns:a16="http://schemas.microsoft.com/office/drawing/2014/main" id="{4DB81FBF-3037-62E1-A8B0-02B005F62861}"/>
              </a:ext>
            </a:extLst>
          </xdr:cNvPr>
          <xdr:cNvCxnSpPr/>
        </xdr:nvCxnSpPr>
        <xdr:spPr>
          <a:xfrm flipH="1">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7585" name="Cross_G49">
          <a:extLst>
            <a:ext uri="{FF2B5EF4-FFF2-40B4-BE49-F238E27FC236}">
              <a16:creationId xmlns:a16="http://schemas.microsoft.com/office/drawing/2014/main" id="{628FDB9F-F759-2AB7-FE60-1C526DC38E79}"/>
            </a:ext>
          </a:extLst>
        </xdr:cNvPr>
        <xdr:cNvGrpSpPr/>
      </xdr:nvGrpSpPr>
      <xdr:grpSpPr>
        <a:xfrm>
          <a:off x="4015740" y="6918960"/>
          <a:ext cx="594360" cy="228600"/>
          <a:chOff x="4015740" y="9265920"/>
          <a:chExt cx="594360" cy="228600"/>
        </a:xfrm>
      </xdr:grpSpPr>
      <xdr:cxnSp macro="">
        <xdr:nvCxnSpPr>
          <xdr:cNvPr id="7583" name="Gerader Verbinder 7582">
            <a:extLst>
              <a:ext uri="{FF2B5EF4-FFF2-40B4-BE49-F238E27FC236}">
                <a16:creationId xmlns:a16="http://schemas.microsoft.com/office/drawing/2014/main" id="{91DED222-6827-D439-6925-CF896070E4B6}"/>
              </a:ext>
            </a:extLst>
          </xdr:cNvPr>
          <xdr:cNvCxnSpPr/>
        </xdr:nvCxnSpPr>
        <xdr:spPr>
          <a:xfrm>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84" name="Gerader Verbinder 7583">
            <a:extLst>
              <a:ext uri="{FF2B5EF4-FFF2-40B4-BE49-F238E27FC236}">
                <a16:creationId xmlns:a16="http://schemas.microsoft.com/office/drawing/2014/main" id="{794609DF-B37A-B1D0-C21A-A7B2C7355725}"/>
              </a:ext>
            </a:extLst>
          </xdr:cNvPr>
          <xdr:cNvCxnSpPr/>
        </xdr:nvCxnSpPr>
        <xdr:spPr>
          <a:xfrm flipH="1">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7588" name="Cross_G50">
          <a:extLst>
            <a:ext uri="{FF2B5EF4-FFF2-40B4-BE49-F238E27FC236}">
              <a16:creationId xmlns:a16="http://schemas.microsoft.com/office/drawing/2014/main" id="{D7401EAE-479D-49D4-4B49-78A8206B71FD}"/>
            </a:ext>
          </a:extLst>
        </xdr:cNvPr>
        <xdr:cNvGrpSpPr/>
      </xdr:nvGrpSpPr>
      <xdr:grpSpPr>
        <a:xfrm>
          <a:off x="4015740" y="7147560"/>
          <a:ext cx="594360" cy="167640"/>
          <a:chOff x="4015740" y="9494520"/>
          <a:chExt cx="594360" cy="167640"/>
        </a:xfrm>
      </xdr:grpSpPr>
      <xdr:cxnSp macro="">
        <xdr:nvCxnSpPr>
          <xdr:cNvPr id="7586" name="Gerader Verbinder 7585">
            <a:extLst>
              <a:ext uri="{FF2B5EF4-FFF2-40B4-BE49-F238E27FC236}">
                <a16:creationId xmlns:a16="http://schemas.microsoft.com/office/drawing/2014/main" id="{5EF40D3C-E87C-4D4A-11DF-009E1D80746C}"/>
              </a:ext>
            </a:extLst>
          </xdr:cNvPr>
          <xdr:cNvCxnSpPr/>
        </xdr:nvCxnSpPr>
        <xdr:spPr>
          <a:xfrm>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87" name="Gerader Verbinder 7586">
            <a:extLst>
              <a:ext uri="{FF2B5EF4-FFF2-40B4-BE49-F238E27FC236}">
                <a16:creationId xmlns:a16="http://schemas.microsoft.com/office/drawing/2014/main" id="{9333CAD8-6BFD-3B1F-6DF9-78B720D187ED}"/>
              </a:ext>
            </a:extLst>
          </xdr:cNvPr>
          <xdr:cNvCxnSpPr/>
        </xdr:nvCxnSpPr>
        <xdr:spPr>
          <a:xfrm flipH="1">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7591" name="Cross_G51">
          <a:extLst>
            <a:ext uri="{FF2B5EF4-FFF2-40B4-BE49-F238E27FC236}">
              <a16:creationId xmlns:a16="http://schemas.microsoft.com/office/drawing/2014/main" id="{DFF0D464-FCB7-1949-17D7-891CC00C8C99}"/>
            </a:ext>
          </a:extLst>
        </xdr:cNvPr>
        <xdr:cNvGrpSpPr/>
      </xdr:nvGrpSpPr>
      <xdr:grpSpPr>
        <a:xfrm>
          <a:off x="4015740" y="7315200"/>
          <a:ext cx="594360" cy="0"/>
          <a:chOff x="4015740" y="9662160"/>
          <a:chExt cx="594360" cy="167640"/>
        </a:xfrm>
      </xdr:grpSpPr>
      <xdr:cxnSp macro="">
        <xdr:nvCxnSpPr>
          <xdr:cNvPr id="7589" name="Gerader Verbinder 7588">
            <a:extLst>
              <a:ext uri="{FF2B5EF4-FFF2-40B4-BE49-F238E27FC236}">
                <a16:creationId xmlns:a16="http://schemas.microsoft.com/office/drawing/2014/main" id="{9AFE6912-70C5-1BD7-C036-CD9091D303C1}"/>
              </a:ext>
            </a:extLst>
          </xdr:cNvPr>
          <xdr:cNvCxnSpPr/>
        </xdr:nvCxnSpPr>
        <xdr:spPr>
          <a:xfrm>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90" name="Gerader Verbinder 7589">
            <a:extLst>
              <a:ext uri="{FF2B5EF4-FFF2-40B4-BE49-F238E27FC236}">
                <a16:creationId xmlns:a16="http://schemas.microsoft.com/office/drawing/2014/main" id="{8E698ABA-EA4E-C8F5-ABD3-A8A96F93944F}"/>
              </a:ext>
            </a:extLst>
          </xdr:cNvPr>
          <xdr:cNvCxnSpPr/>
        </xdr:nvCxnSpPr>
        <xdr:spPr>
          <a:xfrm flipH="1">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7594" name="Cross_G64">
          <a:extLst>
            <a:ext uri="{FF2B5EF4-FFF2-40B4-BE49-F238E27FC236}">
              <a16:creationId xmlns:a16="http://schemas.microsoft.com/office/drawing/2014/main" id="{48BB91BC-3C86-8458-093C-2E8BB0E578AC}"/>
            </a:ext>
          </a:extLst>
        </xdr:cNvPr>
        <xdr:cNvGrpSpPr/>
      </xdr:nvGrpSpPr>
      <xdr:grpSpPr>
        <a:xfrm>
          <a:off x="4015740" y="8900160"/>
          <a:ext cx="594360" cy="228600"/>
          <a:chOff x="4015740" y="12085320"/>
          <a:chExt cx="594360" cy="228600"/>
        </a:xfrm>
      </xdr:grpSpPr>
      <xdr:cxnSp macro="">
        <xdr:nvCxnSpPr>
          <xdr:cNvPr id="7592" name="Gerader Verbinder 7591">
            <a:extLst>
              <a:ext uri="{FF2B5EF4-FFF2-40B4-BE49-F238E27FC236}">
                <a16:creationId xmlns:a16="http://schemas.microsoft.com/office/drawing/2014/main" id="{61B0E869-5C26-F899-E9B0-F6311DA2E651}"/>
              </a:ext>
            </a:extLst>
          </xdr:cNvPr>
          <xdr:cNvCxnSpPr/>
        </xdr:nvCxnSpPr>
        <xdr:spPr>
          <a:xfrm>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93" name="Gerader Verbinder 7592">
            <a:extLst>
              <a:ext uri="{FF2B5EF4-FFF2-40B4-BE49-F238E27FC236}">
                <a16:creationId xmlns:a16="http://schemas.microsoft.com/office/drawing/2014/main" id="{27FEB8F7-7378-4C79-0ADD-5FE96753D5BD}"/>
              </a:ext>
            </a:extLst>
          </xdr:cNvPr>
          <xdr:cNvCxnSpPr/>
        </xdr:nvCxnSpPr>
        <xdr:spPr>
          <a:xfrm flipH="1">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7597" name="Cross_G65">
          <a:extLst>
            <a:ext uri="{FF2B5EF4-FFF2-40B4-BE49-F238E27FC236}">
              <a16:creationId xmlns:a16="http://schemas.microsoft.com/office/drawing/2014/main" id="{A4C91F9C-77D1-D122-A7C3-E46472B67BA6}"/>
            </a:ext>
          </a:extLst>
        </xdr:cNvPr>
        <xdr:cNvGrpSpPr/>
      </xdr:nvGrpSpPr>
      <xdr:grpSpPr>
        <a:xfrm>
          <a:off x="4015740" y="9128760"/>
          <a:ext cx="594360" cy="167640"/>
          <a:chOff x="4015740" y="12313920"/>
          <a:chExt cx="594360" cy="167640"/>
        </a:xfrm>
      </xdr:grpSpPr>
      <xdr:cxnSp macro="">
        <xdr:nvCxnSpPr>
          <xdr:cNvPr id="7595" name="Gerader Verbinder 7594">
            <a:extLst>
              <a:ext uri="{FF2B5EF4-FFF2-40B4-BE49-F238E27FC236}">
                <a16:creationId xmlns:a16="http://schemas.microsoft.com/office/drawing/2014/main" id="{3D16B048-2EA8-9530-CCAE-55B9FD5CD73D}"/>
              </a:ext>
            </a:extLst>
          </xdr:cNvPr>
          <xdr:cNvCxnSpPr/>
        </xdr:nvCxnSpPr>
        <xdr:spPr>
          <a:xfrm>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96" name="Gerader Verbinder 7595">
            <a:extLst>
              <a:ext uri="{FF2B5EF4-FFF2-40B4-BE49-F238E27FC236}">
                <a16:creationId xmlns:a16="http://schemas.microsoft.com/office/drawing/2014/main" id="{30947C87-5BE6-6751-4E15-5DD2B4A69E38}"/>
              </a:ext>
            </a:extLst>
          </xdr:cNvPr>
          <xdr:cNvCxnSpPr/>
        </xdr:nvCxnSpPr>
        <xdr:spPr>
          <a:xfrm flipH="1">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7600" name="Cross_G66">
          <a:extLst>
            <a:ext uri="{FF2B5EF4-FFF2-40B4-BE49-F238E27FC236}">
              <a16:creationId xmlns:a16="http://schemas.microsoft.com/office/drawing/2014/main" id="{BCF5FE90-22EF-3981-04A8-E1B6C13301E5}"/>
            </a:ext>
          </a:extLst>
        </xdr:cNvPr>
        <xdr:cNvGrpSpPr/>
      </xdr:nvGrpSpPr>
      <xdr:grpSpPr>
        <a:xfrm>
          <a:off x="4015740" y="9296400"/>
          <a:ext cx="594360" cy="0"/>
          <a:chOff x="4015740" y="12481560"/>
          <a:chExt cx="594360" cy="167640"/>
        </a:xfrm>
      </xdr:grpSpPr>
      <xdr:cxnSp macro="">
        <xdr:nvCxnSpPr>
          <xdr:cNvPr id="7598" name="Gerader Verbinder 7597">
            <a:extLst>
              <a:ext uri="{FF2B5EF4-FFF2-40B4-BE49-F238E27FC236}">
                <a16:creationId xmlns:a16="http://schemas.microsoft.com/office/drawing/2014/main" id="{33B9F130-D5C8-93DC-4A4C-0B23576F7B4A}"/>
              </a:ext>
            </a:extLst>
          </xdr:cNvPr>
          <xdr:cNvCxnSpPr/>
        </xdr:nvCxnSpPr>
        <xdr:spPr>
          <a:xfrm>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99" name="Gerader Verbinder 7598">
            <a:extLst>
              <a:ext uri="{FF2B5EF4-FFF2-40B4-BE49-F238E27FC236}">
                <a16:creationId xmlns:a16="http://schemas.microsoft.com/office/drawing/2014/main" id="{ABF033A5-1AD6-8DD2-6130-52B5BA65A11F}"/>
              </a:ext>
            </a:extLst>
          </xdr:cNvPr>
          <xdr:cNvCxnSpPr/>
        </xdr:nvCxnSpPr>
        <xdr:spPr>
          <a:xfrm flipH="1">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7603" name="Cross_G67">
          <a:extLst>
            <a:ext uri="{FF2B5EF4-FFF2-40B4-BE49-F238E27FC236}">
              <a16:creationId xmlns:a16="http://schemas.microsoft.com/office/drawing/2014/main" id="{BEBCE47E-0F46-DC02-9A22-C83CB48F74BF}"/>
            </a:ext>
          </a:extLst>
        </xdr:cNvPr>
        <xdr:cNvGrpSpPr/>
      </xdr:nvGrpSpPr>
      <xdr:grpSpPr>
        <a:xfrm>
          <a:off x="4015740" y="9296400"/>
          <a:ext cx="594360" cy="228600"/>
          <a:chOff x="4015740" y="12649200"/>
          <a:chExt cx="594360" cy="228600"/>
        </a:xfrm>
      </xdr:grpSpPr>
      <xdr:cxnSp macro="">
        <xdr:nvCxnSpPr>
          <xdr:cNvPr id="7601" name="Gerader Verbinder 7600">
            <a:extLst>
              <a:ext uri="{FF2B5EF4-FFF2-40B4-BE49-F238E27FC236}">
                <a16:creationId xmlns:a16="http://schemas.microsoft.com/office/drawing/2014/main" id="{0FB57E79-8FC8-C21D-F9CC-1D081E490B99}"/>
              </a:ext>
            </a:extLst>
          </xdr:cNvPr>
          <xdr:cNvCxnSpPr/>
        </xdr:nvCxnSpPr>
        <xdr:spPr>
          <a:xfrm>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02" name="Gerader Verbinder 7601">
            <a:extLst>
              <a:ext uri="{FF2B5EF4-FFF2-40B4-BE49-F238E27FC236}">
                <a16:creationId xmlns:a16="http://schemas.microsoft.com/office/drawing/2014/main" id="{3015AE47-A8C3-C8DE-E7A0-6FE00C0C04A3}"/>
              </a:ext>
            </a:extLst>
          </xdr:cNvPr>
          <xdr:cNvCxnSpPr/>
        </xdr:nvCxnSpPr>
        <xdr:spPr>
          <a:xfrm flipH="1">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7606" name="Cross_G68">
          <a:extLst>
            <a:ext uri="{FF2B5EF4-FFF2-40B4-BE49-F238E27FC236}">
              <a16:creationId xmlns:a16="http://schemas.microsoft.com/office/drawing/2014/main" id="{8E5AB4B8-3445-C0C7-CB66-137DAB8BFCCB}"/>
            </a:ext>
          </a:extLst>
        </xdr:cNvPr>
        <xdr:cNvGrpSpPr/>
      </xdr:nvGrpSpPr>
      <xdr:grpSpPr>
        <a:xfrm>
          <a:off x="4015740" y="9525000"/>
          <a:ext cx="594360" cy="167639"/>
          <a:chOff x="4015740" y="12877800"/>
          <a:chExt cx="594360" cy="167639"/>
        </a:xfrm>
      </xdr:grpSpPr>
      <xdr:cxnSp macro="">
        <xdr:nvCxnSpPr>
          <xdr:cNvPr id="7604" name="Gerader Verbinder 7603">
            <a:extLst>
              <a:ext uri="{FF2B5EF4-FFF2-40B4-BE49-F238E27FC236}">
                <a16:creationId xmlns:a16="http://schemas.microsoft.com/office/drawing/2014/main" id="{33B09BFE-1962-2973-91FC-9D3CB9E8D3B1}"/>
              </a:ext>
            </a:extLst>
          </xdr:cNvPr>
          <xdr:cNvCxnSpPr/>
        </xdr:nvCxnSpPr>
        <xdr:spPr>
          <a:xfrm>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05" name="Gerader Verbinder 7604">
            <a:extLst>
              <a:ext uri="{FF2B5EF4-FFF2-40B4-BE49-F238E27FC236}">
                <a16:creationId xmlns:a16="http://schemas.microsoft.com/office/drawing/2014/main" id="{10E7FC3D-4B46-AA52-4660-7CCD78D3E36B}"/>
              </a:ext>
            </a:extLst>
          </xdr:cNvPr>
          <xdr:cNvCxnSpPr/>
        </xdr:nvCxnSpPr>
        <xdr:spPr>
          <a:xfrm flipH="1">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7609" name="Cross_G69">
          <a:extLst>
            <a:ext uri="{FF2B5EF4-FFF2-40B4-BE49-F238E27FC236}">
              <a16:creationId xmlns:a16="http://schemas.microsoft.com/office/drawing/2014/main" id="{2B110A18-D0A6-5D08-70A8-519DE44ADD17}"/>
            </a:ext>
          </a:extLst>
        </xdr:cNvPr>
        <xdr:cNvGrpSpPr/>
      </xdr:nvGrpSpPr>
      <xdr:grpSpPr>
        <a:xfrm>
          <a:off x="4015740" y="9692639"/>
          <a:ext cx="594360" cy="1"/>
          <a:chOff x="4015740" y="13045439"/>
          <a:chExt cx="594360" cy="167641"/>
        </a:xfrm>
      </xdr:grpSpPr>
      <xdr:cxnSp macro="">
        <xdr:nvCxnSpPr>
          <xdr:cNvPr id="7607" name="Gerader Verbinder 7606">
            <a:extLst>
              <a:ext uri="{FF2B5EF4-FFF2-40B4-BE49-F238E27FC236}">
                <a16:creationId xmlns:a16="http://schemas.microsoft.com/office/drawing/2014/main" id="{B940E6C1-3020-ABDC-7661-CC9052378C77}"/>
              </a:ext>
            </a:extLst>
          </xdr:cNvPr>
          <xdr:cNvCxnSpPr/>
        </xdr:nvCxnSpPr>
        <xdr:spPr>
          <a:xfrm>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08" name="Gerader Verbinder 7607">
            <a:extLst>
              <a:ext uri="{FF2B5EF4-FFF2-40B4-BE49-F238E27FC236}">
                <a16:creationId xmlns:a16="http://schemas.microsoft.com/office/drawing/2014/main" id="{0AEEC1A7-68A4-46DA-49C6-E43B31701091}"/>
              </a:ext>
            </a:extLst>
          </xdr:cNvPr>
          <xdr:cNvCxnSpPr/>
        </xdr:nvCxnSpPr>
        <xdr:spPr>
          <a:xfrm flipH="1">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7612" name="Cross_G70">
          <a:extLst>
            <a:ext uri="{FF2B5EF4-FFF2-40B4-BE49-F238E27FC236}">
              <a16:creationId xmlns:a16="http://schemas.microsoft.com/office/drawing/2014/main" id="{A72F96D1-00B9-098D-D908-40F72F7CE0E9}"/>
            </a:ext>
          </a:extLst>
        </xdr:cNvPr>
        <xdr:cNvGrpSpPr/>
      </xdr:nvGrpSpPr>
      <xdr:grpSpPr>
        <a:xfrm>
          <a:off x="4015740" y="9692640"/>
          <a:ext cx="594360" cy="228600"/>
          <a:chOff x="4015740" y="13213080"/>
          <a:chExt cx="594360" cy="228600"/>
        </a:xfrm>
      </xdr:grpSpPr>
      <xdr:cxnSp macro="">
        <xdr:nvCxnSpPr>
          <xdr:cNvPr id="7610" name="Gerader Verbinder 7609">
            <a:extLst>
              <a:ext uri="{FF2B5EF4-FFF2-40B4-BE49-F238E27FC236}">
                <a16:creationId xmlns:a16="http://schemas.microsoft.com/office/drawing/2014/main" id="{C0864236-655E-115A-9DDA-267A286433B0}"/>
              </a:ext>
            </a:extLst>
          </xdr:cNvPr>
          <xdr:cNvCxnSpPr/>
        </xdr:nvCxnSpPr>
        <xdr:spPr>
          <a:xfrm>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11" name="Gerader Verbinder 7610">
            <a:extLst>
              <a:ext uri="{FF2B5EF4-FFF2-40B4-BE49-F238E27FC236}">
                <a16:creationId xmlns:a16="http://schemas.microsoft.com/office/drawing/2014/main" id="{399B9058-6FFD-9D6B-42A0-FD00B377188F}"/>
              </a:ext>
            </a:extLst>
          </xdr:cNvPr>
          <xdr:cNvCxnSpPr/>
        </xdr:nvCxnSpPr>
        <xdr:spPr>
          <a:xfrm flipH="1">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7615" name="Cross_G71">
          <a:extLst>
            <a:ext uri="{FF2B5EF4-FFF2-40B4-BE49-F238E27FC236}">
              <a16:creationId xmlns:a16="http://schemas.microsoft.com/office/drawing/2014/main" id="{42F59CEC-B488-B7DD-26A0-4AF1D7DB4B08}"/>
            </a:ext>
          </a:extLst>
        </xdr:cNvPr>
        <xdr:cNvGrpSpPr/>
      </xdr:nvGrpSpPr>
      <xdr:grpSpPr>
        <a:xfrm>
          <a:off x="4015740" y="9921240"/>
          <a:ext cx="594360" cy="167640"/>
          <a:chOff x="4015740" y="13441680"/>
          <a:chExt cx="594360" cy="167640"/>
        </a:xfrm>
      </xdr:grpSpPr>
      <xdr:cxnSp macro="">
        <xdr:nvCxnSpPr>
          <xdr:cNvPr id="7613" name="Gerader Verbinder 7612">
            <a:extLst>
              <a:ext uri="{FF2B5EF4-FFF2-40B4-BE49-F238E27FC236}">
                <a16:creationId xmlns:a16="http://schemas.microsoft.com/office/drawing/2014/main" id="{508A0033-0DB5-6691-736D-F1F216B08949}"/>
              </a:ext>
            </a:extLst>
          </xdr:cNvPr>
          <xdr:cNvCxnSpPr/>
        </xdr:nvCxnSpPr>
        <xdr:spPr>
          <a:xfrm>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14" name="Gerader Verbinder 7613">
            <a:extLst>
              <a:ext uri="{FF2B5EF4-FFF2-40B4-BE49-F238E27FC236}">
                <a16:creationId xmlns:a16="http://schemas.microsoft.com/office/drawing/2014/main" id="{9F8DF2B6-6FFE-8CF0-F8B4-6A185B25332C}"/>
              </a:ext>
            </a:extLst>
          </xdr:cNvPr>
          <xdr:cNvCxnSpPr/>
        </xdr:nvCxnSpPr>
        <xdr:spPr>
          <a:xfrm flipH="1">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7618" name="Cross_G72">
          <a:extLst>
            <a:ext uri="{FF2B5EF4-FFF2-40B4-BE49-F238E27FC236}">
              <a16:creationId xmlns:a16="http://schemas.microsoft.com/office/drawing/2014/main" id="{FB96D2AD-0D15-2361-56F3-8B2246F9B3FC}"/>
            </a:ext>
          </a:extLst>
        </xdr:cNvPr>
        <xdr:cNvGrpSpPr/>
      </xdr:nvGrpSpPr>
      <xdr:grpSpPr>
        <a:xfrm>
          <a:off x="4015740" y="10088880"/>
          <a:ext cx="594360" cy="1"/>
          <a:chOff x="4015740" y="13609320"/>
          <a:chExt cx="594360" cy="167641"/>
        </a:xfrm>
      </xdr:grpSpPr>
      <xdr:cxnSp macro="">
        <xdr:nvCxnSpPr>
          <xdr:cNvPr id="7616" name="Gerader Verbinder 7615">
            <a:extLst>
              <a:ext uri="{FF2B5EF4-FFF2-40B4-BE49-F238E27FC236}">
                <a16:creationId xmlns:a16="http://schemas.microsoft.com/office/drawing/2014/main" id="{19A8492B-84FF-E6E3-472D-7BB6B04A0EAE}"/>
              </a:ext>
            </a:extLst>
          </xdr:cNvPr>
          <xdr:cNvCxnSpPr/>
        </xdr:nvCxnSpPr>
        <xdr:spPr>
          <a:xfrm>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17" name="Gerader Verbinder 7616">
            <a:extLst>
              <a:ext uri="{FF2B5EF4-FFF2-40B4-BE49-F238E27FC236}">
                <a16:creationId xmlns:a16="http://schemas.microsoft.com/office/drawing/2014/main" id="{820DCD63-F776-D93A-0043-CEF6C24F3336}"/>
              </a:ext>
            </a:extLst>
          </xdr:cNvPr>
          <xdr:cNvCxnSpPr/>
        </xdr:nvCxnSpPr>
        <xdr:spPr>
          <a:xfrm flipH="1">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7621" name="Cross_H7">
          <a:extLst>
            <a:ext uri="{FF2B5EF4-FFF2-40B4-BE49-F238E27FC236}">
              <a16:creationId xmlns:a16="http://schemas.microsoft.com/office/drawing/2014/main" id="{0C6C5FD5-B4BD-9642-2CBA-10DCE7B05B5E}"/>
            </a:ext>
          </a:extLst>
        </xdr:cNvPr>
        <xdr:cNvGrpSpPr/>
      </xdr:nvGrpSpPr>
      <xdr:grpSpPr>
        <a:xfrm>
          <a:off x="4610100" y="1371600"/>
          <a:ext cx="594360" cy="228600"/>
          <a:chOff x="4610100" y="1371600"/>
          <a:chExt cx="594360" cy="228600"/>
        </a:xfrm>
      </xdr:grpSpPr>
      <xdr:cxnSp macro="">
        <xdr:nvCxnSpPr>
          <xdr:cNvPr id="7619" name="Gerader Verbinder 7618">
            <a:extLst>
              <a:ext uri="{FF2B5EF4-FFF2-40B4-BE49-F238E27FC236}">
                <a16:creationId xmlns:a16="http://schemas.microsoft.com/office/drawing/2014/main" id="{008FAD51-22B8-B172-F2ED-253215E60F33}"/>
              </a:ext>
            </a:extLst>
          </xdr:cNvPr>
          <xdr:cNvCxnSpPr/>
        </xdr:nvCxnSpPr>
        <xdr:spPr>
          <a:xfrm>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20" name="Gerader Verbinder 7619">
            <a:extLst>
              <a:ext uri="{FF2B5EF4-FFF2-40B4-BE49-F238E27FC236}">
                <a16:creationId xmlns:a16="http://schemas.microsoft.com/office/drawing/2014/main" id="{2A341BAE-589C-AE5D-6CB3-4AD5BD541465}"/>
              </a:ext>
            </a:extLst>
          </xdr:cNvPr>
          <xdr:cNvCxnSpPr/>
        </xdr:nvCxnSpPr>
        <xdr:spPr>
          <a:xfrm flipH="1">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7624" name="Cross_H8">
          <a:extLst>
            <a:ext uri="{FF2B5EF4-FFF2-40B4-BE49-F238E27FC236}">
              <a16:creationId xmlns:a16="http://schemas.microsoft.com/office/drawing/2014/main" id="{7B68B4A2-B630-9555-FD59-1E67D8013A21}"/>
            </a:ext>
          </a:extLst>
        </xdr:cNvPr>
        <xdr:cNvGrpSpPr/>
      </xdr:nvGrpSpPr>
      <xdr:grpSpPr>
        <a:xfrm>
          <a:off x="4610100" y="1600200"/>
          <a:ext cx="594360" cy="167640"/>
          <a:chOff x="4610100" y="1600200"/>
          <a:chExt cx="594360" cy="167640"/>
        </a:xfrm>
      </xdr:grpSpPr>
      <xdr:cxnSp macro="">
        <xdr:nvCxnSpPr>
          <xdr:cNvPr id="7622" name="Gerader Verbinder 7621">
            <a:extLst>
              <a:ext uri="{FF2B5EF4-FFF2-40B4-BE49-F238E27FC236}">
                <a16:creationId xmlns:a16="http://schemas.microsoft.com/office/drawing/2014/main" id="{0FFC7FBC-BAC2-1E47-FF80-4FFCD5E4CAF1}"/>
              </a:ext>
            </a:extLst>
          </xdr:cNvPr>
          <xdr:cNvCxnSpPr/>
        </xdr:nvCxnSpPr>
        <xdr:spPr>
          <a:xfrm>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23" name="Gerader Verbinder 7622">
            <a:extLst>
              <a:ext uri="{FF2B5EF4-FFF2-40B4-BE49-F238E27FC236}">
                <a16:creationId xmlns:a16="http://schemas.microsoft.com/office/drawing/2014/main" id="{1443E080-982E-BD53-2D0E-98918CA0FCFC}"/>
              </a:ext>
            </a:extLst>
          </xdr:cNvPr>
          <xdr:cNvCxnSpPr/>
        </xdr:nvCxnSpPr>
        <xdr:spPr>
          <a:xfrm flipH="1">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7627" name="Cross_H9">
          <a:extLst>
            <a:ext uri="{FF2B5EF4-FFF2-40B4-BE49-F238E27FC236}">
              <a16:creationId xmlns:a16="http://schemas.microsoft.com/office/drawing/2014/main" id="{4B80869F-9E69-EFEE-C2D3-392DA0C56294}"/>
            </a:ext>
          </a:extLst>
        </xdr:cNvPr>
        <xdr:cNvGrpSpPr/>
      </xdr:nvGrpSpPr>
      <xdr:grpSpPr>
        <a:xfrm>
          <a:off x="4610100" y="1767840"/>
          <a:ext cx="594360" cy="0"/>
          <a:chOff x="4610100" y="1767840"/>
          <a:chExt cx="594360" cy="167640"/>
        </a:xfrm>
      </xdr:grpSpPr>
      <xdr:cxnSp macro="">
        <xdr:nvCxnSpPr>
          <xdr:cNvPr id="7625" name="Gerader Verbinder 7624">
            <a:extLst>
              <a:ext uri="{FF2B5EF4-FFF2-40B4-BE49-F238E27FC236}">
                <a16:creationId xmlns:a16="http://schemas.microsoft.com/office/drawing/2014/main" id="{8D220377-AFD3-4E2A-BA0A-C6C73FB15180}"/>
              </a:ext>
            </a:extLst>
          </xdr:cNvPr>
          <xdr:cNvCxnSpPr/>
        </xdr:nvCxnSpPr>
        <xdr:spPr>
          <a:xfrm>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26" name="Gerader Verbinder 7625">
            <a:extLst>
              <a:ext uri="{FF2B5EF4-FFF2-40B4-BE49-F238E27FC236}">
                <a16:creationId xmlns:a16="http://schemas.microsoft.com/office/drawing/2014/main" id="{66E8936A-DCB1-C17B-C0AE-BBA0D795EDF5}"/>
              </a:ext>
            </a:extLst>
          </xdr:cNvPr>
          <xdr:cNvCxnSpPr/>
        </xdr:nvCxnSpPr>
        <xdr:spPr>
          <a:xfrm flipH="1">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7630" name="Cross_H10">
          <a:extLst>
            <a:ext uri="{FF2B5EF4-FFF2-40B4-BE49-F238E27FC236}">
              <a16:creationId xmlns:a16="http://schemas.microsoft.com/office/drawing/2014/main" id="{8F0C427B-0AAA-9D34-F5B4-237B069FFFB3}"/>
            </a:ext>
          </a:extLst>
        </xdr:cNvPr>
        <xdr:cNvGrpSpPr/>
      </xdr:nvGrpSpPr>
      <xdr:grpSpPr>
        <a:xfrm>
          <a:off x="4610100" y="1767840"/>
          <a:ext cx="594360" cy="228600"/>
          <a:chOff x="4610100" y="1935480"/>
          <a:chExt cx="594360" cy="228600"/>
        </a:xfrm>
      </xdr:grpSpPr>
      <xdr:cxnSp macro="">
        <xdr:nvCxnSpPr>
          <xdr:cNvPr id="7628" name="Gerader Verbinder 7627">
            <a:extLst>
              <a:ext uri="{FF2B5EF4-FFF2-40B4-BE49-F238E27FC236}">
                <a16:creationId xmlns:a16="http://schemas.microsoft.com/office/drawing/2014/main" id="{9B99771E-5DF0-2C4E-596F-8B624AB082A3}"/>
              </a:ext>
            </a:extLst>
          </xdr:cNvPr>
          <xdr:cNvCxnSpPr/>
        </xdr:nvCxnSpPr>
        <xdr:spPr>
          <a:xfrm>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29" name="Gerader Verbinder 7628">
            <a:extLst>
              <a:ext uri="{FF2B5EF4-FFF2-40B4-BE49-F238E27FC236}">
                <a16:creationId xmlns:a16="http://schemas.microsoft.com/office/drawing/2014/main" id="{4339AA24-3ACC-E55D-2AB9-81438927C8E4}"/>
              </a:ext>
            </a:extLst>
          </xdr:cNvPr>
          <xdr:cNvCxnSpPr/>
        </xdr:nvCxnSpPr>
        <xdr:spPr>
          <a:xfrm flipH="1">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7633" name="Cross_H11">
          <a:extLst>
            <a:ext uri="{FF2B5EF4-FFF2-40B4-BE49-F238E27FC236}">
              <a16:creationId xmlns:a16="http://schemas.microsoft.com/office/drawing/2014/main" id="{56834D42-7AF9-C11B-18FE-A7A9CEEEE722}"/>
            </a:ext>
          </a:extLst>
        </xdr:cNvPr>
        <xdr:cNvGrpSpPr/>
      </xdr:nvGrpSpPr>
      <xdr:grpSpPr>
        <a:xfrm>
          <a:off x="4610100" y="1996440"/>
          <a:ext cx="594360" cy="167640"/>
          <a:chOff x="4610100" y="2164080"/>
          <a:chExt cx="594360" cy="167640"/>
        </a:xfrm>
      </xdr:grpSpPr>
      <xdr:cxnSp macro="">
        <xdr:nvCxnSpPr>
          <xdr:cNvPr id="7631" name="Gerader Verbinder 7630">
            <a:extLst>
              <a:ext uri="{FF2B5EF4-FFF2-40B4-BE49-F238E27FC236}">
                <a16:creationId xmlns:a16="http://schemas.microsoft.com/office/drawing/2014/main" id="{2BF061E8-E74F-A606-234B-6094BD06130E}"/>
              </a:ext>
            </a:extLst>
          </xdr:cNvPr>
          <xdr:cNvCxnSpPr/>
        </xdr:nvCxnSpPr>
        <xdr:spPr>
          <a:xfrm>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32" name="Gerader Verbinder 7631">
            <a:extLst>
              <a:ext uri="{FF2B5EF4-FFF2-40B4-BE49-F238E27FC236}">
                <a16:creationId xmlns:a16="http://schemas.microsoft.com/office/drawing/2014/main" id="{36C1536C-563D-A775-69B5-3D9F13F00FF9}"/>
              </a:ext>
            </a:extLst>
          </xdr:cNvPr>
          <xdr:cNvCxnSpPr/>
        </xdr:nvCxnSpPr>
        <xdr:spPr>
          <a:xfrm flipH="1">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7636" name="Cross_H12">
          <a:extLst>
            <a:ext uri="{FF2B5EF4-FFF2-40B4-BE49-F238E27FC236}">
              <a16:creationId xmlns:a16="http://schemas.microsoft.com/office/drawing/2014/main" id="{0F1D3448-F0C5-8728-3F42-33AA76257FA6}"/>
            </a:ext>
          </a:extLst>
        </xdr:cNvPr>
        <xdr:cNvGrpSpPr/>
      </xdr:nvGrpSpPr>
      <xdr:grpSpPr>
        <a:xfrm>
          <a:off x="4610100" y="2164080"/>
          <a:ext cx="594360" cy="0"/>
          <a:chOff x="4610100" y="2331720"/>
          <a:chExt cx="594360" cy="167640"/>
        </a:xfrm>
      </xdr:grpSpPr>
      <xdr:cxnSp macro="">
        <xdr:nvCxnSpPr>
          <xdr:cNvPr id="7634" name="Gerader Verbinder 7633">
            <a:extLst>
              <a:ext uri="{FF2B5EF4-FFF2-40B4-BE49-F238E27FC236}">
                <a16:creationId xmlns:a16="http://schemas.microsoft.com/office/drawing/2014/main" id="{D407D711-4088-6C34-4759-373930BDCD31}"/>
              </a:ext>
            </a:extLst>
          </xdr:cNvPr>
          <xdr:cNvCxnSpPr/>
        </xdr:nvCxnSpPr>
        <xdr:spPr>
          <a:xfrm>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35" name="Gerader Verbinder 7634">
            <a:extLst>
              <a:ext uri="{FF2B5EF4-FFF2-40B4-BE49-F238E27FC236}">
                <a16:creationId xmlns:a16="http://schemas.microsoft.com/office/drawing/2014/main" id="{0F8F4482-7ABE-1597-1EEE-B12E482B63AE}"/>
              </a:ext>
            </a:extLst>
          </xdr:cNvPr>
          <xdr:cNvCxnSpPr/>
        </xdr:nvCxnSpPr>
        <xdr:spPr>
          <a:xfrm flipH="1">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7639" name="Cross_H16">
          <a:extLst>
            <a:ext uri="{FF2B5EF4-FFF2-40B4-BE49-F238E27FC236}">
              <a16:creationId xmlns:a16="http://schemas.microsoft.com/office/drawing/2014/main" id="{B9BF5082-6207-1F28-F81A-81B8D004913B}"/>
            </a:ext>
          </a:extLst>
        </xdr:cNvPr>
        <xdr:cNvGrpSpPr/>
      </xdr:nvGrpSpPr>
      <xdr:grpSpPr>
        <a:xfrm>
          <a:off x="4610100" y="2560320"/>
          <a:ext cx="594360" cy="228600"/>
          <a:chOff x="4610100" y="3063240"/>
          <a:chExt cx="594360" cy="228600"/>
        </a:xfrm>
      </xdr:grpSpPr>
      <xdr:cxnSp macro="">
        <xdr:nvCxnSpPr>
          <xdr:cNvPr id="7637" name="Gerader Verbinder 7636">
            <a:extLst>
              <a:ext uri="{FF2B5EF4-FFF2-40B4-BE49-F238E27FC236}">
                <a16:creationId xmlns:a16="http://schemas.microsoft.com/office/drawing/2014/main" id="{7DC3012D-73C6-811A-10E9-3CC33580675B}"/>
              </a:ext>
            </a:extLst>
          </xdr:cNvPr>
          <xdr:cNvCxnSpPr/>
        </xdr:nvCxnSpPr>
        <xdr:spPr>
          <a:xfrm>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38" name="Gerader Verbinder 7637">
            <a:extLst>
              <a:ext uri="{FF2B5EF4-FFF2-40B4-BE49-F238E27FC236}">
                <a16:creationId xmlns:a16="http://schemas.microsoft.com/office/drawing/2014/main" id="{63FFAD11-19F8-4A10-5FB5-065DB003BE92}"/>
              </a:ext>
            </a:extLst>
          </xdr:cNvPr>
          <xdr:cNvCxnSpPr/>
        </xdr:nvCxnSpPr>
        <xdr:spPr>
          <a:xfrm flipH="1">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7642" name="Cross_H17">
          <a:extLst>
            <a:ext uri="{FF2B5EF4-FFF2-40B4-BE49-F238E27FC236}">
              <a16:creationId xmlns:a16="http://schemas.microsoft.com/office/drawing/2014/main" id="{77EBBA9D-30F7-FF0F-8D7B-9411BA72CD1B}"/>
            </a:ext>
          </a:extLst>
        </xdr:cNvPr>
        <xdr:cNvGrpSpPr/>
      </xdr:nvGrpSpPr>
      <xdr:grpSpPr>
        <a:xfrm>
          <a:off x="4610100" y="2788920"/>
          <a:ext cx="594360" cy="167640"/>
          <a:chOff x="4610100" y="3291840"/>
          <a:chExt cx="594360" cy="167640"/>
        </a:xfrm>
      </xdr:grpSpPr>
      <xdr:cxnSp macro="">
        <xdr:nvCxnSpPr>
          <xdr:cNvPr id="7640" name="Gerader Verbinder 7639">
            <a:extLst>
              <a:ext uri="{FF2B5EF4-FFF2-40B4-BE49-F238E27FC236}">
                <a16:creationId xmlns:a16="http://schemas.microsoft.com/office/drawing/2014/main" id="{58EE81D9-3868-726E-B7E7-AB1687C7E75B}"/>
              </a:ext>
            </a:extLst>
          </xdr:cNvPr>
          <xdr:cNvCxnSpPr/>
        </xdr:nvCxnSpPr>
        <xdr:spPr>
          <a:xfrm>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41" name="Gerader Verbinder 7640">
            <a:extLst>
              <a:ext uri="{FF2B5EF4-FFF2-40B4-BE49-F238E27FC236}">
                <a16:creationId xmlns:a16="http://schemas.microsoft.com/office/drawing/2014/main" id="{0BA16374-A794-47AC-1AFC-151657A1BA7B}"/>
              </a:ext>
            </a:extLst>
          </xdr:cNvPr>
          <xdr:cNvCxnSpPr/>
        </xdr:nvCxnSpPr>
        <xdr:spPr>
          <a:xfrm flipH="1">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7645" name="Cross_H18">
          <a:extLst>
            <a:ext uri="{FF2B5EF4-FFF2-40B4-BE49-F238E27FC236}">
              <a16:creationId xmlns:a16="http://schemas.microsoft.com/office/drawing/2014/main" id="{72F2D141-EEC7-BF54-A317-868645468473}"/>
            </a:ext>
          </a:extLst>
        </xdr:cNvPr>
        <xdr:cNvGrpSpPr/>
      </xdr:nvGrpSpPr>
      <xdr:grpSpPr>
        <a:xfrm>
          <a:off x="4610100" y="2956560"/>
          <a:ext cx="594360" cy="0"/>
          <a:chOff x="4610100" y="3459480"/>
          <a:chExt cx="594360" cy="167640"/>
        </a:xfrm>
      </xdr:grpSpPr>
      <xdr:cxnSp macro="">
        <xdr:nvCxnSpPr>
          <xdr:cNvPr id="7643" name="Gerader Verbinder 7642">
            <a:extLst>
              <a:ext uri="{FF2B5EF4-FFF2-40B4-BE49-F238E27FC236}">
                <a16:creationId xmlns:a16="http://schemas.microsoft.com/office/drawing/2014/main" id="{3BA3AF47-4A52-00B8-AE0D-F9E8B4861B99}"/>
              </a:ext>
            </a:extLst>
          </xdr:cNvPr>
          <xdr:cNvCxnSpPr/>
        </xdr:nvCxnSpPr>
        <xdr:spPr>
          <a:xfrm>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44" name="Gerader Verbinder 7643">
            <a:extLst>
              <a:ext uri="{FF2B5EF4-FFF2-40B4-BE49-F238E27FC236}">
                <a16:creationId xmlns:a16="http://schemas.microsoft.com/office/drawing/2014/main" id="{325AF162-216D-4AB9-0A84-C001C1C3C4C4}"/>
              </a:ext>
            </a:extLst>
          </xdr:cNvPr>
          <xdr:cNvCxnSpPr/>
        </xdr:nvCxnSpPr>
        <xdr:spPr>
          <a:xfrm flipH="1">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7648" name="Cross_H19">
          <a:extLst>
            <a:ext uri="{FF2B5EF4-FFF2-40B4-BE49-F238E27FC236}">
              <a16:creationId xmlns:a16="http://schemas.microsoft.com/office/drawing/2014/main" id="{8D891FBA-6FC1-94FD-DCDF-F0E417222497}"/>
            </a:ext>
          </a:extLst>
        </xdr:cNvPr>
        <xdr:cNvGrpSpPr/>
      </xdr:nvGrpSpPr>
      <xdr:grpSpPr>
        <a:xfrm>
          <a:off x="4610100" y="2956560"/>
          <a:ext cx="594360" cy="228600"/>
          <a:chOff x="4610100" y="3627120"/>
          <a:chExt cx="594360" cy="228600"/>
        </a:xfrm>
      </xdr:grpSpPr>
      <xdr:cxnSp macro="">
        <xdr:nvCxnSpPr>
          <xdr:cNvPr id="7646" name="Gerader Verbinder 7645">
            <a:extLst>
              <a:ext uri="{FF2B5EF4-FFF2-40B4-BE49-F238E27FC236}">
                <a16:creationId xmlns:a16="http://schemas.microsoft.com/office/drawing/2014/main" id="{27B33EBD-55B1-2314-6B09-2AE3F2E3877D}"/>
              </a:ext>
            </a:extLst>
          </xdr:cNvPr>
          <xdr:cNvCxnSpPr/>
        </xdr:nvCxnSpPr>
        <xdr:spPr>
          <a:xfrm>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47" name="Gerader Verbinder 7646">
            <a:extLst>
              <a:ext uri="{FF2B5EF4-FFF2-40B4-BE49-F238E27FC236}">
                <a16:creationId xmlns:a16="http://schemas.microsoft.com/office/drawing/2014/main" id="{744D237A-FC81-EDEE-9AE9-B01C3EE7EC67}"/>
              </a:ext>
            </a:extLst>
          </xdr:cNvPr>
          <xdr:cNvCxnSpPr/>
        </xdr:nvCxnSpPr>
        <xdr:spPr>
          <a:xfrm flipH="1">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7651" name="Cross_H20">
          <a:extLst>
            <a:ext uri="{FF2B5EF4-FFF2-40B4-BE49-F238E27FC236}">
              <a16:creationId xmlns:a16="http://schemas.microsoft.com/office/drawing/2014/main" id="{359496D3-B424-FBBD-5C3A-9EAC2286121B}"/>
            </a:ext>
          </a:extLst>
        </xdr:cNvPr>
        <xdr:cNvGrpSpPr/>
      </xdr:nvGrpSpPr>
      <xdr:grpSpPr>
        <a:xfrm>
          <a:off x="4610100" y="3185160"/>
          <a:ext cx="594360" cy="167640"/>
          <a:chOff x="4610100" y="3855720"/>
          <a:chExt cx="594360" cy="167640"/>
        </a:xfrm>
      </xdr:grpSpPr>
      <xdr:cxnSp macro="">
        <xdr:nvCxnSpPr>
          <xdr:cNvPr id="7649" name="Gerader Verbinder 7648">
            <a:extLst>
              <a:ext uri="{FF2B5EF4-FFF2-40B4-BE49-F238E27FC236}">
                <a16:creationId xmlns:a16="http://schemas.microsoft.com/office/drawing/2014/main" id="{E83A0DC4-CFCB-CDAA-64A4-E4EAD5BEAC77}"/>
              </a:ext>
            </a:extLst>
          </xdr:cNvPr>
          <xdr:cNvCxnSpPr/>
        </xdr:nvCxnSpPr>
        <xdr:spPr>
          <a:xfrm>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50" name="Gerader Verbinder 7649">
            <a:extLst>
              <a:ext uri="{FF2B5EF4-FFF2-40B4-BE49-F238E27FC236}">
                <a16:creationId xmlns:a16="http://schemas.microsoft.com/office/drawing/2014/main" id="{22E4F1BC-DF5C-4789-3756-57F6836031C4}"/>
              </a:ext>
            </a:extLst>
          </xdr:cNvPr>
          <xdr:cNvCxnSpPr/>
        </xdr:nvCxnSpPr>
        <xdr:spPr>
          <a:xfrm flipH="1">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7654" name="Cross_H21">
          <a:extLst>
            <a:ext uri="{FF2B5EF4-FFF2-40B4-BE49-F238E27FC236}">
              <a16:creationId xmlns:a16="http://schemas.microsoft.com/office/drawing/2014/main" id="{656B496F-663A-FF57-01A7-F5C8BE2D6B51}"/>
            </a:ext>
          </a:extLst>
        </xdr:cNvPr>
        <xdr:cNvGrpSpPr/>
      </xdr:nvGrpSpPr>
      <xdr:grpSpPr>
        <a:xfrm>
          <a:off x="4610100" y="3352800"/>
          <a:ext cx="594360" cy="0"/>
          <a:chOff x="4610100" y="4023360"/>
          <a:chExt cx="594360" cy="167640"/>
        </a:xfrm>
      </xdr:grpSpPr>
      <xdr:cxnSp macro="">
        <xdr:nvCxnSpPr>
          <xdr:cNvPr id="7652" name="Gerader Verbinder 7651">
            <a:extLst>
              <a:ext uri="{FF2B5EF4-FFF2-40B4-BE49-F238E27FC236}">
                <a16:creationId xmlns:a16="http://schemas.microsoft.com/office/drawing/2014/main" id="{D4111D0C-4EE3-BFF1-9F07-E1B27157C857}"/>
              </a:ext>
            </a:extLst>
          </xdr:cNvPr>
          <xdr:cNvCxnSpPr/>
        </xdr:nvCxnSpPr>
        <xdr:spPr>
          <a:xfrm>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53" name="Gerader Verbinder 7652">
            <a:extLst>
              <a:ext uri="{FF2B5EF4-FFF2-40B4-BE49-F238E27FC236}">
                <a16:creationId xmlns:a16="http://schemas.microsoft.com/office/drawing/2014/main" id="{4FB5E1DC-3F32-9A96-D289-4B9363DA31DA}"/>
              </a:ext>
            </a:extLst>
          </xdr:cNvPr>
          <xdr:cNvCxnSpPr/>
        </xdr:nvCxnSpPr>
        <xdr:spPr>
          <a:xfrm flipH="1">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7657" name="Cross_H22">
          <a:extLst>
            <a:ext uri="{FF2B5EF4-FFF2-40B4-BE49-F238E27FC236}">
              <a16:creationId xmlns:a16="http://schemas.microsoft.com/office/drawing/2014/main" id="{9E155EEE-4475-2874-3825-61CBB54E1D3B}"/>
            </a:ext>
          </a:extLst>
        </xdr:cNvPr>
        <xdr:cNvGrpSpPr/>
      </xdr:nvGrpSpPr>
      <xdr:grpSpPr>
        <a:xfrm>
          <a:off x="4610100" y="3352800"/>
          <a:ext cx="594360" cy="228600"/>
          <a:chOff x="4610100" y="4191000"/>
          <a:chExt cx="594360" cy="228600"/>
        </a:xfrm>
      </xdr:grpSpPr>
      <xdr:cxnSp macro="">
        <xdr:nvCxnSpPr>
          <xdr:cNvPr id="7655" name="Gerader Verbinder 7654">
            <a:extLst>
              <a:ext uri="{FF2B5EF4-FFF2-40B4-BE49-F238E27FC236}">
                <a16:creationId xmlns:a16="http://schemas.microsoft.com/office/drawing/2014/main" id="{654EAEF6-3F8C-4F3A-DD2B-BD34AD2AC8DE}"/>
              </a:ext>
            </a:extLst>
          </xdr:cNvPr>
          <xdr:cNvCxnSpPr/>
        </xdr:nvCxnSpPr>
        <xdr:spPr>
          <a:xfrm>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56" name="Gerader Verbinder 7655">
            <a:extLst>
              <a:ext uri="{FF2B5EF4-FFF2-40B4-BE49-F238E27FC236}">
                <a16:creationId xmlns:a16="http://schemas.microsoft.com/office/drawing/2014/main" id="{6D3135C2-6605-A4CF-C07B-B18745B46109}"/>
              </a:ext>
            </a:extLst>
          </xdr:cNvPr>
          <xdr:cNvCxnSpPr/>
        </xdr:nvCxnSpPr>
        <xdr:spPr>
          <a:xfrm flipH="1">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7660" name="Cross_H23">
          <a:extLst>
            <a:ext uri="{FF2B5EF4-FFF2-40B4-BE49-F238E27FC236}">
              <a16:creationId xmlns:a16="http://schemas.microsoft.com/office/drawing/2014/main" id="{A0685E00-886C-D730-6347-1C64BAAA7C24}"/>
            </a:ext>
          </a:extLst>
        </xdr:cNvPr>
        <xdr:cNvGrpSpPr/>
      </xdr:nvGrpSpPr>
      <xdr:grpSpPr>
        <a:xfrm>
          <a:off x="4610100" y="3581400"/>
          <a:ext cx="594360" cy="167640"/>
          <a:chOff x="4610100" y="4419600"/>
          <a:chExt cx="594360" cy="167640"/>
        </a:xfrm>
      </xdr:grpSpPr>
      <xdr:cxnSp macro="">
        <xdr:nvCxnSpPr>
          <xdr:cNvPr id="7658" name="Gerader Verbinder 7657">
            <a:extLst>
              <a:ext uri="{FF2B5EF4-FFF2-40B4-BE49-F238E27FC236}">
                <a16:creationId xmlns:a16="http://schemas.microsoft.com/office/drawing/2014/main" id="{F409E9E0-D4E8-DF8A-704D-65D40BACFB20}"/>
              </a:ext>
            </a:extLst>
          </xdr:cNvPr>
          <xdr:cNvCxnSpPr/>
        </xdr:nvCxnSpPr>
        <xdr:spPr>
          <a:xfrm>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59" name="Gerader Verbinder 7658">
            <a:extLst>
              <a:ext uri="{FF2B5EF4-FFF2-40B4-BE49-F238E27FC236}">
                <a16:creationId xmlns:a16="http://schemas.microsoft.com/office/drawing/2014/main" id="{534C58C9-E7AA-BBF7-D529-BDF5FDD50CB5}"/>
              </a:ext>
            </a:extLst>
          </xdr:cNvPr>
          <xdr:cNvCxnSpPr/>
        </xdr:nvCxnSpPr>
        <xdr:spPr>
          <a:xfrm flipH="1">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7663" name="Cross_H24">
          <a:extLst>
            <a:ext uri="{FF2B5EF4-FFF2-40B4-BE49-F238E27FC236}">
              <a16:creationId xmlns:a16="http://schemas.microsoft.com/office/drawing/2014/main" id="{2A5FC660-66C6-AC55-58DE-A872661B1A28}"/>
            </a:ext>
          </a:extLst>
        </xdr:cNvPr>
        <xdr:cNvGrpSpPr/>
      </xdr:nvGrpSpPr>
      <xdr:grpSpPr>
        <a:xfrm>
          <a:off x="4610100" y="3749040"/>
          <a:ext cx="594360" cy="0"/>
          <a:chOff x="4610100" y="4587240"/>
          <a:chExt cx="594360" cy="167640"/>
        </a:xfrm>
      </xdr:grpSpPr>
      <xdr:cxnSp macro="">
        <xdr:nvCxnSpPr>
          <xdr:cNvPr id="7661" name="Gerader Verbinder 7660">
            <a:extLst>
              <a:ext uri="{FF2B5EF4-FFF2-40B4-BE49-F238E27FC236}">
                <a16:creationId xmlns:a16="http://schemas.microsoft.com/office/drawing/2014/main" id="{68C2F33A-8B07-0D1D-8B3A-2186D9E78DF4}"/>
              </a:ext>
            </a:extLst>
          </xdr:cNvPr>
          <xdr:cNvCxnSpPr/>
        </xdr:nvCxnSpPr>
        <xdr:spPr>
          <a:xfrm>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62" name="Gerader Verbinder 7661">
            <a:extLst>
              <a:ext uri="{FF2B5EF4-FFF2-40B4-BE49-F238E27FC236}">
                <a16:creationId xmlns:a16="http://schemas.microsoft.com/office/drawing/2014/main" id="{F3F193FE-06A5-AC69-D35D-0D8D14604CE6}"/>
              </a:ext>
            </a:extLst>
          </xdr:cNvPr>
          <xdr:cNvCxnSpPr/>
        </xdr:nvCxnSpPr>
        <xdr:spPr>
          <a:xfrm flipH="1">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7666" name="Cross_H31">
          <a:extLst>
            <a:ext uri="{FF2B5EF4-FFF2-40B4-BE49-F238E27FC236}">
              <a16:creationId xmlns:a16="http://schemas.microsoft.com/office/drawing/2014/main" id="{51D0003B-43A3-274E-DDD9-F1853C167779}"/>
            </a:ext>
          </a:extLst>
        </xdr:cNvPr>
        <xdr:cNvGrpSpPr/>
      </xdr:nvGrpSpPr>
      <xdr:grpSpPr>
        <a:xfrm>
          <a:off x="4610100" y="4541520"/>
          <a:ext cx="594360" cy="228600"/>
          <a:chOff x="4610100" y="5882640"/>
          <a:chExt cx="594360" cy="228600"/>
        </a:xfrm>
      </xdr:grpSpPr>
      <xdr:cxnSp macro="">
        <xdr:nvCxnSpPr>
          <xdr:cNvPr id="7664" name="Gerader Verbinder 7663">
            <a:extLst>
              <a:ext uri="{FF2B5EF4-FFF2-40B4-BE49-F238E27FC236}">
                <a16:creationId xmlns:a16="http://schemas.microsoft.com/office/drawing/2014/main" id="{55C0EEF2-7323-1632-4670-228DF6669D94}"/>
              </a:ext>
            </a:extLst>
          </xdr:cNvPr>
          <xdr:cNvCxnSpPr/>
        </xdr:nvCxnSpPr>
        <xdr:spPr>
          <a:xfrm>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65" name="Gerader Verbinder 7664">
            <a:extLst>
              <a:ext uri="{FF2B5EF4-FFF2-40B4-BE49-F238E27FC236}">
                <a16:creationId xmlns:a16="http://schemas.microsoft.com/office/drawing/2014/main" id="{CD7FCC7F-3BA8-93CC-EAFC-A210919B744C}"/>
              </a:ext>
            </a:extLst>
          </xdr:cNvPr>
          <xdr:cNvCxnSpPr/>
        </xdr:nvCxnSpPr>
        <xdr:spPr>
          <a:xfrm flipH="1">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7669" name="Cross_H32">
          <a:extLst>
            <a:ext uri="{FF2B5EF4-FFF2-40B4-BE49-F238E27FC236}">
              <a16:creationId xmlns:a16="http://schemas.microsoft.com/office/drawing/2014/main" id="{966D00CD-8050-14BC-2A25-689C8EE29167}"/>
            </a:ext>
          </a:extLst>
        </xdr:cNvPr>
        <xdr:cNvGrpSpPr/>
      </xdr:nvGrpSpPr>
      <xdr:grpSpPr>
        <a:xfrm>
          <a:off x="4610100" y="4770120"/>
          <a:ext cx="594360" cy="167640"/>
          <a:chOff x="4610100" y="6111240"/>
          <a:chExt cx="594360" cy="167640"/>
        </a:xfrm>
      </xdr:grpSpPr>
      <xdr:cxnSp macro="">
        <xdr:nvCxnSpPr>
          <xdr:cNvPr id="7667" name="Gerader Verbinder 7666">
            <a:extLst>
              <a:ext uri="{FF2B5EF4-FFF2-40B4-BE49-F238E27FC236}">
                <a16:creationId xmlns:a16="http://schemas.microsoft.com/office/drawing/2014/main" id="{7C82163B-0247-FF1F-FF65-E8DEEF853429}"/>
              </a:ext>
            </a:extLst>
          </xdr:cNvPr>
          <xdr:cNvCxnSpPr/>
        </xdr:nvCxnSpPr>
        <xdr:spPr>
          <a:xfrm>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68" name="Gerader Verbinder 7667">
            <a:extLst>
              <a:ext uri="{FF2B5EF4-FFF2-40B4-BE49-F238E27FC236}">
                <a16:creationId xmlns:a16="http://schemas.microsoft.com/office/drawing/2014/main" id="{0F3F5570-A932-D90C-9F9E-E435AB0BBFD6}"/>
              </a:ext>
            </a:extLst>
          </xdr:cNvPr>
          <xdr:cNvCxnSpPr/>
        </xdr:nvCxnSpPr>
        <xdr:spPr>
          <a:xfrm flipH="1">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7672" name="Cross_H33">
          <a:extLst>
            <a:ext uri="{FF2B5EF4-FFF2-40B4-BE49-F238E27FC236}">
              <a16:creationId xmlns:a16="http://schemas.microsoft.com/office/drawing/2014/main" id="{2A04E6BD-6750-6609-FFE5-7FEA89EB7B22}"/>
            </a:ext>
          </a:extLst>
        </xdr:cNvPr>
        <xdr:cNvGrpSpPr/>
      </xdr:nvGrpSpPr>
      <xdr:grpSpPr>
        <a:xfrm>
          <a:off x="4610100" y="4937760"/>
          <a:ext cx="594360" cy="0"/>
          <a:chOff x="4610100" y="6278880"/>
          <a:chExt cx="594360" cy="167640"/>
        </a:xfrm>
      </xdr:grpSpPr>
      <xdr:cxnSp macro="">
        <xdr:nvCxnSpPr>
          <xdr:cNvPr id="7670" name="Gerader Verbinder 7669">
            <a:extLst>
              <a:ext uri="{FF2B5EF4-FFF2-40B4-BE49-F238E27FC236}">
                <a16:creationId xmlns:a16="http://schemas.microsoft.com/office/drawing/2014/main" id="{0741820B-E85A-16B0-864D-F8F26707EDED}"/>
              </a:ext>
            </a:extLst>
          </xdr:cNvPr>
          <xdr:cNvCxnSpPr/>
        </xdr:nvCxnSpPr>
        <xdr:spPr>
          <a:xfrm>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71" name="Gerader Verbinder 7670">
            <a:extLst>
              <a:ext uri="{FF2B5EF4-FFF2-40B4-BE49-F238E27FC236}">
                <a16:creationId xmlns:a16="http://schemas.microsoft.com/office/drawing/2014/main" id="{906D3C89-F35F-6C84-DB9D-0AA9AE7873AF}"/>
              </a:ext>
            </a:extLst>
          </xdr:cNvPr>
          <xdr:cNvCxnSpPr/>
        </xdr:nvCxnSpPr>
        <xdr:spPr>
          <a:xfrm flipH="1">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7675" name="Cross_H34">
          <a:extLst>
            <a:ext uri="{FF2B5EF4-FFF2-40B4-BE49-F238E27FC236}">
              <a16:creationId xmlns:a16="http://schemas.microsoft.com/office/drawing/2014/main" id="{0E3F883F-420E-A355-3141-733DA70967DD}"/>
            </a:ext>
          </a:extLst>
        </xdr:cNvPr>
        <xdr:cNvGrpSpPr/>
      </xdr:nvGrpSpPr>
      <xdr:grpSpPr>
        <a:xfrm>
          <a:off x="4610100" y="4937760"/>
          <a:ext cx="594360" cy="228600"/>
          <a:chOff x="4610100" y="6446520"/>
          <a:chExt cx="594360" cy="228600"/>
        </a:xfrm>
      </xdr:grpSpPr>
      <xdr:cxnSp macro="">
        <xdr:nvCxnSpPr>
          <xdr:cNvPr id="7673" name="Gerader Verbinder 7672">
            <a:extLst>
              <a:ext uri="{FF2B5EF4-FFF2-40B4-BE49-F238E27FC236}">
                <a16:creationId xmlns:a16="http://schemas.microsoft.com/office/drawing/2014/main" id="{071E0748-3F1C-9A0B-CA8D-15FC2D7EAEF3}"/>
              </a:ext>
            </a:extLst>
          </xdr:cNvPr>
          <xdr:cNvCxnSpPr/>
        </xdr:nvCxnSpPr>
        <xdr:spPr>
          <a:xfrm>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74" name="Gerader Verbinder 7673">
            <a:extLst>
              <a:ext uri="{FF2B5EF4-FFF2-40B4-BE49-F238E27FC236}">
                <a16:creationId xmlns:a16="http://schemas.microsoft.com/office/drawing/2014/main" id="{D9211C32-BDEF-19E2-2D97-01362014447C}"/>
              </a:ext>
            </a:extLst>
          </xdr:cNvPr>
          <xdr:cNvCxnSpPr/>
        </xdr:nvCxnSpPr>
        <xdr:spPr>
          <a:xfrm flipH="1">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7678" name="Cross_H35">
          <a:extLst>
            <a:ext uri="{FF2B5EF4-FFF2-40B4-BE49-F238E27FC236}">
              <a16:creationId xmlns:a16="http://schemas.microsoft.com/office/drawing/2014/main" id="{82AB7537-E265-DBB1-EF04-DF1C2E1C2D7C}"/>
            </a:ext>
          </a:extLst>
        </xdr:cNvPr>
        <xdr:cNvGrpSpPr/>
      </xdr:nvGrpSpPr>
      <xdr:grpSpPr>
        <a:xfrm>
          <a:off x="4610100" y="5166360"/>
          <a:ext cx="594360" cy="167640"/>
          <a:chOff x="4610100" y="6675120"/>
          <a:chExt cx="594360" cy="167640"/>
        </a:xfrm>
      </xdr:grpSpPr>
      <xdr:cxnSp macro="">
        <xdr:nvCxnSpPr>
          <xdr:cNvPr id="7676" name="Gerader Verbinder 7675">
            <a:extLst>
              <a:ext uri="{FF2B5EF4-FFF2-40B4-BE49-F238E27FC236}">
                <a16:creationId xmlns:a16="http://schemas.microsoft.com/office/drawing/2014/main" id="{56FA2F08-60D2-89B4-9606-4B2E18002502}"/>
              </a:ext>
            </a:extLst>
          </xdr:cNvPr>
          <xdr:cNvCxnSpPr/>
        </xdr:nvCxnSpPr>
        <xdr:spPr>
          <a:xfrm>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77" name="Gerader Verbinder 7676">
            <a:extLst>
              <a:ext uri="{FF2B5EF4-FFF2-40B4-BE49-F238E27FC236}">
                <a16:creationId xmlns:a16="http://schemas.microsoft.com/office/drawing/2014/main" id="{E4726527-0B53-1C40-07BC-F8066D0DE7C1}"/>
              </a:ext>
            </a:extLst>
          </xdr:cNvPr>
          <xdr:cNvCxnSpPr/>
        </xdr:nvCxnSpPr>
        <xdr:spPr>
          <a:xfrm flipH="1">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7681" name="Cross_H36">
          <a:extLst>
            <a:ext uri="{FF2B5EF4-FFF2-40B4-BE49-F238E27FC236}">
              <a16:creationId xmlns:a16="http://schemas.microsoft.com/office/drawing/2014/main" id="{27220CFB-6EE7-AB5C-60F4-6C09D0C9F050}"/>
            </a:ext>
          </a:extLst>
        </xdr:cNvPr>
        <xdr:cNvGrpSpPr/>
      </xdr:nvGrpSpPr>
      <xdr:grpSpPr>
        <a:xfrm>
          <a:off x="4610100" y="5334000"/>
          <a:ext cx="594360" cy="0"/>
          <a:chOff x="4610100" y="6842760"/>
          <a:chExt cx="594360" cy="167640"/>
        </a:xfrm>
      </xdr:grpSpPr>
      <xdr:cxnSp macro="">
        <xdr:nvCxnSpPr>
          <xdr:cNvPr id="7679" name="Gerader Verbinder 7678">
            <a:extLst>
              <a:ext uri="{FF2B5EF4-FFF2-40B4-BE49-F238E27FC236}">
                <a16:creationId xmlns:a16="http://schemas.microsoft.com/office/drawing/2014/main" id="{1A556DF8-3BCF-B781-8C96-E2071D8594F4}"/>
              </a:ext>
            </a:extLst>
          </xdr:cNvPr>
          <xdr:cNvCxnSpPr/>
        </xdr:nvCxnSpPr>
        <xdr:spPr>
          <a:xfrm>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80" name="Gerader Verbinder 7679">
            <a:extLst>
              <a:ext uri="{FF2B5EF4-FFF2-40B4-BE49-F238E27FC236}">
                <a16:creationId xmlns:a16="http://schemas.microsoft.com/office/drawing/2014/main" id="{86BD6CA9-D430-B5EA-B049-6A57F888BF0D}"/>
              </a:ext>
            </a:extLst>
          </xdr:cNvPr>
          <xdr:cNvCxnSpPr/>
        </xdr:nvCxnSpPr>
        <xdr:spPr>
          <a:xfrm flipH="1">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7684" name="Cross_H37">
          <a:extLst>
            <a:ext uri="{FF2B5EF4-FFF2-40B4-BE49-F238E27FC236}">
              <a16:creationId xmlns:a16="http://schemas.microsoft.com/office/drawing/2014/main" id="{4BE32FC9-0E7A-DA71-766A-96AC1193B0ED}"/>
            </a:ext>
          </a:extLst>
        </xdr:cNvPr>
        <xdr:cNvGrpSpPr/>
      </xdr:nvGrpSpPr>
      <xdr:grpSpPr>
        <a:xfrm>
          <a:off x="4610100" y="5334000"/>
          <a:ext cx="594360" cy="228600"/>
          <a:chOff x="4610100" y="7010400"/>
          <a:chExt cx="594360" cy="228600"/>
        </a:xfrm>
      </xdr:grpSpPr>
      <xdr:cxnSp macro="">
        <xdr:nvCxnSpPr>
          <xdr:cNvPr id="7682" name="Gerader Verbinder 7681">
            <a:extLst>
              <a:ext uri="{FF2B5EF4-FFF2-40B4-BE49-F238E27FC236}">
                <a16:creationId xmlns:a16="http://schemas.microsoft.com/office/drawing/2014/main" id="{A9C845E9-4061-F685-0BFA-27EDE0297F7D}"/>
              </a:ext>
            </a:extLst>
          </xdr:cNvPr>
          <xdr:cNvCxnSpPr/>
        </xdr:nvCxnSpPr>
        <xdr:spPr>
          <a:xfrm>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83" name="Gerader Verbinder 7682">
            <a:extLst>
              <a:ext uri="{FF2B5EF4-FFF2-40B4-BE49-F238E27FC236}">
                <a16:creationId xmlns:a16="http://schemas.microsoft.com/office/drawing/2014/main" id="{A12B13C1-B585-E512-05EE-16525B06DF1E}"/>
              </a:ext>
            </a:extLst>
          </xdr:cNvPr>
          <xdr:cNvCxnSpPr/>
        </xdr:nvCxnSpPr>
        <xdr:spPr>
          <a:xfrm flipH="1">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7687" name="Cross_H38">
          <a:extLst>
            <a:ext uri="{FF2B5EF4-FFF2-40B4-BE49-F238E27FC236}">
              <a16:creationId xmlns:a16="http://schemas.microsoft.com/office/drawing/2014/main" id="{CD790067-3A88-B051-8BFE-36B879A18829}"/>
            </a:ext>
          </a:extLst>
        </xdr:cNvPr>
        <xdr:cNvGrpSpPr/>
      </xdr:nvGrpSpPr>
      <xdr:grpSpPr>
        <a:xfrm>
          <a:off x="4610100" y="5562600"/>
          <a:ext cx="594360" cy="167640"/>
          <a:chOff x="4610100" y="7239000"/>
          <a:chExt cx="594360" cy="167640"/>
        </a:xfrm>
      </xdr:grpSpPr>
      <xdr:cxnSp macro="">
        <xdr:nvCxnSpPr>
          <xdr:cNvPr id="7685" name="Gerader Verbinder 7684">
            <a:extLst>
              <a:ext uri="{FF2B5EF4-FFF2-40B4-BE49-F238E27FC236}">
                <a16:creationId xmlns:a16="http://schemas.microsoft.com/office/drawing/2014/main" id="{9DF9B7E0-9FC4-EAB1-F209-9D0741625EE1}"/>
              </a:ext>
            </a:extLst>
          </xdr:cNvPr>
          <xdr:cNvCxnSpPr/>
        </xdr:nvCxnSpPr>
        <xdr:spPr>
          <a:xfrm>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86" name="Gerader Verbinder 7685">
            <a:extLst>
              <a:ext uri="{FF2B5EF4-FFF2-40B4-BE49-F238E27FC236}">
                <a16:creationId xmlns:a16="http://schemas.microsoft.com/office/drawing/2014/main" id="{42807250-0125-7CE5-1C2E-1315D238F2AC}"/>
              </a:ext>
            </a:extLst>
          </xdr:cNvPr>
          <xdr:cNvCxnSpPr/>
        </xdr:nvCxnSpPr>
        <xdr:spPr>
          <a:xfrm flipH="1">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7690" name="Cross_H39">
          <a:extLst>
            <a:ext uri="{FF2B5EF4-FFF2-40B4-BE49-F238E27FC236}">
              <a16:creationId xmlns:a16="http://schemas.microsoft.com/office/drawing/2014/main" id="{02AC5BFF-6D94-8CBA-81E2-043059FC320B}"/>
            </a:ext>
          </a:extLst>
        </xdr:cNvPr>
        <xdr:cNvGrpSpPr/>
      </xdr:nvGrpSpPr>
      <xdr:grpSpPr>
        <a:xfrm>
          <a:off x="4610100" y="5730240"/>
          <a:ext cx="594360" cy="0"/>
          <a:chOff x="4610100" y="7406640"/>
          <a:chExt cx="594360" cy="167640"/>
        </a:xfrm>
      </xdr:grpSpPr>
      <xdr:cxnSp macro="">
        <xdr:nvCxnSpPr>
          <xdr:cNvPr id="7688" name="Gerader Verbinder 7687">
            <a:extLst>
              <a:ext uri="{FF2B5EF4-FFF2-40B4-BE49-F238E27FC236}">
                <a16:creationId xmlns:a16="http://schemas.microsoft.com/office/drawing/2014/main" id="{7576AA17-2ECE-B9D1-9841-9EE460C9A7B8}"/>
              </a:ext>
            </a:extLst>
          </xdr:cNvPr>
          <xdr:cNvCxnSpPr/>
        </xdr:nvCxnSpPr>
        <xdr:spPr>
          <a:xfrm>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89" name="Gerader Verbinder 7688">
            <a:extLst>
              <a:ext uri="{FF2B5EF4-FFF2-40B4-BE49-F238E27FC236}">
                <a16:creationId xmlns:a16="http://schemas.microsoft.com/office/drawing/2014/main" id="{51967929-0FA5-A412-AEC3-14CD2F498D4A}"/>
              </a:ext>
            </a:extLst>
          </xdr:cNvPr>
          <xdr:cNvCxnSpPr/>
        </xdr:nvCxnSpPr>
        <xdr:spPr>
          <a:xfrm flipH="1">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7693" name="Cross_H40">
          <a:extLst>
            <a:ext uri="{FF2B5EF4-FFF2-40B4-BE49-F238E27FC236}">
              <a16:creationId xmlns:a16="http://schemas.microsoft.com/office/drawing/2014/main" id="{911B1DF5-7561-B0FC-EFE9-D969D1A2443B}"/>
            </a:ext>
          </a:extLst>
        </xdr:cNvPr>
        <xdr:cNvGrpSpPr/>
      </xdr:nvGrpSpPr>
      <xdr:grpSpPr>
        <a:xfrm>
          <a:off x="4610100" y="5730240"/>
          <a:ext cx="594360" cy="228600"/>
          <a:chOff x="4610100" y="7574280"/>
          <a:chExt cx="594360" cy="228600"/>
        </a:xfrm>
      </xdr:grpSpPr>
      <xdr:cxnSp macro="">
        <xdr:nvCxnSpPr>
          <xdr:cNvPr id="7691" name="Gerader Verbinder 7690">
            <a:extLst>
              <a:ext uri="{FF2B5EF4-FFF2-40B4-BE49-F238E27FC236}">
                <a16:creationId xmlns:a16="http://schemas.microsoft.com/office/drawing/2014/main" id="{128561D7-7CC7-4000-0DF0-AFD3991357F7}"/>
              </a:ext>
            </a:extLst>
          </xdr:cNvPr>
          <xdr:cNvCxnSpPr/>
        </xdr:nvCxnSpPr>
        <xdr:spPr>
          <a:xfrm>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92" name="Gerader Verbinder 7691">
            <a:extLst>
              <a:ext uri="{FF2B5EF4-FFF2-40B4-BE49-F238E27FC236}">
                <a16:creationId xmlns:a16="http://schemas.microsoft.com/office/drawing/2014/main" id="{DEE78696-B34E-CAD1-47AA-E9B0C9D3EBF6}"/>
              </a:ext>
            </a:extLst>
          </xdr:cNvPr>
          <xdr:cNvCxnSpPr/>
        </xdr:nvCxnSpPr>
        <xdr:spPr>
          <a:xfrm flipH="1">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7696" name="Cross_H41">
          <a:extLst>
            <a:ext uri="{FF2B5EF4-FFF2-40B4-BE49-F238E27FC236}">
              <a16:creationId xmlns:a16="http://schemas.microsoft.com/office/drawing/2014/main" id="{2BBD336D-EA7F-7FA3-57F8-237263DF7557}"/>
            </a:ext>
          </a:extLst>
        </xdr:cNvPr>
        <xdr:cNvGrpSpPr/>
      </xdr:nvGrpSpPr>
      <xdr:grpSpPr>
        <a:xfrm>
          <a:off x="4610100" y="5958840"/>
          <a:ext cx="594360" cy="167640"/>
          <a:chOff x="4610100" y="7802880"/>
          <a:chExt cx="594360" cy="167640"/>
        </a:xfrm>
      </xdr:grpSpPr>
      <xdr:cxnSp macro="">
        <xdr:nvCxnSpPr>
          <xdr:cNvPr id="7694" name="Gerader Verbinder 7693">
            <a:extLst>
              <a:ext uri="{FF2B5EF4-FFF2-40B4-BE49-F238E27FC236}">
                <a16:creationId xmlns:a16="http://schemas.microsoft.com/office/drawing/2014/main" id="{AC4688F5-AB9C-3434-71F1-88C5A8E9B3A2}"/>
              </a:ext>
            </a:extLst>
          </xdr:cNvPr>
          <xdr:cNvCxnSpPr/>
        </xdr:nvCxnSpPr>
        <xdr:spPr>
          <a:xfrm>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95" name="Gerader Verbinder 7694">
            <a:extLst>
              <a:ext uri="{FF2B5EF4-FFF2-40B4-BE49-F238E27FC236}">
                <a16:creationId xmlns:a16="http://schemas.microsoft.com/office/drawing/2014/main" id="{974EB0F1-3EDB-5E13-4F20-544C0DEC69DD}"/>
              </a:ext>
            </a:extLst>
          </xdr:cNvPr>
          <xdr:cNvCxnSpPr/>
        </xdr:nvCxnSpPr>
        <xdr:spPr>
          <a:xfrm flipH="1">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7699" name="Cross_H42">
          <a:extLst>
            <a:ext uri="{FF2B5EF4-FFF2-40B4-BE49-F238E27FC236}">
              <a16:creationId xmlns:a16="http://schemas.microsoft.com/office/drawing/2014/main" id="{A03722EB-FA05-A02C-F04D-A5F396C985FE}"/>
            </a:ext>
          </a:extLst>
        </xdr:cNvPr>
        <xdr:cNvGrpSpPr/>
      </xdr:nvGrpSpPr>
      <xdr:grpSpPr>
        <a:xfrm>
          <a:off x="4610100" y="6126480"/>
          <a:ext cx="594360" cy="0"/>
          <a:chOff x="4610100" y="7970520"/>
          <a:chExt cx="594360" cy="167640"/>
        </a:xfrm>
      </xdr:grpSpPr>
      <xdr:cxnSp macro="">
        <xdr:nvCxnSpPr>
          <xdr:cNvPr id="7697" name="Gerader Verbinder 7696">
            <a:extLst>
              <a:ext uri="{FF2B5EF4-FFF2-40B4-BE49-F238E27FC236}">
                <a16:creationId xmlns:a16="http://schemas.microsoft.com/office/drawing/2014/main" id="{FDB3FC61-75E8-10B6-B794-D229D92DA5A3}"/>
              </a:ext>
            </a:extLst>
          </xdr:cNvPr>
          <xdr:cNvCxnSpPr/>
        </xdr:nvCxnSpPr>
        <xdr:spPr>
          <a:xfrm>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98" name="Gerader Verbinder 7697">
            <a:extLst>
              <a:ext uri="{FF2B5EF4-FFF2-40B4-BE49-F238E27FC236}">
                <a16:creationId xmlns:a16="http://schemas.microsoft.com/office/drawing/2014/main" id="{AC58677F-0D9E-3A9E-DACE-D8705B56CF11}"/>
              </a:ext>
            </a:extLst>
          </xdr:cNvPr>
          <xdr:cNvCxnSpPr/>
        </xdr:nvCxnSpPr>
        <xdr:spPr>
          <a:xfrm flipH="1">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7702" name="Cross_H52">
          <a:extLst>
            <a:ext uri="{FF2B5EF4-FFF2-40B4-BE49-F238E27FC236}">
              <a16:creationId xmlns:a16="http://schemas.microsoft.com/office/drawing/2014/main" id="{92EBE0B5-6C65-E9E1-B431-217739662327}"/>
            </a:ext>
          </a:extLst>
        </xdr:cNvPr>
        <xdr:cNvGrpSpPr/>
      </xdr:nvGrpSpPr>
      <xdr:grpSpPr>
        <a:xfrm>
          <a:off x="4610100" y="7315200"/>
          <a:ext cx="594360" cy="228600"/>
          <a:chOff x="4610100" y="9829800"/>
          <a:chExt cx="594360" cy="228600"/>
        </a:xfrm>
      </xdr:grpSpPr>
      <xdr:cxnSp macro="">
        <xdr:nvCxnSpPr>
          <xdr:cNvPr id="7700" name="Gerader Verbinder 7699">
            <a:extLst>
              <a:ext uri="{FF2B5EF4-FFF2-40B4-BE49-F238E27FC236}">
                <a16:creationId xmlns:a16="http://schemas.microsoft.com/office/drawing/2014/main" id="{932D82CD-81F0-9349-925F-F2E2D3F2987E}"/>
              </a:ext>
            </a:extLst>
          </xdr:cNvPr>
          <xdr:cNvCxnSpPr/>
        </xdr:nvCxnSpPr>
        <xdr:spPr>
          <a:xfrm>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01" name="Gerader Verbinder 7700">
            <a:extLst>
              <a:ext uri="{FF2B5EF4-FFF2-40B4-BE49-F238E27FC236}">
                <a16:creationId xmlns:a16="http://schemas.microsoft.com/office/drawing/2014/main" id="{C0083E8A-0E07-3BA6-A9F0-EA97DF5B1DC3}"/>
              </a:ext>
            </a:extLst>
          </xdr:cNvPr>
          <xdr:cNvCxnSpPr/>
        </xdr:nvCxnSpPr>
        <xdr:spPr>
          <a:xfrm flipH="1">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7705" name="Cross_H53">
          <a:extLst>
            <a:ext uri="{FF2B5EF4-FFF2-40B4-BE49-F238E27FC236}">
              <a16:creationId xmlns:a16="http://schemas.microsoft.com/office/drawing/2014/main" id="{7D8C500A-CA0F-30B4-E6BB-15BEB41D5EAD}"/>
            </a:ext>
          </a:extLst>
        </xdr:cNvPr>
        <xdr:cNvGrpSpPr/>
      </xdr:nvGrpSpPr>
      <xdr:grpSpPr>
        <a:xfrm>
          <a:off x="4610100" y="7543800"/>
          <a:ext cx="594360" cy="167640"/>
          <a:chOff x="4610100" y="10058400"/>
          <a:chExt cx="594360" cy="167640"/>
        </a:xfrm>
      </xdr:grpSpPr>
      <xdr:cxnSp macro="">
        <xdr:nvCxnSpPr>
          <xdr:cNvPr id="7703" name="Gerader Verbinder 7702">
            <a:extLst>
              <a:ext uri="{FF2B5EF4-FFF2-40B4-BE49-F238E27FC236}">
                <a16:creationId xmlns:a16="http://schemas.microsoft.com/office/drawing/2014/main" id="{C6B47625-771B-A8A8-4469-899554A6477C}"/>
              </a:ext>
            </a:extLst>
          </xdr:cNvPr>
          <xdr:cNvCxnSpPr/>
        </xdr:nvCxnSpPr>
        <xdr:spPr>
          <a:xfrm>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04" name="Gerader Verbinder 7703">
            <a:extLst>
              <a:ext uri="{FF2B5EF4-FFF2-40B4-BE49-F238E27FC236}">
                <a16:creationId xmlns:a16="http://schemas.microsoft.com/office/drawing/2014/main" id="{4EE157D4-3C1E-1B6B-2696-A04E4E2C7926}"/>
              </a:ext>
            </a:extLst>
          </xdr:cNvPr>
          <xdr:cNvCxnSpPr/>
        </xdr:nvCxnSpPr>
        <xdr:spPr>
          <a:xfrm flipH="1">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7708" name="Cross_H54">
          <a:extLst>
            <a:ext uri="{FF2B5EF4-FFF2-40B4-BE49-F238E27FC236}">
              <a16:creationId xmlns:a16="http://schemas.microsoft.com/office/drawing/2014/main" id="{789C1D33-8A71-5934-4E07-F5749B177644}"/>
            </a:ext>
          </a:extLst>
        </xdr:cNvPr>
        <xdr:cNvGrpSpPr/>
      </xdr:nvGrpSpPr>
      <xdr:grpSpPr>
        <a:xfrm>
          <a:off x="4610100" y="7711440"/>
          <a:ext cx="594360" cy="0"/>
          <a:chOff x="4610100" y="10226040"/>
          <a:chExt cx="594360" cy="167640"/>
        </a:xfrm>
      </xdr:grpSpPr>
      <xdr:cxnSp macro="">
        <xdr:nvCxnSpPr>
          <xdr:cNvPr id="7706" name="Gerader Verbinder 7705">
            <a:extLst>
              <a:ext uri="{FF2B5EF4-FFF2-40B4-BE49-F238E27FC236}">
                <a16:creationId xmlns:a16="http://schemas.microsoft.com/office/drawing/2014/main" id="{665FE477-58C3-BEBC-5253-E7AD81FBA6A7}"/>
              </a:ext>
            </a:extLst>
          </xdr:cNvPr>
          <xdr:cNvCxnSpPr/>
        </xdr:nvCxnSpPr>
        <xdr:spPr>
          <a:xfrm>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07" name="Gerader Verbinder 7706">
            <a:extLst>
              <a:ext uri="{FF2B5EF4-FFF2-40B4-BE49-F238E27FC236}">
                <a16:creationId xmlns:a16="http://schemas.microsoft.com/office/drawing/2014/main" id="{9C5BA3FA-73DB-2E72-B0B1-E48C8A2F9A2E}"/>
              </a:ext>
            </a:extLst>
          </xdr:cNvPr>
          <xdr:cNvCxnSpPr/>
        </xdr:nvCxnSpPr>
        <xdr:spPr>
          <a:xfrm flipH="1">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7711" name="Cross_H55">
          <a:extLst>
            <a:ext uri="{FF2B5EF4-FFF2-40B4-BE49-F238E27FC236}">
              <a16:creationId xmlns:a16="http://schemas.microsoft.com/office/drawing/2014/main" id="{374CD165-DE40-3B06-453A-F5645DBFE1CC}"/>
            </a:ext>
          </a:extLst>
        </xdr:cNvPr>
        <xdr:cNvGrpSpPr/>
      </xdr:nvGrpSpPr>
      <xdr:grpSpPr>
        <a:xfrm>
          <a:off x="4610100" y="7711440"/>
          <a:ext cx="594360" cy="228600"/>
          <a:chOff x="4610100" y="10393680"/>
          <a:chExt cx="594360" cy="228600"/>
        </a:xfrm>
      </xdr:grpSpPr>
      <xdr:cxnSp macro="">
        <xdr:nvCxnSpPr>
          <xdr:cNvPr id="7709" name="Gerader Verbinder 7708">
            <a:extLst>
              <a:ext uri="{FF2B5EF4-FFF2-40B4-BE49-F238E27FC236}">
                <a16:creationId xmlns:a16="http://schemas.microsoft.com/office/drawing/2014/main" id="{A6AEACEF-EA95-FADA-A8C6-27BA5E3C9592}"/>
              </a:ext>
            </a:extLst>
          </xdr:cNvPr>
          <xdr:cNvCxnSpPr/>
        </xdr:nvCxnSpPr>
        <xdr:spPr>
          <a:xfrm>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10" name="Gerader Verbinder 7709">
            <a:extLst>
              <a:ext uri="{FF2B5EF4-FFF2-40B4-BE49-F238E27FC236}">
                <a16:creationId xmlns:a16="http://schemas.microsoft.com/office/drawing/2014/main" id="{DF7F61A3-D708-1C89-97E6-A553530865CE}"/>
              </a:ext>
            </a:extLst>
          </xdr:cNvPr>
          <xdr:cNvCxnSpPr/>
        </xdr:nvCxnSpPr>
        <xdr:spPr>
          <a:xfrm flipH="1">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7714" name="Cross_H56">
          <a:extLst>
            <a:ext uri="{FF2B5EF4-FFF2-40B4-BE49-F238E27FC236}">
              <a16:creationId xmlns:a16="http://schemas.microsoft.com/office/drawing/2014/main" id="{4B230E90-553E-3F01-EC60-57FE47529F7D}"/>
            </a:ext>
          </a:extLst>
        </xdr:cNvPr>
        <xdr:cNvGrpSpPr/>
      </xdr:nvGrpSpPr>
      <xdr:grpSpPr>
        <a:xfrm>
          <a:off x="4610100" y="7940040"/>
          <a:ext cx="594360" cy="167640"/>
          <a:chOff x="4610100" y="10622280"/>
          <a:chExt cx="594360" cy="167640"/>
        </a:xfrm>
      </xdr:grpSpPr>
      <xdr:cxnSp macro="">
        <xdr:nvCxnSpPr>
          <xdr:cNvPr id="7712" name="Gerader Verbinder 7711">
            <a:extLst>
              <a:ext uri="{FF2B5EF4-FFF2-40B4-BE49-F238E27FC236}">
                <a16:creationId xmlns:a16="http://schemas.microsoft.com/office/drawing/2014/main" id="{6355B9BE-18D1-9B26-6013-16E74E5D64DE}"/>
              </a:ext>
            </a:extLst>
          </xdr:cNvPr>
          <xdr:cNvCxnSpPr/>
        </xdr:nvCxnSpPr>
        <xdr:spPr>
          <a:xfrm>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13" name="Gerader Verbinder 7712">
            <a:extLst>
              <a:ext uri="{FF2B5EF4-FFF2-40B4-BE49-F238E27FC236}">
                <a16:creationId xmlns:a16="http://schemas.microsoft.com/office/drawing/2014/main" id="{FD22794A-5D0A-0926-5431-551D8F9A781E}"/>
              </a:ext>
            </a:extLst>
          </xdr:cNvPr>
          <xdr:cNvCxnSpPr/>
        </xdr:nvCxnSpPr>
        <xdr:spPr>
          <a:xfrm flipH="1">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7717" name="Cross_H57">
          <a:extLst>
            <a:ext uri="{FF2B5EF4-FFF2-40B4-BE49-F238E27FC236}">
              <a16:creationId xmlns:a16="http://schemas.microsoft.com/office/drawing/2014/main" id="{1DC5529C-39F0-196B-9883-31B448399CA3}"/>
            </a:ext>
          </a:extLst>
        </xdr:cNvPr>
        <xdr:cNvGrpSpPr/>
      </xdr:nvGrpSpPr>
      <xdr:grpSpPr>
        <a:xfrm>
          <a:off x="4610100" y="8107680"/>
          <a:ext cx="594360" cy="0"/>
          <a:chOff x="4610100" y="10789920"/>
          <a:chExt cx="594360" cy="167640"/>
        </a:xfrm>
      </xdr:grpSpPr>
      <xdr:cxnSp macro="">
        <xdr:nvCxnSpPr>
          <xdr:cNvPr id="7715" name="Gerader Verbinder 7714">
            <a:extLst>
              <a:ext uri="{FF2B5EF4-FFF2-40B4-BE49-F238E27FC236}">
                <a16:creationId xmlns:a16="http://schemas.microsoft.com/office/drawing/2014/main" id="{0414C0AD-5258-A2BE-9C7E-023BA2C3B809}"/>
              </a:ext>
            </a:extLst>
          </xdr:cNvPr>
          <xdr:cNvCxnSpPr/>
        </xdr:nvCxnSpPr>
        <xdr:spPr>
          <a:xfrm>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16" name="Gerader Verbinder 7715">
            <a:extLst>
              <a:ext uri="{FF2B5EF4-FFF2-40B4-BE49-F238E27FC236}">
                <a16:creationId xmlns:a16="http://schemas.microsoft.com/office/drawing/2014/main" id="{CFF956DA-2F8E-777C-D31C-66B172A85231}"/>
              </a:ext>
            </a:extLst>
          </xdr:cNvPr>
          <xdr:cNvCxnSpPr/>
        </xdr:nvCxnSpPr>
        <xdr:spPr>
          <a:xfrm flipH="1">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7720" name="Cross_H64">
          <a:extLst>
            <a:ext uri="{FF2B5EF4-FFF2-40B4-BE49-F238E27FC236}">
              <a16:creationId xmlns:a16="http://schemas.microsoft.com/office/drawing/2014/main" id="{C7E2C424-DA23-CD65-9E82-FC1FF0DB9443}"/>
            </a:ext>
          </a:extLst>
        </xdr:cNvPr>
        <xdr:cNvGrpSpPr/>
      </xdr:nvGrpSpPr>
      <xdr:grpSpPr>
        <a:xfrm>
          <a:off x="4610100" y="8900160"/>
          <a:ext cx="594360" cy="228600"/>
          <a:chOff x="4610100" y="12085320"/>
          <a:chExt cx="594360" cy="228600"/>
        </a:xfrm>
      </xdr:grpSpPr>
      <xdr:cxnSp macro="">
        <xdr:nvCxnSpPr>
          <xdr:cNvPr id="7718" name="Gerader Verbinder 7717">
            <a:extLst>
              <a:ext uri="{FF2B5EF4-FFF2-40B4-BE49-F238E27FC236}">
                <a16:creationId xmlns:a16="http://schemas.microsoft.com/office/drawing/2014/main" id="{20C8F91C-C5E6-42D3-E693-292405317F5B}"/>
              </a:ext>
            </a:extLst>
          </xdr:cNvPr>
          <xdr:cNvCxnSpPr/>
        </xdr:nvCxnSpPr>
        <xdr:spPr>
          <a:xfrm>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19" name="Gerader Verbinder 7718">
            <a:extLst>
              <a:ext uri="{FF2B5EF4-FFF2-40B4-BE49-F238E27FC236}">
                <a16:creationId xmlns:a16="http://schemas.microsoft.com/office/drawing/2014/main" id="{7DA3922B-177C-211C-E725-54F8A51375DF}"/>
              </a:ext>
            </a:extLst>
          </xdr:cNvPr>
          <xdr:cNvCxnSpPr/>
        </xdr:nvCxnSpPr>
        <xdr:spPr>
          <a:xfrm flipH="1">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7723" name="Cross_H65">
          <a:extLst>
            <a:ext uri="{FF2B5EF4-FFF2-40B4-BE49-F238E27FC236}">
              <a16:creationId xmlns:a16="http://schemas.microsoft.com/office/drawing/2014/main" id="{D397E0E9-7A28-4DD5-0592-2B47B224F700}"/>
            </a:ext>
          </a:extLst>
        </xdr:cNvPr>
        <xdr:cNvGrpSpPr/>
      </xdr:nvGrpSpPr>
      <xdr:grpSpPr>
        <a:xfrm>
          <a:off x="4610100" y="9128760"/>
          <a:ext cx="594360" cy="167640"/>
          <a:chOff x="4610100" y="12313920"/>
          <a:chExt cx="594360" cy="167640"/>
        </a:xfrm>
      </xdr:grpSpPr>
      <xdr:cxnSp macro="">
        <xdr:nvCxnSpPr>
          <xdr:cNvPr id="7721" name="Gerader Verbinder 7720">
            <a:extLst>
              <a:ext uri="{FF2B5EF4-FFF2-40B4-BE49-F238E27FC236}">
                <a16:creationId xmlns:a16="http://schemas.microsoft.com/office/drawing/2014/main" id="{0D4E7C51-9C44-D8B3-54AD-DCC16740BCC3}"/>
              </a:ext>
            </a:extLst>
          </xdr:cNvPr>
          <xdr:cNvCxnSpPr/>
        </xdr:nvCxnSpPr>
        <xdr:spPr>
          <a:xfrm>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22" name="Gerader Verbinder 7721">
            <a:extLst>
              <a:ext uri="{FF2B5EF4-FFF2-40B4-BE49-F238E27FC236}">
                <a16:creationId xmlns:a16="http://schemas.microsoft.com/office/drawing/2014/main" id="{161D9C5C-D7B3-FDA6-742E-31F500FB1601}"/>
              </a:ext>
            </a:extLst>
          </xdr:cNvPr>
          <xdr:cNvCxnSpPr/>
        </xdr:nvCxnSpPr>
        <xdr:spPr>
          <a:xfrm flipH="1">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7726" name="Cross_H66">
          <a:extLst>
            <a:ext uri="{FF2B5EF4-FFF2-40B4-BE49-F238E27FC236}">
              <a16:creationId xmlns:a16="http://schemas.microsoft.com/office/drawing/2014/main" id="{10173529-AAFA-7A9C-D2B4-BBB968030A5B}"/>
            </a:ext>
          </a:extLst>
        </xdr:cNvPr>
        <xdr:cNvGrpSpPr/>
      </xdr:nvGrpSpPr>
      <xdr:grpSpPr>
        <a:xfrm>
          <a:off x="4610100" y="9296400"/>
          <a:ext cx="594360" cy="0"/>
          <a:chOff x="4610100" y="12481560"/>
          <a:chExt cx="594360" cy="167640"/>
        </a:xfrm>
      </xdr:grpSpPr>
      <xdr:cxnSp macro="">
        <xdr:nvCxnSpPr>
          <xdr:cNvPr id="7724" name="Gerader Verbinder 7723">
            <a:extLst>
              <a:ext uri="{FF2B5EF4-FFF2-40B4-BE49-F238E27FC236}">
                <a16:creationId xmlns:a16="http://schemas.microsoft.com/office/drawing/2014/main" id="{AC5DDAEA-B01A-7D12-B242-AA3CA8F7EEC6}"/>
              </a:ext>
            </a:extLst>
          </xdr:cNvPr>
          <xdr:cNvCxnSpPr/>
        </xdr:nvCxnSpPr>
        <xdr:spPr>
          <a:xfrm>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25" name="Gerader Verbinder 7724">
            <a:extLst>
              <a:ext uri="{FF2B5EF4-FFF2-40B4-BE49-F238E27FC236}">
                <a16:creationId xmlns:a16="http://schemas.microsoft.com/office/drawing/2014/main" id="{FC2E5E76-A7B3-F6F4-B13F-EC67F76170B4}"/>
              </a:ext>
            </a:extLst>
          </xdr:cNvPr>
          <xdr:cNvCxnSpPr/>
        </xdr:nvCxnSpPr>
        <xdr:spPr>
          <a:xfrm flipH="1">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7729" name="Cross_H67">
          <a:extLst>
            <a:ext uri="{FF2B5EF4-FFF2-40B4-BE49-F238E27FC236}">
              <a16:creationId xmlns:a16="http://schemas.microsoft.com/office/drawing/2014/main" id="{B58A3217-2AF9-B034-6964-5E05FE543E37}"/>
            </a:ext>
          </a:extLst>
        </xdr:cNvPr>
        <xdr:cNvGrpSpPr/>
      </xdr:nvGrpSpPr>
      <xdr:grpSpPr>
        <a:xfrm>
          <a:off x="4610100" y="9296400"/>
          <a:ext cx="594360" cy="228600"/>
          <a:chOff x="4610100" y="12649200"/>
          <a:chExt cx="594360" cy="228600"/>
        </a:xfrm>
      </xdr:grpSpPr>
      <xdr:cxnSp macro="">
        <xdr:nvCxnSpPr>
          <xdr:cNvPr id="7727" name="Gerader Verbinder 7726">
            <a:extLst>
              <a:ext uri="{FF2B5EF4-FFF2-40B4-BE49-F238E27FC236}">
                <a16:creationId xmlns:a16="http://schemas.microsoft.com/office/drawing/2014/main" id="{AE01AF9E-6CEF-A39A-CFFF-B7E0C3A6CACE}"/>
              </a:ext>
            </a:extLst>
          </xdr:cNvPr>
          <xdr:cNvCxnSpPr/>
        </xdr:nvCxnSpPr>
        <xdr:spPr>
          <a:xfrm>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28" name="Gerader Verbinder 7727">
            <a:extLst>
              <a:ext uri="{FF2B5EF4-FFF2-40B4-BE49-F238E27FC236}">
                <a16:creationId xmlns:a16="http://schemas.microsoft.com/office/drawing/2014/main" id="{FFB546F7-B5B5-099E-8103-940AF2594110}"/>
              </a:ext>
            </a:extLst>
          </xdr:cNvPr>
          <xdr:cNvCxnSpPr/>
        </xdr:nvCxnSpPr>
        <xdr:spPr>
          <a:xfrm flipH="1">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7732" name="Cross_H68">
          <a:extLst>
            <a:ext uri="{FF2B5EF4-FFF2-40B4-BE49-F238E27FC236}">
              <a16:creationId xmlns:a16="http://schemas.microsoft.com/office/drawing/2014/main" id="{9DD3E1BF-51C7-B3E0-948B-F8B5EAD5723E}"/>
            </a:ext>
          </a:extLst>
        </xdr:cNvPr>
        <xdr:cNvGrpSpPr/>
      </xdr:nvGrpSpPr>
      <xdr:grpSpPr>
        <a:xfrm>
          <a:off x="4610100" y="9525000"/>
          <a:ext cx="594360" cy="167639"/>
          <a:chOff x="4610100" y="12877800"/>
          <a:chExt cx="594360" cy="167639"/>
        </a:xfrm>
      </xdr:grpSpPr>
      <xdr:cxnSp macro="">
        <xdr:nvCxnSpPr>
          <xdr:cNvPr id="7730" name="Gerader Verbinder 7729">
            <a:extLst>
              <a:ext uri="{FF2B5EF4-FFF2-40B4-BE49-F238E27FC236}">
                <a16:creationId xmlns:a16="http://schemas.microsoft.com/office/drawing/2014/main" id="{069E0A86-BA74-D3F3-F31A-4C0499473BDF}"/>
              </a:ext>
            </a:extLst>
          </xdr:cNvPr>
          <xdr:cNvCxnSpPr/>
        </xdr:nvCxnSpPr>
        <xdr:spPr>
          <a:xfrm>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31" name="Gerader Verbinder 7730">
            <a:extLst>
              <a:ext uri="{FF2B5EF4-FFF2-40B4-BE49-F238E27FC236}">
                <a16:creationId xmlns:a16="http://schemas.microsoft.com/office/drawing/2014/main" id="{B3F70E7C-2E4B-66E9-B700-FB9B76FC54F7}"/>
              </a:ext>
            </a:extLst>
          </xdr:cNvPr>
          <xdr:cNvCxnSpPr/>
        </xdr:nvCxnSpPr>
        <xdr:spPr>
          <a:xfrm flipH="1">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7735" name="Cross_H69">
          <a:extLst>
            <a:ext uri="{FF2B5EF4-FFF2-40B4-BE49-F238E27FC236}">
              <a16:creationId xmlns:a16="http://schemas.microsoft.com/office/drawing/2014/main" id="{1D9369DF-8C1C-9110-501F-7A2D526B5065}"/>
            </a:ext>
          </a:extLst>
        </xdr:cNvPr>
        <xdr:cNvGrpSpPr/>
      </xdr:nvGrpSpPr>
      <xdr:grpSpPr>
        <a:xfrm>
          <a:off x="4610100" y="9692639"/>
          <a:ext cx="594360" cy="1"/>
          <a:chOff x="4610100" y="13045439"/>
          <a:chExt cx="594360" cy="167641"/>
        </a:xfrm>
      </xdr:grpSpPr>
      <xdr:cxnSp macro="">
        <xdr:nvCxnSpPr>
          <xdr:cNvPr id="7733" name="Gerader Verbinder 7732">
            <a:extLst>
              <a:ext uri="{FF2B5EF4-FFF2-40B4-BE49-F238E27FC236}">
                <a16:creationId xmlns:a16="http://schemas.microsoft.com/office/drawing/2014/main" id="{95FC72A7-A1FD-B702-590D-AD3AB9C24CE0}"/>
              </a:ext>
            </a:extLst>
          </xdr:cNvPr>
          <xdr:cNvCxnSpPr/>
        </xdr:nvCxnSpPr>
        <xdr:spPr>
          <a:xfrm>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34" name="Gerader Verbinder 7733">
            <a:extLst>
              <a:ext uri="{FF2B5EF4-FFF2-40B4-BE49-F238E27FC236}">
                <a16:creationId xmlns:a16="http://schemas.microsoft.com/office/drawing/2014/main" id="{97BCE966-1906-AF5C-F4B0-778CF90AF243}"/>
              </a:ext>
            </a:extLst>
          </xdr:cNvPr>
          <xdr:cNvCxnSpPr/>
        </xdr:nvCxnSpPr>
        <xdr:spPr>
          <a:xfrm flipH="1">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7738" name="Cross_H73">
          <a:extLst>
            <a:ext uri="{FF2B5EF4-FFF2-40B4-BE49-F238E27FC236}">
              <a16:creationId xmlns:a16="http://schemas.microsoft.com/office/drawing/2014/main" id="{7882D307-AF91-BAEE-A2E6-02CFDD4C51E0}"/>
            </a:ext>
          </a:extLst>
        </xdr:cNvPr>
        <xdr:cNvGrpSpPr/>
      </xdr:nvGrpSpPr>
      <xdr:grpSpPr>
        <a:xfrm>
          <a:off x="4610100" y="10088881"/>
          <a:ext cx="594360" cy="228600"/>
          <a:chOff x="4610100" y="13776961"/>
          <a:chExt cx="594360" cy="228600"/>
        </a:xfrm>
      </xdr:grpSpPr>
      <xdr:cxnSp macro="">
        <xdr:nvCxnSpPr>
          <xdr:cNvPr id="7736" name="Gerader Verbinder 7735">
            <a:extLst>
              <a:ext uri="{FF2B5EF4-FFF2-40B4-BE49-F238E27FC236}">
                <a16:creationId xmlns:a16="http://schemas.microsoft.com/office/drawing/2014/main" id="{04812802-7BDF-48E5-93D2-A666CC6D711E}"/>
              </a:ext>
            </a:extLst>
          </xdr:cNvPr>
          <xdr:cNvCxnSpPr/>
        </xdr:nvCxnSpPr>
        <xdr:spPr>
          <a:xfrm>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37" name="Gerader Verbinder 7736">
            <a:extLst>
              <a:ext uri="{FF2B5EF4-FFF2-40B4-BE49-F238E27FC236}">
                <a16:creationId xmlns:a16="http://schemas.microsoft.com/office/drawing/2014/main" id="{D31C6C31-A2F6-9277-7AC3-4AC7D0BD40EA}"/>
              </a:ext>
            </a:extLst>
          </xdr:cNvPr>
          <xdr:cNvCxnSpPr/>
        </xdr:nvCxnSpPr>
        <xdr:spPr>
          <a:xfrm flipH="1">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7741" name="Cross_H74">
          <a:extLst>
            <a:ext uri="{FF2B5EF4-FFF2-40B4-BE49-F238E27FC236}">
              <a16:creationId xmlns:a16="http://schemas.microsoft.com/office/drawing/2014/main" id="{120DE16D-EFF8-6E2A-49CA-4F5951AA1838}"/>
            </a:ext>
          </a:extLst>
        </xdr:cNvPr>
        <xdr:cNvGrpSpPr/>
      </xdr:nvGrpSpPr>
      <xdr:grpSpPr>
        <a:xfrm>
          <a:off x="4610100" y="10317481"/>
          <a:ext cx="594360" cy="167639"/>
          <a:chOff x="4610100" y="14005561"/>
          <a:chExt cx="594360" cy="167639"/>
        </a:xfrm>
      </xdr:grpSpPr>
      <xdr:cxnSp macro="">
        <xdr:nvCxnSpPr>
          <xdr:cNvPr id="7739" name="Gerader Verbinder 7738">
            <a:extLst>
              <a:ext uri="{FF2B5EF4-FFF2-40B4-BE49-F238E27FC236}">
                <a16:creationId xmlns:a16="http://schemas.microsoft.com/office/drawing/2014/main" id="{83B5E70D-45B4-BF7C-2072-F1F4C0DE8AAA}"/>
              </a:ext>
            </a:extLst>
          </xdr:cNvPr>
          <xdr:cNvCxnSpPr/>
        </xdr:nvCxnSpPr>
        <xdr:spPr>
          <a:xfrm>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40" name="Gerader Verbinder 7739">
            <a:extLst>
              <a:ext uri="{FF2B5EF4-FFF2-40B4-BE49-F238E27FC236}">
                <a16:creationId xmlns:a16="http://schemas.microsoft.com/office/drawing/2014/main" id="{BD5E8A89-CC87-4929-A4E4-47B45BD32A2B}"/>
              </a:ext>
            </a:extLst>
          </xdr:cNvPr>
          <xdr:cNvCxnSpPr/>
        </xdr:nvCxnSpPr>
        <xdr:spPr>
          <a:xfrm flipH="1">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7744" name="Cross_H75">
          <a:extLst>
            <a:ext uri="{FF2B5EF4-FFF2-40B4-BE49-F238E27FC236}">
              <a16:creationId xmlns:a16="http://schemas.microsoft.com/office/drawing/2014/main" id="{73560C82-525A-2DD8-3009-4F92142B5E34}"/>
            </a:ext>
          </a:extLst>
        </xdr:cNvPr>
        <xdr:cNvGrpSpPr/>
      </xdr:nvGrpSpPr>
      <xdr:grpSpPr>
        <a:xfrm>
          <a:off x="4610100" y="10485120"/>
          <a:ext cx="594360" cy="0"/>
          <a:chOff x="4610100" y="14173200"/>
          <a:chExt cx="594360" cy="167639"/>
        </a:xfrm>
      </xdr:grpSpPr>
      <xdr:cxnSp macro="">
        <xdr:nvCxnSpPr>
          <xdr:cNvPr id="7742" name="Gerader Verbinder 7741">
            <a:extLst>
              <a:ext uri="{FF2B5EF4-FFF2-40B4-BE49-F238E27FC236}">
                <a16:creationId xmlns:a16="http://schemas.microsoft.com/office/drawing/2014/main" id="{D601F7DE-15D7-5002-C484-3C0162F41F15}"/>
              </a:ext>
            </a:extLst>
          </xdr:cNvPr>
          <xdr:cNvCxnSpPr/>
        </xdr:nvCxnSpPr>
        <xdr:spPr>
          <a:xfrm>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43" name="Gerader Verbinder 7742">
            <a:extLst>
              <a:ext uri="{FF2B5EF4-FFF2-40B4-BE49-F238E27FC236}">
                <a16:creationId xmlns:a16="http://schemas.microsoft.com/office/drawing/2014/main" id="{A42BDF61-2796-4120-A841-AC81DD1D7D06}"/>
              </a:ext>
            </a:extLst>
          </xdr:cNvPr>
          <xdr:cNvCxnSpPr/>
        </xdr:nvCxnSpPr>
        <xdr:spPr>
          <a:xfrm flipH="1">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3.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3733E-84D4-42D1-A35A-83197C7A7B66}">
  <sheetPr codeName="Tabelle9">
    <tabColor rgb="FF00B0F0"/>
  </sheetPr>
  <dimension ref="B1:N100"/>
  <sheetViews>
    <sheetView workbookViewId="0"/>
  </sheetViews>
  <sheetFormatPr baseColWidth="10" defaultColWidth="11.5546875" defaultRowHeight="13.2" x14ac:dyDescent="0.25"/>
  <cols>
    <col min="1" max="2" width="3.44140625" style="96" customWidth="1"/>
    <col min="3" max="3" width="25.6640625" style="96" customWidth="1"/>
    <col min="4" max="10" width="11.6640625" style="96" customWidth="1"/>
    <col min="11" max="13" width="8.6640625" style="96" customWidth="1"/>
    <col min="14" max="14" width="8.6640625" style="96" hidden="1" customWidth="1"/>
    <col min="15" max="16384" width="11.5546875" style="96"/>
  </cols>
  <sheetData>
    <row r="1" spans="2:14" ht="18" customHeight="1" thickBot="1" x14ac:dyDescent="0.3"/>
    <row r="2" spans="2:14" ht="18" customHeight="1" x14ac:dyDescent="0.25">
      <c r="B2" s="97" t="str">
        <f>Config!F2&amp;" "&amp;YEAR(Config!G24)</f>
        <v>Mathe Abitur 2026</v>
      </c>
      <c r="C2" s="98"/>
      <c r="D2" s="98"/>
      <c r="E2" s="98"/>
      <c r="F2" s="99"/>
      <c r="G2" s="99"/>
      <c r="H2" s="99"/>
      <c r="I2" s="99"/>
      <c r="J2" s="99"/>
      <c r="K2" s="99"/>
      <c r="L2" s="99"/>
      <c r="M2" s="100" t="str">
        <f>"Kurs "&amp;Config!G26</f>
        <v>Kurs K1</v>
      </c>
    </row>
    <row r="3" spans="2:14" ht="18" customHeight="1" x14ac:dyDescent="0.25">
      <c r="B3" s="101" t="s">
        <v>83</v>
      </c>
      <c r="C3" s="102"/>
      <c r="D3" s="102"/>
      <c r="E3" s="102"/>
      <c r="F3" s="102"/>
      <c r="G3" s="102"/>
      <c r="H3" s="102"/>
      <c r="I3" s="102"/>
      <c r="J3" s="102"/>
      <c r="K3" s="102"/>
      <c r="L3" s="102"/>
      <c r="M3" s="103"/>
    </row>
    <row r="4" spans="2:14" ht="18" customHeight="1" thickBot="1" x14ac:dyDescent="0.3">
      <c r="B4" s="101"/>
      <c r="C4" s="102"/>
      <c r="D4" s="104"/>
      <c r="E4" s="104"/>
      <c r="F4" s="104"/>
      <c r="G4" s="104"/>
      <c r="H4" s="104"/>
      <c r="I4" s="104"/>
      <c r="J4" s="104"/>
      <c r="K4" s="104"/>
      <c r="L4" s="102"/>
      <c r="M4" s="103"/>
    </row>
    <row r="5" spans="2:14" ht="18" customHeight="1" thickBot="1" x14ac:dyDescent="0.3">
      <c r="B5" s="106"/>
      <c r="C5" s="108"/>
      <c r="D5" s="112" t="s">
        <v>9</v>
      </c>
      <c r="E5" s="112" t="s">
        <v>10</v>
      </c>
      <c r="F5" s="112" t="s">
        <v>11</v>
      </c>
      <c r="G5" s="112" t="s">
        <v>12</v>
      </c>
      <c r="H5" s="112" t="s">
        <v>13</v>
      </c>
      <c r="I5" s="112" t="s">
        <v>14</v>
      </c>
      <c r="J5" s="112" t="s">
        <v>112</v>
      </c>
      <c r="K5" s="121" t="s">
        <v>82</v>
      </c>
      <c r="L5" s="120"/>
      <c r="M5" s="122"/>
    </row>
    <row r="6" spans="2:14" ht="18" customHeight="1" thickBot="1" x14ac:dyDescent="0.3">
      <c r="B6" s="107"/>
      <c r="C6" s="109" t="s">
        <v>81</v>
      </c>
      <c r="D6" s="119">
        <f>Config!G21</f>
        <v>15</v>
      </c>
      <c r="E6" s="119">
        <f>Config!I21</f>
        <v>30</v>
      </c>
      <c r="F6" s="119">
        <f>Config!K21</f>
        <v>5</v>
      </c>
      <c r="G6" s="119">
        <f>Config!M21</f>
        <v>17</v>
      </c>
      <c r="H6" s="119">
        <f>Config!O21</f>
        <v>5</v>
      </c>
      <c r="I6" s="119">
        <f>Config!Q21</f>
        <v>18</v>
      </c>
      <c r="J6" s="119">
        <f>Config!S21</f>
        <v>10</v>
      </c>
      <c r="K6" s="137">
        <f t="shared" ref="K6:K29" si="0">SUM(D6:J6)</f>
        <v>100</v>
      </c>
      <c r="L6" s="110" t="s">
        <v>0</v>
      </c>
      <c r="M6" s="123" t="s">
        <v>1</v>
      </c>
      <c r="N6" s="96" t="s">
        <v>84</v>
      </c>
    </row>
    <row r="7" spans="2:14" ht="18" customHeight="1" thickBot="1" x14ac:dyDescent="0.3">
      <c r="B7" s="133">
        <v>1</v>
      </c>
      <c r="C7" s="130" t="str">
        <f>Config!C5&amp;", "&amp;Config!D5</f>
        <v>Höfer, Simon</v>
      </c>
      <c r="D7" s="125">
        <f>VLOOKUP(C7,'Analysis A'!PupilBlock,8,0)</f>
        <v>11</v>
      </c>
      <c r="E7" s="125">
        <f>VLOOKUP(C7,'Analysis B'!PupilBlock,12,0)</f>
        <v>22.5</v>
      </c>
      <c r="F7" s="125">
        <f>VLOOKUP(C7,'Stochastik A'!PupilBlock,3,0)</f>
        <v>2.5</v>
      </c>
      <c r="G7" s="125">
        <f>VLOOKUP(C7,'Stochastik B'!PupilBlock,7,0)</f>
        <v>13</v>
      </c>
      <c r="H7" s="125">
        <f>VLOOKUP(C7,'Geometrie A'!PupilBlock,4,0)</f>
        <v>0</v>
      </c>
      <c r="I7" s="125">
        <f>VLOOKUP(C7,'Geometrie B'!PupilBlock,7,0)</f>
        <v>9</v>
      </c>
      <c r="J7" s="125">
        <f>VLOOKUP(C7,Wahlaufgaben!PupilBlock,7,0)</f>
        <v>7</v>
      </c>
      <c r="K7" s="115">
        <f t="shared" si="0"/>
        <v>65</v>
      </c>
      <c r="L7" s="139">
        <f>VLOOKUP(VALUE(K7),Notenspiegel!$B$3:$C$302,2,0)</f>
        <v>9</v>
      </c>
      <c r="M7" s="140" t="str">
        <f>VLOOKUP(VALUE(K7),Notenspiegel!$B$3:$D$302,3,0)</f>
        <v>3+</v>
      </c>
      <c r="N7" s="96" t="str">
        <f>VLOOKUP(VALUE(K7),Notenspiegel!$B$3:$E$302,4,0)</f>
        <v>--</v>
      </c>
    </row>
    <row r="8" spans="2:14" ht="18" customHeight="1" thickBot="1" x14ac:dyDescent="0.3">
      <c r="B8" s="134">
        <v>2</v>
      </c>
      <c r="C8" s="114" t="str">
        <f>Config!C6&amp;", "&amp;Config!D6</f>
        <v>Töpfer, Lilian</v>
      </c>
      <c r="D8" s="126">
        <f>VLOOKUP(C8,'Analysis A'!PupilBlock,8,0)</f>
        <v>9</v>
      </c>
      <c r="E8" s="126">
        <f>VLOOKUP(C8,'Analysis B'!PupilBlock,12,0)</f>
        <v>17.5</v>
      </c>
      <c r="F8" s="126">
        <f>VLOOKUP(C8,'Stochastik A'!PupilBlock,3,0)</f>
        <v>5</v>
      </c>
      <c r="G8" s="126">
        <f>VLOOKUP(C8,'Stochastik B'!PupilBlock,7,0)</f>
        <v>7</v>
      </c>
      <c r="H8" s="126">
        <f>VLOOKUP(C8,'Geometrie A'!PupilBlock,4,0)</f>
        <v>3.5</v>
      </c>
      <c r="I8" s="126">
        <f>VLOOKUP(C8,'Geometrie B'!PupilBlock,7,0)</f>
        <v>9</v>
      </c>
      <c r="J8" s="126">
        <f>VLOOKUP(C8,Wahlaufgaben!PupilBlock,7,0)</f>
        <v>8</v>
      </c>
      <c r="K8" s="127">
        <f t="shared" si="0"/>
        <v>59</v>
      </c>
      <c r="L8" s="141">
        <f>VLOOKUP(VALUE(K8),Notenspiegel!$B$3:$C$302,2,0)</f>
        <v>7</v>
      </c>
      <c r="M8" s="142" t="str">
        <f>VLOOKUP(VALUE(K8),Notenspiegel!$B$3:$D$302,3,0)</f>
        <v>3-</v>
      </c>
      <c r="N8" s="96" t="str">
        <f>VLOOKUP(VALUE(K8),Notenspiegel!$B$3:$E$302,4,0)</f>
        <v>+</v>
      </c>
    </row>
    <row r="9" spans="2:14" ht="18" customHeight="1" thickBot="1" x14ac:dyDescent="0.3">
      <c r="B9" s="135">
        <v>3</v>
      </c>
      <c r="C9" s="113" t="str">
        <f>Config!C7&amp;", "&amp;Config!D7</f>
        <v>Fleischmann, Leonie</v>
      </c>
      <c r="D9" s="124">
        <f>VLOOKUP(C9,'Analysis A'!PupilBlock,8,0)</f>
        <v>10.5</v>
      </c>
      <c r="E9" s="124">
        <f>VLOOKUP(C9,'Analysis B'!PupilBlock,12,0)</f>
        <v>11.5</v>
      </c>
      <c r="F9" s="124">
        <f>VLOOKUP(C9,'Stochastik A'!PupilBlock,3,0)</f>
        <v>2.5</v>
      </c>
      <c r="G9" s="124">
        <f>VLOOKUP(C9,'Stochastik B'!PupilBlock,7,0)</f>
        <v>8</v>
      </c>
      <c r="H9" s="124">
        <f>VLOOKUP(C9,'Geometrie A'!PupilBlock,4,0)</f>
        <v>4.5</v>
      </c>
      <c r="I9" s="124">
        <f>VLOOKUP(C9,'Geometrie B'!PupilBlock,7,0)</f>
        <v>14</v>
      </c>
      <c r="J9" s="124">
        <f>VLOOKUP(C9,Wahlaufgaben!PupilBlock,7,0)</f>
        <v>8</v>
      </c>
      <c r="K9" s="115">
        <f t="shared" si="0"/>
        <v>59</v>
      </c>
      <c r="L9" s="141">
        <f>VLOOKUP(VALUE(K9),Notenspiegel!$B$3:$C$302,2,0)</f>
        <v>7</v>
      </c>
      <c r="M9" s="142" t="str">
        <f>VLOOKUP(VALUE(K9),Notenspiegel!$B$3:$D$302,3,0)</f>
        <v>3-</v>
      </c>
      <c r="N9" s="96" t="str">
        <f>VLOOKUP(VALUE(K9),Notenspiegel!$B$3:$E$302,4,0)</f>
        <v>+</v>
      </c>
    </row>
    <row r="10" spans="2:14" ht="18" customHeight="1" thickBot="1" x14ac:dyDescent="0.3">
      <c r="B10" s="134">
        <v>4</v>
      </c>
      <c r="C10" s="114" t="str">
        <f>Config!C8&amp;", "&amp;Config!D8</f>
        <v>Drescher, Cedric</v>
      </c>
      <c r="D10" s="126">
        <f>VLOOKUP(C10,'Analysis A'!PupilBlock,8,0)</f>
        <v>12.5</v>
      </c>
      <c r="E10" s="126">
        <f>VLOOKUP(C10,'Analysis B'!PupilBlock,12,0)</f>
        <v>23</v>
      </c>
      <c r="F10" s="126">
        <f>VLOOKUP(C10,'Stochastik A'!PupilBlock,3,0)</f>
        <v>2.5</v>
      </c>
      <c r="G10" s="126">
        <f>VLOOKUP(C10,'Stochastik B'!PupilBlock,7,0)</f>
        <v>9</v>
      </c>
      <c r="H10" s="126">
        <f>VLOOKUP(C10,'Geometrie A'!PupilBlock,4,0)</f>
        <v>3.5</v>
      </c>
      <c r="I10" s="126">
        <f>VLOOKUP(C10,'Geometrie B'!PupilBlock,7,0)</f>
        <v>13.5</v>
      </c>
      <c r="J10" s="126">
        <f>VLOOKUP(C10,Wahlaufgaben!PupilBlock,7,0)</f>
        <v>6</v>
      </c>
      <c r="K10" s="127">
        <f t="shared" si="0"/>
        <v>70</v>
      </c>
      <c r="L10" s="139">
        <f>VLOOKUP(VALUE(K10),Notenspiegel!$B$3:$C$302,2,0)</f>
        <v>10</v>
      </c>
      <c r="M10" s="140" t="str">
        <f>VLOOKUP(VALUE(K10),Notenspiegel!$B$3:$D$302,3,0)</f>
        <v>2-</v>
      </c>
      <c r="N10" s="96" t="str">
        <f>VLOOKUP(VALUE(K10),Notenspiegel!$B$3:$E$302,4,0)</f>
        <v>--</v>
      </c>
    </row>
    <row r="11" spans="2:14" ht="18" customHeight="1" thickBot="1" x14ac:dyDescent="0.3">
      <c r="B11" s="135">
        <v>5</v>
      </c>
      <c r="C11" s="113" t="str">
        <f>Config!C9&amp;", "&amp;Config!D9</f>
        <v>Baumgarten, Annabell</v>
      </c>
      <c r="D11" s="124">
        <f>VLOOKUP(C11,'Analysis A'!PupilBlock,8,0)</f>
        <v>14</v>
      </c>
      <c r="E11" s="124">
        <f>VLOOKUP(C11,'Analysis B'!PupilBlock,12,0)</f>
        <v>21.5</v>
      </c>
      <c r="F11" s="124">
        <f>VLOOKUP(C11,'Stochastik A'!PupilBlock,3,0)</f>
        <v>2.5</v>
      </c>
      <c r="G11" s="124">
        <f>VLOOKUP(C11,'Stochastik B'!PupilBlock,7,0)</f>
        <v>4.5</v>
      </c>
      <c r="H11" s="124">
        <f>VLOOKUP(C11,'Geometrie A'!PupilBlock,4,0)</f>
        <v>3.5</v>
      </c>
      <c r="I11" s="124">
        <f>VLOOKUP(C11,'Geometrie B'!PupilBlock,7,0)</f>
        <v>12</v>
      </c>
      <c r="J11" s="124">
        <f>VLOOKUP(C11,Wahlaufgaben!PupilBlock,7,0)</f>
        <v>6</v>
      </c>
      <c r="K11" s="115">
        <f t="shared" si="0"/>
        <v>64</v>
      </c>
      <c r="L11" s="141">
        <f>VLOOKUP(VALUE(K11),Notenspiegel!$B$3:$C$302,2,0)</f>
        <v>8</v>
      </c>
      <c r="M11" s="142" t="str">
        <f>VLOOKUP(VALUE(K11),Notenspiegel!$B$3:$D$302,3,0)</f>
        <v>3</v>
      </c>
      <c r="N11" s="96" t="str">
        <f>VLOOKUP(VALUE(K11),Notenspiegel!$B$3:$E$302,4,0)</f>
        <v>+</v>
      </c>
    </row>
    <row r="12" spans="2:14" ht="18" customHeight="1" thickBot="1" x14ac:dyDescent="0.3">
      <c r="B12" s="134">
        <v>6</v>
      </c>
      <c r="C12" s="114" t="str">
        <f>Config!C10&amp;", "&amp;Config!D10</f>
        <v>Traut, Stefanie</v>
      </c>
      <c r="D12" s="126">
        <f>VLOOKUP(C12,'Analysis A'!PupilBlock,8,0)</f>
        <v>12.5</v>
      </c>
      <c r="E12" s="126">
        <f>VLOOKUP(C12,'Analysis B'!PupilBlock,12,0)</f>
        <v>33</v>
      </c>
      <c r="F12" s="126">
        <f>VLOOKUP(C12,'Stochastik A'!PupilBlock,3,0)</f>
        <v>3</v>
      </c>
      <c r="G12" s="126">
        <f>VLOOKUP(C12,'Stochastik B'!PupilBlock,7,0)</f>
        <v>10.5</v>
      </c>
      <c r="H12" s="126">
        <f>VLOOKUP(C12,'Geometrie A'!PupilBlock,4,0)</f>
        <v>4.5</v>
      </c>
      <c r="I12" s="126">
        <f>VLOOKUP(C12,'Geometrie B'!PupilBlock,7,0)</f>
        <v>17</v>
      </c>
      <c r="J12" s="126">
        <f>VLOOKUP(C12,Wahlaufgaben!PupilBlock,7,0)</f>
        <v>8</v>
      </c>
      <c r="K12" s="127">
        <f t="shared" si="0"/>
        <v>88.5</v>
      </c>
      <c r="L12" s="129">
        <f>VLOOKUP(VALUE(K12),Notenspiegel!$B$3:$C$302,2,0)</f>
        <v>13</v>
      </c>
      <c r="M12" s="117" t="str">
        <f>VLOOKUP(VALUE(K12),Notenspiegel!$B$3:$D$302,3,0)</f>
        <v>1-</v>
      </c>
      <c r="N12" s="96" t="str">
        <f>VLOOKUP(VALUE(K12),Notenspiegel!$B$3:$E$302,4,0)</f>
        <v/>
      </c>
    </row>
    <row r="13" spans="2:14" ht="18" customHeight="1" thickBot="1" x14ac:dyDescent="0.3">
      <c r="B13" s="135">
        <v>7</v>
      </c>
      <c r="C13" s="113" t="str">
        <f>Config!C11&amp;", "&amp;Config!D11</f>
        <v>Menke, Damian</v>
      </c>
      <c r="D13" s="124">
        <f>VLOOKUP(C13,'Analysis A'!PupilBlock,8,0)</f>
        <v>12.5</v>
      </c>
      <c r="E13" s="124">
        <f>VLOOKUP(C13,'Analysis B'!PupilBlock,12,0)</f>
        <v>22.5</v>
      </c>
      <c r="F13" s="124">
        <f>VLOOKUP(C13,'Stochastik A'!PupilBlock,3,0)</f>
        <v>5</v>
      </c>
      <c r="G13" s="124">
        <f>VLOOKUP(C13,'Stochastik B'!PupilBlock,7,0)</f>
        <v>8.5</v>
      </c>
      <c r="H13" s="124">
        <f>VLOOKUP(C13,'Geometrie A'!PupilBlock,4,0)</f>
        <v>4.5</v>
      </c>
      <c r="I13" s="124">
        <f>VLOOKUP(C13,'Geometrie B'!PupilBlock,7,0)</f>
        <v>15</v>
      </c>
      <c r="J13" s="124">
        <f>VLOOKUP(C13,Wahlaufgaben!PupilBlock,7,0)</f>
        <v>7</v>
      </c>
      <c r="K13" s="115">
        <f t="shared" si="0"/>
        <v>75</v>
      </c>
      <c r="L13" s="139">
        <f>VLOOKUP(VALUE(K13),Notenspiegel!$B$3:$C$302,2,0)</f>
        <v>11</v>
      </c>
      <c r="M13" s="140" t="str">
        <f>VLOOKUP(VALUE(K13),Notenspiegel!$B$3:$D$302,3,0)</f>
        <v>2</v>
      </c>
      <c r="N13" s="96" t="str">
        <f>VLOOKUP(VALUE(K13),Notenspiegel!$B$3:$E$302,4,0)</f>
        <v>--</v>
      </c>
    </row>
    <row r="14" spans="2:14" ht="18" customHeight="1" thickBot="1" x14ac:dyDescent="0.3">
      <c r="B14" s="134">
        <v>8</v>
      </c>
      <c r="C14" s="114" t="str">
        <f>Config!C12&amp;", "&amp;Config!D12</f>
        <v>Carroll, Meik</v>
      </c>
      <c r="D14" s="126">
        <f>VLOOKUP(C14,'Analysis A'!PupilBlock,8,0)</f>
        <v>9</v>
      </c>
      <c r="E14" s="126">
        <f>VLOOKUP(C14,'Analysis B'!PupilBlock,12,0)</f>
        <v>16.5</v>
      </c>
      <c r="F14" s="126">
        <f>VLOOKUP(C14,'Stochastik A'!PupilBlock,3,0)</f>
        <v>5</v>
      </c>
      <c r="G14" s="126">
        <f>VLOOKUP(C14,'Stochastik B'!PupilBlock,7,0)</f>
        <v>8.5</v>
      </c>
      <c r="H14" s="126">
        <f>VLOOKUP(C14,'Geometrie A'!PupilBlock,4,0)</f>
        <v>4</v>
      </c>
      <c r="I14" s="126">
        <f>VLOOKUP(C14,'Geometrie B'!PupilBlock,7,0)</f>
        <v>13</v>
      </c>
      <c r="J14" s="126">
        <f>VLOOKUP(C14,Wahlaufgaben!PupilBlock,7,0)</f>
        <v>7</v>
      </c>
      <c r="K14" s="127">
        <f t="shared" si="0"/>
        <v>63</v>
      </c>
      <c r="L14" s="129">
        <f>VLOOKUP(VALUE(K14),Notenspiegel!$B$3:$C$302,2,0)</f>
        <v>8</v>
      </c>
      <c r="M14" s="117" t="str">
        <f>VLOOKUP(VALUE(K14),Notenspiegel!$B$3:$D$302,3,0)</f>
        <v>3</v>
      </c>
      <c r="N14" s="96" t="str">
        <f>VLOOKUP(VALUE(K14),Notenspiegel!$B$3:$E$302,4,0)</f>
        <v/>
      </c>
    </row>
    <row r="15" spans="2:14" ht="18" customHeight="1" thickBot="1" x14ac:dyDescent="0.3">
      <c r="B15" s="135">
        <v>9</v>
      </c>
      <c r="C15" s="113" t="str">
        <f>Config!C13&amp;", "&amp;Config!D13</f>
        <v>Hennings, Tomas</v>
      </c>
      <c r="D15" s="124">
        <f>VLOOKUP(C15,'Analysis A'!PupilBlock,8,0)</f>
        <v>10</v>
      </c>
      <c r="E15" s="124">
        <f>VLOOKUP(C15,'Analysis B'!PupilBlock,12,0)</f>
        <v>14.5</v>
      </c>
      <c r="F15" s="124">
        <f>VLOOKUP(C15,'Stochastik A'!PupilBlock,3,0)</f>
        <v>4</v>
      </c>
      <c r="G15" s="124">
        <f>VLOOKUP(C15,'Stochastik B'!PupilBlock,7,0)</f>
        <v>13</v>
      </c>
      <c r="H15" s="124">
        <f>VLOOKUP(C15,'Geometrie A'!PupilBlock,4,0)</f>
        <v>4.5</v>
      </c>
      <c r="I15" s="124">
        <f>VLOOKUP(C15,'Geometrie B'!PupilBlock,7,0)</f>
        <v>4</v>
      </c>
      <c r="J15" s="124">
        <f>VLOOKUP(C15,Wahlaufgaben!PupilBlock,7,0)</f>
        <v>8</v>
      </c>
      <c r="K15" s="115">
        <f t="shared" si="0"/>
        <v>58</v>
      </c>
      <c r="L15" s="128">
        <f>VLOOKUP(VALUE(K15),Notenspiegel!$B$3:$C$302,2,0)</f>
        <v>7</v>
      </c>
      <c r="M15" s="116" t="str">
        <f>VLOOKUP(VALUE(K15),Notenspiegel!$B$3:$D$302,3,0)</f>
        <v>3-</v>
      </c>
      <c r="N15" s="96" t="str">
        <f>VLOOKUP(VALUE(K15),Notenspiegel!$B$3:$E$302,4,0)</f>
        <v/>
      </c>
    </row>
    <row r="16" spans="2:14" ht="18" customHeight="1" thickBot="1" x14ac:dyDescent="0.3">
      <c r="B16" s="134">
        <v>10</v>
      </c>
      <c r="C16" s="114" t="str">
        <f>Config!C14&amp;", "&amp;Config!D14</f>
        <v>Walters, Linn</v>
      </c>
      <c r="D16" s="126">
        <f>VLOOKUP(C16,'Analysis A'!PupilBlock,8,0)</f>
        <v>3</v>
      </c>
      <c r="E16" s="126">
        <f>VLOOKUP(C16,'Analysis B'!PupilBlock,12,0)</f>
        <v>7</v>
      </c>
      <c r="F16" s="126">
        <f>VLOOKUP(C16,'Stochastik A'!PupilBlock,3,0)</f>
        <v>2.5</v>
      </c>
      <c r="G16" s="126">
        <f>VLOOKUP(C16,'Stochastik B'!PupilBlock,7,0)</f>
        <v>8</v>
      </c>
      <c r="H16" s="126">
        <f>VLOOKUP(C16,'Geometrie A'!PupilBlock,4,0)</f>
        <v>1</v>
      </c>
      <c r="I16" s="126">
        <f>VLOOKUP(C16,'Geometrie B'!PupilBlock,7,0)</f>
        <v>8.5</v>
      </c>
      <c r="J16" s="126">
        <f>VLOOKUP(C16,Wahlaufgaben!PupilBlock,7,0)</f>
        <v>8</v>
      </c>
      <c r="K16" s="127">
        <f t="shared" si="0"/>
        <v>38</v>
      </c>
      <c r="L16" s="129">
        <f>VLOOKUP(VALUE(K16),Notenspiegel!$B$3:$C$302,2,0)</f>
        <v>3</v>
      </c>
      <c r="M16" s="117" t="str">
        <f>VLOOKUP(VALUE(K16),Notenspiegel!$B$3:$D$302,3,0)</f>
        <v>5+</v>
      </c>
      <c r="N16" s="96" t="str">
        <f>VLOOKUP(VALUE(K16),Notenspiegel!$B$3:$E$302,4,0)</f>
        <v/>
      </c>
    </row>
    <row r="17" spans="2:14" ht="18" customHeight="1" thickBot="1" x14ac:dyDescent="0.3">
      <c r="B17" s="135">
        <v>11</v>
      </c>
      <c r="C17" s="113" t="str">
        <f>Config!C15&amp;", "&amp;Config!D15</f>
        <v>Junker, Amely</v>
      </c>
      <c r="D17" s="124">
        <f>VLOOKUP(C17,'Analysis A'!PupilBlock,8,0)</f>
        <v>6.5</v>
      </c>
      <c r="E17" s="124">
        <f>VLOOKUP(C17,'Analysis B'!PupilBlock,12,0)</f>
        <v>13.5</v>
      </c>
      <c r="F17" s="124">
        <f>VLOOKUP(C17,'Stochastik A'!PupilBlock,3,0)</f>
        <v>2</v>
      </c>
      <c r="G17" s="124">
        <f>VLOOKUP(C17,'Stochastik B'!PupilBlock,7,0)</f>
        <v>6.5</v>
      </c>
      <c r="H17" s="124">
        <f>VLOOKUP(C17,'Geometrie A'!PupilBlock,4,0)</f>
        <v>2</v>
      </c>
      <c r="I17" s="124">
        <f>VLOOKUP(C17,'Geometrie B'!PupilBlock,7,0)</f>
        <v>13</v>
      </c>
      <c r="J17" s="124">
        <f>VLOOKUP(C17,Wahlaufgaben!PupilBlock,7,0)</f>
        <v>6</v>
      </c>
      <c r="K17" s="115">
        <f t="shared" si="0"/>
        <v>49.5</v>
      </c>
      <c r="L17" s="143">
        <f>VLOOKUP(VALUE(K17),Notenspiegel!$B$3:$C$302,2,0)</f>
        <v>5</v>
      </c>
      <c r="M17" s="144" t="str">
        <f>VLOOKUP(VALUE(K17),Notenspiegel!$B$3:$D$302,3,0)</f>
        <v>4</v>
      </c>
      <c r="N17" s="96" t="str">
        <f>VLOOKUP(VALUE(K17),Notenspiegel!$B$3:$E$302,4,0)</f>
        <v>++</v>
      </c>
    </row>
    <row r="18" spans="2:14" ht="18" customHeight="1" thickBot="1" x14ac:dyDescent="0.3">
      <c r="B18" s="134">
        <v>12</v>
      </c>
      <c r="C18" s="114" t="str">
        <f>Config!C16&amp;", "&amp;Config!D16</f>
        <v>Stephens, Melvin</v>
      </c>
      <c r="D18" s="126">
        <f>VLOOKUP(C18,'Analysis A'!PupilBlock,8,0)</f>
        <v>11.5</v>
      </c>
      <c r="E18" s="126">
        <f>VLOOKUP(C18,'Analysis B'!PupilBlock,12,0)</f>
        <v>27</v>
      </c>
      <c r="F18" s="126">
        <f>VLOOKUP(C18,'Stochastik A'!PupilBlock,3,0)</f>
        <v>2.5</v>
      </c>
      <c r="G18" s="126">
        <f>VLOOKUP(C18,'Stochastik B'!PupilBlock,7,0)</f>
        <v>5.5</v>
      </c>
      <c r="H18" s="126">
        <f>VLOOKUP(C18,'Geometrie A'!PupilBlock,4,0)</f>
        <v>0.5</v>
      </c>
      <c r="I18" s="126">
        <f>VLOOKUP(C18,'Geometrie B'!PupilBlock,7,0)</f>
        <v>13</v>
      </c>
      <c r="J18" s="126">
        <f>VLOOKUP(C18,Wahlaufgaben!PupilBlock,7,0)</f>
        <v>6</v>
      </c>
      <c r="K18" s="127">
        <f t="shared" si="0"/>
        <v>66</v>
      </c>
      <c r="L18" s="129">
        <f>VLOOKUP(VALUE(K18),Notenspiegel!$B$3:$C$302,2,0)</f>
        <v>9</v>
      </c>
      <c r="M18" s="117" t="str">
        <f>VLOOKUP(VALUE(K18),Notenspiegel!$B$3:$D$302,3,0)</f>
        <v>3+</v>
      </c>
      <c r="N18" s="96" t="str">
        <f>VLOOKUP(VALUE(K18),Notenspiegel!$B$3:$E$302,4,0)</f>
        <v/>
      </c>
    </row>
    <row r="19" spans="2:14" ht="18" customHeight="1" thickBot="1" x14ac:dyDescent="0.3">
      <c r="B19" s="135">
        <v>13</v>
      </c>
      <c r="C19" s="113" t="str">
        <f>Config!C17&amp;", "&amp;Config!D17</f>
        <v>Cremer, Marvin</v>
      </c>
      <c r="D19" s="124">
        <f>VLOOKUP(C19,'Analysis A'!PupilBlock,8,0)</f>
        <v>12.5</v>
      </c>
      <c r="E19" s="124">
        <f>VLOOKUP(C19,'Analysis B'!PupilBlock,12,0)</f>
        <v>22</v>
      </c>
      <c r="F19" s="124">
        <f>VLOOKUP(C19,'Stochastik A'!PupilBlock,3,0)</f>
        <v>5</v>
      </c>
      <c r="G19" s="124">
        <f>VLOOKUP(C19,'Stochastik B'!PupilBlock,7,0)</f>
        <v>5.5</v>
      </c>
      <c r="H19" s="124">
        <f>VLOOKUP(C19,'Geometrie A'!PupilBlock,4,0)</f>
        <v>4.5</v>
      </c>
      <c r="I19" s="124">
        <f>VLOOKUP(C19,'Geometrie B'!PupilBlock,7,0)</f>
        <v>3</v>
      </c>
      <c r="J19" s="124">
        <f>VLOOKUP(C19,Wahlaufgaben!PupilBlock,7,0)</f>
        <v>8</v>
      </c>
      <c r="K19" s="115">
        <f t="shared" si="0"/>
        <v>60.5</v>
      </c>
      <c r="L19" s="145">
        <f>VLOOKUP(VALUE(K19),Notenspiegel!$B$3:$C$302,2,0)</f>
        <v>8</v>
      </c>
      <c r="M19" s="146" t="str">
        <f>VLOOKUP(VALUE(K19),Notenspiegel!$B$3:$D$302,3,0)</f>
        <v>3</v>
      </c>
      <c r="N19" s="96" t="str">
        <f>VLOOKUP(VALUE(K19),Notenspiegel!$B$3:$E$302,4,0)</f>
        <v>-</v>
      </c>
    </row>
    <row r="20" spans="2:14" ht="18" customHeight="1" thickBot="1" x14ac:dyDescent="0.3">
      <c r="B20" s="134">
        <v>14</v>
      </c>
      <c r="C20" s="114" t="str">
        <f>Config!C18&amp;", "&amp;Config!D18</f>
        <v>Nash, Jean</v>
      </c>
      <c r="D20" s="126">
        <f>VLOOKUP(C20,'Analysis A'!PupilBlock,8,0)</f>
        <v>13.5</v>
      </c>
      <c r="E20" s="126">
        <f>VLOOKUP(C20,'Analysis B'!PupilBlock,12,0)</f>
        <v>15.5</v>
      </c>
      <c r="F20" s="126">
        <f>VLOOKUP(C20,'Stochastik A'!PupilBlock,3,0)</f>
        <v>5</v>
      </c>
      <c r="G20" s="126">
        <f>VLOOKUP(C20,'Stochastik B'!PupilBlock,7,0)</f>
        <v>8</v>
      </c>
      <c r="H20" s="126">
        <f>VLOOKUP(C20,'Geometrie A'!PupilBlock,4,0)</f>
        <v>4</v>
      </c>
      <c r="I20" s="126">
        <f>VLOOKUP(C20,'Geometrie B'!PupilBlock,7,0)</f>
        <v>14.5</v>
      </c>
      <c r="J20" s="126">
        <f>VLOOKUP(C20,Wahlaufgaben!PupilBlock,7,0)</f>
        <v>7</v>
      </c>
      <c r="K20" s="127">
        <f t="shared" si="0"/>
        <v>67.5</v>
      </c>
      <c r="L20" s="129">
        <f>VLOOKUP(VALUE(K20),Notenspiegel!$B$3:$C$302,2,0)</f>
        <v>9</v>
      </c>
      <c r="M20" s="117" t="str">
        <f>VLOOKUP(VALUE(K20),Notenspiegel!$B$3:$D$302,3,0)</f>
        <v>3+</v>
      </c>
      <c r="N20" s="96" t="str">
        <f>VLOOKUP(VALUE(K20),Notenspiegel!$B$3:$E$302,4,0)</f>
        <v/>
      </c>
    </row>
    <row r="21" spans="2:14" ht="18" customHeight="1" thickBot="1" x14ac:dyDescent="0.3">
      <c r="B21" s="135">
        <v>15</v>
      </c>
      <c r="C21" s="113" t="str">
        <f>Config!C19&amp;", "&amp;Config!D19</f>
        <v>Schön, Leonardo</v>
      </c>
      <c r="D21" s="124">
        <f>VLOOKUP(C21,'Analysis A'!PupilBlock,8,0)</f>
        <v>12</v>
      </c>
      <c r="E21" s="124">
        <f>VLOOKUP(C21,'Analysis B'!PupilBlock,12,0)</f>
        <v>23.5</v>
      </c>
      <c r="F21" s="124">
        <f>VLOOKUP(C21,'Stochastik A'!PupilBlock,3,0)</f>
        <v>2.5</v>
      </c>
      <c r="G21" s="124">
        <f>VLOOKUP(C21,'Stochastik B'!PupilBlock,7,0)</f>
        <v>8</v>
      </c>
      <c r="H21" s="124">
        <f>VLOOKUP(C21,'Geometrie A'!PupilBlock,4,0)</f>
        <v>5</v>
      </c>
      <c r="I21" s="124">
        <f>VLOOKUP(C21,'Geometrie B'!PupilBlock,7,0)</f>
        <v>6.5</v>
      </c>
      <c r="J21" s="124">
        <f>VLOOKUP(C21,Wahlaufgaben!PupilBlock,7,0)</f>
        <v>4</v>
      </c>
      <c r="K21" s="115">
        <f t="shared" si="0"/>
        <v>61.5</v>
      </c>
      <c r="L21" s="128">
        <f>VLOOKUP(VALUE(K21),Notenspiegel!$B$3:$C$302,2,0)</f>
        <v>8</v>
      </c>
      <c r="M21" s="116" t="str">
        <f>VLOOKUP(VALUE(K21),Notenspiegel!$B$3:$D$302,3,0)</f>
        <v>3</v>
      </c>
      <c r="N21" s="96" t="str">
        <f>VLOOKUP(VALUE(K21),Notenspiegel!$B$3:$E$302,4,0)</f>
        <v/>
      </c>
    </row>
    <row r="22" spans="2:14" ht="18" customHeight="1" thickBot="1" x14ac:dyDescent="0.3">
      <c r="B22" s="134">
        <v>16</v>
      </c>
      <c r="C22" s="114" t="str">
        <f>Config!C20&amp;", "&amp;Config!D20</f>
        <v>Sigl, Nicholas</v>
      </c>
      <c r="D22" s="126">
        <f>VLOOKUP(C22,'Analysis A'!PupilBlock,8,0)</f>
        <v>7.5</v>
      </c>
      <c r="E22" s="126">
        <f>VLOOKUP(C22,'Analysis B'!PupilBlock,12,0)</f>
        <v>22</v>
      </c>
      <c r="F22" s="126">
        <f>VLOOKUP(C22,'Stochastik A'!PupilBlock,3,0)</f>
        <v>5</v>
      </c>
      <c r="G22" s="126">
        <f>VLOOKUP(C22,'Stochastik B'!PupilBlock,7,0)</f>
        <v>0</v>
      </c>
      <c r="H22" s="126">
        <f>VLOOKUP(C22,'Geometrie A'!PupilBlock,4,0)</f>
        <v>4.5</v>
      </c>
      <c r="I22" s="126">
        <f>VLOOKUP(C22,'Geometrie B'!PupilBlock,7,0)</f>
        <v>6</v>
      </c>
      <c r="J22" s="126">
        <f>VLOOKUP(C22,Wahlaufgaben!PupilBlock,7,0)</f>
        <v>8</v>
      </c>
      <c r="K22" s="127">
        <f t="shared" si="0"/>
        <v>53</v>
      </c>
      <c r="L22" s="129">
        <f>VLOOKUP(VALUE(K22),Notenspiegel!$B$3:$C$302,2,0)</f>
        <v>6</v>
      </c>
      <c r="M22" s="117" t="str">
        <f>VLOOKUP(VALUE(K22),Notenspiegel!$B$3:$D$302,3,0)</f>
        <v>4+</v>
      </c>
      <c r="N22" s="96" t="str">
        <f>VLOOKUP(VALUE(K22),Notenspiegel!$B$3:$E$302,4,0)</f>
        <v/>
      </c>
    </row>
    <row r="23" spans="2:14" ht="18" customHeight="1" thickBot="1" x14ac:dyDescent="0.3">
      <c r="B23" s="135">
        <v>17</v>
      </c>
      <c r="C23" s="113" t="str">
        <f>Config!C21&amp;", "&amp;Config!D21</f>
        <v>Kainz, Vivienne</v>
      </c>
      <c r="D23" s="124">
        <f>VLOOKUP(C23,'Analysis A'!PupilBlock,8,0)</f>
        <v>1</v>
      </c>
      <c r="E23" s="124">
        <f>VLOOKUP(C23,'Analysis B'!PupilBlock,12,0)</f>
        <v>6.5</v>
      </c>
      <c r="F23" s="124">
        <f>VLOOKUP(C23,'Stochastik A'!PupilBlock,3,0)</f>
        <v>5</v>
      </c>
      <c r="G23" s="124">
        <f>VLOOKUP(C23,'Stochastik B'!PupilBlock,7,0)</f>
        <v>7.5</v>
      </c>
      <c r="H23" s="124">
        <f>VLOOKUP(C23,'Geometrie A'!PupilBlock,4,0)</f>
        <v>5</v>
      </c>
      <c r="I23" s="124">
        <f>VLOOKUP(C23,'Geometrie B'!PupilBlock,7,0)</f>
        <v>4.5</v>
      </c>
      <c r="J23" s="124">
        <f>VLOOKUP(C23,Wahlaufgaben!PupilBlock,7,0)</f>
        <v>10</v>
      </c>
      <c r="K23" s="115">
        <f t="shared" si="0"/>
        <v>39.5</v>
      </c>
      <c r="L23" s="143">
        <f>VLOOKUP(VALUE(K23),Notenspiegel!$B$3:$C$302,2,0)</f>
        <v>3</v>
      </c>
      <c r="M23" s="144" t="str">
        <f>VLOOKUP(VALUE(K23),Notenspiegel!$B$3:$D$302,3,0)</f>
        <v>5+</v>
      </c>
      <c r="N23" s="96" t="str">
        <f>VLOOKUP(VALUE(K23),Notenspiegel!$B$3:$E$302,4,0)</f>
        <v>++</v>
      </c>
    </row>
    <row r="24" spans="2:14" ht="18" customHeight="1" thickBot="1" x14ac:dyDescent="0.3">
      <c r="B24" s="134">
        <v>18</v>
      </c>
      <c r="C24" s="114" t="str">
        <f>Config!C22&amp;", "&amp;Config!D22</f>
        <v>Hartmann, Mads</v>
      </c>
      <c r="D24" s="126">
        <f>VLOOKUP(C24,'Analysis A'!PupilBlock,8,0)</f>
        <v>10</v>
      </c>
      <c r="E24" s="126">
        <f>VLOOKUP(C24,'Analysis B'!PupilBlock,12,0)</f>
        <v>16</v>
      </c>
      <c r="F24" s="126">
        <f>VLOOKUP(C24,'Stochastik A'!PupilBlock,3,0)</f>
        <v>2.5</v>
      </c>
      <c r="G24" s="126">
        <f>VLOOKUP(C24,'Stochastik B'!PupilBlock,7,0)</f>
        <v>7</v>
      </c>
      <c r="H24" s="126">
        <f>VLOOKUP(C24,'Geometrie A'!PupilBlock,4,0)</f>
        <v>1</v>
      </c>
      <c r="I24" s="126">
        <f>VLOOKUP(C24,'Geometrie B'!PupilBlock,7,0)</f>
        <v>14</v>
      </c>
      <c r="J24" s="126">
        <f>VLOOKUP(C24,Wahlaufgaben!PupilBlock,7,0)</f>
        <v>7</v>
      </c>
      <c r="K24" s="127">
        <f t="shared" si="0"/>
        <v>57.5</v>
      </c>
      <c r="L24" s="129">
        <f>VLOOKUP(VALUE(K24),Notenspiegel!$B$3:$C$302,2,0)</f>
        <v>7</v>
      </c>
      <c r="M24" s="117" t="str">
        <f>VLOOKUP(VALUE(K24),Notenspiegel!$B$3:$D$302,3,0)</f>
        <v>3-</v>
      </c>
      <c r="N24" s="96" t="str">
        <f>VLOOKUP(VALUE(K24),Notenspiegel!$B$3:$E$302,4,0)</f>
        <v/>
      </c>
    </row>
    <row r="25" spans="2:14" ht="18" customHeight="1" thickBot="1" x14ac:dyDescent="0.3">
      <c r="B25" s="135">
        <v>19</v>
      </c>
      <c r="C25" s="113" t="str">
        <f>Config!C23&amp;", "&amp;Config!D23</f>
        <v>Ullmann, Raphael</v>
      </c>
      <c r="D25" s="124">
        <f>VLOOKUP(C25,'Analysis A'!PupilBlock,8,0)</f>
        <v>9.5</v>
      </c>
      <c r="E25" s="124">
        <f>VLOOKUP(C25,'Analysis B'!PupilBlock,12,0)</f>
        <v>14.5</v>
      </c>
      <c r="F25" s="124">
        <f>VLOOKUP(C25,'Stochastik A'!PupilBlock,3,0)</f>
        <v>5</v>
      </c>
      <c r="G25" s="124">
        <f>VLOOKUP(C25,'Stochastik B'!PupilBlock,7,0)</f>
        <v>7</v>
      </c>
      <c r="H25" s="124">
        <f>VLOOKUP(C25,'Geometrie A'!PupilBlock,4,0)</f>
        <v>2</v>
      </c>
      <c r="I25" s="124">
        <f>VLOOKUP(C25,'Geometrie B'!PupilBlock,7,0)</f>
        <v>13.5</v>
      </c>
      <c r="J25" s="124">
        <f>VLOOKUP(C25,Wahlaufgaben!PupilBlock,7,0)</f>
        <v>8</v>
      </c>
      <c r="K25" s="115">
        <f t="shared" si="0"/>
        <v>59.5</v>
      </c>
      <c r="L25" s="143">
        <f>VLOOKUP(VALUE(K25),Notenspiegel!$B$3:$C$302,2,0)</f>
        <v>7</v>
      </c>
      <c r="M25" s="144" t="str">
        <f>VLOOKUP(VALUE(K25),Notenspiegel!$B$3:$D$302,3,0)</f>
        <v>3-</v>
      </c>
      <c r="N25" s="96" t="str">
        <f>VLOOKUP(VALUE(K25),Notenspiegel!$B$3:$E$302,4,0)</f>
        <v>++</v>
      </c>
    </row>
    <row r="26" spans="2:14" ht="18" customHeight="1" thickBot="1" x14ac:dyDescent="0.3">
      <c r="B26" s="134">
        <v>20</v>
      </c>
      <c r="C26" s="114" t="str">
        <f>Config!C24&amp;", "&amp;Config!D24</f>
        <v>Hartl, Emmely</v>
      </c>
      <c r="D26" s="126">
        <f>VLOOKUP(C26,'Analysis A'!PupilBlock,8,0)</f>
        <v>13.5</v>
      </c>
      <c r="E26" s="126">
        <f>VLOOKUP(C26,'Analysis B'!PupilBlock,12,0)</f>
        <v>23</v>
      </c>
      <c r="F26" s="126">
        <f>VLOOKUP(C26,'Stochastik A'!PupilBlock,3,0)</f>
        <v>3</v>
      </c>
      <c r="G26" s="126">
        <f>VLOOKUP(C26,'Stochastik B'!PupilBlock,7,0)</f>
        <v>4.5</v>
      </c>
      <c r="H26" s="126">
        <f>VLOOKUP(C26,'Geometrie A'!PupilBlock,4,0)</f>
        <v>2</v>
      </c>
      <c r="I26" s="126">
        <f>VLOOKUP(C26,'Geometrie B'!PupilBlock,7,0)</f>
        <v>15</v>
      </c>
      <c r="J26" s="126">
        <f>VLOOKUP(C26,Wahlaufgaben!PupilBlock,7,0)</f>
        <v>10</v>
      </c>
      <c r="K26" s="127">
        <f t="shared" si="0"/>
        <v>71</v>
      </c>
      <c r="L26" s="129">
        <f>VLOOKUP(VALUE(K26),Notenspiegel!$B$3:$C$302,2,0)</f>
        <v>10</v>
      </c>
      <c r="M26" s="117" t="str">
        <f>VLOOKUP(VALUE(K26),Notenspiegel!$B$3:$D$302,3,0)</f>
        <v>2-</v>
      </c>
      <c r="N26" s="96" t="str">
        <f>VLOOKUP(VALUE(K26),Notenspiegel!$B$3:$E$302,4,0)</f>
        <v/>
      </c>
    </row>
    <row r="27" spans="2:14" ht="18" customHeight="1" thickBot="1" x14ac:dyDescent="0.3">
      <c r="B27" s="135">
        <v>21</v>
      </c>
      <c r="C27" s="113" t="str">
        <f>Config!C25&amp;", "&amp;Config!D25</f>
        <v>Klotz, Karin</v>
      </c>
      <c r="D27" s="124">
        <f>VLOOKUP(C27,'Analysis A'!PupilBlock,8,0)</f>
        <v>13.5</v>
      </c>
      <c r="E27" s="124">
        <f>VLOOKUP(C27,'Analysis B'!PupilBlock,12,0)</f>
        <v>26.5</v>
      </c>
      <c r="F27" s="124">
        <f>VLOOKUP(C27,'Stochastik A'!PupilBlock,3,0)</f>
        <v>4</v>
      </c>
      <c r="G27" s="124">
        <f>VLOOKUP(C27,'Stochastik B'!PupilBlock,7,0)</f>
        <v>6</v>
      </c>
      <c r="H27" s="124">
        <f>VLOOKUP(C27,'Geometrie A'!PupilBlock,4,0)</f>
        <v>5</v>
      </c>
      <c r="I27" s="124">
        <f>VLOOKUP(C27,'Geometrie B'!PupilBlock,7,0)</f>
        <v>16</v>
      </c>
      <c r="J27" s="124">
        <f>VLOOKUP(C27,Wahlaufgaben!PupilBlock,7,0)</f>
        <v>10</v>
      </c>
      <c r="K27" s="115">
        <f t="shared" si="0"/>
        <v>81</v>
      </c>
      <c r="L27" s="128">
        <f>VLOOKUP(VALUE(K27),Notenspiegel!$B$3:$C$302,2,0)</f>
        <v>12</v>
      </c>
      <c r="M27" s="116" t="str">
        <f>VLOOKUP(VALUE(K27),Notenspiegel!$B$3:$D$302,3,0)</f>
        <v>2+</v>
      </c>
      <c r="N27" s="96" t="str">
        <f>VLOOKUP(VALUE(K27),Notenspiegel!$B$3:$E$302,4,0)</f>
        <v/>
      </c>
    </row>
    <row r="28" spans="2:14" ht="18" customHeight="1" thickBot="1" x14ac:dyDescent="0.3">
      <c r="B28" s="134">
        <v>22</v>
      </c>
      <c r="C28" s="114" t="str">
        <f>Config!C26&amp;", "&amp;Config!D26</f>
        <v>Ehlers, Ingo</v>
      </c>
      <c r="D28" s="126">
        <f>VLOOKUP(C28,'Analysis A'!PupilBlock,8,0)</f>
        <v>10</v>
      </c>
      <c r="E28" s="126">
        <f>VLOOKUP(C28,'Analysis B'!PupilBlock,12,0)</f>
        <v>21</v>
      </c>
      <c r="F28" s="126">
        <f>VLOOKUP(C28,'Stochastik A'!PupilBlock,3,0)</f>
        <v>5</v>
      </c>
      <c r="G28" s="126">
        <f>VLOOKUP(C28,'Stochastik B'!PupilBlock,7,0)</f>
        <v>5.5</v>
      </c>
      <c r="H28" s="126">
        <f>VLOOKUP(C28,'Geometrie A'!PupilBlock,4,0)</f>
        <v>5</v>
      </c>
      <c r="I28" s="126">
        <f>VLOOKUP(C28,'Geometrie B'!PupilBlock,7,0)</f>
        <v>14.5</v>
      </c>
      <c r="J28" s="126">
        <f>VLOOKUP(C28,Wahlaufgaben!PupilBlock,7,0)</f>
        <v>7</v>
      </c>
      <c r="K28" s="127">
        <f t="shared" si="0"/>
        <v>68</v>
      </c>
      <c r="L28" s="129">
        <f>VLOOKUP(VALUE(K28),Notenspiegel!$B$3:$C$302,2,0)</f>
        <v>9</v>
      </c>
      <c r="M28" s="117" t="str">
        <f>VLOOKUP(VALUE(K28),Notenspiegel!$B$3:$D$302,3,0)</f>
        <v>3+</v>
      </c>
      <c r="N28" s="96" t="str">
        <f>VLOOKUP(VALUE(K28),Notenspiegel!$B$3:$E$302,4,0)</f>
        <v/>
      </c>
    </row>
    <row r="29" spans="2:14" ht="18" customHeight="1" thickBot="1" x14ac:dyDescent="0.3">
      <c r="B29" s="136">
        <v>23</v>
      </c>
      <c r="C29" s="131" t="str">
        <f>Config!C27&amp;", "&amp;Config!D27</f>
        <v>Lindemann, Mads</v>
      </c>
      <c r="D29" s="132">
        <f>VLOOKUP(C29,'Analysis A'!PupilBlock,8,0)</f>
        <v>7</v>
      </c>
      <c r="E29" s="132">
        <f>VLOOKUP(C29,'Analysis B'!PupilBlock,12,0)</f>
        <v>16</v>
      </c>
      <c r="F29" s="132">
        <f>VLOOKUP(C29,'Stochastik A'!PupilBlock,3,0)</f>
        <v>5</v>
      </c>
      <c r="G29" s="132">
        <f>VLOOKUP(C29,'Stochastik B'!PupilBlock,7,0)</f>
        <v>10</v>
      </c>
      <c r="H29" s="132">
        <f>VLOOKUP(C29,'Geometrie A'!PupilBlock,4,0)</f>
        <v>3</v>
      </c>
      <c r="I29" s="132">
        <f>VLOOKUP(C29,'Geometrie B'!PupilBlock,7,0)</f>
        <v>6.5</v>
      </c>
      <c r="J29" s="132">
        <f>VLOOKUP(C29,Wahlaufgaben!PupilBlock,7,0)</f>
        <v>8</v>
      </c>
      <c r="K29" s="115">
        <f t="shared" si="0"/>
        <v>55.5</v>
      </c>
      <c r="L29" s="147">
        <f>VLOOKUP(VALUE(K29),Notenspiegel!$B$3:$C$302,2,0)</f>
        <v>7</v>
      </c>
      <c r="M29" s="148" t="str">
        <f>VLOOKUP(VALUE(K29),Notenspiegel!$B$3:$D$302,3,0)</f>
        <v>3-</v>
      </c>
      <c r="N29" s="96" t="str">
        <f>VLOOKUP(VALUE(K29),Notenspiegel!$B$3:$E$302,4,0)</f>
        <v>-</v>
      </c>
    </row>
    <row r="30" spans="2:14" ht="18" customHeight="1" thickBot="1" x14ac:dyDescent="0.3">
      <c r="B30" s="68"/>
      <c r="C30" s="69"/>
      <c r="D30" s="69">
        <f t="shared" ref="D30:J30" si="1">SUM(D7:D29)/(23*D6)</f>
        <v>0.672463768115942</v>
      </c>
      <c r="E30" s="69">
        <f t="shared" si="1"/>
        <v>0.63260869565217392</v>
      </c>
      <c r="F30" s="69">
        <f t="shared" si="1"/>
        <v>0.74782608695652175</v>
      </c>
      <c r="G30" s="69">
        <f t="shared" si="1"/>
        <v>0.4373401534526854</v>
      </c>
      <c r="H30" s="69">
        <f t="shared" si="1"/>
        <v>0.66956521739130437</v>
      </c>
      <c r="I30" s="69">
        <f t="shared" si="1"/>
        <v>0.61594202898550721</v>
      </c>
      <c r="J30" s="69">
        <f t="shared" si="1"/>
        <v>0.74782608695652175</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Consolidate/>
  <pageMargins left="0.7" right="0.7" top="0.78740157499999996" bottom="0.78740157499999996"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AECF4-7034-4B57-821E-4373E7AEB826}">
  <sheetPr codeName="Tabelle1">
    <tabColor rgb="FF92D050"/>
  </sheetPr>
  <dimension ref="B1:J100"/>
  <sheetViews>
    <sheetView workbookViewId="0">
      <selection activeCell="D7" sqref="D7"/>
    </sheetView>
  </sheetViews>
  <sheetFormatPr baseColWidth="10" defaultColWidth="11.5546875" defaultRowHeight="13.2" x14ac:dyDescent="0.25"/>
  <cols>
    <col min="1" max="2" width="3.44140625" style="96" customWidth="1"/>
    <col min="3" max="3" width="25.6640625" style="96" customWidth="1"/>
    <col min="4" max="10" width="8.6640625" style="96" customWidth="1"/>
    <col min="11" max="16384" width="11.5546875" style="96"/>
  </cols>
  <sheetData>
    <row r="1" spans="2:10" ht="18" customHeight="1" thickBot="1" x14ac:dyDescent="0.3"/>
    <row r="2" spans="2:10" ht="18" customHeight="1" x14ac:dyDescent="0.25">
      <c r="B2" s="97" t="str">
        <f>Config!F2&amp;" "&amp;YEAR(Config!G24)</f>
        <v>Mathe Abitur 2026</v>
      </c>
      <c r="C2" s="98"/>
      <c r="D2" s="98"/>
      <c r="E2" s="98"/>
      <c r="F2" s="98"/>
      <c r="G2" s="99"/>
      <c r="H2" s="99"/>
      <c r="I2" s="99"/>
      <c r="J2" s="100" t="str">
        <f>"Kurs "&amp;Config!G26</f>
        <v>Kurs K1</v>
      </c>
    </row>
    <row r="3" spans="2:10" ht="18" customHeight="1" x14ac:dyDescent="0.25">
      <c r="B3" s="101" t="s">
        <v>9</v>
      </c>
      <c r="C3" s="102"/>
      <c r="D3" s="102"/>
      <c r="E3" s="102"/>
      <c r="F3" s="102"/>
      <c r="G3" s="102"/>
      <c r="H3" s="102"/>
      <c r="I3" s="102"/>
      <c r="J3" s="103"/>
    </row>
    <row r="4" spans="2:10" ht="18" customHeight="1" thickBot="1" x14ac:dyDescent="0.3">
      <c r="B4" s="101"/>
      <c r="C4" s="102"/>
      <c r="D4" s="104"/>
      <c r="E4" s="104"/>
      <c r="F4" s="104"/>
      <c r="G4" s="104"/>
      <c r="H4" s="104"/>
      <c r="I4" s="104"/>
      <c r="J4" s="105"/>
    </row>
    <row r="5" spans="2:10" ht="18" customHeight="1" thickBot="1" x14ac:dyDescent="0.3">
      <c r="B5" s="106"/>
      <c r="C5" s="108"/>
      <c r="D5" s="118" t="str">
        <f>Config!F6</f>
        <v>1a</v>
      </c>
      <c r="E5" s="118" t="str">
        <f>Config!F7</f>
        <v>1b</v>
      </c>
      <c r="F5" s="118" t="str">
        <f>Config!F8</f>
        <v>2</v>
      </c>
      <c r="G5" s="118" t="str">
        <f>Config!F9</f>
        <v>3</v>
      </c>
      <c r="H5" s="118" t="str">
        <f>Config!F10</f>
        <v>4a</v>
      </c>
      <c r="I5" s="118" t="str">
        <f>Config!F11</f>
        <v>4b</v>
      </c>
      <c r="J5" s="112" t="s">
        <v>82</v>
      </c>
    </row>
    <row r="6" spans="2:10" ht="18" customHeight="1" thickBot="1" x14ac:dyDescent="0.3">
      <c r="B6" s="107"/>
      <c r="C6" s="109" t="s">
        <v>81</v>
      </c>
      <c r="D6" s="111">
        <f>Config!G6</f>
        <v>2</v>
      </c>
      <c r="E6" s="111">
        <f>Config!G7</f>
        <v>2</v>
      </c>
      <c r="F6" s="111">
        <f>Config!G8</f>
        <v>3</v>
      </c>
      <c r="G6" s="111">
        <f>Config!G9</f>
        <v>3</v>
      </c>
      <c r="H6" s="111">
        <f>Config!G10</f>
        <v>3</v>
      </c>
      <c r="I6" s="111">
        <f>Config!G11</f>
        <v>2</v>
      </c>
      <c r="J6" s="119">
        <f>Config!G21</f>
        <v>15</v>
      </c>
    </row>
    <row r="7" spans="2:10" ht="18" customHeight="1" x14ac:dyDescent="0.25">
      <c r="B7" s="163">
        <v>1</v>
      </c>
      <c r="C7" s="164" t="str">
        <f>Config!C5&amp;", "&amp;Config!D5</f>
        <v>Höfer, Simon</v>
      </c>
      <c r="D7" s="271">
        <v>1</v>
      </c>
      <c r="E7" s="271">
        <v>1</v>
      </c>
      <c r="F7" s="271">
        <v>1.5</v>
      </c>
      <c r="G7" s="271">
        <v>2.5</v>
      </c>
      <c r="H7" s="271">
        <v>3</v>
      </c>
      <c r="I7" s="272">
        <v>2</v>
      </c>
      <c r="J7" s="165">
        <f t="shared" ref="J7:J37" si="0">SUM(D7:I7)</f>
        <v>11</v>
      </c>
    </row>
    <row r="8" spans="2:10" s="152" customFormat="1" ht="13.2" customHeight="1" x14ac:dyDescent="0.2">
      <c r="B8" s="166"/>
      <c r="C8" s="167" t="s">
        <v>126</v>
      </c>
      <c r="D8" s="168">
        <v>1</v>
      </c>
      <c r="E8" s="169">
        <v>0.5</v>
      </c>
      <c r="F8" s="168">
        <v>1.5</v>
      </c>
      <c r="G8" s="170">
        <v>3</v>
      </c>
      <c r="H8" s="168">
        <v>3</v>
      </c>
      <c r="I8" s="171">
        <v>2</v>
      </c>
      <c r="J8" s="156">
        <f>SUM(D8:I8)</f>
        <v>11</v>
      </c>
    </row>
    <row r="9" spans="2:10" s="152" customFormat="1" ht="13.2" customHeight="1" x14ac:dyDescent="0.2">
      <c r="B9" s="172"/>
      <c r="C9" s="173" t="s">
        <v>127</v>
      </c>
      <c r="D9" s="153">
        <v>1</v>
      </c>
      <c r="E9" s="174">
        <v>0.5</v>
      </c>
      <c r="F9" s="153">
        <v>1.5</v>
      </c>
      <c r="G9" s="153">
        <v>2.5</v>
      </c>
      <c r="H9" s="153">
        <v>3</v>
      </c>
      <c r="I9" s="175">
        <v>1.5</v>
      </c>
      <c r="J9" s="155">
        <f>SUM(D9:I9)</f>
        <v>10</v>
      </c>
    </row>
    <row r="10" spans="2:10" ht="18" customHeight="1" x14ac:dyDescent="0.25">
      <c r="B10" s="182">
        <v>2</v>
      </c>
      <c r="C10" s="183" t="str">
        <f>Config!C6&amp;", "&amp;Config!D6</f>
        <v>Töpfer, Lilian</v>
      </c>
      <c r="D10" s="273">
        <v>1.5</v>
      </c>
      <c r="E10" s="273">
        <v>2</v>
      </c>
      <c r="F10" s="273">
        <v>0.5</v>
      </c>
      <c r="G10" s="273">
        <v>1</v>
      </c>
      <c r="H10" s="273">
        <v>2</v>
      </c>
      <c r="I10" s="274">
        <v>2</v>
      </c>
      <c r="J10" s="184">
        <f t="shared" si="0"/>
        <v>9</v>
      </c>
    </row>
    <row r="11" spans="2:10" s="152" customFormat="1" ht="13.2" customHeight="1" x14ac:dyDescent="0.2">
      <c r="B11" s="176"/>
      <c r="C11" s="177" t="s">
        <v>126</v>
      </c>
      <c r="D11" s="178">
        <v>1.5</v>
      </c>
      <c r="E11" s="178">
        <v>2</v>
      </c>
      <c r="F11" s="179">
        <v>1</v>
      </c>
      <c r="G11" s="180">
        <v>0.5</v>
      </c>
      <c r="H11" s="178">
        <v>2</v>
      </c>
      <c r="I11" s="181">
        <v>2</v>
      </c>
      <c r="J11" s="158">
        <f>SUM(D11:I11)</f>
        <v>9</v>
      </c>
    </row>
    <row r="12" spans="2:10" s="152" customFormat="1" ht="13.2" customHeight="1" x14ac:dyDescent="0.2">
      <c r="B12" s="185"/>
      <c r="C12" s="186" t="s">
        <v>127</v>
      </c>
      <c r="D12" s="153">
        <v>1.5</v>
      </c>
      <c r="E12" s="153">
        <v>2</v>
      </c>
      <c r="F12" s="153">
        <v>0.5</v>
      </c>
      <c r="G12" s="153">
        <v>1</v>
      </c>
      <c r="H12" s="153">
        <v>2</v>
      </c>
      <c r="I12" s="154">
        <v>2</v>
      </c>
      <c r="J12" s="157">
        <f>SUM(D12:I12)</f>
        <v>9</v>
      </c>
    </row>
    <row r="13" spans="2:10" ht="18" customHeight="1" x14ac:dyDescent="0.25">
      <c r="B13" s="187">
        <v>3</v>
      </c>
      <c r="C13" s="188" t="str">
        <f>Config!C7&amp;", "&amp;Config!D7</f>
        <v>Fleischmann, Leonie</v>
      </c>
      <c r="D13" s="275">
        <v>0.5</v>
      </c>
      <c r="E13" s="275">
        <v>1.5</v>
      </c>
      <c r="F13" s="275">
        <v>1.5</v>
      </c>
      <c r="G13" s="275">
        <v>3</v>
      </c>
      <c r="H13" s="275">
        <v>3</v>
      </c>
      <c r="I13" s="276">
        <v>1</v>
      </c>
      <c r="J13" s="189">
        <f t="shared" si="0"/>
        <v>10.5</v>
      </c>
    </row>
    <row r="14" spans="2:10" s="152" customFormat="1" ht="13.2" customHeight="1" x14ac:dyDescent="0.2">
      <c r="B14" s="166"/>
      <c r="C14" s="167" t="s">
        <v>126</v>
      </c>
      <c r="D14" s="168"/>
      <c r="E14" s="168"/>
      <c r="F14" s="168"/>
      <c r="G14" s="168"/>
      <c r="H14" s="168"/>
      <c r="I14" s="171"/>
      <c r="J14" s="156">
        <f>SUM(D14:I14)</f>
        <v>0</v>
      </c>
    </row>
    <row r="15" spans="2:10" s="152" customFormat="1" ht="13.2" customHeight="1" x14ac:dyDescent="0.2">
      <c r="B15" s="172"/>
      <c r="C15" s="173" t="s">
        <v>127</v>
      </c>
      <c r="D15" s="153"/>
      <c r="E15" s="153"/>
      <c r="F15" s="153"/>
      <c r="G15" s="153"/>
      <c r="H15" s="153"/>
      <c r="I15" s="154"/>
      <c r="J15" s="155">
        <f>SUM(D15:I15)</f>
        <v>0</v>
      </c>
    </row>
    <row r="16" spans="2:10" ht="18" customHeight="1" x14ac:dyDescent="0.25">
      <c r="B16" s="182">
        <v>4</v>
      </c>
      <c r="C16" s="183" t="str">
        <f>Config!C8&amp;", "&amp;Config!D8</f>
        <v>Drescher, Cedric</v>
      </c>
      <c r="D16" s="273">
        <v>2</v>
      </c>
      <c r="E16" s="273">
        <v>2</v>
      </c>
      <c r="F16" s="273">
        <v>1</v>
      </c>
      <c r="G16" s="273">
        <v>3</v>
      </c>
      <c r="H16" s="273">
        <v>2.5</v>
      </c>
      <c r="I16" s="274">
        <v>2</v>
      </c>
      <c r="J16" s="184">
        <f t="shared" si="0"/>
        <v>12.5</v>
      </c>
    </row>
    <row r="17" spans="2:10" s="152" customFormat="1" ht="13.2" customHeight="1" x14ac:dyDescent="0.2">
      <c r="B17" s="176"/>
      <c r="C17" s="177" t="s">
        <v>126</v>
      </c>
      <c r="D17" s="178"/>
      <c r="E17" s="178"/>
      <c r="F17" s="178"/>
      <c r="G17" s="178"/>
      <c r="H17" s="178"/>
      <c r="I17" s="181"/>
      <c r="J17" s="158">
        <f>SUM(D17:I17)</f>
        <v>0</v>
      </c>
    </row>
    <row r="18" spans="2:10" s="152" customFormat="1" ht="13.2" customHeight="1" x14ac:dyDescent="0.2">
      <c r="B18" s="185"/>
      <c r="C18" s="186" t="s">
        <v>127</v>
      </c>
      <c r="D18" s="153"/>
      <c r="E18" s="153"/>
      <c r="F18" s="153"/>
      <c r="G18" s="153"/>
      <c r="H18" s="153"/>
      <c r="I18" s="154"/>
      <c r="J18" s="157">
        <f>SUM(D18:I18)</f>
        <v>0</v>
      </c>
    </row>
    <row r="19" spans="2:10" ht="18" customHeight="1" x14ac:dyDescent="0.25">
      <c r="B19" s="187">
        <v>5</v>
      </c>
      <c r="C19" s="188" t="str">
        <f>Config!C9&amp;", "&amp;Config!D9</f>
        <v>Baumgarten, Annabell</v>
      </c>
      <c r="D19" s="275">
        <v>2</v>
      </c>
      <c r="E19" s="275">
        <v>2</v>
      </c>
      <c r="F19" s="275">
        <v>2.5</v>
      </c>
      <c r="G19" s="275">
        <v>3</v>
      </c>
      <c r="H19" s="275">
        <v>2.5</v>
      </c>
      <c r="I19" s="276">
        <v>2</v>
      </c>
      <c r="J19" s="189">
        <f t="shared" si="0"/>
        <v>14</v>
      </c>
    </row>
    <row r="20" spans="2:10" s="152" customFormat="1" ht="13.2" customHeight="1" x14ac:dyDescent="0.2">
      <c r="B20" s="166"/>
      <c r="C20" s="167" t="s">
        <v>126</v>
      </c>
      <c r="D20" s="168"/>
      <c r="E20" s="168"/>
      <c r="F20" s="168"/>
      <c r="G20" s="168"/>
      <c r="H20" s="168"/>
      <c r="I20" s="171"/>
      <c r="J20" s="156">
        <f>SUM(D20:I20)</f>
        <v>0</v>
      </c>
    </row>
    <row r="21" spans="2:10" s="152" customFormat="1" ht="13.2" customHeight="1" x14ac:dyDescent="0.2">
      <c r="B21" s="172"/>
      <c r="C21" s="173" t="s">
        <v>127</v>
      </c>
      <c r="D21" s="153"/>
      <c r="E21" s="153"/>
      <c r="F21" s="153"/>
      <c r="G21" s="153"/>
      <c r="H21" s="153"/>
      <c r="I21" s="154"/>
      <c r="J21" s="155">
        <f>SUM(D21:I21)</f>
        <v>0</v>
      </c>
    </row>
    <row r="22" spans="2:10" ht="18" customHeight="1" x14ac:dyDescent="0.25">
      <c r="B22" s="182">
        <v>6</v>
      </c>
      <c r="C22" s="183" t="str">
        <f>Config!C10&amp;", "&amp;Config!D10</f>
        <v>Traut, Stefanie</v>
      </c>
      <c r="D22" s="273">
        <v>2</v>
      </c>
      <c r="E22" s="273">
        <v>2</v>
      </c>
      <c r="F22" s="273">
        <v>2</v>
      </c>
      <c r="G22" s="273">
        <v>2</v>
      </c>
      <c r="H22" s="273">
        <v>2.5</v>
      </c>
      <c r="I22" s="274">
        <v>2</v>
      </c>
      <c r="J22" s="184">
        <f t="shared" si="0"/>
        <v>12.5</v>
      </c>
    </row>
    <row r="23" spans="2:10" s="152" customFormat="1" ht="13.2" customHeight="1" x14ac:dyDescent="0.2">
      <c r="B23" s="176"/>
      <c r="C23" s="177" t="s">
        <v>126</v>
      </c>
      <c r="D23" s="178"/>
      <c r="E23" s="178"/>
      <c r="F23" s="178"/>
      <c r="G23" s="178"/>
      <c r="H23" s="178"/>
      <c r="I23" s="181"/>
      <c r="J23" s="158">
        <f>SUM(D23:I23)</f>
        <v>0</v>
      </c>
    </row>
    <row r="24" spans="2:10" s="152" customFormat="1" ht="13.2" customHeight="1" x14ac:dyDescent="0.2">
      <c r="B24" s="185"/>
      <c r="C24" s="186" t="s">
        <v>127</v>
      </c>
      <c r="D24" s="153"/>
      <c r="E24" s="153"/>
      <c r="F24" s="153"/>
      <c r="G24" s="153"/>
      <c r="H24" s="153"/>
      <c r="I24" s="154"/>
      <c r="J24" s="157">
        <f>SUM(D24:I24)</f>
        <v>0</v>
      </c>
    </row>
    <row r="25" spans="2:10" ht="18" customHeight="1" x14ac:dyDescent="0.25">
      <c r="B25" s="187">
        <v>7</v>
      </c>
      <c r="C25" s="188" t="str">
        <f>Config!C11&amp;", "&amp;Config!D11</f>
        <v>Menke, Damian</v>
      </c>
      <c r="D25" s="275">
        <v>1</v>
      </c>
      <c r="E25" s="275">
        <v>1.5</v>
      </c>
      <c r="F25" s="275">
        <v>3</v>
      </c>
      <c r="G25" s="275">
        <v>3</v>
      </c>
      <c r="H25" s="275">
        <v>3</v>
      </c>
      <c r="I25" s="276">
        <v>1</v>
      </c>
      <c r="J25" s="189">
        <f t="shared" si="0"/>
        <v>12.5</v>
      </c>
    </row>
    <row r="26" spans="2:10" s="152" customFormat="1" ht="13.2" customHeight="1" x14ac:dyDescent="0.2">
      <c r="B26" s="166"/>
      <c r="C26" s="167" t="s">
        <v>126</v>
      </c>
      <c r="D26" s="168"/>
      <c r="E26" s="168"/>
      <c r="F26" s="168"/>
      <c r="G26" s="168"/>
      <c r="H26" s="168"/>
      <c r="I26" s="171"/>
      <c r="J26" s="156">
        <f>SUM(D26:I26)</f>
        <v>0</v>
      </c>
    </row>
    <row r="27" spans="2:10" s="152" customFormat="1" ht="13.2" customHeight="1" x14ac:dyDescent="0.2">
      <c r="B27" s="172"/>
      <c r="C27" s="173" t="s">
        <v>127</v>
      </c>
      <c r="D27" s="153"/>
      <c r="E27" s="153"/>
      <c r="F27" s="153"/>
      <c r="G27" s="153"/>
      <c r="H27" s="153"/>
      <c r="I27" s="154"/>
      <c r="J27" s="155">
        <f>SUM(D27:I27)</f>
        <v>0</v>
      </c>
    </row>
    <row r="28" spans="2:10" ht="18" customHeight="1" x14ac:dyDescent="0.25">
      <c r="B28" s="182">
        <v>8</v>
      </c>
      <c r="C28" s="183" t="str">
        <f>Config!C12&amp;", "&amp;Config!D12</f>
        <v>Carroll, Meik</v>
      </c>
      <c r="D28" s="273">
        <v>0.5</v>
      </c>
      <c r="E28" s="273">
        <v>2</v>
      </c>
      <c r="F28" s="273">
        <v>1.5</v>
      </c>
      <c r="G28" s="273">
        <v>1</v>
      </c>
      <c r="H28" s="273">
        <v>3</v>
      </c>
      <c r="I28" s="274">
        <v>1</v>
      </c>
      <c r="J28" s="184">
        <f t="shared" si="0"/>
        <v>9</v>
      </c>
    </row>
    <row r="29" spans="2:10" s="152" customFormat="1" ht="13.2" customHeight="1" x14ac:dyDescent="0.2">
      <c r="B29" s="176"/>
      <c r="C29" s="177" t="s">
        <v>126</v>
      </c>
      <c r="D29" s="178"/>
      <c r="E29" s="178"/>
      <c r="F29" s="178"/>
      <c r="G29" s="178"/>
      <c r="H29" s="178"/>
      <c r="I29" s="181"/>
      <c r="J29" s="158">
        <f>SUM(D29:I29)</f>
        <v>0</v>
      </c>
    </row>
    <row r="30" spans="2:10" s="152" customFormat="1" ht="13.2" customHeight="1" x14ac:dyDescent="0.2">
      <c r="B30" s="185"/>
      <c r="C30" s="186" t="s">
        <v>127</v>
      </c>
      <c r="D30" s="153"/>
      <c r="E30" s="153"/>
      <c r="F30" s="153"/>
      <c r="G30" s="153"/>
      <c r="H30" s="153"/>
      <c r="I30" s="154"/>
      <c r="J30" s="157">
        <f>SUM(D30:I30)</f>
        <v>0</v>
      </c>
    </row>
    <row r="31" spans="2:10" ht="18" customHeight="1" x14ac:dyDescent="0.25">
      <c r="B31" s="187">
        <v>9</v>
      </c>
      <c r="C31" s="188" t="str">
        <f>Config!C13&amp;", "&amp;Config!D13</f>
        <v>Hennings, Tomas</v>
      </c>
      <c r="D31" s="275">
        <v>1.5</v>
      </c>
      <c r="E31" s="275">
        <v>2</v>
      </c>
      <c r="F31" s="275">
        <v>1.5</v>
      </c>
      <c r="G31" s="275">
        <v>1</v>
      </c>
      <c r="H31" s="275">
        <v>2</v>
      </c>
      <c r="I31" s="276">
        <v>2</v>
      </c>
      <c r="J31" s="189">
        <f t="shared" si="0"/>
        <v>10</v>
      </c>
    </row>
    <row r="32" spans="2:10" s="152" customFormat="1" ht="13.2" customHeight="1" x14ac:dyDescent="0.2">
      <c r="B32" s="166"/>
      <c r="C32" s="167" t="s">
        <v>126</v>
      </c>
      <c r="D32" s="168"/>
      <c r="E32" s="168"/>
      <c r="F32" s="168"/>
      <c r="G32" s="168"/>
      <c r="H32" s="168"/>
      <c r="I32" s="171"/>
      <c r="J32" s="156">
        <f>SUM(D32:I32)</f>
        <v>0</v>
      </c>
    </row>
    <row r="33" spans="2:10" s="152" customFormat="1" ht="13.2" customHeight="1" x14ac:dyDescent="0.2">
      <c r="B33" s="172"/>
      <c r="C33" s="173" t="s">
        <v>127</v>
      </c>
      <c r="D33" s="153"/>
      <c r="E33" s="153"/>
      <c r="F33" s="153"/>
      <c r="G33" s="153"/>
      <c r="H33" s="153"/>
      <c r="I33" s="154"/>
      <c r="J33" s="155">
        <f>SUM(D33:I33)</f>
        <v>0</v>
      </c>
    </row>
    <row r="34" spans="2:10" ht="18" customHeight="1" x14ac:dyDescent="0.25">
      <c r="B34" s="182">
        <v>10</v>
      </c>
      <c r="C34" s="183" t="str">
        <f>Config!C14&amp;", "&amp;Config!D14</f>
        <v>Walters, Linn</v>
      </c>
      <c r="D34" s="273">
        <v>0.5</v>
      </c>
      <c r="E34" s="273">
        <v>1</v>
      </c>
      <c r="F34" s="273">
        <v>0</v>
      </c>
      <c r="G34" s="273">
        <v>1</v>
      </c>
      <c r="H34" s="273">
        <v>0.5</v>
      </c>
      <c r="I34" s="274">
        <v>0</v>
      </c>
      <c r="J34" s="184">
        <f t="shared" si="0"/>
        <v>3</v>
      </c>
    </row>
    <row r="35" spans="2:10" s="152" customFormat="1" ht="13.2" customHeight="1" x14ac:dyDescent="0.2">
      <c r="B35" s="176"/>
      <c r="C35" s="177" t="s">
        <v>126</v>
      </c>
      <c r="D35" s="178"/>
      <c r="E35" s="178"/>
      <c r="F35" s="178"/>
      <c r="G35" s="178"/>
      <c r="H35" s="178"/>
      <c r="I35" s="181"/>
      <c r="J35" s="158">
        <f>SUM(D35:I35)</f>
        <v>0</v>
      </c>
    </row>
    <row r="36" spans="2:10" s="152" customFormat="1" ht="13.2" customHeight="1" x14ac:dyDescent="0.2">
      <c r="B36" s="185"/>
      <c r="C36" s="186" t="s">
        <v>127</v>
      </c>
      <c r="D36" s="153"/>
      <c r="E36" s="153"/>
      <c r="F36" s="153"/>
      <c r="G36" s="153"/>
      <c r="H36" s="153"/>
      <c r="I36" s="154"/>
      <c r="J36" s="157">
        <f>SUM(D36:I36)</f>
        <v>0</v>
      </c>
    </row>
    <row r="37" spans="2:10" ht="18" customHeight="1" x14ac:dyDescent="0.25">
      <c r="B37" s="187">
        <v>11</v>
      </c>
      <c r="C37" s="188" t="str">
        <f>Config!C15&amp;", "&amp;Config!D15</f>
        <v>Junker, Amely</v>
      </c>
      <c r="D37" s="275">
        <v>0.5</v>
      </c>
      <c r="E37" s="275">
        <v>2</v>
      </c>
      <c r="F37" s="275">
        <v>1.5</v>
      </c>
      <c r="G37" s="275">
        <v>0</v>
      </c>
      <c r="H37" s="275">
        <v>1.5</v>
      </c>
      <c r="I37" s="276">
        <v>1</v>
      </c>
      <c r="J37" s="189">
        <f t="shared" si="0"/>
        <v>6.5</v>
      </c>
    </row>
    <row r="38" spans="2:10" s="152" customFormat="1" ht="13.2" customHeight="1" x14ac:dyDescent="0.2">
      <c r="B38" s="166"/>
      <c r="C38" s="167" t="s">
        <v>126</v>
      </c>
      <c r="D38" s="168"/>
      <c r="E38" s="168"/>
      <c r="F38" s="168"/>
      <c r="G38" s="168"/>
      <c r="H38" s="168"/>
      <c r="I38" s="171"/>
      <c r="J38" s="156">
        <f>SUM(D38:I38)</f>
        <v>0</v>
      </c>
    </row>
    <row r="39" spans="2:10" s="152" customFormat="1" ht="13.2" customHeight="1" x14ac:dyDescent="0.2">
      <c r="B39" s="172"/>
      <c r="C39" s="173" t="s">
        <v>127</v>
      </c>
      <c r="D39" s="153"/>
      <c r="E39" s="153"/>
      <c r="F39" s="153"/>
      <c r="G39" s="153"/>
      <c r="H39" s="153"/>
      <c r="I39" s="154"/>
      <c r="J39" s="155">
        <f>SUM(D39:I39)</f>
        <v>0</v>
      </c>
    </row>
    <row r="40" spans="2:10" ht="18" customHeight="1" x14ac:dyDescent="0.25">
      <c r="B40" s="182">
        <v>12</v>
      </c>
      <c r="C40" s="183" t="str">
        <f>Config!C16&amp;", "&amp;Config!D16</f>
        <v>Stephens, Melvin</v>
      </c>
      <c r="D40" s="273">
        <v>2</v>
      </c>
      <c r="E40" s="273">
        <v>2</v>
      </c>
      <c r="F40" s="273">
        <v>1</v>
      </c>
      <c r="G40" s="273">
        <v>3</v>
      </c>
      <c r="H40" s="273">
        <v>1.5</v>
      </c>
      <c r="I40" s="274">
        <v>2</v>
      </c>
      <c r="J40" s="184">
        <f t="shared" ref="J40:J70" si="1">SUM(D40:I40)</f>
        <v>11.5</v>
      </c>
    </row>
    <row r="41" spans="2:10" s="152" customFormat="1" ht="13.2" customHeight="1" x14ac:dyDescent="0.2">
      <c r="B41" s="176"/>
      <c r="C41" s="177" t="s">
        <v>126</v>
      </c>
      <c r="D41" s="178"/>
      <c r="E41" s="178"/>
      <c r="F41" s="178"/>
      <c r="G41" s="178"/>
      <c r="H41" s="178"/>
      <c r="I41" s="181"/>
      <c r="J41" s="158">
        <f>SUM(D41:I41)</f>
        <v>0</v>
      </c>
    </row>
    <row r="42" spans="2:10" s="152" customFormat="1" ht="13.2" customHeight="1" x14ac:dyDescent="0.2">
      <c r="B42" s="185"/>
      <c r="C42" s="186" t="s">
        <v>127</v>
      </c>
      <c r="D42" s="153"/>
      <c r="E42" s="153"/>
      <c r="F42" s="153"/>
      <c r="G42" s="153"/>
      <c r="H42" s="153"/>
      <c r="I42" s="154"/>
      <c r="J42" s="157">
        <f>SUM(D42:I42)</f>
        <v>0</v>
      </c>
    </row>
    <row r="43" spans="2:10" ht="18" customHeight="1" x14ac:dyDescent="0.25">
      <c r="B43" s="187">
        <v>13</v>
      </c>
      <c r="C43" s="188" t="str">
        <f>Config!C17&amp;", "&amp;Config!D17</f>
        <v>Cremer, Marvin</v>
      </c>
      <c r="D43" s="275">
        <v>1.5</v>
      </c>
      <c r="E43" s="275">
        <v>2</v>
      </c>
      <c r="F43" s="275">
        <v>1.5</v>
      </c>
      <c r="G43" s="275">
        <v>3</v>
      </c>
      <c r="H43" s="275">
        <v>3</v>
      </c>
      <c r="I43" s="276">
        <v>1.5</v>
      </c>
      <c r="J43" s="189">
        <f t="shared" si="1"/>
        <v>12.5</v>
      </c>
    </row>
    <row r="44" spans="2:10" s="152" customFormat="1" ht="13.2" customHeight="1" x14ac:dyDescent="0.2">
      <c r="B44" s="166"/>
      <c r="C44" s="167" t="s">
        <v>126</v>
      </c>
      <c r="D44" s="168"/>
      <c r="E44" s="168"/>
      <c r="F44" s="168"/>
      <c r="G44" s="168"/>
      <c r="H44" s="168"/>
      <c r="I44" s="171"/>
      <c r="J44" s="156">
        <f>SUM(D44:I44)</f>
        <v>0</v>
      </c>
    </row>
    <row r="45" spans="2:10" s="152" customFormat="1" ht="13.2" customHeight="1" x14ac:dyDescent="0.2">
      <c r="B45" s="172"/>
      <c r="C45" s="173" t="s">
        <v>127</v>
      </c>
      <c r="D45" s="153"/>
      <c r="E45" s="153"/>
      <c r="F45" s="153"/>
      <c r="G45" s="153"/>
      <c r="H45" s="153"/>
      <c r="I45" s="154"/>
      <c r="J45" s="155">
        <f>SUM(D45:I45)</f>
        <v>0</v>
      </c>
    </row>
    <row r="46" spans="2:10" ht="18" customHeight="1" x14ac:dyDescent="0.25">
      <c r="B46" s="182">
        <v>14</v>
      </c>
      <c r="C46" s="183" t="str">
        <f>Config!C18&amp;", "&amp;Config!D18</f>
        <v>Nash, Jean</v>
      </c>
      <c r="D46" s="273">
        <v>2</v>
      </c>
      <c r="E46" s="273">
        <v>2</v>
      </c>
      <c r="F46" s="273">
        <v>1.5</v>
      </c>
      <c r="G46" s="273">
        <v>3</v>
      </c>
      <c r="H46" s="273">
        <v>3</v>
      </c>
      <c r="I46" s="274">
        <v>2</v>
      </c>
      <c r="J46" s="184">
        <f t="shared" si="1"/>
        <v>13.5</v>
      </c>
    </row>
    <row r="47" spans="2:10" s="152" customFormat="1" ht="13.2" customHeight="1" x14ac:dyDescent="0.2">
      <c r="B47" s="176"/>
      <c r="C47" s="177" t="s">
        <v>126</v>
      </c>
      <c r="D47" s="178"/>
      <c r="E47" s="178"/>
      <c r="F47" s="178"/>
      <c r="G47" s="178"/>
      <c r="H47" s="178"/>
      <c r="I47" s="181"/>
      <c r="J47" s="158">
        <f>SUM(D47:I47)</f>
        <v>0</v>
      </c>
    </row>
    <row r="48" spans="2:10" s="152" customFormat="1" ht="13.2" customHeight="1" x14ac:dyDescent="0.2">
      <c r="B48" s="185"/>
      <c r="C48" s="186" t="s">
        <v>127</v>
      </c>
      <c r="D48" s="153"/>
      <c r="E48" s="153"/>
      <c r="F48" s="153"/>
      <c r="G48" s="153"/>
      <c r="H48" s="153"/>
      <c r="I48" s="154"/>
      <c r="J48" s="157">
        <f>SUM(D48:I48)</f>
        <v>0</v>
      </c>
    </row>
    <row r="49" spans="2:10" ht="18" customHeight="1" x14ac:dyDescent="0.25">
      <c r="B49" s="187">
        <v>15</v>
      </c>
      <c r="C49" s="188" t="str">
        <f>Config!C19&amp;", "&amp;Config!D19</f>
        <v>Schön, Leonardo</v>
      </c>
      <c r="D49" s="275">
        <v>1</v>
      </c>
      <c r="E49" s="275">
        <v>2</v>
      </c>
      <c r="F49" s="275">
        <v>1.5</v>
      </c>
      <c r="G49" s="275">
        <v>3</v>
      </c>
      <c r="H49" s="275">
        <v>2.5</v>
      </c>
      <c r="I49" s="276">
        <v>2</v>
      </c>
      <c r="J49" s="189">
        <f t="shared" si="1"/>
        <v>12</v>
      </c>
    </row>
    <row r="50" spans="2:10" s="152" customFormat="1" ht="13.2" customHeight="1" x14ac:dyDescent="0.2">
      <c r="B50" s="166"/>
      <c r="C50" s="167" t="s">
        <v>126</v>
      </c>
      <c r="D50" s="168"/>
      <c r="E50" s="168"/>
      <c r="F50" s="168"/>
      <c r="G50" s="168"/>
      <c r="H50" s="168"/>
      <c r="I50" s="171"/>
      <c r="J50" s="156">
        <f>SUM(D50:I50)</f>
        <v>0</v>
      </c>
    </row>
    <row r="51" spans="2:10" s="152" customFormat="1" ht="13.2" customHeight="1" x14ac:dyDescent="0.2">
      <c r="B51" s="172"/>
      <c r="C51" s="173" t="s">
        <v>127</v>
      </c>
      <c r="D51" s="153"/>
      <c r="E51" s="153"/>
      <c r="F51" s="153"/>
      <c r="G51" s="153"/>
      <c r="H51" s="153"/>
      <c r="I51" s="154"/>
      <c r="J51" s="155">
        <f>SUM(D51:I51)</f>
        <v>0</v>
      </c>
    </row>
    <row r="52" spans="2:10" ht="18" customHeight="1" x14ac:dyDescent="0.25">
      <c r="B52" s="182">
        <v>16</v>
      </c>
      <c r="C52" s="183" t="str">
        <f>Config!C20&amp;", "&amp;Config!D20</f>
        <v>Sigl, Nicholas</v>
      </c>
      <c r="D52" s="273">
        <v>2</v>
      </c>
      <c r="E52" s="273">
        <v>0</v>
      </c>
      <c r="F52" s="273">
        <v>1</v>
      </c>
      <c r="G52" s="273">
        <v>1.5</v>
      </c>
      <c r="H52" s="273">
        <v>2</v>
      </c>
      <c r="I52" s="274">
        <v>1</v>
      </c>
      <c r="J52" s="184">
        <f t="shared" si="1"/>
        <v>7.5</v>
      </c>
    </row>
    <row r="53" spans="2:10" s="152" customFormat="1" ht="13.2" customHeight="1" x14ac:dyDescent="0.2">
      <c r="B53" s="176"/>
      <c r="C53" s="177" t="s">
        <v>126</v>
      </c>
      <c r="D53" s="178"/>
      <c r="E53" s="178"/>
      <c r="F53" s="178"/>
      <c r="G53" s="178"/>
      <c r="H53" s="178"/>
      <c r="I53" s="181"/>
      <c r="J53" s="158">
        <f>SUM(D53:I53)</f>
        <v>0</v>
      </c>
    </row>
    <row r="54" spans="2:10" s="152" customFormat="1" ht="13.2" customHeight="1" x14ac:dyDescent="0.2">
      <c r="B54" s="185"/>
      <c r="C54" s="186" t="s">
        <v>127</v>
      </c>
      <c r="D54" s="153"/>
      <c r="E54" s="153"/>
      <c r="F54" s="153"/>
      <c r="G54" s="153"/>
      <c r="H54" s="153"/>
      <c r="I54" s="154"/>
      <c r="J54" s="157">
        <f>SUM(D54:I54)</f>
        <v>0</v>
      </c>
    </row>
    <row r="55" spans="2:10" ht="18" customHeight="1" x14ac:dyDescent="0.25">
      <c r="B55" s="187">
        <v>17</v>
      </c>
      <c r="C55" s="188" t="str">
        <f>Config!C21&amp;", "&amp;Config!D21</f>
        <v>Kainz, Vivienne</v>
      </c>
      <c r="D55" s="275">
        <v>0.5</v>
      </c>
      <c r="E55" s="275">
        <v>0</v>
      </c>
      <c r="F55" s="275">
        <v>0</v>
      </c>
      <c r="G55" s="275">
        <v>0</v>
      </c>
      <c r="H55" s="275">
        <v>0.5</v>
      </c>
      <c r="I55" s="276">
        <v>0</v>
      </c>
      <c r="J55" s="189">
        <f t="shared" si="1"/>
        <v>1</v>
      </c>
    </row>
    <row r="56" spans="2:10" s="152" customFormat="1" ht="13.2" customHeight="1" x14ac:dyDescent="0.2">
      <c r="B56" s="166"/>
      <c r="C56" s="167" t="s">
        <v>126</v>
      </c>
      <c r="D56" s="168"/>
      <c r="E56" s="168"/>
      <c r="F56" s="168"/>
      <c r="G56" s="168"/>
      <c r="H56" s="168"/>
      <c r="I56" s="171"/>
      <c r="J56" s="156">
        <f>SUM(D56:I56)</f>
        <v>0</v>
      </c>
    </row>
    <row r="57" spans="2:10" s="152" customFormat="1" ht="13.2" customHeight="1" x14ac:dyDescent="0.2">
      <c r="B57" s="172"/>
      <c r="C57" s="173" t="s">
        <v>127</v>
      </c>
      <c r="D57" s="153"/>
      <c r="E57" s="153"/>
      <c r="F57" s="153"/>
      <c r="G57" s="153"/>
      <c r="H57" s="153"/>
      <c r="I57" s="154"/>
      <c r="J57" s="155">
        <f>SUM(D57:I57)</f>
        <v>0</v>
      </c>
    </row>
    <row r="58" spans="2:10" ht="18" customHeight="1" x14ac:dyDescent="0.25">
      <c r="B58" s="182">
        <v>18</v>
      </c>
      <c r="C58" s="183" t="str">
        <f>Config!C22&amp;", "&amp;Config!D22</f>
        <v>Hartmann, Mads</v>
      </c>
      <c r="D58" s="273">
        <v>2</v>
      </c>
      <c r="E58" s="273">
        <v>2</v>
      </c>
      <c r="F58" s="273">
        <v>1</v>
      </c>
      <c r="G58" s="273">
        <v>1</v>
      </c>
      <c r="H58" s="273">
        <v>3</v>
      </c>
      <c r="I58" s="274">
        <v>1</v>
      </c>
      <c r="J58" s="184">
        <f t="shared" si="1"/>
        <v>10</v>
      </c>
    </row>
    <row r="59" spans="2:10" s="152" customFormat="1" ht="13.2" customHeight="1" x14ac:dyDescent="0.2">
      <c r="B59" s="176"/>
      <c r="C59" s="177" t="s">
        <v>126</v>
      </c>
      <c r="D59" s="178"/>
      <c r="E59" s="178"/>
      <c r="F59" s="178"/>
      <c r="G59" s="178"/>
      <c r="H59" s="178"/>
      <c r="I59" s="181"/>
      <c r="J59" s="158">
        <f>SUM(D59:I59)</f>
        <v>0</v>
      </c>
    </row>
    <row r="60" spans="2:10" s="152" customFormat="1" ht="13.2" customHeight="1" x14ac:dyDescent="0.2">
      <c r="B60" s="185"/>
      <c r="C60" s="186" t="s">
        <v>127</v>
      </c>
      <c r="D60" s="153"/>
      <c r="E60" s="153"/>
      <c r="F60" s="153"/>
      <c r="G60" s="153"/>
      <c r="H60" s="153"/>
      <c r="I60" s="154"/>
      <c r="J60" s="157">
        <f>SUM(D60:I60)</f>
        <v>0</v>
      </c>
    </row>
    <row r="61" spans="2:10" ht="18" customHeight="1" x14ac:dyDescent="0.25">
      <c r="B61" s="187">
        <v>19</v>
      </c>
      <c r="C61" s="188" t="str">
        <f>Config!C23&amp;", "&amp;Config!D23</f>
        <v>Ullmann, Raphael</v>
      </c>
      <c r="D61" s="275">
        <v>0.5</v>
      </c>
      <c r="E61" s="275">
        <v>2</v>
      </c>
      <c r="F61" s="275">
        <v>1</v>
      </c>
      <c r="G61" s="275">
        <v>2.5</v>
      </c>
      <c r="H61" s="275">
        <v>1.5</v>
      </c>
      <c r="I61" s="276">
        <v>2</v>
      </c>
      <c r="J61" s="189">
        <f t="shared" si="1"/>
        <v>9.5</v>
      </c>
    </row>
    <row r="62" spans="2:10" s="152" customFormat="1" ht="13.2" customHeight="1" x14ac:dyDescent="0.2">
      <c r="B62" s="166"/>
      <c r="C62" s="167" t="s">
        <v>126</v>
      </c>
      <c r="D62" s="168"/>
      <c r="E62" s="168"/>
      <c r="F62" s="168"/>
      <c r="G62" s="168"/>
      <c r="H62" s="168"/>
      <c r="I62" s="171"/>
      <c r="J62" s="156">
        <f>SUM(D62:I62)</f>
        <v>0</v>
      </c>
    </row>
    <row r="63" spans="2:10" s="152" customFormat="1" ht="13.2" customHeight="1" x14ac:dyDescent="0.2">
      <c r="B63" s="172"/>
      <c r="C63" s="173" t="s">
        <v>127</v>
      </c>
      <c r="D63" s="153"/>
      <c r="E63" s="153"/>
      <c r="F63" s="153"/>
      <c r="G63" s="153"/>
      <c r="H63" s="153"/>
      <c r="I63" s="154"/>
      <c r="J63" s="155">
        <f>SUM(D63:I63)</f>
        <v>0</v>
      </c>
    </row>
    <row r="64" spans="2:10" ht="18" customHeight="1" x14ac:dyDescent="0.25">
      <c r="B64" s="182">
        <v>20</v>
      </c>
      <c r="C64" s="183" t="str">
        <f>Config!C24&amp;", "&amp;Config!D24</f>
        <v>Hartl, Emmely</v>
      </c>
      <c r="D64" s="273">
        <v>1</v>
      </c>
      <c r="E64" s="273">
        <v>2</v>
      </c>
      <c r="F64" s="273">
        <v>2.5</v>
      </c>
      <c r="G64" s="273">
        <v>3</v>
      </c>
      <c r="H64" s="273">
        <v>3</v>
      </c>
      <c r="I64" s="274">
        <v>2</v>
      </c>
      <c r="J64" s="184">
        <f t="shared" si="1"/>
        <v>13.5</v>
      </c>
    </row>
    <row r="65" spans="2:10" s="152" customFormat="1" ht="13.2" customHeight="1" x14ac:dyDescent="0.2">
      <c r="B65" s="176"/>
      <c r="C65" s="177" t="s">
        <v>126</v>
      </c>
      <c r="D65" s="178"/>
      <c r="E65" s="178"/>
      <c r="F65" s="178"/>
      <c r="G65" s="178"/>
      <c r="H65" s="178"/>
      <c r="I65" s="181"/>
      <c r="J65" s="158">
        <f>SUM(D65:I65)</f>
        <v>0</v>
      </c>
    </row>
    <row r="66" spans="2:10" s="152" customFormat="1" ht="13.2" customHeight="1" x14ac:dyDescent="0.2">
      <c r="B66" s="185"/>
      <c r="C66" s="186" t="s">
        <v>127</v>
      </c>
      <c r="D66" s="153"/>
      <c r="E66" s="153"/>
      <c r="F66" s="153"/>
      <c r="G66" s="153"/>
      <c r="H66" s="153"/>
      <c r="I66" s="154"/>
      <c r="J66" s="157">
        <f>SUM(D66:I66)</f>
        <v>0</v>
      </c>
    </row>
    <row r="67" spans="2:10" ht="18" customHeight="1" x14ac:dyDescent="0.25">
      <c r="B67" s="187">
        <v>21</v>
      </c>
      <c r="C67" s="188" t="str">
        <f>Config!C25&amp;", "&amp;Config!D25</f>
        <v>Klotz, Karin</v>
      </c>
      <c r="D67" s="275">
        <v>2</v>
      </c>
      <c r="E67" s="275">
        <v>2</v>
      </c>
      <c r="F67" s="275">
        <v>1.5</v>
      </c>
      <c r="G67" s="275">
        <v>3</v>
      </c>
      <c r="H67" s="275">
        <v>3</v>
      </c>
      <c r="I67" s="276">
        <v>2</v>
      </c>
      <c r="J67" s="189">
        <f t="shared" si="1"/>
        <v>13.5</v>
      </c>
    </row>
    <row r="68" spans="2:10" s="152" customFormat="1" ht="13.2" customHeight="1" x14ac:dyDescent="0.2">
      <c r="B68" s="166"/>
      <c r="C68" s="167" t="s">
        <v>126</v>
      </c>
      <c r="D68" s="168"/>
      <c r="E68" s="168"/>
      <c r="F68" s="168"/>
      <c r="G68" s="168"/>
      <c r="H68" s="168"/>
      <c r="I68" s="171"/>
      <c r="J68" s="156">
        <f>SUM(D68:I68)</f>
        <v>0</v>
      </c>
    </row>
    <row r="69" spans="2:10" s="152" customFormat="1" ht="13.2" customHeight="1" x14ac:dyDescent="0.2">
      <c r="B69" s="172"/>
      <c r="C69" s="173" t="s">
        <v>127</v>
      </c>
      <c r="D69" s="153"/>
      <c r="E69" s="153"/>
      <c r="F69" s="153"/>
      <c r="G69" s="153"/>
      <c r="H69" s="153"/>
      <c r="I69" s="154"/>
      <c r="J69" s="155">
        <f>SUM(D69:I69)</f>
        <v>0</v>
      </c>
    </row>
    <row r="70" spans="2:10" ht="18" customHeight="1" x14ac:dyDescent="0.25">
      <c r="B70" s="182">
        <v>22</v>
      </c>
      <c r="C70" s="183" t="str">
        <f>Config!C26&amp;", "&amp;Config!D26</f>
        <v>Ehlers, Ingo</v>
      </c>
      <c r="D70" s="273">
        <v>0.5</v>
      </c>
      <c r="E70" s="273">
        <v>1.5</v>
      </c>
      <c r="F70" s="273">
        <v>1</v>
      </c>
      <c r="G70" s="273">
        <v>3</v>
      </c>
      <c r="H70" s="273">
        <v>3</v>
      </c>
      <c r="I70" s="274">
        <v>1</v>
      </c>
      <c r="J70" s="184">
        <f t="shared" si="1"/>
        <v>10</v>
      </c>
    </row>
    <row r="71" spans="2:10" s="152" customFormat="1" ht="13.2" customHeight="1" x14ac:dyDescent="0.2">
      <c r="B71" s="176"/>
      <c r="C71" s="177" t="s">
        <v>126</v>
      </c>
      <c r="D71" s="178"/>
      <c r="E71" s="178"/>
      <c r="F71" s="178"/>
      <c r="G71" s="178"/>
      <c r="H71" s="178"/>
      <c r="I71" s="181"/>
      <c r="J71" s="158">
        <f>SUM(D71:I71)</f>
        <v>0</v>
      </c>
    </row>
    <row r="72" spans="2:10" s="152" customFormat="1" ht="13.2" customHeight="1" x14ac:dyDescent="0.2">
      <c r="B72" s="185"/>
      <c r="C72" s="186" t="s">
        <v>127</v>
      </c>
      <c r="D72" s="153"/>
      <c r="E72" s="153"/>
      <c r="F72" s="153"/>
      <c r="G72" s="153"/>
      <c r="H72" s="153"/>
      <c r="I72" s="154"/>
      <c r="J72" s="157">
        <f>SUM(D72:I72)</f>
        <v>0</v>
      </c>
    </row>
    <row r="73" spans="2:10" ht="18" customHeight="1" x14ac:dyDescent="0.25">
      <c r="B73" s="187">
        <v>23</v>
      </c>
      <c r="C73" s="188" t="str">
        <f>Config!C27&amp;", "&amp;Config!D27</f>
        <v>Lindemann, Mads</v>
      </c>
      <c r="D73" s="275">
        <v>0.5</v>
      </c>
      <c r="E73" s="275">
        <v>2</v>
      </c>
      <c r="F73" s="275">
        <v>1.5</v>
      </c>
      <c r="G73" s="275">
        <v>0.5</v>
      </c>
      <c r="H73" s="275">
        <v>1.5</v>
      </c>
      <c r="I73" s="276">
        <v>1</v>
      </c>
      <c r="J73" s="189">
        <f t="shared" ref="J73" si="2">SUM(D73:I73)</f>
        <v>7</v>
      </c>
    </row>
    <row r="74" spans="2:10" s="152" customFormat="1" ht="13.2" customHeight="1" x14ac:dyDescent="0.2">
      <c r="B74" s="166"/>
      <c r="C74" s="167" t="s">
        <v>126</v>
      </c>
      <c r="D74" s="168"/>
      <c r="E74" s="168"/>
      <c r="F74" s="168"/>
      <c r="G74" s="168"/>
      <c r="H74" s="168"/>
      <c r="I74" s="171"/>
      <c r="J74" s="156">
        <f>SUM(D74:I74)</f>
        <v>0</v>
      </c>
    </row>
    <row r="75" spans="2:10" s="152" customFormat="1" ht="13.2" customHeight="1" thickBot="1" x14ac:dyDescent="0.25">
      <c r="B75" s="172"/>
      <c r="C75" s="173" t="s">
        <v>127</v>
      </c>
      <c r="D75" s="153"/>
      <c r="E75" s="153"/>
      <c r="F75" s="153"/>
      <c r="G75" s="153"/>
      <c r="H75" s="153"/>
      <c r="I75" s="154"/>
      <c r="J75" s="155">
        <f>SUM(D75:I75)</f>
        <v>0</v>
      </c>
    </row>
    <row r="76" spans="2:10" ht="18" customHeight="1" thickBot="1" x14ac:dyDescent="0.3">
      <c r="B76" s="194"/>
      <c r="C76" s="195"/>
      <c r="D76" s="195">
        <f>IF(COUNTIFS(D7:D73,"&lt;&gt;",C7:C73,"&lt;&gt;ZK",C7:C73,"&lt;&gt;DK")&lt;&gt;0,SUMIFS(D7:D73,C7:C73,"&lt;&gt;ZK",C7:C73,"&lt;&gt;DK")/(COUNTIFS(D7:D73,"&lt;&gt;",C7:C73,"&lt;&gt;ZK",C7:C73,"&lt;&gt;DK")*D6),0)</f>
        <v>0.61956521739130432</v>
      </c>
      <c r="E76" s="195">
        <f>IF(COUNTIFS(E7:E73,"&lt;&gt;",C7:C73,"&lt;&gt;ZK",C7:C73,"&lt;&gt;DK")&lt;&gt;0,SUMIFS(E7:E73,C7:C73,"&lt;&gt;ZK",C7:C73,"&lt;&gt;DK")/(COUNTIFS(E7:E73,"&lt;&gt;",C7:C73,"&lt;&gt;ZK",C7:C73,"&lt;&gt;DK")*E6),0)</f>
        <v>0.83695652173913049</v>
      </c>
      <c r="F76" s="195">
        <f>IF(COUNTIFS(F7:F73,"&lt;&gt;",C7:C73,"&lt;&gt;ZK",C7:C73,"&lt;&gt;DK")&lt;&gt;0,SUMIFS(F7:F73,C7:C73,"&lt;&gt;ZK",C7:C73,"&lt;&gt;DK")/(COUNTIFS(F7:F73,"&lt;&gt;",C7:C73,"&lt;&gt;ZK",C7:C73,"&lt;&gt;DK")*F6),0)</f>
        <v>0.45652173913043476</v>
      </c>
      <c r="G76" s="195">
        <f>IF(COUNTIFS(G7:G73,"&lt;&gt;",C7:C73,"&lt;&gt;ZK",C7:C73,"&lt;&gt;DK")&lt;&gt;0,SUMIFS(G7:G73,C7:C73,"&lt;&gt;ZK",C7:C73,"&lt;&gt;DK")/(COUNTIFS(G7:G73,"&lt;&gt;",C7:C73,"&lt;&gt;ZK",C7:C73,"&lt;&gt;DK")*G6),0)</f>
        <v>0.6811594202898551</v>
      </c>
      <c r="H76" s="195">
        <f>IF(COUNTIFS(H7:H73,"&lt;&gt;",C7:C73,"&lt;&gt;ZK",C7:C73,"&lt;&gt;DK")&lt;&gt;0,SUMIFS(H7:H73,C7:C73,"&lt;&gt;ZK",C7:C73,"&lt;&gt;DK")/(COUNTIFS(H7:H73,"&lt;&gt;",C7:C73,"&lt;&gt;ZK",C7:C73,"&lt;&gt;DK")*H6),0)</f>
        <v>0.76811594202898548</v>
      </c>
      <c r="I76" s="195">
        <f>IF(COUNTIFS(I7:I73,"&lt;&gt;",C7:C73,"&lt;&gt;ZK",C7:C73,"&lt;&gt;DK")&lt;&gt;0,SUMIFS(I7:I73,C7:C73,"&lt;&gt;ZK",C7:C73,"&lt;&gt;DK")/(COUNTIFS(I7:I73,"&lt;&gt;",C7:C73,"&lt;&gt;ZK",C7:C73,"&lt;&gt;DK")*I6),0)</f>
        <v>0.72826086956521741</v>
      </c>
      <c r="J76" s="196"/>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75" xr:uid="{C1050670-11B5-440D-85F9-03995A0882AE}">
      <formula1>0</formula1>
      <formula2>$D$6</formula2>
    </dataValidation>
    <dataValidation type="decimal" allowBlank="1" showErrorMessage="1" sqref="E7:E75" xr:uid="{6C2145EB-03D1-4ABC-9492-C8342DA4D4F1}">
      <formula1>0</formula1>
      <formula2>$E$6</formula2>
    </dataValidation>
    <dataValidation type="decimal" allowBlank="1" showErrorMessage="1" sqref="F7:F75" xr:uid="{EBD5F72F-109F-4169-9680-7F883DF8B1B9}">
      <formula1>0</formula1>
      <formula2>$F$6</formula2>
    </dataValidation>
    <dataValidation type="decimal" allowBlank="1" showErrorMessage="1" sqref="G7:G75" xr:uid="{60DA7E16-8BBF-4602-BD4A-414CBABACFBE}">
      <formula1>0</formula1>
      <formula2>$G$6</formula2>
    </dataValidation>
    <dataValidation type="decimal" allowBlank="1" showErrorMessage="1" sqref="H7:H75" xr:uid="{B1D7B81D-DD83-410A-8966-7545066D183D}">
      <formula1>0</formula1>
      <formula2>$H$6</formula2>
    </dataValidation>
    <dataValidation type="decimal" allowBlank="1" showErrorMessage="1" sqref="I7:I75" xr:uid="{AD9C44C9-50F7-4857-93DD-0E15B54A72D1}">
      <formula1>0</formula1>
      <formula2>$I$6</formula2>
    </dataValidation>
  </dataValidations>
  <pageMargins left="0.7" right="0.7" top="0.78740157499999996" bottom="0.78740157499999996"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63FA2-655C-4303-933D-66B3DE21F376}">
  <sheetPr codeName="Tabelle2">
    <tabColor rgb="FF92D050"/>
  </sheetPr>
  <dimension ref="B1:N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14" width="8.6640625" style="96" customWidth="1"/>
    <col min="15" max="16384" width="11.5546875" style="96"/>
  </cols>
  <sheetData>
    <row r="1" spans="2:14" ht="18" customHeight="1" thickBot="1" x14ac:dyDescent="0.3"/>
    <row r="2" spans="2:14" ht="18" customHeight="1" x14ac:dyDescent="0.25">
      <c r="B2" s="97" t="str">
        <f>Config!F2&amp;" "&amp;YEAR(Config!G24)</f>
        <v>Mathe Abitur 2026</v>
      </c>
      <c r="C2" s="98"/>
      <c r="D2" s="98"/>
      <c r="E2" s="98"/>
      <c r="F2" s="98"/>
      <c r="G2" s="98"/>
      <c r="H2" s="98"/>
      <c r="I2" s="99"/>
      <c r="J2" s="99"/>
      <c r="K2" s="99"/>
      <c r="L2" s="99"/>
      <c r="M2" s="99"/>
      <c r="N2" s="100" t="str">
        <f>"Kurs "&amp;Config!G26</f>
        <v>Kurs K1</v>
      </c>
    </row>
    <row r="3" spans="2:14" ht="18" customHeight="1" x14ac:dyDescent="0.25">
      <c r="B3" s="101" t="s">
        <v>10</v>
      </c>
      <c r="C3" s="102"/>
      <c r="D3" s="102"/>
      <c r="E3" s="102"/>
      <c r="F3" s="102"/>
      <c r="G3" s="102"/>
      <c r="H3" s="102"/>
      <c r="I3" s="102"/>
      <c r="J3" s="102"/>
      <c r="K3" s="102"/>
      <c r="L3" s="102"/>
      <c r="M3" s="102"/>
      <c r="N3" s="103"/>
    </row>
    <row r="4" spans="2:14" ht="18" customHeight="1" thickBot="1" x14ac:dyDescent="0.3">
      <c r="B4" s="101"/>
      <c r="C4" s="102"/>
      <c r="D4" s="104"/>
      <c r="E4" s="104"/>
      <c r="F4" s="104"/>
      <c r="G4" s="104"/>
      <c r="H4" s="104"/>
      <c r="I4" s="104"/>
      <c r="J4" s="104"/>
      <c r="K4" s="104"/>
      <c r="L4" s="104"/>
      <c r="M4" s="104"/>
      <c r="N4" s="105"/>
    </row>
    <row r="5" spans="2:14" ht="18" customHeight="1" thickBot="1" x14ac:dyDescent="0.3">
      <c r="B5" s="106"/>
      <c r="C5" s="108"/>
      <c r="D5" s="118" t="str">
        <f>Config!H6</f>
        <v>1a</v>
      </c>
      <c r="E5" s="118" t="str">
        <f>Config!H7</f>
        <v>1b</v>
      </c>
      <c r="F5" s="118" t="str">
        <f>Config!H8</f>
        <v>1c</v>
      </c>
      <c r="G5" s="118" t="str">
        <f>Config!H9</f>
        <v>1d</v>
      </c>
      <c r="H5" s="118" t="str">
        <f>Config!H10</f>
        <v>1e</v>
      </c>
      <c r="I5" s="118" t="str">
        <f>Config!H11</f>
        <v>1f</v>
      </c>
      <c r="J5" s="118" t="str">
        <f>Config!H12</f>
        <v>1g</v>
      </c>
      <c r="K5" s="118" t="str">
        <f>Config!H13</f>
        <v>1h</v>
      </c>
      <c r="L5" s="118" t="str">
        <f>Config!H14</f>
        <v>2a</v>
      </c>
      <c r="M5" s="118" t="str">
        <f>Config!H15</f>
        <v>2b</v>
      </c>
      <c r="N5" s="112" t="s">
        <v>82</v>
      </c>
    </row>
    <row r="6" spans="2:14" ht="18" customHeight="1" thickBot="1" x14ac:dyDescent="0.3">
      <c r="B6" s="107"/>
      <c r="C6" s="109" t="s">
        <v>81</v>
      </c>
      <c r="D6" s="111">
        <f>Config!I6</f>
        <v>2</v>
      </c>
      <c r="E6" s="111">
        <f>Config!I7</f>
        <v>3</v>
      </c>
      <c r="F6" s="111">
        <f>Config!I8</f>
        <v>4</v>
      </c>
      <c r="G6" s="111">
        <f>Config!I9</f>
        <v>3</v>
      </c>
      <c r="H6" s="111">
        <f>Config!I10</f>
        <v>3</v>
      </c>
      <c r="I6" s="111">
        <f>Config!I11</f>
        <v>4</v>
      </c>
      <c r="J6" s="111">
        <f>Config!I12</f>
        <v>3</v>
      </c>
      <c r="K6" s="111">
        <f>Config!I13</f>
        <v>4</v>
      </c>
      <c r="L6" s="111">
        <f>Config!I14</f>
        <v>2</v>
      </c>
      <c r="M6" s="111">
        <f>Config!I15</f>
        <v>2</v>
      </c>
      <c r="N6" s="119">
        <f>Config!I21</f>
        <v>30</v>
      </c>
    </row>
    <row r="7" spans="2:14" ht="18" customHeight="1" x14ac:dyDescent="0.25">
      <c r="B7" s="163">
        <v>1</v>
      </c>
      <c r="C7" s="164" t="str">
        <f>Config!C5&amp;", "&amp;Config!D5</f>
        <v>Höfer, Simon</v>
      </c>
      <c r="D7" s="271">
        <v>1.5</v>
      </c>
      <c r="E7" s="271">
        <v>3</v>
      </c>
      <c r="F7" s="271">
        <v>3</v>
      </c>
      <c r="G7" s="271">
        <v>3</v>
      </c>
      <c r="H7" s="271">
        <v>3</v>
      </c>
      <c r="I7" s="271">
        <v>4</v>
      </c>
      <c r="J7" s="271">
        <v>3</v>
      </c>
      <c r="K7" s="271">
        <v>0</v>
      </c>
      <c r="L7" s="271">
        <v>2</v>
      </c>
      <c r="M7" s="272">
        <v>0</v>
      </c>
      <c r="N7" s="165">
        <f t="shared" ref="N7:N37" si="0">SUM(D7:M7)</f>
        <v>22.5</v>
      </c>
    </row>
    <row r="8" spans="2:14" s="152" customFormat="1" ht="13.2" customHeight="1" x14ac:dyDescent="0.2">
      <c r="B8" s="166"/>
      <c r="C8" s="167" t="s">
        <v>126</v>
      </c>
      <c r="D8" s="168"/>
      <c r="E8" s="168"/>
      <c r="F8" s="168"/>
      <c r="G8" s="168"/>
      <c r="H8" s="168"/>
      <c r="I8" s="168"/>
      <c r="J8" s="168"/>
      <c r="K8" s="168"/>
      <c r="L8" s="168"/>
      <c r="M8" s="171"/>
      <c r="N8" s="156">
        <f>SUM(D8:M8)</f>
        <v>0</v>
      </c>
    </row>
    <row r="9" spans="2:14" s="152" customFormat="1" ht="13.2" customHeight="1" x14ac:dyDescent="0.2">
      <c r="B9" s="172"/>
      <c r="C9" s="173" t="s">
        <v>127</v>
      </c>
      <c r="D9" s="153"/>
      <c r="E9" s="153"/>
      <c r="F9" s="153"/>
      <c r="G9" s="153"/>
      <c r="H9" s="153"/>
      <c r="I9" s="153"/>
      <c r="J9" s="153"/>
      <c r="K9" s="153"/>
      <c r="L9" s="153"/>
      <c r="M9" s="154"/>
      <c r="N9" s="155">
        <f>SUM(D9:M9)</f>
        <v>0</v>
      </c>
    </row>
    <row r="10" spans="2:14" ht="18" customHeight="1" x14ac:dyDescent="0.25">
      <c r="B10" s="182">
        <v>2</v>
      </c>
      <c r="C10" s="183" t="str">
        <f>Config!C6&amp;", "&amp;Config!D6</f>
        <v>Töpfer, Lilian</v>
      </c>
      <c r="D10" s="273">
        <v>0.5</v>
      </c>
      <c r="E10" s="273">
        <v>2.5</v>
      </c>
      <c r="F10" s="273">
        <v>3</v>
      </c>
      <c r="G10" s="273">
        <v>3</v>
      </c>
      <c r="H10" s="273">
        <v>3</v>
      </c>
      <c r="I10" s="273">
        <v>4</v>
      </c>
      <c r="J10" s="273">
        <v>0</v>
      </c>
      <c r="K10" s="273">
        <v>0</v>
      </c>
      <c r="L10" s="273">
        <v>1.5</v>
      </c>
      <c r="M10" s="274">
        <v>0</v>
      </c>
      <c r="N10" s="184">
        <f t="shared" si="0"/>
        <v>17.5</v>
      </c>
    </row>
    <row r="11" spans="2:14" s="152" customFormat="1" ht="13.2" customHeight="1" x14ac:dyDescent="0.2">
      <c r="B11" s="176"/>
      <c r="C11" s="177" t="s">
        <v>126</v>
      </c>
      <c r="D11" s="178"/>
      <c r="E11" s="178"/>
      <c r="F11" s="178"/>
      <c r="G11" s="178"/>
      <c r="H11" s="178"/>
      <c r="I11" s="178"/>
      <c r="J11" s="178"/>
      <c r="K11" s="178"/>
      <c r="L11" s="178"/>
      <c r="M11" s="181"/>
      <c r="N11" s="158">
        <f>SUM(D11:M11)</f>
        <v>0</v>
      </c>
    </row>
    <row r="12" spans="2:14" s="152" customFormat="1" ht="13.2" customHeight="1" x14ac:dyDescent="0.2">
      <c r="B12" s="185"/>
      <c r="C12" s="186" t="s">
        <v>127</v>
      </c>
      <c r="D12" s="153"/>
      <c r="E12" s="153"/>
      <c r="F12" s="153"/>
      <c r="G12" s="153"/>
      <c r="H12" s="153"/>
      <c r="I12" s="153"/>
      <c r="J12" s="153"/>
      <c r="K12" s="153"/>
      <c r="L12" s="153"/>
      <c r="M12" s="154"/>
      <c r="N12" s="157">
        <f>SUM(D12:M12)</f>
        <v>0</v>
      </c>
    </row>
    <row r="13" spans="2:14" ht="18" customHeight="1" x14ac:dyDescent="0.25">
      <c r="B13" s="187">
        <v>3</v>
      </c>
      <c r="C13" s="188" t="str">
        <f>Config!C7&amp;", "&amp;Config!D7</f>
        <v>Fleischmann, Leonie</v>
      </c>
      <c r="D13" s="275">
        <v>1</v>
      </c>
      <c r="E13" s="275">
        <v>2</v>
      </c>
      <c r="F13" s="275">
        <v>0</v>
      </c>
      <c r="G13" s="275">
        <v>1</v>
      </c>
      <c r="H13" s="275">
        <v>3</v>
      </c>
      <c r="I13" s="275">
        <v>2.5</v>
      </c>
      <c r="J13" s="275">
        <v>0</v>
      </c>
      <c r="K13" s="275">
        <v>0</v>
      </c>
      <c r="L13" s="275">
        <v>0</v>
      </c>
      <c r="M13" s="276">
        <v>2</v>
      </c>
      <c r="N13" s="189">
        <f t="shared" si="0"/>
        <v>11.5</v>
      </c>
    </row>
    <row r="14" spans="2:14" s="152" customFormat="1" ht="13.2" customHeight="1" x14ac:dyDescent="0.2">
      <c r="B14" s="166"/>
      <c r="C14" s="167" t="s">
        <v>126</v>
      </c>
      <c r="D14" s="168"/>
      <c r="E14" s="168"/>
      <c r="F14" s="168"/>
      <c r="G14" s="168"/>
      <c r="H14" s="168"/>
      <c r="I14" s="168"/>
      <c r="J14" s="168"/>
      <c r="K14" s="168"/>
      <c r="L14" s="168"/>
      <c r="M14" s="171"/>
      <c r="N14" s="156">
        <f>SUM(D14:M14)</f>
        <v>0</v>
      </c>
    </row>
    <row r="15" spans="2:14" s="152" customFormat="1" ht="13.2" customHeight="1" x14ac:dyDescent="0.2">
      <c r="B15" s="172"/>
      <c r="C15" s="173" t="s">
        <v>127</v>
      </c>
      <c r="D15" s="153"/>
      <c r="E15" s="153"/>
      <c r="F15" s="153"/>
      <c r="G15" s="153"/>
      <c r="H15" s="153"/>
      <c r="I15" s="153"/>
      <c r="J15" s="153"/>
      <c r="K15" s="153"/>
      <c r="L15" s="153"/>
      <c r="M15" s="154"/>
      <c r="N15" s="155">
        <f>SUM(D15:M15)</f>
        <v>0</v>
      </c>
    </row>
    <row r="16" spans="2:14" ht="18" customHeight="1" x14ac:dyDescent="0.25">
      <c r="B16" s="182">
        <v>4</v>
      </c>
      <c r="C16" s="183" t="str">
        <f>Config!C8&amp;", "&amp;Config!D8</f>
        <v>Drescher, Cedric</v>
      </c>
      <c r="D16" s="273">
        <v>1</v>
      </c>
      <c r="E16" s="273">
        <v>3</v>
      </c>
      <c r="F16" s="273">
        <v>3</v>
      </c>
      <c r="G16" s="273">
        <v>3</v>
      </c>
      <c r="H16" s="273">
        <v>3</v>
      </c>
      <c r="I16" s="273">
        <v>4</v>
      </c>
      <c r="J16" s="273">
        <v>1.5</v>
      </c>
      <c r="K16" s="273">
        <v>0</v>
      </c>
      <c r="L16" s="273">
        <v>1.5</v>
      </c>
      <c r="M16" s="274">
        <v>3</v>
      </c>
      <c r="N16" s="184">
        <f t="shared" si="0"/>
        <v>23</v>
      </c>
    </row>
    <row r="17" spans="2:14" s="152" customFormat="1" ht="13.2" customHeight="1" x14ac:dyDescent="0.2">
      <c r="B17" s="176"/>
      <c r="C17" s="177" t="s">
        <v>126</v>
      </c>
      <c r="D17" s="178"/>
      <c r="E17" s="178"/>
      <c r="F17" s="178"/>
      <c r="G17" s="178"/>
      <c r="H17" s="178"/>
      <c r="I17" s="178"/>
      <c r="J17" s="178"/>
      <c r="K17" s="178"/>
      <c r="L17" s="178"/>
      <c r="M17" s="181"/>
      <c r="N17" s="158">
        <f>SUM(D17:M17)</f>
        <v>0</v>
      </c>
    </row>
    <row r="18" spans="2:14" s="152" customFormat="1" ht="13.2" customHeight="1" x14ac:dyDescent="0.2">
      <c r="B18" s="185"/>
      <c r="C18" s="186" t="s">
        <v>127</v>
      </c>
      <c r="D18" s="153"/>
      <c r="E18" s="153"/>
      <c r="F18" s="153"/>
      <c r="G18" s="153"/>
      <c r="H18" s="153"/>
      <c r="I18" s="153"/>
      <c r="J18" s="153"/>
      <c r="K18" s="153"/>
      <c r="L18" s="153"/>
      <c r="M18" s="154"/>
      <c r="N18" s="157">
        <f>SUM(D18:M18)</f>
        <v>0</v>
      </c>
    </row>
    <row r="19" spans="2:14" ht="18" customHeight="1" x14ac:dyDescent="0.25">
      <c r="B19" s="187">
        <v>5</v>
      </c>
      <c r="C19" s="188" t="str">
        <f>Config!C9&amp;", "&amp;Config!D9</f>
        <v>Baumgarten, Annabell</v>
      </c>
      <c r="D19" s="275">
        <v>2</v>
      </c>
      <c r="E19" s="275">
        <v>2</v>
      </c>
      <c r="F19" s="275">
        <v>3.5</v>
      </c>
      <c r="G19" s="275">
        <v>2.5</v>
      </c>
      <c r="H19" s="275">
        <v>2</v>
      </c>
      <c r="I19" s="275">
        <v>1</v>
      </c>
      <c r="J19" s="275">
        <v>0.5</v>
      </c>
      <c r="K19" s="275">
        <v>2.5</v>
      </c>
      <c r="L19" s="275">
        <v>2</v>
      </c>
      <c r="M19" s="276">
        <v>3.5</v>
      </c>
      <c r="N19" s="189">
        <f t="shared" si="0"/>
        <v>21.5</v>
      </c>
    </row>
    <row r="20" spans="2:14" s="152" customFormat="1" ht="13.2" customHeight="1" x14ac:dyDescent="0.2">
      <c r="B20" s="166"/>
      <c r="C20" s="167" t="s">
        <v>126</v>
      </c>
      <c r="D20" s="168"/>
      <c r="E20" s="168"/>
      <c r="F20" s="168"/>
      <c r="G20" s="168"/>
      <c r="H20" s="168"/>
      <c r="I20" s="168"/>
      <c r="J20" s="168"/>
      <c r="K20" s="168"/>
      <c r="L20" s="168"/>
      <c r="M20" s="171"/>
      <c r="N20" s="156">
        <f>SUM(D20:M20)</f>
        <v>0</v>
      </c>
    </row>
    <row r="21" spans="2:14" s="152" customFormat="1" ht="13.2" customHeight="1" x14ac:dyDescent="0.2">
      <c r="B21" s="172"/>
      <c r="C21" s="173" t="s">
        <v>127</v>
      </c>
      <c r="D21" s="153"/>
      <c r="E21" s="153"/>
      <c r="F21" s="153"/>
      <c r="G21" s="153"/>
      <c r="H21" s="153"/>
      <c r="I21" s="153"/>
      <c r="J21" s="153"/>
      <c r="K21" s="153"/>
      <c r="L21" s="153"/>
      <c r="M21" s="154"/>
      <c r="N21" s="155">
        <f>SUM(D21:M21)</f>
        <v>0</v>
      </c>
    </row>
    <row r="22" spans="2:14" ht="18" customHeight="1" x14ac:dyDescent="0.25">
      <c r="B22" s="182">
        <v>6</v>
      </c>
      <c r="C22" s="183" t="str">
        <f>Config!C10&amp;", "&amp;Config!D10</f>
        <v>Traut, Stefanie</v>
      </c>
      <c r="D22" s="273">
        <v>2</v>
      </c>
      <c r="E22" s="273">
        <v>3</v>
      </c>
      <c r="F22" s="273">
        <v>4</v>
      </c>
      <c r="G22" s="273">
        <v>3</v>
      </c>
      <c r="H22" s="273">
        <v>3</v>
      </c>
      <c r="I22" s="273">
        <v>4</v>
      </c>
      <c r="J22" s="273">
        <v>3</v>
      </c>
      <c r="K22" s="273">
        <v>4</v>
      </c>
      <c r="L22" s="273">
        <v>2</v>
      </c>
      <c r="M22" s="274">
        <v>5</v>
      </c>
      <c r="N22" s="184">
        <f t="shared" si="0"/>
        <v>33</v>
      </c>
    </row>
    <row r="23" spans="2:14" s="152" customFormat="1" ht="13.2" customHeight="1" x14ac:dyDescent="0.2">
      <c r="B23" s="176"/>
      <c r="C23" s="177" t="s">
        <v>126</v>
      </c>
      <c r="D23" s="178"/>
      <c r="E23" s="178"/>
      <c r="F23" s="178"/>
      <c r="G23" s="178"/>
      <c r="H23" s="178"/>
      <c r="I23" s="178"/>
      <c r="J23" s="178"/>
      <c r="K23" s="178"/>
      <c r="L23" s="178"/>
      <c r="M23" s="181"/>
      <c r="N23" s="158">
        <f>SUM(D23:M23)</f>
        <v>0</v>
      </c>
    </row>
    <row r="24" spans="2:14" s="152" customFormat="1" ht="13.2" customHeight="1" x14ac:dyDescent="0.2">
      <c r="B24" s="185"/>
      <c r="C24" s="186" t="s">
        <v>127</v>
      </c>
      <c r="D24" s="153"/>
      <c r="E24" s="153"/>
      <c r="F24" s="153"/>
      <c r="G24" s="153"/>
      <c r="H24" s="153"/>
      <c r="I24" s="153"/>
      <c r="J24" s="153"/>
      <c r="K24" s="153"/>
      <c r="L24" s="153"/>
      <c r="M24" s="154"/>
      <c r="N24" s="157">
        <f>SUM(D24:M24)</f>
        <v>0</v>
      </c>
    </row>
    <row r="25" spans="2:14" ht="18" customHeight="1" x14ac:dyDescent="0.25">
      <c r="B25" s="187">
        <v>7</v>
      </c>
      <c r="C25" s="188" t="str">
        <f>Config!C11&amp;", "&amp;Config!D11</f>
        <v>Menke, Damian</v>
      </c>
      <c r="D25" s="275">
        <v>1.5</v>
      </c>
      <c r="E25" s="275">
        <v>2.5</v>
      </c>
      <c r="F25" s="275">
        <v>4</v>
      </c>
      <c r="G25" s="275">
        <v>2</v>
      </c>
      <c r="H25" s="275">
        <v>2</v>
      </c>
      <c r="I25" s="275">
        <v>2.5</v>
      </c>
      <c r="J25" s="275">
        <v>0.5</v>
      </c>
      <c r="K25" s="275">
        <v>3</v>
      </c>
      <c r="L25" s="275">
        <v>1</v>
      </c>
      <c r="M25" s="276">
        <v>3.5</v>
      </c>
      <c r="N25" s="189">
        <f t="shared" si="0"/>
        <v>22.5</v>
      </c>
    </row>
    <row r="26" spans="2:14" s="152" customFormat="1" ht="13.2" customHeight="1" x14ac:dyDescent="0.2">
      <c r="B26" s="166"/>
      <c r="C26" s="167" t="s">
        <v>126</v>
      </c>
      <c r="D26" s="168"/>
      <c r="E26" s="168"/>
      <c r="F26" s="168"/>
      <c r="G26" s="168"/>
      <c r="H26" s="168"/>
      <c r="I26" s="168"/>
      <c r="J26" s="168"/>
      <c r="K26" s="168"/>
      <c r="L26" s="168"/>
      <c r="M26" s="171"/>
      <c r="N26" s="156">
        <f>SUM(D26:M26)</f>
        <v>0</v>
      </c>
    </row>
    <row r="27" spans="2:14" s="152" customFormat="1" ht="13.2" customHeight="1" x14ac:dyDescent="0.2">
      <c r="B27" s="172"/>
      <c r="C27" s="173" t="s">
        <v>127</v>
      </c>
      <c r="D27" s="153"/>
      <c r="E27" s="153"/>
      <c r="F27" s="153"/>
      <c r="G27" s="153"/>
      <c r="H27" s="153"/>
      <c r="I27" s="153"/>
      <c r="J27" s="153"/>
      <c r="K27" s="153"/>
      <c r="L27" s="153"/>
      <c r="M27" s="154"/>
      <c r="N27" s="155">
        <f>SUM(D27:M27)</f>
        <v>0</v>
      </c>
    </row>
    <row r="28" spans="2:14" ht="18" customHeight="1" x14ac:dyDescent="0.25">
      <c r="B28" s="182">
        <v>8</v>
      </c>
      <c r="C28" s="183" t="str">
        <f>Config!C12&amp;", "&amp;Config!D12</f>
        <v>Carroll, Meik</v>
      </c>
      <c r="D28" s="273">
        <v>1.5</v>
      </c>
      <c r="E28" s="273">
        <v>1</v>
      </c>
      <c r="F28" s="273">
        <v>2.5</v>
      </c>
      <c r="G28" s="273">
        <v>3</v>
      </c>
      <c r="H28" s="273">
        <v>3</v>
      </c>
      <c r="I28" s="273">
        <v>3.5</v>
      </c>
      <c r="J28" s="273">
        <v>0</v>
      </c>
      <c r="K28" s="273">
        <v>0</v>
      </c>
      <c r="L28" s="273">
        <v>2</v>
      </c>
      <c r="M28" s="274">
        <v>0</v>
      </c>
      <c r="N28" s="184">
        <f t="shared" si="0"/>
        <v>16.5</v>
      </c>
    </row>
    <row r="29" spans="2:14" s="152" customFormat="1" ht="13.2" customHeight="1" x14ac:dyDescent="0.2">
      <c r="B29" s="176"/>
      <c r="C29" s="177" t="s">
        <v>126</v>
      </c>
      <c r="D29" s="178"/>
      <c r="E29" s="178"/>
      <c r="F29" s="178"/>
      <c r="G29" s="178"/>
      <c r="H29" s="178"/>
      <c r="I29" s="178"/>
      <c r="J29" s="178"/>
      <c r="K29" s="178"/>
      <c r="L29" s="178"/>
      <c r="M29" s="181"/>
      <c r="N29" s="158">
        <f>SUM(D29:M29)</f>
        <v>0</v>
      </c>
    </row>
    <row r="30" spans="2:14" s="152" customFormat="1" ht="13.2" customHeight="1" x14ac:dyDescent="0.2">
      <c r="B30" s="185"/>
      <c r="C30" s="186" t="s">
        <v>127</v>
      </c>
      <c r="D30" s="153"/>
      <c r="E30" s="153"/>
      <c r="F30" s="153"/>
      <c r="G30" s="153"/>
      <c r="H30" s="153"/>
      <c r="I30" s="153"/>
      <c r="J30" s="153"/>
      <c r="K30" s="153"/>
      <c r="L30" s="153"/>
      <c r="M30" s="154"/>
      <c r="N30" s="157">
        <f>SUM(D30:M30)</f>
        <v>0</v>
      </c>
    </row>
    <row r="31" spans="2:14" ht="18" customHeight="1" x14ac:dyDescent="0.25">
      <c r="B31" s="187">
        <v>9</v>
      </c>
      <c r="C31" s="188" t="str">
        <f>Config!C13&amp;", "&amp;Config!D13</f>
        <v>Hennings, Tomas</v>
      </c>
      <c r="D31" s="275">
        <v>1.5</v>
      </c>
      <c r="E31" s="275">
        <v>3</v>
      </c>
      <c r="F31" s="275">
        <v>4</v>
      </c>
      <c r="G31" s="275">
        <v>3</v>
      </c>
      <c r="H31" s="275">
        <v>2</v>
      </c>
      <c r="I31" s="275">
        <v>1</v>
      </c>
      <c r="J31" s="275">
        <v>0</v>
      </c>
      <c r="K31" s="275">
        <v>0</v>
      </c>
      <c r="L31" s="275">
        <v>0</v>
      </c>
      <c r="M31" s="276">
        <v>0</v>
      </c>
      <c r="N31" s="189">
        <f t="shared" si="0"/>
        <v>14.5</v>
      </c>
    </row>
    <row r="32" spans="2:14" s="152" customFormat="1" ht="13.2" customHeight="1" x14ac:dyDescent="0.2">
      <c r="B32" s="166"/>
      <c r="C32" s="167" t="s">
        <v>126</v>
      </c>
      <c r="D32" s="168"/>
      <c r="E32" s="168"/>
      <c r="F32" s="168"/>
      <c r="G32" s="168"/>
      <c r="H32" s="168"/>
      <c r="I32" s="168"/>
      <c r="J32" s="168"/>
      <c r="K32" s="168"/>
      <c r="L32" s="168"/>
      <c r="M32" s="171"/>
      <c r="N32" s="156">
        <f>SUM(D32:M32)</f>
        <v>0</v>
      </c>
    </row>
    <row r="33" spans="2:14" s="152" customFormat="1" ht="13.2" customHeight="1" x14ac:dyDescent="0.2">
      <c r="B33" s="172"/>
      <c r="C33" s="173" t="s">
        <v>127</v>
      </c>
      <c r="D33" s="153"/>
      <c r="E33" s="153"/>
      <c r="F33" s="153"/>
      <c r="G33" s="153"/>
      <c r="H33" s="153"/>
      <c r="I33" s="153"/>
      <c r="J33" s="153"/>
      <c r="K33" s="153"/>
      <c r="L33" s="153"/>
      <c r="M33" s="154"/>
      <c r="N33" s="155">
        <f>SUM(D33:M33)</f>
        <v>0</v>
      </c>
    </row>
    <row r="34" spans="2:14" ht="18" customHeight="1" x14ac:dyDescent="0.25">
      <c r="B34" s="182">
        <v>10</v>
      </c>
      <c r="C34" s="183" t="str">
        <f>Config!C14&amp;", "&amp;Config!D14</f>
        <v>Walters, Linn</v>
      </c>
      <c r="D34" s="273">
        <v>0</v>
      </c>
      <c r="E34" s="273">
        <v>1.5</v>
      </c>
      <c r="F34" s="273">
        <v>2.5</v>
      </c>
      <c r="G34" s="273">
        <v>0</v>
      </c>
      <c r="H34" s="273">
        <v>1</v>
      </c>
      <c r="I34" s="273">
        <v>1</v>
      </c>
      <c r="J34" s="273">
        <v>0</v>
      </c>
      <c r="K34" s="273">
        <v>0</v>
      </c>
      <c r="L34" s="273">
        <v>1</v>
      </c>
      <c r="M34" s="274">
        <v>0</v>
      </c>
      <c r="N34" s="184">
        <f t="shared" si="0"/>
        <v>7</v>
      </c>
    </row>
    <row r="35" spans="2:14" s="152" customFormat="1" ht="13.2" customHeight="1" x14ac:dyDescent="0.2">
      <c r="B35" s="176"/>
      <c r="C35" s="177" t="s">
        <v>126</v>
      </c>
      <c r="D35" s="178"/>
      <c r="E35" s="178"/>
      <c r="F35" s="178"/>
      <c r="G35" s="178"/>
      <c r="H35" s="178"/>
      <c r="I35" s="178"/>
      <c r="J35" s="178"/>
      <c r="K35" s="178"/>
      <c r="L35" s="178"/>
      <c r="M35" s="181"/>
      <c r="N35" s="158">
        <f>SUM(D35:M35)</f>
        <v>0</v>
      </c>
    </row>
    <row r="36" spans="2:14" s="152" customFormat="1" ht="13.2" customHeight="1" x14ac:dyDescent="0.2">
      <c r="B36" s="185"/>
      <c r="C36" s="186" t="s">
        <v>127</v>
      </c>
      <c r="D36" s="153"/>
      <c r="E36" s="153"/>
      <c r="F36" s="153"/>
      <c r="G36" s="153"/>
      <c r="H36" s="153"/>
      <c r="I36" s="153"/>
      <c r="J36" s="153"/>
      <c r="K36" s="153"/>
      <c r="L36" s="153"/>
      <c r="M36" s="154"/>
      <c r="N36" s="157">
        <f>SUM(D36:M36)</f>
        <v>0</v>
      </c>
    </row>
    <row r="37" spans="2:14" ht="18" customHeight="1" x14ac:dyDescent="0.25">
      <c r="B37" s="187">
        <v>11</v>
      </c>
      <c r="C37" s="188" t="str">
        <f>Config!C15&amp;", "&amp;Config!D15</f>
        <v>Junker, Amely</v>
      </c>
      <c r="D37" s="275">
        <v>1</v>
      </c>
      <c r="E37" s="275">
        <v>1.5</v>
      </c>
      <c r="F37" s="275">
        <v>4</v>
      </c>
      <c r="G37" s="275">
        <v>1.5</v>
      </c>
      <c r="H37" s="275">
        <v>2</v>
      </c>
      <c r="I37" s="275">
        <v>3.5</v>
      </c>
      <c r="J37" s="275">
        <v>0</v>
      </c>
      <c r="K37" s="275">
        <v>0</v>
      </c>
      <c r="L37" s="275">
        <v>0</v>
      </c>
      <c r="M37" s="276">
        <v>0</v>
      </c>
      <c r="N37" s="189">
        <f t="shared" si="0"/>
        <v>13.5</v>
      </c>
    </row>
    <row r="38" spans="2:14" s="152" customFormat="1" ht="13.2" customHeight="1" x14ac:dyDescent="0.2">
      <c r="B38" s="166"/>
      <c r="C38" s="167" t="s">
        <v>126</v>
      </c>
      <c r="D38" s="168"/>
      <c r="E38" s="168"/>
      <c r="F38" s="168"/>
      <c r="G38" s="168"/>
      <c r="H38" s="168"/>
      <c r="I38" s="168"/>
      <c r="J38" s="168"/>
      <c r="K38" s="168"/>
      <c r="L38" s="168"/>
      <c r="M38" s="171"/>
      <c r="N38" s="156">
        <f>SUM(D38:M38)</f>
        <v>0</v>
      </c>
    </row>
    <row r="39" spans="2:14" s="152" customFormat="1" ht="13.2" customHeight="1" x14ac:dyDescent="0.2">
      <c r="B39" s="172"/>
      <c r="C39" s="173" t="s">
        <v>127</v>
      </c>
      <c r="D39" s="153"/>
      <c r="E39" s="153"/>
      <c r="F39" s="153"/>
      <c r="G39" s="153"/>
      <c r="H39" s="153"/>
      <c r="I39" s="153"/>
      <c r="J39" s="153"/>
      <c r="K39" s="153"/>
      <c r="L39" s="153"/>
      <c r="M39" s="154"/>
      <c r="N39" s="155">
        <f>SUM(D39:M39)</f>
        <v>0</v>
      </c>
    </row>
    <row r="40" spans="2:14" ht="18" customHeight="1" x14ac:dyDescent="0.25">
      <c r="B40" s="182">
        <v>12</v>
      </c>
      <c r="C40" s="183" t="str">
        <f>Config!C16&amp;", "&amp;Config!D16</f>
        <v>Stephens, Melvin</v>
      </c>
      <c r="D40" s="273">
        <v>2</v>
      </c>
      <c r="E40" s="273">
        <v>3</v>
      </c>
      <c r="F40" s="273">
        <v>4</v>
      </c>
      <c r="G40" s="273">
        <v>3</v>
      </c>
      <c r="H40" s="273">
        <v>3</v>
      </c>
      <c r="I40" s="273">
        <v>4</v>
      </c>
      <c r="J40" s="273">
        <v>3</v>
      </c>
      <c r="K40" s="273">
        <v>0</v>
      </c>
      <c r="L40" s="273">
        <v>2</v>
      </c>
      <c r="M40" s="274">
        <v>3</v>
      </c>
      <c r="N40" s="184">
        <f t="shared" ref="N40:N70" si="1">SUM(D40:M40)</f>
        <v>27</v>
      </c>
    </row>
    <row r="41" spans="2:14" s="152" customFormat="1" ht="13.2" customHeight="1" x14ac:dyDescent="0.2">
      <c r="B41" s="176"/>
      <c r="C41" s="177" t="s">
        <v>126</v>
      </c>
      <c r="D41" s="178"/>
      <c r="E41" s="178"/>
      <c r="F41" s="178"/>
      <c r="G41" s="178"/>
      <c r="H41" s="178"/>
      <c r="I41" s="178"/>
      <c r="J41" s="178"/>
      <c r="K41" s="178"/>
      <c r="L41" s="178"/>
      <c r="M41" s="181"/>
      <c r="N41" s="158">
        <f>SUM(D41:M41)</f>
        <v>0</v>
      </c>
    </row>
    <row r="42" spans="2:14" s="152" customFormat="1" ht="13.2" customHeight="1" x14ac:dyDescent="0.2">
      <c r="B42" s="185"/>
      <c r="C42" s="186" t="s">
        <v>127</v>
      </c>
      <c r="D42" s="153"/>
      <c r="E42" s="153"/>
      <c r="F42" s="153"/>
      <c r="G42" s="153"/>
      <c r="H42" s="153"/>
      <c r="I42" s="153"/>
      <c r="J42" s="153"/>
      <c r="K42" s="153"/>
      <c r="L42" s="153"/>
      <c r="M42" s="154"/>
      <c r="N42" s="157">
        <f>SUM(D42:M42)</f>
        <v>0</v>
      </c>
    </row>
    <row r="43" spans="2:14" ht="18" customHeight="1" x14ac:dyDescent="0.25">
      <c r="B43" s="187">
        <v>13</v>
      </c>
      <c r="C43" s="188" t="str">
        <f>Config!C17&amp;", "&amp;Config!D17</f>
        <v>Cremer, Marvin</v>
      </c>
      <c r="D43" s="275">
        <v>0.5</v>
      </c>
      <c r="E43" s="275">
        <v>1.5</v>
      </c>
      <c r="F43" s="275">
        <v>4</v>
      </c>
      <c r="G43" s="275">
        <v>3</v>
      </c>
      <c r="H43" s="275">
        <v>3</v>
      </c>
      <c r="I43" s="275">
        <v>3.5</v>
      </c>
      <c r="J43" s="275">
        <v>0</v>
      </c>
      <c r="K43" s="275">
        <v>0</v>
      </c>
      <c r="L43" s="275">
        <v>2</v>
      </c>
      <c r="M43" s="276">
        <v>4.5</v>
      </c>
      <c r="N43" s="189">
        <f t="shared" si="1"/>
        <v>22</v>
      </c>
    </row>
    <row r="44" spans="2:14" s="152" customFormat="1" ht="13.2" customHeight="1" x14ac:dyDescent="0.2">
      <c r="B44" s="166"/>
      <c r="C44" s="167" t="s">
        <v>126</v>
      </c>
      <c r="D44" s="168"/>
      <c r="E44" s="168"/>
      <c r="F44" s="168"/>
      <c r="G44" s="168"/>
      <c r="H44" s="168"/>
      <c r="I44" s="168"/>
      <c r="J44" s="168"/>
      <c r="K44" s="168"/>
      <c r="L44" s="168"/>
      <c r="M44" s="171"/>
      <c r="N44" s="156">
        <f>SUM(D44:M44)</f>
        <v>0</v>
      </c>
    </row>
    <row r="45" spans="2:14" s="152" customFormat="1" ht="13.2" customHeight="1" x14ac:dyDescent="0.2">
      <c r="B45" s="172"/>
      <c r="C45" s="173" t="s">
        <v>127</v>
      </c>
      <c r="D45" s="153"/>
      <c r="E45" s="153"/>
      <c r="F45" s="153"/>
      <c r="G45" s="153"/>
      <c r="H45" s="153"/>
      <c r="I45" s="153"/>
      <c r="J45" s="153"/>
      <c r="K45" s="153"/>
      <c r="L45" s="153"/>
      <c r="M45" s="154"/>
      <c r="N45" s="155">
        <f>SUM(D45:M45)</f>
        <v>0</v>
      </c>
    </row>
    <row r="46" spans="2:14" ht="18" customHeight="1" x14ac:dyDescent="0.25">
      <c r="B46" s="182">
        <v>14</v>
      </c>
      <c r="C46" s="183" t="str">
        <f>Config!C18&amp;", "&amp;Config!D18</f>
        <v>Nash, Jean</v>
      </c>
      <c r="D46" s="273">
        <v>1.5</v>
      </c>
      <c r="E46" s="273">
        <v>2.5</v>
      </c>
      <c r="F46" s="273">
        <v>3</v>
      </c>
      <c r="G46" s="273">
        <v>2.5</v>
      </c>
      <c r="H46" s="273">
        <v>2</v>
      </c>
      <c r="I46" s="273">
        <v>4</v>
      </c>
      <c r="J46" s="273">
        <v>0</v>
      </c>
      <c r="K46" s="273">
        <v>0</v>
      </c>
      <c r="L46" s="273">
        <v>0</v>
      </c>
      <c r="M46" s="274">
        <v>0</v>
      </c>
      <c r="N46" s="184">
        <f t="shared" si="1"/>
        <v>15.5</v>
      </c>
    </row>
    <row r="47" spans="2:14" s="152" customFormat="1" ht="13.2" customHeight="1" x14ac:dyDescent="0.2">
      <c r="B47" s="176"/>
      <c r="C47" s="177" t="s">
        <v>126</v>
      </c>
      <c r="D47" s="178"/>
      <c r="E47" s="178"/>
      <c r="F47" s="178"/>
      <c r="G47" s="178"/>
      <c r="H47" s="178"/>
      <c r="I47" s="178"/>
      <c r="J47" s="178"/>
      <c r="K47" s="178"/>
      <c r="L47" s="178"/>
      <c r="M47" s="181"/>
      <c r="N47" s="158">
        <f>SUM(D47:M47)</f>
        <v>0</v>
      </c>
    </row>
    <row r="48" spans="2:14" s="152" customFormat="1" ht="13.2" customHeight="1" x14ac:dyDescent="0.2">
      <c r="B48" s="185"/>
      <c r="C48" s="186" t="s">
        <v>127</v>
      </c>
      <c r="D48" s="153"/>
      <c r="E48" s="153"/>
      <c r="F48" s="153"/>
      <c r="G48" s="153"/>
      <c r="H48" s="153"/>
      <c r="I48" s="153"/>
      <c r="J48" s="153"/>
      <c r="K48" s="153"/>
      <c r="L48" s="153"/>
      <c r="M48" s="154"/>
      <c r="N48" s="157">
        <f>SUM(D48:M48)</f>
        <v>0</v>
      </c>
    </row>
    <row r="49" spans="2:14" ht="18" customHeight="1" x14ac:dyDescent="0.25">
      <c r="B49" s="187">
        <v>15</v>
      </c>
      <c r="C49" s="188" t="str">
        <f>Config!C19&amp;", "&amp;Config!D19</f>
        <v>Schön, Leonardo</v>
      </c>
      <c r="D49" s="275">
        <v>1.5</v>
      </c>
      <c r="E49" s="275">
        <v>3</v>
      </c>
      <c r="F49" s="275">
        <v>4</v>
      </c>
      <c r="G49" s="275">
        <v>3</v>
      </c>
      <c r="H49" s="275">
        <v>2.5</v>
      </c>
      <c r="I49" s="275">
        <v>3.5</v>
      </c>
      <c r="J49" s="275">
        <v>0.5</v>
      </c>
      <c r="K49" s="275">
        <v>0</v>
      </c>
      <c r="L49" s="275">
        <v>2</v>
      </c>
      <c r="M49" s="276">
        <v>3.5</v>
      </c>
      <c r="N49" s="189">
        <f t="shared" si="1"/>
        <v>23.5</v>
      </c>
    </row>
    <row r="50" spans="2:14" s="152" customFormat="1" ht="13.2" customHeight="1" x14ac:dyDescent="0.2">
      <c r="B50" s="166"/>
      <c r="C50" s="167" t="s">
        <v>126</v>
      </c>
      <c r="D50" s="168"/>
      <c r="E50" s="168"/>
      <c r="F50" s="168"/>
      <c r="G50" s="168"/>
      <c r="H50" s="168"/>
      <c r="I50" s="168"/>
      <c r="J50" s="168"/>
      <c r="K50" s="168"/>
      <c r="L50" s="168"/>
      <c r="M50" s="171"/>
      <c r="N50" s="156">
        <f>SUM(D50:M50)</f>
        <v>0</v>
      </c>
    </row>
    <row r="51" spans="2:14" s="152" customFormat="1" ht="13.2" customHeight="1" x14ac:dyDescent="0.2">
      <c r="B51" s="172"/>
      <c r="C51" s="173" t="s">
        <v>127</v>
      </c>
      <c r="D51" s="153"/>
      <c r="E51" s="153"/>
      <c r="F51" s="153"/>
      <c r="G51" s="153"/>
      <c r="H51" s="153"/>
      <c r="I51" s="153"/>
      <c r="J51" s="153"/>
      <c r="K51" s="153"/>
      <c r="L51" s="153"/>
      <c r="M51" s="154"/>
      <c r="N51" s="155">
        <f>SUM(D51:M51)</f>
        <v>0</v>
      </c>
    </row>
    <row r="52" spans="2:14" ht="18" customHeight="1" x14ac:dyDescent="0.25">
      <c r="B52" s="182">
        <v>16</v>
      </c>
      <c r="C52" s="183" t="str">
        <f>Config!C20&amp;", "&amp;Config!D20</f>
        <v>Sigl, Nicholas</v>
      </c>
      <c r="D52" s="273">
        <v>1.5</v>
      </c>
      <c r="E52" s="273">
        <v>3</v>
      </c>
      <c r="F52" s="273">
        <v>4</v>
      </c>
      <c r="G52" s="273">
        <v>3</v>
      </c>
      <c r="H52" s="273">
        <v>3</v>
      </c>
      <c r="I52" s="273">
        <v>4</v>
      </c>
      <c r="J52" s="273">
        <v>0</v>
      </c>
      <c r="K52" s="273">
        <v>1.5</v>
      </c>
      <c r="L52" s="273">
        <v>0</v>
      </c>
      <c r="M52" s="274">
        <v>2</v>
      </c>
      <c r="N52" s="184">
        <f t="shared" si="1"/>
        <v>22</v>
      </c>
    </row>
    <row r="53" spans="2:14" s="152" customFormat="1" ht="13.2" customHeight="1" x14ac:dyDescent="0.2">
      <c r="B53" s="176"/>
      <c r="C53" s="177" t="s">
        <v>126</v>
      </c>
      <c r="D53" s="178"/>
      <c r="E53" s="178"/>
      <c r="F53" s="178"/>
      <c r="G53" s="178"/>
      <c r="H53" s="178"/>
      <c r="I53" s="178"/>
      <c r="J53" s="178"/>
      <c r="K53" s="178"/>
      <c r="L53" s="178"/>
      <c r="M53" s="181"/>
      <c r="N53" s="158">
        <f>SUM(D53:M53)</f>
        <v>0</v>
      </c>
    </row>
    <row r="54" spans="2:14" s="152" customFormat="1" ht="13.2" customHeight="1" x14ac:dyDescent="0.2">
      <c r="B54" s="185"/>
      <c r="C54" s="186" t="s">
        <v>127</v>
      </c>
      <c r="D54" s="153"/>
      <c r="E54" s="153"/>
      <c r="F54" s="153"/>
      <c r="G54" s="153"/>
      <c r="H54" s="153"/>
      <c r="I54" s="153"/>
      <c r="J54" s="153"/>
      <c r="K54" s="153"/>
      <c r="L54" s="153"/>
      <c r="M54" s="154"/>
      <c r="N54" s="157">
        <f>SUM(D54:M54)</f>
        <v>0</v>
      </c>
    </row>
    <row r="55" spans="2:14" ht="18" customHeight="1" x14ac:dyDescent="0.25">
      <c r="B55" s="187">
        <v>17</v>
      </c>
      <c r="C55" s="188" t="str">
        <f>Config!C21&amp;", "&amp;Config!D21</f>
        <v>Kainz, Vivienne</v>
      </c>
      <c r="D55" s="275">
        <v>1.5</v>
      </c>
      <c r="E55" s="275">
        <v>1.5</v>
      </c>
      <c r="F55" s="275">
        <v>0</v>
      </c>
      <c r="G55" s="275">
        <v>1.5</v>
      </c>
      <c r="H55" s="275">
        <v>1</v>
      </c>
      <c r="I55" s="275">
        <v>1</v>
      </c>
      <c r="J55" s="275">
        <v>0</v>
      </c>
      <c r="K55" s="275">
        <v>0</v>
      </c>
      <c r="L55" s="275">
        <v>0</v>
      </c>
      <c r="M55" s="276">
        <v>0</v>
      </c>
      <c r="N55" s="189">
        <f t="shared" si="1"/>
        <v>6.5</v>
      </c>
    </row>
    <row r="56" spans="2:14" s="152" customFormat="1" ht="13.2" customHeight="1" x14ac:dyDescent="0.2">
      <c r="B56" s="166"/>
      <c r="C56" s="167" t="s">
        <v>126</v>
      </c>
      <c r="D56" s="168"/>
      <c r="E56" s="168"/>
      <c r="F56" s="168"/>
      <c r="G56" s="168"/>
      <c r="H56" s="168"/>
      <c r="I56" s="168"/>
      <c r="J56" s="168"/>
      <c r="K56" s="168"/>
      <c r="L56" s="168"/>
      <c r="M56" s="171"/>
      <c r="N56" s="156">
        <f>SUM(D56:M56)</f>
        <v>0</v>
      </c>
    </row>
    <row r="57" spans="2:14" s="152" customFormat="1" ht="13.2" customHeight="1" x14ac:dyDescent="0.2">
      <c r="B57" s="172"/>
      <c r="C57" s="173" t="s">
        <v>127</v>
      </c>
      <c r="D57" s="153"/>
      <c r="E57" s="153"/>
      <c r="F57" s="153"/>
      <c r="G57" s="153"/>
      <c r="H57" s="153"/>
      <c r="I57" s="153"/>
      <c r="J57" s="153"/>
      <c r="K57" s="153"/>
      <c r="L57" s="153"/>
      <c r="M57" s="154"/>
      <c r="N57" s="155">
        <f>SUM(D57:M57)</f>
        <v>0</v>
      </c>
    </row>
    <row r="58" spans="2:14" ht="18" customHeight="1" x14ac:dyDescent="0.25">
      <c r="B58" s="182">
        <v>18</v>
      </c>
      <c r="C58" s="183" t="str">
        <f>Config!C22&amp;", "&amp;Config!D22</f>
        <v>Hartmann, Mads</v>
      </c>
      <c r="D58" s="273">
        <v>1</v>
      </c>
      <c r="E58" s="273">
        <v>2.5</v>
      </c>
      <c r="F58" s="273">
        <v>2</v>
      </c>
      <c r="G58" s="273">
        <v>3</v>
      </c>
      <c r="H58" s="273">
        <v>2.5</v>
      </c>
      <c r="I58" s="273">
        <v>3.5</v>
      </c>
      <c r="J58" s="273">
        <v>0</v>
      </c>
      <c r="K58" s="273">
        <v>0</v>
      </c>
      <c r="L58" s="273">
        <v>1.5</v>
      </c>
      <c r="M58" s="274">
        <v>0</v>
      </c>
      <c r="N58" s="184">
        <f t="shared" si="1"/>
        <v>16</v>
      </c>
    </row>
    <row r="59" spans="2:14" s="152" customFormat="1" ht="13.2" customHeight="1" x14ac:dyDescent="0.2">
      <c r="B59" s="176"/>
      <c r="C59" s="177" t="s">
        <v>126</v>
      </c>
      <c r="D59" s="178"/>
      <c r="E59" s="178"/>
      <c r="F59" s="178"/>
      <c r="G59" s="178"/>
      <c r="H59" s="178"/>
      <c r="I59" s="178"/>
      <c r="J59" s="178"/>
      <c r="K59" s="178"/>
      <c r="L59" s="178"/>
      <c r="M59" s="181"/>
      <c r="N59" s="158">
        <f>SUM(D59:M59)</f>
        <v>0</v>
      </c>
    </row>
    <row r="60" spans="2:14" s="152" customFormat="1" ht="13.2" customHeight="1" x14ac:dyDescent="0.2">
      <c r="B60" s="185"/>
      <c r="C60" s="186" t="s">
        <v>127</v>
      </c>
      <c r="D60" s="153"/>
      <c r="E60" s="153"/>
      <c r="F60" s="153"/>
      <c r="G60" s="153"/>
      <c r="H60" s="153"/>
      <c r="I60" s="153"/>
      <c r="J60" s="153"/>
      <c r="K60" s="153"/>
      <c r="L60" s="153"/>
      <c r="M60" s="154"/>
      <c r="N60" s="157">
        <f>SUM(D60:M60)</f>
        <v>0</v>
      </c>
    </row>
    <row r="61" spans="2:14" ht="18" customHeight="1" x14ac:dyDescent="0.25">
      <c r="B61" s="187">
        <v>19</v>
      </c>
      <c r="C61" s="188" t="str">
        <f>Config!C23&amp;", "&amp;Config!D23</f>
        <v>Ullmann, Raphael</v>
      </c>
      <c r="D61" s="275">
        <v>1.5</v>
      </c>
      <c r="E61" s="275">
        <v>2</v>
      </c>
      <c r="F61" s="275">
        <v>3</v>
      </c>
      <c r="G61" s="275">
        <v>0.5</v>
      </c>
      <c r="H61" s="275">
        <v>1</v>
      </c>
      <c r="I61" s="275">
        <v>4</v>
      </c>
      <c r="J61" s="275">
        <v>0.5</v>
      </c>
      <c r="K61" s="275">
        <v>0</v>
      </c>
      <c r="L61" s="275">
        <v>2</v>
      </c>
      <c r="M61" s="276">
        <v>0</v>
      </c>
      <c r="N61" s="189">
        <f t="shared" si="1"/>
        <v>14.5</v>
      </c>
    </row>
    <row r="62" spans="2:14" s="152" customFormat="1" ht="13.2" customHeight="1" x14ac:dyDescent="0.2">
      <c r="B62" s="166"/>
      <c r="C62" s="167" t="s">
        <v>126</v>
      </c>
      <c r="D62" s="168"/>
      <c r="E62" s="168"/>
      <c r="F62" s="168"/>
      <c r="G62" s="168"/>
      <c r="H62" s="168"/>
      <c r="I62" s="168"/>
      <c r="J62" s="168"/>
      <c r="K62" s="168"/>
      <c r="L62" s="168"/>
      <c r="M62" s="171"/>
      <c r="N62" s="156">
        <f>SUM(D62:M62)</f>
        <v>0</v>
      </c>
    </row>
    <row r="63" spans="2:14" s="152" customFormat="1" ht="13.2" customHeight="1" x14ac:dyDescent="0.2">
      <c r="B63" s="172"/>
      <c r="C63" s="173" t="s">
        <v>127</v>
      </c>
      <c r="D63" s="153"/>
      <c r="E63" s="153"/>
      <c r="F63" s="153"/>
      <c r="G63" s="153"/>
      <c r="H63" s="153"/>
      <c r="I63" s="153"/>
      <c r="J63" s="153"/>
      <c r="K63" s="153"/>
      <c r="L63" s="153"/>
      <c r="M63" s="154"/>
      <c r="N63" s="155">
        <f>SUM(D63:M63)</f>
        <v>0</v>
      </c>
    </row>
    <row r="64" spans="2:14" ht="18" customHeight="1" x14ac:dyDescent="0.25">
      <c r="B64" s="182">
        <v>20</v>
      </c>
      <c r="C64" s="183" t="str">
        <f>Config!C24&amp;", "&amp;Config!D24</f>
        <v>Hartl, Emmely</v>
      </c>
      <c r="D64" s="273">
        <v>1.5</v>
      </c>
      <c r="E64" s="273">
        <v>3</v>
      </c>
      <c r="F64" s="273">
        <v>3.5</v>
      </c>
      <c r="G64" s="273">
        <v>2.5</v>
      </c>
      <c r="H64" s="273">
        <v>2</v>
      </c>
      <c r="I64" s="273">
        <v>3.5</v>
      </c>
      <c r="J64" s="273">
        <v>2</v>
      </c>
      <c r="K64" s="273">
        <v>0</v>
      </c>
      <c r="L64" s="273">
        <v>1.5</v>
      </c>
      <c r="M64" s="274">
        <v>3.5</v>
      </c>
      <c r="N64" s="184">
        <f t="shared" si="1"/>
        <v>23</v>
      </c>
    </row>
    <row r="65" spans="2:14" s="152" customFormat="1" ht="13.2" customHeight="1" x14ac:dyDescent="0.2">
      <c r="B65" s="176"/>
      <c r="C65" s="177" t="s">
        <v>126</v>
      </c>
      <c r="D65" s="178"/>
      <c r="E65" s="178"/>
      <c r="F65" s="178"/>
      <c r="G65" s="178"/>
      <c r="H65" s="178"/>
      <c r="I65" s="178"/>
      <c r="J65" s="178"/>
      <c r="K65" s="178"/>
      <c r="L65" s="178"/>
      <c r="M65" s="181"/>
      <c r="N65" s="158">
        <f>SUM(D65:M65)</f>
        <v>0</v>
      </c>
    </row>
    <row r="66" spans="2:14" s="152" customFormat="1" ht="13.2" customHeight="1" x14ac:dyDescent="0.2">
      <c r="B66" s="185"/>
      <c r="C66" s="186" t="s">
        <v>127</v>
      </c>
      <c r="D66" s="153"/>
      <c r="E66" s="153"/>
      <c r="F66" s="153"/>
      <c r="G66" s="153"/>
      <c r="H66" s="153"/>
      <c r="I66" s="153"/>
      <c r="J66" s="153"/>
      <c r="K66" s="153"/>
      <c r="L66" s="153"/>
      <c r="M66" s="154"/>
      <c r="N66" s="157">
        <f>SUM(D66:M66)</f>
        <v>0</v>
      </c>
    </row>
    <row r="67" spans="2:14" ht="18" customHeight="1" x14ac:dyDescent="0.25">
      <c r="B67" s="187">
        <v>21</v>
      </c>
      <c r="C67" s="188" t="str">
        <f>Config!C25&amp;", "&amp;Config!D25</f>
        <v>Klotz, Karin</v>
      </c>
      <c r="D67" s="275">
        <v>2</v>
      </c>
      <c r="E67" s="275">
        <v>2.5</v>
      </c>
      <c r="F67" s="275">
        <v>4</v>
      </c>
      <c r="G67" s="275">
        <v>3</v>
      </c>
      <c r="H67" s="275">
        <v>2.5</v>
      </c>
      <c r="I67" s="275">
        <v>3</v>
      </c>
      <c r="J67" s="275">
        <v>3</v>
      </c>
      <c r="K67" s="275">
        <v>0</v>
      </c>
      <c r="L67" s="275">
        <v>2</v>
      </c>
      <c r="M67" s="276">
        <v>4.5</v>
      </c>
      <c r="N67" s="189">
        <f t="shared" si="1"/>
        <v>26.5</v>
      </c>
    </row>
    <row r="68" spans="2:14" s="152" customFormat="1" ht="13.2" customHeight="1" x14ac:dyDescent="0.2">
      <c r="B68" s="166"/>
      <c r="C68" s="167" t="s">
        <v>126</v>
      </c>
      <c r="D68" s="168"/>
      <c r="E68" s="168"/>
      <c r="F68" s="168"/>
      <c r="G68" s="168"/>
      <c r="H68" s="168"/>
      <c r="I68" s="168"/>
      <c r="J68" s="168"/>
      <c r="K68" s="168"/>
      <c r="L68" s="168"/>
      <c r="M68" s="171"/>
      <c r="N68" s="156">
        <f>SUM(D68:M68)</f>
        <v>0</v>
      </c>
    </row>
    <row r="69" spans="2:14" s="152" customFormat="1" ht="13.2" customHeight="1" x14ac:dyDescent="0.2">
      <c r="B69" s="172"/>
      <c r="C69" s="173" t="s">
        <v>127</v>
      </c>
      <c r="D69" s="153"/>
      <c r="E69" s="153"/>
      <c r="F69" s="153"/>
      <c r="G69" s="153"/>
      <c r="H69" s="153"/>
      <c r="I69" s="153"/>
      <c r="J69" s="153"/>
      <c r="K69" s="153"/>
      <c r="L69" s="153"/>
      <c r="M69" s="154"/>
      <c r="N69" s="155">
        <f>SUM(D69:M69)</f>
        <v>0</v>
      </c>
    </row>
    <row r="70" spans="2:14" ht="18" customHeight="1" x14ac:dyDescent="0.25">
      <c r="B70" s="182">
        <v>22</v>
      </c>
      <c r="C70" s="183" t="str">
        <f>Config!C26&amp;", "&amp;Config!D26</f>
        <v>Ehlers, Ingo</v>
      </c>
      <c r="D70" s="273">
        <v>0.5</v>
      </c>
      <c r="E70" s="273">
        <v>3</v>
      </c>
      <c r="F70" s="273">
        <v>4</v>
      </c>
      <c r="G70" s="273">
        <v>2</v>
      </c>
      <c r="H70" s="273">
        <v>2.5</v>
      </c>
      <c r="I70" s="273">
        <v>3</v>
      </c>
      <c r="J70" s="273">
        <v>1.5</v>
      </c>
      <c r="K70" s="273">
        <v>0</v>
      </c>
      <c r="L70" s="273">
        <v>2</v>
      </c>
      <c r="M70" s="274">
        <v>2.5</v>
      </c>
      <c r="N70" s="184">
        <f t="shared" si="1"/>
        <v>21</v>
      </c>
    </row>
    <row r="71" spans="2:14" s="152" customFormat="1" ht="13.2" customHeight="1" x14ac:dyDescent="0.2">
      <c r="B71" s="176"/>
      <c r="C71" s="177" t="s">
        <v>126</v>
      </c>
      <c r="D71" s="178"/>
      <c r="E71" s="178"/>
      <c r="F71" s="178"/>
      <c r="G71" s="178"/>
      <c r="H71" s="178"/>
      <c r="I71" s="178"/>
      <c r="J71" s="178"/>
      <c r="K71" s="178"/>
      <c r="L71" s="178"/>
      <c r="M71" s="181"/>
      <c r="N71" s="158">
        <f>SUM(D71:M71)</f>
        <v>0</v>
      </c>
    </row>
    <row r="72" spans="2:14" s="152" customFormat="1" ht="13.2" customHeight="1" x14ac:dyDescent="0.2">
      <c r="B72" s="185"/>
      <c r="C72" s="186" t="s">
        <v>127</v>
      </c>
      <c r="D72" s="153"/>
      <c r="E72" s="153"/>
      <c r="F72" s="153"/>
      <c r="G72" s="153"/>
      <c r="H72" s="153"/>
      <c r="I72" s="153"/>
      <c r="J72" s="153"/>
      <c r="K72" s="153"/>
      <c r="L72" s="153"/>
      <c r="M72" s="154"/>
      <c r="N72" s="157">
        <f>SUM(D72:M72)</f>
        <v>0</v>
      </c>
    </row>
    <row r="73" spans="2:14" ht="18" customHeight="1" x14ac:dyDescent="0.25">
      <c r="B73" s="187">
        <v>23</v>
      </c>
      <c r="C73" s="188" t="str">
        <f>Config!C27&amp;", "&amp;Config!D27</f>
        <v>Lindemann, Mads</v>
      </c>
      <c r="D73" s="275">
        <v>1</v>
      </c>
      <c r="E73" s="275">
        <v>2.5</v>
      </c>
      <c r="F73" s="275">
        <v>3.5</v>
      </c>
      <c r="G73" s="275">
        <v>3</v>
      </c>
      <c r="H73" s="275">
        <v>2</v>
      </c>
      <c r="I73" s="275">
        <v>4</v>
      </c>
      <c r="J73" s="275">
        <v>0</v>
      </c>
      <c r="K73" s="275">
        <v>0</v>
      </c>
      <c r="L73" s="275">
        <v>0</v>
      </c>
      <c r="M73" s="276">
        <v>0</v>
      </c>
      <c r="N73" s="189">
        <f t="shared" ref="N73" si="2">SUM(D73:M73)</f>
        <v>16</v>
      </c>
    </row>
    <row r="74" spans="2:14" s="152" customFormat="1" ht="13.2" customHeight="1" x14ac:dyDescent="0.2">
      <c r="B74" s="166"/>
      <c r="C74" s="167" t="s">
        <v>126</v>
      </c>
      <c r="D74" s="168"/>
      <c r="E74" s="168"/>
      <c r="F74" s="168"/>
      <c r="G74" s="168"/>
      <c r="H74" s="168"/>
      <c r="I74" s="168"/>
      <c r="J74" s="168"/>
      <c r="K74" s="168"/>
      <c r="L74" s="168"/>
      <c r="M74" s="171"/>
      <c r="N74" s="156">
        <f>SUM(D74:M74)</f>
        <v>0</v>
      </c>
    </row>
    <row r="75" spans="2:14" s="152" customFormat="1" ht="13.2" customHeight="1" thickBot="1" x14ac:dyDescent="0.25">
      <c r="B75" s="172"/>
      <c r="C75" s="173" t="s">
        <v>127</v>
      </c>
      <c r="D75" s="153"/>
      <c r="E75" s="153"/>
      <c r="F75" s="153"/>
      <c r="G75" s="153"/>
      <c r="H75" s="153"/>
      <c r="I75" s="153"/>
      <c r="J75" s="153"/>
      <c r="K75" s="153"/>
      <c r="L75" s="153"/>
      <c r="M75" s="154"/>
      <c r="N75" s="155">
        <f>SUM(D75:M75)</f>
        <v>0</v>
      </c>
    </row>
    <row r="76" spans="2:14" ht="18" customHeight="1" thickBot="1" x14ac:dyDescent="0.3">
      <c r="B76" s="194"/>
      <c r="C76" s="195"/>
      <c r="D76" s="195">
        <f>IF(COUNTIFS(D7:D73,"&lt;&gt;",C7:C73,"&lt;&gt;ZK",C7:C73,"&lt;&gt;DK")&lt;&gt;0,SUMIFS(D7:D73,C7:C73,"&lt;&gt;ZK",C7:C73,"&lt;&gt;DK")/(COUNTIFS(D7:D73,"&lt;&gt;",C7:C73,"&lt;&gt;ZK",C7:C73,"&lt;&gt;DK")*D6),0)</f>
        <v>0.64130434782608692</v>
      </c>
      <c r="E76" s="195">
        <f>IF(COUNTIFS(E7:E73,"&lt;&gt;",C7:C73,"&lt;&gt;ZK",C7:C73,"&lt;&gt;DK")&lt;&gt;0,SUMIFS(E7:E73,C7:C73,"&lt;&gt;ZK",C7:C73,"&lt;&gt;DK")/(COUNTIFS(E7:E73,"&lt;&gt;",C7:C73,"&lt;&gt;ZK",C7:C73,"&lt;&gt;DK")*E6),0)</f>
        <v>0.79710144927536231</v>
      </c>
      <c r="F76" s="195">
        <f>IF(COUNTIFS(F7:F73,"&lt;&gt;",C7:C73,"&lt;&gt;ZK",C7:C73,"&lt;&gt;DK")&lt;&gt;0,SUMIFS(F7:F73,C7:C73,"&lt;&gt;ZK",C7:C73,"&lt;&gt;DK")/(COUNTIFS(F7:F73,"&lt;&gt;",C7:C73,"&lt;&gt;ZK",C7:C73,"&lt;&gt;DK")*F6),0)</f>
        <v>0.78804347826086951</v>
      </c>
      <c r="G76" s="195">
        <f>IF(COUNTIFS(G7:G73,"&lt;&gt;",C7:C73,"&lt;&gt;ZK",C7:C73,"&lt;&gt;DK")&lt;&gt;0,SUMIFS(G7:G73,C7:C73,"&lt;&gt;ZK",C7:C73,"&lt;&gt;DK")/(COUNTIFS(G7:G73,"&lt;&gt;",C7:C73,"&lt;&gt;ZK",C7:C73,"&lt;&gt;DK")*G6),0)</f>
        <v>0.79710144927536231</v>
      </c>
      <c r="H76" s="195">
        <f>IF(COUNTIFS(H7:H73,"&lt;&gt;",C7:C73,"&lt;&gt;ZK",C7:C73,"&lt;&gt;DK")&lt;&gt;0,SUMIFS(H7:H73,C7:C73,"&lt;&gt;ZK",C7:C73,"&lt;&gt;DK")/(COUNTIFS(H7:H73,"&lt;&gt;",C7:C73,"&lt;&gt;ZK",C7:C73,"&lt;&gt;DK")*H6),0)</f>
        <v>0.78260869565217395</v>
      </c>
      <c r="I76" s="195">
        <f>IF(COUNTIFS(I7:I73,"&lt;&gt;",C7:C73,"&lt;&gt;ZK",C7:C73,"&lt;&gt;DK")&lt;&gt;0,SUMIFS(I7:I73,C7:C73,"&lt;&gt;ZK",C7:C73,"&lt;&gt;DK")/(COUNTIFS(I7:I73,"&lt;&gt;",C7:C73,"&lt;&gt;ZK",C7:C73,"&lt;&gt;DK")*I6),0)</f>
        <v>0.78260869565217395</v>
      </c>
      <c r="J76" s="195">
        <f>IF(COUNTIFS(J7:J73,"&lt;&gt;",C7:C73,"&lt;&gt;ZK",C7:C73,"&lt;&gt;DK")&lt;&gt;0,SUMIFS(J7:J73,C7:C73,"&lt;&gt;ZK",C7:C73,"&lt;&gt;DK")/(COUNTIFS(J7:J73,"&lt;&gt;",C7:C73,"&lt;&gt;ZK",C7:C73,"&lt;&gt;DK")*J6),0)</f>
        <v>0.27536231884057971</v>
      </c>
      <c r="K76" s="195">
        <f>IF(COUNTIFS(K7:K73,"&lt;&gt;",C7:C73,"&lt;&gt;ZK",C7:C73,"&lt;&gt;DK")&lt;&gt;0,SUMIFS(K7:K73,C7:C73,"&lt;&gt;ZK",C7:C73,"&lt;&gt;DK")/(COUNTIFS(K7:K73,"&lt;&gt;",C7:C73,"&lt;&gt;ZK",C7:C73,"&lt;&gt;DK")*K6),0)</f>
        <v>0.11956521739130435</v>
      </c>
      <c r="L76" s="195">
        <f>IF(COUNTIFS(L7:L73,"&lt;&gt;",C7:C73,"&lt;&gt;ZK",C7:C73,"&lt;&gt;DK")&lt;&gt;0,SUMIFS(L7:L73,C7:C73,"&lt;&gt;ZK",C7:C73,"&lt;&gt;DK")/(COUNTIFS(L7:L73,"&lt;&gt;",C7:C73,"&lt;&gt;ZK",C7:C73,"&lt;&gt;DK")*L6),0)</f>
        <v>0.60869565217391308</v>
      </c>
      <c r="M76" s="195">
        <f>IF(COUNTIFS(M7:M73,"&lt;&gt;",C7:C73,"&lt;&gt;ZK",C7:C73,"&lt;&gt;DK")&lt;&gt;0,SUMIFS(M7:M73,C7:C73,"&lt;&gt;ZK",C7:C73,"&lt;&gt;DK")/(COUNTIFS(M7:M73,"&lt;&gt;",C7:C73,"&lt;&gt;ZK",C7:C73,"&lt;&gt;DK")*M6),0)</f>
        <v>0.88043478260869568</v>
      </c>
      <c r="N76" s="196"/>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0">
    <dataValidation type="decimal" allowBlank="1" showErrorMessage="1" sqref="D7:D75" xr:uid="{874FF4F8-71DB-4466-9E1A-83C9EA8DDFEB}">
      <formula1>0</formula1>
      <formula2>$D$6</formula2>
    </dataValidation>
    <dataValidation type="decimal" allowBlank="1" showErrorMessage="1" sqref="E7:E75" xr:uid="{F3A0D915-4705-4ABA-BD91-B132DBCE0A61}">
      <formula1>0</formula1>
      <formula2>$E$6</formula2>
    </dataValidation>
    <dataValidation type="decimal" allowBlank="1" showErrorMessage="1" sqref="F7:F75" xr:uid="{7B036392-1682-4521-825A-07496D5B3ADB}">
      <formula1>0</formula1>
      <formula2>$F$6</formula2>
    </dataValidation>
    <dataValidation type="decimal" allowBlank="1" showErrorMessage="1" sqref="G7:G75" xr:uid="{CD0793F8-0346-43AF-8C03-704DE4DCBA03}">
      <formula1>0</formula1>
      <formula2>$G$6</formula2>
    </dataValidation>
    <dataValidation type="decimal" allowBlank="1" showErrorMessage="1" sqref="H7:H75" xr:uid="{C704A20F-A292-403F-BAD9-64981909BDB3}">
      <formula1>0</formula1>
      <formula2>$H$6</formula2>
    </dataValidation>
    <dataValidation type="decimal" allowBlank="1" showErrorMessage="1" sqref="I7:I75" xr:uid="{3A6793CA-2AF9-46E1-83FD-FC313595831C}">
      <formula1>0</formula1>
      <formula2>$I$6</formula2>
    </dataValidation>
    <dataValidation type="decimal" allowBlank="1" showErrorMessage="1" sqref="J7:J75" xr:uid="{BC54545C-D409-4C6C-A4E8-E9AFA70F1020}">
      <formula1>0</formula1>
      <formula2>$J$6</formula2>
    </dataValidation>
    <dataValidation type="decimal" allowBlank="1" showErrorMessage="1" sqref="K7:K75" xr:uid="{3BD50FA4-C62D-474F-B0F2-1C40E9384FD9}">
      <formula1>0</formula1>
      <formula2>$K$6</formula2>
    </dataValidation>
    <dataValidation type="decimal" allowBlank="1" showErrorMessage="1" sqref="L7:L75" xr:uid="{8A0F86E8-ED57-4817-952B-FFCC43664586}">
      <formula1>0</formula1>
      <formula2>$L$6</formula2>
    </dataValidation>
    <dataValidation type="decimal" allowBlank="1" showErrorMessage="1" sqref="M7:M75" xr:uid="{8B0B83C4-26DC-4AD0-95D4-60EC74F155B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0D4E-59C7-46CE-8401-67A00F367F2A}">
  <sheetPr codeName="Tabelle3">
    <tabColor rgb="FF92D050"/>
  </sheetPr>
  <dimension ref="B1:E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5" width="8.6640625" style="96" customWidth="1"/>
    <col min="6" max="16384" width="11.5546875" style="96"/>
  </cols>
  <sheetData>
    <row r="1" spans="2:5" ht="18" customHeight="1" thickBot="1" x14ac:dyDescent="0.3"/>
    <row r="2" spans="2:5" ht="18" customHeight="1" x14ac:dyDescent="0.25">
      <c r="B2" s="97" t="str">
        <f>Config!F2&amp;" "&amp;YEAR(Config!G24)</f>
        <v>Mathe Abitur 2026</v>
      </c>
      <c r="C2" s="98"/>
      <c r="D2" s="99"/>
      <c r="E2" s="100" t="str">
        <f>"Kurs "&amp;Config!G26</f>
        <v>Kurs K1</v>
      </c>
    </row>
    <row r="3" spans="2:5" ht="18" customHeight="1" x14ac:dyDescent="0.25">
      <c r="B3" s="101" t="s">
        <v>11</v>
      </c>
      <c r="C3" s="102"/>
      <c r="D3" s="102"/>
      <c r="E3" s="103"/>
    </row>
    <row r="4" spans="2:5" ht="18" customHeight="1" thickBot="1" x14ac:dyDescent="0.3">
      <c r="B4" s="101"/>
      <c r="C4" s="102"/>
      <c r="D4" s="104"/>
      <c r="E4" s="105"/>
    </row>
    <row r="5" spans="2:5" ht="18" customHeight="1" thickBot="1" x14ac:dyDescent="0.3">
      <c r="B5" s="106"/>
      <c r="C5" s="108"/>
      <c r="D5" s="118" t="str">
        <f>Config!J6</f>
        <v>1</v>
      </c>
      <c r="E5" s="112" t="s">
        <v>82</v>
      </c>
    </row>
    <row r="6" spans="2:5" ht="18" customHeight="1" thickBot="1" x14ac:dyDescent="0.3">
      <c r="B6" s="107"/>
      <c r="C6" s="109" t="s">
        <v>81</v>
      </c>
      <c r="D6" s="111">
        <f>Config!K6</f>
        <v>5</v>
      </c>
      <c r="E6" s="119">
        <f>Config!K21</f>
        <v>5</v>
      </c>
    </row>
    <row r="7" spans="2:5" ht="18" customHeight="1" x14ac:dyDescent="0.25">
      <c r="B7" s="163">
        <v>1</v>
      </c>
      <c r="C7" s="164" t="str">
        <f>Config!C5&amp;", "&amp;Config!D5</f>
        <v>Höfer, Simon</v>
      </c>
      <c r="D7" s="272">
        <v>2.5</v>
      </c>
      <c r="E7" s="165">
        <f t="shared" ref="E7:E37" si="0">SUM(D7:D7)</f>
        <v>2.5</v>
      </c>
    </row>
    <row r="8" spans="2:5" s="152" customFormat="1" ht="13.2" customHeight="1" x14ac:dyDescent="0.2">
      <c r="B8" s="166"/>
      <c r="C8" s="167" t="s">
        <v>126</v>
      </c>
      <c r="D8" s="171"/>
      <c r="E8" s="156">
        <f>SUM(D8:D8)</f>
        <v>0</v>
      </c>
    </row>
    <row r="9" spans="2:5" s="152" customFormat="1" ht="13.2" customHeight="1" x14ac:dyDescent="0.2">
      <c r="B9" s="172"/>
      <c r="C9" s="173" t="s">
        <v>127</v>
      </c>
      <c r="D9" s="154"/>
      <c r="E9" s="155">
        <f>SUM(D9:D9)</f>
        <v>0</v>
      </c>
    </row>
    <row r="10" spans="2:5" ht="18" customHeight="1" x14ac:dyDescent="0.25">
      <c r="B10" s="182">
        <v>2</v>
      </c>
      <c r="C10" s="183" t="str">
        <f>Config!C6&amp;", "&amp;Config!D6</f>
        <v>Töpfer, Lilian</v>
      </c>
      <c r="D10" s="274">
        <v>5</v>
      </c>
      <c r="E10" s="184">
        <f t="shared" si="0"/>
        <v>5</v>
      </c>
    </row>
    <row r="11" spans="2:5" s="152" customFormat="1" ht="13.2" customHeight="1" x14ac:dyDescent="0.2">
      <c r="B11" s="176"/>
      <c r="C11" s="177" t="s">
        <v>126</v>
      </c>
      <c r="D11" s="181"/>
      <c r="E11" s="158">
        <f>SUM(D11:D11)</f>
        <v>0</v>
      </c>
    </row>
    <row r="12" spans="2:5" s="152" customFormat="1" ht="13.2" customHeight="1" x14ac:dyDescent="0.2">
      <c r="B12" s="185"/>
      <c r="C12" s="186" t="s">
        <v>127</v>
      </c>
      <c r="D12" s="154"/>
      <c r="E12" s="157">
        <f>SUM(D12:D12)</f>
        <v>0</v>
      </c>
    </row>
    <row r="13" spans="2:5" ht="18" customHeight="1" x14ac:dyDescent="0.25">
      <c r="B13" s="187">
        <v>3</v>
      </c>
      <c r="C13" s="188" t="str">
        <f>Config!C7&amp;", "&amp;Config!D7</f>
        <v>Fleischmann, Leonie</v>
      </c>
      <c r="D13" s="276">
        <v>2.5</v>
      </c>
      <c r="E13" s="189">
        <f t="shared" si="0"/>
        <v>2.5</v>
      </c>
    </row>
    <row r="14" spans="2:5" s="152" customFormat="1" ht="13.2" customHeight="1" x14ac:dyDescent="0.2">
      <c r="B14" s="166"/>
      <c r="C14" s="167" t="s">
        <v>126</v>
      </c>
      <c r="D14" s="171"/>
      <c r="E14" s="156">
        <f>SUM(D14:D14)</f>
        <v>0</v>
      </c>
    </row>
    <row r="15" spans="2:5" s="152" customFormat="1" ht="13.2" customHeight="1" x14ac:dyDescent="0.2">
      <c r="B15" s="172"/>
      <c r="C15" s="173" t="s">
        <v>127</v>
      </c>
      <c r="D15" s="154"/>
      <c r="E15" s="155">
        <f>SUM(D15:D15)</f>
        <v>0</v>
      </c>
    </row>
    <row r="16" spans="2:5" ht="18" customHeight="1" x14ac:dyDescent="0.25">
      <c r="B16" s="182">
        <v>4</v>
      </c>
      <c r="C16" s="183" t="str">
        <f>Config!C8&amp;", "&amp;Config!D8</f>
        <v>Drescher, Cedric</v>
      </c>
      <c r="D16" s="274">
        <v>2.5</v>
      </c>
      <c r="E16" s="184">
        <f t="shared" si="0"/>
        <v>2.5</v>
      </c>
    </row>
    <row r="17" spans="2:5" s="152" customFormat="1" ht="13.2" customHeight="1" x14ac:dyDescent="0.2">
      <c r="B17" s="176"/>
      <c r="C17" s="177" t="s">
        <v>126</v>
      </c>
      <c r="D17" s="181"/>
      <c r="E17" s="158">
        <f>SUM(D17:D17)</f>
        <v>0</v>
      </c>
    </row>
    <row r="18" spans="2:5" s="152" customFormat="1" ht="13.2" customHeight="1" x14ac:dyDescent="0.2">
      <c r="B18" s="185"/>
      <c r="C18" s="186" t="s">
        <v>127</v>
      </c>
      <c r="D18" s="154"/>
      <c r="E18" s="157">
        <f>SUM(D18:D18)</f>
        <v>0</v>
      </c>
    </row>
    <row r="19" spans="2:5" ht="18" customHeight="1" x14ac:dyDescent="0.25">
      <c r="B19" s="187">
        <v>5</v>
      </c>
      <c r="C19" s="188" t="str">
        <f>Config!C9&amp;", "&amp;Config!D9</f>
        <v>Baumgarten, Annabell</v>
      </c>
      <c r="D19" s="276">
        <v>2.5</v>
      </c>
      <c r="E19" s="189">
        <f t="shared" si="0"/>
        <v>2.5</v>
      </c>
    </row>
    <row r="20" spans="2:5" s="152" customFormat="1" ht="13.2" customHeight="1" x14ac:dyDescent="0.2">
      <c r="B20" s="166"/>
      <c r="C20" s="167" t="s">
        <v>126</v>
      </c>
      <c r="D20" s="171"/>
      <c r="E20" s="156">
        <f>SUM(D20:D20)</f>
        <v>0</v>
      </c>
    </row>
    <row r="21" spans="2:5" s="152" customFormat="1" ht="13.2" customHeight="1" x14ac:dyDescent="0.2">
      <c r="B21" s="172"/>
      <c r="C21" s="173" t="s">
        <v>127</v>
      </c>
      <c r="D21" s="154"/>
      <c r="E21" s="155">
        <f>SUM(D21:D21)</f>
        <v>0</v>
      </c>
    </row>
    <row r="22" spans="2:5" ht="18" customHeight="1" x14ac:dyDescent="0.25">
      <c r="B22" s="182">
        <v>6</v>
      </c>
      <c r="C22" s="183" t="str">
        <f>Config!C10&amp;", "&amp;Config!D10</f>
        <v>Traut, Stefanie</v>
      </c>
      <c r="D22" s="274">
        <v>3</v>
      </c>
      <c r="E22" s="184">
        <f t="shared" si="0"/>
        <v>3</v>
      </c>
    </row>
    <row r="23" spans="2:5" s="152" customFormat="1" ht="13.2" customHeight="1" x14ac:dyDescent="0.2">
      <c r="B23" s="176"/>
      <c r="C23" s="177" t="s">
        <v>126</v>
      </c>
      <c r="D23" s="181"/>
      <c r="E23" s="158">
        <f>SUM(D23:D23)</f>
        <v>0</v>
      </c>
    </row>
    <row r="24" spans="2:5" s="152" customFormat="1" ht="13.2" customHeight="1" x14ac:dyDescent="0.2">
      <c r="B24" s="185"/>
      <c r="C24" s="186" t="s">
        <v>127</v>
      </c>
      <c r="D24" s="154"/>
      <c r="E24" s="157">
        <f>SUM(D24:D24)</f>
        <v>0</v>
      </c>
    </row>
    <row r="25" spans="2:5" ht="18" customHeight="1" x14ac:dyDescent="0.25">
      <c r="B25" s="187">
        <v>7</v>
      </c>
      <c r="C25" s="188" t="str">
        <f>Config!C11&amp;", "&amp;Config!D11</f>
        <v>Menke, Damian</v>
      </c>
      <c r="D25" s="276">
        <v>5</v>
      </c>
      <c r="E25" s="189">
        <f t="shared" si="0"/>
        <v>5</v>
      </c>
    </row>
    <row r="26" spans="2:5" s="152" customFormat="1" ht="13.2" customHeight="1" x14ac:dyDescent="0.2">
      <c r="B26" s="166"/>
      <c r="C26" s="167" t="s">
        <v>126</v>
      </c>
      <c r="D26" s="171"/>
      <c r="E26" s="156">
        <f>SUM(D26:D26)</f>
        <v>0</v>
      </c>
    </row>
    <row r="27" spans="2:5" s="152" customFormat="1" ht="13.2" customHeight="1" x14ac:dyDescent="0.2">
      <c r="B27" s="172"/>
      <c r="C27" s="173" t="s">
        <v>127</v>
      </c>
      <c r="D27" s="154"/>
      <c r="E27" s="155">
        <f>SUM(D27:D27)</f>
        <v>0</v>
      </c>
    </row>
    <row r="28" spans="2:5" ht="18" customHeight="1" x14ac:dyDescent="0.25">
      <c r="B28" s="182">
        <v>8</v>
      </c>
      <c r="C28" s="183" t="str">
        <f>Config!C12&amp;", "&amp;Config!D12</f>
        <v>Carroll, Meik</v>
      </c>
      <c r="D28" s="274">
        <v>5</v>
      </c>
      <c r="E28" s="184">
        <f t="shared" si="0"/>
        <v>5</v>
      </c>
    </row>
    <row r="29" spans="2:5" s="152" customFormat="1" ht="13.2" customHeight="1" x14ac:dyDescent="0.2">
      <c r="B29" s="176"/>
      <c r="C29" s="177" t="s">
        <v>126</v>
      </c>
      <c r="D29" s="181"/>
      <c r="E29" s="158">
        <f>SUM(D29:D29)</f>
        <v>0</v>
      </c>
    </row>
    <row r="30" spans="2:5" s="152" customFormat="1" ht="13.2" customHeight="1" x14ac:dyDescent="0.2">
      <c r="B30" s="185"/>
      <c r="C30" s="186" t="s">
        <v>127</v>
      </c>
      <c r="D30" s="154"/>
      <c r="E30" s="157">
        <f>SUM(D30:D30)</f>
        <v>0</v>
      </c>
    </row>
    <row r="31" spans="2:5" ht="18" customHeight="1" x14ac:dyDescent="0.25">
      <c r="B31" s="187">
        <v>9</v>
      </c>
      <c r="C31" s="188" t="str">
        <f>Config!C13&amp;", "&amp;Config!D13</f>
        <v>Hennings, Tomas</v>
      </c>
      <c r="D31" s="276">
        <v>4</v>
      </c>
      <c r="E31" s="189">
        <f t="shared" si="0"/>
        <v>4</v>
      </c>
    </row>
    <row r="32" spans="2:5" s="152" customFormat="1" ht="13.2" customHeight="1" x14ac:dyDescent="0.2">
      <c r="B32" s="166"/>
      <c r="C32" s="167" t="s">
        <v>126</v>
      </c>
      <c r="D32" s="171"/>
      <c r="E32" s="156">
        <f>SUM(D32:D32)</f>
        <v>0</v>
      </c>
    </row>
    <row r="33" spans="2:5" s="152" customFormat="1" ht="13.2" customHeight="1" x14ac:dyDescent="0.2">
      <c r="B33" s="172"/>
      <c r="C33" s="173" t="s">
        <v>127</v>
      </c>
      <c r="D33" s="154"/>
      <c r="E33" s="155">
        <f>SUM(D33:D33)</f>
        <v>0</v>
      </c>
    </row>
    <row r="34" spans="2:5" ht="18" customHeight="1" x14ac:dyDescent="0.25">
      <c r="B34" s="182">
        <v>10</v>
      </c>
      <c r="C34" s="183" t="str">
        <f>Config!C14&amp;", "&amp;Config!D14</f>
        <v>Walters, Linn</v>
      </c>
      <c r="D34" s="274">
        <v>2.5</v>
      </c>
      <c r="E34" s="184">
        <f t="shared" si="0"/>
        <v>2.5</v>
      </c>
    </row>
    <row r="35" spans="2:5" s="152" customFormat="1" ht="13.2" customHeight="1" x14ac:dyDescent="0.2">
      <c r="B35" s="176"/>
      <c r="C35" s="177" t="s">
        <v>126</v>
      </c>
      <c r="D35" s="181"/>
      <c r="E35" s="158">
        <f>SUM(D35:D35)</f>
        <v>0</v>
      </c>
    </row>
    <row r="36" spans="2:5" s="152" customFormat="1" ht="13.2" customHeight="1" x14ac:dyDescent="0.2">
      <c r="B36" s="185"/>
      <c r="C36" s="186" t="s">
        <v>127</v>
      </c>
      <c r="D36" s="154"/>
      <c r="E36" s="157">
        <f>SUM(D36:D36)</f>
        <v>0</v>
      </c>
    </row>
    <row r="37" spans="2:5" ht="18" customHeight="1" x14ac:dyDescent="0.25">
      <c r="B37" s="187">
        <v>11</v>
      </c>
      <c r="C37" s="188" t="str">
        <f>Config!C15&amp;", "&amp;Config!D15</f>
        <v>Junker, Amely</v>
      </c>
      <c r="D37" s="276">
        <v>2</v>
      </c>
      <c r="E37" s="189">
        <f t="shared" si="0"/>
        <v>2</v>
      </c>
    </row>
    <row r="38" spans="2:5" s="152" customFormat="1" ht="13.2" customHeight="1" x14ac:dyDescent="0.2">
      <c r="B38" s="166"/>
      <c r="C38" s="167" t="s">
        <v>126</v>
      </c>
      <c r="D38" s="171"/>
      <c r="E38" s="156">
        <f>SUM(D38:D38)</f>
        <v>0</v>
      </c>
    </row>
    <row r="39" spans="2:5" s="152" customFormat="1" ht="13.2" customHeight="1" x14ac:dyDescent="0.2">
      <c r="B39" s="172"/>
      <c r="C39" s="173" t="s">
        <v>127</v>
      </c>
      <c r="D39" s="154"/>
      <c r="E39" s="155">
        <f>SUM(D39:D39)</f>
        <v>0</v>
      </c>
    </row>
    <row r="40" spans="2:5" ht="18" customHeight="1" x14ac:dyDescent="0.25">
      <c r="B40" s="182">
        <v>12</v>
      </c>
      <c r="C40" s="183" t="str">
        <f>Config!C16&amp;", "&amp;Config!D16</f>
        <v>Stephens, Melvin</v>
      </c>
      <c r="D40" s="274">
        <v>2.5</v>
      </c>
      <c r="E40" s="184">
        <f t="shared" ref="E40:E70" si="1">SUM(D40:D40)</f>
        <v>2.5</v>
      </c>
    </row>
    <row r="41" spans="2:5" s="152" customFormat="1" ht="13.2" customHeight="1" x14ac:dyDescent="0.2">
      <c r="B41" s="176"/>
      <c r="C41" s="177" t="s">
        <v>126</v>
      </c>
      <c r="D41" s="181"/>
      <c r="E41" s="158">
        <f>SUM(D41:D41)</f>
        <v>0</v>
      </c>
    </row>
    <row r="42" spans="2:5" s="152" customFormat="1" ht="13.2" customHeight="1" x14ac:dyDescent="0.2">
      <c r="B42" s="185"/>
      <c r="C42" s="186" t="s">
        <v>127</v>
      </c>
      <c r="D42" s="154"/>
      <c r="E42" s="157">
        <f>SUM(D42:D42)</f>
        <v>0</v>
      </c>
    </row>
    <row r="43" spans="2:5" ht="18" customHeight="1" x14ac:dyDescent="0.25">
      <c r="B43" s="187">
        <v>13</v>
      </c>
      <c r="C43" s="188" t="str">
        <f>Config!C17&amp;", "&amp;Config!D17</f>
        <v>Cremer, Marvin</v>
      </c>
      <c r="D43" s="276">
        <v>5</v>
      </c>
      <c r="E43" s="189">
        <f t="shared" si="1"/>
        <v>5</v>
      </c>
    </row>
    <row r="44" spans="2:5" s="152" customFormat="1" ht="13.2" customHeight="1" x14ac:dyDescent="0.2">
      <c r="B44" s="166"/>
      <c r="C44" s="167" t="s">
        <v>126</v>
      </c>
      <c r="D44" s="171"/>
      <c r="E44" s="156">
        <f>SUM(D44:D44)</f>
        <v>0</v>
      </c>
    </row>
    <row r="45" spans="2:5" s="152" customFormat="1" ht="13.2" customHeight="1" x14ac:dyDescent="0.2">
      <c r="B45" s="172"/>
      <c r="C45" s="173" t="s">
        <v>127</v>
      </c>
      <c r="D45" s="154"/>
      <c r="E45" s="155">
        <f>SUM(D45:D45)</f>
        <v>0</v>
      </c>
    </row>
    <row r="46" spans="2:5" ht="18" customHeight="1" x14ac:dyDescent="0.25">
      <c r="B46" s="182">
        <v>14</v>
      </c>
      <c r="C46" s="183" t="str">
        <f>Config!C18&amp;", "&amp;Config!D18</f>
        <v>Nash, Jean</v>
      </c>
      <c r="D46" s="274">
        <v>5</v>
      </c>
      <c r="E46" s="184">
        <f t="shared" si="1"/>
        <v>5</v>
      </c>
    </row>
    <row r="47" spans="2:5" s="152" customFormat="1" ht="13.2" customHeight="1" x14ac:dyDescent="0.2">
      <c r="B47" s="176"/>
      <c r="C47" s="177" t="s">
        <v>126</v>
      </c>
      <c r="D47" s="181"/>
      <c r="E47" s="158">
        <f>SUM(D47:D47)</f>
        <v>0</v>
      </c>
    </row>
    <row r="48" spans="2:5" s="152" customFormat="1" ht="13.2" customHeight="1" x14ac:dyDescent="0.2">
      <c r="B48" s="185"/>
      <c r="C48" s="186" t="s">
        <v>127</v>
      </c>
      <c r="D48" s="154"/>
      <c r="E48" s="157">
        <f>SUM(D48:D48)</f>
        <v>0</v>
      </c>
    </row>
    <row r="49" spans="2:5" ht="18" customHeight="1" x14ac:dyDescent="0.25">
      <c r="B49" s="187">
        <v>15</v>
      </c>
      <c r="C49" s="188" t="str">
        <f>Config!C19&amp;", "&amp;Config!D19</f>
        <v>Schön, Leonardo</v>
      </c>
      <c r="D49" s="276">
        <v>2.5</v>
      </c>
      <c r="E49" s="189">
        <f t="shared" si="1"/>
        <v>2.5</v>
      </c>
    </row>
    <row r="50" spans="2:5" s="152" customFormat="1" ht="13.2" customHeight="1" x14ac:dyDescent="0.2">
      <c r="B50" s="166"/>
      <c r="C50" s="167" t="s">
        <v>126</v>
      </c>
      <c r="D50" s="171"/>
      <c r="E50" s="156">
        <f>SUM(D50:D50)</f>
        <v>0</v>
      </c>
    </row>
    <row r="51" spans="2:5" s="152" customFormat="1" ht="13.2" customHeight="1" x14ac:dyDescent="0.2">
      <c r="B51" s="172"/>
      <c r="C51" s="173" t="s">
        <v>127</v>
      </c>
      <c r="D51" s="154"/>
      <c r="E51" s="155">
        <f>SUM(D51:D51)</f>
        <v>0</v>
      </c>
    </row>
    <row r="52" spans="2:5" ht="18" customHeight="1" x14ac:dyDescent="0.25">
      <c r="B52" s="182">
        <v>16</v>
      </c>
      <c r="C52" s="183" t="str">
        <f>Config!C20&amp;", "&amp;Config!D20</f>
        <v>Sigl, Nicholas</v>
      </c>
      <c r="D52" s="274">
        <v>5</v>
      </c>
      <c r="E52" s="184">
        <f t="shared" si="1"/>
        <v>5</v>
      </c>
    </row>
    <row r="53" spans="2:5" s="152" customFormat="1" ht="13.2" customHeight="1" x14ac:dyDescent="0.2">
      <c r="B53" s="176"/>
      <c r="C53" s="177" t="s">
        <v>126</v>
      </c>
      <c r="D53" s="181"/>
      <c r="E53" s="158">
        <f>SUM(D53:D53)</f>
        <v>0</v>
      </c>
    </row>
    <row r="54" spans="2:5" s="152" customFormat="1" ht="13.2" customHeight="1" x14ac:dyDescent="0.2">
      <c r="B54" s="185"/>
      <c r="C54" s="186" t="s">
        <v>127</v>
      </c>
      <c r="D54" s="154"/>
      <c r="E54" s="157">
        <f>SUM(D54:D54)</f>
        <v>0</v>
      </c>
    </row>
    <row r="55" spans="2:5" ht="18" customHeight="1" x14ac:dyDescent="0.25">
      <c r="B55" s="187">
        <v>17</v>
      </c>
      <c r="C55" s="188" t="str">
        <f>Config!C21&amp;", "&amp;Config!D21</f>
        <v>Kainz, Vivienne</v>
      </c>
      <c r="D55" s="276">
        <v>5</v>
      </c>
      <c r="E55" s="189">
        <f t="shared" si="1"/>
        <v>5</v>
      </c>
    </row>
    <row r="56" spans="2:5" s="152" customFormat="1" ht="13.2" customHeight="1" x14ac:dyDescent="0.2">
      <c r="B56" s="166"/>
      <c r="C56" s="167" t="s">
        <v>126</v>
      </c>
      <c r="D56" s="171"/>
      <c r="E56" s="156">
        <f>SUM(D56:D56)</f>
        <v>0</v>
      </c>
    </row>
    <row r="57" spans="2:5" s="152" customFormat="1" ht="13.2" customHeight="1" x14ac:dyDescent="0.2">
      <c r="B57" s="172"/>
      <c r="C57" s="173" t="s">
        <v>127</v>
      </c>
      <c r="D57" s="154"/>
      <c r="E57" s="155">
        <f>SUM(D57:D57)</f>
        <v>0</v>
      </c>
    </row>
    <row r="58" spans="2:5" ht="18" customHeight="1" x14ac:dyDescent="0.25">
      <c r="B58" s="182">
        <v>18</v>
      </c>
      <c r="C58" s="183" t="str">
        <f>Config!C22&amp;", "&amp;Config!D22</f>
        <v>Hartmann, Mads</v>
      </c>
      <c r="D58" s="274">
        <v>2.5</v>
      </c>
      <c r="E58" s="184">
        <f t="shared" si="1"/>
        <v>2.5</v>
      </c>
    </row>
    <row r="59" spans="2:5" s="152" customFormat="1" ht="13.2" customHeight="1" x14ac:dyDescent="0.2">
      <c r="B59" s="176"/>
      <c r="C59" s="177" t="s">
        <v>126</v>
      </c>
      <c r="D59" s="181"/>
      <c r="E59" s="158">
        <f>SUM(D59:D59)</f>
        <v>0</v>
      </c>
    </row>
    <row r="60" spans="2:5" s="152" customFormat="1" ht="13.2" customHeight="1" x14ac:dyDescent="0.2">
      <c r="B60" s="185"/>
      <c r="C60" s="186" t="s">
        <v>127</v>
      </c>
      <c r="D60" s="154"/>
      <c r="E60" s="157">
        <f>SUM(D60:D60)</f>
        <v>0</v>
      </c>
    </row>
    <row r="61" spans="2:5" ht="18" customHeight="1" x14ac:dyDescent="0.25">
      <c r="B61" s="187">
        <v>19</v>
      </c>
      <c r="C61" s="188" t="str">
        <f>Config!C23&amp;", "&amp;Config!D23</f>
        <v>Ullmann, Raphael</v>
      </c>
      <c r="D61" s="276">
        <v>5</v>
      </c>
      <c r="E61" s="189">
        <f t="shared" si="1"/>
        <v>5</v>
      </c>
    </row>
    <row r="62" spans="2:5" s="152" customFormat="1" ht="13.2" customHeight="1" x14ac:dyDescent="0.2">
      <c r="B62" s="166"/>
      <c r="C62" s="167" t="s">
        <v>126</v>
      </c>
      <c r="D62" s="171"/>
      <c r="E62" s="156">
        <f>SUM(D62:D62)</f>
        <v>0</v>
      </c>
    </row>
    <row r="63" spans="2:5" s="152" customFormat="1" ht="13.2" customHeight="1" x14ac:dyDescent="0.2">
      <c r="B63" s="172"/>
      <c r="C63" s="173" t="s">
        <v>127</v>
      </c>
      <c r="D63" s="154"/>
      <c r="E63" s="155">
        <f>SUM(D63:D63)</f>
        <v>0</v>
      </c>
    </row>
    <row r="64" spans="2:5" ht="18" customHeight="1" x14ac:dyDescent="0.25">
      <c r="B64" s="182">
        <v>20</v>
      </c>
      <c r="C64" s="183" t="str">
        <f>Config!C24&amp;", "&amp;Config!D24</f>
        <v>Hartl, Emmely</v>
      </c>
      <c r="D64" s="274">
        <v>3</v>
      </c>
      <c r="E64" s="184">
        <f t="shared" si="1"/>
        <v>3</v>
      </c>
    </row>
    <row r="65" spans="2:5" s="152" customFormat="1" ht="13.2" customHeight="1" x14ac:dyDescent="0.2">
      <c r="B65" s="176"/>
      <c r="C65" s="177" t="s">
        <v>126</v>
      </c>
      <c r="D65" s="181"/>
      <c r="E65" s="158">
        <f>SUM(D65:D65)</f>
        <v>0</v>
      </c>
    </row>
    <row r="66" spans="2:5" s="152" customFormat="1" ht="13.2" customHeight="1" x14ac:dyDescent="0.2">
      <c r="B66" s="185"/>
      <c r="C66" s="186" t="s">
        <v>127</v>
      </c>
      <c r="D66" s="154"/>
      <c r="E66" s="157">
        <f>SUM(D66:D66)</f>
        <v>0</v>
      </c>
    </row>
    <row r="67" spans="2:5" ht="18" customHeight="1" x14ac:dyDescent="0.25">
      <c r="B67" s="187">
        <v>21</v>
      </c>
      <c r="C67" s="188" t="str">
        <f>Config!C25&amp;", "&amp;Config!D25</f>
        <v>Klotz, Karin</v>
      </c>
      <c r="D67" s="276">
        <v>4</v>
      </c>
      <c r="E67" s="189">
        <f t="shared" si="1"/>
        <v>4</v>
      </c>
    </row>
    <row r="68" spans="2:5" s="152" customFormat="1" ht="13.2" customHeight="1" x14ac:dyDescent="0.2">
      <c r="B68" s="166"/>
      <c r="C68" s="167" t="s">
        <v>126</v>
      </c>
      <c r="D68" s="171"/>
      <c r="E68" s="156">
        <f>SUM(D68:D68)</f>
        <v>0</v>
      </c>
    </row>
    <row r="69" spans="2:5" s="152" customFormat="1" ht="13.2" customHeight="1" x14ac:dyDescent="0.2">
      <c r="B69" s="172"/>
      <c r="C69" s="173" t="s">
        <v>127</v>
      </c>
      <c r="D69" s="154"/>
      <c r="E69" s="155">
        <f>SUM(D69:D69)</f>
        <v>0</v>
      </c>
    </row>
    <row r="70" spans="2:5" ht="18" customHeight="1" x14ac:dyDescent="0.25">
      <c r="B70" s="182">
        <v>22</v>
      </c>
      <c r="C70" s="183" t="str">
        <f>Config!C26&amp;", "&amp;Config!D26</f>
        <v>Ehlers, Ingo</v>
      </c>
      <c r="D70" s="274">
        <v>5</v>
      </c>
      <c r="E70" s="184">
        <f t="shared" si="1"/>
        <v>5</v>
      </c>
    </row>
    <row r="71" spans="2:5" s="152" customFormat="1" ht="13.2" customHeight="1" x14ac:dyDescent="0.2">
      <c r="B71" s="176"/>
      <c r="C71" s="177" t="s">
        <v>126</v>
      </c>
      <c r="D71" s="181"/>
      <c r="E71" s="158">
        <f>SUM(D71:D71)</f>
        <v>0</v>
      </c>
    </row>
    <row r="72" spans="2:5" s="152" customFormat="1" ht="13.2" customHeight="1" x14ac:dyDescent="0.2">
      <c r="B72" s="185"/>
      <c r="C72" s="186" t="s">
        <v>127</v>
      </c>
      <c r="D72" s="154"/>
      <c r="E72" s="157">
        <f>SUM(D72:D72)</f>
        <v>0</v>
      </c>
    </row>
    <row r="73" spans="2:5" ht="18" customHeight="1" x14ac:dyDescent="0.25">
      <c r="B73" s="187">
        <v>23</v>
      </c>
      <c r="C73" s="188" t="str">
        <f>Config!C27&amp;", "&amp;Config!D27</f>
        <v>Lindemann, Mads</v>
      </c>
      <c r="D73" s="276">
        <v>5</v>
      </c>
      <c r="E73" s="189">
        <f t="shared" ref="E73" si="2">SUM(D73:D73)</f>
        <v>5</v>
      </c>
    </row>
    <row r="74" spans="2:5" s="152" customFormat="1" ht="13.2" customHeight="1" x14ac:dyDescent="0.2">
      <c r="B74" s="166"/>
      <c r="C74" s="167" t="s">
        <v>126</v>
      </c>
      <c r="D74" s="171"/>
      <c r="E74" s="156">
        <f>SUM(D74:D74)</f>
        <v>0</v>
      </c>
    </row>
    <row r="75" spans="2:5" s="152" customFormat="1" ht="13.2" customHeight="1" thickBot="1" x14ac:dyDescent="0.25">
      <c r="B75" s="172"/>
      <c r="C75" s="173" t="s">
        <v>127</v>
      </c>
      <c r="D75" s="154"/>
      <c r="E75" s="155">
        <f>SUM(D75:D75)</f>
        <v>0</v>
      </c>
    </row>
    <row r="76" spans="2:5" ht="18" customHeight="1" thickBot="1" x14ac:dyDescent="0.3">
      <c r="B76" s="194"/>
      <c r="C76" s="195"/>
      <c r="D76" s="195">
        <f>IF(COUNTIFS(D7:D73,"&lt;&gt;",C7:C73,"&lt;&gt;ZK",C7:C73,"&lt;&gt;DK")&lt;&gt;0,SUMIFS(D7:D73,C7:C73,"&lt;&gt;ZK",C7:C73,"&lt;&gt;DK")/(COUNTIFS(D7:D73,"&lt;&gt;",C7:C73,"&lt;&gt;ZK",C7:C73,"&lt;&gt;DK")*D6),0)</f>
        <v>0.74782608695652175</v>
      </c>
      <c r="E76" s="196"/>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
    <dataValidation type="decimal" allowBlank="1" showErrorMessage="1" sqref="D7:D75" xr:uid="{4118106A-3701-44F6-BA20-381781B9B05E}">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42AE-3981-4F5D-87C6-840F8FD2DADF}">
  <sheetPr codeName="Tabelle4">
    <tabColor rgb="FF92D050"/>
  </sheetPr>
  <dimension ref="B1:I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9" width="8.6640625" style="96" customWidth="1"/>
    <col min="10" max="16384" width="11.5546875" style="96"/>
  </cols>
  <sheetData>
    <row r="1" spans="2:9" ht="18" customHeight="1" thickBot="1" x14ac:dyDescent="0.3"/>
    <row r="2" spans="2:9" ht="18" customHeight="1" x14ac:dyDescent="0.25">
      <c r="B2" s="97" t="str">
        <f>Config!F2&amp;" "&amp;YEAR(Config!G24)</f>
        <v>Mathe Abitur 2026</v>
      </c>
      <c r="C2" s="98"/>
      <c r="D2" s="98"/>
      <c r="E2" s="98"/>
      <c r="F2" s="99"/>
      <c r="G2" s="99"/>
      <c r="H2" s="99"/>
      <c r="I2" s="100" t="str">
        <f>"Kurs "&amp;Config!G26</f>
        <v>Kurs K1</v>
      </c>
    </row>
    <row r="3" spans="2:9" ht="18" customHeight="1" x14ac:dyDescent="0.25">
      <c r="B3" s="101" t="s">
        <v>12</v>
      </c>
      <c r="C3" s="102"/>
      <c r="D3" s="102"/>
      <c r="E3" s="102"/>
      <c r="F3" s="102"/>
      <c r="G3" s="102"/>
      <c r="H3" s="102"/>
      <c r="I3" s="103"/>
    </row>
    <row r="4" spans="2:9" ht="18" customHeight="1" thickBot="1" x14ac:dyDescent="0.3">
      <c r="B4" s="101"/>
      <c r="C4" s="102"/>
      <c r="D4" s="104"/>
      <c r="E4" s="104"/>
      <c r="F4" s="104"/>
      <c r="G4" s="104"/>
      <c r="H4" s="104"/>
      <c r="I4" s="105"/>
    </row>
    <row r="5" spans="2:9" ht="18" customHeight="1" thickBot="1" x14ac:dyDescent="0.3">
      <c r="B5" s="106"/>
      <c r="C5" s="108"/>
      <c r="D5" s="118" t="str">
        <f>Config!L6</f>
        <v>1a</v>
      </c>
      <c r="E5" s="118" t="str">
        <f>Config!L7</f>
        <v>1b</v>
      </c>
      <c r="F5" s="118" t="str">
        <f>Config!L8</f>
        <v>1c</v>
      </c>
      <c r="G5" s="118" t="str">
        <f>Config!L9</f>
        <v>1d</v>
      </c>
      <c r="H5" s="118" t="str">
        <f>Config!L10</f>
        <v>2</v>
      </c>
      <c r="I5" s="112" t="s">
        <v>82</v>
      </c>
    </row>
    <row r="6" spans="2:9" ht="18" customHeight="1" thickBot="1" x14ac:dyDescent="0.3">
      <c r="B6" s="107"/>
      <c r="C6" s="109" t="s">
        <v>81</v>
      </c>
      <c r="D6" s="111">
        <f>Config!M6</f>
        <v>2</v>
      </c>
      <c r="E6" s="111">
        <f>Config!M7</f>
        <v>2</v>
      </c>
      <c r="F6" s="111">
        <f>Config!M8</f>
        <v>2</v>
      </c>
      <c r="G6" s="111">
        <f>Config!M9</f>
        <v>4</v>
      </c>
      <c r="H6" s="111">
        <f>Config!M10</f>
        <v>7</v>
      </c>
      <c r="I6" s="119">
        <f>Config!M21</f>
        <v>17</v>
      </c>
    </row>
    <row r="7" spans="2:9" ht="18" customHeight="1" x14ac:dyDescent="0.25">
      <c r="B7" s="163">
        <v>1</v>
      </c>
      <c r="C7" s="164" t="str">
        <f>Config!C5&amp;", "&amp;Config!D5</f>
        <v>Höfer, Simon</v>
      </c>
      <c r="D7" s="271">
        <v>2</v>
      </c>
      <c r="E7" s="271">
        <v>2</v>
      </c>
      <c r="F7" s="271">
        <v>2</v>
      </c>
      <c r="G7" s="271">
        <v>4</v>
      </c>
      <c r="H7" s="272">
        <v>3</v>
      </c>
      <c r="I7" s="165">
        <f t="shared" ref="I7:I37" si="0">SUM(D7:H7)</f>
        <v>13</v>
      </c>
    </row>
    <row r="8" spans="2:9" s="152" customFormat="1" ht="13.2" customHeight="1" x14ac:dyDescent="0.2">
      <c r="B8" s="166"/>
      <c r="C8" s="167" t="s">
        <v>126</v>
      </c>
      <c r="D8" s="168"/>
      <c r="E8" s="168"/>
      <c r="F8" s="168"/>
      <c r="G8" s="168"/>
      <c r="H8" s="171"/>
      <c r="I8" s="156">
        <f>SUM(D8:H8)</f>
        <v>0</v>
      </c>
    </row>
    <row r="9" spans="2:9" s="152" customFormat="1" ht="13.2" customHeight="1" x14ac:dyDescent="0.2">
      <c r="B9" s="172"/>
      <c r="C9" s="173" t="s">
        <v>127</v>
      </c>
      <c r="D9" s="153"/>
      <c r="E9" s="153"/>
      <c r="F9" s="153"/>
      <c r="G9" s="153"/>
      <c r="H9" s="154"/>
      <c r="I9" s="155">
        <f>SUM(D9:H9)</f>
        <v>0</v>
      </c>
    </row>
    <row r="10" spans="2:9" ht="18" customHeight="1" x14ac:dyDescent="0.25">
      <c r="B10" s="182">
        <v>2</v>
      </c>
      <c r="C10" s="183" t="str">
        <f>Config!C6&amp;", "&amp;Config!D6</f>
        <v>Töpfer, Lilian</v>
      </c>
      <c r="D10" s="273">
        <v>1</v>
      </c>
      <c r="E10" s="273">
        <v>2</v>
      </c>
      <c r="F10" s="273">
        <v>1</v>
      </c>
      <c r="G10" s="273">
        <v>2</v>
      </c>
      <c r="H10" s="274">
        <v>1</v>
      </c>
      <c r="I10" s="184">
        <f t="shared" si="0"/>
        <v>7</v>
      </c>
    </row>
    <row r="11" spans="2:9" s="152" customFormat="1" ht="13.2" customHeight="1" x14ac:dyDescent="0.2">
      <c r="B11" s="176"/>
      <c r="C11" s="177" t="s">
        <v>126</v>
      </c>
      <c r="D11" s="178"/>
      <c r="E11" s="178"/>
      <c r="F11" s="178"/>
      <c r="G11" s="178"/>
      <c r="H11" s="181"/>
      <c r="I11" s="158">
        <f>SUM(D11:H11)</f>
        <v>0</v>
      </c>
    </row>
    <row r="12" spans="2:9" s="152" customFormat="1" ht="13.2" customHeight="1" x14ac:dyDescent="0.2">
      <c r="B12" s="185"/>
      <c r="C12" s="186" t="s">
        <v>127</v>
      </c>
      <c r="D12" s="153"/>
      <c r="E12" s="153"/>
      <c r="F12" s="153"/>
      <c r="G12" s="153"/>
      <c r="H12" s="154"/>
      <c r="I12" s="157">
        <f>SUM(D12:H12)</f>
        <v>0</v>
      </c>
    </row>
    <row r="13" spans="2:9" ht="18" customHeight="1" x14ac:dyDescent="0.25">
      <c r="B13" s="187">
        <v>3</v>
      </c>
      <c r="C13" s="188" t="str">
        <f>Config!C7&amp;", "&amp;Config!D7</f>
        <v>Fleischmann, Leonie</v>
      </c>
      <c r="D13" s="275">
        <v>2</v>
      </c>
      <c r="E13" s="275">
        <v>2</v>
      </c>
      <c r="F13" s="275">
        <v>1</v>
      </c>
      <c r="G13" s="275">
        <v>3</v>
      </c>
      <c r="H13" s="276">
        <v>0</v>
      </c>
      <c r="I13" s="189">
        <f t="shared" si="0"/>
        <v>8</v>
      </c>
    </row>
    <row r="14" spans="2:9" s="152" customFormat="1" ht="13.2" customHeight="1" x14ac:dyDescent="0.2">
      <c r="B14" s="166"/>
      <c r="C14" s="167" t="s">
        <v>126</v>
      </c>
      <c r="D14" s="168"/>
      <c r="E14" s="168"/>
      <c r="F14" s="168"/>
      <c r="G14" s="168"/>
      <c r="H14" s="171"/>
      <c r="I14" s="156">
        <f>SUM(D14:H14)</f>
        <v>0</v>
      </c>
    </row>
    <row r="15" spans="2:9" s="152" customFormat="1" ht="13.2" customHeight="1" x14ac:dyDescent="0.2">
      <c r="B15" s="172"/>
      <c r="C15" s="173" t="s">
        <v>127</v>
      </c>
      <c r="D15" s="153"/>
      <c r="E15" s="153"/>
      <c r="F15" s="153"/>
      <c r="G15" s="153"/>
      <c r="H15" s="154"/>
      <c r="I15" s="155">
        <f>SUM(D15:H15)</f>
        <v>0</v>
      </c>
    </row>
    <row r="16" spans="2:9" ht="18" customHeight="1" x14ac:dyDescent="0.25">
      <c r="B16" s="182">
        <v>4</v>
      </c>
      <c r="C16" s="183" t="str">
        <f>Config!C8&amp;", "&amp;Config!D8</f>
        <v>Drescher, Cedric</v>
      </c>
      <c r="D16" s="273">
        <v>2</v>
      </c>
      <c r="E16" s="273">
        <v>2</v>
      </c>
      <c r="F16" s="273">
        <v>1</v>
      </c>
      <c r="G16" s="273">
        <v>4</v>
      </c>
      <c r="H16" s="274">
        <v>0</v>
      </c>
      <c r="I16" s="184">
        <f t="shared" si="0"/>
        <v>9</v>
      </c>
    </row>
    <row r="17" spans="2:9" s="152" customFormat="1" ht="13.2" customHeight="1" x14ac:dyDescent="0.2">
      <c r="B17" s="176"/>
      <c r="C17" s="177" t="s">
        <v>126</v>
      </c>
      <c r="D17" s="178"/>
      <c r="E17" s="178"/>
      <c r="F17" s="178"/>
      <c r="G17" s="178"/>
      <c r="H17" s="181"/>
      <c r="I17" s="158">
        <f>SUM(D17:H17)</f>
        <v>0</v>
      </c>
    </row>
    <row r="18" spans="2:9" s="152" customFormat="1" ht="13.2" customHeight="1" x14ac:dyDescent="0.2">
      <c r="B18" s="185"/>
      <c r="C18" s="186" t="s">
        <v>127</v>
      </c>
      <c r="D18" s="153"/>
      <c r="E18" s="153"/>
      <c r="F18" s="153"/>
      <c r="G18" s="153"/>
      <c r="H18" s="154"/>
      <c r="I18" s="157">
        <f>SUM(D18:H18)</f>
        <v>0</v>
      </c>
    </row>
    <row r="19" spans="2:9" ht="18" customHeight="1" x14ac:dyDescent="0.25">
      <c r="B19" s="187">
        <v>5</v>
      </c>
      <c r="C19" s="188" t="str">
        <f>Config!C9&amp;", "&amp;Config!D9</f>
        <v>Baumgarten, Annabell</v>
      </c>
      <c r="D19" s="275">
        <v>1</v>
      </c>
      <c r="E19" s="275">
        <v>1</v>
      </c>
      <c r="F19" s="275">
        <v>1</v>
      </c>
      <c r="G19" s="275">
        <v>1.5</v>
      </c>
      <c r="H19" s="276">
        <v>0</v>
      </c>
      <c r="I19" s="189">
        <f t="shared" si="0"/>
        <v>4.5</v>
      </c>
    </row>
    <row r="20" spans="2:9" s="152" customFormat="1" ht="13.2" customHeight="1" x14ac:dyDescent="0.2">
      <c r="B20" s="166"/>
      <c r="C20" s="167" t="s">
        <v>126</v>
      </c>
      <c r="D20" s="168"/>
      <c r="E20" s="168"/>
      <c r="F20" s="168"/>
      <c r="G20" s="168"/>
      <c r="H20" s="171"/>
      <c r="I20" s="156">
        <f>SUM(D20:H20)</f>
        <v>0</v>
      </c>
    </row>
    <row r="21" spans="2:9" s="152" customFormat="1" ht="13.2" customHeight="1" x14ac:dyDescent="0.2">
      <c r="B21" s="172"/>
      <c r="C21" s="173" t="s">
        <v>127</v>
      </c>
      <c r="D21" s="153"/>
      <c r="E21" s="153"/>
      <c r="F21" s="153"/>
      <c r="G21" s="153"/>
      <c r="H21" s="154"/>
      <c r="I21" s="155">
        <f>SUM(D21:H21)</f>
        <v>0</v>
      </c>
    </row>
    <row r="22" spans="2:9" ht="18" customHeight="1" x14ac:dyDescent="0.25">
      <c r="B22" s="182">
        <v>6</v>
      </c>
      <c r="C22" s="183" t="str">
        <f>Config!C10&amp;", "&amp;Config!D10</f>
        <v>Traut, Stefanie</v>
      </c>
      <c r="D22" s="273">
        <v>2</v>
      </c>
      <c r="E22" s="273">
        <v>0.5</v>
      </c>
      <c r="F22" s="273">
        <v>1</v>
      </c>
      <c r="G22" s="273">
        <v>4</v>
      </c>
      <c r="H22" s="274">
        <v>3</v>
      </c>
      <c r="I22" s="184">
        <f t="shared" si="0"/>
        <v>10.5</v>
      </c>
    </row>
    <row r="23" spans="2:9" s="152" customFormat="1" ht="13.2" customHeight="1" x14ac:dyDescent="0.2">
      <c r="B23" s="176"/>
      <c r="C23" s="177" t="s">
        <v>126</v>
      </c>
      <c r="D23" s="178"/>
      <c r="E23" s="178"/>
      <c r="F23" s="178"/>
      <c r="G23" s="178"/>
      <c r="H23" s="181"/>
      <c r="I23" s="158">
        <f>SUM(D23:H23)</f>
        <v>0</v>
      </c>
    </row>
    <row r="24" spans="2:9" s="152" customFormat="1" ht="13.2" customHeight="1" x14ac:dyDescent="0.2">
      <c r="B24" s="185"/>
      <c r="C24" s="186" t="s">
        <v>127</v>
      </c>
      <c r="D24" s="153"/>
      <c r="E24" s="153"/>
      <c r="F24" s="153"/>
      <c r="G24" s="153"/>
      <c r="H24" s="154"/>
      <c r="I24" s="157">
        <f>SUM(D24:H24)</f>
        <v>0</v>
      </c>
    </row>
    <row r="25" spans="2:9" ht="18" customHeight="1" x14ac:dyDescent="0.25">
      <c r="B25" s="187">
        <v>7</v>
      </c>
      <c r="C25" s="188" t="str">
        <f>Config!C11&amp;", "&amp;Config!D11</f>
        <v>Menke, Damian</v>
      </c>
      <c r="D25" s="275">
        <v>2</v>
      </c>
      <c r="E25" s="275">
        <v>2</v>
      </c>
      <c r="F25" s="275">
        <v>2</v>
      </c>
      <c r="G25" s="275">
        <v>2.5</v>
      </c>
      <c r="H25" s="276">
        <v>0</v>
      </c>
      <c r="I25" s="189">
        <f t="shared" si="0"/>
        <v>8.5</v>
      </c>
    </row>
    <row r="26" spans="2:9" s="152" customFormat="1" ht="13.2" customHeight="1" x14ac:dyDescent="0.2">
      <c r="B26" s="166"/>
      <c r="C26" s="167" t="s">
        <v>126</v>
      </c>
      <c r="D26" s="168"/>
      <c r="E26" s="168"/>
      <c r="F26" s="168"/>
      <c r="G26" s="168"/>
      <c r="H26" s="171"/>
      <c r="I26" s="156">
        <f>SUM(D26:H26)</f>
        <v>0</v>
      </c>
    </row>
    <row r="27" spans="2:9" s="152" customFormat="1" ht="13.2" customHeight="1" x14ac:dyDescent="0.2">
      <c r="B27" s="172"/>
      <c r="C27" s="173" t="s">
        <v>127</v>
      </c>
      <c r="D27" s="153"/>
      <c r="E27" s="153"/>
      <c r="F27" s="153"/>
      <c r="G27" s="153"/>
      <c r="H27" s="154"/>
      <c r="I27" s="155">
        <f>SUM(D27:H27)</f>
        <v>0</v>
      </c>
    </row>
    <row r="28" spans="2:9" ht="18" customHeight="1" x14ac:dyDescent="0.25">
      <c r="B28" s="182">
        <v>8</v>
      </c>
      <c r="C28" s="183" t="str">
        <f>Config!C12&amp;", "&amp;Config!D12</f>
        <v>Carroll, Meik</v>
      </c>
      <c r="D28" s="273">
        <v>2</v>
      </c>
      <c r="E28" s="273">
        <v>2</v>
      </c>
      <c r="F28" s="273">
        <v>2</v>
      </c>
      <c r="G28" s="273">
        <v>2</v>
      </c>
      <c r="H28" s="274">
        <v>0.5</v>
      </c>
      <c r="I28" s="184">
        <f t="shared" si="0"/>
        <v>8.5</v>
      </c>
    </row>
    <row r="29" spans="2:9" s="152" customFormat="1" ht="13.2" customHeight="1" x14ac:dyDescent="0.2">
      <c r="B29" s="176"/>
      <c r="C29" s="177" t="s">
        <v>126</v>
      </c>
      <c r="D29" s="178"/>
      <c r="E29" s="178"/>
      <c r="F29" s="178"/>
      <c r="G29" s="178"/>
      <c r="H29" s="181"/>
      <c r="I29" s="158">
        <f>SUM(D29:H29)</f>
        <v>0</v>
      </c>
    </row>
    <row r="30" spans="2:9" s="152" customFormat="1" ht="13.2" customHeight="1" x14ac:dyDescent="0.2">
      <c r="B30" s="185"/>
      <c r="C30" s="186" t="s">
        <v>127</v>
      </c>
      <c r="D30" s="153"/>
      <c r="E30" s="153"/>
      <c r="F30" s="153"/>
      <c r="G30" s="153"/>
      <c r="H30" s="154"/>
      <c r="I30" s="157">
        <f>SUM(D30:H30)</f>
        <v>0</v>
      </c>
    </row>
    <row r="31" spans="2:9" ht="18" customHeight="1" x14ac:dyDescent="0.25">
      <c r="B31" s="187">
        <v>9</v>
      </c>
      <c r="C31" s="188" t="str">
        <f>Config!C13&amp;", "&amp;Config!D13</f>
        <v>Hennings, Tomas</v>
      </c>
      <c r="D31" s="275">
        <v>2</v>
      </c>
      <c r="E31" s="275">
        <v>2</v>
      </c>
      <c r="F31" s="275">
        <v>2</v>
      </c>
      <c r="G31" s="275">
        <v>4</v>
      </c>
      <c r="H31" s="276">
        <v>3</v>
      </c>
      <c r="I31" s="189">
        <f t="shared" si="0"/>
        <v>13</v>
      </c>
    </row>
    <row r="32" spans="2:9" s="152" customFormat="1" ht="13.2" customHeight="1" x14ac:dyDescent="0.2">
      <c r="B32" s="166"/>
      <c r="C32" s="167" t="s">
        <v>126</v>
      </c>
      <c r="D32" s="168"/>
      <c r="E32" s="168"/>
      <c r="F32" s="168"/>
      <c r="G32" s="168"/>
      <c r="H32" s="171"/>
      <c r="I32" s="156">
        <f>SUM(D32:H32)</f>
        <v>0</v>
      </c>
    </row>
    <row r="33" spans="2:9" s="152" customFormat="1" ht="13.2" customHeight="1" x14ac:dyDescent="0.2">
      <c r="B33" s="172"/>
      <c r="C33" s="173" t="s">
        <v>127</v>
      </c>
      <c r="D33" s="153"/>
      <c r="E33" s="153"/>
      <c r="F33" s="153"/>
      <c r="G33" s="153"/>
      <c r="H33" s="154"/>
      <c r="I33" s="155">
        <f>SUM(D33:H33)</f>
        <v>0</v>
      </c>
    </row>
    <row r="34" spans="2:9" ht="18" customHeight="1" x14ac:dyDescent="0.25">
      <c r="B34" s="182">
        <v>10</v>
      </c>
      <c r="C34" s="183" t="str">
        <f>Config!C14&amp;", "&amp;Config!D14</f>
        <v>Walters, Linn</v>
      </c>
      <c r="D34" s="273">
        <v>2</v>
      </c>
      <c r="E34" s="273">
        <v>2</v>
      </c>
      <c r="F34" s="273">
        <v>2</v>
      </c>
      <c r="G34" s="273">
        <v>2</v>
      </c>
      <c r="H34" s="274">
        <v>0</v>
      </c>
      <c r="I34" s="184">
        <f t="shared" si="0"/>
        <v>8</v>
      </c>
    </row>
    <row r="35" spans="2:9" s="152" customFormat="1" ht="13.2" customHeight="1" x14ac:dyDescent="0.2">
      <c r="B35" s="176"/>
      <c r="C35" s="177" t="s">
        <v>126</v>
      </c>
      <c r="D35" s="178"/>
      <c r="E35" s="178"/>
      <c r="F35" s="178"/>
      <c r="G35" s="178"/>
      <c r="H35" s="181"/>
      <c r="I35" s="158">
        <f>SUM(D35:H35)</f>
        <v>0</v>
      </c>
    </row>
    <row r="36" spans="2:9" s="152" customFormat="1" ht="13.2" customHeight="1" x14ac:dyDescent="0.2">
      <c r="B36" s="185"/>
      <c r="C36" s="186" t="s">
        <v>127</v>
      </c>
      <c r="D36" s="153"/>
      <c r="E36" s="153"/>
      <c r="F36" s="153"/>
      <c r="G36" s="153"/>
      <c r="H36" s="154"/>
      <c r="I36" s="157">
        <f>SUM(D36:H36)</f>
        <v>0</v>
      </c>
    </row>
    <row r="37" spans="2:9" ht="18" customHeight="1" x14ac:dyDescent="0.25">
      <c r="B37" s="187">
        <v>11</v>
      </c>
      <c r="C37" s="188" t="str">
        <f>Config!C15&amp;", "&amp;Config!D15</f>
        <v>Junker, Amely</v>
      </c>
      <c r="D37" s="275">
        <v>1</v>
      </c>
      <c r="E37" s="275">
        <v>0</v>
      </c>
      <c r="F37" s="275">
        <v>2</v>
      </c>
      <c r="G37" s="275">
        <v>1.5</v>
      </c>
      <c r="H37" s="276">
        <v>2</v>
      </c>
      <c r="I37" s="189">
        <f t="shared" si="0"/>
        <v>6.5</v>
      </c>
    </row>
    <row r="38" spans="2:9" s="152" customFormat="1" ht="13.2" customHeight="1" x14ac:dyDescent="0.2">
      <c r="B38" s="166"/>
      <c r="C38" s="167" t="s">
        <v>126</v>
      </c>
      <c r="D38" s="168"/>
      <c r="E38" s="168"/>
      <c r="F38" s="168"/>
      <c r="G38" s="168"/>
      <c r="H38" s="171"/>
      <c r="I38" s="156">
        <f>SUM(D38:H38)</f>
        <v>0</v>
      </c>
    </row>
    <row r="39" spans="2:9" s="152" customFormat="1" ht="13.2" customHeight="1" x14ac:dyDescent="0.2">
      <c r="B39" s="172"/>
      <c r="C39" s="173" t="s">
        <v>127</v>
      </c>
      <c r="D39" s="153"/>
      <c r="E39" s="153"/>
      <c r="F39" s="153"/>
      <c r="G39" s="153"/>
      <c r="H39" s="154"/>
      <c r="I39" s="155">
        <f>SUM(D39:H39)</f>
        <v>0</v>
      </c>
    </row>
    <row r="40" spans="2:9" ht="18" customHeight="1" x14ac:dyDescent="0.25">
      <c r="B40" s="182">
        <v>12</v>
      </c>
      <c r="C40" s="183" t="str">
        <f>Config!C16&amp;", "&amp;Config!D16</f>
        <v>Stephens, Melvin</v>
      </c>
      <c r="D40" s="273">
        <v>2</v>
      </c>
      <c r="E40" s="273">
        <v>2</v>
      </c>
      <c r="F40" s="273">
        <v>1</v>
      </c>
      <c r="G40" s="273">
        <v>0.5</v>
      </c>
      <c r="H40" s="274">
        <v>0</v>
      </c>
      <c r="I40" s="184">
        <f t="shared" ref="I40:I70" si="1">SUM(D40:H40)</f>
        <v>5.5</v>
      </c>
    </row>
    <row r="41" spans="2:9" s="152" customFormat="1" ht="13.2" customHeight="1" x14ac:dyDescent="0.2">
      <c r="B41" s="176"/>
      <c r="C41" s="177" t="s">
        <v>126</v>
      </c>
      <c r="D41" s="178"/>
      <c r="E41" s="178"/>
      <c r="F41" s="178"/>
      <c r="G41" s="178"/>
      <c r="H41" s="181"/>
      <c r="I41" s="158">
        <f>SUM(D41:H41)</f>
        <v>0</v>
      </c>
    </row>
    <row r="42" spans="2:9" s="152" customFormat="1" ht="13.2" customHeight="1" x14ac:dyDescent="0.2">
      <c r="B42" s="185"/>
      <c r="C42" s="186" t="s">
        <v>127</v>
      </c>
      <c r="D42" s="153"/>
      <c r="E42" s="153"/>
      <c r="F42" s="153"/>
      <c r="G42" s="153"/>
      <c r="H42" s="154"/>
      <c r="I42" s="157">
        <f>SUM(D42:H42)</f>
        <v>0</v>
      </c>
    </row>
    <row r="43" spans="2:9" ht="18" customHeight="1" x14ac:dyDescent="0.25">
      <c r="B43" s="187">
        <v>13</v>
      </c>
      <c r="C43" s="188" t="str">
        <f>Config!C17&amp;", "&amp;Config!D17</f>
        <v>Cremer, Marvin</v>
      </c>
      <c r="D43" s="275">
        <v>2</v>
      </c>
      <c r="E43" s="275">
        <v>0</v>
      </c>
      <c r="F43" s="275">
        <v>1.5</v>
      </c>
      <c r="G43" s="275">
        <v>0</v>
      </c>
      <c r="H43" s="276">
        <v>2</v>
      </c>
      <c r="I43" s="189">
        <f t="shared" si="1"/>
        <v>5.5</v>
      </c>
    </row>
    <row r="44" spans="2:9" s="152" customFormat="1" ht="13.2" customHeight="1" x14ac:dyDescent="0.2">
      <c r="B44" s="166"/>
      <c r="C44" s="167" t="s">
        <v>126</v>
      </c>
      <c r="D44" s="168"/>
      <c r="E44" s="168"/>
      <c r="F44" s="168"/>
      <c r="G44" s="168"/>
      <c r="H44" s="171"/>
      <c r="I44" s="156">
        <f>SUM(D44:H44)</f>
        <v>0</v>
      </c>
    </row>
    <row r="45" spans="2:9" s="152" customFormat="1" ht="13.2" customHeight="1" x14ac:dyDescent="0.2">
      <c r="B45" s="172"/>
      <c r="C45" s="173" t="s">
        <v>127</v>
      </c>
      <c r="D45" s="153"/>
      <c r="E45" s="153"/>
      <c r="F45" s="153"/>
      <c r="G45" s="153"/>
      <c r="H45" s="154"/>
      <c r="I45" s="155">
        <f>SUM(D45:H45)</f>
        <v>0</v>
      </c>
    </row>
    <row r="46" spans="2:9" ht="18" customHeight="1" x14ac:dyDescent="0.25">
      <c r="B46" s="182">
        <v>14</v>
      </c>
      <c r="C46" s="183" t="str">
        <f>Config!C18&amp;", "&amp;Config!D18</f>
        <v>Nash, Jean</v>
      </c>
      <c r="D46" s="273">
        <v>2</v>
      </c>
      <c r="E46" s="273">
        <v>0</v>
      </c>
      <c r="F46" s="273">
        <v>1</v>
      </c>
      <c r="G46" s="273">
        <v>2</v>
      </c>
      <c r="H46" s="274">
        <v>3</v>
      </c>
      <c r="I46" s="184">
        <f t="shared" si="1"/>
        <v>8</v>
      </c>
    </row>
    <row r="47" spans="2:9" s="152" customFormat="1" ht="13.2" customHeight="1" x14ac:dyDescent="0.2">
      <c r="B47" s="176"/>
      <c r="C47" s="177" t="s">
        <v>126</v>
      </c>
      <c r="D47" s="178"/>
      <c r="E47" s="178"/>
      <c r="F47" s="178"/>
      <c r="G47" s="178"/>
      <c r="H47" s="181"/>
      <c r="I47" s="158">
        <f>SUM(D47:H47)</f>
        <v>0</v>
      </c>
    </row>
    <row r="48" spans="2:9" s="152" customFormat="1" ht="13.2" customHeight="1" x14ac:dyDescent="0.2">
      <c r="B48" s="185"/>
      <c r="C48" s="186" t="s">
        <v>127</v>
      </c>
      <c r="D48" s="153"/>
      <c r="E48" s="153"/>
      <c r="F48" s="153"/>
      <c r="G48" s="153"/>
      <c r="H48" s="154"/>
      <c r="I48" s="157">
        <f>SUM(D48:H48)</f>
        <v>0</v>
      </c>
    </row>
    <row r="49" spans="2:9" ht="18" customHeight="1" x14ac:dyDescent="0.25">
      <c r="B49" s="187">
        <v>15</v>
      </c>
      <c r="C49" s="188" t="str">
        <f>Config!C19&amp;", "&amp;Config!D19</f>
        <v>Schön, Leonardo</v>
      </c>
      <c r="D49" s="275">
        <v>2</v>
      </c>
      <c r="E49" s="275">
        <v>0.5</v>
      </c>
      <c r="F49" s="275">
        <v>1.5</v>
      </c>
      <c r="G49" s="275">
        <v>3</v>
      </c>
      <c r="H49" s="276">
        <v>1</v>
      </c>
      <c r="I49" s="189">
        <f t="shared" si="1"/>
        <v>8</v>
      </c>
    </row>
    <row r="50" spans="2:9" s="152" customFormat="1" ht="13.2" customHeight="1" x14ac:dyDescent="0.2">
      <c r="B50" s="166"/>
      <c r="C50" s="167" t="s">
        <v>126</v>
      </c>
      <c r="D50" s="168"/>
      <c r="E50" s="168"/>
      <c r="F50" s="168"/>
      <c r="G50" s="168"/>
      <c r="H50" s="171"/>
      <c r="I50" s="156">
        <f>SUM(D50:H50)</f>
        <v>0</v>
      </c>
    </row>
    <row r="51" spans="2:9" s="152" customFormat="1" ht="13.2" customHeight="1" x14ac:dyDescent="0.2">
      <c r="B51" s="172"/>
      <c r="C51" s="173" t="s">
        <v>127</v>
      </c>
      <c r="D51" s="153"/>
      <c r="E51" s="153"/>
      <c r="F51" s="153"/>
      <c r="G51" s="153"/>
      <c r="H51" s="154"/>
      <c r="I51" s="155">
        <f>SUM(D51:H51)</f>
        <v>0</v>
      </c>
    </row>
    <row r="52" spans="2:9" ht="18" customHeight="1" x14ac:dyDescent="0.25">
      <c r="B52" s="182">
        <v>16</v>
      </c>
      <c r="C52" s="183" t="str">
        <f>Config!C20&amp;", "&amp;Config!D20</f>
        <v>Sigl, Nicholas</v>
      </c>
      <c r="D52" s="273">
        <v>0</v>
      </c>
      <c r="E52" s="273">
        <v>0</v>
      </c>
      <c r="F52" s="273">
        <v>0</v>
      </c>
      <c r="G52" s="273">
        <v>0</v>
      </c>
      <c r="H52" s="274">
        <v>0</v>
      </c>
      <c r="I52" s="184">
        <f t="shared" si="1"/>
        <v>0</v>
      </c>
    </row>
    <row r="53" spans="2:9" s="152" customFormat="1" ht="13.2" customHeight="1" x14ac:dyDescent="0.2">
      <c r="B53" s="176"/>
      <c r="C53" s="177" t="s">
        <v>126</v>
      </c>
      <c r="D53" s="178"/>
      <c r="E53" s="178"/>
      <c r="F53" s="178"/>
      <c r="G53" s="178"/>
      <c r="H53" s="181"/>
      <c r="I53" s="158">
        <f>SUM(D53:H53)</f>
        <v>0</v>
      </c>
    </row>
    <row r="54" spans="2:9" s="152" customFormat="1" ht="13.2" customHeight="1" x14ac:dyDescent="0.2">
      <c r="B54" s="185"/>
      <c r="C54" s="186" t="s">
        <v>127</v>
      </c>
      <c r="D54" s="153"/>
      <c r="E54" s="153"/>
      <c r="F54" s="153"/>
      <c r="G54" s="153"/>
      <c r="H54" s="154"/>
      <c r="I54" s="157">
        <f>SUM(D54:H54)</f>
        <v>0</v>
      </c>
    </row>
    <row r="55" spans="2:9" ht="18" customHeight="1" x14ac:dyDescent="0.25">
      <c r="B55" s="187">
        <v>17</v>
      </c>
      <c r="C55" s="188" t="str">
        <f>Config!C21&amp;", "&amp;Config!D21</f>
        <v>Kainz, Vivienne</v>
      </c>
      <c r="D55" s="275">
        <v>1</v>
      </c>
      <c r="E55" s="275">
        <v>1</v>
      </c>
      <c r="F55" s="275">
        <v>1.5</v>
      </c>
      <c r="G55" s="275">
        <v>1</v>
      </c>
      <c r="H55" s="276">
        <v>3</v>
      </c>
      <c r="I55" s="189">
        <f t="shared" si="1"/>
        <v>7.5</v>
      </c>
    </row>
    <row r="56" spans="2:9" s="152" customFormat="1" ht="13.2" customHeight="1" x14ac:dyDescent="0.2">
      <c r="B56" s="166"/>
      <c r="C56" s="167" t="s">
        <v>126</v>
      </c>
      <c r="D56" s="168"/>
      <c r="E56" s="168"/>
      <c r="F56" s="168"/>
      <c r="G56" s="168"/>
      <c r="H56" s="171"/>
      <c r="I56" s="156">
        <f>SUM(D56:H56)</f>
        <v>0</v>
      </c>
    </row>
    <row r="57" spans="2:9" s="152" customFormat="1" ht="13.2" customHeight="1" x14ac:dyDescent="0.2">
      <c r="B57" s="172"/>
      <c r="C57" s="173" t="s">
        <v>127</v>
      </c>
      <c r="D57" s="153"/>
      <c r="E57" s="153"/>
      <c r="F57" s="153"/>
      <c r="G57" s="153"/>
      <c r="H57" s="154"/>
      <c r="I57" s="155">
        <f>SUM(D57:H57)</f>
        <v>0</v>
      </c>
    </row>
    <row r="58" spans="2:9" ht="18" customHeight="1" x14ac:dyDescent="0.25">
      <c r="B58" s="182">
        <v>18</v>
      </c>
      <c r="C58" s="183" t="str">
        <f>Config!C22&amp;", "&amp;Config!D22</f>
        <v>Hartmann, Mads</v>
      </c>
      <c r="D58" s="273">
        <v>2</v>
      </c>
      <c r="E58" s="273">
        <v>2</v>
      </c>
      <c r="F58" s="273">
        <v>1</v>
      </c>
      <c r="G58" s="273">
        <v>2</v>
      </c>
      <c r="H58" s="274">
        <v>0</v>
      </c>
      <c r="I58" s="184">
        <f t="shared" si="1"/>
        <v>7</v>
      </c>
    </row>
    <row r="59" spans="2:9" s="152" customFormat="1" ht="13.2" customHeight="1" x14ac:dyDescent="0.2">
      <c r="B59" s="176"/>
      <c r="C59" s="177" t="s">
        <v>126</v>
      </c>
      <c r="D59" s="178"/>
      <c r="E59" s="178"/>
      <c r="F59" s="178"/>
      <c r="G59" s="178"/>
      <c r="H59" s="181"/>
      <c r="I59" s="158">
        <f>SUM(D59:H59)</f>
        <v>0</v>
      </c>
    </row>
    <row r="60" spans="2:9" s="152" customFormat="1" ht="13.2" customHeight="1" x14ac:dyDescent="0.2">
      <c r="B60" s="185"/>
      <c r="C60" s="186" t="s">
        <v>127</v>
      </c>
      <c r="D60" s="153"/>
      <c r="E60" s="153"/>
      <c r="F60" s="153"/>
      <c r="G60" s="153"/>
      <c r="H60" s="154"/>
      <c r="I60" s="157">
        <f>SUM(D60:H60)</f>
        <v>0</v>
      </c>
    </row>
    <row r="61" spans="2:9" ht="18" customHeight="1" x14ac:dyDescent="0.25">
      <c r="B61" s="187">
        <v>19</v>
      </c>
      <c r="C61" s="188" t="str">
        <f>Config!C23&amp;", "&amp;Config!D23</f>
        <v>Ullmann, Raphael</v>
      </c>
      <c r="D61" s="275">
        <v>2</v>
      </c>
      <c r="E61" s="275">
        <v>0.5</v>
      </c>
      <c r="F61" s="275">
        <v>1.5</v>
      </c>
      <c r="G61" s="275">
        <v>2</v>
      </c>
      <c r="H61" s="276">
        <v>1</v>
      </c>
      <c r="I61" s="189">
        <f t="shared" si="1"/>
        <v>7</v>
      </c>
    </row>
    <row r="62" spans="2:9" s="152" customFormat="1" ht="13.2" customHeight="1" x14ac:dyDescent="0.2">
      <c r="B62" s="166"/>
      <c r="C62" s="167" t="s">
        <v>126</v>
      </c>
      <c r="D62" s="168"/>
      <c r="E62" s="168"/>
      <c r="F62" s="168"/>
      <c r="G62" s="168"/>
      <c r="H62" s="171"/>
      <c r="I62" s="156">
        <f>SUM(D62:H62)</f>
        <v>0</v>
      </c>
    </row>
    <row r="63" spans="2:9" s="152" customFormat="1" ht="13.2" customHeight="1" x14ac:dyDescent="0.2">
      <c r="B63" s="172"/>
      <c r="C63" s="173" t="s">
        <v>127</v>
      </c>
      <c r="D63" s="153"/>
      <c r="E63" s="153"/>
      <c r="F63" s="153"/>
      <c r="G63" s="153"/>
      <c r="H63" s="154"/>
      <c r="I63" s="155">
        <f>SUM(D63:H63)</f>
        <v>0</v>
      </c>
    </row>
    <row r="64" spans="2:9" ht="18" customHeight="1" x14ac:dyDescent="0.25">
      <c r="B64" s="182">
        <v>20</v>
      </c>
      <c r="C64" s="183" t="str">
        <f>Config!C24&amp;", "&amp;Config!D24</f>
        <v>Hartl, Emmely</v>
      </c>
      <c r="D64" s="273">
        <v>2</v>
      </c>
      <c r="E64" s="273">
        <v>0.5</v>
      </c>
      <c r="F64" s="273">
        <v>2</v>
      </c>
      <c r="G64" s="273">
        <v>0</v>
      </c>
      <c r="H64" s="274">
        <v>0</v>
      </c>
      <c r="I64" s="184">
        <f t="shared" si="1"/>
        <v>4.5</v>
      </c>
    </row>
    <row r="65" spans="2:9" s="152" customFormat="1" ht="13.2" customHeight="1" x14ac:dyDescent="0.2">
      <c r="B65" s="176"/>
      <c r="C65" s="177" t="s">
        <v>126</v>
      </c>
      <c r="D65" s="178"/>
      <c r="E65" s="178"/>
      <c r="F65" s="178"/>
      <c r="G65" s="178"/>
      <c r="H65" s="181"/>
      <c r="I65" s="158">
        <f>SUM(D65:H65)</f>
        <v>0</v>
      </c>
    </row>
    <row r="66" spans="2:9" s="152" customFormat="1" ht="13.2" customHeight="1" x14ac:dyDescent="0.2">
      <c r="B66" s="185"/>
      <c r="C66" s="186" t="s">
        <v>127</v>
      </c>
      <c r="D66" s="153"/>
      <c r="E66" s="153"/>
      <c r="F66" s="153"/>
      <c r="G66" s="153"/>
      <c r="H66" s="154"/>
      <c r="I66" s="157">
        <f>SUM(D66:H66)</f>
        <v>0</v>
      </c>
    </row>
    <row r="67" spans="2:9" ht="18" customHeight="1" x14ac:dyDescent="0.25">
      <c r="B67" s="187">
        <v>21</v>
      </c>
      <c r="C67" s="188" t="str">
        <f>Config!C25&amp;", "&amp;Config!D25</f>
        <v>Klotz, Karin</v>
      </c>
      <c r="D67" s="275">
        <v>1</v>
      </c>
      <c r="E67" s="275">
        <v>2</v>
      </c>
      <c r="F67" s="275">
        <v>1</v>
      </c>
      <c r="G67" s="275">
        <v>2</v>
      </c>
      <c r="H67" s="276">
        <v>0</v>
      </c>
      <c r="I67" s="189">
        <f t="shared" si="1"/>
        <v>6</v>
      </c>
    </row>
    <row r="68" spans="2:9" s="152" customFormat="1" ht="13.2" customHeight="1" x14ac:dyDescent="0.2">
      <c r="B68" s="166"/>
      <c r="C68" s="167" t="s">
        <v>126</v>
      </c>
      <c r="D68" s="168"/>
      <c r="E68" s="168"/>
      <c r="F68" s="168"/>
      <c r="G68" s="168"/>
      <c r="H68" s="171"/>
      <c r="I68" s="156">
        <f>SUM(D68:H68)</f>
        <v>0</v>
      </c>
    </row>
    <row r="69" spans="2:9" s="152" customFormat="1" ht="13.2" customHeight="1" x14ac:dyDescent="0.2">
      <c r="B69" s="172"/>
      <c r="C69" s="173" t="s">
        <v>127</v>
      </c>
      <c r="D69" s="153"/>
      <c r="E69" s="153"/>
      <c r="F69" s="153"/>
      <c r="G69" s="153"/>
      <c r="H69" s="154"/>
      <c r="I69" s="155">
        <f>SUM(D69:H69)</f>
        <v>0</v>
      </c>
    </row>
    <row r="70" spans="2:9" ht="18" customHeight="1" x14ac:dyDescent="0.25">
      <c r="B70" s="182">
        <v>22</v>
      </c>
      <c r="C70" s="183" t="str">
        <f>Config!C26&amp;", "&amp;Config!D26</f>
        <v>Ehlers, Ingo</v>
      </c>
      <c r="D70" s="273">
        <v>2</v>
      </c>
      <c r="E70" s="273">
        <v>0</v>
      </c>
      <c r="F70" s="273">
        <v>2</v>
      </c>
      <c r="G70" s="273">
        <v>1.5</v>
      </c>
      <c r="H70" s="274">
        <v>0</v>
      </c>
      <c r="I70" s="184">
        <f t="shared" si="1"/>
        <v>5.5</v>
      </c>
    </row>
    <row r="71" spans="2:9" s="152" customFormat="1" ht="13.2" customHeight="1" x14ac:dyDescent="0.2">
      <c r="B71" s="176"/>
      <c r="C71" s="177" t="s">
        <v>126</v>
      </c>
      <c r="D71" s="178"/>
      <c r="E71" s="178"/>
      <c r="F71" s="178"/>
      <c r="G71" s="178"/>
      <c r="H71" s="181"/>
      <c r="I71" s="158">
        <f>SUM(D71:H71)</f>
        <v>0</v>
      </c>
    </row>
    <row r="72" spans="2:9" s="152" customFormat="1" ht="13.2" customHeight="1" x14ac:dyDescent="0.2">
      <c r="B72" s="185"/>
      <c r="C72" s="186" t="s">
        <v>127</v>
      </c>
      <c r="D72" s="153"/>
      <c r="E72" s="153"/>
      <c r="F72" s="153"/>
      <c r="G72" s="153"/>
      <c r="H72" s="154"/>
      <c r="I72" s="157">
        <f>SUM(D72:H72)</f>
        <v>0</v>
      </c>
    </row>
    <row r="73" spans="2:9" ht="18" customHeight="1" x14ac:dyDescent="0.25">
      <c r="B73" s="187">
        <v>23</v>
      </c>
      <c r="C73" s="188" t="str">
        <f>Config!C27&amp;", "&amp;Config!D27</f>
        <v>Lindemann, Mads</v>
      </c>
      <c r="D73" s="275">
        <v>2</v>
      </c>
      <c r="E73" s="275">
        <v>2</v>
      </c>
      <c r="F73" s="275">
        <v>2</v>
      </c>
      <c r="G73" s="275">
        <v>4</v>
      </c>
      <c r="H73" s="276">
        <v>0</v>
      </c>
      <c r="I73" s="189">
        <f t="shared" ref="I73" si="2">SUM(D73:H73)</f>
        <v>10</v>
      </c>
    </row>
    <row r="74" spans="2:9" s="152" customFormat="1" ht="13.2" customHeight="1" x14ac:dyDescent="0.2">
      <c r="B74" s="166"/>
      <c r="C74" s="167" t="s">
        <v>126</v>
      </c>
      <c r="D74" s="168"/>
      <c r="E74" s="168"/>
      <c r="F74" s="168"/>
      <c r="G74" s="168"/>
      <c r="H74" s="171"/>
      <c r="I74" s="156">
        <f>SUM(D74:H74)</f>
        <v>0</v>
      </c>
    </row>
    <row r="75" spans="2:9" s="152" customFormat="1" ht="13.2" customHeight="1" thickBot="1" x14ac:dyDescent="0.25">
      <c r="B75" s="172"/>
      <c r="C75" s="173" t="s">
        <v>127</v>
      </c>
      <c r="D75" s="153"/>
      <c r="E75" s="153"/>
      <c r="F75" s="153"/>
      <c r="G75" s="153"/>
      <c r="H75" s="154"/>
      <c r="I75" s="155">
        <f>SUM(D75:H75)</f>
        <v>0</v>
      </c>
    </row>
    <row r="76" spans="2:9" ht="18" customHeight="1" thickBot="1" x14ac:dyDescent="0.3">
      <c r="B76" s="194"/>
      <c r="C76" s="195"/>
      <c r="D76" s="195">
        <f>IF(COUNTIFS(D7:D73,"&lt;&gt;",C7:C73,"&lt;&gt;ZK",C7:C73,"&lt;&gt;DK")&lt;&gt;0,SUMIFS(D7:D73,C7:C73,"&lt;&gt;ZK",C7:C73,"&lt;&gt;DK")/(COUNTIFS(D7:D73,"&lt;&gt;",C7:C73,"&lt;&gt;ZK",C7:C73,"&lt;&gt;DK")*D6),0)</f>
        <v>0.84782608695652173</v>
      </c>
      <c r="E76" s="195">
        <f>IF(COUNTIFS(E7:E73,"&lt;&gt;",C7:C73,"&lt;&gt;ZK",C7:C73,"&lt;&gt;DK")&lt;&gt;0,SUMIFS(E7:E73,C7:C73,"&lt;&gt;ZK",C7:C73,"&lt;&gt;DK")/(COUNTIFS(E7:E73,"&lt;&gt;",C7:C73,"&lt;&gt;ZK",C7:C73,"&lt;&gt;DK")*E6),0)</f>
        <v>0.60869565217391308</v>
      </c>
      <c r="F76" s="195">
        <f>IF(COUNTIFS(F7:F73,"&lt;&gt;",C7:C73,"&lt;&gt;ZK",C7:C73,"&lt;&gt;DK")&lt;&gt;0,SUMIFS(F7:F73,C7:C73,"&lt;&gt;ZK",C7:C73,"&lt;&gt;DK")/(COUNTIFS(F7:F73,"&lt;&gt;",C7:C73,"&lt;&gt;ZK",C7:C73,"&lt;&gt;DK")*F6),0)</f>
        <v>0.71739130434782605</v>
      </c>
      <c r="G76" s="195">
        <f>IF(COUNTIFS(G7:G73,"&lt;&gt;",C7:C73,"&lt;&gt;ZK",C7:C73,"&lt;&gt;DK")&lt;&gt;0,SUMIFS(G7:G73,C7:C73,"&lt;&gt;ZK",C7:C73,"&lt;&gt;DK")/(COUNTIFS(G7:G73,"&lt;&gt;",C7:C73,"&lt;&gt;ZK",C7:C73,"&lt;&gt;DK")*G6),0)</f>
        <v>0.52717391304347827</v>
      </c>
      <c r="H76" s="195">
        <f>IF(COUNTIFS(H7:H73,"&lt;&gt;",C7:C73,"&lt;&gt;ZK",C7:C73,"&lt;&gt;DK")&lt;&gt;0,SUMIFS(H7:H73,C7:C73,"&lt;&gt;ZK",C7:C73,"&lt;&gt;DK")/(COUNTIFS(H7:H73,"&lt;&gt;",C7:C73,"&lt;&gt;ZK",C7:C73,"&lt;&gt;DK")*H6),0)</f>
        <v>0.13975155279503104</v>
      </c>
      <c r="I76" s="196"/>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227C5B74-5567-4EEF-81FC-93E5F19A9E41}">
      <formula1>0</formula1>
      <formula2>$D$6</formula2>
    </dataValidation>
    <dataValidation type="decimal" allowBlank="1" showErrorMessage="1" sqref="E7:E75" xr:uid="{C9262354-9CD1-4D00-86A2-C8802C99F699}">
      <formula1>0</formula1>
      <formula2>$E$6</formula2>
    </dataValidation>
    <dataValidation type="decimal" allowBlank="1" showErrorMessage="1" sqref="F7:F75" xr:uid="{F7DF0CBE-F581-4B85-B01B-A59C3A238E73}">
      <formula1>0</formula1>
      <formula2>$F$6</formula2>
    </dataValidation>
    <dataValidation type="decimal" allowBlank="1" showErrorMessage="1" sqref="G7:G75" xr:uid="{0D5D8469-C246-44F8-8445-32FFB3C92F51}">
      <formula1>0</formula1>
      <formula2>$G$6</formula2>
    </dataValidation>
    <dataValidation type="decimal" allowBlank="1" showErrorMessage="1" sqref="H7:H75" xr:uid="{7356ED7F-7F80-4D0C-8034-CF4D3DD9A798}">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B05A1-78EE-4CE0-9910-1D738BBE7362}">
  <sheetPr codeName="Tabelle5">
    <tabColor rgb="FF92D050"/>
  </sheetPr>
  <dimension ref="B1:F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6" width="8.6640625" style="96" customWidth="1"/>
    <col min="7" max="16384" width="11.5546875" style="96"/>
  </cols>
  <sheetData>
    <row r="1" spans="2:6" ht="18" customHeight="1" thickBot="1" x14ac:dyDescent="0.3"/>
    <row r="2" spans="2:6" ht="18" customHeight="1" x14ac:dyDescent="0.25">
      <c r="B2" s="97" t="str">
        <f>Config!F2&amp;" "&amp;YEAR(Config!G24)</f>
        <v>Mathe Abitur 2026</v>
      </c>
      <c r="C2" s="98"/>
      <c r="D2" s="98"/>
      <c r="E2" s="99"/>
      <c r="F2" s="100" t="str">
        <f>"Kurs "&amp;Config!G26</f>
        <v>Kurs K1</v>
      </c>
    </row>
    <row r="3" spans="2:6" ht="18" customHeight="1" x14ac:dyDescent="0.25">
      <c r="B3" s="101" t="s">
        <v>13</v>
      </c>
      <c r="C3" s="102"/>
      <c r="D3" s="102"/>
      <c r="E3" s="102"/>
      <c r="F3" s="103"/>
    </row>
    <row r="4" spans="2:6" ht="18" customHeight="1" thickBot="1" x14ac:dyDescent="0.3">
      <c r="B4" s="101"/>
      <c r="C4" s="102"/>
      <c r="D4" s="104"/>
      <c r="E4" s="104"/>
      <c r="F4" s="105"/>
    </row>
    <row r="5" spans="2:6" ht="18" customHeight="1" thickBot="1" x14ac:dyDescent="0.3">
      <c r="B5" s="106"/>
      <c r="C5" s="108"/>
      <c r="D5" s="118" t="str">
        <f>Config!N6</f>
        <v>1a</v>
      </c>
      <c r="E5" s="118" t="str">
        <f>Config!N7</f>
        <v>1b</v>
      </c>
      <c r="F5" s="112" t="s">
        <v>82</v>
      </c>
    </row>
    <row r="6" spans="2:6" ht="18" customHeight="1" thickBot="1" x14ac:dyDescent="0.3">
      <c r="B6" s="107"/>
      <c r="C6" s="109" t="s">
        <v>81</v>
      </c>
      <c r="D6" s="111">
        <f>Config!O6</f>
        <v>2</v>
      </c>
      <c r="E6" s="111">
        <f>Config!O7</f>
        <v>3</v>
      </c>
      <c r="F6" s="119">
        <f>Config!O21</f>
        <v>5</v>
      </c>
    </row>
    <row r="7" spans="2:6" ht="18" customHeight="1" x14ac:dyDescent="0.25">
      <c r="B7" s="163">
        <v>1</v>
      </c>
      <c r="C7" s="164" t="str">
        <f>Config!C5&amp;", "&amp;Config!D5</f>
        <v>Höfer, Simon</v>
      </c>
      <c r="D7" s="271">
        <v>0</v>
      </c>
      <c r="E7" s="272">
        <v>0</v>
      </c>
      <c r="F7" s="165">
        <f t="shared" ref="F7:F37" si="0">SUM(D7:E7)</f>
        <v>0</v>
      </c>
    </row>
    <row r="8" spans="2:6" s="152" customFormat="1" ht="13.2" customHeight="1" x14ac:dyDescent="0.2">
      <c r="B8" s="166"/>
      <c r="C8" s="167" t="s">
        <v>126</v>
      </c>
      <c r="D8" s="168"/>
      <c r="E8" s="171"/>
      <c r="F8" s="156">
        <f>SUM(D8:E8)</f>
        <v>0</v>
      </c>
    </row>
    <row r="9" spans="2:6" s="152" customFormat="1" ht="13.2" customHeight="1" x14ac:dyDescent="0.2">
      <c r="B9" s="172"/>
      <c r="C9" s="173" t="s">
        <v>127</v>
      </c>
      <c r="D9" s="153"/>
      <c r="E9" s="154"/>
      <c r="F9" s="155">
        <f>SUM(D9:E9)</f>
        <v>0</v>
      </c>
    </row>
    <row r="10" spans="2:6" ht="18" customHeight="1" x14ac:dyDescent="0.25">
      <c r="B10" s="182">
        <v>2</v>
      </c>
      <c r="C10" s="183" t="str">
        <f>Config!C6&amp;", "&amp;Config!D6</f>
        <v>Töpfer, Lilian</v>
      </c>
      <c r="D10" s="273">
        <v>1.5</v>
      </c>
      <c r="E10" s="274">
        <v>2</v>
      </c>
      <c r="F10" s="184">
        <f t="shared" si="0"/>
        <v>3.5</v>
      </c>
    </row>
    <row r="11" spans="2:6" s="152" customFormat="1" ht="13.2" customHeight="1" x14ac:dyDescent="0.2">
      <c r="B11" s="176"/>
      <c r="C11" s="177" t="s">
        <v>126</v>
      </c>
      <c r="D11" s="178"/>
      <c r="E11" s="181"/>
      <c r="F11" s="158">
        <f>SUM(D11:E11)</f>
        <v>0</v>
      </c>
    </row>
    <row r="12" spans="2:6" s="152" customFormat="1" ht="13.2" customHeight="1" x14ac:dyDescent="0.2">
      <c r="B12" s="185"/>
      <c r="C12" s="186" t="s">
        <v>127</v>
      </c>
      <c r="D12" s="153"/>
      <c r="E12" s="154"/>
      <c r="F12" s="157">
        <f>SUM(D12:E12)</f>
        <v>0</v>
      </c>
    </row>
    <row r="13" spans="2:6" ht="18" customHeight="1" x14ac:dyDescent="0.25">
      <c r="B13" s="187">
        <v>3</v>
      </c>
      <c r="C13" s="188" t="str">
        <f>Config!C7&amp;", "&amp;Config!D7</f>
        <v>Fleischmann, Leonie</v>
      </c>
      <c r="D13" s="275">
        <v>2</v>
      </c>
      <c r="E13" s="276">
        <v>2.5</v>
      </c>
      <c r="F13" s="189">
        <f t="shared" si="0"/>
        <v>4.5</v>
      </c>
    </row>
    <row r="14" spans="2:6" s="152" customFormat="1" ht="13.2" customHeight="1" x14ac:dyDescent="0.2">
      <c r="B14" s="166"/>
      <c r="C14" s="167" t="s">
        <v>126</v>
      </c>
      <c r="D14" s="168"/>
      <c r="E14" s="171"/>
      <c r="F14" s="156">
        <f>SUM(D14:E14)</f>
        <v>0</v>
      </c>
    </row>
    <row r="15" spans="2:6" s="152" customFormat="1" ht="13.2" customHeight="1" x14ac:dyDescent="0.2">
      <c r="B15" s="172"/>
      <c r="C15" s="173" t="s">
        <v>127</v>
      </c>
      <c r="D15" s="153"/>
      <c r="E15" s="154"/>
      <c r="F15" s="155">
        <f>SUM(D15:E15)</f>
        <v>0</v>
      </c>
    </row>
    <row r="16" spans="2:6" ht="18" customHeight="1" x14ac:dyDescent="0.25">
      <c r="B16" s="182">
        <v>4</v>
      </c>
      <c r="C16" s="183" t="str">
        <f>Config!C8&amp;", "&amp;Config!D8</f>
        <v>Drescher, Cedric</v>
      </c>
      <c r="D16" s="273">
        <v>2</v>
      </c>
      <c r="E16" s="274">
        <v>1.5</v>
      </c>
      <c r="F16" s="184">
        <f t="shared" si="0"/>
        <v>3.5</v>
      </c>
    </row>
    <row r="17" spans="2:6" s="152" customFormat="1" ht="13.2" customHeight="1" x14ac:dyDescent="0.2">
      <c r="B17" s="176"/>
      <c r="C17" s="177" t="s">
        <v>126</v>
      </c>
      <c r="D17" s="178"/>
      <c r="E17" s="181"/>
      <c r="F17" s="158">
        <f>SUM(D17:E17)</f>
        <v>0</v>
      </c>
    </row>
    <row r="18" spans="2:6" s="152" customFormat="1" ht="13.2" customHeight="1" x14ac:dyDescent="0.2">
      <c r="B18" s="185"/>
      <c r="C18" s="186" t="s">
        <v>127</v>
      </c>
      <c r="D18" s="153"/>
      <c r="E18" s="154"/>
      <c r="F18" s="157">
        <f>SUM(D18:E18)</f>
        <v>0</v>
      </c>
    </row>
    <row r="19" spans="2:6" ht="18" customHeight="1" x14ac:dyDescent="0.25">
      <c r="B19" s="187">
        <v>5</v>
      </c>
      <c r="C19" s="188" t="str">
        <f>Config!C9&amp;", "&amp;Config!D9</f>
        <v>Baumgarten, Annabell</v>
      </c>
      <c r="D19" s="275">
        <v>1.5</v>
      </c>
      <c r="E19" s="276">
        <v>2</v>
      </c>
      <c r="F19" s="189">
        <f t="shared" si="0"/>
        <v>3.5</v>
      </c>
    </row>
    <row r="20" spans="2:6" s="152" customFormat="1" ht="13.2" customHeight="1" x14ac:dyDescent="0.2">
      <c r="B20" s="166"/>
      <c r="C20" s="167" t="s">
        <v>126</v>
      </c>
      <c r="D20" s="168"/>
      <c r="E20" s="171"/>
      <c r="F20" s="156">
        <f>SUM(D20:E20)</f>
        <v>0</v>
      </c>
    </row>
    <row r="21" spans="2:6" s="152" customFormat="1" ht="13.2" customHeight="1" x14ac:dyDescent="0.2">
      <c r="B21" s="172"/>
      <c r="C21" s="173" t="s">
        <v>127</v>
      </c>
      <c r="D21" s="153"/>
      <c r="E21" s="154"/>
      <c r="F21" s="155">
        <f>SUM(D21:E21)</f>
        <v>0</v>
      </c>
    </row>
    <row r="22" spans="2:6" ht="18" customHeight="1" x14ac:dyDescent="0.25">
      <c r="B22" s="182">
        <v>6</v>
      </c>
      <c r="C22" s="183" t="str">
        <f>Config!C10&amp;", "&amp;Config!D10</f>
        <v>Traut, Stefanie</v>
      </c>
      <c r="D22" s="273">
        <v>1.5</v>
      </c>
      <c r="E22" s="274">
        <v>3</v>
      </c>
      <c r="F22" s="184">
        <f t="shared" si="0"/>
        <v>4.5</v>
      </c>
    </row>
    <row r="23" spans="2:6" s="152" customFormat="1" ht="13.2" customHeight="1" x14ac:dyDescent="0.2">
      <c r="B23" s="176"/>
      <c r="C23" s="177" t="s">
        <v>126</v>
      </c>
      <c r="D23" s="178"/>
      <c r="E23" s="181"/>
      <c r="F23" s="158">
        <f>SUM(D23:E23)</f>
        <v>0</v>
      </c>
    </row>
    <row r="24" spans="2:6" s="152" customFormat="1" ht="13.2" customHeight="1" x14ac:dyDescent="0.2">
      <c r="B24" s="185"/>
      <c r="C24" s="186" t="s">
        <v>127</v>
      </c>
      <c r="D24" s="153"/>
      <c r="E24" s="154"/>
      <c r="F24" s="157">
        <f>SUM(D24:E24)</f>
        <v>0</v>
      </c>
    </row>
    <row r="25" spans="2:6" ht="18" customHeight="1" x14ac:dyDescent="0.25">
      <c r="B25" s="187">
        <v>7</v>
      </c>
      <c r="C25" s="188" t="str">
        <f>Config!C11&amp;", "&amp;Config!D11</f>
        <v>Menke, Damian</v>
      </c>
      <c r="D25" s="275">
        <v>2</v>
      </c>
      <c r="E25" s="276">
        <v>2.5</v>
      </c>
      <c r="F25" s="189">
        <f t="shared" si="0"/>
        <v>4.5</v>
      </c>
    </row>
    <row r="26" spans="2:6" s="152" customFormat="1" ht="13.2" customHeight="1" x14ac:dyDescent="0.2">
      <c r="B26" s="166"/>
      <c r="C26" s="167" t="s">
        <v>126</v>
      </c>
      <c r="D26" s="168"/>
      <c r="E26" s="171"/>
      <c r="F26" s="156">
        <f>SUM(D26:E26)</f>
        <v>0</v>
      </c>
    </row>
    <row r="27" spans="2:6" s="152" customFormat="1" ht="13.2" customHeight="1" x14ac:dyDescent="0.2">
      <c r="B27" s="172"/>
      <c r="C27" s="173" t="s">
        <v>127</v>
      </c>
      <c r="D27" s="153"/>
      <c r="E27" s="154"/>
      <c r="F27" s="155">
        <f>SUM(D27:E27)</f>
        <v>0</v>
      </c>
    </row>
    <row r="28" spans="2:6" ht="18" customHeight="1" x14ac:dyDescent="0.25">
      <c r="B28" s="182">
        <v>8</v>
      </c>
      <c r="C28" s="183" t="str">
        <f>Config!C12&amp;", "&amp;Config!D12</f>
        <v>Carroll, Meik</v>
      </c>
      <c r="D28" s="273">
        <v>2</v>
      </c>
      <c r="E28" s="274">
        <v>2</v>
      </c>
      <c r="F28" s="184">
        <f t="shared" si="0"/>
        <v>4</v>
      </c>
    </row>
    <row r="29" spans="2:6" s="152" customFormat="1" ht="13.2" customHeight="1" x14ac:dyDescent="0.2">
      <c r="B29" s="176"/>
      <c r="C29" s="177" t="s">
        <v>126</v>
      </c>
      <c r="D29" s="178"/>
      <c r="E29" s="181"/>
      <c r="F29" s="158">
        <f>SUM(D29:E29)</f>
        <v>0</v>
      </c>
    </row>
    <row r="30" spans="2:6" s="152" customFormat="1" ht="13.2" customHeight="1" x14ac:dyDescent="0.2">
      <c r="B30" s="185"/>
      <c r="C30" s="186" t="s">
        <v>127</v>
      </c>
      <c r="D30" s="153"/>
      <c r="E30" s="154"/>
      <c r="F30" s="157">
        <f>SUM(D30:E30)</f>
        <v>0</v>
      </c>
    </row>
    <row r="31" spans="2:6" ht="18" customHeight="1" x14ac:dyDescent="0.25">
      <c r="B31" s="187">
        <v>9</v>
      </c>
      <c r="C31" s="188" t="str">
        <f>Config!C13&amp;", "&amp;Config!D13</f>
        <v>Hennings, Tomas</v>
      </c>
      <c r="D31" s="275">
        <v>1.5</v>
      </c>
      <c r="E31" s="276">
        <v>3</v>
      </c>
      <c r="F31" s="189">
        <f t="shared" si="0"/>
        <v>4.5</v>
      </c>
    </row>
    <row r="32" spans="2:6" s="152" customFormat="1" ht="13.2" customHeight="1" x14ac:dyDescent="0.2">
      <c r="B32" s="166"/>
      <c r="C32" s="167" t="s">
        <v>126</v>
      </c>
      <c r="D32" s="168"/>
      <c r="E32" s="171"/>
      <c r="F32" s="156">
        <f>SUM(D32:E32)</f>
        <v>0</v>
      </c>
    </row>
    <row r="33" spans="2:6" s="152" customFormat="1" ht="13.2" customHeight="1" x14ac:dyDescent="0.2">
      <c r="B33" s="172"/>
      <c r="C33" s="173" t="s">
        <v>127</v>
      </c>
      <c r="D33" s="153"/>
      <c r="E33" s="154"/>
      <c r="F33" s="155">
        <f>SUM(D33:E33)</f>
        <v>0</v>
      </c>
    </row>
    <row r="34" spans="2:6" ht="18" customHeight="1" x14ac:dyDescent="0.25">
      <c r="B34" s="182">
        <v>10</v>
      </c>
      <c r="C34" s="183" t="str">
        <f>Config!C14&amp;", "&amp;Config!D14</f>
        <v>Walters, Linn</v>
      </c>
      <c r="D34" s="273">
        <v>1</v>
      </c>
      <c r="E34" s="274">
        <v>0</v>
      </c>
      <c r="F34" s="184">
        <f t="shared" si="0"/>
        <v>1</v>
      </c>
    </row>
    <row r="35" spans="2:6" s="152" customFormat="1" ht="13.2" customHeight="1" x14ac:dyDescent="0.2">
      <c r="B35" s="176"/>
      <c r="C35" s="177" t="s">
        <v>126</v>
      </c>
      <c r="D35" s="178"/>
      <c r="E35" s="181"/>
      <c r="F35" s="158">
        <f>SUM(D35:E35)</f>
        <v>0</v>
      </c>
    </row>
    <row r="36" spans="2:6" s="152" customFormat="1" ht="13.2" customHeight="1" x14ac:dyDescent="0.2">
      <c r="B36" s="185"/>
      <c r="C36" s="186" t="s">
        <v>127</v>
      </c>
      <c r="D36" s="153"/>
      <c r="E36" s="154"/>
      <c r="F36" s="157">
        <f>SUM(D36:E36)</f>
        <v>0</v>
      </c>
    </row>
    <row r="37" spans="2:6" ht="18" customHeight="1" x14ac:dyDescent="0.25">
      <c r="B37" s="187">
        <v>11</v>
      </c>
      <c r="C37" s="188" t="str">
        <f>Config!C15&amp;", "&amp;Config!D15</f>
        <v>Junker, Amely</v>
      </c>
      <c r="D37" s="275">
        <v>2</v>
      </c>
      <c r="E37" s="276">
        <v>0</v>
      </c>
      <c r="F37" s="189">
        <f t="shared" si="0"/>
        <v>2</v>
      </c>
    </row>
    <row r="38" spans="2:6" s="152" customFormat="1" ht="13.2" customHeight="1" x14ac:dyDescent="0.2">
      <c r="B38" s="166"/>
      <c r="C38" s="167" t="s">
        <v>126</v>
      </c>
      <c r="D38" s="168"/>
      <c r="E38" s="171"/>
      <c r="F38" s="156">
        <f>SUM(D38:E38)</f>
        <v>0</v>
      </c>
    </row>
    <row r="39" spans="2:6" s="152" customFormat="1" ht="13.2" customHeight="1" x14ac:dyDescent="0.2">
      <c r="B39" s="172"/>
      <c r="C39" s="173" t="s">
        <v>127</v>
      </c>
      <c r="D39" s="153"/>
      <c r="E39" s="154"/>
      <c r="F39" s="155">
        <f>SUM(D39:E39)</f>
        <v>0</v>
      </c>
    </row>
    <row r="40" spans="2:6" ht="18" customHeight="1" x14ac:dyDescent="0.25">
      <c r="B40" s="182">
        <v>12</v>
      </c>
      <c r="C40" s="183" t="str">
        <f>Config!C16&amp;", "&amp;Config!D16</f>
        <v>Stephens, Melvin</v>
      </c>
      <c r="D40" s="273">
        <v>0.5</v>
      </c>
      <c r="E40" s="274">
        <v>0</v>
      </c>
      <c r="F40" s="184">
        <f t="shared" ref="F40:F70" si="1">SUM(D40:E40)</f>
        <v>0.5</v>
      </c>
    </row>
    <row r="41" spans="2:6" s="152" customFormat="1" ht="13.2" customHeight="1" x14ac:dyDescent="0.2">
      <c r="B41" s="176"/>
      <c r="C41" s="177" t="s">
        <v>126</v>
      </c>
      <c r="D41" s="178"/>
      <c r="E41" s="181"/>
      <c r="F41" s="158">
        <f>SUM(D41:E41)</f>
        <v>0</v>
      </c>
    </row>
    <row r="42" spans="2:6" s="152" customFormat="1" ht="13.2" customHeight="1" x14ac:dyDescent="0.2">
      <c r="B42" s="185"/>
      <c r="C42" s="186" t="s">
        <v>127</v>
      </c>
      <c r="D42" s="153"/>
      <c r="E42" s="154"/>
      <c r="F42" s="157">
        <f>SUM(D42:E42)</f>
        <v>0</v>
      </c>
    </row>
    <row r="43" spans="2:6" ht="18" customHeight="1" x14ac:dyDescent="0.25">
      <c r="B43" s="187">
        <v>13</v>
      </c>
      <c r="C43" s="188" t="str">
        <f>Config!C17&amp;", "&amp;Config!D17</f>
        <v>Cremer, Marvin</v>
      </c>
      <c r="D43" s="275">
        <v>1.5</v>
      </c>
      <c r="E43" s="276">
        <v>3</v>
      </c>
      <c r="F43" s="189">
        <f t="shared" si="1"/>
        <v>4.5</v>
      </c>
    </row>
    <row r="44" spans="2:6" s="152" customFormat="1" ht="13.2" customHeight="1" x14ac:dyDescent="0.2">
      <c r="B44" s="166"/>
      <c r="C44" s="167" t="s">
        <v>126</v>
      </c>
      <c r="D44" s="168"/>
      <c r="E44" s="171"/>
      <c r="F44" s="156">
        <f>SUM(D44:E44)</f>
        <v>0</v>
      </c>
    </row>
    <row r="45" spans="2:6" s="152" customFormat="1" ht="13.2" customHeight="1" x14ac:dyDescent="0.2">
      <c r="B45" s="172"/>
      <c r="C45" s="173" t="s">
        <v>127</v>
      </c>
      <c r="D45" s="153"/>
      <c r="E45" s="154"/>
      <c r="F45" s="155">
        <f>SUM(D45:E45)</f>
        <v>0</v>
      </c>
    </row>
    <row r="46" spans="2:6" ht="18" customHeight="1" x14ac:dyDescent="0.25">
      <c r="B46" s="182">
        <v>14</v>
      </c>
      <c r="C46" s="183" t="str">
        <f>Config!C18&amp;", "&amp;Config!D18</f>
        <v>Nash, Jean</v>
      </c>
      <c r="D46" s="273">
        <v>2</v>
      </c>
      <c r="E46" s="274">
        <v>2</v>
      </c>
      <c r="F46" s="184">
        <f t="shared" si="1"/>
        <v>4</v>
      </c>
    </row>
    <row r="47" spans="2:6" s="152" customFormat="1" ht="13.2" customHeight="1" x14ac:dyDescent="0.2">
      <c r="B47" s="176"/>
      <c r="C47" s="177" t="s">
        <v>126</v>
      </c>
      <c r="D47" s="178"/>
      <c r="E47" s="181"/>
      <c r="F47" s="158">
        <f>SUM(D47:E47)</f>
        <v>0</v>
      </c>
    </row>
    <row r="48" spans="2:6" s="152" customFormat="1" ht="13.2" customHeight="1" x14ac:dyDescent="0.2">
      <c r="B48" s="185"/>
      <c r="C48" s="186" t="s">
        <v>127</v>
      </c>
      <c r="D48" s="153"/>
      <c r="E48" s="154"/>
      <c r="F48" s="157">
        <f>SUM(D48:E48)</f>
        <v>0</v>
      </c>
    </row>
    <row r="49" spans="2:6" ht="18" customHeight="1" x14ac:dyDescent="0.25">
      <c r="B49" s="187">
        <v>15</v>
      </c>
      <c r="C49" s="188" t="str">
        <f>Config!C19&amp;", "&amp;Config!D19</f>
        <v>Schön, Leonardo</v>
      </c>
      <c r="D49" s="275">
        <v>2</v>
      </c>
      <c r="E49" s="276">
        <v>3</v>
      </c>
      <c r="F49" s="189">
        <f t="shared" si="1"/>
        <v>5</v>
      </c>
    </row>
    <row r="50" spans="2:6" s="152" customFormat="1" ht="13.2" customHeight="1" x14ac:dyDescent="0.2">
      <c r="B50" s="166"/>
      <c r="C50" s="167" t="s">
        <v>126</v>
      </c>
      <c r="D50" s="168"/>
      <c r="E50" s="171"/>
      <c r="F50" s="156">
        <f>SUM(D50:E50)</f>
        <v>0</v>
      </c>
    </row>
    <row r="51" spans="2:6" s="152" customFormat="1" ht="13.2" customHeight="1" x14ac:dyDescent="0.2">
      <c r="B51" s="172"/>
      <c r="C51" s="173" t="s">
        <v>127</v>
      </c>
      <c r="D51" s="153"/>
      <c r="E51" s="154"/>
      <c r="F51" s="155">
        <f>SUM(D51:E51)</f>
        <v>0</v>
      </c>
    </row>
    <row r="52" spans="2:6" ht="18" customHeight="1" x14ac:dyDescent="0.25">
      <c r="B52" s="182">
        <v>16</v>
      </c>
      <c r="C52" s="183" t="str">
        <f>Config!C20&amp;", "&amp;Config!D20</f>
        <v>Sigl, Nicholas</v>
      </c>
      <c r="D52" s="273">
        <v>2</v>
      </c>
      <c r="E52" s="274">
        <v>2.5</v>
      </c>
      <c r="F52" s="184">
        <f t="shared" si="1"/>
        <v>4.5</v>
      </c>
    </row>
    <row r="53" spans="2:6" s="152" customFormat="1" ht="13.2" customHeight="1" x14ac:dyDescent="0.2">
      <c r="B53" s="176"/>
      <c r="C53" s="177" t="s">
        <v>126</v>
      </c>
      <c r="D53" s="178"/>
      <c r="E53" s="181"/>
      <c r="F53" s="158">
        <f>SUM(D53:E53)</f>
        <v>0</v>
      </c>
    </row>
    <row r="54" spans="2:6" s="152" customFormat="1" ht="13.2" customHeight="1" x14ac:dyDescent="0.2">
      <c r="B54" s="185"/>
      <c r="C54" s="186" t="s">
        <v>127</v>
      </c>
      <c r="D54" s="153"/>
      <c r="E54" s="154"/>
      <c r="F54" s="157">
        <f>SUM(D54:E54)</f>
        <v>0</v>
      </c>
    </row>
    <row r="55" spans="2:6" ht="18" customHeight="1" x14ac:dyDescent="0.25">
      <c r="B55" s="187">
        <v>17</v>
      </c>
      <c r="C55" s="188" t="str">
        <f>Config!C21&amp;", "&amp;Config!D21</f>
        <v>Kainz, Vivienne</v>
      </c>
      <c r="D55" s="275">
        <v>2</v>
      </c>
      <c r="E55" s="276">
        <v>3</v>
      </c>
      <c r="F55" s="189">
        <f t="shared" si="1"/>
        <v>5</v>
      </c>
    </row>
    <row r="56" spans="2:6" s="152" customFormat="1" ht="13.2" customHeight="1" x14ac:dyDescent="0.2">
      <c r="B56" s="166"/>
      <c r="C56" s="167" t="s">
        <v>126</v>
      </c>
      <c r="D56" s="168"/>
      <c r="E56" s="171"/>
      <c r="F56" s="156">
        <f>SUM(D56:E56)</f>
        <v>0</v>
      </c>
    </row>
    <row r="57" spans="2:6" s="152" customFormat="1" ht="13.2" customHeight="1" x14ac:dyDescent="0.2">
      <c r="B57" s="172"/>
      <c r="C57" s="173" t="s">
        <v>127</v>
      </c>
      <c r="D57" s="153"/>
      <c r="E57" s="154"/>
      <c r="F57" s="155">
        <f>SUM(D57:E57)</f>
        <v>0</v>
      </c>
    </row>
    <row r="58" spans="2:6" ht="18" customHeight="1" x14ac:dyDescent="0.25">
      <c r="B58" s="182">
        <v>18</v>
      </c>
      <c r="C58" s="183" t="str">
        <f>Config!C22&amp;", "&amp;Config!D22</f>
        <v>Hartmann, Mads</v>
      </c>
      <c r="D58" s="273">
        <v>1</v>
      </c>
      <c r="E58" s="274">
        <v>0</v>
      </c>
      <c r="F58" s="184">
        <f t="shared" si="1"/>
        <v>1</v>
      </c>
    </row>
    <row r="59" spans="2:6" s="152" customFormat="1" ht="13.2" customHeight="1" x14ac:dyDescent="0.2">
      <c r="B59" s="176"/>
      <c r="C59" s="177" t="s">
        <v>126</v>
      </c>
      <c r="D59" s="178"/>
      <c r="E59" s="181"/>
      <c r="F59" s="158">
        <f>SUM(D59:E59)</f>
        <v>0</v>
      </c>
    </row>
    <row r="60" spans="2:6" s="152" customFormat="1" ht="13.2" customHeight="1" x14ac:dyDescent="0.2">
      <c r="B60" s="185"/>
      <c r="C60" s="186" t="s">
        <v>127</v>
      </c>
      <c r="D60" s="153"/>
      <c r="E60" s="154"/>
      <c r="F60" s="157">
        <f>SUM(D60:E60)</f>
        <v>0</v>
      </c>
    </row>
    <row r="61" spans="2:6" ht="18" customHeight="1" x14ac:dyDescent="0.25">
      <c r="B61" s="187">
        <v>19</v>
      </c>
      <c r="C61" s="188" t="str">
        <f>Config!C23&amp;", "&amp;Config!D23</f>
        <v>Ullmann, Raphael</v>
      </c>
      <c r="D61" s="275">
        <v>2</v>
      </c>
      <c r="E61" s="276">
        <v>0</v>
      </c>
      <c r="F61" s="189">
        <f t="shared" si="1"/>
        <v>2</v>
      </c>
    </row>
    <row r="62" spans="2:6" s="152" customFormat="1" ht="13.2" customHeight="1" x14ac:dyDescent="0.2">
      <c r="B62" s="166"/>
      <c r="C62" s="167" t="s">
        <v>126</v>
      </c>
      <c r="D62" s="168"/>
      <c r="E62" s="171"/>
      <c r="F62" s="156">
        <f>SUM(D62:E62)</f>
        <v>0</v>
      </c>
    </row>
    <row r="63" spans="2:6" s="152" customFormat="1" ht="13.2" customHeight="1" x14ac:dyDescent="0.2">
      <c r="B63" s="172"/>
      <c r="C63" s="173" t="s">
        <v>127</v>
      </c>
      <c r="D63" s="153"/>
      <c r="E63" s="154"/>
      <c r="F63" s="155">
        <f>SUM(D63:E63)</f>
        <v>0</v>
      </c>
    </row>
    <row r="64" spans="2:6" ht="18" customHeight="1" x14ac:dyDescent="0.25">
      <c r="B64" s="182">
        <v>20</v>
      </c>
      <c r="C64" s="183" t="str">
        <f>Config!C24&amp;", "&amp;Config!D24</f>
        <v>Hartl, Emmely</v>
      </c>
      <c r="D64" s="273">
        <v>2</v>
      </c>
      <c r="E64" s="274">
        <v>0</v>
      </c>
      <c r="F64" s="184">
        <f t="shared" si="1"/>
        <v>2</v>
      </c>
    </row>
    <row r="65" spans="2:6" s="152" customFormat="1" ht="13.2" customHeight="1" x14ac:dyDescent="0.2">
      <c r="B65" s="176"/>
      <c r="C65" s="177" t="s">
        <v>126</v>
      </c>
      <c r="D65" s="178"/>
      <c r="E65" s="181"/>
      <c r="F65" s="158">
        <f>SUM(D65:E65)</f>
        <v>0</v>
      </c>
    </row>
    <row r="66" spans="2:6" s="152" customFormat="1" ht="13.2" customHeight="1" x14ac:dyDescent="0.2">
      <c r="B66" s="185"/>
      <c r="C66" s="186" t="s">
        <v>127</v>
      </c>
      <c r="D66" s="153"/>
      <c r="E66" s="154"/>
      <c r="F66" s="157">
        <f>SUM(D66:E66)</f>
        <v>0</v>
      </c>
    </row>
    <row r="67" spans="2:6" ht="18" customHeight="1" x14ac:dyDescent="0.25">
      <c r="B67" s="187">
        <v>21</v>
      </c>
      <c r="C67" s="188" t="str">
        <f>Config!C25&amp;", "&amp;Config!D25</f>
        <v>Klotz, Karin</v>
      </c>
      <c r="D67" s="275">
        <v>2</v>
      </c>
      <c r="E67" s="276">
        <v>3</v>
      </c>
      <c r="F67" s="189">
        <f t="shared" si="1"/>
        <v>5</v>
      </c>
    </row>
    <row r="68" spans="2:6" s="152" customFormat="1" ht="13.2" customHeight="1" x14ac:dyDescent="0.2">
      <c r="B68" s="166"/>
      <c r="C68" s="167" t="s">
        <v>126</v>
      </c>
      <c r="D68" s="168"/>
      <c r="E68" s="171"/>
      <c r="F68" s="156">
        <f>SUM(D68:E68)</f>
        <v>0</v>
      </c>
    </row>
    <row r="69" spans="2:6" s="152" customFormat="1" ht="13.2" customHeight="1" x14ac:dyDescent="0.2">
      <c r="B69" s="172"/>
      <c r="C69" s="173" t="s">
        <v>127</v>
      </c>
      <c r="D69" s="153"/>
      <c r="E69" s="154"/>
      <c r="F69" s="155">
        <f>SUM(D69:E69)</f>
        <v>0</v>
      </c>
    </row>
    <row r="70" spans="2:6" ht="18" customHeight="1" x14ac:dyDescent="0.25">
      <c r="B70" s="182">
        <v>22</v>
      </c>
      <c r="C70" s="183" t="str">
        <f>Config!C26&amp;", "&amp;Config!D26</f>
        <v>Ehlers, Ingo</v>
      </c>
      <c r="D70" s="273">
        <v>2</v>
      </c>
      <c r="E70" s="274">
        <v>3</v>
      </c>
      <c r="F70" s="184">
        <f t="shared" si="1"/>
        <v>5</v>
      </c>
    </row>
    <row r="71" spans="2:6" s="152" customFormat="1" ht="13.2" customHeight="1" x14ac:dyDescent="0.2">
      <c r="B71" s="176"/>
      <c r="C71" s="177" t="s">
        <v>126</v>
      </c>
      <c r="D71" s="178"/>
      <c r="E71" s="181"/>
      <c r="F71" s="158">
        <f>SUM(D71:E71)</f>
        <v>0</v>
      </c>
    </row>
    <row r="72" spans="2:6" s="152" customFormat="1" ht="13.2" customHeight="1" x14ac:dyDescent="0.2">
      <c r="B72" s="185"/>
      <c r="C72" s="186" t="s">
        <v>127</v>
      </c>
      <c r="D72" s="153"/>
      <c r="E72" s="154"/>
      <c r="F72" s="157">
        <f>SUM(D72:E72)</f>
        <v>0</v>
      </c>
    </row>
    <row r="73" spans="2:6" ht="18" customHeight="1" x14ac:dyDescent="0.25">
      <c r="B73" s="187">
        <v>23</v>
      </c>
      <c r="C73" s="188" t="str">
        <f>Config!C27&amp;", "&amp;Config!D27</f>
        <v>Lindemann, Mads</v>
      </c>
      <c r="D73" s="275">
        <v>2</v>
      </c>
      <c r="E73" s="276">
        <v>1</v>
      </c>
      <c r="F73" s="189">
        <f t="shared" ref="F73" si="2">SUM(D73:E73)</f>
        <v>3</v>
      </c>
    </row>
    <row r="74" spans="2:6" s="152" customFormat="1" ht="13.2" customHeight="1" x14ac:dyDescent="0.2">
      <c r="B74" s="166"/>
      <c r="C74" s="167" t="s">
        <v>126</v>
      </c>
      <c r="D74" s="168"/>
      <c r="E74" s="171"/>
      <c r="F74" s="156">
        <f>SUM(D74:E74)</f>
        <v>0</v>
      </c>
    </row>
    <row r="75" spans="2:6" s="152" customFormat="1" ht="13.2" customHeight="1" thickBot="1" x14ac:dyDescent="0.25">
      <c r="B75" s="172"/>
      <c r="C75" s="173" t="s">
        <v>127</v>
      </c>
      <c r="D75" s="153"/>
      <c r="E75" s="154"/>
      <c r="F75" s="155">
        <f>SUM(D75:E75)</f>
        <v>0</v>
      </c>
    </row>
    <row r="76" spans="2:6" ht="18" customHeight="1" thickBot="1" x14ac:dyDescent="0.3">
      <c r="B76" s="194"/>
      <c r="C76" s="195"/>
      <c r="D76" s="195">
        <f>IF(COUNTIFS(D7:D73,"&lt;&gt;",C7:C73,"&lt;&gt;ZK",C7:C73,"&lt;&gt;DK")&lt;&gt;0,SUMIFS(D7:D73,C7:C73,"&lt;&gt;ZK",C7:C73,"&lt;&gt;DK")/(COUNTIFS(D7:D73,"&lt;&gt;",C7:C73,"&lt;&gt;ZK",C7:C73,"&lt;&gt;DK")*D6),0)</f>
        <v>0.82608695652173914</v>
      </c>
      <c r="E76" s="195">
        <f>IF(COUNTIFS(E7:E73,"&lt;&gt;",C7:C73,"&lt;&gt;ZK",C7:C73,"&lt;&gt;DK")&lt;&gt;0,SUMIFS(E7:E73,C7:C73,"&lt;&gt;ZK",C7:C73,"&lt;&gt;DK")/(COUNTIFS(E7:E73,"&lt;&gt;",C7:C73,"&lt;&gt;ZK",C7:C73,"&lt;&gt;DK")*E6),0)</f>
        <v>0.56521739130434778</v>
      </c>
      <c r="F76" s="196"/>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2">
    <dataValidation type="decimal" allowBlank="1" showErrorMessage="1" sqref="D7:D75" xr:uid="{175966EB-922B-4F8F-BFB8-2A65D8B0B098}">
      <formula1>0</formula1>
      <formula2>$D$6</formula2>
    </dataValidation>
    <dataValidation type="decimal" allowBlank="1" showErrorMessage="1" sqref="E7:E75" xr:uid="{8DF27EE0-5EB9-4A8B-948A-C8DAE9D847E4}">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4F5D1-D302-488E-8362-C6BD3D966EE4}">
  <sheetPr codeName="Tabelle6">
    <tabColor rgb="FF92D050"/>
  </sheetPr>
  <dimension ref="B1:I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9" width="8.6640625" style="96" customWidth="1"/>
    <col min="10" max="16384" width="11.5546875" style="96"/>
  </cols>
  <sheetData>
    <row r="1" spans="2:9" ht="18" customHeight="1" thickBot="1" x14ac:dyDescent="0.3"/>
    <row r="2" spans="2:9" ht="18" customHeight="1" x14ac:dyDescent="0.25">
      <c r="B2" s="97" t="str">
        <f>Config!F2&amp;" "&amp;YEAR(Config!G24)</f>
        <v>Mathe Abitur 2026</v>
      </c>
      <c r="C2" s="98"/>
      <c r="D2" s="98"/>
      <c r="E2" s="98"/>
      <c r="F2" s="99"/>
      <c r="G2" s="99"/>
      <c r="H2" s="99"/>
      <c r="I2" s="100" t="str">
        <f>"Kurs "&amp;Config!G26</f>
        <v>Kurs K1</v>
      </c>
    </row>
    <row r="3" spans="2:9" ht="18" customHeight="1" x14ac:dyDescent="0.25">
      <c r="B3" s="101" t="s">
        <v>14</v>
      </c>
      <c r="C3" s="102"/>
      <c r="D3" s="102"/>
      <c r="E3" s="102"/>
      <c r="F3" s="102"/>
      <c r="G3" s="102"/>
      <c r="H3" s="102"/>
      <c r="I3" s="103"/>
    </row>
    <row r="4" spans="2:9" ht="18" customHeight="1" thickBot="1" x14ac:dyDescent="0.3">
      <c r="B4" s="101"/>
      <c r="C4" s="102"/>
      <c r="D4" s="104"/>
      <c r="E4" s="104"/>
      <c r="F4" s="104"/>
      <c r="G4" s="104"/>
      <c r="H4" s="104"/>
      <c r="I4" s="105"/>
    </row>
    <row r="5" spans="2:9" ht="18" customHeight="1" thickBot="1" x14ac:dyDescent="0.3">
      <c r="B5" s="106"/>
      <c r="C5" s="108"/>
      <c r="D5" s="118" t="str">
        <f>Config!P6</f>
        <v>1a</v>
      </c>
      <c r="E5" s="118" t="str">
        <f>Config!P7</f>
        <v>1b</v>
      </c>
      <c r="F5" s="118" t="str">
        <f>Config!P8</f>
        <v>1c</v>
      </c>
      <c r="G5" s="118" t="str">
        <f>Config!P9</f>
        <v>1d</v>
      </c>
      <c r="H5" s="118" t="str">
        <f>Config!P10</f>
        <v>1e</v>
      </c>
      <c r="I5" s="112" t="s">
        <v>82</v>
      </c>
    </row>
    <row r="6" spans="2:9" ht="18" customHeight="1" thickBot="1" x14ac:dyDescent="0.3">
      <c r="B6" s="107"/>
      <c r="C6" s="109" t="s">
        <v>81</v>
      </c>
      <c r="D6" s="111">
        <f>Config!Q6</f>
        <v>4</v>
      </c>
      <c r="E6" s="111">
        <f>Config!Q7</f>
        <v>3</v>
      </c>
      <c r="F6" s="111">
        <f>Config!Q8</f>
        <v>4</v>
      </c>
      <c r="G6" s="111">
        <f>Config!Q9</f>
        <v>3</v>
      </c>
      <c r="H6" s="111">
        <f>Config!Q10</f>
        <v>4</v>
      </c>
      <c r="I6" s="119">
        <f>Config!Q21</f>
        <v>18</v>
      </c>
    </row>
    <row r="7" spans="2:9" ht="18" customHeight="1" x14ac:dyDescent="0.25">
      <c r="B7" s="163">
        <v>1</v>
      </c>
      <c r="C7" s="164" t="str">
        <f>Config!C5&amp;", "&amp;Config!D5</f>
        <v>Höfer, Simon</v>
      </c>
      <c r="D7" s="271">
        <v>4</v>
      </c>
      <c r="E7" s="271">
        <v>2</v>
      </c>
      <c r="F7" s="271">
        <v>2</v>
      </c>
      <c r="G7" s="271">
        <v>0.5</v>
      </c>
      <c r="H7" s="272">
        <v>0.5</v>
      </c>
      <c r="I7" s="165">
        <f t="shared" ref="I7:I37" si="0">SUM(D7:H7)</f>
        <v>9</v>
      </c>
    </row>
    <row r="8" spans="2:9" s="152" customFormat="1" ht="13.2" customHeight="1" x14ac:dyDescent="0.2">
      <c r="B8" s="166"/>
      <c r="C8" s="167" t="s">
        <v>126</v>
      </c>
      <c r="D8" s="168"/>
      <c r="E8" s="168"/>
      <c r="F8" s="168"/>
      <c r="G8" s="168"/>
      <c r="H8" s="171"/>
      <c r="I8" s="156">
        <f>SUM(D8:H8)</f>
        <v>0</v>
      </c>
    </row>
    <row r="9" spans="2:9" s="152" customFormat="1" ht="13.2" customHeight="1" x14ac:dyDescent="0.2">
      <c r="B9" s="172"/>
      <c r="C9" s="173" t="s">
        <v>127</v>
      </c>
      <c r="D9" s="153"/>
      <c r="E9" s="153"/>
      <c r="F9" s="153"/>
      <c r="G9" s="153"/>
      <c r="H9" s="154"/>
      <c r="I9" s="155">
        <f>SUM(D9:H9)</f>
        <v>0</v>
      </c>
    </row>
    <row r="10" spans="2:9" ht="18" customHeight="1" x14ac:dyDescent="0.25">
      <c r="B10" s="182">
        <v>2</v>
      </c>
      <c r="C10" s="183" t="str">
        <f>Config!C6&amp;", "&amp;Config!D6</f>
        <v>Töpfer, Lilian</v>
      </c>
      <c r="D10" s="273">
        <v>4</v>
      </c>
      <c r="E10" s="273">
        <v>0</v>
      </c>
      <c r="F10" s="273">
        <v>2.5</v>
      </c>
      <c r="G10" s="273">
        <v>0.5</v>
      </c>
      <c r="H10" s="274">
        <v>2</v>
      </c>
      <c r="I10" s="184">
        <f t="shared" si="0"/>
        <v>9</v>
      </c>
    </row>
    <row r="11" spans="2:9" s="152" customFormat="1" ht="13.2" customHeight="1" x14ac:dyDescent="0.2">
      <c r="B11" s="176"/>
      <c r="C11" s="177" t="s">
        <v>126</v>
      </c>
      <c r="D11" s="178"/>
      <c r="E11" s="178"/>
      <c r="F11" s="178"/>
      <c r="G11" s="178"/>
      <c r="H11" s="181"/>
      <c r="I11" s="158">
        <f>SUM(D11:H11)</f>
        <v>0</v>
      </c>
    </row>
    <row r="12" spans="2:9" s="152" customFormat="1" ht="13.2" customHeight="1" x14ac:dyDescent="0.2">
      <c r="B12" s="185"/>
      <c r="C12" s="186" t="s">
        <v>127</v>
      </c>
      <c r="D12" s="153"/>
      <c r="E12" s="153"/>
      <c r="F12" s="153"/>
      <c r="G12" s="153"/>
      <c r="H12" s="154"/>
      <c r="I12" s="157">
        <f>SUM(D12:H12)</f>
        <v>0</v>
      </c>
    </row>
    <row r="13" spans="2:9" ht="18" customHeight="1" x14ac:dyDescent="0.25">
      <c r="B13" s="187">
        <v>3</v>
      </c>
      <c r="C13" s="188" t="str">
        <f>Config!C7&amp;", "&amp;Config!D7</f>
        <v>Fleischmann, Leonie</v>
      </c>
      <c r="D13" s="275">
        <v>4</v>
      </c>
      <c r="E13" s="275">
        <v>2</v>
      </c>
      <c r="F13" s="275">
        <v>3</v>
      </c>
      <c r="G13" s="275">
        <v>2</v>
      </c>
      <c r="H13" s="276">
        <v>3</v>
      </c>
      <c r="I13" s="189">
        <f t="shared" si="0"/>
        <v>14</v>
      </c>
    </row>
    <row r="14" spans="2:9" s="152" customFormat="1" ht="13.2" customHeight="1" x14ac:dyDescent="0.2">
      <c r="B14" s="166"/>
      <c r="C14" s="167" t="s">
        <v>126</v>
      </c>
      <c r="D14" s="168"/>
      <c r="E14" s="168"/>
      <c r="F14" s="168"/>
      <c r="G14" s="168"/>
      <c r="H14" s="171"/>
      <c r="I14" s="156">
        <f>SUM(D14:H14)</f>
        <v>0</v>
      </c>
    </row>
    <row r="15" spans="2:9" s="152" customFormat="1" ht="13.2" customHeight="1" x14ac:dyDescent="0.2">
      <c r="B15" s="172"/>
      <c r="C15" s="173" t="s">
        <v>127</v>
      </c>
      <c r="D15" s="153"/>
      <c r="E15" s="153"/>
      <c r="F15" s="153"/>
      <c r="G15" s="153"/>
      <c r="H15" s="154"/>
      <c r="I15" s="155">
        <f>SUM(D15:H15)</f>
        <v>0</v>
      </c>
    </row>
    <row r="16" spans="2:9" ht="18" customHeight="1" x14ac:dyDescent="0.25">
      <c r="B16" s="182">
        <v>4</v>
      </c>
      <c r="C16" s="183" t="str">
        <f>Config!C8&amp;", "&amp;Config!D8</f>
        <v>Drescher, Cedric</v>
      </c>
      <c r="D16" s="273">
        <v>4</v>
      </c>
      <c r="E16" s="273">
        <v>2</v>
      </c>
      <c r="F16" s="273">
        <v>3.5</v>
      </c>
      <c r="G16" s="273">
        <v>0</v>
      </c>
      <c r="H16" s="274">
        <v>4</v>
      </c>
      <c r="I16" s="184">
        <f t="shared" si="0"/>
        <v>13.5</v>
      </c>
    </row>
    <row r="17" spans="2:9" s="152" customFormat="1" ht="13.2" customHeight="1" x14ac:dyDescent="0.2">
      <c r="B17" s="176"/>
      <c r="C17" s="177" t="s">
        <v>126</v>
      </c>
      <c r="D17" s="178"/>
      <c r="E17" s="178"/>
      <c r="F17" s="178"/>
      <c r="G17" s="178"/>
      <c r="H17" s="181"/>
      <c r="I17" s="158">
        <f>SUM(D17:H17)</f>
        <v>0</v>
      </c>
    </row>
    <row r="18" spans="2:9" s="152" customFormat="1" ht="13.2" customHeight="1" x14ac:dyDescent="0.2">
      <c r="B18" s="185"/>
      <c r="C18" s="186" t="s">
        <v>127</v>
      </c>
      <c r="D18" s="153"/>
      <c r="E18" s="153"/>
      <c r="F18" s="153"/>
      <c r="G18" s="153"/>
      <c r="H18" s="154"/>
      <c r="I18" s="157">
        <f>SUM(D18:H18)</f>
        <v>0</v>
      </c>
    </row>
    <row r="19" spans="2:9" ht="18" customHeight="1" x14ac:dyDescent="0.25">
      <c r="B19" s="187">
        <v>5</v>
      </c>
      <c r="C19" s="188" t="str">
        <f>Config!C9&amp;", "&amp;Config!D9</f>
        <v>Baumgarten, Annabell</v>
      </c>
      <c r="D19" s="275">
        <v>4</v>
      </c>
      <c r="E19" s="275">
        <v>2</v>
      </c>
      <c r="F19" s="275">
        <v>3</v>
      </c>
      <c r="G19" s="275">
        <v>0</v>
      </c>
      <c r="H19" s="276">
        <v>3</v>
      </c>
      <c r="I19" s="189">
        <f t="shared" si="0"/>
        <v>12</v>
      </c>
    </row>
    <row r="20" spans="2:9" s="152" customFormat="1" ht="13.2" customHeight="1" x14ac:dyDescent="0.2">
      <c r="B20" s="166"/>
      <c r="C20" s="167" t="s">
        <v>126</v>
      </c>
      <c r="D20" s="168"/>
      <c r="E20" s="168"/>
      <c r="F20" s="168"/>
      <c r="G20" s="168"/>
      <c r="H20" s="171"/>
      <c r="I20" s="156">
        <f>SUM(D20:H20)</f>
        <v>0</v>
      </c>
    </row>
    <row r="21" spans="2:9" s="152" customFormat="1" ht="13.2" customHeight="1" x14ac:dyDescent="0.2">
      <c r="B21" s="172"/>
      <c r="C21" s="173" t="s">
        <v>127</v>
      </c>
      <c r="D21" s="153"/>
      <c r="E21" s="153"/>
      <c r="F21" s="153"/>
      <c r="G21" s="153"/>
      <c r="H21" s="154"/>
      <c r="I21" s="155">
        <f>SUM(D21:H21)</f>
        <v>0</v>
      </c>
    </row>
    <row r="22" spans="2:9" ht="18" customHeight="1" x14ac:dyDescent="0.25">
      <c r="B22" s="182">
        <v>6</v>
      </c>
      <c r="C22" s="183" t="str">
        <f>Config!C10&amp;", "&amp;Config!D10</f>
        <v>Traut, Stefanie</v>
      </c>
      <c r="D22" s="273">
        <v>4</v>
      </c>
      <c r="E22" s="273">
        <v>3</v>
      </c>
      <c r="F22" s="273">
        <v>4</v>
      </c>
      <c r="G22" s="273">
        <v>2</v>
      </c>
      <c r="H22" s="274">
        <v>4</v>
      </c>
      <c r="I22" s="184">
        <f t="shared" si="0"/>
        <v>17</v>
      </c>
    </row>
    <row r="23" spans="2:9" s="152" customFormat="1" ht="13.2" customHeight="1" x14ac:dyDescent="0.2">
      <c r="B23" s="176"/>
      <c r="C23" s="177" t="s">
        <v>126</v>
      </c>
      <c r="D23" s="178"/>
      <c r="E23" s="178"/>
      <c r="F23" s="178"/>
      <c r="G23" s="178"/>
      <c r="H23" s="181"/>
      <c r="I23" s="158">
        <f>SUM(D23:H23)</f>
        <v>0</v>
      </c>
    </row>
    <row r="24" spans="2:9" s="152" customFormat="1" ht="13.2" customHeight="1" x14ac:dyDescent="0.2">
      <c r="B24" s="185"/>
      <c r="C24" s="186" t="s">
        <v>127</v>
      </c>
      <c r="D24" s="153"/>
      <c r="E24" s="153"/>
      <c r="F24" s="153"/>
      <c r="G24" s="153"/>
      <c r="H24" s="154"/>
      <c r="I24" s="157">
        <f>SUM(D24:H24)</f>
        <v>0</v>
      </c>
    </row>
    <row r="25" spans="2:9" ht="18" customHeight="1" x14ac:dyDescent="0.25">
      <c r="B25" s="187">
        <v>7</v>
      </c>
      <c r="C25" s="188" t="str">
        <f>Config!C11&amp;", "&amp;Config!D11</f>
        <v>Menke, Damian</v>
      </c>
      <c r="D25" s="275">
        <v>4</v>
      </c>
      <c r="E25" s="275">
        <v>3</v>
      </c>
      <c r="F25" s="275">
        <v>3.5</v>
      </c>
      <c r="G25" s="275">
        <v>0.5</v>
      </c>
      <c r="H25" s="276">
        <v>4</v>
      </c>
      <c r="I25" s="189">
        <f t="shared" si="0"/>
        <v>15</v>
      </c>
    </row>
    <row r="26" spans="2:9" s="152" customFormat="1" ht="13.2" customHeight="1" x14ac:dyDescent="0.2">
      <c r="B26" s="166"/>
      <c r="C26" s="167" t="s">
        <v>126</v>
      </c>
      <c r="D26" s="168"/>
      <c r="E26" s="168"/>
      <c r="F26" s="168"/>
      <c r="G26" s="168"/>
      <c r="H26" s="171"/>
      <c r="I26" s="156">
        <f>SUM(D26:H26)</f>
        <v>0</v>
      </c>
    </row>
    <row r="27" spans="2:9" s="152" customFormat="1" ht="13.2" customHeight="1" x14ac:dyDescent="0.2">
      <c r="B27" s="172"/>
      <c r="C27" s="173" t="s">
        <v>127</v>
      </c>
      <c r="D27" s="153"/>
      <c r="E27" s="153"/>
      <c r="F27" s="153"/>
      <c r="G27" s="153"/>
      <c r="H27" s="154"/>
      <c r="I27" s="155">
        <f>SUM(D27:H27)</f>
        <v>0</v>
      </c>
    </row>
    <row r="28" spans="2:9" ht="18" customHeight="1" x14ac:dyDescent="0.25">
      <c r="B28" s="182">
        <v>8</v>
      </c>
      <c r="C28" s="183" t="str">
        <f>Config!C12&amp;", "&amp;Config!D12</f>
        <v>Carroll, Meik</v>
      </c>
      <c r="D28" s="273">
        <v>3.5</v>
      </c>
      <c r="E28" s="273">
        <v>2</v>
      </c>
      <c r="F28" s="273">
        <v>3.5</v>
      </c>
      <c r="G28" s="273">
        <v>2</v>
      </c>
      <c r="H28" s="274">
        <v>2</v>
      </c>
      <c r="I28" s="184">
        <f t="shared" si="0"/>
        <v>13</v>
      </c>
    </row>
    <row r="29" spans="2:9" s="152" customFormat="1" ht="13.2" customHeight="1" x14ac:dyDescent="0.2">
      <c r="B29" s="176"/>
      <c r="C29" s="177" t="s">
        <v>126</v>
      </c>
      <c r="D29" s="178"/>
      <c r="E29" s="178"/>
      <c r="F29" s="178"/>
      <c r="G29" s="178"/>
      <c r="H29" s="181"/>
      <c r="I29" s="158">
        <f>SUM(D29:H29)</f>
        <v>0</v>
      </c>
    </row>
    <row r="30" spans="2:9" s="152" customFormat="1" ht="13.2" customHeight="1" x14ac:dyDescent="0.2">
      <c r="B30" s="185"/>
      <c r="C30" s="186" t="s">
        <v>127</v>
      </c>
      <c r="D30" s="153"/>
      <c r="E30" s="153"/>
      <c r="F30" s="153"/>
      <c r="G30" s="153"/>
      <c r="H30" s="154"/>
      <c r="I30" s="157">
        <f>SUM(D30:H30)</f>
        <v>0</v>
      </c>
    </row>
    <row r="31" spans="2:9" ht="18" customHeight="1" x14ac:dyDescent="0.25">
      <c r="B31" s="187">
        <v>9</v>
      </c>
      <c r="C31" s="188" t="str">
        <f>Config!C13&amp;", "&amp;Config!D13</f>
        <v>Hennings, Tomas</v>
      </c>
      <c r="D31" s="275">
        <v>2</v>
      </c>
      <c r="E31" s="275">
        <v>0</v>
      </c>
      <c r="F31" s="275">
        <v>1</v>
      </c>
      <c r="G31" s="275">
        <v>1</v>
      </c>
      <c r="H31" s="276">
        <v>0</v>
      </c>
      <c r="I31" s="189">
        <f t="shared" si="0"/>
        <v>4</v>
      </c>
    </row>
    <row r="32" spans="2:9" s="152" customFormat="1" ht="13.2" customHeight="1" x14ac:dyDescent="0.2">
      <c r="B32" s="166"/>
      <c r="C32" s="167" t="s">
        <v>126</v>
      </c>
      <c r="D32" s="168"/>
      <c r="E32" s="168"/>
      <c r="F32" s="168"/>
      <c r="G32" s="168"/>
      <c r="H32" s="171"/>
      <c r="I32" s="156">
        <f>SUM(D32:H32)</f>
        <v>0</v>
      </c>
    </row>
    <row r="33" spans="2:9" s="152" customFormat="1" ht="13.2" customHeight="1" x14ac:dyDescent="0.2">
      <c r="B33" s="172"/>
      <c r="C33" s="173" t="s">
        <v>127</v>
      </c>
      <c r="D33" s="153"/>
      <c r="E33" s="153"/>
      <c r="F33" s="153"/>
      <c r="G33" s="153"/>
      <c r="H33" s="154"/>
      <c r="I33" s="155">
        <f>SUM(D33:H33)</f>
        <v>0</v>
      </c>
    </row>
    <row r="34" spans="2:9" ht="18" customHeight="1" x14ac:dyDescent="0.25">
      <c r="B34" s="182">
        <v>10</v>
      </c>
      <c r="C34" s="183" t="str">
        <f>Config!C14&amp;", "&amp;Config!D14</f>
        <v>Walters, Linn</v>
      </c>
      <c r="D34" s="273">
        <v>2.5</v>
      </c>
      <c r="E34" s="273">
        <v>1</v>
      </c>
      <c r="F34" s="273">
        <v>3</v>
      </c>
      <c r="G34" s="273">
        <v>2</v>
      </c>
      <c r="H34" s="274">
        <v>0</v>
      </c>
      <c r="I34" s="184">
        <f t="shared" si="0"/>
        <v>8.5</v>
      </c>
    </row>
    <row r="35" spans="2:9" s="152" customFormat="1" ht="13.2" customHeight="1" x14ac:dyDescent="0.2">
      <c r="B35" s="176"/>
      <c r="C35" s="177" t="s">
        <v>126</v>
      </c>
      <c r="D35" s="178"/>
      <c r="E35" s="178"/>
      <c r="F35" s="178"/>
      <c r="G35" s="178"/>
      <c r="H35" s="181"/>
      <c r="I35" s="158">
        <f>SUM(D35:H35)</f>
        <v>0</v>
      </c>
    </row>
    <row r="36" spans="2:9" s="152" customFormat="1" ht="13.2" customHeight="1" x14ac:dyDescent="0.2">
      <c r="B36" s="185"/>
      <c r="C36" s="186" t="s">
        <v>127</v>
      </c>
      <c r="D36" s="153"/>
      <c r="E36" s="153"/>
      <c r="F36" s="153"/>
      <c r="G36" s="153"/>
      <c r="H36" s="154"/>
      <c r="I36" s="157">
        <f>SUM(D36:H36)</f>
        <v>0</v>
      </c>
    </row>
    <row r="37" spans="2:9" ht="18" customHeight="1" x14ac:dyDescent="0.25">
      <c r="B37" s="187">
        <v>11</v>
      </c>
      <c r="C37" s="188" t="str">
        <f>Config!C15&amp;", "&amp;Config!D15</f>
        <v>Junker, Amely</v>
      </c>
      <c r="D37" s="275">
        <v>4</v>
      </c>
      <c r="E37" s="275">
        <v>3</v>
      </c>
      <c r="F37" s="275">
        <v>2</v>
      </c>
      <c r="G37" s="275">
        <v>2</v>
      </c>
      <c r="H37" s="276">
        <v>2</v>
      </c>
      <c r="I37" s="189">
        <f t="shared" si="0"/>
        <v>13</v>
      </c>
    </row>
    <row r="38" spans="2:9" s="152" customFormat="1" ht="13.2" customHeight="1" x14ac:dyDescent="0.2">
      <c r="B38" s="166"/>
      <c r="C38" s="167" t="s">
        <v>126</v>
      </c>
      <c r="D38" s="168"/>
      <c r="E38" s="168"/>
      <c r="F38" s="168"/>
      <c r="G38" s="168"/>
      <c r="H38" s="171"/>
      <c r="I38" s="156">
        <f>SUM(D38:H38)</f>
        <v>0</v>
      </c>
    </row>
    <row r="39" spans="2:9" s="152" customFormat="1" ht="13.2" customHeight="1" x14ac:dyDescent="0.2">
      <c r="B39" s="172"/>
      <c r="C39" s="173" t="s">
        <v>127</v>
      </c>
      <c r="D39" s="153"/>
      <c r="E39" s="153"/>
      <c r="F39" s="153"/>
      <c r="G39" s="153"/>
      <c r="H39" s="154"/>
      <c r="I39" s="155">
        <f>SUM(D39:H39)</f>
        <v>0</v>
      </c>
    </row>
    <row r="40" spans="2:9" ht="18" customHeight="1" x14ac:dyDescent="0.25">
      <c r="B40" s="182">
        <v>12</v>
      </c>
      <c r="C40" s="183" t="str">
        <f>Config!C16&amp;", "&amp;Config!D16</f>
        <v>Stephens, Melvin</v>
      </c>
      <c r="D40" s="273">
        <v>4</v>
      </c>
      <c r="E40" s="273">
        <v>2</v>
      </c>
      <c r="F40" s="273">
        <v>3</v>
      </c>
      <c r="G40" s="273">
        <v>2</v>
      </c>
      <c r="H40" s="274">
        <v>2</v>
      </c>
      <c r="I40" s="184">
        <f t="shared" ref="I40:I70" si="1">SUM(D40:H40)</f>
        <v>13</v>
      </c>
    </row>
    <row r="41" spans="2:9" s="152" customFormat="1" ht="13.2" customHeight="1" x14ac:dyDescent="0.2">
      <c r="B41" s="176"/>
      <c r="C41" s="177" t="s">
        <v>126</v>
      </c>
      <c r="D41" s="178"/>
      <c r="E41" s="178"/>
      <c r="F41" s="178"/>
      <c r="G41" s="178"/>
      <c r="H41" s="181"/>
      <c r="I41" s="158">
        <f>SUM(D41:H41)</f>
        <v>0</v>
      </c>
    </row>
    <row r="42" spans="2:9" s="152" customFormat="1" ht="13.2" customHeight="1" x14ac:dyDescent="0.2">
      <c r="B42" s="185"/>
      <c r="C42" s="186" t="s">
        <v>127</v>
      </c>
      <c r="D42" s="153"/>
      <c r="E42" s="153"/>
      <c r="F42" s="153"/>
      <c r="G42" s="153"/>
      <c r="H42" s="154"/>
      <c r="I42" s="157">
        <f>SUM(D42:H42)</f>
        <v>0</v>
      </c>
    </row>
    <row r="43" spans="2:9" ht="18" customHeight="1" x14ac:dyDescent="0.25">
      <c r="B43" s="187">
        <v>13</v>
      </c>
      <c r="C43" s="188" t="str">
        <f>Config!C17&amp;", "&amp;Config!D17</f>
        <v>Cremer, Marvin</v>
      </c>
      <c r="D43" s="275">
        <v>3</v>
      </c>
      <c r="E43" s="275">
        <v>0</v>
      </c>
      <c r="F43" s="275">
        <v>0</v>
      </c>
      <c r="G43" s="275">
        <v>0</v>
      </c>
      <c r="H43" s="276">
        <v>0</v>
      </c>
      <c r="I43" s="189">
        <f t="shared" si="1"/>
        <v>3</v>
      </c>
    </row>
    <row r="44" spans="2:9" s="152" customFormat="1" ht="13.2" customHeight="1" x14ac:dyDescent="0.2">
      <c r="B44" s="166"/>
      <c r="C44" s="167" t="s">
        <v>126</v>
      </c>
      <c r="D44" s="168"/>
      <c r="E44" s="168"/>
      <c r="F44" s="168"/>
      <c r="G44" s="168"/>
      <c r="H44" s="171"/>
      <c r="I44" s="156">
        <f>SUM(D44:H44)</f>
        <v>0</v>
      </c>
    </row>
    <row r="45" spans="2:9" s="152" customFormat="1" ht="13.2" customHeight="1" x14ac:dyDescent="0.2">
      <c r="B45" s="172"/>
      <c r="C45" s="173" t="s">
        <v>127</v>
      </c>
      <c r="D45" s="153"/>
      <c r="E45" s="153"/>
      <c r="F45" s="153"/>
      <c r="G45" s="153"/>
      <c r="H45" s="154"/>
      <c r="I45" s="155">
        <f>SUM(D45:H45)</f>
        <v>0</v>
      </c>
    </row>
    <row r="46" spans="2:9" ht="18" customHeight="1" x14ac:dyDescent="0.25">
      <c r="B46" s="182">
        <v>14</v>
      </c>
      <c r="C46" s="183" t="str">
        <f>Config!C18&amp;", "&amp;Config!D18</f>
        <v>Nash, Jean</v>
      </c>
      <c r="D46" s="273">
        <v>4</v>
      </c>
      <c r="E46" s="273">
        <v>3</v>
      </c>
      <c r="F46" s="273">
        <v>2</v>
      </c>
      <c r="G46" s="273">
        <v>2</v>
      </c>
      <c r="H46" s="274">
        <v>3.5</v>
      </c>
      <c r="I46" s="184">
        <f t="shared" si="1"/>
        <v>14.5</v>
      </c>
    </row>
    <row r="47" spans="2:9" s="152" customFormat="1" ht="13.2" customHeight="1" x14ac:dyDescent="0.2">
      <c r="B47" s="176"/>
      <c r="C47" s="177" t="s">
        <v>126</v>
      </c>
      <c r="D47" s="178"/>
      <c r="E47" s="178"/>
      <c r="F47" s="178"/>
      <c r="G47" s="178"/>
      <c r="H47" s="181"/>
      <c r="I47" s="158">
        <f>SUM(D47:H47)</f>
        <v>0</v>
      </c>
    </row>
    <row r="48" spans="2:9" s="152" customFormat="1" ht="13.2" customHeight="1" x14ac:dyDescent="0.2">
      <c r="B48" s="185"/>
      <c r="C48" s="186" t="s">
        <v>127</v>
      </c>
      <c r="D48" s="153"/>
      <c r="E48" s="153"/>
      <c r="F48" s="153"/>
      <c r="G48" s="153"/>
      <c r="H48" s="154"/>
      <c r="I48" s="157">
        <f>SUM(D48:H48)</f>
        <v>0</v>
      </c>
    </row>
    <row r="49" spans="2:9" ht="18" customHeight="1" x14ac:dyDescent="0.25">
      <c r="B49" s="187">
        <v>15</v>
      </c>
      <c r="C49" s="188" t="str">
        <f>Config!C19&amp;", "&amp;Config!D19</f>
        <v>Schön, Leonardo</v>
      </c>
      <c r="D49" s="275">
        <v>4</v>
      </c>
      <c r="E49" s="275">
        <v>1</v>
      </c>
      <c r="F49" s="275">
        <v>1</v>
      </c>
      <c r="G49" s="275">
        <v>0.5</v>
      </c>
      <c r="H49" s="276">
        <v>0</v>
      </c>
      <c r="I49" s="189">
        <f t="shared" si="1"/>
        <v>6.5</v>
      </c>
    </row>
    <row r="50" spans="2:9" s="152" customFormat="1" ht="13.2" customHeight="1" x14ac:dyDescent="0.2">
      <c r="B50" s="166"/>
      <c r="C50" s="167" t="s">
        <v>126</v>
      </c>
      <c r="D50" s="168"/>
      <c r="E50" s="168"/>
      <c r="F50" s="168"/>
      <c r="G50" s="168"/>
      <c r="H50" s="171"/>
      <c r="I50" s="156">
        <f>SUM(D50:H50)</f>
        <v>0</v>
      </c>
    </row>
    <row r="51" spans="2:9" s="152" customFormat="1" ht="13.2" customHeight="1" x14ac:dyDescent="0.2">
      <c r="B51" s="172"/>
      <c r="C51" s="173" t="s">
        <v>127</v>
      </c>
      <c r="D51" s="153"/>
      <c r="E51" s="153"/>
      <c r="F51" s="153"/>
      <c r="G51" s="153"/>
      <c r="H51" s="154"/>
      <c r="I51" s="155">
        <f>SUM(D51:H51)</f>
        <v>0</v>
      </c>
    </row>
    <row r="52" spans="2:9" ht="18" customHeight="1" x14ac:dyDescent="0.25">
      <c r="B52" s="182">
        <v>16</v>
      </c>
      <c r="C52" s="183" t="str">
        <f>Config!C20&amp;", "&amp;Config!D20</f>
        <v>Sigl, Nicholas</v>
      </c>
      <c r="D52" s="273">
        <v>4</v>
      </c>
      <c r="E52" s="273">
        <v>0.5</v>
      </c>
      <c r="F52" s="273">
        <v>1</v>
      </c>
      <c r="G52" s="273">
        <v>0.5</v>
      </c>
      <c r="H52" s="274">
        <v>0</v>
      </c>
      <c r="I52" s="184">
        <f t="shared" si="1"/>
        <v>6</v>
      </c>
    </row>
    <row r="53" spans="2:9" s="152" customFormat="1" ht="13.2" customHeight="1" x14ac:dyDescent="0.2">
      <c r="B53" s="176"/>
      <c r="C53" s="177" t="s">
        <v>126</v>
      </c>
      <c r="D53" s="178"/>
      <c r="E53" s="178"/>
      <c r="F53" s="178"/>
      <c r="G53" s="178"/>
      <c r="H53" s="181"/>
      <c r="I53" s="158">
        <f>SUM(D53:H53)</f>
        <v>0</v>
      </c>
    </row>
    <row r="54" spans="2:9" s="152" customFormat="1" ht="13.2" customHeight="1" x14ac:dyDescent="0.2">
      <c r="B54" s="185"/>
      <c r="C54" s="186" t="s">
        <v>127</v>
      </c>
      <c r="D54" s="153"/>
      <c r="E54" s="153"/>
      <c r="F54" s="153"/>
      <c r="G54" s="153"/>
      <c r="H54" s="154"/>
      <c r="I54" s="157">
        <f>SUM(D54:H54)</f>
        <v>0</v>
      </c>
    </row>
    <row r="55" spans="2:9" ht="18" customHeight="1" x14ac:dyDescent="0.25">
      <c r="B55" s="187">
        <v>17</v>
      </c>
      <c r="C55" s="188" t="str">
        <f>Config!C21&amp;", "&amp;Config!D21</f>
        <v>Kainz, Vivienne</v>
      </c>
      <c r="D55" s="275">
        <v>2</v>
      </c>
      <c r="E55" s="275">
        <v>0</v>
      </c>
      <c r="F55" s="275">
        <v>1</v>
      </c>
      <c r="G55" s="275">
        <v>1.5</v>
      </c>
      <c r="H55" s="276">
        <v>0</v>
      </c>
      <c r="I55" s="189">
        <f t="shared" si="1"/>
        <v>4.5</v>
      </c>
    </row>
    <row r="56" spans="2:9" s="152" customFormat="1" ht="13.2" customHeight="1" x14ac:dyDescent="0.2">
      <c r="B56" s="166"/>
      <c r="C56" s="167" t="s">
        <v>126</v>
      </c>
      <c r="D56" s="168"/>
      <c r="E56" s="168"/>
      <c r="F56" s="168"/>
      <c r="G56" s="168"/>
      <c r="H56" s="171"/>
      <c r="I56" s="156">
        <f>SUM(D56:H56)</f>
        <v>0</v>
      </c>
    </row>
    <row r="57" spans="2:9" s="152" customFormat="1" ht="13.2" customHeight="1" x14ac:dyDescent="0.2">
      <c r="B57" s="172"/>
      <c r="C57" s="173" t="s">
        <v>127</v>
      </c>
      <c r="D57" s="153"/>
      <c r="E57" s="153"/>
      <c r="F57" s="153"/>
      <c r="G57" s="153"/>
      <c r="H57" s="154"/>
      <c r="I57" s="155">
        <f>SUM(D57:H57)</f>
        <v>0</v>
      </c>
    </row>
    <row r="58" spans="2:9" ht="18" customHeight="1" x14ac:dyDescent="0.25">
      <c r="B58" s="182">
        <v>18</v>
      </c>
      <c r="C58" s="183" t="str">
        <f>Config!C22&amp;", "&amp;Config!D22</f>
        <v>Hartmann, Mads</v>
      </c>
      <c r="D58" s="273">
        <v>4</v>
      </c>
      <c r="E58" s="273">
        <v>3</v>
      </c>
      <c r="F58" s="273">
        <v>3</v>
      </c>
      <c r="G58" s="273">
        <v>0</v>
      </c>
      <c r="H58" s="274">
        <v>4</v>
      </c>
      <c r="I58" s="184">
        <f t="shared" si="1"/>
        <v>14</v>
      </c>
    </row>
    <row r="59" spans="2:9" s="152" customFormat="1" ht="13.2" customHeight="1" x14ac:dyDescent="0.2">
      <c r="B59" s="176"/>
      <c r="C59" s="177" t="s">
        <v>126</v>
      </c>
      <c r="D59" s="178"/>
      <c r="E59" s="178"/>
      <c r="F59" s="178"/>
      <c r="G59" s="178"/>
      <c r="H59" s="181"/>
      <c r="I59" s="158">
        <f>SUM(D59:H59)</f>
        <v>0</v>
      </c>
    </row>
    <row r="60" spans="2:9" s="152" customFormat="1" ht="13.2" customHeight="1" x14ac:dyDescent="0.2">
      <c r="B60" s="185"/>
      <c r="C60" s="186" t="s">
        <v>127</v>
      </c>
      <c r="D60" s="153"/>
      <c r="E60" s="153"/>
      <c r="F60" s="153"/>
      <c r="G60" s="153"/>
      <c r="H60" s="154"/>
      <c r="I60" s="157">
        <f>SUM(D60:H60)</f>
        <v>0</v>
      </c>
    </row>
    <row r="61" spans="2:9" ht="18" customHeight="1" x14ac:dyDescent="0.25">
      <c r="B61" s="187">
        <v>19</v>
      </c>
      <c r="C61" s="188" t="str">
        <f>Config!C23&amp;", "&amp;Config!D23</f>
        <v>Ullmann, Raphael</v>
      </c>
      <c r="D61" s="275">
        <v>4</v>
      </c>
      <c r="E61" s="275">
        <v>1</v>
      </c>
      <c r="F61" s="275">
        <v>3</v>
      </c>
      <c r="G61" s="275">
        <v>2</v>
      </c>
      <c r="H61" s="276">
        <v>3.5</v>
      </c>
      <c r="I61" s="189">
        <f t="shared" si="1"/>
        <v>13.5</v>
      </c>
    </row>
    <row r="62" spans="2:9" s="152" customFormat="1" ht="13.2" customHeight="1" x14ac:dyDescent="0.2">
      <c r="B62" s="166"/>
      <c r="C62" s="167" t="s">
        <v>126</v>
      </c>
      <c r="D62" s="168"/>
      <c r="E62" s="168"/>
      <c r="F62" s="168"/>
      <c r="G62" s="168"/>
      <c r="H62" s="171"/>
      <c r="I62" s="156">
        <f>SUM(D62:H62)</f>
        <v>0</v>
      </c>
    </row>
    <row r="63" spans="2:9" s="152" customFormat="1" ht="13.2" customHeight="1" x14ac:dyDescent="0.2">
      <c r="B63" s="172"/>
      <c r="C63" s="173" t="s">
        <v>127</v>
      </c>
      <c r="D63" s="153"/>
      <c r="E63" s="153"/>
      <c r="F63" s="153"/>
      <c r="G63" s="153"/>
      <c r="H63" s="154"/>
      <c r="I63" s="155">
        <f>SUM(D63:H63)</f>
        <v>0</v>
      </c>
    </row>
    <row r="64" spans="2:9" ht="18" customHeight="1" x14ac:dyDescent="0.25">
      <c r="B64" s="182">
        <v>20</v>
      </c>
      <c r="C64" s="183" t="str">
        <f>Config!C24&amp;", "&amp;Config!D24</f>
        <v>Hartl, Emmely</v>
      </c>
      <c r="D64" s="273">
        <v>4</v>
      </c>
      <c r="E64" s="273">
        <v>2</v>
      </c>
      <c r="F64" s="273">
        <v>3</v>
      </c>
      <c r="G64" s="273">
        <v>2</v>
      </c>
      <c r="H64" s="274">
        <v>4</v>
      </c>
      <c r="I64" s="184">
        <f t="shared" si="1"/>
        <v>15</v>
      </c>
    </row>
    <row r="65" spans="2:9" s="152" customFormat="1" ht="13.2" customHeight="1" x14ac:dyDescent="0.2">
      <c r="B65" s="176"/>
      <c r="C65" s="177" t="s">
        <v>126</v>
      </c>
      <c r="D65" s="178"/>
      <c r="E65" s="178"/>
      <c r="F65" s="178"/>
      <c r="G65" s="178"/>
      <c r="H65" s="181"/>
      <c r="I65" s="158">
        <f>SUM(D65:H65)</f>
        <v>0</v>
      </c>
    </row>
    <row r="66" spans="2:9" s="152" customFormat="1" ht="13.2" customHeight="1" x14ac:dyDescent="0.2">
      <c r="B66" s="185"/>
      <c r="C66" s="186" t="s">
        <v>127</v>
      </c>
      <c r="D66" s="153"/>
      <c r="E66" s="153"/>
      <c r="F66" s="153"/>
      <c r="G66" s="153"/>
      <c r="H66" s="154"/>
      <c r="I66" s="157">
        <f>SUM(D66:H66)</f>
        <v>0</v>
      </c>
    </row>
    <row r="67" spans="2:9" ht="18" customHeight="1" x14ac:dyDescent="0.25">
      <c r="B67" s="187">
        <v>21</v>
      </c>
      <c r="C67" s="188" t="str">
        <f>Config!C25&amp;", "&amp;Config!D25</f>
        <v>Klotz, Karin</v>
      </c>
      <c r="D67" s="275">
        <v>4</v>
      </c>
      <c r="E67" s="275">
        <v>3</v>
      </c>
      <c r="F67" s="275">
        <v>4</v>
      </c>
      <c r="G67" s="275">
        <v>2</v>
      </c>
      <c r="H67" s="276">
        <v>3</v>
      </c>
      <c r="I67" s="189">
        <f t="shared" si="1"/>
        <v>16</v>
      </c>
    </row>
    <row r="68" spans="2:9" s="152" customFormat="1" ht="13.2" customHeight="1" x14ac:dyDescent="0.2">
      <c r="B68" s="166"/>
      <c r="C68" s="167" t="s">
        <v>126</v>
      </c>
      <c r="D68" s="168"/>
      <c r="E68" s="168"/>
      <c r="F68" s="168"/>
      <c r="G68" s="168"/>
      <c r="H68" s="171"/>
      <c r="I68" s="156">
        <f>SUM(D68:H68)</f>
        <v>0</v>
      </c>
    </row>
    <row r="69" spans="2:9" s="152" customFormat="1" ht="13.2" customHeight="1" x14ac:dyDescent="0.2">
      <c r="B69" s="172"/>
      <c r="C69" s="173" t="s">
        <v>127</v>
      </c>
      <c r="D69" s="153"/>
      <c r="E69" s="153"/>
      <c r="F69" s="153"/>
      <c r="G69" s="153"/>
      <c r="H69" s="154"/>
      <c r="I69" s="155">
        <f>SUM(D69:H69)</f>
        <v>0</v>
      </c>
    </row>
    <row r="70" spans="2:9" ht="18" customHeight="1" x14ac:dyDescent="0.25">
      <c r="B70" s="182">
        <v>22</v>
      </c>
      <c r="C70" s="183" t="str">
        <f>Config!C26&amp;", "&amp;Config!D26</f>
        <v>Ehlers, Ingo</v>
      </c>
      <c r="D70" s="273">
        <v>4</v>
      </c>
      <c r="E70" s="273">
        <v>2</v>
      </c>
      <c r="F70" s="273">
        <v>4</v>
      </c>
      <c r="G70" s="273">
        <v>2</v>
      </c>
      <c r="H70" s="274">
        <v>2.5</v>
      </c>
      <c r="I70" s="184">
        <f t="shared" si="1"/>
        <v>14.5</v>
      </c>
    </row>
    <row r="71" spans="2:9" s="152" customFormat="1" ht="13.2" customHeight="1" x14ac:dyDescent="0.2">
      <c r="B71" s="176"/>
      <c r="C71" s="177" t="s">
        <v>126</v>
      </c>
      <c r="D71" s="178"/>
      <c r="E71" s="178"/>
      <c r="F71" s="178"/>
      <c r="G71" s="178"/>
      <c r="H71" s="181"/>
      <c r="I71" s="158">
        <f>SUM(D71:H71)</f>
        <v>0</v>
      </c>
    </row>
    <row r="72" spans="2:9" s="152" customFormat="1" ht="13.2" customHeight="1" x14ac:dyDescent="0.2">
      <c r="B72" s="185"/>
      <c r="C72" s="186" t="s">
        <v>127</v>
      </c>
      <c r="D72" s="153"/>
      <c r="E72" s="153"/>
      <c r="F72" s="153"/>
      <c r="G72" s="153"/>
      <c r="H72" s="154"/>
      <c r="I72" s="157">
        <f>SUM(D72:H72)</f>
        <v>0</v>
      </c>
    </row>
    <row r="73" spans="2:9" ht="18" customHeight="1" x14ac:dyDescent="0.25">
      <c r="B73" s="187">
        <v>23</v>
      </c>
      <c r="C73" s="188" t="str">
        <f>Config!C27&amp;", "&amp;Config!D27</f>
        <v>Lindemann, Mads</v>
      </c>
      <c r="D73" s="275">
        <v>4</v>
      </c>
      <c r="E73" s="275">
        <v>0</v>
      </c>
      <c r="F73" s="275">
        <v>2</v>
      </c>
      <c r="G73" s="275">
        <v>0.5</v>
      </c>
      <c r="H73" s="276">
        <v>0</v>
      </c>
      <c r="I73" s="189">
        <f t="shared" ref="I73" si="2">SUM(D73:H73)</f>
        <v>6.5</v>
      </c>
    </row>
    <row r="74" spans="2:9" s="152" customFormat="1" ht="13.2" customHeight="1" x14ac:dyDescent="0.2">
      <c r="B74" s="166"/>
      <c r="C74" s="167" t="s">
        <v>126</v>
      </c>
      <c r="D74" s="168"/>
      <c r="E74" s="168"/>
      <c r="F74" s="168"/>
      <c r="G74" s="168"/>
      <c r="H74" s="171"/>
      <c r="I74" s="156">
        <f>SUM(D74:H74)</f>
        <v>0</v>
      </c>
    </row>
    <row r="75" spans="2:9" s="152" customFormat="1" ht="13.2" customHeight="1" thickBot="1" x14ac:dyDescent="0.25">
      <c r="B75" s="172"/>
      <c r="C75" s="173" t="s">
        <v>127</v>
      </c>
      <c r="D75" s="153"/>
      <c r="E75" s="153"/>
      <c r="F75" s="153"/>
      <c r="G75" s="153"/>
      <c r="H75" s="154"/>
      <c r="I75" s="155">
        <f>SUM(D75:H75)</f>
        <v>0</v>
      </c>
    </row>
    <row r="76" spans="2:9" ht="18" customHeight="1" thickBot="1" x14ac:dyDescent="0.3">
      <c r="B76" s="194"/>
      <c r="C76" s="195"/>
      <c r="D76" s="195">
        <f>IF(COUNTIFS(D7:D73,"&lt;&gt;",C7:C73,"&lt;&gt;ZK",C7:C73,"&lt;&gt;DK")&lt;&gt;0,SUMIFS(D7:D73,C7:C73,"&lt;&gt;ZK",C7:C73,"&lt;&gt;DK")/(COUNTIFS(D7:D73,"&lt;&gt;",C7:C73,"&lt;&gt;ZK",C7:C73,"&lt;&gt;DK")*D6),0)</f>
        <v>0.92391304347826086</v>
      </c>
      <c r="E76" s="195">
        <f>IF(COUNTIFS(E7:E73,"&lt;&gt;",C7:C73,"&lt;&gt;ZK",C7:C73,"&lt;&gt;DK")&lt;&gt;0,SUMIFS(E7:E73,C7:C73,"&lt;&gt;ZK",C7:C73,"&lt;&gt;DK")/(COUNTIFS(E7:E73,"&lt;&gt;",C7:C73,"&lt;&gt;ZK",C7:C73,"&lt;&gt;DK")*E6),0)</f>
        <v>0.54347826086956519</v>
      </c>
      <c r="F76" s="195">
        <f>IF(COUNTIFS(F7:F73,"&lt;&gt;",C7:C73,"&lt;&gt;ZK",C7:C73,"&lt;&gt;DK")&lt;&gt;0,SUMIFS(F7:F73,C7:C73,"&lt;&gt;ZK",C7:C73,"&lt;&gt;DK")/(COUNTIFS(F7:F73,"&lt;&gt;",C7:C73,"&lt;&gt;ZK",C7:C73,"&lt;&gt;DK")*F6),0)</f>
        <v>0.63043478260869568</v>
      </c>
      <c r="G76" s="195">
        <f>IF(COUNTIFS(G7:G73,"&lt;&gt;",C7:C73,"&lt;&gt;ZK",C7:C73,"&lt;&gt;DK")&lt;&gt;0,SUMIFS(G7:G73,C7:C73,"&lt;&gt;ZK",C7:C73,"&lt;&gt;DK")/(COUNTIFS(G7:G73,"&lt;&gt;",C7:C73,"&lt;&gt;ZK",C7:C73,"&lt;&gt;DK")*G6),0)</f>
        <v>0.39855072463768115</v>
      </c>
      <c r="H76" s="195">
        <f>IF(COUNTIFS(H7:H73,"&lt;&gt;",C7:C73,"&lt;&gt;ZK",C7:C73,"&lt;&gt;DK")&lt;&gt;0,SUMIFS(H7:H73,C7:C73,"&lt;&gt;ZK",C7:C73,"&lt;&gt;DK")/(COUNTIFS(H7:H73,"&lt;&gt;",C7:C73,"&lt;&gt;ZK",C7:C73,"&lt;&gt;DK")*H6),0)</f>
        <v>0.51086956521739135</v>
      </c>
      <c r="I76" s="196"/>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7539F855-6E01-4600-B5E2-33D2E0346948}">
      <formula1>0</formula1>
      <formula2>$D$6</formula2>
    </dataValidation>
    <dataValidation type="decimal" allowBlank="1" showErrorMessage="1" sqref="E7:E75" xr:uid="{38B35D7C-C11B-4394-AFAE-2ED2E6F8C8D6}">
      <formula1>0</formula1>
      <formula2>$E$6</formula2>
    </dataValidation>
    <dataValidation type="decimal" allowBlank="1" showErrorMessage="1" sqref="F7:F75" xr:uid="{C1CD3525-9CC7-4225-9DA9-ECB9F9CFD959}">
      <formula1>0</formula1>
      <formula2>$F$6</formula2>
    </dataValidation>
    <dataValidation type="decimal" allowBlank="1" showErrorMessage="1" sqref="G7:G75" xr:uid="{02447C01-EE5D-437A-AA75-2A8BD4B0DF58}">
      <formula1>0</formula1>
      <formula2>$G$6</formula2>
    </dataValidation>
    <dataValidation type="decimal" allowBlank="1" showErrorMessage="1" sqref="H7:H75" xr:uid="{296A63BE-03AE-4D7D-A18C-94B27708607F}">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B3D3B-2B32-4058-AC6A-E4CEA67A1656}">
  <sheetPr codeName="Tabelle7">
    <tabColor rgb="FF92D050"/>
  </sheetPr>
  <dimension ref="B1:I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9" width="8.6640625" style="96" customWidth="1"/>
    <col min="10" max="16384" width="11.5546875" style="96"/>
  </cols>
  <sheetData>
    <row r="1" spans="2:9" ht="18" customHeight="1" thickBot="1" x14ac:dyDescent="0.3"/>
    <row r="2" spans="2:9" ht="18" customHeight="1" x14ac:dyDescent="0.25">
      <c r="B2" s="97" t="str">
        <f>Config!F2&amp;" "&amp;YEAR(Config!G24)</f>
        <v>Mathe Abitur 2026</v>
      </c>
      <c r="C2" s="98"/>
      <c r="D2" s="98"/>
      <c r="E2" s="98"/>
      <c r="F2" s="99"/>
      <c r="G2" s="99"/>
      <c r="H2" s="99"/>
      <c r="I2" s="100" t="str">
        <f>"Kurs "&amp;Config!G26</f>
        <v>Kurs K1</v>
      </c>
    </row>
    <row r="3" spans="2:9" ht="18" customHeight="1" x14ac:dyDescent="0.25">
      <c r="B3" s="101" t="s">
        <v>112</v>
      </c>
      <c r="C3" s="102"/>
      <c r="D3" s="102"/>
      <c r="E3" s="102"/>
      <c r="F3" s="102"/>
      <c r="G3" s="102"/>
      <c r="H3" s="102"/>
      <c r="I3" s="103"/>
    </row>
    <row r="4" spans="2:9" ht="18" customHeight="1" thickBot="1" x14ac:dyDescent="0.3">
      <c r="B4" s="101"/>
      <c r="C4" s="102"/>
      <c r="D4" s="104"/>
      <c r="E4" s="104"/>
      <c r="F4" s="104"/>
      <c r="G4" s="104"/>
      <c r="H4" s="104"/>
      <c r="I4" s="105"/>
    </row>
    <row r="5" spans="2:9" ht="18" customHeight="1" thickBot="1" x14ac:dyDescent="0.3">
      <c r="B5" s="106"/>
      <c r="C5" s="108"/>
      <c r="D5" s="118" t="str">
        <f>Config!R6</f>
        <v>6</v>
      </c>
      <c r="E5" s="118" t="str">
        <f>Config!R7</f>
        <v>7a</v>
      </c>
      <c r="F5" s="118" t="str">
        <f>Config!R8</f>
        <v>7b</v>
      </c>
      <c r="G5" s="118" t="str">
        <f>Config!R9</f>
        <v>8</v>
      </c>
      <c r="H5" s="118" t="str">
        <f>Config!R10</f>
        <v>9</v>
      </c>
      <c r="I5" s="112" t="s">
        <v>82</v>
      </c>
    </row>
    <row r="6" spans="2:9" ht="18" customHeight="1" thickBot="1" x14ac:dyDescent="0.3">
      <c r="B6" s="107"/>
      <c r="C6" s="109" t="s">
        <v>81</v>
      </c>
      <c r="D6" s="111">
        <f>Config!S6</f>
        <v>5</v>
      </c>
      <c r="E6" s="111">
        <f>Config!S7</f>
        <v>2</v>
      </c>
      <c r="F6" s="111">
        <f>Config!S8</f>
        <v>3</v>
      </c>
      <c r="G6" s="111">
        <f>Config!S9</f>
        <v>5</v>
      </c>
      <c r="H6" s="111">
        <f>Config!S10</f>
        <v>5</v>
      </c>
      <c r="I6" s="119">
        <f>Config!S21</f>
        <v>10</v>
      </c>
    </row>
    <row r="7" spans="2:9" ht="18" customHeight="1" x14ac:dyDescent="0.25">
      <c r="B7" s="163">
        <v>1</v>
      </c>
      <c r="C7" s="164" t="str">
        <f>Config!C5&amp;", "&amp;Config!D5</f>
        <v>Höfer, Simon</v>
      </c>
      <c r="D7" s="271">
        <v>3</v>
      </c>
      <c r="E7" s="271">
        <v>2</v>
      </c>
      <c r="F7" s="271">
        <v>2</v>
      </c>
      <c r="G7" s="277"/>
      <c r="H7" s="278"/>
      <c r="I7" s="165">
        <f t="shared" ref="I7:I37" si="0">SUM(D7:H7)</f>
        <v>7</v>
      </c>
    </row>
    <row r="8" spans="2:9" s="152" customFormat="1" ht="13.2" customHeight="1" x14ac:dyDescent="0.2">
      <c r="B8" s="166"/>
      <c r="C8" s="167" t="s">
        <v>126</v>
      </c>
      <c r="D8" s="168"/>
      <c r="E8" s="168"/>
      <c r="F8" s="168"/>
      <c r="G8" s="190"/>
      <c r="H8" s="191"/>
      <c r="I8" s="156">
        <f>SUM(D8:H8)</f>
        <v>0</v>
      </c>
    </row>
    <row r="9" spans="2:9" s="152" customFormat="1" ht="13.2" customHeight="1" x14ac:dyDescent="0.2">
      <c r="B9" s="172"/>
      <c r="C9" s="173" t="s">
        <v>127</v>
      </c>
      <c r="D9" s="153"/>
      <c r="E9" s="153"/>
      <c r="F9" s="153"/>
      <c r="G9" s="159"/>
      <c r="H9" s="160"/>
      <c r="I9" s="155">
        <f>SUM(D9:H9)</f>
        <v>0</v>
      </c>
    </row>
    <row r="10" spans="2:9" ht="18" customHeight="1" x14ac:dyDescent="0.25">
      <c r="B10" s="182">
        <v>2</v>
      </c>
      <c r="C10" s="183" t="str">
        <f>Config!C6&amp;", "&amp;Config!D6</f>
        <v>Töpfer, Lilian</v>
      </c>
      <c r="D10" s="273">
        <v>4</v>
      </c>
      <c r="E10" s="279"/>
      <c r="F10" s="279"/>
      <c r="G10" s="273">
        <v>4</v>
      </c>
      <c r="H10" s="280"/>
      <c r="I10" s="184">
        <f t="shared" si="0"/>
        <v>8</v>
      </c>
    </row>
    <row r="11" spans="2:9" s="152" customFormat="1" ht="13.2" customHeight="1" x14ac:dyDescent="0.2">
      <c r="B11" s="176"/>
      <c r="C11" s="177" t="s">
        <v>126</v>
      </c>
      <c r="D11" s="178"/>
      <c r="E11" s="192"/>
      <c r="F11" s="192"/>
      <c r="G11" s="178"/>
      <c r="H11" s="193"/>
      <c r="I11" s="158">
        <f>SUM(D11:H11)</f>
        <v>0</v>
      </c>
    </row>
    <row r="12" spans="2:9" s="152" customFormat="1" ht="13.2" customHeight="1" x14ac:dyDescent="0.2">
      <c r="B12" s="185"/>
      <c r="C12" s="186" t="s">
        <v>127</v>
      </c>
      <c r="D12" s="153"/>
      <c r="E12" s="161"/>
      <c r="F12" s="161"/>
      <c r="G12" s="153"/>
      <c r="H12" s="162"/>
      <c r="I12" s="157">
        <f>SUM(D12:H12)</f>
        <v>0</v>
      </c>
    </row>
    <row r="13" spans="2:9" ht="18" customHeight="1" x14ac:dyDescent="0.25">
      <c r="B13" s="187">
        <v>3</v>
      </c>
      <c r="C13" s="188" t="str">
        <f>Config!C7&amp;", "&amp;Config!D7</f>
        <v>Fleischmann, Leonie</v>
      </c>
      <c r="D13" s="281"/>
      <c r="E13" s="281"/>
      <c r="F13" s="281"/>
      <c r="G13" s="275">
        <v>5</v>
      </c>
      <c r="H13" s="276">
        <v>3</v>
      </c>
      <c r="I13" s="189">
        <f t="shared" si="0"/>
        <v>8</v>
      </c>
    </row>
    <row r="14" spans="2:9" s="152" customFormat="1" ht="13.2" customHeight="1" x14ac:dyDescent="0.2">
      <c r="B14" s="166"/>
      <c r="C14" s="167" t="s">
        <v>126</v>
      </c>
      <c r="D14" s="190"/>
      <c r="E14" s="190"/>
      <c r="F14" s="190"/>
      <c r="G14" s="168"/>
      <c r="H14" s="171"/>
      <c r="I14" s="156">
        <f>SUM(D14:H14)</f>
        <v>0</v>
      </c>
    </row>
    <row r="15" spans="2:9" s="152" customFormat="1" ht="13.2" customHeight="1" x14ac:dyDescent="0.2">
      <c r="B15" s="172"/>
      <c r="C15" s="173" t="s">
        <v>127</v>
      </c>
      <c r="D15" s="159"/>
      <c r="E15" s="159"/>
      <c r="F15" s="159"/>
      <c r="G15" s="153"/>
      <c r="H15" s="154"/>
      <c r="I15" s="155">
        <f>SUM(D15:H15)</f>
        <v>0</v>
      </c>
    </row>
    <row r="16" spans="2:9" ht="18" customHeight="1" x14ac:dyDescent="0.25">
      <c r="B16" s="182">
        <v>4</v>
      </c>
      <c r="C16" s="183" t="str">
        <f>Config!C8&amp;", "&amp;Config!D8</f>
        <v>Drescher, Cedric</v>
      </c>
      <c r="D16" s="273">
        <v>1</v>
      </c>
      <c r="E16" s="273">
        <v>2</v>
      </c>
      <c r="F16" s="273">
        <v>3</v>
      </c>
      <c r="G16" s="279"/>
      <c r="H16" s="280"/>
      <c r="I16" s="184">
        <f t="shared" si="0"/>
        <v>6</v>
      </c>
    </row>
    <row r="17" spans="2:9" s="152" customFormat="1" ht="13.2" customHeight="1" x14ac:dyDescent="0.2">
      <c r="B17" s="176"/>
      <c r="C17" s="177" t="s">
        <v>126</v>
      </c>
      <c r="D17" s="178"/>
      <c r="E17" s="178"/>
      <c r="F17" s="178"/>
      <c r="G17" s="192"/>
      <c r="H17" s="193"/>
      <c r="I17" s="158">
        <f>SUM(D17:H17)</f>
        <v>0</v>
      </c>
    </row>
    <row r="18" spans="2:9" s="152" customFormat="1" ht="13.2" customHeight="1" x14ac:dyDescent="0.2">
      <c r="B18" s="185"/>
      <c r="C18" s="186" t="s">
        <v>127</v>
      </c>
      <c r="D18" s="153"/>
      <c r="E18" s="153"/>
      <c r="F18" s="153"/>
      <c r="G18" s="161"/>
      <c r="H18" s="162"/>
      <c r="I18" s="157">
        <f>SUM(D18:H18)</f>
        <v>0</v>
      </c>
    </row>
    <row r="19" spans="2:9" ht="18" customHeight="1" x14ac:dyDescent="0.25">
      <c r="B19" s="187">
        <v>5</v>
      </c>
      <c r="C19" s="188" t="str">
        <f>Config!C9&amp;", "&amp;Config!D9</f>
        <v>Baumgarten, Annabell</v>
      </c>
      <c r="D19" s="275">
        <v>1</v>
      </c>
      <c r="E19" s="281"/>
      <c r="F19" s="281"/>
      <c r="G19" s="275">
        <v>5</v>
      </c>
      <c r="H19" s="282"/>
      <c r="I19" s="189">
        <f t="shared" si="0"/>
        <v>6</v>
      </c>
    </row>
    <row r="20" spans="2:9" s="152" customFormat="1" ht="13.2" customHeight="1" x14ac:dyDescent="0.2">
      <c r="B20" s="166"/>
      <c r="C20" s="167" t="s">
        <v>126</v>
      </c>
      <c r="D20" s="168"/>
      <c r="E20" s="190"/>
      <c r="F20" s="190"/>
      <c r="G20" s="168"/>
      <c r="H20" s="191"/>
      <c r="I20" s="156">
        <f>SUM(D20:H20)</f>
        <v>0</v>
      </c>
    </row>
    <row r="21" spans="2:9" s="152" customFormat="1" ht="13.2" customHeight="1" x14ac:dyDescent="0.2">
      <c r="B21" s="172"/>
      <c r="C21" s="173" t="s">
        <v>127</v>
      </c>
      <c r="D21" s="153"/>
      <c r="E21" s="159"/>
      <c r="F21" s="159"/>
      <c r="G21" s="153"/>
      <c r="H21" s="160"/>
      <c r="I21" s="155">
        <f>SUM(D21:H21)</f>
        <v>0</v>
      </c>
    </row>
    <row r="22" spans="2:9" ht="18" customHeight="1" x14ac:dyDescent="0.25">
      <c r="B22" s="182">
        <v>6</v>
      </c>
      <c r="C22" s="183" t="str">
        <f>Config!C10&amp;", "&amp;Config!D10</f>
        <v>Traut, Stefanie</v>
      </c>
      <c r="D22" s="279"/>
      <c r="E22" s="273">
        <v>2</v>
      </c>
      <c r="F22" s="273">
        <v>3</v>
      </c>
      <c r="G22" s="273">
        <v>3</v>
      </c>
      <c r="H22" s="280"/>
      <c r="I22" s="184">
        <f t="shared" si="0"/>
        <v>8</v>
      </c>
    </row>
    <row r="23" spans="2:9" s="152" customFormat="1" ht="13.2" customHeight="1" x14ac:dyDescent="0.2">
      <c r="B23" s="176"/>
      <c r="C23" s="177" t="s">
        <v>126</v>
      </c>
      <c r="D23" s="192"/>
      <c r="E23" s="178"/>
      <c r="F23" s="178"/>
      <c r="G23" s="178"/>
      <c r="H23" s="193"/>
      <c r="I23" s="158">
        <f>SUM(D23:H23)</f>
        <v>0</v>
      </c>
    </row>
    <row r="24" spans="2:9" s="152" customFormat="1" ht="13.2" customHeight="1" x14ac:dyDescent="0.2">
      <c r="B24" s="185"/>
      <c r="C24" s="186" t="s">
        <v>127</v>
      </c>
      <c r="D24" s="161"/>
      <c r="E24" s="153"/>
      <c r="F24" s="153"/>
      <c r="G24" s="153"/>
      <c r="H24" s="162"/>
      <c r="I24" s="157">
        <f>SUM(D24:H24)</f>
        <v>0</v>
      </c>
    </row>
    <row r="25" spans="2:9" ht="18" customHeight="1" x14ac:dyDescent="0.25">
      <c r="B25" s="187">
        <v>7</v>
      </c>
      <c r="C25" s="188" t="str">
        <f>Config!C11&amp;", "&amp;Config!D11</f>
        <v>Menke, Damian</v>
      </c>
      <c r="D25" s="281"/>
      <c r="E25" s="275">
        <v>1</v>
      </c>
      <c r="F25" s="275">
        <v>2</v>
      </c>
      <c r="G25" s="281"/>
      <c r="H25" s="276">
        <v>4</v>
      </c>
      <c r="I25" s="189">
        <f t="shared" si="0"/>
        <v>7</v>
      </c>
    </row>
    <row r="26" spans="2:9" s="152" customFormat="1" ht="13.2" customHeight="1" x14ac:dyDescent="0.2">
      <c r="B26" s="166"/>
      <c r="C26" s="167" t="s">
        <v>126</v>
      </c>
      <c r="D26" s="190"/>
      <c r="E26" s="168"/>
      <c r="F26" s="168"/>
      <c r="G26" s="190"/>
      <c r="H26" s="171"/>
      <c r="I26" s="156">
        <f>SUM(D26:H26)</f>
        <v>0</v>
      </c>
    </row>
    <row r="27" spans="2:9" s="152" customFormat="1" ht="13.2" customHeight="1" x14ac:dyDescent="0.2">
      <c r="B27" s="172"/>
      <c r="C27" s="173" t="s">
        <v>127</v>
      </c>
      <c r="D27" s="159"/>
      <c r="E27" s="153"/>
      <c r="F27" s="153"/>
      <c r="G27" s="159"/>
      <c r="H27" s="154"/>
      <c r="I27" s="155">
        <f>SUM(D27:H27)</f>
        <v>0</v>
      </c>
    </row>
    <row r="28" spans="2:9" ht="18" customHeight="1" x14ac:dyDescent="0.25">
      <c r="B28" s="182">
        <v>8</v>
      </c>
      <c r="C28" s="183" t="str">
        <f>Config!C12&amp;", "&amp;Config!D12</f>
        <v>Carroll, Meik</v>
      </c>
      <c r="D28" s="279"/>
      <c r="E28" s="279"/>
      <c r="F28" s="279"/>
      <c r="G28" s="273">
        <v>4</v>
      </c>
      <c r="H28" s="274">
        <v>3</v>
      </c>
      <c r="I28" s="184">
        <f t="shared" si="0"/>
        <v>7</v>
      </c>
    </row>
    <row r="29" spans="2:9" s="152" customFormat="1" ht="13.2" customHeight="1" x14ac:dyDescent="0.2">
      <c r="B29" s="176"/>
      <c r="C29" s="177" t="s">
        <v>126</v>
      </c>
      <c r="D29" s="192"/>
      <c r="E29" s="192"/>
      <c r="F29" s="192"/>
      <c r="G29" s="178"/>
      <c r="H29" s="181"/>
      <c r="I29" s="158">
        <f>SUM(D29:H29)</f>
        <v>0</v>
      </c>
    </row>
    <row r="30" spans="2:9" s="152" customFormat="1" ht="13.2" customHeight="1" x14ac:dyDescent="0.2">
      <c r="B30" s="185"/>
      <c r="C30" s="186" t="s">
        <v>127</v>
      </c>
      <c r="D30" s="161"/>
      <c r="E30" s="161"/>
      <c r="F30" s="161"/>
      <c r="G30" s="153"/>
      <c r="H30" s="154"/>
      <c r="I30" s="157">
        <f>SUM(D30:H30)</f>
        <v>0</v>
      </c>
    </row>
    <row r="31" spans="2:9" ht="18" customHeight="1" x14ac:dyDescent="0.25">
      <c r="B31" s="187">
        <v>9</v>
      </c>
      <c r="C31" s="188" t="str">
        <f>Config!C13&amp;", "&amp;Config!D13</f>
        <v>Hennings, Tomas</v>
      </c>
      <c r="D31" s="275">
        <v>5</v>
      </c>
      <c r="E31" s="275">
        <v>2</v>
      </c>
      <c r="F31" s="275">
        <v>1</v>
      </c>
      <c r="G31" s="281"/>
      <c r="H31" s="282"/>
      <c r="I31" s="189">
        <f t="shared" si="0"/>
        <v>8</v>
      </c>
    </row>
    <row r="32" spans="2:9" s="152" customFormat="1" ht="13.2" customHeight="1" x14ac:dyDescent="0.2">
      <c r="B32" s="166"/>
      <c r="C32" s="167" t="s">
        <v>126</v>
      </c>
      <c r="D32" s="168"/>
      <c r="E32" s="168"/>
      <c r="F32" s="168"/>
      <c r="G32" s="190"/>
      <c r="H32" s="191"/>
      <c r="I32" s="156">
        <f>SUM(D32:H32)</f>
        <v>0</v>
      </c>
    </row>
    <row r="33" spans="2:9" s="152" customFormat="1" ht="13.2" customHeight="1" x14ac:dyDescent="0.2">
      <c r="B33" s="172"/>
      <c r="C33" s="173" t="s">
        <v>127</v>
      </c>
      <c r="D33" s="153"/>
      <c r="E33" s="153"/>
      <c r="F33" s="153"/>
      <c r="G33" s="159"/>
      <c r="H33" s="160"/>
      <c r="I33" s="155">
        <f>SUM(D33:H33)</f>
        <v>0</v>
      </c>
    </row>
    <row r="34" spans="2:9" ht="18" customHeight="1" x14ac:dyDescent="0.25">
      <c r="B34" s="182">
        <v>10</v>
      </c>
      <c r="C34" s="183" t="str">
        <f>Config!C14&amp;", "&amp;Config!D14</f>
        <v>Walters, Linn</v>
      </c>
      <c r="D34" s="279"/>
      <c r="E34" s="273">
        <v>1</v>
      </c>
      <c r="F34" s="273">
        <v>2</v>
      </c>
      <c r="G34" s="273">
        <v>5</v>
      </c>
      <c r="H34" s="280"/>
      <c r="I34" s="184">
        <f t="shared" si="0"/>
        <v>8</v>
      </c>
    </row>
    <row r="35" spans="2:9" s="152" customFormat="1" ht="13.2" customHeight="1" x14ac:dyDescent="0.2">
      <c r="B35" s="176"/>
      <c r="C35" s="177" t="s">
        <v>126</v>
      </c>
      <c r="D35" s="192"/>
      <c r="E35" s="178"/>
      <c r="F35" s="178"/>
      <c r="G35" s="178"/>
      <c r="H35" s="193"/>
      <c r="I35" s="158">
        <f>SUM(D35:H35)</f>
        <v>0</v>
      </c>
    </row>
    <row r="36" spans="2:9" s="152" customFormat="1" ht="13.2" customHeight="1" x14ac:dyDescent="0.2">
      <c r="B36" s="185"/>
      <c r="C36" s="186" t="s">
        <v>127</v>
      </c>
      <c r="D36" s="161"/>
      <c r="E36" s="153"/>
      <c r="F36" s="153"/>
      <c r="G36" s="153"/>
      <c r="H36" s="162"/>
      <c r="I36" s="157">
        <f>SUM(D36:H36)</f>
        <v>0</v>
      </c>
    </row>
    <row r="37" spans="2:9" ht="18" customHeight="1" x14ac:dyDescent="0.25">
      <c r="B37" s="187">
        <v>11</v>
      </c>
      <c r="C37" s="188" t="str">
        <f>Config!C15&amp;", "&amp;Config!D15</f>
        <v>Junker, Amely</v>
      </c>
      <c r="D37" s="275">
        <v>2</v>
      </c>
      <c r="E37" s="281"/>
      <c r="F37" s="281"/>
      <c r="G37" s="275">
        <v>4</v>
      </c>
      <c r="H37" s="282"/>
      <c r="I37" s="189">
        <f t="shared" si="0"/>
        <v>6</v>
      </c>
    </row>
    <row r="38" spans="2:9" s="152" customFormat="1" ht="13.2" customHeight="1" x14ac:dyDescent="0.2">
      <c r="B38" s="166"/>
      <c r="C38" s="167" t="s">
        <v>126</v>
      </c>
      <c r="D38" s="168"/>
      <c r="E38" s="190"/>
      <c r="F38" s="190"/>
      <c r="G38" s="168"/>
      <c r="H38" s="191"/>
      <c r="I38" s="156">
        <f>SUM(D38:H38)</f>
        <v>0</v>
      </c>
    </row>
    <row r="39" spans="2:9" s="152" customFormat="1" ht="13.2" customHeight="1" x14ac:dyDescent="0.2">
      <c r="B39" s="172"/>
      <c r="C39" s="173" t="s">
        <v>127</v>
      </c>
      <c r="D39" s="153"/>
      <c r="E39" s="159"/>
      <c r="F39" s="159"/>
      <c r="G39" s="153"/>
      <c r="H39" s="160"/>
      <c r="I39" s="155">
        <f>SUM(D39:H39)</f>
        <v>0</v>
      </c>
    </row>
    <row r="40" spans="2:9" ht="18" customHeight="1" x14ac:dyDescent="0.25">
      <c r="B40" s="182">
        <v>12</v>
      </c>
      <c r="C40" s="183" t="str">
        <f>Config!C16&amp;", "&amp;Config!D16</f>
        <v>Stephens, Melvin</v>
      </c>
      <c r="D40" s="273">
        <v>5</v>
      </c>
      <c r="E40" s="279"/>
      <c r="F40" s="279"/>
      <c r="G40" s="273">
        <v>1</v>
      </c>
      <c r="H40" s="280"/>
      <c r="I40" s="184">
        <f t="shared" ref="I40:I70" si="1">SUM(D40:H40)</f>
        <v>6</v>
      </c>
    </row>
    <row r="41" spans="2:9" s="152" customFormat="1" ht="13.2" customHeight="1" x14ac:dyDescent="0.2">
      <c r="B41" s="176"/>
      <c r="C41" s="177" t="s">
        <v>126</v>
      </c>
      <c r="D41" s="178"/>
      <c r="E41" s="192"/>
      <c r="F41" s="192"/>
      <c r="G41" s="178"/>
      <c r="H41" s="193"/>
      <c r="I41" s="158">
        <f>SUM(D41:H41)</f>
        <v>0</v>
      </c>
    </row>
    <row r="42" spans="2:9" s="152" customFormat="1" ht="13.2" customHeight="1" x14ac:dyDescent="0.2">
      <c r="B42" s="185"/>
      <c r="C42" s="186" t="s">
        <v>127</v>
      </c>
      <c r="D42" s="153"/>
      <c r="E42" s="161"/>
      <c r="F42" s="161"/>
      <c r="G42" s="153"/>
      <c r="H42" s="162"/>
      <c r="I42" s="157">
        <f>SUM(D42:H42)</f>
        <v>0</v>
      </c>
    </row>
    <row r="43" spans="2:9" ht="18" customHeight="1" x14ac:dyDescent="0.25">
      <c r="B43" s="187">
        <v>13</v>
      </c>
      <c r="C43" s="188" t="str">
        <f>Config!C17&amp;", "&amp;Config!D17</f>
        <v>Cremer, Marvin</v>
      </c>
      <c r="D43" s="275">
        <v>3</v>
      </c>
      <c r="E43" s="281"/>
      <c r="F43" s="281"/>
      <c r="G43" s="281"/>
      <c r="H43" s="276">
        <v>5</v>
      </c>
      <c r="I43" s="189">
        <f t="shared" si="1"/>
        <v>8</v>
      </c>
    </row>
    <row r="44" spans="2:9" s="152" customFormat="1" ht="13.2" customHeight="1" x14ac:dyDescent="0.2">
      <c r="B44" s="166"/>
      <c r="C44" s="167" t="s">
        <v>126</v>
      </c>
      <c r="D44" s="168"/>
      <c r="E44" s="190"/>
      <c r="F44" s="190"/>
      <c r="G44" s="190"/>
      <c r="H44" s="171"/>
      <c r="I44" s="156">
        <f>SUM(D44:H44)</f>
        <v>0</v>
      </c>
    </row>
    <row r="45" spans="2:9" s="152" customFormat="1" ht="13.2" customHeight="1" x14ac:dyDescent="0.2">
      <c r="B45" s="172"/>
      <c r="C45" s="173" t="s">
        <v>127</v>
      </c>
      <c r="D45" s="153"/>
      <c r="E45" s="159"/>
      <c r="F45" s="159"/>
      <c r="G45" s="159"/>
      <c r="H45" s="154"/>
      <c r="I45" s="155">
        <f>SUM(D45:H45)</f>
        <v>0</v>
      </c>
    </row>
    <row r="46" spans="2:9" ht="18" customHeight="1" x14ac:dyDescent="0.25">
      <c r="B46" s="182">
        <v>14</v>
      </c>
      <c r="C46" s="183" t="str">
        <f>Config!C18&amp;", "&amp;Config!D18</f>
        <v>Nash, Jean</v>
      </c>
      <c r="D46" s="279"/>
      <c r="E46" s="279"/>
      <c r="F46" s="279"/>
      <c r="G46" s="273">
        <v>4</v>
      </c>
      <c r="H46" s="274">
        <v>3</v>
      </c>
      <c r="I46" s="184">
        <f t="shared" si="1"/>
        <v>7</v>
      </c>
    </row>
    <row r="47" spans="2:9" s="152" customFormat="1" ht="13.2" customHeight="1" x14ac:dyDescent="0.2">
      <c r="B47" s="176"/>
      <c r="C47" s="177" t="s">
        <v>126</v>
      </c>
      <c r="D47" s="192"/>
      <c r="E47" s="192"/>
      <c r="F47" s="192"/>
      <c r="G47" s="178"/>
      <c r="H47" s="181"/>
      <c r="I47" s="158">
        <f>SUM(D47:H47)</f>
        <v>0</v>
      </c>
    </row>
    <row r="48" spans="2:9" s="152" customFormat="1" ht="13.2" customHeight="1" x14ac:dyDescent="0.2">
      <c r="B48" s="185"/>
      <c r="C48" s="186" t="s">
        <v>127</v>
      </c>
      <c r="D48" s="161"/>
      <c r="E48" s="161"/>
      <c r="F48" s="161"/>
      <c r="G48" s="153"/>
      <c r="H48" s="154"/>
      <c r="I48" s="157">
        <f>SUM(D48:H48)</f>
        <v>0</v>
      </c>
    </row>
    <row r="49" spans="2:9" ht="18" customHeight="1" x14ac:dyDescent="0.25">
      <c r="B49" s="187">
        <v>15</v>
      </c>
      <c r="C49" s="188" t="str">
        <f>Config!C19&amp;", "&amp;Config!D19</f>
        <v>Schön, Leonardo</v>
      </c>
      <c r="D49" s="281"/>
      <c r="E49" s="275">
        <v>1</v>
      </c>
      <c r="F49" s="275">
        <v>2</v>
      </c>
      <c r="G49" s="281"/>
      <c r="H49" s="276">
        <v>1</v>
      </c>
      <c r="I49" s="189">
        <f t="shared" si="1"/>
        <v>4</v>
      </c>
    </row>
    <row r="50" spans="2:9" s="152" customFormat="1" ht="13.2" customHeight="1" x14ac:dyDescent="0.2">
      <c r="B50" s="166"/>
      <c r="C50" s="167" t="s">
        <v>126</v>
      </c>
      <c r="D50" s="190"/>
      <c r="E50" s="168"/>
      <c r="F50" s="168"/>
      <c r="G50" s="190"/>
      <c r="H50" s="171"/>
      <c r="I50" s="156">
        <f>SUM(D50:H50)</f>
        <v>0</v>
      </c>
    </row>
    <row r="51" spans="2:9" s="152" customFormat="1" ht="13.2" customHeight="1" x14ac:dyDescent="0.2">
      <c r="B51" s="172"/>
      <c r="C51" s="173" t="s">
        <v>127</v>
      </c>
      <c r="D51" s="159"/>
      <c r="E51" s="153"/>
      <c r="F51" s="153"/>
      <c r="G51" s="159"/>
      <c r="H51" s="154"/>
      <c r="I51" s="155">
        <f>SUM(D51:H51)</f>
        <v>0</v>
      </c>
    </row>
    <row r="52" spans="2:9" ht="18" customHeight="1" x14ac:dyDescent="0.25">
      <c r="B52" s="182">
        <v>16</v>
      </c>
      <c r="C52" s="183" t="str">
        <f>Config!C20&amp;", "&amp;Config!D20</f>
        <v>Sigl, Nicholas</v>
      </c>
      <c r="D52" s="279"/>
      <c r="E52" s="273">
        <v>1</v>
      </c>
      <c r="F52" s="273">
        <v>2</v>
      </c>
      <c r="G52" s="273">
        <v>5</v>
      </c>
      <c r="H52" s="280"/>
      <c r="I52" s="184">
        <f t="shared" si="1"/>
        <v>8</v>
      </c>
    </row>
    <row r="53" spans="2:9" s="152" customFormat="1" ht="13.2" customHeight="1" x14ac:dyDescent="0.2">
      <c r="B53" s="176"/>
      <c r="C53" s="177" t="s">
        <v>126</v>
      </c>
      <c r="D53" s="192"/>
      <c r="E53" s="178"/>
      <c r="F53" s="178"/>
      <c r="G53" s="178"/>
      <c r="H53" s="193"/>
      <c r="I53" s="158">
        <f>SUM(D53:H53)</f>
        <v>0</v>
      </c>
    </row>
    <row r="54" spans="2:9" s="152" customFormat="1" ht="13.2" customHeight="1" x14ac:dyDescent="0.2">
      <c r="B54" s="185"/>
      <c r="C54" s="186" t="s">
        <v>127</v>
      </c>
      <c r="D54" s="161"/>
      <c r="E54" s="153"/>
      <c r="F54" s="153"/>
      <c r="G54" s="153"/>
      <c r="H54" s="162"/>
      <c r="I54" s="157">
        <f>SUM(D54:H54)</f>
        <v>0</v>
      </c>
    </row>
    <row r="55" spans="2:9" ht="18" customHeight="1" x14ac:dyDescent="0.25">
      <c r="B55" s="187">
        <v>17</v>
      </c>
      <c r="C55" s="188" t="str">
        <f>Config!C21&amp;", "&amp;Config!D21</f>
        <v>Kainz, Vivienne</v>
      </c>
      <c r="D55" s="275">
        <v>5</v>
      </c>
      <c r="E55" s="281"/>
      <c r="F55" s="281"/>
      <c r="G55" s="275">
        <v>5</v>
      </c>
      <c r="H55" s="282"/>
      <c r="I55" s="189">
        <f t="shared" si="1"/>
        <v>10</v>
      </c>
    </row>
    <row r="56" spans="2:9" s="152" customFormat="1" ht="13.2" customHeight="1" x14ac:dyDescent="0.2">
      <c r="B56" s="166"/>
      <c r="C56" s="167" t="s">
        <v>126</v>
      </c>
      <c r="D56" s="168"/>
      <c r="E56" s="190"/>
      <c r="F56" s="190"/>
      <c r="G56" s="168"/>
      <c r="H56" s="191"/>
      <c r="I56" s="156">
        <f>SUM(D56:H56)</f>
        <v>0</v>
      </c>
    </row>
    <row r="57" spans="2:9" s="152" customFormat="1" ht="13.2" customHeight="1" x14ac:dyDescent="0.2">
      <c r="B57" s="172"/>
      <c r="C57" s="173" t="s">
        <v>127</v>
      </c>
      <c r="D57" s="153"/>
      <c r="E57" s="159"/>
      <c r="F57" s="159"/>
      <c r="G57" s="153"/>
      <c r="H57" s="160"/>
      <c r="I57" s="155">
        <f>SUM(D57:H57)</f>
        <v>0</v>
      </c>
    </row>
    <row r="58" spans="2:9" ht="18" customHeight="1" x14ac:dyDescent="0.25">
      <c r="B58" s="182">
        <v>18</v>
      </c>
      <c r="C58" s="183" t="str">
        <f>Config!C22&amp;", "&amp;Config!D22</f>
        <v>Hartmann, Mads</v>
      </c>
      <c r="D58" s="279"/>
      <c r="E58" s="279"/>
      <c r="F58" s="279"/>
      <c r="G58" s="273">
        <v>3</v>
      </c>
      <c r="H58" s="274">
        <v>4</v>
      </c>
      <c r="I58" s="184">
        <f t="shared" si="1"/>
        <v>7</v>
      </c>
    </row>
    <row r="59" spans="2:9" s="152" customFormat="1" ht="13.2" customHeight="1" x14ac:dyDescent="0.2">
      <c r="B59" s="176"/>
      <c r="C59" s="177" t="s">
        <v>126</v>
      </c>
      <c r="D59" s="192"/>
      <c r="E59" s="192"/>
      <c r="F59" s="192"/>
      <c r="G59" s="178"/>
      <c r="H59" s="181"/>
      <c r="I59" s="158">
        <f>SUM(D59:H59)</f>
        <v>0</v>
      </c>
    </row>
    <row r="60" spans="2:9" s="152" customFormat="1" ht="13.2" customHeight="1" x14ac:dyDescent="0.2">
      <c r="B60" s="185"/>
      <c r="C60" s="186" t="s">
        <v>127</v>
      </c>
      <c r="D60" s="161"/>
      <c r="E60" s="161"/>
      <c r="F60" s="161"/>
      <c r="G60" s="153"/>
      <c r="H60" s="154"/>
      <c r="I60" s="157">
        <f>SUM(D60:H60)</f>
        <v>0</v>
      </c>
    </row>
    <row r="61" spans="2:9" ht="18" customHeight="1" x14ac:dyDescent="0.25">
      <c r="B61" s="187">
        <v>19</v>
      </c>
      <c r="C61" s="188" t="str">
        <f>Config!C23&amp;", "&amp;Config!D23</f>
        <v>Ullmann, Raphael</v>
      </c>
      <c r="D61" s="281"/>
      <c r="E61" s="281"/>
      <c r="F61" s="281"/>
      <c r="G61" s="275">
        <v>5</v>
      </c>
      <c r="H61" s="276">
        <v>3</v>
      </c>
      <c r="I61" s="189">
        <f t="shared" si="1"/>
        <v>8</v>
      </c>
    </row>
    <row r="62" spans="2:9" s="152" customFormat="1" ht="13.2" customHeight="1" x14ac:dyDescent="0.2">
      <c r="B62" s="166"/>
      <c r="C62" s="167" t="s">
        <v>126</v>
      </c>
      <c r="D62" s="190"/>
      <c r="E62" s="190"/>
      <c r="F62" s="190"/>
      <c r="G62" s="168"/>
      <c r="H62" s="171"/>
      <c r="I62" s="156">
        <f>SUM(D62:H62)</f>
        <v>0</v>
      </c>
    </row>
    <row r="63" spans="2:9" s="152" customFormat="1" ht="13.2" customHeight="1" x14ac:dyDescent="0.2">
      <c r="B63" s="172"/>
      <c r="C63" s="173" t="s">
        <v>127</v>
      </c>
      <c r="D63" s="159"/>
      <c r="E63" s="159"/>
      <c r="F63" s="159"/>
      <c r="G63" s="153"/>
      <c r="H63" s="154"/>
      <c r="I63" s="155">
        <f>SUM(D63:H63)</f>
        <v>0</v>
      </c>
    </row>
    <row r="64" spans="2:9" ht="18" customHeight="1" x14ac:dyDescent="0.25">
      <c r="B64" s="182">
        <v>20</v>
      </c>
      <c r="C64" s="183" t="str">
        <f>Config!C24&amp;", "&amp;Config!D24</f>
        <v>Hartl, Emmely</v>
      </c>
      <c r="D64" s="273">
        <v>5</v>
      </c>
      <c r="E64" s="273">
        <v>2</v>
      </c>
      <c r="F64" s="273">
        <v>3</v>
      </c>
      <c r="G64" s="279"/>
      <c r="H64" s="280"/>
      <c r="I64" s="184">
        <f t="shared" si="1"/>
        <v>10</v>
      </c>
    </row>
    <row r="65" spans="2:9" s="152" customFormat="1" ht="13.2" customHeight="1" x14ac:dyDescent="0.2">
      <c r="B65" s="176"/>
      <c r="C65" s="177" t="s">
        <v>126</v>
      </c>
      <c r="D65" s="178"/>
      <c r="E65" s="178"/>
      <c r="F65" s="178"/>
      <c r="G65" s="192"/>
      <c r="H65" s="193"/>
      <c r="I65" s="158">
        <f>SUM(D65:H65)</f>
        <v>0</v>
      </c>
    </row>
    <row r="66" spans="2:9" s="152" customFormat="1" ht="13.2" customHeight="1" x14ac:dyDescent="0.2">
      <c r="B66" s="185"/>
      <c r="C66" s="186" t="s">
        <v>127</v>
      </c>
      <c r="D66" s="153"/>
      <c r="E66" s="153"/>
      <c r="F66" s="153"/>
      <c r="G66" s="161"/>
      <c r="H66" s="162"/>
      <c r="I66" s="157">
        <f>SUM(D66:H66)</f>
        <v>0</v>
      </c>
    </row>
    <row r="67" spans="2:9" ht="18" customHeight="1" x14ac:dyDescent="0.25">
      <c r="B67" s="187">
        <v>21</v>
      </c>
      <c r="C67" s="188" t="str">
        <f>Config!C25&amp;", "&amp;Config!D25</f>
        <v>Klotz, Karin</v>
      </c>
      <c r="D67" s="275">
        <v>5</v>
      </c>
      <c r="E67" s="275">
        <v>2</v>
      </c>
      <c r="F67" s="275">
        <v>3</v>
      </c>
      <c r="G67" s="281"/>
      <c r="H67" s="282"/>
      <c r="I67" s="189">
        <f t="shared" si="1"/>
        <v>10</v>
      </c>
    </row>
    <row r="68" spans="2:9" s="152" customFormat="1" ht="13.2" customHeight="1" x14ac:dyDescent="0.2">
      <c r="B68" s="166"/>
      <c r="C68" s="167" t="s">
        <v>126</v>
      </c>
      <c r="D68" s="168"/>
      <c r="E68" s="168"/>
      <c r="F68" s="168"/>
      <c r="G68" s="190"/>
      <c r="H68" s="191"/>
      <c r="I68" s="156">
        <f>SUM(D68:H68)</f>
        <v>0</v>
      </c>
    </row>
    <row r="69" spans="2:9" s="152" customFormat="1" ht="13.2" customHeight="1" x14ac:dyDescent="0.2">
      <c r="B69" s="172"/>
      <c r="C69" s="173" t="s">
        <v>127</v>
      </c>
      <c r="D69" s="153"/>
      <c r="E69" s="153"/>
      <c r="F69" s="153"/>
      <c r="G69" s="159"/>
      <c r="H69" s="160"/>
      <c r="I69" s="155">
        <f>SUM(D69:H69)</f>
        <v>0</v>
      </c>
    </row>
    <row r="70" spans="2:9" ht="18" customHeight="1" x14ac:dyDescent="0.25">
      <c r="B70" s="182">
        <v>22</v>
      </c>
      <c r="C70" s="183" t="str">
        <f>Config!C26&amp;", "&amp;Config!D26</f>
        <v>Ehlers, Ingo</v>
      </c>
      <c r="D70" s="273">
        <v>2</v>
      </c>
      <c r="E70" s="279"/>
      <c r="F70" s="279"/>
      <c r="G70" s="279"/>
      <c r="H70" s="274">
        <v>5</v>
      </c>
      <c r="I70" s="184">
        <f t="shared" si="1"/>
        <v>7</v>
      </c>
    </row>
    <row r="71" spans="2:9" s="152" customFormat="1" ht="13.2" customHeight="1" x14ac:dyDescent="0.2">
      <c r="B71" s="176"/>
      <c r="C71" s="177" t="s">
        <v>126</v>
      </c>
      <c r="D71" s="178"/>
      <c r="E71" s="192"/>
      <c r="F71" s="192"/>
      <c r="G71" s="192"/>
      <c r="H71" s="181"/>
      <c r="I71" s="158">
        <f>SUM(D71:H71)</f>
        <v>0</v>
      </c>
    </row>
    <row r="72" spans="2:9" s="152" customFormat="1" ht="13.2" customHeight="1" x14ac:dyDescent="0.2">
      <c r="B72" s="185"/>
      <c r="C72" s="186" t="s">
        <v>127</v>
      </c>
      <c r="D72" s="153"/>
      <c r="E72" s="161"/>
      <c r="F72" s="161"/>
      <c r="G72" s="161"/>
      <c r="H72" s="154"/>
      <c r="I72" s="157">
        <f>SUM(D72:H72)</f>
        <v>0</v>
      </c>
    </row>
    <row r="73" spans="2:9" ht="18" customHeight="1" x14ac:dyDescent="0.25">
      <c r="B73" s="187">
        <v>23</v>
      </c>
      <c r="C73" s="188" t="str">
        <f>Config!C27&amp;", "&amp;Config!D27</f>
        <v>Lindemann, Mads</v>
      </c>
      <c r="D73" s="275">
        <v>3</v>
      </c>
      <c r="E73" s="281"/>
      <c r="F73" s="281"/>
      <c r="G73" s="275">
        <v>5</v>
      </c>
      <c r="H73" s="282"/>
      <c r="I73" s="189">
        <f t="shared" ref="I73" si="2">SUM(D73:H73)</f>
        <v>8</v>
      </c>
    </row>
    <row r="74" spans="2:9" s="152" customFormat="1" ht="13.2" customHeight="1" x14ac:dyDescent="0.2">
      <c r="B74" s="166"/>
      <c r="C74" s="167" t="s">
        <v>126</v>
      </c>
      <c r="D74" s="168"/>
      <c r="E74" s="190"/>
      <c r="F74" s="190"/>
      <c r="G74" s="168"/>
      <c r="H74" s="191"/>
      <c r="I74" s="156">
        <f>SUM(D74:H74)</f>
        <v>0</v>
      </c>
    </row>
    <row r="75" spans="2:9" s="152" customFormat="1" ht="13.2" customHeight="1" thickBot="1" x14ac:dyDescent="0.25">
      <c r="B75" s="172"/>
      <c r="C75" s="173" t="s">
        <v>127</v>
      </c>
      <c r="D75" s="153"/>
      <c r="E75" s="159"/>
      <c r="F75" s="159"/>
      <c r="G75" s="153"/>
      <c r="H75" s="160"/>
      <c r="I75" s="155">
        <f>SUM(D75:H75)</f>
        <v>0</v>
      </c>
    </row>
    <row r="76" spans="2:9" ht="18" customHeight="1" thickBot="1" x14ac:dyDescent="0.3">
      <c r="B76" s="194"/>
      <c r="C76" s="195"/>
      <c r="D76" s="195">
        <f>IF(COUNTIFS(D7:D73,"&lt;&gt;",C7:C73,"&lt;&gt;ZK",C7:C73,"&lt;&gt;DK")&lt;&gt;0,SUMIFS(D7:D73,C7:C73,"&lt;&gt;ZK",C7:C73,"&lt;&gt;DK")/(COUNTIFS(D7:D73,"&lt;&gt;",C7:C73,"&lt;&gt;ZK",C7:C73,"&lt;&gt;DK")*D6),0)</f>
        <v>0.67692307692307696</v>
      </c>
      <c r="E76" s="195">
        <f>IF(COUNTIFS(E7:E73,"&lt;&gt;",C7:C73,"&lt;&gt;ZK",C7:C73,"&lt;&gt;DK")&lt;&gt;0,SUMIFS(E7:E73,C7:C73,"&lt;&gt;ZK",C7:C73,"&lt;&gt;DK")/(COUNTIFS(E7:E73,"&lt;&gt;",C7:C73,"&lt;&gt;ZK",C7:C73,"&lt;&gt;DK")*E6),0)</f>
        <v>0.8</v>
      </c>
      <c r="F76" s="195">
        <f>IF(COUNTIFS(F7:F73,"&lt;&gt;",C7:C73,"&lt;&gt;ZK",C7:C73,"&lt;&gt;DK")&lt;&gt;0,SUMIFS(F7:F73,C7:C73,"&lt;&gt;ZK",C7:C73,"&lt;&gt;DK")/(COUNTIFS(F7:F73,"&lt;&gt;",C7:C73,"&lt;&gt;ZK",C7:C73,"&lt;&gt;DK")*F6),0)</f>
        <v>0.76666666666666672</v>
      </c>
      <c r="G76" s="195">
        <f>IF(COUNTIFS(G7:G73,"&lt;&gt;",C7:C73,"&lt;&gt;ZK",C7:C73,"&lt;&gt;DK")&lt;&gt;0,SUMIFS(G7:G73,C7:C73,"&lt;&gt;ZK",C7:C73,"&lt;&gt;DK")/(COUNTIFS(G7:G73,"&lt;&gt;",C7:C73,"&lt;&gt;ZK",C7:C73,"&lt;&gt;DK")*G6),0)</f>
        <v>0.82857142857142863</v>
      </c>
      <c r="H76" s="195">
        <f>IF(COUNTIFS(H7:H73,"&lt;&gt;",C7:C73,"&lt;&gt;ZK",C7:C73,"&lt;&gt;DK")&lt;&gt;0,SUMIFS(H7:H73,C7:C73,"&lt;&gt;ZK",C7:C73,"&lt;&gt;DK")/(COUNTIFS(H7:H73,"&lt;&gt;",C7:C73,"&lt;&gt;ZK",C7:C73,"&lt;&gt;DK")*H6),0)</f>
        <v>0.68888888888888888</v>
      </c>
      <c r="I76" s="196"/>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4F62F5DB-D8C2-481B-A265-48E8D8602C1E}">
      <formula1>0</formula1>
      <formula2>$D$6</formula2>
    </dataValidation>
    <dataValidation type="decimal" allowBlank="1" showErrorMessage="1" sqref="E7:E75" xr:uid="{8FD7501C-FD13-40B7-93A1-58A41815F2D5}">
      <formula1>0</formula1>
      <formula2>$E$6</formula2>
    </dataValidation>
    <dataValidation type="decimal" allowBlank="1" showErrorMessage="1" sqref="F7:F75" xr:uid="{BBB6BDAD-2BE3-44B3-A851-53771BC6FFF7}">
      <formula1>0</formula1>
      <formula2>$F$6</formula2>
    </dataValidation>
    <dataValidation type="decimal" allowBlank="1" showErrorMessage="1" sqref="G7:G75" xr:uid="{3AE333DF-6560-459A-847B-F6AD2F7DDA55}">
      <formula1>0</formula1>
      <formula2>$G$6</formula2>
    </dataValidation>
    <dataValidation type="decimal" allowBlank="1" showErrorMessage="1" sqref="H7:H75" xr:uid="{F3DE39C4-F935-4727-8260-53E3050D961E}">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6DE1D-D471-4E1B-958E-B8B36DDFF646}">
  <sheetPr codeName="Tabelle11">
    <tabColor rgb="FFFFC000"/>
  </sheetPr>
  <dimension ref="B1:N100"/>
  <sheetViews>
    <sheetView workbookViewId="0">
      <selection activeCell="D28" sqref="D28"/>
    </sheetView>
  </sheetViews>
  <sheetFormatPr baseColWidth="10" defaultColWidth="11.5546875" defaultRowHeight="13.2" x14ac:dyDescent="0.25"/>
  <cols>
    <col min="1" max="2" width="3.44140625" style="96" customWidth="1"/>
    <col min="3" max="3" width="25.6640625" style="96" customWidth="1"/>
    <col min="4" max="8" width="4.6640625" style="96" customWidth="1"/>
    <col min="9" max="9" width="2.6640625" style="96" customWidth="1"/>
    <col min="10" max="16384" width="11.5546875" style="96"/>
  </cols>
  <sheetData>
    <row r="1" spans="2:14" ht="18" customHeight="1" thickBot="1" x14ac:dyDescent="0.3"/>
    <row r="2" spans="2:14" ht="18" customHeight="1" x14ac:dyDescent="0.25">
      <c r="B2" s="97" t="str">
        <f>Config!F2&amp;" "&amp;YEAR(Config!G24)</f>
        <v>Mathe Abitur 2026</v>
      </c>
      <c r="C2" s="98"/>
      <c r="D2" s="98"/>
      <c r="E2" s="98"/>
      <c r="F2" s="99"/>
      <c r="G2" s="99"/>
      <c r="H2" s="100" t="str">
        <f>"Kurs "&amp;Config!G26</f>
        <v>Kurs K1</v>
      </c>
    </row>
    <row r="3" spans="2:14" ht="18" customHeight="1" x14ac:dyDescent="0.25">
      <c r="B3" s="101" t="s">
        <v>124</v>
      </c>
      <c r="C3" s="102"/>
      <c r="D3" s="102"/>
      <c r="E3" s="102"/>
      <c r="F3" s="102"/>
      <c r="G3" s="102"/>
      <c r="H3" s="103"/>
    </row>
    <row r="4" spans="2:14" ht="18" customHeight="1" thickBot="1" x14ac:dyDescent="0.3">
      <c r="B4" s="101"/>
      <c r="C4" s="102"/>
      <c r="D4" s="104"/>
      <c r="E4" s="104"/>
      <c r="F4" s="104"/>
      <c r="G4" s="104"/>
      <c r="H4" s="105"/>
    </row>
    <row r="5" spans="2:14" ht="18" customHeight="1" thickBot="1" x14ac:dyDescent="0.3">
      <c r="B5" s="106"/>
      <c r="C5" s="108"/>
      <c r="D5" s="118" t="str">
        <f>Config!R6</f>
        <v>6</v>
      </c>
      <c r="E5" s="118" t="str">
        <f>Config!R7</f>
        <v>7a</v>
      </c>
      <c r="F5" s="118" t="str">
        <f>Config!R8</f>
        <v>7b</v>
      </c>
      <c r="G5" s="118" t="str">
        <f>Config!R9</f>
        <v>8</v>
      </c>
      <c r="H5" s="118" t="str">
        <f>Config!R10</f>
        <v>9</v>
      </c>
    </row>
    <row r="6" spans="2:14" ht="18" customHeight="1" thickBot="1" x14ac:dyDescent="0.3">
      <c r="B6" s="107"/>
      <c r="C6" s="109" t="s">
        <v>81</v>
      </c>
      <c r="D6" s="138" t="s">
        <v>112</v>
      </c>
      <c r="E6" s="138" t="s">
        <v>112</v>
      </c>
      <c r="F6" s="138" t="s">
        <v>112</v>
      </c>
      <c r="G6" s="138" t="s">
        <v>112</v>
      </c>
      <c r="H6" s="138" t="s">
        <v>112</v>
      </c>
      <c r="J6" s="262" t="s">
        <v>125</v>
      </c>
      <c r="K6" s="263"/>
      <c r="L6" s="263"/>
      <c r="M6" s="263"/>
      <c r="N6" s="264"/>
    </row>
    <row r="7" spans="2:14" ht="18" customHeight="1" x14ac:dyDescent="0.25">
      <c r="B7" s="133">
        <v>1</v>
      </c>
      <c r="C7" s="130" t="str">
        <f>Config!C5&amp;", "&amp;Config!D5</f>
        <v>Höfer, Simon</v>
      </c>
      <c r="D7" s="63" t="s">
        <v>120</v>
      </c>
      <c r="E7" s="63" t="s">
        <v>120</v>
      </c>
      <c r="F7" s="63" t="s">
        <v>120</v>
      </c>
      <c r="G7" s="63"/>
      <c r="H7" s="64"/>
      <c r="J7" s="265"/>
      <c r="K7" s="266"/>
      <c r="L7" s="266"/>
      <c r="M7" s="266"/>
      <c r="N7" s="267"/>
    </row>
    <row r="8" spans="2:14" ht="18" customHeight="1" thickBot="1" x14ac:dyDescent="0.3">
      <c r="B8" s="135">
        <v>2</v>
      </c>
      <c r="C8" s="113" t="str">
        <f>Config!C6&amp;", "&amp;Config!D6</f>
        <v>Töpfer, Lilian</v>
      </c>
      <c r="D8" s="62" t="s">
        <v>120</v>
      </c>
      <c r="E8" s="62"/>
      <c r="F8" s="62"/>
      <c r="G8" s="62" t="s">
        <v>120</v>
      </c>
      <c r="H8" s="65"/>
      <c r="J8" s="268"/>
      <c r="K8" s="269"/>
      <c r="L8" s="269"/>
      <c r="M8" s="269"/>
      <c r="N8" s="270"/>
    </row>
    <row r="9" spans="2:14" ht="18" customHeight="1" x14ac:dyDescent="0.25">
      <c r="B9" s="135">
        <v>3</v>
      </c>
      <c r="C9" s="113" t="str">
        <f>Config!C7&amp;", "&amp;Config!D7</f>
        <v>Fleischmann, Leonie</v>
      </c>
      <c r="D9" s="62"/>
      <c r="E9" s="62"/>
      <c r="F9" s="62"/>
      <c r="G9" s="62" t="s">
        <v>120</v>
      </c>
      <c r="H9" s="65" t="s">
        <v>120</v>
      </c>
    </row>
    <row r="10" spans="2:14" ht="18" customHeight="1" x14ac:dyDescent="0.25">
      <c r="B10" s="135">
        <v>4</v>
      </c>
      <c r="C10" s="113" t="str">
        <f>Config!C8&amp;", "&amp;Config!D8</f>
        <v>Drescher, Cedric</v>
      </c>
      <c r="D10" s="62" t="s">
        <v>120</v>
      </c>
      <c r="E10" s="62" t="s">
        <v>120</v>
      </c>
      <c r="F10" s="62" t="s">
        <v>120</v>
      </c>
      <c r="G10" s="62"/>
      <c r="H10" s="65"/>
    </row>
    <row r="11" spans="2:14" ht="18" customHeight="1" x14ac:dyDescent="0.25">
      <c r="B11" s="135">
        <v>5</v>
      </c>
      <c r="C11" s="113" t="str">
        <f>Config!C9&amp;", "&amp;Config!D9</f>
        <v>Baumgarten, Annabell</v>
      </c>
      <c r="D11" s="62" t="s">
        <v>120</v>
      </c>
      <c r="E11" s="62"/>
      <c r="F11" s="62"/>
      <c r="G11" s="62" t="s">
        <v>120</v>
      </c>
      <c r="H11" s="65"/>
    </row>
    <row r="12" spans="2:14" ht="18" customHeight="1" x14ac:dyDescent="0.25">
      <c r="B12" s="135">
        <v>6</v>
      </c>
      <c r="C12" s="113" t="str">
        <f>Config!C10&amp;", "&amp;Config!D10</f>
        <v>Traut, Stefanie</v>
      </c>
      <c r="D12" s="62"/>
      <c r="E12" s="62" t="s">
        <v>120</v>
      </c>
      <c r="F12" s="62" t="s">
        <v>120</v>
      </c>
      <c r="G12" s="62" t="s">
        <v>120</v>
      </c>
      <c r="H12" s="65"/>
    </row>
    <row r="13" spans="2:14" ht="18" customHeight="1" x14ac:dyDescent="0.25">
      <c r="B13" s="135">
        <v>7</v>
      </c>
      <c r="C13" s="113" t="str">
        <f>Config!C11&amp;", "&amp;Config!D11</f>
        <v>Menke, Damian</v>
      </c>
      <c r="D13" s="62"/>
      <c r="E13" s="62" t="s">
        <v>120</v>
      </c>
      <c r="F13" s="62" t="s">
        <v>120</v>
      </c>
      <c r="G13" s="62"/>
      <c r="H13" s="65" t="s">
        <v>120</v>
      </c>
    </row>
    <row r="14" spans="2:14" ht="18" customHeight="1" x14ac:dyDescent="0.25">
      <c r="B14" s="135">
        <v>8</v>
      </c>
      <c r="C14" s="113" t="str">
        <f>Config!C12&amp;", "&amp;Config!D12</f>
        <v>Carroll, Meik</v>
      </c>
      <c r="D14" s="62"/>
      <c r="E14" s="62"/>
      <c r="F14" s="62"/>
      <c r="G14" s="62" t="s">
        <v>120</v>
      </c>
      <c r="H14" s="65" t="s">
        <v>120</v>
      </c>
    </row>
    <row r="15" spans="2:14" ht="18" customHeight="1" x14ac:dyDescent="0.25">
      <c r="B15" s="135">
        <v>9</v>
      </c>
      <c r="C15" s="113" t="str">
        <f>Config!C13&amp;", "&amp;Config!D13</f>
        <v>Hennings, Tomas</v>
      </c>
      <c r="D15" s="62" t="s">
        <v>120</v>
      </c>
      <c r="E15" s="62" t="s">
        <v>120</v>
      </c>
      <c r="F15" s="62" t="s">
        <v>120</v>
      </c>
      <c r="G15" s="62"/>
      <c r="H15" s="65"/>
    </row>
    <row r="16" spans="2:14" ht="18" customHeight="1" x14ac:dyDescent="0.25">
      <c r="B16" s="135">
        <v>10</v>
      </c>
      <c r="C16" s="113" t="str">
        <f>Config!C14&amp;", "&amp;Config!D14</f>
        <v>Walters, Linn</v>
      </c>
      <c r="D16" s="62"/>
      <c r="E16" s="62" t="s">
        <v>120</v>
      </c>
      <c r="F16" s="62" t="s">
        <v>120</v>
      </c>
      <c r="G16" s="62" t="s">
        <v>120</v>
      </c>
      <c r="H16" s="65"/>
    </row>
    <row r="17" spans="2:8" ht="18" customHeight="1" x14ac:dyDescent="0.25">
      <c r="B17" s="135">
        <v>11</v>
      </c>
      <c r="C17" s="113" t="str">
        <f>Config!C15&amp;", "&amp;Config!D15</f>
        <v>Junker, Amely</v>
      </c>
      <c r="D17" s="62" t="s">
        <v>120</v>
      </c>
      <c r="E17" s="62"/>
      <c r="F17" s="62"/>
      <c r="G17" s="62" t="s">
        <v>120</v>
      </c>
      <c r="H17" s="65"/>
    </row>
    <row r="18" spans="2:8" ht="18" customHeight="1" x14ac:dyDescent="0.25">
      <c r="B18" s="135">
        <v>12</v>
      </c>
      <c r="C18" s="113" t="str">
        <f>Config!C16&amp;", "&amp;Config!D16</f>
        <v>Stephens, Melvin</v>
      </c>
      <c r="D18" s="62" t="s">
        <v>120</v>
      </c>
      <c r="E18" s="62"/>
      <c r="F18" s="62"/>
      <c r="G18" s="62" t="s">
        <v>120</v>
      </c>
      <c r="H18" s="65"/>
    </row>
    <row r="19" spans="2:8" ht="18" customHeight="1" x14ac:dyDescent="0.25">
      <c r="B19" s="135">
        <v>13</v>
      </c>
      <c r="C19" s="113" t="str">
        <f>Config!C17&amp;", "&amp;Config!D17</f>
        <v>Cremer, Marvin</v>
      </c>
      <c r="D19" s="62" t="s">
        <v>120</v>
      </c>
      <c r="E19" s="62"/>
      <c r="F19" s="62"/>
      <c r="G19" s="62"/>
      <c r="H19" s="65" t="s">
        <v>120</v>
      </c>
    </row>
    <row r="20" spans="2:8" ht="18" customHeight="1" x14ac:dyDescent="0.25">
      <c r="B20" s="135">
        <v>14</v>
      </c>
      <c r="C20" s="113" t="str">
        <f>Config!C18&amp;", "&amp;Config!D18</f>
        <v>Nash, Jean</v>
      </c>
      <c r="D20" s="62"/>
      <c r="E20" s="62"/>
      <c r="F20" s="62"/>
      <c r="G20" s="62" t="s">
        <v>120</v>
      </c>
      <c r="H20" s="65" t="s">
        <v>120</v>
      </c>
    </row>
    <row r="21" spans="2:8" ht="18" customHeight="1" x14ac:dyDescent="0.25">
      <c r="B21" s="135">
        <v>15</v>
      </c>
      <c r="C21" s="113" t="str">
        <f>Config!C19&amp;", "&amp;Config!D19</f>
        <v>Schön, Leonardo</v>
      </c>
      <c r="D21" s="62"/>
      <c r="E21" s="62" t="s">
        <v>120</v>
      </c>
      <c r="F21" s="62" t="s">
        <v>120</v>
      </c>
      <c r="G21" s="62"/>
      <c r="H21" s="65" t="s">
        <v>120</v>
      </c>
    </row>
    <row r="22" spans="2:8" ht="18" customHeight="1" x14ac:dyDescent="0.25">
      <c r="B22" s="135">
        <v>16</v>
      </c>
      <c r="C22" s="113" t="str">
        <f>Config!C20&amp;", "&amp;Config!D20</f>
        <v>Sigl, Nicholas</v>
      </c>
      <c r="D22" s="62"/>
      <c r="E22" s="62" t="s">
        <v>120</v>
      </c>
      <c r="F22" s="62" t="s">
        <v>120</v>
      </c>
      <c r="G22" s="62" t="s">
        <v>120</v>
      </c>
      <c r="H22" s="65"/>
    </row>
    <row r="23" spans="2:8" ht="18" customHeight="1" x14ac:dyDescent="0.25">
      <c r="B23" s="135">
        <v>17</v>
      </c>
      <c r="C23" s="113" t="str">
        <f>Config!C21&amp;", "&amp;Config!D21</f>
        <v>Kainz, Vivienne</v>
      </c>
      <c r="D23" s="62" t="s">
        <v>120</v>
      </c>
      <c r="E23" s="62"/>
      <c r="F23" s="62"/>
      <c r="G23" s="62" t="s">
        <v>120</v>
      </c>
      <c r="H23" s="65"/>
    </row>
    <row r="24" spans="2:8" ht="18" customHeight="1" x14ac:dyDescent="0.25">
      <c r="B24" s="135">
        <v>18</v>
      </c>
      <c r="C24" s="113" t="str">
        <f>Config!C22&amp;", "&amp;Config!D22</f>
        <v>Hartmann, Mads</v>
      </c>
      <c r="D24" s="62"/>
      <c r="E24" s="62"/>
      <c r="F24" s="62"/>
      <c r="G24" s="62" t="s">
        <v>120</v>
      </c>
      <c r="H24" s="65" t="s">
        <v>120</v>
      </c>
    </row>
    <row r="25" spans="2:8" ht="18" customHeight="1" x14ac:dyDescent="0.25">
      <c r="B25" s="135">
        <v>19</v>
      </c>
      <c r="C25" s="113" t="str">
        <f>Config!C23&amp;", "&amp;Config!D23</f>
        <v>Ullmann, Raphael</v>
      </c>
      <c r="D25" s="62"/>
      <c r="E25" s="62"/>
      <c r="F25" s="62"/>
      <c r="G25" s="62" t="s">
        <v>120</v>
      </c>
      <c r="H25" s="65" t="s">
        <v>120</v>
      </c>
    </row>
    <row r="26" spans="2:8" ht="18" customHeight="1" x14ac:dyDescent="0.25">
      <c r="B26" s="135">
        <v>20</v>
      </c>
      <c r="C26" s="113" t="str">
        <f>Config!C24&amp;", "&amp;Config!D24</f>
        <v>Hartl, Emmely</v>
      </c>
      <c r="D26" s="62" t="s">
        <v>120</v>
      </c>
      <c r="E26" s="62" t="s">
        <v>120</v>
      </c>
      <c r="F26" s="62" t="s">
        <v>120</v>
      </c>
      <c r="G26" s="62"/>
      <c r="H26" s="65"/>
    </row>
    <row r="27" spans="2:8" ht="18" customHeight="1" x14ac:dyDescent="0.25">
      <c r="B27" s="135">
        <v>21</v>
      </c>
      <c r="C27" s="113" t="str">
        <f>Config!C25&amp;", "&amp;Config!D25</f>
        <v>Klotz, Karin</v>
      </c>
      <c r="D27" s="62" t="s">
        <v>120</v>
      </c>
      <c r="E27" s="62" t="s">
        <v>120</v>
      </c>
      <c r="F27" s="62" t="s">
        <v>120</v>
      </c>
      <c r="G27" s="62"/>
      <c r="H27" s="65"/>
    </row>
    <row r="28" spans="2:8" ht="18" customHeight="1" x14ac:dyDescent="0.25">
      <c r="B28" s="135">
        <v>22</v>
      </c>
      <c r="C28" s="113" t="str">
        <f>Config!C26&amp;", "&amp;Config!D26</f>
        <v>Ehlers, Ingo</v>
      </c>
      <c r="D28" s="62" t="s">
        <v>120</v>
      </c>
      <c r="E28" s="62"/>
      <c r="F28" s="62"/>
      <c r="G28" s="62"/>
      <c r="H28" s="65" t="s">
        <v>120</v>
      </c>
    </row>
    <row r="29" spans="2:8" ht="18" customHeight="1" thickBot="1" x14ac:dyDescent="0.3">
      <c r="B29" s="136">
        <v>23</v>
      </c>
      <c r="C29" s="131"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mergeCells count="1">
    <mergeCell ref="J6:N8"/>
  </mergeCells>
  <dataValidations count="1">
    <dataValidation type="list" allowBlank="1" showDropDown="1" showInputMessage="1" showErrorMessage="1" sqref="D7:H29" xr:uid="{C268995B-66E9-4C5B-9ABC-5B215B023E1B}">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35" t="s">
        <v>6</v>
      </c>
      <c r="C2" s="236"/>
      <c r="D2" s="237"/>
      <c r="F2" s="224" t="s">
        <v>96</v>
      </c>
      <c r="G2" s="225"/>
      <c r="H2" s="225"/>
      <c r="I2" s="225"/>
      <c r="J2" s="225"/>
      <c r="K2" s="225"/>
      <c r="L2" s="225"/>
      <c r="M2" s="225"/>
      <c r="N2" s="225"/>
      <c r="O2" s="225"/>
      <c r="P2" s="225"/>
      <c r="Q2" s="225"/>
      <c r="R2" s="225"/>
      <c r="S2" s="226"/>
      <c r="T2" s="79" t="s">
        <v>88</v>
      </c>
      <c r="V2" s="197" t="s">
        <v>89</v>
      </c>
      <c r="W2" s="198"/>
      <c r="X2" s="198"/>
      <c r="Y2" s="198"/>
      <c r="Z2" s="199"/>
      <c r="AB2" s="197" t="s">
        <v>129</v>
      </c>
      <c r="AC2" s="198"/>
      <c r="AD2" s="198"/>
      <c r="AE2" s="198"/>
      <c r="AF2" s="199"/>
    </row>
    <row r="3" spans="2:32" ht="13.2" customHeight="1" x14ac:dyDescent="0.25">
      <c r="B3" s="238"/>
      <c r="C3" s="239"/>
      <c r="D3" s="240"/>
      <c r="F3" s="227"/>
      <c r="G3" s="228"/>
      <c r="H3" s="228"/>
      <c r="I3" s="228"/>
      <c r="J3" s="228"/>
      <c r="K3" s="228"/>
      <c r="L3" s="228"/>
      <c r="M3" s="228"/>
      <c r="N3" s="228"/>
      <c r="O3" s="228"/>
      <c r="P3" s="228"/>
      <c r="Q3" s="228"/>
      <c r="R3" s="228"/>
      <c r="S3" s="229"/>
      <c r="V3" s="80" t="s">
        <v>90</v>
      </c>
      <c r="W3" s="200" t="s">
        <v>122</v>
      </c>
      <c r="X3" s="200"/>
      <c r="Y3" s="200"/>
      <c r="Z3" s="201"/>
      <c r="AB3" s="95" t="s">
        <v>130</v>
      </c>
      <c r="AC3" s="200" t="s">
        <v>131</v>
      </c>
      <c r="AD3" s="200"/>
      <c r="AE3" s="200"/>
      <c r="AF3" s="201"/>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00"/>
      <c r="X4" s="200"/>
      <c r="Y4" s="200"/>
      <c r="Z4" s="201"/>
      <c r="AB4" s="80"/>
      <c r="AC4" s="200"/>
      <c r="AD4" s="200"/>
      <c r="AE4" s="200"/>
      <c r="AF4" s="201"/>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00"/>
      <c r="X5" s="200"/>
      <c r="Y5" s="200"/>
      <c r="Z5" s="201"/>
      <c r="AB5" s="80"/>
      <c r="AC5" s="200"/>
      <c r="AD5" s="200"/>
      <c r="AE5" s="200"/>
      <c r="AF5" s="201"/>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00"/>
      <c r="X6" s="200"/>
      <c r="Y6" s="200"/>
      <c r="Z6" s="201"/>
      <c r="AB6" s="95" t="s">
        <v>130</v>
      </c>
      <c r="AC6" s="200"/>
      <c r="AD6" s="200"/>
      <c r="AE6" s="200"/>
      <c r="AF6" s="201"/>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00"/>
      <c r="X7" s="200"/>
      <c r="Y7" s="200"/>
      <c r="Z7" s="201"/>
      <c r="AB7" s="80"/>
      <c r="AC7" s="200"/>
      <c r="AD7" s="200"/>
      <c r="AE7" s="200"/>
      <c r="AF7" s="201"/>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00"/>
      <c r="X8" s="200"/>
      <c r="Y8" s="200"/>
      <c r="Z8" s="201"/>
      <c r="AB8" s="80"/>
      <c r="AC8" s="200"/>
      <c r="AD8" s="200"/>
      <c r="AE8" s="200"/>
      <c r="AF8" s="201"/>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00"/>
      <c r="X9" s="200"/>
      <c r="Y9" s="200"/>
      <c r="Z9" s="201"/>
      <c r="AB9" s="95"/>
      <c r="AC9" s="200"/>
      <c r="AD9" s="200"/>
      <c r="AE9" s="200"/>
      <c r="AF9" s="201"/>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00"/>
      <c r="X10" s="200"/>
      <c r="Y10" s="200"/>
      <c r="Z10" s="201"/>
      <c r="AB10" s="80"/>
      <c r="AC10" s="200"/>
      <c r="AD10" s="200"/>
      <c r="AE10" s="200"/>
      <c r="AF10" s="201"/>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00"/>
      <c r="X11" s="200"/>
      <c r="Y11" s="200"/>
      <c r="Z11" s="201"/>
      <c r="AB11" s="95" t="s">
        <v>130</v>
      </c>
      <c r="AC11" s="200"/>
      <c r="AD11" s="200"/>
      <c r="AE11" s="200"/>
      <c r="AF11" s="201"/>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00"/>
      <c r="X12" s="200"/>
      <c r="Y12" s="200"/>
      <c r="Z12" s="201"/>
      <c r="AB12" s="95"/>
      <c r="AC12" s="200"/>
      <c r="AD12" s="200"/>
      <c r="AE12" s="200"/>
      <c r="AF12" s="201"/>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00"/>
      <c r="X13" s="200"/>
      <c r="Y13" s="200"/>
      <c r="Z13" s="201"/>
      <c r="AB13" s="80"/>
      <c r="AC13" s="200"/>
      <c r="AD13" s="200"/>
      <c r="AE13" s="200"/>
      <c r="AF13" s="201"/>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00"/>
      <c r="X14" s="200"/>
      <c r="Y14" s="200"/>
      <c r="Z14" s="201"/>
      <c r="AB14" s="80"/>
      <c r="AC14" s="200"/>
      <c r="AD14" s="200"/>
      <c r="AE14" s="200"/>
      <c r="AF14" s="201"/>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00"/>
      <c r="X15" s="200"/>
      <c r="Y15" s="200"/>
      <c r="Z15" s="201"/>
      <c r="AB15" s="95"/>
      <c r="AC15" s="200"/>
      <c r="AD15" s="200"/>
      <c r="AE15" s="200"/>
      <c r="AF15" s="201"/>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00"/>
      <c r="X16" s="200"/>
      <c r="Y16" s="200"/>
      <c r="Z16" s="201"/>
      <c r="AB16" s="95" t="s">
        <v>130</v>
      </c>
      <c r="AC16" s="200"/>
      <c r="AD16" s="200"/>
      <c r="AE16" s="200"/>
      <c r="AF16" s="201"/>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00"/>
      <c r="X17" s="200"/>
      <c r="Y17" s="200"/>
      <c r="Z17" s="201"/>
      <c r="AB17" s="80"/>
      <c r="AC17" s="200"/>
      <c r="AD17" s="200"/>
      <c r="AE17" s="200"/>
      <c r="AF17" s="201"/>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00"/>
      <c r="X18" s="200"/>
      <c r="Y18" s="200"/>
      <c r="Z18" s="201"/>
      <c r="AB18" s="95"/>
      <c r="AC18" s="200"/>
      <c r="AD18" s="200"/>
      <c r="AE18" s="200"/>
      <c r="AF18" s="201"/>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00"/>
      <c r="X19" s="200"/>
      <c r="Y19" s="200"/>
      <c r="Z19" s="201"/>
      <c r="AB19" s="80"/>
      <c r="AC19" s="200"/>
      <c r="AD19" s="200"/>
      <c r="AE19" s="200"/>
      <c r="AF19" s="201"/>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00"/>
      <c r="X20" s="200"/>
      <c r="Y20" s="200"/>
      <c r="Z20" s="201"/>
      <c r="AB20" s="80"/>
      <c r="AC20" s="200"/>
      <c r="AD20" s="200"/>
      <c r="AE20" s="200"/>
      <c r="AF20" s="201"/>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00"/>
      <c r="X21" s="200"/>
      <c r="Y21" s="200"/>
      <c r="Z21" s="201"/>
      <c r="AB21" s="95"/>
      <c r="AC21" s="200"/>
      <c r="AD21" s="200"/>
      <c r="AE21" s="200"/>
      <c r="AF21" s="201"/>
    </row>
    <row r="22" spans="2:32" ht="13.8" thickBot="1" x14ac:dyDescent="0.3">
      <c r="B22" s="5">
        <v>18</v>
      </c>
      <c r="C22" s="13" t="s">
        <v>75</v>
      </c>
      <c r="D22" s="14" t="s">
        <v>53</v>
      </c>
      <c r="F22" s="230" t="s">
        <v>118</v>
      </c>
      <c r="G22" s="231"/>
      <c r="H22" s="232" t="s">
        <v>118</v>
      </c>
      <c r="I22" s="231"/>
      <c r="J22" s="232" t="s">
        <v>118</v>
      </c>
      <c r="K22" s="231"/>
      <c r="L22" s="232" t="s">
        <v>118</v>
      </c>
      <c r="M22" s="231"/>
      <c r="N22" s="232" t="s">
        <v>118</v>
      </c>
      <c r="O22" s="231"/>
      <c r="P22" s="232" t="s">
        <v>118</v>
      </c>
      <c r="Q22" s="231"/>
      <c r="R22" s="232" t="s">
        <v>119</v>
      </c>
      <c r="S22" s="243"/>
      <c r="T22" s="79" t="s">
        <v>88</v>
      </c>
      <c r="V22" s="4"/>
      <c r="W22" s="200"/>
      <c r="X22" s="200"/>
      <c r="Y22" s="200"/>
      <c r="Z22" s="201"/>
      <c r="AB22" s="4"/>
      <c r="AC22" s="200"/>
      <c r="AD22" s="200"/>
      <c r="AE22" s="200"/>
      <c r="AF22" s="201"/>
    </row>
    <row r="23" spans="2:32" ht="13.2" customHeight="1" thickBot="1" x14ac:dyDescent="0.3">
      <c r="B23" s="5">
        <v>19</v>
      </c>
      <c r="C23" s="77" t="s">
        <v>76</v>
      </c>
      <c r="D23" s="78" t="s">
        <v>54</v>
      </c>
      <c r="V23" s="4"/>
      <c r="W23" s="200"/>
      <c r="X23" s="200"/>
      <c r="Y23" s="200"/>
      <c r="Z23" s="201"/>
      <c r="AB23" s="4"/>
      <c r="AC23" s="200"/>
      <c r="AD23" s="200"/>
      <c r="AE23" s="200"/>
      <c r="AF23" s="201"/>
    </row>
    <row r="24" spans="2:32" ht="13.2" customHeight="1" x14ac:dyDescent="0.25">
      <c r="B24" s="5">
        <v>20</v>
      </c>
      <c r="C24" s="13" t="s">
        <v>77</v>
      </c>
      <c r="D24" s="14" t="s">
        <v>55</v>
      </c>
      <c r="F24" s="22" t="s">
        <v>22</v>
      </c>
      <c r="G24" s="213">
        <v>46150</v>
      </c>
      <c r="H24" s="214"/>
      <c r="J24" s="215" t="s">
        <v>99</v>
      </c>
      <c r="K24" s="216"/>
      <c r="L24" s="216"/>
      <c r="M24" s="216"/>
      <c r="N24" s="216"/>
      <c r="O24" s="216"/>
      <c r="P24" s="216"/>
      <c r="Q24" s="217"/>
      <c r="V24" s="4" t="s">
        <v>123</v>
      </c>
      <c r="W24" s="200"/>
      <c r="X24" s="200"/>
      <c r="Y24" s="200"/>
      <c r="Z24" s="201"/>
      <c r="AB24" s="95"/>
      <c r="AC24" s="200"/>
      <c r="AD24" s="200"/>
      <c r="AE24" s="200"/>
      <c r="AF24" s="201"/>
    </row>
    <row r="25" spans="2:32" ht="13.2" customHeight="1" x14ac:dyDescent="0.25">
      <c r="B25" s="5">
        <v>21</v>
      </c>
      <c r="C25" s="77" t="s">
        <v>78</v>
      </c>
      <c r="D25" s="78" t="s">
        <v>56</v>
      </c>
      <c r="F25" s="23" t="s">
        <v>30</v>
      </c>
      <c r="G25" s="241" t="s">
        <v>86</v>
      </c>
      <c r="H25" s="242"/>
      <c r="J25" s="218" t="s">
        <v>98</v>
      </c>
      <c r="K25" s="219"/>
      <c r="L25" s="219"/>
      <c r="M25" s="219"/>
      <c r="N25" s="219"/>
      <c r="O25" s="219"/>
      <c r="P25" s="219"/>
      <c r="Q25" s="220"/>
      <c r="V25" s="4"/>
      <c r="W25" s="200"/>
      <c r="X25" s="200"/>
      <c r="Y25" s="200"/>
      <c r="Z25" s="201"/>
      <c r="AB25" s="4"/>
      <c r="AC25" s="200"/>
      <c r="AD25" s="200"/>
      <c r="AE25" s="200"/>
      <c r="AF25" s="201"/>
    </row>
    <row r="26" spans="2:32" ht="13.2" customHeight="1" thickBot="1" x14ac:dyDescent="0.3">
      <c r="B26" s="5">
        <v>22</v>
      </c>
      <c r="C26" s="13" t="s">
        <v>79</v>
      </c>
      <c r="D26" s="14" t="s">
        <v>57</v>
      </c>
      <c r="F26" s="23" t="s">
        <v>21</v>
      </c>
      <c r="G26" s="241" t="s">
        <v>87</v>
      </c>
      <c r="H26" s="242"/>
      <c r="J26" s="221"/>
      <c r="K26" s="222"/>
      <c r="L26" s="222"/>
      <c r="M26" s="222"/>
      <c r="N26" s="222"/>
      <c r="O26" s="222"/>
      <c r="P26" s="222"/>
      <c r="Q26" s="223"/>
      <c r="V26" s="4"/>
      <c r="W26" s="200"/>
      <c r="X26" s="200"/>
      <c r="Y26" s="200"/>
      <c r="Z26" s="201"/>
      <c r="AB26" s="4"/>
      <c r="AC26" s="200"/>
      <c r="AD26" s="200"/>
      <c r="AE26" s="200"/>
      <c r="AF26" s="201"/>
    </row>
    <row r="27" spans="2:32" ht="13.2" customHeight="1" thickBot="1" x14ac:dyDescent="0.3">
      <c r="B27" s="5">
        <v>23</v>
      </c>
      <c r="C27" s="77" t="s">
        <v>80</v>
      </c>
      <c r="D27" s="78" t="s">
        <v>53</v>
      </c>
      <c r="F27" s="23" t="s">
        <v>126</v>
      </c>
      <c r="G27" s="241" t="s">
        <v>132</v>
      </c>
      <c r="H27" s="242"/>
      <c r="I27" s="94" t="s">
        <v>88</v>
      </c>
      <c r="V27" s="4"/>
      <c r="W27" s="200"/>
      <c r="X27" s="200"/>
      <c r="Y27" s="200"/>
      <c r="Z27" s="201"/>
      <c r="AB27" s="4"/>
      <c r="AC27" s="200"/>
      <c r="AD27" s="200"/>
      <c r="AE27" s="200"/>
      <c r="AF27" s="201"/>
    </row>
    <row r="28" spans="2:32" ht="13.2" customHeight="1" thickBot="1" x14ac:dyDescent="0.3">
      <c r="B28" s="5">
        <v>24</v>
      </c>
      <c r="C28" s="13"/>
      <c r="D28" s="14"/>
      <c r="F28" s="24" t="s">
        <v>127</v>
      </c>
      <c r="G28" s="244" t="s">
        <v>133</v>
      </c>
      <c r="H28" s="245"/>
      <c r="I28" s="94" t="s">
        <v>88</v>
      </c>
      <c r="N28" s="246" t="s">
        <v>128</v>
      </c>
      <c r="O28" s="247"/>
      <c r="P28" s="247"/>
      <c r="Q28" s="248"/>
      <c r="V28" s="4"/>
      <c r="W28" s="200"/>
      <c r="X28" s="200"/>
      <c r="Y28" s="200"/>
      <c r="Z28" s="201"/>
      <c r="AB28" s="4"/>
      <c r="AC28" s="200"/>
      <c r="AD28" s="200"/>
      <c r="AE28" s="200"/>
      <c r="AF28" s="201"/>
    </row>
    <row r="29" spans="2:32" ht="13.2" customHeight="1" thickBot="1" x14ac:dyDescent="0.3">
      <c r="B29" s="5">
        <v>25</v>
      </c>
      <c r="C29" s="77"/>
      <c r="D29" s="78"/>
      <c r="N29" s="249"/>
      <c r="O29" s="250"/>
      <c r="P29" s="250"/>
      <c r="Q29" s="251"/>
      <c r="V29" s="92"/>
      <c r="W29" s="202"/>
      <c r="X29" s="202"/>
      <c r="Y29" s="202"/>
      <c r="Z29" s="203"/>
      <c r="AB29" s="92"/>
      <c r="AC29" s="202"/>
      <c r="AD29" s="202"/>
      <c r="AE29" s="202"/>
      <c r="AF29" s="203"/>
    </row>
    <row r="30" spans="2:32" ht="13.2" customHeight="1" thickBot="1" x14ac:dyDescent="0.3">
      <c r="B30" s="5">
        <v>26</v>
      </c>
      <c r="C30" s="13"/>
      <c r="D30" s="14"/>
    </row>
    <row r="31" spans="2:32" ht="13.2" customHeight="1" x14ac:dyDescent="0.25">
      <c r="B31" s="5">
        <v>27</v>
      </c>
      <c r="C31" s="77"/>
      <c r="D31" s="78"/>
      <c r="F31" s="204" t="s">
        <v>97</v>
      </c>
      <c r="G31" s="205"/>
      <c r="H31" s="205"/>
      <c r="I31" s="205"/>
      <c r="J31" s="205"/>
      <c r="K31" s="205"/>
      <c r="L31" s="205"/>
      <c r="M31" s="205"/>
      <c r="N31" s="205"/>
      <c r="O31" s="205"/>
      <c r="P31" s="205"/>
      <c r="Q31" s="206"/>
    </row>
    <row r="32" spans="2:32" ht="13.2" customHeight="1" x14ac:dyDescent="0.25">
      <c r="B32" s="5">
        <v>28</v>
      </c>
      <c r="C32" s="13"/>
      <c r="D32" s="14"/>
      <c r="F32" s="207"/>
      <c r="G32" s="208"/>
      <c r="H32" s="208"/>
      <c r="I32" s="208"/>
      <c r="J32" s="208"/>
      <c r="K32" s="208"/>
      <c r="L32" s="208"/>
      <c r="M32" s="208"/>
      <c r="N32" s="208"/>
      <c r="O32" s="208"/>
      <c r="P32" s="208"/>
      <c r="Q32" s="209"/>
    </row>
    <row r="33" spans="2:25" ht="13.2" customHeight="1" x14ac:dyDescent="0.25">
      <c r="B33" s="5">
        <v>29</v>
      </c>
      <c r="C33" s="77"/>
      <c r="D33" s="78"/>
      <c r="F33" s="207"/>
      <c r="G33" s="208"/>
      <c r="H33" s="208"/>
      <c r="I33" s="208"/>
      <c r="J33" s="208"/>
      <c r="K33" s="208"/>
      <c r="L33" s="208"/>
      <c r="M33" s="208"/>
      <c r="N33" s="208"/>
      <c r="O33" s="208"/>
      <c r="P33" s="208"/>
      <c r="Q33" s="209"/>
    </row>
    <row r="34" spans="2:25" ht="13.2" customHeight="1" x14ac:dyDescent="0.25">
      <c r="B34" s="5">
        <v>30</v>
      </c>
      <c r="C34" s="13"/>
      <c r="D34" s="14"/>
      <c r="F34" s="207"/>
      <c r="G34" s="208"/>
      <c r="H34" s="208"/>
      <c r="I34" s="208"/>
      <c r="J34" s="208"/>
      <c r="K34" s="208"/>
      <c r="L34" s="208"/>
      <c r="M34" s="208"/>
      <c r="N34" s="208"/>
      <c r="O34" s="208"/>
      <c r="P34" s="208"/>
      <c r="Q34" s="209"/>
    </row>
    <row r="35" spans="2:25" ht="13.2" customHeight="1" x14ac:dyDescent="0.25">
      <c r="B35" s="5">
        <v>31</v>
      </c>
      <c r="C35" s="77"/>
      <c r="D35" s="78"/>
      <c r="F35" s="207"/>
      <c r="G35" s="208"/>
      <c r="H35" s="208"/>
      <c r="I35" s="208"/>
      <c r="J35" s="208"/>
      <c r="K35" s="208"/>
      <c r="L35" s="208"/>
      <c r="M35" s="208"/>
      <c r="N35" s="208"/>
      <c r="O35" s="208"/>
      <c r="P35" s="208"/>
      <c r="Q35" s="209"/>
    </row>
    <row r="36" spans="2:25" ht="13.2" customHeight="1" x14ac:dyDescent="0.25">
      <c r="B36" s="5">
        <v>32</v>
      </c>
      <c r="C36" s="13"/>
      <c r="D36" s="14"/>
      <c r="F36" s="207"/>
      <c r="G36" s="208"/>
      <c r="H36" s="208"/>
      <c r="I36" s="208"/>
      <c r="J36" s="208"/>
      <c r="K36" s="208"/>
      <c r="L36" s="208"/>
      <c r="M36" s="208"/>
      <c r="N36" s="208"/>
      <c r="O36" s="208"/>
      <c r="P36" s="208"/>
      <c r="Q36" s="209"/>
    </row>
    <row r="37" spans="2:25" ht="13.2" customHeight="1" thickBot="1" x14ac:dyDescent="0.3">
      <c r="B37" s="5">
        <v>33</v>
      </c>
      <c r="C37" s="77"/>
      <c r="D37" s="78"/>
      <c r="F37" s="207"/>
      <c r="G37" s="208"/>
      <c r="H37" s="208"/>
      <c r="I37" s="208"/>
      <c r="J37" s="208"/>
      <c r="K37" s="208"/>
      <c r="L37" s="208"/>
      <c r="M37" s="208"/>
      <c r="N37" s="208"/>
      <c r="O37" s="208"/>
      <c r="P37" s="208"/>
      <c r="Q37" s="209"/>
    </row>
    <row r="38" spans="2:25" ht="13.2" customHeight="1" x14ac:dyDescent="0.25">
      <c r="B38" s="5">
        <v>34</v>
      </c>
      <c r="C38" s="13"/>
      <c r="D38" s="14"/>
      <c r="F38" s="207"/>
      <c r="G38" s="208"/>
      <c r="H38" s="208"/>
      <c r="I38" s="208"/>
      <c r="J38" s="208"/>
      <c r="K38" s="208"/>
      <c r="L38" s="208"/>
      <c r="M38" s="208"/>
      <c r="N38" s="208"/>
      <c r="O38" s="208"/>
      <c r="P38" s="208"/>
      <c r="Q38" s="209"/>
      <c r="V38" s="252" t="s">
        <v>134</v>
      </c>
      <c r="W38" s="253"/>
      <c r="X38" s="253"/>
      <c r="Y38" s="254"/>
    </row>
    <row r="39" spans="2:25" ht="13.2" customHeight="1" x14ac:dyDescent="0.25">
      <c r="B39" s="5">
        <v>35</v>
      </c>
      <c r="C39" s="77"/>
      <c r="D39" s="78"/>
      <c r="F39" s="207"/>
      <c r="G39" s="208"/>
      <c r="H39" s="208"/>
      <c r="I39" s="208"/>
      <c r="J39" s="208"/>
      <c r="K39" s="208"/>
      <c r="L39" s="208"/>
      <c r="M39" s="208"/>
      <c r="N39" s="208"/>
      <c r="O39" s="208"/>
      <c r="P39" s="208"/>
      <c r="Q39" s="209"/>
      <c r="V39" s="255"/>
      <c r="W39" s="256"/>
      <c r="X39" s="256"/>
      <c r="Y39" s="257"/>
    </row>
    <row r="40" spans="2:25" ht="13.2" customHeight="1" x14ac:dyDescent="0.25">
      <c r="B40" s="5">
        <v>36</v>
      </c>
      <c r="C40" s="13"/>
      <c r="D40" s="14"/>
      <c r="F40" s="207"/>
      <c r="G40" s="208"/>
      <c r="H40" s="208"/>
      <c r="I40" s="208"/>
      <c r="J40" s="208"/>
      <c r="K40" s="208"/>
      <c r="L40" s="208"/>
      <c r="M40" s="208"/>
      <c r="N40" s="208"/>
      <c r="O40" s="208"/>
      <c r="P40" s="208"/>
      <c r="Q40" s="209"/>
      <c r="V40" s="151">
        <v>1</v>
      </c>
      <c r="W40" s="258" t="s">
        <v>135</v>
      </c>
      <c r="X40" s="258"/>
      <c r="Y40" s="259"/>
    </row>
    <row r="41" spans="2:25" ht="13.2" customHeight="1" x14ac:dyDescent="0.25">
      <c r="B41" s="5">
        <v>37</v>
      </c>
      <c r="C41" s="77"/>
      <c r="D41" s="78"/>
      <c r="F41" s="207"/>
      <c r="G41" s="208"/>
      <c r="H41" s="208"/>
      <c r="I41" s="208"/>
      <c r="J41" s="208"/>
      <c r="K41" s="208"/>
      <c r="L41" s="208"/>
      <c r="M41" s="208"/>
      <c r="N41" s="208"/>
      <c r="O41" s="208"/>
      <c r="P41" s="208"/>
      <c r="Q41" s="209"/>
      <c r="V41" s="151">
        <v>1</v>
      </c>
      <c r="W41" s="258" t="s">
        <v>136</v>
      </c>
      <c r="X41" s="258"/>
      <c r="Y41" s="259"/>
    </row>
    <row r="42" spans="2:25" ht="13.2" customHeight="1" x14ac:dyDescent="0.25">
      <c r="B42" s="5">
        <v>38</v>
      </c>
      <c r="C42" s="13"/>
      <c r="D42" s="14"/>
      <c r="F42" s="207"/>
      <c r="G42" s="208"/>
      <c r="H42" s="208"/>
      <c r="I42" s="208"/>
      <c r="J42" s="208"/>
      <c r="K42" s="208"/>
      <c r="L42" s="208"/>
      <c r="M42" s="208"/>
      <c r="N42" s="208"/>
      <c r="O42" s="208"/>
      <c r="P42" s="208"/>
      <c r="Q42" s="209"/>
      <c r="V42" s="149"/>
      <c r="W42" s="260"/>
      <c r="X42" s="260"/>
      <c r="Y42" s="261"/>
    </row>
    <row r="43" spans="2:25" ht="13.2" customHeight="1" x14ac:dyDescent="0.25">
      <c r="B43" s="5">
        <v>39</v>
      </c>
      <c r="C43" s="77"/>
      <c r="D43" s="78"/>
      <c r="F43" s="207"/>
      <c r="G43" s="208"/>
      <c r="H43" s="208"/>
      <c r="I43" s="208"/>
      <c r="J43" s="208"/>
      <c r="K43" s="208"/>
      <c r="L43" s="208"/>
      <c r="M43" s="208"/>
      <c r="N43" s="208"/>
      <c r="O43" s="208"/>
      <c r="P43" s="208"/>
      <c r="Q43" s="209"/>
      <c r="V43" s="149"/>
      <c r="W43" s="260"/>
      <c r="X43" s="260"/>
      <c r="Y43" s="261"/>
    </row>
    <row r="44" spans="2:25" ht="13.2" customHeight="1" thickBot="1" x14ac:dyDescent="0.3">
      <c r="B44" s="6">
        <v>40</v>
      </c>
      <c r="C44" s="15"/>
      <c r="D44" s="16"/>
      <c r="F44" s="210"/>
      <c r="G44" s="211"/>
      <c r="H44" s="211"/>
      <c r="I44" s="211"/>
      <c r="J44" s="211"/>
      <c r="K44" s="211"/>
      <c r="L44" s="211"/>
      <c r="M44" s="211"/>
      <c r="N44" s="211"/>
      <c r="O44" s="211"/>
      <c r="P44" s="211"/>
      <c r="Q44" s="212"/>
      <c r="V44" s="150"/>
      <c r="W44" s="233"/>
      <c r="X44" s="233"/>
      <c r="Y44" s="234"/>
    </row>
    <row r="45" spans="2:25" x14ac:dyDescent="0.25">
      <c r="C45" s="10">
        <f>COUNTA(C5:C44)</f>
        <v>23</v>
      </c>
    </row>
  </sheetData>
  <sheetProtection sheet="1" objects="1" scenarios="1" selectLockedCells="1"/>
  <mergeCells count="29">
    <mergeCell ref="V38:Y39"/>
    <mergeCell ref="W40:Y40"/>
    <mergeCell ref="W41:Y41"/>
    <mergeCell ref="W42:Y42"/>
    <mergeCell ref="W43:Y4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12</xdr:col>
                <xdr:colOff>0</xdr:colOff>
                <xdr:row>27</xdr:row>
                <xdr:rowOff>0</xdr:rowOff>
              </from>
              <to>
                <xdr:col>12</xdr:col>
                <xdr:colOff>403860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11</xdr:col>
                <xdr:colOff>0</xdr:colOff>
                <xdr:row>27</xdr:row>
                <xdr:rowOff>0</xdr:rowOff>
              </from>
              <to>
                <xdr:col>11</xdr:col>
                <xdr:colOff>403860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21</xdr:col>
                <xdr:colOff>0</xdr:colOff>
                <xdr:row>33</xdr:row>
                <xdr:rowOff>0</xdr:rowOff>
              </from>
              <to>
                <xdr:col>23</xdr:col>
                <xdr:colOff>434340</xdr:colOff>
                <xdr:row>36</xdr:row>
                <xdr:rowOff>30480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23</xdr:col>
                <xdr:colOff>533400</xdr:colOff>
                <xdr:row>33</xdr:row>
                <xdr:rowOff>0</xdr:rowOff>
              </from>
              <to>
                <xdr:col>25</xdr:col>
                <xdr:colOff>358140</xdr:colOff>
                <xdr:row>36</xdr:row>
                <xdr:rowOff>30480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27</xdr:col>
                <xdr:colOff>0</xdr:colOff>
                <xdr:row>29</xdr:row>
                <xdr:rowOff>68580</xdr:rowOff>
              </from>
              <to>
                <xdr:col>29</xdr:col>
                <xdr:colOff>441960</xdr:colOff>
                <xdr:row>32</xdr:row>
                <xdr:rowOff>99060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99060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27</xdr:col>
                <xdr:colOff>0</xdr:colOff>
                <xdr:row>33</xdr:row>
                <xdr:rowOff>0</xdr:rowOff>
              </from>
              <to>
                <xdr:col>29</xdr:col>
                <xdr:colOff>441960</xdr:colOff>
                <xdr:row>36</xdr:row>
                <xdr:rowOff>30480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30480</xdr:rowOff>
              </to>
            </anchor>
          </controlPr>
        </control>
      </mc:Choice>
      <mc:Fallback>
        <control shapeId="10289" r:id="rId28" name="cmdImportD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D7" sqref="D7"/>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04" t="s">
        <v>32</v>
      </c>
      <c r="H2" s="205"/>
      <c r="I2" s="205"/>
      <c r="J2" s="205"/>
      <c r="K2" s="205"/>
      <c r="L2" s="206"/>
    </row>
    <row r="3" spans="2:15" x14ac:dyDescent="0.25">
      <c r="B3" s="35">
        <v>0</v>
      </c>
      <c r="C3" s="36">
        <v>0</v>
      </c>
      <c r="D3" s="37">
        <v>6</v>
      </c>
      <c r="E3" s="27" t="str">
        <f>IF(AND($C3=$C4,$C4&lt;$C5),"+",IF($C3&lt;$C4,"++",""))</f>
        <v/>
      </c>
      <c r="F3" s="31"/>
      <c r="G3" s="207"/>
      <c r="H3" s="208"/>
      <c r="I3" s="208"/>
      <c r="J3" s="208"/>
      <c r="K3" s="208"/>
      <c r="L3" s="209"/>
    </row>
    <row r="4" spans="2:15" x14ac:dyDescent="0.25">
      <c r="B4" s="38">
        <v>0.5</v>
      </c>
      <c r="C4" s="39">
        <v>0</v>
      </c>
      <c r="D4" s="40">
        <v>6</v>
      </c>
      <c r="E4" s="27" t="str">
        <f>IF(AND($C4=$C5,$C5&lt;$C6),"+",IF($C4&lt;$C5,"++",""))</f>
        <v/>
      </c>
      <c r="F4" s="31"/>
      <c r="G4" s="207"/>
      <c r="H4" s="208"/>
      <c r="I4" s="208"/>
      <c r="J4" s="208"/>
      <c r="K4" s="208"/>
      <c r="L4" s="209"/>
    </row>
    <row r="5" spans="2:15" x14ac:dyDescent="0.25">
      <c r="B5" s="38">
        <v>1</v>
      </c>
      <c r="C5" s="39">
        <v>0</v>
      </c>
      <c r="D5" s="40">
        <v>6</v>
      </c>
      <c r="E5" s="27" t="str">
        <f t="shared" ref="E5:E50" si="0">IF(AND($C5=$C6,$C6&lt;$C7),"+",IF($C5&lt;$C6,"++",IF(AND($C5=$C4,$C4&gt;$C3),"-",IF($C5&gt;$C4,"--",""))))</f>
        <v/>
      </c>
      <c r="F5" s="31"/>
      <c r="G5" s="207"/>
      <c r="H5" s="208"/>
      <c r="I5" s="208"/>
      <c r="J5" s="208"/>
      <c r="K5" s="208"/>
      <c r="L5" s="209"/>
    </row>
    <row r="6" spans="2:15" x14ac:dyDescent="0.25">
      <c r="B6" s="38">
        <v>1.5</v>
      </c>
      <c r="C6" s="39">
        <v>0</v>
      </c>
      <c r="D6" s="40">
        <v>6</v>
      </c>
      <c r="E6" s="27" t="str">
        <f t="shared" si="0"/>
        <v/>
      </c>
      <c r="F6" s="31"/>
      <c r="G6" s="207"/>
      <c r="H6" s="208"/>
      <c r="I6" s="208"/>
      <c r="J6" s="208"/>
      <c r="K6" s="208"/>
      <c r="L6" s="209"/>
    </row>
    <row r="7" spans="2:15" x14ac:dyDescent="0.25">
      <c r="B7" s="38">
        <v>2</v>
      </c>
      <c r="C7" s="39">
        <v>0</v>
      </c>
      <c r="D7" s="40">
        <v>6</v>
      </c>
      <c r="E7" s="27" t="str">
        <f t="shared" si="0"/>
        <v/>
      </c>
      <c r="F7" s="31"/>
      <c r="G7" s="207"/>
      <c r="H7" s="208"/>
      <c r="I7" s="208"/>
      <c r="J7" s="208"/>
      <c r="K7" s="208"/>
      <c r="L7" s="209"/>
    </row>
    <row r="8" spans="2:15" ht="12.75" customHeight="1" x14ac:dyDescent="0.25">
      <c r="B8" s="38">
        <v>2.5</v>
      </c>
      <c r="C8" s="39">
        <v>0</v>
      </c>
      <c r="D8" s="40">
        <v>6</v>
      </c>
      <c r="E8" s="27" t="str">
        <f t="shared" si="0"/>
        <v/>
      </c>
      <c r="F8" s="31"/>
      <c r="G8" s="207"/>
      <c r="H8" s="208"/>
      <c r="I8" s="208"/>
      <c r="J8" s="208"/>
      <c r="K8" s="208"/>
      <c r="L8" s="209"/>
      <c r="M8" s="32"/>
      <c r="N8" s="32"/>
      <c r="O8" s="32"/>
    </row>
    <row r="9" spans="2:15" x14ac:dyDescent="0.25">
      <c r="B9" s="38">
        <v>3</v>
      </c>
      <c r="C9" s="39">
        <v>0</v>
      </c>
      <c r="D9" s="40">
        <v>6</v>
      </c>
      <c r="E9" s="27" t="str">
        <f t="shared" si="0"/>
        <v/>
      </c>
      <c r="F9" s="31"/>
      <c r="G9" s="207"/>
      <c r="H9" s="208"/>
      <c r="I9" s="208"/>
      <c r="J9" s="208"/>
      <c r="K9" s="208"/>
      <c r="L9" s="209"/>
      <c r="M9" s="32"/>
      <c r="N9" s="32"/>
      <c r="O9" s="32"/>
    </row>
    <row r="10" spans="2:15" x14ac:dyDescent="0.25">
      <c r="B10" s="38">
        <v>3.5</v>
      </c>
      <c r="C10" s="39">
        <v>0</v>
      </c>
      <c r="D10" s="40">
        <v>6</v>
      </c>
      <c r="E10" s="27" t="str">
        <f t="shared" si="0"/>
        <v/>
      </c>
      <c r="F10" s="31"/>
      <c r="G10" s="207"/>
      <c r="H10" s="208"/>
      <c r="I10" s="208"/>
      <c r="J10" s="208"/>
      <c r="K10" s="208"/>
      <c r="L10" s="209"/>
      <c r="M10" s="32"/>
      <c r="N10" s="32"/>
      <c r="O10" s="32"/>
    </row>
    <row r="11" spans="2:15" x14ac:dyDescent="0.25">
      <c r="B11" s="38">
        <v>4</v>
      </c>
      <c r="C11" s="39">
        <v>0</v>
      </c>
      <c r="D11" s="40">
        <v>6</v>
      </c>
      <c r="E11" s="27" t="str">
        <f t="shared" si="0"/>
        <v/>
      </c>
      <c r="G11" s="207"/>
      <c r="H11" s="208"/>
      <c r="I11" s="208"/>
      <c r="J11" s="208"/>
      <c r="K11" s="208"/>
      <c r="L11" s="209"/>
      <c r="M11" s="32"/>
      <c r="N11" s="32"/>
      <c r="O11" s="32"/>
    </row>
    <row r="12" spans="2:15" x14ac:dyDescent="0.25">
      <c r="B12" s="38">
        <v>4.5</v>
      </c>
      <c r="C12" s="39">
        <v>0</v>
      </c>
      <c r="D12" s="40">
        <v>6</v>
      </c>
      <c r="E12" s="27" t="str">
        <f t="shared" si="0"/>
        <v/>
      </c>
      <c r="F12" s="31"/>
      <c r="G12" s="207"/>
      <c r="H12" s="208"/>
      <c r="I12" s="208"/>
      <c r="J12" s="208"/>
      <c r="K12" s="208"/>
      <c r="L12" s="209"/>
      <c r="M12" s="32"/>
      <c r="N12" s="32"/>
      <c r="O12" s="32"/>
    </row>
    <row r="13" spans="2:15" x14ac:dyDescent="0.25">
      <c r="B13" s="38">
        <v>5</v>
      </c>
      <c r="C13" s="39">
        <v>0</v>
      </c>
      <c r="D13" s="40">
        <v>6</v>
      </c>
      <c r="E13" s="27" t="str">
        <f t="shared" si="0"/>
        <v/>
      </c>
      <c r="F13" s="31"/>
      <c r="G13" s="207"/>
      <c r="H13" s="208"/>
      <c r="I13" s="208"/>
      <c r="J13" s="208"/>
      <c r="K13" s="208"/>
      <c r="L13" s="209"/>
      <c r="M13" s="32"/>
      <c r="N13" s="32"/>
      <c r="O13" s="32"/>
    </row>
    <row r="14" spans="2:15" x14ac:dyDescent="0.25">
      <c r="B14" s="38">
        <v>5.5</v>
      </c>
      <c r="C14" s="39">
        <v>0</v>
      </c>
      <c r="D14" s="40">
        <v>6</v>
      </c>
      <c r="E14" s="27" t="str">
        <f t="shared" si="0"/>
        <v/>
      </c>
      <c r="F14" s="31"/>
      <c r="G14" s="207"/>
      <c r="H14" s="208"/>
      <c r="I14" s="208"/>
      <c r="J14" s="208"/>
      <c r="K14" s="208"/>
      <c r="L14" s="209"/>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4"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2026-05-05T19:40:01Z</cp:lastPrinted>
  <dcterms:created xsi:type="dcterms:W3CDTF">2006-06-24T21:29:52Z</dcterms:created>
  <dcterms:modified xsi:type="dcterms:W3CDTF">2026-05-05T20:55:29Z</dcterms:modified>
</cp:coreProperties>
</file>