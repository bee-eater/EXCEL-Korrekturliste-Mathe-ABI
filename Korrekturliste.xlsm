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DieseArbeitsmappe" defaultThemeVersion="124226"/>
  <mc:AlternateContent xmlns:mc="http://schemas.openxmlformats.org/markup-compatibility/2006">
    <mc:Choice Requires="x15">
      <x15ac:absPath xmlns:x15ac="http://schemas.microsoft.com/office/spreadsheetml/2010/11/ac" url="F:\Engineering\VBA\Korrekturliste\"/>
    </mc:Choice>
  </mc:AlternateContent>
  <xr:revisionPtr revIDLastSave="0" documentId="13_ncr:1_{809C3981-EE3B-44EE-857F-892851067EE4}" xr6:coauthVersionLast="47" xr6:coauthVersionMax="47" xr10:uidLastSave="{00000000-0000-0000-0000-000000000000}"/>
  <bookViews>
    <workbookView xWindow="38280" yWindow="-120" windowWidth="29040" windowHeight="17520" xr2:uid="{00000000-000D-0000-FFFF-FFFF00000000}"/>
  </bookViews>
  <sheets>
    <sheet name="Noten" sheetId="1917" r:id="rId1"/>
    <sheet name="Analysis A" sheetId="1911" r:id="rId2"/>
    <sheet name="Analysis B" sheetId="1912" r:id="rId3"/>
    <sheet name="Stochastik A" sheetId="1913" r:id="rId4"/>
    <sheet name="Stochastik B" sheetId="1914" r:id="rId5"/>
    <sheet name="Geometrie A" sheetId="1915" r:id="rId6"/>
    <sheet name="Geometrie B" sheetId="1916" r:id="rId7"/>
    <sheet name="Config" sheetId="14" r:id="rId8"/>
    <sheet name="Notenspiegel" sheetId="11" r:id="rId9"/>
    <sheet name="TestData" sheetId="1707" state="hidden" r:id="rId10"/>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 i="1917" l="1"/>
  <c r="C7" i="1911"/>
  <c r="C8" i="1911"/>
  <c r="C9" i="1911"/>
  <c r="M7" i="1911"/>
  <c r="M8" i="1911"/>
  <c r="M9" i="1911"/>
  <c r="C10" i="1911"/>
  <c r="M10" i="1911"/>
  <c r="C11" i="1911"/>
  <c r="M11" i="1911"/>
  <c r="C12" i="1911"/>
  <c r="M12" i="1911"/>
  <c r="C13" i="1911"/>
  <c r="M13" i="1911"/>
  <c r="C14" i="1911"/>
  <c r="M14" i="1911"/>
  <c r="C15" i="1911"/>
  <c r="M15" i="1911"/>
  <c r="C16" i="1911"/>
  <c r="M16" i="1911"/>
  <c r="C17" i="1911"/>
  <c r="M17" i="1911"/>
  <c r="C18" i="1911"/>
  <c r="M18" i="1911"/>
  <c r="C19" i="1911"/>
  <c r="M19" i="1911"/>
  <c r="C20" i="1911"/>
  <c r="M20" i="1911"/>
  <c r="C21" i="1911"/>
  <c r="M21" i="1911"/>
  <c r="C22" i="1911"/>
  <c r="M22" i="1911"/>
  <c r="C23" i="1911"/>
  <c r="M23" i="1911"/>
  <c r="C24" i="1911"/>
  <c r="M24" i="1911"/>
  <c r="C25" i="1911"/>
  <c r="M25" i="1911"/>
  <c r="C26" i="1911"/>
  <c r="M26" i="1911"/>
  <c r="C27" i="1911"/>
  <c r="M27" i="1911"/>
  <c r="C28" i="1911"/>
  <c r="M28" i="1911"/>
  <c r="C29" i="1911"/>
  <c r="M29" i="1911"/>
  <c r="D29" i="1917"/>
  <c r="C7" i="1912"/>
  <c r="C8" i="1912"/>
  <c r="C9" i="1912"/>
  <c r="C10" i="1912"/>
  <c r="P7" i="1912"/>
  <c r="P8" i="1912"/>
  <c r="P9" i="1912"/>
  <c r="P10" i="1912"/>
  <c r="C11" i="1912"/>
  <c r="P11" i="1912"/>
  <c r="C12" i="1912"/>
  <c r="P12" i="1912"/>
  <c r="C13" i="1912"/>
  <c r="P13" i="1912"/>
  <c r="C14" i="1912"/>
  <c r="P14" i="1912"/>
  <c r="C15" i="1912"/>
  <c r="P15" i="1912"/>
  <c r="C16" i="1912"/>
  <c r="P16" i="1912"/>
  <c r="C17" i="1912"/>
  <c r="P17" i="1912"/>
  <c r="C18" i="1912"/>
  <c r="P18" i="1912"/>
  <c r="C19" i="1912"/>
  <c r="P19" i="1912"/>
  <c r="C20" i="1912"/>
  <c r="P20" i="1912"/>
  <c r="C21" i="1912"/>
  <c r="P21" i="1912"/>
  <c r="C22" i="1912"/>
  <c r="P22" i="1912"/>
  <c r="C23" i="1912"/>
  <c r="P23" i="1912"/>
  <c r="C24" i="1912"/>
  <c r="P24" i="1912"/>
  <c r="C25" i="1912"/>
  <c r="P25" i="1912"/>
  <c r="C26" i="1912"/>
  <c r="P26" i="1912"/>
  <c r="C27" i="1912"/>
  <c r="P27" i="1912"/>
  <c r="C28" i="1912"/>
  <c r="P28" i="1912"/>
  <c r="C29" i="1912"/>
  <c r="P29" i="1912"/>
  <c r="E29" i="1917"/>
  <c r="C7" i="1913"/>
  <c r="C8" i="1913"/>
  <c r="C9" i="1913"/>
  <c r="C10" i="1913"/>
  <c r="G7" i="1913"/>
  <c r="G8" i="1913"/>
  <c r="G9" i="1913"/>
  <c r="G10" i="1913"/>
  <c r="C11" i="1913"/>
  <c r="G11" i="1913"/>
  <c r="C12" i="1913"/>
  <c r="G12" i="1913"/>
  <c r="C13" i="1913"/>
  <c r="G13" i="1913"/>
  <c r="C14" i="1913"/>
  <c r="G14" i="1913"/>
  <c r="C15" i="1913"/>
  <c r="G15" i="1913"/>
  <c r="C16" i="1913"/>
  <c r="G16" i="1913"/>
  <c r="C17" i="1913"/>
  <c r="G17" i="1913"/>
  <c r="C18" i="1913"/>
  <c r="G18" i="1913"/>
  <c r="C19" i="1913"/>
  <c r="G19" i="1913"/>
  <c r="C20" i="1913"/>
  <c r="G20" i="1913"/>
  <c r="C21" i="1913"/>
  <c r="G21" i="1913"/>
  <c r="C22" i="1913"/>
  <c r="G22" i="1913"/>
  <c r="C23" i="1913"/>
  <c r="G23" i="1913"/>
  <c r="C24" i="1913"/>
  <c r="G24" i="1913"/>
  <c r="C25" i="1913"/>
  <c r="G25" i="1913"/>
  <c r="C26" i="1913"/>
  <c r="G26" i="1913"/>
  <c r="C27" i="1913"/>
  <c r="G27" i="1913"/>
  <c r="C28" i="1913"/>
  <c r="G28" i="1913"/>
  <c r="C29" i="1913"/>
  <c r="G29" i="1913"/>
  <c r="F29" i="1917"/>
  <c r="C7" i="1914"/>
  <c r="C8" i="1914"/>
  <c r="C9" i="1914"/>
  <c r="C10" i="1914"/>
  <c r="J7" i="1914"/>
  <c r="J8" i="1914"/>
  <c r="J9" i="1914"/>
  <c r="J10" i="1914"/>
  <c r="C11" i="1914"/>
  <c r="J11" i="1914"/>
  <c r="C12" i="1914"/>
  <c r="J12" i="1914"/>
  <c r="C13" i="1914"/>
  <c r="J13" i="1914"/>
  <c r="C14" i="1914"/>
  <c r="J14" i="1914"/>
  <c r="C15" i="1914"/>
  <c r="J15" i="1914"/>
  <c r="C16" i="1914"/>
  <c r="J16" i="1914"/>
  <c r="C17" i="1914"/>
  <c r="J17" i="1914"/>
  <c r="C18" i="1914"/>
  <c r="J18" i="1914"/>
  <c r="C19" i="1914"/>
  <c r="J19" i="1914"/>
  <c r="C20" i="1914"/>
  <c r="J20" i="1914"/>
  <c r="C21" i="1914"/>
  <c r="J21" i="1914"/>
  <c r="C22" i="1914"/>
  <c r="J22" i="1914"/>
  <c r="C23" i="1914"/>
  <c r="J23" i="1914"/>
  <c r="C24" i="1914"/>
  <c r="J24" i="1914"/>
  <c r="C25" i="1914"/>
  <c r="J25" i="1914"/>
  <c r="C26" i="1914"/>
  <c r="J26" i="1914"/>
  <c r="C27" i="1914"/>
  <c r="J27" i="1914"/>
  <c r="C28" i="1914"/>
  <c r="J28" i="1914"/>
  <c r="C29" i="1914"/>
  <c r="J29" i="1914"/>
  <c r="G29" i="1917"/>
  <c r="C7" i="1915"/>
  <c r="C8" i="1915"/>
  <c r="C9" i="1915"/>
  <c r="C10" i="1915"/>
  <c r="H7" i="1915"/>
  <c r="H8" i="1915"/>
  <c r="H9" i="1915"/>
  <c r="H10" i="1915"/>
  <c r="C11" i="1915"/>
  <c r="H11" i="1915"/>
  <c r="C12" i="1915"/>
  <c r="H12" i="1915"/>
  <c r="C13" i="1915"/>
  <c r="H13" i="1915"/>
  <c r="C14" i="1915"/>
  <c r="H14" i="1915"/>
  <c r="C15" i="1915"/>
  <c r="H15" i="1915"/>
  <c r="C16" i="1915"/>
  <c r="H16" i="1915"/>
  <c r="C17" i="1915"/>
  <c r="H17" i="1915"/>
  <c r="C18" i="1915"/>
  <c r="H18" i="1915"/>
  <c r="C19" i="1915"/>
  <c r="H19" i="1915"/>
  <c r="C20" i="1915"/>
  <c r="H20" i="1915"/>
  <c r="C21" i="1915"/>
  <c r="H21" i="1915"/>
  <c r="C22" i="1915"/>
  <c r="H22" i="1915"/>
  <c r="C23" i="1915"/>
  <c r="H23" i="1915"/>
  <c r="C24" i="1915"/>
  <c r="H24" i="1915"/>
  <c r="C25" i="1915"/>
  <c r="H25" i="1915"/>
  <c r="C26" i="1915"/>
  <c r="H26" i="1915"/>
  <c r="C27" i="1915"/>
  <c r="H27" i="1915"/>
  <c r="C28" i="1915"/>
  <c r="H28" i="1915"/>
  <c r="C29" i="1915"/>
  <c r="H29" i="1915"/>
  <c r="H29" i="1917"/>
  <c r="C7" i="1916"/>
  <c r="C8" i="1916"/>
  <c r="C9" i="1916"/>
  <c r="C10" i="1916"/>
  <c r="J7" i="1916"/>
  <c r="J8" i="1916"/>
  <c r="J9" i="1916"/>
  <c r="J10" i="1916"/>
  <c r="C11" i="1916"/>
  <c r="J11" i="1916"/>
  <c r="C12" i="1916"/>
  <c r="J12" i="1916"/>
  <c r="C13" i="1916"/>
  <c r="J13" i="1916"/>
  <c r="C14" i="1916"/>
  <c r="J14" i="1916"/>
  <c r="C15" i="1916"/>
  <c r="J15" i="1916"/>
  <c r="C16" i="1916"/>
  <c r="J16" i="1916"/>
  <c r="C17" i="1916"/>
  <c r="J17" i="1916"/>
  <c r="C18" i="1916"/>
  <c r="J18" i="1916"/>
  <c r="C19" i="1916"/>
  <c r="J19" i="1916"/>
  <c r="C20" i="1916"/>
  <c r="J20" i="1916"/>
  <c r="C21" i="1916"/>
  <c r="J21" i="1916"/>
  <c r="C22" i="1916"/>
  <c r="J22" i="1916"/>
  <c r="C23" i="1916"/>
  <c r="J23" i="1916"/>
  <c r="C24" i="1916"/>
  <c r="J24" i="1916"/>
  <c r="C25" i="1916"/>
  <c r="J25" i="1916"/>
  <c r="C26" i="1916"/>
  <c r="J26" i="1916"/>
  <c r="C27" i="1916"/>
  <c r="J27" i="1916"/>
  <c r="C28" i="1916"/>
  <c r="J28" i="1916"/>
  <c r="C29" i="1916"/>
  <c r="J29" i="1916"/>
  <c r="I29" i="1917"/>
  <c r="J29" i="1917"/>
  <c r="E3" i="11"/>
  <c r="M29" i="1917"/>
  <c r="C28" i="1917"/>
  <c r="D28" i="1917"/>
  <c r="E28" i="1917"/>
  <c r="F28" i="1917"/>
  <c r="G28" i="1917"/>
  <c r="H28" i="1917"/>
  <c r="I28" i="1917"/>
  <c r="J28" i="1917"/>
  <c r="M28" i="1917"/>
  <c r="C27" i="1917"/>
  <c r="D27" i="1917"/>
  <c r="E27" i="1917"/>
  <c r="F27" i="1917"/>
  <c r="G27" i="1917"/>
  <c r="H27" i="1917"/>
  <c r="I27" i="1917"/>
  <c r="J27" i="1917"/>
  <c r="M27" i="1917"/>
  <c r="C26" i="1917"/>
  <c r="D26" i="1917"/>
  <c r="E26" i="1917"/>
  <c r="F26" i="1917"/>
  <c r="G26" i="1917"/>
  <c r="H26" i="1917"/>
  <c r="I26" i="1917"/>
  <c r="J26" i="1917"/>
  <c r="M26" i="1917"/>
  <c r="C25" i="1917"/>
  <c r="D25" i="1917"/>
  <c r="E25" i="1917"/>
  <c r="F25" i="1917"/>
  <c r="G25" i="1917"/>
  <c r="H25" i="1917"/>
  <c r="I25" i="1917"/>
  <c r="J25" i="1917"/>
  <c r="M25" i="1917"/>
  <c r="C24" i="1917"/>
  <c r="D24" i="1917"/>
  <c r="E24" i="1917"/>
  <c r="F24" i="1917"/>
  <c r="G24" i="1917"/>
  <c r="H24" i="1917"/>
  <c r="I24" i="1917"/>
  <c r="J24" i="1917"/>
  <c r="M24" i="1917"/>
  <c r="C23" i="1917"/>
  <c r="D23" i="1917"/>
  <c r="E23" i="1917"/>
  <c r="F23" i="1917"/>
  <c r="G23" i="1917"/>
  <c r="H23" i="1917"/>
  <c r="I23" i="1917"/>
  <c r="J23" i="1917"/>
  <c r="M23" i="1917"/>
  <c r="C22" i="1917"/>
  <c r="D22" i="1917"/>
  <c r="E22" i="1917"/>
  <c r="F22" i="1917"/>
  <c r="G22" i="1917"/>
  <c r="H22" i="1917"/>
  <c r="I22" i="1917"/>
  <c r="J22" i="1917"/>
  <c r="M22" i="1917"/>
  <c r="C21" i="1917"/>
  <c r="D21" i="1917"/>
  <c r="E21" i="1917"/>
  <c r="F21" i="1917"/>
  <c r="G21" i="1917"/>
  <c r="H21" i="1917"/>
  <c r="I21" i="1917"/>
  <c r="J21" i="1917"/>
  <c r="M21" i="1917"/>
  <c r="C20" i="1917"/>
  <c r="D20" i="1917"/>
  <c r="E20" i="1917"/>
  <c r="F20" i="1917"/>
  <c r="G20" i="1917"/>
  <c r="H20" i="1917"/>
  <c r="I20" i="1917"/>
  <c r="J20" i="1917"/>
  <c r="M20" i="1917"/>
  <c r="C19" i="1917"/>
  <c r="D19" i="1917"/>
  <c r="E19" i="1917"/>
  <c r="F19" i="1917"/>
  <c r="G19" i="1917"/>
  <c r="H19" i="1917"/>
  <c r="I19" i="1917"/>
  <c r="J19" i="1917"/>
  <c r="M19" i="1917"/>
  <c r="C18" i="1917"/>
  <c r="D18" i="1917"/>
  <c r="E18" i="1917"/>
  <c r="F18" i="1917"/>
  <c r="G18" i="1917"/>
  <c r="H18" i="1917"/>
  <c r="I18" i="1917"/>
  <c r="J18" i="1917"/>
  <c r="M18" i="1917"/>
  <c r="C17" i="1917"/>
  <c r="D17" i="1917"/>
  <c r="E17" i="1917"/>
  <c r="F17" i="1917"/>
  <c r="G17" i="1917"/>
  <c r="H17" i="1917"/>
  <c r="I17" i="1917"/>
  <c r="J17" i="1917"/>
  <c r="M17" i="1917"/>
  <c r="C16" i="1917"/>
  <c r="D16" i="1917"/>
  <c r="E16" i="1917"/>
  <c r="F16" i="1917"/>
  <c r="G16" i="1917"/>
  <c r="H16" i="1917"/>
  <c r="I16" i="1917"/>
  <c r="J16" i="1917"/>
  <c r="M16" i="1917"/>
  <c r="C15" i="1917"/>
  <c r="D15" i="1917"/>
  <c r="E15" i="1917"/>
  <c r="F15" i="1917"/>
  <c r="G15" i="1917"/>
  <c r="H15" i="1917"/>
  <c r="I15" i="1917"/>
  <c r="J15" i="1917"/>
  <c r="M15" i="1917"/>
  <c r="C14" i="1917"/>
  <c r="D14" i="1917"/>
  <c r="E14" i="1917"/>
  <c r="F14" i="1917"/>
  <c r="G14" i="1917"/>
  <c r="H14" i="1917"/>
  <c r="I14" i="1917"/>
  <c r="J14" i="1917"/>
  <c r="M14" i="1917"/>
  <c r="C13" i="1917"/>
  <c r="D13" i="1917"/>
  <c r="E13" i="1917"/>
  <c r="F13" i="1917"/>
  <c r="G13" i="1917"/>
  <c r="H13" i="1917"/>
  <c r="I13" i="1917"/>
  <c r="J13" i="1917"/>
  <c r="M13" i="1917"/>
  <c r="C12" i="1917"/>
  <c r="D12" i="1917"/>
  <c r="E12" i="1917"/>
  <c r="F12" i="1917"/>
  <c r="G12" i="1917"/>
  <c r="H12" i="1917"/>
  <c r="I12" i="1917"/>
  <c r="J12" i="1917"/>
  <c r="M12" i="1917"/>
  <c r="C11" i="1917"/>
  <c r="D11" i="1917"/>
  <c r="E11" i="1917"/>
  <c r="F11" i="1917"/>
  <c r="G11" i="1917"/>
  <c r="H11" i="1917"/>
  <c r="I11" i="1917"/>
  <c r="J11" i="1917"/>
  <c r="M11" i="1917"/>
  <c r="C10" i="1917"/>
  <c r="D10" i="1917"/>
  <c r="E10" i="1917"/>
  <c r="F10" i="1917"/>
  <c r="G10" i="1917"/>
  <c r="H10" i="1917"/>
  <c r="I10" i="1917"/>
  <c r="J10" i="1917"/>
  <c r="M10" i="1917"/>
  <c r="C9" i="1917"/>
  <c r="D9" i="1917"/>
  <c r="E9" i="1917"/>
  <c r="F9" i="1917"/>
  <c r="G9" i="1917"/>
  <c r="H9" i="1917"/>
  <c r="I9" i="1917"/>
  <c r="J9" i="1917"/>
  <c r="M9" i="1917"/>
  <c r="C8" i="1917"/>
  <c r="D8" i="1917"/>
  <c r="E8" i="1917"/>
  <c r="F8" i="1917"/>
  <c r="G8" i="1917"/>
  <c r="H8" i="1917"/>
  <c r="I8" i="1917"/>
  <c r="J8" i="1917"/>
  <c r="M8" i="1917"/>
  <c r="C7" i="1917"/>
  <c r="D7" i="1917"/>
  <c r="E7" i="1917"/>
  <c r="F7" i="1917"/>
  <c r="G7" i="1917"/>
  <c r="H7" i="1917"/>
  <c r="I7" i="1917"/>
  <c r="J7" i="1917"/>
  <c r="M7" i="1917"/>
  <c r="K7" i="1917"/>
  <c r="K8" i="1917"/>
  <c r="K9" i="1917"/>
  <c r="K10" i="1917"/>
  <c r="K11" i="1917"/>
  <c r="K12" i="1917"/>
  <c r="K13" i="1917"/>
  <c r="K14" i="1917"/>
  <c r="K15" i="1917"/>
  <c r="K16" i="1917"/>
  <c r="K17" i="1917"/>
  <c r="K18" i="1917"/>
  <c r="K19" i="1917"/>
  <c r="K20" i="1917"/>
  <c r="K21" i="1917"/>
  <c r="K22" i="1917"/>
  <c r="K23" i="1917"/>
  <c r="K24" i="1917"/>
  <c r="K25" i="1917"/>
  <c r="K26" i="1917"/>
  <c r="K27" i="1917"/>
  <c r="K28" i="1917"/>
  <c r="K29" i="1917"/>
  <c r="K30" i="1917"/>
  <c r="Q21" i="14"/>
  <c r="I6" i="1917"/>
  <c r="I30" i="1917"/>
  <c r="O21" i="14"/>
  <c r="H6" i="1917"/>
  <c r="H30" i="1917"/>
  <c r="M21" i="14"/>
  <c r="G6" i="1917"/>
  <c r="G30" i="1917"/>
  <c r="K21" i="14"/>
  <c r="F6" i="1917"/>
  <c r="F30" i="1917"/>
  <c r="I21" i="14"/>
  <c r="E6" i="1917"/>
  <c r="E30" i="1917"/>
  <c r="G21" i="14"/>
  <c r="D6" i="1917"/>
  <c r="D30" i="1917"/>
  <c r="L29" i="1917"/>
  <c r="L28" i="1917"/>
  <c r="L27" i="1917"/>
  <c r="L26" i="1917"/>
  <c r="L25" i="1917"/>
  <c r="L24" i="1917"/>
  <c r="L23" i="1917"/>
  <c r="L22" i="1917"/>
  <c r="L21" i="1917"/>
  <c r="L20" i="1917"/>
  <c r="L19" i="1917"/>
  <c r="L18" i="1917"/>
  <c r="L17" i="1917"/>
  <c r="L16" i="1917"/>
  <c r="L15" i="1917"/>
  <c r="L14" i="1917"/>
  <c r="L13" i="1917"/>
  <c r="L12" i="1917"/>
  <c r="L11" i="1917"/>
  <c r="L10" i="1917"/>
  <c r="L9" i="1917"/>
  <c r="L8" i="1917"/>
  <c r="L7" i="1917"/>
  <c r="J6" i="1917"/>
  <c r="L2" i="1917"/>
  <c r="B2" i="1917"/>
  <c r="I30" i="1916"/>
  <c r="H30" i="1916"/>
  <c r="G30" i="1916"/>
  <c r="F30" i="1916"/>
  <c r="E30" i="1916"/>
  <c r="D30" i="1916"/>
  <c r="D6" i="1916"/>
  <c r="E6" i="1916"/>
  <c r="F6" i="1916"/>
  <c r="G6" i="1916"/>
  <c r="H6" i="1916"/>
  <c r="I6" i="1916"/>
  <c r="J6" i="1916"/>
  <c r="I5" i="1916"/>
  <c r="H5" i="1916"/>
  <c r="G5" i="1916"/>
  <c r="F5" i="1916"/>
  <c r="E5" i="1916"/>
  <c r="D5" i="1916"/>
  <c r="J2" i="1916"/>
  <c r="B2" i="1916"/>
  <c r="G30" i="1915"/>
  <c r="F30" i="1915"/>
  <c r="E30" i="1915"/>
  <c r="D30" i="1915"/>
  <c r="D6" i="1915"/>
  <c r="E6" i="1915"/>
  <c r="F6" i="1915"/>
  <c r="G6" i="1915"/>
  <c r="H6" i="1915"/>
  <c r="G5" i="1915"/>
  <c r="F5" i="1915"/>
  <c r="E5" i="1915"/>
  <c r="D5" i="1915"/>
  <c r="H2" i="1915"/>
  <c r="B2" i="1915"/>
  <c r="I30" i="1914"/>
  <c r="H30" i="1914"/>
  <c r="G30" i="1914"/>
  <c r="F30" i="1914"/>
  <c r="E30" i="1914"/>
  <c r="D30" i="1914"/>
  <c r="D6" i="1914"/>
  <c r="E6" i="1914"/>
  <c r="F6" i="1914"/>
  <c r="G6" i="1914"/>
  <c r="H6" i="1914"/>
  <c r="I6" i="1914"/>
  <c r="J6" i="1914"/>
  <c r="I5" i="1914"/>
  <c r="H5" i="1914"/>
  <c r="G5" i="1914"/>
  <c r="F5" i="1914"/>
  <c r="E5" i="1914"/>
  <c r="D5" i="1914"/>
  <c r="J2" i="1914"/>
  <c r="B2" i="1914"/>
  <c r="F30" i="1913"/>
  <c r="E30" i="1913"/>
  <c r="D30" i="1913"/>
  <c r="D6" i="1913"/>
  <c r="E6" i="1913"/>
  <c r="F6" i="1913"/>
  <c r="G6" i="1913"/>
  <c r="F5" i="1913"/>
  <c r="E5" i="1913"/>
  <c r="D5" i="1913"/>
  <c r="G2" i="1913"/>
  <c r="B2" i="1913"/>
  <c r="O30" i="1912"/>
  <c r="N30" i="1912"/>
  <c r="M30" i="1912"/>
  <c r="L30" i="1912"/>
  <c r="K30" i="1912"/>
  <c r="J30" i="1912"/>
  <c r="I30" i="1912"/>
  <c r="H30" i="1912"/>
  <c r="G30" i="1912"/>
  <c r="F30" i="1912"/>
  <c r="E30" i="1912"/>
  <c r="D30" i="1912"/>
  <c r="D6" i="1912"/>
  <c r="E6" i="1912"/>
  <c r="F6" i="1912"/>
  <c r="G6" i="1912"/>
  <c r="H6" i="1912"/>
  <c r="I6" i="1912"/>
  <c r="J6" i="1912"/>
  <c r="K6" i="1912"/>
  <c r="L6" i="1912"/>
  <c r="M6" i="1912"/>
  <c r="N6" i="1912"/>
  <c r="O6" i="1912"/>
  <c r="P6" i="1912"/>
  <c r="O5" i="1912"/>
  <c r="N5" i="1912"/>
  <c r="M5" i="1912"/>
  <c r="L5" i="1912"/>
  <c r="K5" i="1912"/>
  <c r="J5" i="1912"/>
  <c r="I5" i="1912"/>
  <c r="H5" i="1912"/>
  <c r="G5" i="1912"/>
  <c r="F5" i="1912"/>
  <c r="E5" i="1912"/>
  <c r="D5" i="1912"/>
  <c r="P2" i="1912"/>
  <c r="B2" i="1912"/>
  <c r="L30" i="1911"/>
  <c r="K30" i="1911"/>
  <c r="J30" i="1911"/>
  <c r="I30" i="1911"/>
  <c r="H30" i="1911"/>
  <c r="G30" i="1911"/>
  <c r="F30" i="1911"/>
  <c r="E30" i="1911"/>
  <c r="D30" i="1911"/>
  <c r="D6" i="1911"/>
  <c r="E6" i="1911"/>
  <c r="F6" i="1911"/>
  <c r="G6" i="1911"/>
  <c r="H6" i="1911"/>
  <c r="I6" i="1911"/>
  <c r="J6" i="1911"/>
  <c r="K6" i="1911"/>
  <c r="L6" i="1911"/>
  <c r="M6" i="1911"/>
  <c r="L5" i="1911"/>
  <c r="K5" i="1911"/>
  <c r="J5" i="1911"/>
  <c r="I5" i="1911"/>
  <c r="H5" i="1911"/>
  <c r="G5" i="1911"/>
  <c r="F5" i="1911"/>
  <c r="E5" i="1911"/>
  <c r="D5" i="1911"/>
  <c r="M2" i="1911"/>
  <c r="B2" i="1911"/>
  <c r="E43" i="11"/>
  <c r="E123" i="11"/>
  <c r="E115" i="11"/>
  <c r="E103" i="11"/>
  <c r="E7" i="11"/>
  <c r="E87" i="11"/>
  <c r="E83" i="11"/>
  <c r="E5" i="11"/>
  <c r="E24" i="11"/>
  <c r="E58" i="11"/>
  <c r="E74" i="11"/>
  <c r="E106" i="11"/>
  <c r="E117" i="11"/>
  <c r="E130" i="11"/>
  <c r="E31" i="11"/>
  <c r="E126" i="11"/>
  <c r="E146" i="11"/>
  <c r="E181" i="11"/>
  <c r="E40" i="11"/>
  <c r="E105" i="11"/>
  <c r="E143" i="11"/>
  <c r="E160" i="11"/>
  <c r="E198" i="11"/>
  <c r="E38" i="11"/>
  <c r="E90" i="11"/>
  <c r="E96" i="11"/>
  <c r="E149" i="11"/>
  <c r="E26" i="11"/>
  <c r="E59" i="11"/>
  <c r="E70" i="11"/>
  <c r="E94" i="11"/>
  <c r="E134" i="11"/>
  <c r="E27" i="11"/>
  <c r="E68" i="11"/>
  <c r="E98" i="11"/>
  <c r="E18" i="11"/>
  <c r="E36" i="11"/>
  <c r="E57" i="11"/>
  <c r="E79" i="11"/>
  <c r="E25" i="11"/>
  <c r="E69" i="11"/>
  <c r="E100" i="11"/>
  <c r="E113" i="11"/>
  <c r="E37" i="11"/>
  <c r="E92" i="11"/>
  <c r="E99" i="11"/>
  <c r="E129" i="11"/>
  <c r="E148" i="11"/>
  <c r="E164" i="11"/>
  <c r="E35" i="11"/>
  <c r="E82" i="11"/>
  <c r="E147" i="11"/>
  <c r="E34" i="11"/>
  <c r="E78" i="11"/>
  <c r="E107" i="11"/>
  <c r="E120" i="11"/>
  <c r="E109" i="11"/>
  <c r="E124" i="11"/>
  <c r="E161" i="11"/>
  <c r="E20" i="11"/>
  <c r="E49" i="11"/>
  <c r="E53" i="11"/>
  <c r="E72" i="11"/>
  <c r="E80" i="11"/>
  <c r="E112" i="11"/>
  <c r="E11" i="11"/>
  <c r="E28" i="11"/>
  <c r="E67" i="11"/>
  <c r="E56" i="11"/>
  <c r="E110" i="11"/>
  <c r="E136" i="11"/>
  <c r="E127" i="11"/>
  <c r="E159" i="11"/>
  <c r="E33" i="11"/>
  <c r="E85" i="11"/>
  <c r="E142" i="11"/>
  <c r="E174" i="11"/>
  <c r="E118" i="11"/>
  <c r="E167" i="11"/>
  <c r="E183" i="11"/>
  <c r="E223" i="11"/>
  <c r="E91" i="11"/>
  <c r="E138" i="11"/>
  <c r="E32" i="11"/>
  <c r="E84" i="11"/>
  <c r="E93" i="11"/>
  <c r="E137" i="11"/>
  <c r="E168" i="11"/>
  <c r="E64" i="11"/>
  <c r="E66" i="11"/>
  <c r="E81" i="11"/>
  <c r="E102" i="11"/>
  <c r="E144" i="11"/>
  <c r="E163" i="11"/>
  <c r="P21" i="14"/>
  <c r="H21" i="14"/>
  <c r="F21" i="14"/>
  <c r="E111" i="11"/>
  <c r="E51" i="11"/>
  <c r="E65" i="11"/>
  <c r="E135" i="11"/>
  <c r="E153" i="11"/>
  <c r="E185" i="11"/>
  <c r="E178" i="11"/>
  <c r="E197" i="11"/>
  <c r="E237" i="11"/>
  <c r="E154" i="11"/>
  <c r="E132" i="11"/>
  <c r="E73" i="11"/>
  <c r="E140" i="11"/>
  <c r="E173" i="11"/>
  <c r="E125" i="11"/>
  <c r="E165" i="11"/>
  <c r="E151" i="11"/>
  <c r="E88" i="11"/>
  <c r="E133" i="11"/>
  <c r="E75"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80" i="11"/>
  <c r="E179" i="11"/>
  <c r="E177" i="11"/>
  <c r="E176" i="11"/>
  <c r="E175" i="11"/>
  <c r="E172" i="11"/>
  <c r="E171" i="11"/>
  <c r="E170" i="11"/>
  <c r="E169" i="11"/>
  <c r="E166" i="11"/>
  <c r="E162" i="11"/>
  <c r="E158" i="11"/>
  <c r="E157" i="11"/>
  <c r="E156" i="11"/>
  <c r="E155" i="11"/>
  <c r="E152" i="11"/>
  <c r="E150" i="11"/>
  <c r="E145" i="11"/>
  <c r="E141" i="11"/>
  <c r="E139" i="11"/>
  <c r="E131" i="11"/>
  <c r="E128" i="11"/>
  <c r="E122" i="11"/>
  <c r="E121" i="11"/>
  <c r="E119" i="11"/>
  <c r="E116" i="11"/>
  <c r="E114" i="11"/>
  <c r="E108" i="11"/>
  <c r="E104" i="11"/>
  <c r="E101" i="11"/>
  <c r="E97" i="11"/>
  <c r="E95" i="11"/>
  <c r="E89" i="11"/>
  <c r="E86" i="11"/>
  <c r="E77" i="11"/>
  <c r="E76" i="11"/>
  <c r="E71" i="11"/>
  <c r="E63" i="11"/>
  <c r="E62" i="11"/>
  <c r="E61" i="11"/>
  <c r="E60" i="11"/>
  <c r="E55" i="11"/>
  <c r="E54" i="11"/>
  <c r="E52" i="11"/>
  <c r="E50" i="11"/>
  <c r="E48" i="11"/>
  <c r="E47" i="11"/>
  <c r="E46" i="11"/>
  <c r="E45" i="11"/>
  <c r="E44" i="11"/>
  <c r="E42" i="11"/>
  <c r="E41" i="11"/>
  <c r="E39" i="11"/>
  <c r="E30" i="11"/>
  <c r="E29" i="11"/>
  <c r="E23" i="11"/>
  <c r="E22" i="11"/>
  <c r="E21" i="11"/>
  <c r="E19" i="11"/>
  <c r="E17" i="11"/>
  <c r="E16" i="11"/>
  <c r="E15" i="11"/>
  <c r="E14" i="11"/>
  <c r="E13" i="11"/>
  <c r="E12" i="11"/>
  <c r="E10" i="11"/>
  <c r="E9" i="11"/>
  <c r="E8" i="11"/>
  <c r="E6" i="11"/>
  <c r="N21" i="14"/>
  <c r="J21" i="14"/>
  <c r="L21" i="14"/>
  <c r="C45" i="14"/>
  <c r="L30" i="1917" a="1"/>
  <c r="L30" i="19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R2" authorId="0" shapeId="0" xr:uid="{00000000-0006-0000-0700-000001000000}">
      <text>
        <r>
          <rPr>
            <sz val="9"/>
            <color indexed="81"/>
            <rFont val="Segoe UI"/>
            <family val="2"/>
          </rPr>
          <t>Der Name des Examens kann hier eingetragen werden. Bspw. Abitur, 1. Schulaufgabe, Stehgreifaufgabe, ...</t>
        </r>
      </text>
    </comment>
    <comment ref="R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R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R21" authorId="0" shapeId="0" xr:uid="{00000000-0006-0000-0700-000004000000}">
      <text>
        <r>
          <rPr>
            <sz val="9"/>
            <color indexed="81"/>
            <rFont val="Segoe UI"/>
            <family val="2"/>
          </rPr>
          <t>Das ist geheim!!!</t>
        </r>
      </text>
    </comment>
  </commentList>
</comments>
</file>

<file path=xl/sharedStrings.xml><?xml version="1.0" encoding="utf-8"?>
<sst xmlns="http://schemas.openxmlformats.org/spreadsheetml/2006/main" count="293" uniqueCount="114">
  <si>
    <t>Punkte</t>
  </si>
  <si>
    <t>Note</t>
  </si>
  <si>
    <t>4 -</t>
  </si>
  <si>
    <t>3 -</t>
  </si>
  <si>
    <t>+ 3</t>
  </si>
  <si>
    <t>+ 4</t>
  </si>
  <si>
    <t>+ 2</t>
  </si>
  <si>
    <t>+ 5</t>
  </si>
  <si>
    <t>1a</t>
  </si>
  <si>
    <t>4a</t>
  </si>
  <si>
    <t>4b</t>
  </si>
  <si>
    <t>5a</t>
  </si>
  <si>
    <t>5b</t>
  </si>
  <si>
    <t>5c</t>
  </si>
  <si>
    <t>2a</t>
  </si>
  <si>
    <t>5 -</t>
  </si>
  <si>
    <t>2 -</t>
  </si>
  <si>
    <t>1 -</t>
  </si>
  <si>
    <t>+ 1</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</si>
  <si>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</si>
  <si>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</si>
  <si>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</si>
  <si>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</si>
  <si>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</si>
  <si>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</si>
  <si>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</si>
  <si>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</si>
  <si>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</si>
  <si>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</si>
  <si>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</si>
  <si>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</si>
  <si>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</si>
  <si>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</si>
  <si>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</si>
  <si>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</si>
  <si>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</si>
  <si>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</si>
  <si>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</si>
  <si>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</si>
  <si>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</si>
  <si>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</si>
  <si>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</si>
  <si>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</si>
  <si>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2c</t>
  </si>
  <si>
    <t>2d</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</si>
  <si>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</si>
  <si>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</si>
  <si>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</si>
  <si>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</si>
  <si>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</si>
  <si>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</si>
  <si>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</si>
  <si>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</si>
  <si>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</si>
  <si>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</si>
  <si>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</si>
  <si>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</si>
  <si>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</si>
  <si>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</si>
  <si>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</si>
  <si>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</si>
  <si>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</si>
  <si>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</si>
  <si>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</si>
  <si>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</si>
  <si>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</si>
  <si>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</si>
  <si>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</si>
  <si>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</si>
  <si>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</si>
  <si>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</si>
  <si>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</si>
  <si>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</si>
  <si>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</si>
  <si>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</si>
  <si>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</si>
  <si>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</si>
  <si>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</si>
  <si>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</si>
  <si>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</si>
  <si>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</si>
  <si>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</si>
  <si>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</si>
  <si>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</si>
  <si>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</si>
  <si>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</si>
  <si>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</si>
  <si>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</si>
  <si>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</si>
  <si>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</si>
  <si>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</si>
  <si>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</si>
  <si>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</si>
  <si>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</si>
  <si>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</si>
  <si>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</si>
  <si>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</si>
  <si>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</si>
  <si>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</si>
  <si>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</si>
  <si>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</si>
  <si>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</si>
  <si>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</si>
  <si>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</si>
  <si>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</si>
  <si>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</si>
  <si>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</si>
  <si>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</si>
  <si>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</si>
  <si>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</si>
  <si>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</si>
  <si>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Über den Button "Alles löschen ... " können die Beispielinhalte entfernt werden.
Schülernamen, sowie Teilgebiete, Aufgaben und Punkte in die beiden Tabellen eintragen.
Den Notenschlüssel auf dem Blatt "Notenspiegel" hinterlegen. (Beschreibung siehe dort)
Über den Button "Tabellen erzeugen" die Notenblätter generieren.
Die erreichten Punkte der Schüler für die einzelnen Aufgaben auf den Notenblättern eintragen.
Über den Button "Schülerpunktzahlen-Druckseite erzeugen" die Druckansicht generieren und ausrducken, falls gewünscht.</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</si>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</sst>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style="medium">
        <color indexed="64"/>
      </left>
      <right style="thin">
        <color theme="2"/>
      </right>
      <top/>
      <bottom style="medium">
        <color indexed="64"/>
      </bottom>
      <diagonal/>
    </border>
    <border>
      <left style="thin">
        <color theme="2"/>
      </left>
      <right style="medium">
        <color indexed="64"/>
      </right>
      <top/>
      <bottom style="medium">
        <color indexed="64"/>
      </bottom>
      <diagonal/>
    </border>
    <border>
      <left/>
      <right style="thin">
        <color theme="2"/>
      </right>
      <top/>
      <bottom/>
      <diagonal/>
    </border>
    <border>
      <left/>
      <right style="thin">
        <color theme="2"/>
      </right>
      <top/>
      <bottom style="medium">
        <color indexed="64"/>
      </bottom>
      <diagonal/>
    </border>
    <border>
      <left style="thin">
        <color theme="2"/>
      </left>
      <right style="thin">
        <color theme="0" tint="-0.34998626667073579"/>
      </right>
      <top/>
      <bottom/>
      <diagonal/>
    </border>
    <border>
      <left style="thin">
        <color theme="2"/>
      </left>
      <right style="thin">
        <color theme="0" tint="-0.34998626667073579"/>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s>
  <cellStyleXfs count="2">
    <xf numFmtId="0" fontId="0" fillId="0" borderId="0"/>
    <xf numFmtId="9" fontId="7" fillId="0" borderId="0" applyFont="0" applyFill="0" applyBorder="0" applyAlignment="0" applyProtection="0"/>
  </cellStyleXfs>
  <cellXfs count="173">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7" xfId="0" applyFill="1" applyBorder="1"/>
    <xf numFmtId="0" fontId="0" fillId="5" borderId="10" xfId="0" applyFill="1" applyBorder="1" applyAlignment="1">
      <alignment horizontal="center"/>
    </xf>
    <xf numFmtId="0" fontId="0" fillId="5" borderId="11" xfId="0" applyFill="1" applyBorder="1" applyAlignment="1">
      <alignment horizontal="center"/>
    </xf>
    <xf numFmtId="0" fontId="4" fillId="5" borderId="12"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9" xfId="0" applyFont="1" applyFill="1" applyBorder="1" applyAlignment="1">
      <alignment horizontal="center" vertical="center"/>
    </xf>
    <xf numFmtId="0" fontId="5" fillId="4" borderId="0" xfId="0" applyFont="1" applyFill="1" applyAlignment="1">
      <alignment horizontal="center"/>
    </xf>
    <xf numFmtId="49" fontId="2" fillId="3" borderId="19" xfId="0" applyNumberFormat="1" applyFont="1" applyFill="1" applyBorder="1" applyAlignment="1" applyProtection="1">
      <alignment horizontal="center"/>
      <protection locked="0"/>
    </xf>
    <xf numFmtId="49" fontId="2" fillId="3" borderId="23" xfId="0" applyNumberFormat="1" applyFont="1" applyFill="1" applyBorder="1" applyAlignment="1" applyProtection="1">
      <alignment horizontal="center"/>
      <protection locked="0"/>
    </xf>
    <xf numFmtId="49" fontId="2" fillId="3" borderId="21" xfId="0" applyNumberFormat="1" applyFont="1" applyFill="1" applyBorder="1" applyAlignment="1" applyProtection="1">
      <alignment horizontal="center"/>
      <protection locked="0"/>
    </xf>
    <xf numFmtId="49" fontId="2" fillId="3" borderId="24" xfId="0" applyNumberFormat="1" applyFont="1" applyFill="1" applyBorder="1" applyAlignment="1" applyProtection="1">
      <alignment horizontal="center"/>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2" fillId="3" borderId="17" xfId="0" applyFont="1" applyFill="1" applyBorder="1" applyProtection="1">
      <protection locked="0"/>
    </xf>
    <xf numFmtId="0" fontId="2" fillId="3" borderId="18" xfId="0" applyFont="1" applyFill="1" applyBorder="1" applyProtection="1">
      <protection locked="0"/>
    </xf>
    <xf numFmtId="14" fontId="0" fillId="4" borderId="0" xfId="0" applyNumberFormat="1" applyFill="1"/>
    <xf numFmtId="0" fontId="2" fillId="3" borderId="0" xfId="0" applyFont="1" applyFill="1" applyProtection="1">
      <protection locked="0"/>
    </xf>
    <xf numFmtId="0" fontId="2" fillId="3" borderId="27" xfId="0" applyFont="1" applyFill="1" applyBorder="1" applyProtection="1">
      <protection locked="0"/>
    </xf>
    <xf numFmtId="0" fontId="2" fillId="3" borderId="8" xfId="0" applyFont="1" applyFill="1" applyBorder="1"/>
    <xf numFmtId="0" fontId="2" fillId="3" borderId="28" xfId="0" applyFont="1" applyFill="1" applyBorder="1"/>
    <xf numFmtId="0" fontId="3" fillId="5" borderId="2" xfId="0" applyFont="1" applyFill="1" applyBorder="1" applyAlignment="1">
      <alignment horizontal="center"/>
    </xf>
    <xf numFmtId="0" fontId="3" fillId="5" borderId="9" xfId="0" applyFont="1" applyFill="1" applyBorder="1" applyAlignment="1">
      <alignment horizontal="center"/>
    </xf>
    <xf numFmtId="0" fontId="2" fillId="3" borderId="8" xfId="0" applyFont="1" applyFill="1" applyBorder="1" applyAlignment="1">
      <alignment horizontal="centerContinuous"/>
    </xf>
    <xf numFmtId="0" fontId="4" fillId="5" borderId="30" xfId="0" applyFont="1" applyFill="1" applyBorder="1" applyAlignment="1">
      <alignment horizontal="center" vertical="center"/>
    </xf>
    <xf numFmtId="0" fontId="2" fillId="3" borderId="31" xfId="0" applyFont="1" applyFill="1" applyBorder="1" applyAlignment="1">
      <alignment horizontal="centerContinuous"/>
    </xf>
    <xf numFmtId="0" fontId="3" fillId="5" borderId="4" xfId="0" applyFont="1" applyFill="1" applyBorder="1" applyAlignment="1">
      <alignment horizontal="left"/>
    </xf>
    <xf numFmtId="0" fontId="3" fillId="5" borderId="7" xfId="0" applyFont="1" applyFill="1" applyBorder="1" applyAlignment="1">
      <alignment horizontal="left"/>
    </xf>
    <xf numFmtId="0" fontId="3" fillId="5" borderId="29" xfId="0" applyFont="1" applyFill="1" applyBorder="1" applyAlignment="1">
      <alignment horizontal="left"/>
    </xf>
    <xf numFmtId="0" fontId="4" fillId="4" borderId="3" xfId="0" applyFont="1" applyFill="1" applyBorder="1" applyAlignment="1">
      <alignment horizontal="center"/>
    </xf>
    <xf numFmtId="1" fontId="4" fillId="4" borderId="2" xfId="0" applyNumberFormat="1" applyFont="1" applyFill="1" applyBorder="1" applyAlignment="1">
      <alignment horizontal="center"/>
    </xf>
    <xf numFmtId="0" fontId="4" fillId="4" borderId="2" xfId="0" applyFont="1" applyFill="1" applyBorder="1" applyAlignment="1">
      <alignment horizontal="center"/>
    </xf>
    <xf numFmtId="1" fontId="4" fillId="4" borderId="1" xfId="0" applyNumberFormat="1" applyFont="1" applyFill="1" applyBorder="1" applyAlignment="1">
      <alignment horizontal="center"/>
    </xf>
    <xf numFmtId="0" fontId="2" fillId="3" borderId="0" xfId="0" applyFont="1" applyFill="1" applyAlignment="1" applyProtection="1">
      <alignment horizontal="left"/>
      <protection locked="0"/>
    </xf>
    <xf numFmtId="0" fontId="2" fillId="3" borderId="31" xfId="0" applyFont="1" applyFill="1" applyBorder="1" applyAlignment="1">
      <alignment horizontal="left"/>
    </xf>
    <xf numFmtId="0" fontId="2" fillId="3" borderId="7" xfId="0" applyFont="1" applyFill="1" applyBorder="1" applyAlignment="1" applyProtection="1">
      <alignment horizontal="left"/>
      <protection locked="0"/>
    </xf>
    <xf numFmtId="0" fontId="2" fillId="0" borderId="0" xfId="0" applyFont="1" applyAlignment="1">
      <alignment horizontal="center"/>
    </xf>
    <xf numFmtId="0" fontId="2" fillId="2" borderId="4" xfId="0" applyFont="1" applyFill="1" applyBorder="1" applyAlignment="1">
      <alignment horizontal="center"/>
    </xf>
    <xf numFmtId="49" fontId="2" fillId="2" borderId="5" xfId="0" applyNumberFormat="1" applyFont="1" applyFill="1" applyBorder="1" applyAlignment="1">
      <alignment horizontal="center"/>
    </xf>
    <xf numFmtId="0" fontId="2" fillId="2" borderId="6"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5" xfId="0" applyFont="1" applyFill="1" applyBorder="1" applyAlignment="1" applyProtection="1">
      <alignment horizontal="center"/>
      <protection locked="0"/>
    </xf>
    <xf numFmtId="0" fontId="2" fillId="3" borderId="26" xfId="0" applyFont="1" applyFill="1" applyBorder="1" applyAlignment="1" applyProtection="1">
      <alignment horizontal="center"/>
      <protection locked="0"/>
    </xf>
    <xf numFmtId="0" fontId="2" fillId="3" borderId="20" xfId="0" applyFont="1" applyFill="1" applyBorder="1" applyAlignment="1" applyProtection="1">
      <alignment horizontal="center"/>
      <protection locked="0"/>
    </xf>
    <xf numFmtId="0" fontId="2" fillId="3" borderId="22" xfId="0" applyFont="1" applyFill="1" applyBorder="1" applyAlignment="1" applyProtection="1">
      <alignment horizontal="center"/>
      <protection locked="0"/>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49" fontId="0" fillId="3" borderId="6"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8" xfId="0" applyNumberFormat="1" applyFill="1" applyBorder="1" applyAlignment="1" applyProtection="1">
      <alignment horizontal="center"/>
      <protection locked="0"/>
    </xf>
    <xf numFmtId="49" fontId="2" fillId="3" borderId="8" xfId="0" applyNumberFormat="1" applyFont="1" applyFill="1" applyBorder="1" applyAlignment="1" applyProtection="1">
      <alignment horizontal="center"/>
      <protection locked="0"/>
    </xf>
    <xf numFmtId="49" fontId="2" fillId="3" borderId="8"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8" xfId="0" applyFill="1" applyBorder="1" applyAlignment="1" applyProtection="1">
      <alignment horizontal="center"/>
      <protection locked="0"/>
    </xf>
    <xf numFmtId="0" fontId="0" fillId="3" borderId="29" xfId="0" applyFill="1" applyBorder="1" applyAlignment="1" applyProtection="1">
      <alignment horizontal="center"/>
      <protection locked="0"/>
    </xf>
    <xf numFmtId="49" fontId="0" fillId="3" borderId="27" xfId="0" applyNumberFormat="1" applyFill="1" applyBorder="1" applyAlignment="1" applyProtection="1">
      <alignment horizontal="center"/>
      <protection locked="0"/>
    </xf>
    <xf numFmtId="0" fontId="0" fillId="3" borderId="28" xfId="0" applyFill="1" applyBorder="1" applyAlignment="1" applyProtection="1">
      <alignment horizontal="center"/>
      <protection locked="0"/>
    </xf>
    <xf numFmtId="0" fontId="6" fillId="4" borderId="0" xfId="0" applyFont="1" applyFill="1"/>
    <xf numFmtId="0" fontId="2" fillId="5" borderId="7" xfId="0" applyFont="1" applyFill="1" applyBorder="1" applyAlignment="1">
      <alignment vertical="top" wrapText="1"/>
    </xf>
    <xf numFmtId="0" fontId="2" fillId="5" borderId="0" xfId="0" applyFont="1" applyFill="1" applyAlignment="1">
      <alignment vertical="top" wrapText="1"/>
    </xf>
    <xf numFmtId="0" fontId="2" fillId="5" borderId="8" xfId="0" applyFont="1" applyFill="1" applyBorder="1" applyAlignment="1">
      <alignment vertical="top" wrapText="1"/>
    </xf>
    <xf numFmtId="0" fontId="2" fillId="5" borderId="0" xfId="0" applyFont="1" applyFill="1" applyAlignment="1">
      <alignment vertical="top"/>
    </xf>
    <xf numFmtId="0" fontId="2" fillId="6" borderId="7" xfId="0" applyFont="1" applyFill="1" applyBorder="1" applyAlignment="1">
      <alignment vertical="top"/>
    </xf>
    <xf numFmtId="0" fontId="2" fillId="5" borderId="8" xfId="0" applyFont="1" applyFill="1" applyBorder="1" applyAlignment="1">
      <alignment vertical="top"/>
    </xf>
    <xf numFmtId="0" fontId="2" fillId="7" borderId="7" xfId="0" applyFont="1" applyFill="1" applyBorder="1" applyAlignment="1">
      <alignment vertical="top"/>
    </xf>
    <xf numFmtId="0" fontId="2" fillId="5" borderId="29" xfId="0" applyFont="1" applyFill="1" applyBorder="1" applyAlignment="1">
      <alignment vertical="top"/>
    </xf>
    <xf numFmtId="0" fontId="2" fillId="5" borderId="27" xfId="0" applyFont="1" applyFill="1" applyBorder="1" applyAlignment="1">
      <alignment vertical="top"/>
    </xf>
    <xf numFmtId="0" fontId="2" fillId="5" borderId="28" xfId="0" applyFont="1" applyFill="1" applyBorder="1" applyAlignment="1">
      <alignment vertical="top"/>
    </xf>
    <xf numFmtId="0" fontId="2" fillId="8" borderId="7" xfId="0" applyFont="1" applyFill="1" applyBorder="1" applyAlignment="1">
      <alignment vertical="top"/>
    </xf>
    <xf numFmtId="0" fontId="2" fillId="9" borderId="7"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42" xfId="0" applyFill="1" applyBorder="1" applyAlignment="1" applyProtection="1">
      <alignment horizontal="center" vertical="center"/>
      <protection locked="0"/>
    </xf>
    <xf numFmtId="0" fontId="0" fillId="13" borderId="45" xfId="0" applyFill="1" applyBorder="1" applyAlignment="1" applyProtection="1">
      <alignment horizontal="center" vertical="center"/>
      <protection locked="0"/>
    </xf>
    <xf numFmtId="0" fontId="0" fillId="13" borderId="46" xfId="0" applyFill="1" applyBorder="1" applyAlignment="1" applyProtection="1">
      <alignment horizontal="center" vertical="center"/>
      <protection locked="0"/>
    </xf>
    <xf numFmtId="0" fontId="0" fillId="13" borderId="47" xfId="0" applyFill="1" applyBorder="1" applyAlignment="1" applyProtection="1">
      <alignment horizontal="center" vertical="center"/>
      <protection locked="0"/>
    </xf>
    <xf numFmtId="0" fontId="0" fillId="13" borderId="48" xfId="0" applyFill="1" applyBorder="1" applyAlignment="1" applyProtection="1">
      <alignment horizontal="center" vertical="center"/>
      <protection locked="0"/>
    </xf>
    <xf numFmtId="0" fontId="0" fillId="13" borderId="49" xfId="0" applyFill="1" applyBorder="1" applyAlignment="1" applyProtection="1">
      <alignment horizontal="center" vertical="center"/>
      <protection locked="0"/>
    </xf>
    <xf numFmtId="9" fontId="0" fillId="12" borderId="37" xfId="1" applyFont="1" applyFill="1" applyBorder="1" applyAlignment="1" applyProtection="1">
      <alignment horizontal="center" vertical="center"/>
    </xf>
    <xf numFmtId="9" fontId="0" fillId="12" borderId="38" xfId="1" applyFont="1" applyFill="1" applyBorder="1" applyAlignment="1" applyProtection="1">
      <alignment horizontal="center" vertical="center"/>
    </xf>
    <xf numFmtId="2" fontId="0" fillId="12" borderId="38" xfId="1" applyNumberFormat="1" applyFont="1" applyFill="1" applyBorder="1" applyAlignment="1" applyProtection="1">
      <alignment horizontal="center" vertical="center"/>
    </xf>
    <xf numFmtId="49" fontId="2" fillId="4" borderId="19" xfId="0" applyNumberFormat="1" applyFont="1" applyFill="1" applyBorder="1" applyAlignment="1" applyProtection="1">
      <alignment horizontal="center"/>
      <protection locked="0"/>
    </xf>
    <xf numFmtId="0" fontId="2" fillId="4" borderId="25" xfId="0" applyFont="1" applyFill="1" applyBorder="1" applyAlignment="1" applyProtection="1">
      <alignment horizontal="center"/>
      <protection locked="0"/>
    </xf>
    <xf numFmtId="49" fontId="2" fillId="4" borderId="23"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2" fillId="4" borderId="15" xfId="0" applyFont="1" applyFill="1" applyBorder="1" applyProtection="1">
      <protection locked="0"/>
    </xf>
    <xf numFmtId="0" fontId="2" fillId="4" borderId="16" xfId="0" applyFont="1" applyFill="1" applyBorder="1" applyProtection="1">
      <protection locked="0"/>
    </xf>
    <xf numFmtId="0" fontId="3" fillId="4" borderId="0" xfId="0" applyFont="1" applyFill="1" applyAlignment="1">
      <alignment horizontal="center"/>
    </xf>
    <xf numFmtId="0" fontId="3" fillId="5" borderId="7" xfId="0" applyFont="1" applyFill="1" applyBorder="1" applyAlignment="1">
      <alignment vertical="top" wrapText="1"/>
    </xf>
    <xf numFmtId="0" fontId="3" fillId="5" borderId="29" xfId="0" applyFont="1" applyFill="1" applyBorder="1" applyAlignment="1">
      <alignmen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6" xfId="0" applyFont="1" applyFill="1" applyBorder="1" applyAlignment="1">
      <alignment horizontal="left" vertical="top" wrapText="1"/>
    </xf>
    <xf numFmtId="0" fontId="2" fillId="5" borderId="7" xfId="0" applyFont="1" applyFill="1" applyBorder="1" applyAlignment="1">
      <alignment horizontal="left" vertical="top" wrapText="1"/>
    </xf>
    <xf numFmtId="0" fontId="2" fillId="5" borderId="0" xfId="0" applyFont="1" applyFill="1" applyAlignment="1">
      <alignment horizontal="left" vertical="top" wrapText="1"/>
    </xf>
    <xf numFmtId="0" fontId="2" fillId="5" borderId="8" xfId="0" applyFont="1" applyFill="1" applyBorder="1" applyAlignment="1">
      <alignment horizontal="left" vertical="top" wrapText="1"/>
    </xf>
    <xf numFmtId="0" fontId="2" fillId="5" borderId="29" xfId="0" applyFont="1" applyFill="1" applyBorder="1" applyAlignment="1">
      <alignment horizontal="left" vertical="top" wrapText="1"/>
    </xf>
    <xf numFmtId="0" fontId="2" fillId="5" borderId="27" xfId="0" applyFont="1" applyFill="1" applyBorder="1" applyAlignment="1">
      <alignment horizontal="left" vertical="top" wrapText="1"/>
    </xf>
    <xf numFmtId="0" fontId="2" fillId="5" borderId="28" xfId="0" applyFont="1" applyFill="1" applyBorder="1" applyAlignment="1">
      <alignment horizontal="left" vertical="top" wrapText="1"/>
    </xf>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6" xfId="0" applyFont="1" applyFill="1" applyBorder="1" applyAlignment="1">
      <alignment horizontal="left" vertical="top" wrapText="1"/>
    </xf>
    <xf numFmtId="0" fontId="0" fillId="5" borderId="0" xfId="0" applyFill="1" applyAlignment="1">
      <alignment horizontal="left" vertical="top" wrapText="1"/>
    </xf>
    <xf numFmtId="0" fontId="0" fillId="5" borderId="8" xfId="0" applyFill="1" applyBorder="1" applyAlignment="1">
      <alignment horizontal="left" vertical="top" wrapText="1"/>
    </xf>
    <xf numFmtId="0" fontId="0" fillId="5" borderId="27" xfId="0" applyFill="1" applyBorder="1" applyAlignment="1">
      <alignment horizontal="left" vertical="top" wrapText="1"/>
    </xf>
    <xf numFmtId="0" fontId="0" fillId="5" borderId="28" xfId="0" applyFill="1" applyBorder="1" applyAlignment="1">
      <alignment horizontal="left" vertical="top" wrapText="1"/>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14" fontId="2" fillId="3" borderId="5" xfId="0" applyNumberFormat="1" applyFont="1" applyFill="1" applyBorder="1" applyAlignment="1" applyProtection="1">
      <alignment horizontal="left"/>
      <protection locked="0"/>
    </xf>
    <xf numFmtId="14" fontId="2" fillId="3" borderId="6" xfId="0" applyNumberFormat="1" applyFont="1" applyFill="1" applyBorder="1" applyAlignment="1" applyProtection="1">
      <alignment horizontal="left"/>
      <protection locked="0"/>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0" xfId="0" applyFont="1" applyFill="1" applyAlignment="1">
      <alignment horizontal="center" vertical="center"/>
    </xf>
    <xf numFmtId="0" fontId="1" fillId="2" borderId="8" xfId="0" applyFont="1" applyFill="1" applyBorder="1" applyAlignment="1">
      <alignment horizontal="center" vertical="center"/>
    </xf>
    <xf numFmtId="0" fontId="0" fillId="10" borderId="0" xfId="0" applyFill="1" applyProtection="1"/>
    <xf numFmtId="0" fontId="3" fillId="11" borderId="33" xfId="0" applyFont="1" applyFill="1" applyBorder="1" applyAlignment="1" applyProtection="1">
      <alignment horizontal="left" vertical="center"/>
    </xf>
    <xf numFmtId="0" fontId="3" fillId="11" borderId="34" xfId="0" applyFont="1" applyFill="1" applyBorder="1" applyAlignment="1" applyProtection="1">
      <alignment horizontal="left" vertical="center"/>
    </xf>
    <xf numFmtId="0" fontId="3" fillId="11" borderId="34" xfId="0" applyFont="1" applyFill="1" applyBorder="1" applyAlignment="1" applyProtection="1">
      <alignment horizontal="right" vertical="center"/>
    </xf>
    <xf numFmtId="0" fontId="3" fillId="11" borderId="36" xfId="0" applyFont="1" applyFill="1" applyBorder="1" applyAlignment="1" applyProtection="1">
      <alignment horizontal="right" vertical="center"/>
    </xf>
    <xf numFmtId="0" fontId="1" fillId="11" borderId="32" xfId="0" applyFont="1" applyFill="1" applyBorder="1" applyAlignment="1" applyProtection="1">
      <alignment horizontal="centerContinuous" vertical="center"/>
    </xf>
    <xf numFmtId="0" fontId="1" fillId="11" borderId="0" xfId="0" applyFont="1" applyFill="1" applyBorder="1" applyAlignment="1" applyProtection="1">
      <alignment horizontal="centerContinuous" vertical="center"/>
    </xf>
    <xf numFmtId="0" fontId="1" fillId="11" borderId="35" xfId="0" applyFont="1" applyFill="1" applyBorder="1" applyAlignment="1" applyProtection="1">
      <alignment horizontal="centerContinuous" vertical="center"/>
    </xf>
    <xf numFmtId="0" fontId="1" fillId="11" borderId="38" xfId="0" applyFont="1" applyFill="1" applyBorder="1" applyAlignment="1" applyProtection="1">
      <alignment horizontal="centerContinuous" vertical="center"/>
    </xf>
    <xf numFmtId="0" fontId="1" fillId="11" borderId="39" xfId="0" applyFont="1" applyFill="1" applyBorder="1" applyAlignment="1" applyProtection="1">
      <alignment horizontal="centerContinuous" vertical="center"/>
    </xf>
    <xf numFmtId="0" fontId="0" fillId="12" borderId="33" xfId="0" applyFill="1" applyBorder="1" applyProtection="1"/>
    <xf numFmtId="0" fontId="0" fillId="12" borderId="32" xfId="0" applyFill="1" applyBorder="1" applyProtection="1"/>
    <xf numFmtId="0" fontId="0" fillId="12" borderId="36" xfId="0" applyFill="1" applyBorder="1" applyProtection="1"/>
    <xf numFmtId="0" fontId="0" fillId="12" borderId="35" xfId="0" applyFill="1" applyBorder="1" applyProtection="1"/>
    <xf numFmtId="0" fontId="0" fillId="12" borderId="32" xfId="0" applyFill="1" applyBorder="1" applyAlignment="1" applyProtection="1">
      <alignment horizontal="center"/>
    </xf>
    <xf numFmtId="0" fontId="0" fillId="12" borderId="40" xfId="0" applyFill="1" applyBorder="1" applyAlignment="1" applyProtection="1">
      <alignment horizontal="center"/>
    </xf>
    <xf numFmtId="0" fontId="0" fillId="12" borderId="41" xfId="0" applyFill="1" applyBorder="1" applyAlignment="1" applyProtection="1">
      <alignment horizontal="center"/>
    </xf>
    <xf numFmtId="0" fontId="0" fillId="12" borderId="42" xfId="0" applyFill="1" applyBorder="1" applyProtection="1"/>
    <xf numFmtId="0" fontId="0" fillId="12" borderId="36" xfId="0" applyFill="1" applyBorder="1" applyAlignment="1" applyProtection="1">
      <alignment horizontal="center" vertical="center"/>
    </xf>
    <xf numFmtId="0" fontId="0" fillId="12" borderId="43" xfId="0" applyFill="1" applyBorder="1" applyAlignment="1" applyProtection="1">
      <alignment horizontal="center" vertical="center"/>
    </xf>
    <xf numFmtId="0" fontId="0" fillId="12" borderId="44" xfId="0" applyFill="1" applyBorder="1" applyAlignment="1" applyProtection="1">
      <alignment horizontal="center" vertical="center"/>
    </xf>
    <xf numFmtId="9" fontId="0" fillId="12" borderId="44" xfId="0" applyNumberFormat="1" applyFill="1" applyBorder="1" applyAlignment="1" applyProtection="1">
      <alignment horizontal="center" vertical="center"/>
    </xf>
    <xf numFmtId="0" fontId="0" fillId="12" borderId="45" xfId="0" applyFill="1" applyBorder="1" applyProtection="1"/>
    <xf numFmtId="0" fontId="0" fillId="12" borderId="48" xfId="0" applyFill="1" applyBorder="1" applyProtection="1"/>
    <xf numFmtId="0" fontId="0" fillId="12" borderId="50" xfId="0" applyFill="1" applyBorder="1" applyProtection="1"/>
    <xf numFmtId="0" fontId="0" fillId="12" borderId="51" xfId="0" applyFill="1" applyBorder="1" applyProtection="1"/>
    <xf numFmtId="0" fontId="0" fillId="12" borderId="52" xfId="0" applyFill="1" applyBorder="1" applyProtection="1"/>
    <xf numFmtId="9" fontId="0" fillId="12" borderId="37" xfId="0" applyNumberFormat="1" applyFill="1" applyBorder="1" applyAlignment="1" applyProtection="1">
      <alignment horizontal="center" vertical="center"/>
    </xf>
    <xf numFmtId="9" fontId="0" fillId="12" borderId="38" xfId="0" applyNumberFormat="1" applyFill="1" applyBorder="1" applyAlignment="1" applyProtection="1">
      <alignment horizontal="center" vertical="center"/>
    </xf>
    <xf numFmtId="49" fontId="0" fillId="12" borderId="41" xfId="0" applyNumberFormat="1" applyFill="1" applyBorder="1" applyAlignment="1" applyProtection="1">
      <alignment horizontal="center"/>
    </xf>
    <xf numFmtId="0" fontId="0" fillId="12" borderId="33" xfId="0" applyFill="1" applyBorder="1" applyAlignment="1" applyProtection="1">
      <alignment horizontal="center"/>
    </xf>
    <xf numFmtId="0" fontId="0" fillId="12" borderId="43" xfId="0" applyFill="1" applyBorder="1" applyAlignment="1" applyProtection="1">
      <alignment horizontal="center"/>
    </xf>
    <xf numFmtId="0" fontId="0" fillId="12" borderId="36" xfId="0" applyFill="1" applyBorder="1" applyAlignment="1" applyProtection="1">
      <alignment horizontal="center"/>
    </xf>
    <xf numFmtId="0" fontId="0" fillId="12" borderId="35" xfId="0" applyFill="1" applyBorder="1" applyAlignment="1" applyProtection="1">
      <alignment horizontal="center"/>
    </xf>
    <xf numFmtId="0" fontId="0" fillId="12" borderId="42" xfId="0" applyFill="1" applyBorder="1" applyAlignment="1" applyProtection="1">
      <alignment horizontal="center" vertical="center"/>
    </xf>
    <xf numFmtId="0" fontId="0" fillId="12" borderId="50" xfId="0" applyFill="1" applyBorder="1" applyAlignment="1" applyProtection="1">
      <alignment horizontal="center" vertical="center"/>
    </xf>
    <xf numFmtId="0" fontId="0" fillId="12" borderId="45" xfId="0" applyFill="1" applyBorder="1" applyAlignment="1" applyProtection="1">
      <alignment horizontal="center" vertical="center"/>
    </xf>
    <xf numFmtId="0" fontId="0" fillId="12" borderId="51" xfId="0" applyFill="1" applyBorder="1" applyAlignment="1" applyProtection="1">
      <alignment horizontal="center" vertical="center"/>
    </xf>
    <xf numFmtId="0" fontId="0" fillId="12" borderId="46" xfId="0" applyFill="1" applyBorder="1" applyAlignment="1" applyProtection="1">
      <alignment horizontal="center" vertical="center"/>
    </xf>
    <xf numFmtId="0" fontId="0" fillId="12" borderId="47" xfId="0" applyFill="1" applyBorder="1" applyAlignment="1" applyProtection="1">
      <alignment horizontal="center" vertical="center"/>
    </xf>
    <xf numFmtId="0" fontId="0" fillId="12" borderId="52" xfId="0" applyFill="1" applyBorder="1" applyAlignment="1" applyProtection="1">
      <alignment horizontal="center" vertical="center"/>
    </xf>
    <xf numFmtId="0" fontId="0" fillId="12" borderId="49" xfId="0" applyFill="1" applyBorder="1" applyAlignment="1" applyProtection="1">
      <alignment horizontal="center" vertical="center"/>
    </xf>
    <xf numFmtId="0" fontId="0" fillId="12" borderId="48" xfId="0" applyFill="1" applyBorder="1" applyAlignment="1" applyProtection="1">
      <alignment horizontal="center" vertical="center"/>
    </xf>
    <xf numFmtId="1" fontId="0" fillId="12" borderId="40" xfId="0" applyNumberFormat="1" applyFill="1" applyBorder="1" applyAlignment="1" applyProtection="1">
      <alignment horizontal="center"/>
    </xf>
    <xf numFmtId="1" fontId="0" fillId="12" borderId="33" xfId="0" applyNumberFormat="1" applyFill="1" applyBorder="1" applyAlignment="1" applyProtection="1">
      <alignment horizontal="center"/>
    </xf>
    <xf numFmtId="2" fontId="0" fillId="12" borderId="39" xfId="1" applyNumberFormat="1" applyFont="1" applyFill="1" applyBorder="1" applyAlignment="1" applyProtection="1">
      <alignment horizontal="center" vertical="center"/>
    </xf>
  </cellXfs>
  <cellStyles count="2">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21</xdr:row>
          <xdr:rowOff>68580</xdr:rowOff>
        </xdr:from>
        <xdr:to>
          <xdr:col>8</xdr:col>
          <xdr:colOff>30480</xdr:colOff>
          <xdr:row>25</xdr:row>
          <xdr:rowOff>45720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21</xdr:row>
          <xdr:rowOff>68580</xdr:rowOff>
        </xdr:from>
        <xdr:to>
          <xdr:col>11</xdr:col>
          <xdr:colOff>114300</xdr:colOff>
          <xdr:row>25</xdr:row>
          <xdr:rowOff>22860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7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228600</xdr:colOff>
          <xdr:row>21</xdr:row>
          <xdr:rowOff>68580</xdr:rowOff>
        </xdr:from>
        <xdr:to>
          <xdr:col>14</xdr:col>
          <xdr:colOff>228600</xdr:colOff>
          <xdr:row>25</xdr:row>
          <xdr:rowOff>22860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7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738A0-9E9F-448C-B6F5-55EFECA4005B}">
  <sheetPr codeName="Tabelle51">
    <tabColor rgb="FF00B0F0"/>
  </sheetPr>
  <dimension ref="B1:M100"/>
  <sheetViews>
    <sheetView tabSelected="1" workbookViewId="0"/>
  </sheetViews>
  <sheetFormatPr baseColWidth="10" defaultRowHeight="13.2" x14ac:dyDescent="0.25"/>
  <cols>
    <col min="1" max="2" width="3.44140625" style="127" customWidth="1"/>
    <col min="3" max="3" width="25.77734375" style="127" customWidth="1"/>
    <col min="4" max="9" width="11.77734375" style="127" customWidth="1"/>
    <col min="10" max="12" width="8.77734375" style="127" customWidth="1"/>
    <col min="13" max="13" width="8.77734375" style="127" hidden="1" customWidth="1"/>
    <col min="14" max="16384" width="11.5546875" style="127"/>
  </cols>
  <sheetData>
    <row r="1" spans="2:13" ht="18" customHeight="1" thickBot="1" x14ac:dyDescent="0.3"/>
    <row r="2" spans="2:13" ht="18" customHeight="1" x14ac:dyDescent="0.25">
      <c r="B2" s="128" t="str">
        <f>Config!F2&amp;" "&amp;YEAR(Config!G27)</f>
        <v>Mathe Abitur 2016</v>
      </c>
      <c r="C2" s="129"/>
      <c r="D2" s="129"/>
      <c r="E2" s="129"/>
      <c r="F2" s="130"/>
      <c r="G2" s="130"/>
      <c r="H2" s="130"/>
      <c r="I2" s="130"/>
      <c r="J2" s="130"/>
      <c r="K2" s="130"/>
      <c r="L2" s="131" t="str">
        <f>"Kurs "&amp;Config!G29</f>
        <v>Kurs K1</v>
      </c>
    </row>
    <row r="3" spans="2:13" ht="18" customHeight="1" x14ac:dyDescent="0.25">
      <c r="B3" s="132" t="s">
        <v>98</v>
      </c>
      <c r="C3" s="133"/>
      <c r="D3" s="133"/>
      <c r="E3" s="133"/>
      <c r="F3" s="133"/>
      <c r="G3" s="133"/>
      <c r="H3" s="133"/>
      <c r="I3" s="133"/>
      <c r="J3" s="133"/>
      <c r="K3" s="133"/>
      <c r="L3" s="134"/>
    </row>
    <row r="4" spans="2:13" ht="18" customHeight="1" thickBot="1" x14ac:dyDescent="0.3">
      <c r="B4" s="132"/>
      <c r="C4" s="133"/>
      <c r="D4" s="135"/>
      <c r="E4" s="135"/>
      <c r="F4" s="135"/>
      <c r="G4" s="135"/>
      <c r="H4" s="135"/>
      <c r="I4" s="135"/>
      <c r="J4" s="135"/>
      <c r="K4" s="133"/>
      <c r="L4" s="134"/>
    </row>
    <row r="5" spans="2:13" ht="18" customHeight="1" thickBot="1" x14ac:dyDescent="0.3">
      <c r="B5" s="137"/>
      <c r="C5" s="139"/>
      <c r="D5" s="143" t="s">
        <v>22</v>
      </c>
      <c r="E5" s="143" t="s">
        <v>23</v>
      </c>
      <c r="F5" s="143" t="s">
        <v>24</v>
      </c>
      <c r="G5" s="143" t="s">
        <v>25</v>
      </c>
      <c r="H5" s="143" t="s">
        <v>26</v>
      </c>
      <c r="I5" s="143" t="s">
        <v>27</v>
      </c>
      <c r="J5" s="158" t="s">
        <v>97</v>
      </c>
      <c r="K5" s="157"/>
      <c r="L5" s="159"/>
    </row>
    <row r="6" spans="2:13" ht="18" customHeight="1" thickBot="1" x14ac:dyDescent="0.3">
      <c r="B6" s="138"/>
      <c r="C6" s="140" t="s">
        <v>96</v>
      </c>
      <c r="D6" s="170">
        <f>Config!G21</f>
        <v>20</v>
      </c>
      <c r="E6" s="170">
        <f>Config!I21</f>
        <v>40</v>
      </c>
      <c r="F6" s="170">
        <f>Config!K21</f>
        <v>10</v>
      </c>
      <c r="G6" s="170">
        <f>Config!M21</f>
        <v>20</v>
      </c>
      <c r="H6" s="170">
        <f>Config!O21</f>
        <v>10</v>
      </c>
      <c r="I6" s="170">
        <f>Config!Q21</f>
        <v>20</v>
      </c>
      <c r="J6" s="171">
        <f>SUM(D6:I6)</f>
        <v>120</v>
      </c>
      <c r="K6" s="141" t="s">
        <v>0</v>
      </c>
      <c r="L6" s="160" t="s">
        <v>1</v>
      </c>
      <c r="M6" s="127" t="s">
        <v>99</v>
      </c>
    </row>
    <row r="7" spans="2:13" ht="18" customHeight="1" thickBot="1" x14ac:dyDescent="0.3">
      <c r="B7" s="151">
        <v>1</v>
      </c>
      <c r="C7" s="149" t="str">
        <f>Config!C5&amp;", "&amp;Config!D5</f>
        <v>Höfer, Simon</v>
      </c>
      <c r="D7" s="163">
        <f>VLOOKUP(C7,'Analysis A'!C$7:$M29,11,0)</f>
        <v>0</v>
      </c>
      <c r="E7" s="163">
        <f>VLOOKUP(C7,'Analysis B'!C$7:$P29,14,0)</f>
        <v>0</v>
      </c>
      <c r="F7" s="163">
        <f>VLOOKUP(C7,'Stochastik A'!C$7:$G29,5,0)</f>
        <v>0</v>
      </c>
      <c r="G7" s="163">
        <f>VLOOKUP(C7,'Stochastik B'!C$7:$J29,8,0)</f>
        <v>0</v>
      </c>
      <c r="H7" s="163">
        <f>VLOOKUP(C7,'Geometrie A'!C$7:$H29,6,0)</f>
        <v>0</v>
      </c>
      <c r="I7" s="163">
        <f>VLOOKUP(C7,'Geometrie B'!C$7:$J29,8,0)</f>
        <v>0</v>
      </c>
      <c r="J7" s="146">
        <f>SUM(D7:I7)</f>
        <v>0</v>
      </c>
      <c r="K7" s="162">
        <f>VLOOKUP(VALUE(J7),Notenspiegel!$B$3:$C$302,2,0)</f>
        <v>0</v>
      </c>
      <c r="L7" s="165">
        <f>VLOOKUP(VALUE(J7),Notenspiegel!$B$3:$D$302,3,0)</f>
        <v>6</v>
      </c>
      <c r="M7" s="127" t="str">
        <f>VLOOKUP(VALUE(J7),Notenspiegel!$B$3:$E$302,4,0)</f>
        <v/>
      </c>
    </row>
    <row r="8" spans="2:13" ht="18" customHeight="1" thickBot="1" x14ac:dyDescent="0.3">
      <c r="B8" s="152">
        <v>2</v>
      </c>
      <c r="C8" s="144" t="str">
        <f>Config!C6&amp;", "&amp;Config!D6</f>
        <v>Töpfer, Lilian</v>
      </c>
      <c r="D8" s="161">
        <f>VLOOKUP(C8,'Analysis A'!C$7:$M29,11,0)</f>
        <v>0</v>
      </c>
      <c r="E8" s="161">
        <f>VLOOKUP(C8,'Analysis B'!C$7:$P29,14,0)</f>
        <v>0</v>
      </c>
      <c r="F8" s="161">
        <f>VLOOKUP(C8,'Stochastik A'!C$7:$G29,5,0)</f>
        <v>0</v>
      </c>
      <c r="G8" s="161">
        <f>VLOOKUP(C8,'Stochastik B'!C$7:$J29,8,0)</f>
        <v>0</v>
      </c>
      <c r="H8" s="161">
        <f>VLOOKUP(C8,'Geometrie A'!C$7:$H29,6,0)</f>
        <v>0</v>
      </c>
      <c r="I8" s="161">
        <f>VLOOKUP(C8,'Geometrie B'!C$7:$J29,8,0)</f>
        <v>0</v>
      </c>
      <c r="J8" s="146">
        <f>SUM(D8:I8)</f>
        <v>0</v>
      </c>
      <c r="K8" s="164">
        <f>VLOOKUP(VALUE(J8),Notenspiegel!$B$3:$C$302,2,0)</f>
        <v>0</v>
      </c>
      <c r="L8" s="166">
        <f>VLOOKUP(VALUE(J8),Notenspiegel!$B$3:$D$302,3,0)</f>
        <v>6</v>
      </c>
      <c r="M8" s="127" t="str">
        <f>VLOOKUP(VALUE(J8),Notenspiegel!$B$3:$E$302,4,0)</f>
        <v/>
      </c>
    </row>
    <row r="9" spans="2:13" ht="18" customHeight="1" thickBot="1" x14ac:dyDescent="0.3">
      <c r="B9" s="152">
        <v>3</v>
      </c>
      <c r="C9" s="144" t="str">
        <f>Config!C7&amp;", "&amp;Config!D7</f>
        <v>Fleischmann, Leonie</v>
      </c>
      <c r="D9" s="161">
        <f>VLOOKUP(C9,'Analysis A'!C$7:$M29,11,0)</f>
        <v>0</v>
      </c>
      <c r="E9" s="161">
        <f>VLOOKUP(C9,'Analysis B'!C$7:$P29,14,0)</f>
        <v>0</v>
      </c>
      <c r="F9" s="161">
        <f>VLOOKUP(C9,'Stochastik A'!C$7:$G29,5,0)</f>
        <v>0</v>
      </c>
      <c r="G9" s="161">
        <f>VLOOKUP(C9,'Stochastik B'!C$7:$J29,8,0)</f>
        <v>0</v>
      </c>
      <c r="H9" s="161">
        <f>VLOOKUP(C9,'Geometrie A'!C$7:$H29,6,0)</f>
        <v>0</v>
      </c>
      <c r="I9" s="161">
        <f>VLOOKUP(C9,'Geometrie B'!C$7:$J29,8,0)</f>
        <v>0</v>
      </c>
      <c r="J9" s="146">
        <f>SUM(D9:I9)</f>
        <v>0</v>
      </c>
      <c r="K9" s="164">
        <f>VLOOKUP(VALUE(J9),Notenspiegel!$B$3:$C$302,2,0)</f>
        <v>0</v>
      </c>
      <c r="L9" s="166">
        <f>VLOOKUP(VALUE(J9),Notenspiegel!$B$3:$D$302,3,0)</f>
        <v>6</v>
      </c>
      <c r="M9" s="127" t="str">
        <f>VLOOKUP(VALUE(J9),Notenspiegel!$B$3:$E$302,4,0)</f>
        <v/>
      </c>
    </row>
    <row r="10" spans="2:13" ht="18" customHeight="1" thickBot="1" x14ac:dyDescent="0.3">
      <c r="B10" s="152">
        <v>4</v>
      </c>
      <c r="C10" s="144" t="str">
        <f>Config!C8&amp;", "&amp;Config!D8</f>
        <v>Drescher, Cedric</v>
      </c>
      <c r="D10" s="161">
        <f>VLOOKUP(C10,'Analysis A'!C$7:$M29,11,0)</f>
        <v>0</v>
      </c>
      <c r="E10" s="161">
        <f>VLOOKUP(C10,'Analysis B'!C$7:$P29,14,0)</f>
        <v>0</v>
      </c>
      <c r="F10" s="161">
        <f>VLOOKUP(C10,'Stochastik A'!C$7:$G29,5,0)</f>
        <v>0</v>
      </c>
      <c r="G10" s="161">
        <f>VLOOKUP(C10,'Stochastik B'!C$7:$J29,8,0)</f>
        <v>0</v>
      </c>
      <c r="H10" s="161">
        <f>VLOOKUP(C10,'Geometrie A'!C$7:$H29,6,0)</f>
        <v>0</v>
      </c>
      <c r="I10" s="161">
        <f>VLOOKUP(C10,'Geometrie B'!C$7:$J29,8,0)</f>
        <v>0</v>
      </c>
      <c r="J10" s="146">
        <f>SUM(D10:I10)</f>
        <v>0</v>
      </c>
      <c r="K10" s="164">
        <f>VLOOKUP(VALUE(J10),Notenspiegel!$B$3:$C$302,2,0)</f>
        <v>0</v>
      </c>
      <c r="L10" s="166">
        <f>VLOOKUP(VALUE(J10),Notenspiegel!$B$3:$D$302,3,0)</f>
        <v>6</v>
      </c>
      <c r="M10" s="127" t="str">
        <f>VLOOKUP(VALUE(J10),Notenspiegel!$B$3:$E$302,4,0)</f>
        <v/>
      </c>
    </row>
    <row r="11" spans="2:13" ht="18" customHeight="1" thickBot="1" x14ac:dyDescent="0.3">
      <c r="B11" s="152">
        <v>5</v>
      </c>
      <c r="C11" s="144" t="str">
        <f>Config!C9&amp;", "&amp;Config!D9</f>
        <v>Baumgarten, Annabell</v>
      </c>
      <c r="D11" s="161">
        <f>VLOOKUP(C11,'Analysis A'!C$7:$M29,11,0)</f>
        <v>0</v>
      </c>
      <c r="E11" s="161">
        <f>VLOOKUP(C11,'Analysis B'!C$7:$P29,14,0)</f>
        <v>0</v>
      </c>
      <c r="F11" s="161">
        <f>VLOOKUP(C11,'Stochastik A'!C$7:$G29,5,0)</f>
        <v>0</v>
      </c>
      <c r="G11" s="161">
        <f>VLOOKUP(C11,'Stochastik B'!C$7:$J29,8,0)</f>
        <v>0</v>
      </c>
      <c r="H11" s="161">
        <f>VLOOKUP(C11,'Geometrie A'!C$7:$H29,6,0)</f>
        <v>0</v>
      </c>
      <c r="I11" s="161">
        <f>VLOOKUP(C11,'Geometrie B'!C$7:$J29,8,0)</f>
        <v>0</v>
      </c>
      <c r="J11" s="146">
        <f>SUM(D11:I11)</f>
        <v>0</v>
      </c>
      <c r="K11" s="164">
        <f>VLOOKUP(VALUE(J11),Notenspiegel!$B$3:$C$302,2,0)</f>
        <v>0</v>
      </c>
      <c r="L11" s="166">
        <f>VLOOKUP(VALUE(J11),Notenspiegel!$B$3:$D$302,3,0)</f>
        <v>6</v>
      </c>
      <c r="M11" s="127" t="str">
        <f>VLOOKUP(VALUE(J11),Notenspiegel!$B$3:$E$302,4,0)</f>
        <v/>
      </c>
    </row>
    <row r="12" spans="2:13" ht="18" customHeight="1" thickBot="1" x14ac:dyDescent="0.3">
      <c r="B12" s="152">
        <v>6</v>
      </c>
      <c r="C12" s="144" t="str">
        <f>Config!C10&amp;", "&amp;Config!D10</f>
        <v>Traut, Stefanie</v>
      </c>
      <c r="D12" s="161">
        <f>VLOOKUP(C12,'Analysis A'!C$7:$M29,11,0)</f>
        <v>0</v>
      </c>
      <c r="E12" s="161">
        <f>VLOOKUP(C12,'Analysis B'!C$7:$P29,14,0)</f>
        <v>0</v>
      </c>
      <c r="F12" s="161">
        <f>VLOOKUP(C12,'Stochastik A'!C$7:$G29,5,0)</f>
        <v>0</v>
      </c>
      <c r="G12" s="161">
        <f>VLOOKUP(C12,'Stochastik B'!C$7:$J29,8,0)</f>
        <v>0</v>
      </c>
      <c r="H12" s="161">
        <f>VLOOKUP(C12,'Geometrie A'!C$7:$H29,6,0)</f>
        <v>0</v>
      </c>
      <c r="I12" s="161">
        <f>VLOOKUP(C12,'Geometrie B'!C$7:$J29,8,0)</f>
        <v>0</v>
      </c>
      <c r="J12" s="146">
        <f>SUM(D12:I12)</f>
        <v>0</v>
      </c>
      <c r="K12" s="164">
        <f>VLOOKUP(VALUE(J12),Notenspiegel!$B$3:$C$302,2,0)</f>
        <v>0</v>
      </c>
      <c r="L12" s="166">
        <f>VLOOKUP(VALUE(J12),Notenspiegel!$B$3:$D$302,3,0)</f>
        <v>6</v>
      </c>
      <c r="M12" s="127" t="str">
        <f>VLOOKUP(VALUE(J12),Notenspiegel!$B$3:$E$302,4,0)</f>
        <v/>
      </c>
    </row>
    <row r="13" spans="2:13" ht="18" customHeight="1" thickBot="1" x14ac:dyDescent="0.3">
      <c r="B13" s="152">
        <v>7</v>
      </c>
      <c r="C13" s="144" t="str">
        <f>Config!C11&amp;", "&amp;Config!D11</f>
        <v>Menke, Damian</v>
      </c>
      <c r="D13" s="161">
        <f>VLOOKUP(C13,'Analysis A'!C$7:$M29,11,0)</f>
        <v>0</v>
      </c>
      <c r="E13" s="161">
        <f>VLOOKUP(C13,'Analysis B'!C$7:$P29,14,0)</f>
        <v>0</v>
      </c>
      <c r="F13" s="161">
        <f>VLOOKUP(C13,'Stochastik A'!C$7:$G29,5,0)</f>
        <v>0</v>
      </c>
      <c r="G13" s="161">
        <f>VLOOKUP(C13,'Stochastik B'!C$7:$J29,8,0)</f>
        <v>0</v>
      </c>
      <c r="H13" s="161">
        <f>VLOOKUP(C13,'Geometrie A'!C$7:$H29,6,0)</f>
        <v>0</v>
      </c>
      <c r="I13" s="161">
        <f>VLOOKUP(C13,'Geometrie B'!C$7:$J29,8,0)</f>
        <v>0</v>
      </c>
      <c r="J13" s="146">
        <f>SUM(D13:I13)</f>
        <v>0</v>
      </c>
      <c r="K13" s="164">
        <f>VLOOKUP(VALUE(J13),Notenspiegel!$B$3:$C$302,2,0)</f>
        <v>0</v>
      </c>
      <c r="L13" s="166">
        <f>VLOOKUP(VALUE(J13),Notenspiegel!$B$3:$D$302,3,0)</f>
        <v>6</v>
      </c>
      <c r="M13" s="127" t="str">
        <f>VLOOKUP(VALUE(J13),Notenspiegel!$B$3:$E$302,4,0)</f>
        <v/>
      </c>
    </row>
    <row r="14" spans="2:13" ht="18" customHeight="1" thickBot="1" x14ac:dyDescent="0.3">
      <c r="B14" s="152">
        <v>8</v>
      </c>
      <c r="C14" s="144" t="str">
        <f>Config!C12&amp;", "&amp;Config!D12</f>
        <v>Carroll, Meik</v>
      </c>
      <c r="D14" s="161">
        <f>VLOOKUP(C14,'Analysis A'!C$7:$M29,11,0)</f>
        <v>0</v>
      </c>
      <c r="E14" s="161">
        <f>VLOOKUP(C14,'Analysis B'!C$7:$P29,14,0)</f>
        <v>0</v>
      </c>
      <c r="F14" s="161">
        <f>VLOOKUP(C14,'Stochastik A'!C$7:$G29,5,0)</f>
        <v>0</v>
      </c>
      <c r="G14" s="161">
        <f>VLOOKUP(C14,'Stochastik B'!C$7:$J29,8,0)</f>
        <v>0</v>
      </c>
      <c r="H14" s="161">
        <f>VLOOKUP(C14,'Geometrie A'!C$7:$H29,6,0)</f>
        <v>0</v>
      </c>
      <c r="I14" s="161">
        <f>VLOOKUP(C14,'Geometrie B'!C$7:$J29,8,0)</f>
        <v>0</v>
      </c>
      <c r="J14" s="146">
        <f>SUM(D14:I14)</f>
        <v>0</v>
      </c>
      <c r="K14" s="164">
        <f>VLOOKUP(VALUE(J14),Notenspiegel!$B$3:$C$302,2,0)</f>
        <v>0</v>
      </c>
      <c r="L14" s="166">
        <f>VLOOKUP(VALUE(J14),Notenspiegel!$B$3:$D$302,3,0)</f>
        <v>6</v>
      </c>
      <c r="M14" s="127" t="str">
        <f>VLOOKUP(VALUE(J14),Notenspiegel!$B$3:$E$302,4,0)</f>
        <v/>
      </c>
    </row>
    <row r="15" spans="2:13" ht="18" customHeight="1" thickBot="1" x14ac:dyDescent="0.3">
      <c r="B15" s="152">
        <v>9</v>
      </c>
      <c r="C15" s="144" t="str">
        <f>Config!C13&amp;", "&amp;Config!D13</f>
        <v>Hennings, Tomas</v>
      </c>
      <c r="D15" s="161">
        <f>VLOOKUP(C15,'Analysis A'!C$7:$M29,11,0)</f>
        <v>0</v>
      </c>
      <c r="E15" s="161">
        <f>VLOOKUP(C15,'Analysis B'!C$7:$P29,14,0)</f>
        <v>0</v>
      </c>
      <c r="F15" s="161">
        <f>VLOOKUP(C15,'Stochastik A'!C$7:$G29,5,0)</f>
        <v>0</v>
      </c>
      <c r="G15" s="161">
        <f>VLOOKUP(C15,'Stochastik B'!C$7:$J29,8,0)</f>
        <v>0</v>
      </c>
      <c r="H15" s="161">
        <f>VLOOKUP(C15,'Geometrie A'!C$7:$H29,6,0)</f>
        <v>0</v>
      </c>
      <c r="I15" s="161">
        <f>VLOOKUP(C15,'Geometrie B'!C$7:$J29,8,0)</f>
        <v>0</v>
      </c>
      <c r="J15" s="146">
        <f>SUM(D15:I15)</f>
        <v>0</v>
      </c>
      <c r="K15" s="164">
        <f>VLOOKUP(VALUE(J15),Notenspiegel!$B$3:$C$302,2,0)</f>
        <v>0</v>
      </c>
      <c r="L15" s="166">
        <f>VLOOKUP(VALUE(J15),Notenspiegel!$B$3:$D$302,3,0)</f>
        <v>6</v>
      </c>
      <c r="M15" s="127" t="str">
        <f>VLOOKUP(VALUE(J15),Notenspiegel!$B$3:$E$302,4,0)</f>
        <v/>
      </c>
    </row>
    <row r="16" spans="2:13" ht="18" customHeight="1" thickBot="1" x14ac:dyDescent="0.3">
      <c r="B16" s="152">
        <v>10</v>
      </c>
      <c r="C16" s="144" t="str">
        <f>Config!C14&amp;", "&amp;Config!D14</f>
        <v>Walters, Linn</v>
      </c>
      <c r="D16" s="161">
        <f>VLOOKUP(C16,'Analysis A'!C$7:$M29,11,0)</f>
        <v>0</v>
      </c>
      <c r="E16" s="161">
        <f>VLOOKUP(C16,'Analysis B'!C$7:$P29,14,0)</f>
        <v>0</v>
      </c>
      <c r="F16" s="161">
        <f>VLOOKUP(C16,'Stochastik A'!C$7:$G29,5,0)</f>
        <v>0</v>
      </c>
      <c r="G16" s="161">
        <f>VLOOKUP(C16,'Stochastik B'!C$7:$J29,8,0)</f>
        <v>0</v>
      </c>
      <c r="H16" s="161">
        <f>VLOOKUP(C16,'Geometrie A'!C$7:$H29,6,0)</f>
        <v>0</v>
      </c>
      <c r="I16" s="161">
        <f>VLOOKUP(C16,'Geometrie B'!C$7:$J29,8,0)</f>
        <v>0</v>
      </c>
      <c r="J16" s="146">
        <f>SUM(D16:I16)</f>
        <v>0</v>
      </c>
      <c r="K16" s="164">
        <f>VLOOKUP(VALUE(J16),Notenspiegel!$B$3:$C$302,2,0)</f>
        <v>0</v>
      </c>
      <c r="L16" s="166">
        <f>VLOOKUP(VALUE(J16),Notenspiegel!$B$3:$D$302,3,0)</f>
        <v>6</v>
      </c>
      <c r="M16" s="127" t="str">
        <f>VLOOKUP(VALUE(J16),Notenspiegel!$B$3:$E$302,4,0)</f>
        <v/>
      </c>
    </row>
    <row r="17" spans="2:13" ht="18" customHeight="1" thickBot="1" x14ac:dyDescent="0.3">
      <c r="B17" s="152">
        <v>11</v>
      </c>
      <c r="C17" s="144" t="str">
        <f>Config!C15&amp;", "&amp;Config!D15</f>
        <v>Junker, Amely</v>
      </c>
      <c r="D17" s="161">
        <f>VLOOKUP(C17,'Analysis A'!C$7:$M29,11,0)</f>
        <v>0</v>
      </c>
      <c r="E17" s="161">
        <f>VLOOKUP(C17,'Analysis B'!C$7:$P29,14,0)</f>
        <v>0</v>
      </c>
      <c r="F17" s="161">
        <f>VLOOKUP(C17,'Stochastik A'!C$7:$G29,5,0)</f>
        <v>0</v>
      </c>
      <c r="G17" s="161">
        <f>VLOOKUP(C17,'Stochastik B'!C$7:$J29,8,0)</f>
        <v>0</v>
      </c>
      <c r="H17" s="161">
        <f>VLOOKUP(C17,'Geometrie A'!C$7:$H29,6,0)</f>
        <v>0</v>
      </c>
      <c r="I17" s="161">
        <f>VLOOKUP(C17,'Geometrie B'!C$7:$J29,8,0)</f>
        <v>0</v>
      </c>
      <c r="J17" s="146">
        <f>SUM(D17:I17)</f>
        <v>0</v>
      </c>
      <c r="K17" s="164">
        <f>VLOOKUP(VALUE(J17),Notenspiegel!$B$3:$C$302,2,0)</f>
        <v>0</v>
      </c>
      <c r="L17" s="166">
        <f>VLOOKUP(VALUE(J17),Notenspiegel!$B$3:$D$302,3,0)</f>
        <v>6</v>
      </c>
      <c r="M17" s="127" t="str">
        <f>VLOOKUP(VALUE(J17),Notenspiegel!$B$3:$E$302,4,0)</f>
        <v/>
      </c>
    </row>
    <row r="18" spans="2:13" ht="18" customHeight="1" thickBot="1" x14ac:dyDescent="0.3">
      <c r="B18" s="152">
        <v>12</v>
      </c>
      <c r="C18" s="144" t="str">
        <f>Config!C16&amp;", "&amp;Config!D16</f>
        <v>Stephens, Melvin</v>
      </c>
      <c r="D18" s="161">
        <f>VLOOKUP(C18,'Analysis A'!C$7:$M29,11,0)</f>
        <v>0</v>
      </c>
      <c r="E18" s="161">
        <f>VLOOKUP(C18,'Analysis B'!C$7:$P29,14,0)</f>
        <v>0</v>
      </c>
      <c r="F18" s="161">
        <f>VLOOKUP(C18,'Stochastik A'!C$7:$G29,5,0)</f>
        <v>0</v>
      </c>
      <c r="G18" s="161">
        <f>VLOOKUP(C18,'Stochastik B'!C$7:$J29,8,0)</f>
        <v>0</v>
      </c>
      <c r="H18" s="161">
        <f>VLOOKUP(C18,'Geometrie A'!C$7:$H29,6,0)</f>
        <v>0</v>
      </c>
      <c r="I18" s="161">
        <f>VLOOKUP(C18,'Geometrie B'!C$7:$J29,8,0)</f>
        <v>0</v>
      </c>
      <c r="J18" s="146">
        <f>SUM(D18:I18)</f>
        <v>0</v>
      </c>
      <c r="K18" s="164">
        <f>VLOOKUP(VALUE(J18),Notenspiegel!$B$3:$C$302,2,0)</f>
        <v>0</v>
      </c>
      <c r="L18" s="166">
        <f>VLOOKUP(VALUE(J18),Notenspiegel!$B$3:$D$302,3,0)</f>
        <v>6</v>
      </c>
      <c r="M18" s="127" t="str">
        <f>VLOOKUP(VALUE(J18),Notenspiegel!$B$3:$E$302,4,0)</f>
        <v/>
      </c>
    </row>
    <row r="19" spans="2:13" ht="18" customHeight="1" thickBot="1" x14ac:dyDescent="0.3">
      <c r="B19" s="152">
        <v>13</v>
      </c>
      <c r="C19" s="144" t="str">
        <f>Config!C17&amp;", "&amp;Config!D17</f>
        <v>Cremer, Marvin</v>
      </c>
      <c r="D19" s="161">
        <f>VLOOKUP(C19,'Analysis A'!C$7:$M29,11,0)</f>
        <v>0</v>
      </c>
      <c r="E19" s="161">
        <f>VLOOKUP(C19,'Analysis B'!C$7:$P29,14,0)</f>
        <v>0</v>
      </c>
      <c r="F19" s="161">
        <f>VLOOKUP(C19,'Stochastik A'!C$7:$G29,5,0)</f>
        <v>0</v>
      </c>
      <c r="G19" s="161">
        <f>VLOOKUP(C19,'Stochastik B'!C$7:$J29,8,0)</f>
        <v>0</v>
      </c>
      <c r="H19" s="161">
        <f>VLOOKUP(C19,'Geometrie A'!C$7:$H29,6,0)</f>
        <v>0</v>
      </c>
      <c r="I19" s="161">
        <f>VLOOKUP(C19,'Geometrie B'!C$7:$J29,8,0)</f>
        <v>0</v>
      </c>
      <c r="J19" s="146">
        <f>SUM(D19:I19)</f>
        <v>0</v>
      </c>
      <c r="K19" s="164">
        <f>VLOOKUP(VALUE(J19),Notenspiegel!$B$3:$C$302,2,0)</f>
        <v>0</v>
      </c>
      <c r="L19" s="166">
        <f>VLOOKUP(VALUE(J19),Notenspiegel!$B$3:$D$302,3,0)</f>
        <v>6</v>
      </c>
      <c r="M19" s="127" t="str">
        <f>VLOOKUP(VALUE(J19),Notenspiegel!$B$3:$E$302,4,0)</f>
        <v/>
      </c>
    </row>
    <row r="20" spans="2:13" ht="18" customHeight="1" thickBot="1" x14ac:dyDescent="0.3">
      <c r="B20" s="152">
        <v>14</v>
      </c>
      <c r="C20" s="144" t="str">
        <f>Config!C18&amp;", "&amp;Config!D18</f>
        <v>Nash, Jean</v>
      </c>
      <c r="D20" s="161">
        <f>VLOOKUP(C20,'Analysis A'!C$7:$M29,11,0)</f>
        <v>0</v>
      </c>
      <c r="E20" s="161">
        <f>VLOOKUP(C20,'Analysis B'!C$7:$P29,14,0)</f>
        <v>0</v>
      </c>
      <c r="F20" s="161">
        <f>VLOOKUP(C20,'Stochastik A'!C$7:$G29,5,0)</f>
        <v>0</v>
      </c>
      <c r="G20" s="161">
        <f>VLOOKUP(C20,'Stochastik B'!C$7:$J29,8,0)</f>
        <v>0</v>
      </c>
      <c r="H20" s="161">
        <f>VLOOKUP(C20,'Geometrie A'!C$7:$H29,6,0)</f>
        <v>0</v>
      </c>
      <c r="I20" s="161">
        <f>VLOOKUP(C20,'Geometrie B'!C$7:$J29,8,0)</f>
        <v>0</v>
      </c>
      <c r="J20" s="146">
        <f>SUM(D20:I20)</f>
        <v>0</v>
      </c>
      <c r="K20" s="164">
        <f>VLOOKUP(VALUE(J20),Notenspiegel!$B$3:$C$302,2,0)</f>
        <v>0</v>
      </c>
      <c r="L20" s="166">
        <f>VLOOKUP(VALUE(J20),Notenspiegel!$B$3:$D$302,3,0)</f>
        <v>6</v>
      </c>
      <c r="M20" s="127" t="str">
        <f>VLOOKUP(VALUE(J20),Notenspiegel!$B$3:$E$302,4,0)</f>
        <v/>
      </c>
    </row>
    <row r="21" spans="2:13" ht="18" customHeight="1" thickBot="1" x14ac:dyDescent="0.3">
      <c r="B21" s="152">
        <v>15</v>
      </c>
      <c r="C21" s="144" t="str">
        <f>Config!C19&amp;", "&amp;Config!D19</f>
        <v>Schön, Leonardo</v>
      </c>
      <c r="D21" s="161">
        <f>VLOOKUP(C21,'Analysis A'!C$7:$M29,11,0)</f>
        <v>0</v>
      </c>
      <c r="E21" s="161">
        <f>VLOOKUP(C21,'Analysis B'!C$7:$P29,14,0)</f>
        <v>0</v>
      </c>
      <c r="F21" s="161">
        <f>VLOOKUP(C21,'Stochastik A'!C$7:$G29,5,0)</f>
        <v>0</v>
      </c>
      <c r="G21" s="161">
        <f>VLOOKUP(C21,'Stochastik B'!C$7:$J29,8,0)</f>
        <v>0</v>
      </c>
      <c r="H21" s="161">
        <f>VLOOKUP(C21,'Geometrie A'!C$7:$H29,6,0)</f>
        <v>0</v>
      </c>
      <c r="I21" s="161">
        <f>VLOOKUP(C21,'Geometrie B'!C$7:$J29,8,0)</f>
        <v>0</v>
      </c>
      <c r="J21" s="146">
        <f>SUM(D21:I21)</f>
        <v>0</v>
      </c>
      <c r="K21" s="164">
        <f>VLOOKUP(VALUE(J21),Notenspiegel!$B$3:$C$302,2,0)</f>
        <v>0</v>
      </c>
      <c r="L21" s="166">
        <f>VLOOKUP(VALUE(J21),Notenspiegel!$B$3:$D$302,3,0)</f>
        <v>6</v>
      </c>
      <c r="M21" s="127" t="str">
        <f>VLOOKUP(VALUE(J21),Notenspiegel!$B$3:$E$302,4,0)</f>
        <v/>
      </c>
    </row>
    <row r="22" spans="2:13" ht="18" customHeight="1" thickBot="1" x14ac:dyDescent="0.3">
      <c r="B22" s="152">
        <v>16</v>
      </c>
      <c r="C22" s="144" t="str">
        <f>Config!C20&amp;", "&amp;Config!D20</f>
        <v>Sigl, Nicholas</v>
      </c>
      <c r="D22" s="161">
        <f>VLOOKUP(C22,'Analysis A'!C$7:$M29,11,0)</f>
        <v>0</v>
      </c>
      <c r="E22" s="161">
        <f>VLOOKUP(C22,'Analysis B'!C$7:$P29,14,0)</f>
        <v>0</v>
      </c>
      <c r="F22" s="161">
        <f>VLOOKUP(C22,'Stochastik A'!C$7:$G29,5,0)</f>
        <v>0</v>
      </c>
      <c r="G22" s="161">
        <f>VLOOKUP(C22,'Stochastik B'!C$7:$J29,8,0)</f>
        <v>0</v>
      </c>
      <c r="H22" s="161">
        <f>VLOOKUP(C22,'Geometrie A'!C$7:$H29,6,0)</f>
        <v>0</v>
      </c>
      <c r="I22" s="161">
        <f>VLOOKUP(C22,'Geometrie B'!C$7:$J29,8,0)</f>
        <v>0</v>
      </c>
      <c r="J22" s="146">
        <f>SUM(D22:I22)</f>
        <v>0</v>
      </c>
      <c r="K22" s="164">
        <f>VLOOKUP(VALUE(J22),Notenspiegel!$B$3:$C$302,2,0)</f>
        <v>0</v>
      </c>
      <c r="L22" s="166">
        <f>VLOOKUP(VALUE(J22),Notenspiegel!$B$3:$D$302,3,0)</f>
        <v>6</v>
      </c>
      <c r="M22" s="127" t="str">
        <f>VLOOKUP(VALUE(J22),Notenspiegel!$B$3:$E$302,4,0)</f>
        <v/>
      </c>
    </row>
    <row r="23" spans="2:13" ht="18" customHeight="1" thickBot="1" x14ac:dyDescent="0.3">
      <c r="B23" s="152">
        <v>17</v>
      </c>
      <c r="C23" s="144" t="str">
        <f>Config!C21&amp;", "&amp;Config!D21</f>
        <v>Kainz, Vivienne</v>
      </c>
      <c r="D23" s="161">
        <f>VLOOKUP(C23,'Analysis A'!C$7:$M29,11,0)</f>
        <v>0</v>
      </c>
      <c r="E23" s="161">
        <f>VLOOKUP(C23,'Analysis B'!C$7:$P29,14,0)</f>
        <v>0</v>
      </c>
      <c r="F23" s="161">
        <f>VLOOKUP(C23,'Stochastik A'!C$7:$G29,5,0)</f>
        <v>0</v>
      </c>
      <c r="G23" s="161">
        <f>VLOOKUP(C23,'Stochastik B'!C$7:$J29,8,0)</f>
        <v>0</v>
      </c>
      <c r="H23" s="161">
        <f>VLOOKUP(C23,'Geometrie A'!C$7:$H29,6,0)</f>
        <v>0</v>
      </c>
      <c r="I23" s="161">
        <f>VLOOKUP(C23,'Geometrie B'!C$7:$J29,8,0)</f>
        <v>0</v>
      </c>
      <c r="J23" s="146">
        <f>SUM(D23:I23)</f>
        <v>0</v>
      </c>
      <c r="K23" s="164">
        <f>VLOOKUP(VALUE(J23),Notenspiegel!$B$3:$C$302,2,0)</f>
        <v>0</v>
      </c>
      <c r="L23" s="166">
        <f>VLOOKUP(VALUE(J23),Notenspiegel!$B$3:$D$302,3,0)</f>
        <v>6</v>
      </c>
      <c r="M23" s="127" t="str">
        <f>VLOOKUP(VALUE(J23),Notenspiegel!$B$3:$E$302,4,0)</f>
        <v/>
      </c>
    </row>
    <row r="24" spans="2:13" ht="18" customHeight="1" thickBot="1" x14ac:dyDescent="0.3">
      <c r="B24" s="152">
        <v>18</v>
      </c>
      <c r="C24" s="144" t="str">
        <f>Config!C22&amp;", "&amp;Config!D22</f>
        <v>Hartmann, Mads</v>
      </c>
      <c r="D24" s="161">
        <f>VLOOKUP(C24,'Analysis A'!C$7:$M29,11,0)</f>
        <v>0</v>
      </c>
      <c r="E24" s="161">
        <f>VLOOKUP(C24,'Analysis B'!C$7:$P29,14,0)</f>
        <v>0</v>
      </c>
      <c r="F24" s="161">
        <f>VLOOKUP(C24,'Stochastik A'!C$7:$G29,5,0)</f>
        <v>0</v>
      </c>
      <c r="G24" s="161">
        <f>VLOOKUP(C24,'Stochastik B'!C$7:$J29,8,0)</f>
        <v>0</v>
      </c>
      <c r="H24" s="161">
        <f>VLOOKUP(C24,'Geometrie A'!C$7:$H29,6,0)</f>
        <v>0</v>
      </c>
      <c r="I24" s="161">
        <f>VLOOKUP(C24,'Geometrie B'!C$7:$J29,8,0)</f>
        <v>0</v>
      </c>
      <c r="J24" s="146">
        <f>SUM(D24:I24)</f>
        <v>0</v>
      </c>
      <c r="K24" s="164">
        <f>VLOOKUP(VALUE(J24),Notenspiegel!$B$3:$C$302,2,0)</f>
        <v>0</v>
      </c>
      <c r="L24" s="166">
        <f>VLOOKUP(VALUE(J24),Notenspiegel!$B$3:$D$302,3,0)</f>
        <v>6</v>
      </c>
      <c r="M24" s="127" t="str">
        <f>VLOOKUP(VALUE(J24),Notenspiegel!$B$3:$E$302,4,0)</f>
        <v/>
      </c>
    </row>
    <row r="25" spans="2:13" ht="18" customHeight="1" thickBot="1" x14ac:dyDescent="0.3">
      <c r="B25" s="152">
        <v>19</v>
      </c>
      <c r="C25" s="144" t="str">
        <f>Config!C23&amp;", "&amp;Config!D23</f>
        <v>Ullmann, Raphael</v>
      </c>
      <c r="D25" s="161">
        <f>VLOOKUP(C25,'Analysis A'!C$7:$M29,11,0)</f>
        <v>0</v>
      </c>
      <c r="E25" s="161">
        <f>VLOOKUP(C25,'Analysis B'!C$7:$P29,14,0)</f>
        <v>0</v>
      </c>
      <c r="F25" s="161">
        <f>VLOOKUP(C25,'Stochastik A'!C$7:$G29,5,0)</f>
        <v>0</v>
      </c>
      <c r="G25" s="161">
        <f>VLOOKUP(C25,'Stochastik B'!C$7:$J29,8,0)</f>
        <v>0</v>
      </c>
      <c r="H25" s="161">
        <f>VLOOKUP(C25,'Geometrie A'!C$7:$H29,6,0)</f>
        <v>0</v>
      </c>
      <c r="I25" s="161">
        <f>VLOOKUP(C25,'Geometrie B'!C$7:$J29,8,0)</f>
        <v>0</v>
      </c>
      <c r="J25" s="146">
        <f>SUM(D25:I25)</f>
        <v>0</v>
      </c>
      <c r="K25" s="164">
        <f>VLOOKUP(VALUE(J25),Notenspiegel!$B$3:$C$302,2,0)</f>
        <v>0</v>
      </c>
      <c r="L25" s="166">
        <f>VLOOKUP(VALUE(J25),Notenspiegel!$B$3:$D$302,3,0)</f>
        <v>6</v>
      </c>
      <c r="M25" s="127" t="str">
        <f>VLOOKUP(VALUE(J25),Notenspiegel!$B$3:$E$302,4,0)</f>
        <v/>
      </c>
    </row>
    <row r="26" spans="2:13" ht="18" customHeight="1" thickBot="1" x14ac:dyDescent="0.3">
      <c r="B26" s="152">
        <v>20</v>
      </c>
      <c r="C26" s="144" t="str">
        <f>Config!C24&amp;", "&amp;Config!D24</f>
        <v>Hartl, Emmely</v>
      </c>
      <c r="D26" s="161">
        <f>VLOOKUP(C26,'Analysis A'!C$7:$M29,11,0)</f>
        <v>0</v>
      </c>
      <c r="E26" s="161">
        <f>VLOOKUP(C26,'Analysis B'!C$7:$P29,14,0)</f>
        <v>0</v>
      </c>
      <c r="F26" s="161">
        <f>VLOOKUP(C26,'Stochastik A'!C$7:$G29,5,0)</f>
        <v>0</v>
      </c>
      <c r="G26" s="161">
        <f>VLOOKUP(C26,'Stochastik B'!C$7:$J29,8,0)</f>
        <v>0</v>
      </c>
      <c r="H26" s="161">
        <f>VLOOKUP(C26,'Geometrie A'!C$7:$H29,6,0)</f>
        <v>0</v>
      </c>
      <c r="I26" s="161">
        <f>VLOOKUP(C26,'Geometrie B'!C$7:$J29,8,0)</f>
        <v>0</v>
      </c>
      <c r="J26" s="146">
        <f>SUM(D26:I26)</f>
        <v>0</v>
      </c>
      <c r="K26" s="164">
        <f>VLOOKUP(VALUE(J26),Notenspiegel!$B$3:$C$302,2,0)</f>
        <v>0</v>
      </c>
      <c r="L26" s="166">
        <f>VLOOKUP(VALUE(J26),Notenspiegel!$B$3:$D$302,3,0)</f>
        <v>6</v>
      </c>
      <c r="M26" s="127" t="str">
        <f>VLOOKUP(VALUE(J26),Notenspiegel!$B$3:$E$302,4,0)</f>
        <v/>
      </c>
    </row>
    <row r="27" spans="2:13" ht="18" customHeight="1" thickBot="1" x14ac:dyDescent="0.3">
      <c r="B27" s="152">
        <v>21</v>
      </c>
      <c r="C27" s="144" t="str">
        <f>Config!C25&amp;", "&amp;Config!D25</f>
        <v>Klotz, Karin</v>
      </c>
      <c r="D27" s="161">
        <f>VLOOKUP(C27,'Analysis A'!C$7:$M29,11,0)</f>
        <v>0</v>
      </c>
      <c r="E27" s="161">
        <f>VLOOKUP(C27,'Analysis B'!C$7:$P29,14,0)</f>
        <v>0</v>
      </c>
      <c r="F27" s="161">
        <f>VLOOKUP(C27,'Stochastik A'!C$7:$G29,5,0)</f>
        <v>0</v>
      </c>
      <c r="G27" s="161">
        <f>VLOOKUP(C27,'Stochastik B'!C$7:$J29,8,0)</f>
        <v>0</v>
      </c>
      <c r="H27" s="161">
        <f>VLOOKUP(C27,'Geometrie A'!C$7:$H29,6,0)</f>
        <v>0</v>
      </c>
      <c r="I27" s="161">
        <f>VLOOKUP(C27,'Geometrie B'!C$7:$J29,8,0)</f>
        <v>0</v>
      </c>
      <c r="J27" s="146">
        <f>SUM(D27:I27)</f>
        <v>0</v>
      </c>
      <c r="K27" s="164">
        <f>VLOOKUP(VALUE(J27),Notenspiegel!$B$3:$C$302,2,0)</f>
        <v>0</v>
      </c>
      <c r="L27" s="166">
        <f>VLOOKUP(VALUE(J27),Notenspiegel!$B$3:$D$302,3,0)</f>
        <v>6</v>
      </c>
      <c r="M27" s="127" t="str">
        <f>VLOOKUP(VALUE(J27),Notenspiegel!$B$3:$E$302,4,0)</f>
        <v/>
      </c>
    </row>
    <row r="28" spans="2:13" ht="18" customHeight="1" thickBot="1" x14ac:dyDescent="0.3">
      <c r="B28" s="152">
        <v>22</v>
      </c>
      <c r="C28" s="144" t="str">
        <f>Config!C26&amp;", "&amp;Config!D26</f>
        <v>Ehlers, Ingo</v>
      </c>
      <c r="D28" s="161">
        <f>VLOOKUP(C28,'Analysis A'!C$7:$M29,11,0)</f>
        <v>0</v>
      </c>
      <c r="E28" s="161">
        <f>VLOOKUP(C28,'Analysis B'!C$7:$P29,14,0)</f>
        <v>0</v>
      </c>
      <c r="F28" s="161">
        <f>VLOOKUP(C28,'Stochastik A'!C$7:$G29,5,0)</f>
        <v>0</v>
      </c>
      <c r="G28" s="161">
        <f>VLOOKUP(C28,'Stochastik B'!C$7:$J29,8,0)</f>
        <v>0</v>
      </c>
      <c r="H28" s="161">
        <f>VLOOKUP(C28,'Geometrie A'!C$7:$H29,6,0)</f>
        <v>0</v>
      </c>
      <c r="I28" s="161">
        <f>VLOOKUP(C28,'Geometrie B'!C$7:$J29,8,0)</f>
        <v>0</v>
      </c>
      <c r="J28" s="146">
        <f>SUM(D28:I28)</f>
        <v>0</v>
      </c>
      <c r="K28" s="164">
        <f>VLOOKUP(VALUE(J28),Notenspiegel!$B$3:$C$302,2,0)</f>
        <v>0</v>
      </c>
      <c r="L28" s="166">
        <f>VLOOKUP(VALUE(J28),Notenspiegel!$B$3:$D$302,3,0)</f>
        <v>6</v>
      </c>
      <c r="M28" s="127" t="str">
        <f>VLOOKUP(VALUE(J28),Notenspiegel!$B$3:$E$302,4,0)</f>
        <v/>
      </c>
    </row>
    <row r="29" spans="2:13" ht="18" customHeight="1" thickBot="1" x14ac:dyDescent="0.3">
      <c r="B29" s="153">
        <v>23</v>
      </c>
      <c r="C29" s="150" t="str">
        <f>Config!C27&amp;", "&amp;Config!D27</f>
        <v>Lindemann, Mads</v>
      </c>
      <c r="D29" s="169">
        <f>VLOOKUP(C29,'Analysis A'!C$7:$M29,11,0)</f>
        <v>0</v>
      </c>
      <c r="E29" s="169">
        <f>VLOOKUP(C29,'Analysis B'!C$7:$P29,14,0)</f>
        <v>0</v>
      </c>
      <c r="F29" s="169">
        <f>VLOOKUP(C29,'Stochastik A'!C$7:$G29,5,0)</f>
        <v>0</v>
      </c>
      <c r="G29" s="169">
        <f>VLOOKUP(C29,'Stochastik B'!C$7:$J29,8,0)</f>
        <v>0</v>
      </c>
      <c r="H29" s="169">
        <f>VLOOKUP(C29,'Geometrie A'!C$7:$H29,6,0)</f>
        <v>0</v>
      </c>
      <c r="I29" s="169">
        <f>VLOOKUP(C29,'Geometrie B'!C$7:$J29,8,0)</f>
        <v>0</v>
      </c>
      <c r="J29" s="146">
        <f>SUM(D29:I29)</f>
        <v>0</v>
      </c>
      <c r="K29" s="167">
        <f>VLOOKUP(VALUE(J29),Notenspiegel!$B$3:$C$302,2,0)</f>
        <v>0</v>
      </c>
      <c r="L29" s="168">
        <f>VLOOKUP(VALUE(J29),Notenspiegel!$B$3:$D$302,3,0)</f>
        <v>6</v>
      </c>
      <c r="M29" s="127" t="str">
        <f>VLOOKUP(VALUE(J29),Notenspiegel!$B$3:$E$302,4,0)</f>
        <v/>
      </c>
    </row>
    <row r="30" spans="2:13" ht="18" customHeight="1" thickBot="1" x14ac:dyDescent="0.3">
      <c r="B30" s="83"/>
      <c r="C30" s="84"/>
      <c r="D30" s="84">
        <f>SUM(D7:D29)/(23*D6)</f>
        <v>0</v>
      </c>
      <c r="E30" s="84">
        <f>SUM(E7:E29)/(23*E6)</f>
        <v>0</v>
      </c>
      <c r="F30" s="84">
        <f>SUM(F7:F29)/(23*F6)</f>
        <v>0</v>
      </c>
      <c r="G30" s="84">
        <f>SUM(G7:G29)/(23*G6)</f>
        <v>0</v>
      </c>
      <c r="H30" s="84">
        <f>SUM(H7:H29)/(23*H6)</f>
        <v>0</v>
      </c>
      <c r="I30" s="84">
        <f>SUM(I7:I29)/(23*I6)</f>
        <v>0</v>
      </c>
      <c r="J30" s="84" t="s">
        <v>100</v>
      </c>
      <c r="K30" s="85">
        <f>AVERAGE(K7:K29)</f>
        <v>0</v>
      </c>
      <c r="L30" s="172">
        <f t="array" ref="L30">AVERAGE(SUBSTITUTE(SUBSTITUTE(L7:L29,"+",""),"-","")*1)</f>
        <v>6</v>
      </c>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BD23E-AC22-4691-9703-2A868D15A2ED}">
  <sheetPr codeName="Tabelle45">
    <tabColor rgb="FF92D050"/>
  </sheetPr>
  <dimension ref="B1:M100"/>
  <sheetViews>
    <sheetView workbookViewId="0">
      <selection activeCell="D7" sqref="D7"/>
    </sheetView>
  </sheetViews>
  <sheetFormatPr baseColWidth="10" defaultRowHeight="13.2" x14ac:dyDescent="0.25"/>
  <cols>
    <col min="1" max="2" width="3.44140625" style="127" customWidth="1"/>
    <col min="3" max="3" width="25.77734375" style="127" customWidth="1"/>
    <col min="4" max="13" width="8.77734375" style="127" customWidth="1"/>
    <col min="14" max="16384" width="11.5546875" style="127"/>
  </cols>
  <sheetData>
    <row r="1" spans="2:13" ht="18" customHeight="1" thickBot="1" x14ac:dyDescent="0.3"/>
    <row r="2" spans="2:13" ht="18" customHeight="1" x14ac:dyDescent="0.25">
      <c r="B2" s="128" t="str">
        <f>Config!F2&amp;" "&amp;YEAR(Config!G27)</f>
        <v>Mathe Abitur 2016</v>
      </c>
      <c r="C2" s="129"/>
      <c r="D2" s="129"/>
      <c r="E2" s="129"/>
      <c r="F2" s="129"/>
      <c r="G2" s="129"/>
      <c r="H2" s="130"/>
      <c r="I2" s="130"/>
      <c r="J2" s="130"/>
      <c r="K2" s="130"/>
      <c r="L2" s="130"/>
      <c r="M2" s="131" t="str">
        <f>"Kurs "&amp;Config!G29</f>
        <v>Kurs K1</v>
      </c>
    </row>
    <row r="3" spans="2:13" ht="18" customHeight="1" x14ac:dyDescent="0.25">
      <c r="B3" s="132" t="s">
        <v>22</v>
      </c>
      <c r="C3" s="133"/>
      <c r="D3" s="133"/>
      <c r="E3" s="133"/>
      <c r="F3" s="133"/>
      <c r="G3" s="133"/>
      <c r="H3" s="133"/>
      <c r="I3" s="133"/>
      <c r="J3" s="133"/>
      <c r="K3" s="133"/>
      <c r="L3" s="133"/>
      <c r="M3" s="134"/>
    </row>
    <row r="4" spans="2:13" ht="18" customHeight="1" thickBot="1" x14ac:dyDescent="0.3">
      <c r="B4" s="132"/>
      <c r="C4" s="133"/>
      <c r="D4" s="135"/>
      <c r="E4" s="135"/>
      <c r="F4" s="135"/>
      <c r="G4" s="135"/>
      <c r="H4" s="135"/>
      <c r="I4" s="135"/>
      <c r="J4" s="135"/>
      <c r="K4" s="135"/>
      <c r="L4" s="135"/>
      <c r="M4" s="136"/>
    </row>
    <row r="5" spans="2:13" ht="18" customHeight="1" thickBot="1" x14ac:dyDescent="0.3">
      <c r="B5" s="137"/>
      <c r="C5" s="139"/>
      <c r="D5" s="156" t="str">
        <f>Config!F6</f>
        <v>1a</v>
      </c>
      <c r="E5" s="156" t="str">
        <f>Config!F7</f>
        <v>1b</v>
      </c>
      <c r="F5" s="156" t="str">
        <f>Config!F8</f>
        <v>2</v>
      </c>
      <c r="G5" s="156" t="str">
        <f>Config!F9</f>
        <v>3</v>
      </c>
      <c r="H5" s="156" t="str">
        <f>Config!F10</f>
        <v>4a</v>
      </c>
      <c r="I5" s="156" t="str">
        <f>Config!F11</f>
        <v>4b</v>
      </c>
      <c r="J5" s="156" t="str">
        <f>Config!F12</f>
        <v>5a</v>
      </c>
      <c r="K5" s="156" t="str">
        <f>Config!F13</f>
        <v>5b</v>
      </c>
      <c r="L5" s="156" t="str">
        <f>Config!F14</f>
        <v>5c</v>
      </c>
      <c r="M5" s="143" t="s">
        <v>97</v>
      </c>
    </row>
    <row r="6" spans="2:13" ht="18" customHeight="1" thickBot="1" x14ac:dyDescent="0.3">
      <c r="B6" s="138"/>
      <c r="C6" s="140" t="s">
        <v>96</v>
      </c>
      <c r="D6" s="142">
        <f>Config!G6</f>
        <v>2</v>
      </c>
      <c r="E6" s="142">
        <f>Config!G7</f>
        <v>2</v>
      </c>
      <c r="F6" s="142">
        <f>Config!G8</f>
        <v>3</v>
      </c>
      <c r="G6" s="142">
        <f>Config!G9</f>
        <v>3</v>
      </c>
      <c r="H6" s="142">
        <f>Config!G10</f>
        <v>3</v>
      </c>
      <c r="I6" s="142">
        <f>Config!G11</f>
        <v>2</v>
      </c>
      <c r="J6" s="142">
        <f>Config!G12</f>
        <v>2</v>
      </c>
      <c r="K6" s="142">
        <f>Config!G13</f>
        <v>1</v>
      </c>
      <c r="L6" s="142">
        <f>Config!G14</f>
        <v>2</v>
      </c>
      <c r="M6" s="143">
        <f>SUM(D6:L6)</f>
        <v>20</v>
      </c>
    </row>
    <row r="7" spans="2:13" ht="18" customHeight="1" thickBot="1" x14ac:dyDescent="0.3">
      <c r="B7" s="151">
        <v>1</v>
      </c>
      <c r="C7" s="149" t="str">
        <f>Config!C5&amp;", "&amp;Config!D5</f>
        <v>Höfer, Simon</v>
      </c>
      <c r="D7" s="78"/>
      <c r="E7" s="78"/>
      <c r="F7" s="78"/>
      <c r="G7" s="78"/>
      <c r="H7" s="78"/>
      <c r="I7" s="78"/>
      <c r="J7" s="78"/>
      <c r="K7" s="78"/>
      <c r="L7" s="79"/>
      <c r="M7" s="147">
        <f>SUM(D7:L7)</f>
        <v>0</v>
      </c>
    </row>
    <row r="8" spans="2:13" ht="18" customHeight="1" thickBot="1" x14ac:dyDescent="0.3">
      <c r="B8" s="152">
        <v>2</v>
      </c>
      <c r="C8" s="144" t="str">
        <f>Config!C6&amp;", "&amp;Config!D6</f>
        <v>Töpfer, Lilian</v>
      </c>
      <c r="D8" s="77"/>
      <c r="E8" s="77"/>
      <c r="F8" s="77"/>
      <c r="G8" s="77"/>
      <c r="H8" s="77"/>
      <c r="I8" s="77"/>
      <c r="J8" s="77"/>
      <c r="K8" s="77"/>
      <c r="L8" s="80"/>
      <c r="M8" s="147">
        <f>SUM(D8:L8)</f>
        <v>0</v>
      </c>
    </row>
    <row r="9" spans="2:13" ht="18" customHeight="1" thickBot="1" x14ac:dyDescent="0.3">
      <c r="B9" s="152">
        <v>3</v>
      </c>
      <c r="C9" s="144" t="str">
        <f>Config!C7&amp;", "&amp;Config!D7</f>
        <v>Fleischmann, Leonie</v>
      </c>
      <c r="D9" s="77"/>
      <c r="E9" s="77"/>
      <c r="F9" s="77"/>
      <c r="G9" s="77"/>
      <c r="H9" s="77"/>
      <c r="I9" s="77"/>
      <c r="J9" s="77"/>
      <c r="K9" s="77"/>
      <c r="L9" s="80"/>
      <c r="M9" s="147">
        <f>SUM(D9:L9)</f>
        <v>0</v>
      </c>
    </row>
    <row r="10" spans="2:13" ht="18" customHeight="1" thickBot="1" x14ac:dyDescent="0.3">
      <c r="B10" s="152">
        <v>4</v>
      </c>
      <c r="C10" s="144" t="str">
        <f>Config!C8&amp;", "&amp;Config!D8</f>
        <v>Drescher, Cedric</v>
      </c>
      <c r="D10" s="77"/>
      <c r="E10" s="77"/>
      <c r="F10" s="77"/>
      <c r="G10" s="77"/>
      <c r="H10" s="77"/>
      <c r="I10" s="77"/>
      <c r="J10" s="77"/>
      <c r="K10" s="77"/>
      <c r="L10" s="80"/>
      <c r="M10" s="147">
        <f>SUM(D10:L10)</f>
        <v>0</v>
      </c>
    </row>
    <row r="11" spans="2:13" ht="18" customHeight="1" thickBot="1" x14ac:dyDescent="0.3">
      <c r="B11" s="152">
        <v>5</v>
      </c>
      <c r="C11" s="144" t="str">
        <f>Config!C9&amp;", "&amp;Config!D9</f>
        <v>Baumgarten, Annabell</v>
      </c>
      <c r="D11" s="77"/>
      <c r="E11" s="77"/>
      <c r="F11" s="77"/>
      <c r="G11" s="77"/>
      <c r="H11" s="77"/>
      <c r="I11" s="77"/>
      <c r="J11" s="77"/>
      <c r="K11" s="77"/>
      <c r="L11" s="80"/>
      <c r="M11" s="147">
        <f>SUM(D11:L11)</f>
        <v>0</v>
      </c>
    </row>
    <row r="12" spans="2:13" ht="18" customHeight="1" thickBot="1" x14ac:dyDescent="0.3">
      <c r="B12" s="152">
        <v>6</v>
      </c>
      <c r="C12" s="144" t="str">
        <f>Config!C10&amp;", "&amp;Config!D10</f>
        <v>Traut, Stefanie</v>
      </c>
      <c r="D12" s="77"/>
      <c r="E12" s="77"/>
      <c r="F12" s="77"/>
      <c r="G12" s="77"/>
      <c r="H12" s="77"/>
      <c r="I12" s="77"/>
      <c r="J12" s="77"/>
      <c r="K12" s="77"/>
      <c r="L12" s="80"/>
      <c r="M12" s="147">
        <f>SUM(D12:L12)</f>
        <v>0</v>
      </c>
    </row>
    <row r="13" spans="2:13" ht="18" customHeight="1" thickBot="1" x14ac:dyDescent="0.3">
      <c r="B13" s="152">
        <v>7</v>
      </c>
      <c r="C13" s="144" t="str">
        <f>Config!C11&amp;", "&amp;Config!D11</f>
        <v>Menke, Damian</v>
      </c>
      <c r="D13" s="77"/>
      <c r="E13" s="77"/>
      <c r="F13" s="77"/>
      <c r="G13" s="77"/>
      <c r="H13" s="77"/>
      <c r="I13" s="77"/>
      <c r="J13" s="77"/>
      <c r="K13" s="77"/>
      <c r="L13" s="80"/>
      <c r="M13" s="147">
        <f>SUM(D13:L13)</f>
        <v>0</v>
      </c>
    </row>
    <row r="14" spans="2:13" ht="18" customHeight="1" thickBot="1" x14ac:dyDescent="0.3">
      <c r="B14" s="152">
        <v>8</v>
      </c>
      <c r="C14" s="144" t="str">
        <f>Config!C12&amp;", "&amp;Config!D12</f>
        <v>Carroll, Meik</v>
      </c>
      <c r="D14" s="77"/>
      <c r="E14" s="77"/>
      <c r="F14" s="77"/>
      <c r="G14" s="77"/>
      <c r="H14" s="77"/>
      <c r="I14" s="77"/>
      <c r="J14" s="77"/>
      <c r="K14" s="77"/>
      <c r="L14" s="80"/>
      <c r="M14" s="147">
        <f>SUM(D14:L14)</f>
        <v>0</v>
      </c>
    </row>
    <row r="15" spans="2:13" ht="18" customHeight="1" thickBot="1" x14ac:dyDescent="0.3">
      <c r="B15" s="152">
        <v>9</v>
      </c>
      <c r="C15" s="144" t="str">
        <f>Config!C13&amp;", "&amp;Config!D13</f>
        <v>Hennings, Tomas</v>
      </c>
      <c r="D15" s="77"/>
      <c r="E15" s="77"/>
      <c r="F15" s="77"/>
      <c r="G15" s="77"/>
      <c r="H15" s="77"/>
      <c r="I15" s="77"/>
      <c r="J15" s="77"/>
      <c r="K15" s="77"/>
      <c r="L15" s="80"/>
      <c r="M15" s="147">
        <f>SUM(D15:L15)</f>
        <v>0</v>
      </c>
    </row>
    <row r="16" spans="2:13" ht="18" customHeight="1" thickBot="1" x14ac:dyDescent="0.3">
      <c r="B16" s="152">
        <v>10</v>
      </c>
      <c r="C16" s="144" t="str">
        <f>Config!C14&amp;", "&amp;Config!D14</f>
        <v>Walters, Linn</v>
      </c>
      <c r="D16" s="77"/>
      <c r="E16" s="77"/>
      <c r="F16" s="77"/>
      <c r="G16" s="77"/>
      <c r="H16" s="77"/>
      <c r="I16" s="77"/>
      <c r="J16" s="77"/>
      <c r="K16" s="77"/>
      <c r="L16" s="80"/>
      <c r="M16" s="147">
        <f>SUM(D16:L16)</f>
        <v>0</v>
      </c>
    </row>
    <row r="17" spans="2:13" ht="18" customHeight="1" thickBot="1" x14ac:dyDescent="0.3">
      <c r="B17" s="152">
        <v>11</v>
      </c>
      <c r="C17" s="144" t="str">
        <f>Config!C15&amp;", "&amp;Config!D15</f>
        <v>Junker, Amely</v>
      </c>
      <c r="D17" s="77"/>
      <c r="E17" s="77"/>
      <c r="F17" s="77"/>
      <c r="G17" s="77"/>
      <c r="H17" s="77"/>
      <c r="I17" s="77"/>
      <c r="J17" s="77"/>
      <c r="K17" s="77"/>
      <c r="L17" s="80"/>
      <c r="M17" s="147">
        <f>SUM(D17:L17)</f>
        <v>0</v>
      </c>
    </row>
    <row r="18" spans="2:13" ht="18" customHeight="1" thickBot="1" x14ac:dyDescent="0.3">
      <c r="B18" s="152">
        <v>12</v>
      </c>
      <c r="C18" s="144" t="str">
        <f>Config!C16&amp;", "&amp;Config!D16</f>
        <v>Stephens, Melvin</v>
      </c>
      <c r="D18" s="77"/>
      <c r="E18" s="77"/>
      <c r="F18" s="77"/>
      <c r="G18" s="77"/>
      <c r="H18" s="77"/>
      <c r="I18" s="77"/>
      <c r="J18" s="77"/>
      <c r="K18" s="77"/>
      <c r="L18" s="80"/>
      <c r="M18" s="147">
        <f>SUM(D18:L18)</f>
        <v>0</v>
      </c>
    </row>
    <row r="19" spans="2:13" ht="18" customHeight="1" thickBot="1" x14ac:dyDescent="0.3">
      <c r="B19" s="152">
        <v>13</v>
      </c>
      <c r="C19" s="144" t="str">
        <f>Config!C17&amp;", "&amp;Config!D17</f>
        <v>Cremer, Marvin</v>
      </c>
      <c r="D19" s="77"/>
      <c r="E19" s="77"/>
      <c r="F19" s="77"/>
      <c r="G19" s="77"/>
      <c r="H19" s="77"/>
      <c r="I19" s="77"/>
      <c r="J19" s="77"/>
      <c r="K19" s="77"/>
      <c r="L19" s="80"/>
      <c r="M19" s="147">
        <f>SUM(D19:L19)</f>
        <v>0</v>
      </c>
    </row>
    <row r="20" spans="2:13" ht="18" customHeight="1" thickBot="1" x14ac:dyDescent="0.3">
      <c r="B20" s="152">
        <v>14</v>
      </c>
      <c r="C20" s="144" t="str">
        <f>Config!C18&amp;", "&amp;Config!D18</f>
        <v>Nash, Jean</v>
      </c>
      <c r="D20" s="77"/>
      <c r="E20" s="77"/>
      <c r="F20" s="77"/>
      <c r="G20" s="77"/>
      <c r="H20" s="77"/>
      <c r="I20" s="77"/>
      <c r="J20" s="77"/>
      <c r="K20" s="77"/>
      <c r="L20" s="80"/>
      <c r="M20" s="147">
        <f>SUM(D20:L20)</f>
        <v>0</v>
      </c>
    </row>
    <row r="21" spans="2:13" ht="18" customHeight="1" thickBot="1" x14ac:dyDescent="0.3">
      <c r="B21" s="152">
        <v>15</v>
      </c>
      <c r="C21" s="144" t="str">
        <f>Config!C19&amp;", "&amp;Config!D19</f>
        <v>Schön, Leonardo</v>
      </c>
      <c r="D21" s="77"/>
      <c r="E21" s="77"/>
      <c r="F21" s="77"/>
      <c r="G21" s="77"/>
      <c r="H21" s="77"/>
      <c r="I21" s="77"/>
      <c r="J21" s="77"/>
      <c r="K21" s="77"/>
      <c r="L21" s="80"/>
      <c r="M21" s="147">
        <f>SUM(D21:L21)</f>
        <v>0</v>
      </c>
    </row>
    <row r="22" spans="2:13" ht="18" customHeight="1" thickBot="1" x14ac:dyDescent="0.3">
      <c r="B22" s="152">
        <v>16</v>
      </c>
      <c r="C22" s="144" t="str">
        <f>Config!C20&amp;", "&amp;Config!D20</f>
        <v>Sigl, Nicholas</v>
      </c>
      <c r="D22" s="77"/>
      <c r="E22" s="77"/>
      <c r="F22" s="77"/>
      <c r="G22" s="77"/>
      <c r="H22" s="77"/>
      <c r="I22" s="77"/>
      <c r="J22" s="77"/>
      <c r="K22" s="77"/>
      <c r="L22" s="80"/>
      <c r="M22" s="147">
        <f>SUM(D22:L22)</f>
        <v>0</v>
      </c>
    </row>
    <row r="23" spans="2:13" ht="18" customHeight="1" thickBot="1" x14ac:dyDescent="0.3">
      <c r="B23" s="152">
        <v>17</v>
      </c>
      <c r="C23" s="144" t="str">
        <f>Config!C21&amp;", "&amp;Config!D21</f>
        <v>Kainz, Vivienne</v>
      </c>
      <c r="D23" s="77"/>
      <c r="E23" s="77"/>
      <c r="F23" s="77"/>
      <c r="G23" s="77"/>
      <c r="H23" s="77"/>
      <c r="I23" s="77"/>
      <c r="J23" s="77"/>
      <c r="K23" s="77"/>
      <c r="L23" s="80"/>
      <c r="M23" s="147">
        <f>SUM(D23:L23)</f>
        <v>0</v>
      </c>
    </row>
    <row r="24" spans="2:13" ht="18" customHeight="1" thickBot="1" x14ac:dyDescent="0.3">
      <c r="B24" s="152">
        <v>18</v>
      </c>
      <c r="C24" s="144" t="str">
        <f>Config!C22&amp;", "&amp;Config!D22</f>
        <v>Hartmann, Mads</v>
      </c>
      <c r="D24" s="77"/>
      <c r="E24" s="77"/>
      <c r="F24" s="77"/>
      <c r="G24" s="77"/>
      <c r="H24" s="77"/>
      <c r="I24" s="77"/>
      <c r="J24" s="77"/>
      <c r="K24" s="77"/>
      <c r="L24" s="80"/>
      <c r="M24" s="147">
        <f>SUM(D24:L24)</f>
        <v>0</v>
      </c>
    </row>
    <row r="25" spans="2:13" ht="18" customHeight="1" thickBot="1" x14ac:dyDescent="0.3">
      <c r="B25" s="152">
        <v>19</v>
      </c>
      <c r="C25" s="144" t="str">
        <f>Config!C23&amp;", "&amp;Config!D23</f>
        <v>Ullmann, Raphael</v>
      </c>
      <c r="D25" s="77"/>
      <c r="E25" s="77"/>
      <c r="F25" s="77"/>
      <c r="G25" s="77"/>
      <c r="H25" s="77"/>
      <c r="I25" s="77"/>
      <c r="J25" s="77"/>
      <c r="K25" s="77"/>
      <c r="L25" s="80"/>
      <c r="M25" s="147">
        <f>SUM(D25:L25)</f>
        <v>0</v>
      </c>
    </row>
    <row r="26" spans="2:13" ht="18" customHeight="1" thickBot="1" x14ac:dyDescent="0.3">
      <c r="B26" s="152">
        <v>20</v>
      </c>
      <c r="C26" s="144" t="str">
        <f>Config!C24&amp;", "&amp;Config!D24</f>
        <v>Hartl, Emmely</v>
      </c>
      <c r="D26" s="77"/>
      <c r="E26" s="77"/>
      <c r="F26" s="77"/>
      <c r="G26" s="77"/>
      <c r="H26" s="77"/>
      <c r="I26" s="77"/>
      <c r="J26" s="77"/>
      <c r="K26" s="77"/>
      <c r="L26" s="80"/>
      <c r="M26" s="147">
        <f>SUM(D26:L26)</f>
        <v>0</v>
      </c>
    </row>
    <row r="27" spans="2:13" ht="18" customHeight="1" thickBot="1" x14ac:dyDescent="0.3">
      <c r="B27" s="152">
        <v>21</v>
      </c>
      <c r="C27" s="144" t="str">
        <f>Config!C25&amp;", "&amp;Config!D25</f>
        <v>Klotz, Karin</v>
      </c>
      <c r="D27" s="77"/>
      <c r="E27" s="77"/>
      <c r="F27" s="77"/>
      <c r="G27" s="77"/>
      <c r="H27" s="77"/>
      <c r="I27" s="77"/>
      <c r="J27" s="77"/>
      <c r="K27" s="77"/>
      <c r="L27" s="80"/>
      <c r="M27" s="147">
        <f>SUM(D27:L27)</f>
        <v>0</v>
      </c>
    </row>
    <row r="28" spans="2:13" ht="18" customHeight="1" thickBot="1" x14ac:dyDescent="0.3">
      <c r="B28" s="152">
        <v>22</v>
      </c>
      <c r="C28" s="144" t="str">
        <f>Config!C26&amp;", "&amp;Config!D26</f>
        <v>Ehlers, Ingo</v>
      </c>
      <c r="D28" s="77"/>
      <c r="E28" s="77"/>
      <c r="F28" s="77"/>
      <c r="G28" s="77"/>
      <c r="H28" s="77"/>
      <c r="I28" s="77"/>
      <c r="J28" s="77"/>
      <c r="K28" s="77"/>
      <c r="L28" s="80"/>
      <c r="M28" s="147">
        <f>SUM(D28:L28)</f>
        <v>0</v>
      </c>
    </row>
    <row r="29" spans="2:13" ht="18" customHeight="1" thickBot="1" x14ac:dyDescent="0.3">
      <c r="B29" s="153">
        <v>23</v>
      </c>
      <c r="C29" s="150" t="str">
        <f>Config!C27&amp;", "&amp;Config!D27</f>
        <v>Lindemann, Mads</v>
      </c>
      <c r="D29" s="81"/>
      <c r="E29" s="81"/>
      <c r="F29" s="81"/>
      <c r="G29" s="81"/>
      <c r="H29" s="81"/>
      <c r="I29" s="81"/>
      <c r="J29" s="81"/>
      <c r="K29" s="81"/>
      <c r="L29" s="82"/>
      <c r="M29" s="145">
        <f>SUM(D29:L29)</f>
        <v>0</v>
      </c>
    </row>
    <row r="30" spans="2:13" ht="18" customHeight="1" thickBot="1" x14ac:dyDescent="0.3">
      <c r="B30" s="154"/>
      <c r="C30" s="155"/>
      <c r="D30" s="155">
        <f>IF(COUNTIF(D7:D29,"&lt;&gt;")&lt;&gt;0,SUM(D7:D29)/(COUNTIF(D7:D29,"&lt;&gt;")*D6),0)</f>
        <v>0</v>
      </c>
      <c r="E30" s="155">
        <f>IF(COUNTIF(E7:E29,"&lt;&gt;")&lt;&gt;0,SUM(E7:E29)/(COUNTIF(E7:E29,"&lt;&gt;")*E6),0)</f>
        <v>0</v>
      </c>
      <c r="F30" s="155">
        <f>IF(COUNTIF(F7:F29,"&lt;&gt;")&lt;&gt;0,SUM(F7:F29)/(COUNTIF(F7:F29,"&lt;&gt;")*F6),0)</f>
        <v>0</v>
      </c>
      <c r="G30" s="155">
        <f>IF(COUNTIF(G7:G29,"&lt;&gt;")&lt;&gt;0,SUM(G7:G29)/(COUNTIF(G7:G29,"&lt;&gt;")*G6),0)</f>
        <v>0</v>
      </c>
      <c r="H30" s="155">
        <f>IF(COUNTIF(H7:H29,"&lt;&gt;")&lt;&gt;0,SUM(H7:H29)/(COUNTIF(H7:H29,"&lt;&gt;")*H6),0)</f>
        <v>0</v>
      </c>
      <c r="I30" s="155">
        <f>IF(COUNTIF(I7:I29,"&lt;&gt;")&lt;&gt;0,SUM(I7:I29)/(COUNTIF(I7:I29,"&lt;&gt;")*I6),0)</f>
        <v>0</v>
      </c>
      <c r="J30" s="155">
        <f>IF(COUNTIF(J7:J29,"&lt;&gt;")&lt;&gt;0,SUM(J7:J29)/(COUNTIF(J7:J29,"&lt;&gt;")*J6),0)</f>
        <v>0</v>
      </c>
      <c r="K30" s="155">
        <f>IF(COUNTIF(K7:K29,"&lt;&gt;")&lt;&gt;0,SUM(K7:K29)/(COUNTIF(K7:K29,"&lt;&gt;")*K6),0)</f>
        <v>0</v>
      </c>
      <c r="L30" s="155">
        <f>IF(COUNTIF(L7:L29,"&lt;&gt;")&lt;&gt;0,SUM(L7:L29)/(COUNTIF(L7:L29,"&lt;&gt;")*L6),0)</f>
        <v>0</v>
      </c>
      <c r="M30" s="148"/>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dataValidations count="9">
    <dataValidation type="decimal" allowBlank="1" showErrorMessage="1" sqref="D7:D29" xr:uid="{EEE26BB5-9820-41A5-ACEE-6E57FB38CCB6}">
      <formula1>0</formula1>
      <formula2>$D$6</formula2>
    </dataValidation>
    <dataValidation type="decimal" allowBlank="1" showErrorMessage="1" sqref="E7:E29" xr:uid="{124F929B-9948-4C13-8A37-B18833A0C234}">
      <formula1>0</formula1>
      <formula2>$E$6</formula2>
    </dataValidation>
    <dataValidation type="decimal" allowBlank="1" showErrorMessage="1" sqref="F7:F29" xr:uid="{9E0275C7-AFE5-4865-82B1-C896D94C35CF}">
      <formula1>0</formula1>
      <formula2>$F$6</formula2>
    </dataValidation>
    <dataValidation type="decimal" allowBlank="1" showErrorMessage="1" sqref="G7:G29" xr:uid="{3B9C506E-E51D-41EB-ABDB-0ABDDA2EB016}">
      <formula1>0</formula1>
      <formula2>$G$6</formula2>
    </dataValidation>
    <dataValidation type="decimal" allowBlank="1" showErrorMessage="1" sqref="H7:H29" xr:uid="{EBFCF964-D638-4A80-96D0-A9F821580DE2}">
      <formula1>0</formula1>
      <formula2>$H$6</formula2>
    </dataValidation>
    <dataValidation type="decimal" allowBlank="1" showErrorMessage="1" sqref="I7:I29" xr:uid="{23BD3688-BA49-466A-AAEF-76AE5D498FAC}">
      <formula1>0</formula1>
      <formula2>$I$6</formula2>
    </dataValidation>
    <dataValidation type="decimal" allowBlank="1" showErrorMessage="1" sqref="J7:J29" xr:uid="{BE0111C6-74D1-4EED-AD32-25C8677CEDC7}">
      <formula1>0</formula1>
      <formula2>$J$6</formula2>
    </dataValidation>
    <dataValidation type="decimal" allowBlank="1" showErrorMessage="1" sqref="K7:K29" xr:uid="{FBF2E276-1E6F-4094-9B0F-7C3A8B310C48}">
      <formula1>0</formula1>
      <formula2>$K$6</formula2>
    </dataValidation>
    <dataValidation type="decimal" allowBlank="1" showErrorMessage="1" sqref="L7:L29" xr:uid="{055096F9-F0F2-47C1-A134-7A86E710E1F7}">
      <formula1>0</formula1>
      <formula2>$L$6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36737-A832-4D8F-8C02-CFFCE7C590F6}">
  <sheetPr codeName="Tabelle46">
    <tabColor rgb="FF92D050"/>
  </sheetPr>
  <dimension ref="B1:P100"/>
  <sheetViews>
    <sheetView workbookViewId="0">
      <selection activeCell="D7" sqref="D7"/>
    </sheetView>
  </sheetViews>
  <sheetFormatPr baseColWidth="10" defaultRowHeight="13.2" x14ac:dyDescent="0.25"/>
  <cols>
    <col min="1" max="2" width="3.44140625" style="127" customWidth="1"/>
    <col min="3" max="3" width="25.77734375" style="127" customWidth="1"/>
    <col min="4" max="16" width="8.77734375" style="127" customWidth="1"/>
    <col min="17" max="16384" width="11.5546875" style="127"/>
  </cols>
  <sheetData>
    <row r="1" spans="2:16" ht="18" customHeight="1" thickBot="1" x14ac:dyDescent="0.3"/>
    <row r="2" spans="2:16" ht="18" customHeight="1" x14ac:dyDescent="0.25">
      <c r="B2" s="128" t="str">
        <f>Config!F2&amp;" "&amp;YEAR(Config!G27)</f>
        <v>Mathe Abitur 2016</v>
      </c>
      <c r="C2" s="129"/>
      <c r="D2" s="129"/>
      <c r="E2" s="129"/>
      <c r="F2" s="129"/>
      <c r="G2" s="129"/>
      <c r="H2" s="129"/>
      <c r="I2" s="129"/>
      <c r="J2" s="130"/>
      <c r="K2" s="130"/>
      <c r="L2" s="130"/>
      <c r="M2" s="130"/>
      <c r="N2" s="130"/>
      <c r="O2" s="130"/>
      <c r="P2" s="131" t="str">
        <f>"Kurs "&amp;Config!G29</f>
        <v>Kurs K1</v>
      </c>
    </row>
    <row r="3" spans="2:16" ht="18" customHeight="1" x14ac:dyDescent="0.25">
      <c r="B3" s="132" t="s">
        <v>23</v>
      </c>
      <c r="C3" s="133"/>
      <c r="D3" s="133"/>
      <c r="E3" s="133"/>
      <c r="F3" s="133"/>
      <c r="G3" s="133"/>
      <c r="H3" s="133"/>
      <c r="I3" s="133"/>
      <c r="J3" s="133"/>
      <c r="K3" s="133"/>
      <c r="L3" s="133"/>
      <c r="M3" s="133"/>
      <c r="N3" s="133"/>
      <c r="O3" s="133"/>
      <c r="P3" s="134"/>
    </row>
    <row r="4" spans="2:16" ht="18" customHeight="1" thickBot="1" x14ac:dyDescent="0.3">
      <c r="B4" s="132"/>
      <c r="C4" s="133"/>
      <c r="D4" s="135"/>
      <c r="E4" s="135"/>
      <c r="F4" s="135"/>
      <c r="G4" s="135"/>
      <c r="H4" s="135"/>
      <c r="I4" s="135"/>
      <c r="J4" s="135"/>
      <c r="K4" s="135"/>
      <c r="L4" s="135"/>
      <c r="M4" s="135"/>
      <c r="N4" s="135"/>
      <c r="O4" s="135"/>
      <c r="P4" s="136"/>
    </row>
    <row r="5" spans="2:16" ht="18" customHeight="1" thickBot="1" x14ac:dyDescent="0.3">
      <c r="B5" s="137"/>
      <c r="C5" s="139"/>
      <c r="D5" s="156" t="str">
        <f>Config!H6</f>
        <v>1a</v>
      </c>
      <c r="E5" s="156" t="str">
        <f>Config!H7</f>
        <v>1b</v>
      </c>
      <c r="F5" s="156" t="str">
        <f>Config!H8</f>
        <v>1c</v>
      </c>
      <c r="G5" s="156" t="str">
        <f>Config!H9</f>
        <v>1d</v>
      </c>
      <c r="H5" s="156" t="str">
        <f>Config!H10</f>
        <v>1e</v>
      </c>
      <c r="I5" s="156" t="str">
        <f>Config!H11</f>
        <v>1f</v>
      </c>
      <c r="J5" s="156" t="str">
        <f>Config!H12</f>
        <v>1g</v>
      </c>
      <c r="K5" s="156" t="str">
        <f>Config!H13</f>
        <v>1h</v>
      </c>
      <c r="L5" s="156" t="str">
        <f>Config!H14</f>
        <v>2a</v>
      </c>
      <c r="M5" s="156" t="str">
        <f>Config!H15</f>
        <v>2b</v>
      </c>
      <c r="N5" s="156" t="str">
        <f>Config!H16</f>
        <v>2c</v>
      </c>
      <c r="O5" s="156" t="str">
        <f>Config!H17</f>
        <v>2d</v>
      </c>
      <c r="P5" s="143" t="s">
        <v>97</v>
      </c>
    </row>
    <row r="6" spans="2:16" ht="18" customHeight="1" thickBot="1" x14ac:dyDescent="0.3">
      <c r="B6" s="138"/>
      <c r="C6" s="140" t="s">
        <v>96</v>
      </c>
      <c r="D6" s="142">
        <f>Config!I6</f>
        <v>2</v>
      </c>
      <c r="E6" s="142">
        <f>Config!I7</f>
        <v>3</v>
      </c>
      <c r="F6" s="142">
        <f>Config!I8</f>
        <v>4</v>
      </c>
      <c r="G6" s="142">
        <f>Config!I9</f>
        <v>3</v>
      </c>
      <c r="H6" s="142">
        <f>Config!I10</f>
        <v>3</v>
      </c>
      <c r="I6" s="142">
        <f>Config!I11</f>
        <v>4</v>
      </c>
      <c r="J6" s="142">
        <f>Config!I12</f>
        <v>3</v>
      </c>
      <c r="K6" s="142">
        <f>Config!I13</f>
        <v>4</v>
      </c>
      <c r="L6" s="142">
        <f>Config!I14</f>
        <v>2</v>
      </c>
      <c r="M6" s="142">
        <f>Config!I15</f>
        <v>5</v>
      </c>
      <c r="N6" s="142">
        <f>Config!I16</f>
        <v>4</v>
      </c>
      <c r="O6" s="142">
        <f>Config!I17</f>
        <v>3</v>
      </c>
      <c r="P6" s="143">
        <f>SUM(D6:O6)</f>
        <v>40</v>
      </c>
    </row>
    <row r="7" spans="2:16" ht="18" customHeight="1" thickBot="1" x14ac:dyDescent="0.3">
      <c r="B7" s="151">
        <v>1</v>
      </c>
      <c r="C7" s="149" t="str">
        <f>Config!C5&amp;", "&amp;Config!D5</f>
        <v>Höfer, Simon</v>
      </c>
      <c r="D7" s="78"/>
      <c r="E7" s="78"/>
      <c r="F7" s="78"/>
      <c r="G7" s="78"/>
      <c r="H7" s="78"/>
      <c r="I7" s="78"/>
      <c r="J7" s="78"/>
      <c r="K7" s="78"/>
      <c r="L7" s="78"/>
      <c r="M7" s="78"/>
      <c r="N7" s="78"/>
      <c r="O7" s="79"/>
      <c r="P7" s="147">
        <f>SUM(D7:O7)</f>
        <v>0</v>
      </c>
    </row>
    <row r="8" spans="2:16" ht="18" customHeight="1" thickBot="1" x14ac:dyDescent="0.3">
      <c r="B8" s="152">
        <v>2</v>
      </c>
      <c r="C8" s="144" t="str">
        <f>Config!C6&amp;", "&amp;Config!D6</f>
        <v>Töpfer, Lilian</v>
      </c>
      <c r="D8" s="77"/>
      <c r="E8" s="77"/>
      <c r="F8" s="77"/>
      <c r="G8" s="77"/>
      <c r="H8" s="77"/>
      <c r="I8" s="77"/>
      <c r="J8" s="77"/>
      <c r="K8" s="77"/>
      <c r="L8" s="77"/>
      <c r="M8" s="77"/>
      <c r="N8" s="77"/>
      <c r="O8" s="80"/>
      <c r="P8" s="147">
        <f>SUM(D8:O8)</f>
        <v>0</v>
      </c>
    </row>
    <row r="9" spans="2:16" ht="18" customHeight="1" thickBot="1" x14ac:dyDescent="0.3">
      <c r="B9" s="152">
        <v>3</v>
      </c>
      <c r="C9" s="144" t="str">
        <f>Config!C7&amp;", "&amp;Config!D7</f>
        <v>Fleischmann, Leonie</v>
      </c>
      <c r="D9" s="77"/>
      <c r="E9" s="77"/>
      <c r="F9" s="77"/>
      <c r="G9" s="77"/>
      <c r="H9" s="77"/>
      <c r="I9" s="77"/>
      <c r="J9" s="77"/>
      <c r="K9" s="77"/>
      <c r="L9" s="77"/>
      <c r="M9" s="77"/>
      <c r="N9" s="77"/>
      <c r="O9" s="80"/>
      <c r="P9" s="147">
        <f>SUM(D9:O9)</f>
        <v>0</v>
      </c>
    </row>
    <row r="10" spans="2:16" ht="18" customHeight="1" thickBot="1" x14ac:dyDescent="0.3">
      <c r="B10" s="152">
        <v>4</v>
      </c>
      <c r="C10" s="144" t="str">
        <f>Config!C8&amp;", "&amp;Config!D8</f>
        <v>Drescher, Cedric</v>
      </c>
      <c r="D10" s="77"/>
      <c r="E10" s="77"/>
      <c r="F10" s="77"/>
      <c r="G10" s="77"/>
      <c r="H10" s="77"/>
      <c r="I10" s="77"/>
      <c r="J10" s="77"/>
      <c r="K10" s="77"/>
      <c r="L10" s="77"/>
      <c r="M10" s="77"/>
      <c r="N10" s="77"/>
      <c r="O10" s="80"/>
      <c r="P10" s="147">
        <f>SUM(D10:O10)</f>
        <v>0</v>
      </c>
    </row>
    <row r="11" spans="2:16" ht="18" customHeight="1" thickBot="1" x14ac:dyDescent="0.3">
      <c r="B11" s="152">
        <v>5</v>
      </c>
      <c r="C11" s="144" t="str">
        <f>Config!C9&amp;", "&amp;Config!D9</f>
        <v>Baumgarten, Annabell</v>
      </c>
      <c r="D11" s="77"/>
      <c r="E11" s="77"/>
      <c r="F11" s="77"/>
      <c r="G11" s="77"/>
      <c r="H11" s="77"/>
      <c r="I11" s="77"/>
      <c r="J11" s="77"/>
      <c r="K11" s="77"/>
      <c r="L11" s="77"/>
      <c r="M11" s="77"/>
      <c r="N11" s="77"/>
      <c r="O11" s="80"/>
      <c r="P11" s="147">
        <f>SUM(D11:O11)</f>
        <v>0</v>
      </c>
    </row>
    <row r="12" spans="2:16" ht="18" customHeight="1" thickBot="1" x14ac:dyDescent="0.3">
      <c r="B12" s="152">
        <v>6</v>
      </c>
      <c r="C12" s="144" t="str">
        <f>Config!C10&amp;", "&amp;Config!D10</f>
        <v>Traut, Stefanie</v>
      </c>
      <c r="D12" s="77"/>
      <c r="E12" s="77"/>
      <c r="F12" s="77"/>
      <c r="G12" s="77"/>
      <c r="H12" s="77"/>
      <c r="I12" s="77"/>
      <c r="J12" s="77"/>
      <c r="K12" s="77"/>
      <c r="L12" s="77"/>
      <c r="M12" s="77"/>
      <c r="N12" s="77"/>
      <c r="O12" s="80"/>
      <c r="P12" s="147">
        <f>SUM(D12:O12)</f>
        <v>0</v>
      </c>
    </row>
    <row r="13" spans="2:16" ht="18" customHeight="1" thickBot="1" x14ac:dyDescent="0.3">
      <c r="B13" s="152">
        <v>7</v>
      </c>
      <c r="C13" s="144" t="str">
        <f>Config!C11&amp;", "&amp;Config!D11</f>
        <v>Menke, Damian</v>
      </c>
      <c r="D13" s="77"/>
      <c r="E13" s="77"/>
      <c r="F13" s="77"/>
      <c r="G13" s="77"/>
      <c r="H13" s="77"/>
      <c r="I13" s="77"/>
      <c r="J13" s="77"/>
      <c r="K13" s="77"/>
      <c r="L13" s="77"/>
      <c r="M13" s="77"/>
      <c r="N13" s="77"/>
      <c r="O13" s="80"/>
      <c r="P13" s="147">
        <f>SUM(D13:O13)</f>
        <v>0</v>
      </c>
    </row>
    <row r="14" spans="2:16" ht="18" customHeight="1" thickBot="1" x14ac:dyDescent="0.3">
      <c r="B14" s="152">
        <v>8</v>
      </c>
      <c r="C14" s="144" t="str">
        <f>Config!C12&amp;", "&amp;Config!D12</f>
        <v>Carroll, Meik</v>
      </c>
      <c r="D14" s="77"/>
      <c r="E14" s="77"/>
      <c r="F14" s="77"/>
      <c r="G14" s="77"/>
      <c r="H14" s="77"/>
      <c r="I14" s="77"/>
      <c r="J14" s="77"/>
      <c r="K14" s="77"/>
      <c r="L14" s="77"/>
      <c r="M14" s="77"/>
      <c r="N14" s="77"/>
      <c r="O14" s="80"/>
      <c r="P14" s="147">
        <f>SUM(D14:O14)</f>
        <v>0</v>
      </c>
    </row>
    <row r="15" spans="2:16" ht="18" customHeight="1" thickBot="1" x14ac:dyDescent="0.3">
      <c r="B15" s="152">
        <v>9</v>
      </c>
      <c r="C15" s="144" t="str">
        <f>Config!C13&amp;", "&amp;Config!D13</f>
        <v>Hennings, Tomas</v>
      </c>
      <c r="D15" s="77"/>
      <c r="E15" s="77"/>
      <c r="F15" s="77"/>
      <c r="G15" s="77"/>
      <c r="H15" s="77"/>
      <c r="I15" s="77"/>
      <c r="J15" s="77"/>
      <c r="K15" s="77"/>
      <c r="L15" s="77"/>
      <c r="M15" s="77"/>
      <c r="N15" s="77"/>
      <c r="O15" s="80"/>
      <c r="P15" s="147">
        <f>SUM(D15:O15)</f>
        <v>0</v>
      </c>
    </row>
    <row r="16" spans="2:16" ht="18" customHeight="1" thickBot="1" x14ac:dyDescent="0.3">
      <c r="B16" s="152">
        <v>10</v>
      </c>
      <c r="C16" s="144" t="str">
        <f>Config!C14&amp;", "&amp;Config!D14</f>
        <v>Walters, Linn</v>
      </c>
      <c r="D16" s="77"/>
      <c r="E16" s="77"/>
      <c r="F16" s="77"/>
      <c r="G16" s="77"/>
      <c r="H16" s="77"/>
      <c r="I16" s="77"/>
      <c r="J16" s="77"/>
      <c r="K16" s="77"/>
      <c r="L16" s="77"/>
      <c r="M16" s="77"/>
      <c r="N16" s="77"/>
      <c r="O16" s="80"/>
      <c r="P16" s="147">
        <f>SUM(D16:O16)</f>
        <v>0</v>
      </c>
    </row>
    <row r="17" spans="2:16" ht="18" customHeight="1" thickBot="1" x14ac:dyDescent="0.3">
      <c r="B17" s="152">
        <v>11</v>
      </c>
      <c r="C17" s="144" t="str">
        <f>Config!C15&amp;", "&amp;Config!D15</f>
        <v>Junker, Amely</v>
      </c>
      <c r="D17" s="77"/>
      <c r="E17" s="77"/>
      <c r="F17" s="77"/>
      <c r="G17" s="77"/>
      <c r="H17" s="77"/>
      <c r="I17" s="77"/>
      <c r="J17" s="77"/>
      <c r="K17" s="77"/>
      <c r="L17" s="77"/>
      <c r="M17" s="77"/>
      <c r="N17" s="77"/>
      <c r="O17" s="80"/>
      <c r="P17" s="147">
        <f>SUM(D17:O17)</f>
        <v>0</v>
      </c>
    </row>
    <row r="18" spans="2:16" ht="18" customHeight="1" thickBot="1" x14ac:dyDescent="0.3">
      <c r="B18" s="152">
        <v>12</v>
      </c>
      <c r="C18" s="144" t="str">
        <f>Config!C16&amp;", "&amp;Config!D16</f>
        <v>Stephens, Melvin</v>
      </c>
      <c r="D18" s="77"/>
      <c r="E18" s="77"/>
      <c r="F18" s="77"/>
      <c r="G18" s="77"/>
      <c r="H18" s="77"/>
      <c r="I18" s="77"/>
      <c r="J18" s="77"/>
      <c r="K18" s="77"/>
      <c r="L18" s="77"/>
      <c r="M18" s="77"/>
      <c r="N18" s="77"/>
      <c r="O18" s="80"/>
      <c r="P18" s="147">
        <f>SUM(D18:O18)</f>
        <v>0</v>
      </c>
    </row>
    <row r="19" spans="2:16" ht="18" customHeight="1" thickBot="1" x14ac:dyDescent="0.3">
      <c r="B19" s="152">
        <v>13</v>
      </c>
      <c r="C19" s="144" t="str">
        <f>Config!C17&amp;", "&amp;Config!D17</f>
        <v>Cremer, Marvin</v>
      </c>
      <c r="D19" s="77"/>
      <c r="E19" s="77"/>
      <c r="F19" s="77"/>
      <c r="G19" s="77"/>
      <c r="H19" s="77"/>
      <c r="I19" s="77"/>
      <c r="J19" s="77"/>
      <c r="K19" s="77"/>
      <c r="L19" s="77"/>
      <c r="M19" s="77"/>
      <c r="N19" s="77"/>
      <c r="O19" s="80"/>
      <c r="P19" s="147">
        <f>SUM(D19:O19)</f>
        <v>0</v>
      </c>
    </row>
    <row r="20" spans="2:16" ht="18" customHeight="1" thickBot="1" x14ac:dyDescent="0.3">
      <c r="B20" s="152">
        <v>14</v>
      </c>
      <c r="C20" s="144" t="str">
        <f>Config!C18&amp;", "&amp;Config!D18</f>
        <v>Nash, Jean</v>
      </c>
      <c r="D20" s="77"/>
      <c r="E20" s="77"/>
      <c r="F20" s="77"/>
      <c r="G20" s="77"/>
      <c r="H20" s="77"/>
      <c r="I20" s="77"/>
      <c r="J20" s="77"/>
      <c r="K20" s="77"/>
      <c r="L20" s="77"/>
      <c r="M20" s="77"/>
      <c r="N20" s="77"/>
      <c r="O20" s="80"/>
      <c r="P20" s="147">
        <f>SUM(D20:O20)</f>
        <v>0</v>
      </c>
    </row>
    <row r="21" spans="2:16" ht="18" customHeight="1" thickBot="1" x14ac:dyDescent="0.3">
      <c r="B21" s="152">
        <v>15</v>
      </c>
      <c r="C21" s="144" t="str">
        <f>Config!C19&amp;", "&amp;Config!D19</f>
        <v>Schön, Leonardo</v>
      </c>
      <c r="D21" s="77"/>
      <c r="E21" s="77"/>
      <c r="F21" s="77"/>
      <c r="G21" s="77"/>
      <c r="H21" s="77"/>
      <c r="I21" s="77"/>
      <c r="J21" s="77"/>
      <c r="K21" s="77"/>
      <c r="L21" s="77"/>
      <c r="M21" s="77"/>
      <c r="N21" s="77"/>
      <c r="O21" s="80"/>
      <c r="P21" s="147">
        <f>SUM(D21:O21)</f>
        <v>0</v>
      </c>
    </row>
    <row r="22" spans="2:16" ht="18" customHeight="1" thickBot="1" x14ac:dyDescent="0.3">
      <c r="B22" s="152">
        <v>16</v>
      </c>
      <c r="C22" s="144" t="str">
        <f>Config!C20&amp;", "&amp;Config!D20</f>
        <v>Sigl, Nicholas</v>
      </c>
      <c r="D22" s="77"/>
      <c r="E22" s="77"/>
      <c r="F22" s="77"/>
      <c r="G22" s="77"/>
      <c r="H22" s="77"/>
      <c r="I22" s="77"/>
      <c r="J22" s="77"/>
      <c r="K22" s="77"/>
      <c r="L22" s="77"/>
      <c r="M22" s="77"/>
      <c r="N22" s="77"/>
      <c r="O22" s="80"/>
      <c r="P22" s="147">
        <f>SUM(D22:O22)</f>
        <v>0</v>
      </c>
    </row>
    <row r="23" spans="2:16" ht="18" customHeight="1" thickBot="1" x14ac:dyDescent="0.3">
      <c r="B23" s="152">
        <v>17</v>
      </c>
      <c r="C23" s="144" t="str">
        <f>Config!C21&amp;", "&amp;Config!D21</f>
        <v>Kainz, Vivienne</v>
      </c>
      <c r="D23" s="77"/>
      <c r="E23" s="77"/>
      <c r="F23" s="77"/>
      <c r="G23" s="77"/>
      <c r="H23" s="77"/>
      <c r="I23" s="77"/>
      <c r="J23" s="77"/>
      <c r="K23" s="77"/>
      <c r="L23" s="77"/>
      <c r="M23" s="77"/>
      <c r="N23" s="77"/>
      <c r="O23" s="80"/>
      <c r="P23" s="147">
        <f>SUM(D23:O23)</f>
        <v>0</v>
      </c>
    </row>
    <row r="24" spans="2:16" ht="18" customHeight="1" thickBot="1" x14ac:dyDescent="0.3">
      <c r="B24" s="152">
        <v>18</v>
      </c>
      <c r="C24" s="144" t="str">
        <f>Config!C22&amp;", "&amp;Config!D22</f>
        <v>Hartmann, Mads</v>
      </c>
      <c r="D24" s="77"/>
      <c r="E24" s="77"/>
      <c r="F24" s="77"/>
      <c r="G24" s="77"/>
      <c r="H24" s="77"/>
      <c r="I24" s="77"/>
      <c r="J24" s="77"/>
      <c r="K24" s="77"/>
      <c r="L24" s="77"/>
      <c r="M24" s="77"/>
      <c r="N24" s="77"/>
      <c r="O24" s="80"/>
      <c r="P24" s="147">
        <f>SUM(D24:O24)</f>
        <v>0</v>
      </c>
    </row>
    <row r="25" spans="2:16" ht="18" customHeight="1" thickBot="1" x14ac:dyDescent="0.3">
      <c r="B25" s="152">
        <v>19</v>
      </c>
      <c r="C25" s="144" t="str">
        <f>Config!C23&amp;", "&amp;Config!D23</f>
        <v>Ullmann, Raphael</v>
      </c>
      <c r="D25" s="77"/>
      <c r="E25" s="77"/>
      <c r="F25" s="77"/>
      <c r="G25" s="77"/>
      <c r="H25" s="77"/>
      <c r="I25" s="77"/>
      <c r="J25" s="77"/>
      <c r="K25" s="77"/>
      <c r="L25" s="77"/>
      <c r="M25" s="77"/>
      <c r="N25" s="77"/>
      <c r="O25" s="80"/>
      <c r="P25" s="147">
        <f>SUM(D25:O25)</f>
        <v>0</v>
      </c>
    </row>
    <row r="26" spans="2:16" ht="18" customHeight="1" thickBot="1" x14ac:dyDescent="0.3">
      <c r="B26" s="152">
        <v>20</v>
      </c>
      <c r="C26" s="144" t="str">
        <f>Config!C24&amp;", "&amp;Config!D24</f>
        <v>Hartl, Emmely</v>
      </c>
      <c r="D26" s="77"/>
      <c r="E26" s="77"/>
      <c r="F26" s="77"/>
      <c r="G26" s="77"/>
      <c r="H26" s="77"/>
      <c r="I26" s="77"/>
      <c r="J26" s="77"/>
      <c r="K26" s="77"/>
      <c r="L26" s="77"/>
      <c r="M26" s="77"/>
      <c r="N26" s="77"/>
      <c r="O26" s="80"/>
      <c r="P26" s="147">
        <f>SUM(D26:O26)</f>
        <v>0</v>
      </c>
    </row>
    <row r="27" spans="2:16" ht="18" customHeight="1" thickBot="1" x14ac:dyDescent="0.3">
      <c r="B27" s="152">
        <v>21</v>
      </c>
      <c r="C27" s="144" t="str">
        <f>Config!C25&amp;", "&amp;Config!D25</f>
        <v>Klotz, Karin</v>
      </c>
      <c r="D27" s="77"/>
      <c r="E27" s="77"/>
      <c r="F27" s="77"/>
      <c r="G27" s="77"/>
      <c r="H27" s="77"/>
      <c r="I27" s="77"/>
      <c r="J27" s="77"/>
      <c r="K27" s="77"/>
      <c r="L27" s="77"/>
      <c r="M27" s="77"/>
      <c r="N27" s="77"/>
      <c r="O27" s="80"/>
      <c r="P27" s="147">
        <f>SUM(D27:O27)</f>
        <v>0</v>
      </c>
    </row>
    <row r="28" spans="2:16" ht="18" customHeight="1" thickBot="1" x14ac:dyDescent="0.3">
      <c r="B28" s="152">
        <v>22</v>
      </c>
      <c r="C28" s="144" t="str">
        <f>Config!C26&amp;", "&amp;Config!D26</f>
        <v>Ehlers, Ingo</v>
      </c>
      <c r="D28" s="77"/>
      <c r="E28" s="77"/>
      <c r="F28" s="77"/>
      <c r="G28" s="77"/>
      <c r="H28" s="77"/>
      <c r="I28" s="77"/>
      <c r="J28" s="77"/>
      <c r="K28" s="77"/>
      <c r="L28" s="77"/>
      <c r="M28" s="77"/>
      <c r="N28" s="77"/>
      <c r="O28" s="80"/>
      <c r="P28" s="147">
        <f>SUM(D28:O28)</f>
        <v>0</v>
      </c>
    </row>
    <row r="29" spans="2:16" ht="18" customHeight="1" thickBot="1" x14ac:dyDescent="0.3">
      <c r="B29" s="153">
        <v>23</v>
      </c>
      <c r="C29" s="150" t="str">
        <f>Config!C27&amp;", "&amp;Config!D27</f>
        <v>Lindemann, Mads</v>
      </c>
      <c r="D29" s="81"/>
      <c r="E29" s="81"/>
      <c r="F29" s="81"/>
      <c r="G29" s="81"/>
      <c r="H29" s="81"/>
      <c r="I29" s="81"/>
      <c r="J29" s="81"/>
      <c r="K29" s="81"/>
      <c r="L29" s="81"/>
      <c r="M29" s="81"/>
      <c r="N29" s="81"/>
      <c r="O29" s="82"/>
      <c r="P29" s="145">
        <f>SUM(D29:O29)</f>
        <v>0</v>
      </c>
    </row>
    <row r="30" spans="2:16" ht="18" customHeight="1" thickBot="1" x14ac:dyDescent="0.3">
      <c r="B30" s="154"/>
      <c r="C30" s="155"/>
      <c r="D30" s="155">
        <f>IF(COUNTIF(D7:D29,"&lt;&gt;")&lt;&gt;0,SUM(D7:D29)/(COUNTIF(D7:D29,"&lt;&gt;")*D6),0)</f>
        <v>0</v>
      </c>
      <c r="E30" s="155">
        <f>IF(COUNTIF(E7:E29,"&lt;&gt;")&lt;&gt;0,SUM(E7:E29)/(COUNTIF(E7:E29,"&lt;&gt;")*E6),0)</f>
        <v>0</v>
      </c>
      <c r="F30" s="155">
        <f>IF(COUNTIF(F7:F29,"&lt;&gt;")&lt;&gt;0,SUM(F7:F29)/(COUNTIF(F7:F29,"&lt;&gt;")*F6),0)</f>
        <v>0</v>
      </c>
      <c r="G30" s="155">
        <f>IF(COUNTIF(G7:G29,"&lt;&gt;")&lt;&gt;0,SUM(G7:G29)/(COUNTIF(G7:G29,"&lt;&gt;")*G6),0)</f>
        <v>0</v>
      </c>
      <c r="H30" s="155">
        <f>IF(COUNTIF(H7:H29,"&lt;&gt;")&lt;&gt;0,SUM(H7:H29)/(COUNTIF(H7:H29,"&lt;&gt;")*H6),0)</f>
        <v>0</v>
      </c>
      <c r="I30" s="155">
        <f>IF(COUNTIF(I7:I29,"&lt;&gt;")&lt;&gt;0,SUM(I7:I29)/(COUNTIF(I7:I29,"&lt;&gt;")*I6),0)</f>
        <v>0</v>
      </c>
      <c r="J30" s="155">
        <f>IF(COUNTIF(J7:J29,"&lt;&gt;")&lt;&gt;0,SUM(J7:J29)/(COUNTIF(J7:J29,"&lt;&gt;")*J6),0)</f>
        <v>0</v>
      </c>
      <c r="K30" s="155">
        <f>IF(COUNTIF(K7:K29,"&lt;&gt;")&lt;&gt;0,SUM(K7:K29)/(COUNTIF(K7:K29,"&lt;&gt;")*K6),0)</f>
        <v>0</v>
      </c>
      <c r="L30" s="155">
        <f>IF(COUNTIF(L7:L29,"&lt;&gt;")&lt;&gt;0,SUM(L7:L29)/(COUNTIF(L7:L29,"&lt;&gt;")*L6),0)</f>
        <v>0</v>
      </c>
      <c r="M30" s="155">
        <f>IF(COUNTIF(M7:M29,"&lt;&gt;")&lt;&gt;0,SUM(M7:M29)/(COUNTIF(M7:M29,"&lt;&gt;")*M6),0)</f>
        <v>0</v>
      </c>
      <c r="N30" s="155">
        <f>IF(COUNTIF(N7:N29,"&lt;&gt;")&lt;&gt;0,SUM(N7:N29)/(COUNTIF(N7:N29,"&lt;&gt;")*N6),0)</f>
        <v>0</v>
      </c>
      <c r="O30" s="155">
        <f>IF(COUNTIF(O7:O29,"&lt;&gt;")&lt;&gt;0,SUM(O7:O29)/(COUNTIF(O7:O29,"&lt;&gt;")*O6),0)</f>
        <v>0</v>
      </c>
      <c r="P30" s="148"/>
    </row>
    <row r="31" spans="2:16" ht="18" customHeight="1" x14ac:dyDescent="0.25"/>
    <row r="32" spans="2:1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dataValidations count="12">
    <dataValidation type="decimal" allowBlank="1" showErrorMessage="1" sqref="D7:D29" xr:uid="{2F4A8C04-FC2D-432F-9217-71D39E17CF1D}">
      <formula1>0</formula1>
      <formula2>$D$6</formula2>
    </dataValidation>
    <dataValidation type="decimal" allowBlank="1" showErrorMessage="1" sqref="E7:E29" xr:uid="{47681406-A454-41A9-A803-5ADAA53EDB54}">
      <formula1>0</formula1>
      <formula2>$E$6</formula2>
    </dataValidation>
    <dataValidation type="decimal" allowBlank="1" showErrorMessage="1" sqref="F7:F29" xr:uid="{4065E1E7-041B-4B0B-B483-7576D97F497C}">
      <formula1>0</formula1>
      <formula2>$F$6</formula2>
    </dataValidation>
    <dataValidation type="decimal" allowBlank="1" showErrorMessage="1" sqref="G7:G29" xr:uid="{919622B6-C51E-46A2-B3A5-3A2B04703FD1}">
      <formula1>0</formula1>
      <formula2>$G$6</formula2>
    </dataValidation>
    <dataValidation type="decimal" allowBlank="1" showErrorMessage="1" sqref="H7:H29" xr:uid="{AF0A3E80-934C-422E-966D-55DD232B9DF5}">
      <formula1>0</formula1>
      <formula2>$H$6</formula2>
    </dataValidation>
    <dataValidation type="decimal" allowBlank="1" showErrorMessage="1" sqref="I7:I29" xr:uid="{8CB64B50-81C7-491E-98A5-BD661DAFD84F}">
      <formula1>0</formula1>
      <formula2>$I$6</formula2>
    </dataValidation>
    <dataValidation type="decimal" allowBlank="1" showErrorMessage="1" sqref="J7:J29" xr:uid="{92297FF4-A8EB-4CF1-9527-7C8706EE3D81}">
      <formula1>0</formula1>
      <formula2>$J$6</formula2>
    </dataValidation>
    <dataValidation type="decimal" allowBlank="1" showErrorMessage="1" sqref="K7:K29" xr:uid="{AC91CDAC-B370-4B6B-8C8C-1FB173C93FA0}">
      <formula1>0</formula1>
      <formula2>$K$6</formula2>
    </dataValidation>
    <dataValidation type="decimal" allowBlank="1" showErrorMessage="1" sqref="L7:L29" xr:uid="{8FEE53A0-3C7A-4695-9A10-1D046C27668A}">
      <formula1>0</formula1>
      <formula2>$L$6</formula2>
    </dataValidation>
    <dataValidation type="decimal" allowBlank="1" showErrorMessage="1" sqref="M7:M29" xr:uid="{45C28760-E514-4827-8D3E-61954B9382ED}">
      <formula1>0</formula1>
      <formula2>$M$6</formula2>
    </dataValidation>
    <dataValidation type="decimal" allowBlank="1" showErrorMessage="1" sqref="N7:N29" xr:uid="{3AC4A6D1-B9A6-4505-A7BD-F22CF94FD5C5}">
      <formula1>0</formula1>
      <formula2>$N$6</formula2>
    </dataValidation>
    <dataValidation type="decimal" allowBlank="1" showErrorMessage="1" sqref="O7:O29" xr:uid="{8F6B4780-18E7-4042-BF04-A33243B91B35}">
      <formula1>0</formula1>
      <formula2>$O$6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F0454-A370-46F3-A9FD-1EFBC6529592}">
  <sheetPr codeName="Tabelle47">
    <tabColor rgb="FF92D050"/>
  </sheetPr>
  <dimension ref="B1:G100"/>
  <sheetViews>
    <sheetView workbookViewId="0">
      <selection activeCell="D7" sqref="D7"/>
    </sheetView>
  </sheetViews>
  <sheetFormatPr baseColWidth="10" defaultRowHeight="13.2" x14ac:dyDescent="0.25"/>
  <cols>
    <col min="1" max="2" width="3.44140625" style="127" customWidth="1"/>
    <col min="3" max="3" width="25.77734375" style="127" customWidth="1"/>
    <col min="4" max="7" width="8.77734375" style="127" customWidth="1"/>
    <col min="8" max="16384" width="11.5546875" style="127"/>
  </cols>
  <sheetData>
    <row r="1" spans="2:7" ht="18" customHeight="1" thickBot="1" x14ac:dyDescent="0.3"/>
    <row r="2" spans="2:7" ht="18" customHeight="1" x14ac:dyDescent="0.25">
      <c r="B2" s="128" t="str">
        <f>Config!F2&amp;" "&amp;YEAR(Config!G27)</f>
        <v>Mathe Abitur 2016</v>
      </c>
      <c r="C2" s="129"/>
      <c r="D2" s="129"/>
      <c r="E2" s="130"/>
      <c r="F2" s="130"/>
      <c r="G2" s="131" t="str">
        <f>"Kurs "&amp;Config!G29</f>
        <v>Kurs K1</v>
      </c>
    </row>
    <row r="3" spans="2:7" ht="18" customHeight="1" x14ac:dyDescent="0.25">
      <c r="B3" s="132" t="s">
        <v>24</v>
      </c>
      <c r="C3" s="133"/>
      <c r="D3" s="133"/>
      <c r="E3" s="133"/>
      <c r="F3" s="133"/>
      <c r="G3" s="134"/>
    </row>
    <row r="4" spans="2:7" ht="18" customHeight="1" thickBot="1" x14ac:dyDescent="0.3">
      <c r="B4" s="132"/>
      <c r="C4" s="133"/>
      <c r="D4" s="135"/>
      <c r="E4" s="135"/>
      <c r="F4" s="135"/>
      <c r="G4" s="136"/>
    </row>
    <row r="5" spans="2:7" ht="18" customHeight="1" thickBot="1" x14ac:dyDescent="0.3">
      <c r="B5" s="137"/>
      <c r="C5" s="139"/>
      <c r="D5" s="156" t="str">
        <f>Config!J6</f>
        <v>1</v>
      </c>
      <c r="E5" s="156" t="str">
        <f>Config!J7</f>
        <v>2a</v>
      </c>
      <c r="F5" s="156" t="str">
        <f>Config!J8</f>
        <v>2b</v>
      </c>
      <c r="G5" s="143" t="s">
        <v>97</v>
      </c>
    </row>
    <row r="6" spans="2:7" ht="18" customHeight="1" thickBot="1" x14ac:dyDescent="0.3">
      <c r="B6" s="138"/>
      <c r="C6" s="140" t="s">
        <v>96</v>
      </c>
      <c r="D6" s="142">
        <f>Config!K6</f>
        <v>5</v>
      </c>
      <c r="E6" s="142">
        <f>Config!K7</f>
        <v>2</v>
      </c>
      <c r="F6" s="142">
        <f>Config!K8</f>
        <v>3</v>
      </c>
      <c r="G6" s="143">
        <f>SUM(D6:F6)</f>
        <v>10</v>
      </c>
    </row>
    <row r="7" spans="2:7" ht="18" customHeight="1" thickBot="1" x14ac:dyDescent="0.3">
      <c r="B7" s="151">
        <v>1</v>
      </c>
      <c r="C7" s="149" t="str">
        <f>Config!C5&amp;", "&amp;Config!D5</f>
        <v>Höfer, Simon</v>
      </c>
      <c r="D7" s="78"/>
      <c r="E7" s="78"/>
      <c r="F7" s="79"/>
      <c r="G7" s="147">
        <f>SUM(D7:F7)</f>
        <v>0</v>
      </c>
    </row>
    <row r="8" spans="2:7" ht="18" customHeight="1" thickBot="1" x14ac:dyDescent="0.3">
      <c r="B8" s="152">
        <v>2</v>
      </c>
      <c r="C8" s="144" t="str">
        <f>Config!C6&amp;", "&amp;Config!D6</f>
        <v>Töpfer, Lilian</v>
      </c>
      <c r="D8" s="77"/>
      <c r="E8" s="77"/>
      <c r="F8" s="80"/>
      <c r="G8" s="147">
        <f>SUM(D8:F8)</f>
        <v>0</v>
      </c>
    </row>
    <row r="9" spans="2:7" ht="18" customHeight="1" thickBot="1" x14ac:dyDescent="0.3">
      <c r="B9" s="152">
        <v>3</v>
      </c>
      <c r="C9" s="144" t="str">
        <f>Config!C7&amp;", "&amp;Config!D7</f>
        <v>Fleischmann, Leonie</v>
      </c>
      <c r="D9" s="77"/>
      <c r="E9" s="77"/>
      <c r="F9" s="80"/>
      <c r="G9" s="147">
        <f>SUM(D9:F9)</f>
        <v>0</v>
      </c>
    </row>
    <row r="10" spans="2:7" ht="18" customHeight="1" thickBot="1" x14ac:dyDescent="0.3">
      <c r="B10" s="152">
        <v>4</v>
      </c>
      <c r="C10" s="144" t="str">
        <f>Config!C8&amp;", "&amp;Config!D8</f>
        <v>Drescher, Cedric</v>
      </c>
      <c r="D10" s="77"/>
      <c r="E10" s="77"/>
      <c r="F10" s="80"/>
      <c r="G10" s="147">
        <f>SUM(D10:F10)</f>
        <v>0</v>
      </c>
    </row>
    <row r="11" spans="2:7" ht="18" customHeight="1" thickBot="1" x14ac:dyDescent="0.3">
      <c r="B11" s="152">
        <v>5</v>
      </c>
      <c r="C11" s="144" t="str">
        <f>Config!C9&amp;", "&amp;Config!D9</f>
        <v>Baumgarten, Annabell</v>
      </c>
      <c r="D11" s="77"/>
      <c r="E11" s="77"/>
      <c r="F11" s="80"/>
      <c r="G11" s="147">
        <f>SUM(D11:F11)</f>
        <v>0</v>
      </c>
    </row>
    <row r="12" spans="2:7" ht="18" customHeight="1" thickBot="1" x14ac:dyDescent="0.3">
      <c r="B12" s="152">
        <v>6</v>
      </c>
      <c r="C12" s="144" t="str">
        <f>Config!C10&amp;", "&amp;Config!D10</f>
        <v>Traut, Stefanie</v>
      </c>
      <c r="D12" s="77"/>
      <c r="E12" s="77"/>
      <c r="F12" s="80"/>
      <c r="G12" s="147">
        <f>SUM(D12:F12)</f>
        <v>0</v>
      </c>
    </row>
    <row r="13" spans="2:7" ht="18" customHeight="1" thickBot="1" x14ac:dyDescent="0.3">
      <c r="B13" s="152">
        <v>7</v>
      </c>
      <c r="C13" s="144" t="str">
        <f>Config!C11&amp;", "&amp;Config!D11</f>
        <v>Menke, Damian</v>
      </c>
      <c r="D13" s="77"/>
      <c r="E13" s="77"/>
      <c r="F13" s="80"/>
      <c r="G13" s="147">
        <f>SUM(D13:F13)</f>
        <v>0</v>
      </c>
    </row>
    <row r="14" spans="2:7" ht="18" customHeight="1" thickBot="1" x14ac:dyDescent="0.3">
      <c r="B14" s="152">
        <v>8</v>
      </c>
      <c r="C14" s="144" t="str">
        <f>Config!C12&amp;", "&amp;Config!D12</f>
        <v>Carroll, Meik</v>
      </c>
      <c r="D14" s="77"/>
      <c r="E14" s="77"/>
      <c r="F14" s="80"/>
      <c r="G14" s="147">
        <f>SUM(D14:F14)</f>
        <v>0</v>
      </c>
    </row>
    <row r="15" spans="2:7" ht="18" customHeight="1" thickBot="1" x14ac:dyDescent="0.3">
      <c r="B15" s="152">
        <v>9</v>
      </c>
      <c r="C15" s="144" t="str">
        <f>Config!C13&amp;", "&amp;Config!D13</f>
        <v>Hennings, Tomas</v>
      </c>
      <c r="D15" s="77"/>
      <c r="E15" s="77"/>
      <c r="F15" s="80"/>
      <c r="G15" s="147">
        <f>SUM(D15:F15)</f>
        <v>0</v>
      </c>
    </row>
    <row r="16" spans="2:7" ht="18" customHeight="1" thickBot="1" x14ac:dyDescent="0.3">
      <c r="B16" s="152">
        <v>10</v>
      </c>
      <c r="C16" s="144" t="str">
        <f>Config!C14&amp;", "&amp;Config!D14</f>
        <v>Walters, Linn</v>
      </c>
      <c r="D16" s="77"/>
      <c r="E16" s="77"/>
      <c r="F16" s="80"/>
      <c r="G16" s="147">
        <f>SUM(D16:F16)</f>
        <v>0</v>
      </c>
    </row>
    <row r="17" spans="2:7" ht="18" customHeight="1" thickBot="1" x14ac:dyDescent="0.3">
      <c r="B17" s="152">
        <v>11</v>
      </c>
      <c r="C17" s="144" t="str">
        <f>Config!C15&amp;", "&amp;Config!D15</f>
        <v>Junker, Amely</v>
      </c>
      <c r="D17" s="77"/>
      <c r="E17" s="77"/>
      <c r="F17" s="80"/>
      <c r="G17" s="147">
        <f>SUM(D17:F17)</f>
        <v>0</v>
      </c>
    </row>
    <row r="18" spans="2:7" ht="18" customHeight="1" thickBot="1" x14ac:dyDescent="0.3">
      <c r="B18" s="152">
        <v>12</v>
      </c>
      <c r="C18" s="144" t="str">
        <f>Config!C16&amp;", "&amp;Config!D16</f>
        <v>Stephens, Melvin</v>
      </c>
      <c r="D18" s="77"/>
      <c r="E18" s="77"/>
      <c r="F18" s="80"/>
      <c r="G18" s="147">
        <f>SUM(D18:F18)</f>
        <v>0</v>
      </c>
    </row>
    <row r="19" spans="2:7" ht="18" customHeight="1" thickBot="1" x14ac:dyDescent="0.3">
      <c r="B19" s="152">
        <v>13</v>
      </c>
      <c r="C19" s="144" t="str">
        <f>Config!C17&amp;", "&amp;Config!D17</f>
        <v>Cremer, Marvin</v>
      </c>
      <c r="D19" s="77"/>
      <c r="E19" s="77"/>
      <c r="F19" s="80"/>
      <c r="G19" s="147">
        <f>SUM(D19:F19)</f>
        <v>0</v>
      </c>
    </row>
    <row r="20" spans="2:7" ht="18" customHeight="1" thickBot="1" x14ac:dyDescent="0.3">
      <c r="B20" s="152">
        <v>14</v>
      </c>
      <c r="C20" s="144" t="str">
        <f>Config!C18&amp;", "&amp;Config!D18</f>
        <v>Nash, Jean</v>
      </c>
      <c r="D20" s="77"/>
      <c r="E20" s="77"/>
      <c r="F20" s="80"/>
      <c r="G20" s="147">
        <f>SUM(D20:F20)</f>
        <v>0</v>
      </c>
    </row>
    <row r="21" spans="2:7" ht="18" customHeight="1" thickBot="1" x14ac:dyDescent="0.3">
      <c r="B21" s="152">
        <v>15</v>
      </c>
      <c r="C21" s="144" t="str">
        <f>Config!C19&amp;", "&amp;Config!D19</f>
        <v>Schön, Leonardo</v>
      </c>
      <c r="D21" s="77"/>
      <c r="E21" s="77"/>
      <c r="F21" s="80"/>
      <c r="G21" s="147">
        <f>SUM(D21:F21)</f>
        <v>0</v>
      </c>
    </row>
    <row r="22" spans="2:7" ht="18" customHeight="1" thickBot="1" x14ac:dyDescent="0.3">
      <c r="B22" s="152">
        <v>16</v>
      </c>
      <c r="C22" s="144" t="str">
        <f>Config!C20&amp;", "&amp;Config!D20</f>
        <v>Sigl, Nicholas</v>
      </c>
      <c r="D22" s="77"/>
      <c r="E22" s="77"/>
      <c r="F22" s="80"/>
      <c r="G22" s="147">
        <f>SUM(D22:F22)</f>
        <v>0</v>
      </c>
    </row>
    <row r="23" spans="2:7" ht="18" customHeight="1" thickBot="1" x14ac:dyDescent="0.3">
      <c r="B23" s="152">
        <v>17</v>
      </c>
      <c r="C23" s="144" t="str">
        <f>Config!C21&amp;", "&amp;Config!D21</f>
        <v>Kainz, Vivienne</v>
      </c>
      <c r="D23" s="77"/>
      <c r="E23" s="77"/>
      <c r="F23" s="80"/>
      <c r="G23" s="147">
        <f>SUM(D23:F23)</f>
        <v>0</v>
      </c>
    </row>
    <row r="24" spans="2:7" ht="18" customHeight="1" thickBot="1" x14ac:dyDescent="0.3">
      <c r="B24" s="152">
        <v>18</v>
      </c>
      <c r="C24" s="144" t="str">
        <f>Config!C22&amp;", "&amp;Config!D22</f>
        <v>Hartmann, Mads</v>
      </c>
      <c r="D24" s="77"/>
      <c r="E24" s="77"/>
      <c r="F24" s="80"/>
      <c r="G24" s="147">
        <f>SUM(D24:F24)</f>
        <v>0</v>
      </c>
    </row>
    <row r="25" spans="2:7" ht="18" customHeight="1" thickBot="1" x14ac:dyDescent="0.3">
      <c r="B25" s="152">
        <v>19</v>
      </c>
      <c r="C25" s="144" t="str">
        <f>Config!C23&amp;", "&amp;Config!D23</f>
        <v>Ullmann, Raphael</v>
      </c>
      <c r="D25" s="77"/>
      <c r="E25" s="77"/>
      <c r="F25" s="80"/>
      <c r="G25" s="147">
        <f>SUM(D25:F25)</f>
        <v>0</v>
      </c>
    </row>
    <row r="26" spans="2:7" ht="18" customHeight="1" thickBot="1" x14ac:dyDescent="0.3">
      <c r="B26" s="152">
        <v>20</v>
      </c>
      <c r="C26" s="144" t="str">
        <f>Config!C24&amp;", "&amp;Config!D24</f>
        <v>Hartl, Emmely</v>
      </c>
      <c r="D26" s="77"/>
      <c r="E26" s="77"/>
      <c r="F26" s="80"/>
      <c r="G26" s="147">
        <f>SUM(D26:F26)</f>
        <v>0</v>
      </c>
    </row>
    <row r="27" spans="2:7" ht="18" customHeight="1" thickBot="1" x14ac:dyDescent="0.3">
      <c r="B27" s="152">
        <v>21</v>
      </c>
      <c r="C27" s="144" t="str">
        <f>Config!C25&amp;", "&amp;Config!D25</f>
        <v>Klotz, Karin</v>
      </c>
      <c r="D27" s="77"/>
      <c r="E27" s="77"/>
      <c r="F27" s="80"/>
      <c r="G27" s="147">
        <f>SUM(D27:F27)</f>
        <v>0</v>
      </c>
    </row>
    <row r="28" spans="2:7" ht="18" customHeight="1" thickBot="1" x14ac:dyDescent="0.3">
      <c r="B28" s="152">
        <v>22</v>
      </c>
      <c r="C28" s="144" t="str">
        <f>Config!C26&amp;", "&amp;Config!D26</f>
        <v>Ehlers, Ingo</v>
      </c>
      <c r="D28" s="77"/>
      <c r="E28" s="77"/>
      <c r="F28" s="80"/>
      <c r="G28" s="147">
        <f>SUM(D28:F28)</f>
        <v>0</v>
      </c>
    </row>
    <row r="29" spans="2:7" ht="18" customHeight="1" thickBot="1" x14ac:dyDescent="0.3">
      <c r="B29" s="153">
        <v>23</v>
      </c>
      <c r="C29" s="150" t="str">
        <f>Config!C27&amp;", "&amp;Config!D27</f>
        <v>Lindemann, Mads</v>
      </c>
      <c r="D29" s="81"/>
      <c r="E29" s="81"/>
      <c r="F29" s="82"/>
      <c r="G29" s="145">
        <f>SUM(D29:F29)</f>
        <v>0</v>
      </c>
    </row>
    <row r="30" spans="2:7" ht="18" customHeight="1" thickBot="1" x14ac:dyDescent="0.3">
      <c r="B30" s="154"/>
      <c r="C30" s="155"/>
      <c r="D30" s="155">
        <f>IF(COUNTIF(D7:D29,"&lt;&gt;")&lt;&gt;0,SUM(D7:D29)/(COUNTIF(D7:D29,"&lt;&gt;")*D6),0)</f>
        <v>0</v>
      </c>
      <c r="E30" s="155">
        <f>IF(COUNTIF(E7:E29,"&lt;&gt;")&lt;&gt;0,SUM(E7:E29)/(COUNTIF(E7:E29,"&lt;&gt;")*E6),0)</f>
        <v>0</v>
      </c>
      <c r="F30" s="155">
        <f>IF(COUNTIF(F7:F29,"&lt;&gt;")&lt;&gt;0,SUM(F7:F29)/(COUNTIF(F7:F29,"&lt;&gt;")*F6),0)</f>
        <v>0</v>
      </c>
      <c r="G30" s="148"/>
    </row>
    <row r="31" spans="2:7" ht="18" customHeight="1" x14ac:dyDescent="0.25"/>
    <row r="32" spans="2:7"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dataValidations count="3">
    <dataValidation type="decimal" allowBlank="1" showErrorMessage="1" sqref="D7:D29" xr:uid="{7140D2BA-BC27-46A1-87FD-CE1EC368BC6D}">
      <formula1>0</formula1>
      <formula2>$D$6</formula2>
    </dataValidation>
    <dataValidation type="decimal" allowBlank="1" showErrorMessage="1" sqref="E7:E29" xr:uid="{55988910-B955-42D7-AE74-57BF77EE69A2}">
      <formula1>0</formula1>
      <formula2>$E$6</formula2>
    </dataValidation>
    <dataValidation type="decimal" allowBlank="1" showErrorMessage="1" sqref="F7:F29" xr:uid="{73AA24AD-72F7-475E-8187-8FC863C8CAD6}">
      <formula1>0</formula1>
      <formula2>$F$6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8BE51-1BB1-4A3A-9455-45B3F370992C}">
  <sheetPr codeName="Tabelle48">
    <tabColor rgb="FF92D050"/>
  </sheetPr>
  <dimension ref="B1:J100"/>
  <sheetViews>
    <sheetView workbookViewId="0">
      <selection activeCell="D7" sqref="D7"/>
    </sheetView>
  </sheetViews>
  <sheetFormatPr baseColWidth="10" defaultRowHeight="13.2" x14ac:dyDescent="0.25"/>
  <cols>
    <col min="1" max="2" width="3.44140625" style="127" customWidth="1"/>
    <col min="3" max="3" width="25.77734375" style="127" customWidth="1"/>
    <col min="4" max="10" width="8.77734375" style="127" customWidth="1"/>
    <col min="11" max="16384" width="11.5546875" style="127"/>
  </cols>
  <sheetData>
    <row r="1" spans="2:10" ht="18" customHeight="1" thickBot="1" x14ac:dyDescent="0.3"/>
    <row r="2" spans="2:10" ht="18" customHeight="1" x14ac:dyDescent="0.25">
      <c r="B2" s="128" t="str">
        <f>Config!F2&amp;" "&amp;YEAR(Config!G27)</f>
        <v>Mathe Abitur 2016</v>
      </c>
      <c r="C2" s="129"/>
      <c r="D2" s="129"/>
      <c r="E2" s="129"/>
      <c r="F2" s="129"/>
      <c r="G2" s="130"/>
      <c r="H2" s="130"/>
      <c r="I2" s="130"/>
      <c r="J2" s="131" t="str">
        <f>"Kurs "&amp;Config!G29</f>
        <v>Kurs K1</v>
      </c>
    </row>
    <row r="3" spans="2:10" ht="18" customHeight="1" x14ac:dyDescent="0.25">
      <c r="B3" s="132" t="s">
        <v>25</v>
      </c>
      <c r="C3" s="133"/>
      <c r="D3" s="133"/>
      <c r="E3" s="133"/>
      <c r="F3" s="133"/>
      <c r="G3" s="133"/>
      <c r="H3" s="133"/>
      <c r="I3" s="133"/>
      <c r="J3" s="134"/>
    </row>
    <row r="4" spans="2:10" ht="18" customHeight="1" thickBot="1" x14ac:dyDescent="0.3">
      <c r="B4" s="132"/>
      <c r="C4" s="133"/>
      <c r="D4" s="135"/>
      <c r="E4" s="135"/>
      <c r="F4" s="135"/>
      <c r="G4" s="135"/>
      <c r="H4" s="135"/>
      <c r="I4" s="135"/>
      <c r="J4" s="136"/>
    </row>
    <row r="5" spans="2:10" ht="18" customHeight="1" thickBot="1" x14ac:dyDescent="0.3">
      <c r="B5" s="137"/>
      <c r="C5" s="139"/>
      <c r="D5" s="156" t="str">
        <f>Config!L6</f>
        <v>1a</v>
      </c>
      <c r="E5" s="156" t="str">
        <f>Config!L7</f>
        <v>1b</v>
      </c>
      <c r="F5" s="156" t="str">
        <f>Config!L8</f>
        <v>1c</v>
      </c>
      <c r="G5" s="156" t="str">
        <f>Config!L9</f>
        <v>1d</v>
      </c>
      <c r="H5" s="156" t="str">
        <f>Config!L10</f>
        <v>1e</v>
      </c>
      <c r="I5" s="156" t="str">
        <f>Config!L11</f>
        <v>2</v>
      </c>
      <c r="J5" s="143" t="s">
        <v>97</v>
      </c>
    </row>
    <row r="6" spans="2:10" ht="18" customHeight="1" thickBot="1" x14ac:dyDescent="0.3">
      <c r="B6" s="138"/>
      <c r="C6" s="140" t="s">
        <v>96</v>
      </c>
      <c r="D6" s="142">
        <f>Config!M6</f>
        <v>2</v>
      </c>
      <c r="E6" s="142">
        <f>Config!M7</f>
        <v>2</v>
      </c>
      <c r="F6" s="142">
        <f>Config!M8</f>
        <v>2</v>
      </c>
      <c r="G6" s="142">
        <f>Config!M9</f>
        <v>4</v>
      </c>
      <c r="H6" s="142">
        <f>Config!M10</f>
        <v>3</v>
      </c>
      <c r="I6" s="142">
        <f>Config!M11</f>
        <v>7</v>
      </c>
      <c r="J6" s="143">
        <f>SUM(D6:I6)</f>
        <v>20</v>
      </c>
    </row>
    <row r="7" spans="2:10" ht="18" customHeight="1" thickBot="1" x14ac:dyDescent="0.3">
      <c r="B7" s="151">
        <v>1</v>
      </c>
      <c r="C7" s="149" t="str">
        <f>Config!C5&amp;", "&amp;Config!D5</f>
        <v>Höfer, Simon</v>
      </c>
      <c r="D7" s="78"/>
      <c r="E7" s="78"/>
      <c r="F7" s="78"/>
      <c r="G7" s="78"/>
      <c r="H7" s="78"/>
      <c r="I7" s="79"/>
      <c r="J7" s="147">
        <f>SUM(D7:I7)</f>
        <v>0</v>
      </c>
    </row>
    <row r="8" spans="2:10" ht="18" customHeight="1" thickBot="1" x14ac:dyDescent="0.3">
      <c r="B8" s="152">
        <v>2</v>
      </c>
      <c r="C8" s="144" t="str">
        <f>Config!C6&amp;", "&amp;Config!D6</f>
        <v>Töpfer, Lilian</v>
      </c>
      <c r="D8" s="77"/>
      <c r="E8" s="77"/>
      <c r="F8" s="77"/>
      <c r="G8" s="77"/>
      <c r="H8" s="77"/>
      <c r="I8" s="80"/>
      <c r="J8" s="147">
        <f>SUM(D8:I8)</f>
        <v>0</v>
      </c>
    </row>
    <row r="9" spans="2:10" ht="18" customHeight="1" thickBot="1" x14ac:dyDescent="0.3">
      <c r="B9" s="152">
        <v>3</v>
      </c>
      <c r="C9" s="144" t="str">
        <f>Config!C7&amp;", "&amp;Config!D7</f>
        <v>Fleischmann, Leonie</v>
      </c>
      <c r="D9" s="77"/>
      <c r="E9" s="77"/>
      <c r="F9" s="77"/>
      <c r="G9" s="77"/>
      <c r="H9" s="77"/>
      <c r="I9" s="80"/>
      <c r="J9" s="147">
        <f>SUM(D9:I9)</f>
        <v>0</v>
      </c>
    </row>
    <row r="10" spans="2:10" ht="18" customHeight="1" thickBot="1" x14ac:dyDescent="0.3">
      <c r="B10" s="152">
        <v>4</v>
      </c>
      <c r="C10" s="144" t="str">
        <f>Config!C8&amp;", "&amp;Config!D8</f>
        <v>Drescher, Cedric</v>
      </c>
      <c r="D10" s="77"/>
      <c r="E10" s="77"/>
      <c r="F10" s="77"/>
      <c r="G10" s="77"/>
      <c r="H10" s="77"/>
      <c r="I10" s="80"/>
      <c r="J10" s="147">
        <f>SUM(D10:I10)</f>
        <v>0</v>
      </c>
    </row>
    <row r="11" spans="2:10" ht="18" customHeight="1" thickBot="1" x14ac:dyDescent="0.3">
      <c r="B11" s="152">
        <v>5</v>
      </c>
      <c r="C11" s="144" t="str">
        <f>Config!C9&amp;", "&amp;Config!D9</f>
        <v>Baumgarten, Annabell</v>
      </c>
      <c r="D11" s="77"/>
      <c r="E11" s="77"/>
      <c r="F11" s="77"/>
      <c r="G11" s="77"/>
      <c r="H11" s="77"/>
      <c r="I11" s="80"/>
      <c r="J11" s="147">
        <f>SUM(D11:I11)</f>
        <v>0</v>
      </c>
    </row>
    <row r="12" spans="2:10" ht="18" customHeight="1" thickBot="1" x14ac:dyDescent="0.3">
      <c r="B12" s="152">
        <v>6</v>
      </c>
      <c r="C12" s="144" t="str">
        <f>Config!C10&amp;", "&amp;Config!D10</f>
        <v>Traut, Stefanie</v>
      </c>
      <c r="D12" s="77"/>
      <c r="E12" s="77"/>
      <c r="F12" s="77"/>
      <c r="G12" s="77"/>
      <c r="H12" s="77"/>
      <c r="I12" s="80"/>
      <c r="J12" s="147">
        <f>SUM(D12:I12)</f>
        <v>0</v>
      </c>
    </row>
    <row r="13" spans="2:10" ht="18" customHeight="1" thickBot="1" x14ac:dyDescent="0.3">
      <c r="B13" s="152">
        <v>7</v>
      </c>
      <c r="C13" s="144" t="str">
        <f>Config!C11&amp;", "&amp;Config!D11</f>
        <v>Menke, Damian</v>
      </c>
      <c r="D13" s="77"/>
      <c r="E13" s="77"/>
      <c r="F13" s="77"/>
      <c r="G13" s="77"/>
      <c r="H13" s="77"/>
      <c r="I13" s="80"/>
      <c r="J13" s="147">
        <f>SUM(D13:I13)</f>
        <v>0</v>
      </c>
    </row>
    <row r="14" spans="2:10" ht="18" customHeight="1" thickBot="1" x14ac:dyDescent="0.3">
      <c r="B14" s="152">
        <v>8</v>
      </c>
      <c r="C14" s="144" t="str">
        <f>Config!C12&amp;", "&amp;Config!D12</f>
        <v>Carroll, Meik</v>
      </c>
      <c r="D14" s="77"/>
      <c r="E14" s="77"/>
      <c r="F14" s="77"/>
      <c r="G14" s="77"/>
      <c r="H14" s="77"/>
      <c r="I14" s="80"/>
      <c r="J14" s="147">
        <f>SUM(D14:I14)</f>
        <v>0</v>
      </c>
    </row>
    <row r="15" spans="2:10" ht="18" customHeight="1" thickBot="1" x14ac:dyDescent="0.3">
      <c r="B15" s="152">
        <v>9</v>
      </c>
      <c r="C15" s="144" t="str">
        <f>Config!C13&amp;", "&amp;Config!D13</f>
        <v>Hennings, Tomas</v>
      </c>
      <c r="D15" s="77"/>
      <c r="E15" s="77"/>
      <c r="F15" s="77"/>
      <c r="G15" s="77"/>
      <c r="H15" s="77"/>
      <c r="I15" s="80"/>
      <c r="J15" s="147">
        <f>SUM(D15:I15)</f>
        <v>0</v>
      </c>
    </row>
    <row r="16" spans="2:10" ht="18" customHeight="1" thickBot="1" x14ac:dyDescent="0.3">
      <c r="B16" s="152">
        <v>10</v>
      </c>
      <c r="C16" s="144" t="str">
        <f>Config!C14&amp;", "&amp;Config!D14</f>
        <v>Walters, Linn</v>
      </c>
      <c r="D16" s="77"/>
      <c r="E16" s="77"/>
      <c r="F16" s="77"/>
      <c r="G16" s="77"/>
      <c r="H16" s="77"/>
      <c r="I16" s="80"/>
      <c r="J16" s="147">
        <f>SUM(D16:I16)</f>
        <v>0</v>
      </c>
    </row>
    <row r="17" spans="2:10" ht="18" customHeight="1" thickBot="1" x14ac:dyDescent="0.3">
      <c r="B17" s="152">
        <v>11</v>
      </c>
      <c r="C17" s="144" t="str">
        <f>Config!C15&amp;", "&amp;Config!D15</f>
        <v>Junker, Amely</v>
      </c>
      <c r="D17" s="77"/>
      <c r="E17" s="77"/>
      <c r="F17" s="77"/>
      <c r="G17" s="77"/>
      <c r="H17" s="77"/>
      <c r="I17" s="80"/>
      <c r="J17" s="147">
        <f>SUM(D17:I17)</f>
        <v>0</v>
      </c>
    </row>
    <row r="18" spans="2:10" ht="18" customHeight="1" thickBot="1" x14ac:dyDescent="0.3">
      <c r="B18" s="152">
        <v>12</v>
      </c>
      <c r="C18" s="144" t="str">
        <f>Config!C16&amp;", "&amp;Config!D16</f>
        <v>Stephens, Melvin</v>
      </c>
      <c r="D18" s="77"/>
      <c r="E18" s="77"/>
      <c r="F18" s="77"/>
      <c r="G18" s="77"/>
      <c r="H18" s="77"/>
      <c r="I18" s="80"/>
      <c r="J18" s="147">
        <f>SUM(D18:I18)</f>
        <v>0</v>
      </c>
    </row>
    <row r="19" spans="2:10" ht="18" customHeight="1" thickBot="1" x14ac:dyDescent="0.3">
      <c r="B19" s="152">
        <v>13</v>
      </c>
      <c r="C19" s="144" t="str">
        <f>Config!C17&amp;", "&amp;Config!D17</f>
        <v>Cremer, Marvin</v>
      </c>
      <c r="D19" s="77"/>
      <c r="E19" s="77"/>
      <c r="F19" s="77"/>
      <c r="G19" s="77"/>
      <c r="H19" s="77"/>
      <c r="I19" s="80"/>
      <c r="J19" s="147">
        <f>SUM(D19:I19)</f>
        <v>0</v>
      </c>
    </row>
    <row r="20" spans="2:10" ht="18" customHeight="1" thickBot="1" x14ac:dyDescent="0.3">
      <c r="B20" s="152">
        <v>14</v>
      </c>
      <c r="C20" s="144" t="str">
        <f>Config!C18&amp;", "&amp;Config!D18</f>
        <v>Nash, Jean</v>
      </c>
      <c r="D20" s="77"/>
      <c r="E20" s="77"/>
      <c r="F20" s="77"/>
      <c r="G20" s="77"/>
      <c r="H20" s="77"/>
      <c r="I20" s="80"/>
      <c r="J20" s="147">
        <f>SUM(D20:I20)</f>
        <v>0</v>
      </c>
    </row>
    <row r="21" spans="2:10" ht="18" customHeight="1" thickBot="1" x14ac:dyDescent="0.3">
      <c r="B21" s="152">
        <v>15</v>
      </c>
      <c r="C21" s="144" t="str">
        <f>Config!C19&amp;", "&amp;Config!D19</f>
        <v>Schön, Leonardo</v>
      </c>
      <c r="D21" s="77"/>
      <c r="E21" s="77"/>
      <c r="F21" s="77"/>
      <c r="G21" s="77"/>
      <c r="H21" s="77"/>
      <c r="I21" s="80"/>
      <c r="J21" s="147">
        <f>SUM(D21:I21)</f>
        <v>0</v>
      </c>
    </row>
    <row r="22" spans="2:10" ht="18" customHeight="1" thickBot="1" x14ac:dyDescent="0.3">
      <c r="B22" s="152">
        <v>16</v>
      </c>
      <c r="C22" s="144" t="str">
        <f>Config!C20&amp;", "&amp;Config!D20</f>
        <v>Sigl, Nicholas</v>
      </c>
      <c r="D22" s="77"/>
      <c r="E22" s="77"/>
      <c r="F22" s="77"/>
      <c r="G22" s="77"/>
      <c r="H22" s="77"/>
      <c r="I22" s="80"/>
      <c r="J22" s="147">
        <f>SUM(D22:I22)</f>
        <v>0</v>
      </c>
    </row>
    <row r="23" spans="2:10" ht="18" customHeight="1" thickBot="1" x14ac:dyDescent="0.3">
      <c r="B23" s="152">
        <v>17</v>
      </c>
      <c r="C23" s="144" t="str">
        <f>Config!C21&amp;", "&amp;Config!D21</f>
        <v>Kainz, Vivienne</v>
      </c>
      <c r="D23" s="77"/>
      <c r="E23" s="77"/>
      <c r="F23" s="77"/>
      <c r="G23" s="77"/>
      <c r="H23" s="77"/>
      <c r="I23" s="80"/>
      <c r="J23" s="147">
        <f>SUM(D23:I23)</f>
        <v>0</v>
      </c>
    </row>
    <row r="24" spans="2:10" ht="18" customHeight="1" thickBot="1" x14ac:dyDescent="0.3">
      <c r="B24" s="152">
        <v>18</v>
      </c>
      <c r="C24" s="144" t="str">
        <f>Config!C22&amp;", "&amp;Config!D22</f>
        <v>Hartmann, Mads</v>
      </c>
      <c r="D24" s="77"/>
      <c r="E24" s="77"/>
      <c r="F24" s="77"/>
      <c r="G24" s="77"/>
      <c r="H24" s="77"/>
      <c r="I24" s="80"/>
      <c r="J24" s="147">
        <f>SUM(D24:I24)</f>
        <v>0</v>
      </c>
    </row>
    <row r="25" spans="2:10" ht="18" customHeight="1" thickBot="1" x14ac:dyDescent="0.3">
      <c r="B25" s="152">
        <v>19</v>
      </c>
      <c r="C25" s="144" t="str">
        <f>Config!C23&amp;", "&amp;Config!D23</f>
        <v>Ullmann, Raphael</v>
      </c>
      <c r="D25" s="77"/>
      <c r="E25" s="77"/>
      <c r="F25" s="77"/>
      <c r="G25" s="77"/>
      <c r="H25" s="77"/>
      <c r="I25" s="80"/>
      <c r="J25" s="147">
        <f>SUM(D25:I25)</f>
        <v>0</v>
      </c>
    </row>
    <row r="26" spans="2:10" ht="18" customHeight="1" thickBot="1" x14ac:dyDescent="0.3">
      <c r="B26" s="152">
        <v>20</v>
      </c>
      <c r="C26" s="144" t="str">
        <f>Config!C24&amp;", "&amp;Config!D24</f>
        <v>Hartl, Emmely</v>
      </c>
      <c r="D26" s="77"/>
      <c r="E26" s="77"/>
      <c r="F26" s="77"/>
      <c r="G26" s="77"/>
      <c r="H26" s="77"/>
      <c r="I26" s="80"/>
      <c r="J26" s="147">
        <f>SUM(D26:I26)</f>
        <v>0</v>
      </c>
    </row>
    <row r="27" spans="2:10" ht="18" customHeight="1" thickBot="1" x14ac:dyDescent="0.3">
      <c r="B27" s="152">
        <v>21</v>
      </c>
      <c r="C27" s="144" t="str">
        <f>Config!C25&amp;", "&amp;Config!D25</f>
        <v>Klotz, Karin</v>
      </c>
      <c r="D27" s="77"/>
      <c r="E27" s="77"/>
      <c r="F27" s="77"/>
      <c r="G27" s="77"/>
      <c r="H27" s="77"/>
      <c r="I27" s="80"/>
      <c r="J27" s="147">
        <f>SUM(D27:I27)</f>
        <v>0</v>
      </c>
    </row>
    <row r="28" spans="2:10" ht="18" customHeight="1" thickBot="1" x14ac:dyDescent="0.3">
      <c r="B28" s="152">
        <v>22</v>
      </c>
      <c r="C28" s="144" t="str">
        <f>Config!C26&amp;", "&amp;Config!D26</f>
        <v>Ehlers, Ingo</v>
      </c>
      <c r="D28" s="77"/>
      <c r="E28" s="77"/>
      <c r="F28" s="77"/>
      <c r="G28" s="77"/>
      <c r="H28" s="77"/>
      <c r="I28" s="80"/>
      <c r="J28" s="147">
        <f>SUM(D28:I28)</f>
        <v>0</v>
      </c>
    </row>
    <row r="29" spans="2:10" ht="18" customHeight="1" thickBot="1" x14ac:dyDescent="0.3">
      <c r="B29" s="153">
        <v>23</v>
      </c>
      <c r="C29" s="150" t="str">
        <f>Config!C27&amp;", "&amp;Config!D27</f>
        <v>Lindemann, Mads</v>
      </c>
      <c r="D29" s="81"/>
      <c r="E29" s="81"/>
      <c r="F29" s="81"/>
      <c r="G29" s="81"/>
      <c r="H29" s="81"/>
      <c r="I29" s="82"/>
      <c r="J29" s="145">
        <f>SUM(D29:I29)</f>
        <v>0</v>
      </c>
    </row>
    <row r="30" spans="2:10" ht="18" customHeight="1" thickBot="1" x14ac:dyDescent="0.3">
      <c r="B30" s="154"/>
      <c r="C30" s="155"/>
      <c r="D30" s="155">
        <f>IF(COUNTIF(D7:D29,"&lt;&gt;")&lt;&gt;0,SUM(D7:D29)/(COUNTIF(D7:D29,"&lt;&gt;")*D6),0)</f>
        <v>0</v>
      </c>
      <c r="E30" s="155">
        <f>IF(COUNTIF(E7:E29,"&lt;&gt;")&lt;&gt;0,SUM(E7:E29)/(COUNTIF(E7:E29,"&lt;&gt;")*E6),0)</f>
        <v>0</v>
      </c>
      <c r="F30" s="155">
        <f>IF(COUNTIF(F7:F29,"&lt;&gt;")&lt;&gt;0,SUM(F7:F29)/(COUNTIF(F7:F29,"&lt;&gt;")*F6),0)</f>
        <v>0</v>
      </c>
      <c r="G30" s="155">
        <f>IF(COUNTIF(G7:G29,"&lt;&gt;")&lt;&gt;0,SUM(G7:G29)/(COUNTIF(G7:G29,"&lt;&gt;")*G6),0)</f>
        <v>0</v>
      </c>
      <c r="H30" s="155">
        <f>IF(COUNTIF(H7:H29,"&lt;&gt;")&lt;&gt;0,SUM(H7:H29)/(COUNTIF(H7:H29,"&lt;&gt;")*H6),0)</f>
        <v>0</v>
      </c>
      <c r="I30" s="155">
        <f>IF(COUNTIF(I7:I29,"&lt;&gt;")&lt;&gt;0,SUM(I7:I29)/(COUNTIF(I7:I29,"&lt;&gt;")*I6),0)</f>
        <v>0</v>
      </c>
      <c r="J30" s="148"/>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dataValidations count="6">
    <dataValidation type="decimal" allowBlank="1" showErrorMessage="1" sqref="D7:D29" xr:uid="{1CA4298F-667D-4A74-AA45-74F271512FEC}">
      <formula1>0</formula1>
      <formula2>$D$6</formula2>
    </dataValidation>
    <dataValidation type="decimal" allowBlank="1" showErrorMessage="1" sqref="E7:E29" xr:uid="{88BE04F1-FE21-4032-B68A-4395BF58ACFF}">
      <formula1>0</formula1>
      <formula2>$E$6</formula2>
    </dataValidation>
    <dataValidation type="decimal" allowBlank="1" showErrorMessage="1" sqref="F7:F29" xr:uid="{DD6CF8D6-2486-43DA-907D-31C304BEB25C}">
      <formula1>0</formula1>
      <formula2>$F$6</formula2>
    </dataValidation>
    <dataValidation type="decimal" allowBlank="1" showErrorMessage="1" sqref="G7:G29" xr:uid="{9D92DCF9-1A23-458F-AFD0-EFB4B77F9FC3}">
      <formula1>0</formula1>
      <formula2>$G$6</formula2>
    </dataValidation>
    <dataValidation type="decimal" allowBlank="1" showErrorMessage="1" sqref="H7:H29" xr:uid="{086030C0-BB5F-427E-97FF-EA4FB5DEACAB}">
      <formula1>0</formula1>
      <formula2>$H$6</formula2>
    </dataValidation>
    <dataValidation type="decimal" allowBlank="1" showErrorMessage="1" sqref="I7:I29" xr:uid="{505FC2C7-A98D-4912-A591-98142D96B369}">
      <formula1>0</formula1>
      <formula2>$I$6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B5DB2-FA00-4515-994F-2A53E2CAC3B8}">
  <sheetPr codeName="Tabelle49">
    <tabColor rgb="FF92D050"/>
  </sheetPr>
  <dimension ref="B1:H100"/>
  <sheetViews>
    <sheetView workbookViewId="0">
      <selection activeCell="D7" sqref="D7"/>
    </sheetView>
  </sheetViews>
  <sheetFormatPr baseColWidth="10" defaultRowHeight="13.2" x14ac:dyDescent="0.25"/>
  <cols>
    <col min="1" max="2" width="3.44140625" style="127" customWidth="1"/>
    <col min="3" max="3" width="25.77734375" style="127" customWidth="1"/>
    <col min="4" max="8" width="8.77734375" style="127" customWidth="1"/>
    <col min="9" max="16384" width="11.5546875" style="127"/>
  </cols>
  <sheetData>
    <row r="1" spans="2:8" ht="18" customHeight="1" thickBot="1" x14ac:dyDescent="0.3"/>
    <row r="2" spans="2:8" ht="18" customHeight="1" x14ac:dyDescent="0.25">
      <c r="B2" s="128" t="str">
        <f>Config!F2&amp;" "&amp;YEAR(Config!G27)</f>
        <v>Mathe Abitur 2016</v>
      </c>
      <c r="C2" s="129"/>
      <c r="D2" s="129"/>
      <c r="E2" s="129"/>
      <c r="F2" s="130"/>
      <c r="G2" s="130"/>
      <c r="H2" s="131" t="str">
        <f>"Kurs "&amp;Config!G29</f>
        <v>Kurs K1</v>
      </c>
    </row>
    <row r="3" spans="2:8" ht="18" customHeight="1" x14ac:dyDescent="0.25">
      <c r="B3" s="132" t="s">
        <v>26</v>
      </c>
      <c r="C3" s="133"/>
      <c r="D3" s="133"/>
      <c r="E3" s="133"/>
      <c r="F3" s="133"/>
      <c r="G3" s="133"/>
      <c r="H3" s="134"/>
    </row>
    <row r="4" spans="2:8" ht="18" customHeight="1" thickBot="1" x14ac:dyDescent="0.3">
      <c r="B4" s="132"/>
      <c r="C4" s="133"/>
      <c r="D4" s="135"/>
      <c r="E4" s="135"/>
      <c r="F4" s="135"/>
      <c r="G4" s="135"/>
      <c r="H4" s="136"/>
    </row>
    <row r="5" spans="2:8" ht="18" customHeight="1" thickBot="1" x14ac:dyDescent="0.3">
      <c r="B5" s="137"/>
      <c r="C5" s="139"/>
      <c r="D5" s="156" t="str">
        <f>Config!N6</f>
        <v>1a</v>
      </c>
      <c r="E5" s="156" t="str">
        <f>Config!N7</f>
        <v>1b</v>
      </c>
      <c r="F5" s="156" t="str">
        <f>Config!N8</f>
        <v>2a</v>
      </c>
      <c r="G5" s="156" t="str">
        <f>Config!N9</f>
        <v>2b</v>
      </c>
      <c r="H5" s="143" t="s">
        <v>97</v>
      </c>
    </row>
    <row r="6" spans="2:8" ht="18" customHeight="1" thickBot="1" x14ac:dyDescent="0.3">
      <c r="B6" s="138"/>
      <c r="C6" s="140" t="s">
        <v>96</v>
      </c>
      <c r="D6" s="142">
        <f>Config!O6</f>
        <v>2</v>
      </c>
      <c r="E6" s="142">
        <f>Config!O7</f>
        <v>3</v>
      </c>
      <c r="F6" s="142">
        <f>Config!O8</f>
        <v>2</v>
      </c>
      <c r="G6" s="142">
        <f>Config!O9</f>
        <v>3</v>
      </c>
      <c r="H6" s="143">
        <f>SUM(D6:G6)</f>
        <v>10</v>
      </c>
    </row>
    <row r="7" spans="2:8" ht="18" customHeight="1" thickBot="1" x14ac:dyDescent="0.3">
      <c r="B7" s="151">
        <v>1</v>
      </c>
      <c r="C7" s="149" t="str">
        <f>Config!C5&amp;", "&amp;Config!D5</f>
        <v>Höfer, Simon</v>
      </c>
      <c r="D7" s="78"/>
      <c r="E7" s="78"/>
      <c r="F7" s="78"/>
      <c r="G7" s="79"/>
      <c r="H7" s="147">
        <f>SUM(D7:G7)</f>
        <v>0</v>
      </c>
    </row>
    <row r="8" spans="2:8" ht="18" customHeight="1" thickBot="1" x14ac:dyDescent="0.3">
      <c r="B8" s="152">
        <v>2</v>
      </c>
      <c r="C8" s="144" t="str">
        <f>Config!C6&amp;", "&amp;Config!D6</f>
        <v>Töpfer, Lilian</v>
      </c>
      <c r="D8" s="77"/>
      <c r="E8" s="77"/>
      <c r="F8" s="77"/>
      <c r="G8" s="80"/>
      <c r="H8" s="147">
        <f>SUM(D8:G8)</f>
        <v>0</v>
      </c>
    </row>
    <row r="9" spans="2:8" ht="18" customHeight="1" thickBot="1" x14ac:dyDescent="0.3">
      <c r="B9" s="152">
        <v>3</v>
      </c>
      <c r="C9" s="144" t="str">
        <f>Config!C7&amp;", "&amp;Config!D7</f>
        <v>Fleischmann, Leonie</v>
      </c>
      <c r="D9" s="77"/>
      <c r="E9" s="77"/>
      <c r="F9" s="77"/>
      <c r="G9" s="80"/>
      <c r="H9" s="147">
        <f>SUM(D9:G9)</f>
        <v>0</v>
      </c>
    </row>
    <row r="10" spans="2:8" ht="18" customHeight="1" thickBot="1" x14ac:dyDescent="0.3">
      <c r="B10" s="152">
        <v>4</v>
      </c>
      <c r="C10" s="144" t="str">
        <f>Config!C8&amp;", "&amp;Config!D8</f>
        <v>Drescher, Cedric</v>
      </c>
      <c r="D10" s="77"/>
      <c r="E10" s="77"/>
      <c r="F10" s="77"/>
      <c r="G10" s="80"/>
      <c r="H10" s="147">
        <f>SUM(D10:G10)</f>
        <v>0</v>
      </c>
    </row>
    <row r="11" spans="2:8" ht="18" customHeight="1" thickBot="1" x14ac:dyDescent="0.3">
      <c r="B11" s="152">
        <v>5</v>
      </c>
      <c r="C11" s="144" t="str">
        <f>Config!C9&amp;", "&amp;Config!D9</f>
        <v>Baumgarten, Annabell</v>
      </c>
      <c r="D11" s="77"/>
      <c r="E11" s="77"/>
      <c r="F11" s="77"/>
      <c r="G11" s="80"/>
      <c r="H11" s="147">
        <f>SUM(D11:G11)</f>
        <v>0</v>
      </c>
    </row>
    <row r="12" spans="2:8" ht="18" customHeight="1" thickBot="1" x14ac:dyDescent="0.3">
      <c r="B12" s="152">
        <v>6</v>
      </c>
      <c r="C12" s="144" t="str">
        <f>Config!C10&amp;", "&amp;Config!D10</f>
        <v>Traut, Stefanie</v>
      </c>
      <c r="D12" s="77"/>
      <c r="E12" s="77"/>
      <c r="F12" s="77"/>
      <c r="G12" s="80"/>
      <c r="H12" s="147">
        <f>SUM(D12:G12)</f>
        <v>0</v>
      </c>
    </row>
    <row r="13" spans="2:8" ht="18" customHeight="1" thickBot="1" x14ac:dyDescent="0.3">
      <c r="B13" s="152">
        <v>7</v>
      </c>
      <c r="C13" s="144" t="str">
        <f>Config!C11&amp;", "&amp;Config!D11</f>
        <v>Menke, Damian</v>
      </c>
      <c r="D13" s="77"/>
      <c r="E13" s="77"/>
      <c r="F13" s="77"/>
      <c r="G13" s="80"/>
      <c r="H13" s="147">
        <f>SUM(D13:G13)</f>
        <v>0</v>
      </c>
    </row>
    <row r="14" spans="2:8" ht="18" customHeight="1" thickBot="1" x14ac:dyDescent="0.3">
      <c r="B14" s="152">
        <v>8</v>
      </c>
      <c r="C14" s="144" t="str">
        <f>Config!C12&amp;", "&amp;Config!D12</f>
        <v>Carroll, Meik</v>
      </c>
      <c r="D14" s="77"/>
      <c r="E14" s="77"/>
      <c r="F14" s="77"/>
      <c r="G14" s="80"/>
      <c r="H14" s="147">
        <f>SUM(D14:G14)</f>
        <v>0</v>
      </c>
    </row>
    <row r="15" spans="2:8" ht="18" customHeight="1" thickBot="1" x14ac:dyDescent="0.3">
      <c r="B15" s="152">
        <v>9</v>
      </c>
      <c r="C15" s="144" t="str">
        <f>Config!C13&amp;", "&amp;Config!D13</f>
        <v>Hennings, Tomas</v>
      </c>
      <c r="D15" s="77"/>
      <c r="E15" s="77"/>
      <c r="F15" s="77"/>
      <c r="G15" s="80"/>
      <c r="H15" s="147">
        <f>SUM(D15:G15)</f>
        <v>0</v>
      </c>
    </row>
    <row r="16" spans="2:8" ht="18" customHeight="1" thickBot="1" x14ac:dyDescent="0.3">
      <c r="B16" s="152">
        <v>10</v>
      </c>
      <c r="C16" s="144" t="str">
        <f>Config!C14&amp;", "&amp;Config!D14</f>
        <v>Walters, Linn</v>
      </c>
      <c r="D16" s="77"/>
      <c r="E16" s="77"/>
      <c r="F16" s="77"/>
      <c r="G16" s="80"/>
      <c r="H16" s="147">
        <f>SUM(D16:G16)</f>
        <v>0</v>
      </c>
    </row>
    <row r="17" spans="2:8" ht="18" customHeight="1" thickBot="1" x14ac:dyDescent="0.3">
      <c r="B17" s="152">
        <v>11</v>
      </c>
      <c r="C17" s="144" t="str">
        <f>Config!C15&amp;", "&amp;Config!D15</f>
        <v>Junker, Amely</v>
      </c>
      <c r="D17" s="77"/>
      <c r="E17" s="77"/>
      <c r="F17" s="77"/>
      <c r="G17" s="80"/>
      <c r="H17" s="147">
        <f>SUM(D17:G17)</f>
        <v>0</v>
      </c>
    </row>
    <row r="18" spans="2:8" ht="18" customHeight="1" thickBot="1" x14ac:dyDescent="0.3">
      <c r="B18" s="152">
        <v>12</v>
      </c>
      <c r="C18" s="144" t="str">
        <f>Config!C16&amp;", "&amp;Config!D16</f>
        <v>Stephens, Melvin</v>
      </c>
      <c r="D18" s="77"/>
      <c r="E18" s="77"/>
      <c r="F18" s="77"/>
      <c r="G18" s="80"/>
      <c r="H18" s="147">
        <f>SUM(D18:G18)</f>
        <v>0</v>
      </c>
    </row>
    <row r="19" spans="2:8" ht="18" customHeight="1" thickBot="1" x14ac:dyDescent="0.3">
      <c r="B19" s="152">
        <v>13</v>
      </c>
      <c r="C19" s="144" t="str">
        <f>Config!C17&amp;", "&amp;Config!D17</f>
        <v>Cremer, Marvin</v>
      </c>
      <c r="D19" s="77"/>
      <c r="E19" s="77"/>
      <c r="F19" s="77"/>
      <c r="G19" s="80"/>
      <c r="H19" s="147">
        <f>SUM(D19:G19)</f>
        <v>0</v>
      </c>
    </row>
    <row r="20" spans="2:8" ht="18" customHeight="1" thickBot="1" x14ac:dyDescent="0.3">
      <c r="B20" s="152">
        <v>14</v>
      </c>
      <c r="C20" s="144" t="str">
        <f>Config!C18&amp;", "&amp;Config!D18</f>
        <v>Nash, Jean</v>
      </c>
      <c r="D20" s="77"/>
      <c r="E20" s="77"/>
      <c r="F20" s="77"/>
      <c r="G20" s="80"/>
      <c r="H20" s="147">
        <f>SUM(D20:G20)</f>
        <v>0</v>
      </c>
    </row>
    <row r="21" spans="2:8" ht="18" customHeight="1" thickBot="1" x14ac:dyDescent="0.3">
      <c r="B21" s="152">
        <v>15</v>
      </c>
      <c r="C21" s="144" t="str">
        <f>Config!C19&amp;", "&amp;Config!D19</f>
        <v>Schön, Leonardo</v>
      </c>
      <c r="D21" s="77"/>
      <c r="E21" s="77"/>
      <c r="F21" s="77"/>
      <c r="G21" s="80"/>
      <c r="H21" s="147">
        <f>SUM(D21:G21)</f>
        <v>0</v>
      </c>
    </row>
    <row r="22" spans="2:8" ht="18" customHeight="1" thickBot="1" x14ac:dyDescent="0.3">
      <c r="B22" s="152">
        <v>16</v>
      </c>
      <c r="C22" s="144" t="str">
        <f>Config!C20&amp;", "&amp;Config!D20</f>
        <v>Sigl, Nicholas</v>
      </c>
      <c r="D22" s="77"/>
      <c r="E22" s="77"/>
      <c r="F22" s="77"/>
      <c r="G22" s="80"/>
      <c r="H22" s="147">
        <f>SUM(D22:G22)</f>
        <v>0</v>
      </c>
    </row>
    <row r="23" spans="2:8" ht="18" customHeight="1" thickBot="1" x14ac:dyDescent="0.3">
      <c r="B23" s="152">
        <v>17</v>
      </c>
      <c r="C23" s="144" t="str">
        <f>Config!C21&amp;", "&amp;Config!D21</f>
        <v>Kainz, Vivienne</v>
      </c>
      <c r="D23" s="77"/>
      <c r="E23" s="77"/>
      <c r="F23" s="77"/>
      <c r="G23" s="80"/>
      <c r="H23" s="147">
        <f>SUM(D23:G23)</f>
        <v>0</v>
      </c>
    </row>
    <row r="24" spans="2:8" ht="18" customHeight="1" thickBot="1" x14ac:dyDescent="0.3">
      <c r="B24" s="152">
        <v>18</v>
      </c>
      <c r="C24" s="144" t="str">
        <f>Config!C22&amp;", "&amp;Config!D22</f>
        <v>Hartmann, Mads</v>
      </c>
      <c r="D24" s="77"/>
      <c r="E24" s="77"/>
      <c r="F24" s="77"/>
      <c r="G24" s="80"/>
      <c r="H24" s="147">
        <f>SUM(D24:G24)</f>
        <v>0</v>
      </c>
    </row>
    <row r="25" spans="2:8" ht="18" customHeight="1" thickBot="1" x14ac:dyDescent="0.3">
      <c r="B25" s="152">
        <v>19</v>
      </c>
      <c r="C25" s="144" t="str">
        <f>Config!C23&amp;", "&amp;Config!D23</f>
        <v>Ullmann, Raphael</v>
      </c>
      <c r="D25" s="77"/>
      <c r="E25" s="77"/>
      <c r="F25" s="77"/>
      <c r="G25" s="80"/>
      <c r="H25" s="147">
        <f>SUM(D25:G25)</f>
        <v>0</v>
      </c>
    </row>
    <row r="26" spans="2:8" ht="18" customHeight="1" thickBot="1" x14ac:dyDescent="0.3">
      <c r="B26" s="152">
        <v>20</v>
      </c>
      <c r="C26" s="144" t="str">
        <f>Config!C24&amp;", "&amp;Config!D24</f>
        <v>Hartl, Emmely</v>
      </c>
      <c r="D26" s="77"/>
      <c r="E26" s="77"/>
      <c r="F26" s="77"/>
      <c r="G26" s="80"/>
      <c r="H26" s="147">
        <f>SUM(D26:G26)</f>
        <v>0</v>
      </c>
    </row>
    <row r="27" spans="2:8" ht="18" customHeight="1" thickBot="1" x14ac:dyDescent="0.3">
      <c r="B27" s="152">
        <v>21</v>
      </c>
      <c r="C27" s="144" t="str">
        <f>Config!C25&amp;", "&amp;Config!D25</f>
        <v>Klotz, Karin</v>
      </c>
      <c r="D27" s="77"/>
      <c r="E27" s="77"/>
      <c r="F27" s="77"/>
      <c r="G27" s="80"/>
      <c r="H27" s="147">
        <f>SUM(D27:G27)</f>
        <v>0</v>
      </c>
    </row>
    <row r="28" spans="2:8" ht="18" customHeight="1" thickBot="1" x14ac:dyDescent="0.3">
      <c r="B28" s="152">
        <v>22</v>
      </c>
      <c r="C28" s="144" t="str">
        <f>Config!C26&amp;", "&amp;Config!D26</f>
        <v>Ehlers, Ingo</v>
      </c>
      <c r="D28" s="77"/>
      <c r="E28" s="77"/>
      <c r="F28" s="77"/>
      <c r="G28" s="80"/>
      <c r="H28" s="147">
        <f>SUM(D28:G28)</f>
        <v>0</v>
      </c>
    </row>
    <row r="29" spans="2:8" ht="18" customHeight="1" thickBot="1" x14ac:dyDescent="0.3">
      <c r="B29" s="153">
        <v>23</v>
      </c>
      <c r="C29" s="150" t="str">
        <f>Config!C27&amp;", "&amp;Config!D27</f>
        <v>Lindemann, Mads</v>
      </c>
      <c r="D29" s="81"/>
      <c r="E29" s="81"/>
      <c r="F29" s="81"/>
      <c r="G29" s="82"/>
      <c r="H29" s="145">
        <f>SUM(D29:G29)</f>
        <v>0</v>
      </c>
    </row>
    <row r="30" spans="2:8" ht="18" customHeight="1" thickBot="1" x14ac:dyDescent="0.3">
      <c r="B30" s="154"/>
      <c r="C30" s="155"/>
      <c r="D30" s="155">
        <f>IF(COUNTIF(D7:D29,"&lt;&gt;")&lt;&gt;0,SUM(D7:D29)/(COUNTIF(D7:D29,"&lt;&gt;")*D6),0)</f>
        <v>0</v>
      </c>
      <c r="E30" s="155">
        <f>IF(COUNTIF(E7:E29,"&lt;&gt;")&lt;&gt;0,SUM(E7:E29)/(COUNTIF(E7:E29,"&lt;&gt;")*E6),0)</f>
        <v>0</v>
      </c>
      <c r="F30" s="155">
        <f>IF(COUNTIF(F7:F29,"&lt;&gt;")&lt;&gt;0,SUM(F7:F29)/(COUNTIF(F7:F29,"&lt;&gt;")*F6),0)</f>
        <v>0</v>
      </c>
      <c r="G30" s="155">
        <f>IF(COUNTIF(G7:G29,"&lt;&gt;")&lt;&gt;0,SUM(G7:G29)/(COUNTIF(G7:G29,"&lt;&gt;")*G6),0)</f>
        <v>0</v>
      </c>
      <c r="H30" s="148"/>
    </row>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dataValidations count="4">
    <dataValidation type="decimal" allowBlank="1" showErrorMessage="1" sqref="D7:D29" xr:uid="{3AB1E3C7-A0F8-400E-BDFC-EDA605CF309F}">
      <formula1>0</formula1>
      <formula2>$D$6</formula2>
    </dataValidation>
    <dataValidation type="decimal" allowBlank="1" showErrorMessage="1" sqref="E7:E29" xr:uid="{A905F807-6436-4421-8DC6-AF3240AE82F3}">
      <formula1>0</formula1>
      <formula2>$E$6</formula2>
    </dataValidation>
    <dataValidation type="decimal" allowBlank="1" showErrorMessage="1" sqref="F7:F29" xr:uid="{57225C8B-3FFC-4BB0-B1FF-48395FA78B5E}">
      <formula1>0</formula1>
      <formula2>$F$6</formula2>
    </dataValidation>
    <dataValidation type="decimal" allowBlank="1" showErrorMessage="1" sqref="G7:G29" xr:uid="{A896CB41-4FCD-4945-BE19-830E2600568A}">
      <formula1>0</formula1>
      <formula2>$G$6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451E2-D662-46CD-B2A1-12C14460D5A4}">
  <sheetPr codeName="Tabelle50">
    <tabColor rgb="FF92D050"/>
  </sheetPr>
  <dimension ref="B1:J100"/>
  <sheetViews>
    <sheetView workbookViewId="0">
      <selection activeCell="D7" sqref="D7"/>
    </sheetView>
  </sheetViews>
  <sheetFormatPr baseColWidth="10" defaultRowHeight="13.2" x14ac:dyDescent="0.25"/>
  <cols>
    <col min="1" max="2" width="3.44140625" style="127" customWidth="1"/>
    <col min="3" max="3" width="25.77734375" style="127" customWidth="1"/>
    <col min="4" max="10" width="8.77734375" style="127" customWidth="1"/>
    <col min="11" max="16384" width="11.5546875" style="127"/>
  </cols>
  <sheetData>
    <row r="1" spans="2:10" ht="18" customHeight="1" thickBot="1" x14ac:dyDescent="0.3"/>
    <row r="2" spans="2:10" ht="18" customHeight="1" x14ac:dyDescent="0.25">
      <c r="B2" s="128" t="str">
        <f>Config!F2&amp;" "&amp;YEAR(Config!G27)</f>
        <v>Mathe Abitur 2016</v>
      </c>
      <c r="C2" s="129"/>
      <c r="D2" s="129"/>
      <c r="E2" s="129"/>
      <c r="F2" s="129"/>
      <c r="G2" s="130"/>
      <c r="H2" s="130"/>
      <c r="I2" s="130"/>
      <c r="J2" s="131" t="str">
        <f>"Kurs "&amp;Config!G29</f>
        <v>Kurs K1</v>
      </c>
    </row>
    <row r="3" spans="2:10" ht="18" customHeight="1" x14ac:dyDescent="0.25">
      <c r="B3" s="132" t="s">
        <v>27</v>
      </c>
      <c r="C3" s="133"/>
      <c r="D3" s="133"/>
      <c r="E3" s="133"/>
      <c r="F3" s="133"/>
      <c r="G3" s="133"/>
      <c r="H3" s="133"/>
      <c r="I3" s="133"/>
      <c r="J3" s="134"/>
    </row>
    <row r="4" spans="2:10" ht="18" customHeight="1" thickBot="1" x14ac:dyDescent="0.3">
      <c r="B4" s="132"/>
      <c r="C4" s="133"/>
      <c r="D4" s="135"/>
      <c r="E4" s="135"/>
      <c r="F4" s="135"/>
      <c r="G4" s="135"/>
      <c r="H4" s="135"/>
      <c r="I4" s="135"/>
      <c r="J4" s="136"/>
    </row>
    <row r="5" spans="2:10" ht="18" customHeight="1" thickBot="1" x14ac:dyDescent="0.3">
      <c r="B5" s="137"/>
      <c r="C5" s="139"/>
      <c r="D5" s="156" t="str">
        <f>Config!P6</f>
        <v>1a</v>
      </c>
      <c r="E5" s="156" t="str">
        <f>Config!P7</f>
        <v>1b</v>
      </c>
      <c r="F5" s="156" t="str">
        <f>Config!P8</f>
        <v>1c</v>
      </c>
      <c r="G5" s="156" t="str">
        <f>Config!P9</f>
        <v>1d</v>
      </c>
      <c r="H5" s="156" t="str">
        <f>Config!P10</f>
        <v>1e</v>
      </c>
      <c r="I5" s="156" t="str">
        <f>Config!P11</f>
        <v>1f</v>
      </c>
      <c r="J5" s="143" t="s">
        <v>97</v>
      </c>
    </row>
    <row r="6" spans="2:10" ht="18" customHeight="1" thickBot="1" x14ac:dyDescent="0.3">
      <c r="B6" s="138"/>
      <c r="C6" s="140" t="s">
        <v>96</v>
      </c>
      <c r="D6" s="142">
        <f>Config!Q6</f>
        <v>4</v>
      </c>
      <c r="E6" s="142">
        <f>Config!Q7</f>
        <v>3</v>
      </c>
      <c r="F6" s="142">
        <f>Config!Q8</f>
        <v>4</v>
      </c>
      <c r="G6" s="142">
        <f>Config!Q9</f>
        <v>2</v>
      </c>
      <c r="H6" s="142">
        <f>Config!Q10</f>
        <v>4</v>
      </c>
      <c r="I6" s="142">
        <f>Config!Q11</f>
        <v>3</v>
      </c>
      <c r="J6" s="143">
        <f>SUM(D6:I6)</f>
        <v>20</v>
      </c>
    </row>
    <row r="7" spans="2:10" ht="18" customHeight="1" thickBot="1" x14ac:dyDescent="0.3">
      <c r="B7" s="151">
        <v>1</v>
      </c>
      <c r="C7" s="149" t="str">
        <f>Config!C5&amp;", "&amp;Config!D5</f>
        <v>Höfer, Simon</v>
      </c>
      <c r="D7" s="78"/>
      <c r="E7" s="78"/>
      <c r="F7" s="78"/>
      <c r="G7" s="78"/>
      <c r="H7" s="78"/>
      <c r="I7" s="79"/>
      <c r="J7" s="147">
        <f>SUM(D7:I7)</f>
        <v>0</v>
      </c>
    </row>
    <row r="8" spans="2:10" ht="18" customHeight="1" thickBot="1" x14ac:dyDescent="0.3">
      <c r="B8" s="152">
        <v>2</v>
      </c>
      <c r="C8" s="144" t="str">
        <f>Config!C6&amp;", "&amp;Config!D6</f>
        <v>Töpfer, Lilian</v>
      </c>
      <c r="D8" s="77"/>
      <c r="E8" s="77"/>
      <c r="F8" s="77"/>
      <c r="G8" s="77"/>
      <c r="H8" s="77"/>
      <c r="I8" s="80"/>
      <c r="J8" s="147">
        <f>SUM(D8:I8)</f>
        <v>0</v>
      </c>
    </row>
    <row r="9" spans="2:10" ht="18" customHeight="1" thickBot="1" x14ac:dyDescent="0.3">
      <c r="B9" s="152">
        <v>3</v>
      </c>
      <c r="C9" s="144" t="str">
        <f>Config!C7&amp;", "&amp;Config!D7</f>
        <v>Fleischmann, Leonie</v>
      </c>
      <c r="D9" s="77"/>
      <c r="E9" s="77"/>
      <c r="F9" s="77"/>
      <c r="G9" s="77"/>
      <c r="H9" s="77"/>
      <c r="I9" s="80"/>
      <c r="J9" s="147">
        <f>SUM(D9:I9)</f>
        <v>0</v>
      </c>
    </row>
    <row r="10" spans="2:10" ht="18" customHeight="1" thickBot="1" x14ac:dyDescent="0.3">
      <c r="B10" s="152">
        <v>4</v>
      </c>
      <c r="C10" s="144" t="str">
        <f>Config!C8&amp;", "&amp;Config!D8</f>
        <v>Drescher, Cedric</v>
      </c>
      <c r="D10" s="77"/>
      <c r="E10" s="77"/>
      <c r="F10" s="77"/>
      <c r="G10" s="77"/>
      <c r="H10" s="77"/>
      <c r="I10" s="80"/>
      <c r="J10" s="147">
        <f>SUM(D10:I10)</f>
        <v>0</v>
      </c>
    </row>
    <row r="11" spans="2:10" ht="18" customHeight="1" thickBot="1" x14ac:dyDescent="0.3">
      <c r="B11" s="152">
        <v>5</v>
      </c>
      <c r="C11" s="144" t="str">
        <f>Config!C9&amp;", "&amp;Config!D9</f>
        <v>Baumgarten, Annabell</v>
      </c>
      <c r="D11" s="77"/>
      <c r="E11" s="77"/>
      <c r="F11" s="77"/>
      <c r="G11" s="77"/>
      <c r="H11" s="77"/>
      <c r="I11" s="80"/>
      <c r="J11" s="147">
        <f>SUM(D11:I11)</f>
        <v>0</v>
      </c>
    </row>
    <row r="12" spans="2:10" ht="18" customHeight="1" thickBot="1" x14ac:dyDescent="0.3">
      <c r="B12" s="152">
        <v>6</v>
      </c>
      <c r="C12" s="144" t="str">
        <f>Config!C10&amp;", "&amp;Config!D10</f>
        <v>Traut, Stefanie</v>
      </c>
      <c r="D12" s="77"/>
      <c r="E12" s="77"/>
      <c r="F12" s="77"/>
      <c r="G12" s="77"/>
      <c r="H12" s="77"/>
      <c r="I12" s="80"/>
      <c r="J12" s="147">
        <f>SUM(D12:I12)</f>
        <v>0</v>
      </c>
    </row>
    <row r="13" spans="2:10" ht="18" customHeight="1" thickBot="1" x14ac:dyDescent="0.3">
      <c r="B13" s="152">
        <v>7</v>
      </c>
      <c r="C13" s="144" t="str">
        <f>Config!C11&amp;", "&amp;Config!D11</f>
        <v>Menke, Damian</v>
      </c>
      <c r="D13" s="77"/>
      <c r="E13" s="77"/>
      <c r="F13" s="77"/>
      <c r="G13" s="77"/>
      <c r="H13" s="77"/>
      <c r="I13" s="80"/>
      <c r="J13" s="147">
        <f>SUM(D13:I13)</f>
        <v>0</v>
      </c>
    </row>
    <row r="14" spans="2:10" ht="18" customHeight="1" thickBot="1" x14ac:dyDescent="0.3">
      <c r="B14" s="152">
        <v>8</v>
      </c>
      <c r="C14" s="144" t="str">
        <f>Config!C12&amp;", "&amp;Config!D12</f>
        <v>Carroll, Meik</v>
      </c>
      <c r="D14" s="77"/>
      <c r="E14" s="77"/>
      <c r="F14" s="77"/>
      <c r="G14" s="77"/>
      <c r="H14" s="77"/>
      <c r="I14" s="80"/>
      <c r="J14" s="147">
        <f>SUM(D14:I14)</f>
        <v>0</v>
      </c>
    </row>
    <row r="15" spans="2:10" ht="18" customHeight="1" thickBot="1" x14ac:dyDescent="0.3">
      <c r="B15" s="152">
        <v>9</v>
      </c>
      <c r="C15" s="144" t="str">
        <f>Config!C13&amp;", "&amp;Config!D13</f>
        <v>Hennings, Tomas</v>
      </c>
      <c r="D15" s="77"/>
      <c r="E15" s="77"/>
      <c r="F15" s="77"/>
      <c r="G15" s="77"/>
      <c r="H15" s="77"/>
      <c r="I15" s="80"/>
      <c r="J15" s="147">
        <f>SUM(D15:I15)</f>
        <v>0</v>
      </c>
    </row>
    <row r="16" spans="2:10" ht="18" customHeight="1" thickBot="1" x14ac:dyDescent="0.3">
      <c r="B16" s="152">
        <v>10</v>
      </c>
      <c r="C16" s="144" t="str">
        <f>Config!C14&amp;", "&amp;Config!D14</f>
        <v>Walters, Linn</v>
      </c>
      <c r="D16" s="77"/>
      <c r="E16" s="77"/>
      <c r="F16" s="77"/>
      <c r="G16" s="77"/>
      <c r="H16" s="77"/>
      <c r="I16" s="80"/>
      <c r="J16" s="147">
        <f>SUM(D16:I16)</f>
        <v>0</v>
      </c>
    </row>
    <row r="17" spans="2:10" ht="18" customHeight="1" thickBot="1" x14ac:dyDescent="0.3">
      <c r="B17" s="152">
        <v>11</v>
      </c>
      <c r="C17" s="144" t="str">
        <f>Config!C15&amp;", "&amp;Config!D15</f>
        <v>Junker, Amely</v>
      </c>
      <c r="D17" s="77"/>
      <c r="E17" s="77"/>
      <c r="F17" s="77"/>
      <c r="G17" s="77"/>
      <c r="H17" s="77"/>
      <c r="I17" s="80"/>
      <c r="J17" s="147">
        <f>SUM(D17:I17)</f>
        <v>0</v>
      </c>
    </row>
    <row r="18" spans="2:10" ht="18" customHeight="1" thickBot="1" x14ac:dyDescent="0.3">
      <c r="B18" s="152">
        <v>12</v>
      </c>
      <c r="C18" s="144" t="str">
        <f>Config!C16&amp;", "&amp;Config!D16</f>
        <v>Stephens, Melvin</v>
      </c>
      <c r="D18" s="77"/>
      <c r="E18" s="77"/>
      <c r="F18" s="77"/>
      <c r="G18" s="77"/>
      <c r="H18" s="77"/>
      <c r="I18" s="80"/>
      <c r="J18" s="147">
        <f>SUM(D18:I18)</f>
        <v>0</v>
      </c>
    </row>
    <row r="19" spans="2:10" ht="18" customHeight="1" thickBot="1" x14ac:dyDescent="0.3">
      <c r="B19" s="152">
        <v>13</v>
      </c>
      <c r="C19" s="144" t="str">
        <f>Config!C17&amp;", "&amp;Config!D17</f>
        <v>Cremer, Marvin</v>
      </c>
      <c r="D19" s="77"/>
      <c r="E19" s="77"/>
      <c r="F19" s="77"/>
      <c r="G19" s="77"/>
      <c r="H19" s="77"/>
      <c r="I19" s="80"/>
      <c r="J19" s="147">
        <f>SUM(D19:I19)</f>
        <v>0</v>
      </c>
    </row>
    <row r="20" spans="2:10" ht="18" customHeight="1" thickBot="1" x14ac:dyDescent="0.3">
      <c r="B20" s="152">
        <v>14</v>
      </c>
      <c r="C20" s="144" t="str">
        <f>Config!C18&amp;", "&amp;Config!D18</f>
        <v>Nash, Jean</v>
      </c>
      <c r="D20" s="77"/>
      <c r="E20" s="77"/>
      <c r="F20" s="77"/>
      <c r="G20" s="77"/>
      <c r="H20" s="77"/>
      <c r="I20" s="80"/>
      <c r="J20" s="147">
        <f>SUM(D20:I20)</f>
        <v>0</v>
      </c>
    </row>
    <row r="21" spans="2:10" ht="18" customHeight="1" thickBot="1" x14ac:dyDescent="0.3">
      <c r="B21" s="152">
        <v>15</v>
      </c>
      <c r="C21" s="144" t="str">
        <f>Config!C19&amp;", "&amp;Config!D19</f>
        <v>Schön, Leonardo</v>
      </c>
      <c r="D21" s="77"/>
      <c r="E21" s="77"/>
      <c r="F21" s="77"/>
      <c r="G21" s="77"/>
      <c r="H21" s="77"/>
      <c r="I21" s="80"/>
      <c r="J21" s="147">
        <f>SUM(D21:I21)</f>
        <v>0</v>
      </c>
    </row>
    <row r="22" spans="2:10" ht="18" customHeight="1" thickBot="1" x14ac:dyDescent="0.3">
      <c r="B22" s="152">
        <v>16</v>
      </c>
      <c r="C22" s="144" t="str">
        <f>Config!C20&amp;", "&amp;Config!D20</f>
        <v>Sigl, Nicholas</v>
      </c>
      <c r="D22" s="77"/>
      <c r="E22" s="77"/>
      <c r="F22" s="77"/>
      <c r="G22" s="77"/>
      <c r="H22" s="77"/>
      <c r="I22" s="80"/>
      <c r="J22" s="147">
        <f>SUM(D22:I22)</f>
        <v>0</v>
      </c>
    </row>
    <row r="23" spans="2:10" ht="18" customHeight="1" thickBot="1" x14ac:dyDescent="0.3">
      <c r="B23" s="152">
        <v>17</v>
      </c>
      <c r="C23" s="144" t="str">
        <f>Config!C21&amp;", "&amp;Config!D21</f>
        <v>Kainz, Vivienne</v>
      </c>
      <c r="D23" s="77"/>
      <c r="E23" s="77"/>
      <c r="F23" s="77"/>
      <c r="G23" s="77"/>
      <c r="H23" s="77"/>
      <c r="I23" s="80"/>
      <c r="J23" s="147">
        <f>SUM(D23:I23)</f>
        <v>0</v>
      </c>
    </row>
    <row r="24" spans="2:10" ht="18" customHeight="1" thickBot="1" x14ac:dyDescent="0.3">
      <c r="B24" s="152">
        <v>18</v>
      </c>
      <c r="C24" s="144" t="str">
        <f>Config!C22&amp;", "&amp;Config!D22</f>
        <v>Hartmann, Mads</v>
      </c>
      <c r="D24" s="77"/>
      <c r="E24" s="77"/>
      <c r="F24" s="77"/>
      <c r="G24" s="77"/>
      <c r="H24" s="77"/>
      <c r="I24" s="80"/>
      <c r="J24" s="147">
        <f>SUM(D24:I24)</f>
        <v>0</v>
      </c>
    </row>
    <row r="25" spans="2:10" ht="18" customHeight="1" thickBot="1" x14ac:dyDescent="0.3">
      <c r="B25" s="152">
        <v>19</v>
      </c>
      <c r="C25" s="144" t="str">
        <f>Config!C23&amp;", "&amp;Config!D23</f>
        <v>Ullmann, Raphael</v>
      </c>
      <c r="D25" s="77"/>
      <c r="E25" s="77"/>
      <c r="F25" s="77"/>
      <c r="G25" s="77"/>
      <c r="H25" s="77"/>
      <c r="I25" s="80"/>
      <c r="J25" s="147">
        <f>SUM(D25:I25)</f>
        <v>0</v>
      </c>
    </row>
    <row r="26" spans="2:10" ht="18" customHeight="1" thickBot="1" x14ac:dyDescent="0.3">
      <c r="B26" s="152">
        <v>20</v>
      </c>
      <c r="C26" s="144" t="str">
        <f>Config!C24&amp;", "&amp;Config!D24</f>
        <v>Hartl, Emmely</v>
      </c>
      <c r="D26" s="77"/>
      <c r="E26" s="77"/>
      <c r="F26" s="77"/>
      <c r="G26" s="77"/>
      <c r="H26" s="77"/>
      <c r="I26" s="80"/>
      <c r="J26" s="147">
        <f>SUM(D26:I26)</f>
        <v>0</v>
      </c>
    </row>
    <row r="27" spans="2:10" ht="18" customHeight="1" thickBot="1" x14ac:dyDescent="0.3">
      <c r="B27" s="152">
        <v>21</v>
      </c>
      <c r="C27" s="144" t="str">
        <f>Config!C25&amp;", "&amp;Config!D25</f>
        <v>Klotz, Karin</v>
      </c>
      <c r="D27" s="77"/>
      <c r="E27" s="77"/>
      <c r="F27" s="77"/>
      <c r="G27" s="77"/>
      <c r="H27" s="77"/>
      <c r="I27" s="80"/>
      <c r="J27" s="147">
        <f>SUM(D27:I27)</f>
        <v>0</v>
      </c>
    </row>
    <row r="28" spans="2:10" ht="18" customHeight="1" thickBot="1" x14ac:dyDescent="0.3">
      <c r="B28" s="152">
        <v>22</v>
      </c>
      <c r="C28" s="144" t="str">
        <f>Config!C26&amp;", "&amp;Config!D26</f>
        <v>Ehlers, Ingo</v>
      </c>
      <c r="D28" s="77"/>
      <c r="E28" s="77"/>
      <c r="F28" s="77"/>
      <c r="G28" s="77"/>
      <c r="H28" s="77"/>
      <c r="I28" s="80"/>
      <c r="J28" s="147">
        <f>SUM(D28:I28)</f>
        <v>0</v>
      </c>
    </row>
    <row r="29" spans="2:10" ht="18" customHeight="1" thickBot="1" x14ac:dyDescent="0.3">
      <c r="B29" s="153">
        <v>23</v>
      </c>
      <c r="C29" s="150" t="str">
        <f>Config!C27&amp;", "&amp;Config!D27</f>
        <v>Lindemann, Mads</v>
      </c>
      <c r="D29" s="81"/>
      <c r="E29" s="81"/>
      <c r="F29" s="81"/>
      <c r="G29" s="81"/>
      <c r="H29" s="81"/>
      <c r="I29" s="82"/>
      <c r="J29" s="145">
        <f>SUM(D29:I29)</f>
        <v>0</v>
      </c>
    </row>
    <row r="30" spans="2:10" ht="18" customHeight="1" thickBot="1" x14ac:dyDescent="0.3">
      <c r="B30" s="154"/>
      <c r="C30" s="155"/>
      <c r="D30" s="155">
        <f>IF(COUNTIF(D7:D29,"&lt;&gt;")&lt;&gt;0,SUM(D7:D29)/(COUNTIF(D7:D29,"&lt;&gt;")*D6),0)</f>
        <v>0</v>
      </c>
      <c r="E30" s="155">
        <f>IF(COUNTIF(E7:E29,"&lt;&gt;")&lt;&gt;0,SUM(E7:E29)/(COUNTIF(E7:E29,"&lt;&gt;")*E6),0)</f>
        <v>0</v>
      </c>
      <c r="F30" s="155">
        <f>IF(COUNTIF(F7:F29,"&lt;&gt;")&lt;&gt;0,SUM(F7:F29)/(COUNTIF(F7:F29,"&lt;&gt;")*F6),0)</f>
        <v>0</v>
      </c>
      <c r="G30" s="155">
        <f>IF(COUNTIF(G7:G29,"&lt;&gt;")&lt;&gt;0,SUM(G7:G29)/(COUNTIF(G7:G29,"&lt;&gt;")*G6),0)</f>
        <v>0</v>
      </c>
      <c r="H30" s="155">
        <f>IF(COUNTIF(H7:H29,"&lt;&gt;")&lt;&gt;0,SUM(H7:H29)/(COUNTIF(H7:H29,"&lt;&gt;")*H6),0)</f>
        <v>0</v>
      </c>
      <c r="I30" s="155">
        <f>IF(COUNTIF(I7:I29,"&lt;&gt;")&lt;&gt;0,SUM(I7:I29)/(COUNTIF(I7:I29,"&lt;&gt;")*I6),0)</f>
        <v>0</v>
      </c>
      <c r="J30" s="148"/>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dataValidations count="6">
    <dataValidation type="decimal" allowBlank="1" showErrorMessage="1" sqref="D7:D29" xr:uid="{149874CD-1307-433F-8E7E-68366A50824B}">
      <formula1>0</formula1>
      <formula2>$D$6</formula2>
    </dataValidation>
    <dataValidation type="decimal" allowBlank="1" showErrorMessage="1" sqref="E7:E29" xr:uid="{3C83A40A-47AA-4EA5-827B-782216154D62}">
      <formula1>0</formula1>
      <formula2>$E$6</formula2>
    </dataValidation>
    <dataValidation type="decimal" allowBlank="1" showErrorMessage="1" sqref="F7:F29" xr:uid="{F0117249-CCF8-42FC-9087-59D410940A26}">
      <formula1>0</formula1>
      <formula2>$F$6</formula2>
    </dataValidation>
    <dataValidation type="decimal" allowBlank="1" showErrorMessage="1" sqref="G7:G29" xr:uid="{99859244-332B-4CAC-9B62-9C327B071C98}">
      <formula1>0</formula1>
      <formula2>$G$6</formula2>
    </dataValidation>
    <dataValidation type="decimal" allowBlank="1" showErrorMessage="1" sqref="H7:H29" xr:uid="{FCB592A9-D601-4750-A251-F0AFD1540E4D}">
      <formula1>0</formula1>
      <formula2>$H$6</formula2>
    </dataValidation>
    <dataValidation type="decimal" allowBlank="1" showErrorMessage="1" sqref="I7:I29" xr:uid="{50AA9825-04E8-469F-B728-09E6522054F2}">
      <formula1>0</formula1>
      <formula2>$I$6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X45"/>
  <sheetViews>
    <sheetView zoomScaleNormal="100" workbookViewId="0">
      <selection activeCell="F2" sqref="F2:Q3"/>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7" width="6.6640625" style="3" customWidth="1"/>
    <col min="18" max="18" width="2.5546875" style="3" customWidth="1"/>
    <col min="19" max="19" width="2.44140625" style="3" customWidth="1"/>
    <col min="20" max="20" width="2.5546875" style="3" customWidth="1"/>
    <col min="21" max="23" width="11.44140625" style="3"/>
    <col min="24" max="24" width="11.44140625" style="3" customWidth="1"/>
    <col min="25" max="16384" width="11.44140625" style="3"/>
  </cols>
  <sheetData>
    <row r="1" spans="2:24" ht="13.8" thickBot="1" x14ac:dyDescent="0.3"/>
    <row r="2" spans="2:24" ht="12.75" customHeight="1" x14ac:dyDescent="0.25">
      <c r="B2" s="121" t="s">
        <v>19</v>
      </c>
      <c r="C2" s="122"/>
      <c r="D2" s="123"/>
      <c r="F2" s="113" t="s">
        <v>112</v>
      </c>
      <c r="G2" s="114"/>
      <c r="H2" s="114"/>
      <c r="I2" s="114"/>
      <c r="J2" s="114"/>
      <c r="K2" s="114"/>
      <c r="L2" s="114"/>
      <c r="M2" s="114"/>
      <c r="N2" s="114"/>
      <c r="O2" s="114"/>
      <c r="P2" s="114"/>
      <c r="Q2" s="115"/>
      <c r="R2" s="94" t="s">
        <v>103</v>
      </c>
      <c r="T2" s="106" t="s">
        <v>104</v>
      </c>
      <c r="U2" s="107"/>
      <c r="V2" s="107"/>
      <c r="W2" s="107"/>
      <c r="X2" s="108"/>
    </row>
    <row r="3" spans="2:24" ht="12.75" customHeight="1" x14ac:dyDescent="0.25">
      <c r="B3" s="124"/>
      <c r="C3" s="125"/>
      <c r="D3" s="126"/>
      <c r="F3" s="116"/>
      <c r="G3" s="117"/>
      <c r="H3" s="117"/>
      <c r="I3" s="117"/>
      <c r="J3" s="117"/>
      <c r="K3" s="117"/>
      <c r="L3" s="117"/>
      <c r="M3" s="117"/>
      <c r="N3" s="117"/>
      <c r="O3" s="117"/>
      <c r="P3" s="117"/>
      <c r="Q3" s="118"/>
      <c r="T3" s="95" t="s">
        <v>105</v>
      </c>
      <c r="U3" s="101" t="s">
        <v>111</v>
      </c>
      <c r="V3" s="109"/>
      <c r="W3" s="109"/>
      <c r="X3" s="110"/>
    </row>
    <row r="4" spans="2:24" x14ac:dyDescent="0.25">
      <c r="B4" s="4"/>
      <c r="C4" s="24" t="s">
        <v>20</v>
      </c>
      <c r="D4" s="25" t="s">
        <v>21</v>
      </c>
      <c r="F4" s="38" t="s">
        <v>22</v>
      </c>
      <c r="G4" s="28"/>
      <c r="H4" s="36" t="s">
        <v>23</v>
      </c>
      <c r="I4" s="28"/>
      <c r="J4" s="36" t="s">
        <v>24</v>
      </c>
      <c r="K4" s="28"/>
      <c r="L4" s="36" t="s">
        <v>25</v>
      </c>
      <c r="M4" s="28"/>
      <c r="N4" s="36" t="s">
        <v>26</v>
      </c>
      <c r="O4" s="37"/>
      <c r="P4" s="36" t="s">
        <v>27</v>
      </c>
      <c r="Q4" s="26"/>
      <c r="R4" s="94" t="s">
        <v>103</v>
      </c>
      <c r="T4" s="95"/>
      <c r="U4" s="109"/>
      <c r="V4" s="109"/>
      <c r="W4" s="109"/>
      <c r="X4" s="110"/>
    </row>
    <row r="5" spans="2:24" x14ac:dyDescent="0.25">
      <c r="B5" s="5">
        <v>1</v>
      </c>
      <c r="C5" s="90" t="s">
        <v>73</v>
      </c>
      <c r="D5" s="91" t="s">
        <v>52</v>
      </c>
      <c r="F5" s="7" t="s">
        <v>28</v>
      </c>
      <c r="G5" s="27" t="s">
        <v>0</v>
      </c>
      <c r="H5" s="8" t="s">
        <v>28</v>
      </c>
      <c r="I5" s="27" t="s">
        <v>0</v>
      </c>
      <c r="J5" s="8" t="s">
        <v>28</v>
      </c>
      <c r="K5" s="27" t="s">
        <v>0</v>
      </c>
      <c r="L5" s="8" t="s">
        <v>28</v>
      </c>
      <c r="M5" s="27" t="s">
        <v>0</v>
      </c>
      <c r="N5" s="8" t="s">
        <v>28</v>
      </c>
      <c r="O5" s="27" t="s">
        <v>0</v>
      </c>
      <c r="P5" s="8" t="s">
        <v>28</v>
      </c>
      <c r="Q5" s="9" t="s">
        <v>0</v>
      </c>
      <c r="T5" s="95"/>
      <c r="U5" s="109"/>
      <c r="V5" s="109"/>
      <c r="W5" s="109"/>
      <c r="X5" s="110"/>
    </row>
    <row r="6" spans="2:24" x14ac:dyDescent="0.25">
      <c r="B6" s="5">
        <v>2</v>
      </c>
      <c r="C6" s="15" t="s">
        <v>74</v>
      </c>
      <c r="D6" s="16" t="s">
        <v>53</v>
      </c>
      <c r="F6" s="11" t="s">
        <v>8</v>
      </c>
      <c r="G6" s="45">
        <v>2</v>
      </c>
      <c r="H6" s="12" t="s">
        <v>8</v>
      </c>
      <c r="I6" s="45">
        <v>2</v>
      </c>
      <c r="J6" s="12" t="s">
        <v>32</v>
      </c>
      <c r="K6" s="45">
        <v>5</v>
      </c>
      <c r="L6" s="12" t="s">
        <v>8</v>
      </c>
      <c r="M6" s="45">
        <v>2</v>
      </c>
      <c r="N6" s="12" t="s">
        <v>8</v>
      </c>
      <c r="O6" s="45">
        <v>2</v>
      </c>
      <c r="P6" s="12" t="s">
        <v>8</v>
      </c>
      <c r="Q6" s="47">
        <v>4</v>
      </c>
      <c r="R6" s="94" t="s">
        <v>103</v>
      </c>
      <c r="T6" s="95" t="s">
        <v>106</v>
      </c>
      <c r="U6" s="109"/>
      <c r="V6" s="109"/>
      <c r="W6" s="109"/>
      <c r="X6" s="110"/>
    </row>
    <row r="7" spans="2:24" x14ac:dyDescent="0.25">
      <c r="B7" s="5">
        <v>3</v>
      </c>
      <c r="C7" s="92" t="s">
        <v>75</v>
      </c>
      <c r="D7" s="93" t="s">
        <v>54</v>
      </c>
      <c r="F7" s="86" t="s">
        <v>29</v>
      </c>
      <c r="G7" s="87">
        <v>2</v>
      </c>
      <c r="H7" s="88" t="s">
        <v>29</v>
      </c>
      <c r="I7" s="87">
        <v>3</v>
      </c>
      <c r="J7" s="88" t="s">
        <v>14</v>
      </c>
      <c r="K7" s="87">
        <v>2</v>
      </c>
      <c r="L7" s="88" t="s">
        <v>29</v>
      </c>
      <c r="M7" s="87">
        <v>2</v>
      </c>
      <c r="N7" s="88" t="s">
        <v>29</v>
      </c>
      <c r="O7" s="87">
        <v>3</v>
      </c>
      <c r="P7" s="88" t="s">
        <v>29</v>
      </c>
      <c r="Q7" s="89">
        <v>3</v>
      </c>
      <c r="T7" s="95"/>
      <c r="U7" s="109"/>
      <c r="V7" s="109"/>
      <c r="W7" s="109"/>
      <c r="X7" s="110"/>
    </row>
    <row r="8" spans="2:24" x14ac:dyDescent="0.25">
      <c r="B8" s="5">
        <v>4</v>
      </c>
      <c r="C8" s="15" t="s">
        <v>76</v>
      </c>
      <c r="D8" s="16" t="s">
        <v>55</v>
      </c>
      <c r="F8" s="11" t="s">
        <v>30</v>
      </c>
      <c r="G8" s="45">
        <v>3</v>
      </c>
      <c r="H8" s="12" t="s">
        <v>36</v>
      </c>
      <c r="I8" s="45">
        <v>4</v>
      </c>
      <c r="J8" s="12" t="s">
        <v>42</v>
      </c>
      <c r="K8" s="45">
        <v>3</v>
      </c>
      <c r="L8" s="12" t="s">
        <v>36</v>
      </c>
      <c r="M8" s="45">
        <v>2</v>
      </c>
      <c r="N8" s="12" t="s">
        <v>14</v>
      </c>
      <c r="O8" s="45">
        <v>2</v>
      </c>
      <c r="P8" s="12" t="s">
        <v>36</v>
      </c>
      <c r="Q8" s="47">
        <v>4</v>
      </c>
      <c r="T8" s="95"/>
      <c r="U8" s="109"/>
      <c r="V8" s="109"/>
      <c r="W8" s="109"/>
      <c r="X8" s="110"/>
    </row>
    <row r="9" spans="2:24" x14ac:dyDescent="0.25">
      <c r="B9" s="5">
        <v>5</v>
      </c>
      <c r="C9" s="92" t="s">
        <v>77</v>
      </c>
      <c r="D9" s="93" t="s">
        <v>56</v>
      </c>
      <c r="F9" s="86" t="s">
        <v>31</v>
      </c>
      <c r="G9" s="87">
        <v>3</v>
      </c>
      <c r="H9" s="88" t="s">
        <v>37</v>
      </c>
      <c r="I9" s="87">
        <v>3</v>
      </c>
      <c r="J9" s="88"/>
      <c r="K9" s="87"/>
      <c r="L9" s="88" t="s">
        <v>37</v>
      </c>
      <c r="M9" s="87">
        <v>4</v>
      </c>
      <c r="N9" s="88" t="s">
        <v>42</v>
      </c>
      <c r="O9" s="87">
        <v>3</v>
      </c>
      <c r="P9" s="88" t="s">
        <v>37</v>
      </c>
      <c r="Q9" s="89">
        <v>2</v>
      </c>
      <c r="T9" s="95" t="s">
        <v>107</v>
      </c>
      <c r="U9" s="109"/>
      <c r="V9" s="109"/>
      <c r="W9" s="109"/>
      <c r="X9" s="110"/>
    </row>
    <row r="10" spans="2:24" x14ac:dyDescent="0.25">
      <c r="B10" s="5">
        <v>6</v>
      </c>
      <c r="C10" s="15" t="s">
        <v>78</v>
      </c>
      <c r="D10" s="16" t="s">
        <v>57</v>
      </c>
      <c r="F10" s="11" t="s">
        <v>9</v>
      </c>
      <c r="G10" s="45">
        <v>3</v>
      </c>
      <c r="H10" s="12" t="s">
        <v>38</v>
      </c>
      <c r="I10" s="45">
        <v>3</v>
      </c>
      <c r="J10" s="12"/>
      <c r="K10" s="45"/>
      <c r="L10" s="12" t="s">
        <v>38</v>
      </c>
      <c r="M10" s="45">
        <v>3</v>
      </c>
      <c r="N10" s="12"/>
      <c r="O10" s="45"/>
      <c r="P10" s="12" t="s">
        <v>38</v>
      </c>
      <c r="Q10" s="47">
        <v>4</v>
      </c>
      <c r="T10" s="95"/>
      <c r="U10" s="109"/>
      <c r="V10" s="109"/>
      <c r="W10" s="109"/>
      <c r="X10" s="110"/>
    </row>
    <row r="11" spans="2:24" x14ac:dyDescent="0.25">
      <c r="B11" s="5">
        <v>7</v>
      </c>
      <c r="C11" s="92" t="s">
        <v>79</v>
      </c>
      <c r="D11" s="93" t="s">
        <v>58</v>
      </c>
      <c r="F11" s="86" t="s">
        <v>10</v>
      </c>
      <c r="G11" s="87">
        <v>2</v>
      </c>
      <c r="H11" s="88" t="s">
        <v>39</v>
      </c>
      <c r="I11" s="87">
        <v>4</v>
      </c>
      <c r="J11" s="88"/>
      <c r="K11" s="87"/>
      <c r="L11" s="88" t="s">
        <v>30</v>
      </c>
      <c r="M11" s="87">
        <v>7</v>
      </c>
      <c r="N11" s="88"/>
      <c r="O11" s="87"/>
      <c r="P11" s="88" t="s">
        <v>39</v>
      </c>
      <c r="Q11" s="89">
        <v>3</v>
      </c>
      <c r="T11" s="95"/>
      <c r="U11" s="109"/>
      <c r="V11" s="109"/>
      <c r="W11" s="109"/>
      <c r="X11" s="110"/>
    </row>
    <row r="12" spans="2:24" x14ac:dyDescent="0.25">
      <c r="B12" s="5">
        <v>8</v>
      </c>
      <c r="C12" s="15" t="s">
        <v>80</v>
      </c>
      <c r="D12" s="16" t="s">
        <v>59</v>
      </c>
      <c r="F12" s="11" t="s">
        <v>11</v>
      </c>
      <c r="G12" s="45">
        <v>2</v>
      </c>
      <c r="H12" s="12" t="s">
        <v>40</v>
      </c>
      <c r="I12" s="45">
        <v>3</v>
      </c>
      <c r="J12" s="12"/>
      <c r="K12" s="45"/>
      <c r="L12" s="12"/>
      <c r="M12" s="45"/>
      <c r="N12" s="12"/>
      <c r="O12" s="45"/>
      <c r="P12" s="12"/>
      <c r="Q12" s="47"/>
      <c r="T12" s="95" t="s">
        <v>108</v>
      </c>
      <c r="U12" s="109"/>
      <c r="V12" s="109"/>
      <c r="W12" s="109"/>
      <c r="X12" s="110"/>
    </row>
    <row r="13" spans="2:24" x14ac:dyDescent="0.25">
      <c r="B13" s="5">
        <v>9</v>
      </c>
      <c r="C13" s="92" t="s">
        <v>81</v>
      </c>
      <c r="D13" s="93" t="s">
        <v>60</v>
      </c>
      <c r="F13" s="86" t="s">
        <v>12</v>
      </c>
      <c r="G13" s="87">
        <v>1</v>
      </c>
      <c r="H13" s="88" t="s">
        <v>41</v>
      </c>
      <c r="I13" s="87">
        <v>4</v>
      </c>
      <c r="J13" s="88"/>
      <c r="K13" s="87"/>
      <c r="L13" s="88"/>
      <c r="M13" s="87"/>
      <c r="N13" s="88"/>
      <c r="O13" s="87"/>
      <c r="P13" s="88"/>
      <c r="Q13" s="89"/>
      <c r="T13" s="95"/>
      <c r="U13" s="109"/>
      <c r="V13" s="109"/>
      <c r="W13" s="109"/>
      <c r="X13" s="110"/>
    </row>
    <row r="14" spans="2:24" x14ac:dyDescent="0.25">
      <c r="B14" s="5">
        <v>10</v>
      </c>
      <c r="C14" s="15" t="s">
        <v>82</v>
      </c>
      <c r="D14" s="16" t="s">
        <v>61</v>
      </c>
      <c r="F14" s="11" t="s">
        <v>13</v>
      </c>
      <c r="G14" s="45">
        <v>2</v>
      </c>
      <c r="H14" s="12" t="s">
        <v>14</v>
      </c>
      <c r="I14" s="45">
        <v>2</v>
      </c>
      <c r="J14" s="12"/>
      <c r="K14" s="45"/>
      <c r="L14" s="12"/>
      <c r="M14" s="45"/>
      <c r="N14" s="12"/>
      <c r="O14" s="45"/>
      <c r="P14" s="12"/>
      <c r="Q14" s="47"/>
      <c r="T14" s="95"/>
      <c r="U14" s="109"/>
      <c r="V14" s="109"/>
      <c r="W14" s="109"/>
      <c r="X14" s="110"/>
    </row>
    <row r="15" spans="2:24" x14ac:dyDescent="0.25">
      <c r="B15" s="5">
        <v>11</v>
      </c>
      <c r="C15" s="92" t="s">
        <v>83</v>
      </c>
      <c r="D15" s="93" t="s">
        <v>62</v>
      </c>
      <c r="F15" s="86"/>
      <c r="G15" s="87"/>
      <c r="H15" s="88" t="s">
        <v>42</v>
      </c>
      <c r="I15" s="87">
        <v>5</v>
      </c>
      <c r="J15" s="88"/>
      <c r="K15" s="87"/>
      <c r="L15" s="88"/>
      <c r="M15" s="87"/>
      <c r="N15" s="88"/>
      <c r="O15" s="87"/>
      <c r="P15" s="88"/>
      <c r="Q15" s="89"/>
      <c r="T15" s="95" t="s">
        <v>109</v>
      </c>
      <c r="U15" s="109"/>
      <c r="V15" s="109"/>
      <c r="W15" s="109"/>
      <c r="X15" s="110"/>
    </row>
    <row r="16" spans="2:24" x14ac:dyDescent="0.25">
      <c r="B16" s="5">
        <v>12</v>
      </c>
      <c r="C16" s="15" t="s">
        <v>84</v>
      </c>
      <c r="D16" s="16" t="s">
        <v>63</v>
      </c>
      <c r="F16" s="11"/>
      <c r="G16" s="45"/>
      <c r="H16" s="12" t="s">
        <v>43</v>
      </c>
      <c r="I16" s="45">
        <v>4</v>
      </c>
      <c r="J16" s="12"/>
      <c r="K16" s="45"/>
      <c r="L16" s="12"/>
      <c r="M16" s="45"/>
      <c r="N16" s="12"/>
      <c r="O16" s="45"/>
      <c r="P16" s="12"/>
      <c r="Q16" s="47"/>
      <c r="T16" s="95"/>
      <c r="U16" s="109"/>
      <c r="V16" s="109"/>
      <c r="W16" s="109"/>
      <c r="X16" s="110"/>
    </row>
    <row r="17" spans="2:24" x14ac:dyDescent="0.25">
      <c r="B17" s="5">
        <v>13</v>
      </c>
      <c r="C17" s="92" t="s">
        <v>85</v>
      </c>
      <c r="D17" s="93" t="s">
        <v>33</v>
      </c>
      <c r="F17" s="86"/>
      <c r="G17" s="87"/>
      <c r="H17" s="88" t="s">
        <v>44</v>
      </c>
      <c r="I17" s="87">
        <v>3</v>
      </c>
      <c r="J17" s="88"/>
      <c r="K17" s="87"/>
      <c r="L17" s="88"/>
      <c r="M17" s="87"/>
      <c r="N17" s="88"/>
      <c r="O17" s="87"/>
      <c r="P17" s="88"/>
      <c r="Q17" s="89"/>
      <c r="T17" s="95"/>
      <c r="U17" s="109"/>
      <c r="V17" s="109"/>
      <c r="W17" s="109"/>
      <c r="X17" s="110"/>
    </row>
    <row r="18" spans="2:24" x14ac:dyDescent="0.25">
      <c r="B18" s="5">
        <v>14</v>
      </c>
      <c r="C18" s="15" t="s">
        <v>86</v>
      </c>
      <c r="D18" s="16" t="s">
        <v>64</v>
      </c>
      <c r="F18" s="11"/>
      <c r="G18" s="45"/>
      <c r="H18" s="12"/>
      <c r="I18" s="45"/>
      <c r="J18" s="12"/>
      <c r="K18" s="45"/>
      <c r="L18" s="12"/>
      <c r="M18" s="45"/>
      <c r="N18" s="12"/>
      <c r="O18" s="45"/>
      <c r="P18" s="12"/>
      <c r="Q18" s="47"/>
      <c r="T18" s="95" t="s">
        <v>110</v>
      </c>
      <c r="U18" s="109"/>
      <c r="V18" s="109"/>
      <c r="W18" s="109"/>
      <c r="X18" s="110"/>
    </row>
    <row r="19" spans="2:24" x14ac:dyDescent="0.25">
      <c r="B19" s="5">
        <v>15</v>
      </c>
      <c r="C19" s="92" t="s">
        <v>87</v>
      </c>
      <c r="D19" s="93" t="s">
        <v>65</v>
      </c>
      <c r="F19" s="86"/>
      <c r="G19" s="87"/>
      <c r="H19" s="88"/>
      <c r="I19" s="87"/>
      <c r="J19" s="88"/>
      <c r="K19" s="87"/>
      <c r="L19" s="88"/>
      <c r="M19" s="87"/>
      <c r="N19" s="88"/>
      <c r="O19" s="87"/>
      <c r="P19" s="88"/>
      <c r="Q19" s="89"/>
      <c r="T19" s="95"/>
      <c r="U19" s="109"/>
      <c r="V19" s="109"/>
      <c r="W19" s="109"/>
      <c r="X19" s="110"/>
    </row>
    <row r="20" spans="2:24" ht="13.8" thickBot="1" x14ac:dyDescent="0.3">
      <c r="B20" s="5">
        <v>16</v>
      </c>
      <c r="C20" s="15" t="s">
        <v>88</v>
      </c>
      <c r="D20" s="16" t="s">
        <v>66</v>
      </c>
      <c r="F20" s="13"/>
      <c r="G20" s="46"/>
      <c r="H20" s="14"/>
      <c r="I20" s="46"/>
      <c r="J20" s="14"/>
      <c r="K20" s="46"/>
      <c r="L20" s="14"/>
      <c r="M20" s="46"/>
      <c r="N20" s="14"/>
      <c r="O20" s="46"/>
      <c r="P20" s="14"/>
      <c r="Q20" s="48"/>
      <c r="T20" s="96"/>
      <c r="U20" s="111"/>
      <c r="V20" s="111"/>
      <c r="W20" s="111"/>
      <c r="X20" s="112"/>
    </row>
    <row r="21" spans="2:24" x14ac:dyDescent="0.25">
      <c r="B21" s="5">
        <v>17</v>
      </c>
      <c r="C21" s="92" t="s">
        <v>89</v>
      </c>
      <c r="D21" s="93" t="s">
        <v>67</v>
      </c>
      <c r="F21" s="32">
        <f>COUNTA(F6:F20)</f>
        <v>9</v>
      </c>
      <c r="G21" s="33">
        <f>SUM(G6:G20)</f>
        <v>20</v>
      </c>
      <c r="H21" s="34">
        <f>COUNTA(H6:H20)</f>
        <v>12</v>
      </c>
      <c r="I21" s="33">
        <f>SUM(I6:I20)</f>
        <v>40</v>
      </c>
      <c r="J21" s="34">
        <f>COUNTA(J6:J20)</f>
        <v>3</v>
      </c>
      <c r="K21" s="33">
        <f>SUM(K6:K20)</f>
        <v>10</v>
      </c>
      <c r="L21" s="34">
        <f>COUNTA(L6:L20)</f>
        <v>6</v>
      </c>
      <c r="M21" s="33">
        <f>SUM(M6:M20)</f>
        <v>20</v>
      </c>
      <c r="N21" s="34">
        <f>COUNTA(N6:N20)</f>
        <v>4</v>
      </c>
      <c r="O21" s="33">
        <f>SUM(O6:O20)</f>
        <v>10</v>
      </c>
      <c r="P21" s="34">
        <f>COUNTA(P6:P20)</f>
        <v>6</v>
      </c>
      <c r="Q21" s="35">
        <f>SUM(Q6:Q20)</f>
        <v>20</v>
      </c>
      <c r="R21" s="94" t="s">
        <v>103</v>
      </c>
    </row>
    <row r="22" spans="2:24" x14ac:dyDescent="0.25">
      <c r="B22" s="5">
        <v>18</v>
      </c>
      <c r="C22" s="15" t="s">
        <v>90</v>
      </c>
      <c r="D22" s="16" t="s">
        <v>68</v>
      </c>
    </row>
    <row r="23" spans="2:24" x14ac:dyDescent="0.25">
      <c r="B23" s="5">
        <v>19</v>
      </c>
      <c r="C23" s="92" t="s">
        <v>91</v>
      </c>
      <c r="D23" s="93" t="s">
        <v>69</v>
      </c>
    </row>
    <row r="24" spans="2:24" x14ac:dyDescent="0.25">
      <c r="B24" s="5">
        <v>20</v>
      </c>
      <c r="C24" s="15" t="s">
        <v>92</v>
      </c>
      <c r="D24" s="16" t="s">
        <v>70</v>
      </c>
      <c r="M24" s="62"/>
    </row>
    <row r="25" spans="2:24" x14ac:dyDescent="0.25">
      <c r="B25" s="5">
        <v>21</v>
      </c>
      <c r="C25" s="92" t="s">
        <v>93</v>
      </c>
      <c r="D25" s="93" t="s">
        <v>71</v>
      </c>
    </row>
    <row r="26" spans="2:24" ht="13.8" thickBot="1" x14ac:dyDescent="0.3">
      <c r="B26" s="5">
        <v>22</v>
      </c>
      <c r="C26" s="15" t="s">
        <v>94</v>
      </c>
      <c r="D26" s="16" t="s">
        <v>72</v>
      </c>
    </row>
    <row r="27" spans="2:24" x14ac:dyDescent="0.25">
      <c r="B27" s="5">
        <v>23</v>
      </c>
      <c r="C27" s="92" t="s">
        <v>95</v>
      </c>
      <c r="D27" s="93" t="s">
        <v>68</v>
      </c>
      <c r="F27" s="29" t="s">
        <v>35</v>
      </c>
      <c r="G27" s="119">
        <v>42537</v>
      </c>
      <c r="H27" s="120"/>
    </row>
    <row r="28" spans="2:24" x14ac:dyDescent="0.25">
      <c r="B28" s="5">
        <v>24</v>
      </c>
      <c r="C28" s="15"/>
      <c r="D28" s="16"/>
      <c r="F28" s="30" t="s">
        <v>45</v>
      </c>
      <c r="G28" s="20" t="s">
        <v>101</v>
      </c>
      <c r="H28" s="22"/>
      <c r="J28" s="19"/>
    </row>
    <row r="29" spans="2:24" ht="13.8" thickBot="1" x14ac:dyDescent="0.3">
      <c r="B29" s="5">
        <v>25</v>
      </c>
      <c r="C29" s="92"/>
      <c r="D29" s="93"/>
      <c r="F29" s="31" t="s">
        <v>34</v>
      </c>
      <c r="G29" s="21" t="s">
        <v>102</v>
      </c>
      <c r="H29" s="23"/>
    </row>
    <row r="30" spans="2:24" ht="13.8" thickBot="1" x14ac:dyDescent="0.3">
      <c r="B30" s="5">
        <v>26</v>
      </c>
      <c r="C30" s="15"/>
      <c r="D30" s="16"/>
    </row>
    <row r="31" spans="2:24" ht="12.75" customHeight="1" x14ac:dyDescent="0.25">
      <c r="B31" s="5">
        <v>27</v>
      </c>
      <c r="C31" s="92"/>
      <c r="D31" s="93"/>
      <c r="F31" s="97" t="s">
        <v>113</v>
      </c>
      <c r="G31" s="98"/>
      <c r="H31" s="98"/>
      <c r="I31" s="98"/>
      <c r="J31" s="98"/>
      <c r="K31" s="98"/>
      <c r="L31" s="98"/>
      <c r="M31" s="98"/>
      <c r="N31" s="98"/>
      <c r="O31" s="98"/>
      <c r="P31" s="98"/>
      <c r="Q31" s="99"/>
    </row>
    <row r="32" spans="2:24" x14ac:dyDescent="0.25">
      <c r="B32" s="5">
        <v>28</v>
      </c>
      <c r="C32" s="15"/>
      <c r="D32" s="16"/>
      <c r="F32" s="100"/>
      <c r="G32" s="101"/>
      <c r="H32" s="101"/>
      <c r="I32" s="101"/>
      <c r="J32" s="101"/>
      <c r="K32" s="101"/>
      <c r="L32" s="101"/>
      <c r="M32" s="101"/>
      <c r="N32" s="101"/>
      <c r="O32" s="101"/>
      <c r="P32" s="101"/>
      <c r="Q32" s="102"/>
    </row>
    <row r="33" spans="2:17" x14ac:dyDescent="0.25">
      <c r="B33" s="5">
        <v>29</v>
      </c>
      <c r="C33" s="92"/>
      <c r="D33" s="93"/>
      <c r="F33" s="100"/>
      <c r="G33" s="101"/>
      <c r="H33" s="101"/>
      <c r="I33" s="101"/>
      <c r="J33" s="101"/>
      <c r="K33" s="101"/>
      <c r="L33" s="101"/>
      <c r="M33" s="101"/>
      <c r="N33" s="101"/>
      <c r="O33" s="101"/>
      <c r="P33" s="101"/>
      <c r="Q33" s="102"/>
    </row>
    <row r="34" spans="2:17" x14ac:dyDescent="0.25">
      <c r="B34" s="5">
        <v>30</v>
      </c>
      <c r="C34" s="15"/>
      <c r="D34" s="16"/>
      <c r="F34" s="100"/>
      <c r="G34" s="101"/>
      <c r="H34" s="101"/>
      <c r="I34" s="101"/>
      <c r="J34" s="101"/>
      <c r="K34" s="101"/>
      <c r="L34" s="101"/>
      <c r="M34" s="101"/>
      <c r="N34" s="101"/>
      <c r="O34" s="101"/>
      <c r="P34" s="101"/>
      <c r="Q34" s="102"/>
    </row>
    <row r="35" spans="2:17" x14ac:dyDescent="0.25">
      <c r="B35" s="5">
        <v>31</v>
      </c>
      <c r="C35" s="92"/>
      <c r="D35" s="93"/>
      <c r="F35" s="100"/>
      <c r="G35" s="101"/>
      <c r="H35" s="101"/>
      <c r="I35" s="101"/>
      <c r="J35" s="101"/>
      <c r="K35" s="101"/>
      <c r="L35" s="101"/>
      <c r="M35" s="101"/>
      <c r="N35" s="101"/>
      <c r="O35" s="101"/>
      <c r="P35" s="101"/>
      <c r="Q35" s="102"/>
    </row>
    <row r="36" spans="2:17" x14ac:dyDescent="0.25">
      <c r="B36" s="5">
        <v>32</v>
      </c>
      <c r="C36" s="15"/>
      <c r="D36" s="16"/>
      <c r="F36" s="100"/>
      <c r="G36" s="101"/>
      <c r="H36" s="101"/>
      <c r="I36" s="101"/>
      <c r="J36" s="101"/>
      <c r="K36" s="101"/>
      <c r="L36" s="101"/>
      <c r="M36" s="101"/>
      <c r="N36" s="101"/>
      <c r="O36" s="101"/>
      <c r="P36" s="101"/>
      <c r="Q36" s="102"/>
    </row>
    <row r="37" spans="2:17" x14ac:dyDescent="0.25">
      <c r="B37" s="5">
        <v>33</v>
      </c>
      <c r="C37" s="92"/>
      <c r="D37" s="93"/>
      <c r="F37" s="100"/>
      <c r="G37" s="101"/>
      <c r="H37" s="101"/>
      <c r="I37" s="101"/>
      <c r="J37" s="101"/>
      <c r="K37" s="101"/>
      <c r="L37" s="101"/>
      <c r="M37" s="101"/>
      <c r="N37" s="101"/>
      <c r="O37" s="101"/>
      <c r="P37" s="101"/>
      <c r="Q37" s="102"/>
    </row>
    <row r="38" spans="2:17" x14ac:dyDescent="0.25">
      <c r="B38" s="5">
        <v>34</v>
      </c>
      <c r="C38" s="15"/>
      <c r="D38" s="16"/>
      <c r="F38" s="100"/>
      <c r="G38" s="101"/>
      <c r="H38" s="101"/>
      <c r="I38" s="101"/>
      <c r="J38" s="101"/>
      <c r="K38" s="101"/>
      <c r="L38" s="101"/>
      <c r="M38" s="101"/>
      <c r="N38" s="101"/>
      <c r="O38" s="101"/>
      <c r="P38" s="101"/>
      <c r="Q38" s="102"/>
    </row>
    <row r="39" spans="2:17" x14ac:dyDescent="0.25">
      <c r="B39" s="5">
        <v>35</v>
      </c>
      <c r="C39" s="92"/>
      <c r="D39" s="93"/>
      <c r="F39" s="100"/>
      <c r="G39" s="101"/>
      <c r="H39" s="101"/>
      <c r="I39" s="101"/>
      <c r="J39" s="101"/>
      <c r="K39" s="101"/>
      <c r="L39" s="101"/>
      <c r="M39" s="101"/>
      <c r="N39" s="101"/>
      <c r="O39" s="101"/>
      <c r="P39" s="101"/>
      <c r="Q39" s="102"/>
    </row>
    <row r="40" spans="2:17" x14ac:dyDescent="0.25">
      <c r="B40" s="5">
        <v>36</v>
      </c>
      <c r="C40" s="15"/>
      <c r="D40" s="16"/>
      <c r="F40" s="100"/>
      <c r="G40" s="101"/>
      <c r="H40" s="101"/>
      <c r="I40" s="101"/>
      <c r="J40" s="101"/>
      <c r="K40" s="101"/>
      <c r="L40" s="101"/>
      <c r="M40" s="101"/>
      <c r="N40" s="101"/>
      <c r="O40" s="101"/>
      <c r="P40" s="101"/>
      <c r="Q40" s="102"/>
    </row>
    <row r="41" spans="2:17" x14ac:dyDescent="0.25">
      <c r="B41" s="5">
        <v>37</v>
      </c>
      <c r="C41" s="92"/>
      <c r="D41" s="93"/>
      <c r="F41" s="100"/>
      <c r="G41" s="101"/>
      <c r="H41" s="101"/>
      <c r="I41" s="101"/>
      <c r="J41" s="101"/>
      <c r="K41" s="101"/>
      <c r="L41" s="101"/>
      <c r="M41" s="101"/>
      <c r="N41" s="101"/>
      <c r="O41" s="101"/>
      <c r="P41" s="101"/>
      <c r="Q41" s="102"/>
    </row>
    <row r="42" spans="2:17" x14ac:dyDescent="0.25">
      <c r="B42" s="5">
        <v>38</v>
      </c>
      <c r="C42" s="15"/>
      <c r="D42" s="16"/>
      <c r="F42" s="100"/>
      <c r="G42" s="101"/>
      <c r="H42" s="101"/>
      <c r="I42" s="101"/>
      <c r="J42" s="101"/>
      <c r="K42" s="101"/>
      <c r="L42" s="101"/>
      <c r="M42" s="101"/>
      <c r="N42" s="101"/>
      <c r="O42" s="101"/>
      <c r="P42" s="101"/>
      <c r="Q42" s="102"/>
    </row>
    <row r="43" spans="2:17" x14ac:dyDescent="0.25">
      <c r="B43" s="5">
        <v>39</v>
      </c>
      <c r="C43" s="92"/>
      <c r="D43" s="93"/>
      <c r="F43" s="100"/>
      <c r="G43" s="101"/>
      <c r="H43" s="101"/>
      <c r="I43" s="101"/>
      <c r="J43" s="101"/>
      <c r="K43" s="101"/>
      <c r="L43" s="101"/>
      <c r="M43" s="101"/>
      <c r="N43" s="101"/>
      <c r="O43" s="101"/>
      <c r="P43" s="101"/>
      <c r="Q43" s="102"/>
    </row>
    <row r="44" spans="2:17" ht="13.8" thickBot="1" x14ac:dyDescent="0.3">
      <c r="B44" s="6">
        <v>40</v>
      </c>
      <c r="C44" s="17"/>
      <c r="D44" s="18"/>
      <c r="F44" s="103"/>
      <c r="G44" s="104"/>
      <c r="H44" s="104"/>
      <c r="I44" s="104"/>
      <c r="J44" s="104"/>
      <c r="K44" s="104"/>
      <c r="L44" s="104"/>
      <c r="M44" s="104"/>
      <c r="N44" s="104"/>
      <c r="O44" s="104"/>
      <c r="P44" s="104"/>
      <c r="Q44" s="105"/>
    </row>
    <row r="45" spans="2:17" x14ac:dyDescent="0.25">
      <c r="C45" s="10">
        <f>COUNTA(C5:C44)</f>
        <v>23</v>
      </c>
    </row>
  </sheetData>
  <sheetProtection sheet="1" objects="1" scenarios="1" selectLockedCells="1"/>
  <mergeCells count="6">
    <mergeCell ref="B2:D3"/>
    <mergeCell ref="F31:Q44"/>
    <mergeCell ref="T2:X2"/>
    <mergeCell ref="U3:X20"/>
    <mergeCell ref="F2:Q3"/>
    <mergeCell ref="G27:H27"/>
  </mergeCells>
  <pageMargins left="0.7" right="0.7" top="0.78740157499999996" bottom="0.78740157499999996" header="0.3" footer="0.3"/>
  <pageSetup paperSize="9" orientation="portrait" r:id="rId1"/>
  <ignoredErrors>
    <ignoredError sqref="J21 L21 N21" formula="1"/>
  </ignoredErrors>
  <drawing r:id="rId2"/>
  <legacyDrawing r:id="rId3"/>
  <controls>
    <mc:AlternateContent xmlns:mc="http://schemas.openxmlformats.org/markup-compatibility/2006">
      <mc:Choice Requires="x14">
        <control shapeId="10246" r:id="rId4" name="cmdClearAll">
          <controlPr defaultSize="0" autoLine="0" r:id="rId5">
            <anchor>
              <from>
                <xdr:col>11</xdr:col>
                <xdr:colOff>228600</xdr:colOff>
                <xdr:row>21</xdr:row>
                <xdr:rowOff>68580</xdr:rowOff>
              </from>
              <to>
                <xdr:col>14</xdr:col>
                <xdr:colOff>228600</xdr:colOff>
                <xdr:row>25</xdr:row>
                <xdr:rowOff>7620</xdr:rowOff>
              </to>
            </anchor>
          </controlPr>
        </control>
      </mc:Choice>
      <mc:Fallback>
        <control shapeId="10246" r:id="rId4" name="cmdClearAll"/>
      </mc:Fallback>
    </mc:AlternateContent>
    <mc:AlternateContent xmlns:mc="http://schemas.openxmlformats.org/markup-compatibility/2006">
      <mc:Choice Requires="x14">
        <control shapeId="10243" r:id="rId6" name="cmdCreateTables">
          <controlPr defaultSize="0" autoLine="0" r:id="rId7">
            <anchor>
              <from>
                <xdr:col>5</xdr:col>
                <xdr:colOff>0</xdr:colOff>
                <xdr:row>21</xdr:row>
                <xdr:rowOff>68580</xdr:rowOff>
              </from>
              <to>
                <xdr:col>8</xdr:col>
                <xdr:colOff>30480</xdr:colOff>
                <xdr:row>25</xdr:row>
                <xdr:rowOff>30480</xdr:rowOff>
              </to>
            </anchor>
          </controlPr>
        </control>
      </mc:Choice>
      <mc:Fallback>
        <control shapeId="10243" r:id="rId6" name="cmdCreateTables"/>
      </mc:Fallback>
    </mc:AlternateContent>
    <mc:AlternateContent xmlns:mc="http://schemas.openxmlformats.org/markup-compatibility/2006">
      <mc:Choice Requires="x14">
        <control shapeId="10244" r:id="rId8" name="cmdCreateResults">
          <controlPr defaultSize="0" autoLine="0" r:id="rId9">
            <anchor>
              <from>
                <xdr:col>8</xdr:col>
                <xdr:colOff>114300</xdr:colOff>
                <xdr:row>21</xdr:row>
                <xdr:rowOff>68580</xdr:rowOff>
              </from>
              <to>
                <xdr:col>11</xdr:col>
                <xdr:colOff>114300</xdr:colOff>
                <xdr:row>25</xdr:row>
                <xdr:rowOff>7620</xdr:rowOff>
              </to>
            </anchor>
          </controlPr>
        </control>
      </mc:Choice>
      <mc:Fallback>
        <control shapeId="10244" r:id="rId8" name="cmdCreateResults"/>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40" t="s">
        <v>0</v>
      </c>
      <c r="C2" s="41" t="s">
        <v>46</v>
      </c>
      <c r="D2" s="42" t="s">
        <v>1</v>
      </c>
      <c r="F2" s="43"/>
      <c r="G2" s="97" t="s">
        <v>47</v>
      </c>
      <c r="H2" s="98"/>
      <c r="I2" s="98"/>
      <c r="J2" s="98"/>
      <c r="K2" s="98"/>
      <c r="L2" s="99"/>
    </row>
    <row r="3" spans="2:15" x14ac:dyDescent="0.25">
      <c r="B3" s="49">
        <v>0</v>
      </c>
      <c r="C3" s="50">
        <v>0</v>
      </c>
      <c r="D3" s="51">
        <v>6</v>
      </c>
      <c r="E3" s="39" t="str">
        <f>IF(AND($C3=$C4,$C4&lt;$C5),"+",IF($C3&lt;$C4,"++",""))</f>
        <v/>
      </c>
      <c r="F3" s="43"/>
      <c r="G3" s="100"/>
      <c r="H3" s="101"/>
      <c r="I3" s="101"/>
      <c r="J3" s="101"/>
      <c r="K3" s="101"/>
      <c r="L3" s="102"/>
    </row>
    <row r="4" spans="2:15" x14ac:dyDescent="0.25">
      <c r="B4" s="52">
        <v>0.5</v>
      </c>
      <c r="C4" s="53">
        <v>0</v>
      </c>
      <c r="D4" s="54">
        <v>6</v>
      </c>
      <c r="E4" s="39" t="str">
        <f>IF(AND($C4=$C5,$C5&lt;$C6),"+",IF($C4&lt;$C5,"++",""))</f>
        <v/>
      </c>
      <c r="F4" s="43"/>
      <c r="G4" s="100"/>
      <c r="H4" s="101"/>
      <c r="I4" s="101"/>
      <c r="J4" s="101"/>
      <c r="K4" s="101"/>
      <c r="L4" s="102"/>
    </row>
    <row r="5" spans="2:15" x14ac:dyDescent="0.25">
      <c r="B5" s="52">
        <v>1</v>
      </c>
      <c r="C5" s="53">
        <v>0</v>
      </c>
      <c r="D5" s="54">
        <v>6</v>
      </c>
      <c r="E5" s="39" t="str">
        <f t="shared" ref="E5:E50" si="0">IF(AND($C5=$C6,$C6&lt;$C7),"+",IF($C5&lt;$C6,"++",IF(AND($C5=$C4,$C4&gt;$C3),"-",IF($C5&gt;$C4,"--",""))))</f>
        <v/>
      </c>
      <c r="F5" s="43"/>
      <c r="G5" s="100"/>
      <c r="H5" s="101"/>
      <c r="I5" s="101"/>
      <c r="J5" s="101"/>
      <c r="K5" s="101"/>
      <c r="L5" s="102"/>
    </row>
    <row r="6" spans="2:15" x14ac:dyDescent="0.25">
      <c r="B6" s="52">
        <v>1.5</v>
      </c>
      <c r="C6" s="53">
        <v>0</v>
      </c>
      <c r="D6" s="54">
        <v>6</v>
      </c>
      <c r="E6" s="39" t="str">
        <f t="shared" si="0"/>
        <v/>
      </c>
      <c r="F6" s="43"/>
      <c r="G6" s="100"/>
      <c r="H6" s="101"/>
      <c r="I6" s="101"/>
      <c r="J6" s="101"/>
      <c r="K6" s="101"/>
      <c r="L6" s="102"/>
    </row>
    <row r="7" spans="2:15" x14ac:dyDescent="0.25">
      <c r="B7" s="52">
        <v>2</v>
      </c>
      <c r="C7" s="53">
        <v>0</v>
      </c>
      <c r="D7" s="54">
        <v>6</v>
      </c>
      <c r="E7" s="39" t="str">
        <f t="shared" si="0"/>
        <v/>
      </c>
      <c r="F7" s="43"/>
      <c r="G7" s="100"/>
      <c r="H7" s="101"/>
      <c r="I7" s="101"/>
      <c r="J7" s="101"/>
      <c r="K7" s="101"/>
      <c r="L7" s="102"/>
    </row>
    <row r="8" spans="2:15" ht="12.75" customHeight="1" x14ac:dyDescent="0.25">
      <c r="B8" s="52">
        <v>2.5</v>
      </c>
      <c r="C8" s="53">
        <v>0</v>
      </c>
      <c r="D8" s="54">
        <v>6</v>
      </c>
      <c r="E8" s="39" t="str">
        <f t="shared" si="0"/>
        <v/>
      </c>
      <c r="F8" s="43"/>
      <c r="G8" s="100"/>
      <c r="H8" s="101"/>
      <c r="I8" s="101"/>
      <c r="J8" s="101"/>
      <c r="K8" s="101"/>
      <c r="L8" s="102"/>
      <c r="M8" s="44"/>
      <c r="N8" s="44"/>
      <c r="O8" s="44"/>
    </row>
    <row r="9" spans="2:15" x14ac:dyDescent="0.25">
      <c r="B9" s="52">
        <v>3</v>
      </c>
      <c r="C9" s="53">
        <v>0</v>
      </c>
      <c r="D9" s="54">
        <v>6</v>
      </c>
      <c r="E9" s="39" t="str">
        <f t="shared" si="0"/>
        <v/>
      </c>
      <c r="F9" s="43"/>
      <c r="G9" s="100"/>
      <c r="H9" s="101"/>
      <c r="I9" s="101"/>
      <c r="J9" s="101"/>
      <c r="K9" s="101"/>
      <c r="L9" s="102"/>
      <c r="M9" s="44"/>
      <c r="N9" s="44"/>
      <c r="O9" s="44"/>
    </row>
    <row r="10" spans="2:15" x14ac:dyDescent="0.25">
      <c r="B10" s="52">
        <v>3.5</v>
      </c>
      <c r="C10" s="53">
        <v>0</v>
      </c>
      <c r="D10" s="54">
        <v>6</v>
      </c>
      <c r="E10" s="39" t="str">
        <f t="shared" si="0"/>
        <v/>
      </c>
      <c r="F10" s="43"/>
      <c r="G10" s="100"/>
      <c r="H10" s="101"/>
      <c r="I10" s="101"/>
      <c r="J10" s="101"/>
      <c r="K10" s="101"/>
      <c r="L10" s="102"/>
      <c r="M10" s="44"/>
      <c r="N10" s="44"/>
      <c r="O10" s="44"/>
    </row>
    <row r="11" spans="2:15" x14ac:dyDescent="0.25">
      <c r="B11" s="52">
        <v>4</v>
      </c>
      <c r="C11" s="53">
        <v>0</v>
      </c>
      <c r="D11" s="54">
        <v>6</v>
      </c>
      <c r="E11" s="39" t="str">
        <f t="shared" si="0"/>
        <v/>
      </c>
      <c r="G11" s="100"/>
      <c r="H11" s="101"/>
      <c r="I11" s="101"/>
      <c r="J11" s="101"/>
      <c r="K11" s="101"/>
      <c r="L11" s="102"/>
      <c r="M11" s="44"/>
      <c r="N11" s="44"/>
      <c r="O11" s="44"/>
    </row>
    <row r="12" spans="2:15" x14ac:dyDescent="0.25">
      <c r="B12" s="52">
        <v>4.5</v>
      </c>
      <c r="C12" s="53">
        <v>0</v>
      </c>
      <c r="D12" s="54">
        <v>6</v>
      </c>
      <c r="E12" s="39" t="str">
        <f t="shared" si="0"/>
        <v/>
      </c>
      <c r="F12" s="43"/>
      <c r="G12" s="100"/>
      <c r="H12" s="101"/>
      <c r="I12" s="101"/>
      <c r="J12" s="101"/>
      <c r="K12" s="101"/>
      <c r="L12" s="102"/>
      <c r="M12" s="44"/>
      <c r="N12" s="44"/>
      <c r="O12" s="44"/>
    </row>
    <row r="13" spans="2:15" x14ac:dyDescent="0.25">
      <c r="B13" s="52">
        <v>5</v>
      </c>
      <c r="C13" s="53">
        <v>0</v>
      </c>
      <c r="D13" s="54">
        <v>6</v>
      </c>
      <c r="E13" s="39" t="str">
        <f t="shared" si="0"/>
        <v/>
      </c>
      <c r="F13" s="43"/>
      <c r="G13" s="100"/>
      <c r="H13" s="101"/>
      <c r="I13" s="101"/>
      <c r="J13" s="101"/>
      <c r="K13" s="101"/>
      <c r="L13" s="102"/>
      <c r="M13" s="44"/>
      <c r="N13" s="44"/>
      <c r="O13" s="44"/>
    </row>
    <row r="14" spans="2:15" x14ac:dyDescent="0.25">
      <c r="B14" s="52">
        <v>5.5</v>
      </c>
      <c r="C14" s="53">
        <v>0</v>
      </c>
      <c r="D14" s="54">
        <v>6</v>
      </c>
      <c r="E14" s="39" t="str">
        <f t="shared" si="0"/>
        <v/>
      </c>
      <c r="F14" s="43"/>
      <c r="G14" s="100"/>
      <c r="H14" s="101"/>
      <c r="I14" s="101"/>
      <c r="J14" s="101"/>
      <c r="K14" s="101"/>
      <c r="L14" s="102"/>
      <c r="M14" s="44"/>
      <c r="N14" s="44"/>
      <c r="O14" s="44"/>
    </row>
    <row r="15" spans="2:15" x14ac:dyDescent="0.25">
      <c r="B15" s="52">
        <v>6</v>
      </c>
      <c r="C15" s="53">
        <v>0</v>
      </c>
      <c r="D15" s="54">
        <v>6</v>
      </c>
      <c r="E15" s="39" t="str">
        <f t="shared" si="0"/>
        <v/>
      </c>
      <c r="F15" s="43"/>
      <c r="G15" s="63"/>
      <c r="H15" s="64"/>
      <c r="I15" s="64"/>
      <c r="J15" s="64"/>
      <c r="K15" s="64"/>
      <c r="L15" s="65"/>
      <c r="M15" s="44"/>
      <c r="N15" s="44"/>
      <c r="O15" s="44"/>
    </row>
    <row r="16" spans="2:15" x14ac:dyDescent="0.25">
      <c r="B16" s="52">
        <v>6.5</v>
      </c>
      <c r="C16" s="53">
        <v>0</v>
      </c>
      <c r="D16" s="54">
        <v>6</v>
      </c>
      <c r="E16" s="39" t="str">
        <f t="shared" si="0"/>
        <v/>
      </c>
      <c r="F16" s="43"/>
      <c r="G16" s="73"/>
      <c r="H16" s="66" t="s">
        <v>48</v>
      </c>
      <c r="I16" s="66"/>
      <c r="J16" s="66"/>
      <c r="K16" s="66"/>
      <c r="L16" s="68"/>
      <c r="M16" s="44"/>
      <c r="N16" s="44"/>
      <c r="O16" s="44"/>
    </row>
    <row r="17" spans="2:15" x14ac:dyDescent="0.25">
      <c r="B17" s="52">
        <v>7</v>
      </c>
      <c r="C17" s="53">
        <v>0</v>
      </c>
      <c r="D17" s="54">
        <v>6</v>
      </c>
      <c r="E17" s="39" t="str">
        <f t="shared" si="0"/>
        <v/>
      </c>
      <c r="F17" s="43"/>
      <c r="G17" s="74"/>
      <c r="H17" s="66" t="s">
        <v>49</v>
      </c>
      <c r="I17" s="66"/>
      <c r="J17" s="66"/>
      <c r="K17" s="66"/>
      <c r="L17" s="68"/>
      <c r="M17" s="44"/>
      <c r="N17" s="44"/>
      <c r="O17" s="44"/>
    </row>
    <row r="18" spans="2:15" x14ac:dyDescent="0.25">
      <c r="B18" s="52">
        <v>7.5</v>
      </c>
      <c r="C18" s="53">
        <v>0</v>
      </c>
      <c r="D18" s="54">
        <v>6</v>
      </c>
      <c r="E18" s="39" t="str">
        <f t="shared" si="0"/>
        <v/>
      </c>
      <c r="F18" s="43"/>
      <c r="G18" s="67"/>
      <c r="H18" s="66" t="s">
        <v>50</v>
      </c>
      <c r="I18" s="66"/>
      <c r="J18" s="66"/>
      <c r="K18" s="66"/>
      <c r="L18" s="68"/>
      <c r="M18" s="44"/>
      <c r="N18" s="44"/>
      <c r="O18" s="44"/>
    </row>
    <row r="19" spans="2:15" x14ac:dyDescent="0.25">
      <c r="B19" s="52">
        <v>8</v>
      </c>
      <c r="C19" s="53">
        <v>0</v>
      </c>
      <c r="D19" s="54">
        <v>6</v>
      </c>
      <c r="E19" s="39" t="str">
        <f t="shared" si="0"/>
        <v/>
      </c>
      <c r="F19" s="43"/>
      <c r="G19" s="69"/>
      <c r="H19" s="66" t="s">
        <v>51</v>
      </c>
      <c r="I19" s="66"/>
      <c r="J19" s="66"/>
      <c r="K19" s="66"/>
      <c r="L19" s="68"/>
      <c r="M19" s="44"/>
      <c r="N19" s="44"/>
      <c r="O19" s="44"/>
    </row>
    <row r="20" spans="2:15" ht="13.8" thickBot="1" x14ac:dyDescent="0.3">
      <c r="B20" s="52">
        <v>8.5</v>
      </c>
      <c r="C20" s="53">
        <v>0</v>
      </c>
      <c r="D20" s="54">
        <v>6</v>
      </c>
      <c r="E20" s="39" t="str">
        <f t="shared" si="0"/>
        <v/>
      </c>
      <c r="F20" s="43"/>
      <c r="G20" s="70"/>
      <c r="H20" s="71"/>
      <c r="I20" s="71"/>
      <c r="J20" s="71"/>
      <c r="K20" s="71"/>
      <c r="L20" s="72"/>
      <c r="M20" s="44"/>
      <c r="N20" s="44"/>
      <c r="O20" s="44"/>
    </row>
    <row r="21" spans="2:15" x14ac:dyDescent="0.25">
      <c r="B21" s="52">
        <v>9</v>
      </c>
      <c r="C21" s="53">
        <v>0</v>
      </c>
      <c r="D21" s="54">
        <v>6</v>
      </c>
      <c r="E21" s="39" t="str">
        <f t="shared" si="0"/>
        <v/>
      </c>
      <c r="G21" s="75"/>
      <c r="H21" s="75"/>
      <c r="I21" s="75"/>
      <c r="J21" s="75"/>
      <c r="K21" s="75"/>
      <c r="L21" s="75"/>
      <c r="M21" s="44"/>
      <c r="N21" s="44"/>
      <c r="O21" s="44"/>
    </row>
    <row r="22" spans="2:15" x14ac:dyDescent="0.25">
      <c r="B22" s="52">
        <v>9.5</v>
      </c>
      <c r="C22" s="53">
        <v>0</v>
      </c>
      <c r="D22" s="54">
        <v>6</v>
      </c>
      <c r="E22" s="39" t="str">
        <f t="shared" si="0"/>
        <v/>
      </c>
      <c r="G22" s="75"/>
      <c r="H22" s="75"/>
      <c r="I22" s="75"/>
      <c r="J22" s="75"/>
      <c r="K22" s="75"/>
      <c r="L22" s="75"/>
    </row>
    <row r="23" spans="2:15" x14ac:dyDescent="0.25">
      <c r="B23" s="52">
        <v>10</v>
      </c>
      <c r="C23" s="53">
        <v>0</v>
      </c>
      <c r="D23" s="54">
        <v>6</v>
      </c>
      <c r="E23" s="39" t="str">
        <f t="shared" si="0"/>
        <v/>
      </c>
      <c r="G23" s="75"/>
      <c r="H23" s="75"/>
      <c r="I23" s="75"/>
      <c r="J23" s="75"/>
      <c r="K23" s="75"/>
      <c r="L23" s="75"/>
    </row>
    <row r="24" spans="2:15" x14ac:dyDescent="0.25">
      <c r="B24" s="52">
        <v>10.5</v>
      </c>
      <c r="C24" s="53">
        <v>0</v>
      </c>
      <c r="D24" s="54">
        <v>6</v>
      </c>
      <c r="E24" s="39" t="str">
        <f t="shared" si="0"/>
        <v/>
      </c>
      <c r="G24" s="75"/>
      <c r="H24" s="75"/>
      <c r="I24" s="75"/>
      <c r="J24" s="75"/>
      <c r="K24" s="75"/>
      <c r="L24" s="75"/>
    </row>
    <row r="25" spans="2:15" x14ac:dyDescent="0.25">
      <c r="B25" s="52">
        <v>11</v>
      </c>
      <c r="C25" s="53">
        <v>0</v>
      </c>
      <c r="D25" s="54">
        <v>6</v>
      </c>
      <c r="E25" s="39" t="str">
        <f t="shared" si="0"/>
        <v/>
      </c>
    </row>
    <row r="26" spans="2:15" x14ac:dyDescent="0.25">
      <c r="B26" s="52">
        <v>11.5</v>
      </c>
      <c r="C26" s="53">
        <v>0</v>
      </c>
      <c r="D26" s="54">
        <v>6</v>
      </c>
      <c r="E26" s="39" t="str">
        <f t="shared" si="0"/>
        <v/>
      </c>
      <c r="G26" s="43"/>
      <c r="H26" s="43"/>
      <c r="I26" s="43"/>
      <c r="J26" s="43"/>
      <c r="K26" s="43"/>
      <c r="L26" s="43"/>
    </row>
    <row r="27" spans="2:15" x14ac:dyDescent="0.25">
      <c r="B27" s="52">
        <v>12</v>
      </c>
      <c r="C27" s="53">
        <v>0</v>
      </c>
      <c r="D27" s="54">
        <v>6</v>
      </c>
      <c r="E27" s="39" t="str">
        <f t="shared" si="0"/>
        <v/>
      </c>
      <c r="G27" s="43"/>
      <c r="H27" s="43"/>
      <c r="I27" s="43"/>
      <c r="J27" s="43"/>
      <c r="K27" s="43"/>
      <c r="L27" s="43"/>
    </row>
    <row r="28" spans="2:15" x14ac:dyDescent="0.25">
      <c r="B28" s="52">
        <v>12.5</v>
      </c>
      <c r="C28" s="53">
        <v>0</v>
      </c>
      <c r="D28" s="54">
        <v>6</v>
      </c>
      <c r="E28" s="39" t="str">
        <f t="shared" si="0"/>
        <v/>
      </c>
      <c r="G28" s="43"/>
      <c r="H28" s="43"/>
      <c r="I28" s="43"/>
      <c r="J28" s="43"/>
      <c r="K28" s="43"/>
      <c r="L28" s="43"/>
    </row>
    <row r="29" spans="2:15" x14ac:dyDescent="0.25">
      <c r="B29" s="52">
        <v>13</v>
      </c>
      <c r="C29" s="53">
        <v>0</v>
      </c>
      <c r="D29" s="54">
        <v>6</v>
      </c>
      <c r="E29" s="39" t="str">
        <f t="shared" si="0"/>
        <v/>
      </c>
      <c r="G29" s="43"/>
      <c r="H29" s="43"/>
      <c r="I29" s="43"/>
      <c r="J29" s="43"/>
      <c r="K29" s="43"/>
      <c r="L29" s="43"/>
    </row>
    <row r="30" spans="2:15" x14ac:dyDescent="0.25">
      <c r="B30" s="52">
        <v>13.5</v>
      </c>
      <c r="C30" s="53">
        <v>0</v>
      </c>
      <c r="D30" s="54">
        <v>6</v>
      </c>
      <c r="E30" s="39" t="str">
        <f t="shared" si="0"/>
        <v/>
      </c>
      <c r="G30" s="43"/>
      <c r="H30" s="43"/>
      <c r="I30" s="43"/>
      <c r="J30" s="43"/>
      <c r="K30" s="43"/>
      <c r="L30" s="43"/>
    </row>
    <row r="31" spans="2:15" x14ac:dyDescent="0.25">
      <c r="B31" s="52">
        <v>14</v>
      </c>
      <c r="C31" s="53">
        <v>0</v>
      </c>
      <c r="D31" s="54">
        <v>6</v>
      </c>
      <c r="E31" s="39" t="str">
        <f t="shared" si="0"/>
        <v/>
      </c>
      <c r="G31" s="43"/>
      <c r="H31" s="43"/>
      <c r="I31" s="43"/>
      <c r="J31" s="43"/>
      <c r="K31" s="43"/>
      <c r="L31" s="43"/>
    </row>
    <row r="32" spans="2:15" x14ac:dyDescent="0.25">
      <c r="B32" s="52">
        <v>14.5</v>
      </c>
      <c r="C32" s="53">
        <v>0</v>
      </c>
      <c r="D32" s="54">
        <v>6</v>
      </c>
      <c r="E32" s="39" t="str">
        <f t="shared" si="0"/>
        <v/>
      </c>
      <c r="G32" s="43"/>
      <c r="H32" s="43"/>
      <c r="I32" s="43"/>
      <c r="J32" s="43"/>
      <c r="K32" s="43"/>
      <c r="L32" s="43"/>
    </row>
    <row r="33" spans="2:12" x14ac:dyDescent="0.25">
      <c r="B33" s="52">
        <v>15</v>
      </c>
      <c r="C33" s="53">
        <v>0</v>
      </c>
      <c r="D33" s="54">
        <v>6</v>
      </c>
      <c r="E33" s="39" t="str">
        <f t="shared" si="0"/>
        <v/>
      </c>
      <c r="G33" s="43"/>
      <c r="H33" s="43"/>
      <c r="I33" s="43"/>
      <c r="J33" s="43"/>
      <c r="K33" s="43"/>
      <c r="L33" s="43"/>
    </row>
    <row r="34" spans="2:12" x14ac:dyDescent="0.25">
      <c r="B34" s="52">
        <v>15.5</v>
      </c>
      <c r="C34" s="53">
        <v>0</v>
      </c>
      <c r="D34" s="54">
        <v>6</v>
      </c>
      <c r="E34" s="39" t="str">
        <f t="shared" si="0"/>
        <v/>
      </c>
      <c r="G34" s="43"/>
      <c r="H34" s="43"/>
      <c r="I34" s="43"/>
      <c r="J34" s="43"/>
      <c r="K34" s="43"/>
      <c r="L34" s="43"/>
    </row>
    <row r="35" spans="2:12" x14ac:dyDescent="0.25">
      <c r="B35" s="52">
        <v>16</v>
      </c>
      <c r="C35" s="53">
        <v>0</v>
      </c>
      <c r="D35" s="54">
        <v>6</v>
      </c>
      <c r="E35" s="39" t="str">
        <f t="shared" si="0"/>
        <v/>
      </c>
    </row>
    <row r="36" spans="2:12" x14ac:dyDescent="0.25">
      <c r="B36" s="52">
        <v>16.5</v>
      </c>
      <c r="C36" s="53">
        <v>0</v>
      </c>
      <c r="D36" s="54">
        <v>6</v>
      </c>
      <c r="E36" s="39" t="str">
        <f t="shared" si="0"/>
        <v/>
      </c>
    </row>
    <row r="37" spans="2:12" x14ac:dyDescent="0.25">
      <c r="B37" s="52">
        <v>17</v>
      </c>
      <c r="C37" s="53">
        <v>0</v>
      </c>
      <c r="D37" s="54">
        <v>6</v>
      </c>
      <c r="E37" s="39" t="str">
        <f t="shared" si="0"/>
        <v/>
      </c>
    </row>
    <row r="38" spans="2:12" x14ac:dyDescent="0.25">
      <c r="B38" s="52">
        <v>17.5</v>
      </c>
      <c r="C38" s="53">
        <v>0</v>
      </c>
      <c r="D38" s="54">
        <v>6</v>
      </c>
      <c r="E38" s="39" t="str">
        <f t="shared" si="0"/>
        <v/>
      </c>
    </row>
    <row r="39" spans="2:12" x14ac:dyDescent="0.25">
      <c r="B39" s="52">
        <v>18</v>
      </c>
      <c r="C39" s="53">
        <v>0</v>
      </c>
      <c r="D39" s="54">
        <v>6</v>
      </c>
      <c r="E39" s="39" t="str">
        <f t="shared" si="0"/>
        <v/>
      </c>
    </row>
    <row r="40" spans="2:12" x14ac:dyDescent="0.25">
      <c r="B40" s="52">
        <v>18.5</v>
      </c>
      <c r="C40" s="53">
        <v>0</v>
      </c>
      <c r="D40" s="54">
        <v>6</v>
      </c>
      <c r="E40" s="39" t="str">
        <f t="shared" si="0"/>
        <v/>
      </c>
    </row>
    <row r="41" spans="2:12" x14ac:dyDescent="0.25">
      <c r="B41" s="52">
        <v>19</v>
      </c>
      <c r="C41" s="53">
        <v>0</v>
      </c>
      <c r="D41" s="54">
        <v>6</v>
      </c>
      <c r="E41" s="39" t="str">
        <f t="shared" si="0"/>
        <v/>
      </c>
    </row>
    <row r="42" spans="2:12" x14ac:dyDescent="0.25">
      <c r="B42" s="52">
        <v>19.5</v>
      </c>
      <c r="C42" s="53">
        <v>0</v>
      </c>
      <c r="D42" s="54">
        <v>6</v>
      </c>
      <c r="E42" s="39" t="str">
        <f t="shared" si="0"/>
        <v/>
      </c>
    </row>
    <row r="43" spans="2:12" x14ac:dyDescent="0.25">
      <c r="B43" s="52">
        <v>20</v>
      </c>
      <c r="C43" s="53">
        <v>0</v>
      </c>
      <c r="D43" s="54">
        <v>6</v>
      </c>
      <c r="E43" s="39" t="str">
        <f t="shared" si="0"/>
        <v/>
      </c>
    </row>
    <row r="44" spans="2:12" x14ac:dyDescent="0.25">
      <c r="B44" s="52">
        <v>20.5</v>
      </c>
      <c r="C44" s="53">
        <v>0</v>
      </c>
      <c r="D44" s="54">
        <v>6</v>
      </c>
      <c r="E44" s="39" t="str">
        <f t="shared" si="0"/>
        <v/>
      </c>
    </row>
    <row r="45" spans="2:12" x14ac:dyDescent="0.25">
      <c r="B45" s="52">
        <v>21</v>
      </c>
      <c r="C45" s="53">
        <v>0</v>
      </c>
      <c r="D45" s="54">
        <v>6</v>
      </c>
      <c r="E45" s="39" t="str">
        <f t="shared" si="0"/>
        <v/>
      </c>
    </row>
    <row r="46" spans="2:12" x14ac:dyDescent="0.25">
      <c r="B46" s="52">
        <v>21.5</v>
      </c>
      <c r="C46" s="53">
        <v>0</v>
      </c>
      <c r="D46" s="54">
        <v>6</v>
      </c>
      <c r="E46" s="39" t="str">
        <f t="shared" si="0"/>
        <v/>
      </c>
    </row>
    <row r="47" spans="2:12" x14ac:dyDescent="0.25">
      <c r="B47" s="52">
        <v>22</v>
      </c>
      <c r="C47" s="53">
        <v>0</v>
      </c>
      <c r="D47" s="54">
        <v>6</v>
      </c>
      <c r="E47" s="39" t="str">
        <f t="shared" si="0"/>
        <v/>
      </c>
    </row>
    <row r="48" spans="2:12" x14ac:dyDescent="0.25">
      <c r="B48" s="52">
        <v>22.5</v>
      </c>
      <c r="C48" s="53">
        <v>0</v>
      </c>
      <c r="D48" s="54">
        <v>6</v>
      </c>
      <c r="E48" s="39" t="str">
        <f t="shared" si="0"/>
        <v/>
      </c>
    </row>
    <row r="49" spans="2:5" x14ac:dyDescent="0.25">
      <c r="B49" s="52">
        <v>23</v>
      </c>
      <c r="C49" s="53">
        <v>0</v>
      </c>
      <c r="D49" s="54">
        <v>6</v>
      </c>
      <c r="E49" s="39" t="str">
        <f t="shared" si="0"/>
        <v/>
      </c>
    </row>
    <row r="50" spans="2:5" x14ac:dyDescent="0.25">
      <c r="B50" s="52">
        <v>23.5</v>
      </c>
      <c r="C50" s="53">
        <v>0</v>
      </c>
      <c r="D50" s="54">
        <v>6</v>
      </c>
      <c r="E50" s="39" t="str">
        <f t="shared" si="0"/>
        <v/>
      </c>
    </row>
    <row r="51" spans="2:5" x14ac:dyDescent="0.25">
      <c r="B51" s="52">
        <v>24</v>
      </c>
      <c r="C51" s="53">
        <v>0</v>
      </c>
      <c r="D51" s="54">
        <v>6</v>
      </c>
      <c r="E51" s="39" t="str">
        <f>IF(AND($C51=$C52,$C52&lt;$C53),"+",IF($C51&lt;$C52,"++",IF(AND($C51=$C50,$C50&gt;$C49),"-",IF($C51&gt;$C50,"--",""))))</f>
        <v>+</v>
      </c>
    </row>
    <row r="52" spans="2:5" x14ac:dyDescent="0.25">
      <c r="B52" s="52">
        <v>24.5</v>
      </c>
      <c r="C52" s="53">
        <v>0</v>
      </c>
      <c r="D52" s="54">
        <v>6</v>
      </c>
      <c r="E52" s="39" t="str">
        <f t="shared" ref="E52:E115" si="1">IF(AND($C52=$C53,$C53&lt;$C54),"+",IF($C52&lt;$C53,"++",IF(AND($C52=$C51,$C51&gt;$C50),"-",IF($C52&gt;$C51,"--",""))))</f>
        <v>++</v>
      </c>
    </row>
    <row r="53" spans="2:5" x14ac:dyDescent="0.25">
      <c r="B53" s="52">
        <v>25</v>
      </c>
      <c r="C53" s="53">
        <v>1</v>
      </c>
      <c r="D53" s="55" t="s">
        <v>15</v>
      </c>
      <c r="E53" s="39" t="str">
        <f t="shared" si="1"/>
        <v>--</v>
      </c>
    </row>
    <row r="54" spans="2:5" x14ac:dyDescent="0.25">
      <c r="B54" s="52">
        <v>25.5</v>
      </c>
      <c r="C54" s="53">
        <v>1</v>
      </c>
      <c r="D54" s="55" t="s">
        <v>15</v>
      </c>
      <c r="E54" s="39" t="str">
        <f t="shared" si="1"/>
        <v>-</v>
      </c>
    </row>
    <row r="55" spans="2:5" x14ac:dyDescent="0.25">
      <c r="B55" s="52">
        <v>26</v>
      </c>
      <c r="C55" s="53">
        <v>1</v>
      </c>
      <c r="D55" s="55" t="s">
        <v>15</v>
      </c>
      <c r="E55" s="39" t="str">
        <f t="shared" si="1"/>
        <v/>
      </c>
    </row>
    <row r="56" spans="2:5" x14ac:dyDescent="0.25">
      <c r="B56" s="52">
        <v>26.5</v>
      </c>
      <c r="C56" s="53">
        <v>1</v>
      </c>
      <c r="D56" s="55" t="s">
        <v>15</v>
      </c>
      <c r="E56" s="39" t="str">
        <f t="shared" si="1"/>
        <v/>
      </c>
    </row>
    <row r="57" spans="2:5" x14ac:dyDescent="0.25">
      <c r="B57" s="52">
        <v>27</v>
      </c>
      <c r="C57" s="53">
        <v>1</v>
      </c>
      <c r="D57" s="55" t="s">
        <v>15</v>
      </c>
      <c r="E57" s="39" t="str">
        <f t="shared" si="1"/>
        <v/>
      </c>
    </row>
    <row r="58" spans="2:5" x14ac:dyDescent="0.25">
      <c r="B58" s="52">
        <v>27.5</v>
      </c>
      <c r="C58" s="53">
        <v>1</v>
      </c>
      <c r="D58" s="55" t="s">
        <v>15</v>
      </c>
      <c r="E58" s="39" t="str">
        <f t="shared" si="1"/>
        <v/>
      </c>
    </row>
    <row r="59" spans="2:5" x14ac:dyDescent="0.25">
      <c r="B59" s="52">
        <v>28</v>
      </c>
      <c r="C59" s="53">
        <v>1</v>
      </c>
      <c r="D59" s="55" t="s">
        <v>15</v>
      </c>
      <c r="E59" s="39" t="str">
        <f t="shared" si="1"/>
        <v/>
      </c>
    </row>
    <row r="60" spans="2:5" x14ac:dyDescent="0.25">
      <c r="B60" s="52">
        <v>28.5</v>
      </c>
      <c r="C60" s="53">
        <v>1</v>
      </c>
      <c r="D60" s="55" t="s">
        <v>15</v>
      </c>
      <c r="E60" s="39" t="str">
        <f t="shared" si="1"/>
        <v/>
      </c>
    </row>
    <row r="61" spans="2:5" x14ac:dyDescent="0.25">
      <c r="B61" s="52">
        <v>29</v>
      </c>
      <c r="C61" s="53">
        <v>1</v>
      </c>
      <c r="D61" s="55" t="s">
        <v>15</v>
      </c>
      <c r="E61" s="39" t="str">
        <f t="shared" si="1"/>
        <v/>
      </c>
    </row>
    <row r="62" spans="2:5" x14ac:dyDescent="0.25">
      <c r="B62" s="52">
        <v>29.5</v>
      </c>
      <c r="C62" s="53">
        <v>1</v>
      </c>
      <c r="D62" s="55" t="s">
        <v>15</v>
      </c>
      <c r="E62" s="39" t="str">
        <f t="shared" si="1"/>
        <v/>
      </c>
    </row>
    <row r="63" spans="2:5" x14ac:dyDescent="0.25">
      <c r="B63" s="52">
        <v>30</v>
      </c>
      <c r="C63" s="53">
        <v>1</v>
      </c>
      <c r="D63" s="55" t="s">
        <v>15</v>
      </c>
      <c r="E63" s="39" t="str">
        <f t="shared" si="1"/>
        <v/>
      </c>
    </row>
    <row r="64" spans="2:5" x14ac:dyDescent="0.25">
      <c r="B64" s="52">
        <v>30.5</v>
      </c>
      <c r="C64" s="53">
        <v>1</v>
      </c>
      <c r="D64" s="55" t="s">
        <v>15</v>
      </c>
      <c r="E64" s="39" t="str">
        <f t="shared" si="1"/>
        <v/>
      </c>
    </row>
    <row r="65" spans="2:5" x14ac:dyDescent="0.25">
      <c r="B65" s="52">
        <v>31</v>
      </c>
      <c r="C65" s="53">
        <v>1</v>
      </c>
      <c r="D65" s="55" t="s">
        <v>15</v>
      </c>
      <c r="E65" s="39" t="str">
        <f t="shared" si="1"/>
        <v/>
      </c>
    </row>
    <row r="66" spans="2:5" x14ac:dyDescent="0.25">
      <c r="B66" s="52">
        <v>31.5</v>
      </c>
      <c r="C66" s="53">
        <v>1</v>
      </c>
      <c r="D66" s="55" t="s">
        <v>15</v>
      </c>
      <c r="E66" s="39" t="str">
        <f t="shared" si="1"/>
        <v/>
      </c>
    </row>
    <row r="67" spans="2:5" x14ac:dyDescent="0.25">
      <c r="B67" s="52">
        <v>32</v>
      </c>
      <c r="C67" s="53">
        <v>1</v>
      </c>
      <c r="D67" s="55" t="s">
        <v>15</v>
      </c>
      <c r="E67" s="39" t="str">
        <f t="shared" si="1"/>
        <v>+</v>
      </c>
    </row>
    <row r="68" spans="2:5" x14ac:dyDescent="0.25">
      <c r="B68" s="52">
        <v>32.5</v>
      </c>
      <c r="C68" s="53">
        <v>1</v>
      </c>
      <c r="D68" s="55" t="s">
        <v>15</v>
      </c>
      <c r="E68" s="39" t="str">
        <f t="shared" si="1"/>
        <v>++</v>
      </c>
    </row>
    <row r="69" spans="2:5" x14ac:dyDescent="0.25">
      <c r="B69" s="52">
        <v>33</v>
      </c>
      <c r="C69" s="53">
        <v>2</v>
      </c>
      <c r="D69" s="54">
        <v>5</v>
      </c>
      <c r="E69" s="39" t="str">
        <f t="shared" si="1"/>
        <v>--</v>
      </c>
    </row>
    <row r="70" spans="2:5" x14ac:dyDescent="0.25">
      <c r="B70" s="52">
        <v>33.5</v>
      </c>
      <c r="C70" s="53">
        <v>2</v>
      </c>
      <c r="D70" s="54">
        <v>5</v>
      </c>
      <c r="E70" s="39" t="str">
        <f t="shared" si="1"/>
        <v>-</v>
      </c>
    </row>
    <row r="71" spans="2:5" x14ac:dyDescent="0.25">
      <c r="B71" s="52">
        <v>34</v>
      </c>
      <c r="C71" s="53">
        <v>2</v>
      </c>
      <c r="D71" s="54">
        <v>5</v>
      </c>
      <c r="E71" s="39" t="str">
        <f t="shared" si="1"/>
        <v/>
      </c>
    </row>
    <row r="72" spans="2:5" x14ac:dyDescent="0.25">
      <c r="B72" s="52">
        <v>34.5</v>
      </c>
      <c r="C72" s="53">
        <v>2</v>
      </c>
      <c r="D72" s="54">
        <v>5</v>
      </c>
      <c r="E72" s="39" t="str">
        <f t="shared" si="1"/>
        <v/>
      </c>
    </row>
    <row r="73" spans="2:5" x14ac:dyDescent="0.25">
      <c r="B73" s="52">
        <v>35</v>
      </c>
      <c r="C73" s="53">
        <v>2</v>
      </c>
      <c r="D73" s="54">
        <v>5</v>
      </c>
      <c r="E73" s="39" t="str">
        <f t="shared" si="1"/>
        <v/>
      </c>
    </row>
    <row r="74" spans="2:5" x14ac:dyDescent="0.25">
      <c r="B74" s="52">
        <v>35.5</v>
      </c>
      <c r="C74" s="53">
        <v>2</v>
      </c>
      <c r="D74" s="54">
        <v>5</v>
      </c>
      <c r="E74" s="39" t="str">
        <f t="shared" si="1"/>
        <v/>
      </c>
    </row>
    <row r="75" spans="2:5" x14ac:dyDescent="0.25">
      <c r="B75" s="52">
        <v>36</v>
      </c>
      <c r="C75" s="53">
        <v>2</v>
      </c>
      <c r="D75" s="54">
        <v>5</v>
      </c>
      <c r="E75" s="39" t="str">
        <f t="shared" si="1"/>
        <v/>
      </c>
    </row>
    <row r="76" spans="2:5" x14ac:dyDescent="0.25">
      <c r="B76" s="52">
        <v>36.5</v>
      </c>
      <c r="C76" s="53">
        <v>2</v>
      </c>
      <c r="D76" s="54">
        <v>5</v>
      </c>
      <c r="E76" s="39" t="str">
        <f t="shared" si="1"/>
        <v/>
      </c>
    </row>
    <row r="77" spans="2:5" x14ac:dyDescent="0.25">
      <c r="B77" s="52">
        <v>37</v>
      </c>
      <c r="C77" s="53">
        <v>2</v>
      </c>
      <c r="D77" s="54">
        <v>5</v>
      </c>
      <c r="E77" s="39" t="str">
        <f t="shared" si="1"/>
        <v/>
      </c>
    </row>
    <row r="78" spans="2:5" x14ac:dyDescent="0.25">
      <c r="B78" s="52">
        <v>37.5</v>
      </c>
      <c r="C78" s="53">
        <v>2</v>
      </c>
      <c r="D78" s="54">
        <v>5</v>
      </c>
      <c r="E78" s="39" t="str">
        <f t="shared" si="1"/>
        <v/>
      </c>
    </row>
    <row r="79" spans="2:5" x14ac:dyDescent="0.25">
      <c r="B79" s="52">
        <v>38</v>
      </c>
      <c r="C79" s="53">
        <v>2</v>
      </c>
      <c r="D79" s="54">
        <v>5</v>
      </c>
      <c r="E79" s="39" t="str">
        <f t="shared" si="1"/>
        <v/>
      </c>
    </row>
    <row r="80" spans="2:5" x14ac:dyDescent="0.25">
      <c r="B80" s="52">
        <v>38.5</v>
      </c>
      <c r="C80" s="53">
        <v>2</v>
      </c>
      <c r="D80" s="54">
        <v>5</v>
      </c>
      <c r="E80" s="39" t="str">
        <f t="shared" si="1"/>
        <v/>
      </c>
    </row>
    <row r="81" spans="2:5" x14ac:dyDescent="0.25">
      <c r="B81" s="52">
        <v>39</v>
      </c>
      <c r="C81" s="53">
        <v>2</v>
      </c>
      <c r="D81" s="54">
        <v>5</v>
      </c>
      <c r="E81" s="39" t="str">
        <f t="shared" si="1"/>
        <v/>
      </c>
    </row>
    <row r="82" spans="2:5" x14ac:dyDescent="0.25">
      <c r="B82" s="52">
        <v>39.5</v>
      </c>
      <c r="C82" s="53">
        <v>2</v>
      </c>
      <c r="D82" s="54">
        <v>5</v>
      </c>
      <c r="E82" s="39" t="str">
        <f t="shared" si="1"/>
        <v/>
      </c>
    </row>
    <row r="83" spans="2:5" x14ac:dyDescent="0.25">
      <c r="B83" s="52">
        <v>40</v>
      </c>
      <c r="C83" s="53">
        <v>2</v>
      </c>
      <c r="D83" s="54">
        <v>5</v>
      </c>
      <c r="E83" s="39" t="str">
        <f t="shared" si="1"/>
        <v>+</v>
      </c>
    </row>
    <row r="84" spans="2:5" x14ac:dyDescent="0.25">
      <c r="B84" s="52">
        <v>40.5</v>
      </c>
      <c r="C84" s="53">
        <v>2</v>
      </c>
      <c r="D84" s="54">
        <v>5</v>
      </c>
      <c r="E84" s="39" t="str">
        <f t="shared" si="1"/>
        <v>++</v>
      </c>
    </row>
    <row r="85" spans="2:5" x14ac:dyDescent="0.25">
      <c r="B85" s="52">
        <v>41</v>
      </c>
      <c r="C85" s="53">
        <v>3</v>
      </c>
      <c r="D85" s="56" t="s">
        <v>7</v>
      </c>
      <c r="E85" s="39" t="str">
        <f t="shared" si="1"/>
        <v>--</v>
      </c>
    </row>
    <row r="86" spans="2:5" x14ac:dyDescent="0.25">
      <c r="B86" s="52">
        <v>41.5</v>
      </c>
      <c r="C86" s="53">
        <v>3</v>
      </c>
      <c r="D86" s="56" t="s">
        <v>7</v>
      </c>
      <c r="E86" s="39" t="str">
        <f t="shared" si="1"/>
        <v>-</v>
      </c>
    </row>
    <row r="87" spans="2:5" x14ac:dyDescent="0.25">
      <c r="B87" s="52">
        <v>42</v>
      </c>
      <c r="C87" s="53">
        <v>3</v>
      </c>
      <c r="D87" s="56" t="s">
        <v>7</v>
      </c>
      <c r="E87" s="39" t="str">
        <f t="shared" si="1"/>
        <v/>
      </c>
    </row>
    <row r="88" spans="2:5" x14ac:dyDescent="0.25">
      <c r="B88" s="52">
        <v>42.5</v>
      </c>
      <c r="C88" s="53">
        <v>3</v>
      </c>
      <c r="D88" s="56" t="s">
        <v>7</v>
      </c>
      <c r="E88" s="39" t="str">
        <f t="shared" si="1"/>
        <v/>
      </c>
    </row>
    <row r="89" spans="2:5" x14ac:dyDescent="0.25">
      <c r="B89" s="52">
        <v>43</v>
      </c>
      <c r="C89" s="53">
        <v>3</v>
      </c>
      <c r="D89" s="56" t="s">
        <v>7</v>
      </c>
      <c r="E89" s="39" t="str">
        <f t="shared" si="1"/>
        <v/>
      </c>
    </row>
    <row r="90" spans="2:5" x14ac:dyDescent="0.25">
      <c r="B90" s="52">
        <v>43.5</v>
      </c>
      <c r="C90" s="53">
        <v>3</v>
      </c>
      <c r="D90" s="56" t="s">
        <v>7</v>
      </c>
      <c r="E90" s="39" t="str">
        <f t="shared" si="1"/>
        <v/>
      </c>
    </row>
    <row r="91" spans="2:5" x14ac:dyDescent="0.25">
      <c r="B91" s="52">
        <v>44</v>
      </c>
      <c r="C91" s="53">
        <v>3</v>
      </c>
      <c r="D91" s="56" t="s">
        <v>7</v>
      </c>
      <c r="E91" s="39" t="str">
        <f t="shared" si="1"/>
        <v/>
      </c>
    </row>
    <row r="92" spans="2:5" x14ac:dyDescent="0.25">
      <c r="B92" s="52">
        <v>44.5</v>
      </c>
      <c r="C92" s="53">
        <v>3</v>
      </c>
      <c r="D92" s="56" t="s">
        <v>7</v>
      </c>
      <c r="E92" s="39" t="str">
        <f t="shared" si="1"/>
        <v/>
      </c>
    </row>
    <row r="93" spans="2:5" x14ac:dyDescent="0.25">
      <c r="B93" s="52">
        <v>45</v>
      </c>
      <c r="C93" s="53">
        <v>3</v>
      </c>
      <c r="D93" s="56" t="s">
        <v>7</v>
      </c>
      <c r="E93" s="39" t="str">
        <f t="shared" si="1"/>
        <v/>
      </c>
    </row>
    <row r="94" spans="2:5" x14ac:dyDescent="0.25">
      <c r="B94" s="52">
        <v>45.5</v>
      </c>
      <c r="C94" s="53">
        <v>3</v>
      </c>
      <c r="D94" s="56" t="s">
        <v>7</v>
      </c>
      <c r="E94" s="39" t="str">
        <f t="shared" si="1"/>
        <v/>
      </c>
    </row>
    <row r="95" spans="2:5" x14ac:dyDescent="0.25">
      <c r="B95" s="52">
        <v>46</v>
      </c>
      <c r="C95" s="53">
        <v>3</v>
      </c>
      <c r="D95" s="56" t="s">
        <v>7</v>
      </c>
      <c r="E95" s="39" t="str">
        <f t="shared" si="1"/>
        <v/>
      </c>
    </row>
    <row r="96" spans="2:5" x14ac:dyDescent="0.25">
      <c r="B96" s="52">
        <v>46.5</v>
      </c>
      <c r="C96" s="53">
        <v>3</v>
      </c>
      <c r="D96" s="56" t="s">
        <v>7</v>
      </c>
      <c r="E96" s="39" t="str">
        <f t="shared" si="1"/>
        <v/>
      </c>
    </row>
    <row r="97" spans="2:5" x14ac:dyDescent="0.25">
      <c r="B97" s="52">
        <v>47</v>
      </c>
      <c r="C97" s="53">
        <v>3</v>
      </c>
      <c r="D97" s="56" t="s">
        <v>7</v>
      </c>
      <c r="E97" s="39" t="str">
        <f t="shared" si="1"/>
        <v/>
      </c>
    </row>
    <row r="98" spans="2:5" x14ac:dyDescent="0.25">
      <c r="B98" s="52">
        <v>47.5</v>
      </c>
      <c r="C98" s="53">
        <v>3</v>
      </c>
      <c r="D98" s="56" t="s">
        <v>7</v>
      </c>
      <c r="E98" s="39" t="str">
        <f t="shared" si="1"/>
        <v/>
      </c>
    </row>
    <row r="99" spans="2:5" x14ac:dyDescent="0.25">
      <c r="B99" s="52">
        <v>48</v>
      </c>
      <c r="C99" s="53">
        <v>3</v>
      </c>
      <c r="D99" s="56" t="s">
        <v>7</v>
      </c>
      <c r="E99" s="39" t="str">
        <f t="shared" si="1"/>
        <v>+</v>
      </c>
    </row>
    <row r="100" spans="2:5" x14ac:dyDescent="0.25">
      <c r="B100" s="52">
        <v>48.5</v>
      </c>
      <c r="C100" s="53">
        <v>3</v>
      </c>
      <c r="D100" s="56" t="s">
        <v>7</v>
      </c>
      <c r="E100" s="39" t="str">
        <f t="shared" si="1"/>
        <v>++</v>
      </c>
    </row>
    <row r="101" spans="2:5" x14ac:dyDescent="0.25">
      <c r="B101" s="52">
        <v>49</v>
      </c>
      <c r="C101" s="53">
        <v>4</v>
      </c>
      <c r="D101" s="55" t="s">
        <v>2</v>
      </c>
      <c r="E101" s="39" t="str">
        <f t="shared" si="1"/>
        <v>--</v>
      </c>
    </row>
    <row r="102" spans="2:5" x14ac:dyDescent="0.25">
      <c r="B102" s="52">
        <v>49.5</v>
      </c>
      <c r="C102" s="53">
        <v>4</v>
      </c>
      <c r="D102" s="55" t="s">
        <v>2</v>
      </c>
      <c r="E102" s="39" t="str">
        <f t="shared" si="1"/>
        <v>-</v>
      </c>
    </row>
    <row r="103" spans="2:5" x14ac:dyDescent="0.25">
      <c r="B103" s="52">
        <v>50</v>
      </c>
      <c r="C103" s="53">
        <v>4</v>
      </c>
      <c r="D103" s="55" t="s">
        <v>2</v>
      </c>
      <c r="E103" s="39" t="str">
        <f t="shared" si="1"/>
        <v/>
      </c>
    </row>
    <row r="104" spans="2:5" x14ac:dyDescent="0.25">
      <c r="B104" s="52">
        <v>50.5</v>
      </c>
      <c r="C104" s="53">
        <v>4</v>
      </c>
      <c r="D104" s="55" t="s">
        <v>2</v>
      </c>
      <c r="E104" s="39" t="str">
        <f t="shared" si="1"/>
        <v/>
      </c>
    </row>
    <row r="105" spans="2:5" x14ac:dyDescent="0.25">
      <c r="B105" s="52">
        <v>51</v>
      </c>
      <c r="C105" s="53">
        <v>4</v>
      </c>
      <c r="D105" s="55" t="s">
        <v>2</v>
      </c>
      <c r="E105" s="39" t="str">
        <f t="shared" si="1"/>
        <v/>
      </c>
    </row>
    <row r="106" spans="2:5" x14ac:dyDescent="0.25">
      <c r="B106" s="52">
        <v>51.5</v>
      </c>
      <c r="C106" s="53">
        <v>4</v>
      </c>
      <c r="D106" s="55" t="s">
        <v>2</v>
      </c>
      <c r="E106" s="39" t="str">
        <f t="shared" si="1"/>
        <v/>
      </c>
    </row>
    <row r="107" spans="2:5" x14ac:dyDescent="0.25">
      <c r="B107" s="52">
        <v>52</v>
      </c>
      <c r="C107" s="53">
        <v>4</v>
      </c>
      <c r="D107" s="55" t="s">
        <v>2</v>
      </c>
      <c r="E107" s="39" t="str">
        <f t="shared" si="1"/>
        <v/>
      </c>
    </row>
    <row r="108" spans="2:5" x14ac:dyDescent="0.25">
      <c r="B108" s="52">
        <v>52.5</v>
      </c>
      <c r="C108" s="53">
        <v>4</v>
      </c>
      <c r="D108" s="55" t="s">
        <v>2</v>
      </c>
      <c r="E108" s="39" t="str">
        <f t="shared" si="1"/>
        <v/>
      </c>
    </row>
    <row r="109" spans="2:5" x14ac:dyDescent="0.25">
      <c r="B109" s="52">
        <v>53</v>
      </c>
      <c r="C109" s="53">
        <v>4</v>
      </c>
      <c r="D109" s="55" t="s">
        <v>2</v>
      </c>
      <c r="E109" s="39" t="str">
        <f t="shared" si="1"/>
        <v/>
      </c>
    </row>
    <row r="110" spans="2:5" x14ac:dyDescent="0.25">
      <c r="B110" s="52">
        <v>53.5</v>
      </c>
      <c r="C110" s="53">
        <v>4</v>
      </c>
      <c r="D110" s="55" t="s">
        <v>2</v>
      </c>
      <c r="E110" s="39" t="str">
        <f t="shared" si="1"/>
        <v/>
      </c>
    </row>
    <row r="111" spans="2:5" x14ac:dyDescent="0.25">
      <c r="B111" s="52">
        <v>54</v>
      </c>
      <c r="C111" s="53">
        <v>4</v>
      </c>
      <c r="D111" s="55" t="s">
        <v>2</v>
      </c>
      <c r="E111" s="39" t="str">
        <f t="shared" si="1"/>
        <v>+</v>
      </c>
    </row>
    <row r="112" spans="2:5" x14ac:dyDescent="0.25">
      <c r="B112" s="52">
        <v>54.5</v>
      </c>
      <c r="C112" s="53">
        <v>4</v>
      </c>
      <c r="D112" s="55" t="s">
        <v>2</v>
      </c>
      <c r="E112" s="39" t="str">
        <f t="shared" si="1"/>
        <v>++</v>
      </c>
    </row>
    <row r="113" spans="2:5" x14ac:dyDescent="0.25">
      <c r="B113" s="52">
        <v>55</v>
      </c>
      <c r="C113" s="53">
        <v>5</v>
      </c>
      <c r="D113" s="54">
        <v>4</v>
      </c>
      <c r="E113" s="39" t="str">
        <f t="shared" si="1"/>
        <v>--</v>
      </c>
    </row>
    <row r="114" spans="2:5" x14ac:dyDescent="0.25">
      <c r="B114" s="52">
        <v>55.5</v>
      </c>
      <c r="C114" s="53">
        <v>5</v>
      </c>
      <c r="D114" s="54">
        <v>4</v>
      </c>
      <c r="E114" s="39" t="str">
        <f t="shared" si="1"/>
        <v>-</v>
      </c>
    </row>
    <row r="115" spans="2:5" x14ac:dyDescent="0.25">
      <c r="B115" s="52">
        <v>56</v>
      </c>
      <c r="C115" s="53">
        <v>5</v>
      </c>
      <c r="D115" s="54">
        <v>4</v>
      </c>
      <c r="E115" s="39" t="str">
        <f t="shared" si="1"/>
        <v/>
      </c>
    </row>
    <row r="116" spans="2:5" x14ac:dyDescent="0.25">
      <c r="B116" s="52">
        <v>56.5</v>
      </c>
      <c r="C116" s="53">
        <v>5</v>
      </c>
      <c r="D116" s="54">
        <v>4</v>
      </c>
      <c r="E116" s="39" t="str">
        <f t="shared" ref="E116:E179" si="2">IF(AND($C116=$C117,$C117&lt;$C118),"+",IF($C116&lt;$C117,"++",IF(AND($C116=$C115,$C115&gt;$C114),"-",IF($C116&gt;$C115,"--",""))))</f>
        <v/>
      </c>
    </row>
    <row r="117" spans="2:5" x14ac:dyDescent="0.25">
      <c r="B117" s="52">
        <v>57</v>
      </c>
      <c r="C117" s="53">
        <v>5</v>
      </c>
      <c r="D117" s="54">
        <v>4</v>
      </c>
      <c r="E117" s="39" t="str">
        <f t="shared" si="2"/>
        <v/>
      </c>
    </row>
    <row r="118" spans="2:5" x14ac:dyDescent="0.25">
      <c r="B118" s="52">
        <v>57.5</v>
      </c>
      <c r="C118" s="53">
        <v>5</v>
      </c>
      <c r="D118" s="54">
        <v>4</v>
      </c>
      <c r="E118" s="39" t="str">
        <f t="shared" si="2"/>
        <v/>
      </c>
    </row>
    <row r="119" spans="2:5" x14ac:dyDescent="0.25">
      <c r="B119" s="52">
        <v>58</v>
      </c>
      <c r="C119" s="53">
        <v>5</v>
      </c>
      <c r="D119" s="54">
        <v>4</v>
      </c>
      <c r="E119" s="39" t="str">
        <f t="shared" si="2"/>
        <v/>
      </c>
    </row>
    <row r="120" spans="2:5" x14ac:dyDescent="0.25">
      <c r="B120" s="52">
        <v>58.5</v>
      </c>
      <c r="C120" s="53">
        <v>5</v>
      </c>
      <c r="D120" s="54">
        <v>4</v>
      </c>
      <c r="E120" s="39" t="str">
        <f t="shared" si="2"/>
        <v/>
      </c>
    </row>
    <row r="121" spans="2:5" x14ac:dyDescent="0.25">
      <c r="B121" s="52">
        <v>59</v>
      </c>
      <c r="C121" s="53">
        <v>5</v>
      </c>
      <c r="D121" s="54">
        <v>4</v>
      </c>
      <c r="E121" s="39" t="str">
        <f t="shared" si="2"/>
        <v/>
      </c>
    </row>
    <row r="122" spans="2:5" x14ac:dyDescent="0.25">
      <c r="B122" s="52">
        <v>59.5</v>
      </c>
      <c r="C122" s="53">
        <v>5</v>
      </c>
      <c r="D122" s="54">
        <v>4</v>
      </c>
      <c r="E122" s="39" t="str">
        <f t="shared" si="2"/>
        <v/>
      </c>
    </row>
    <row r="123" spans="2:5" x14ac:dyDescent="0.25">
      <c r="B123" s="52">
        <v>60</v>
      </c>
      <c r="C123" s="53">
        <v>5</v>
      </c>
      <c r="D123" s="54">
        <v>4</v>
      </c>
      <c r="E123" s="39" t="str">
        <f t="shared" si="2"/>
        <v>+</v>
      </c>
    </row>
    <row r="124" spans="2:5" x14ac:dyDescent="0.25">
      <c r="B124" s="52">
        <v>60.5</v>
      </c>
      <c r="C124" s="53">
        <v>5</v>
      </c>
      <c r="D124" s="54">
        <v>4</v>
      </c>
      <c r="E124" s="39" t="str">
        <f t="shared" si="2"/>
        <v>++</v>
      </c>
    </row>
    <row r="125" spans="2:5" x14ac:dyDescent="0.25">
      <c r="B125" s="52">
        <v>61</v>
      </c>
      <c r="C125" s="53">
        <v>6</v>
      </c>
      <c r="D125" s="56" t="s">
        <v>5</v>
      </c>
      <c r="E125" s="39" t="str">
        <f t="shared" si="2"/>
        <v>--</v>
      </c>
    </row>
    <row r="126" spans="2:5" x14ac:dyDescent="0.25">
      <c r="B126" s="52">
        <v>61.5</v>
      </c>
      <c r="C126" s="53">
        <v>6</v>
      </c>
      <c r="D126" s="56" t="s">
        <v>5</v>
      </c>
      <c r="E126" s="39" t="str">
        <f t="shared" si="2"/>
        <v>-</v>
      </c>
    </row>
    <row r="127" spans="2:5" x14ac:dyDescent="0.25">
      <c r="B127" s="52">
        <v>62</v>
      </c>
      <c r="C127" s="53">
        <v>6</v>
      </c>
      <c r="D127" s="56" t="s">
        <v>5</v>
      </c>
      <c r="E127" s="39" t="str">
        <f t="shared" si="2"/>
        <v/>
      </c>
    </row>
    <row r="128" spans="2:5" x14ac:dyDescent="0.25">
      <c r="B128" s="52">
        <v>62.5</v>
      </c>
      <c r="C128" s="53">
        <v>6</v>
      </c>
      <c r="D128" s="56" t="s">
        <v>5</v>
      </c>
      <c r="E128" s="39" t="str">
        <f t="shared" si="2"/>
        <v/>
      </c>
    </row>
    <row r="129" spans="2:5" x14ac:dyDescent="0.25">
      <c r="B129" s="52">
        <v>63</v>
      </c>
      <c r="C129" s="53">
        <v>6</v>
      </c>
      <c r="D129" s="56" t="s">
        <v>5</v>
      </c>
      <c r="E129" s="39" t="str">
        <f t="shared" si="2"/>
        <v/>
      </c>
    </row>
    <row r="130" spans="2:5" x14ac:dyDescent="0.25">
      <c r="B130" s="52">
        <v>63.5</v>
      </c>
      <c r="C130" s="53">
        <v>6</v>
      </c>
      <c r="D130" s="56" t="s">
        <v>5</v>
      </c>
      <c r="E130" s="39" t="str">
        <f t="shared" si="2"/>
        <v/>
      </c>
    </row>
    <row r="131" spans="2:5" x14ac:dyDescent="0.25">
      <c r="B131" s="52">
        <v>64</v>
      </c>
      <c r="C131" s="53">
        <v>6</v>
      </c>
      <c r="D131" s="56" t="s">
        <v>5</v>
      </c>
      <c r="E131" s="39" t="str">
        <f t="shared" si="2"/>
        <v/>
      </c>
    </row>
    <row r="132" spans="2:5" x14ac:dyDescent="0.25">
      <c r="B132" s="52">
        <v>64.5</v>
      </c>
      <c r="C132" s="53">
        <v>6</v>
      </c>
      <c r="D132" s="56" t="s">
        <v>5</v>
      </c>
      <c r="E132" s="39" t="str">
        <f t="shared" si="2"/>
        <v/>
      </c>
    </row>
    <row r="133" spans="2:5" x14ac:dyDescent="0.25">
      <c r="B133" s="52">
        <v>65</v>
      </c>
      <c r="C133" s="53">
        <v>6</v>
      </c>
      <c r="D133" s="56" t="s">
        <v>5</v>
      </c>
      <c r="E133" s="39" t="str">
        <f t="shared" si="2"/>
        <v/>
      </c>
    </row>
    <row r="134" spans="2:5" x14ac:dyDescent="0.25">
      <c r="B134" s="52">
        <v>65.5</v>
      </c>
      <c r="C134" s="53">
        <v>6</v>
      </c>
      <c r="D134" s="56" t="s">
        <v>5</v>
      </c>
      <c r="E134" s="39" t="str">
        <f t="shared" si="2"/>
        <v/>
      </c>
    </row>
    <row r="135" spans="2:5" x14ac:dyDescent="0.25">
      <c r="B135" s="52">
        <v>66</v>
      </c>
      <c r="C135" s="53">
        <v>6</v>
      </c>
      <c r="D135" s="56" t="s">
        <v>5</v>
      </c>
      <c r="E135" s="39" t="str">
        <f t="shared" si="2"/>
        <v>+</v>
      </c>
    </row>
    <row r="136" spans="2:5" x14ac:dyDescent="0.25">
      <c r="B136" s="52">
        <v>66.5</v>
      </c>
      <c r="C136" s="53">
        <v>6</v>
      </c>
      <c r="D136" s="56" t="s">
        <v>5</v>
      </c>
      <c r="E136" s="39" t="str">
        <f t="shared" si="2"/>
        <v>++</v>
      </c>
    </row>
    <row r="137" spans="2:5" x14ac:dyDescent="0.25">
      <c r="B137" s="52">
        <v>67</v>
      </c>
      <c r="C137" s="53">
        <v>7</v>
      </c>
      <c r="D137" s="55" t="s">
        <v>3</v>
      </c>
      <c r="E137" s="39" t="str">
        <f t="shared" si="2"/>
        <v>--</v>
      </c>
    </row>
    <row r="138" spans="2:5" x14ac:dyDescent="0.25">
      <c r="B138" s="52">
        <v>67.5</v>
      </c>
      <c r="C138" s="53">
        <v>7</v>
      </c>
      <c r="D138" s="55" t="s">
        <v>3</v>
      </c>
      <c r="E138" s="39" t="str">
        <f t="shared" si="2"/>
        <v>-</v>
      </c>
    </row>
    <row r="139" spans="2:5" x14ac:dyDescent="0.25">
      <c r="B139" s="52">
        <v>68</v>
      </c>
      <c r="C139" s="53">
        <v>7</v>
      </c>
      <c r="D139" s="55" t="s">
        <v>3</v>
      </c>
      <c r="E139" s="39" t="str">
        <f t="shared" si="2"/>
        <v/>
      </c>
    </row>
    <row r="140" spans="2:5" x14ac:dyDescent="0.25">
      <c r="B140" s="52">
        <v>68.5</v>
      </c>
      <c r="C140" s="53">
        <v>7</v>
      </c>
      <c r="D140" s="55" t="s">
        <v>3</v>
      </c>
      <c r="E140" s="39" t="str">
        <f t="shared" si="2"/>
        <v/>
      </c>
    </row>
    <row r="141" spans="2:5" x14ac:dyDescent="0.25">
      <c r="B141" s="52">
        <v>69</v>
      </c>
      <c r="C141" s="53">
        <v>7</v>
      </c>
      <c r="D141" s="55" t="s">
        <v>3</v>
      </c>
      <c r="E141" s="39" t="str">
        <f t="shared" si="2"/>
        <v/>
      </c>
    </row>
    <row r="142" spans="2:5" x14ac:dyDescent="0.25">
      <c r="B142" s="52">
        <v>69.5</v>
      </c>
      <c r="C142" s="53">
        <v>7</v>
      </c>
      <c r="D142" s="55" t="s">
        <v>3</v>
      </c>
      <c r="E142" s="39" t="str">
        <f t="shared" si="2"/>
        <v/>
      </c>
    </row>
    <row r="143" spans="2:5" x14ac:dyDescent="0.25">
      <c r="B143" s="52">
        <v>70</v>
      </c>
      <c r="C143" s="53">
        <v>7</v>
      </c>
      <c r="D143" s="55" t="s">
        <v>3</v>
      </c>
      <c r="E143" s="39" t="str">
        <f t="shared" si="2"/>
        <v/>
      </c>
    </row>
    <row r="144" spans="2:5" x14ac:dyDescent="0.25">
      <c r="B144" s="52">
        <v>70.5</v>
      </c>
      <c r="C144" s="53">
        <v>7</v>
      </c>
      <c r="D144" s="55" t="s">
        <v>3</v>
      </c>
      <c r="E144" s="39" t="str">
        <f t="shared" si="2"/>
        <v/>
      </c>
    </row>
    <row r="145" spans="2:5" x14ac:dyDescent="0.25">
      <c r="B145" s="52">
        <v>71</v>
      </c>
      <c r="C145" s="53">
        <v>7</v>
      </c>
      <c r="D145" s="55" t="s">
        <v>3</v>
      </c>
      <c r="E145" s="39" t="str">
        <f t="shared" si="2"/>
        <v/>
      </c>
    </row>
    <row r="146" spans="2:5" x14ac:dyDescent="0.25">
      <c r="B146" s="52">
        <v>71.5</v>
      </c>
      <c r="C146" s="53">
        <v>7</v>
      </c>
      <c r="D146" s="55" t="s">
        <v>3</v>
      </c>
      <c r="E146" s="39" t="str">
        <f t="shared" si="2"/>
        <v/>
      </c>
    </row>
    <row r="147" spans="2:5" x14ac:dyDescent="0.25">
      <c r="B147" s="52">
        <v>72</v>
      </c>
      <c r="C147" s="53">
        <v>7</v>
      </c>
      <c r="D147" s="55" t="s">
        <v>3</v>
      </c>
      <c r="E147" s="39" t="str">
        <f t="shared" si="2"/>
        <v>+</v>
      </c>
    </row>
    <row r="148" spans="2:5" x14ac:dyDescent="0.25">
      <c r="B148" s="52">
        <v>72.5</v>
      </c>
      <c r="C148" s="53">
        <v>7</v>
      </c>
      <c r="D148" s="55" t="s">
        <v>3</v>
      </c>
      <c r="E148" s="39" t="str">
        <f t="shared" si="2"/>
        <v>++</v>
      </c>
    </row>
    <row r="149" spans="2:5" x14ac:dyDescent="0.25">
      <c r="B149" s="52">
        <v>73</v>
      </c>
      <c r="C149" s="53">
        <v>8</v>
      </c>
      <c r="D149" s="54">
        <v>3</v>
      </c>
      <c r="E149" s="39" t="str">
        <f t="shared" si="2"/>
        <v>--</v>
      </c>
    </row>
    <row r="150" spans="2:5" x14ac:dyDescent="0.25">
      <c r="B150" s="52">
        <v>73.5</v>
      </c>
      <c r="C150" s="53">
        <v>8</v>
      </c>
      <c r="D150" s="54">
        <v>3</v>
      </c>
      <c r="E150" s="39" t="str">
        <f t="shared" si="2"/>
        <v>-</v>
      </c>
    </row>
    <row r="151" spans="2:5" x14ac:dyDescent="0.25">
      <c r="B151" s="52">
        <v>74</v>
      </c>
      <c r="C151" s="53">
        <v>8</v>
      </c>
      <c r="D151" s="54">
        <v>3</v>
      </c>
      <c r="E151" s="39" t="str">
        <f t="shared" si="2"/>
        <v/>
      </c>
    </row>
    <row r="152" spans="2:5" x14ac:dyDescent="0.25">
      <c r="B152" s="52">
        <v>74.5</v>
      </c>
      <c r="C152" s="53">
        <v>8</v>
      </c>
      <c r="D152" s="54">
        <v>3</v>
      </c>
      <c r="E152" s="39" t="str">
        <f t="shared" si="2"/>
        <v/>
      </c>
    </row>
    <row r="153" spans="2:5" x14ac:dyDescent="0.25">
      <c r="B153" s="52">
        <v>75</v>
      </c>
      <c r="C153" s="53">
        <v>8</v>
      </c>
      <c r="D153" s="54">
        <v>3</v>
      </c>
      <c r="E153" s="39" t="str">
        <f t="shared" si="2"/>
        <v/>
      </c>
    </row>
    <row r="154" spans="2:5" x14ac:dyDescent="0.25">
      <c r="B154" s="52">
        <v>75.5</v>
      </c>
      <c r="C154" s="53">
        <v>8</v>
      </c>
      <c r="D154" s="54">
        <v>3</v>
      </c>
      <c r="E154" s="39" t="str">
        <f t="shared" si="2"/>
        <v/>
      </c>
    </row>
    <row r="155" spans="2:5" x14ac:dyDescent="0.25">
      <c r="B155" s="52">
        <v>76</v>
      </c>
      <c r="C155" s="53">
        <v>8</v>
      </c>
      <c r="D155" s="54">
        <v>3</v>
      </c>
      <c r="E155" s="39" t="str">
        <f t="shared" si="2"/>
        <v/>
      </c>
    </row>
    <row r="156" spans="2:5" x14ac:dyDescent="0.25">
      <c r="B156" s="52">
        <v>76.5</v>
      </c>
      <c r="C156" s="53">
        <v>8</v>
      </c>
      <c r="D156" s="54">
        <v>3</v>
      </c>
      <c r="E156" s="39" t="str">
        <f t="shared" si="2"/>
        <v/>
      </c>
    </row>
    <row r="157" spans="2:5" x14ac:dyDescent="0.25">
      <c r="B157" s="52">
        <v>77</v>
      </c>
      <c r="C157" s="53">
        <v>8</v>
      </c>
      <c r="D157" s="54">
        <v>3</v>
      </c>
      <c r="E157" s="39" t="str">
        <f t="shared" si="2"/>
        <v/>
      </c>
    </row>
    <row r="158" spans="2:5" x14ac:dyDescent="0.25">
      <c r="B158" s="52">
        <v>77.5</v>
      </c>
      <c r="C158" s="53">
        <v>8</v>
      </c>
      <c r="D158" s="54">
        <v>3</v>
      </c>
      <c r="E158" s="39" t="str">
        <f t="shared" si="2"/>
        <v/>
      </c>
    </row>
    <row r="159" spans="2:5" x14ac:dyDescent="0.25">
      <c r="B159" s="52">
        <v>78</v>
      </c>
      <c r="C159" s="53">
        <v>8</v>
      </c>
      <c r="D159" s="54">
        <v>3</v>
      </c>
      <c r="E159" s="39" t="str">
        <f t="shared" si="2"/>
        <v>+</v>
      </c>
    </row>
    <row r="160" spans="2:5" x14ac:dyDescent="0.25">
      <c r="B160" s="52">
        <v>78.5</v>
      </c>
      <c r="C160" s="53">
        <v>8</v>
      </c>
      <c r="D160" s="54">
        <v>3</v>
      </c>
      <c r="E160" s="39" t="str">
        <f t="shared" si="2"/>
        <v>++</v>
      </c>
    </row>
    <row r="161" spans="2:5" x14ac:dyDescent="0.25">
      <c r="B161" s="52">
        <v>79</v>
      </c>
      <c r="C161" s="53">
        <v>9</v>
      </c>
      <c r="D161" s="56" t="s">
        <v>4</v>
      </c>
      <c r="E161" s="39" t="str">
        <f t="shared" si="2"/>
        <v>--</v>
      </c>
    </row>
    <row r="162" spans="2:5" x14ac:dyDescent="0.25">
      <c r="B162" s="52">
        <v>79.5</v>
      </c>
      <c r="C162" s="53">
        <v>9</v>
      </c>
      <c r="D162" s="56" t="s">
        <v>4</v>
      </c>
      <c r="E162" s="39" t="str">
        <f t="shared" si="2"/>
        <v>-</v>
      </c>
    </row>
    <row r="163" spans="2:5" x14ac:dyDescent="0.25">
      <c r="B163" s="52">
        <v>80</v>
      </c>
      <c r="C163" s="53">
        <v>9</v>
      </c>
      <c r="D163" s="56" t="s">
        <v>4</v>
      </c>
      <c r="E163" s="39" t="str">
        <f t="shared" si="2"/>
        <v/>
      </c>
    </row>
    <row r="164" spans="2:5" x14ac:dyDescent="0.25">
      <c r="B164" s="52">
        <v>80.5</v>
      </c>
      <c r="C164" s="53">
        <v>9</v>
      </c>
      <c r="D164" s="56" t="s">
        <v>4</v>
      </c>
      <c r="E164" s="39" t="str">
        <f t="shared" si="2"/>
        <v/>
      </c>
    </row>
    <row r="165" spans="2:5" x14ac:dyDescent="0.25">
      <c r="B165" s="52">
        <v>81</v>
      </c>
      <c r="C165" s="53">
        <v>9</v>
      </c>
      <c r="D165" s="56" t="s">
        <v>4</v>
      </c>
      <c r="E165" s="39" t="str">
        <f t="shared" si="2"/>
        <v/>
      </c>
    </row>
    <row r="166" spans="2:5" x14ac:dyDescent="0.25">
      <c r="B166" s="52">
        <v>81.5</v>
      </c>
      <c r="C166" s="53">
        <v>9</v>
      </c>
      <c r="D166" s="56" t="s">
        <v>4</v>
      </c>
      <c r="E166" s="39" t="str">
        <f t="shared" si="2"/>
        <v/>
      </c>
    </row>
    <row r="167" spans="2:5" x14ac:dyDescent="0.25">
      <c r="B167" s="52">
        <v>82</v>
      </c>
      <c r="C167" s="53">
        <v>9</v>
      </c>
      <c r="D167" s="56" t="s">
        <v>4</v>
      </c>
      <c r="E167" s="39" t="str">
        <f t="shared" si="2"/>
        <v/>
      </c>
    </row>
    <row r="168" spans="2:5" x14ac:dyDescent="0.25">
      <c r="B168" s="52">
        <v>82.5</v>
      </c>
      <c r="C168" s="53">
        <v>9</v>
      </c>
      <c r="D168" s="56" t="s">
        <v>4</v>
      </c>
      <c r="E168" s="39" t="str">
        <f t="shared" si="2"/>
        <v/>
      </c>
    </row>
    <row r="169" spans="2:5" x14ac:dyDescent="0.25">
      <c r="B169" s="52">
        <v>83</v>
      </c>
      <c r="C169" s="53">
        <v>9</v>
      </c>
      <c r="D169" s="56" t="s">
        <v>4</v>
      </c>
      <c r="E169" s="39" t="str">
        <f t="shared" si="2"/>
        <v/>
      </c>
    </row>
    <row r="170" spans="2:5" x14ac:dyDescent="0.25">
      <c r="B170" s="52">
        <v>83.5</v>
      </c>
      <c r="C170" s="53">
        <v>9</v>
      </c>
      <c r="D170" s="56" t="s">
        <v>4</v>
      </c>
      <c r="E170" s="39" t="str">
        <f t="shared" si="2"/>
        <v/>
      </c>
    </row>
    <row r="171" spans="2:5" x14ac:dyDescent="0.25">
      <c r="B171" s="52">
        <v>84</v>
      </c>
      <c r="C171" s="53">
        <v>9</v>
      </c>
      <c r="D171" s="56" t="s">
        <v>4</v>
      </c>
      <c r="E171" s="39" t="str">
        <f t="shared" si="2"/>
        <v>+</v>
      </c>
    </row>
    <row r="172" spans="2:5" x14ac:dyDescent="0.25">
      <c r="B172" s="52">
        <v>84.5</v>
      </c>
      <c r="C172" s="53">
        <v>9</v>
      </c>
      <c r="D172" s="56" t="s">
        <v>4</v>
      </c>
      <c r="E172" s="39" t="str">
        <f t="shared" si="2"/>
        <v>++</v>
      </c>
    </row>
    <row r="173" spans="2:5" x14ac:dyDescent="0.25">
      <c r="B173" s="52">
        <v>85</v>
      </c>
      <c r="C173" s="53">
        <v>10</v>
      </c>
      <c r="D173" s="55" t="s">
        <v>16</v>
      </c>
      <c r="E173" s="39" t="str">
        <f t="shared" si="2"/>
        <v>--</v>
      </c>
    </row>
    <row r="174" spans="2:5" x14ac:dyDescent="0.25">
      <c r="B174" s="52">
        <v>85.5</v>
      </c>
      <c r="C174" s="53">
        <v>10</v>
      </c>
      <c r="D174" s="55" t="s">
        <v>16</v>
      </c>
      <c r="E174" s="39" t="str">
        <f t="shared" si="2"/>
        <v>-</v>
      </c>
    </row>
    <row r="175" spans="2:5" x14ac:dyDescent="0.25">
      <c r="B175" s="52">
        <v>86</v>
      </c>
      <c r="C175" s="53">
        <v>10</v>
      </c>
      <c r="D175" s="55" t="s">
        <v>16</v>
      </c>
      <c r="E175" s="39" t="str">
        <f t="shared" si="2"/>
        <v/>
      </c>
    </row>
    <row r="176" spans="2:5" x14ac:dyDescent="0.25">
      <c r="B176" s="52">
        <v>86.5</v>
      </c>
      <c r="C176" s="53">
        <v>10</v>
      </c>
      <c r="D176" s="55" t="s">
        <v>16</v>
      </c>
      <c r="E176" s="39" t="str">
        <f t="shared" si="2"/>
        <v/>
      </c>
    </row>
    <row r="177" spans="2:5" x14ac:dyDescent="0.25">
      <c r="B177" s="52">
        <v>87</v>
      </c>
      <c r="C177" s="53">
        <v>10</v>
      </c>
      <c r="D177" s="55" t="s">
        <v>16</v>
      </c>
      <c r="E177" s="39" t="str">
        <f t="shared" si="2"/>
        <v/>
      </c>
    </row>
    <row r="178" spans="2:5" x14ac:dyDescent="0.25">
      <c r="B178" s="52">
        <v>87.5</v>
      </c>
      <c r="C178" s="53">
        <v>10</v>
      </c>
      <c r="D178" s="55" t="s">
        <v>16</v>
      </c>
      <c r="E178" s="39" t="str">
        <f t="shared" si="2"/>
        <v/>
      </c>
    </row>
    <row r="179" spans="2:5" x14ac:dyDescent="0.25">
      <c r="B179" s="52">
        <v>88</v>
      </c>
      <c r="C179" s="53">
        <v>10</v>
      </c>
      <c r="D179" s="55" t="s">
        <v>16</v>
      </c>
      <c r="E179" s="39" t="str">
        <f t="shared" si="2"/>
        <v/>
      </c>
    </row>
    <row r="180" spans="2:5" x14ac:dyDescent="0.25">
      <c r="B180" s="52">
        <v>88.5</v>
      </c>
      <c r="C180" s="53">
        <v>10</v>
      </c>
      <c r="D180" s="55" t="s">
        <v>16</v>
      </c>
      <c r="E180" s="39" t="str">
        <f t="shared" ref="E180:E244" si="3">IF(AND($C180=$C181,$C181&lt;$C182),"+",IF($C180&lt;$C181,"++",IF(AND($C180=$C179,$C179&gt;$C178),"-",IF($C180&gt;$C179,"--",""))))</f>
        <v/>
      </c>
    </row>
    <row r="181" spans="2:5" x14ac:dyDescent="0.25">
      <c r="B181" s="52">
        <v>89</v>
      </c>
      <c r="C181" s="53">
        <v>10</v>
      </c>
      <c r="D181" s="55" t="s">
        <v>16</v>
      </c>
      <c r="E181" s="39" t="str">
        <f t="shared" si="3"/>
        <v/>
      </c>
    </row>
    <row r="182" spans="2:5" x14ac:dyDescent="0.25">
      <c r="B182" s="52">
        <v>89.5</v>
      </c>
      <c r="C182" s="53">
        <v>10</v>
      </c>
      <c r="D182" s="55" t="s">
        <v>16</v>
      </c>
      <c r="E182" s="39" t="str">
        <f t="shared" si="3"/>
        <v/>
      </c>
    </row>
    <row r="183" spans="2:5" x14ac:dyDescent="0.25">
      <c r="B183" s="52">
        <v>90</v>
      </c>
      <c r="C183" s="53">
        <v>10</v>
      </c>
      <c r="D183" s="55" t="s">
        <v>16</v>
      </c>
      <c r="E183" s="39" t="str">
        <f t="shared" si="3"/>
        <v>+</v>
      </c>
    </row>
    <row r="184" spans="2:5" x14ac:dyDescent="0.25">
      <c r="B184" s="52">
        <v>90.5</v>
      </c>
      <c r="C184" s="53">
        <v>10</v>
      </c>
      <c r="D184" s="55" t="s">
        <v>16</v>
      </c>
      <c r="E184" s="39" t="str">
        <f t="shared" si="3"/>
        <v>++</v>
      </c>
    </row>
    <row r="185" spans="2:5" x14ac:dyDescent="0.25">
      <c r="B185" s="52">
        <v>91</v>
      </c>
      <c r="C185" s="53">
        <v>11</v>
      </c>
      <c r="D185" s="54">
        <v>2</v>
      </c>
      <c r="E185" s="39" t="str">
        <f t="shared" si="3"/>
        <v>--</v>
      </c>
    </row>
    <row r="186" spans="2:5" x14ac:dyDescent="0.25">
      <c r="B186" s="52">
        <v>91.5</v>
      </c>
      <c r="C186" s="53">
        <v>11</v>
      </c>
      <c r="D186" s="54">
        <v>2</v>
      </c>
      <c r="E186" s="39" t="str">
        <f t="shared" si="3"/>
        <v>-</v>
      </c>
    </row>
    <row r="187" spans="2:5" x14ac:dyDescent="0.25">
      <c r="B187" s="52">
        <v>92</v>
      </c>
      <c r="C187" s="53">
        <v>11</v>
      </c>
      <c r="D187" s="54">
        <v>2</v>
      </c>
      <c r="E187" s="39" t="str">
        <f t="shared" si="3"/>
        <v/>
      </c>
    </row>
    <row r="188" spans="2:5" x14ac:dyDescent="0.25">
      <c r="B188" s="52">
        <v>92.5</v>
      </c>
      <c r="C188" s="53">
        <v>11</v>
      </c>
      <c r="D188" s="54">
        <v>2</v>
      </c>
      <c r="E188" s="39" t="str">
        <f t="shared" si="3"/>
        <v/>
      </c>
    </row>
    <row r="189" spans="2:5" x14ac:dyDescent="0.25">
      <c r="B189" s="52">
        <v>93</v>
      </c>
      <c r="C189" s="53">
        <v>11</v>
      </c>
      <c r="D189" s="54">
        <v>2</v>
      </c>
      <c r="E189" s="39" t="str">
        <f t="shared" si="3"/>
        <v/>
      </c>
    </row>
    <row r="190" spans="2:5" x14ac:dyDescent="0.25">
      <c r="B190" s="52">
        <v>93.5</v>
      </c>
      <c r="C190" s="53">
        <v>11</v>
      </c>
      <c r="D190" s="54">
        <v>2</v>
      </c>
      <c r="E190" s="39" t="str">
        <f t="shared" si="3"/>
        <v/>
      </c>
    </row>
    <row r="191" spans="2:5" x14ac:dyDescent="0.25">
      <c r="B191" s="52">
        <v>94</v>
      </c>
      <c r="C191" s="53">
        <v>11</v>
      </c>
      <c r="D191" s="54">
        <v>2</v>
      </c>
      <c r="E191" s="39" t="str">
        <f t="shared" si="3"/>
        <v/>
      </c>
    </row>
    <row r="192" spans="2:5" x14ac:dyDescent="0.25">
      <c r="B192" s="52">
        <v>94.5</v>
      </c>
      <c r="C192" s="53">
        <v>11</v>
      </c>
      <c r="D192" s="54">
        <v>2</v>
      </c>
      <c r="E192" s="39" t="str">
        <f t="shared" si="3"/>
        <v/>
      </c>
    </row>
    <row r="193" spans="2:5" x14ac:dyDescent="0.25">
      <c r="B193" s="52">
        <v>95</v>
      </c>
      <c r="C193" s="53">
        <v>11</v>
      </c>
      <c r="D193" s="54">
        <v>2</v>
      </c>
      <c r="E193" s="39" t="str">
        <f t="shared" si="3"/>
        <v/>
      </c>
    </row>
    <row r="194" spans="2:5" x14ac:dyDescent="0.25">
      <c r="B194" s="52">
        <v>95.5</v>
      </c>
      <c r="C194" s="53">
        <v>11</v>
      </c>
      <c r="D194" s="54">
        <v>2</v>
      </c>
      <c r="E194" s="39" t="str">
        <f t="shared" si="3"/>
        <v>+</v>
      </c>
    </row>
    <row r="195" spans="2:5" x14ac:dyDescent="0.25">
      <c r="B195" s="52">
        <v>96</v>
      </c>
      <c r="C195" s="53">
        <v>11</v>
      </c>
      <c r="D195" s="54">
        <v>2</v>
      </c>
      <c r="E195" s="39" t="str">
        <f t="shared" si="3"/>
        <v>++</v>
      </c>
    </row>
    <row r="196" spans="2:5" x14ac:dyDescent="0.25">
      <c r="B196" s="52">
        <v>96.5</v>
      </c>
      <c r="C196" s="53">
        <v>12</v>
      </c>
      <c r="D196" s="56" t="s">
        <v>6</v>
      </c>
      <c r="E196" s="39" t="str">
        <f t="shared" si="3"/>
        <v>--</v>
      </c>
    </row>
    <row r="197" spans="2:5" x14ac:dyDescent="0.25">
      <c r="B197" s="52">
        <v>97</v>
      </c>
      <c r="C197" s="53">
        <v>12</v>
      </c>
      <c r="D197" s="56" t="s">
        <v>6</v>
      </c>
      <c r="E197" s="39" t="str">
        <f t="shared" si="3"/>
        <v>-</v>
      </c>
    </row>
    <row r="198" spans="2:5" x14ac:dyDescent="0.25">
      <c r="B198" s="52">
        <v>97.5</v>
      </c>
      <c r="C198" s="53">
        <v>12</v>
      </c>
      <c r="D198" s="56" t="s">
        <v>6</v>
      </c>
      <c r="E198" s="39" t="str">
        <f t="shared" si="3"/>
        <v/>
      </c>
    </row>
    <row r="199" spans="2:5" x14ac:dyDescent="0.25">
      <c r="B199" s="52">
        <v>98</v>
      </c>
      <c r="C199" s="53">
        <v>12</v>
      </c>
      <c r="D199" s="56" t="s">
        <v>6</v>
      </c>
      <c r="E199" s="39" t="str">
        <f t="shared" si="3"/>
        <v/>
      </c>
    </row>
    <row r="200" spans="2:5" x14ac:dyDescent="0.25">
      <c r="B200" s="52">
        <v>98.5</v>
      </c>
      <c r="C200" s="53">
        <v>12</v>
      </c>
      <c r="D200" s="56" t="s">
        <v>6</v>
      </c>
      <c r="E200" s="39" t="str">
        <f t="shared" si="3"/>
        <v/>
      </c>
    </row>
    <row r="201" spans="2:5" x14ac:dyDescent="0.25">
      <c r="B201" s="52">
        <v>99</v>
      </c>
      <c r="C201" s="53">
        <v>12</v>
      </c>
      <c r="D201" s="56" t="s">
        <v>6</v>
      </c>
      <c r="E201" s="39" t="str">
        <f t="shared" si="3"/>
        <v/>
      </c>
    </row>
    <row r="202" spans="2:5" x14ac:dyDescent="0.25">
      <c r="B202" s="52">
        <v>99.5</v>
      </c>
      <c r="C202" s="53">
        <v>12</v>
      </c>
      <c r="D202" s="56" t="s">
        <v>6</v>
      </c>
      <c r="E202" s="39" t="str">
        <f t="shared" si="3"/>
        <v/>
      </c>
    </row>
    <row r="203" spans="2:5" x14ac:dyDescent="0.25">
      <c r="B203" s="52">
        <v>100</v>
      </c>
      <c r="C203" s="53">
        <v>12</v>
      </c>
      <c r="D203" s="56" t="s">
        <v>6</v>
      </c>
      <c r="E203" s="39" t="str">
        <f t="shared" si="3"/>
        <v/>
      </c>
    </row>
    <row r="204" spans="2:5" x14ac:dyDescent="0.25">
      <c r="B204" s="52">
        <v>100.5</v>
      </c>
      <c r="C204" s="53">
        <v>12</v>
      </c>
      <c r="D204" s="56" t="s">
        <v>6</v>
      </c>
      <c r="E204" s="39" t="str">
        <f t="shared" si="3"/>
        <v/>
      </c>
    </row>
    <row r="205" spans="2:5" x14ac:dyDescent="0.25">
      <c r="B205" s="52">
        <v>101</v>
      </c>
      <c r="C205" s="53">
        <v>12</v>
      </c>
      <c r="D205" s="56" t="s">
        <v>6</v>
      </c>
      <c r="E205" s="39" t="str">
        <f t="shared" si="3"/>
        <v/>
      </c>
    </row>
    <row r="206" spans="2:5" x14ac:dyDescent="0.25">
      <c r="B206" s="52">
        <v>101.5</v>
      </c>
      <c r="C206" s="53">
        <v>12</v>
      </c>
      <c r="D206" s="56" t="s">
        <v>6</v>
      </c>
      <c r="E206" s="39" t="str">
        <f t="shared" si="3"/>
        <v/>
      </c>
    </row>
    <row r="207" spans="2:5" x14ac:dyDescent="0.25">
      <c r="B207" s="52">
        <v>102</v>
      </c>
      <c r="C207" s="53">
        <v>12</v>
      </c>
      <c r="D207" s="56" t="s">
        <v>6</v>
      </c>
      <c r="E207" s="39" t="str">
        <f t="shared" si="3"/>
        <v>+</v>
      </c>
    </row>
    <row r="208" spans="2:5" x14ac:dyDescent="0.25">
      <c r="B208" s="52">
        <v>102.5</v>
      </c>
      <c r="C208" s="53">
        <v>12</v>
      </c>
      <c r="D208" s="56" t="s">
        <v>6</v>
      </c>
      <c r="E208" s="39" t="str">
        <f t="shared" si="3"/>
        <v>++</v>
      </c>
    </row>
    <row r="209" spans="2:5" x14ac:dyDescent="0.25">
      <c r="B209" s="52">
        <v>103</v>
      </c>
      <c r="C209" s="53">
        <v>13</v>
      </c>
      <c r="D209" s="55" t="s">
        <v>17</v>
      </c>
      <c r="E209" s="39" t="str">
        <f t="shared" si="3"/>
        <v>--</v>
      </c>
    </row>
    <row r="210" spans="2:5" x14ac:dyDescent="0.25">
      <c r="B210" s="52">
        <v>103.5</v>
      </c>
      <c r="C210" s="53">
        <v>13</v>
      </c>
      <c r="D210" s="55" t="s">
        <v>17</v>
      </c>
      <c r="E210" s="39" t="str">
        <f t="shared" si="3"/>
        <v>-</v>
      </c>
    </row>
    <row r="211" spans="2:5" x14ac:dyDescent="0.25">
      <c r="B211" s="52">
        <v>104</v>
      </c>
      <c r="C211" s="53">
        <v>13</v>
      </c>
      <c r="D211" s="55" t="s">
        <v>17</v>
      </c>
      <c r="E211" s="39" t="str">
        <f t="shared" si="3"/>
        <v/>
      </c>
    </row>
    <row r="212" spans="2:5" x14ac:dyDescent="0.25">
      <c r="B212" s="52">
        <v>104.5</v>
      </c>
      <c r="C212" s="53">
        <v>13</v>
      </c>
      <c r="D212" s="55" t="s">
        <v>17</v>
      </c>
      <c r="E212" s="39" t="str">
        <f t="shared" si="3"/>
        <v/>
      </c>
    </row>
    <row r="213" spans="2:5" x14ac:dyDescent="0.25">
      <c r="B213" s="52">
        <v>105</v>
      </c>
      <c r="C213" s="53">
        <v>13</v>
      </c>
      <c r="D213" s="55" t="s">
        <v>17</v>
      </c>
      <c r="E213" s="39" t="str">
        <f t="shared" si="3"/>
        <v/>
      </c>
    </row>
    <row r="214" spans="2:5" x14ac:dyDescent="0.25">
      <c r="B214" s="52">
        <v>105.5</v>
      </c>
      <c r="C214" s="53">
        <v>13</v>
      </c>
      <c r="D214" s="55" t="s">
        <v>17</v>
      </c>
      <c r="E214" s="39" t="str">
        <f t="shared" si="3"/>
        <v/>
      </c>
    </row>
    <row r="215" spans="2:5" x14ac:dyDescent="0.25">
      <c r="B215" s="52">
        <v>106</v>
      </c>
      <c r="C215" s="53">
        <v>13</v>
      </c>
      <c r="D215" s="55" t="s">
        <v>17</v>
      </c>
      <c r="E215" s="39" t="str">
        <f t="shared" si="3"/>
        <v/>
      </c>
    </row>
    <row r="216" spans="2:5" x14ac:dyDescent="0.25">
      <c r="B216" s="52">
        <v>106.5</v>
      </c>
      <c r="C216" s="53">
        <v>13</v>
      </c>
      <c r="D216" s="55" t="s">
        <v>17</v>
      </c>
      <c r="E216" s="39" t="str">
        <f t="shared" si="3"/>
        <v/>
      </c>
    </row>
    <row r="217" spans="2:5" x14ac:dyDescent="0.25">
      <c r="B217" s="52">
        <v>107</v>
      </c>
      <c r="C217" s="53">
        <v>13</v>
      </c>
      <c r="D217" s="55" t="s">
        <v>17</v>
      </c>
      <c r="E217" s="39" t="str">
        <f t="shared" si="3"/>
        <v/>
      </c>
    </row>
    <row r="218" spans="2:5" x14ac:dyDescent="0.25">
      <c r="B218" s="52">
        <v>107.5</v>
      </c>
      <c r="C218" s="53">
        <v>13</v>
      </c>
      <c r="D218" s="55" t="s">
        <v>17</v>
      </c>
      <c r="E218" s="39" t="str">
        <f t="shared" si="3"/>
        <v/>
      </c>
    </row>
    <row r="219" spans="2:5" x14ac:dyDescent="0.25">
      <c r="B219" s="52">
        <v>108</v>
      </c>
      <c r="C219" s="53">
        <v>13</v>
      </c>
      <c r="D219" s="55" t="s">
        <v>17</v>
      </c>
      <c r="E219" s="39" t="str">
        <f t="shared" si="3"/>
        <v>+</v>
      </c>
    </row>
    <row r="220" spans="2:5" x14ac:dyDescent="0.25">
      <c r="B220" s="52">
        <v>108.5</v>
      </c>
      <c r="C220" s="53">
        <v>13</v>
      </c>
      <c r="D220" s="55" t="s">
        <v>17</v>
      </c>
      <c r="E220" s="39" t="str">
        <f t="shared" si="3"/>
        <v>++</v>
      </c>
    </row>
    <row r="221" spans="2:5" x14ac:dyDescent="0.25">
      <c r="B221" s="52">
        <v>109</v>
      </c>
      <c r="C221" s="53">
        <v>14</v>
      </c>
      <c r="D221" s="54">
        <v>1</v>
      </c>
      <c r="E221" s="39" t="str">
        <f t="shared" si="3"/>
        <v>--</v>
      </c>
    </row>
    <row r="222" spans="2:5" x14ac:dyDescent="0.25">
      <c r="B222" s="52">
        <v>109.5</v>
      </c>
      <c r="C222" s="53">
        <v>14</v>
      </c>
      <c r="D222" s="54">
        <v>1</v>
      </c>
      <c r="E222" s="39" t="str">
        <f t="shared" si="3"/>
        <v>-</v>
      </c>
    </row>
    <row r="223" spans="2:5" x14ac:dyDescent="0.25">
      <c r="B223" s="52">
        <v>110</v>
      </c>
      <c r="C223" s="53">
        <v>14</v>
      </c>
      <c r="D223" s="54">
        <v>1</v>
      </c>
      <c r="E223" s="39" t="str">
        <f t="shared" si="3"/>
        <v/>
      </c>
    </row>
    <row r="224" spans="2:5" x14ac:dyDescent="0.25">
      <c r="B224" s="52">
        <v>110.5</v>
      </c>
      <c r="C224" s="53">
        <v>14</v>
      </c>
      <c r="D224" s="54">
        <v>1</v>
      </c>
      <c r="E224" s="39" t="str">
        <f t="shared" si="3"/>
        <v/>
      </c>
    </row>
    <row r="225" spans="2:5" x14ac:dyDescent="0.25">
      <c r="B225" s="52">
        <v>111</v>
      </c>
      <c r="C225" s="53">
        <v>14</v>
      </c>
      <c r="D225" s="54">
        <v>1</v>
      </c>
      <c r="E225" s="39" t="str">
        <f t="shared" si="3"/>
        <v/>
      </c>
    </row>
    <row r="226" spans="2:5" x14ac:dyDescent="0.25">
      <c r="B226" s="52">
        <v>111.5</v>
      </c>
      <c r="C226" s="53">
        <v>14</v>
      </c>
      <c r="D226" s="54">
        <v>1</v>
      </c>
      <c r="E226" s="39" t="str">
        <f t="shared" si="3"/>
        <v/>
      </c>
    </row>
    <row r="227" spans="2:5" x14ac:dyDescent="0.25">
      <c r="B227" s="52">
        <v>112</v>
      </c>
      <c r="C227" s="53">
        <v>14</v>
      </c>
      <c r="D227" s="54">
        <v>1</v>
      </c>
      <c r="E227" s="39" t="str">
        <f t="shared" si="3"/>
        <v/>
      </c>
    </row>
    <row r="228" spans="2:5" x14ac:dyDescent="0.25">
      <c r="B228" s="52">
        <v>112.5</v>
      </c>
      <c r="C228" s="53">
        <v>14</v>
      </c>
      <c r="D228" s="54">
        <v>1</v>
      </c>
      <c r="E228" s="39" t="str">
        <f t="shared" si="3"/>
        <v/>
      </c>
    </row>
    <row r="229" spans="2:5" x14ac:dyDescent="0.25">
      <c r="B229" s="52">
        <v>113</v>
      </c>
      <c r="C229" s="53">
        <v>14</v>
      </c>
      <c r="D229" s="54">
        <v>1</v>
      </c>
      <c r="E229" s="39" t="str">
        <f t="shared" si="3"/>
        <v/>
      </c>
    </row>
    <row r="230" spans="2:5" x14ac:dyDescent="0.25">
      <c r="B230" s="52">
        <v>113.5</v>
      </c>
      <c r="C230" s="53">
        <v>14</v>
      </c>
      <c r="D230" s="54">
        <v>1</v>
      </c>
      <c r="E230" s="39" t="str">
        <f t="shared" si="3"/>
        <v/>
      </c>
    </row>
    <row r="231" spans="2:5" x14ac:dyDescent="0.25">
      <c r="B231" s="52">
        <v>114</v>
      </c>
      <c r="C231" s="53">
        <v>14</v>
      </c>
      <c r="D231" s="54">
        <v>1</v>
      </c>
      <c r="E231" s="39" t="str">
        <f t="shared" si="3"/>
        <v>+</v>
      </c>
    </row>
    <row r="232" spans="2:5" x14ac:dyDescent="0.25">
      <c r="B232" s="52">
        <v>114.5</v>
      </c>
      <c r="C232" s="53">
        <v>14</v>
      </c>
      <c r="D232" s="54">
        <v>1</v>
      </c>
      <c r="E232" s="39" t="str">
        <f t="shared" si="3"/>
        <v>++</v>
      </c>
    </row>
    <row r="233" spans="2:5" x14ac:dyDescent="0.25">
      <c r="B233" s="52">
        <v>115</v>
      </c>
      <c r="C233" s="53">
        <v>15</v>
      </c>
      <c r="D233" s="56" t="s">
        <v>18</v>
      </c>
      <c r="E233" s="39" t="str">
        <f t="shared" si="3"/>
        <v>--</v>
      </c>
    </row>
    <row r="234" spans="2:5" x14ac:dyDescent="0.25">
      <c r="B234" s="52">
        <v>115.5</v>
      </c>
      <c r="C234" s="53">
        <v>15</v>
      </c>
      <c r="D234" s="56" t="s">
        <v>18</v>
      </c>
      <c r="E234" s="39" t="str">
        <f t="shared" si="3"/>
        <v>-</v>
      </c>
    </row>
    <row r="235" spans="2:5" x14ac:dyDescent="0.25">
      <c r="B235" s="52">
        <v>116</v>
      </c>
      <c r="C235" s="53">
        <v>15</v>
      </c>
      <c r="D235" s="56" t="s">
        <v>18</v>
      </c>
      <c r="E235" s="39" t="str">
        <f t="shared" si="3"/>
        <v/>
      </c>
    </row>
    <row r="236" spans="2:5" x14ac:dyDescent="0.25">
      <c r="B236" s="52">
        <v>116.5</v>
      </c>
      <c r="C236" s="53">
        <v>15</v>
      </c>
      <c r="D236" s="56" t="s">
        <v>18</v>
      </c>
      <c r="E236" s="39" t="str">
        <f t="shared" si="3"/>
        <v/>
      </c>
    </row>
    <row r="237" spans="2:5" x14ac:dyDescent="0.25">
      <c r="B237" s="52">
        <v>117</v>
      </c>
      <c r="C237" s="53">
        <v>15</v>
      </c>
      <c r="D237" s="56" t="s">
        <v>18</v>
      </c>
      <c r="E237" s="39" t="str">
        <f t="shared" si="3"/>
        <v/>
      </c>
    </row>
    <row r="238" spans="2:5" x14ac:dyDescent="0.25">
      <c r="B238" s="52">
        <v>117.5</v>
      </c>
      <c r="C238" s="53">
        <v>15</v>
      </c>
      <c r="D238" s="56" t="s">
        <v>18</v>
      </c>
      <c r="E238" s="39" t="str">
        <f t="shared" si="3"/>
        <v/>
      </c>
    </row>
    <row r="239" spans="2:5" x14ac:dyDescent="0.25">
      <c r="B239" s="52">
        <v>118</v>
      </c>
      <c r="C239" s="53">
        <v>15</v>
      </c>
      <c r="D239" s="56" t="s">
        <v>18</v>
      </c>
      <c r="E239" s="39" t="str">
        <f t="shared" si="3"/>
        <v/>
      </c>
    </row>
    <row r="240" spans="2:5" x14ac:dyDescent="0.25">
      <c r="B240" s="52">
        <v>118.5</v>
      </c>
      <c r="C240" s="53">
        <v>15</v>
      </c>
      <c r="D240" s="56" t="s">
        <v>18</v>
      </c>
      <c r="E240" s="39" t="str">
        <f t="shared" si="3"/>
        <v/>
      </c>
    </row>
    <row r="241" spans="2:5" x14ac:dyDescent="0.25">
      <c r="B241" s="52">
        <v>119</v>
      </c>
      <c r="C241" s="53">
        <v>15</v>
      </c>
      <c r="D241" s="56" t="s">
        <v>18</v>
      </c>
      <c r="E241" s="39" t="str">
        <f t="shared" si="3"/>
        <v/>
      </c>
    </row>
    <row r="242" spans="2:5" x14ac:dyDescent="0.25">
      <c r="B242" s="52">
        <v>119.5</v>
      </c>
      <c r="C242" s="53">
        <v>15</v>
      </c>
      <c r="D242" s="56" t="s">
        <v>18</v>
      </c>
      <c r="E242" s="39" t="str">
        <f t="shared" si="3"/>
        <v/>
      </c>
    </row>
    <row r="243" spans="2:5" x14ac:dyDescent="0.25">
      <c r="B243" s="52">
        <v>120</v>
      </c>
      <c r="C243" s="53">
        <v>15</v>
      </c>
      <c r="D243" s="56" t="s">
        <v>18</v>
      </c>
      <c r="E243" s="39" t="str">
        <f t="shared" si="3"/>
        <v/>
      </c>
    </row>
    <row r="244" spans="2:5" x14ac:dyDescent="0.25">
      <c r="B244" s="52"/>
      <c r="C244" s="57"/>
      <c r="D244" s="58"/>
      <c r="E244" s="39" t="str">
        <f t="shared" si="3"/>
        <v/>
      </c>
    </row>
    <row r="245" spans="2:5" x14ac:dyDescent="0.25">
      <c r="B245" s="52"/>
      <c r="C245" s="57"/>
      <c r="D245" s="58"/>
      <c r="E245" s="39" t="str">
        <f t="shared" ref="E245:E293" si="4">IF(AND($C245=$C246,$C246&lt;$C247),"+",IF($C245&lt;$C246,"++",IF(AND($C245=$C244,$C244&gt;$C243),"-",IF($C245&gt;$C244,"--",""))))</f>
        <v/>
      </c>
    </row>
    <row r="246" spans="2:5" x14ac:dyDescent="0.25">
      <c r="B246" s="52"/>
      <c r="C246" s="57"/>
      <c r="D246" s="58"/>
      <c r="E246" s="39" t="str">
        <f t="shared" si="4"/>
        <v/>
      </c>
    </row>
    <row r="247" spans="2:5" x14ac:dyDescent="0.25">
      <c r="B247" s="52"/>
      <c r="C247" s="57"/>
      <c r="D247" s="58"/>
      <c r="E247" s="39" t="str">
        <f t="shared" si="4"/>
        <v/>
      </c>
    </row>
    <row r="248" spans="2:5" x14ac:dyDescent="0.25">
      <c r="B248" s="52"/>
      <c r="C248" s="57"/>
      <c r="D248" s="58"/>
      <c r="E248" s="39" t="str">
        <f t="shared" si="4"/>
        <v/>
      </c>
    </row>
    <row r="249" spans="2:5" x14ac:dyDescent="0.25">
      <c r="B249" s="52"/>
      <c r="C249" s="57"/>
      <c r="D249" s="58"/>
      <c r="E249" s="39" t="str">
        <f t="shared" si="4"/>
        <v/>
      </c>
    </row>
    <row r="250" spans="2:5" x14ac:dyDescent="0.25">
      <c r="B250" s="52"/>
      <c r="C250" s="57"/>
      <c r="D250" s="58"/>
      <c r="E250" s="39" t="str">
        <f t="shared" si="4"/>
        <v/>
      </c>
    </row>
    <row r="251" spans="2:5" x14ac:dyDescent="0.25">
      <c r="B251" s="52"/>
      <c r="C251" s="57"/>
      <c r="D251" s="58"/>
      <c r="E251" s="39" t="str">
        <f t="shared" si="4"/>
        <v/>
      </c>
    </row>
    <row r="252" spans="2:5" x14ac:dyDescent="0.25">
      <c r="B252" s="52"/>
      <c r="C252" s="57"/>
      <c r="D252" s="58"/>
      <c r="E252" s="39" t="str">
        <f t="shared" si="4"/>
        <v/>
      </c>
    </row>
    <row r="253" spans="2:5" x14ac:dyDescent="0.25">
      <c r="B253" s="52"/>
      <c r="C253" s="57"/>
      <c r="D253" s="58"/>
      <c r="E253" s="39" t="str">
        <f t="shared" si="4"/>
        <v/>
      </c>
    </row>
    <row r="254" spans="2:5" x14ac:dyDescent="0.25">
      <c r="B254" s="52"/>
      <c r="C254" s="57"/>
      <c r="D254" s="58"/>
      <c r="E254" s="39" t="str">
        <f t="shared" si="4"/>
        <v/>
      </c>
    </row>
    <row r="255" spans="2:5" x14ac:dyDescent="0.25">
      <c r="B255" s="52"/>
      <c r="C255" s="57"/>
      <c r="D255" s="58"/>
      <c r="E255" s="39" t="str">
        <f t="shared" si="4"/>
        <v/>
      </c>
    </row>
    <row r="256" spans="2:5" x14ac:dyDescent="0.25">
      <c r="B256" s="52"/>
      <c r="C256" s="57"/>
      <c r="D256" s="58"/>
      <c r="E256" s="39" t="str">
        <f t="shared" si="4"/>
        <v/>
      </c>
    </row>
    <row r="257" spans="2:5" x14ac:dyDescent="0.25">
      <c r="B257" s="52"/>
      <c r="C257" s="57"/>
      <c r="D257" s="58"/>
      <c r="E257" s="39" t="str">
        <f t="shared" si="4"/>
        <v/>
      </c>
    </row>
    <row r="258" spans="2:5" x14ac:dyDescent="0.25">
      <c r="B258" s="52"/>
      <c r="C258" s="57"/>
      <c r="D258" s="58"/>
      <c r="E258" s="39" t="str">
        <f t="shared" si="4"/>
        <v/>
      </c>
    </row>
    <row r="259" spans="2:5" x14ac:dyDescent="0.25">
      <c r="B259" s="52"/>
      <c r="C259" s="57"/>
      <c r="D259" s="58"/>
      <c r="E259" s="39" t="str">
        <f t="shared" si="4"/>
        <v/>
      </c>
    </row>
    <row r="260" spans="2:5" x14ac:dyDescent="0.25">
      <c r="B260" s="52"/>
      <c r="C260" s="57"/>
      <c r="D260" s="58"/>
      <c r="E260" s="39" t="str">
        <f t="shared" si="4"/>
        <v/>
      </c>
    </row>
    <row r="261" spans="2:5" x14ac:dyDescent="0.25">
      <c r="B261" s="52"/>
      <c r="C261" s="57"/>
      <c r="D261" s="58"/>
      <c r="E261" s="39" t="str">
        <f t="shared" si="4"/>
        <v/>
      </c>
    </row>
    <row r="262" spans="2:5" x14ac:dyDescent="0.25">
      <c r="B262" s="52"/>
      <c r="C262" s="57"/>
      <c r="D262" s="58"/>
      <c r="E262" s="39" t="str">
        <f t="shared" si="4"/>
        <v/>
      </c>
    </row>
    <row r="263" spans="2:5" x14ac:dyDescent="0.25">
      <c r="B263" s="52"/>
      <c r="C263" s="57"/>
      <c r="D263" s="58"/>
      <c r="E263" s="39" t="str">
        <f t="shared" si="4"/>
        <v/>
      </c>
    </row>
    <row r="264" spans="2:5" x14ac:dyDescent="0.25">
      <c r="B264" s="52"/>
      <c r="C264" s="57"/>
      <c r="D264" s="58"/>
      <c r="E264" s="39" t="str">
        <f t="shared" si="4"/>
        <v/>
      </c>
    </row>
    <row r="265" spans="2:5" x14ac:dyDescent="0.25">
      <c r="B265" s="52"/>
      <c r="C265" s="57"/>
      <c r="D265" s="58"/>
      <c r="E265" s="39" t="str">
        <f t="shared" si="4"/>
        <v/>
      </c>
    </row>
    <row r="266" spans="2:5" x14ac:dyDescent="0.25">
      <c r="B266" s="52"/>
      <c r="C266" s="57"/>
      <c r="D266" s="58"/>
      <c r="E266" s="39" t="str">
        <f t="shared" si="4"/>
        <v/>
      </c>
    </row>
    <row r="267" spans="2:5" x14ac:dyDescent="0.25">
      <c r="B267" s="52"/>
      <c r="C267" s="57"/>
      <c r="D267" s="58"/>
      <c r="E267" s="39" t="str">
        <f t="shared" si="4"/>
        <v/>
      </c>
    </row>
    <row r="268" spans="2:5" x14ac:dyDescent="0.25">
      <c r="B268" s="52"/>
      <c r="C268" s="57"/>
      <c r="D268" s="58"/>
      <c r="E268" s="39" t="str">
        <f t="shared" si="4"/>
        <v/>
      </c>
    </row>
    <row r="269" spans="2:5" x14ac:dyDescent="0.25">
      <c r="B269" s="52"/>
      <c r="C269" s="57"/>
      <c r="D269" s="58"/>
      <c r="E269" s="39" t="str">
        <f t="shared" si="4"/>
        <v/>
      </c>
    </row>
    <row r="270" spans="2:5" x14ac:dyDescent="0.25">
      <c r="B270" s="52"/>
      <c r="C270" s="57"/>
      <c r="D270" s="58"/>
      <c r="E270" s="39" t="str">
        <f t="shared" si="4"/>
        <v/>
      </c>
    </row>
    <row r="271" spans="2:5" x14ac:dyDescent="0.25">
      <c r="B271" s="52"/>
      <c r="C271" s="57"/>
      <c r="D271" s="58"/>
      <c r="E271" s="39" t="str">
        <f t="shared" si="4"/>
        <v/>
      </c>
    </row>
    <row r="272" spans="2:5" x14ac:dyDescent="0.25">
      <c r="B272" s="52"/>
      <c r="C272" s="57"/>
      <c r="D272" s="58"/>
      <c r="E272" s="39" t="str">
        <f t="shared" si="4"/>
        <v/>
      </c>
    </row>
    <row r="273" spans="2:5" x14ac:dyDescent="0.25">
      <c r="B273" s="52"/>
      <c r="C273" s="57"/>
      <c r="D273" s="58"/>
      <c r="E273" s="39" t="str">
        <f t="shared" si="4"/>
        <v/>
      </c>
    </row>
    <row r="274" spans="2:5" x14ac:dyDescent="0.25">
      <c r="B274" s="52"/>
      <c r="C274" s="57"/>
      <c r="D274" s="58"/>
      <c r="E274" s="39" t="str">
        <f t="shared" si="4"/>
        <v/>
      </c>
    </row>
    <row r="275" spans="2:5" x14ac:dyDescent="0.25">
      <c r="B275" s="52"/>
      <c r="C275" s="57"/>
      <c r="D275" s="58"/>
      <c r="E275" s="39" t="str">
        <f t="shared" si="4"/>
        <v/>
      </c>
    </row>
    <row r="276" spans="2:5" x14ac:dyDescent="0.25">
      <c r="B276" s="52"/>
      <c r="C276" s="57"/>
      <c r="D276" s="58"/>
      <c r="E276" s="39" t="str">
        <f t="shared" si="4"/>
        <v/>
      </c>
    </row>
    <row r="277" spans="2:5" x14ac:dyDescent="0.25">
      <c r="B277" s="52"/>
      <c r="C277" s="57"/>
      <c r="D277" s="58"/>
      <c r="E277" s="39" t="str">
        <f t="shared" si="4"/>
        <v/>
      </c>
    </row>
    <row r="278" spans="2:5" x14ac:dyDescent="0.25">
      <c r="B278" s="52"/>
      <c r="C278" s="57"/>
      <c r="D278" s="58"/>
      <c r="E278" s="39" t="str">
        <f t="shared" si="4"/>
        <v/>
      </c>
    </row>
    <row r="279" spans="2:5" x14ac:dyDescent="0.25">
      <c r="B279" s="52"/>
      <c r="C279" s="57"/>
      <c r="D279" s="58"/>
      <c r="E279" s="39" t="str">
        <f t="shared" si="4"/>
        <v/>
      </c>
    </row>
    <row r="280" spans="2:5" x14ac:dyDescent="0.25">
      <c r="B280" s="52"/>
      <c r="C280" s="57"/>
      <c r="D280" s="58"/>
      <c r="E280" s="39" t="str">
        <f t="shared" si="4"/>
        <v/>
      </c>
    </row>
    <row r="281" spans="2:5" x14ac:dyDescent="0.25">
      <c r="B281" s="52"/>
      <c r="C281" s="57"/>
      <c r="D281" s="58"/>
      <c r="E281" s="39" t="str">
        <f t="shared" si="4"/>
        <v/>
      </c>
    </row>
    <row r="282" spans="2:5" x14ac:dyDescent="0.25">
      <c r="B282" s="52"/>
      <c r="C282" s="57"/>
      <c r="D282" s="58"/>
      <c r="E282" s="39" t="str">
        <f t="shared" si="4"/>
        <v/>
      </c>
    </row>
    <row r="283" spans="2:5" x14ac:dyDescent="0.25">
      <c r="B283" s="52"/>
      <c r="C283" s="57"/>
      <c r="D283" s="58"/>
      <c r="E283" s="39" t="str">
        <f t="shared" si="4"/>
        <v/>
      </c>
    </row>
    <row r="284" spans="2:5" x14ac:dyDescent="0.25">
      <c r="B284" s="52"/>
      <c r="C284" s="57"/>
      <c r="D284" s="58"/>
      <c r="E284" s="39" t="str">
        <f t="shared" si="4"/>
        <v/>
      </c>
    </row>
    <row r="285" spans="2:5" x14ac:dyDescent="0.25">
      <c r="B285" s="52"/>
      <c r="C285" s="57"/>
      <c r="D285" s="58"/>
      <c r="E285" s="39" t="str">
        <f t="shared" si="4"/>
        <v/>
      </c>
    </row>
    <row r="286" spans="2:5" x14ac:dyDescent="0.25">
      <c r="B286" s="52"/>
      <c r="C286" s="57"/>
      <c r="D286" s="58"/>
      <c r="E286" s="39" t="str">
        <f t="shared" si="4"/>
        <v/>
      </c>
    </row>
    <row r="287" spans="2:5" x14ac:dyDescent="0.25">
      <c r="B287" s="52"/>
      <c r="C287" s="57"/>
      <c r="D287" s="58"/>
      <c r="E287" s="39" t="str">
        <f t="shared" si="4"/>
        <v/>
      </c>
    </row>
    <row r="288" spans="2:5" x14ac:dyDescent="0.25">
      <c r="B288" s="52"/>
      <c r="C288" s="57"/>
      <c r="D288" s="58"/>
      <c r="E288" s="39" t="str">
        <f t="shared" si="4"/>
        <v/>
      </c>
    </row>
    <row r="289" spans="2:5" x14ac:dyDescent="0.25">
      <c r="B289" s="52"/>
      <c r="C289" s="57"/>
      <c r="D289" s="58"/>
      <c r="E289" s="39" t="str">
        <f t="shared" si="4"/>
        <v/>
      </c>
    </row>
    <row r="290" spans="2:5" x14ac:dyDescent="0.25">
      <c r="B290" s="52"/>
      <c r="C290" s="57"/>
      <c r="D290" s="58"/>
      <c r="E290" s="39" t="str">
        <f t="shared" si="4"/>
        <v/>
      </c>
    </row>
    <row r="291" spans="2:5" x14ac:dyDescent="0.25">
      <c r="B291" s="52"/>
      <c r="C291" s="57"/>
      <c r="D291" s="58"/>
      <c r="E291" s="39" t="str">
        <f t="shared" si="4"/>
        <v/>
      </c>
    </row>
    <row r="292" spans="2:5" x14ac:dyDescent="0.25">
      <c r="B292" s="52"/>
      <c r="C292" s="57"/>
      <c r="D292" s="58"/>
      <c r="E292" s="39" t="str">
        <f t="shared" si="4"/>
        <v/>
      </c>
    </row>
    <row r="293" spans="2:5" x14ac:dyDescent="0.25">
      <c r="B293" s="52"/>
      <c r="C293" s="57"/>
      <c r="D293" s="58"/>
      <c r="E293" s="39" t="str">
        <f t="shared" si="4"/>
        <v/>
      </c>
    </row>
    <row r="294" spans="2:5" x14ac:dyDescent="0.25">
      <c r="B294" s="52"/>
      <c r="C294" s="57"/>
      <c r="D294" s="58"/>
    </row>
    <row r="295" spans="2:5" x14ac:dyDescent="0.25">
      <c r="B295" s="52"/>
      <c r="C295" s="57"/>
      <c r="D295" s="58"/>
    </row>
    <row r="296" spans="2:5" x14ac:dyDescent="0.25">
      <c r="B296" s="52"/>
      <c r="C296" s="57"/>
      <c r="D296" s="58"/>
    </row>
    <row r="297" spans="2:5" x14ac:dyDescent="0.25">
      <c r="B297" s="52"/>
      <c r="C297" s="57"/>
      <c r="D297" s="58"/>
    </row>
    <row r="298" spans="2:5" x14ac:dyDescent="0.25">
      <c r="B298" s="52"/>
      <c r="C298" s="57"/>
      <c r="D298" s="58"/>
    </row>
    <row r="299" spans="2:5" x14ac:dyDescent="0.25">
      <c r="B299" s="52"/>
      <c r="C299" s="57"/>
      <c r="D299" s="58"/>
    </row>
    <row r="300" spans="2:5" x14ac:dyDescent="0.25">
      <c r="B300" s="52"/>
      <c r="C300" s="57"/>
      <c r="D300" s="58"/>
    </row>
    <row r="301" spans="2:5" x14ac:dyDescent="0.25">
      <c r="B301" s="52"/>
      <c r="C301" s="57"/>
      <c r="D301" s="58"/>
    </row>
    <row r="302" spans="2:5" ht="13.8" thickBot="1" x14ac:dyDescent="0.3">
      <c r="B302" s="59"/>
      <c r="C302" s="60"/>
      <c r="D302" s="61"/>
    </row>
  </sheetData>
  <sheetProtection sheet="1" objects="1" scenarios="1" selectLockedCells="1"/>
  <mergeCells count="1">
    <mergeCell ref="G2:L1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43"/>
  <sheetViews>
    <sheetView topLeftCell="A105" zoomScaleNormal="100" workbookViewId="0">
      <selection activeCell="A121" sqref="A121:F143"/>
    </sheetView>
  </sheetViews>
  <sheetFormatPr baseColWidth="10" defaultColWidth="11.44140625" defaultRowHeight="13.2" x14ac:dyDescent="0.25"/>
  <cols>
    <col min="1" max="16384" width="11.44140625" style="76"/>
  </cols>
  <sheetData>
    <row r="1" spans="1:9" x14ac:dyDescent="0.25">
      <c r="A1" s="76">
        <v>0.5</v>
      </c>
      <c r="B1" s="76">
        <v>2</v>
      </c>
      <c r="C1" s="76">
        <v>1.5</v>
      </c>
      <c r="D1" s="76">
        <v>2.5</v>
      </c>
      <c r="E1" s="76">
        <v>3</v>
      </c>
      <c r="F1" s="76">
        <v>2</v>
      </c>
      <c r="G1" s="76">
        <v>2</v>
      </c>
      <c r="H1" s="76">
        <v>1</v>
      </c>
      <c r="I1" s="76">
        <v>2</v>
      </c>
    </row>
    <row r="2" spans="1:9" x14ac:dyDescent="0.25">
      <c r="A2" s="76">
        <v>1.5</v>
      </c>
      <c r="B2" s="76">
        <v>2</v>
      </c>
      <c r="C2" s="76">
        <v>0.5</v>
      </c>
      <c r="D2" s="76">
        <v>1</v>
      </c>
      <c r="E2" s="76">
        <v>2</v>
      </c>
      <c r="F2" s="76">
        <v>2</v>
      </c>
      <c r="G2" s="76">
        <v>2</v>
      </c>
      <c r="H2" s="76">
        <v>0</v>
      </c>
      <c r="I2" s="76">
        <v>0</v>
      </c>
    </row>
    <row r="3" spans="1:9" x14ac:dyDescent="0.25">
      <c r="A3" s="76">
        <v>0.5</v>
      </c>
      <c r="B3" s="76">
        <v>1.5</v>
      </c>
      <c r="C3" s="76">
        <v>1.5</v>
      </c>
      <c r="D3" s="76">
        <v>3</v>
      </c>
      <c r="E3" s="76">
        <v>3</v>
      </c>
      <c r="F3" s="76">
        <v>1</v>
      </c>
      <c r="G3" s="76">
        <v>2</v>
      </c>
      <c r="H3" s="76">
        <v>1</v>
      </c>
      <c r="I3" s="76">
        <v>2</v>
      </c>
    </row>
    <row r="4" spans="1:9" x14ac:dyDescent="0.25">
      <c r="A4" s="76">
        <v>2</v>
      </c>
      <c r="B4" s="76">
        <v>2</v>
      </c>
      <c r="C4" s="76">
        <v>1</v>
      </c>
      <c r="D4" s="76">
        <v>3</v>
      </c>
      <c r="E4" s="76">
        <v>2.5</v>
      </c>
      <c r="F4" s="76">
        <v>2</v>
      </c>
      <c r="G4" s="76">
        <v>1</v>
      </c>
      <c r="H4" s="76">
        <v>0.5</v>
      </c>
      <c r="I4" s="76">
        <v>0.5</v>
      </c>
    </row>
    <row r="5" spans="1:9" x14ac:dyDescent="0.25">
      <c r="A5" s="76">
        <v>2</v>
      </c>
      <c r="B5" s="76">
        <v>2</v>
      </c>
      <c r="C5" s="76">
        <v>2.5</v>
      </c>
      <c r="D5" s="76">
        <v>3</v>
      </c>
      <c r="E5" s="76">
        <v>2.5</v>
      </c>
      <c r="F5" s="76">
        <v>2</v>
      </c>
      <c r="G5" s="76">
        <v>2</v>
      </c>
      <c r="H5" s="76">
        <v>1</v>
      </c>
      <c r="I5" s="76">
        <v>0</v>
      </c>
    </row>
    <row r="6" spans="1:9" x14ac:dyDescent="0.25">
      <c r="A6" s="76">
        <v>2</v>
      </c>
      <c r="B6" s="76">
        <v>2</v>
      </c>
      <c r="C6" s="76">
        <v>2</v>
      </c>
      <c r="D6" s="76">
        <v>2</v>
      </c>
      <c r="E6" s="76">
        <v>2.5</v>
      </c>
      <c r="F6" s="76">
        <v>2</v>
      </c>
      <c r="G6" s="76">
        <v>2</v>
      </c>
      <c r="H6" s="76">
        <v>1</v>
      </c>
      <c r="I6" s="76">
        <v>2</v>
      </c>
    </row>
    <row r="7" spans="1:9" x14ac:dyDescent="0.25">
      <c r="A7" s="76">
        <v>1</v>
      </c>
      <c r="B7" s="76">
        <v>1.5</v>
      </c>
      <c r="C7" s="76">
        <v>3</v>
      </c>
      <c r="D7" s="76">
        <v>3</v>
      </c>
      <c r="E7" s="76">
        <v>3</v>
      </c>
      <c r="F7" s="76">
        <v>1</v>
      </c>
      <c r="G7" s="76">
        <v>2</v>
      </c>
      <c r="H7" s="76">
        <v>0</v>
      </c>
      <c r="I7" s="76">
        <v>0.5</v>
      </c>
    </row>
    <row r="8" spans="1:9" x14ac:dyDescent="0.25">
      <c r="A8" s="76">
        <v>0.5</v>
      </c>
      <c r="B8" s="76">
        <v>2</v>
      </c>
      <c r="C8" s="76">
        <v>1.5</v>
      </c>
      <c r="D8" s="76">
        <v>1</v>
      </c>
      <c r="E8" s="76">
        <v>3</v>
      </c>
      <c r="F8" s="76">
        <v>1</v>
      </c>
      <c r="G8" s="76">
        <v>2</v>
      </c>
      <c r="H8" s="76">
        <v>0</v>
      </c>
      <c r="I8" s="76">
        <v>0</v>
      </c>
    </row>
    <row r="9" spans="1:9" x14ac:dyDescent="0.25">
      <c r="A9" s="76">
        <v>1.5</v>
      </c>
      <c r="B9" s="76">
        <v>2</v>
      </c>
      <c r="C9" s="76">
        <v>1.5</v>
      </c>
      <c r="D9" s="76">
        <v>1</v>
      </c>
      <c r="E9" s="76">
        <v>2</v>
      </c>
      <c r="F9" s="76">
        <v>2</v>
      </c>
      <c r="G9" s="76">
        <v>0</v>
      </c>
      <c r="H9" s="76">
        <v>0</v>
      </c>
      <c r="I9" s="76">
        <v>2</v>
      </c>
    </row>
    <row r="10" spans="1:9" x14ac:dyDescent="0.25">
      <c r="A10" s="76">
        <v>0.5</v>
      </c>
      <c r="B10" s="76">
        <v>1</v>
      </c>
      <c r="C10" s="76">
        <v>0</v>
      </c>
      <c r="D10" s="76">
        <v>1</v>
      </c>
      <c r="E10" s="76">
        <v>0.5</v>
      </c>
      <c r="F10" s="76">
        <v>0</v>
      </c>
      <c r="G10" s="76">
        <v>0.5</v>
      </c>
      <c r="H10" s="76">
        <v>0</v>
      </c>
      <c r="I10" s="76">
        <v>0.5</v>
      </c>
    </row>
    <row r="11" spans="1:9" x14ac:dyDescent="0.25">
      <c r="A11" s="76">
        <v>0.5</v>
      </c>
      <c r="B11" s="76">
        <v>2</v>
      </c>
      <c r="C11" s="76">
        <v>1.5</v>
      </c>
      <c r="D11" s="76">
        <v>0</v>
      </c>
      <c r="E11" s="76">
        <v>1.5</v>
      </c>
      <c r="F11" s="76">
        <v>1</v>
      </c>
      <c r="G11" s="76">
        <v>2</v>
      </c>
      <c r="H11" s="76">
        <v>0</v>
      </c>
      <c r="I11" s="76">
        <v>0</v>
      </c>
    </row>
    <row r="12" spans="1:9" x14ac:dyDescent="0.25">
      <c r="A12" s="76">
        <v>2</v>
      </c>
      <c r="B12" s="76">
        <v>2</v>
      </c>
      <c r="C12" s="76">
        <v>1</v>
      </c>
      <c r="D12" s="76">
        <v>3</v>
      </c>
      <c r="E12" s="76">
        <v>1.5</v>
      </c>
      <c r="F12" s="76">
        <v>2</v>
      </c>
      <c r="G12" s="76">
        <v>2</v>
      </c>
      <c r="H12" s="76">
        <v>1</v>
      </c>
      <c r="I12" s="76">
        <v>2</v>
      </c>
    </row>
    <row r="13" spans="1:9" x14ac:dyDescent="0.25">
      <c r="A13" s="76">
        <v>1.5</v>
      </c>
      <c r="B13" s="76">
        <v>2</v>
      </c>
      <c r="C13" s="76">
        <v>1.5</v>
      </c>
      <c r="D13" s="76">
        <v>3</v>
      </c>
      <c r="E13" s="76">
        <v>3</v>
      </c>
      <c r="F13" s="76">
        <v>1.5</v>
      </c>
      <c r="G13" s="76">
        <v>2</v>
      </c>
      <c r="H13" s="76">
        <v>1</v>
      </c>
      <c r="I13" s="76">
        <v>0</v>
      </c>
    </row>
    <row r="14" spans="1:9" x14ac:dyDescent="0.25">
      <c r="A14" s="76">
        <v>2</v>
      </c>
      <c r="B14" s="76">
        <v>2</v>
      </c>
      <c r="C14" s="76">
        <v>1.5</v>
      </c>
      <c r="D14" s="76">
        <v>3</v>
      </c>
      <c r="E14" s="76">
        <v>3</v>
      </c>
      <c r="F14" s="76">
        <v>2</v>
      </c>
      <c r="G14" s="76">
        <v>2</v>
      </c>
      <c r="H14" s="76">
        <v>0.5</v>
      </c>
      <c r="I14" s="76">
        <v>0</v>
      </c>
    </row>
    <row r="15" spans="1:9" x14ac:dyDescent="0.25">
      <c r="A15" s="76">
        <v>1</v>
      </c>
      <c r="B15" s="76">
        <v>2</v>
      </c>
      <c r="C15" s="76">
        <v>1.5</v>
      </c>
      <c r="D15" s="76">
        <v>3</v>
      </c>
      <c r="E15" s="76">
        <v>2.5</v>
      </c>
      <c r="F15" s="76">
        <v>2</v>
      </c>
      <c r="G15" s="76">
        <v>2</v>
      </c>
      <c r="H15" s="76">
        <v>1</v>
      </c>
      <c r="I15" s="76">
        <v>2</v>
      </c>
    </row>
    <row r="16" spans="1:9" x14ac:dyDescent="0.25">
      <c r="A16" s="76">
        <v>2</v>
      </c>
      <c r="B16" s="76">
        <v>0</v>
      </c>
      <c r="C16" s="76">
        <v>1</v>
      </c>
      <c r="D16" s="76">
        <v>1.5</v>
      </c>
      <c r="E16" s="76">
        <v>2</v>
      </c>
      <c r="F16" s="76">
        <v>1</v>
      </c>
      <c r="G16" s="76">
        <v>2</v>
      </c>
      <c r="H16" s="76">
        <v>1</v>
      </c>
      <c r="I16" s="76">
        <v>0.5</v>
      </c>
    </row>
    <row r="17" spans="1:12" x14ac:dyDescent="0.25">
      <c r="A17" s="76">
        <v>0.5</v>
      </c>
      <c r="B17" s="76">
        <v>0</v>
      </c>
      <c r="C17" s="76">
        <v>0</v>
      </c>
      <c r="D17" s="76">
        <v>0</v>
      </c>
      <c r="E17" s="76">
        <v>0.5</v>
      </c>
      <c r="F17" s="76">
        <v>0</v>
      </c>
      <c r="G17" s="76">
        <v>0</v>
      </c>
      <c r="H17" s="76">
        <v>0</v>
      </c>
      <c r="I17" s="76">
        <v>0</v>
      </c>
    </row>
    <row r="18" spans="1:12" x14ac:dyDescent="0.25">
      <c r="A18" s="76">
        <v>2</v>
      </c>
      <c r="B18" s="76">
        <v>2</v>
      </c>
      <c r="C18" s="76">
        <v>1</v>
      </c>
      <c r="D18" s="76">
        <v>1</v>
      </c>
      <c r="E18" s="76">
        <v>3</v>
      </c>
      <c r="F18" s="76">
        <v>1</v>
      </c>
      <c r="G18" s="76">
        <v>2</v>
      </c>
      <c r="H18" s="76">
        <v>0</v>
      </c>
      <c r="I18" s="76">
        <v>0</v>
      </c>
    </row>
    <row r="19" spans="1:12" x14ac:dyDescent="0.25">
      <c r="A19" s="76">
        <v>0.5</v>
      </c>
      <c r="B19" s="76">
        <v>2</v>
      </c>
      <c r="C19" s="76">
        <v>1</v>
      </c>
      <c r="D19" s="76">
        <v>2.5</v>
      </c>
      <c r="E19" s="76">
        <v>1.5</v>
      </c>
      <c r="F19" s="76">
        <v>2</v>
      </c>
      <c r="G19" s="76">
        <v>2</v>
      </c>
      <c r="H19" s="76">
        <v>0</v>
      </c>
      <c r="I19" s="76">
        <v>0</v>
      </c>
    </row>
    <row r="20" spans="1:12" x14ac:dyDescent="0.25">
      <c r="A20" s="76">
        <v>1</v>
      </c>
      <c r="B20" s="76">
        <v>2</v>
      </c>
      <c r="C20" s="76">
        <v>2.5</v>
      </c>
      <c r="D20" s="76">
        <v>3</v>
      </c>
      <c r="E20" s="76">
        <v>3</v>
      </c>
      <c r="F20" s="76">
        <v>2</v>
      </c>
      <c r="G20" s="76">
        <v>2</v>
      </c>
      <c r="H20" s="76">
        <v>0</v>
      </c>
      <c r="I20" s="76">
        <v>2</v>
      </c>
    </row>
    <row r="21" spans="1:12" x14ac:dyDescent="0.25">
      <c r="A21" s="76">
        <v>2</v>
      </c>
      <c r="B21" s="76">
        <v>2</v>
      </c>
      <c r="C21" s="76">
        <v>1.5</v>
      </c>
      <c r="D21" s="76">
        <v>3</v>
      </c>
      <c r="E21" s="76">
        <v>3</v>
      </c>
      <c r="F21" s="76">
        <v>2</v>
      </c>
      <c r="G21" s="76">
        <v>2</v>
      </c>
      <c r="H21" s="76">
        <v>1</v>
      </c>
      <c r="I21" s="76">
        <v>2</v>
      </c>
    </row>
    <row r="22" spans="1:12" x14ac:dyDescent="0.25">
      <c r="A22" s="76">
        <v>0.5</v>
      </c>
      <c r="B22" s="76">
        <v>1.5</v>
      </c>
      <c r="C22" s="76">
        <v>1</v>
      </c>
      <c r="D22" s="76">
        <v>3</v>
      </c>
      <c r="E22" s="76">
        <v>3</v>
      </c>
      <c r="F22" s="76">
        <v>1</v>
      </c>
      <c r="G22" s="76">
        <v>2</v>
      </c>
      <c r="H22" s="76">
        <v>0</v>
      </c>
      <c r="I22" s="76">
        <v>2</v>
      </c>
    </row>
    <row r="23" spans="1:12" x14ac:dyDescent="0.25">
      <c r="A23" s="76">
        <v>0.5</v>
      </c>
      <c r="B23" s="76">
        <v>2</v>
      </c>
      <c r="C23" s="76">
        <v>1.5</v>
      </c>
      <c r="D23" s="76">
        <v>0.5</v>
      </c>
      <c r="E23" s="76">
        <v>1.5</v>
      </c>
      <c r="F23" s="76">
        <v>1</v>
      </c>
      <c r="G23" s="76">
        <v>1</v>
      </c>
      <c r="H23" s="76">
        <v>1</v>
      </c>
      <c r="I23" s="76">
        <v>1.5</v>
      </c>
    </row>
    <row r="25" spans="1:12" x14ac:dyDescent="0.25">
      <c r="A25" s="76">
        <v>1.5</v>
      </c>
      <c r="B25" s="76">
        <v>3</v>
      </c>
      <c r="C25" s="76">
        <v>3</v>
      </c>
      <c r="D25" s="76">
        <v>3</v>
      </c>
      <c r="E25" s="76">
        <v>3</v>
      </c>
      <c r="F25" s="76">
        <v>4</v>
      </c>
      <c r="G25" s="76">
        <v>3</v>
      </c>
      <c r="H25" s="76">
        <v>0</v>
      </c>
      <c r="I25" s="76">
        <v>2</v>
      </c>
      <c r="J25" s="76">
        <v>0</v>
      </c>
      <c r="K25" s="76">
        <v>4</v>
      </c>
      <c r="L25" s="76">
        <v>2.5</v>
      </c>
    </row>
    <row r="26" spans="1:12" x14ac:dyDescent="0.25">
      <c r="A26" s="76">
        <v>0.5</v>
      </c>
      <c r="B26" s="76">
        <v>2.5</v>
      </c>
      <c r="C26" s="76">
        <v>3</v>
      </c>
      <c r="D26" s="76">
        <v>3</v>
      </c>
      <c r="E26" s="76">
        <v>3</v>
      </c>
      <c r="F26" s="76">
        <v>4</v>
      </c>
      <c r="G26" s="76">
        <v>0</v>
      </c>
      <c r="H26" s="76">
        <v>0</v>
      </c>
      <c r="I26" s="76">
        <v>1.5</v>
      </c>
      <c r="J26" s="76">
        <v>0</v>
      </c>
      <c r="K26" s="76">
        <v>1</v>
      </c>
      <c r="L26" s="76">
        <v>2</v>
      </c>
    </row>
    <row r="27" spans="1:12" x14ac:dyDescent="0.25">
      <c r="A27" s="76">
        <v>1</v>
      </c>
      <c r="B27" s="76">
        <v>2</v>
      </c>
      <c r="C27" s="76">
        <v>0</v>
      </c>
      <c r="D27" s="76">
        <v>1</v>
      </c>
      <c r="E27" s="76">
        <v>3</v>
      </c>
      <c r="F27" s="76">
        <v>2.5</v>
      </c>
      <c r="G27" s="76">
        <v>0</v>
      </c>
      <c r="H27" s="76">
        <v>0</v>
      </c>
      <c r="I27" s="76">
        <v>0</v>
      </c>
      <c r="J27" s="76">
        <v>2</v>
      </c>
      <c r="K27" s="76">
        <v>0</v>
      </c>
      <c r="L27" s="76">
        <v>0</v>
      </c>
    </row>
    <row r="28" spans="1:12" x14ac:dyDescent="0.25">
      <c r="A28" s="76">
        <v>1</v>
      </c>
      <c r="B28" s="76">
        <v>3</v>
      </c>
      <c r="C28" s="76">
        <v>3</v>
      </c>
      <c r="D28" s="76">
        <v>3</v>
      </c>
      <c r="E28" s="76">
        <v>3</v>
      </c>
      <c r="F28" s="76">
        <v>4</v>
      </c>
      <c r="G28" s="76">
        <v>1.5</v>
      </c>
      <c r="H28" s="76">
        <v>0</v>
      </c>
      <c r="I28" s="76">
        <v>1.5</v>
      </c>
      <c r="J28" s="76">
        <v>3</v>
      </c>
      <c r="K28" s="76">
        <v>3</v>
      </c>
      <c r="L28" s="76">
        <v>0</v>
      </c>
    </row>
    <row r="29" spans="1:12" x14ac:dyDescent="0.25">
      <c r="A29" s="76">
        <v>2</v>
      </c>
      <c r="B29" s="76">
        <v>2</v>
      </c>
      <c r="C29" s="76">
        <v>3.5</v>
      </c>
      <c r="D29" s="76">
        <v>2.5</v>
      </c>
      <c r="E29" s="76">
        <v>2</v>
      </c>
      <c r="F29" s="76">
        <v>1</v>
      </c>
      <c r="G29" s="76">
        <v>0.5</v>
      </c>
      <c r="H29" s="76">
        <v>2.5</v>
      </c>
      <c r="I29" s="76">
        <v>2</v>
      </c>
      <c r="J29" s="76">
        <v>3.5</v>
      </c>
      <c r="K29" s="76">
        <v>3</v>
      </c>
      <c r="L29" s="76">
        <v>2.5</v>
      </c>
    </row>
    <row r="30" spans="1:12" x14ac:dyDescent="0.25">
      <c r="A30" s="76">
        <v>2</v>
      </c>
      <c r="B30" s="76">
        <v>3</v>
      </c>
      <c r="C30" s="76">
        <v>4</v>
      </c>
      <c r="D30" s="76">
        <v>3</v>
      </c>
      <c r="E30" s="76">
        <v>3</v>
      </c>
      <c r="F30" s="76">
        <v>4</v>
      </c>
      <c r="G30" s="76">
        <v>3</v>
      </c>
      <c r="H30" s="76">
        <v>4</v>
      </c>
      <c r="I30" s="76">
        <v>2</v>
      </c>
      <c r="J30" s="76">
        <v>5</v>
      </c>
      <c r="K30" s="76">
        <v>4</v>
      </c>
      <c r="L30" s="76">
        <v>3</v>
      </c>
    </row>
    <row r="31" spans="1:12" x14ac:dyDescent="0.25">
      <c r="A31" s="76">
        <v>1.5</v>
      </c>
      <c r="B31" s="76">
        <v>2.5</v>
      </c>
      <c r="C31" s="76">
        <v>4</v>
      </c>
      <c r="D31" s="76">
        <v>2</v>
      </c>
      <c r="E31" s="76">
        <v>2</v>
      </c>
      <c r="F31" s="76">
        <v>2.5</v>
      </c>
      <c r="G31" s="76">
        <v>0.5</v>
      </c>
      <c r="H31" s="76">
        <v>3</v>
      </c>
      <c r="I31" s="76">
        <v>1</v>
      </c>
      <c r="J31" s="76">
        <v>3.5</v>
      </c>
      <c r="K31" s="76">
        <v>2</v>
      </c>
      <c r="L31" s="76">
        <v>1.5</v>
      </c>
    </row>
    <row r="32" spans="1:12" x14ac:dyDescent="0.25">
      <c r="A32" s="76">
        <v>1.5</v>
      </c>
      <c r="B32" s="76">
        <v>1</v>
      </c>
      <c r="C32" s="76">
        <v>2.5</v>
      </c>
      <c r="D32" s="76">
        <v>3</v>
      </c>
      <c r="E32" s="76">
        <v>3</v>
      </c>
      <c r="F32" s="76">
        <v>3.5</v>
      </c>
      <c r="G32" s="76">
        <v>0</v>
      </c>
      <c r="H32" s="76">
        <v>0</v>
      </c>
      <c r="I32" s="76">
        <v>2</v>
      </c>
      <c r="J32" s="76">
        <v>0</v>
      </c>
      <c r="K32" s="76">
        <v>0</v>
      </c>
      <c r="L32" s="76">
        <v>0</v>
      </c>
    </row>
    <row r="33" spans="1:12" x14ac:dyDescent="0.25">
      <c r="A33" s="76">
        <v>1.5</v>
      </c>
      <c r="B33" s="76">
        <v>3</v>
      </c>
      <c r="C33" s="76">
        <v>4</v>
      </c>
      <c r="D33" s="76">
        <v>3</v>
      </c>
      <c r="E33" s="76">
        <v>2</v>
      </c>
      <c r="F33" s="76">
        <v>1</v>
      </c>
      <c r="G33" s="76">
        <v>0</v>
      </c>
      <c r="H33" s="76">
        <v>0</v>
      </c>
      <c r="I33" s="76">
        <v>0</v>
      </c>
      <c r="J33" s="76">
        <v>0</v>
      </c>
      <c r="K33" s="76">
        <v>0</v>
      </c>
      <c r="L33" s="76">
        <v>0</v>
      </c>
    </row>
    <row r="34" spans="1:12" x14ac:dyDescent="0.25">
      <c r="A34" s="76">
        <v>0</v>
      </c>
      <c r="B34" s="76">
        <v>1.5</v>
      </c>
      <c r="C34" s="76">
        <v>2.5</v>
      </c>
      <c r="D34" s="76">
        <v>0</v>
      </c>
      <c r="E34" s="76">
        <v>1</v>
      </c>
      <c r="F34" s="76">
        <v>1</v>
      </c>
      <c r="G34" s="76">
        <v>0</v>
      </c>
      <c r="H34" s="76">
        <v>0</v>
      </c>
      <c r="I34" s="76">
        <v>1</v>
      </c>
      <c r="J34" s="76">
        <v>0</v>
      </c>
      <c r="K34" s="76">
        <v>1</v>
      </c>
      <c r="L34" s="76">
        <v>0.5</v>
      </c>
    </row>
    <row r="35" spans="1:12" x14ac:dyDescent="0.25">
      <c r="A35" s="76">
        <v>1</v>
      </c>
      <c r="B35" s="76">
        <v>1.5</v>
      </c>
      <c r="C35" s="76">
        <v>4</v>
      </c>
      <c r="D35" s="76">
        <v>1.5</v>
      </c>
      <c r="E35" s="76">
        <v>2</v>
      </c>
      <c r="F35" s="76">
        <v>3.5</v>
      </c>
      <c r="G35" s="76">
        <v>0</v>
      </c>
      <c r="H35" s="76">
        <v>0</v>
      </c>
      <c r="I35" s="76">
        <v>0</v>
      </c>
      <c r="J35" s="76">
        <v>0</v>
      </c>
      <c r="K35" s="76">
        <v>1</v>
      </c>
      <c r="L35" s="76">
        <v>0</v>
      </c>
    </row>
    <row r="36" spans="1:12" x14ac:dyDescent="0.25">
      <c r="A36" s="76">
        <v>2</v>
      </c>
      <c r="B36" s="76">
        <v>3</v>
      </c>
      <c r="C36" s="76">
        <v>4</v>
      </c>
      <c r="D36" s="76">
        <v>3</v>
      </c>
      <c r="E36" s="76">
        <v>3</v>
      </c>
      <c r="F36" s="76">
        <v>4</v>
      </c>
      <c r="G36" s="76">
        <v>3</v>
      </c>
      <c r="H36" s="76">
        <v>0</v>
      </c>
      <c r="I36" s="76">
        <v>2</v>
      </c>
      <c r="J36" s="76">
        <v>3</v>
      </c>
      <c r="K36" s="76">
        <v>3</v>
      </c>
      <c r="L36" s="76">
        <v>2</v>
      </c>
    </row>
    <row r="37" spans="1:12" x14ac:dyDescent="0.25">
      <c r="A37" s="76">
        <v>0.5</v>
      </c>
      <c r="B37" s="76">
        <v>1.5</v>
      </c>
      <c r="C37" s="76">
        <v>4</v>
      </c>
      <c r="D37" s="76">
        <v>3</v>
      </c>
      <c r="E37" s="76">
        <v>3</v>
      </c>
      <c r="F37" s="76">
        <v>3.5</v>
      </c>
      <c r="G37" s="76">
        <v>0</v>
      </c>
      <c r="H37" s="76">
        <v>0</v>
      </c>
      <c r="I37" s="76">
        <v>2</v>
      </c>
      <c r="J37" s="76">
        <v>4.5</v>
      </c>
      <c r="K37" s="76">
        <v>0</v>
      </c>
      <c r="L37" s="76">
        <v>0</v>
      </c>
    </row>
    <row r="38" spans="1:12" x14ac:dyDescent="0.25">
      <c r="A38" s="76">
        <v>1.5</v>
      </c>
      <c r="B38" s="76">
        <v>2.5</v>
      </c>
      <c r="C38" s="76">
        <v>3</v>
      </c>
      <c r="D38" s="76">
        <v>2.5</v>
      </c>
      <c r="E38" s="76">
        <v>2</v>
      </c>
      <c r="F38" s="76">
        <v>4</v>
      </c>
      <c r="G38" s="76">
        <v>0</v>
      </c>
      <c r="H38" s="76">
        <v>0</v>
      </c>
      <c r="I38" s="76">
        <v>0</v>
      </c>
      <c r="J38" s="76">
        <v>0</v>
      </c>
      <c r="K38" s="76">
        <v>1</v>
      </c>
      <c r="L38" s="76">
        <v>0</v>
      </c>
    </row>
    <row r="39" spans="1:12" x14ac:dyDescent="0.25">
      <c r="A39" s="76">
        <v>1.5</v>
      </c>
      <c r="B39" s="76">
        <v>3</v>
      </c>
      <c r="C39" s="76">
        <v>4</v>
      </c>
      <c r="D39" s="76">
        <v>3</v>
      </c>
      <c r="E39" s="76">
        <v>2.5</v>
      </c>
      <c r="F39" s="76">
        <v>3.5</v>
      </c>
      <c r="G39" s="76">
        <v>0.5</v>
      </c>
      <c r="H39" s="76">
        <v>0</v>
      </c>
      <c r="I39" s="76">
        <v>2</v>
      </c>
      <c r="J39" s="76">
        <v>3.5</v>
      </c>
      <c r="K39" s="76">
        <v>3.5</v>
      </c>
      <c r="L39" s="76">
        <v>0.5</v>
      </c>
    </row>
    <row r="40" spans="1:12" x14ac:dyDescent="0.25">
      <c r="A40" s="76">
        <v>1.5</v>
      </c>
      <c r="B40" s="76">
        <v>3</v>
      </c>
      <c r="C40" s="76">
        <v>4</v>
      </c>
      <c r="D40" s="76">
        <v>3</v>
      </c>
      <c r="E40" s="76">
        <v>3</v>
      </c>
      <c r="F40" s="76">
        <v>4</v>
      </c>
      <c r="G40" s="76">
        <v>0</v>
      </c>
      <c r="H40" s="76">
        <v>1.5</v>
      </c>
      <c r="I40" s="76">
        <v>0</v>
      </c>
      <c r="J40" s="76">
        <v>2</v>
      </c>
      <c r="K40" s="76">
        <v>0</v>
      </c>
      <c r="L40" s="76">
        <v>0</v>
      </c>
    </row>
    <row r="41" spans="1:12" x14ac:dyDescent="0.25">
      <c r="A41" s="76">
        <v>1.5</v>
      </c>
      <c r="B41" s="76">
        <v>1.5</v>
      </c>
      <c r="C41" s="76">
        <v>0</v>
      </c>
      <c r="D41" s="76">
        <v>1.5</v>
      </c>
      <c r="E41" s="76">
        <v>1</v>
      </c>
      <c r="F41" s="76">
        <v>1</v>
      </c>
      <c r="G41" s="76">
        <v>0</v>
      </c>
      <c r="H41" s="76">
        <v>0</v>
      </c>
      <c r="I41" s="76">
        <v>0</v>
      </c>
      <c r="J41" s="76">
        <v>0</v>
      </c>
      <c r="K41" s="76">
        <v>0</v>
      </c>
      <c r="L41" s="76">
        <v>0</v>
      </c>
    </row>
    <row r="42" spans="1:12" x14ac:dyDescent="0.25">
      <c r="A42" s="76">
        <v>1</v>
      </c>
      <c r="B42" s="76">
        <v>2.5</v>
      </c>
      <c r="C42" s="76">
        <v>2</v>
      </c>
      <c r="D42" s="76">
        <v>3</v>
      </c>
      <c r="E42" s="76">
        <v>2.5</v>
      </c>
      <c r="F42" s="76">
        <v>3.5</v>
      </c>
      <c r="G42" s="76">
        <v>0</v>
      </c>
      <c r="H42" s="76">
        <v>0</v>
      </c>
      <c r="I42" s="76">
        <v>1.5</v>
      </c>
      <c r="J42" s="76">
        <v>0</v>
      </c>
      <c r="K42" s="76">
        <v>0</v>
      </c>
      <c r="L42" s="76">
        <v>0</v>
      </c>
    </row>
    <row r="43" spans="1:12" x14ac:dyDescent="0.25">
      <c r="A43" s="76">
        <v>1.5</v>
      </c>
      <c r="B43" s="76">
        <v>2</v>
      </c>
      <c r="C43" s="76">
        <v>3</v>
      </c>
      <c r="D43" s="76">
        <v>0.5</v>
      </c>
      <c r="E43" s="76">
        <v>1</v>
      </c>
      <c r="F43" s="76">
        <v>4</v>
      </c>
      <c r="G43" s="76">
        <v>0.5</v>
      </c>
      <c r="H43" s="76">
        <v>0</v>
      </c>
      <c r="I43" s="76">
        <v>2</v>
      </c>
      <c r="J43" s="76">
        <v>0</v>
      </c>
      <c r="K43" s="76">
        <v>2</v>
      </c>
      <c r="L43" s="76">
        <v>0</v>
      </c>
    </row>
    <row r="44" spans="1:12" x14ac:dyDescent="0.25">
      <c r="A44" s="76">
        <v>1.5</v>
      </c>
      <c r="B44" s="76">
        <v>3</v>
      </c>
      <c r="C44" s="76">
        <v>3.5</v>
      </c>
      <c r="D44" s="76">
        <v>2.5</v>
      </c>
      <c r="E44" s="76">
        <v>2</v>
      </c>
      <c r="F44" s="76">
        <v>3.5</v>
      </c>
      <c r="G44" s="76">
        <v>2</v>
      </c>
      <c r="H44" s="76">
        <v>0</v>
      </c>
      <c r="I44" s="76">
        <v>1.5</v>
      </c>
      <c r="J44" s="76">
        <v>3.5</v>
      </c>
      <c r="K44" s="76">
        <v>3</v>
      </c>
      <c r="L44" s="76">
        <v>0</v>
      </c>
    </row>
    <row r="45" spans="1:12" x14ac:dyDescent="0.25">
      <c r="A45" s="76">
        <v>2</v>
      </c>
      <c r="B45" s="76">
        <v>2.5</v>
      </c>
      <c r="C45" s="76">
        <v>4</v>
      </c>
      <c r="D45" s="76">
        <v>3</v>
      </c>
      <c r="E45" s="76">
        <v>2.5</v>
      </c>
      <c r="F45" s="76">
        <v>3</v>
      </c>
      <c r="G45" s="76">
        <v>3</v>
      </c>
      <c r="H45" s="76">
        <v>0</v>
      </c>
      <c r="I45" s="76">
        <v>2</v>
      </c>
      <c r="J45" s="76">
        <v>4.5</v>
      </c>
      <c r="K45" s="76">
        <v>3</v>
      </c>
      <c r="L45" s="76">
        <v>3</v>
      </c>
    </row>
    <row r="46" spans="1:12" x14ac:dyDescent="0.25">
      <c r="A46" s="76">
        <v>0.5</v>
      </c>
      <c r="B46" s="76">
        <v>3</v>
      </c>
      <c r="C46" s="76">
        <v>4</v>
      </c>
      <c r="D46" s="76">
        <v>2</v>
      </c>
      <c r="E46" s="76">
        <v>2.5</v>
      </c>
      <c r="F46" s="76">
        <v>3</v>
      </c>
      <c r="G46" s="76">
        <v>1.5</v>
      </c>
      <c r="H46" s="76">
        <v>0</v>
      </c>
      <c r="I46" s="76">
        <v>2</v>
      </c>
      <c r="J46" s="76">
        <v>2.5</v>
      </c>
      <c r="K46" s="76">
        <v>2.5</v>
      </c>
      <c r="L46" s="76">
        <v>2.5</v>
      </c>
    </row>
    <row r="47" spans="1:12" x14ac:dyDescent="0.25">
      <c r="A47" s="76">
        <v>1</v>
      </c>
      <c r="B47" s="76">
        <v>2.5</v>
      </c>
      <c r="C47" s="76">
        <v>3.5</v>
      </c>
      <c r="D47" s="76">
        <v>3</v>
      </c>
      <c r="E47" s="76">
        <v>2</v>
      </c>
      <c r="F47" s="76">
        <v>4</v>
      </c>
      <c r="G47" s="76">
        <v>0</v>
      </c>
      <c r="H47" s="76">
        <v>0</v>
      </c>
      <c r="I47" s="76">
        <v>0</v>
      </c>
      <c r="J47" s="76">
        <v>0</v>
      </c>
      <c r="K47" s="76">
        <v>1</v>
      </c>
      <c r="L47" s="76">
        <v>0</v>
      </c>
    </row>
    <row r="49" spans="1:3" x14ac:dyDescent="0.25">
      <c r="A49" s="76">
        <v>2.5</v>
      </c>
      <c r="B49" s="76">
        <v>1</v>
      </c>
      <c r="C49" s="76">
        <v>0.5</v>
      </c>
    </row>
    <row r="50" spans="1:3" x14ac:dyDescent="0.25">
      <c r="A50" s="76">
        <v>5</v>
      </c>
      <c r="B50" s="76">
        <v>1.5</v>
      </c>
      <c r="C50" s="76">
        <v>1</v>
      </c>
    </row>
    <row r="51" spans="1:3" x14ac:dyDescent="0.25">
      <c r="A51" s="76">
        <v>2.5</v>
      </c>
      <c r="B51" s="76">
        <v>0</v>
      </c>
      <c r="C51" s="76">
        <v>1</v>
      </c>
    </row>
    <row r="52" spans="1:3" x14ac:dyDescent="0.25">
      <c r="A52" s="76">
        <v>2.5</v>
      </c>
      <c r="B52" s="76">
        <v>1</v>
      </c>
      <c r="C52" s="76">
        <v>1</v>
      </c>
    </row>
    <row r="53" spans="1:3" x14ac:dyDescent="0.25">
      <c r="A53" s="76">
        <v>2.5</v>
      </c>
      <c r="B53" s="76">
        <v>2</v>
      </c>
      <c r="C53" s="76">
        <v>3</v>
      </c>
    </row>
    <row r="54" spans="1:3" x14ac:dyDescent="0.25">
      <c r="A54" s="76">
        <v>3</v>
      </c>
      <c r="B54" s="76">
        <v>2</v>
      </c>
      <c r="C54" s="76">
        <v>3</v>
      </c>
    </row>
    <row r="55" spans="1:3" x14ac:dyDescent="0.25">
      <c r="A55" s="76">
        <v>5</v>
      </c>
      <c r="B55" s="76">
        <v>2</v>
      </c>
      <c r="C55" s="76">
        <v>3</v>
      </c>
    </row>
    <row r="56" spans="1:3" x14ac:dyDescent="0.25">
      <c r="A56" s="76">
        <v>5</v>
      </c>
      <c r="B56" s="76">
        <v>2</v>
      </c>
      <c r="C56" s="76">
        <v>3</v>
      </c>
    </row>
    <row r="57" spans="1:3" x14ac:dyDescent="0.25">
      <c r="A57" s="76">
        <v>4</v>
      </c>
      <c r="B57" s="76">
        <v>0</v>
      </c>
      <c r="C57" s="76">
        <v>3</v>
      </c>
    </row>
    <row r="58" spans="1:3" x14ac:dyDescent="0.25">
      <c r="A58" s="76">
        <v>2.5</v>
      </c>
      <c r="B58" s="76">
        <v>2</v>
      </c>
      <c r="C58" s="76">
        <v>0</v>
      </c>
    </row>
    <row r="59" spans="1:3" x14ac:dyDescent="0.25">
      <c r="A59" s="76">
        <v>2</v>
      </c>
      <c r="B59" s="76">
        <v>0</v>
      </c>
      <c r="C59" s="76">
        <v>0</v>
      </c>
    </row>
    <row r="60" spans="1:3" x14ac:dyDescent="0.25">
      <c r="A60" s="76">
        <v>2.5</v>
      </c>
      <c r="B60" s="76">
        <v>0</v>
      </c>
      <c r="C60" s="76">
        <v>2</v>
      </c>
    </row>
    <row r="61" spans="1:3" x14ac:dyDescent="0.25">
      <c r="A61" s="76">
        <v>5</v>
      </c>
      <c r="B61" s="76">
        <v>1</v>
      </c>
      <c r="C61" s="76">
        <v>3</v>
      </c>
    </row>
    <row r="62" spans="1:3" x14ac:dyDescent="0.25">
      <c r="A62" s="76">
        <v>5</v>
      </c>
      <c r="B62" s="76">
        <v>1.5</v>
      </c>
      <c r="C62" s="76">
        <v>0.5</v>
      </c>
    </row>
    <row r="63" spans="1:3" x14ac:dyDescent="0.25">
      <c r="A63" s="76">
        <v>2.5</v>
      </c>
      <c r="B63" s="76">
        <v>0</v>
      </c>
      <c r="C63" s="76">
        <v>1</v>
      </c>
    </row>
    <row r="64" spans="1:3" x14ac:dyDescent="0.25">
      <c r="A64" s="76">
        <v>5</v>
      </c>
      <c r="B64" s="76">
        <v>1</v>
      </c>
      <c r="C64" s="76">
        <v>1</v>
      </c>
    </row>
    <row r="65" spans="1:6" x14ac:dyDescent="0.25">
      <c r="A65" s="76">
        <v>5</v>
      </c>
      <c r="B65" s="76">
        <v>1</v>
      </c>
      <c r="C65" s="76">
        <v>3</v>
      </c>
    </row>
    <row r="66" spans="1:6" x14ac:dyDescent="0.25">
      <c r="A66" s="76">
        <v>2.5</v>
      </c>
      <c r="B66" s="76">
        <v>1</v>
      </c>
      <c r="C66" s="76">
        <v>1</v>
      </c>
    </row>
    <row r="67" spans="1:6" x14ac:dyDescent="0.25">
      <c r="A67" s="76">
        <v>5</v>
      </c>
      <c r="B67" s="76">
        <v>0</v>
      </c>
      <c r="C67" s="76">
        <v>0.5</v>
      </c>
    </row>
    <row r="68" spans="1:6" x14ac:dyDescent="0.25">
      <c r="A68" s="76">
        <v>3</v>
      </c>
      <c r="B68" s="76">
        <v>0</v>
      </c>
      <c r="C68" s="76">
        <v>0</v>
      </c>
    </row>
    <row r="69" spans="1:6" x14ac:dyDescent="0.25">
      <c r="A69" s="76">
        <v>4</v>
      </c>
      <c r="B69" s="76">
        <v>1</v>
      </c>
      <c r="C69" s="76">
        <v>1</v>
      </c>
    </row>
    <row r="70" spans="1:6" x14ac:dyDescent="0.25">
      <c r="A70" s="76">
        <v>5</v>
      </c>
      <c r="B70" s="76">
        <v>2</v>
      </c>
      <c r="C70" s="76">
        <v>3</v>
      </c>
    </row>
    <row r="71" spans="1:6" x14ac:dyDescent="0.25">
      <c r="A71" s="76">
        <v>5</v>
      </c>
      <c r="B71" s="76">
        <v>2</v>
      </c>
      <c r="C71" s="76">
        <v>1</v>
      </c>
    </row>
    <row r="73" spans="1:6" x14ac:dyDescent="0.25">
      <c r="A73" s="76">
        <v>2</v>
      </c>
      <c r="B73" s="76">
        <v>2</v>
      </c>
      <c r="C73" s="76">
        <v>2</v>
      </c>
      <c r="D73" s="76">
        <v>4</v>
      </c>
      <c r="E73" s="76">
        <v>3</v>
      </c>
      <c r="F73" s="76">
        <v>7</v>
      </c>
    </row>
    <row r="74" spans="1:6" x14ac:dyDescent="0.25">
      <c r="A74" s="76">
        <v>1</v>
      </c>
      <c r="B74" s="76">
        <v>2</v>
      </c>
      <c r="C74" s="76">
        <v>1</v>
      </c>
      <c r="D74" s="76">
        <v>2</v>
      </c>
      <c r="E74" s="76">
        <v>1</v>
      </c>
      <c r="F74" s="76">
        <v>7</v>
      </c>
    </row>
    <row r="75" spans="1:6" x14ac:dyDescent="0.25">
      <c r="A75" s="76">
        <v>2</v>
      </c>
      <c r="B75" s="76">
        <v>2</v>
      </c>
      <c r="C75" s="76">
        <v>1</v>
      </c>
      <c r="D75" s="76">
        <v>3</v>
      </c>
      <c r="E75" s="76">
        <v>0</v>
      </c>
      <c r="F75" s="76">
        <v>5</v>
      </c>
    </row>
    <row r="76" spans="1:6" x14ac:dyDescent="0.25">
      <c r="A76" s="76">
        <v>2</v>
      </c>
      <c r="B76" s="76">
        <v>2</v>
      </c>
      <c r="C76" s="76">
        <v>1</v>
      </c>
      <c r="D76" s="76">
        <v>4</v>
      </c>
      <c r="E76" s="76">
        <v>0</v>
      </c>
      <c r="F76" s="76">
        <v>6.5</v>
      </c>
    </row>
    <row r="77" spans="1:6" x14ac:dyDescent="0.25">
      <c r="A77" s="76">
        <v>1</v>
      </c>
      <c r="B77" s="76">
        <v>1</v>
      </c>
      <c r="C77" s="76">
        <v>1</v>
      </c>
      <c r="D77" s="76">
        <v>1.5</v>
      </c>
      <c r="E77" s="76">
        <v>0</v>
      </c>
      <c r="F77" s="76">
        <v>4</v>
      </c>
    </row>
    <row r="78" spans="1:6" x14ac:dyDescent="0.25">
      <c r="A78" s="76">
        <v>2</v>
      </c>
      <c r="B78" s="76">
        <v>0.5</v>
      </c>
      <c r="C78" s="76">
        <v>1</v>
      </c>
      <c r="D78" s="76">
        <v>4</v>
      </c>
      <c r="E78" s="76">
        <v>3</v>
      </c>
      <c r="F78" s="76">
        <v>6</v>
      </c>
    </row>
    <row r="79" spans="1:6" x14ac:dyDescent="0.25">
      <c r="A79" s="76">
        <v>2</v>
      </c>
      <c r="B79" s="76">
        <v>2</v>
      </c>
      <c r="C79" s="76">
        <v>2</v>
      </c>
      <c r="D79" s="76">
        <v>2.5</v>
      </c>
      <c r="E79" s="76">
        <v>0</v>
      </c>
      <c r="F79" s="76">
        <v>0.5</v>
      </c>
    </row>
    <row r="80" spans="1:6" x14ac:dyDescent="0.25">
      <c r="A80" s="76">
        <v>2</v>
      </c>
      <c r="B80" s="76">
        <v>2</v>
      </c>
      <c r="C80" s="76">
        <v>2</v>
      </c>
      <c r="D80" s="76">
        <v>2</v>
      </c>
      <c r="E80" s="76">
        <v>0.5</v>
      </c>
      <c r="F80" s="76">
        <v>7</v>
      </c>
    </row>
    <row r="81" spans="1:6" x14ac:dyDescent="0.25">
      <c r="A81" s="76">
        <v>2</v>
      </c>
      <c r="B81" s="76">
        <v>2</v>
      </c>
      <c r="C81" s="76">
        <v>2</v>
      </c>
      <c r="D81" s="76">
        <v>4</v>
      </c>
      <c r="E81" s="76">
        <v>3</v>
      </c>
      <c r="F81" s="76">
        <v>7</v>
      </c>
    </row>
    <row r="82" spans="1:6" x14ac:dyDescent="0.25">
      <c r="A82" s="76">
        <v>2</v>
      </c>
      <c r="B82" s="76">
        <v>2</v>
      </c>
      <c r="C82" s="76">
        <v>2</v>
      </c>
      <c r="D82" s="76">
        <v>2</v>
      </c>
      <c r="E82" s="76">
        <v>0</v>
      </c>
      <c r="F82" s="76">
        <v>7</v>
      </c>
    </row>
    <row r="83" spans="1:6" x14ac:dyDescent="0.25">
      <c r="A83" s="76">
        <v>1</v>
      </c>
      <c r="B83" s="76">
        <v>0</v>
      </c>
      <c r="C83" s="76">
        <v>2</v>
      </c>
      <c r="D83" s="76">
        <v>1.5</v>
      </c>
      <c r="E83" s="76">
        <v>2</v>
      </c>
      <c r="F83" s="76">
        <v>3</v>
      </c>
    </row>
    <row r="84" spans="1:6" x14ac:dyDescent="0.25">
      <c r="A84" s="76">
        <v>2</v>
      </c>
      <c r="B84" s="76">
        <v>2</v>
      </c>
      <c r="C84" s="76">
        <v>1</v>
      </c>
      <c r="D84" s="76">
        <v>0.5</v>
      </c>
      <c r="E84" s="76">
        <v>0</v>
      </c>
      <c r="F84" s="76">
        <v>2</v>
      </c>
    </row>
    <row r="85" spans="1:6" x14ac:dyDescent="0.25">
      <c r="A85" s="76">
        <v>2</v>
      </c>
      <c r="B85" s="76">
        <v>0</v>
      </c>
      <c r="C85" s="76">
        <v>1.5</v>
      </c>
      <c r="D85" s="76">
        <v>0</v>
      </c>
      <c r="E85" s="76">
        <v>2</v>
      </c>
      <c r="F85" s="76">
        <v>0</v>
      </c>
    </row>
    <row r="86" spans="1:6" x14ac:dyDescent="0.25">
      <c r="A86" s="76">
        <v>2</v>
      </c>
      <c r="B86" s="76">
        <v>0</v>
      </c>
      <c r="C86" s="76">
        <v>1</v>
      </c>
      <c r="D86" s="76">
        <v>2</v>
      </c>
      <c r="E86" s="76">
        <v>3</v>
      </c>
      <c r="F86" s="76">
        <v>0</v>
      </c>
    </row>
    <row r="87" spans="1:6" x14ac:dyDescent="0.25">
      <c r="A87" s="76">
        <v>2</v>
      </c>
      <c r="B87" s="76">
        <v>0.5</v>
      </c>
      <c r="C87" s="76">
        <v>1.5</v>
      </c>
      <c r="D87" s="76">
        <v>3</v>
      </c>
      <c r="E87" s="76">
        <v>1</v>
      </c>
      <c r="F87" s="76">
        <v>7</v>
      </c>
    </row>
    <row r="88" spans="1:6" x14ac:dyDescent="0.25">
      <c r="A88" s="76">
        <v>0</v>
      </c>
      <c r="B88" s="76">
        <v>0</v>
      </c>
      <c r="C88" s="76">
        <v>0</v>
      </c>
      <c r="D88" s="76">
        <v>0</v>
      </c>
      <c r="E88" s="76">
        <v>0</v>
      </c>
      <c r="F88" s="76">
        <v>0</v>
      </c>
    </row>
    <row r="89" spans="1:6" x14ac:dyDescent="0.25">
      <c r="A89" s="76">
        <v>1</v>
      </c>
      <c r="B89" s="76">
        <v>1</v>
      </c>
      <c r="C89" s="76">
        <v>1.5</v>
      </c>
      <c r="D89" s="76">
        <v>1</v>
      </c>
      <c r="E89" s="76">
        <v>3</v>
      </c>
      <c r="F89" s="76">
        <v>3</v>
      </c>
    </row>
    <row r="90" spans="1:6" x14ac:dyDescent="0.25">
      <c r="A90" s="76">
        <v>2</v>
      </c>
      <c r="B90" s="76">
        <v>2</v>
      </c>
      <c r="C90" s="76">
        <v>1</v>
      </c>
      <c r="D90" s="76">
        <v>2</v>
      </c>
      <c r="E90" s="76">
        <v>0</v>
      </c>
      <c r="F90" s="76">
        <v>6</v>
      </c>
    </row>
    <row r="91" spans="1:6" x14ac:dyDescent="0.25">
      <c r="A91" s="76">
        <v>2</v>
      </c>
      <c r="B91" s="76">
        <v>0.5</v>
      </c>
      <c r="C91" s="76">
        <v>1.5</v>
      </c>
      <c r="D91" s="76">
        <v>2</v>
      </c>
      <c r="E91" s="76">
        <v>1</v>
      </c>
      <c r="F91" s="76">
        <v>5</v>
      </c>
    </row>
    <row r="92" spans="1:6" x14ac:dyDescent="0.25">
      <c r="A92" s="76">
        <v>2</v>
      </c>
      <c r="B92" s="76">
        <v>0.5</v>
      </c>
      <c r="C92" s="76">
        <v>2</v>
      </c>
      <c r="D92" s="76">
        <v>0</v>
      </c>
      <c r="E92" s="76">
        <v>0</v>
      </c>
      <c r="F92" s="76">
        <v>0</v>
      </c>
    </row>
    <row r="93" spans="1:6" x14ac:dyDescent="0.25">
      <c r="A93" s="76">
        <v>1</v>
      </c>
      <c r="B93" s="76">
        <v>2</v>
      </c>
      <c r="C93" s="76">
        <v>1</v>
      </c>
      <c r="D93" s="76">
        <v>2</v>
      </c>
      <c r="E93" s="76">
        <v>0</v>
      </c>
      <c r="F93" s="76">
        <v>7</v>
      </c>
    </row>
    <row r="94" spans="1:6" x14ac:dyDescent="0.25">
      <c r="A94" s="76">
        <v>2</v>
      </c>
      <c r="B94" s="76">
        <v>0</v>
      </c>
      <c r="C94" s="76">
        <v>2</v>
      </c>
      <c r="D94" s="76">
        <v>1.5</v>
      </c>
      <c r="E94" s="76">
        <v>0</v>
      </c>
      <c r="F94" s="76">
        <v>6</v>
      </c>
    </row>
    <row r="95" spans="1:6" x14ac:dyDescent="0.25">
      <c r="A95" s="76">
        <v>2</v>
      </c>
      <c r="B95" s="76">
        <v>2</v>
      </c>
      <c r="C95" s="76">
        <v>2</v>
      </c>
      <c r="D95" s="76">
        <v>4</v>
      </c>
      <c r="E95" s="76">
        <v>0</v>
      </c>
      <c r="F95" s="76">
        <v>6</v>
      </c>
    </row>
    <row r="97" spans="1:4" x14ac:dyDescent="0.25">
      <c r="A97" s="76">
        <v>0</v>
      </c>
      <c r="B97" s="76">
        <v>0</v>
      </c>
      <c r="C97" s="76">
        <v>1</v>
      </c>
      <c r="D97" s="76">
        <v>0</v>
      </c>
    </row>
    <row r="98" spans="1:4" x14ac:dyDescent="0.25">
      <c r="A98" s="76">
        <v>1.5</v>
      </c>
      <c r="B98" s="76">
        <v>2</v>
      </c>
      <c r="C98" s="76">
        <v>1.5</v>
      </c>
      <c r="D98" s="76">
        <v>2</v>
      </c>
    </row>
    <row r="99" spans="1:4" x14ac:dyDescent="0.25">
      <c r="A99" s="76">
        <v>2</v>
      </c>
      <c r="B99" s="76">
        <v>2.5</v>
      </c>
      <c r="C99" s="76">
        <v>2</v>
      </c>
      <c r="D99" s="76">
        <v>0</v>
      </c>
    </row>
    <row r="100" spans="1:4" x14ac:dyDescent="0.25">
      <c r="A100" s="76">
        <v>2</v>
      </c>
      <c r="B100" s="76">
        <v>1.5</v>
      </c>
      <c r="C100" s="76">
        <v>2</v>
      </c>
      <c r="D100" s="76">
        <v>1</v>
      </c>
    </row>
    <row r="101" spans="1:4" x14ac:dyDescent="0.25">
      <c r="A101" s="76">
        <v>1.5</v>
      </c>
      <c r="B101" s="76">
        <v>2</v>
      </c>
      <c r="C101" s="76">
        <v>2</v>
      </c>
      <c r="D101" s="76">
        <v>2</v>
      </c>
    </row>
    <row r="102" spans="1:4" x14ac:dyDescent="0.25">
      <c r="A102" s="76">
        <v>1.5</v>
      </c>
      <c r="B102" s="76">
        <v>3</v>
      </c>
      <c r="C102" s="76">
        <v>1.5</v>
      </c>
      <c r="D102" s="76">
        <v>2</v>
      </c>
    </row>
    <row r="103" spans="1:4" x14ac:dyDescent="0.25">
      <c r="A103" s="76">
        <v>2</v>
      </c>
      <c r="B103" s="76">
        <v>2.5</v>
      </c>
      <c r="C103" s="76">
        <v>2</v>
      </c>
      <c r="D103" s="76">
        <v>3</v>
      </c>
    </row>
    <row r="104" spans="1:4" x14ac:dyDescent="0.25">
      <c r="A104" s="76">
        <v>2</v>
      </c>
      <c r="B104" s="76">
        <v>2</v>
      </c>
      <c r="C104" s="76">
        <v>2</v>
      </c>
      <c r="D104" s="76">
        <v>3</v>
      </c>
    </row>
    <row r="105" spans="1:4" x14ac:dyDescent="0.25">
      <c r="A105" s="76">
        <v>1.5</v>
      </c>
      <c r="B105" s="76">
        <v>3</v>
      </c>
      <c r="C105" s="76">
        <v>1.5</v>
      </c>
      <c r="D105" s="76">
        <v>1</v>
      </c>
    </row>
    <row r="106" spans="1:4" x14ac:dyDescent="0.25">
      <c r="A106" s="76">
        <v>1</v>
      </c>
      <c r="B106" s="76">
        <v>0</v>
      </c>
      <c r="C106" s="76">
        <v>2</v>
      </c>
      <c r="D106" s="76">
        <v>0.5</v>
      </c>
    </row>
    <row r="107" spans="1:4" x14ac:dyDescent="0.25">
      <c r="A107" s="76">
        <v>2</v>
      </c>
      <c r="B107" s="76">
        <v>0</v>
      </c>
      <c r="C107" s="76">
        <v>2</v>
      </c>
      <c r="D107" s="76">
        <v>0</v>
      </c>
    </row>
    <row r="108" spans="1:4" x14ac:dyDescent="0.25">
      <c r="A108" s="76">
        <v>0.5</v>
      </c>
      <c r="B108" s="76">
        <v>0</v>
      </c>
      <c r="C108" s="76">
        <v>2</v>
      </c>
      <c r="D108" s="76">
        <v>0</v>
      </c>
    </row>
    <row r="109" spans="1:4" x14ac:dyDescent="0.25">
      <c r="A109" s="76">
        <v>1.5</v>
      </c>
      <c r="B109" s="76">
        <v>3</v>
      </c>
      <c r="C109" s="76">
        <v>0</v>
      </c>
      <c r="D109" s="76">
        <v>2</v>
      </c>
    </row>
    <row r="110" spans="1:4" x14ac:dyDescent="0.25">
      <c r="A110" s="76">
        <v>2</v>
      </c>
      <c r="B110" s="76">
        <v>2</v>
      </c>
      <c r="C110" s="76">
        <v>1.5</v>
      </c>
      <c r="D110" s="76">
        <v>2</v>
      </c>
    </row>
    <row r="111" spans="1:4" x14ac:dyDescent="0.25">
      <c r="A111" s="76">
        <v>2</v>
      </c>
      <c r="B111" s="76">
        <v>3</v>
      </c>
      <c r="C111" s="76">
        <v>1.5</v>
      </c>
      <c r="D111" s="76">
        <v>3</v>
      </c>
    </row>
    <row r="112" spans="1:4" x14ac:dyDescent="0.25">
      <c r="A112" s="76">
        <v>2</v>
      </c>
      <c r="B112" s="76">
        <v>2.5</v>
      </c>
      <c r="C112" s="76">
        <v>2</v>
      </c>
      <c r="D112" s="76">
        <v>2</v>
      </c>
    </row>
    <row r="113" spans="1:6" x14ac:dyDescent="0.25">
      <c r="A113" s="76">
        <v>2</v>
      </c>
      <c r="B113" s="76">
        <v>3</v>
      </c>
      <c r="C113" s="76">
        <v>1.5</v>
      </c>
      <c r="D113" s="76">
        <v>0</v>
      </c>
    </row>
    <row r="114" spans="1:6" x14ac:dyDescent="0.25">
      <c r="A114" s="76">
        <v>1</v>
      </c>
      <c r="B114" s="76">
        <v>0</v>
      </c>
      <c r="C114" s="76">
        <v>1</v>
      </c>
      <c r="D114" s="76">
        <v>0</v>
      </c>
    </row>
    <row r="115" spans="1:6" x14ac:dyDescent="0.25">
      <c r="A115" s="76">
        <v>2</v>
      </c>
      <c r="B115" s="76">
        <v>0</v>
      </c>
      <c r="C115" s="76">
        <v>2</v>
      </c>
      <c r="D115" s="76">
        <v>0.5</v>
      </c>
    </row>
    <row r="116" spans="1:6" x14ac:dyDescent="0.25">
      <c r="A116" s="76">
        <v>2</v>
      </c>
      <c r="B116" s="76">
        <v>0</v>
      </c>
      <c r="C116" s="76">
        <v>2</v>
      </c>
      <c r="D116" s="76">
        <v>1</v>
      </c>
    </row>
    <row r="117" spans="1:6" x14ac:dyDescent="0.25">
      <c r="A117" s="76">
        <v>2</v>
      </c>
      <c r="B117" s="76">
        <v>3</v>
      </c>
      <c r="C117" s="76">
        <v>2</v>
      </c>
      <c r="D117" s="76">
        <v>1.5</v>
      </c>
    </row>
    <row r="118" spans="1:6" x14ac:dyDescent="0.25">
      <c r="A118" s="76">
        <v>2</v>
      </c>
      <c r="B118" s="76">
        <v>3</v>
      </c>
      <c r="C118" s="76">
        <v>2</v>
      </c>
      <c r="D118" s="76">
        <v>3</v>
      </c>
    </row>
    <row r="119" spans="1:6" x14ac:dyDescent="0.25">
      <c r="A119" s="76">
        <v>2</v>
      </c>
      <c r="B119" s="76">
        <v>1</v>
      </c>
      <c r="C119" s="76">
        <v>1</v>
      </c>
      <c r="D119" s="76">
        <v>1.5</v>
      </c>
    </row>
    <row r="121" spans="1:6" x14ac:dyDescent="0.25">
      <c r="A121" s="76">
        <v>4</v>
      </c>
      <c r="B121" s="76">
        <v>2</v>
      </c>
      <c r="C121" s="76">
        <v>2</v>
      </c>
      <c r="D121" s="76">
        <v>0.5</v>
      </c>
      <c r="E121" s="76">
        <v>0.5</v>
      </c>
      <c r="F121" s="76">
        <v>0.5</v>
      </c>
    </row>
    <row r="122" spans="1:6" x14ac:dyDescent="0.25">
      <c r="A122" s="76">
        <v>4</v>
      </c>
      <c r="B122" s="76">
        <v>0</v>
      </c>
      <c r="C122" s="76">
        <v>2.5</v>
      </c>
      <c r="D122" s="76">
        <v>0.5</v>
      </c>
      <c r="E122" s="76">
        <v>2</v>
      </c>
      <c r="F122" s="76">
        <v>3</v>
      </c>
    </row>
    <row r="123" spans="1:6" x14ac:dyDescent="0.25">
      <c r="A123" s="76">
        <v>4</v>
      </c>
      <c r="B123" s="76">
        <v>2</v>
      </c>
      <c r="C123" s="76">
        <v>3</v>
      </c>
      <c r="D123" s="76">
        <v>2</v>
      </c>
      <c r="E123" s="76">
        <v>3</v>
      </c>
      <c r="F123" s="76">
        <v>1.5</v>
      </c>
    </row>
    <row r="124" spans="1:6" x14ac:dyDescent="0.25">
      <c r="A124" s="76">
        <v>4</v>
      </c>
      <c r="B124" s="76">
        <v>2</v>
      </c>
      <c r="C124" s="76">
        <v>3.5</v>
      </c>
      <c r="D124" s="76">
        <v>0</v>
      </c>
      <c r="E124" s="76">
        <v>4</v>
      </c>
      <c r="F124" s="76">
        <v>2</v>
      </c>
    </row>
    <row r="125" spans="1:6" x14ac:dyDescent="0.25">
      <c r="A125" s="76">
        <v>4</v>
      </c>
      <c r="B125" s="76">
        <v>2</v>
      </c>
      <c r="C125" s="76">
        <v>3</v>
      </c>
      <c r="D125" s="76">
        <v>0</v>
      </c>
      <c r="E125" s="76">
        <v>3</v>
      </c>
      <c r="F125" s="76">
        <v>2.5</v>
      </c>
    </row>
    <row r="126" spans="1:6" x14ac:dyDescent="0.25">
      <c r="A126" s="76">
        <v>4</v>
      </c>
      <c r="B126" s="76">
        <v>3</v>
      </c>
      <c r="C126" s="76">
        <v>4</v>
      </c>
      <c r="D126" s="76">
        <v>2</v>
      </c>
      <c r="E126" s="76">
        <v>4</v>
      </c>
      <c r="F126" s="76">
        <v>3</v>
      </c>
    </row>
    <row r="127" spans="1:6" x14ac:dyDescent="0.25">
      <c r="A127" s="76">
        <v>4</v>
      </c>
      <c r="B127" s="76">
        <v>3</v>
      </c>
      <c r="C127" s="76">
        <v>3.5</v>
      </c>
      <c r="D127" s="76">
        <v>0.5</v>
      </c>
      <c r="E127" s="76">
        <v>4</v>
      </c>
      <c r="F127" s="76">
        <v>1</v>
      </c>
    </row>
    <row r="128" spans="1:6" x14ac:dyDescent="0.25">
      <c r="A128" s="76">
        <v>3.5</v>
      </c>
      <c r="B128" s="76">
        <v>2</v>
      </c>
      <c r="C128" s="76">
        <v>3.5</v>
      </c>
      <c r="D128" s="76">
        <v>2</v>
      </c>
      <c r="E128" s="76">
        <v>2</v>
      </c>
      <c r="F128" s="76">
        <v>3</v>
      </c>
    </row>
    <row r="129" spans="1:6" x14ac:dyDescent="0.25">
      <c r="A129" s="76">
        <v>2</v>
      </c>
      <c r="B129" s="76">
        <v>0</v>
      </c>
      <c r="C129" s="76">
        <v>1</v>
      </c>
      <c r="D129" s="76">
        <v>1</v>
      </c>
      <c r="E129" s="76">
        <v>0</v>
      </c>
      <c r="F129" s="76">
        <v>2</v>
      </c>
    </row>
    <row r="130" spans="1:6" x14ac:dyDescent="0.25">
      <c r="A130" s="76">
        <v>2.5</v>
      </c>
      <c r="B130" s="76">
        <v>1</v>
      </c>
      <c r="C130" s="76">
        <v>3</v>
      </c>
      <c r="D130" s="76">
        <v>2</v>
      </c>
      <c r="E130" s="76">
        <v>0</v>
      </c>
      <c r="F130" s="76">
        <v>0.5</v>
      </c>
    </row>
    <row r="131" spans="1:6" x14ac:dyDescent="0.25">
      <c r="A131" s="76">
        <v>4</v>
      </c>
      <c r="B131" s="76">
        <v>3</v>
      </c>
      <c r="C131" s="76">
        <v>2</v>
      </c>
      <c r="D131" s="76">
        <v>2</v>
      </c>
      <c r="E131" s="76">
        <v>2</v>
      </c>
      <c r="F131" s="76">
        <v>3</v>
      </c>
    </row>
    <row r="132" spans="1:6" x14ac:dyDescent="0.25">
      <c r="A132" s="76">
        <v>4</v>
      </c>
      <c r="B132" s="76">
        <v>2</v>
      </c>
      <c r="C132" s="76">
        <v>3</v>
      </c>
      <c r="D132" s="76">
        <v>2</v>
      </c>
      <c r="E132" s="76">
        <v>2</v>
      </c>
      <c r="F132" s="76">
        <v>3</v>
      </c>
    </row>
    <row r="133" spans="1:6" x14ac:dyDescent="0.25">
      <c r="A133" s="76">
        <v>3</v>
      </c>
      <c r="B133" s="76">
        <v>0</v>
      </c>
      <c r="C133" s="76">
        <v>0</v>
      </c>
      <c r="D133" s="76">
        <v>0</v>
      </c>
      <c r="E133" s="76">
        <v>0</v>
      </c>
      <c r="F133" s="76">
        <v>0</v>
      </c>
    </row>
    <row r="134" spans="1:6" x14ac:dyDescent="0.25">
      <c r="A134" s="76">
        <v>4</v>
      </c>
      <c r="B134" s="76">
        <v>3</v>
      </c>
      <c r="C134" s="76">
        <v>2</v>
      </c>
      <c r="D134" s="76">
        <v>2</v>
      </c>
      <c r="E134" s="76">
        <v>3.5</v>
      </c>
      <c r="F134" s="76">
        <v>2.5</v>
      </c>
    </row>
    <row r="135" spans="1:6" x14ac:dyDescent="0.25">
      <c r="A135" s="76">
        <v>4</v>
      </c>
      <c r="B135" s="76">
        <v>1</v>
      </c>
      <c r="C135" s="76">
        <v>1</v>
      </c>
      <c r="D135" s="76">
        <v>0.5</v>
      </c>
      <c r="E135" s="76">
        <v>0</v>
      </c>
      <c r="F135" s="76">
        <v>1.5</v>
      </c>
    </row>
    <row r="136" spans="1:6" x14ac:dyDescent="0.25">
      <c r="A136" s="76">
        <v>4</v>
      </c>
      <c r="B136" s="76">
        <v>0.5</v>
      </c>
      <c r="C136" s="76">
        <v>1</v>
      </c>
      <c r="D136" s="76">
        <v>0.5</v>
      </c>
      <c r="E136" s="76">
        <v>0</v>
      </c>
      <c r="F136" s="76">
        <v>0.5</v>
      </c>
    </row>
    <row r="137" spans="1:6" x14ac:dyDescent="0.25">
      <c r="A137" s="76">
        <v>2</v>
      </c>
      <c r="B137" s="76">
        <v>0</v>
      </c>
      <c r="C137" s="76">
        <v>1</v>
      </c>
      <c r="D137" s="76">
        <v>1.5</v>
      </c>
      <c r="E137" s="76">
        <v>0</v>
      </c>
      <c r="F137" s="76">
        <v>0</v>
      </c>
    </row>
    <row r="138" spans="1:6" x14ac:dyDescent="0.25">
      <c r="A138" s="76">
        <v>4</v>
      </c>
      <c r="B138" s="76">
        <v>3</v>
      </c>
      <c r="C138" s="76">
        <v>3</v>
      </c>
      <c r="D138" s="76">
        <v>0</v>
      </c>
      <c r="E138" s="76">
        <v>4</v>
      </c>
      <c r="F138" s="76">
        <v>0</v>
      </c>
    </row>
    <row r="139" spans="1:6" x14ac:dyDescent="0.25">
      <c r="A139" s="76">
        <v>4</v>
      </c>
      <c r="B139" s="76">
        <v>1</v>
      </c>
      <c r="C139" s="76">
        <v>3</v>
      </c>
      <c r="D139" s="76">
        <v>2</v>
      </c>
      <c r="E139" s="76">
        <v>3.5</v>
      </c>
      <c r="F139" s="76">
        <v>2</v>
      </c>
    </row>
    <row r="140" spans="1:6" x14ac:dyDescent="0.25">
      <c r="A140" s="76">
        <v>4</v>
      </c>
      <c r="B140" s="76">
        <v>2</v>
      </c>
      <c r="C140" s="76">
        <v>3</v>
      </c>
      <c r="D140" s="76">
        <v>2</v>
      </c>
      <c r="E140" s="76">
        <v>4</v>
      </c>
      <c r="F140" s="76">
        <v>2</v>
      </c>
    </row>
    <row r="141" spans="1:6" x14ac:dyDescent="0.25">
      <c r="A141" s="76">
        <v>4</v>
      </c>
      <c r="B141" s="76">
        <v>3</v>
      </c>
      <c r="C141" s="76">
        <v>4</v>
      </c>
      <c r="D141" s="76">
        <v>2</v>
      </c>
      <c r="E141" s="76">
        <v>3</v>
      </c>
      <c r="F141" s="76">
        <v>3</v>
      </c>
    </row>
    <row r="142" spans="1:6" x14ac:dyDescent="0.25">
      <c r="A142" s="76">
        <v>4</v>
      </c>
      <c r="B142" s="76">
        <v>2</v>
      </c>
      <c r="C142" s="76">
        <v>4</v>
      </c>
      <c r="D142" s="76">
        <v>2</v>
      </c>
      <c r="E142" s="76">
        <v>2.5</v>
      </c>
      <c r="F142" s="76">
        <v>3</v>
      </c>
    </row>
    <row r="143" spans="1:6" x14ac:dyDescent="0.25">
      <c r="A143" s="76">
        <v>4</v>
      </c>
      <c r="B143" s="76">
        <v>0</v>
      </c>
      <c r="C143" s="76">
        <v>2</v>
      </c>
      <c r="D143" s="76">
        <v>0.5</v>
      </c>
      <c r="E143" s="76">
        <v>0</v>
      </c>
      <c r="F143" s="76">
        <v>0</v>
      </c>
    </row>
  </sheetData>
  <sheetProtection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Noten</vt:lpstr>
      <vt:lpstr>Analysis A</vt:lpstr>
      <vt:lpstr>Analysis B</vt:lpstr>
      <vt:lpstr>Stochastik A</vt:lpstr>
      <vt:lpstr>Stochastik B</vt:lpstr>
      <vt:lpstr>Geometrie A</vt:lpstr>
      <vt:lpstr>Geometrie B</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Karlheinz Stirnkorb</dc:creator>
  <cp:lastModifiedBy>Marcel Krausert</cp:lastModifiedBy>
  <cp:lastPrinted>2016-07-23T12:51:48Z</cp:lastPrinted>
  <dcterms:created xsi:type="dcterms:W3CDTF">2006-06-24T21:29:52Z</dcterms:created>
  <dcterms:modified xsi:type="dcterms:W3CDTF">2024-05-16T20:32:17Z</dcterms:modified>
</cp:coreProperties>
</file>