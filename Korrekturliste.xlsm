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549B0505-2928-4A62-A25D-20923BB6B76B}" xr6:coauthVersionLast="47" xr6:coauthVersionMax="47" xr10:uidLastSave="{00000000-0000-0000-0000-000000000000}"/>
  <bookViews>
    <workbookView xWindow="-108" yWindow="-108" windowWidth="30936" windowHeight="16776" xr2:uid="{00000000-000D-0000-FFFF-FFFF00000000}"/>
  </bookViews>
  <sheets>
    <sheet name="Noten" sheetId="2985" r:id="rId1"/>
    <sheet name="Analysis A" sheetId="2978" r:id="rId2"/>
    <sheet name="Analysis B" sheetId="2979" r:id="rId3"/>
    <sheet name="Stochastik A" sheetId="2980" r:id="rId4"/>
    <sheet name="Stochastik B" sheetId="2981" r:id="rId5"/>
    <sheet name="Geometrie A" sheetId="2982" r:id="rId6"/>
    <sheet name="Geometrie B" sheetId="2983" r:id="rId7"/>
    <sheet name="Wahlaufgaben" sheetId="2984" r:id="rId8"/>
    <sheet name="ConfigW" sheetId="2986" r:id="rId9"/>
    <sheet name="Config" sheetId="14" r:id="rId10"/>
    <sheet name="Notenspiegel" sheetId="11" r:id="rId11"/>
    <sheet name="TestData" sheetId="1707" state="hidden" r:id="rId12"/>
  </sheets>
  <functionGroups builtInGroupCount="19"/>
  <definedNames>
    <definedName name="PupilBlock" localSheetId="1">'Analysis A'!$C$7:$J$29</definedName>
    <definedName name="PupilBlock" localSheetId="2">'Analysis B'!$C$7:$N$29</definedName>
    <definedName name="PupilBlock" localSheetId="5">'Geometrie A'!$C$7:$F$29</definedName>
    <definedName name="PupilBlock" localSheetId="6">'Geometrie B'!$C$7:$I$29</definedName>
    <definedName name="PupilBlock" localSheetId="3">'Stochastik A'!$C$7:$E$29</definedName>
    <definedName name="PupilBlock" localSheetId="4">'Stochastik B'!$C$7:$I$29</definedName>
    <definedName name="PupilBlock" localSheetId="7">Wahlaufgaben!$C$7:$I$29</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986" l="1"/>
  <c r="E5" i="2986"/>
  <c r="F5" i="2986"/>
  <c r="G5" i="2986"/>
  <c r="H5" i="2986"/>
  <c r="C7" i="2986"/>
  <c r="C8" i="2986"/>
  <c r="C9" i="2986"/>
  <c r="C10" i="2986"/>
  <c r="C11" i="2986"/>
  <c r="C12" i="2986"/>
  <c r="C13" i="2986"/>
  <c r="C14" i="2986"/>
  <c r="C15" i="2986"/>
  <c r="C16" i="2986"/>
  <c r="C17" i="2986"/>
  <c r="C18" i="2986"/>
  <c r="C19" i="2986"/>
  <c r="C20" i="2986"/>
  <c r="C21" i="2986"/>
  <c r="C22" i="2986"/>
  <c r="C23" i="2986"/>
  <c r="C24" i="2986"/>
  <c r="C25" i="2986"/>
  <c r="C26" i="2986"/>
  <c r="C27" i="2986"/>
  <c r="C28" i="2986"/>
  <c r="C29" i="2986"/>
  <c r="H2" i="2986"/>
  <c r="B2" i="2986"/>
  <c r="C7" i="2985"/>
  <c r="C7" i="2978"/>
  <c r="J7" i="2978"/>
  <c r="D7" i="2985"/>
  <c r="C7" i="2979"/>
  <c r="N7" i="2979"/>
  <c r="E7" i="2985"/>
  <c r="C7" i="2980"/>
  <c r="E7" i="2980"/>
  <c r="F7" i="2985"/>
  <c r="C7" i="2981"/>
  <c r="I7" i="2981"/>
  <c r="G7" i="2985"/>
  <c r="C7" i="2982"/>
  <c r="F7" i="2982"/>
  <c r="H7" i="2985"/>
  <c r="C7" i="2983"/>
  <c r="I7" i="2983"/>
  <c r="I7" i="2985"/>
  <c r="C7" i="2984"/>
  <c r="I7" i="2984"/>
  <c r="J7" i="2985"/>
  <c r="K7" i="2985"/>
  <c r="E3" i="11"/>
  <c r="E26" i="11"/>
  <c r="E71" i="11"/>
  <c r="E76" i="11"/>
  <c r="E102" i="11"/>
  <c r="E120" i="11"/>
  <c r="E136" i="11"/>
  <c r="E134" i="11"/>
  <c r="N7" i="2985"/>
  <c r="C8" i="2985"/>
  <c r="C8" i="2978"/>
  <c r="J8" i="2978"/>
  <c r="D8" i="2985"/>
  <c r="C8" i="2979"/>
  <c r="N8" i="2979"/>
  <c r="E8" i="2985"/>
  <c r="C8" i="2980"/>
  <c r="E8" i="2980"/>
  <c r="F8" i="2985"/>
  <c r="C8" i="2981"/>
  <c r="I8" i="2981"/>
  <c r="G8" i="2985"/>
  <c r="C8" i="2982"/>
  <c r="F8" i="2982"/>
  <c r="H8" i="2985"/>
  <c r="C8" i="2983"/>
  <c r="I8" i="2983"/>
  <c r="I8" i="2985"/>
  <c r="C8" i="2984"/>
  <c r="I8" i="2984"/>
  <c r="J8" i="2985"/>
  <c r="K8" i="2985"/>
  <c r="E21" i="11"/>
  <c r="E56" i="11"/>
  <c r="E66" i="11"/>
  <c r="E80" i="11"/>
  <c r="E87" i="11"/>
  <c r="E105" i="11"/>
  <c r="E119" i="11"/>
  <c r="N8" i="2985"/>
  <c r="C9" i="2985"/>
  <c r="C9" i="2978"/>
  <c r="J9" i="2978"/>
  <c r="D9" i="2985"/>
  <c r="C9" i="2979"/>
  <c r="N9" i="2979"/>
  <c r="E9" i="2985"/>
  <c r="C9" i="2980"/>
  <c r="E9" i="2980"/>
  <c r="F9" i="2985"/>
  <c r="C9" i="2981"/>
  <c r="I9" i="2981"/>
  <c r="G9" i="2985"/>
  <c r="C9" i="2982"/>
  <c r="F9" i="2982"/>
  <c r="H9" i="2985"/>
  <c r="C9" i="2983"/>
  <c r="I9" i="2983"/>
  <c r="I9" i="2985"/>
  <c r="C9" i="2984"/>
  <c r="I9" i="2984"/>
  <c r="J9" i="2985"/>
  <c r="K9" i="2985"/>
  <c r="E24" i="11"/>
  <c r="E47" i="11"/>
  <c r="E52" i="11"/>
  <c r="E68" i="11"/>
  <c r="E77" i="11"/>
  <c r="E121" i="11"/>
  <c r="N9" i="2985"/>
  <c r="C10" i="2985"/>
  <c r="C10" i="2978"/>
  <c r="J10" i="2978"/>
  <c r="D10" i="2985"/>
  <c r="C10" i="2979"/>
  <c r="N10" i="2979"/>
  <c r="E10" i="2985"/>
  <c r="C10" i="2980"/>
  <c r="E10" i="2980"/>
  <c r="F10" i="2985"/>
  <c r="C10" i="2981"/>
  <c r="I10" i="2981"/>
  <c r="G10" i="2985"/>
  <c r="C10" i="2982"/>
  <c r="F10" i="2982"/>
  <c r="H10" i="2985"/>
  <c r="C10" i="2983"/>
  <c r="I10" i="2983"/>
  <c r="I10" i="2985"/>
  <c r="C10" i="2984"/>
  <c r="I10" i="2984"/>
  <c r="J10" i="2985"/>
  <c r="K10" i="2985"/>
  <c r="E28" i="11"/>
  <c r="E74" i="11"/>
  <c r="E79" i="11"/>
  <c r="E97" i="11"/>
  <c r="E104" i="11"/>
  <c r="E131" i="11"/>
  <c r="E143" i="11"/>
  <c r="N10" i="2985"/>
  <c r="C11" i="2985"/>
  <c r="C11" i="2978"/>
  <c r="J11" i="2978"/>
  <c r="D11" i="2985"/>
  <c r="C11" i="2979"/>
  <c r="N11" i="2979"/>
  <c r="E11" i="2985"/>
  <c r="C11" i="2980"/>
  <c r="E11" i="2980"/>
  <c r="F11" i="2985"/>
  <c r="C11" i="2981"/>
  <c r="I11" i="2981"/>
  <c r="G11" i="2985"/>
  <c r="C11" i="2982"/>
  <c r="F11" i="2982"/>
  <c r="H11" i="2985"/>
  <c r="C11" i="2983"/>
  <c r="I11" i="2983"/>
  <c r="I11" i="2985"/>
  <c r="C11" i="2984"/>
  <c r="I11" i="2984"/>
  <c r="J11" i="2985"/>
  <c r="K11" i="2985"/>
  <c r="E31" i="11"/>
  <c r="E88" i="11"/>
  <c r="E95" i="11"/>
  <c r="N11" i="2985"/>
  <c r="C12" i="2985"/>
  <c r="C12" i="2978"/>
  <c r="J12" i="2978"/>
  <c r="D12" i="2985"/>
  <c r="C12" i="2979"/>
  <c r="N12" i="2979"/>
  <c r="E12" i="2985"/>
  <c r="C12" i="2980"/>
  <c r="E12" i="2980"/>
  <c r="F12" i="2985"/>
  <c r="C12" i="2981"/>
  <c r="I12" i="2981"/>
  <c r="G12" i="2985"/>
  <c r="C12" i="2982"/>
  <c r="F12" i="2982"/>
  <c r="H12" i="2985"/>
  <c r="C12" i="2983"/>
  <c r="I12" i="2983"/>
  <c r="I12" i="2985"/>
  <c r="C12" i="2984"/>
  <c r="I12" i="2984"/>
  <c r="J12" i="2985"/>
  <c r="K12" i="2985"/>
  <c r="E94" i="11"/>
  <c r="E100" i="11"/>
  <c r="E130" i="11"/>
  <c r="E164" i="11"/>
  <c r="E180" i="11"/>
  <c r="N12" i="2985"/>
  <c r="C13" i="2985"/>
  <c r="C13" i="2978"/>
  <c r="J13" i="2978"/>
  <c r="D13" i="2985"/>
  <c r="C13" i="2979"/>
  <c r="N13" i="2979"/>
  <c r="E13" i="2985"/>
  <c r="C13" i="2980"/>
  <c r="E13" i="2980"/>
  <c r="F13" i="2985"/>
  <c r="C13" i="2981"/>
  <c r="I13" i="2981"/>
  <c r="G13" i="2985"/>
  <c r="C13" i="2982"/>
  <c r="F13" i="2982"/>
  <c r="H13" i="2985"/>
  <c r="C13" i="2983"/>
  <c r="I13" i="2983"/>
  <c r="I13" i="2985"/>
  <c r="C13" i="2984"/>
  <c r="I13" i="2984"/>
  <c r="J13" i="2985"/>
  <c r="K13" i="2985"/>
  <c r="E73" i="11"/>
  <c r="E83" i="11"/>
  <c r="E109" i="11"/>
  <c r="E139" i="11"/>
  <c r="E153" i="11"/>
  <c r="N13" i="2985"/>
  <c r="C14" i="2985"/>
  <c r="C14" i="2978"/>
  <c r="J14" i="2978"/>
  <c r="D14" i="2985"/>
  <c r="C14" i="2979"/>
  <c r="N14" i="2979"/>
  <c r="E14" i="2985"/>
  <c r="C14" i="2980"/>
  <c r="E14" i="2980"/>
  <c r="F14" i="2985"/>
  <c r="C14" i="2981"/>
  <c r="I14" i="2981"/>
  <c r="G14" i="2985"/>
  <c r="C14" i="2982"/>
  <c r="F14" i="2982"/>
  <c r="H14" i="2985"/>
  <c r="C14" i="2983"/>
  <c r="I14" i="2983"/>
  <c r="I14" i="2985"/>
  <c r="C14" i="2984"/>
  <c r="I14" i="2984"/>
  <c r="J14" i="2985"/>
  <c r="K14" i="2985"/>
  <c r="E54" i="11"/>
  <c r="E64" i="11"/>
  <c r="E81" i="11"/>
  <c r="E89" i="11"/>
  <c r="E115" i="11"/>
  <c r="E129" i="11"/>
  <c r="N14" i="2985"/>
  <c r="C15" i="2985"/>
  <c r="C15" i="2978"/>
  <c r="J15" i="2978"/>
  <c r="D15" i="2985"/>
  <c r="C15" i="2979"/>
  <c r="N15" i="2979"/>
  <c r="E15" i="2985"/>
  <c r="C15" i="2980"/>
  <c r="E15" i="2980"/>
  <c r="F15" i="2985"/>
  <c r="C15" i="2981"/>
  <c r="I15" i="2981"/>
  <c r="G15" i="2985"/>
  <c r="C15" i="2982"/>
  <c r="F15" i="2982"/>
  <c r="H15" i="2985"/>
  <c r="C15" i="2983"/>
  <c r="I15" i="2983"/>
  <c r="I15" i="2985"/>
  <c r="C15" i="2984"/>
  <c r="I15" i="2984"/>
  <c r="J15" i="2985"/>
  <c r="K15" i="2985"/>
  <c r="E23" i="11"/>
  <c r="E60" i="11"/>
  <c r="E86" i="11"/>
  <c r="E103" i="11"/>
  <c r="N15" i="2985"/>
  <c r="C16" i="2985"/>
  <c r="C16" i="2978"/>
  <c r="J16" i="2978"/>
  <c r="D16" i="2985"/>
  <c r="C16" i="2979"/>
  <c r="N16" i="2979"/>
  <c r="E16" i="2985"/>
  <c r="C16" i="2980"/>
  <c r="E16" i="2980"/>
  <c r="F16" i="2985"/>
  <c r="C16" i="2981"/>
  <c r="I16" i="2981"/>
  <c r="G16" i="2985"/>
  <c r="C16" i="2982"/>
  <c r="F16" i="2982"/>
  <c r="H16" i="2985"/>
  <c r="C16" i="2983"/>
  <c r="I16" i="2983"/>
  <c r="I16" i="2985"/>
  <c r="C16" i="2984"/>
  <c r="I16" i="2984"/>
  <c r="J16" i="2985"/>
  <c r="K16" i="2985"/>
  <c r="E9" i="11"/>
  <c r="E44" i="11"/>
  <c r="E46" i="11"/>
  <c r="E63" i="11"/>
  <c r="N16" i="2985"/>
  <c r="C17" i="2985"/>
  <c r="C17" i="2978"/>
  <c r="J17" i="2978"/>
  <c r="D17" i="2985"/>
  <c r="C17" i="2979"/>
  <c r="N17" i="2979"/>
  <c r="E17" i="2985"/>
  <c r="C17" i="2980"/>
  <c r="E17" i="2980"/>
  <c r="F17" i="2985"/>
  <c r="C17" i="2981"/>
  <c r="I17" i="2981"/>
  <c r="G17" i="2985"/>
  <c r="C17" i="2982"/>
  <c r="F17" i="2982"/>
  <c r="H17" i="2985"/>
  <c r="C17" i="2983"/>
  <c r="I17" i="2983"/>
  <c r="I17" i="2985"/>
  <c r="C17" i="2984"/>
  <c r="I17" i="2984"/>
  <c r="J17" i="2985"/>
  <c r="K17" i="2985"/>
  <c r="E16" i="11"/>
  <c r="E43" i="11"/>
  <c r="E90" i="11"/>
  <c r="N17" i="2985"/>
  <c r="C18" i="2985"/>
  <c r="C18" i="2978"/>
  <c r="J18" i="2978"/>
  <c r="D18" i="2985"/>
  <c r="C18" i="2979"/>
  <c r="N18" i="2979"/>
  <c r="E18" i="2985"/>
  <c r="C18" i="2980"/>
  <c r="E18" i="2980"/>
  <c r="F18" i="2985"/>
  <c r="C18" i="2981"/>
  <c r="I18" i="2981"/>
  <c r="G18" i="2985"/>
  <c r="C18" i="2982"/>
  <c r="F18" i="2982"/>
  <c r="H18" i="2985"/>
  <c r="C18" i="2983"/>
  <c r="I18" i="2983"/>
  <c r="I18" i="2985"/>
  <c r="C18" i="2984"/>
  <c r="I18" i="2984"/>
  <c r="J18" i="2985"/>
  <c r="K18" i="2985"/>
  <c r="E85" i="11"/>
  <c r="E96" i="11"/>
  <c r="E123" i="11"/>
  <c r="E135" i="11"/>
  <c r="N18" i="2985"/>
  <c r="C19" i="2985"/>
  <c r="C19" i="2978"/>
  <c r="J19" i="2978"/>
  <c r="D19" i="2985"/>
  <c r="C19" i="2979"/>
  <c r="N19" i="2979"/>
  <c r="E19" i="2985"/>
  <c r="C19" i="2980"/>
  <c r="E19" i="2980"/>
  <c r="F19" i="2985"/>
  <c r="C19" i="2981"/>
  <c r="I19" i="2981"/>
  <c r="G19" i="2985"/>
  <c r="C19" i="2982"/>
  <c r="F19" i="2982"/>
  <c r="H19" i="2985"/>
  <c r="C19" i="2983"/>
  <c r="I19" i="2983"/>
  <c r="I19" i="2985"/>
  <c r="C19" i="2984"/>
  <c r="I19" i="2984"/>
  <c r="J19" i="2985"/>
  <c r="K19" i="2985"/>
  <c r="E72" i="11"/>
  <c r="E82" i="11"/>
  <c r="E93" i="11"/>
  <c r="E108" i="11"/>
  <c r="E124" i="11"/>
  <c r="N19" i="2985"/>
  <c r="C20" i="2985"/>
  <c r="C20" i="2978"/>
  <c r="J20" i="2978"/>
  <c r="D20" i="2985"/>
  <c r="C20" i="2979"/>
  <c r="N20" i="2979"/>
  <c r="E20" i="2985"/>
  <c r="C20" i="2980"/>
  <c r="E20" i="2980"/>
  <c r="F20" i="2985"/>
  <c r="C20" i="2981"/>
  <c r="I20" i="2981"/>
  <c r="G20" i="2985"/>
  <c r="C20" i="2982"/>
  <c r="F20" i="2982"/>
  <c r="H20" i="2985"/>
  <c r="C20" i="2983"/>
  <c r="I20" i="2983"/>
  <c r="I20" i="2985"/>
  <c r="C20" i="2984"/>
  <c r="I20" i="2984"/>
  <c r="J20" i="2985"/>
  <c r="K20" i="2985"/>
  <c r="E30" i="11"/>
  <c r="E61" i="11"/>
  <c r="E138" i="11"/>
  <c r="N20" i="2985"/>
  <c r="C21" i="2985"/>
  <c r="C21" i="2978"/>
  <c r="J21" i="2978"/>
  <c r="D21" i="2985"/>
  <c r="C21" i="2979"/>
  <c r="N21" i="2979"/>
  <c r="E21" i="2985"/>
  <c r="C21" i="2980"/>
  <c r="E21" i="2980"/>
  <c r="F21" i="2985"/>
  <c r="C21" i="2981"/>
  <c r="I21" i="2981"/>
  <c r="G21" i="2985"/>
  <c r="C21" i="2982"/>
  <c r="F21" i="2982"/>
  <c r="H21" i="2985"/>
  <c r="C21" i="2983"/>
  <c r="I21" i="2983"/>
  <c r="I21" i="2985"/>
  <c r="C21" i="2984"/>
  <c r="I21" i="2984"/>
  <c r="J21" i="2985"/>
  <c r="K21" i="2985"/>
  <c r="E27" i="11"/>
  <c r="E118" i="11"/>
  <c r="E126" i="11"/>
  <c r="N21" i="2985"/>
  <c r="C22" i="2985"/>
  <c r="C22" i="2978"/>
  <c r="J22" i="2978"/>
  <c r="D22" i="2985"/>
  <c r="C22" i="2979"/>
  <c r="N22" i="2979"/>
  <c r="E22" i="2985"/>
  <c r="C22" i="2980"/>
  <c r="E22" i="2980"/>
  <c r="F22" i="2985"/>
  <c r="C22" i="2981"/>
  <c r="I22" i="2981"/>
  <c r="G22" i="2985"/>
  <c r="C22" i="2982"/>
  <c r="F22" i="2982"/>
  <c r="H22" i="2985"/>
  <c r="C22" i="2983"/>
  <c r="I22" i="2983"/>
  <c r="I22" i="2985"/>
  <c r="C22" i="2984"/>
  <c r="I22" i="2984"/>
  <c r="J22" i="2985"/>
  <c r="K22" i="2985"/>
  <c r="E18" i="11"/>
  <c r="E62" i="11"/>
  <c r="N22" i="2985"/>
  <c r="C23" i="2985"/>
  <c r="C23" i="2978"/>
  <c r="J23" i="2978"/>
  <c r="D23" i="2985"/>
  <c r="C23" i="2979"/>
  <c r="N23" i="2979"/>
  <c r="E23" i="2985"/>
  <c r="C23" i="2980"/>
  <c r="E23" i="2980"/>
  <c r="F23" i="2985"/>
  <c r="C23" i="2981"/>
  <c r="I23" i="2981"/>
  <c r="G23" i="2985"/>
  <c r="C23" i="2982"/>
  <c r="F23" i="2982"/>
  <c r="H23" i="2985"/>
  <c r="C23" i="2983"/>
  <c r="I23" i="2983"/>
  <c r="I23" i="2985"/>
  <c r="C23" i="2984"/>
  <c r="I23" i="2984"/>
  <c r="J23" i="2985"/>
  <c r="K23" i="2985"/>
  <c r="E5" i="11"/>
  <c r="E53" i="11"/>
  <c r="N23" i="2985"/>
  <c r="C24" i="2985"/>
  <c r="C24" i="2978"/>
  <c r="J24" i="2978"/>
  <c r="D24" i="2985"/>
  <c r="C24" i="2979"/>
  <c r="N24" i="2979"/>
  <c r="E24" i="2985"/>
  <c r="C24" i="2980"/>
  <c r="E24" i="2980"/>
  <c r="F24" i="2985"/>
  <c r="C24" i="2981"/>
  <c r="I24" i="2981"/>
  <c r="G24" i="2985"/>
  <c r="C24" i="2982"/>
  <c r="F24" i="2982"/>
  <c r="H24" i="2985"/>
  <c r="C24" i="2983"/>
  <c r="I24" i="2983"/>
  <c r="I24" i="2985"/>
  <c r="C24" i="2984"/>
  <c r="I24" i="2984"/>
  <c r="J24" i="2985"/>
  <c r="K24" i="2985"/>
  <c r="E55" i="11"/>
  <c r="N24" i="2985"/>
  <c r="C25" i="2985"/>
  <c r="C25" i="2978"/>
  <c r="J25" i="2978"/>
  <c r="D25" i="2985"/>
  <c r="C25" i="2979"/>
  <c r="N25" i="2979"/>
  <c r="E25" i="2985"/>
  <c r="C25" i="2980"/>
  <c r="E25" i="2980"/>
  <c r="F25" i="2985"/>
  <c r="C25" i="2981"/>
  <c r="I25" i="2981"/>
  <c r="G25" i="2985"/>
  <c r="C25" i="2982"/>
  <c r="F25" i="2982"/>
  <c r="H25" i="2985"/>
  <c r="C25" i="2983"/>
  <c r="I25" i="2983"/>
  <c r="I25" i="2985"/>
  <c r="C25" i="2984"/>
  <c r="I25" i="2984"/>
  <c r="J25" i="2985"/>
  <c r="K25" i="2985"/>
  <c r="E22" i="11"/>
  <c r="E51" i="11"/>
  <c r="E75" i="11"/>
  <c r="E106" i="11"/>
  <c r="E122" i="11"/>
  <c r="N25" i="2985"/>
  <c r="C26" i="2985"/>
  <c r="C26" i="2978"/>
  <c r="J26" i="2978"/>
  <c r="D26" i="2985"/>
  <c r="C26" i="2979"/>
  <c r="N26" i="2979"/>
  <c r="E26" i="2985"/>
  <c r="C26" i="2980"/>
  <c r="E26" i="2980"/>
  <c r="F26" i="2985"/>
  <c r="C26" i="2981"/>
  <c r="I26" i="2981"/>
  <c r="G26" i="2985"/>
  <c r="C26" i="2982"/>
  <c r="F26" i="2982"/>
  <c r="H26" i="2985"/>
  <c r="C26" i="2983"/>
  <c r="I26" i="2983"/>
  <c r="I26" i="2985"/>
  <c r="C26" i="2984"/>
  <c r="I26" i="2984"/>
  <c r="J26" i="2985"/>
  <c r="K26" i="2985"/>
  <c r="E91" i="11"/>
  <c r="E125" i="11"/>
  <c r="E145" i="11"/>
  <c r="N26" i="2985"/>
  <c r="C27" i="2985"/>
  <c r="C27" i="2978"/>
  <c r="J27" i="2978"/>
  <c r="D27" i="2985"/>
  <c r="C27" i="2979"/>
  <c r="N27" i="2979"/>
  <c r="E27" i="2985"/>
  <c r="C27" i="2980"/>
  <c r="E27" i="2980"/>
  <c r="F27" i="2985"/>
  <c r="C27" i="2981"/>
  <c r="I27" i="2981"/>
  <c r="G27" i="2985"/>
  <c r="C27" i="2982"/>
  <c r="F27" i="2982"/>
  <c r="H27" i="2985"/>
  <c r="C27" i="2983"/>
  <c r="I27" i="2983"/>
  <c r="I27" i="2985"/>
  <c r="C27" i="2984"/>
  <c r="I27" i="2984"/>
  <c r="J27" i="2985"/>
  <c r="K27" i="2985"/>
  <c r="E113" i="11"/>
  <c r="E165" i="11"/>
  <c r="N27" i="2985"/>
  <c r="C28" i="2985"/>
  <c r="C28" i="2978"/>
  <c r="J28" i="2978"/>
  <c r="D28" i="2985"/>
  <c r="C28" i="2979"/>
  <c r="N28" i="2979"/>
  <c r="E28" i="2985"/>
  <c r="C28" i="2980"/>
  <c r="E28" i="2980"/>
  <c r="F28" i="2985"/>
  <c r="C28" i="2981"/>
  <c r="I28" i="2981"/>
  <c r="G28" i="2985"/>
  <c r="C28" i="2982"/>
  <c r="F28" i="2982"/>
  <c r="H28" i="2985"/>
  <c r="C28" i="2983"/>
  <c r="I28" i="2983"/>
  <c r="I28" i="2985"/>
  <c r="C28" i="2984"/>
  <c r="I28" i="2984"/>
  <c r="J28" i="2985"/>
  <c r="K28" i="2985"/>
  <c r="E65" i="11"/>
  <c r="N28" i="2985"/>
  <c r="C29" i="2985"/>
  <c r="C29" i="2978"/>
  <c r="J29" i="2978"/>
  <c r="D29" i="2985"/>
  <c r="C29" i="2979"/>
  <c r="N29" i="2979"/>
  <c r="E29" i="2985"/>
  <c r="C29" i="2980"/>
  <c r="E29" i="2980"/>
  <c r="F29" i="2985"/>
  <c r="C29" i="2981"/>
  <c r="I29" i="2981"/>
  <c r="G29" i="2985"/>
  <c r="C29" i="2982"/>
  <c r="F29" i="2982"/>
  <c r="H29" i="2985"/>
  <c r="C29" i="2983"/>
  <c r="I29" i="2983"/>
  <c r="I29" i="2985"/>
  <c r="C29" i="2984"/>
  <c r="I29" i="2984"/>
  <c r="J29" i="2985"/>
  <c r="K29" i="2985"/>
  <c r="E17" i="11"/>
  <c r="E49" i="11"/>
  <c r="E59" i="11"/>
  <c r="E98" i="11"/>
  <c r="E114" i="11"/>
  <c r="N29" i="2985"/>
  <c r="L7" i="2985"/>
  <c r="L8" i="2985"/>
  <c r="L9" i="2985"/>
  <c r="L10" i="2985"/>
  <c r="L11" i="2985"/>
  <c r="L12" i="2985"/>
  <c r="L13" i="2985"/>
  <c r="L14" i="2985"/>
  <c r="L15" i="2985"/>
  <c r="L16" i="2985"/>
  <c r="L17" i="2985"/>
  <c r="L18" i="2985"/>
  <c r="L19" i="2985"/>
  <c r="L20" i="2985"/>
  <c r="L21" i="2985"/>
  <c r="L22" i="2985"/>
  <c r="L23" i="2985"/>
  <c r="L24" i="2985"/>
  <c r="L25" i="2985"/>
  <c r="L26" i="2985"/>
  <c r="L27" i="2985"/>
  <c r="L28" i="2985"/>
  <c r="L29" i="2985"/>
  <c r="L30" i="2985"/>
  <c r="G21" i="14"/>
  <c r="D6" i="2985"/>
  <c r="D30" i="2985"/>
  <c r="I21" i="14"/>
  <c r="E6" i="2985"/>
  <c r="E30" i="2985"/>
  <c r="K21" i="14"/>
  <c r="F6" i="2985"/>
  <c r="F30" i="2985"/>
  <c r="M21" i="14"/>
  <c r="G6" i="2985"/>
  <c r="G30" i="2985"/>
  <c r="O21" i="14"/>
  <c r="H6" i="2985"/>
  <c r="H30" i="2985"/>
  <c r="Q21" i="14"/>
  <c r="I6" i="2985"/>
  <c r="I30" i="2985"/>
  <c r="J6" i="2985"/>
  <c r="J30" i="2985"/>
  <c r="M7" i="2985"/>
  <c r="M8" i="2985"/>
  <c r="M9" i="2985"/>
  <c r="M10" i="2985"/>
  <c r="M11" i="2985"/>
  <c r="M12" i="2985"/>
  <c r="M13" i="2985"/>
  <c r="M14" i="2985"/>
  <c r="M15" i="2985"/>
  <c r="M16" i="2985"/>
  <c r="M17" i="2985"/>
  <c r="M18" i="2985"/>
  <c r="M19" i="2985"/>
  <c r="M20" i="2985"/>
  <c r="M21" i="2985"/>
  <c r="M22" i="2985"/>
  <c r="M23" i="2985"/>
  <c r="M24" i="2985"/>
  <c r="M25" i="2985"/>
  <c r="M26" i="2985"/>
  <c r="M27" i="2985"/>
  <c r="M28" i="2985"/>
  <c r="M29" i="2985"/>
  <c r="K6" i="2985"/>
  <c r="M2" i="2985"/>
  <c r="B2" i="2985"/>
  <c r="D6" i="2984"/>
  <c r="D30" i="2984"/>
  <c r="E6" i="2984"/>
  <c r="E30" i="2984"/>
  <c r="F6" i="2984"/>
  <c r="F30" i="2984"/>
  <c r="G6" i="2984"/>
  <c r="G30" i="2984"/>
  <c r="H6" i="2984"/>
  <c r="H30" i="2984"/>
  <c r="I6" i="2984"/>
  <c r="D5" i="2984"/>
  <c r="E5" i="2984"/>
  <c r="F5" i="2984"/>
  <c r="G5" i="2984"/>
  <c r="H5" i="2984"/>
  <c r="I2" i="2984"/>
  <c r="B2" i="2984"/>
  <c r="D6" i="2983"/>
  <c r="D30" i="2983"/>
  <c r="E6" i="2983"/>
  <c r="E30" i="2983"/>
  <c r="F6" i="2983"/>
  <c r="F30" i="2983"/>
  <c r="G6" i="2983"/>
  <c r="G30" i="2983"/>
  <c r="H6" i="2983"/>
  <c r="H30" i="2983"/>
  <c r="I6" i="2983"/>
  <c r="D5" i="2983"/>
  <c r="E5" i="2983"/>
  <c r="F5" i="2983"/>
  <c r="G5" i="2983"/>
  <c r="H5" i="2983"/>
  <c r="I2" i="2983"/>
  <c r="B2" i="2983"/>
  <c r="D6" i="2982"/>
  <c r="D30" i="2982"/>
  <c r="E6" i="2982"/>
  <c r="E30" i="2982"/>
  <c r="F6" i="2982"/>
  <c r="D5" i="2982"/>
  <c r="E5" i="2982"/>
  <c r="F2" i="2982"/>
  <c r="B2" i="2982"/>
  <c r="D6" i="2981"/>
  <c r="D30" i="2981"/>
  <c r="E6" i="2981"/>
  <c r="E30" i="2981"/>
  <c r="F6" i="2981"/>
  <c r="F30" i="2981"/>
  <c r="G6" i="2981"/>
  <c r="G30" i="2981"/>
  <c r="H6" i="2981"/>
  <c r="H30" i="2981"/>
  <c r="I6" i="2981"/>
  <c r="D5" i="2981"/>
  <c r="E5" i="2981"/>
  <c r="F5" i="2981"/>
  <c r="G5" i="2981"/>
  <c r="H5" i="2981"/>
  <c r="I2" i="2981"/>
  <c r="B2" i="2981"/>
  <c r="D6" i="2980"/>
  <c r="D30" i="2980"/>
  <c r="E6" i="2980"/>
  <c r="D5" i="2980"/>
  <c r="E2" i="2980"/>
  <c r="B2" i="2980"/>
  <c r="D6" i="2979"/>
  <c r="D30" i="2979"/>
  <c r="E6" i="2979"/>
  <c r="E30" i="2979"/>
  <c r="F6" i="2979"/>
  <c r="F30" i="2979"/>
  <c r="G6" i="2979"/>
  <c r="G30" i="2979"/>
  <c r="H6" i="2979"/>
  <c r="H30" i="2979"/>
  <c r="I6" i="2979"/>
  <c r="I30" i="2979"/>
  <c r="J6" i="2979"/>
  <c r="J30" i="2979"/>
  <c r="K6" i="2979"/>
  <c r="K30" i="2979"/>
  <c r="L6" i="2979"/>
  <c r="L30" i="2979"/>
  <c r="M6" i="2979"/>
  <c r="M30" i="2979"/>
  <c r="N6" i="2979"/>
  <c r="D5" i="2979"/>
  <c r="E5" i="2979"/>
  <c r="F5" i="2979"/>
  <c r="G5" i="2979"/>
  <c r="H5" i="2979"/>
  <c r="I5" i="2979"/>
  <c r="J5" i="2979"/>
  <c r="K5" i="2979"/>
  <c r="L5" i="2979"/>
  <c r="M5" i="2979"/>
  <c r="N2" i="2979"/>
  <c r="B2" i="2979"/>
  <c r="D6" i="2978"/>
  <c r="D30" i="2978"/>
  <c r="E6" i="2978"/>
  <c r="E30" i="2978"/>
  <c r="F6" i="2978"/>
  <c r="F30" i="2978"/>
  <c r="G6" i="2978"/>
  <c r="G30" i="2978"/>
  <c r="H6" i="2978"/>
  <c r="H30" i="2978"/>
  <c r="I6" i="2978"/>
  <c r="I30" i="2978"/>
  <c r="J6" i="2978"/>
  <c r="D5" i="2978"/>
  <c r="E5" i="2978"/>
  <c r="F5" i="2978"/>
  <c r="G5" i="2978"/>
  <c r="H5" i="2978"/>
  <c r="I5" i="2978"/>
  <c r="J2" i="2978"/>
  <c r="B2" i="2978"/>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133"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85" a="1"/>
  <c r="M30" i="298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8"/>
            <color indexed="81"/>
            <rFont val="Segoe UI"/>
            <family val="2"/>
          </rPr>
          <t>Wird hier ein Name eingetragen, werden beim Erzeugen der Tabellen entsprechende Zeilen für den ZK angelegt!</t>
        </r>
      </text>
    </comment>
    <comment ref="I28" authorId="0" shapeId="0" xr:uid="{DDCD2850-8F03-46F5-B1C2-E7B66D9D3C23}">
      <text>
        <r>
          <rPr>
            <sz val="8"/>
            <color indexed="81"/>
            <rFont val="Segoe UI"/>
            <family val="2"/>
          </rPr>
          <t>Wird hier ein Name eingetragen, werden beim Erzeugen der Tabellen entsprechende Zeilen für den DK angelegt!</t>
        </r>
      </text>
    </comment>
  </commentList>
</comments>
</file>

<file path=xl/sharedStrings.xml><?xml version="1.0" encoding="utf-8"?>
<sst xmlns="http://schemas.openxmlformats.org/spreadsheetml/2006/main" count="470" uniqueCount="135">
  <si>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</si>
  <si>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</si>
  <si>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</si>
  <si>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</si>
  <si>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</si>
  <si>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</si>
  <si>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</si>
  <si>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</si>
  <si>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</si>
  <si>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</si>
  <si>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</si>
  <si>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</si>
  <si>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</si>
  <si>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</si>
  <si>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</si>
  <si>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</si>
  <si>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</si>
  <si>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</si>
  <si>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</si>
  <si>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</si>
  <si>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</si>
  <si>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</si>
  <si>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</si>
  <si>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</si>
  <si>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</si>
  <si>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</si>
  <si>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</si>
  <si>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</si>
  <si>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</si>
  <si>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</si>
  <si>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</si>
  <si>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</si>
  <si>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</si>
  <si>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</si>
  <si>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</si>
  <si>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</si>
  <si>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</si>
  <si>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</si>
  <si>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</si>
  <si>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</si>
  <si>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</si>
  <si>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</si>
  <si>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</si>
  <si>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</si>
  <si>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</si>
  <si>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</si>
  <si>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</si>
  <si>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</si>
  <si>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</si>
  <si>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</si>
  <si>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</si>
  <si>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</si>
  <si>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</si>
  <si>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</si>
  <si>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</si>
  <si>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</si>
  <si>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</si>
  <si>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</si>
  <si>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</si>
  <si>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</si>
  <si>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</si>
  <si>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</si>
  <si>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</si>
  <si>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</si>
  <si>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</si>
  <si>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</si>
  <si>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</si>
  <si>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</si>
  <si>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</si>
  <si>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</si>
  <si>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</si>
  <si>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</si>
  <si>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</si>
  <si>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</si>
  <si>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</si>
  <si>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</si>
  <si>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</si>
  <si>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</si>
  <si>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</si>
  <si>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</si>
  <si>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</si>
  <si>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</si>
  <si>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</si>
  <si>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</si>
  <si>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</si>
  <si>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</si>
  <si>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</si>
  <si>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</si>
  <si>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</si>
  <si>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</si>
  <si>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</si>
  <si>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</si>
  <si>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</si>
  <si>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</si>
  <si>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</si>
  <si>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</si>
  <si>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</si>
  <si>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</si>
  <si>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</si>
  <si>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</si>
  <si>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</si>
  <si>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</si>
  <si>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</si>
  <si>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</si>
  <si>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</si>
  <si>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</si>
  <si>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</si>
  <si>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</si>
  <si>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</si>
  <si>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</si>
  <si>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</si>
  <si>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</si>
  <si>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</si>
  <si>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</si>
  <si>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</si>
  <si>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</si>
  <si>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</si>
  <si>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</si>
  <si>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</si>
  <si>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</si>
  <si>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</si>
  <si>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</si>
  <si>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</si>
  <si>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</si>
  <si>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</si>
  <si>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</si>
  <si>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</si>
  <si>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</si>
  <si>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</si>
  <si>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</si>
  <si>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</si>
  <si>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</si>
  <si>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</si>
  <si>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</si>
  <si>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Pre-Release! v2.2.0-beta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</si>
</sst>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8"/>
      <color indexed="81"/>
      <name val="Segoe UI"/>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63">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top style="medium">
        <color indexed="8"/>
      </top>
      <bottom style="thin">
        <color indexed="8"/>
      </bottom>
      <diagonal/>
    </border>
    <border>
      <left style="medium">
        <color indexed="8"/>
      </left>
      <right style="medium">
        <color indexed="8"/>
      </right>
      <top style="medium">
        <color indexed="8"/>
      </top>
      <bottom style="thin">
        <color indexed="8"/>
      </bottom>
      <diagonal/>
    </border>
    <border>
      <left style="thin">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32">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2" borderId="37" xfId="0" applyFill="1" applyBorder="1" applyAlignment="1">
      <alignment horizontal="center" vertical="center"/>
    </xf>
    <xf numFmtId="0" fontId="0" fillId="12" borderId="38" xfId="0" applyFill="1" applyBorder="1"/>
    <xf numFmtId="0" fontId="0" fillId="12" borderId="41" xfId="0" applyFill="1" applyBorder="1"/>
    <xf numFmtId="0" fontId="0" fillId="12" borderId="43" xfId="0" applyFill="1" applyBorder="1"/>
    <xf numFmtId="0" fontId="0" fillId="12" borderId="44" xfId="0" applyFill="1" applyBorder="1"/>
    <xf numFmtId="0" fontId="0" fillId="12" borderId="45"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49" fontId="0" fillId="12" borderId="35"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2" borderId="41" xfId="0" applyFill="1" applyBorder="1" applyAlignment="1">
      <alignment horizontal="center" vertical="center"/>
    </xf>
    <xf numFmtId="1" fontId="0" fillId="12" borderId="34" xfId="0" applyNumberFormat="1" applyFill="1" applyBorder="1" applyAlignment="1">
      <alignment horizont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2" borderId="55" xfId="0" applyFill="1" applyBorder="1" applyAlignment="1">
      <alignment horizontal="center" vertical="center"/>
    </xf>
    <xf numFmtId="0" fontId="0" fillId="12"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14" borderId="55" xfId="0" applyFill="1" applyBorder="1" applyAlignment="1">
      <alignment horizontal="center" vertical="center"/>
    </xf>
    <xf numFmtId="0" fontId="0" fillId="14" borderId="56" xfId="0" applyFill="1" applyBorder="1" applyAlignment="1">
      <alignment horizontal="center" vertical="center"/>
    </xf>
    <xf numFmtId="0" fontId="0" fillId="14" borderId="36" xfId="0" applyFill="1" applyBorder="1"/>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4" borderId="44" xfId="0" applyFill="1" applyBorder="1"/>
    <xf numFmtId="9" fontId="0" fillId="12" borderId="33" xfId="0" applyNumberFormat="1"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3" fillId="4" borderId="0" xfId="0" applyFont="1" applyFill="1"/>
    <xf numFmtId="0" fontId="0" fillId="12" borderId="58" xfId="0" applyFill="1" applyBorder="1" applyAlignment="1">
      <alignment horizontal="center" vertical="center"/>
    </xf>
    <xf numFmtId="0" fontId="2" fillId="13" borderId="41" xfId="0" applyFont="1" applyFill="1" applyBorder="1" applyAlignment="1" applyProtection="1">
      <alignment horizontal="center" vertical="center"/>
      <protection locked="0"/>
    </xf>
    <xf numFmtId="0" fontId="2" fillId="13" borderId="57" xfId="0" applyFont="1" applyFill="1" applyBorder="1" applyAlignment="1" applyProtection="1">
      <alignment horizontal="center" vertical="center"/>
      <protection locked="0"/>
    </xf>
    <xf numFmtId="0" fontId="3" fillId="5" borderId="5" xfId="0" quotePrefix="1" applyFont="1" applyFill="1" applyBorder="1" applyAlignment="1">
      <alignment vertical="top" wrapText="1"/>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13" borderId="38" xfId="0" applyFont="1" applyFill="1" applyBorder="1" applyAlignment="1" applyProtection="1">
      <alignment horizontal="center" vertical="center"/>
      <protection locked="0"/>
    </xf>
    <xf numFmtId="0" fontId="2" fillId="13" borderId="59" xfId="0" applyFont="1" applyFill="1" applyBorder="1" applyAlignment="1" applyProtection="1">
      <alignment horizontal="center" vertical="center"/>
      <protection locked="0"/>
    </xf>
    <xf numFmtId="0" fontId="0" fillId="12" borderId="60" xfId="0" applyFill="1" applyBorder="1" applyAlignment="1">
      <alignment horizontal="center" vertical="center"/>
    </xf>
    <xf numFmtId="0" fontId="2" fillId="13" borderId="36" xfId="0" applyFont="1" applyFill="1" applyBorder="1" applyAlignment="1" applyProtection="1">
      <alignment horizontal="center" vertical="center"/>
      <protection locked="0"/>
    </xf>
    <xf numFmtId="0" fontId="2" fillId="13" borderId="61" xfId="0" applyFont="1" applyFill="1" applyBorder="1" applyAlignment="1" applyProtection="1">
      <alignment horizontal="center" vertical="center"/>
      <protection locked="0"/>
    </xf>
    <xf numFmtId="0" fontId="0" fillId="14" borderId="62" xfId="0" applyFill="1" applyBorder="1" applyAlignment="1">
      <alignment horizontal="center" vertical="center"/>
    </xf>
    <xf numFmtId="0" fontId="0" fillId="12" borderId="62" xfId="0" applyFill="1" applyBorder="1" applyAlignment="1">
      <alignment horizontal="center" vertical="center"/>
    </xf>
    <xf numFmtId="0" fontId="2" fillId="12" borderId="38" xfId="0" applyFont="1" applyFill="1" applyBorder="1" applyAlignment="1" applyProtection="1">
      <alignment horizontal="center" vertical="center"/>
    </xf>
    <xf numFmtId="0" fontId="2" fillId="12" borderId="59" xfId="0" applyFont="1" applyFill="1" applyBorder="1" applyAlignment="1" applyProtection="1">
      <alignment horizontal="center" vertical="center"/>
    </xf>
    <xf numFmtId="0" fontId="2" fillId="14" borderId="36" xfId="0" applyFont="1" applyFill="1" applyBorder="1" applyAlignment="1" applyProtection="1">
      <alignment horizontal="center" vertical="center"/>
    </xf>
    <xf numFmtId="0" fontId="2" fillId="14" borderId="61" xfId="0" applyFont="1" applyFill="1" applyBorder="1" applyAlignment="1" applyProtection="1">
      <alignment horizontal="center" vertical="center"/>
    </xf>
    <xf numFmtId="0" fontId="2" fillId="12" borderId="36" xfId="0" applyFont="1" applyFill="1" applyBorder="1" applyAlignment="1" applyProtection="1">
      <alignment horizontal="center" vertical="center"/>
    </xf>
    <xf numFmtId="0" fontId="2" fillId="12" borderId="61" xfId="0" applyFont="1" applyFill="1" applyBorder="1" applyAlignment="1" applyProtection="1">
      <alignment horizontal="center" vertical="center"/>
    </xf>
    <xf numFmtId="0" fontId="2" fillId="12" borderId="41" xfId="0" applyFont="1" applyFill="1" applyBorder="1" applyAlignment="1" applyProtection="1">
      <alignment horizontal="center" vertical="center"/>
    </xf>
    <xf numFmtId="0" fontId="2" fillId="12" borderId="57" xfId="0" applyFont="1" applyFill="1" applyBorder="1" applyAlignment="1" applyProtection="1">
      <alignment horizontal="center" vertical="center"/>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3664" name="Cross_D13">
          <a:extLst>
            <a:ext uri="{FF2B5EF4-FFF2-40B4-BE49-F238E27FC236}">
              <a16:creationId xmlns:a16="http://schemas.microsoft.com/office/drawing/2014/main" id="{45A05AA1-664F-C53A-8B2B-FB9778D3D5AA}"/>
            </a:ext>
          </a:extLst>
        </xdr:cNvPr>
        <xdr:cNvGrpSpPr/>
      </xdr:nvGrpSpPr>
      <xdr:grpSpPr>
        <a:xfrm>
          <a:off x="2240280" y="1828800"/>
          <a:ext cx="601980" cy="228600"/>
          <a:chOff x="2240280" y="2499360"/>
          <a:chExt cx="601980" cy="228600"/>
        </a:xfrm>
      </xdr:grpSpPr>
      <xdr:cxnSp macro="">
        <xdr:nvCxnSpPr>
          <xdr:cNvPr id="3662" name="Gerader Verbinder 3661">
            <a:extLst>
              <a:ext uri="{FF2B5EF4-FFF2-40B4-BE49-F238E27FC236}">
                <a16:creationId xmlns:a16="http://schemas.microsoft.com/office/drawing/2014/main" id="{5EEAAE88-2049-6278-CD8B-57AF5CCDE957}"/>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63" name="Gerader Verbinder 3662">
            <a:extLst>
              <a:ext uri="{FF2B5EF4-FFF2-40B4-BE49-F238E27FC236}">
                <a16:creationId xmlns:a16="http://schemas.microsoft.com/office/drawing/2014/main" id="{4230C9BD-AED2-8623-20A2-8D3876BD8F56}"/>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3673" name="Cross_D22">
          <a:extLst>
            <a:ext uri="{FF2B5EF4-FFF2-40B4-BE49-F238E27FC236}">
              <a16:creationId xmlns:a16="http://schemas.microsoft.com/office/drawing/2014/main" id="{5773DEDB-2C82-0F7D-28FA-AC3FF6C029A6}"/>
            </a:ext>
          </a:extLst>
        </xdr:cNvPr>
        <xdr:cNvGrpSpPr/>
      </xdr:nvGrpSpPr>
      <xdr:grpSpPr>
        <a:xfrm>
          <a:off x="2240280" y="2514600"/>
          <a:ext cx="601980" cy="228600"/>
          <a:chOff x="2240280" y="4191000"/>
          <a:chExt cx="601980" cy="228600"/>
        </a:xfrm>
      </xdr:grpSpPr>
      <xdr:cxnSp macro="">
        <xdr:nvCxnSpPr>
          <xdr:cNvPr id="3671" name="Gerader Verbinder 3670">
            <a:extLst>
              <a:ext uri="{FF2B5EF4-FFF2-40B4-BE49-F238E27FC236}">
                <a16:creationId xmlns:a16="http://schemas.microsoft.com/office/drawing/2014/main" id="{EEC2FA94-5DF1-54A0-B018-1D3D24AB8951}"/>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72" name="Gerader Verbinder 3671">
            <a:extLst>
              <a:ext uri="{FF2B5EF4-FFF2-40B4-BE49-F238E27FC236}">
                <a16:creationId xmlns:a16="http://schemas.microsoft.com/office/drawing/2014/main" id="{6A6D7147-1B5B-4C61-7B15-6FD77A287179}"/>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3682" name="Cross_D25">
          <a:extLst>
            <a:ext uri="{FF2B5EF4-FFF2-40B4-BE49-F238E27FC236}">
              <a16:creationId xmlns:a16="http://schemas.microsoft.com/office/drawing/2014/main" id="{3BEE325B-9546-C770-D795-D486A8F3841C}"/>
            </a:ext>
          </a:extLst>
        </xdr:cNvPr>
        <xdr:cNvGrpSpPr/>
      </xdr:nvGrpSpPr>
      <xdr:grpSpPr>
        <a:xfrm>
          <a:off x="2240280" y="2743200"/>
          <a:ext cx="601980" cy="228600"/>
          <a:chOff x="2240280" y="4754880"/>
          <a:chExt cx="601980" cy="228600"/>
        </a:xfrm>
      </xdr:grpSpPr>
      <xdr:cxnSp macro="">
        <xdr:nvCxnSpPr>
          <xdr:cNvPr id="3680" name="Gerader Verbinder 3679">
            <a:extLst>
              <a:ext uri="{FF2B5EF4-FFF2-40B4-BE49-F238E27FC236}">
                <a16:creationId xmlns:a16="http://schemas.microsoft.com/office/drawing/2014/main" id="{F59E3821-433B-949D-0A42-1727A84CD9D7}"/>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81" name="Gerader Verbinder 3680">
            <a:extLst>
              <a:ext uri="{FF2B5EF4-FFF2-40B4-BE49-F238E27FC236}">
                <a16:creationId xmlns:a16="http://schemas.microsoft.com/office/drawing/2014/main" id="{AF9726CC-68EF-1AA7-8EDF-29DDB4F947AD}"/>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3691" name="Cross_D28">
          <a:extLst>
            <a:ext uri="{FF2B5EF4-FFF2-40B4-BE49-F238E27FC236}">
              <a16:creationId xmlns:a16="http://schemas.microsoft.com/office/drawing/2014/main" id="{197974CB-FD3F-CBD4-F1B9-BD0FC6FD20CC}"/>
            </a:ext>
          </a:extLst>
        </xdr:cNvPr>
        <xdr:cNvGrpSpPr/>
      </xdr:nvGrpSpPr>
      <xdr:grpSpPr>
        <a:xfrm>
          <a:off x="2240280" y="2971800"/>
          <a:ext cx="601980" cy="228600"/>
          <a:chOff x="2240280" y="5318760"/>
          <a:chExt cx="601980" cy="228600"/>
        </a:xfrm>
      </xdr:grpSpPr>
      <xdr:cxnSp macro="">
        <xdr:nvCxnSpPr>
          <xdr:cNvPr id="3689" name="Gerader Verbinder 3688">
            <a:extLst>
              <a:ext uri="{FF2B5EF4-FFF2-40B4-BE49-F238E27FC236}">
                <a16:creationId xmlns:a16="http://schemas.microsoft.com/office/drawing/2014/main" id="{A8109334-F7B2-255A-0C8B-62BF3174601D}"/>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0" name="Gerader Verbinder 3689">
            <a:extLst>
              <a:ext uri="{FF2B5EF4-FFF2-40B4-BE49-F238E27FC236}">
                <a16:creationId xmlns:a16="http://schemas.microsoft.com/office/drawing/2014/main" id="{2030812B-3233-26D3-0FFD-994E7F6D9FD9}"/>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3700" name="Cross_D34">
          <a:extLst>
            <a:ext uri="{FF2B5EF4-FFF2-40B4-BE49-F238E27FC236}">
              <a16:creationId xmlns:a16="http://schemas.microsoft.com/office/drawing/2014/main" id="{D9B3C7DD-0FDA-4CC7-7A4E-2289857416E5}"/>
            </a:ext>
          </a:extLst>
        </xdr:cNvPr>
        <xdr:cNvGrpSpPr/>
      </xdr:nvGrpSpPr>
      <xdr:grpSpPr>
        <a:xfrm>
          <a:off x="2240280" y="3429000"/>
          <a:ext cx="601980" cy="228600"/>
          <a:chOff x="2240280" y="6446520"/>
          <a:chExt cx="601980" cy="228600"/>
        </a:xfrm>
      </xdr:grpSpPr>
      <xdr:cxnSp macro="">
        <xdr:nvCxnSpPr>
          <xdr:cNvPr id="3698" name="Gerader Verbinder 3697">
            <a:extLst>
              <a:ext uri="{FF2B5EF4-FFF2-40B4-BE49-F238E27FC236}">
                <a16:creationId xmlns:a16="http://schemas.microsoft.com/office/drawing/2014/main" id="{F4DAB65C-AD6A-82A2-6731-A7489AD115C7}"/>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9" name="Gerader Verbinder 3698">
            <a:extLst>
              <a:ext uri="{FF2B5EF4-FFF2-40B4-BE49-F238E27FC236}">
                <a16:creationId xmlns:a16="http://schemas.microsoft.com/office/drawing/2014/main" id="{919879EF-0D15-6790-6A29-E53855EB8098}"/>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3709" name="Cross_D46">
          <a:extLst>
            <a:ext uri="{FF2B5EF4-FFF2-40B4-BE49-F238E27FC236}">
              <a16:creationId xmlns:a16="http://schemas.microsoft.com/office/drawing/2014/main" id="{04D6E1FA-7749-9699-9BB4-AF4B2AAF8216}"/>
            </a:ext>
          </a:extLst>
        </xdr:cNvPr>
        <xdr:cNvGrpSpPr/>
      </xdr:nvGrpSpPr>
      <xdr:grpSpPr>
        <a:xfrm>
          <a:off x="2240280" y="4343400"/>
          <a:ext cx="601980" cy="228600"/>
          <a:chOff x="2240280" y="8702040"/>
          <a:chExt cx="601980" cy="228600"/>
        </a:xfrm>
      </xdr:grpSpPr>
      <xdr:cxnSp macro="">
        <xdr:nvCxnSpPr>
          <xdr:cNvPr id="3707" name="Gerader Verbinder 3706">
            <a:extLst>
              <a:ext uri="{FF2B5EF4-FFF2-40B4-BE49-F238E27FC236}">
                <a16:creationId xmlns:a16="http://schemas.microsoft.com/office/drawing/2014/main" id="{1E00AA17-1BE6-2F2B-242B-33305BADDAD0}"/>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08" name="Gerader Verbinder 3707">
            <a:extLst>
              <a:ext uri="{FF2B5EF4-FFF2-40B4-BE49-F238E27FC236}">
                <a16:creationId xmlns:a16="http://schemas.microsoft.com/office/drawing/2014/main" id="{58099B85-947F-E178-780C-BEAA1BA809AA}"/>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3718" name="Cross_D49">
          <a:extLst>
            <a:ext uri="{FF2B5EF4-FFF2-40B4-BE49-F238E27FC236}">
              <a16:creationId xmlns:a16="http://schemas.microsoft.com/office/drawing/2014/main" id="{7CD437BA-9277-007D-5FB5-AA471E5BE006}"/>
            </a:ext>
          </a:extLst>
        </xdr:cNvPr>
        <xdr:cNvGrpSpPr/>
      </xdr:nvGrpSpPr>
      <xdr:grpSpPr>
        <a:xfrm>
          <a:off x="2240280" y="4572000"/>
          <a:ext cx="601980" cy="228600"/>
          <a:chOff x="2240280" y="9265920"/>
          <a:chExt cx="601980" cy="228600"/>
        </a:xfrm>
      </xdr:grpSpPr>
      <xdr:cxnSp macro="">
        <xdr:nvCxnSpPr>
          <xdr:cNvPr id="3716" name="Gerader Verbinder 3715">
            <a:extLst>
              <a:ext uri="{FF2B5EF4-FFF2-40B4-BE49-F238E27FC236}">
                <a16:creationId xmlns:a16="http://schemas.microsoft.com/office/drawing/2014/main" id="{8913AE50-975D-6DFC-68B1-43708BF3A50B}"/>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17" name="Gerader Verbinder 3716">
            <a:extLst>
              <a:ext uri="{FF2B5EF4-FFF2-40B4-BE49-F238E27FC236}">
                <a16:creationId xmlns:a16="http://schemas.microsoft.com/office/drawing/2014/main" id="{2DE6A4E7-AC63-0137-E1E0-B83CC40A5C45}"/>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3727" name="Cross_D52">
          <a:extLst>
            <a:ext uri="{FF2B5EF4-FFF2-40B4-BE49-F238E27FC236}">
              <a16:creationId xmlns:a16="http://schemas.microsoft.com/office/drawing/2014/main" id="{5ACCEEF9-BAA3-0AE8-538D-9B4893F89987}"/>
            </a:ext>
          </a:extLst>
        </xdr:cNvPr>
        <xdr:cNvGrpSpPr/>
      </xdr:nvGrpSpPr>
      <xdr:grpSpPr>
        <a:xfrm>
          <a:off x="2240280" y="4800600"/>
          <a:ext cx="601980" cy="228600"/>
          <a:chOff x="2240280" y="9829800"/>
          <a:chExt cx="601980" cy="228600"/>
        </a:xfrm>
      </xdr:grpSpPr>
      <xdr:cxnSp macro="">
        <xdr:nvCxnSpPr>
          <xdr:cNvPr id="3725" name="Gerader Verbinder 3724">
            <a:extLst>
              <a:ext uri="{FF2B5EF4-FFF2-40B4-BE49-F238E27FC236}">
                <a16:creationId xmlns:a16="http://schemas.microsoft.com/office/drawing/2014/main" id="{9201DC08-6001-D3A0-86B0-A067B99347E3}"/>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26" name="Gerader Verbinder 3725">
            <a:extLst>
              <a:ext uri="{FF2B5EF4-FFF2-40B4-BE49-F238E27FC236}">
                <a16:creationId xmlns:a16="http://schemas.microsoft.com/office/drawing/2014/main" id="{EAF3C196-D929-DDAC-F4C1-DF76B866A454}"/>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3736" name="Cross_D58">
          <a:extLst>
            <a:ext uri="{FF2B5EF4-FFF2-40B4-BE49-F238E27FC236}">
              <a16:creationId xmlns:a16="http://schemas.microsoft.com/office/drawing/2014/main" id="{3E118DA8-DDBB-199C-D0EB-8F65BAD2EDF2}"/>
            </a:ext>
          </a:extLst>
        </xdr:cNvPr>
        <xdr:cNvGrpSpPr/>
      </xdr:nvGrpSpPr>
      <xdr:grpSpPr>
        <a:xfrm>
          <a:off x="2240280" y="5257800"/>
          <a:ext cx="601980" cy="228600"/>
          <a:chOff x="2240280" y="10957560"/>
          <a:chExt cx="601980" cy="228600"/>
        </a:xfrm>
      </xdr:grpSpPr>
      <xdr:cxnSp macro="">
        <xdr:nvCxnSpPr>
          <xdr:cNvPr id="3734" name="Gerader Verbinder 3733">
            <a:extLst>
              <a:ext uri="{FF2B5EF4-FFF2-40B4-BE49-F238E27FC236}">
                <a16:creationId xmlns:a16="http://schemas.microsoft.com/office/drawing/2014/main" id="{032D09EA-DF78-CD24-9754-CC1FBA813E5D}"/>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35" name="Gerader Verbinder 3734">
            <a:extLst>
              <a:ext uri="{FF2B5EF4-FFF2-40B4-BE49-F238E27FC236}">
                <a16:creationId xmlns:a16="http://schemas.microsoft.com/office/drawing/2014/main" id="{8D34EB00-7C18-70CF-7630-881411BBC3DE}"/>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745" name="Cross_D61">
          <a:extLst>
            <a:ext uri="{FF2B5EF4-FFF2-40B4-BE49-F238E27FC236}">
              <a16:creationId xmlns:a16="http://schemas.microsoft.com/office/drawing/2014/main" id="{B1CC72EE-D745-4733-5D12-FCC9758E6EF7}"/>
            </a:ext>
          </a:extLst>
        </xdr:cNvPr>
        <xdr:cNvGrpSpPr/>
      </xdr:nvGrpSpPr>
      <xdr:grpSpPr>
        <a:xfrm>
          <a:off x="2240280" y="5486400"/>
          <a:ext cx="601980" cy="228600"/>
          <a:chOff x="2240280" y="11521440"/>
          <a:chExt cx="601980" cy="228600"/>
        </a:xfrm>
      </xdr:grpSpPr>
      <xdr:cxnSp macro="">
        <xdr:nvCxnSpPr>
          <xdr:cNvPr id="3743" name="Gerader Verbinder 3742">
            <a:extLst>
              <a:ext uri="{FF2B5EF4-FFF2-40B4-BE49-F238E27FC236}">
                <a16:creationId xmlns:a16="http://schemas.microsoft.com/office/drawing/2014/main" id="{1078C4ED-6C6C-8662-741D-5FD5EBFAE1E4}"/>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44" name="Gerader Verbinder 3743">
            <a:extLst>
              <a:ext uri="{FF2B5EF4-FFF2-40B4-BE49-F238E27FC236}">
                <a16:creationId xmlns:a16="http://schemas.microsoft.com/office/drawing/2014/main" id="{A39B07BD-2267-F8DC-FE7A-89628C2D1526}"/>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3754" name="Cross_E7">
          <a:extLst>
            <a:ext uri="{FF2B5EF4-FFF2-40B4-BE49-F238E27FC236}">
              <a16:creationId xmlns:a16="http://schemas.microsoft.com/office/drawing/2014/main" id="{97428D23-ADAF-5861-26E2-580AF65B4014}"/>
            </a:ext>
          </a:extLst>
        </xdr:cNvPr>
        <xdr:cNvGrpSpPr/>
      </xdr:nvGrpSpPr>
      <xdr:grpSpPr>
        <a:xfrm>
          <a:off x="2842260" y="1371600"/>
          <a:ext cx="601980" cy="228600"/>
          <a:chOff x="2842260" y="1371600"/>
          <a:chExt cx="601980" cy="228600"/>
        </a:xfrm>
      </xdr:grpSpPr>
      <xdr:cxnSp macro="">
        <xdr:nvCxnSpPr>
          <xdr:cNvPr id="3752" name="Gerader Verbinder 3751">
            <a:extLst>
              <a:ext uri="{FF2B5EF4-FFF2-40B4-BE49-F238E27FC236}">
                <a16:creationId xmlns:a16="http://schemas.microsoft.com/office/drawing/2014/main" id="{2CDF941B-7325-7CDF-5C02-96345B3545C6}"/>
              </a:ext>
            </a:extLst>
          </xdr:cNvPr>
          <xdr:cNvCxnSpPr/>
        </xdr:nvCxnSpPr>
        <xdr:spPr>
          <a:xfrm>
            <a:off x="284226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53" name="Gerader Verbinder 3752">
            <a:extLst>
              <a:ext uri="{FF2B5EF4-FFF2-40B4-BE49-F238E27FC236}">
                <a16:creationId xmlns:a16="http://schemas.microsoft.com/office/drawing/2014/main" id="{E019114B-A3A3-5AD9-F4BF-032695CF56AC}"/>
              </a:ext>
            </a:extLst>
          </xdr:cNvPr>
          <xdr:cNvCxnSpPr/>
        </xdr:nvCxnSpPr>
        <xdr:spPr>
          <a:xfrm flipH="1">
            <a:off x="284226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763" name="Cross_E10">
          <a:extLst>
            <a:ext uri="{FF2B5EF4-FFF2-40B4-BE49-F238E27FC236}">
              <a16:creationId xmlns:a16="http://schemas.microsoft.com/office/drawing/2014/main" id="{F577CB26-2734-825F-3D90-A07EC8331F5D}"/>
            </a:ext>
          </a:extLst>
        </xdr:cNvPr>
        <xdr:cNvGrpSpPr/>
      </xdr:nvGrpSpPr>
      <xdr:grpSpPr>
        <a:xfrm>
          <a:off x="2842260" y="1600200"/>
          <a:ext cx="601980" cy="228600"/>
          <a:chOff x="2842260" y="1935480"/>
          <a:chExt cx="601980" cy="228600"/>
        </a:xfrm>
      </xdr:grpSpPr>
      <xdr:cxnSp macro="">
        <xdr:nvCxnSpPr>
          <xdr:cNvPr id="3761" name="Gerader Verbinder 3760">
            <a:extLst>
              <a:ext uri="{FF2B5EF4-FFF2-40B4-BE49-F238E27FC236}">
                <a16:creationId xmlns:a16="http://schemas.microsoft.com/office/drawing/2014/main" id="{2891B032-EB38-8814-C29D-9D16F82FAC1C}"/>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62" name="Gerader Verbinder 3761">
            <a:extLst>
              <a:ext uri="{FF2B5EF4-FFF2-40B4-BE49-F238E27FC236}">
                <a16:creationId xmlns:a16="http://schemas.microsoft.com/office/drawing/2014/main" id="{98FF4BA6-9E88-A00C-1239-723A45C332E1}"/>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3772" name="Cross_E13">
          <a:extLst>
            <a:ext uri="{FF2B5EF4-FFF2-40B4-BE49-F238E27FC236}">
              <a16:creationId xmlns:a16="http://schemas.microsoft.com/office/drawing/2014/main" id="{0BCB7E88-C699-1D70-EB4F-250278D4F2B7}"/>
            </a:ext>
          </a:extLst>
        </xdr:cNvPr>
        <xdr:cNvGrpSpPr/>
      </xdr:nvGrpSpPr>
      <xdr:grpSpPr>
        <a:xfrm>
          <a:off x="2842260" y="1828800"/>
          <a:ext cx="601980" cy="228600"/>
          <a:chOff x="2842260" y="2499360"/>
          <a:chExt cx="601980" cy="228600"/>
        </a:xfrm>
      </xdr:grpSpPr>
      <xdr:cxnSp macro="">
        <xdr:nvCxnSpPr>
          <xdr:cNvPr id="3770" name="Gerader Verbinder 3769">
            <a:extLst>
              <a:ext uri="{FF2B5EF4-FFF2-40B4-BE49-F238E27FC236}">
                <a16:creationId xmlns:a16="http://schemas.microsoft.com/office/drawing/2014/main" id="{6E0C13CB-AB60-9F11-AD87-AB86CCC44ABA}"/>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71" name="Gerader Verbinder 3770">
            <a:extLst>
              <a:ext uri="{FF2B5EF4-FFF2-40B4-BE49-F238E27FC236}">
                <a16:creationId xmlns:a16="http://schemas.microsoft.com/office/drawing/2014/main" id="{58C05D5B-025C-6D0B-4F91-1C1D7060B9FB}"/>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3781" name="Cross_E19">
          <a:extLst>
            <a:ext uri="{FF2B5EF4-FFF2-40B4-BE49-F238E27FC236}">
              <a16:creationId xmlns:a16="http://schemas.microsoft.com/office/drawing/2014/main" id="{C7D42340-2216-8CAD-EBFF-231FB76F92A0}"/>
            </a:ext>
          </a:extLst>
        </xdr:cNvPr>
        <xdr:cNvGrpSpPr/>
      </xdr:nvGrpSpPr>
      <xdr:grpSpPr>
        <a:xfrm>
          <a:off x="2842260" y="2286000"/>
          <a:ext cx="601980" cy="228600"/>
          <a:chOff x="2842260" y="3627120"/>
          <a:chExt cx="601980" cy="228600"/>
        </a:xfrm>
      </xdr:grpSpPr>
      <xdr:cxnSp macro="">
        <xdr:nvCxnSpPr>
          <xdr:cNvPr id="3779" name="Gerader Verbinder 3778">
            <a:extLst>
              <a:ext uri="{FF2B5EF4-FFF2-40B4-BE49-F238E27FC236}">
                <a16:creationId xmlns:a16="http://schemas.microsoft.com/office/drawing/2014/main" id="{1E73B0BF-AA5C-3B4C-63A8-A7BACEF3B35C}"/>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0" name="Gerader Verbinder 3779">
            <a:extLst>
              <a:ext uri="{FF2B5EF4-FFF2-40B4-BE49-F238E27FC236}">
                <a16:creationId xmlns:a16="http://schemas.microsoft.com/office/drawing/2014/main" id="{535F7910-7234-863E-FEA5-A9288334EFF7}"/>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3790" name="Cross_E28">
          <a:extLst>
            <a:ext uri="{FF2B5EF4-FFF2-40B4-BE49-F238E27FC236}">
              <a16:creationId xmlns:a16="http://schemas.microsoft.com/office/drawing/2014/main" id="{E5C55CF9-F4F4-25E4-B719-B44E4FA9E384}"/>
            </a:ext>
          </a:extLst>
        </xdr:cNvPr>
        <xdr:cNvGrpSpPr/>
      </xdr:nvGrpSpPr>
      <xdr:grpSpPr>
        <a:xfrm>
          <a:off x="2842260" y="2971800"/>
          <a:ext cx="601980" cy="228600"/>
          <a:chOff x="2842260" y="5318760"/>
          <a:chExt cx="601980" cy="228600"/>
        </a:xfrm>
      </xdr:grpSpPr>
      <xdr:cxnSp macro="">
        <xdr:nvCxnSpPr>
          <xdr:cNvPr id="3788" name="Gerader Verbinder 3787">
            <a:extLst>
              <a:ext uri="{FF2B5EF4-FFF2-40B4-BE49-F238E27FC236}">
                <a16:creationId xmlns:a16="http://schemas.microsoft.com/office/drawing/2014/main" id="{8B840FB0-6C87-FBB8-3B54-284A4A0FD5C0}"/>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9" name="Gerader Verbinder 3788">
            <a:extLst>
              <a:ext uri="{FF2B5EF4-FFF2-40B4-BE49-F238E27FC236}">
                <a16:creationId xmlns:a16="http://schemas.microsoft.com/office/drawing/2014/main" id="{6A8373B9-F819-FF7C-A5EE-1C95624CAA2A}"/>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3799" name="Cross_E37">
          <a:extLst>
            <a:ext uri="{FF2B5EF4-FFF2-40B4-BE49-F238E27FC236}">
              <a16:creationId xmlns:a16="http://schemas.microsoft.com/office/drawing/2014/main" id="{75E91511-745D-D341-AB0E-3BFAC348CA8F}"/>
            </a:ext>
          </a:extLst>
        </xdr:cNvPr>
        <xdr:cNvGrpSpPr/>
      </xdr:nvGrpSpPr>
      <xdr:grpSpPr>
        <a:xfrm>
          <a:off x="2842260" y="3657600"/>
          <a:ext cx="601980" cy="228600"/>
          <a:chOff x="2842260" y="7010400"/>
          <a:chExt cx="601980" cy="228600"/>
        </a:xfrm>
      </xdr:grpSpPr>
      <xdr:cxnSp macro="">
        <xdr:nvCxnSpPr>
          <xdr:cNvPr id="3797" name="Gerader Verbinder 3796">
            <a:extLst>
              <a:ext uri="{FF2B5EF4-FFF2-40B4-BE49-F238E27FC236}">
                <a16:creationId xmlns:a16="http://schemas.microsoft.com/office/drawing/2014/main" id="{D21594B1-C951-6F84-FEFC-BC8AC59A9362}"/>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98" name="Gerader Verbinder 3797">
            <a:extLst>
              <a:ext uri="{FF2B5EF4-FFF2-40B4-BE49-F238E27FC236}">
                <a16:creationId xmlns:a16="http://schemas.microsoft.com/office/drawing/2014/main" id="{92A3922C-E626-B008-ED22-2123F867BB7E}"/>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3808" name="Cross_E40">
          <a:extLst>
            <a:ext uri="{FF2B5EF4-FFF2-40B4-BE49-F238E27FC236}">
              <a16:creationId xmlns:a16="http://schemas.microsoft.com/office/drawing/2014/main" id="{A53513E2-81E7-E3C8-A742-1D4C8D5248B2}"/>
            </a:ext>
          </a:extLst>
        </xdr:cNvPr>
        <xdr:cNvGrpSpPr/>
      </xdr:nvGrpSpPr>
      <xdr:grpSpPr>
        <a:xfrm>
          <a:off x="2842260" y="3886200"/>
          <a:ext cx="601980" cy="228600"/>
          <a:chOff x="2842260" y="7574280"/>
          <a:chExt cx="601980" cy="228600"/>
        </a:xfrm>
      </xdr:grpSpPr>
      <xdr:cxnSp macro="">
        <xdr:nvCxnSpPr>
          <xdr:cNvPr id="3806" name="Gerader Verbinder 3805">
            <a:extLst>
              <a:ext uri="{FF2B5EF4-FFF2-40B4-BE49-F238E27FC236}">
                <a16:creationId xmlns:a16="http://schemas.microsoft.com/office/drawing/2014/main" id="{7186E392-851A-2240-0C23-B128EFAFE567}"/>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07" name="Gerader Verbinder 3806">
            <a:extLst>
              <a:ext uri="{FF2B5EF4-FFF2-40B4-BE49-F238E27FC236}">
                <a16:creationId xmlns:a16="http://schemas.microsoft.com/office/drawing/2014/main" id="{DB4F4B05-B14F-2EC4-8810-D2ECFB31E301}"/>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3817" name="Cross_E43">
          <a:extLst>
            <a:ext uri="{FF2B5EF4-FFF2-40B4-BE49-F238E27FC236}">
              <a16:creationId xmlns:a16="http://schemas.microsoft.com/office/drawing/2014/main" id="{CF91E5AB-893C-432D-97B0-BAC7AE89FCCF}"/>
            </a:ext>
          </a:extLst>
        </xdr:cNvPr>
        <xdr:cNvGrpSpPr/>
      </xdr:nvGrpSpPr>
      <xdr:grpSpPr>
        <a:xfrm>
          <a:off x="2842260" y="4114800"/>
          <a:ext cx="601980" cy="228600"/>
          <a:chOff x="2842260" y="8138160"/>
          <a:chExt cx="601980" cy="228600"/>
        </a:xfrm>
      </xdr:grpSpPr>
      <xdr:cxnSp macro="">
        <xdr:nvCxnSpPr>
          <xdr:cNvPr id="3815" name="Gerader Verbinder 3814">
            <a:extLst>
              <a:ext uri="{FF2B5EF4-FFF2-40B4-BE49-F238E27FC236}">
                <a16:creationId xmlns:a16="http://schemas.microsoft.com/office/drawing/2014/main" id="{61F46DF8-84B0-5C77-1B79-F1DDA4E790A9}"/>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16" name="Gerader Verbinder 3815">
            <a:extLst>
              <a:ext uri="{FF2B5EF4-FFF2-40B4-BE49-F238E27FC236}">
                <a16:creationId xmlns:a16="http://schemas.microsoft.com/office/drawing/2014/main" id="{561BBCCD-F6DA-A8C7-E4A1-331351E324F8}"/>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3826" name="Cross_E46">
          <a:extLst>
            <a:ext uri="{FF2B5EF4-FFF2-40B4-BE49-F238E27FC236}">
              <a16:creationId xmlns:a16="http://schemas.microsoft.com/office/drawing/2014/main" id="{A1040820-30E4-7411-E0C4-39BEE0DF7DB3}"/>
            </a:ext>
          </a:extLst>
        </xdr:cNvPr>
        <xdr:cNvGrpSpPr/>
      </xdr:nvGrpSpPr>
      <xdr:grpSpPr>
        <a:xfrm>
          <a:off x="2842260" y="4343400"/>
          <a:ext cx="601980" cy="228600"/>
          <a:chOff x="2842260" y="8702040"/>
          <a:chExt cx="601980" cy="228600"/>
        </a:xfrm>
      </xdr:grpSpPr>
      <xdr:cxnSp macro="">
        <xdr:nvCxnSpPr>
          <xdr:cNvPr id="3824" name="Gerader Verbinder 3823">
            <a:extLst>
              <a:ext uri="{FF2B5EF4-FFF2-40B4-BE49-F238E27FC236}">
                <a16:creationId xmlns:a16="http://schemas.microsoft.com/office/drawing/2014/main" id="{CBB74CD8-5E4B-BF88-117F-C7CCF8A004D1}"/>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25" name="Gerader Verbinder 3824">
            <a:extLst>
              <a:ext uri="{FF2B5EF4-FFF2-40B4-BE49-F238E27FC236}">
                <a16:creationId xmlns:a16="http://schemas.microsoft.com/office/drawing/2014/main" id="{193B7BB6-FAD1-653C-1A83-B8B4B9709B6F}"/>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3835" name="Cross_E55">
          <a:extLst>
            <a:ext uri="{FF2B5EF4-FFF2-40B4-BE49-F238E27FC236}">
              <a16:creationId xmlns:a16="http://schemas.microsoft.com/office/drawing/2014/main" id="{AC748938-A687-D627-21EA-A6FD2CD53300}"/>
            </a:ext>
          </a:extLst>
        </xdr:cNvPr>
        <xdr:cNvGrpSpPr/>
      </xdr:nvGrpSpPr>
      <xdr:grpSpPr>
        <a:xfrm>
          <a:off x="2842260" y="5029200"/>
          <a:ext cx="601980" cy="228600"/>
          <a:chOff x="2842260" y="10393680"/>
          <a:chExt cx="601980" cy="228600"/>
        </a:xfrm>
      </xdr:grpSpPr>
      <xdr:cxnSp macro="">
        <xdr:nvCxnSpPr>
          <xdr:cNvPr id="3833" name="Gerader Verbinder 3832">
            <a:extLst>
              <a:ext uri="{FF2B5EF4-FFF2-40B4-BE49-F238E27FC236}">
                <a16:creationId xmlns:a16="http://schemas.microsoft.com/office/drawing/2014/main" id="{25A81E61-E052-0A50-6C0D-FF7B366EE98E}"/>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34" name="Gerader Verbinder 3833">
            <a:extLst>
              <a:ext uri="{FF2B5EF4-FFF2-40B4-BE49-F238E27FC236}">
                <a16:creationId xmlns:a16="http://schemas.microsoft.com/office/drawing/2014/main" id="{C7F78CDD-4E38-430D-54A9-1F7A39EC1935}"/>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3844" name="Cross_E58">
          <a:extLst>
            <a:ext uri="{FF2B5EF4-FFF2-40B4-BE49-F238E27FC236}">
              <a16:creationId xmlns:a16="http://schemas.microsoft.com/office/drawing/2014/main" id="{5D9E6759-D8BE-663D-67E5-A2B2197E8395}"/>
            </a:ext>
          </a:extLst>
        </xdr:cNvPr>
        <xdr:cNvGrpSpPr/>
      </xdr:nvGrpSpPr>
      <xdr:grpSpPr>
        <a:xfrm>
          <a:off x="2842260" y="5257800"/>
          <a:ext cx="601980" cy="228600"/>
          <a:chOff x="2842260" y="10957560"/>
          <a:chExt cx="601980" cy="228600"/>
        </a:xfrm>
      </xdr:grpSpPr>
      <xdr:cxnSp macro="">
        <xdr:nvCxnSpPr>
          <xdr:cNvPr id="3842" name="Gerader Verbinder 3841">
            <a:extLst>
              <a:ext uri="{FF2B5EF4-FFF2-40B4-BE49-F238E27FC236}">
                <a16:creationId xmlns:a16="http://schemas.microsoft.com/office/drawing/2014/main" id="{7669B60F-1DD7-4C53-19C2-A9356C1ACF28}"/>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43" name="Gerader Verbinder 3842">
            <a:extLst>
              <a:ext uri="{FF2B5EF4-FFF2-40B4-BE49-F238E27FC236}">
                <a16:creationId xmlns:a16="http://schemas.microsoft.com/office/drawing/2014/main" id="{1B91C9ED-D597-A257-1520-AD75C3DF98B8}"/>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3853" name="Cross_E61">
          <a:extLst>
            <a:ext uri="{FF2B5EF4-FFF2-40B4-BE49-F238E27FC236}">
              <a16:creationId xmlns:a16="http://schemas.microsoft.com/office/drawing/2014/main" id="{5536E095-BE4A-4394-0B97-33DE4567CD7F}"/>
            </a:ext>
          </a:extLst>
        </xdr:cNvPr>
        <xdr:cNvGrpSpPr/>
      </xdr:nvGrpSpPr>
      <xdr:grpSpPr>
        <a:xfrm>
          <a:off x="2842260" y="5486400"/>
          <a:ext cx="601980" cy="228600"/>
          <a:chOff x="2842260" y="11521440"/>
          <a:chExt cx="601980" cy="228600"/>
        </a:xfrm>
      </xdr:grpSpPr>
      <xdr:cxnSp macro="">
        <xdr:nvCxnSpPr>
          <xdr:cNvPr id="3851" name="Gerader Verbinder 3850">
            <a:extLst>
              <a:ext uri="{FF2B5EF4-FFF2-40B4-BE49-F238E27FC236}">
                <a16:creationId xmlns:a16="http://schemas.microsoft.com/office/drawing/2014/main" id="{E39A96B1-1FFE-4F0B-F4CC-C052C004D32D}"/>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52" name="Gerader Verbinder 3851">
            <a:extLst>
              <a:ext uri="{FF2B5EF4-FFF2-40B4-BE49-F238E27FC236}">
                <a16:creationId xmlns:a16="http://schemas.microsoft.com/office/drawing/2014/main" id="{800CEBB8-9EB2-B133-B910-744E16CD9EE8}"/>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3862" name="Cross_E70">
          <a:extLst>
            <a:ext uri="{FF2B5EF4-FFF2-40B4-BE49-F238E27FC236}">
              <a16:creationId xmlns:a16="http://schemas.microsoft.com/office/drawing/2014/main" id="{1607B487-85DA-D3DA-919D-510A1AD4DAD9}"/>
            </a:ext>
          </a:extLst>
        </xdr:cNvPr>
        <xdr:cNvGrpSpPr/>
      </xdr:nvGrpSpPr>
      <xdr:grpSpPr>
        <a:xfrm>
          <a:off x="2842260" y="6172200"/>
          <a:ext cx="601980" cy="228600"/>
          <a:chOff x="2842260" y="13213080"/>
          <a:chExt cx="601980" cy="228600"/>
        </a:xfrm>
      </xdr:grpSpPr>
      <xdr:cxnSp macro="">
        <xdr:nvCxnSpPr>
          <xdr:cNvPr id="3860" name="Gerader Verbinder 3859">
            <a:extLst>
              <a:ext uri="{FF2B5EF4-FFF2-40B4-BE49-F238E27FC236}">
                <a16:creationId xmlns:a16="http://schemas.microsoft.com/office/drawing/2014/main" id="{4DD15B29-5939-6FDE-6148-EF27763F2E9E}"/>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61" name="Gerader Verbinder 3860">
            <a:extLst>
              <a:ext uri="{FF2B5EF4-FFF2-40B4-BE49-F238E27FC236}">
                <a16:creationId xmlns:a16="http://schemas.microsoft.com/office/drawing/2014/main" id="{E16617E8-5E69-D90E-3057-C5CE565B1E2F}"/>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28</xdr:row>
      <xdr:rowOff>1</xdr:rowOff>
    </xdr:to>
    <xdr:grpSp>
      <xdr:nvGrpSpPr>
        <xdr:cNvPr id="3868" name="Cross_E72">
          <a:extLst>
            <a:ext uri="{FF2B5EF4-FFF2-40B4-BE49-F238E27FC236}">
              <a16:creationId xmlns:a16="http://schemas.microsoft.com/office/drawing/2014/main" id="{7181186B-B3A0-755F-38D4-A638ACA30432}"/>
            </a:ext>
          </a:extLst>
        </xdr:cNvPr>
        <xdr:cNvGrpSpPr/>
      </xdr:nvGrpSpPr>
      <xdr:grpSpPr>
        <a:xfrm>
          <a:off x="2842260" y="6400800"/>
          <a:ext cx="601980" cy="1"/>
          <a:chOff x="2842260" y="13609320"/>
          <a:chExt cx="601980" cy="167641"/>
        </a:xfrm>
      </xdr:grpSpPr>
      <xdr:cxnSp macro="">
        <xdr:nvCxnSpPr>
          <xdr:cNvPr id="3866" name="Gerader Verbinder 3865">
            <a:extLst>
              <a:ext uri="{FF2B5EF4-FFF2-40B4-BE49-F238E27FC236}">
                <a16:creationId xmlns:a16="http://schemas.microsoft.com/office/drawing/2014/main" id="{AC865426-C698-E640-477B-6A0B5E53D073}"/>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67" name="Gerader Verbinder 3866">
            <a:extLst>
              <a:ext uri="{FF2B5EF4-FFF2-40B4-BE49-F238E27FC236}">
                <a16:creationId xmlns:a16="http://schemas.microsoft.com/office/drawing/2014/main" id="{1D7CBF69-2DEF-203B-68F8-654A9C94F654}"/>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1</xdr:rowOff>
    </xdr:from>
    <xdr:to>
      <xdr:col>5</xdr:col>
      <xdr:colOff>0</xdr:colOff>
      <xdr:row>29</xdr:row>
      <xdr:rowOff>0</xdr:rowOff>
    </xdr:to>
    <xdr:grpSp>
      <xdr:nvGrpSpPr>
        <xdr:cNvPr id="3871" name="Cross_E73">
          <a:extLst>
            <a:ext uri="{FF2B5EF4-FFF2-40B4-BE49-F238E27FC236}">
              <a16:creationId xmlns:a16="http://schemas.microsoft.com/office/drawing/2014/main" id="{0AD0D2F9-B0FA-846A-2F84-294F02B49A42}"/>
            </a:ext>
          </a:extLst>
        </xdr:cNvPr>
        <xdr:cNvGrpSpPr/>
      </xdr:nvGrpSpPr>
      <xdr:grpSpPr>
        <a:xfrm>
          <a:off x="2842260" y="6400801"/>
          <a:ext cx="601980" cy="228599"/>
          <a:chOff x="2842260" y="13776961"/>
          <a:chExt cx="601980" cy="228600"/>
        </a:xfrm>
      </xdr:grpSpPr>
      <xdr:cxnSp macro="">
        <xdr:nvCxnSpPr>
          <xdr:cNvPr id="3869" name="Gerader Verbinder 3868">
            <a:extLst>
              <a:ext uri="{FF2B5EF4-FFF2-40B4-BE49-F238E27FC236}">
                <a16:creationId xmlns:a16="http://schemas.microsoft.com/office/drawing/2014/main" id="{61D119E1-1664-9ACB-130E-D9B6F5D3601C}"/>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0" name="Gerader Verbinder 3869">
            <a:extLst>
              <a:ext uri="{FF2B5EF4-FFF2-40B4-BE49-F238E27FC236}">
                <a16:creationId xmlns:a16="http://schemas.microsoft.com/office/drawing/2014/main" id="{99A9131A-5622-79D2-A012-DD07A9F7E94C}"/>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3880" name="Cross_F10">
          <a:extLst>
            <a:ext uri="{FF2B5EF4-FFF2-40B4-BE49-F238E27FC236}">
              <a16:creationId xmlns:a16="http://schemas.microsoft.com/office/drawing/2014/main" id="{76C3089B-710B-3E7E-F675-BB90989F9E1A}"/>
            </a:ext>
          </a:extLst>
        </xdr:cNvPr>
        <xdr:cNvGrpSpPr/>
      </xdr:nvGrpSpPr>
      <xdr:grpSpPr>
        <a:xfrm>
          <a:off x="3444240" y="1600200"/>
          <a:ext cx="601980" cy="228600"/>
          <a:chOff x="3444240" y="1935480"/>
          <a:chExt cx="601980" cy="228600"/>
        </a:xfrm>
      </xdr:grpSpPr>
      <xdr:cxnSp macro="">
        <xdr:nvCxnSpPr>
          <xdr:cNvPr id="3878" name="Gerader Verbinder 3877">
            <a:extLst>
              <a:ext uri="{FF2B5EF4-FFF2-40B4-BE49-F238E27FC236}">
                <a16:creationId xmlns:a16="http://schemas.microsoft.com/office/drawing/2014/main" id="{BC565900-2703-EC62-A796-7B3EDEAE3BBD}"/>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9" name="Gerader Verbinder 3878">
            <a:extLst>
              <a:ext uri="{FF2B5EF4-FFF2-40B4-BE49-F238E27FC236}">
                <a16:creationId xmlns:a16="http://schemas.microsoft.com/office/drawing/2014/main" id="{F3CE278A-6571-8A17-EF0F-4F5EA962DDAA}"/>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3889" name="Cross_F13">
          <a:extLst>
            <a:ext uri="{FF2B5EF4-FFF2-40B4-BE49-F238E27FC236}">
              <a16:creationId xmlns:a16="http://schemas.microsoft.com/office/drawing/2014/main" id="{699404C4-8F91-AE15-7315-690E84E5C6E7}"/>
            </a:ext>
          </a:extLst>
        </xdr:cNvPr>
        <xdr:cNvGrpSpPr/>
      </xdr:nvGrpSpPr>
      <xdr:grpSpPr>
        <a:xfrm>
          <a:off x="3444240" y="1828800"/>
          <a:ext cx="601980" cy="228600"/>
          <a:chOff x="3444240" y="2499360"/>
          <a:chExt cx="601980" cy="228600"/>
        </a:xfrm>
      </xdr:grpSpPr>
      <xdr:cxnSp macro="">
        <xdr:nvCxnSpPr>
          <xdr:cNvPr id="3887" name="Gerader Verbinder 3886">
            <a:extLst>
              <a:ext uri="{FF2B5EF4-FFF2-40B4-BE49-F238E27FC236}">
                <a16:creationId xmlns:a16="http://schemas.microsoft.com/office/drawing/2014/main" id="{01591468-15AB-D62D-2114-278217C4849B}"/>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88" name="Gerader Verbinder 3887">
            <a:extLst>
              <a:ext uri="{FF2B5EF4-FFF2-40B4-BE49-F238E27FC236}">
                <a16:creationId xmlns:a16="http://schemas.microsoft.com/office/drawing/2014/main" id="{44ACD1DE-C78E-7C06-D6AC-C8E1832270A0}"/>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3898" name="Cross_F19">
          <a:extLst>
            <a:ext uri="{FF2B5EF4-FFF2-40B4-BE49-F238E27FC236}">
              <a16:creationId xmlns:a16="http://schemas.microsoft.com/office/drawing/2014/main" id="{CBEDFC94-9942-A67B-06A8-63654911DCBF}"/>
            </a:ext>
          </a:extLst>
        </xdr:cNvPr>
        <xdr:cNvGrpSpPr/>
      </xdr:nvGrpSpPr>
      <xdr:grpSpPr>
        <a:xfrm>
          <a:off x="3444240" y="2286000"/>
          <a:ext cx="601980" cy="228600"/>
          <a:chOff x="3444240" y="3627120"/>
          <a:chExt cx="601980" cy="228600"/>
        </a:xfrm>
      </xdr:grpSpPr>
      <xdr:cxnSp macro="">
        <xdr:nvCxnSpPr>
          <xdr:cNvPr id="3896" name="Gerader Verbinder 3895">
            <a:extLst>
              <a:ext uri="{FF2B5EF4-FFF2-40B4-BE49-F238E27FC236}">
                <a16:creationId xmlns:a16="http://schemas.microsoft.com/office/drawing/2014/main" id="{0B3C4A13-EA43-0B44-37D8-05A6B20D902B}"/>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97" name="Gerader Verbinder 3896">
            <a:extLst>
              <a:ext uri="{FF2B5EF4-FFF2-40B4-BE49-F238E27FC236}">
                <a16:creationId xmlns:a16="http://schemas.microsoft.com/office/drawing/2014/main" id="{B957865D-A2A1-FBBE-F35F-0AC05183DAE0}"/>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3907" name="Cross_F28">
          <a:extLst>
            <a:ext uri="{FF2B5EF4-FFF2-40B4-BE49-F238E27FC236}">
              <a16:creationId xmlns:a16="http://schemas.microsoft.com/office/drawing/2014/main" id="{0D2626C6-EE6F-9C09-10A4-9E1657062827}"/>
            </a:ext>
          </a:extLst>
        </xdr:cNvPr>
        <xdr:cNvGrpSpPr/>
      </xdr:nvGrpSpPr>
      <xdr:grpSpPr>
        <a:xfrm>
          <a:off x="3444240" y="2971800"/>
          <a:ext cx="601980" cy="228600"/>
          <a:chOff x="3444240" y="5318760"/>
          <a:chExt cx="601980" cy="228600"/>
        </a:xfrm>
      </xdr:grpSpPr>
      <xdr:cxnSp macro="">
        <xdr:nvCxnSpPr>
          <xdr:cNvPr id="3905" name="Gerader Verbinder 3904">
            <a:extLst>
              <a:ext uri="{FF2B5EF4-FFF2-40B4-BE49-F238E27FC236}">
                <a16:creationId xmlns:a16="http://schemas.microsoft.com/office/drawing/2014/main" id="{65EBEDCA-3E7C-9C3A-4518-A34BAD052AB5}"/>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06" name="Gerader Verbinder 3905">
            <a:extLst>
              <a:ext uri="{FF2B5EF4-FFF2-40B4-BE49-F238E27FC236}">
                <a16:creationId xmlns:a16="http://schemas.microsoft.com/office/drawing/2014/main" id="{C7073550-79B5-74D9-209C-1F56606B802C}"/>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3916" name="Cross_F37">
          <a:extLst>
            <a:ext uri="{FF2B5EF4-FFF2-40B4-BE49-F238E27FC236}">
              <a16:creationId xmlns:a16="http://schemas.microsoft.com/office/drawing/2014/main" id="{23BD575E-83A4-8226-6C6F-46F86FC1B31F}"/>
            </a:ext>
          </a:extLst>
        </xdr:cNvPr>
        <xdr:cNvGrpSpPr/>
      </xdr:nvGrpSpPr>
      <xdr:grpSpPr>
        <a:xfrm>
          <a:off x="3444240" y="3657600"/>
          <a:ext cx="601980" cy="228600"/>
          <a:chOff x="3444240" y="7010400"/>
          <a:chExt cx="601980" cy="228600"/>
        </a:xfrm>
      </xdr:grpSpPr>
      <xdr:cxnSp macro="">
        <xdr:nvCxnSpPr>
          <xdr:cNvPr id="3914" name="Gerader Verbinder 3913">
            <a:extLst>
              <a:ext uri="{FF2B5EF4-FFF2-40B4-BE49-F238E27FC236}">
                <a16:creationId xmlns:a16="http://schemas.microsoft.com/office/drawing/2014/main" id="{902A2D24-19F2-5BC0-2094-20FC135B409D}"/>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15" name="Gerader Verbinder 3914">
            <a:extLst>
              <a:ext uri="{FF2B5EF4-FFF2-40B4-BE49-F238E27FC236}">
                <a16:creationId xmlns:a16="http://schemas.microsoft.com/office/drawing/2014/main" id="{D2380F1E-A80B-203C-E547-CD315970B44A}"/>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3925" name="Cross_F40">
          <a:extLst>
            <a:ext uri="{FF2B5EF4-FFF2-40B4-BE49-F238E27FC236}">
              <a16:creationId xmlns:a16="http://schemas.microsoft.com/office/drawing/2014/main" id="{48850EBC-4716-1825-3424-46A55B88B1F5}"/>
            </a:ext>
          </a:extLst>
        </xdr:cNvPr>
        <xdr:cNvGrpSpPr/>
      </xdr:nvGrpSpPr>
      <xdr:grpSpPr>
        <a:xfrm>
          <a:off x="3444240" y="3886200"/>
          <a:ext cx="601980" cy="228600"/>
          <a:chOff x="3444240" y="7574280"/>
          <a:chExt cx="601980" cy="228600"/>
        </a:xfrm>
      </xdr:grpSpPr>
      <xdr:cxnSp macro="">
        <xdr:nvCxnSpPr>
          <xdr:cNvPr id="3923" name="Gerader Verbinder 3922">
            <a:extLst>
              <a:ext uri="{FF2B5EF4-FFF2-40B4-BE49-F238E27FC236}">
                <a16:creationId xmlns:a16="http://schemas.microsoft.com/office/drawing/2014/main" id="{E8304AB8-AE8D-14B3-E3BC-84BCAB5166DE}"/>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24" name="Gerader Verbinder 3923">
            <a:extLst>
              <a:ext uri="{FF2B5EF4-FFF2-40B4-BE49-F238E27FC236}">
                <a16:creationId xmlns:a16="http://schemas.microsoft.com/office/drawing/2014/main" id="{BE7BB735-58EA-EA6F-8D4A-BE77B8905C33}"/>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3934" name="Cross_F43">
          <a:extLst>
            <a:ext uri="{FF2B5EF4-FFF2-40B4-BE49-F238E27FC236}">
              <a16:creationId xmlns:a16="http://schemas.microsoft.com/office/drawing/2014/main" id="{0771840A-8C69-29FD-1EED-3D7B4B213EB2}"/>
            </a:ext>
          </a:extLst>
        </xdr:cNvPr>
        <xdr:cNvGrpSpPr/>
      </xdr:nvGrpSpPr>
      <xdr:grpSpPr>
        <a:xfrm>
          <a:off x="3444240" y="4114800"/>
          <a:ext cx="601980" cy="228600"/>
          <a:chOff x="3444240" y="8138160"/>
          <a:chExt cx="601980" cy="228600"/>
        </a:xfrm>
      </xdr:grpSpPr>
      <xdr:cxnSp macro="">
        <xdr:nvCxnSpPr>
          <xdr:cNvPr id="3932" name="Gerader Verbinder 3931">
            <a:extLst>
              <a:ext uri="{FF2B5EF4-FFF2-40B4-BE49-F238E27FC236}">
                <a16:creationId xmlns:a16="http://schemas.microsoft.com/office/drawing/2014/main" id="{7A8B18CA-3849-2659-34E7-C28746B74C5F}"/>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33" name="Gerader Verbinder 3932">
            <a:extLst>
              <a:ext uri="{FF2B5EF4-FFF2-40B4-BE49-F238E27FC236}">
                <a16:creationId xmlns:a16="http://schemas.microsoft.com/office/drawing/2014/main" id="{43A492DD-9342-1C97-EE35-E8122B07186A}"/>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3943" name="Cross_F46">
          <a:extLst>
            <a:ext uri="{FF2B5EF4-FFF2-40B4-BE49-F238E27FC236}">
              <a16:creationId xmlns:a16="http://schemas.microsoft.com/office/drawing/2014/main" id="{C1DFCF26-9659-E6EA-9FC4-B84E9011FA05}"/>
            </a:ext>
          </a:extLst>
        </xdr:cNvPr>
        <xdr:cNvGrpSpPr/>
      </xdr:nvGrpSpPr>
      <xdr:grpSpPr>
        <a:xfrm>
          <a:off x="3444240" y="4343400"/>
          <a:ext cx="601980" cy="228600"/>
          <a:chOff x="3444240" y="8702040"/>
          <a:chExt cx="601980" cy="228600"/>
        </a:xfrm>
      </xdr:grpSpPr>
      <xdr:cxnSp macro="">
        <xdr:nvCxnSpPr>
          <xdr:cNvPr id="3941" name="Gerader Verbinder 3940">
            <a:extLst>
              <a:ext uri="{FF2B5EF4-FFF2-40B4-BE49-F238E27FC236}">
                <a16:creationId xmlns:a16="http://schemas.microsoft.com/office/drawing/2014/main" id="{711AF202-8275-1F4D-B18A-5B89F46861DE}"/>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42" name="Gerader Verbinder 3941">
            <a:extLst>
              <a:ext uri="{FF2B5EF4-FFF2-40B4-BE49-F238E27FC236}">
                <a16:creationId xmlns:a16="http://schemas.microsoft.com/office/drawing/2014/main" id="{A20A358E-368C-D78B-2499-420B1B499D63}"/>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3952" name="Cross_F55">
          <a:extLst>
            <a:ext uri="{FF2B5EF4-FFF2-40B4-BE49-F238E27FC236}">
              <a16:creationId xmlns:a16="http://schemas.microsoft.com/office/drawing/2014/main" id="{0E7D1158-32B9-5442-2BF9-55EF02D1895B}"/>
            </a:ext>
          </a:extLst>
        </xdr:cNvPr>
        <xdr:cNvGrpSpPr/>
      </xdr:nvGrpSpPr>
      <xdr:grpSpPr>
        <a:xfrm>
          <a:off x="3444240" y="5029200"/>
          <a:ext cx="601980" cy="228600"/>
          <a:chOff x="3444240" y="10393680"/>
          <a:chExt cx="601980" cy="228600"/>
        </a:xfrm>
      </xdr:grpSpPr>
      <xdr:cxnSp macro="">
        <xdr:nvCxnSpPr>
          <xdr:cNvPr id="3950" name="Gerader Verbinder 3949">
            <a:extLst>
              <a:ext uri="{FF2B5EF4-FFF2-40B4-BE49-F238E27FC236}">
                <a16:creationId xmlns:a16="http://schemas.microsoft.com/office/drawing/2014/main" id="{77641DAB-9BE4-36E2-2C4C-DFBC00E9C906}"/>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51" name="Gerader Verbinder 3950">
            <a:extLst>
              <a:ext uri="{FF2B5EF4-FFF2-40B4-BE49-F238E27FC236}">
                <a16:creationId xmlns:a16="http://schemas.microsoft.com/office/drawing/2014/main" id="{E7322B58-02D0-8F26-0B87-9DAB0C304AD0}"/>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3961" name="Cross_F58">
          <a:extLst>
            <a:ext uri="{FF2B5EF4-FFF2-40B4-BE49-F238E27FC236}">
              <a16:creationId xmlns:a16="http://schemas.microsoft.com/office/drawing/2014/main" id="{6DBDB314-6B0E-16E7-7DB9-8C9595ADEBFF}"/>
            </a:ext>
          </a:extLst>
        </xdr:cNvPr>
        <xdr:cNvGrpSpPr/>
      </xdr:nvGrpSpPr>
      <xdr:grpSpPr>
        <a:xfrm>
          <a:off x="3444240" y="5257800"/>
          <a:ext cx="601980" cy="228600"/>
          <a:chOff x="3444240" y="10957560"/>
          <a:chExt cx="601980" cy="228600"/>
        </a:xfrm>
      </xdr:grpSpPr>
      <xdr:cxnSp macro="">
        <xdr:nvCxnSpPr>
          <xdr:cNvPr id="3959" name="Gerader Verbinder 3958">
            <a:extLst>
              <a:ext uri="{FF2B5EF4-FFF2-40B4-BE49-F238E27FC236}">
                <a16:creationId xmlns:a16="http://schemas.microsoft.com/office/drawing/2014/main" id="{19E8D6A1-1669-933B-C0D9-CE0DE3ED3238}"/>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0" name="Gerader Verbinder 3959">
            <a:extLst>
              <a:ext uri="{FF2B5EF4-FFF2-40B4-BE49-F238E27FC236}">
                <a16:creationId xmlns:a16="http://schemas.microsoft.com/office/drawing/2014/main" id="{8E00B590-05E6-54A2-FDC9-B3B1BBA17A4B}"/>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3970" name="Cross_F61">
          <a:extLst>
            <a:ext uri="{FF2B5EF4-FFF2-40B4-BE49-F238E27FC236}">
              <a16:creationId xmlns:a16="http://schemas.microsoft.com/office/drawing/2014/main" id="{07CF7605-18E1-DF3B-1624-AD617C116DBB}"/>
            </a:ext>
          </a:extLst>
        </xdr:cNvPr>
        <xdr:cNvGrpSpPr/>
      </xdr:nvGrpSpPr>
      <xdr:grpSpPr>
        <a:xfrm>
          <a:off x="3444240" y="5486400"/>
          <a:ext cx="601980" cy="228600"/>
          <a:chOff x="3444240" y="11521440"/>
          <a:chExt cx="601980" cy="228600"/>
        </a:xfrm>
      </xdr:grpSpPr>
      <xdr:cxnSp macro="">
        <xdr:nvCxnSpPr>
          <xdr:cNvPr id="3968" name="Gerader Verbinder 3967">
            <a:extLst>
              <a:ext uri="{FF2B5EF4-FFF2-40B4-BE49-F238E27FC236}">
                <a16:creationId xmlns:a16="http://schemas.microsoft.com/office/drawing/2014/main" id="{58D9155A-C48F-03BF-B0ED-468364809493}"/>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9" name="Gerader Verbinder 3968">
            <a:extLst>
              <a:ext uri="{FF2B5EF4-FFF2-40B4-BE49-F238E27FC236}">
                <a16:creationId xmlns:a16="http://schemas.microsoft.com/office/drawing/2014/main" id="{69823EEE-0776-941F-66D5-2515CF0A3EC4}"/>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3979" name="Cross_F70">
          <a:extLst>
            <a:ext uri="{FF2B5EF4-FFF2-40B4-BE49-F238E27FC236}">
              <a16:creationId xmlns:a16="http://schemas.microsoft.com/office/drawing/2014/main" id="{C34B2CD5-94CC-5FDB-86BC-335812ECB0EB}"/>
            </a:ext>
          </a:extLst>
        </xdr:cNvPr>
        <xdr:cNvGrpSpPr/>
      </xdr:nvGrpSpPr>
      <xdr:grpSpPr>
        <a:xfrm>
          <a:off x="3444240" y="6172200"/>
          <a:ext cx="601980" cy="228600"/>
          <a:chOff x="3444240" y="13213080"/>
          <a:chExt cx="601980" cy="228600"/>
        </a:xfrm>
      </xdr:grpSpPr>
      <xdr:cxnSp macro="">
        <xdr:nvCxnSpPr>
          <xdr:cNvPr id="3977" name="Gerader Verbinder 3976">
            <a:extLst>
              <a:ext uri="{FF2B5EF4-FFF2-40B4-BE49-F238E27FC236}">
                <a16:creationId xmlns:a16="http://schemas.microsoft.com/office/drawing/2014/main" id="{94B72D7D-5A67-AA2F-9C9E-E1A54335F9BB}"/>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78" name="Gerader Verbinder 3977">
            <a:extLst>
              <a:ext uri="{FF2B5EF4-FFF2-40B4-BE49-F238E27FC236}">
                <a16:creationId xmlns:a16="http://schemas.microsoft.com/office/drawing/2014/main" id="{AD84CF35-BD2A-3258-3D75-14673A7D8E6A}"/>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28</xdr:row>
      <xdr:rowOff>1</xdr:rowOff>
    </xdr:to>
    <xdr:grpSp>
      <xdr:nvGrpSpPr>
        <xdr:cNvPr id="3985" name="Cross_F72">
          <a:extLst>
            <a:ext uri="{FF2B5EF4-FFF2-40B4-BE49-F238E27FC236}">
              <a16:creationId xmlns:a16="http://schemas.microsoft.com/office/drawing/2014/main" id="{04CAFA67-D82D-ECAD-58C0-ECE1144F5972}"/>
            </a:ext>
          </a:extLst>
        </xdr:cNvPr>
        <xdr:cNvGrpSpPr/>
      </xdr:nvGrpSpPr>
      <xdr:grpSpPr>
        <a:xfrm>
          <a:off x="3444240" y="6400800"/>
          <a:ext cx="601980" cy="1"/>
          <a:chOff x="3444240" y="13609320"/>
          <a:chExt cx="601980" cy="167641"/>
        </a:xfrm>
      </xdr:grpSpPr>
      <xdr:cxnSp macro="">
        <xdr:nvCxnSpPr>
          <xdr:cNvPr id="3983" name="Gerader Verbinder 3982">
            <a:extLst>
              <a:ext uri="{FF2B5EF4-FFF2-40B4-BE49-F238E27FC236}">
                <a16:creationId xmlns:a16="http://schemas.microsoft.com/office/drawing/2014/main" id="{D4C0F99A-5B63-9BBF-75D5-685610DFA251}"/>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84" name="Gerader Verbinder 3983">
            <a:extLst>
              <a:ext uri="{FF2B5EF4-FFF2-40B4-BE49-F238E27FC236}">
                <a16:creationId xmlns:a16="http://schemas.microsoft.com/office/drawing/2014/main" id="{5F600E39-7C34-D1EF-E3A5-D86B5E3929D0}"/>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1</xdr:rowOff>
    </xdr:from>
    <xdr:to>
      <xdr:col>6</xdr:col>
      <xdr:colOff>0</xdr:colOff>
      <xdr:row>29</xdr:row>
      <xdr:rowOff>0</xdr:rowOff>
    </xdr:to>
    <xdr:grpSp>
      <xdr:nvGrpSpPr>
        <xdr:cNvPr id="3988" name="Cross_F73">
          <a:extLst>
            <a:ext uri="{FF2B5EF4-FFF2-40B4-BE49-F238E27FC236}">
              <a16:creationId xmlns:a16="http://schemas.microsoft.com/office/drawing/2014/main" id="{2E6665A7-6A51-F8AF-0AC2-5C25ED927612}"/>
            </a:ext>
          </a:extLst>
        </xdr:cNvPr>
        <xdr:cNvGrpSpPr/>
      </xdr:nvGrpSpPr>
      <xdr:grpSpPr>
        <a:xfrm>
          <a:off x="3444240" y="6400801"/>
          <a:ext cx="601980" cy="228599"/>
          <a:chOff x="3444240" y="13776961"/>
          <a:chExt cx="601980" cy="228600"/>
        </a:xfrm>
      </xdr:grpSpPr>
      <xdr:cxnSp macro="">
        <xdr:nvCxnSpPr>
          <xdr:cNvPr id="3986" name="Gerader Verbinder 3985">
            <a:extLst>
              <a:ext uri="{FF2B5EF4-FFF2-40B4-BE49-F238E27FC236}">
                <a16:creationId xmlns:a16="http://schemas.microsoft.com/office/drawing/2014/main" id="{3D904770-7A3F-A0F5-5E96-187A4E0E70C9}"/>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87" name="Gerader Verbinder 3986">
            <a:extLst>
              <a:ext uri="{FF2B5EF4-FFF2-40B4-BE49-F238E27FC236}">
                <a16:creationId xmlns:a16="http://schemas.microsoft.com/office/drawing/2014/main" id="{7BAFD929-D348-3CC3-2CBA-C239CA0FFA8C}"/>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3997" name="Cross_G7">
          <a:extLst>
            <a:ext uri="{FF2B5EF4-FFF2-40B4-BE49-F238E27FC236}">
              <a16:creationId xmlns:a16="http://schemas.microsoft.com/office/drawing/2014/main" id="{B3898397-2187-F372-C595-6E881E3D4A74}"/>
            </a:ext>
          </a:extLst>
        </xdr:cNvPr>
        <xdr:cNvGrpSpPr/>
      </xdr:nvGrpSpPr>
      <xdr:grpSpPr>
        <a:xfrm>
          <a:off x="4046220" y="1371600"/>
          <a:ext cx="601980" cy="228600"/>
          <a:chOff x="4046220" y="1371600"/>
          <a:chExt cx="601980" cy="228600"/>
        </a:xfrm>
      </xdr:grpSpPr>
      <xdr:cxnSp macro="">
        <xdr:nvCxnSpPr>
          <xdr:cNvPr id="3995" name="Gerader Verbinder 3994">
            <a:extLst>
              <a:ext uri="{FF2B5EF4-FFF2-40B4-BE49-F238E27FC236}">
                <a16:creationId xmlns:a16="http://schemas.microsoft.com/office/drawing/2014/main" id="{11C72BB7-6F2D-261E-0C59-B6F65DA424D3}"/>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96" name="Gerader Verbinder 3995">
            <a:extLst>
              <a:ext uri="{FF2B5EF4-FFF2-40B4-BE49-F238E27FC236}">
                <a16:creationId xmlns:a16="http://schemas.microsoft.com/office/drawing/2014/main" id="{D6FE3F83-B421-093F-3FFA-845ABFA9317B}"/>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4006" name="Cross_G16">
          <a:extLst>
            <a:ext uri="{FF2B5EF4-FFF2-40B4-BE49-F238E27FC236}">
              <a16:creationId xmlns:a16="http://schemas.microsoft.com/office/drawing/2014/main" id="{D68C9135-5CE3-36C5-F7E7-8ED06F50A09D}"/>
            </a:ext>
          </a:extLst>
        </xdr:cNvPr>
        <xdr:cNvGrpSpPr/>
      </xdr:nvGrpSpPr>
      <xdr:grpSpPr>
        <a:xfrm>
          <a:off x="4046220" y="2057400"/>
          <a:ext cx="601980" cy="228600"/>
          <a:chOff x="4046220" y="3063240"/>
          <a:chExt cx="601980" cy="228600"/>
        </a:xfrm>
      </xdr:grpSpPr>
      <xdr:cxnSp macro="">
        <xdr:nvCxnSpPr>
          <xdr:cNvPr id="4004" name="Gerader Verbinder 4003">
            <a:extLst>
              <a:ext uri="{FF2B5EF4-FFF2-40B4-BE49-F238E27FC236}">
                <a16:creationId xmlns:a16="http://schemas.microsoft.com/office/drawing/2014/main" id="{73BC5EB0-B601-6EEE-C8D7-D41B8796CC6E}"/>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05" name="Gerader Verbinder 4004">
            <a:extLst>
              <a:ext uri="{FF2B5EF4-FFF2-40B4-BE49-F238E27FC236}">
                <a16:creationId xmlns:a16="http://schemas.microsoft.com/office/drawing/2014/main" id="{B5ED096E-DAD4-5177-8AB5-2164C0596015}"/>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4015" name="Cross_G25">
          <a:extLst>
            <a:ext uri="{FF2B5EF4-FFF2-40B4-BE49-F238E27FC236}">
              <a16:creationId xmlns:a16="http://schemas.microsoft.com/office/drawing/2014/main" id="{ED66327E-EB32-51B5-8775-22A2389E598C}"/>
            </a:ext>
          </a:extLst>
        </xdr:cNvPr>
        <xdr:cNvGrpSpPr/>
      </xdr:nvGrpSpPr>
      <xdr:grpSpPr>
        <a:xfrm>
          <a:off x="4046220" y="2743200"/>
          <a:ext cx="601980" cy="228600"/>
          <a:chOff x="4046220" y="4754880"/>
          <a:chExt cx="601980" cy="228600"/>
        </a:xfrm>
      </xdr:grpSpPr>
      <xdr:cxnSp macro="">
        <xdr:nvCxnSpPr>
          <xdr:cNvPr id="4013" name="Gerader Verbinder 4012">
            <a:extLst>
              <a:ext uri="{FF2B5EF4-FFF2-40B4-BE49-F238E27FC236}">
                <a16:creationId xmlns:a16="http://schemas.microsoft.com/office/drawing/2014/main" id="{2B5A110D-B2D4-B359-D2D5-918D71F04AA2}"/>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14" name="Gerader Verbinder 4013">
            <a:extLst>
              <a:ext uri="{FF2B5EF4-FFF2-40B4-BE49-F238E27FC236}">
                <a16:creationId xmlns:a16="http://schemas.microsoft.com/office/drawing/2014/main" id="{2311C951-98B0-ACC7-1ABC-DD513FD62EF8}"/>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4024" name="Cross_G31">
          <a:extLst>
            <a:ext uri="{FF2B5EF4-FFF2-40B4-BE49-F238E27FC236}">
              <a16:creationId xmlns:a16="http://schemas.microsoft.com/office/drawing/2014/main" id="{8BB76441-7345-70FA-78BA-2DEDDB62DA08}"/>
            </a:ext>
          </a:extLst>
        </xdr:cNvPr>
        <xdr:cNvGrpSpPr/>
      </xdr:nvGrpSpPr>
      <xdr:grpSpPr>
        <a:xfrm>
          <a:off x="4046220" y="3200400"/>
          <a:ext cx="601980" cy="228600"/>
          <a:chOff x="4046220" y="5882640"/>
          <a:chExt cx="601980" cy="228600"/>
        </a:xfrm>
      </xdr:grpSpPr>
      <xdr:cxnSp macro="">
        <xdr:nvCxnSpPr>
          <xdr:cNvPr id="4022" name="Gerader Verbinder 4021">
            <a:extLst>
              <a:ext uri="{FF2B5EF4-FFF2-40B4-BE49-F238E27FC236}">
                <a16:creationId xmlns:a16="http://schemas.microsoft.com/office/drawing/2014/main" id="{6CD983B5-0243-E8A8-05A5-7FD623DD7F2D}"/>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23" name="Gerader Verbinder 4022">
            <a:extLst>
              <a:ext uri="{FF2B5EF4-FFF2-40B4-BE49-F238E27FC236}">
                <a16:creationId xmlns:a16="http://schemas.microsoft.com/office/drawing/2014/main" id="{13ED07CC-4116-DAB0-4A6F-FF305E225950}"/>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4033" name="Cross_G43">
          <a:extLst>
            <a:ext uri="{FF2B5EF4-FFF2-40B4-BE49-F238E27FC236}">
              <a16:creationId xmlns:a16="http://schemas.microsoft.com/office/drawing/2014/main" id="{574F65C8-36FB-87CA-D962-625A68561D69}"/>
            </a:ext>
          </a:extLst>
        </xdr:cNvPr>
        <xdr:cNvGrpSpPr/>
      </xdr:nvGrpSpPr>
      <xdr:grpSpPr>
        <a:xfrm>
          <a:off x="4046220" y="4114800"/>
          <a:ext cx="601980" cy="228600"/>
          <a:chOff x="4046220" y="8138160"/>
          <a:chExt cx="601980" cy="228600"/>
        </a:xfrm>
      </xdr:grpSpPr>
      <xdr:cxnSp macro="">
        <xdr:nvCxnSpPr>
          <xdr:cNvPr id="4031" name="Gerader Verbinder 4030">
            <a:extLst>
              <a:ext uri="{FF2B5EF4-FFF2-40B4-BE49-F238E27FC236}">
                <a16:creationId xmlns:a16="http://schemas.microsoft.com/office/drawing/2014/main" id="{9D027AEB-D07E-BBD1-DDBC-528F8C17CB8A}"/>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32" name="Gerader Verbinder 4031">
            <a:extLst>
              <a:ext uri="{FF2B5EF4-FFF2-40B4-BE49-F238E27FC236}">
                <a16:creationId xmlns:a16="http://schemas.microsoft.com/office/drawing/2014/main" id="{0E7314BB-9142-937C-E074-72CDD2994A87}"/>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4042" name="Cross_G49">
          <a:extLst>
            <a:ext uri="{FF2B5EF4-FFF2-40B4-BE49-F238E27FC236}">
              <a16:creationId xmlns:a16="http://schemas.microsoft.com/office/drawing/2014/main" id="{01EBD41F-F996-B414-D115-5FC55B17399F}"/>
            </a:ext>
          </a:extLst>
        </xdr:cNvPr>
        <xdr:cNvGrpSpPr/>
      </xdr:nvGrpSpPr>
      <xdr:grpSpPr>
        <a:xfrm>
          <a:off x="4046220" y="4572000"/>
          <a:ext cx="601980" cy="228600"/>
          <a:chOff x="4046220" y="9265920"/>
          <a:chExt cx="601980" cy="228600"/>
        </a:xfrm>
      </xdr:grpSpPr>
      <xdr:cxnSp macro="">
        <xdr:nvCxnSpPr>
          <xdr:cNvPr id="4040" name="Gerader Verbinder 4039">
            <a:extLst>
              <a:ext uri="{FF2B5EF4-FFF2-40B4-BE49-F238E27FC236}">
                <a16:creationId xmlns:a16="http://schemas.microsoft.com/office/drawing/2014/main" id="{CE05B451-128D-978E-A79C-BC6C529CD90B}"/>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41" name="Gerader Verbinder 4040">
            <a:extLst>
              <a:ext uri="{FF2B5EF4-FFF2-40B4-BE49-F238E27FC236}">
                <a16:creationId xmlns:a16="http://schemas.microsoft.com/office/drawing/2014/main" id="{86AF5ABE-4760-52DB-3121-FC5745E36904}"/>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4051" name="Cross_G64">
          <a:extLst>
            <a:ext uri="{FF2B5EF4-FFF2-40B4-BE49-F238E27FC236}">
              <a16:creationId xmlns:a16="http://schemas.microsoft.com/office/drawing/2014/main" id="{42E83DD1-A821-B6AC-AEAA-D8C9E262CF90}"/>
            </a:ext>
          </a:extLst>
        </xdr:cNvPr>
        <xdr:cNvGrpSpPr/>
      </xdr:nvGrpSpPr>
      <xdr:grpSpPr>
        <a:xfrm>
          <a:off x="4046220" y="5715000"/>
          <a:ext cx="601980" cy="228600"/>
          <a:chOff x="4046220" y="12085320"/>
          <a:chExt cx="601980" cy="228600"/>
        </a:xfrm>
      </xdr:grpSpPr>
      <xdr:cxnSp macro="">
        <xdr:nvCxnSpPr>
          <xdr:cNvPr id="4049" name="Gerader Verbinder 4048">
            <a:extLst>
              <a:ext uri="{FF2B5EF4-FFF2-40B4-BE49-F238E27FC236}">
                <a16:creationId xmlns:a16="http://schemas.microsoft.com/office/drawing/2014/main" id="{5B994D3A-B9A9-A8B3-B1BF-35248095402B}"/>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0" name="Gerader Verbinder 4049">
            <a:extLst>
              <a:ext uri="{FF2B5EF4-FFF2-40B4-BE49-F238E27FC236}">
                <a16:creationId xmlns:a16="http://schemas.microsoft.com/office/drawing/2014/main" id="{CED67869-9DAD-6514-1C6F-E4DA204AC386}"/>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4060" name="Cross_G67">
          <a:extLst>
            <a:ext uri="{FF2B5EF4-FFF2-40B4-BE49-F238E27FC236}">
              <a16:creationId xmlns:a16="http://schemas.microsoft.com/office/drawing/2014/main" id="{AA314AF1-7EFC-303A-780E-D26FC0CB7C52}"/>
            </a:ext>
          </a:extLst>
        </xdr:cNvPr>
        <xdr:cNvGrpSpPr/>
      </xdr:nvGrpSpPr>
      <xdr:grpSpPr>
        <a:xfrm>
          <a:off x="4046220" y="5943600"/>
          <a:ext cx="601980" cy="228600"/>
          <a:chOff x="4046220" y="12649200"/>
          <a:chExt cx="601980" cy="228600"/>
        </a:xfrm>
      </xdr:grpSpPr>
      <xdr:cxnSp macro="">
        <xdr:nvCxnSpPr>
          <xdr:cNvPr id="4058" name="Gerader Verbinder 4057">
            <a:extLst>
              <a:ext uri="{FF2B5EF4-FFF2-40B4-BE49-F238E27FC236}">
                <a16:creationId xmlns:a16="http://schemas.microsoft.com/office/drawing/2014/main" id="{DE4572FD-E38E-35B2-C342-1071A8BAE603}"/>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9" name="Gerader Verbinder 4058">
            <a:extLst>
              <a:ext uri="{FF2B5EF4-FFF2-40B4-BE49-F238E27FC236}">
                <a16:creationId xmlns:a16="http://schemas.microsoft.com/office/drawing/2014/main" id="{C8B16891-9550-7544-246C-F2F121C45481}"/>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4069" name="Cross_G70">
          <a:extLst>
            <a:ext uri="{FF2B5EF4-FFF2-40B4-BE49-F238E27FC236}">
              <a16:creationId xmlns:a16="http://schemas.microsoft.com/office/drawing/2014/main" id="{DAA43766-D49E-3850-D522-CE9E65151C88}"/>
            </a:ext>
          </a:extLst>
        </xdr:cNvPr>
        <xdr:cNvGrpSpPr/>
      </xdr:nvGrpSpPr>
      <xdr:grpSpPr>
        <a:xfrm>
          <a:off x="4046220" y="6172200"/>
          <a:ext cx="601980" cy="228600"/>
          <a:chOff x="4046220" y="13213080"/>
          <a:chExt cx="601980" cy="228600"/>
        </a:xfrm>
      </xdr:grpSpPr>
      <xdr:cxnSp macro="">
        <xdr:nvCxnSpPr>
          <xdr:cNvPr id="4067" name="Gerader Verbinder 4066">
            <a:extLst>
              <a:ext uri="{FF2B5EF4-FFF2-40B4-BE49-F238E27FC236}">
                <a16:creationId xmlns:a16="http://schemas.microsoft.com/office/drawing/2014/main" id="{E5A5BC54-6B59-00E4-DA0C-C993B4B8DC08}"/>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68" name="Gerader Verbinder 4067">
            <a:extLst>
              <a:ext uri="{FF2B5EF4-FFF2-40B4-BE49-F238E27FC236}">
                <a16:creationId xmlns:a16="http://schemas.microsoft.com/office/drawing/2014/main" id="{21DECB4D-9D7A-3B02-C645-2C1A71DB7650}"/>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28</xdr:row>
      <xdr:rowOff>0</xdr:rowOff>
    </xdr:from>
    <xdr:to>
      <xdr:col>7</xdr:col>
      <xdr:colOff>0</xdr:colOff>
      <xdr:row>28</xdr:row>
      <xdr:rowOff>1</xdr:rowOff>
    </xdr:to>
    <xdr:grpSp>
      <xdr:nvGrpSpPr>
        <xdr:cNvPr id="4075" name="Cross_G72">
          <a:extLst>
            <a:ext uri="{FF2B5EF4-FFF2-40B4-BE49-F238E27FC236}">
              <a16:creationId xmlns:a16="http://schemas.microsoft.com/office/drawing/2014/main" id="{1A913467-D84C-1E38-AF2F-477271A5CD25}"/>
            </a:ext>
          </a:extLst>
        </xdr:cNvPr>
        <xdr:cNvGrpSpPr/>
      </xdr:nvGrpSpPr>
      <xdr:grpSpPr>
        <a:xfrm>
          <a:off x="4046220" y="6400800"/>
          <a:ext cx="601980" cy="1"/>
          <a:chOff x="4046220" y="13609320"/>
          <a:chExt cx="601980" cy="167641"/>
        </a:xfrm>
      </xdr:grpSpPr>
      <xdr:cxnSp macro="">
        <xdr:nvCxnSpPr>
          <xdr:cNvPr id="4073" name="Gerader Verbinder 4072">
            <a:extLst>
              <a:ext uri="{FF2B5EF4-FFF2-40B4-BE49-F238E27FC236}">
                <a16:creationId xmlns:a16="http://schemas.microsoft.com/office/drawing/2014/main" id="{FE63391D-B169-3E3C-8345-72ED935E1B6E}"/>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74" name="Gerader Verbinder 4073">
            <a:extLst>
              <a:ext uri="{FF2B5EF4-FFF2-40B4-BE49-F238E27FC236}">
                <a16:creationId xmlns:a16="http://schemas.microsoft.com/office/drawing/2014/main" id="{59763F10-D8D3-130F-D183-6AAF060229B4}"/>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4078" name="Cross_H7">
          <a:extLst>
            <a:ext uri="{FF2B5EF4-FFF2-40B4-BE49-F238E27FC236}">
              <a16:creationId xmlns:a16="http://schemas.microsoft.com/office/drawing/2014/main" id="{13F141FF-3C1D-3E27-8CEE-4D12C8B05E62}"/>
            </a:ext>
          </a:extLst>
        </xdr:cNvPr>
        <xdr:cNvGrpSpPr/>
      </xdr:nvGrpSpPr>
      <xdr:grpSpPr>
        <a:xfrm>
          <a:off x="4648200" y="1371600"/>
          <a:ext cx="601980" cy="228600"/>
          <a:chOff x="4648200" y="1371600"/>
          <a:chExt cx="601980" cy="228600"/>
        </a:xfrm>
      </xdr:grpSpPr>
      <xdr:cxnSp macro="">
        <xdr:nvCxnSpPr>
          <xdr:cNvPr id="4076" name="Gerader Verbinder 4075">
            <a:extLst>
              <a:ext uri="{FF2B5EF4-FFF2-40B4-BE49-F238E27FC236}">
                <a16:creationId xmlns:a16="http://schemas.microsoft.com/office/drawing/2014/main" id="{4EB9ECFA-539D-1460-7C0D-5EA1A4E8A97B}"/>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77" name="Gerader Verbinder 4076">
            <a:extLst>
              <a:ext uri="{FF2B5EF4-FFF2-40B4-BE49-F238E27FC236}">
                <a16:creationId xmlns:a16="http://schemas.microsoft.com/office/drawing/2014/main" id="{0FA46F39-E271-103F-1D07-694E80D497BE}"/>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4087" name="Cross_H10">
          <a:extLst>
            <a:ext uri="{FF2B5EF4-FFF2-40B4-BE49-F238E27FC236}">
              <a16:creationId xmlns:a16="http://schemas.microsoft.com/office/drawing/2014/main" id="{F268C143-7F79-B6C7-7A48-6F5DC04EC8FA}"/>
            </a:ext>
          </a:extLst>
        </xdr:cNvPr>
        <xdr:cNvGrpSpPr/>
      </xdr:nvGrpSpPr>
      <xdr:grpSpPr>
        <a:xfrm>
          <a:off x="4648200" y="1600200"/>
          <a:ext cx="601980" cy="228600"/>
          <a:chOff x="4648200" y="1935480"/>
          <a:chExt cx="601980" cy="228600"/>
        </a:xfrm>
      </xdr:grpSpPr>
      <xdr:cxnSp macro="">
        <xdr:nvCxnSpPr>
          <xdr:cNvPr id="4085" name="Gerader Verbinder 4084">
            <a:extLst>
              <a:ext uri="{FF2B5EF4-FFF2-40B4-BE49-F238E27FC236}">
                <a16:creationId xmlns:a16="http://schemas.microsoft.com/office/drawing/2014/main" id="{8F53D059-8561-B108-35AD-8DA45BE3D659}"/>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86" name="Gerader Verbinder 4085">
            <a:extLst>
              <a:ext uri="{FF2B5EF4-FFF2-40B4-BE49-F238E27FC236}">
                <a16:creationId xmlns:a16="http://schemas.microsoft.com/office/drawing/2014/main" id="{0B74E318-C1BC-FFC2-D18F-05151E7D3503}"/>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4096" name="Cross_H16">
          <a:extLst>
            <a:ext uri="{FF2B5EF4-FFF2-40B4-BE49-F238E27FC236}">
              <a16:creationId xmlns:a16="http://schemas.microsoft.com/office/drawing/2014/main" id="{32F4F0F0-74EF-1F23-3CB4-32A76A60647A}"/>
            </a:ext>
          </a:extLst>
        </xdr:cNvPr>
        <xdr:cNvGrpSpPr/>
      </xdr:nvGrpSpPr>
      <xdr:grpSpPr>
        <a:xfrm>
          <a:off x="4648200" y="2057400"/>
          <a:ext cx="601980" cy="228600"/>
          <a:chOff x="4648200" y="3063240"/>
          <a:chExt cx="601980" cy="228600"/>
        </a:xfrm>
      </xdr:grpSpPr>
      <xdr:cxnSp macro="">
        <xdr:nvCxnSpPr>
          <xdr:cNvPr id="4094" name="Gerader Verbinder 4093">
            <a:extLst>
              <a:ext uri="{FF2B5EF4-FFF2-40B4-BE49-F238E27FC236}">
                <a16:creationId xmlns:a16="http://schemas.microsoft.com/office/drawing/2014/main" id="{47D7AEEF-99B8-DAE8-FB14-D288827B5F4F}"/>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95" name="Gerader Verbinder 4094">
            <a:extLst>
              <a:ext uri="{FF2B5EF4-FFF2-40B4-BE49-F238E27FC236}">
                <a16:creationId xmlns:a16="http://schemas.microsoft.com/office/drawing/2014/main" id="{1A369917-6093-3CFC-1A33-8507D2E19672}"/>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4105" name="Cross_H19">
          <a:extLst>
            <a:ext uri="{FF2B5EF4-FFF2-40B4-BE49-F238E27FC236}">
              <a16:creationId xmlns:a16="http://schemas.microsoft.com/office/drawing/2014/main" id="{6706C46C-3ABD-1474-D6D6-6153E83E7CBA}"/>
            </a:ext>
          </a:extLst>
        </xdr:cNvPr>
        <xdr:cNvGrpSpPr/>
      </xdr:nvGrpSpPr>
      <xdr:grpSpPr>
        <a:xfrm>
          <a:off x="4648200" y="2286000"/>
          <a:ext cx="601980" cy="228600"/>
          <a:chOff x="4648200" y="3627120"/>
          <a:chExt cx="601980" cy="228600"/>
        </a:xfrm>
      </xdr:grpSpPr>
      <xdr:cxnSp macro="">
        <xdr:nvCxnSpPr>
          <xdr:cNvPr id="4103" name="Gerader Verbinder 4102">
            <a:extLst>
              <a:ext uri="{FF2B5EF4-FFF2-40B4-BE49-F238E27FC236}">
                <a16:creationId xmlns:a16="http://schemas.microsoft.com/office/drawing/2014/main" id="{BCB3770C-A78E-47F6-2EB1-798FF4A0E880}"/>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04" name="Gerader Verbinder 4103">
            <a:extLst>
              <a:ext uri="{FF2B5EF4-FFF2-40B4-BE49-F238E27FC236}">
                <a16:creationId xmlns:a16="http://schemas.microsoft.com/office/drawing/2014/main" id="{96749CDD-209D-5B67-EF59-3D5225129DA5}"/>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4114" name="Cross_H22">
          <a:extLst>
            <a:ext uri="{FF2B5EF4-FFF2-40B4-BE49-F238E27FC236}">
              <a16:creationId xmlns:a16="http://schemas.microsoft.com/office/drawing/2014/main" id="{41F0E7AF-0110-3A29-3258-B8800CF95F8B}"/>
            </a:ext>
          </a:extLst>
        </xdr:cNvPr>
        <xdr:cNvGrpSpPr/>
      </xdr:nvGrpSpPr>
      <xdr:grpSpPr>
        <a:xfrm>
          <a:off x="4648200" y="2514600"/>
          <a:ext cx="601980" cy="228600"/>
          <a:chOff x="4648200" y="4191000"/>
          <a:chExt cx="601980" cy="228600"/>
        </a:xfrm>
      </xdr:grpSpPr>
      <xdr:cxnSp macro="">
        <xdr:nvCxnSpPr>
          <xdr:cNvPr id="4112" name="Gerader Verbinder 4111">
            <a:extLst>
              <a:ext uri="{FF2B5EF4-FFF2-40B4-BE49-F238E27FC236}">
                <a16:creationId xmlns:a16="http://schemas.microsoft.com/office/drawing/2014/main" id="{966CDB6E-5A7B-ED3B-A741-08F559235B8A}"/>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3" name="Gerader Verbinder 4112">
            <a:extLst>
              <a:ext uri="{FF2B5EF4-FFF2-40B4-BE49-F238E27FC236}">
                <a16:creationId xmlns:a16="http://schemas.microsoft.com/office/drawing/2014/main" id="{024A29C3-3F7F-8ADA-4FD5-17C1B2A708A7}"/>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4123" name="Cross_H31">
          <a:extLst>
            <a:ext uri="{FF2B5EF4-FFF2-40B4-BE49-F238E27FC236}">
              <a16:creationId xmlns:a16="http://schemas.microsoft.com/office/drawing/2014/main" id="{9226552D-CBD7-DB88-BF43-D851DC77BC98}"/>
            </a:ext>
          </a:extLst>
        </xdr:cNvPr>
        <xdr:cNvGrpSpPr/>
      </xdr:nvGrpSpPr>
      <xdr:grpSpPr>
        <a:xfrm>
          <a:off x="4648200" y="3200400"/>
          <a:ext cx="601980" cy="228600"/>
          <a:chOff x="4648200" y="5882640"/>
          <a:chExt cx="601980" cy="228600"/>
        </a:xfrm>
      </xdr:grpSpPr>
      <xdr:cxnSp macro="">
        <xdr:nvCxnSpPr>
          <xdr:cNvPr id="4121" name="Gerader Verbinder 4120">
            <a:extLst>
              <a:ext uri="{FF2B5EF4-FFF2-40B4-BE49-F238E27FC236}">
                <a16:creationId xmlns:a16="http://schemas.microsoft.com/office/drawing/2014/main" id="{924A2491-8025-80A4-5C12-856B88BDA3F7}"/>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22" name="Gerader Verbinder 4121">
            <a:extLst>
              <a:ext uri="{FF2B5EF4-FFF2-40B4-BE49-F238E27FC236}">
                <a16:creationId xmlns:a16="http://schemas.microsoft.com/office/drawing/2014/main" id="{5D8FBA09-0F13-66E8-5EA1-74E97CD90906}"/>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4132" name="Cross_H34">
          <a:extLst>
            <a:ext uri="{FF2B5EF4-FFF2-40B4-BE49-F238E27FC236}">
              <a16:creationId xmlns:a16="http://schemas.microsoft.com/office/drawing/2014/main" id="{66254044-433E-B4F4-8A54-600016E12890}"/>
            </a:ext>
          </a:extLst>
        </xdr:cNvPr>
        <xdr:cNvGrpSpPr/>
      </xdr:nvGrpSpPr>
      <xdr:grpSpPr>
        <a:xfrm>
          <a:off x="4648200" y="3429000"/>
          <a:ext cx="601980" cy="228600"/>
          <a:chOff x="4648200" y="6446520"/>
          <a:chExt cx="601980" cy="228600"/>
        </a:xfrm>
      </xdr:grpSpPr>
      <xdr:cxnSp macro="">
        <xdr:nvCxnSpPr>
          <xdr:cNvPr id="4130" name="Gerader Verbinder 4129">
            <a:extLst>
              <a:ext uri="{FF2B5EF4-FFF2-40B4-BE49-F238E27FC236}">
                <a16:creationId xmlns:a16="http://schemas.microsoft.com/office/drawing/2014/main" id="{14241C60-F279-FA4E-E262-556325B5F41C}"/>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31" name="Gerader Verbinder 4130">
            <a:extLst>
              <a:ext uri="{FF2B5EF4-FFF2-40B4-BE49-F238E27FC236}">
                <a16:creationId xmlns:a16="http://schemas.microsoft.com/office/drawing/2014/main" id="{C18A31FC-88B2-C0A1-A259-D913B385DAE1}"/>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4141" name="Cross_H37">
          <a:extLst>
            <a:ext uri="{FF2B5EF4-FFF2-40B4-BE49-F238E27FC236}">
              <a16:creationId xmlns:a16="http://schemas.microsoft.com/office/drawing/2014/main" id="{AC590CCC-1A40-0E5A-C2E4-D9F942C48E4B}"/>
            </a:ext>
          </a:extLst>
        </xdr:cNvPr>
        <xdr:cNvGrpSpPr/>
      </xdr:nvGrpSpPr>
      <xdr:grpSpPr>
        <a:xfrm>
          <a:off x="4648200" y="3657600"/>
          <a:ext cx="601980" cy="228600"/>
          <a:chOff x="4648200" y="7010400"/>
          <a:chExt cx="601980" cy="228600"/>
        </a:xfrm>
      </xdr:grpSpPr>
      <xdr:cxnSp macro="">
        <xdr:nvCxnSpPr>
          <xdr:cNvPr id="4139" name="Gerader Verbinder 4138">
            <a:extLst>
              <a:ext uri="{FF2B5EF4-FFF2-40B4-BE49-F238E27FC236}">
                <a16:creationId xmlns:a16="http://schemas.microsoft.com/office/drawing/2014/main" id="{493BAF95-581C-E6EE-C764-395DC4FCE54B}"/>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0" name="Gerader Verbinder 4139">
            <a:extLst>
              <a:ext uri="{FF2B5EF4-FFF2-40B4-BE49-F238E27FC236}">
                <a16:creationId xmlns:a16="http://schemas.microsoft.com/office/drawing/2014/main" id="{DBB023D4-B64D-9696-1BE0-C8B7C3EB6477}"/>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4150" name="Cross_H40">
          <a:extLst>
            <a:ext uri="{FF2B5EF4-FFF2-40B4-BE49-F238E27FC236}">
              <a16:creationId xmlns:a16="http://schemas.microsoft.com/office/drawing/2014/main" id="{BF452268-1FA6-E3DF-C2A5-9B8996EFE591}"/>
            </a:ext>
          </a:extLst>
        </xdr:cNvPr>
        <xdr:cNvGrpSpPr/>
      </xdr:nvGrpSpPr>
      <xdr:grpSpPr>
        <a:xfrm>
          <a:off x="4648200" y="3886200"/>
          <a:ext cx="601980" cy="228600"/>
          <a:chOff x="4648200" y="7574280"/>
          <a:chExt cx="601980" cy="228600"/>
        </a:xfrm>
      </xdr:grpSpPr>
      <xdr:cxnSp macro="">
        <xdr:nvCxnSpPr>
          <xdr:cNvPr id="4148" name="Gerader Verbinder 4147">
            <a:extLst>
              <a:ext uri="{FF2B5EF4-FFF2-40B4-BE49-F238E27FC236}">
                <a16:creationId xmlns:a16="http://schemas.microsoft.com/office/drawing/2014/main" id="{5152D498-F6B9-99F9-C812-67D3E2F3486A}"/>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9" name="Gerader Verbinder 4148">
            <a:extLst>
              <a:ext uri="{FF2B5EF4-FFF2-40B4-BE49-F238E27FC236}">
                <a16:creationId xmlns:a16="http://schemas.microsoft.com/office/drawing/2014/main" id="{24455E0A-A695-2305-D469-7C6CED3CD932}"/>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4159" name="Cross_H52">
          <a:extLst>
            <a:ext uri="{FF2B5EF4-FFF2-40B4-BE49-F238E27FC236}">
              <a16:creationId xmlns:a16="http://schemas.microsoft.com/office/drawing/2014/main" id="{78B21602-EC4E-449F-AA1A-F06A3926787D}"/>
            </a:ext>
          </a:extLst>
        </xdr:cNvPr>
        <xdr:cNvGrpSpPr/>
      </xdr:nvGrpSpPr>
      <xdr:grpSpPr>
        <a:xfrm>
          <a:off x="4648200" y="4800600"/>
          <a:ext cx="601980" cy="228600"/>
          <a:chOff x="4648200" y="9829800"/>
          <a:chExt cx="601980" cy="228600"/>
        </a:xfrm>
      </xdr:grpSpPr>
      <xdr:cxnSp macro="">
        <xdr:nvCxnSpPr>
          <xdr:cNvPr id="4157" name="Gerader Verbinder 4156">
            <a:extLst>
              <a:ext uri="{FF2B5EF4-FFF2-40B4-BE49-F238E27FC236}">
                <a16:creationId xmlns:a16="http://schemas.microsoft.com/office/drawing/2014/main" id="{2C8B9743-76EE-8F0B-EB3F-CE67DA3520E8}"/>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58" name="Gerader Verbinder 4157">
            <a:extLst>
              <a:ext uri="{FF2B5EF4-FFF2-40B4-BE49-F238E27FC236}">
                <a16:creationId xmlns:a16="http://schemas.microsoft.com/office/drawing/2014/main" id="{72E07ED2-8D6F-9FE3-53DE-38CA1C29722B}"/>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4168" name="Cross_H55">
          <a:extLst>
            <a:ext uri="{FF2B5EF4-FFF2-40B4-BE49-F238E27FC236}">
              <a16:creationId xmlns:a16="http://schemas.microsoft.com/office/drawing/2014/main" id="{BFB6B29D-8543-2EDF-9DA8-745C3D18B33E}"/>
            </a:ext>
          </a:extLst>
        </xdr:cNvPr>
        <xdr:cNvGrpSpPr/>
      </xdr:nvGrpSpPr>
      <xdr:grpSpPr>
        <a:xfrm>
          <a:off x="4648200" y="5029200"/>
          <a:ext cx="601980" cy="228600"/>
          <a:chOff x="4648200" y="10393680"/>
          <a:chExt cx="601980" cy="228600"/>
        </a:xfrm>
      </xdr:grpSpPr>
      <xdr:cxnSp macro="">
        <xdr:nvCxnSpPr>
          <xdr:cNvPr id="4166" name="Gerader Verbinder 4165">
            <a:extLst>
              <a:ext uri="{FF2B5EF4-FFF2-40B4-BE49-F238E27FC236}">
                <a16:creationId xmlns:a16="http://schemas.microsoft.com/office/drawing/2014/main" id="{1959578C-E678-6E36-E22D-87AA12B66FDE}"/>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67" name="Gerader Verbinder 4166">
            <a:extLst>
              <a:ext uri="{FF2B5EF4-FFF2-40B4-BE49-F238E27FC236}">
                <a16:creationId xmlns:a16="http://schemas.microsoft.com/office/drawing/2014/main" id="{036F2A2E-63ED-0AA4-1F22-1669388BDA45}"/>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4177" name="Cross_H64">
          <a:extLst>
            <a:ext uri="{FF2B5EF4-FFF2-40B4-BE49-F238E27FC236}">
              <a16:creationId xmlns:a16="http://schemas.microsoft.com/office/drawing/2014/main" id="{D9C9CC9E-990C-AEE2-E175-5A82DBB19531}"/>
            </a:ext>
          </a:extLst>
        </xdr:cNvPr>
        <xdr:cNvGrpSpPr/>
      </xdr:nvGrpSpPr>
      <xdr:grpSpPr>
        <a:xfrm>
          <a:off x="4648200" y="5715000"/>
          <a:ext cx="601980" cy="228600"/>
          <a:chOff x="4648200" y="12085320"/>
          <a:chExt cx="601980" cy="228600"/>
        </a:xfrm>
      </xdr:grpSpPr>
      <xdr:cxnSp macro="">
        <xdr:nvCxnSpPr>
          <xdr:cNvPr id="4175" name="Gerader Verbinder 4174">
            <a:extLst>
              <a:ext uri="{FF2B5EF4-FFF2-40B4-BE49-F238E27FC236}">
                <a16:creationId xmlns:a16="http://schemas.microsoft.com/office/drawing/2014/main" id="{B0BE035E-A98A-E7FB-E8B7-5BA171EB3ACB}"/>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6" name="Gerader Verbinder 4175">
            <a:extLst>
              <a:ext uri="{FF2B5EF4-FFF2-40B4-BE49-F238E27FC236}">
                <a16:creationId xmlns:a16="http://schemas.microsoft.com/office/drawing/2014/main" id="{3C01191C-E9B7-E594-63F7-03D43EEFB942}"/>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4186" name="Cross_H67">
          <a:extLst>
            <a:ext uri="{FF2B5EF4-FFF2-40B4-BE49-F238E27FC236}">
              <a16:creationId xmlns:a16="http://schemas.microsoft.com/office/drawing/2014/main" id="{B4F5CBD9-3D20-12AE-0BAA-06B6BFBBF99D}"/>
            </a:ext>
          </a:extLst>
        </xdr:cNvPr>
        <xdr:cNvGrpSpPr/>
      </xdr:nvGrpSpPr>
      <xdr:grpSpPr>
        <a:xfrm>
          <a:off x="4648200" y="5943600"/>
          <a:ext cx="601980" cy="228600"/>
          <a:chOff x="4648200" y="12649200"/>
          <a:chExt cx="601980" cy="228600"/>
        </a:xfrm>
      </xdr:grpSpPr>
      <xdr:cxnSp macro="">
        <xdr:nvCxnSpPr>
          <xdr:cNvPr id="4184" name="Gerader Verbinder 4183">
            <a:extLst>
              <a:ext uri="{FF2B5EF4-FFF2-40B4-BE49-F238E27FC236}">
                <a16:creationId xmlns:a16="http://schemas.microsoft.com/office/drawing/2014/main" id="{58D36B1E-53BD-5CA0-A0A6-DA58368A5134}"/>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85" name="Gerader Verbinder 4184">
            <a:extLst>
              <a:ext uri="{FF2B5EF4-FFF2-40B4-BE49-F238E27FC236}">
                <a16:creationId xmlns:a16="http://schemas.microsoft.com/office/drawing/2014/main" id="{4DEBA168-8BAC-745B-717B-0669C084A894}"/>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1</xdr:rowOff>
    </xdr:from>
    <xdr:to>
      <xdr:col>8</xdr:col>
      <xdr:colOff>0</xdr:colOff>
      <xdr:row>29</xdr:row>
      <xdr:rowOff>0</xdr:rowOff>
    </xdr:to>
    <xdr:grpSp>
      <xdr:nvGrpSpPr>
        <xdr:cNvPr id="4195" name="Cross_H73">
          <a:extLst>
            <a:ext uri="{FF2B5EF4-FFF2-40B4-BE49-F238E27FC236}">
              <a16:creationId xmlns:a16="http://schemas.microsoft.com/office/drawing/2014/main" id="{F79FB93E-1F5C-2B9D-9D93-957D54A7CA5F}"/>
            </a:ext>
          </a:extLst>
        </xdr:cNvPr>
        <xdr:cNvGrpSpPr/>
      </xdr:nvGrpSpPr>
      <xdr:grpSpPr>
        <a:xfrm>
          <a:off x="4648200" y="6400801"/>
          <a:ext cx="601980" cy="228599"/>
          <a:chOff x="4648200" y="13776961"/>
          <a:chExt cx="601980" cy="228600"/>
        </a:xfrm>
      </xdr:grpSpPr>
      <xdr:cxnSp macro="">
        <xdr:nvCxnSpPr>
          <xdr:cNvPr id="4193" name="Gerader Verbinder 4192">
            <a:extLst>
              <a:ext uri="{FF2B5EF4-FFF2-40B4-BE49-F238E27FC236}">
                <a16:creationId xmlns:a16="http://schemas.microsoft.com/office/drawing/2014/main" id="{9EC505E0-A649-3EE0-A486-02FEB8FB37DC}"/>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94" name="Gerader Verbinder 4193">
            <a:extLst>
              <a:ext uri="{FF2B5EF4-FFF2-40B4-BE49-F238E27FC236}">
                <a16:creationId xmlns:a16="http://schemas.microsoft.com/office/drawing/2014/main" id="{101120BE-11B0-974E-F7FB-32FCF3483260}"/>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20</xdr:col>
          <xdr:colOff>160020</xdr:colOff>
          <xdr:row>29</xdr:row>
          <xdr:rowOff>68580</xdr:rowOff>
        </xdr:from>
        <xdr:to>
          <xdr:col>23</xdr:col>
          <xdr:colOff>426720</xdr:colOff>
          <xdr:row>32</xdr:row>
          <xdr:rowOff>106680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36</xdr:row>
          <xdr:rowOff>53340</xdr:rowOff>
        </xdr:from>
        <xdr:to>
          <xdr:col>23</xdr:col>
          <xdr:colOff>426720</xdr:colOff>
          <xdr:row>39</xdr:row>
          <xdr:rowOff>91440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160020</xdr:colOff>
          <xdr:row>33</xdr:row>
          <xdr:rowOff>0</xdr:rowOff>
        </xdr:from>
        <xdr:to>
          <xdr:col>23</xdr:col>
          <xdr:colOff>426720</xdr:colOff>
          <xdr:row>35</xdr:row>
          <xdr:rowOff>160020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449580</xdr:colOff>
          <xdr:row>27</xdr:row>
          <xdr:rowOff>0</xdr:rowOff>
        </xdr:from>
        <xdr:to>
          <xdr:col>11</xdr:col>
          <xdr:colOff>396240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27</xdr:row>
          <xdr:rowOff>0</xdr:rowOff>
        </xdr:from>
        <xdr:to>
          <xdr:col>12</xdr:col>
          <xdr:colOff>396240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160020</xdr:colOff>
          <xdr:row>29</xdr:row>
          <xdr:rowOff>68580</xdr:rowOff>
        </xdr:from>
        <xdr:to>
          <xdr:col>29</xdr:col>
          <xdr:colOff>434340</xdr:colOff>
          <xdr:row>32</xdr:row>
          <xdr:rowOff>106680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106680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160020</xdr:colOff>
          <xdr:row>33</xdr:row>
          <xdr:rowOff>0</xdr:rowOff>
        </xdr:from>
        <xdr:to>
          <xdr:col>29</xdr:col>
          <xdr:colOff>434340</xdr:colOff>
          <xdr:row>36</xdr:row>
          <xdr:rowOff>38100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38100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407E7-2E57-4580-B6E3-C64C9B06CF8B}">
  <sheetPr codeName="Tabelle215">
    <tabColor rgb="FF00B0F0"/>
  </sheetPr>
  <dimension ref="B1:N100"/>
  <sheetViews>
    <sheetView tabSelected="1" workbookViewId="0"/>
  </sheetViews>
  <sheetFormatPr baseColWidth="10" defaultRowHeight="13.2" x14ac:dyDescent="0.25"/>
  <cols>
    <col min="1" max="2" width="3.44140625" style="94" customWidth="1"/>
    <col min="3" max="3" width="25.77734375" style="94" customWidth="1"/>
    <col min="4" max="10" width="11.77734375" style="94" customWidth="1"/>
    <col min="11" max="13" width="8.77734375" style="94" customWidth="1"/>
    <col min="14" max="14" width="8.77734375" style="94" hidden="1" customWidth="1"/>
    <col min="15" max="16384" width="11.5546875" style="94"/>
  </cols>
  <sheetData>
    <row r="1" spans="2:14" ht="18" customHeight="1" thickBot="1" x14ac:dyDescent="0.3"/>
    <row r="2" spans="2:14" ht="18" customHeight="1" x14ac:dyDescent="0.25">
      <c r="B2" s="95" t="str">
        <f>Config!F2&amp;" "&amp;YEAR(Config!G24)</f>
        <v>Mathe Abitur 2026</v>
      </c>
      <c r="C2" s="96"/>
      <c r="D2" s="96"/>
      <c r="E2" s="96"/>
      <c r="F2" s="97"/>
      <c r="G2" s="97"/>
      <c r="H2" s="97"/>
      <c r="I2" s="97"/>
      <c r="J2" s="97"/>
      <c r="K2" s="97"/>
      <c r="L2" s="97"/>
      <c r="M2" s="98" t="str">
        <f>"Kurs "&amp;Config!G26</f>
        <v>Kurs K1</v>
      </c>
    </row>
    <row r="3" spans="2:14" ht="18" customHeight="1" x14ac:dyDescent="0.25">
      <c r="B3" s="99" t="s">
        <v>83</v>
      </c>
      <c r="C3" s="100"/>
      <c r="D3" s="100"/>
      <c r="E3" s="100"/>
      <c r="F3" s="100"/>
      <c r="G3" s="100"/>
      <c r="H3" s="100"/>
      <c r="I3" s="100"/>
      <c r="J3" s="100"/>
      <c r="K3" s="100"/>
      <c r="L3" s="100"/>
      <c r="M3" s="101"/>
    </row>
    <row r="4" spans="2:14" ht="18" customHeight="1" thickBot="1" x14ac:dyDescent="0.3">
      <c r="B4" s="99"/>
      <c r="C4" s="100"/>
      <c r="D4" s="102"/>
      <c r="E4" s="102"/>
      <c r="F4" s="102"/>
      <c r="G4" s="102"/>
      <c r="H4" s="102"/>
      <c r="I4" s="102"/>
      <c r="J4" s="102"/>
      <c r="K4" s="102"/>
      <c r="L4" s="100"/>
      <c r="M4" s="101"/>
    </row>
    <row r="5" spans="2:14" ht="18" customHeight="1" thickBot="1" x14ac:dyDescent="0.3">
      <c r="B5" s="104"/>
      <c r="C5" s="106"/>
      <c r="D5" s="110" t="s">
        <v>9</v>
      </c>
      <c r="E5" s="110" t="s">
        <v>10</v>
      </c>
      <c r="F5" s="110" t="s">
        <v>11</v>
      </c>
      <c r="G5" s="110" t="s">
        <v>12</v>
      </c>
      <c r="H5" s="110" t="s">
        <v>13</v>
      </c>
      <c r="I5" s="110" t="s">
        <v>14</v>
      </c>
      <c r="J5" s="110" t="s">
        <v>112</v>
      </c>
      <c r="K5" s="122" t="s">
        <v>82</v>
      </c>
      <c r="L5" s="121"/>
      <c r="M5" s="123"/>
    </row>
    <row r="6" spans="2:14" ht="18" customHeight="1" thickBot="1" x14ac:dyDescent="0.3">
      <c r="B6" s="105"/>
      <c r="C6" s="107" t="s">
        <v>81</v>
      </c>
      <c r="D6" s="128">
        <f>Config!G21</f>
        <v>15</v>
      </c>
      <c r="E6" s="128">
        <f>Config!I21</f>
        <v>30</v>
      </c>
      <c r="F6" s="128">
        <f>Config!K21</f>
        <v>5</v>
      </c>
      <c r="G6" s="128">
        <f>Config!M21</f>
        <v>17</v>
      </c>
      <c r="H6" s="128">
        <f>Config!O21</f>
        <v>5</v>
      </c>
      <c r="I6" s="128">
        <f>Config!Q21</f>
        <v>18</v>
      </c>
      <c r="J6" s="128">
        <f>Config!S21</f>
        <v>10</v>
      </c>
      <c r="K6" s="129">
        <f t="shared" ref="K6:K29" si="0">SUM(D6:J6)</f>
        <v>100</v>
      </c>
      <c r="L6" s="108" t="s">
        <v>0</v>
      </c>
      <c r="M6" s="124" t="s">
        <v>1</v>
      </c>
      <c r="N6" s="94" t="s">
        <v>84</v>
      </c>
    </row>
    <row r="7" spans="2:14" ht="18" customHeight="1" thickBot="1" x14ac:dyDescent="0.3">
      <c r="B7" s="115">
        <v>1</v>
      </c>
      <c r="C7" s="113" t="str">
        <f>Config!C5&amp;", "&amp;Config!D5</f>
        <v>Höfer, Simon</v>
      </c>
      <c r="D7" s="126">
        <f>VLOOKUP(C7,'Analysis A'!PupilBlock,8,0)</f>
        <v>11.5</v>
      </c>
      <c r="E7" s="126">
        <f>VLOOKUP(C7,'Analysis B'!PupilBlock,12,0)</f>
        <v>22.5</v>
      </c>
      <c r="F7" s="126">
        <f>VLOOKUP(C7,'Stochastik A'!PupilBlock,3,0)</f>
        <v>2.5</v>
      </c>
      <c r="G7" s="126">
        <f>VLOOKUP(C7,'Stochastik B'!PupilBlock,7,0)</f>
        <v>13</v>
      </c>
      <c r="H7" s="126">
        <f>VLOOKUP(C7,'Geometrie A'!PupilBlock,4,0)</f>
        <v>0</v>
      </c>
      <c r="I7" s="126">
        <f>VLOOKUP(C7,'Geometrie B'!PupilBlock,7,0)</f>
        <v>9</v>
      </c>
      <c r="J7" s="126">
        <f>VLOOKUP(C7,Wahlaufgaben!PupilBlock,7,0)</f>
        <v>7</v>
      </c>
      <c r="K7" s="112">
        <f t="shared" si="0"/>
        <v>65.5</v>
      </c>
      <c r="L7" s="151">
        <f>VLOOKUP(VALUE(K7),Notenspiegel!$B$3:$C$302,2,0)</f>
        <v>9</v>
      </c>
      <c r="M7" s="152" t="str">
        <f>VLOOKUP(VALUE(K7),Notenspiegel!$B$3:$D$302,3,0)</f>
        <v>3+</v>
      </c>
      <c r="N7" s="94" t="str">
        <f>VLOOKUP(VALUE(K7),Notenspiegel!$B$3:$E$302,4,0)</f>
        <v>-</v>
      </c>
    </row>
    <row r="8" spans="2:14" ht="18" customHeight="1" thickBot="1" x14ac:dyDescent="0.3">
      <c r="B8" s="140">
        <v>2</v>
      </c>
      <c r="C8" s="137" t="str">
        <f>Config!C6&amp;", "&amp;Config!D6</f>
        <v>Töpfer, Lilian</v>
      </c>
      <c r="D8" s="138">
        <f>VLOOKUP(C8,'Analysis A'!PupilBlock,8,0)</f>
        <v>9</v>
      </c>
      <c r="E8" s="138">
        <f>VLOOKUP(C8,'Analysis B'!PupilBlock,12,0)</f>
        <v>17.5</v>
      </c>
      <c r="F8" s="138">
        <f>VLOOKUP(C8,'Stochastik A'!PupilBlock,3,0)</f>
        <v>5</v>
      </c>
      <c r="G8" s="138">
        <f>VLOOKUP(C8,'Stochastik B'!PupilBlock,7,0)</f>
        <v>7</v>
      </c>
      <c r="H8" s="138">
        <f>VLOOKUP(C8,'Geometrie A'!PupilBlock,4,0)</f>
        <v>3.5</v>
      </c>
      <c r="I8" s="138">
        <f>VLOOKUP(C8,'Geometrie B'!PupilBlock,7,0)</f>
        <v>9</v>
      </c>
      <c r="J8" s="138">
        <f>VLOOKUP(C8,Wahlaufgaben!PupilBlock,7,0)</f>
        <v>7</v>
      </c>
      <c r="K8" s="139">
        <f t="shared" si="0"/>
        <v>58</v>
      </c>
      <c r="L8" s="135">
        <f>VLOOKUP(VALUE(K8),Notenspiegel!$B$3:$C$302,2,0)</f>
        <v>7</v>
      </c>
      <c r="M8" s="136" t="str">
        <f>VLOOKUP(VALUE(K8),Notenspiegel!$B$3:$D$302,3,0)</f>
        <v>3-</v>
      </c>
      <c r="N8" s="94" t="str">
        <f>VLOOKUP(VALUE(K8),Notenspiegel!$B$3:$E$302,4,0)</f>
        <v/>
      </c>
    </row>
    <row r="9" spans="2:14" ht="18" customHeight="1" thickBot="1" x14ac:dyDescent="0.3">
      <c r="B9" s="116">
        <v>3</v>
      </c>
      <c r="C9" s="111" t="str">
        <f>Config!C7&amp;", "&amp;Config!D7</f>
        <v>Fleischmann, Leonie</v>
      </c>
      <c r="D9" s="125">
        <f>VLOOKUP(C9,'Analysis A'!PupilBlock,8,0)</f>
        <v>10.5</v>
      </c>
      <c r="E9" s="125">
        <f>VLOOKUP(C9,'Analysis B'!PupilBlock,12,0)</f>
        <v>11.5</v>
      </c>
      <c r="F9" s="125">
        <f>VLOOKUP(C9,'Stochastik A'!PupilBlock,3,0)</f>
        <v>2.5</v>
      </c>
      <c r="G9" s="125">
        <f>VLOOKUP(C9,'Stochastik B'!PupilBlock,7,0)</f>
        <v>8</v>
      </c>
      <c r="H9" s="125">
        <f>VLOOKUP(C9,'Geometrie A'!PupilBlock,4,0)</f>
        <v>4.5</v>
      </c>
      <c r="I9" s="125">
        <f>VLOOKUP(C9,'Geometrie B'!PupilBlock,7,0)</f>
        <v>14</v>
      </c>
      <c r="J9" s="125">
        <f>VLOOKUP(C9,Wahlaufgaben!PupilBlock,7,0)</f>
        <v>8</v>
      </c>
      <c r="K9" s="112">
        <f t="shared" si="0"/>
        <v>59</v>
      </c>
      <c r="L9" s="133">
        <f>VLOOKUP(VALUE(K9),Notenspiegel!$B$3:$C$302,2,0)</f>
        <v>7</v>
      </c>
      <c r="M9" s="134" t="str">
        <f>VLOOKUP(VALUE(K9),Notenspiegel!$B$3:$D$302,3,0)</f>
        <v>3-</v>
      </c>
      <c r="N9" s="94" t="str">
        <f>VLOOKUP(VALUE(K9),Notenspiegel!$B$3:$E$302,4,0)</f>
        <v>+</v>
      </c>
    </row>
    <row r="10" spans="2:14" ht="18" customHeight="1" thickBot="1" x14ac:dyDescent="0.3">
      <c r="B10" s="140">
        <v>4</v>
      </c>
      <c r="C10" s="137" t="str">
        <f>Config!C8&amp;", "&amp;Config!D8</f>
        <v>Drescher, Cedric</v>
      </c>
      <c r="D10" s="138">
        <f>VLOOKUP(C10,'Analysis A'!PupilBlock,8,0)</f>
        <v>12.5</v>
      </c>
      <c r="E10" s="138">
        <f>VLOOKUP(C10,'Analysis B'!PupilBlock,12,0)</f>
        <v>23</v>
      </c>
      <c r="F10" s="138">
        <f>VLOOKUP(C10,'Stochastik A'!PupilBlock,3,0)</f>
        <v>2.5</v>
      </c>
      <c r="G10" s="138">
        <f>VLOOKUP(C10,'Stochastik B'!PupilBlock,7,0)</f>
        <v>9</v>
      </c>
      <c r="H10" s="138">
        <f>VLOOKUP(C10,'Geometrie A'!PupilBlock,4,0)</f>
        <v>3.5</v>
      </c>
      <c r="I10" s="138">
        <f>VLOOKUP(C10,'Geometrie B'!PupilBlock,7,0)</f>
        <v>13.5</v>
      </c>
      <c r="J10" s="138">
        <f>VLOOKUP(C10,Wahlaufgaben!PupilBlock,7,0)</f>
        <v>6</v>
      </c>
      <c r="K10" s="139">
        <f t="shared" si="0"/>
        <v>70</v>
      </c>
      <c r="L10" s="142">
        <f>VLOOKUP(VALUE(K10),Notenspiegel!$B$3:$C$302,2,0)</f>
        <v>10</v>
      </c>
      <c r="M10" s="143" t="str">
        <f>VLOOKUP(VALUE(K10),Notenspiegel!$B$3:$D$302,3,0)</f>
        <v>2-</v>
      </c>
      <c r="N10" s="94" t="str">
        <f>VLOOKUP(VALUE(K10),Notenspiegel!$B$3:$E$302,4,0)</f>
        <v>--</v>
      </c>
    </row>
    <row r="11" spans="2:14" ht="18" customHeight="1" thickBot="1" x14ac:dyDescent="0.3">
      <c r="B11" s="116">
        <v>5</v>
      </c>
      <c r="C11" s="111" t="str">
        <f>Config!C9&amp;", "&amp;Config!D9</f>
        <v>Baumgarten, Annabell</v>
      </c>
      <c r="D11" s="125">
        <f>VLOOKUP(C11,'Analysis A'!PupilBlock,8,0)</f>
        <v>14</v>
      </c>
      <c r="E11" s="125">
        <f>VLOOKUP(C11,'Analysis B'!PupilBlock,12,0)</f>
        <v>21.5</v>
      </c>
      <c r="F11" s="125">
        <f>VLOOKUP(C11,'Stochastik A'!PupilBlock,3,0)</f>
        <v>2.5</v>
      </c>
      <c r="G11" s="125">
        <f>VLOOKUP(C11,'Stochastik B'!PupilBlock,7,0)</f>
        <v>4.5</v>
      </c>
      <c r="H11" s="125">
        <f>VLOOKUP(C11,'Geometrie A'!PupilBlock,4,0)</f>
        <v>3.5</v>
      </c>
      <c r="I11" s="125">
        <f>VLOOKUP(C11,'Geometrie B'!PupilBlock,7,0)</f>
        <v>12</v>
      </c>
      <c r="J11" s="125">
        <f>VLOOKUP(C11,Wahlaufgaben!PupilBlock,7,0)</f>
        <v>6</v>
      </c>
      <c r="K11" s="112">
        <f t="shared" si="0"/>
        <v>64</v>
      </c>
      <c r="L11" s="133">
        <f>VLOOKUP(VALUE(K11),Notenspiegel!$B$3:$C$302,2,0)</f>
        <v>8</v>
      </c>
      <c r="M11" s="134" t="str">
        <f>VLOOKUP(VALUE(K11),Notenspiegel!$B$3:$D$302,3,0)</f>
        <v>3</v>
      </c>
      <c r="N11" s="94" t="str">
        <f>VLOOKUP(VALUE(K11),Notenspiegel!$B$3:$E$302,4,0)</f>
        <v>+</v>
      </c>
    </row>
    <row r="12" spans="2:14" ht="18" customHeight="1" thickBot="1" x14ac:dyDescent="0.3">
      <c r="B12" s="140">
        <v>6</v>
      </c>
      <c r="C12" s="137" t="str">
        <f>Config!C10&amp;", "&amp;Config!D10</f>
        <v>Traut, Stefanie</v>
      </c>
      <c r="D12" s="138">
        <f>VLOOKUP(C12,'Analysis A'!PupilBlock,8,0)</f>
        <v>12.5</v>
      </c>
      <c r="E12" s="138">
        <f>VLOOKUP(C12,'Analysis B'!PupilBlock,12,0)</f>
        <v>33</v>
      </c>
      <c r="F12" s="138">
        <f>VLOOKUP(C12,'Stochastik A'!PupilBlock,3,0)</f>
        <v>3</v>
      </c>
      <c r="G12" s="138">
        <f>VLOOKUP(C12,'Stochastik B'!PupilBlock,7,0)</f>
        <v>10.5</v>
      </c>
      <c r="H12" s="138">
        <f>VLOOKUP(C12,'Geometrie A'!PupilBlock,4,0)</f>
        <v>4.5</v>
      </c>
      <c r="I12" s="138">
        <f>VLOOKUP(C12,'Geometrie B'!PupilBlock,7,0)</f>
        <v>17</v>
      </c>
      <c r="J12" s="138">
        <f>VLOOKUP(C12,Wahlaufgaben!PupilBlock,7,0)</f>
        <v>8</v>
      </c>
      <c r="K12" s="139">
        <f t="shared" si="0"/>
        <v>88.5</v>
      </c>
      <c r="L12" s="135">
        <f>VLOOKUP(VALUE(K12),Notenspiegel!$B$3:$C$302,2,0)</f>
        <v>13</v>
      </c>
      <c r="M12" s="136" t="str">
        <f>VLOOKUP(VALUE(K12),Notenspiegel!$B$3:$D$302,3,0)</f>
        <v>1-</v>
      </c>
      <c r="N12" s="94" t="str">
        <f>VLOOKUP(VALUE(K12),Notenspiegel!$B$3:$E$302,4,0)</f>
        <v/>
      </c>
    </row>
    <row r="13" spans="2:14" ht="18" customHeight="1" thickBot="1" x14ac:dyDescent="0.3">
      <c r="B13" s="116">
        <v>7</v>
      </c>
      <c r="C13" s="111" t="str">
        <f>Config!C11&amp;", "&amp;Config!D11</f>
        <v>Menke, Damian</v>
      </c>
      <c r="D13" s="125">
        <f>VLOOKUP(C13,'Analysis A'!PupilBlock,8,0)</f>
        <v>12.5</v>
      </c>
      <c r="E13" s="125">
        <f>VLOOKUP(C13,'Analysis B'!PupilBlock,12,0)</f>
        <v>22.5</v>
      </c>
      <c r="F13" s="125">
        <f>VLOOKUP(C13,'Stochastik A'!PupilBlock,3,0)</f>
        <v>5</v>
      </c>
      <c r="G13" s="125">
        <f>VLOOKUP(C13,'Stochastik B'!PupilBlock,7,0)</f>
        <v>8.5</v>
      </c>
      <c r="H13" s="125">
        <f>VLOOKUP(C13,'Geometrie A'!PupilBlock,4,0)</f>
        <v>4.5</v>
      </c>
      <c r="I13" s="125">
        <f>VLOOKUP(C13,'Geometrie B'!PupilBlock,7,0)</f>
        <v>15</v>
      </c>
      <c r="J13" s="125">
        <f>VLOOKUP(C13,Wahlaufgaben!PupilBlock,7,0)</f>
        <v>7</v>
      </c>
      <c r="K13" s="112">
        <f t="shared" si="0"/>
        <v>75</v>
      </c>
      <c r="L13" s="142">
        <f>VLOOKUP(VALUE(K13),Notenspiegel!$B$3:$C$302,2,0)</f>
        <v>11</v>
      </c>
      <c r="M13" s="143" t="str">
        <f>VLOOKUP(VALUE(K13),Notenspiegel!$B$3:$D$302,3,0)</f>
        <v>2</v>
      </c>
      <c r="N13" s="94" t="str">
        <f>VLOOKUP(VALUE(K13),Notenspiegel!$B$3:$E$302,4,0)</f>
        <v>--</v>
      </c>
    </row>
    <row r="14" spans="2:14" ht="18" customHeight="1" thickBot="1" x14ac:dyDescent="0.3">
      <c r="B14" s="140">
        <v>8</v>
      </c>
      <c r="C14" s="137" t="str">
        <f>Config!C12&amp;", "&amp;Config!D12</f>
        <v>Carroll, Meik</v>
      </c>
      <c r="D14" s="138">
        <f>VLOOKUP(C14,'Analysis A'!PupilBlock,8,0)</f>
        <v>9</v>
      </c>
      <c r="E14" s="138">
        <f>VLOOKUP(C14,'Analysis B'!PupilBlock,12,0)</f>
        <v>16.5</v>
      </c>
      <c r="F14" s="138">
        <f>VLOOKUP(C14,'Stochastik A'!PupilBlock,3,0)</f>
        <v>5</v>
      </c>
      <c r="G14" s="138">
        <f>VLOOKUP(C14,'Stochastik B'!PupilBlock,7,0)</f>
        <v>8.5</v>
      </c>
      <c r="H14" s="138">
        <f>VLOOKUP(C14,'Geometrie A'!PupilBlock,4,0)</f>
        <v>4</v>
      </c>
      <c r="I14" s="138">
        <f>VLOOKUP(C14,'Geometrie B'!PupilBlock,7,0)</f>
        <v>13</v>
      </c>
      <c r="J14" s="138">
        <f>VLOOKUP(C14,Wahlaufgaben!PupilBlock,7,0)</f>
        <v>7</v>
      </c>
      <c r="K14" s="139">
        <f t="shared" si="0"/>
        <v>63</v>
      </c>
      <c r="L14" s="135">
        <f>VLOOKUP(VALUE(K14),Notenspiegel!$B$3:$C$302,2,0)</f>
        <v>8</v>
      </c>
      <c r="M14" s="136" t="str">
        <f>VLOOKUP(VALUE(K14),Notenspiegel!$B$3:$D$302,3,0)</f>
        <v>3</v>
      </c>
      <c r="N14" s="94" t="str">
        <f>VLOOKUP(VALUE(K14),Notenspiegel!$B$3:$E$302,4,0)</f>
        <v/>
      </c>
    </row>
    <row r="15" spans="2:14" ht="18" customHeight="1" thickBot="1" x14ac:dyDescent="0.3">
      <c r="B15" s="116">
        <v>9</v>
      </c>
      <c r="C15" s="111" t="str">
        <f>Config!C13&amp;", "&amp;Config!D13</f>
        <v>Hennings, Tomas</v>
      </c>
      <c r="D15" s="125">
        <f>VLOOKUP(C15,'Analysis A'!PupilBlock,8,0)</f>
        <v>10</v>
      </c>
      <c r="E15" s="125">
        <f>VLOOKUP(C15,'Analysis B'!PupilBlock,12,0)</f>
        <v>14.5</v>
      </c>
      <c r="F15" s="125">
        <f>VLOOKUP(C15,'Stochastik A'!PupilBlock,3,0)</f>
        <v>4</v>
      </c>
      <c r="G15" s="125">
        <f>VLOOKUP(C15,'Stochastik B'!PupilBlock,7,0)</f>
        <v>13</v>
      </c>
      <c r="H15" s="125">
        <f>VLOOKUP(C15,'Geometrie A'!PupilBlock,4,0)</f>
        <v>4.5</v>
      </c>
      <c r="I15" s="125">
        <f>VLOOKUP(C15,'Geometrie B'!PupilBlock,7,0)</f>
        <v>4</v>
      </c>
      <c r="J15" s="125">
        <f>VLOOKUP(C15,Wahlaufgaben!PupilBlock,7,0)</f>
        <v>8</v>
      </c>
      <c r="K15" s="112">
        <f t="shared" si="0"/>
        <v>58</v>
      </c>
      <c r="L15" s="131">
        <f>VLOOKUP(VALUE(K15),Notenspiegel!$B$3:$C$302,2,0)</f>
        <v>7</v>
      </c>
      <c r="M15" s="132" t="str">
        <f>VLOOKUP(VALUE(K15),Notenspiegel!$B$3:$D$302,3,0)</f>
        <v>3-</v>
      </c>
      <c r="N15" s="94" t="str">
        <f>VLOOKUP(VALUE(K15),Notenspiegel!$B$3:$E$302,4,0)</f>
        <v/>
      </c>
    </row>
    <row r="16" spans="2:14" ht="18" customHeight="1" thickBot="1" x14ac:dyDescent="0.3">
      <c r="B16" s="140">
        <v>10</v>
      </c>
      <c r="C16" s="137" t="str">
        <f>Config!C14&amp;", "&amp;Config!D14</f>
        <v>Walters, Linn</v>
      </c>
      <c r="D16" s="138">
        <f>VLOOKUP(C16,'Analysis A'!PupilBlock,8,0)</f>
        <v>3</v>
      </c>
      <c r="E16" s="138">
        <f>VLOOKUP(C16,'Analysis B'!PupilBlock,12,0)</f>
        <v>7</v>
      </c>
      <c r="F16" s="138">
        <f>VLOOKUP(C16,'Stochastik A'!PupilBlock,3,0)</f>
        <v>2.5</v>
      </c>
      <c r="G16" s="138">
        <f>VLOOKUP(C16,'Stochastik B'!PupilBlock,7,0)</f>
        <v>8</v>
      </c>
      <c r="H16" s="138">
        <f>VLOOKUP(C16,'Geometrie A'!PupilBlock,4,0)</f>
        <v>1</v>
      </c>
      <c r="I16" s="138">
        <f>VLOOKUP(C16,'Geometrie B'!PupilBlock,7,0)</f>
        <v>8.5</v>
      </c>
      <c r="J16" s="138">
        <f>VLOOKUP(C16,Wahlaufgaben!PupilBlock,7,0)</f>
        <v>8</v>
      </c>
      <c r="K16" s="139">
        <f t="shared" si="0"/>
        <v>38</v>
      </c>
      <c r="L16" s="135">
        <f>VLOOKUP(VALUE(K16),Notenspiegel!$B$3:$C$302,2,0)</f>
        <v>3</v>
      </c>
      <c r="M16" s="136" t="str">
        <f>VLOOKUP(VALUE(K16),Notenspiegel!$B$3:$D$302,3,0)</f>
        <v>5+</v>
      </c>
      <c r="N16" s="94" t="str">
        <f>VLOOKUP(VALUE(K16),Notenspiegel!$B$3:$E$302,4,0)</f>
        <v/>
      </c>
    </row>
    <row r="17" spans="2:14" ht="18" customHeight="1" thickBot="1" x14ac:dyDescent="0.3">
      <c r="B17" s="116">
        <v>11</v>
      </c>
      <c r="C17" s="111" t="str">
        <f>Config!C15&amp;", "&amp;Config!D15</f>
        <v>Junker, Amely</v>
      </c>
      <c r="D17" s="125">
        <f>VLOOKUP(C17,'Analysis A'!PupilBlock,8,0)</f>
        <v>6.5</v>
      </c>
      <c r="E17" s="125">
        <f>VLOOKUP(C17,'Analysis B'!PupilBlock,12,0)</f>
        <v>13.5</v>
      </c>
      <c r="F17" s="125">
        <f>VLOOKUP(C17,'Stochastik A'!PupilBlock,3,0)</f>
        <v>2</v>
      </c>
      <c r="G17" s="125">
        <f>VLOOKUP(C17,'Stochastik B'!PupilBlock,7,0)</f>
        <v>6.5</v>
      </c>
      <c r="H17" s="125">
        <f>VLOOKUP(C17,'Geometrie A'!PupilBlock,4,0)</f>
        <v>2</v>
      </c>
      <c r="I17" s="125">
        <f>VLOOKUP(C17,'Geometrie B'!PupilBlock,7,0)</f>
        <v>13</v>
      </c>
      <c r="J17" s="125">
        <f>VLOOKUP(C17,Wahlaufgaben!PupilBlock,7,0)</f>
        <v>6</v>
      </c>
      <c r="K17" s="112">
        <f t="shared" si="0"/>
        <v>49.5</v>
      </c>
      <c r="L17" s="144">
        <f>VLOOKUP(VALUE(K17),Notenspiegel!$B$3:$C$302,2,0)</f>
        <v>5</v>
      </c>
      <c r="M17" s="145" t="str">
        <f>VLOOKUP(VALUE(K17),Notenspiegel!$B$3:$D$302,3,0)</f>
        <v>4</v>
      </c>
      <c r="N17" s="94" t="str">
        <f>VLOOKUP(VALUE(K17),Notenspiegel!$B$3:$E$302,4,0)</f>
        <v>++</v>
      </c>
    </row>
    <row r="18" spans="2:14" ht="18" customHeight="1" thickBot="1" x14ac:dyDescent="0.3">
      <c r="B18" s="140">
        <v>12</v>
      </c>
      <c r="C18" s="137" t="str">
        <f>Config!C16&amp;", "&amp;Config!D16</f>
        <v>Stephens, Melvin</v>
      </c>
      <c r="D18" s="138">
        <f>VLOOKUP(C18,'Analysis A'!PupilBlock,8,0)</f>
        <v>11.5</v>
      </c>
      <c r="E18" s="138">
        <f>VLOOKUP(C18,'Analysis B'!PupilBlock,12,0)</f>
        <v>27</v>
      </c>
      <c r="F18" s="138">
        <f>VLOOKUP(C18,'Stochastik A'!PupilBlock,3,0)</f>
        <v>2.5</v>
      </c>
      <c r="G18" s="138">
        <f>VLOOKUP(C18,'Stochastik B'!PupilBlock,7,0)</f>
        <v>5.5</v>
      </c>
      <c r="H18" s="138">
        <f>VLOOKUP(C18,'Geometrie A'!PupilBlock,4,0)</f>
        <v>0.5</v>
      </c>
      <c r="I18" s="138">
        <f>VLOOKUP(C18,'Geometrie B'!PupilBlock,7,0)</f>
        <v>13</v>
      </c>
      <c r="J18" s="138">
        <f>VLOOKUP(C18,Wahlaufgaben!PupilBlock,7,0)</f>
        <v>6</v>
      </c>
      <c r="K18" s="139">
        <f t="shared" si="0"/>
        <v>66</v>
      </c>
      <c r="L18" s="135">
        <f>VLOOKUP(VALUE(K18),Notenspiegel!$B$3:$C$302,2,0)</f>
        <v>9</v>
      </c>
      <c r="M18" s="136" t="str">
        <f>VLOOKUP(VALUE(K18),Notenspiegel!$B$3:$D$302,3,0)</f>
        <v>3+</v>
      </c>
      <c r="N18" s="94" t="str">
        <f>VLOOKUP(VALUE(K18),Notenspiegel!$B$3:$E$302,4,0)</f>
        <v/>
      </c>
    </row>
    <row r="19" spans="2:14" ht="18" customHeight="1" thickBot="1" x14ac:dyDescent="0.3">
      <c r="B19" s="116">
        <v>13</v>
      </c>
      <c r="C19" s="111" t="str">
        <f>Config!C17&amp;", "&amp;Config!D17</f>
        <v>Cremer, Marvin</v>
      </c>
      <c r="D19" s="125">
        <f>VLOOKUP(C19,'Analysis A'!PupilBlock,8,0)</f>
        <v>12.5</v>
      </c>
      <c r="E19" s="125">
        <f>VLOOKUP(C19,'Analysis B'!PupilBlock,12,0)</f>
        <v>22</v>
      </c>
      <c r="F19" s="125">
        <f>VLOOKUP(C19,'Stochastik A'!PupilBlock,3,0)</f>
        <v>5</v>
      </c>
      <c r="G19" s="125">
        <f>VLOOKUP(C19,'Stochastik B'!PupilBlock,7,0)</f>
        <v>5.5</v>
      </c>
      <c r="H19" s="125">
        <f>VLOOKUP(C19,'Geometrie A'!PupilBlock,4,0)</f>
        <v>4.5</v>
      </c>
      <c r="I19" s="125">
        <f>VLOOKUP(C19,'Geometrie B'!PupilBlock,7,0)</f>
        <v>3</v>
      </c>
      <c r="J19" s="125">
        <f>VLOOKUP(C19,Wahlaufgaben!PupilBlock,7,0)</f>
        <v>8</v>
      </c>
      <c r="K19" s="112">
        <f t="shared" si="0"/>
        <v>60.5</v>
      </c>
      <c r="L19" s="151">
        <f>VLOOKUP(VALUE(K19),Notenspiegel!$B$3:$C$302,2,0)</f>
        <v>8</v>
      </c>
      <c r="M19" s="152" t="str">
        <f>VLOOKUP(VALUE(K19),Notenspiegel!$B$3:$D$302,3,0)</f>
        <v>3</v>
      </c>
      <c r="N19" s="94" t="str">
        <f>VLOOKUP(VALUE(K19),Notenspiegel!$B$3:$E$302,4,0)</f>
        <v>-</v>
      </c>
    </row>
    <row r="20" spans="2:14" ht="18" customHeight="1" thickBot="1" x14ac:dyDescent="0.3">
      <c r="B20" s="140">
        <v>14</v>
      </c>
      <c r="C20" s="137" t="str">
        <f>Config!C18&amp;", "&amp;Config!D18</f>
        <v>Nash, Jean</v>
      </c>
      <c r="D20" s="138">
        <f>VLOOKUP(C20,'Analysis A'!PupilBlock,8,0)</f>
        <v>13.5</v>
      </c>
      <c r="E20" s="138">
        <f>VLOOKUP(C20,'Analysis B'!PupilBlock,12,0)</f>
        <v>15.5</v>
      </c>
      <c r="F20" s="138">
        <f>VLOOKUP(C20,'Stochastik A'!PupilBlock,3,0)</f>
        <v>5</v>
      </c>
      <c r="G20" s="138">
        <f>VLOOKUP(C20,'Stochastik B'!PupilBlock,7,0)</f>
        <v>8</v>
      </c>
      <c r="H20" s="138">
        <f>VLOOKUP(C20,'Geometrie A'!PupilBlock,4,0)</f>
        <v>4</v>
      </c>
      <c r="I20" s="138">
        <f>VLOOKUP(C20,'Geometrie B'!PupilBlock,7,0)</f>
        <v>14.5</v>
      </c>
      <c r="J20" s="138">
        <f>VLOOKUP(C20,Wahlaufgaben!PupilBlock,7,0)</f>
        <v>7</v>
      </c>
      <c r="K20" s="139">
        <f t="shared" si="0"/>
        <v>67.5</v>
      </c>
      <c r="L20" s="135">
        <f>VLOOKUP(VALUE(K20),Notenspiegel!$B$3:$C$302,2,0)</f>
        <v>9</v>
      </c>
      <c r="M20" s="136" t="str">
        <f>VLOOKUP(VALUE(K20),Notenspiegel!$B$3:$D$302,3,0)</f>
        <v>3+</v>
      </c>
      <c r="N20" s="94" t="str">
        <f>VLOOKUP(VALUE(K20),Notenspiegel!$B$3:$E$302,4,0)</f>
        <v/>
      </c>
    </row>
    <row r="21" spans="2:14" ht="18" customHeight="1" thickBot="1" x14ac:dyDescent="0.3">
      <c r="B21" s="116">
        <v>15</v>
      </c>
      <c r="C21" s="111" t="str">
        <f>Config!C19&amp;", "&amp;Config!D19</f>
        <v>Schön, Leonardo</v>
      </c>
      <c r="D21" s="125">
        <f>VLOOKUP(C21,'Analysis A'!PupilBlock,8,0)</f>
        <v>12</v>
      </c>
      <c r="E21" s="125">
        <f>VLOOKUP(C21,'Analysis B'!PupilBlock,12,0)</f>
        <v>23.5</v>
      </c>
      <c r="F21" s="125">
        <f>VLOOKUP(C21,'Stochastik A'!PupilBlock,3,0)</f>
        <v>2.5</v>
      </c>
      <c r="G21" s="125">
        <f>VLOOKUP(C21,'Stochastik B'!PupilBlock,7,0)</f>
        <v>8</v>
      </c>
      <c r="H21" s="125">
        <f>VLOOKUP(C21,'Geometrie A'!PupilBlock,4,0)</f>
        <v>5</v>
      </c>
      <c r="I21" s="125">
        <f>VLOOKUP(C21,'Geometrie B'!PupilBlock,7,0)</f>
        <v>6.5</v>
      </c>
      <c r="J21" s="125">
        <f>VLOOKUP(C21,Wahlaufgaben!PupilBlock,7,0)</f>
        <v>4</v>
      </c>
      <c r="K21" s="112">
        <f t="shared" si="0"/>
        <v>61.5</v>
      </c>
      <c r="L21" s="131">
        <f>VLOOKUP(VALUE(K21),Notenspiegel!$B$3:$C$302,2,0)</f>
        <v>8</v>
      </c>
      <c r="M21" s="132" t="str">
        <f>VLOOKUP(VALUE(K21),Notenspiegel!$B$3:$D$302,3,0)</f>
        <v>3</v>
      </c>
      <c r="N21" s="94" t="str">
        <f>VLOOKUP(VALUE(K21),Notenspiegel!$B$3:$E$302,4,0)</f>
        <v/>
      </c>
    </row>
    <row r="22" spans="2:14" ht="18" customHeight="1" thickBot="1" x14ac:dyDescent="0.3">
      <c r="B22" s="140">
        <v>16</v>
      </c>
      <c r="C22" s="137" t="str">
        <f>Config!C20&amp;", "&amp;Config!D20</f>
        <v>Sigl, Nicholas</v>
      </c>
      <c r="D22" s="138">
        <f>VLOOKUP(C22,'Analysis A'!PupilBlock,8,0)</f>
        <v>7.5</v>
      </c>
      <c r="E22" s="138">
        <f>VLOOKUP(C22,'Analysis B'!PupilBlock,12,0)</f>
        <v>22</v>
      </c>
      <c r="F22" s="138">
        <f>VLOOKUP(C22,'Stochastik A'!PupilBlock,3,0)</f>
        <v>5</v>
      </c>
      <c r="G22" s="138">
        <f>VLOOKUP(C22,'Stochastik B'!PupilBlock,7,0)</f>
        <v>0</v>
      </c>
      <c r="H22" s="138">
        <f>VLOOKUP(C22,'Geometrie A'!PupilBlock,4,0)</f>
        <v>4.5</v>
      </c>
      <c r="I22" s="138">
        <f>VLOOKUP(C22,'Geometrie B'!PupilBlock,7,0)</f>
        <v>6</v>
      </c>
      <c r="J22" s="138">
        <f>VLOOKUP(C22,Wahlaufgaben!PupilBlock,7,0)</f>
        <v>8</v>
      </c>
      <c r="K22" s="139">
        <f t="shared" si="0"/>
        <v>53</v>
      </c>
      <c r="L22" s="135">
        <f>VLOOKUP(VALUE(K22),Notenspiegel!$B$3:$C$302,2,0)</f>
        <v>6</v>
      </c>
      <c r="M22" s="136" t="str">
        <f>VLOOKUP(VALUE(K22),Notenspiegel!$B$3:$D$302,3,0)</f>
        <v>4+</v>
      </c>
      <c r="N22" s="94" t="str">
        <f>VLOOKUP(VALUE(K22),Notenspiegel!$B$3:$E$302,4,0)</f>
        <v/>
      </c>
    </row>
    <row r="23" spans="2:14" ht="18" customHeight="1" thickBot="1" x14ac:dyDescent="0.3">
      <c r="B23" s="116">
        <v>17</v>
      </c>
      <c r="C23" s="111" t="str">
        <f>Config!C21&amp;", "&amp;Config!D21</f>
        <v>Kainz, Vivienne</v>
      </c>
      <c r="D23" s="125">
        <f>VLOOKUP(C23,'Analysis A'!PupilBlock,8,0)</f>
        <v>1</v>
      </c>
      <c r="E23" s="125">
        <f>VLOOKUP(C23,'Analysis B'!PupilBlock,12,0)</f>
        <v>6.5</v>
      </c>
      <c r="F23" s="125">
        <f>VLOOKUP(C23,'Stochastik A'!PupilBlock,3,0)</f>
        <v>5</v>
      </c>
      <c r="G23" s="125">
        <f>VLOOKUP(C23,'Stochastik B'!PupilBlock,7,0)</f>
        <v>7.5</v>
      </c>
      <c r="H23" s="125">
        <f>VLOOKUP(C23,'Geometrie A'!PupilBlock,4,0)</f>
        <v>5</v>
      </c>
      <c r="I23" s="125">
        <f>VLOOKUP(C23,'Geometrie B'!PupilBlock,7,0)</f>
        <v>4.5</v>
      </c>
      <c r="J23" s="125">
        <f>VLOOKUP(C23,Wahlaufgaben!PupilBlock,7,0)</f>
        <v>10</v>
      </c>
      <c r="K23" s="112">
        <f t="shared" si="0"/>
        <v>39.5</v>
      </c>
      <c r="L23" s="144">
        <f>VLOOKUP(VALUE(K23),Notenspiegel!$B$3:$C$302,2,0)</f>
        <v>3</v>
      </c>
      <c r="M23" s="145" t="str">
        <f>VLOOKUP(VALUE(K23),Notenspiegel!$B$3:$D$302,3,0)</f>
        <v>5+</v>
      </c>
      <c r="N23" s="94" t="str">
        <f>VLOOKUP(VALUE(K23),Notenspiegel!$B$3:$E$302,4,0)</f>
        <v>++</v>
      </c>
    </row>
    <row r="24" spans="2:14" ht="18" customHeight="1" thickBot="1" x14ac:dyDescent="0.3">
      <c r="B24" s="140">
        <v>18</v>
      </c>
      <c r="C24" s="137" t="str">
        <f>Config!C22&amp;", "&amp;Config!D22</f>
        <v>Hartmann, Mads</v>
      </c>
      <c r="D24" s="138">
        <f>VLOOKUP(C24,'Analysis A'!PupilBlock,8,0)</f>
        <v>10</v>
      </c>
      <c r="E24" s="138">
        <f>VLOOKUP(C24,'Analysis B'!PupilBlock,12,0)</f>
        <v>16</v>
      </c>
      <c r="F24" s="138">
        <f>VLOOKUP(C24,'Stochastik A'!PupilBlock,3,0)</f>
        <v>2.5</v>
      </c>
      <c r="G24" s="138">
        <f>VLOOKUP(C24,'Stochastik B'!PupilBlock,7,0)</f>
        <v>7</v>
      </c>
      <c r="H24" s="138">
        <f>VLOOKUP(C24,'Geometrie A'!PupilBlock,4,0)</f>
        <v>1</v>
      </c>
      <c r="I24" s="138">
        <f>VLOOKUP(C24,'Geometrie B'!PupilBlock,7,0)</f>
        <v>14</v>
      </c>
      <c r="J24" s="138">
        <f>VLOOKUP(C24,Wahlaufgaben!PupilBlock,7,0)</f>
        <v>7</v>
      </c>
      <c r="K24" s="139">
        <f t="shared" si="0"/>
        <v>57.5</v>
      </c>
      <c r="L24" s="135">
        <f>VLOOKUP(VALUE(K24),Notenspiegel!$B$3:$C$302,2,0)</f>
        <v>7</v>
      </c>
      <c r="M24" s="136" t="str">
        <f>VLOOKUP(VALUE(K24),Notenspiegel!$B$3:$D$302,3,0)</f>
        <v>3-</v>
      </c>
      <c r="N24" s="94" t="str">
        <f>VLOOKUP(VALUE(K24),Notenspiegel!$B$3:$E$302,4,0)</f>
        <v/>
      </c>
    </row>
    <row r="25" spans="2:14" ht="18" customHeight="1" thickBot="1" x14ac:dyDescent="0.3">
      <c r="B25" s="116">
        <v>19</v>
      </c>
      <c r="C25" s="111" t="str">
        <f>Config!C23&amp;", "&amp;Config!D23</f>
        <v>Ullmann, Raphael</v>
      </c>
      <c r="D25" s="125">
        <f>VLOOKUP(C25,'Analysis A'!PupilBlock,8,0)</f>
        <v>9.5</v>
      </c>
      <c r="E25" s="125">
        <f>VLOOKUP(C25,'Analysis B'!PupilBlock,12,0)</f>
        <v>14.5</v>
      </c>
      <c r="F25" s="125">
        <f>VLOOKUP(C25,'Stochastik A'!PupilBlock,3,0)</f>
        <v>5</v>
      </c>
      <c r="G25" s="125">
        <f>VLOOKUP(C25,'Stochastik B'!PupilBlock,7,0)</f>
        <v>7</v>
      </c>
      <c r="H25" s="125">
        <f>VLOOKUP(C25,'Geometrie A'!PupilBlock,4,0)</f>
        <v>2</v>
      </c>
      <c r="I25" s="125">
        <f>VLOOKUP(C25,'Geometrie B'!PupilBlock,7,0)</f>
        <v>13.5</v>
      </c>
      <c r="J25" s="125">
        <f>VLOOKUP(C25,Wahlaufgaben!PupilBlock,7,0)</f>
        <v>8</v>
      </c>
      <c r="K25" s="112">
        <f t="shared" si="0"/>
        <v>59.5</v>
      </c>
      <c r="L25" s="144">
        <f>VLOOKUP(VALUE(K25),Notenspiegel!$B$3:$C$302,2,0)</f>
        <v>7</v>
      </c>
      <c r="M25" s="145" t="str">
        <f>VLOOKUP(VALUE(K25),Notenspiegel!$B$3:$D$302,3,0)</f>
        <v>3-</v>
      </c>
      <c r="N25" s="94" t="str">
        <f>VLOOKUP(VALUE(K25),Notenspiegel!$B$3:$E$302,4,0)</f>
        <v>++</v>
      </c>
    </row>
    <row r="26" spans="2:14" ht="18" customHeight="1" thickBot="1" x14ac:dyDescent="0.3">
      <c r="B26" s="140">
        <v>20</v>
      </c>
      <c r="C26" s="137" t="str">
        <f>Config!C24&amp;", "&amp;Config!D24</f>
        <v>Hartl, Emmely</v>
      </c>
      <c r="D26" s="138">
        <f>VLOOKUP(C26,'Analysis A'!PupilBlock,8,0)</f>
        <v>13.5</v>
      </c>
      <c r="E26" s="138">
        <f>VLOOKUP(C26,'Analysis B'!PupilBlock,12,0)</f>
        <v>23</v>
      </c>
      <c r="F26" s="138">
        <f>VLOOKUP(C26,'Stochastik A'!PupilBlock,3,0)</f>
        <v>3</v>
      </c>
      <c r="G26" s="138">
        <f>VLOOKUP(C26,'Stochastik B'!PupilBlock,7,0)</f>
        <v>4.5</v>
      </c>
      <c r="H26" s="138">
        <f>VLOOKUP(C26,'Geometrie A'!PupilBlock,4,0)</f>
        <v>2</v>
      </c>
      <c r="I26" s="138">
        <f>VLOOKUP(C26,'Geometrie B'!PupilBlock,7,0)</f>
        <v>15</v>
      </c>
      <c r="J26" s="138">
        <f>VLOOKUP(C26,Wahlaufgaben!PupilBlock,7,0)</f>
        <v>10</v>
      </c>
      <c r="K26" s="139">
        <f t="shared" si="0"/>
        <v>71</v>
      </c>
      <c r="L26" s="135">
        <f>VLOOKUP(VALUE(K26),Notenspiegel!$B$3:$C$302,2,0)</f>
        <v>10</v>
      </c>
      <c r="M26" s="136" t="str">
        <f>VLOOKUP(VALUE(K26),Notenspiegel!$B$3:$D$302,3,0)</f>
        <v>2-</v>
      </c>
      <c r="N26" s="94" t="str">
        <f>VLOOKUP(VALUE(K26),Notenspiegel!$B$3:$E$302,4,0)</f>
        <v/>
      </c>
    </row>
    <row r="27" spans="2:14" ht="18" customHeight="1" thickBot="1" x14ac:dyDescent="0.3">
      <c r="B27" s="116">
        <v>21</v>
      </c>
      <c r="C27" s="111" t="str">
        <f>Config!C25&amp;", "&amp;Config!D25</f>
        <v>Klotz, Karin</v>
      </c>
      <c r="D27" s="125">
        <f>VLOOKUP(C27,'Analysis A'!PupilBlock,8,0)</f>
        <v>13.5</v>
      </c>
      <c r="E27" s="125">
        <f>VLOOKUP(C27,'Analysis B'!PupilBlock,12,0)</f>
        <v>26.5</v>
      </c>
      <c r="F27" s="125">
        <f>VLOOKUP(C27,'Stochastik A'!PupilBlock,3,0)</f>
        <v>4</v>
      </c>
      <c r="G27" s="125">
        <f>VLOOKUP(C27,'Stochastik B'!PupilBlock,7,0)</f>
        <v>6</v>
      </c>
      <c r="H27" s="125">
        <f>VLOOKUP(C27,'Geometrie A'!PupilBlock,4,0)</f>
        <v>5</v>
      </c>
      <c r="I27" s="125">
        <f>VLOOKUP(C27,'Geometrie B'!PupilBlock,7,0)</f>
        <v>16</v>
      </c>
      <c r="J27" s="125">
        <f>VLOOKUP(C27,Wahlaufgaben!PupilBlock,7,0)</f>
        <v>10</v>
      </c>
      <c r="K27" s="112">
        <f t="shared" si="0"/>
        <v>81</v>
      </c>
      <c r="L27" s="131">
        <f>VLOOKUP(VALUE(K27),Notenspiegel!$B$3:$C$302,2,0)</f>
        <v>12</v>
      </c>
      <c r="M27" s="132" t="str">
        <f>VLOOKUP(VALUE(K27),Notenspiegel!$B$3:$D$302,3,0)</f>
        <v>2+</v>
      </c>
      <c r="N27" s="94" t="str">
        <f>VLOOKUP(VALUE(K27),Notenspiegel!$B$3:$E$302,4,0)</f>
        <v/>
      </c>
    </row>
    <row r="28" spans="2:14" ht="18" customHeight="1" thickBot="1" x14ac:dyDescent="0.3">
      <c r="B28" s="140">
        <v>22</v>
      </c>
      <c r="C28" s="137" t="str">
        <f>Config!C26&amp;", "&amp;Config!D26</f>
        <v>Ehlers, Ingo</v>
      </c>
      <c r="D28" s="138">
        <f>VLOOKUP(C28,'Analysis A'!PupilBlock,8,0)</f>
        <v>10</v>
      </c>
      <c r="E28" s="138">
        <f>VLOOKUP(C28,'Analysis B'!PupilBlock,12,0)</f>
        <v>21</v>
      </c>
      <c r="F28" s="138">
        <f>VLOOKUP(C28,'Stochastik A'!PupilBlock,3,0)</f>
        <v>5</v>
      </c>
      <c r="G28" s="138">
        <f>VLOOKUP(C28,'Stochastik B'!PupilBlock,7,0)</f>
        <v>5.5</v>
      </c>
      <c r="H28" s="138">
        <f>VLOOKUP(C28,'Geometrie A'!PupilBlock,4,0)</f>
        <v>5</v>
      </c>
      <c r="I28" s="138">
        <f>VLOOKUP(C28,'Geometrie B'!PupilBlock,7,0)</f>
        <v>14.5</v>
      </c>
      <c r="J28" s="138">
        <f>VLOOKUP(C28,Wahlaufgaben!PupilBlock,7,0)</f>
        <v>7</v>
      </c>
      <c r="K28" s="139">
        <f t="shared" si="0"/>
        <v>68</v>
      </c>
      <c r="L28" s="135">
        <f>VLOOKUP(VALUE(K28),Notenspiegel!$B$3:$C$302,2,0)</f>
        <v>9</v>
      </c>
      <c r="M28" s="136" t="str">
        <f>VLOOKUP(VALUE(K28),Notenspiegel!$B$3:$D$302,3,0)</f>
        <v>3+</v>
      </c>
      <c r="N28" s="94" t="str">
        <f>VLOOKUP(VALUE(K28),Notenspiegel!$B$3:$E$302,4,0)</f>
        <v/>
      </c>
    </row>
    <row r="29" spans="2:14" ht="18" customHeight="1" thickBot="1" x14ac:dyDescent="0.3">
      <c r="B29" s="117">
        <v>23</v>
      </c>
      <c r="C29" s="114" t="str">
        <f>Config!C27&amp;", "&amp;Config!D27</f>
        <v>Lindemann, Mads</v>
      </c>
      <c r="D29" s="127">
        <f>VLOOKUP(C29,'Analysis A'!PupilBlock,8,0)</f>
        <v>7</v>
      </c>
      <c r="E29" s="127">
        <f>VLOOKUP(C29,'Analysis B'!PupilBlock,12,0)</f>
        <v>16</v>
      </c>
      <c r="F29" s="127">
        <f>VLOOKUP(C29,'Stochastik A'!PupilBlock,3,0)</f>
        <v>5</v>
      </c>
      <c r="G29" s="127">
        <f>VLOOKUP(C29,'Stochastik B'!PupilBlock,7,0)</f>
        <v>10</v>
      </c>
      <c r="H29" s="127">
        <f>VLOOKUP(C29,'Geometrie A'!PupilBlock,4,0)</f>
        <v>3</v>
      </c>
      <c r="I29" s="127">
        <f>VLOOKUP(C29,'Geometrie B'!PupilBlock,7,0)</f>
        <v>6.5</v>
      </c>
      <c r="J29" s="127">
        <f>VLOOKUP(C29,Wahlaufgaben!PupilBlock,7,0)</f>
        <v>8</v>
      </c>
      <c r="K29" s="112">
        <f t="shared" si="0"/>
        <v>55.5</v>
      </c>
      <c r="L29" s="153">
        <f>VLOOKUP(VALUE(K29),Notenspiegel!$B$3:$C$302,2,0)</f>
        <v>7</v>
      </c>
      <c r="M29" s="154" t="str">
        <f>VLOOKUP(VALUE(K29),Notenspiegel!$B$3:$D$302,3,0)</f>
        <v>3-</v>
      </c>
      <c r="N29" s="94"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9139D-6B2D-44C4-A1F8-40A9DD7F4A73}">
  <sheetPr codeName="Tabelle208">
    <tabColor rgb="FF92D050"/>
  </sheetPr>
  <dimension ref="B1:J54"/>
  <sheetViews>
    <sheetView workbookViewId="0">
      <selection activeCell="D7" sqref="D7"/>
    </sheetView>
  </sheetViews>
  <sheetFormatPr baseColWidth="10" defaultRowHeight="13.2" x14ac:dyDescent="0.25"/>
  <cols>
    <col min="1" max="2" width="3.44140625" style="94" customWidth="1"/>
    <col min="3" max="3" width="25.77734375" style="94" customWidth="1"/>
    <col min="4" max="10" width="8.77734375" style="94" customWidth="1"/>
    <col min="11" max="16384" width="11.5546875" style="94"/>
  </cols>
  <sheetData>
    <row r="1" spans="2:10" ht="18" customHeight="1" thickBot="1" x14ac:dyDescent="0.3"/>
    <row r="2" spans="2:10" ht="18" customHeight="1" x14ac:dyDescent="0.25">
      <c r="B2" s="95" t="str">
        <f>Config!F2&amp;" "&amp;YEAR(Config!G24)</f>
        <v>Mathe Abitur 2026</v>
      </c>
      <c r="C2" s="96"/>
      <c r="D2" s="96"/>
      <c r="E2" s="96"/>
      <c r="F2" s="96"/>
      <c r="G2" s="97"/>
      <c r="H2" s="97"/>
      <c r="I2" s="97"/>
      <c r="J2" s="98" t="str">
        <f>"Kurs "&amp;Config!G26</f>
        <v>Kurs K1</v>
      </c>
    </row>
    <row r="3" spans="2:10" ht="18" customHeight="1" x14ac:dyDescent="0.25">
      <c r="B3" s="99" t="s">
        <v>9</v>
      </c>
      <c r="C3" s="100"/>
      <c r="D3" s="100"/>
      <c r="E3" s="100"/>
      <c r="F3" s="100"/>
      <c r="G3" s="100"/>
      <c r="H3" s="100"/>
      <c r="I3" s="100"/>
      <c r="J3" s="101"/>
    </row>
    <row r="4" spans="2:10" ht="18" customHeight="1" thickBot="1" x14ac:dyDescent="0.3">
      <c r="B4" s="99"/>
      <c r="C4" s="100"/>
      <c r="D4" s="102"/>
      <c r="E4" s="102"/>
      <c r="F4" s="102"/>
      <c r="G4" s="102"/>
      <c r="H4" s="102"/>
      <c r="I4" s="102"/>
      <c r="J4" s="103"/>
    </row>
    <row r="5" spans="2:10" ht="18" customHeight="1" thickBot="1" x14ac:dyDescent="0.3">
      <c r="B5" s="104"/>
      <c r="C5" s="106"/>
      <c r="D5" s="120" t="str">
        <f>Config!F6</f>
        <v>1a</v>
      </c>
      <c r="E5" s="120" t="str">
        <f>Config!F7</f>
        <v>1b</v>
      </c>
      <c r="F5" s="120" t="str">
        <f>Config!F8</f>
        <v>2</v>
      </c>
      <c r="G5" s="120" t="str">
        <f>Config!F9</f>
        <v>3</v>
      </c>
      <c r="H5" s="120" t="str">
        <f>Config!F10</f>
        <v>4a</v>
      </c>
      <c r="I5" s="120" t="str">
        <f>Config!F11</f>
        <v>4b</v>
      </c>
      <c r="J5" s="110" t="s">
        <v>82</v>
      </c>
    </row>
    <row r="6" spans="2:10" ht="18" customHeight="1" thickBot="1" x14ac:dyDescent="0.3">
      <c r="B6" s="105"/>
      <c r="C6" s="107" t="s">
        <v>81</v>
      </c>
      <c r="D6" s="109">
        <f>Config!G6</f>
        <v>2</v>
      </c>
      <c r="E6" s="109">
        <f>Config!G7</f>
        <v>2</v>
      </c>
      <c r="F6" s="109">
        <f>Config!G8</f>
        <v>3</v>
      </c>
      <c r="G6" s="109">
        <f>Config!G9</f>
        <v>3</v>
      </c>
      <c r="H6" s="109">
        <f>Config!G10</f>
        <v>3</v>
      </c>
      <c r="I6" s="109">
        <f>Config!G11</f>
        <v>2</v>
      </c>
      <c r="J6" s="128">
        <f>Config!G21</f>
        <v>15</v>
      </c>
    </row>
    <row r="7" spans="2:10" ht="18" customHeight="1" x14ac:dyDescent="0.25">
      <c r="B7" s="115">
        <v>1</v>
      </c>
      <c r="C7" s="113" t="str">
        <f>Config!C5&amp;", "&amp;Config!D5</f>
        <v>Höfer, Simon</v>
      </c>
      <c r="D7" s="217">
        <v>0.5</v>
      </c>
      <c r="E7" s="217">
        <v>2</v>
      </c>
      <c r="F7" s="217">
        <v>1.5</v>
      </c>
      <c r="G7" s="217">
        <v>2.5</v>
      </c>
      <c r="H7" s="217">
        <v>3</v>
      </c>
      <c r="I7" s="218">
        <v>2</v>
      </c>
      <c r="J7" s="219">
        <f t="shared" ref="J7:J17" si="0">SUM(D7:I7)</f>
        <v>11.5</v>
      </c>
    </row>
    <row r="8" spans="2:10" ht="18" customHeight="1" x14ac:dyDescent="0.25">
      <c r="B8" s="140">
        <v>2</v>
      </c>
      <c r="C8" s="137" t="str">
        <f>Config!C6&amp;", "&amp;Config!D6</f>
        <v>Töpfer, Lilian</v>
      </c>
      <c r="D8" s="220">
        <v>1.5</v>
      </c>
      <c r="E8" s="220">
        <v>2</v>
      </c>
      <c r="F8" s="220">
        <v>0.5</v>
      </c>
      <c r="G8" s="220">
        <v>1</v>
      </c>
      <c r="H8" s="220">
        <v>2</v>
      </c>
      <c r="I8" s="221">
        <v>2</v>
      </c>
      <c r="J8" s="222">
        <f t="shared" si="0"/>
        <v>9</v>
      </c>
    </row>
    <row r="9" spans="2:10" ht="18" customHeight="1" x14ac:dyDescent="0.25">
      <c r="B9" s="116">
        <v>3</v>
      </c>
      <c r="C9" s="111" t="str">
        <f>Config!C7&amp;", "&amp;Config!D7</f>
        <v>Fleischmann, Leonie</v>
      </c>
      <c r="D9" s="220">
        <v>0.5</v>
      </c>
      <c r="E9" s="220">
        <v>1.5</v>
      </c>
      <c r="F9" s="220">
        <v>1.5</v>
      </c>
      <c r="G9" s="220">
        <v>3</v>
      </c>
      <c r="H9" s="220">
        <v>3</v>
      </c>
      <c r="I9" s="221">
        <v>1</v>
      </c>
      <c r="J9" s="223">
        <f t="shared" si="0"/>
        <v>10.5</v>
      </c>
    </row>
    <row r="10" spans="2:10" ht="18" customHeight="1" x14ac:dyDescent="0.25">
      <c r="B10" s="140">
        <v>4</v>
      </c>
      <c r="C10" s="137" t="str">
        <f>Config!C8&amp;", "&amp;Config!D8</f>
        <v>Drescher, Cedric</v>
      </c>
      <c r="D10" s="220">
        <v>2</v>
      </c>
      <c r="E10" s="220">
        <v>2</v>
      </c>
      <c r="F10" s="220">
        <v>1</v>
      </c>
      <c r="G10" s="220">
        <v>3</v>
      </c>
      <c r="H10" s="220">
        <v>2.5</v>
      </c>
      <c r="I10" s="221">
        <v>2</v>
      </c>
      <c r="J10" s="222">
        <f t="shared" si="0"/>
        <v>12.5</v>
      </c>
    </row>
    <row r="11" spans="2:10" ht="18" customHeight="1" x14ac:dyDescent="0.25">
      <c r="B11" s="116">
        <v>5</v>
      </c>
      <c r="C11" s="111" t="str">
        <f>Config!C9&amp;", "&amp;Config!D9</f>
        <v>Baumgarten, Annabell</v>
      </c>
      <c r="D11" s="220">
        <v>2</v>
      </c>
      <c r="E11" s="220">
        <v>2</v>
      </c>
      <c r="F11" s="220">
        <v>2.5</v>
      </c>
      <c r="G11" s="220">
        <v>3</v>
      </c>
      <c r="H11" s="220">
        <v>2.5</v>
      </c>
      <c r="I11" s="221">
        <v>2</v>
      </c>
      <c r="J11" s="223">
        <f t="shared" si="0"/>
        <v>14</v>
      </c>
    </row>
    <row r="12" spans="2:10" ht="18" customHeight="1" x14ac:dyDescent="0.25">
      <c r="B12" s="140">
        <v>6</v>
      </c>
      <c r="C12" s="137" t="str">
        <f>Config!C10&amp;", "&amp;Config!D10</f>
        <v>Traut, Stefanie</v>
      </c>
      <c r="D12" s="220">
        <v>2</v>
      </c>
      <c r="E12" s="220">
        <v>2</v>
      </c>
      <c r="F12" s="220">
        <v>2</v>
      </c>
      <c r="G12" s="220">
        <v>2</v>
      </c>
      <c r="H12" s="220">
        <v>2.5</v>
      </c>
      <c r="I12" s="221">
        <v>2</v>
      </c>
      <c r="J12" s="222">
        <f t="shared" si="0"/>
        <v>12.5</v>
      </c>
    </row>
    <row r="13" spans="2:10" ht="18" customHeight="1" x14ac:dyDescent="0.25">
      <c r="B13" s="116">
        <v>7</v>
      </c>
      <c r="C13" s="111" t="str">
        <f>Config!C11&amp;", "&amp;Config!D11</f>
        <v>Menke, Damian</v>
      </c>
      <c r="D13" s="220">
        <v>1</v>
      </c>
      <c r="E13" s="220">
        <v>1.5</v>
      </c>
      <c r="F13" s="220">
        <v>3</v>
      </c>
      <c r="G13" s="220">
        <v>3</v>
      </c>
      <c r="H13" s="220">
        <v>3</v>
      </c>
      <c r="I13" s="221">
        <v>1</v>
      </c>
      <c r="J13" s="223">
        <f t="shared" si="0"/>
        <v>12.5</v>
      </c>
    </row>
    <row r="14" spans="2:10" ht="18" customHeight="1" x14ac:dyDescent="0.25">
      <c r="B14" s="140">
        <v>8</v>
      </c>
      <c r="C14" s="137" t="str">
        <f>Config!C12&amp;", "&amp;Config!D12</f>
        <v>Carroll, Meik</v>
      </c>
      <c r="D14" s="220">
        <v>0.5</v>
      </c>
      <c r="E14" s="220">
        <v>2</v>
      </c>
      <c r="F14" s="220">
        <v>1.5</v>
      </c>
      <c r="G14" s="220">
        <v>1</v>
      </c>
      <c r="H14" s="220">
        <v>3</v>
      </c>
      <c r="I14" s="221">
        <v>1</v>
      </c>
      <c r="J14" s="222">
        <f t="shared" si="0"/>
        <v>9</v>
      </c>
    </row>
    <row r="15" spans="2:10" ht="18" customHeight="1" x14ac:dyDescent="0.25">
      <c r="B15" s="116">
        <v>9</v>
      </c>
      <c r="C15" s="111" t="str">
        <f>Config!C13&amp;", "&amp;Config!D13</f>
        <v>Hennings, Tomas</v>
      </c>
      <c r="D15" s="220">
        <v>1.5</v>
      </c>
      <c r="E15" s="220">
        <v>2</v>
      </c>
      <c r="F15" s="220">
        <v>1.5</v>
      </c>
      <c r="G15" s="220">
        <v>1</v>
      </c>
      <c r="H15" s="220">
        <v>2</v>
      </c>
      <c r="I15" s="221">
        <v>2</v>
      </c>
      <c r="J15" s="223">
        <f t="shared" si="0"/>
        <v>10</v>
      </c>
    </row>
    <row r="16" spans="2:10" ht="18" customHeight="1" x14ac:dyDescent="0.25">
      <c r="B16" s="140">
        <v>10</v>
      </c>
      <c r="C16" s="137" t="str">
        <f>Config!C14&amp;", "&amp;Config!D14</f>
        <v>Walters, Linn</v>
      </c>
      <c r="D16" s="220">
        <v>0.5</v>
      </c>
      <c r="E16" s="220">
        <v>1</v>
      </c>
      <c r="F16" s="220">
        <v>0</v>
      </c>
      <c r="G16" s="220">
        <v>1</v>
      </c>
      <c r="H16" s="220">
        <v>0.5</v>
      </c>
      <c r="I16" s="221">
        <v>0</v>
      </c>
      <c r="J16" s="222">
        <f t="shared" si="0"/>
        <v>3</v>
      </c>
    </row>
    <row r="17" spans="2:10" ht="18" customHeight="1" x14ac:dyDescent="0.25">
      <c r="B17" s="116">
        <v>11</v>
      </c>
      <c r="C17" s="111" t="str">
        <f>Config!C15&amp;", "&amp;Config!D15</f>
        <v>Junker, Amely</v>
      </c>
      <c r="D17" s="220">
        <v>0.5</v>
      </c>
      <c r="E17" s="220">
        <v>2</v>
      </c>
      <c r="F17" s="220">
        <v>1.5</v>
      </c>
      <c r="G17" s="220">
        <v>0</v>
      </c>
      <c r="H17" s="220">
        <v>1.5</v>
      </c>
      <c r="I17" s="221">
        <v>1</v>
      </c>
      <c r="J17" s="223">
        <f t="shared" si="0"/>
        <v>6.5</v>
      </c>
    </row>
    <row r="18" spans="2:10" ht="18" customHeight="1" x14ac:dyDescent="0.25">
      <c r="B18" s="140">
        <v>12</v>
      </c>
      <c r="C18" s="137" t="str">
        <f>Config!C16&amp;", "&amp;Config!D16</f>
        <v>Stephens, Melvin</v>
      </c>
      <c r="D18" s="220">
        <v>2</v>
      </c>
      <c r="E18" s="220">
        <v>2</v>
      </c>
      <c r="F18" s="220">
        <v>1</v>
      </c>
      <c r="G18" s="220">
        <v>3</v>
      </c>
      <c r="H18" s="220">
        <v>1.5</v>
      </c>
      <c r="I18" s="221">
        <v>2</v>
      </c>
      <c r="J18" s="222">
        <f t="shared" ref="J18:J28" si="1">SUM(D18:I18)</f>
        <v>11.5</v>
      </c>
    </row>
    <row r="19" spans="2:10" ht="18" customHeight="1" x14ac:dyDescent="0.25">
      <c r="B19" s="116">
        <v>13</v>
      </c>
      <c r="C19" s="111" t="str">
        <f>Config!C17&amp;", "&amp;Config!D17</f>
        <v>Cremer, Marvin</v>
      </c>
      <c r="D19" s="220">
        <v>1.5</v>
      </c>
      <c r="E19" s="220">
        <v>2</v>
      </c>
      <c r="F19" s="220">
        <v>1.5</v>
      </c>
      <c r="G19" s="220">
        <v>3</v>
      </c>
      <c r="H19" s="220">
        <v>3</v>
      </c>
      <c r="I19" s="221">
        <v>1.5</v>
      </c>
      <c r="J19" s="223">
        <f t="shared" si="1"/>
        <v>12.5</v>
      </c>
    </row>
    <row r="20" spans="2:10" ht="18" customHeight="1" x14ac:dyDescent="0.25">
      <c r="B20" s="140">
        <v>14</v>
      </c>
      <c r="C20" s="137" t="str">
        <f>Config!C18&amp;", "&amp;Config!D18</f>
        <v>Nash, Jean</v>
      </c>
      <c r="D20" s="220">
        <v>2</v>
      </c>
      <c r="E20" s="220">
        <v>2</v>
      </c>
      <c r="F20" s="220">
        <v>1.5</v>
      </c>
      <c r="G20" s="220">
        <v>3</v>
      </c>
      <c r="H20" s="220">
        <v>3</v>
      </c>
      <c r="I20" s="221">
        <v>2</v>
      </c>
      <c r="J20" s="222">
        <f t="shared" si="1"/>
        <v>13.5</v>
      </c>
    </row>
    <row r="21" spans="2:10" ht="18" customHeight="1" x14ac:dyDescent="0.25">
      <c r="B21" s="116">
        <v>15</v>
      </c>
      <c r="C21" s="111" t="str">
        <f>Config!C19&amp;", "&amp;Config!D19</f>
        <v>Schön, Leonardo</v>
      </c>
      <c r="D21" s="220">
        <v>1</v>
      </c>
      <c r="E21" s="220">
        <v>2</v>
      </c>
      <c r="F21" s="220">
        <v>1.5</v>
      </c>
      <c r="G21" s="220">
        <v>3</v>
      </c>
      <c r="H21" s="220">
        <v>2.5</v>
      </c>
      <c r="I21" s="221">
        <v>2</v>
      </c>
      <c r="J21" s="223">
        <f t="shared" si="1"/>
        <v>12</v>
      </c>
    </row>
    <row r="22" spans="2:10" ht="18" customHeight="1" x14ac:dyDescent="0.25">
      <c r="B22" s="140">
        <v>16</v>
      </c>
      <c r="C22" s="137" t="str">
        <f>Config!C20&amp;", "&amp;Config!D20</f>
        <v>Sigl, Nicholas</v>
      </c>
      <c r="D22" s="220">
        <v>2</v>
      </c>
      <c r="E22" s="220">
        <v>0</v>
      </c>
      <c r="F22" s="220">
        <v>1</v>
      </c>
      <c r="G22" s="220">
        <v>1.5</v>
      </c>
      <c r="H22" s="220">
        <v>2</v>
      </c>
      <c r="I22" s="221">
        <v>1</v>
      </c>
      <c r="J22" s="222">
        <f t="shared" si="1"/>
        <v>7.5</v>
      </c>
    </row>
    <row r="23" spans="2:10" ht="18" customHeight="1" x14ac:dyDescent="0.25">
      <c r="B23" s="116">
        <v>17</v>
      </c>
      <c r="C23" s="111" t="str">
        <f>Config!C21&amp;", "&amp;Config!D21</f>
        <v>Kainz, Vivienne</v>
      </c>
      <c r="D23" s="220">
        <v>0.5</v>
      </c>
      <c r="E23" s="220">
        <v>0</v>
      </c>
      <c r="F23" s="220">
        <v>0</v>
      </c>
      <c r="G23" s="220">
        <v>0</v>
      </c>
      <c r="H23" s="220">
        <v>0.5</v>
      </c>
      <c r="I23" s="221">
        <v>0</v>
      </c>
      <c r="J23" s="223">
        <f t="shared" si="1"/>
        <v>1</v>
      </c>
    </row>
    <row r="24" spans="2:10" ht="18" customHeight="1" x14ac:dyDescent="0.25">
      <c r="B24" s="140">
        <v>18</v>
      </c>
      <c r="C24" s="137" t="str">
        <f>Config!C22&amp;", "&amp;Config!D22</f>
        <v>Hartmann, Mads</v>
      </c>
      <c r="D24" s="220">
        <v>2</v>
      </c>
      <c r="E24" s="220">
        <v>2</v>
      </c>
      <c r="F24" s="220">
        <v>1</v>
      </c>
      <c r="G24" s="220">
        <v>1</v>
      </c>
      <c r="H24" s="220">
        <v>3</v>
      </c>
      <c r="I24" s="221">
        <v>1</v>
      </c>
      <c r="J24" s="222">
        <f t="shared" si="1"/>
        <v>10</v>
      </c>
    </row>
    <row r="25" spans="2:10" ht="18" customHeight="1" x14ac:dyDescent="0.25">
      <c r="B25" s="116">
        <v>19</v>
      </c>
      <c r="C25" s="111" t="str">
        <f>Config!C23&amp;", "&amp;Config!D23</f>
        <v>Ullmann, Raphael</v>
      </c>
      <c r="D25" s="220">
        <v>0.5</v>
      </c>
      <c r="E25" s="220">
        <v>2</v>
      </c>
      <c r="F25" s="220">
        <v>1</v>
      </c>
      <c r="G25" s="220">
        <v>2.5</v>
      </c>
      <c r="H25" s="220">
        <v>1.5</v>
      </c>
      <c r="I25" s="221">
        <v>2</v>
      </c>
      <c r="J25" s="223">
        <f t="shared" si="1"/>
        <v>9.5</v>
      </c>
    </row>
    <row r="26" spans="2:10" ht="18" customHeight="1" x14ac:dyDescent="0.25">
      <c r="B26" s="140">
        <v>20</v>
      </c>
      <c r="C26" s="137" t="str">
        <f>Config!C24&amp;", "&amp;Config!D24</f>
        <v>Hartl, Emmely</v>
      </c>
      <c r="D26" s="220">
        <v>1</v>
      </c>
      <c r="E26" s="220">
        <v>2</v>
      </c>
      <c r="F26" s="220">
        <v>2.5</v>
      </c>
      <c r="G26" s="220">
        <v>3</v>
      </c>
      <c r="H26" s="220">
        <v>3</v>
      </c>
      <c r="I26" s="221">
        <v>2</v>
      </c>
      <c r="J26" s="222">
        <f t="shared" si="1"/>
        <v>13.5</v>
      </c>
    </row>
    <row r="27" spans="2:10" ht="18" customHeight="1" x14ac:dyDescent="0.25">
      <c r="B27" s="116">
        <v>21</v>
      </c>
      <c r="C27" s="111" t="str">
        <f>Config!C25&amp;", "&amp;Config!D25</f>
        <v>Klotz, Karin</v>
      </c>
      <c r="D27" s="220">
        <v>2</v>
      </c>
      <c r="E27" s="220">
        <v>2</v>
      </c>
      <c r="F27" s="220">
        <v>1.5</v>
      </c>
      <c r="G27" s="220">
        <v>3</v>
      </c>
      <c r="H27" s="220">
        <v>3</v>
      </c>
      <c r="I27" s="221">
        <v>2</v>
      </c>
      <c r="J27" s="223">
        <f t="shared" si="1"/>
        <v>13.5</v>
      </c>
    </row>
    <row r="28" spans="2:10" ht="18" customHeight="1" x14ac:dyDescent="0.25">
      <c r="B28" s="140">
        <v>22</v>
      </c>
      <c r="C28" s="137" t="str">
        <f>Config!C26&amp;", "&amp;Config!D26</f>
        <v>Ehlers, Ingo</v>
      </c>
      <c r="D28" s="220">
        <v>0.5</v>
      </c>
      <c r="E28" s="220">
        <v>1.5</v>
      </c>
      <c r="F28" s="220">
        <v>1</v>
      </c>
      <c r="G28" s="220">
        <v>3</v>
      </c>
      <c r="H28" s="220">
        <v>3</v>
      </c>
      <c r="I28" s="221">
        <v>1</v>
      </c>
      <c r="J28" s="222">
        <f t="shared" si="1"/>
        <v>10</v>
      </c>
    </row>
    <row r="29" spans="2:10" ht="18" customHeight="1" thickBot="1" x14ac:dyDescent="0.3">
      <c r="B29" s="117">
        <v>23</v>
      </c>
      <c r="C29" s="114" t="str">
        <f>Config!C27&amp;", "&amp;Config!D27</f>
        <v>Lindemann, Mads</v>
      </c>
      <c r="D29" s="148">
        <v>0.5</v>
      </c>
      <c r="E29" s="148">
        <v>2</v>
      </c>
      <c r="F29" s="148">
        <v>1.5</v>
      </c>
      <c r="G29" s="148">
        <v>0.5</v>
      </c>
      <c r="H29" s="148">
        <v>1.5</v>
      </c>
      <c r="I29" s="149">
        <v>1</v>
      </c>
      <c r="J29" s="147">
        <f t="shared" ref="J29" si="2">SUM(D29:I29)</f>
        <v>7</v>
      </c>
    </row>
    <row r="30" spans="2:10" ht="18" customHeight="1" thickBot="1" x14ac:dyDescent="0.3">
      <c r="B30" s="118"/>
      <c r="C30" s="119"/>
      <c r="D30" s="119">
        <f>IF(COUNTIFS(D7:D29,"&lt;&gt;",C7:C29,"&lt;&gt;ZK",C7:C29,"&lt;&gt;DK")&lt;&gt;0,SUMIFS(D7:D29,C7:C29,"&lt;&gt;ZK",C7:C29,"&lt;&gt;DK")/(COUNTIFS(D7:D29,"&lt;&gt;",C7:C29,"&lt;&gt;ZK",C7:C29,"&lt;&gt;DK")*D6),0)</f>
        <v>0.60869565217391308</v>
      </c>
      <c r="E30" s="119">
        <f>IF(COUNTIFS(E7:E29,"&lt;&gt;",C7:C29,"&lt;&gt;ZK",C7:C29,"&lt;&gt;DK")&lt;&gt;0,SUMIFS(E7:E29,C7:C29,"&lt;&gt;ZK",C7:C29,"&lt;&gt;DK")/(COUNTIFS(E7:E29,"&lt;&gt;",C7:C29,"&lt;&gt;ZK",C7:C29,"&lt;&gt;DK")*E6),0)</f>
        <v>0.85869565217391308</v>
      </c>
      <c r="F30" s="119">
        <f>IF(COUNTIFS(F7:F29,"&lt;&gt;",C7:C29,"&lt;&gt;ZK",C7:C29,"&lt;&gt;DK")&lt;&gt;0,SUMIFS(F7:F29,C7:C29,"&lt;&gt;ZK",C7:C29,"&lt;&gt;DK")/(COUNTIFS(F7:F29,"&lt;&gt;",C7:C29,"&lt;&gt;ZK",C7:C29,"&lt;&gt;DK")*F6),0)</f>
        <v>0.45652173913043476</v>
      </c>
      <c r="G30" s="119">
        <f>IF(COUNTIFS(G7:G29,"&lt;&gt;",C7:C29,"&lt;&gt;ZK",C7:C29,"&lt;&gt;DK")&lt;&gt;0,SUMIFS(G7:G29,C7:C29,"&lt;&gt;ZK",C7:C29,"&lt;&gt;DK")/(COUNTIFS(G7:G29,"&lt;&gt;",C7:C29,"&lt;&gt;ZK",C7:C29,"&lt;&gt;DK")*G6),0)</f>
        <v>0.6811594202898551</v>
      </c>
      <c r="H30" s="119">
        <f>IF(COUNTIFS(H7:H29,"&lt;&gt;",C7:C29,"&lt;&gt;ZK",C7:C29,"&lt;&gt;DK")&lt;&gt;0,SUMIFS(H7:H29,C7:C29,"&lt;&gt;ZK",C7:C29,"&lt;&gt;DK")/(COUNTIFS(H7:H29,"&lt;&gt;",C7:C29,"&lt;&gt;ZK",C7:C29,"&lt;&gt;DK")*H6),0)</f>
        <v>0.76811594202898548</v>
      </c>
      <c r="I30" s="119">
        <f>IF(COUNTIFS(I7:I29,"&lt;&gt;",C7:C29,"&lt;&gt;ZK",C7:C29,"&lt;&gt;DK")&lt;&gt;0,SUMIFS(I7:I29,C7:C29,"&lt;&gt;ZK",C7:C29,"&lt;&gt;DK")/(COUNTIFS(I7:I29,"&lt;&gt;",C7:C29,"&lt;&gt;ZK",C7:C29,"&lt;&gt;DK")*I6),0)</f>
        <v>0.72826086956521741</v>
      </c>
      <c r="J30" s="141"/>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6">
    <dataValidation type="decimal" allowBlank="1" showErrorMessage="1" sqref="D7:D29" xr:uid="{0D2500C0-8FAA-4D96-8251-0AC5E3CA33E7}">
      <formula1>0</formula1>
      <formula2>$D$6</formula2>
    </dataValidation>
    <dataValidation type="decimal" allowBlank="1" showErrorMessage="1" sqref="E7:E29" xr:uid="{4125BF1A-ECAC-4B61-B6B7-1654C850E6BD}">
      <formula1>0</formula1>
      <formula2>$E$6</formula2>
    </dataValidation>
    <dataValidation type="decimal" allowBlank="1" showErrorMessage="1" sqref="F7:F29" xr:uid="{DFCD98EF-E8CA-451E-BE9F-8CCC6260289B}">
      <formula1>0</formula1>
      <formula2>$F$6</formula2>
    </dataValidation>
    <dataValidation type="decimal" allowBlank="1" showErrorMessage="1" sqref="G7:G29" xr:uid="{1DFFBA7C-9C09-473D-87BB-1267D910B739}">
      <formula1>0</formula1>
      <formula2>$G$6</formula2>
    </dataValidation>
    <dataValidation type="decimal" allowBlank="1" showErrorMessage="1" sqref="H7:H29" xr:uid="{E361A9D1-870A-4411-B1DC-A6FDCAAB7781}">
      <formula1>0</formula1>
      <formula2>$H$6</formula2>
    </dataValidation>
    <dataValidation type="decimal" allowBlank="1" showErrorMessage="1" sqref="I7:I29" xr:uid="{1C02BC98-C0ED-4F35-9F27-DEC507B97A4C}">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8D835-3A10-48D5-A03B-548D1DF2601C}">
  <sheetPr codeName="Tabelle209">
    <tabColor rgb="FF92D050"/>
  </sheetPr>
  <dimension ref="B1:N54"/>
  <sheetViews>
    <sheetView workbookViewId="0">
      <selection activeCell="D7" sqref="D7"/>
    </sheetView>
  </sheetViews>
  <sheetFormatPr baseColWidth="10" defaultRowHeight="13.2" x14ac:dyDescent="0.25"/>
  <cols>
    <col min="1" max="2" width="3.44140625" style="94" customWidth="1"/>
    <col min="3" max="3" width="25.77734375" style="94" customWidth="1"/>
    <col min="4" max="14" width="8.77734375" style="94" customWidth="1"/>
    <col min="15" max="16384" width="11.5546875" style="94"/>
  </cols>
  <sheetData>
    <row r="1" spans="2:14" ht="18" customHeight="1" thickBot="1" x14ac:dyDescent="0.3"/>
    <row r="2" spans="2:14" ht="18" customHeight="1" x14ac:dyDescent="0.25">
      <c r="B2" s="95" t="str">
        <f>Config!F2&amp;" "&amp;YEAR(Config!G24)</f>
        <v>Mathe Abitur 2026</v>
      </c>
      <c r="C2" s="96"/>
      <c r="D2" s="96"/>
      <c r="E2" s="96"/>
      <c r="F2" s="96"/>
      <c r="G2" s="96"/>
      <c r="H2" s="96"/>
      <c r="I2" s="97"/>
      <c r="J2" s="97"/>
      <c r="K2" s="97"/>
      <c r="L2" s="97"/>
      <c r="M2" s="97"/>
      <c r="N2" s="98" t="str">
        <f>"Kurs "&amp;Config!G26</f>
        <v>Kurs K1</v>
      </c>
    </row>
    <row r="3" spans="2:14" ht="18" customHeight="1" x14ac:dyDescent="0.25">
      <c r="B3" s="99" t="s">
        <v>10</v>
      </c>
      <c r="C3" s="100"/>
      <c r="D3" s="100"/>
      <c r="E3" s="100"/>
      <c r="F3" s="100"/>
      <c r="G3" s="100"/>
      <c r="H3" s="100"/>
      <c r="I3" s="100"/>
      <c r="J3" s="100"/>
      <c r="K3" s="100"/>
      <c r="L3" s="100"/>
      <c r="M3" s="100"/>
      <c r="N3" s="101"/>
    </row>
    <row r="4" spans="2:14" ht="18" customHeight="1" thickBot="1" x14ac:dyDescent="0.3">
      <c r="B4" s="99"/>
      <c r="C4" s="100"/>
      <c r="D4" s="102"/>
      <c r="E4" s="102"/>
      <c r="F4" s="102"/>
      <c r="G4" s="102"/>
      <c r="H4" s="102"/>
      <c r="I4" s="102"/>
      <c r="J4" s="102"/>
      <c r="K4" s="102"/>
      <c r="L4" s="102"/>
      <c r="M4" s="102"/>
      <c r="N4" s="103"/>
    </row>
    <row r="5" spans="2:14" ht="18" customHeight="1" thickBot="1" x14ac:dyDescent="0.3">
      <c r="B5" s="104"/>
      <c r="C5" s="106"/>
      <c r="D5" s="120" t="str">
        <f>Config!H6</f>
        <v>1a</v>
      </c>
      <c r="E5" s="120" t="str">
        <f>Config!H7</f>
        <v>1b</v>
      </c>
      <c r="F5" s="120" t="str">
        <f>Config!H8</f>
        <v>1c</v>
      </c>
      <c r="G5" s="120" t="str">
        <f>Config!H9</f>
        <v>1d</v>
      </c>
      <c r="H5" s="120" t="str">
        <f>Config!H10</f>
        <v>1e</v>
      </c>
      <c r="I5" s="120" t="str">
        <f>Config!H11</f>
        <v>1f</v>
      </c>
      <c r="J5" s="120" t="str">
        <f>Config!H12</f>
        <v>1g</v>
      </c>
      <c r="K5" s="120" t="str">
        <f>Config!H13</f>
        <v>1h</v>
      </c>
      <c r="L5" s="120" t="str">
        <f>Config!H14</f>
        <v>2a</v>
      </c>
      <c r="M5" s="120" t="str">
        <f>Config!H15</f>
        <v>2b</v>
      </c>
      <c r="N5" s="110" t="s">
        <v>82</v>
      </c>
    </row>
    <row r="6" spans="2:14" ht="18" customHeight="1" thickBot="1" x14ac:dyDescent="0.3">
      <c r="B6" s="105"/>
      <c r="C6" s="107" t="s">
        <v>81</v>
      </c>
      <c r="D6" s="109">
        <f>Config!I6</f>
        <v>2</v>
      </c>
      <c r="E6" s="109">
        <f>Config!I7</f>
        <v>3</v>
      </c>
      <c r="F6" s="109">
        <f>Config!I8</f>
        <v>4</v>
      </c>
      <c r="G6" s="109">
        <f>Config!I9</f>
        <v>3</v>
      </c>
      <c r="H6" s="109">
        <f>Config!I10</f>
        <v>3</v>
      </c>
      <c r="I6" s="109">
        <f>Config!I11</f>
        <v>4</v>
      </c>
      <c r="J6" s="109">
        <f>Config!I12</f>
        <v>3</v>
      </c>
      <c r="K6" s="109">
        <f>Config!I13</f>
        <v>4</v>
      </c>
      <c r="L6" s="109">
        <f>Config!I14</f>
        <v>2</v>
      </c>
      <c r="M6" s="109">
        <f>Config!I15</f>
        <v>2</v>
      </c>
      <c r="N6" s="128">
        <f>Config!I21</f>
        <v>30</v>
      </c>
    </row>
    <row r="7" spans="2:14" ht="18" customHeight="1" x14ac:dyDescent="0.25">
      <c r="B7" s="115">
        <v>1</v>
      </c>
      <c r="C7" s="113" t="str">
        <f>Config!C5&amp;", "&amp;Config!D5</f>
        <v>Höfer, Simon</v>
      </c>
      <c r="D7" s="217">
        <v>1.5</v>
      </c>
      <c r="E7" s="217">
        <v>3</v>
      </c>
      <c r="F7" s="217">
        <v>3</v>
      </c>
      <c r="G7" s="217">
        <v>3</v>
      </c>
      <c r="H7" s="217">
        <v>3</v>
      </c>
      <c r="I7" s="217">
        <v>4</v>
      </c>
      <c r="J7" s="217">
        <v>3</v>
      </c>
      <c r="K7" s="217">
        <v>0</v>
      </c>
      <c r="L7" s="217">
        <v>2</v>
      </c>
      <c r="M7" s="218">
        <v>0</v>
      </c>
      <c r="N7" s="219">
        <f t="shared" ref="N7:N17" si="0">SUM(D7:M7)</f>
        <v>22.5</v>
      </c>
    </row>
    <row r="8" spans="2:14" ht="18" customHeight="1" x14ac:dyDescent="0.25">
      <c r="B8" s="140">
        <v>2</v>
      </c>
      <c r="C8" s="137" t="str">
        <f>Config!C6&amp;", "&amp;Config!D6</f>
        <v>Töpfer, Lilian</v>
      </c>
      <c r="D8" s="220">
        <v>0.5</v>
      </c>
      <c r="E8" s="220">
        <v>2.5</v>
      </c>
      <c r="F8" s="220">
        <v>3</v>
      </c>
      <c r="G8" s="220">
        <v>3</v>
      </c>
      <c r="H8" s="220">
        <v>3</v>
      </c>
      <c r="I8" s="220">
        <v>4</v>
      </c>
      <c r="J8" s="220">
        <v>0</v>
      </c>
      <c r="K8" s="220">
        <v>0</v>
      </c>
      <c r="L8" s="220">
        <v>1.5</v>
      </c>
      <c r="M8" s="221">
        <v>0</v>
      </c>
      <c r="N8" s="222">
        <f t="shared" si="0"/>
        <v>17.5</v>
      </c>
    </row>
    <row r="9" spans="2:14" ht="18" customHeight="1" x14ac:dyDescent="0.25">
      <c r="B9" s="116">
        <v>3</v>
      </c>
      <c r="C9" s="111" t="str">
        <f>Config!C7&amp;", "&amp;Config!D7</f>
        <v>Fleischmann, Leonie</v>
      </c>
      <c r="D9" s="220">
        <v>1</v>
      </c>
      <c r="E9" s="220">
        <v>2</v>
      </c>
      <c r="F9" s="220">
        <v>0</v>
      </c>
      <c r="G9" s="220">
        <v>1</v>
      </c>
      <c r="H9" s="220">
        <v>3</v>
      </c>
      <c r="I9" s="220">
        <v>2.5</v>
      </c>
      <c r="J9" s="220">
        <v>0</v>
      </c>
      <c r="K9" s="220">
        <v>0</v>
      </c>
      <c r="L9" s="220">
        <v>0</v>
      </c>
      <c r="M9" s="221">
        <v>2</v>
      </c>
      <c r="N9" s="223">
        <f t="shared" si="0"/>
        <v>11.5</v>
      </c>
    </row>
    <row r="10" spans="2:14" ht="18" customHeight="1" x14ac:dyDescent="0.25">
      <c r="B10" s="140">
        <v>4</v>
      </c>
      <c r="C10" s="137" t="str">
        <f>Config!C8&amp;", "&amp;Config!D8</f>
        <v>Drescher, Cedric</v>
      </c>
      <c r="D10" s="220">
        <v>1</v>
      </c>
      <c r="E10" s="220">
        <v>3</v>
      </c>
      <c r="F10" s="220">
        <v>3</v>
      </c>
      <c r="G10" s="220">
        <v>3</v>
      </c>
      <c r="H10" s="220">
        <v>3</v>
      </c>
      <c r="I10" s="220">
        <v>4</v>
      </c>
      <c r="J10" s="220">
        <v>1.5</v>
      </c>
      <c r="K10" s="220">
        <v>0</v>
      </c>
      <c r="L10" s="220">
        <v>1.5</v>
      </c>
      <c r="M10" s="221">
        <v>3</v>
      </c>
      <c r="N10" s="222">
        <f t="shared" si="0"/>
        <v>23</v>
      </c>
    </row>
    <row r="11" spans="2:14" ht="18" customHeight="1" x14ac:dyDescent="0.25">
      <c r="B11" s="116">
        <v>5</v>
      </c>
      <c r="C11" s="111" t="str">
        <f>Config!C9&amp;", "&amp;Config!D9</f>
        <v>Baumgarten, Annabell</v>
      </c>
      <c r="D11" s="220">
        <v>2</v>
      </c>
      <c r="E11" s="220">
        <v>2</v>
      </c>
      <c r="F11" s="220">
        <v>3.5</v>
      </c>
      <c r="G11" s="220">
        <v>2.5</v>
      </c>
      <c r="H11" s="220">
        <v>2</v>
      </c>
      <c r="I11" s="220">
        <v>1</v>
      </c>
      <c r="J11" s="220">
        <v>0.5</v>
      </c>
      <c r="K11" s="220">
        <v>2.5</v>
      </c>
      <c r="L11" s="220">
        <v>2</v>
      </c>
      <c r="M11" s="221">
        <v>3.5</v>
      </c>
      <c r="N11" s="223">
        <f t="shared" si="0"/>
        <v>21.5</v>
      </c>
    </row>
    <row r="12" spans="2:14" ht="18" customHeight="1" x14ac:dyDescent="0.25">
      <c r="B12" s="140">
        <v>6</v>
      </c>
      <c r="C12" s="137" t="str">
        <f>Config!C10&amp;", "&amp;Config!D10</f>
        <v>Traut, Stefanie</v>
      </c>
      <c r="D12" s="220">
        <v>2</v>
      </c>
      <c r="E12" s="220">
        <v>3</v>
      </c>
      <c r="F12" s="220">
        <v>4</v>
      </c>
      <c r="G12" s="220">
        <v>3</v>
      </c>
      <c r="H12" s="220">
        <v>3</v>
      </c>
      <c r="I12" s="220">
        <v>4</v>
      </c>
      <c r="J12" s="220">
        <v>3</v>
      </c>
      <c r="K12" s="220">
        <v>4</v>
      </c>
      <c r="L12" s="220">
        <v>2</v>
      </c>
      <c r="M12" s="221">
        <v>5</v>
      </c>
      <c r="N12" s="222">
        <f t="shared" si="0"/>
        <v>33</v>
      </c>
    </row>
    <row r="13" spans="2:14" ht="18" customHeight="1" x14ac:dyDescent="0.25">
      <c r="B13" s="116">
        <v>7</v>
      </c>
      <c r="C13" s="111" t="str">
        <f>Config!C11&amp;", "&amp;Config!D11</f>
        <v>Menke, Damian</v>
      </c>
      <c r="D13" s="220">
        <v>1.5</v>
      </c>
      <c r="E13" s="220">
        <v>2.5</v>
      </c>
      <c r="F13" s="220">
        <v>4</v>
      </c>
      <c r="G13" s="220">
        <v>2</v>
      </c>
      <c r="H13" s="220">
        <v>2</v>
      </c>
      <c r="I13" s="220">
        <v>2.5</v>
      </c>
      <c r="J13" s="220">
        <v>0.5</v>
      </c>
      <c r="K13" s="220">
        <v>3</v>
      </c>
      <c r="L13" s="220">
        <v>1</v>
      </c>
      <c r="M13" s="221">
        <v>3.5</v>
      </c>
      <c r="N13" s="223">
        <f t="shared" si="0"/>
        <v>22.5</v>
      </c>
    </row>
    <row r="14" spans="2:14" ht="18" customHeight="1" x14ac:dyDescent="0.25">
      <c r="B14" s="140">
        <v>8</v>
      </c>
      <c r="C14" s="137" t="str">
        <f>Config!C12&amp;", "&amp;Config!D12</f>
        <v>Carroll, Meik</v>
      </c>
      <c r="D14" s="220">
        <v>1.5</v>
      </c>
      <c r="E14" s="220">
        <v>1</v>
      </c>
      <c r="F14" s="220">
        <v>2.5</v>
      </c>
      <c r="G14" s="220">
        <v>3</v>
      </c>
      <c r="H14" s="220">
        <v>3</v>
      </c>
      <c r="I14" s="220">
        <v>3.5</v>
      </c>
      <c r="J14" s="220">
        <v>0</v>
      </c>
      <c r="K14" s="220">
        <v>0</v>
      </c>
      <c r="L14" s="220">
        <v>2</v>
      </c>
      <c r="M14" s="221">
        <v>0</v>
      </c>
      <c r="N14" s="222">
        <f t="shared" si="0"/>
        <v>16.5</v>
      </c>
    </row>
    <row r="15" spans="2:14" ht="18" customHeight="1" x14ac:dyDescent="0.25">
      <c r="B15" s="116">
        <v>9</v>
      </c>
      <c r="C15" s="111" t="str">
        <f>Config!C13&amp;", "&amp;Config!D13</f>
        <v>Hennings, Tomas</v>
      </c>
      <c r="D15" s="220">
        <v>1.5</v>
      </c>
      <c r="E15" s="220">
        <v>3</v>
      </c>
      <c r="F15" s="220">
        <v>4</v>
      </c>
      <c r="G15" s="220">
        <v>3</v>
      </c>
      <c r="H15" s="220">
        <v>2</v>
      </c>
      <c r="I15" s="220">
        <v>1</v>
      </c>
      <c r="J15" s="220">
        <v>0</v>
      </c>
      <c r="K15" s="220">
        <v>0</v>
      </c>
      <c r="L15" s="220">
        <v>0</v>
      </c>
      <c r="M15" s="221">
        <v>0</v>
      </c>
      <c r="N15" s="223">
        <f t="shared" si="0"/>
        <v>14.5</v>
      </c>
    </row>
    <row r="16" spans="2:14" ht="18" customHeight="1" x14ac:dyDescent="0.25">
      <c r="B16" s="140">
        <v>10</v>
      </c>
      <c r="C16" s="137" t="str">
        <f>Config!C14&amp;", "&amp;Config!D14</f>
        <v>Walters, Linn</v>
      </c>
      <c r="D16" s="220">
        <v>0</v>
      </c>
      <c r="E16" s="220">
        <v>1.5</v>
      </c>
      <c r="F16" s="220">
        <v>2.5</v>
      </c>
      <c r="G16" s="220">
        <v>0</v>
      </c>
      <c r="H16" s="220">
        <v>1</v>
      </c>
      <c r="I16" s="220">
        <v>1</v>
      </c>
      <c r="J16" s="220">
        <v>0</v>
      </c>
      <c r="K16" s="220">
        <v>0</v>
      </c>
      <c r="L16" s="220">
        <v>1</v>
      </c>
      <c r="M16" s="221">
        <v>0</v>
      </c>
      <c r="N16" s="222">
        <f t="shared" si="0"/>
        <v>7</v>
      </c>
    </row>
    <row r="17" spans="2:14" ht="18" customHeight="1" x14ac:dyDescent="0.25">
      <c r="B17" s="116">
        <v>11</v>
      </c>
      <c r="C17" s="111" t="str">
        <f>Config!C15&amp;", "&amp;Config!D15</f>
        <v>Junker, Amely</v>
      </c>
      <c r="D17" s="220">
        <v>1</v>
      </c>
      <c r="E17" s="220">
        <v>1.5</v>
      </c>
      <c r="F17" s="220">
        <v>4</v>
      </c>
      <c r="G17" s="220">
        <v>1.5</v>
      </c>
      <c r="H17" s="220">
        <v>2</v>
      </c>
      <c r="I17" s="220">
        <v>3.5</v>
      </c>
      <c r="J17" s="220">
        <v>0</v>
      </c>
      <c r="K17" s="220">
        <v>0</v>
      </c>
      <c r="L17" s="220">
        <v>0</v>
      </c>
      <c r="M17" s="221">
        <v>0</v>
      </c>
      <c r="N17" s="223">
        <f t="shared" si="0"/>
        <v>13.5</v>
      </c>
    </row>
    <row r="18" spans="2:14" ht="18" customHeight="1" x14ac:dyDescent="0.25">
      <c r="B18" s="140">
        <v>12</v>
      </c>
      <c r="C18" s="137" t="str">
        <f>Config!C16&amp;", "&amp;Config!D16</f>
        <v>Stephens, Melvin</v>
      </c>
      <c r="D18" s="220">
        <v>2</v>
      </c>
      <c r="E18" s="220">
        <v>3</v>
      </c>
      <c r="F18" s="220">
        <v>4</v>
      </c>
      <c r="G18" s="220">
        <v>3</v>
      </c>
      <c r="H18" s="220">
        <v>3</v>
      </c>
      <c r="I18" s="220">
        <v>4</v>
      </c>
      <c r="J18" s="220">
        <v>3</v>
      </c>
      <c r="K18" s="220">
        <v>0</v>
      </c>
      <c r="L18" s="220">
        <v>2</v>
      </c>
      <c r="M18" s="221">
        <v>3</v>
      </c>
      <c r="N18" s="222">
        <f t="shared" ref="N18:N28" si="1">SUM(D18:M18)</f>
        <v>27</v>
      </c>
    </row>
    <row r="19" spans="2:14" ht="18" customHeight="1" x14ac:dyDescent="0.25">
      <c r="B19" s="116">
        <v>13</v>
      </c>
      <c r="C19" s="111" t="str">
        <f>Config!C17&amp;", "&amp;Config!D17</f>
        <v>Cremer, Marvin</v>
      </c>
      <c r="D19" s="220">
        <v>0.5</v>
      </c>
      <c r="E19" s="220">
        <v>1.5</v>
      </c>
      <c r="F19" s="220">
        <v>4</v>
      </c>
      <c r="G19" s="220">
        <v>3</v>
      </c>
      <c r="H19" s="220">
        <v>3</v>
      </c>
      <c r="I19" s="220">
        <v>3.5</v>
      </c>
      <c r="J19" s="220">
        <v>0</v>
      </c>
      <c r="K19" s="220">
        <v>0</v>
      </c>
      <c r="L19" s="220">
        <v>2</v>
      </c>
      <c r="M19" s="221">
        <v>4.5</v>
      </c>
      <c r="N19" s="223">
        <f t="shared" si="1"/>
        <v>22</v>
      </c>
    </row>
    <row r="20" spans="2:14" ht="18" customHeight="1" x14ac:dyDescent="0.25">
      <c r="B20" s="140">
        <v>14</v>
      </c>
      <c r="C20" s="137" t="str">
        <f>Config!C18&amp;", "&amp;Config!D18</f>
        <v>Nash, Jean</v>
      </c>
      <c r="D20" s="220">
        <v>1.5</v>
      </c>
      <c r="E20" s="220">
        <v>2.5</v>
      </c>
      <c r="F20" s="220">
        <v>3</v>
      </c>
      <c r="G20" s="220">
        <v>2.5</v>
      </c>
      <c r="H20" s="220">
        <v>2</v>
      </c>
      <c r="I20" s="220">
        <v>4</v>
      </c>
      <c r="J20" s="220">
        <v>0</v>
      </c>
      <c r="K20" s="220">
        <v>0</v>
      </c>
      <c r="L20" s="220">
        <v>0</v>
      </c>
      <c r="M20" s="221">
        <v>0</v>
      </c>
      <c r="N20" s="222">
        <f t="shared" si="1"/>
        <v>15.5</v>
      </c>
    </row>
    <row r="21" spans="2:14" ht="18" customHeight="1" x14ac:dyDescent="0.25">
      <c r="B21" s="116">
        <v>15</v>
      </c>
      <c r="C21" s="111" t="str">
        <f>Config!C19&amp;", "&amp;Config!D19</f>
        <v>Schön, Leonardo</v>
      </c>
      <c r="D21" s="220">
        <v>1.5</v>
      </c>
      <c r="E21" s="220">
        <v>3</v>
      </c>
      <c r="F21" s="220">
        <v>4</v>
      </c>
      <c r="G21" s="220">
        <v>3</v>
      </c>
      <c r="H21" s="220">
        <v>2.5</v>
      </c>
      <c r="I21" s="220">
        <v>3.5</v>
      </c>
      <c r="J21" s="220">
        <v>0.5</v>
      </c>
      <c r="K21" s="220">
        <v>0</v>
      </c>
      <c r="L21" s="220">
        <v>2</v>
      </c>
      <c r="M21" s="221">
        <v>3.5</v>
      </c>
      <c r="N21" s="223">
        <f t="shared" si="1"/>
        <v>23.5</v>
      </c>
    </row>
    <row r="22" spans="2:14" ht="18" customHeight="1" x14ac:dyDescent="0.25">
      <c r="B22" s="140">
        <v>16</v>
      </c>
      <c r="C22" s="137" t="str">
        <f>Config!C20&amp;", "&amp;Config!D20</f>
        <v>Sigl, Nicholas</v>
      </c>
      <c r="D22" s="220">
        <v>1.5</v>
      </c>
      <c r="E22" s="220">
        <v>3</v>
      </c>
      <c r="F22" s="220">
        <v>4</v>
      </c>
      <c r="G22" s="220">
        <v>3</v>
      </c>
      <c r="H22" s="220">
        <v>3</v>
      </c>
      <c r="I22" s="220">
        <v>4</v>
      </c>
      <c r="J22" s="220">
        <v>0</v>
      </c>
      <c r="K22" s="220">
        <v>1.5</v>
      </c>
      <c r="L22" s="220">
        <v>0</v>
      </c>
      <c r="M22" s="221">
        <v>2</v>
      </c>
      <c r="N22" s="222">
        <f t="shared" si="1"/>
        <v>22</v>
      </c>
    </row>
    <row r="23" spans="2:14" ht="18" customHeight="1" x14ac:dyDescent="0.25">
      <c r="B23" s="116">
        <v>17</v>
      </c>
      <c r="C23" s="111" t="str">
        <f>Config!C21&amp;", "&amp;Config!D21</f>
        <v>Kainz, Vivienne</v>
      </c>
      <c r="D23" s="220">
        <v>1.5</v>
      </c>
      <c r="E23" s="220">
        <v>1.5</v>
      </c>
      <c r="F23" s="220">
        <v>0</v>
      </c>
      <c r="G23" s="220">
        <v>1.5</v>
      </c>
      <c r="H23" s="220">
        <v>1</v>
      </c>
      <c r="I23" s="220">
        <v>1</v>
      </c>
      <c r="J23" s="220">
        <v>0</v>
      </c>
      <c r="K23" s="220">
        <v>0</v>
      </c>
      <c r="L23" s="220">
        <v>0</v>
      </c>
      <c r="M23" s="221">
        <v>0</v>
      </c>
      <c r="N23" s="223">
        <f t="shared" si="1"/>
        <v>6.5</v>
      </c>
    </row>
    <row r="24" spans="2:14" ht="18" customHeight="1" x14ac:dyDescent="0.25">
      <c r="B24" s="140">
        <v>18</v>
      </c>
      <c r="C24" s="137" t="str">
        <f>Config!C22&amp;", "&amp;Config!D22</f>
        <v>Hartmann, Mads</v>
      </c>
      <c r="D24" s="220">
        <v>1</v>
      </c>
      <c r="E24" s="220">
        <v>2.5</v>
      </c>
      <c r="F24" s="220">
        <v>2</v>
      </c>
      <c r="G24" s="220">
        <v>3</v>
      </c>
      <c r="H24" s="220">
        <v>2.5</v>
      </c>
      <c r="I24" s="220">
        <v>3.5</v>
      </c>
      <c r="J24" s="220">
        <v>0</v>
      </c>
      <c r="K24" s="220">
        <v>0</v>
      </c>
      <c r="L24" s="220">
        <v>1.5</v>
      </c>
      <c r="M24" s="221">
        <v>0</v>
      </c>
      <c r="N24" s="222">
        <f t="shared" si="1"/>
        <v>16</v>
      </c>
    </row>
    <row r="25" spans="2:14" ht="18" customHeight="1" x14ac:dyDescent="0.25">
      <c r="B25" s="116">
        <v>19</v>
      </c>
      <c r="C25" s="111" t="str">
        <f>Config!C23&amp;", "&amp;Config!D23</f>
        <v>Ullmann, Raphael</v>
      </c>
      <c r="D25" s="220">
        <v>1.5</v>
      </c>
      <c r="E25" s="220">
        <v>2</v>
      </c>
      <c r="F25" s="220">
        <v>3</v>
      </c>
      <c r="G25" s="220">
        <v>0.5</v>
      </c>
      <c r="H25" s="220">
        <v>1</v>
      </c>
      <c r="I25" s="220">
        <v>4</v>
      </c>
      <c r="J25" s="220">
        <v>0.5</v>
      </c>
      <c r="K25" s="220">
        <v>0</v>
      </c>
      <c r="L25" s="220">
        <v>2</v>
      </c>
      <c r="M25" s="221">
        <v>0</v>
      </c>
      <c r="N25" s="223">
        <f t="shared" si="1"/>
        <v>14.5</v>
      </c>
    </row>
    <row r="26" spans="2:14" ht="18" customHeight="1" x14ac:dyDescent="0.25">
      <c r="B26" s="140">
        <v>20</v>
      </c>
      <c r="C26" s="137" t="str">
        <f>Config!C24&amp;", "&amp;Config!D24</f>
        <v>Hartl, Emmely</v>
      </c>
      <c r="D26" s="220">
        <v>1.5</v>
      </c>
      <c r="E26" s="220">
        <v>3</v>
      </c>
      <c r="F26" s="220">
        <v>3.5</v>
      </c>
      <c r="G26" s="220">
        <v>2.5</v>
      </c>
      <c r="H26" s="220">
        <v>2</v>
      </c>
      <c r="I26" s="220">
        <v>3.5</v>
      </c>
      <c r="J26" s="220">
        <v>2</v>
      </c>
      <c r="K26" s="220">
        <v>0</v>
      </c>
      <c r="L26" s="220">
        <v>1.5</v>
      </c>
      <c r="M26" s="221">
        <v>3.5</v>
      </c>
      <c r="N26" s="222">
        <f t="shared" si="1"/>
        <v>23</v>
      </c>
    </row>
    <row r="27" spans="2:14" ht="18" customHeight="1" x14ac:dyDescent="0.25">
      <c r="B27" s="116">
        <v>21</v>
      </c>
      <c r="C27" s="111" t="str">
        <f>Config!C25&amp;", "&amp;Config!D25</f>
        <v>Klotz, Karin</v>
      </c>
      <c r="D27" s="220">
        <v>2</v>
      </c>
      <c r="E27" s="220">
        <v>2.5</v>
      </c>
      <c r="F27" s="220">
        <v>4</v>
      </c>
      <c r="G27" s="220">
        <v>3</v>
      </c>
      <c r="H27" s="220">
        <v>2.5</v>
      </c>
      <c r="I27" s="220">
        <v>3</v>
      </c>
      <c r="J27" s="220">
        <v>3</v>
      </c>
      <c r="K27" s="220">
        <v>0</v>
      </c>
      <c r="L27" s="220">
        <v>2</v>
      </c>
      <c r="M27" s="221">
        <v>4.5</v>
      </c>
      <c r="N27" s="223">
        <f t="shared" si="1"/>
        <v>26.5</v>
      </c>
    </row>
    <row r="28" spans="2:14" ht="18" customHeight="1" x14ac:dyDescent="0.25">
      <c r="B28" s="140">
        <v>22</v>
      </c>
      <c r="C28" s="137" t="str">
        <f>Config!C26&amp;", "&amp;Config!D26</f>
        <v>Ehlers, Ingo</v>
      </c>
      <c r="D28" s="220">
        <v>0.5</v>
      </c>
      <c r="E28" s="220">
        <v>3</v>
      </c>
      <c r="F28" s="220">
        <v>4</v>
      </c>
      <c r="G28" s="220">
        <v>2</v>
      </c>
      <c r="H28" s="220">
        <v>2.5</v>
      </c>
      <c r="I28" s="220">
        <v>3</v>
      </c>
      <c r="J28" s="220">
        <v>1.5</v>
      </c>
      <c r="K28" s="220">
        <v>0</v>
      </c>
      <c r="L28" s="220">
        <v>2</v>
      </c>
      <c r="M28" s="221">
        <v>2.5</v>
      </c>
      <c r="N28" s="222">
        <f t="shared" si="1"/>
        <v>21</v>
      </c>
    </row>
    <row r="29" spans="2:14" ht="18" customHeight="1" thickBot="1" x14ac:dyDescent="0.3">
      <c r="B29" s="117">
        <v>23</v>
      </c>
      <c r="C29" s="114" t="str">
        <f>Config!C27&amp;", "&amp;Config!D27</f>
        <v>Lindemann, Mads</v>
      </c>
      <c r="D29" s="148">
        <v>1</v>
      </c>
      <c r="E29" s="148">
        <v>2.5</v>
      </c>
      <c r="F29" s="148">
        <v>3.5</v>
      </c>
      <c r="G29" s="148">
        <v>3</v>
      </c>
      <c r="H29" s="148">
        <v>2</v>
      </c>
      <c r="I29" s="148">
        <v>4</v>
      </c>
      <c r="J29" s="148">
        <v>0</v>
      </c>
      <c r="K29" s="148">
        <v>0</v>
      </c>
      <c r="L29" s="148">
        <v>0</v>
      </c>
      <c r="M29" s="149">
        <v>0</v>
      </c>
      <c r="N29" s="147">
        <f t="shared" ref="N29" si="2">SUM(D29:M29)</f>
        <v>16</v>
      </c>
    </row>
    <row r="30" spans="2:14" ht="18" customHeight="1" thickBot="1" x14ac:dyDescent="0.3">
      <c r="B30" s="118"/>
      <c r="C30" s="119"/>
      <c r="D30" s="119">
        <f>IF(COUNTIFS(D7:D29,"&lt;&gt;",C7:C29,"&lt;&gt;ZK",C7:C29,"&lt;&gt;DK")&lt;&gt;0,SUMIFS(D7:D29,C7:C29,"&lt;&gt;ZK",C7:C29,"&lt;&gt;DK")/(COUNTIFS(D7:D29,"&lt;&gt;",C7:C29,"&lt;&gt;ZK",C7:C29,"&lt;&gt;DK")*D6),0)</f>
        <v>0.64130434782608692</v>
      </c>
      <c r="E30" s="119">
        <f>IF(COUNTIFS(E7:E29,"&lt;&gt;",C7:C29,"&lt;&gt;ZK",C7:C29,"&lt;&gt;DK")&lt;&gt;0,SUMIFS(E7:E29,C7:C29,"&lt;&gt;ZK",C7:C29,"&lt;&gt;DK")/(COUNTIFS(E7:E29,"&lt;&gt;",C7:C29,"&lt;&gt;ZK",C7:C29,"&lt;&gt;DK")*E6),0)</f>
        <v>0.79710144927536231</v>
      </c>
      <c r="F30" s="119">
        <f>IF(COUNTIFS(F7:F29,"&lt;&gt;",C7:C29,"&lt;&gt;ZK",C7:C29,"&lt;&gt;DK")&lt;&gt;0,SUMIFS(F7:F29,C7:C29,"&lt;&gt;ZK",C7:C29,"&lt;&gt;DK")/(COUNTIFS(F7:F29,"&lt;&gt;",C7:C29,"&lt;&gt;ZK",C7:C29,"&lt;&gt;DK")*F6),0)</f>
        <v>0.78804347826086951</v>
      </c>
      <c r="G30" s="119">
        <f>IF(COUNTIFS(G7:G29,"&lt;&gt;",C7:C29,"&lt;&gt;ZK",C7:C29,"&lt;&gt;DK")&lt;&gt;0,SUMIFS(G7:G29,C7:C29,"&lt;&gt;ZK",C7:C29,"&lt;&gt;DK")/(COUNTIFS(G7:G29,"&lt;&gt;",C7:C29,"&lt;&gt;ZK",C7:C29,"&lt;&gt;DK")*G6),0)</f>
        <v>0.79710144927536231</v>
      </c>
      <c r="H30" s="119">
        <f>IF(COUNTIFS(H7:H29,"&lt;&gt;",C7:C29,"&lt;&gt;ZK",C7:C29,"&lt;&gt;DK")&lt;&gt;0,SUMIFS(H7:H29,C7:C29,"&lt;&gt;ZK",C7:C29,"&lt;&gt;DK")/(COUNTIFS(H7:H29,"&lt;&gt;",C7:C29,"&lt;&gt;ZK",C7:C29,"&lt;&gt;DK")*H6),0)</f>
        <v>0.78260869565217395</v>
      </c>
      <c r="I30" s="119">
        <f>IF(COUNTIFS(I7:I29,"&lt;&gt;",C7:C29,"&lt;&gt;ZK",C7:C29,"&lt;&gt;DK")&lt;&gt;0,SUMIFS(I7:I29,C7:C29,"&lt;&gt;ZK",C7:C29,"&lt;&gt;DK")/(COUNTIFS(I7:I29,"&lt;&gt;",C7:C29,"&lt;&gt;ZK",C7:C29,"&lt;&gt;DK")*I6),0)</f>
        <v>0.78260869565217395</v>
      </c>
      <c r="J30" s="119">
        <f>IF(COUNTIFS(J7:J29,"&lt;&gt;",C7:C29,"&lt;&gt;ZK",C7:C29,"&lt;&gt;DK")&lt;&gt;0,SUMIFS(J7:J29,C7:C29,"&lt;&gt;ZK",C7:C29,"&lt;&gt;DK")/(COUNTIFS(J7:J29,"&lt;&gt;",C7:C29,"&lt;&gt;ZK",C7:C29,"&lt;&gt;DK")*J6),0)</f>
        <v>0.27536231884057971</v>
      </c>
      <c r="K30" s="119">
        <f>IF(COUNTIFS(K7:K29,"&lt;&gt;",C7:C29,"&lt;&gt;ZK",C7:C29,"&lt;&gt;DK")&lt;&gt;0,SUMIFS(K7:K29,C7:C29,"&lt;&gt;ZK",C7:C29,"&lt;&gt;DK")/(COUNTIFS(K7:K29,"&lt;&gt;",C7:C29,"&lt;&gt;ZK",C7:C29,"&lt;&gt;DK")*K6),0)</f>
        <v>0.11956521739130435</v>
      </c>
      <c r="L30" s="119">
        <f>IF(COUNTIFS(L7:L29,"&lt;&gt;",C7:C29,"&lt;&gt;ZK",C7:C29,"&lt;&gt;DK")&lt;&gt;0,SUMIFS(L7:L29,C7:C29,"&lt;&gt;ZK",C7:C29,"&lt;&gt;DK")/(COUNTIFS(L7:L29,"&lt;&gt;",C7:C29,"&lt;&gt;ZK",C7:C29,"&lt;&gt;DK")*L6),0)</f>
        <v>0.60869565217391308</v>
      </c>
      <c r="M30" s="119">
        <f>IF(COUNTIFS(M7:M29,"&lt;&gt;",C7:C29,"&lt;&gt;ZK",C7:C29,"&lt;&gt;DK")&lt;&gt;0,SUMIFS(M7:M29,C7:C29,"&lt;&gt;ZK",C7:C29,"&lt;&gt;DK")/(COUNTIFS(M7:M29,"&lt;&gt;",C7:C29,"&lt;&gt;ZK",C7:C29,"&lt;&gt;DK")*M6),0)</f>
        <v>0.88043478260869568</v>
      </c>
      <c r="N30" s="141"/>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10">
    <dataValidation type="decimal" allowBlank="1" showErrorMessage="1" sqref="D7:D29" xr:uid="{1E815D84-80E5-4734-85B5-9FDC6A0C4A18}">
      <formula1>0</formula1>
      <formula2>$D$6</formula2>
    </dataValidation>
    <dataValidation type="decimal" allowBlank="1" showErrorMessage="1" sqref="E7:E29" xr:uid="{82BCFBC7-1B49-4C8B-A964-7271B9EC6606}">
      <formula1>0</formula1>
      <formula2>$E$6</formula2>
    </dataValidation>
    <dataValidation type="decimal" allowBlank="1" showErrorMessage="1" sqref="F7:F29" xr:uid="{3F128BEB-C0AE-4503-B0C4-03D004121A65}">
      <formula1>0</formula1>
      <formula2>$F$6</formula2>
    </dataValidation>
    <dataValidation type="decimal" allowBlank="1" showErrorMessage="1" sqref="G7:G29" xr:uid="{E8A2D3EA-F447-47B8-BF23-6140D06256F7}">
      <formula1>0</formula1>
      <formula2>$G$6</formula2>
    </dataValidation>
    <dataValidation type="decimal" allowBlank="1" showErrorMessage="1" sqref="H7:H29" xr:uid="{E23A781D-ADA7-4D02-9C87-FD4FD19C779A}">
      <formula1>0</formula1>
      <formula2>$H$6</formula2>
    </dataValidation>
    <dataValidation type="decimal" allowBlank="1" showErrorMessage="1" sqref="I7:I29" xr:uid="{4F5CD5FB-6202-410D-84CA-B0E59DCE3B53}">
      <formula1>0</formula1>
      <formula2>$I$6</formula2>
    </dataValidation>
    <dataValidation type="decimal" allowBlank="1" showErrorMessage="1" sqref="J7:J29" xr:uid="{92E0D375-8F8D-49BC-B41E-ABB0D3CDA464}">
      <formula1>0</formula1>
      <formula2>$J$6</formula2>
    </dataValidation>
    <dataValidation type="decimal" allowBlank="1" showErrorMessage="1" sqref="K7:K29" xr:uid="{53663812-B80B-456C-B005-443516DC8A40}">
      <formula1>0</formula1>
      <formula2>$K$6</formula2>
    </dataValidation>
    <dataValidation type="decimal" allowBlank="1" showErrorMessage="1" sqref="L7:L29" xr:uid="{29D8F809-99E7-4632-9CE2-6FBEAF23D383}">
      <formula1>0</formula1>
      <formula2>$L$6</formula2>
    </dataValidation>
    <dataValidation type="decimal" allowBlank="1" showErrorMessage="1" sqref="M7:M29" xr:uid="{0CFAECD2-AE48-4C46-BB9B-0B0E3C76FABB}">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DC5A-1777-4B3D-B5DC-FB3CE80B6996}">
  <sheetPr codeName="Tabelle210">
    <tabColor rgb="FF92D050"/>
  </sheetPr>
  <dimension ref="B1:E54"/>
  <sheetViews>
    <sheetView workbookViewId="0">
      <selection activeCell="D7" sqref="D7"/>
    </sheetView>
  </sheetViews>
  <sheetFormatPr baseColWidth="10" defaultRowHeight="13.2" x14ac:dyDescent="0.25"/>
  <cols>
    <col min="1" max="2" width="3.44140625" style="94" customWidth="1"/>
    <col min="3" max="3" width="25.77734375" style="94" customWidth="1"/>
    <col min="4" max="5" width="8.77734375" style="94" customWidth="1"/>
    <col min="6" max="16384" width="11.5546875" style="94"/>
  </cols>
  <sheetData>
    <row r="1" spans="2:5" ht="18" customHeight="1" thickBot="1" x14ac:dyDescent="0.3"/>
    <row r="2" spans="2:5" ht="18" customHeight="1" x14ac:dyDescent="0.25">
      <c r="B2" s="95" t="str">
        <f>Config!F2&amp;" "&amp;YEAR(Config!G24)</f>
        <v>Mathe Abitur 2026</v>
      </c>
      <c r="C2" s="96"/>
      <c r="D2" s="97"/>
      <c r="E2" s="98" t="str">
        <f>"Kurs "&amp;Config!G26</f>
        <v>Kurs K1</v>
      </c>
    </row>
    <row r="3" spans="2:5" ht="18" customHeight="1" x14ac:dyDescent="0.25">
      <c r="B3" s="99" t="s">
        <v>11</v>
      </c>
      <c r="C3" s="100"/>
      <c r="D3" s="100"/>
      <c r="E3" s="101"/>
    </row>
    <row r="4" spans="2:5" ht="18" customHeight="1" thickBot="1" x14ac:dyDescent="0.3">
      <c r="B4" s="99"/>
      <c r="C4" s="100"/>
      <c r="D4" s="102"/>
      <c r="E4" s="103"/>
    </row>
    <row r="5" spans="2:5" ht="18" customHeight="1" thickBot="1" x14ac:dyDescent="0.3">
      <c r="B5" s="104"/>
      <c r="C5" s="106"/>
      <c r="D5" s="120" t="str">
        <f>Config!J6</f>
        <v>1</v>
      </c>
      <c r="E5" s="110" t="s">
        <v>82</v>
      </c>
    </row>
    <row r="6" spans="2:5" ht="18" customHeight="1" thickBot="1" x14ac:dyDescent="0.3">
      <c r="B6" s="105"/>
      <c r="C6" s="107" t="s">
        <v>81</v>
      </c>
      <c r="D6" s="109">
        <f>Config!K6</f>
        <v>5</v>
      </c>
      <c r="E6" s="128">
        <f>Config!K21</f>
        <v>5</v>
      </c>
    </row>
    <row r="7" spans="2:5" ht="18" customHeight="1" x14ac:dyDescent="0.25">
      <c r="B7" s="115">
        <v>1</v>
      </c>
      <c r="C7" s="113" t="str">
        <f>Config!C5&amp;", "&amp;Config!D5</f>
        <v>Höfer, Simon</v>
      </c>
      <c r="D7" s="218">
        <v>2.5</v>
      </c>
      <c r="E7" s="219">
        <f t="shared" ref="E7:E17" si="0">SUM(D7:D7)</f>
        <v>2.5</v>
      </c>
    </row>
    <row r="8" spans="2:5" ht="18" customHeight="1" x14ac:dyDescent="0.25">
      <c r="B8" s="140">
        <v>2</v>
      </c>
      <c r="C8" s="137" t="str">
        <f>Config!C6&amp;", "&amp;Config!D6</f>
        <v>Töpfer, Lilian</v>
      </c>
      <c r="D8" s="221">
        <v>5</v>
      </c>
      <c r="E8" s="222">
        <f t="shared" si="0"/>
        <v>5</v>
      </c>
    </row>
    <row r="9" spans="2:5" ht="18" customHeight="1" x14ac:dyDescent="0.25">
      <c r="B9" s="116">
        <v>3</v>
      </c>
      <c r="C9" s="111" t="str">
        <f>Config!C7&amp;", "&amp;Config!D7</f>
        <v>Fleischmann, Leonie</v>
      </c>
      <c r="D9" s="221">
        <v>2.5</v>
      </c>
      <c r="E9" s="223">
        <f t="shared" si="0"/>
        <v>2.5</v>
      </c>
    </row>
    <row r="10" spans="2:5" ht="18" customHeight="1" x14ac:dyDescent="0.25">
      <c r="B10" s="140">
        <v>4</v>
      </c>
      <c r="C10" s="137" t="str">
        <f>Config!C8&amp;", "&amp;Config!D8</f>
        <v>Drescher, Cedric</v>
      </c>
      <c r="D10" s="221">
        <v>2.5</v>
      </c>
      <c r="E10" s="222">
        <f t="shared" si="0"/>
        <v>2.5</v>
      </c>
    </row>
    <row r="11" spans="2:5" ht="18" customHeight="1" x14ac:dyDescent="0.25">
      <c r="B11" s="116">
        <v>5</v>
      </c>
      <c r="C11" s="111" t="str">
        <f>Config!C9&amp;", "&amp;Config!D9</f>
        <v>Baumgarten, Annabell</v>
      </c>
      <c r="D11" s="221">
        <v>2.5</v>
      </c>
      <c r="E11" s="223">
        <f t="shared" si="0"/>
        <v>2.5</v>
      </c>
    </row>
    <row r="12" spans="2:5" ht="18" customHeight="1" x14ac:dyDescent="0.25">
      <c r="B12" s="140">
        <v>6</v>
      </c>
      <c r="C12" s="137" t="str">
        <f>Config!C10&amp;", "&amp;Config!D10</f>
        <v>Traut, Stefanie</v>
      </c>
      <c r="D12" s="221">
        <v>3</v>
      </c>
      <c r="E12" s="222">
        <f t="shared" si="0"/>
        <v>3</v>
      </c>
    </row>
    <row r="13" spans="2:5" ht="18" customHeight="1" x14ac:dyDescent="0.25">
      <c r="B13" s="116">
        <v>7</v>
      </c>
      <c r="C13" s="111" t="str">
        <f>Config!C11&amp;", "&amp;Config!D11</f>
        <v>Menke, Damian</v>
      </c>
      <c r="D13" s="221">
        <v>5</v>
      </c>
      <c r="E13" s="223">
        <f t="shared" si="0"/>
        <v>5</v>
      </c>
    </row>
    <row r="14" spans="2:5" ht="18" customHeight="1" x14ac:dyDescent="0.25">
      <c r="B14" s="140">
        <v>8</v>
      </c>
      <c r="C14" s="137" t="str">
        <f>Config!C12&amp;", "&amp;Config!D12</f>
        <v>Carroll, Meik</v>
      </c>
      <c r="D14" s="221">
        <v>5</v>
      </c>
      <c r="E14" s="222">
        <f t="shared" si="0"/>
        <v>5</v>
      </c>
    </row>
    <row r="15" spans="2:5" ht="18" customHeight="1" x14ac:dyDescent="0.25">
      <c r="B15" s="116">
        <v>9</v>
      </c>
      <c r="C15" s="111" t="str">
        <f>Config!C13&amp;", "&amp;Config!D13</f>
        <v>Hennings, Tomas</v>
      </c>
      <c r="D15" s="221">
        <v>4</v>
      </c>
      <c r="E15" s="223">
        <f t="shared" si="0"/>
        <v>4</v>
      </c>
    </row>
    <row r="16" spans="2:5" ht="18" customHeight="1" x14ac:dyDescent="0.25">
      <c r="B16" s="140">
        <v>10</v>
      </c>
      <c r="C16" s="137" t="str">
        <f>Config!C14&amp;", "&amp;Config!D14</f>
        <v>Walters, Linn</v>
      </c>
      <c r="D16" s="221">
        <v>2.5</v>
      </c>
      <c r="E16" s="222">
        <f t="shared" si="0"/>
        <v>2.5</v>
      </c>
    </row>
    <row r="17" spans="2:5" ht="18" customHeight="1" x14ac:dyDescent="0.25">
      <c r="B17" s="116">
        <v>11</v>
      </c>
      <c r="C17" s="111" t="str">
        <f>Config!C15&amp;", "&amp;Config!D15</f>
        <v>Junker, Amely</v>
      </c>
      <c r="D17" s="221">
        <v>2</v>
      </c>
      <c r="E17" s="223">
        <f t="shared" si="0"/>
        <v>2</v>
      </c>
    </row>
    <row r="18" spans="2:5" ht="18" customHeight="1" x14ac:dyDescent="0.25">
      <c r="B18" s="140">
        <v>12</v>
      </c>
      <c r="C18" s="137" t="str">
        <f>Config!C16&amp;", "&amp;Config!D16</f>
        <v>Stephens, Melvin</v>
      </c>
      <c r="D18" s="221">
        <v>2.5</v>
      </c>
      <c r="E18" s="222">
        <f t="shared" ref="E18:E28" si="1">SUM(D18:D18)</f>
        <v>2.5</v>
      </c>
    </row>
    <row r="19" spans="2:5" ht="18" customHeight="1" x14ac:dyDescent="0.25">
      <c r="B19" s="116">
        <v>13</v>
      </c>
      <c r="C19" s="111" t="str">
        <f>Config!C17&amp;", "&amp;Config!D17</f>
        <v>Cremer, Marvin</v>
      </c>
      <c r="D19" s="221">
        <v>5</v>
      </c>
      <c r="E19" s="223">
        <f t="shared" si="1"/>
        <v>5</v>
      </c>
    </row>
    <row r="20" spans="2:5" ht="18" customHeight="1" x14ac:dyDescent="0.25">
      <c r="B20" s="140">
        <v>14</v>
      </c>
      <c r="C20" s="137" t="str">
        <f>Config!C18&amp;", "&amp;Config!D18</f>
        <v>Nash, Jean</v>
      </c>
      <c r="D20" s="221">
        <v>5</v>
      </c>
      <c r="E20" s="222">
        <f t="shared" si="1"/>
        <v>5</v>
      </c>
    </row>
    <row r="21" spans="2:5" ht="18" customHeight="1" x14ac:dyDescent="0.25">
      <c r="B21" s="116">
        <v>15</v>
      </c>
      <c r="C21" s="111" t="str">
        <f>Config!C19&amp;", "&amp;Config!D19</f>
        <v>Schön, Leonardo</v>
      </c>
      <c r="D21" s="221">
        <v>2.5</v>
      </c>
      <c r="E21" s="223">
        <f t="shared" si="1"/>
        <v>2.5</v>
      </c>
    </row>
    <row r="22" spans="2:5" ht="18" customHeight="1" x14ac:dyDescent="0.25">
      <c r="B22" s="140">
        <v>16</v>
      </c>
      <c r="C22" s="137" t="str">
        <f>Config!C20&amp;", "&amp;Config!D20</f>
        <v>Sigl, Nicholas</v>
      </c>
      <c r="D22" s="221">
        <v>5</v>
      </c>
      <c r="E22" s="222">
        <f t="shared" si="1"/>
        <v>5</v>
      </c>
    </row>
    <row r="23" spans="2:5" ht="18" customHeight="1" x14ac:dyDescent="0.25">
      <c r="B23" s="116">
        <v>17</v>
      </c>
      <c r="C23" s="111" t="str">
        <f>Config!C21&amp;", "&amp;Config!D21</f>
        <v>Kainz, Vivienne</v>
      </c>
      <c r="D23" s="221">
        <v>5</v>
      </c>
      <c r="E23" s="223">
        <f t="shared" si="1"/>
        <v>5</v>
      </c>
    </row>
    <row r="24" spans="2:5" ht="18" customHeight="1" x14ac:dyDescent="0.25">
      <c r="B24" s="140">
        <v>18</v>
      </c>
      <c r="C24" s="137" t="str">
        <f>Config!C22&amp;", "&amp;Config!D22</f>
        <v>Hartmann, Mads</v>
      </c>
      <c r="D24" s="221">
        <v>2.5</v>
      </c>
      <c r="E24" s="222">
        <f t="shared" si="1"/>
        <v>2.5</v>
      </c>
    </row>
    <row r="25" spans="2:5" ht="18" customHeight="1" x14ac:dyDescent="0.25">
      <c r="B25" s="116">
        <v>19</v>
      </c>
      <c r="C25" s="111" t="str">
        <f>Config!C23&amp;", "&amp;Config!D23</f>
        <v>Ullmann, Raphael</v>
      </c>
      <c r="D25" s="221">
        <v>5</v>
      </c>
      <c r="E25" s="223">
        <f t="shared" si="1"/>
        <v>5</v>
      </c>
    </row>
    <row r="26" spans="2:5" ht="18" customHeight="1" x14ac:dyDescent="0.25">
      <c r="B26" s="140">
        <v>20</v>
      </c>
      <c r="C26" s="137" t="str">
        <f>Config!C24&amp;", "&amp;Config!D24</f>
        <v>Hartl, Emmely</v>
      </c>
      <c r="D26" s="221">
        <v>3</v>
      </c>
      <c r="E26" s="222">
        <f t="shared" si="1"/>
        <v>3</v>
      </c>
    </row>
    <row r="27" spans="2:5" ht="18" customHeight="1" x14ac:dyDescent="0.25">
      <c r="B27" s="116">
        <v>21</v>
      </c>
      <c r="C27" s="111" t="str">
        <f>Config!C25&amp;", "&amp;Config!D25</f>
        <v>Klotz, Karin</v>
      </c>
      <c r="D27" s="221">
        <v>4</v>
      </c>
      <c r="E27" s="223">
        <f t="shared" si="1"/>
        <v>4</v>
      </c>
    </row>
    <row r="28" spans="2:5" ht="18" customHeight="1" x14ac:dyDescent="0.25">
      <c r="B28" s="140">
        <v>22</v>
      </c>
      <c r="C28" s="137" t="str">
        <f>Config!C26&amp;", "&amp;Config!D26</f>
        <v>Ehlers, Ingo</v>
      </c>
      <c r="D28" s="221">
        <v>5</v>
      </c>
      <c r="E28" s="222">
        <f t="shared" si="1"/>
        <v>5</v>
      </c>
    </row>
    <row r="29" spans="2:5" ht="18" customHeight="1" thickBot="1" x14ac:dyDescent="0.3">
      <c r="B29" s="117">
        <v>23</v>
      </c>
      <c r="C29" s="114" t="str">
        <f>Config!C27&amp;", "&amp;Config!D27</f>
        <v>Lindemann, Mads</v>
      </c>
      <c r="D29" s="149">
        <v>5</v>
      </c>
      <c r="E29" s="147">
        <f t="shared" ref="E29" si="2">SUM(D29:D29)</f>
        <v>5</v>
      </c>
    </row>
    <row r="30" spans="2:5" ht="18" customHeight="1" thickBot="1" x14ac:dyDescent="0.3">
      <c r="B30" s="118"/>
      <c r="C30" s="119"/>
      <c r="D30" s="119">
        <f>IF(COUNTIFS(D7:D29,"&lt;&gt;",C7:C29,"&lt;&gt;ZK",C7:C29,"&lt;&gt;DK")&lt;&gt;0,SUMIFS(D7:D29,C7:C29,"&lt;&gt;ZK",C7:C29,"&lt;&gt;DK")/(COUNTIFS(D7:D29,"&lt;&gt;",C7:C29,"&lt;&gt;ZK",C7:C29,"&lt;&gt;DK")*D6),0)</f>
        <v>0.74782608695652175</v>
      </c>
      <c r="E30" s="141"/>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1">
    <dataValidation type="decimal" allowBlank="1" showErrorMessage="1" sqref="D7:D29" xr:uid="{A080CB37-84B9-438B-8EB6-E92B189A3CA7}">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19621-33BF-44B4-ACCA-D53CFF1D7E3C}">
  <sheetPr codeName="Tabelle211">
    <tabColor rgb="FF92D050"/>
  </sheetPr>
  <dimension ref="B1:I54"/>
  <sheetViews>
    <sheetView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12</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0" t="str">
        <f>Config!L6</f>
        <v>1a</v>
      </c>
      <c r="E5" s="120" t="str">
        <f>Config!L7</f>
        <v>1b</v>
      </c>
      <c r="F5" s="120" t="str">
        <f>Config!L8</f>
        <v>1c</v>
      </c>
      <c r="G5" s="120" t="str">
        <f>Config!L9</f>
        <v>1d</v>
      </c>
      <c r="H5" s="120" t="str">
        <f>Config!L10</f>
        <v>2</v>
      </c>
      <c r="I5" s="110" t="s">
        <v>82</v>
      </c>
    </row>
    <row r="6" spans="2:9" ht="18" customHeight="1" thickBot="1" x14ac:dyDescent="0.3">
      <c r="B6" s="105"/>
      <c r="C6" s="107" t="s">
        <v>81</v>
      </c>
      <c r="D6" s="109">
        <f>Config!M6</f>
        <v>2</v>
      </c>
      <c r="E6" s="109">
        <f>Config!M7</f>
        <v>2</v>
      </c>
      <c r="F6" s="109">
        <f>Config!M8</f>
        <v>2</v>
      </c>
      <c r="G6" s="109">
        <f>Config!M9</f>
        <v>4</v>
      </c>
      <c r="H6" s="109">
        <f>Config!M10</f>
        <v>7</v>
      </c>
      <c r="I6" s="128">
        <f>Config!M21</f>
        <v>17</v>
      </c>
    </row>
    <row r="7" spans="2:9" ht="18" customHeight="1" x14ac:dyDescent="0.25">
      <c r="B7" s="115">
        <v>1</v>
      </c>
      <c r="C7" s="113" t="str">
        <f>Config!C5&amp;", "&amp;Config!D5</f>
        <v>Höfer, Simon</v>
      </c>
      <c r="D7" s="217">
        <v>2</v>
      </c>
      <c r="E7" s="217">
        <v>2</v>
      </c>
      <c r="F7" s="217">
        <v>2</v>
      </c>
      <c r="G7" s="217">
        <v>4</v>
      </c>
      <c r="H7" s="218">
        <v>3</v>
      </c>
      <c r="I7" s="219">
        <f t="shared" ref="I7:I17" si="0">SUM(D7:H7)</f>
        <v>13</v>
      </c>
    </row>
    <row r="8" spans="2:9" ht="18" customHeight="1" x14ac:dyDescent="0.25">
      <c r="B8" s="140">
        <v>2</v>
      </c>
      <c r="C8" s="137" t="str">
        <f>Config!C6&amp;", "&amp;Config!D6</f>
        <v>Töpfer, Lilian</v>
      </c>
      <c r="D8" s="220">
        <v>1</v>
      </c>
      <c r="E8" s="220">
        <v>2</v>
      </c>
      <c r="F8" s="220">
        <v>1</v>
      </c>
      <c r="G8" s="220">
        <v>2</v>
      </c>
      <c r="H8" s="221">
        <v>1</v>
      </c>
      <c r="I8" s="222">
        <f t="shared" si="0"/>
        <v>7</v>
      </c>
    </row>
    <row r="9" spans="2:9" ht="18" customHeight="1" x14ac:dyDescent="0.25">
      <c r="B9" s="116">
        <v>3</v>
      </c>
      <c r="C9" s="111" t="str">
        <f>Config!C7&amp;", "&amp;Config!D7</f>
        <v>Fleischmann, Leonie</v>
      </c>
      <c r="D9" s="220">
        <v>2</v>
      </c>
      <c r="E9" s="220">
        <v>2</v>
      </c>
      <c r="F9" s="220">
        <v>1</v>
      </c>
      <c r="G9" s="220">
        <v>3</v>
      </c>
      <c r="H9" s="221">
        <v>0</v>
      </c>
      <c r="I9" s="223">
        <f t="shared" si="0"/>
        <v>8</v>
      </c>
    </row>
    <row r="10" spans="2:9" ht="18" customHeight="1" x14ac:dyDescent="0.25">
      <c r="B10" s="140">
        <v>4</v>
      </c>
      <c r="C10" s="137" t="str">
        <f>Config!C8&amp;", "&amp;Config!D8</f>
        <v>Drescher, Cedric</v>
      </c>
      <c r="D10" s="220">
        <v>2</v>
      </c>
      <c r="E10" s="220">
        <v>2</v>
      </c>
      <c r="F10" s="220">
        <v>1</v>
      </c>
      <c r="G10" s="220">
        <v>4</v>
      </c>
      <c r="H10" s="221">
        <v>0</v>
      </c>
      <c r="I10" s="222">
        <f t="shared" si="0"/>
        <v>9</v>
      </c>
    </row>
    <row r="11" spans="2:9" ht="18" customHeight="1" x14ac:dyDescent="0.25">
      <c r="B11" s="116">
        <v>5</v>
      </c>
      <c r="C11" s="111" t="str">
        <f>Config!C9&amp;", "&amp;Config!D9</f>
        <v>Baumgarten, Annabell</v>
      </c>
      <c r="D11" s="220">
        <v>1</v>
      </c>
      <c r="E11" s="220">
        <v>1</v>
      </c>
      <c r="F11" s="220">
        <v>1</v>
      </c>
      <c r="G11" s="220">
        <v>1.5</v>
      </c>
      <c r="H11" s="221">
        <v>0</v>
      </c>
      <c r="I11" s="223">
        <f t="shared" si="0"/>
        <v>4.5</v>
      </c>
    </row>
    <row r="12" spans="2:9" ht="18" customHeight="1" x14ac:dyDescent="0.25">
      <c r="B12" s="140">
        <v>6</v>
      </c>
      <c r="C12" s="137" t="str">
        <f>Config!C10&amp;", "&amp;Config!D10</f>
        <v>Traut, Stefanie</v>
      </c>
      <c r="D12" s="220">
        <v>2</v>
      </c>
      <c r="E12" s="220">
        <v>0.5</v>
      </c>
      <c r="F12" s="220">
        <v>1</v>
      </c>
      <c r="G12" s="220">
        <v>4</v>
      </c>
      <c r="H12" s="221">
        <v>3</v>
      </c>
      <c r="I12" s="222">
        <f t="shared" si="0"/>
        <v>10.5</v>
      </c>
    </row>
    <row r="13" spans="2:9" ht="18" customHeight="1" x14ac:dyDescent="0.25">
      <c r="B13" s="116">
        <v>7</v>
      </c>
      <c r="C13" s="111" t="str">
        <f>Config!C11&amp;", "&amp;Config!D11</f>
        <v>Menke, Damian</v>
      </c>
      <c r="D13" s="220">
        <v>2</v>
      </c>
      <c r="E13" s="220">
        <v>2</v>
      </c>
      <c r="F13" s="220">
        <v>2</v>
      </c>
      <c r="G13" s="220">
        <v>2.5</v>
      </c>
      <c r="H13" s="221">
        <v>0</v>
      </c>
      <c r="I13" s="223">
        <f t="shared" si="0"/>
        <v>8.5</v>
      </c>
    </row>
    <row r="14" spans="2:9" ht="18" customHeight="1" x14ac:dyDescent="0.25">
      <c r="B14" s="140">
        <v>8</v>
      </c>
      <c r="C14" s="137" t="str">
        <f>Config!C12&amp;", "&amp;Config!D12</f>
        <v>Carroll, Meik</v>
      </c>
      <c r="D14" s="220">
        <v>2</v>
      </c>
      <c r="E14" s="220">
        <v>2</v>
      </c>
      <c r="F14" s="220">
        <v>2</v>
      </c>
      <c r="G14" s="220">
        <v>2</v>
      </c>
      <c r="H14" s="221">
        <v>0.5</v>
      </c>
      <c r="I14" s="222">
        <f t="shared" si="0"/>
        <v>8.5</v>
      </c>
    </row>
    <row r="15" spans="2:9" ht="18" customHeight="1" x14ac:dyDescent="0.25">
      <c r="B15" s="116">
        <v>9</v>
      </c>
      <c r="C15" s="111" t="str">
        <f>Config!C13&amp;", "&amp;Config!D13</f>
        <v>Hennings, Tomas</v>
      </c>
      <c r="D15" s="220">
        <v>2</v>
      </c>
      <c r="E15" s="220">
        <v>2</v>
      </c>
      <c r="F15" s="220">
        <v>2</v>
      </c>
      <c r="G15" s="220">
        <v>4</v>
      </c>
      <c r="H15" s="221">
        <v>3</v>
      </c>
      <c r="I15" s="223">
        <f t="shared" si="0"/>
        <v>13</v>
      </c>
    </row>
    <row r="16" spans="2:9" ht="18" customHeight="1" x14ac:dyDescent="0.25">
      <c r="B16" s="140">
        <v>10</v>
      </c>
      <c r="C16" s="137" t="str">
        <f>Config!C14&amp;", "&amp;Config!D14</f>
        <v>Walters, Linn</v>
      </c>
      <c r="D16" s="220">
        <v>2</v>
      </c>
      <c r="E16" s="220">
        <v>2</v>
      </c>
      <c r="F16" s="220">
        <v>2</v>
      </c>
      <c r="G16" s="220">
        <v>2</v>
      </c>
      <c r="H16" s="221">
        <v>0</v>
      </c>
      <c r="I16" s="222">
        <f t="shared" si="0"/>
        <v>8</v>
      </c>
    </row>
    <row r="17" spans="2:9" ht="18" customHeight="1" x14ac:dyDescent="0.25">
      <c r="B17" s="116">
        <v>11</v>
      </c>
      <c r="C17" s="111" t="str">
        <f>Config!C15&amp;", "&amp;Config!D15</f>
        <v>Junker, Amely</v>
      </c>
      <c r="D17" s="220">
        <v>1</v>
      </c>
      <c r="E17" s="220">
        <v>0</v>
      </c>
      <c r="F17" s="220">
        <v>2</v>
      </c>
      <c r="G17" s="220">
        <v>1.5</v>
      </c>
      <c r="H17" s="221">
        <v>2</v>
      </c>
      <c r="I17" s="223">
        <f t="shared" si="0"/>
        <v>6.5</v>
      </c>
    </row>
    <row r="18" spans="2:9" ht="18" customHeight="1" x14ac:dyDescent="0.25">
      <c r="B18" s="140">
        <v>12</v>
      </c>
      <c r="C18" s="137" t="str">
        <f>Config!C16&amp;", "&amp;Config!D16</f>
        <v>Stephens, Melvin</v>
      </c>
      <c r="D18" s="220">
        <v>2</v>
      </c>
      <c r="E18" s="220">
        <v>2</v>
      </c>
      <c r="F18" s="220">
        <v>1</v>
      </c>
      <c r="G18" s="220">
        <v>0.5</v>
      </c>
      <c r="H18" s="221">
        <v>0</v>
      </c>
      <c r="I18" s="222">
        <f t="shared" ref="I18:I28" si="1">SUM(D18:H18)</f>
        <v>5.5</v>
      </c>
    </row>
    <row r="19" spans="2:9" ht="18" customHeight="1" x14ac:dyDescent="0.25">
      <c r="B19" s="116">
        <v>13</v>
      </c>
      <c r="C19" s="111" t="str">
        <f>Config!C17&amp;", "&amp;Config!D17</f>
        <v>Cremer, Marvin</v>
      </c>
      <c r="D19" s="220">
        <v>2</v>
      </c>
      <c r="E19" s="220">
        <v>0</v>
      </c>
      <c r="F19" s="220">
        <v>1.5</v>
      </c>
      <c r="G19" s="220">
        <v>0</v>
      </c>
      <c r="H19" s="221">
        <v>2</v>
      </c>
      <c r="I19" s="223">
        <f t="shared" si="1"/>
        <v>5.5</v>
      </c>
    </row>
    <row r="20" spans="2:9" ht="18" customHeight="1" x14ac:dyDescent="0.25">
      <c r="B20" s="140">
        <v>14</v>
      </c>
      <c r="C20" s="137" t="str">
        <f>Config!C18&amp;", "&amp;Config!D18</f>
        <v>Nash, Jean</v>
      </c>
      <c r="D20" s="220">
        <v>2</v>
      </c>
      <c r="E20" s="220">
        <v>0</v>
      </c>
      <c r="F20" s="220">
        <v>1</v>
      </c>
      <c r="G20" s="220">
        <v>2</v>
      </c>
      <c r="H20" s="221">
        <v>3</v>
      </c>
      <c r="I20" s="222">
        <f t="shared" si="1"/>
        <v>8</v>
      </c>
    </row>
    <row r="21" spans="2:9" ht="18" customHeight="1" x14ac:dyDescent="0.25">
      <c r="B21" s="116">
        <v>15</v>
      </c>
      <c r="C21" s="111" t="str">
        <f>Config!C19&amp;", "&amp;Config!D19</f>
        <v>Schön, Leonardo</v>
      </c>
      <c r="D21" s="220">
        <v>2</v>
      </c>
      <c r="E21" s="220">
        <v>0.5</v>
      </c>
      <c r="F21" s="220">
        <v>1.5</v>
      </c>
      <c r="G21" s="220">
        <v>3</v>
      </c>
      <c r="H21" s="221">
        <v>1</v>
      </c>
      <c r="I21" s="223">
        <f t="shared" si="1"/>
        <v>8</v>
      </c>
    </row>
    <row r="22" spans="2:9" ht="18" customHeight="1" x14ac:dyDescent="0.25">
      <c r="B22" s="140">
        <v>16</v>
      </c>
      <c r="C22" s="137" t="str">
        <f>Config!C20&amp;", "&amp;Config!D20</f>
        <v>Sigl, Nicholas</v>
      </c>
      <c r="D22" s="220">
        <v>0</v>
      </c>
      <c r="E22" s="220">
        <v>0</v>
      </c>
      <c r="F22" s="220">
        <v>0</v>
      </c>
      <c r="G22" s="220">
        <v>0</v>
      </c>
      <c r="H22" s="221">
        <v>0</v>
      </c>
      <c r="I22" s="222">
        <f t="shared" si="1"/>
        <v>0</v>
      </c>
    </row>
    <row r="23" spans="2:9" ht="18" customHeight="1" x14ac:dyDescent="0.25">
      <c r="B23" s="116">
        <v>17</v>
      </c>
      <c r="C23" s="111" t="str">
        <f>Config!C21&amp;", "&amp;Config!D21</f>
        <v>Kainz, Vivienne</v>
      </c>
      <c r="D23" s="220">
        <v>1</v>
      </c>
      <c r="E23" s="220">
        <v>1</v>
      </c>
      <c r="F23" s="220">
        <v>1.5</v>
      </c>
      <c r="G23" s="220">
        <v>1</v>
      </c>
      <c r="H23" s="221">
        <v>3</v>
      </c>
      <c r="I23" s="223">
        <f t="shared" si="1"/>
        <v>7.5</v>
      </c>
    </row>
    <row r="24" spans="2:9" ht="18" customHeight="1" x14ac:dyDescent="0.25">
      <c r="B24" s="140">
        <v>18</v>
      </c>
      <c r="C24" s="137" t="str">
        <f>Config!C22&amp;", "&amp;Config!D22</f>
        <v>Hartmann, Mads</v>
      </c>
      <c r="D24" s="220">
        <v>2</v>
      </c>
      <c r="E24" s="220">
        <v>2</v>
      </c>
      <c r="F24" s="220">
        <v>1</v>
      </c>
      <c r="G24" s="220">
        <v>2</v>
      </c>
      <c r="H24" s="221">
        <v>0</v>
      </c>
      <c r="I24" s="222">
        <f t="shared" si="1"/>
        <v>7</v>
      </c>
    </row>
    <row r="25" spans="2:9" ht="18" customHeight="1" x14ac:dyDescent="0.25">
      <c r="B25" s="116">
        <v>19</v>
      </c>
      <c r="C25" s="111" t="str">
        <f>Config!C23&amp;", "&amp;Config!D23</f>
        <v>Ullmann, Raphael</v>
      </c>
      <c r="D25" s="220">
        <v>2</v>
      </c>
      <c r="E25" s="220">
        <v>0.5</v>
      </c>
      <c r="F25" s="220">
        <v>1.5</v>
      </c>
      <c r="G25" s="220">
        <v>2</v>
      </c>
      <c r="H25" s="221">
        <v>1</v>
      </c>
      <c r="I25" s="223">
        <f t="shared" si="1"/>
        <v>7</v>
      </c>
    </row>
    <row r="26" spans="2:9" ht="18" customHeight="1" x14ac:dyDescent="0.25">
      <c r="B26" s="140">
        <v>20</v>
      </c>
      <c r="C26" s="137" t="str">
        <f>Config!C24&amp;", "&amp;Config!D24</f>
        <v>Hartl, Emmely</v>
      </c>
      <c r="D26" s="220">
        <v>2</v>
      </c>
      <c r="E26" s="220">
        <v>0.5</v>
      </c>
      <c r="F26" s="220">
        <v>2</v>
      </c>
      <c r="G26" s="220">
        <v>0</v>
      </c>
      <c r="H26" s="221">
        <v>0</v>
      </c>
      <c r="I26" s="222">
        <f t="shared" si="1"/>
        <v>4.5</v>
      </c>
    </row>
    <row r="27" spans="2:9" ht="18" customHeight="1" x14ac:dyDescent="0.25">
      <c r="B27" s="116">
        <v>21</v>
      </c>
      <c r="C27" s="111" t="str">
        <f>Config!C25&amp;", "&amp;Config!D25</f>
        <v>Klotz, Karin</v>
      </c>
      <c r="D27" s="220">
        <v>1</v>
      </c>
      <c r="E27" s="220">
        <v>2</v>
      </c>
      <c r="F27" s="220">
        <v>1</v>
      </c>
      <c r="G27" s="220">
        <v>2</v>
      </c>
      <c r="H27" s="221">
        <v>0</v>
      </c>
      <c r="I27" s="223">
        <f t="shared" si="1"/>
        <v>6</v>
      </c>
    </row>
    <row r="28" spans="2:9" ht="18" customHeight="1" x14ac:dyDescent="0.25">
      <c r="B28" s="140">
        <v>22</v>
      </c>
      <c r="C28" s="137" t="str">
        <f>Config!C26&amp;", "&amp;Config!D26</f>
        <v>Ehlers, Ingo</v>
      </c>
      <c r="D28" s="220">
        <v>2</v>
      </c>
      <c r="E28" s="220">
        <v>0</v>
      </c>
      <c r="F28" s="220">
        <v>2</v>
      </c>
      <c r="G28" s="220">
        <v>1.5</v>
      </c>
      <c r="H28" s="221">
        <v>0</v>
      </c>
      <c r="I28" s="222">
        <f t="shared" si="1"/>
        <v>5.5</v>
      </c>
    </row>
    <row r="29" spans="2:9" ht="18" customHeight="1" thickBot="1" x14ac:dyDescent="0.3">
      <c r="B29" s="117">
        <v>23</v>
      </c>
      <c r="C29" s="114" t="str">
        <f>Config!C27&amp;", "&amp;Config!D27</f>
        <v>Lindemann, Mads</v>
      </c>
      <c r="D29" s="148">
        <v>2</v>
      </c>
      <c r="E29" s="148">
        <v>2</v>
      </c>
      <c r="F29" s="148">
        <v>2</v>
      </c>
      <c r="G29" s="148">
        <v>4</v>
      </c>
      <c r="H29" s="149">
        <v>0</v>
      </c>
      <c r="I29" s="147">
        <f t="shared" ref="I29" si="2">SUM(D29:H29)</f>
        <v>10</v>
      </c>
    </row>
    <row r="30" spans="2:9" ht="18" customHeight="1" thickBot="1" x14ac:dyDescent="0.3">
      <c r="B30" s="118"/>
      <c r="C30" s="119"/>
      <c r="D30" s="119">
        <f>IF(COUNTIFS(D7:D29,"&lt;&gt;",C7:C29,"&lt;&gt;ZK",C7:C29,"&lt;&gt;DK")&lt;&gt;0,SUMIFS(D7:D29,C7:C29,"&lt;&gt;ZK",C7:C29,"&lt;&gt;DK")/(COUNTIFS(D7:D29,"&lt;&gt;",C7:C29,"&lt;&gt;ZK",C7:C29,"&lt;&gt;DK")*D6),0)</f>
        <v>0.84782608695652173</v>
      </c>
      <c r="E30" s="119">
        <f>IF(COUNTIFS(E7:E29,"&lt;&gt;",C7:C29,"&lt;&gt;ZK",C7:C29,"&lt;&gt;DK")&lt;&gt;0,SUMIFS(E7:E29,C7:C29,"&lt;&gt;ZK",C7:C29,"&lt;&gt;DK")/(COUNTIFS(E7:E29,"&lt;&gt;",C7:C29,"&lt;&gt;ZK",C7:C29,"&lt;&gt;DK")*E6),0)</f>
        <v>0.60869565217391308</v>
      </c>
      <c r="F30" s="119">
        <f>IF(COUNTIFS(F7:F29,"&lt;&gt;",C7:C29,"&lt;&gt;ZK",C7:C29,"&lt;&gt;DK")&lt;&gt;0,SUMIFS(F7:F29,C7:C29,"&lt;&gt;ZK",C7:C29,"&lt;&gt;DK")/(COUNTIFS(F7:F29,"&lt;&gt;",C7:C29,"&lt;&gt;ZK",C7:C29,"&lt;&gt;DK")*F6),0)</f>
        <v>0.71739130434782605</v>
      </c>
      <c r="G30" s="119">
        <f>IF(COUNTIFS(G7:G29,"&lt;&gt;",C7:C29,"&lt;&gt;ZK",C7:C29,"&lt;&gt;DK")&lt;&gt;0,SUMIFS(G7:G29,C7:C29,"&lt;&gt;ZK",C7:C29,"&lt;&gt;DK")/(COUNTIFS(G7:G29,"&lt;&gt;",C7:C29,"&lt;&gt;ZK",C7:C29,"&lt;&gt;DK")*G6),0)</f>
        <v>0.52717391304347827</v>
      </c>
      <c r="H30" s="119">
        <f>IF(COUNTIFS(H7:H29,"&lt;&gt;",C7:C29,"&lt;&gt;ZK",C7:C29,"&lt;&gt;DK")&lt;&gt;0,SUMIFS(H7:H29,C7:C29,"&lt;&gt;ZK",C7:C29,"&lt;&gt;DK")/(COUNTIFS(H7:H29,"&lt;&gt;",C7:C29,"&lt;&gt;ZK",C7:C29,"&lt;&gt;DK")*H6),0)</f>
        <v>0.13975155279503104</v>
      </c>
      <c r="I30" s="141"/>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6DAC8A1F-E182-4984-8010-CD8D4BDE401C}">
      <formula1>0</formula1>
      <formula2>$D$6</formula2>
    </dataValidation>
    <dataValidation type="decimal" allowBlank="1" showErrorMessage="1" sqref="E7:E29" xr:uid="{B6631061-F260-4294-A021-E03AC6011165}">
      <formula1>0</formula1>
      <formula2>$E$6</formula2>
    </dataValidation>
    <dataValidation type="decimal" allowBlank="1" showErrorMessage="1" sqref="F7:F29" xr:uid="{89927481-FA85-428A-B0A6-4BA23958B5EE}">
      <formula1>0</formula1>
      <formula2>$F$6</formula2>
    </dataValidation>
    <dataValidation type="decimal" allowBlank="1" showErrorMessage="1" sqref="G7:G29" xr:uid="{FA1BA085-5B59-412D-9503-87468C4F5300}">
      <formula1>0</formula1>
      <formula2>$G$6</formula2>
    </dataValidation>
    <dataValidation type="decimal" allowBlank="1" showErrorMessage="1" sqref="H7:H29" xr:uid="{D958795F-DAC8-401A-BC49-823013AB3FF6}">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FBBF-872E-4E14-8622-04E3253E77E6}">
  <sheetPr codeName="Tabelle212">
    <tabColor rgb="FF92D050"/>
  </sheetPr>
  <dimension ref="B1:F54"/>
  <sheetViews>
    <sheetView workbookViewId="0">
      <selection activeCell="D7" sqref="D7"/>
    </sheetView>
  </sheetViews>
  <sheetFormatPr baseColWidth="10" defaultRowHeight="13.2" x14ac:dyDescent="0.25"/>
  <cols>
    <col min="1" max="2" width="3.44140625" style="94" customWidth="1"/>
    <col min="3" max="3" width="25.77734375" style="94" customWidth="1"/>
    <col min="4" max="6" width="8.77734375" style="94" customWidth="1"/>
    <col min="7" max="16384" width="11.5546875" style="94"/>
  </cols>
  <sheetData>
    <row r="1" spans="2:6" ht="18" customHeight="1" thickBot="1" x14ac:dyDescent="0.3"/>
    <row r="2" spans="2:6" ht="18" customHeight="1" x14ac:dyDescent="0.25">
      <c r="B2" s="95" t="str">
        <f>Config!F2&amp;" "&amp;YEAR(Config!G24)</f>
        <v>Mathe Abitur 2026</v>
      </c>
      <c r="C2" s="96"/>
      <c r="D2" s="96"/>
      <c r="E2" s="97"/>
      <c r="F2" s="98" t="str">
        <f>"Kurs "&amp;Config!G26</f>
        <v>Kurs K1</v>
      </c>
    </row>
    <row r="3" spans="2:6" ht="18" customHeight="1" x14ac:dyDescent="0.25">
      <c r="B3" s="99" t="s">
        <v>13</v>
      </c>
      <c r="C3" s="100"/>
      <c r="D3" s="100"/>
      <c r="E3" s="100"/>
      <c r="F3" s="101"/>
    </row>
    <row r="4" spans="2:6" ht="18" customHeight="1" thickBot="1" x14ac:dyDescent="0.3">
      <c r="B4" s="99"/>
      <c r="C4" s="100"/>
      <c r="D4" s="102"/>
      <c r="E4" s="102"/>
      <c r="F4" s="103"/>
    </row>
    <row r="5" spans="2:6" ht="18" customHeight="1" thickBot="1" x14ac:dyDescent="0.3">
      <c r="B5" s="104"/>
      <c r="C5" s="106"/>
      <c r="D5" s="120" t="str">
        <f>Config!N6</f>
        <v>1a</v>
      </c>
      <c r="E5" s="120" t="str">
        <f>Config!N7</f>
        <v>1b</v>
      </c>
      <c r="F5" s="110" t="s">
        <v>82</v>
      </c>
    </row>
    <row r="6" spans="2:6" ht="18" customHeight="1" thickBot="1" x14ac:dyDescent="0.3">
      <c r="B6" s="105"/>
      <c r="C6" s="107" t="s">
        <v>81</v>
      </c>
      <c r="D6" s="109">
        <f>Config!O6</f>
        <v>2</v>
      </c>
      <c r="E6" s="109">
        <f>Config!O7</f>
        <v>3</v>
      </c>
      <c r="F6" s="128">
        <f>Config!O21</f>
        <v>5</v>
      </c>
    </row>
    <row r="7" spans="2:6" ht="18" customHeight="1" x14ac:dyDescent="0.25">
      <c r="B7" s="115">
        <v>1</v>
      </c>
      <c r="C7" s="113" t="str">
        <f>Config!C5&amp;", "&amp;Config!D5</f>
        <v>Höfer, Simon</v>
      </c>
      <c r="D7" s="217">
        <v>0</v>
      </c>
      <c r="E7" s="218">
        <v>0</v>
      </c>
      <c r="F7" s="219">
        <f t="shared" ref="F7:F17" si="0">SUM(D7:E7)</f>
        <v>0</v>
      </c>
    </row>
    <row r="8" spans="2:6" ht="18" customHeight="1" x14ac:dyDescent="0.25">
      <c r="B8" s="140">
        <v>2</v>
      </c>
      <c r="C8" s="137" t="str">
        <f>Config!C6&amp;", "&amp;Config!D6</f>
        <v>Töpfer, Lilian</v>
      </c>
      <c r="D8" s="220">
        <v>1.5</v>
      </c>
      <c r="E8" s="221">
        <v>2</v>
      </c>
      <c r="F8" s="222">
        <f t="shared" si="0"/>
        <v>3.5</v>
      </c>
    </row>
    <row r="9" spans="2:6" ht="18" customHeight="1" x14ac:dyDescent="0.25">
      <c r="B9" s="116">
        <v>3</v>
      </c>
      <c r="C9" s="111" t="str">
        <f>Config!C7&amp;", "&amp;Config!D7</f>
        <v>Fleischmann, Leonie</v>
      </c>
      <c r="D9" s="220">
        <v>2</v>
      </c>
      <c r="E9" s="221">
        <v>2.5</v>
      </c>
      <c r="F9" s="223">
        <f t="shared" si="0"/>
        <v>4.5</v>
      </c>
    </row>
    <row r="10" spans="2:6" ht="18" customHeight="1" x14ac:dyDescent="0.25">
      <c r="B10" s="140">
        <v>4</v>
      </c>
      <c r="C10" s="137" t="str">
        <f>Config!C8&amp;", "&amp;Config!D8</f>
        <v>Drescher, Cedric</v>
      </c>
      <c r="D10" s="220">
        <v>2</v>
      </c>
      <c r="E10" s="221">
        <v>1.5</v>
      </c>
      <c r="F10" s="222">
        <f t="shared" si="0"/>
        <v>3.5</v>
      </c>
    </row>
    <row r="11" spans="2:6" ht="18" customHeight="1" x14ac:dyDescent="0.25">
      <c r="B11" s="116">
        <v>5</v>
      </c>
      <c r="C11" s="111" t="str">
        <f>Config!C9&amp;", "&amp;Config!D9</f>
        <v>Baumgarten, Annabell</v>
      </c>
      <c r="D11" s="220">
        <v>1.5</v>
      </c>
      <c r="E11" s="221">
        <v>2</v>
      </c>
      <c r="F11" s="223">
        <f t="shared" si="0"/>
        <v>3.5</v>
      </c>
    </row>
    <row r="12" spans="2:6" ht="18" customHeight="1" x14ac:dyDescent="0.25">
      <c r="B12" s="140">
        <v>6</v>
      </c>
      <c r="C12" s="137" t="str">
        <f>Config!C10&amp;", "&amp;Config!D10</f>
        <v>Traut, Stefanie</v>
      </c>
      <c r="D12" s="220">
        <v>1.5</v>
      </c>
      <c r="E12" s="221">
        <v>3</v>
      </c>
      <c r="F12" s="222">
        <f t="shared" si="0"/>
        <v>4.5</v>
      </c>
    </row>
    <row r="13" spans="2:6" ht="18" customHeight="1" x14ac:dyDescent="0.25">
      <c r="B13" s="116">
        <v>7</v>
      </c>
      <c r="C13" s="111" t="str">
        <f>Config!C11&amp;", "&amp;Config!D11</f>
        <v>Menke, Damian</v>
      </c>
      <c r="D13" s="220">
        <v>2</v>
      </c>
      <c r="E13" s="221">
        <v>2.5</v>
      </c>
      <c r="F13" s="223">
        <f t="shared" si="0"/>
        <v>4.5</v>
      </c>
    </row>
    <row r="14" spans="2:6" ht="18" customHeight="1" x14ac:dyDescent="0.25">
      <c r="B14" s="140">
        <v>8</v>
      </c>
      <c r="C14" s="137" t="str">
        <f>Config!C12&amp;", "&amp;Config!D12</f>
        <v>Carroll, Meik</v>
      </c>
      <c r="D14" s="220">
        <v>2</v>
      </c>
      <c r="E14" s="221">
        <v>2</v>
      </c>
      <c r="F14" s="222">
        <f t="shared" si="0"/>
        <v>4</v>
      </c>
    </row>
    <row r="15" spans="2:6" ht="18" customHeight="1" x14ac:dyDescent="0.25">
      <c r="B15" s="116">
        <v>9</v>
      </c>
      <c r="C15" s="111" t="str">
        <f>Config!C13&amp;", "&amp;Config!D13</f>
        <v>Hennings, Tomas</v>
      </c>
      <c r="D15" s="220">
        <v>1.5</v>
      </c>
      <c r="E15" s="221">
        <v>3</v>
      </c>
      <c r="F15" s="223">
        <f t="shared" si="0"/>
        <v>4.5</v>
      </c>
    </row>
    <row r="16" spans="2:6" ht="18" customHeight="1" x14ac:dyDescent="0.25">
      <c r="B16" s="140">
        <v>10</v>
      </c>
      <c r="C16" s="137" t="str">
        <f>Config!C14&amp;", "&amp;Config!D14</f>
        <v>Walters, Linn</v>
      </c>
      <c r="D16" s="220">
        <v>1</v>
      </c>
      <c r="E16" s="221">
        <v>0</v>
      </c>
      <c r="F16" s="222">
        <f t="shared" si="0"/>
        <v>1</v>
      </c>
    </row>
    <row r="17" spans="2:6" ht="18" customHeight="1" x14ac:dyDescent="0.25">
      <c r="B17" s="116">
        <v>11</v>
      </c>
      <c r="C17" s="111" t="str">
        <f>Config!C15&amp;", "&amp;Config!D15</f>
        <v>Junker, Amely</v>
      </c>
      <c r="D17" s="220">
        <v>2</v>
      </c>
      <c r="E17" s="221">
        <v>0</v>
      </c>
      <c r="F17" s="223">
        <f t="shared" si="0"/>
        <v>2</v>
      </c>
    </row>
    <row r="18" spans="2:6" ht="18" customHeight="1" x14ac:dyDescent="0.25">
      <c r="B18" s="140">
        <v>12</v>
      </c>
      <c r="C18" s="137" t="str">
        <f>Config!C16&amp;", "&amp;Config!D16</f>
        <v>Stephens, Melvin</v>
      </c>
      <c r="D18" s="220">
        <v>0.5</v>
      </c>
      <c r="E18" s="221">
        <v>0</v>
      </c>
      <c r="F18" s="222">
        <f t="shared" ref="F18:F28" si="1">SUM(D18:E18)</f>
        <v>0.5</v>
      </c>
    </row>
    <row r="19" spans="2:6" ht="18" customHeight="1" x14ac:dyDescent="0.25">
      <c r="B19" s="116">
        <v>13</v>
      </c>
      <c r="C19" s="111" t="str">
        <f>Config!C17&amp;", "&amp;Config!D17</f>
        <v>Cremer, Marvin</v>
      </c>
      <c r="D19" s="220">
        <v>1.5</v>
      </c>
      <c r="E19" s="221">
        <v>3</v>
      </c>
      <c r="F19" s="223">
        <f t="shared" si="1"/>
        <v>4.5</v>
      </c>
    </row>
    <row r="20" spans="2:6" ht="18" customHeight="1" x14ac:dyDescent="0.25">
      <c r="B20" s="140">
        <v>14</v>
      </c>
      <c r="C20" s="137" t="str">
        <f>Config!C18&amp;", "&amp;Config!D18</f>
        <v>Nash, Jean</v>
      </c>
      <c r="D20" s="220">
        <v>2</v>
      </c>
      <c r="E20" s="221">
        <v>2</v>
      </c>
      <c r="F20" s="222">
        <f t="shared" si="1"/>
        <v>4</v>
      </c>
    </row>
    <row r="21" spans="2:6" ht="18" customHeight="1" x14ac:dyDescent="0.25">
      <c r="B21" s="116">
        <v>15</v>
      </c>
      <c r="C21" s="111" t="str">
        <f>Config!C19&amp;", "&amp;Config!D19</f>
        <v>Schön, Leonardo</v>
      </c>
      <c r="D21" s="220">
        <v>2</v>
      </c>
      <c r="E21" s="221">
        <v>3</v>
      </c>
      <c r="F21" s="223">
        <f t="shared" si="1"/>
        <v>5</v>
      </c>
    </row>
    <row r="22" spans="2:6" ht="18" customHeight="1" x14ac:dyDescent="0.25">
      <c r="B22" s="140">
        <v>16</v>
      </c>
      <c r="C22" s="137" t="str">
        <f>Config!C20&amp;", "&amp;Config!D20</f>
        <v>Sigl, Nicholas</v>
      </c>
      <c r="D22" s="220">
        <v>2</v>
      </c>
      <c r="E22" s="221">
        <v>2.5</v>
      </c>
      <c r="F22" s="222">
        <f t="shared" si="1"/>
        <v>4.5</v>
      </c>
    </row>
    <row r="23" spans="2:6" ht="18" customHeight="1" x14ac:dyDescent="0.25">
      <c r="B23" s="116">
        <v>17</v>
      </c>
      <c r="C23" s="111" t="str">
        <f>Config!C21&amp;", "&amp;Config!D21</f>
        <v>Kainz, Vivienne</v>
      </c>
      <c r="D23" s="220">
        <v>2</v>
      </c>
      <c r="E23" s="221">
        <v>3</v>
      </c>
      <c r="F23" s="223">
        <f t="shared" si="1"/>
        <v>5</v>
      </c>
    </row>
    <row r="24" spans="2:6" ht="18" customHeight="1" x14ac:dyDescent="0.25">
      <c r="B24" s="140">
        <v>18</v>
      </c>
      <c r="C24" s="137" t="str">
        <f>Config!C22&amp;", "&amp;Config!D22</f>
        <v>Hartmann, Mads</v>
      </c>
      <c r="D24" s="220">
        <v>1</v>
      </c>
      <c r="E24" s="221">
        <v>0</v>
      </c>
      <c r="F24" s="222">
        <f t="shared" si="1"/>
        <v>1</v>
      </c>
    </row>
    <row r="25" spans="2:6" ht="18" customHeight="1" x14ac:dyDescent="0.25">
      <c r="B25" s="116">
        <v>19</v>
      </c>
      <c r="C25" s="111" t="str">
        <f>Config!C23&amp;", "&amp;Config!D23</f>
        <v>Ullmann, Raphael</v>
      </c>
      <c r="D25" s="220">
        <v>2</v>
      </c>
      <c r="E25" s="221">
        <v>0</v>
      </c>
      <c r="F25" s="223">
        <f t="shared" si="1"/>
        <v>2</v>
      </c>
    </row>
    <row r="26" spans="2:6" ht="18" customHeight="1" x14ac:dyDescent="0.25">
      <c r="B26" s="140">
        <v>20</v>
      </c>
      <c r="C26" s="137" t="str">
        <f>Config!C24&amp;", "&amp;Config!D24</f>
        <v>Hartl, Emmely</v>
      </c>
      <c r="D26" s="220">
        <v>2</v>
      </c>
      <c r="E26" s="221">
        <v>0</v>
      </c>
      <c r="F26" s="222">
        <f t="shared" si="1"/>
        <v>2</v>
      </c>
    </row>
    <row r="27" spans="2:6" ht="18" customHeight="1" x14ac:dyDescent="0.25">
      <c r="B27" s="116">
        <v>21</v>
      </c>
      <c r="C27" s="111" t="str">
        <f>Config!C25&amp;", "&amp;Config!D25</f>
        <v>Klotz, Karin</v>
      </c>
      <c r="D27" s="220">
        <v>2</v>
      </c>
      <c r="E27" s="221">
        <v>3</v>
      </c>
      <c r="F27" s="223">
        <f t="shared" si="1"/>
        <v>5</v>
      </c>
    </row>
    <row r="28" spans="2:6" ht="18" customHeight="1" x14ac:dyDescent="0.25">
      <c r="B28" s="140">
        <v>22</v>
      </c>
      <c r="C28" s="137" t="str">
        <f>Config!C26&amp;", "&amp;Config!D26</f>
        <v>Ehlers, Ingo</v>
      </c>
      <c r="D28" s="220">
        <v>2</v>
      </c>
      <c r="E28" s="221">
        <v>3</v>
      </c>
      <c r="F28" s="222">
        <f t="shared" si="1"/>
        <v>5</v>
      </c>
    </row>
    <row r="29" spans="2:6" ht="18" customHeight="1" thickBot="1" x14ac:dyDescent="0.3">
      <c r="B29" s="117">
        <v>23</v>
      </c>
      <c r="C29" s="114" t="str">
        <f>Config!C27&amp;", "&amp;Config!D27</f>
        <v>Lindemann, Mads</v>
      </c>
      <c r="D29" s="148">
        <v>2</v>
      </c>
      <c r="E29" s="149">
        <v>1</v>
      </c>
      <c r="F29" s="147">
        <f t="shared" ref="F29" si="2">SUM(D29:E29)</f>
        <v>3</v>
      </c>
    </row>
    <row r="30" spans="2:6" ht="18" customHeight="1" thickBot="1" x14ac:dyDescent="0.3">
      <c r="B30" s="118"/>
      <c r="C30" s="119"/>
      <c r="D30" s="119">
        <f>IF(COUNTIFS(D7:D29,"&lt;&gt;",C7:C29,"&lt;&gt;ZK",C7:C29,"&lt;&gt;DK")&lt;&gt;0,SUMIFS(D7:D29,C7:C29,"&lt;&gt;ZK",C7:C29,"&lt;&gt;DK")/(COUNTIFS(D7:D29,"&lt;&gt;",C7:C29,"&lt;&gt;ZK",C7:C29,"&lt;&gt;DK")*D6),0)</f>
        <v>0.82608695652173914</v>
      </c>
      <c r="E30" s="119">
        <f>IF(COUNTIFS(E7:E29,"&lt;&gt;",C7:C29,"&lt;&gt;ZK",C7:C29,"&lt;&gt;DK")&lt;&gt;0,SUMIFS(E7:E29,C7:C29,"&lt;&gt;ZK",C7:C29,"&lt;&gt;DK")/(COUNTIFS(E7:E29,"&lt;&gt;",C7:C29,"&lt;&gt;ZK",C7:C29,"&lt;&gt;DK")*E6),0)</f>
        <v>0.56521739130434778</v>
      </c>
      <c r="F30" s="141"/>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2">
    <dataValidation type="decimal" allowBlank="1" showErrorMessage="1" sqref="D7:D29" xr:uid="{6FC7B53C-FAC7-4BE6-A509-6DE10984BFCC}">
      <formula1>0</formula1>
      <formula2>$D$6</formula2>
    </dataValidation>
    <dataValidation type="decimal" allowBlank="1" showErrorMessage="1" sqref="E7:E29" xr:uid="{DF987EB1-20EF-4547-A579-7E2C0C2CF0E7}">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C93E6-C1D3-4569-93A0-227B8F21E342}">
  <sheetPr codeName="Tabelle213">
    <tabColor rgb="FF92D050"/>
  </sheetPr>
  <dimension ref="B1:I54"/>
  <sheetViews>
    <sheetView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14</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0" t="str">
        <f>Config!P6</f>
        <v>1a</v>
      </c>
      <c r="E5" s="120" t="str">
        <f>Config!P7</f>
        <v>1b</v>
      </c>
      <c r="F5" s="120" t="str">
        <f>Config!P8</f>
        <v>1c</v>
      </c>
      <c r="G5" s="120" t="str">
        <f>Config!P9</f>
        <v>1d</v>
      </c>
      <c r="H5" s="120" t="str">
        <f>Config!P10</f>
        <v>1e</v>
      </c>
      <c r="I5" s="110" t="s">
        <v>82</v>
      </c>
    </row>
    <row r="6" spans="2:9" ht="18" customHeight="1" thickBot="1" x14ac:dyDescent="0.3">
      <c r="B6" s="105"/>
      <c r="C6" s="107" t="s">
        <v>81</v>
      </c>
      <c r="D6" s="109">
        <f>Config!Q6</f>
        <v>4</v>
      </c>
      <c r="E6" s="109">
        <f>Config!Q7</f>
        <v>3</v>
      </c>
      <c r="F6" s="109">
        <f>Config!Q8</f>
        <v>4</v>
      </c>
      <c r="G6" s="109">
        <f>Config!Q9</f>
        <v>3</v>
      </c>
      <c r="H6" s="109">
        <f>Config!Q10</f>
        <v>4</v>
      </c>
      <c r="I6" s="128">
        <f>Config!Q21</f>
        <v>18</v>
      </c>
    </row>
    <row r="7" spans="2:9" ht="18" customHeight="1" x14ac:dyDescent="0.25">
      <c r="B7" s="115">
        <v>1</v>
      </c>
      <c r="C7" s="113" t="str">
        <f>Config!C5&amp;", "&amp;Config!D5</f>
        <v>Höfer, Simon</v>
      </c>
      <c r="D7" s="217">
        <v>4</v>
      </c>
      <c r="E7" s="217">
        <v>2</v>
      </c>
      <c r="F7" s="217">
        <v>2</v>
      </c>
      <c r="G7" s="217">
        <v>0.5</v>
      </c>
      <c r="H7" s="218">
        <v>0.5</v>
      </c>
      <c r="I7" s="219">
        <f t="shared" ref="I7:I17" si="0">SUM(D7:H7)</f>
        <v>9</v>
      </c>
    </row>
    <row r="8" spans="2:9" ht="18" customHeight="1" x14ac:dyDescent="0.25">
      <c r="B8" s="140">
        <v>2</v>
      </c>
      <c r="C8" s="137" t="str">
        <f>Config!C6&amp;", "&amp;Config!D6</f>
        <v>Töpfer, Lilian</v>
      </c>
      <c r="D8" s="220">
        <v>4</v>
      </c>
      <c r="E8" s="220">
        <v>0</v>
      </c>
      <c r="F8" s="220">
        <v>2.5</v>
      </c>
      <c r="G8" s="220">
        <v>0.5</v>
      </c>
      <c r="H8" s="221">
        <v>2</v>
      </c>
      <c r="I8" s="222">
        <f t="shared" si="0"/>
        <v>9</v>
      </c>
    </row>
    <row r="9" spans="2:9" ht="18" customHeight="1" x14ac:dyDescent="0.25">
      <c r="B9" s="116">
        <v>3</v>
      </c>
      <c r="C9" s="111" t="str">
        <f>Config!C7&amp;", "&amp;Config!D7</f>
        <v>Fleischmann, Leonie</v>
      </c>
      <c r="D9" s="220">
        <v>4</v>
      </c>
      <c r="E9" s="220">
        <v>2</v>
      </c>
      <c r="F9" s="220">
        <v>3</v>
      </c>
      <c r="G9" s="220">
        <v>2</v>
      </c>
      <c r="H9" s="221">
        <v>3</v>
      </c>
      <c r="I9" s="223">
        <f t="shared" si="0"/>
        <v>14</v>
      </c>
    </row>
    <row r="10" spans="2:9" ht="18" customHeight="1" x14ac:dyDescent="0.25">
      <c r="B10" s="140">
        <v>4</v>
      </c>
      <c r="C10" s="137" t="str">
        <f>Config!C8&amp;", "&amp;Config!D8</f>
        <v>Drescher, Cedric</v>
      </c>
      <c r="D10" s="220">
        <v>4</v>
      </c>
      <c r="E10" s="220">
        <v>2</v>
      </c>
      <c r="F10" s="220">
        <v>3.5</v>
      </c>
      <c r="G10" s="220">
        <v>0</v>
      </c>
      <c r="H10" s="221">
        <v>4</v>
      </c>
      <c r="I10" s="222">
        <f t="shared" si="0"/>
        <v>13.5</v>
      </c>
    </row>
    <row r="11" spans="2:9" ht="18" customHeight="1" x14ac:dyDescent="0.25">
      <c r="B11" s="116">
        <v>5</v>
      </c>
      <c r="C11" s="111" t="str">
        <f>Config!C9&amp;", "&amp;Config!D9</f>
        <v>Baumgarten, Annabell</v>
      </c>
      <c r="D11" s="220">
        <v>4</v>
      </c>
      <c r="E11" s="220">
        <v>2</v>
      </c>
      <c r="F11" s="220">
        <v>3</v>
      </c>
      <c r="G11" s="220">
        <v>0</v>
      </c>
      <c r="H11" s="221">
        <v>3</v>
      </c>
      <c r="I11" s="223">
        <f t="shared" si="0"/>
        <v>12</v>
      </c>
    </row>
    <row r="12" spans="2:9" ht="18" customHeight="1" x14ac:dyDescent="0.25">
      <c r="B12" s="140">
        <v>6</v>
      </c>
      <c r="C12" s="137" t="str">
        <f>Config!C10&amp;", "&amp;Config!D10</f>
        <v>Traut, Stefanie</v>
      </c>
      <c r="D12" s="220">
        <v>4</v>
      </c>
      <c r="E12" s="220">
        <v>3</v>
      </c>
      <c r="F12" s="220">
        <v>4</v>
      </c>
      <c r="G12" s="220">
        <v>2</v>
      </c>
      <c r="H12" s="221">
        <v>4</v>
      </c>
      <c r="I12" s="222">
        <f t="shared" si="0"/>
        <v>17</v>
      </c>
    </row>
    <row r="13" spans="2:9" ht="18" customHeight="1" x14ac:dyDescent="0.25">
      <c r="B13" s="116">
        <v>7</v>
      </c>
      <c r="C13" s="111" t="str">
        <f>Config!C11&amp;", "&amp;Config!D11</f>
        <v>Menke, Damian</v>
      </c>
      <c r="D13" s="220">
        <v>4</v>
      </c>
      <c r="E13" s="220">
        <v>3</v>
      </c>
      <c r="F13" s="220">
        <v>3.5</v>
      </c>
      <c r="G13" s="220">
        <v>0.5</v>
      </c>
      <c r="H13" s="221">
        <v>4</v>
      </c>
      <c r="I13" s="223">
        <f t="shared" si="0"/>
        <v>15</v>
      </c>
    </row>
    <row r="14" spans="2:9" ht="18" customHeight="1" x14ac:dyDescent="0.25">
      <c r="B14" s="140">
        <v>8</v>
      </c>
      <c r="C14" s="137" t="str">
        <f>Config!C12&amp;", "&amp;Config!D12</f>
        <v>Carroll, Meik</v>
      </c>
      <c r="D14" s="220">
        <v>3.5</v>
      </c>
      <c r="E14" s="220">
        <v>2</v>
      </c>
      <c r="F14" s="220">
        <v>3.5</v>
      </c>
      <c r="G14" s="220">
        <v>2</v>
      </c>
      <c r="H14" s="221">
        <v>2</v>
      </c>
      <c r="I14" s="222">
        <f t="shared" si="0"/>
        <v>13</v>
      </c>
    </row>
    <row r="15" spans="2:9" ht="18" customHeight="1" x14ac:dyDescent="0.25">
      <c r="B15" s="116">
        <v>9</v>
      </c>
      <c r="C15" s="111" t="str">
        <f>Config!C13&amp;", "&amp;Config!D13</f>
        <v>Hennings, Tomas</v>
      </c>
      <c r="D15" s="220">
        <v>2</v>
      </c>
      <c r="E15" s="220">
        <v>0</v>
      </c>
      <c r="F15" s="220">
        <v>1</v>
      </c>
      <c r="G15" s="220">
        <v>1</v>
      </c>
      <c r="H15" s="221">
        <v>0</v>
      </c>
      <c r="I15" s="223">
        <f t="shared" si="0"/>
        <v>4</v>
      </c>
    </row>
    <row r="16" spans="2:9" ht="18" customHeight="1" x14ac:dyDescent="0.25">
      <c r="B16" s="140">
        <v>10</v>
      </c>
      <c r="C16" s="137" t="str">
        <f>Config!C14&amp;", "&amp;Config!D14</f>
        <v>Walters, Linn</v>
      </c>
      <c r="D16" s="220">
        <v>2.5</v>
      </c>
      <c r="E16" s="220">
        <v>1</v>
      </c>
      <c r="F16" s="220">
        <v>3</v>
      </c>
      <c r="G16" s="220">
        <v>2</v>
      </c>
      <c r="H16" s="221">
        <v>0</v>
      </c>
      <c r="I16" s="222">
        <f t="shared" si="0"/>
        <v>8.5</v>
      </c>
    </row>
    <row r="17" spans="2:9" ht="18" customHeight="1" x14ac:dyDescent="0.25">
      <c r="B17" s="116">
        <v>11</v>
      </c>
      <c r="C17" s="111" t="str">
        <f>Config!C15&amp;", "&amp;Config!D15</f>
        <v>Junker, Amely</v>
      </c>
      <c r="D17" s="220">
        <v>4</v>
      </c>
      <c r="E17" s="220">
        <v>3</v>
      </c>
      <c r="F17" s="220">
        <v>2</v>
      </c>
      <c r="G17" s="220">
        <v>2</v>
      </c>
      <c r="H17" s="221">
        <v>2</v>
      </c>
      <c r="I17" s="223">
        <f t="shared" si="0"/>
        <v>13</v>
      </c>
    </row>
    <row r="18" spans="2:9" ht="18" customHeight="1" x14ac:dyDescent="0.25">
      <c r="B18" s="140">
        <v>12</v>
      </c>
      <c r="C18" s="137" t="str">
        <f>Config!C16&amp;", "&amp;Config!D16</f>
        <v>Stephens, Melvin</v>
      </c>
      <c r="D18" s="220">
        <v>4</v>
      </c>
      <c r="E18" s="220">
        <v>2</v>
      </c>
      <c r="F18" s="220">
        <v>3</v>
      </c>
      <c r="G18" s="220">
        <v>2</v>
      </c>
      <c r="H18" s="221">
        <v>2</v>
      </c>
      <c r="I18" s="222">
        <f t="shared" ref="I18:I28" si="1">SUM(D18:H18)</f>
        <v>13</v>
      </c>
    </row>
    <row r="19" spans="2:9" ht="18" customHeight="1" x14ac:dyDescent="0.25">
      <c r="B19" s="116">
        <v>13</v>
      </c>
      <c r="C19" s="111" t="str">
        <f>Config!C17&amp;", "&amp;Config!D17</f>
        <v>Cremer, Marvin</v>
      </c>
      <c r="D19" s="220">
        <v>3</v>
      </c>
      <c r="E19" s="220">
        <v>0</v>
      </c>
      <c r="F19" s="220">
        <v>0</v>
      </c>
      <c r="G19" s="220">
        <v>0</v>
      </c>
      <c r="H19" s="221">
        <v>0</v>
      </c>
      <c r="I19" s="223">
        <f t="shared" si="1"/>
        <v>3</v>
      </c>
    </row>
    <row r="20" spans="2:9" ht="18" customHeight="1" x14ac:dyDescent="0.25">
      <c r="B20" s="140">
        <v>14</v>
      </c>
      <c r="C20" s="137" t="str">
        <f>Config!C18&amp;", "&amp;Config!D18</f>
        <v>Nash, Jean</v>
      </c>
      <c r="D20" s="220">
        <v>4</v>
      </c>
      <c r="E20" s="220">
        <v>3</v>
      </c>
      <c r="F20" s="220">
        <v>2</v>
      </c>
      <c r="G20" s="220">
        <v>2</v>
      </c>
      <c r="H20" s="221">
        <v>3.5</v>
      </c>
      <c r="I20" s="222">
        <f t="shared" si="1"/>
        <v>14.5</v>
      </c>
    </row>
    <row r="21" spans="2:9" ht="18" customHeight="1" x14ac:dyDescent="0.25">
      <c r="B21" s="116">
        <v>15</v>
      </c>
      <c r="C21" s="111" t="str">
        <f>Config!C19&amp;", "&amp;Config!D19</f>
        <v>Schön, Leonardo</v>
      </c>
      <c r="D21" s="220">
        <v>4</v>
      </c>
      <c r="E21" s="220">
        <v>1</v>
      </c>
      <c r="F21" s="220">
        <v>1</v>
      </c>
      <c r="G21" s="220">
        <v>0.5</v>
      </c>
      <c r="H21" s="221">
        <v>0</v>
      </c>
      <c r="I21" s="223">
        <f t="shared" si="1"/>
        <v>6.5</v>
      </c>
    </row>
    <row r="22" spans="2:9" ht="18" customHeight="1" x14ac:dyDescent="0.25">
      <c r="B22" s="140">
        <v>16</v>
      </c>
      <c r="C22" s="137" t="str">
        <f>Config!C20&amp;", "&amp;Config!D20</f>
        <v>Sigl, Nicholas</v>
      </c>
      <c r="D22" s="220">
        <v>4</v>
      </c>
      <c r="E22" s="220">
        <v>0.5</v>
      </c>
      <c r="F22" s="220">
        <v>1</v>
      </c>
      <c r="G22" s="220">
        <v>0.5</v>
      </c>
      <c r="H22" s="221">
        <v>0</v>
      </c>
      <c r="I22" s="222">
        <f t="shared" si="1"/>
        <v>6</v>
      </c>
    </row>
    <row r="23" spans="2:9" ht="18" customHeight="1" x14ac:dyDescent="0.25">
      <c r="B23" s="116">
        <v>17</v>
      </c>
      <c r="C23" s="111" t="str">
        <f>Config!C21&amp;", "&amp;Config!D21</f>
        <v>Kainz, Vivienne</v>
      </c>
      <c r="D23" s="220">
        <v>2</v>
      </c>
      <c r="E23" s="220">
        <v>0</v>
      </c>
      <c r="F23" s="220">
        <v>1</v>
      </c>
      <c r="G23" s="220">
        <v>1.5</v>
      </c>
      <c r="H23" s="221">
        <v>0</v>
      </c>
      <c r="I23" s="223">
        <f t="shared" si="1"/>
        <v>4.5</v>
      </c>
    </row>
    <row r="24" spans="2:9" ht="18" customHeight="1" x14ac:dyDescent="0.25">
      <c r="B24" s="140">
        <v>18</v>
      </c>
      <c r="C24" s="137" t="str">
        <f>Config!C22&amp;", "&amp;Config!D22</f>
        <v>Hartmann, Mads</v>
      </c>
      <c r="D24" s="220">
        <v>4</v>
      </c>
      <c r="E24" s="220">
        <v>3</v>
      </c>
      <c r="F24" s="220">
        <v>3</v>
      </c>
      <c r="G24" s="220">
        <v>0</v>
      </c>
      <c r="H24" s="221">
        <v>4</v>
      </c>
      <c r="I24" s="222">
        <f t="shared" si="1"/>
        <v>14</v>
      </c>
    </row>
    <row r="25" spans="2:9" ht="18" customHeight="1" x14ac:dyDescent="0.25">
      <c r="B25" s="116">
        <v>19</v>
      </c>
      <c r="C25" s="111" t="str">
        <f>Config!C23&amp;", "&amp;Config!D23</f>
        <v>Ullmann, Raphael</v>
      </c>
      <c r="D25" s="220">
        <v>4</v>
      </c>
      <c r="E25" s="220">
        <v>1</v>
      </c>
      <c r="F25" s="220">
        <v>3</v>
      </c>
      <c r="G25" s="220">
        <v>2</v>
      </c>
      <c r="H25" s="221">
        <v>3.5</v>
      </c>
      <c r="I25" s="223">
        <f t="shared" si="1"/>
        <v>13.5</v>
      </c>
    </row>
    <row r="26" spans="2:9" ht="18" customHeight="1" x14ac:dyDescent="0.25">
      <c r="B26" s="140">
        <v>20</v>
      </c>
      <c r="C26" s="137" t="str">
        <f>Config!C24&amp;", "&amp;Config!D24</f>
        <v>Hartl, Emmely</v>
      </c>
      <c r="D26" s="220">
        <v>4</v>
      </c>
      <c r="E26" s="220">
        <v>2</v>
      </c>
      <c r="F26" s="220">
        <v>3</v>
      </c>
      <c r="G26" s="220">
        <v>2</v>
      </c>
      <c r="H26" s="221">
        <v>4</v>
      </c>
      <c r="I26" s="222">
        <f t="shared" si="1"/>
        <v>15</v>
      </c>
    </row>
    <row r="27" spans="2:9" ht="18" customHeight="1" x14ac:dyDescent="0.25">
      <c r="B27" s="116">
        <v>21</v>
      </c>
      <c r="C27" s="111" t="str">
        <f>Config!C25&amp;", "&amp;Config!D25</f>
        <v>Klotz, Karin</v>
      </c>
      <c r="D27" s="220">
        <v>4</v>
      </c>
      <c r="E27" s="220">
        <v>3</v>
      </c>
      <c r="F27" s="220">
        <v>4</v>
      </c>
      <c r="G27" s="220">
        <v>2</v>
      </c>
      <c r="H27" s="221">
        <v>3</v>
      </c>
      <c r="I27" s="223">
        <f t="shared" si="1"/>
        <v>16</v>
      </c>
    </row>
    <row r="28" spans="2:9" ht="18" customHeight="1" x14ac:dyDescent="0.25">
      <c r="B28" s="140">
        <v>22</v>
      </c>
      <c r="C28" s="137" t="str">
        <f>Config!C26&amp;", "&amp;Config!D26</f>
        <v>Ehlers, Ingo</v>
      </c>
      <c r="D28" s="220">
        <v>4</v>
      </c>
      <c r="E28" s="220">
        <v>2</v>
      </c>
      <c r="F28" s="220">
        <v>4</v>
      </c>
      <c r="G28" s="220">
        <v>2</v>
      </c>
      <c r="H28" s="221">
        <v>2.5</v>
      </c>
      <c r="I28" s="222">
        <f t="shared" si="1"/>
        <v>14.5</v>
      </c>
    </row>
    <row r="29" spans="2:9" ht="18" customHeight="1" thickBot="1" x14ac:dyDescent="0.3">
      <c r="B29" s="117">
        <v>23</v>
      </c>
      <c r="C29" s="114" t="str">
        <f>Config!C27&amp;", "&amp;Config!D27</f>
        <v>Lindemann, Mads</v>
      </c>
      <c r="D29" s="148">
        <v>4</v>
      </c>
      <c r="E29" s="148">
        <v>0</v>
      </c>
      <c r="F29" s="148">
        <v>2</v>
      </c>
      <c r="G29" s="148">
        <v>0.5</v>
      </c>
      <c r="H29" s="149">
        <v>0</v>
      </c>
      <c r="I29" s="147">
        <f t="shared" ref="I29" si="2">SUM(D29:H29)</f>
        <v>6.5</v>
      </c>
    </row>
    <row r="30" spans="2:9" ht="18" customHeight="1" thickBot="1" x14ac:dyDescent="0.3">
      <c r="B30" s="118"/>
      <c r="C30" s="119"/>
      <c r="D30" s="119">
        <f>IF(COUNTIFS(D7:D29,"&lt;&gt;",C7:C29,"&lt;&gt;ZK",C7:C29,"&lt;&gt;DK")&lt;&gt;0,SUMIFS(D7:D29,C7:C29,"&lt;&gt;ZK",C7:C29,"&lt;&gt;DK")/(COUNTIFS(D7:D29,"&lt;&gt;",C7:C29,"&lt;&gt;ZK",C7:C29,"&lt;&gt;DK")*D6),0)</f>
        <v>0.92391304347826086</v>
      </c>
      <c r="E30" s="119">
        <f>IF(COUNTIFS(E7:E29,"&lt;&gt;",C7:C29,"&lt;&gt;ZK",C7:C29,"&lt;&gt;DK")&lt;&gt;0,SUMIFS(E7:E29,C7:C29,"&lt;&gt;ZK",C7:C29,"&lt;&gt;DK")/(COUNTIFS(E7:E29,"&lt;&gt;",C7:C29,"&lt;&gt;ZK",C7:C29,"&lt;&gt;DK")*E6),0)</f>
        <v>0.54347826086956519</v>
      </c>
      <c r="F30" s="119">
        <f>IF(COUNTIFS(F7:F29,"&lt;&gt;",C7:C29,"&lt;&gt;ZK",C7:C29,"&lt;&gt;DK")&lt;&gt;0,SUMIFS(F7:F29,C7:C29,"&lt;&gt;ZK",C7:C29,"&lt;&gt;DK")/(COUNTIFS(F7:F29,"&lt;&gt;",C7:C29,"&lt;&gt;ZK",C7:C29,"&lt;&gt;DK")*F6),0)</f>
        <v>0.63043478260869568</v>
      </c>
      <c r="G30" s="119">
        <f>IF(COUNTIFS(G7:G29,"&lt;&gt;",C7:C29,"&lt;&gt;ZK",C7:C29,"&lt;&gt;DK")&lt;&gt;0,SUMIFS(G7:G29,C7:C29,"&lt;&gt;ZK",C7:C29,"&lt;&gt;DK")/(COUNTIFS(G7:G29,"&lt;&gt;",C7:C29,"&lt;&gt;ZK",C7:C29,"&lt;&gt;DK")*G6),0)</f>
        <v>0.39855072463768115</v>
      </c>
      <c r="H30" s="119">
        <f>IF(COUNTIFS(H7:H29,"&lt;&gt;",C7:C29,"&lt;&gt;ZK",C7:C29,"&lt;&gt;DK")&lt;&gt;0,SUMIFS(H7:H29,C7:C29,"&lt;&gt;ZK",C7:C29,"&lt;&gt;DK")/(COUNTIFS(H7:H29,"&lt;&gt;",C7:C29,"&lt;&gt;ZK",C7:C29,"&lt;&gt;DK")*H6),0)</f>
        <v>0.51086956521739135</v>
      </c>
      <c r="I30" s="141"/>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2176D1C2-A675-4993-A1F7-3B38868CF681}">
      <formula1>0</formula1>
      <formula2>$D$6</formula2>
    </dataValidation>
    <dataValidation type="decimal" allowBlank="1" showErrorMessage="1" sqref="E7:E29" xr:uid="{CB43C03A-41CD-484F-B18F-A794EC5D1C22}">
      <formula1>0</formula1>
      <formula2>$E$6</formula2>
    </dataValidation>
    <dataValidation type="decimal" allowBlank="1" showErrorMessage="1" sqref="F7:F29" xr:uid="{D65F285A-B184-41D7-96D5-025A1E7C4128}">
      <formula1>0</formula1>
      <formula2>$F$6</formula2>
    </dataValidation>
    <dataValidation type="decimal" allowBlank="1" showErrorMessage="1" sqref="G7:G29" xr:uid="{F716B0E7-2773-4300-876E-D72DD668B5E6}">
      <formula1>0</formula1>
      <formula2>$G$6</formula2>
    </dataValidation>
    <dataValidation type="decimal" allowBlank="1" showErrorMessage="1" sqref="H7:H29" xr:uid="{E9C07ECF-BB28-4763-884B-EF9DD9C0D118}">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B8D52-9EA4-41B9-BD37-0B1026A3BF83}">
  <sheetPr codeName="Tabelle214">
    <tabColor rgb="FF92D050"/>
  </sheetPr>
  <dimension ref="B1:I54"/>
  <sheetViews>
    <sheetView workbookViewId="0">
      <selection activeCell="D7" sqref="D7"/>
    </sheetView>
  </sheetViews>
  <sheetFormatPr baseColWidth="10" defaultRowHeight="13.2" x14ac:dyDescent="0.25"/>
  <cols>
    <col min="1" max="2" width="3.44140625" style="94" customWidth="1"/>
    <col min="3" max="3" width="25.77734375" style="94" customWidth="1"/>
    <col min="4" max="9" width="8.77734375" style="94" customWidth="1"/>
    <col min="10" max="16384" width="11.5546875" style="94"/>
  </cols>
  <sheetData>
    <row r="1" spans="2:9" ht="18" customHeight="1" thickBot="1" x14ac:dyDescent="0.3"/>
    <row r="2" spans="2:9" ht="18" customHeight="1" x14ac:dyDescent="0.25">
      <c r="B2" s="95" t="str">
        <f>Config!F2&amp;" "&amp;YEAR(Config!G24)</f>
        <v>Mathe Abitur 2026</v>
      </c>
      <c r="C2" s="96"/>
      <c r="D2" s="96"/>
      <c r="E2" s="96"/>
      <c r="F2" s="97"/>
      <c r="G2" s="97"/>
      <c r="H2" s="97"/>
      <c r="I2" s="98" t="str">
        <f>"Kurs "&amp;Config!G26</f>
        <v>Kurs K1</v>
      </c>
    </row>
    <row r="3" spans="2:9" ht="18" customHeight="1" x14ac:dyDescent="0.25">
      <c r="B3" s="99" t="s">
        <v>112</v>
      </c>
      <c r="C3" s="100"/>
      <c r="D3" s="100"/>
      <c r="E3" s="100"/>
      <c r="F3" s="100"/>
      <c r="G3" s="100"/>
      <c r="H3" s="100"/>
      <c r="I3" s="101"/>
    </row>
    <row r="4" spans="2:9" ht="18" customHeight="1" thickBot="1" x14ac:dyDescent="0.3">
      <c r="B4" s="99"/>
      <c r="C4" s="100"/>
      <c r="D4" s="102"/>
      <c r="E4" s="102"/>
      <c r="F4" s="102"/>
      <c r="G4" s="102"/>
      <c r="H4" s="102"/>
      <c r="I4" s="103"/>
    </row>
    <row r="5" spans="2:9" ht="18" customHeight="1" thickBot="1" x14ac:dyDescent="0.3">
      <c r="B5" s="104"/>
      <c r="C5" s="106"/>
      <c r="D5" s="120" t="str">
        <f>Config!R6</f>
        <v>6</v>
      </c>
      <c r="E5" s="120" t="str">
        <f>Config!R7</f>
        <v>7a</v>
      </c>
      <c r="F5" s="120" t="str">
        <f>Config!R8</f>
        <v>7b</v>
      </c>
      <c r="G5" s="120" t="str">
        <f>Config!R9</f>
        <v>8</v>
      </c>
      <c r="H5" s="120" t="str">
        <f>Config!R10</f>
        <v>9</v>
      </c>
      <c r="I5" s="110" t="s">
        <v>82</v>
      </c>
    </row>
    <row r="6" spans="2:9" ht="18" customHeight="1" thickBot="1" x14ac:dyDescent="0.3">
      <c r="B6" s="105"/>
      <c r="C6" s="107" t="s">
        <v>81</v>
      </c>
      <c r="D6" s="109">
        <f>Config!S6</f>
        <v>5</v>
      </c>
      <c r="E6" s="109">
        <f>Config!S7</f>
        <v>2</v>
      </c>
      <c r="F6" s="109">
        <f>Config!S8</f>
        <v>3</v>
      </c>
      <c r="G6" s="109">
        <f>Config!S9</f>
        <v>5</v>
      </c>
      <c r="H6" s="109">
        <f>Config!S10</f>
        <v>5</v>
      </c>
      <c r="I6" s="128">
        <f>Config!S21</f>
        <v>10</v>
      </c>
    </row>
    <row r="7" spans="2:9" ht="18" customHeight="1" x14ac:dyDescent="0.25">
      <c r="B7" s="115">
        <v>1</v>
      </c>
      <c r="C7" s="113" t="str">
        <f>Config!C5&amp;", "&amp;Config!D5</f>
        <v>Höfer, Simon</v>
      </c>
      <c r="D7" s="217">
        <v>4</v>
      </c>
      <c r="E7" s="224"/>
      <c r="F7" s="217">
        <v>3</v>
      </c>
      <c r="G7" s="224"/>
      <c r="H7" s="225"/>
      <c r="I7" s="219">
        <f t="shared" ref="I7:I17" si="0">SUM(D7:H7)</f>
        <v>7</v>
      </c>
    </row>
    <row r="8" spans="2:9" ht="18" customHeight="1" x14ac:dyDescent="0.25">
      <c r="B8" s="140">
        <v>2</v>
      </c>
      <c r="C8" s="137" t="str">
        <f>Config!C6&amp;", "&amp;Config!D6</f>
        <v>Töpfer, Lilian</v>
      </c>
      <c r="D8" s="220">
        <v>3</v>
      </c>
      <c r="E8" s="226"/>
      <c r="F8" s="226"/>
      <c r="G8" s="220">
        <v>4</v>
      </c>
      <c r="H8" s="227"/>
      <c r="I8" s="222">
        <f t="shared" si="0"/>
        <v>7</v>
      </c>
    </row>
    <row r="9" spans="2:9" ht="18" customHeight="1" x14ac:dyDescent="0.25">
      <c r="B9" s="116">
        <v>3</v>
      </c>
      <c r="C9" s="111" t="str">
        <f>Config!C7&amp;", "&amp;Config!D7</f>
        <v>Fleischmann, Leonie</v>
      </c>
      <c r="D9" s="228"/>
      <c r="E9" s="228"/>
      <c r="F9" s="228"/>
      <c r="G9" s="220">
        <v>5</v>
      </c>
      <c r="H9" s="221">
        <v>3</v>
      </c>
      <c r="I9" s="223">
        <f t="shared" si="0"/>
        <v>8</v>
      </c>
    </row>
    <row r="10" spans="2:9" ht="18" customHeight="1" x14ac:dyDescent="0.25">
      <c r="B10" s="140">
        <v>4</v>
      </c>
      <c r="C10" s="137" t="str">
        <f>Config!C8&amp;", "&amp;Config!D8</f>
        <v>Drescher, Cedric</v>
      </c>
      <c r="D10" s="220">
        <v>1</v>
      </c>
      <c r="E10" s="220">
        <v>2</v>
      </c>
      <c r="F10" s="220">
        <v>3</v>
      </c>
      <c r="G10" s="226"/>
      <c r="H10" s="227"/>
      <c r="I10" s="222">
        <f t="shared" si="0"/>
        <v>6</v>
      </c>
    </row>
    <row r="11" spans="2:9" ht="18" customHeight="1" x14ac:dyDescent="0.25">
      <c r="B11" s="116">
        <v>5</v>
      </c>
      <c r="C11" s="111" t="str">
        <f>Config!C9&amp;", "&amp;Config!D9</f>
        <v>Baumgarten, Annabell</v>
      </c>
      <c r="D11" s="220">
        <v>1</v>
      </c>
      <c r="E11" s="228"/>
      <c r="F11" s="228"/>
      <c r="G11" s="220">
        <v>5</v>
      </c>
      <c r="H11" s="229"/>
      <c r="I11" s="223">
        <f t="shared" si="0"/>
        <v>6</v>
      </c>
    </row>
    <row r="12" spans="2:9" ht="18" customHeight="1" x14ac:dyDescent="0.25">
      <c r="B12" s="140">
        <v>6</v>
      </c>
      <c r="C12" s="137" t="str">
        <f>Config!C10&amp;", "&amp;Config!D10</f>
        <v>Traut, Stefanie</v>
      </c>
      <c r="D12" s="226"/>
      <c r="E12" s="220">
        <v>2</v>
      </c>
      <c r="F12" s="220">
        <v>3</v>
      </c>
      <c r="G12" s="220">
        <v>3</v>
      </c>
      <c r="H12" s="227"/>
      <c r="I12" s="222">
        <f t="shared" si="0"/>
        <v>8</v>
      </c>
    </row>
    <row r="13" spans="2:9" ht="18" customHeight="1" x14ac:dyDescent="0.25">
      <c r="B13" s="116">
        <v>7</v>
      </c>
      <c r="C13" s="111" t="str">
        <f>Config!C11&amp;", "&amp;Config!D11</f>
        <v>Menke, Damian</v>
      </c>
      <c r="D13" s="228"/>
      <c r="E13" s="220">
        <v>1</v>
      </c>
      <c r="F13" s="220">
        <v>2</v>
      </c>
      <c r="G13" s="228"/>
      <c r="H13" s="221">
        <v>4</v>
      </c>
      <c r="I13" s="223">
        <f t="shared" si="0"/>
        <v>7</v>
      </c>
    </row>
    <row r="14" spans="2:9" ht="18" customHeight="1" x14ac:dyDescent="0.25">
      <c r="B14" s="140">
        <v>8</v>
      </c>
      <c r="C14" s="137" t="str">
        <f>Config!C12&amp;", "&amp;Config!D12</f>
        <v>Carroll, Meik</v>
      </c>
      <c r="D14" s="226"/>
      <c r="E14" s="226"/>
      <c r="F14" s="226"/>
      <c r="G14" s="220">
        <v>4</v>
      </c>
      <c r="H14" s="221">
        <v>3</v>
      </c>
      <c r="I14" s="222">
        <f t="shared" si="0"/>
        <v>7</v>
      </c>
    </row>
    <row r="15" spans="2:9" ht="18" customHeight="1" x14ac:dyDescent="0.25">
      <c r="B15" s="116">
        <v>9</v>
      </c>
      <c r="C15" s="111" t="str">
        <f>Config!C13&amp;", "&amp;Config!D13</f>
        <v>Hennings, Tomas</v>
      </c>
      <c r="D15" s="220">
        <v>5</v>
      </c>
      <c r="E15" s="220">
        <v>2</v>
      </c>
      <c r="F15" s="220">
        <v>1</v>
      </c>
      <c r="G15" s="228"/>
      <c r="H15" s="229"/>
      <c r="I15" s="223">
        <f t="shared" si="0"/>
        <v>8</v>
      </c>
    </row>
    <row r="16" spans="2:9" ht="18" customHeight="1" x14ac:dyDescent="0.25">
      <c r="B16" s="140">
        <v>10</v>
      </c>
      <c r="C16" s="137" t="str">
        <f>Config!C14&amp;", "&amp;Config!D14</f>
        <v>Walters, Linn</v>
      </c>
      <c r="D16" s="226"/>
      <c r="E16" s="220">
        <v>1</v>
      </c>
      <c r="F16" s="220">
        <v>2</v>
      </c>
      <c r="G16" s="220">
        <v>5</v>
      </c>
      <c r="H16" s="227"/>
      <c r="I16" s="222">
        <f t="shared" si="0"/>
        <v>8</v>
      </c>
    </row>
    <row r="17" spans="2:9" ht="18" customHeight="1" x14ac:dyDescent="0.25">
      <c r="B17" s="116">
        <v>11</v>
      </c>
      <c r="C17" s="111" t="str">
        <f>Config!C15&amp;", "&amp;Config!D15</f>
        <v>Junker, Amely</v>
      </c>
      <c r="D17" s="220">
        <v>2</v>
      </c>
      <c r="E17" s="228"/>
      <c r="F17" s="228"/>
      <c r="G17" s="220">
        <v>4</v>
      </c>
      <c r="H17" s="229"/>
      <c r="I17" s="223">
        <f t="shared" si="0"/>
        <v>6</v>
      </c>
    </row>
    <row r="18" spans="2:9" ht="18" customHeight="1" x14ac:dyDescent="0.25">
      <c r="B18" s="140">
        <v>12</v>
      </c>
      <c r="C18" s="137" t="str">
        <f>Config!C16&amp;", "&amp;Config!D16</f>
        <v>Stephens, Melvin</v>
      </c>
      <c r="D18" s="220">
        <v>5</v>
      </c>
      <c r="E18" s="226"/>
      <c r="F18" s="226"/>
      <c r="G18" s="220">
        <v>1</v>
      </c>
      <c r="H18" s="227"/>
      <c r="I18" s="222">
        <f t="shared" ref="I18:I28" si="1">SUM(D18:H18)</f>
        <v>6</v>
      </c>
    </row>
    <row r="19" spans="2:9" ht="18" customHeight="1" x14ac:dyDescent="0.25">
      <c r="B19" s="116">
        <v>13</v>
      </c>
      <c r="C19" s="111" t="str">
        <f>Config!C17&amp;", "&amp;Config!D17</f>
        <v>Cremer, Marvin</v>
      </c>
      <c r="D19" s="220">
        <v>3</v>
      </c>
      <c r="E19" s="228"/>
      <c r="F19" s="228"/>
      <c r="G19" s="228"/>
      <c r="H19" s="221">
        <v>5</v>
      </c>
      <c r="I19" s="223">
        <f t="shared" si="1"/>
        <v>8</v>
      </c>
    </row>
    <row r="20" spans="2:9" ht="18" customHeight="1" x14ac:dyDescent="0.25">
      <c r="B20" s="140">
        <v>14</v>
      </c>
      <c r="C20" s="137" t="str">
        <f>Config!C18&amp;", "&amp;Config!D18</f>
        <v>Nash, Jean</v>
      </c>
      <c r="D20" s="226"/>
      <c r="E20" s="226"/>
      <c r="F20" s="226"/>
      <c r="G20" s="220">
        <v>4</v>
      </c>
      <c r="H20" s="221">
        <v>3</v>
      </c>
      <c r="I20" s="222">
        <f t="shared" si="1"/>
        <v>7</v>
      </c>
    </row>
    <row r="21" spans="2:9" ht="18" customHeight="1" x14ac:dyDescent="0.25">
      <c r="B21" s="116">
        <v>15</v>
      </c>
      <c r="C21" s="111" t="str">
        <f>Config!C19&amp;", "&amp;Config!D19</f>
        <v>Schön, Leonardo</v>
      </c>
      <c r="D21" s="228"/>
      <c r="E21" s="220">
        <v>1</v>
      </c>
      <c r="F21" s="220">
        <v>2</v>
      </c>
      <c r="G21" s="228"/>
      <c r="H21" s="221">
        <v>1</v>
      </c>
      <c r="I21" s="223">
        <f t="shared" si="1"/>
        <v>4</v>
      </c>
    </row>
    <row r="22" spans="2:9" ht="18" customHeight="1" x14ac:dyDescent="0.25">
      <c r="B22" s="140">
        <v>16</v>
      </c>
      <c r="C22" s="137" t="str">
        <f>Config!C20&amp;", "&amp;Config!D20</f>
        <v>Sigl, Nicholas</v>
      </c>
      <c r="D22" s="226"/>
      <c r="E22" s="220">
        <v>1</v>
      </c>
      <c r="F22" s="220">
        <v>2</v>
      </c>
      <c r="G22" s="220">
        <v>5</v>
      </c>
      <c r="H22" s="227"/>
      <c r="I22" s="222">
        <f t="shared" si="1"/>
        <v>8</v>
      </c>
    </row>
    <row r="23" spans="2:9" ht="18" customHeight="1" x14ac:dyDescent="0.25">
      <c r="B23" s="116">
        <v>17</v>
      </c>
      <c r="C23" s="111" t="str">
        <f>Config!C21&amp;", "&amp;Config!D21</f>
        <v>Kainz, Vivienne</v>
      </c>
      <c r="D23" s="220">
        <v>5</v>
      </c>
      <c r="E23" s="228"/>
      <c r="F23" s="228"/>
      <c r="G23" s="220">
        <v>5</v>
      </c>
      <c r="H23" s="229"/>
      <c r="I23" s="223">
        <f t="shared" si="1"/>
        <v>10</v>
      </c>
    </row>
    <row r="24" spans="2:9" ht="18" customHeight="1" x14ac:dyDescent="0.25">
      <c r="B24" s="140">
        <v>18</v>
      </c>
      <c r="C24" s="137" t="str">
        <f>Config!C22&amp;", "&amp;Config!D22</f>
        <v>Hartmann, Mads</v>
      </c>
      <c r="D24" s="226"/>
      <c r="E24" s="226"/>
      <c r="F24" s="226"/>
      <c r="G24" s="220">
        <v>3</v>
      </c>
      <c r="H24" s="221">
        <v>4</v>
      </c>
      <c r="I24" s="222">
        <f t="shared" si="1"/>
        <v>7</v>
      </c>
    </row>
    <row r="25" spans="2:9" ht="18" customHeight="1" x14ac:dyDescent="0.25">
      <c r="B25" s="116">
        <v>19</v>
      </c>
      <c r="C25" s="111" t="str">
        <f>Config!C23&amp;", "&amp;Config!D23</f>
        <v>Ullmann, Raphael</v>
      </c>
      <c r="D25" s="228"/>
      <c r="E25" s="228"/>
      <c r="F25" s="228"/>
      <c r="G25" s="220">
        <v>5</v>
      </c>
      <c r="H25" s="221">
        <v>3</v>
      </c>
      <c r="I25" s="223">
        <f t="shared" si="1"/>
        <v>8</v>
      </c>
    </row>
    <row r="26" spans="2:9" ht="18" customHeight="1" x14ac:dyDescent="0.25">
      <c r="B26" s="140">
        <v>20</v>
      </c>
      <c r="C26" s="137" t="str">
        <f>Config!C24&amp;", "&amp;Config!D24</f>
        <v>Hartl, Emmely</v>
      </c>
      <c r="D26" s="220">
        <v>5</v>
      </c>
      <c r="E26" s="220">
        <v>2</v>
      </c>
      <c r="F26" s="220">
        <v>3</v>
      </c>
      <c r="G26" s="226"/>
      <c r="H26" s="227"/>
      <c r="I26" s="222">
        <f t="shared" si="1"/>
        <v>10</v>
      </c>
    </row>
    <row r="27" spans="2:9" ht="18" customHeight="1" x14ac:dyDescent="0.25">
      <c r="B27" s="116">
        <v>21</v>
      </c>
      <c r="C27" s="111" t="str">
        <f>Config!C25&amp;", "&amp;Config!D25</f>
        <v>Klotz, Karin</v>
      </c>
      <c r="D27" s="220">
        <v>5</v>
      </c>
      <c r="E27" s="220">
        <v>2</v>
      </c>
      <c r="F27" s="220">
        <v>3</v>
      </c>
      <c r="G27" s="228"/>
      <c r="H27" s="229"/>
      <c r="I27" s="223">
        <f t="shared" si="1"/>
        <v>10</v>
      </c>
    </row>
    <row r="28" spans="2:9" ht="18" customHeight="1" x14ac:dyDescent="0.25">
      <c r="B28" s="140">
        <v>22</v>
      </c>
      <c r="C28" s="137" t="str">
        <f>Config!C26&amp;", "&amp;Config!D26</f>
        <v>Ehlers, Ingo</v>
      </c>
      <c r="D28" s="220">
        <v>2</v>
      </c>
      <c r="E28" s="226"/>
      <c r="F28" s="226"/>
      <c r="G28" s="226"/>
      <c r="H28" s="221">
        <v>5</v>
      </c>
      <c r="I28" s="222">
        <f t="shared" si="1"/>
        <v>7</v>
      </c>
    </row>
    <row r="29" spans="2:9" ht="18" customHeight="1" thickBot="1" x14ac:dyDescent="0.3">
      <c r="B29" s="117">
        <v>23</v>
      </c>
      <c r="C29" s="114" t="str">
        <f>Config!C27&amp;", "&amp;Config!D27</f>
        <v>Lindemann, Mads</v>
      </c>
      <c r="D29" s="148">
        <v>3</v>
      </c>
      <c r="E29" s="230"/>
      <c r="F29" s="230"/>
      <c r="G29" s="148">
        <v>5</v>
      </c>
      <c r="H29" s="231"/>
      <c r="I29" s="147">
        <f t="shared" ref="I29" si="2">SUM(D29:H29)</f>
        <v>8</v>
      </c>
    </row>
    <row r="30" spans="2:9" ht="18" customHeight="1" thickBot="1" x14ac:dyDescent="0.3">
      <c r="B30" s="118"/>
      <c r="C30" s="119"/>
      <c r="D30" s="119">
        <f>IF(COUNTIFS(D7:D29,"&lt;&gt;",C7:C29,"&lt;&gt;ZK",C7:C29,"&lt;&gt;DK")&lt;&gt;0,SUMIFS(D7:D29,C7:C29,"&lt;&gt;ZK",C7:C29,"&lt;&gt;DK")/(COUNTIFS(D7:D29,"&lt;&gt;",C7:C29,"&lt;&gt;ZK",C7:C29,"&lt;&gt;DK")*D6),0)</f>
        <v>0.67692307692307696</v>
      </c>
      <c r="E30" s="119">
        <f>IF(COUNTIFS(E7:E29,"&lt;&gt;",C7:C29,"&lt;&gt;ZK",C7:C29,"&lt;&gt;DK")&lt;&gt;0,SUMIFS(E7:E29,C7:C29,"&lt;&gt;ZK",C7:C29,"&lt;&gt;DK")/(COUNTIFS(E7:E29,"&lt;&gt;",C7:C29,"&lt;&gt;ZK",C7:C29,"&lt;&gt;DK")*E6),0)</f>
        <v>0.77777777777777779</v>
      </c>
      <c r="F30" s="119">
        <f>IF(COUNTIFS(F7:F29,"&lt;&gt;",C7:C29,"&lt;&gt;ZK",C7:C29,"&lt;&gt;DK")&lt;&gt;0,SUMIFS(F7:F29,C7:C29,"&lt;&gt;ZK",C7:C29,"&lt;&gt;DK")/(COUNTIFS(F7:F29,"&lt;&gt;",C7:C29,"&lt;&gt;ZK",C7:C29,"&lt;&gt;DK")*F6),0)</f>
        <v>0.8</v>
      </c>
      <c r="G30" s="119">
        <f>IF(COUNTIFS(G7:G29,"&lt;&gt;",C7:C29,"&lt;&gt;ZK",C7:C29,"&lt;&gt;DK")&lt;&gt;0,SUMIFS(G7:G29,C7:C29,"&lt;&gt;ZK",C7:C29,"&lt;&gt;DK")/(COUNTIFS(G7:G29,"&lt;&gt;",C7:C29,"&lt;&gt;ZK",C7:C29,"&lt;&gt;DK")*G6),0)</f>
        <v>0.82857142857142863</v>
      </c>
      <c r="H30" s="119">
        <f>IF(COUNTIFS(H7:H29,"&lt;&gt;",C7:C29,"&lt;&gt;ZK",C7:C29,"&lt;&gt;DK")&lt;&gt;0,SUMIFS(H7:H29,C7:C29,"&lt;&gt;ZK",C7:C29,"&lt;&gt;DK")/(COUNTIFS(H7:H29,"&lt;&gt;",C7:C29,"&lt;&gt;ZK",C7:C29,"&lt;&gt;DK")*H6),0)</f>
        <v>0.68888888888888888</v>
      </c>
      <c r="I30" s="141"/>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sheetData>
  <sheetProtection sheet="1" objects="1" scenarios="1" selectLockedCells="1"/>
  <dataValidations count="5">
    <dataValidation type="decimal" allowBlank="1" showErrorMessage="1" sqref="D7:D29" xr:uid="{0D5DE60D-73C6-4464-B1FA-9F21D6FBC82B}">
      <formula1>0</formula1>
      <formula2>$D$6</formula2>
    </dataValidation>
    <dataValidation type="decimal" allowBlank="1" showErrorMessage="1" sqref="E7:E29" xr:uid="{283EA7B1-89A2-4060-962F-4FB3EDFD1116}">
      <formula1>0</formula1>
      <formula2>$E$6</formula2>
    </dataValidation>
    <dataValidation type="decimal" allowBlank="1" showErrorMessage="1" sqref="F7:F29" xr:uid="{447F1B44-A45F-4EB4-BB98-85005AA999CB}">
      <formula1>0</formula1>
      <formula2>$F$6</formula2>
    </dataValidation>
    <dataValidation type="decimal" allowBlank="1" showErrorMessage="1" sqref="G7:G29" xr:uid="{EC874D9A-31EE-4556-82D0-54FFA14908F8}">
      <formula1>0</formula1>
      <formula2>$G$6</formula2>
    </dataValidation>
    <dataValidation type="decimal" allowBlank="1" showErrorMessage="1" sqref="H7:H29" xr:uid="{EFFB1B3F-3DA8-4E10-BD04-C1F502E50CCF}">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14F8-AB8D-46D8-82A3-146E384A033A}">
  <sheetPr codeName="Tabelle216">
    <tabColor rgb="FFFFC000"/>
  </sheetPr>
  <dimension ref="B1:N100"/>
  <sheetViews>
    <sheetView workbookViewId="0">
      <selection activeCell="D7" sqref="D7"/>
    </sheetView>
  </sheetViews>
  <sheetFormatPr baseColWidth="10" defaultRowHeight="13.2" x14ac:dyDescent="0.25"/>
  <cols>
    <col min="1" max="2" width="3.44140625" style="94" customWidth="1"/>
    <col min="3" max="3" width="25.77734375" style="94" customWidth="1"/>
    <col min="4" max="8" width="4.77734375" style="94" customWidth="1"/>
    <col min="9" max="9" width="2.77734375" style="94" customWidth="1"/>
    <col min="10" max="16384" width="11.5546875" style="94"/>
  </cols>
  <sheetData>
    <row r="1" spans="2:14" ht="18" customHeight="1" thickBot="1" x14ac:dyDescent="0.3"/>
    <row r="2" spans="2:14" ht="18" customHeight="1" x14ac:dyDescent="0.25">
      <c r="B2" s="95" t="str">
        <f>Config!F2&amp;" "&amp;YEAR(Config!G24)</f>
        <v>Mathe Abitur 2026</v>
      </c>
      <c r="C2" s="96"/>
      <c r="D2" s="96"/>
      <c r="E2" s="96"/>
      <c r="F2" s="97"/>
      <c r="G2" s="97"/>
      <c r="H2" s="98" t="str">
        <f>"Kurs "&amp;Config!G26</f>
        <v>Kurs K1</v>
      </c>
    </row>
    <row r="3" spans="2:14" ht="18" customHeight="1" x14ac:dyDescent="0.25">
      <c r="B3" s="99" t="s">
        <v>124</v>
      </c>
      <c r="C3" s="100"/>
      <c r="D3" s="100"/>
      <c r="E3" s="100"/>
      <c r="F3" s="100"/>
      <c r="G3" s="100"/>
      <c r="H3" s="101"/>
    </row>
    <row r="4" spans="2:14" ht="18" customHeight="1" thickBot="1" x14ac:dyDescent="0.3">
      <c r="B4" s="99"/>
      <c r="C4" s="100"/>
      <c r="D4" s="102"/>
      <c r="E4" s="102"/>
      <c r="F4" s="102"/>
      <c r="G4" s="102"/>
      <c r="H4" s="103"/>
    </row>
    <row r="5" spans="2:14" ht="18" customHeight="1" thickBot="1" x14ac:dyDescent="0.3">
      <c r="B5" s="104"/>
      <c r="C5" s="106"/>
      <c r="D5" s="120" t="str">
        <f>Config!R6</f>
        <v>6</v>
      </c>
      <c r="E5" s="120" t="str">
        <f>Config!R7</f>
        <v>7a</v>
      </c>
      <c r="F5" s="120" t="str">
        <f>Config!R8</f>
        <v>7b</v>
      </c>
      <c r="G5" s="120" t="str">
        <f>Config!R9</f>
        <v>8</v>
      </c>
      <c r="H5" s="120" t="str">
        <f>Config!R10</f>
        <v>9</v>
      </c>
    </row>
    <row r="6" spans="2:14" ht="18" customHeight="1" thickBot="1" x14ac:dyDescent="0.3">
      <c r="B6" s="105"/>
      <c r="C6" s="107" t="s">
        <v>81</v>
      </c>
      <c r="D6" s="130" t="s">
        <v>112</v>
      </c>
      <c r="E6" s="130" t="s">
        <v>112</v>
      </c>
      <c r="F6" s="130" t="s">
        <v>112</v>
      </c>
      <c r="G6" s="130" t="s">
        <v>112</v>
      </c>
      <c r="H6" s="130" t="s">
        <v>112</v>
      </c>
      <c r="J6" s="208" t="s">
        <v>125</v>
      </c>
      <c r="K6" s="209"/>
      <c r="L6" s="209"/>
      <c r="M6" s="209"/>
      <c r="N6" s="210"/>
    </row>
    <row r="7" spans="2:14" ht="18" customHeight="1" x14ac:dyDescent="0.25">
      <c r="B7" s="115">
        <v>1</v>
      </c>
      <c r="C7" s="113" t="str">
        <f>Config!C5&amp;", "&amp;Config!D5</f>
        <v>Höfer, Simon</v>
      </c>
      <c r="D7" s="63" t="s">
        <v>120</v>
      </c>
      <c r="E7" s="63"/>
      <c r="F7" s="63" t="s">
        <v>120</v>
      </c>
      <c r="G7" s="63"/>
      <c r="H7" s="64"/>
      <c r="J7" s="211"/>
      <c r="K7" s="212"/>
      <c r="L7" s="212"/>
      <c r="M7" s="212"/>
      <c r="N7" s="213"/>
    </row>
    <row r="8" spans="2:14" ht="18" customHeight="1" thickBot="1" x14ac:dyDescent="0.3">
      <c r="B8" s="116">
        <v>2</v>
      </c>
      <c r="C8" s="111" t="str">
        <f>Config!C6&amp;", "&amp;Config!D6</f>
        <v>Töpfer, Lilian</v>
      </c>
      <c r="D8" s="62" t="s">
        <v>120</v>
      </c>
      <c r="E8" s="62"/>
      <c r="F8" s="62"/>
      <c r="G8" s="62" t="s">
        <v>120</v>
      </c>
      <c r="H8" s="65"/>
      <c r="J8" s="214"/>
      <c r="K8" s="215"/>
      <c r="L8" s="215"/>
      <c r="M8" s="215"/>
      <c r="N8" s="216"/>
    </row>
    <row r="9" spans="2:14" ht="18" customHeight="1" x14ac:dyDescent="0.25">
      <c r="B9" s="116">
        <v>3</v>
      </c>
      <c r="C9" s="111" t="str">
        <f>Config!C7&amp;", "&amp;Config!D7</f>
        <v>Fleischmann, Leonie</v>
      </c>
      <c r="D9" s="62"/>
      <c r="E9" s="62"/>
      <c r="F9" s="62"/>
      <c r="G9" s="62" t="s">
        <v>120</v>
      </c>
      <c r="H9" s="65" t="s">
        <v>120</v>
      </c>
    </row>
    <row r="10" spans="2:14" ht="18" customHeight="1" x14ac:dyDescent="0.25">
      <c r="B10" s="116">
        <v>4</v>
      </c>
      <c r="C10" s="111" t="str">
        <f>Config!C8&amp;", "&amp;Config!D8</f>
        <v>Drescher, Cedric</v>
      </c>
      <c r="D10" s="62" t="s">
        <v>120</v>
      </c>
      <c r="E10" s="62" t="s">
        <v>120</v>
      </c>
      <c r="F10" s="62" t="s">
        <v>120</v>
      </c>
      <c r="G10" s="62"/>
      <c r="H10" s="65"/>
    </row>
    <row r="11" spans="2:14" ht="18" customHeight="1" x14ac:dyDescent="0.25">
      <c r="B11" s="116">
        <v>5</v>
      </c>
      <c r="C11" s="111" t="str">
        <f>Config!C9&amp;", "&amp;Config!D9</f>
        <v>Baumgarten, Annabell</v>
      </c>
      <c r="D11" s="62" t="s">
        <v>120</v>
      </c>
      <c r="E11" s="62"/>
      <c r="F11" s="62"/>
      <c r="G11" s="62" t="s">
        <v>120</v>
      </c>
      <c r="H11" s="65"/>
    </row>
    <row r="12" spans="2:14" ht="18" customHeight="1" x14ac:dyDescent="0.25">
      <c r="B12" s="116">
        <v>6</v>
      </c>
      <c r="C12" s="111" t="str">
        <f>Config!C10&amp;", "&amp;Config!D10</f>
        <v>Traut, Stefanie</v>
      </c>
      <c r="D12" s="62"/>
      <c r="E12" s="62" t="s">
        <v>120</v>
      </c>
      <c r="F12" s="62" t="s">
        <v>120</v>
      </c>
      <c r="G12" s="62" t="s">
        <v>120</v>
      </c>
      <c r="H12" s="65"/>
    </row>
    <row r="13" spans="2:14" ht="18" customHeight="1" x14ac:dyDescent="0.25">
      <c r="B13" s="116">
        <v>7</v>
      </c>
      <c r="C13" s="111" t="str">
        <f>Config!C11&amp;", "&amp;Config!D11</f>
        <v>Menke, Damian</v>
      </c>
      <c r="D13" s="62"/>
      <c r="E13" s="62" t="s">
        <v>120</v>
      </c>
      <c r="F13" s="62" t="s">
        <v>120</v>
      </c>
      <c r="G13" s="62"/>
      <c r="H13" s="65" t="s">
        <v>120</v>
      </c>
    </row>
    <row r="14" spans="2:14" ht="18" customHeight="1" x14ac:dyDescent="0.25">
      <c r="B14" s="116">
        <v>8</v>
      </c>
      <c r="C14" s="111" t="str">
        <f>Config!C12&amp;", "&amp;Config!D12</f>
        <v>Carroll, Meik</v>
      </c>
      <c r="D14" s="62"/>
      <c r="E14" s="62"/>
      <c r="F14" s="62"/>
      <c r="G14" s="62" t="s">
        <v>120</v>
      </c>
      <c r="H14" s="65" t="s">
        <v>120</v>
      </c>
    </row>
    <row r="15" spans="2:14" ht="18" customHeight="1" x14ac:dyDescent="0.25">
      <c r="B15" s="116">
        <v>9</v>
      </c>
      <c r="C15" s="111" t="str">
        <f>Config!C13&amp;", "&amp;Config!D13</f>
        <v>Hennings, Tomas</v>
      </c>
      <c r="D15" s="62" t="s">
        <v>120</v>
      </c>
      <c r="E15" s="62" t="s">
        <v>120</v>
      </c>
      <c r="F15" s="62" t="s">
        <v>120</v>
      </c>
      <c r="G15" s="62"/>
      <c r="H15" s="65"/>
    </row>
    <row r="16" spans="2:14" ht="18" customHeight="1" x14ac:dyDescent="0.25">
      <c r="B16" s="116">
        <v>10</v>
      </c>
      <c r="C16" s="111" t="str">
        <f>Config!C14&amp;", "&amp;Config!D14</f>
        <v>Walters, Linn</v>
      </c>
      <c r="D16" s="62"/>
      <c r="E16" s="62" t="s">
        <v>120</v>
      </c>
      <c r="F16" s="62" t="s">
        <v>120</v>
      </c>
      <c r="G16" s="62" t="s">
        <v>120</v>
      </c>
      <c r="H16" s="65"/>
    </row>
    <row r="17" spans="2:8" ht="18" customHeight="1" x14ac:dyDescent="0.25">
      <c r="B17" s="116">
        <v>11</v>
      </c>
      <c r="C17" s="111" t="str">
        <f>Config!C15&amp;", "&amp;Config!D15</f>
        <v>Junker, Amely</v>
      </c>
      <c r="D17" s="62" t="s">
        <v>120</v>
      </c>
      <c r="E17" s="62"/>
      <c r="F17" s="62"/>
      <c r="G17" s="62" t="s">
        <v>120</v>
      </c>
      <c r="H17" s="65"/>
    </row>
    <row r="18" spans="2:8" ht="18" customHeight="1" x14ac:dyDescent="0.25">
      <c r="B18" s="116">
        <v>12</v>
      </c>
      <c r="C18" s="111" t="str">
        <f>Config!C16&amp;", "&amp;Config!D16</f>
        <v>Stephens, Melvin</v>
      </c>
      <c r="D18" s="62" t="s">
        <v>120</v>
      </c>
      <c r="E18" s="62"/>
      <c r="F18" s="62"/>
      <c r="G18" s="62" t="s">
        <v>120</v>
      </c>
      <c r="H18" s="65"/>
    </row>
    <row r="19" spans="2:8" ht="18" customHeight="1" x14ac:dyDescent="0.25">
      <c r="B19" s="116">
        <v>13</v>
      </c>
      <c r="C19" s="111" t="str">
        <f>Config!C17&amp;", "&amp;Config!D17</f>
        <v>Cremer, Marvin</v>
      </c>
      <c r="D19" s="62" t="s">
        <v>120</v>
      </c>
      <c r="E19" s="62"/>
      <c r="F19" s="62"/>
      <c r="G19" s="62"/>
      <c r="H19" s="65" t="s">
        <v>120</v>
      </c>
    </row>
    <row r="20" spans="2:8" ht="18" customHeight="1" x14ac:dyDescent="0.25">
      <c r="B20" s="116">
        <v>14</v>
      </c>
      <c r="C20" s="111" t="str">
        <f>Config!C18&amp;", "&amp;Config!D18</f>
        <v>Nash, Jean</v>
      </c>
      <c r="D20" s="62"/>
      <c r="E20" s="62"/>
      <c r="F20" s="62"/>
      <c r="G20" s="62" t="s">
        <v>120</v>
      </c>
      <c r="H20" s="65" t="s">
        <v>120</v>
      </c>
    </row>
    <row r="21" spans="2:8" ht="18" customHeight="1" x14ac:dyDescent="0.25">
      <c r="B21" s="116">
        <v>15</v>
      </c>
      <c r="C21" s="111" t="str">
        <f>Config!C19&amp;", "&amp;Config!D19</f>
        <v>Schön, Leonardo</v>
      </c>
      <c r="D21" s="62"/>
      <c r="E21" s="62" t="s">
        <v>120</v>
      </c>
      <c r="F21" s="62" t="s">
        <v>120</v>
      </c>
      <c r="G21" s="62"/>
      <c r="H21" s="65" t="s">
        <v>120</v>
      </c>
    </row>
    <row r="22" spans="2:8" ht="18" customHeight="1" x14ac:dyDescent="0.25">
      <c r="B22" s="116">
        <v>16</v>
      </c>
      <c r="C22" s="111" t="str">
        <f>Config!C20&amp;", "&amp;Config!D20</f>
        <v>Sigl, Nicholas</v>
      </c>
      <c r="D22" s="62"/>
      <c r="E22" s="62" t="s">
        <v>120</v>
      </c>
      <c r="F22" s="62" t="s">
        <v>120</v>
      </c>
      <c r="G22" s="62" t="s">
        <v>120</v>
      </c>
      <c r="H22" s="65"/>
    </row>
    <row r="23" spans="2:8" ht="18" customHeight="1" x14ac:dyDescent="0.25">
      <c r="B23" s="116">
        <v>17</v>
      </c>
      <c r="C23" s="111" t="str">
        <f>Config!C21&amp;", "&amp;Config!D21</f>
        <v>Kainz, Vivienne</v>
      </c>
      <c r="D23" s="62" t="s">
        <v>120</v>
      </c>
      <c r="E23" s="62"/>
      <c r="F23" s="62"/>
      <c r="G23" s="62" t="s">
        <v>120</v>
      </c>
      <c r="H23" s="65"/>
    </row>
    <row r="24" spans="2:8" ht="18" customHeight="1" x14ac:dyDescent="0.25">
      <c r="B24" s="116">
        <v>18</v>
      </c>
      <c r="C24" s="111" t="str">
        <f>Config!C22&amp;", "&amp;Config!D22</f>
        <v>Hartmann, Mads</v>
      </c>
      <c r="D24" s="62"/>
      <c r="E24" s="62"/>
      <c r="F24" s="62"/>
      <c r="G24" s="62" t="s">
        <v>120</v>
      </c>
      <c r="H24" s="65" t="s">
        <v>120</v>
      </c>
    </row>
    <row r="25" spans="2:8" ht="18" customHeight="1" x14ac:dyDescent="0.25">
      <c r="B25" s="116">
        <v>19</v>
      </c>
      <c r="C25" s="111" t="str">
        <f>Config!C23&amp;", "&amp;Config!D23</f>
        <v>Ullmann, Raphael</v>
      </c>
      <c r="D25" s="62"/>
      <c r="E25" s="62"/>
      <c r="F25" s="62"/>
      <c r="G25" s="62" t="s">
        <v>120</v>
      </c>
      <c r="H25" s="65" t="s">
        <v>120</v>
      </c>
    </row>
    <row r="26" spans="2:8" ht="18" customHeight="1" x14ac:dyDescent="0.25">
      <c r="B26" s="116">
        <v>20</v>
      </c>
      <c r="C26" s="111" t="str">
        <f>Config!C24&amp;", "&amp;Config!D24</f>
        <v>Hartl, Emmely</v>
      </c>
      <c r="D26" s="62" t="s">
        <v>120</v>
      </c>
      <c r="E26" s="62" t="s">
        <v>120</v>
      </c>
      <c r="F26" s="62" t="s">
        <v>120</v>
      </c>
      <c r="G26" s="62"/>
      <c r="H26" s="65"/>
    </row>
    <row r="27" spans="2:8" ht="18" customHeight="1" x14ac:dyDescent="0.25">
      <c r="B27" s="116">
        <v>21</v>
      </c>
      <c r="C27" s="111" t="str">
        <f>Config!C25&amp;", "&amp;Config!D25</f>
        <v>Klotz, Karin</v>
      </c>
      <c r="D27" s="62" t="s">
        <v>120</v>
      </c>
      <c r="E27" s="62" t="s">
        <v>120</v>
      </c>
      <c r="F27" s="62" t="s">
        <v>120</v>
      </c>
      <c r="G27" s="62"/>
      <c r="H27" s="65"/>
    </row>
    <row r="28" spans="2:8" ht="18" customHeight="1" x14ac:dyDescent="0.25">
      <c r="B28" s="116">
        <v>22</v>
      </c>
      <c r="C28" s="111" t="str">
        <f>Config!C26&amp;", "&amp;Config!D26</f>
        <v>Ehlers, Ingo</v>
      </c>
      <c r="D28" s="62" t="s">
        <v>120</v>
      </c>
      <c r="E28" s="62"/>
      <c r="F28" s="62"/>
      <c r="G28" s="62"/>
      <c r="H28" s="65" t="s">
        <v>120</v>
      </c>
    </row>
    <row r="29" spans="2:8" ht="18" customHeight="1" thickBot="1" x14ac:dyDescent="0.3">
      <c r="B29" s="117">
        <v>23</v>
      </c>
      <c r="C29" s="114"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mergeCells count="1">
    <mergeCell ref="J6:N8"/>
  </mergeCells>
  <dataValidations count="1">
    <dataValidation type="list" allowBlank="1" showDropDown="1" showInputMessage="1" showErrorMessage="1" sqref="D7:H29" xr:uid="{FF498A0C-8337-45CC-BA18-DFC48E8DAD9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AF45"/>
  <sheetViews>
    <sheetView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02" t="s">
        <v>6</v>
      </c>
      <c r="C2" s="203"/>
      <c r="D2" s="204"/>
      <c r="F2" s="188" t="s">
        <v>96</v>
      </c>
      <c r="G2" s="189"/>
      <c r="H2" s="189"/>
      <c r="I2" s="189"/>
      <c r="J2" s="189"/>
      <c r="K2" s="189"/>
      <c r="L2" s="189"/>
      <c r="M2" s="189"/>
      <c r="N2" s="189"/>
      <c r="O2" s="189"/>
      <c r="P2" s="189"/>
      <c r="Q2" s="189"/>
      <c r="R2" s="189"/>
      <c r="S2" s="190"/>
      <c r="T2" s="79" t="s">
        <v>88</v>
      </c>
      <c r="V2" s="161" t="s">
        <v>89</v>
      </c>
      <c r="W2" s="162"/>
      <c r="X2" s="162"/>
      <c r="Y2" s="162"/>
      <c r="Z2" s="163"/>
      <c r="AB2" s="161" t="s">
        <v>129</v>
      </c>
      <c r="AC2" s="162"/>
      <c r="AD2" s="162"/>
      <c r="AE2" s="162"/>
      <c r="AF2" s="163"/>
    </row>
    <row r="3" spans="2:32" ht="13.2" customHeight="1" x14ac:dyDescent="0.25">
      <c r="B3" s="205"/>
      <c r="C3" s="206"/>
      <c r="D3" s="207"/>
      <c r="F3" s="191"/>
      <c r="G3" s="192"/>
      <c r="H3" s="192"/>
      <c r="I3" s="192"/>
      <c r="J3" s="192"/>
      <c r="K3" s="192"/>
      <c r="L3" s="192"/>
      <c r="M3" s="192"/>
      <c r="N3" s="192"/>
      <c r="O3" s="192"/>
      <c r="P3" s="192"/>
      <c r="Q3" s="192"/>
      <c r="R3" s="192"/>
      <c r="S3" s="193"/>
      <c r="V3" s="80" t="s">
        <v>90</v>
      </c>
      <c r="W3" s="164" t="s">
        <v>122</v>
      </c>
      <c r="X3" s="164"/>
      <c r="Y3" s="164"/>
      <c r="Z3" s="165"/>
      <c r="AB3" s="150" t="s">
        <v>130</v>
      </c>
      <c r="AC3" s="164" t="s">
        <v>131</v>
      </c>
      <c r="AD3" s="164"/>
      <c r="AE3" s="164"/>
      <c r="AF3" s="165"/>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64"/>
      <c r="X4" s="164"/>
      <c r="Y4" s="164"/>
      <c r="Z4" s="165"/>
      <c r="AB4" s="80"/>
      <c r="AC4" s="164"/>
      <c r="AD4" s="164"/>
      <c r="AE4" s="164"/>
      <c r="AF4" s="165"/>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64"/>
      <c r="X5" s="164"/>
      <c r="Y5" s="164"/>
      <c r="Z5" s="165"/>
      <c r="AB5" s="80"/>
      <c r="AC5" s="164"/>
      <c r="AD5" s="164"/>
      <c r="AE5" s="164"/>
      <c r="AF5" s="165"/>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64"/>
      <c r="X6" s="164"/>
      <c r="Y6" s="164"/>
      <c r="Z6" s="165"/>
      <c r="AB6" s="150" t="s">
        <v>130</v>
      </c>
      <c r="AC6" s="164"/>
      <c r="AD6" s="164"/>
      <c r="AE6" s="164"/>
      <c r="AF6" s="165"/>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64"/>
      <c r="X7" s="164"/>
      <c r="Y7" s="164"/>
      <c r="Z7" s="165"/>
      <c r="AB7" s="80"/>
      <c r="AC7" s="164"/>
      <c r="AD7" s="164"/>
      <c r="AE7" s="164"/>
      <c r="AF7" s="165"/>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64"/>
      <c r="X8" s="164"/>
      <c r="Y8" s="164"/>
      <c r="Z8" s="165"/>
      <c r="AB8" s="80"/>
      <c r="AC8" s="164"/>
      <c r="AD8" s="164"/>
      <c r="AE8" s="164"/>
      <c r="AF8" s="165"/>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64"/>
      <c r="X9" s="164"/>
      <c r="Y9" s="164"/>
      <c r="Z9" s="165"/>
      <c r="AB9" s="150"/>
      <c r="AC9" s="164"/>
      <c r="AD9" s="164"/>
      <c r="AE9" s="164"/>
      <c r="AF9" s="165"/>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64"/>
      <c r="X10" s="164"/>
      <c r="Y10" s="164"/>
      <c r="Z10" s="165"/>
      <c r="AB10" s="80"/>
      <c r="AC10" s="164"/>
      <c r="AD10" s="164"/>
      <c r="AE10" s="164"/>
      <c r="AF10" s="165"/>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64"/>
      <c r="X11" s="164"/>
      <c r="Y11" s="164"/>
      <c r="Z11" s="165"/>
      <c r="AB11" s="150" t="s">
        <v>130</v>
      </c>
      <c r="AC11" s="164"/>
      <c r="AD11" s="164"/>
      <c r="AE11" s="164"/>
      <c r="AF11" s="165"/>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64"/>
      <c r="X12" s="164"/>
      <c r="Y12" s="164"/>
      <c r="Z12" s="165"/>
      <c r="AB12" s="150"/>
      <c r="AC12" s="164"/>
      <c r="AD12" s="164"/>
      <c r="AE12" s="164"/>
      <c r="AF12" s="165"/>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64"/>
      <c r="X13" s="164"/>
      <c r="Y13" s="164"/>
      <c r="Z13" s="165"/>
      <c r="AB13" s="80"/>
      <c r="AC13" s="164"/>
      <c r="AD13" s="164"/>
      <c r="AE13" s="164"/>
      <c r="AF13" s="165"/>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64"/>
      <c r="X14" s="164"/>
      <c r="Y14" s="164"/>
      <c r="Z14" s="165"/>
      <c r="AB14" s="80"/>
      <c r="AC14" s="164"/>
      <c r="AD14" s="164"/>
      <c r="AE14" s="164"/>
      <c r="AF14" s="165"/>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64"/>
      <c r="X15" s="164"/>
      <c r="Y15" s="164"/>
      <c r="Z15" s="165"/>
      <c r="AB15" s="150"/>
      <c r="AC15" s="164"/>
      <c r="AD15" s="164"/>
      <c r="AE15" s="164"/>
      <c r="AF15" s="165"/>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164"/>
      <c r="X16" s="164"/>
      <c r="Y16" s="164"/>
      <c r="Z16" s="165"/>
      <c r="AB16" s="150" t="s">
        <v>130</v>
      </c>
      <c r="AC16" s="164"/>
      <c r="AD16" s="164"/>
      <c r="AE16" s="164"/>
      <c r="AF16" s="165"/>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164"/>
      <c r="X17" s="164"/>
      <c r="Y17" s="164"/>
      <c r="Z17" s="165"/>
      <c r="AB17" s="80"/>
      <c r="AC17" s="164"/>
      <c r="AD17" s="164"/>
      <c r="AE17" s="164"/>
      <c r="AF17" s="165"/>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64"/>
      <c r="X18" s="164"/>
      <c r="Y18" s="164"/>
      <c r="Z18" s="165"/>
      <c r="AB18" s="150"/>
      <c r="AC18" s="164"/>
      <c r="AD18" s="164"/>
      <c r="AE18" s="164"/>
      <c r="AF18" s="165"/>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164"/>
      <c r="X19" s="164"/>
      <c r="Y19" s="164"/>
      <c r="Z19" s="165"/>
      <c r="AB19" s="80"/>
      <c r="AC19" s="164"/>
      <c r="AD19" s="164"/>
      <c r="AE19" s="164"/>
      <c r="AF19" s="165"/>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164"/>
      <c r="X20" s="164"/>
      <c r="Y20" s="164"/>
      <c r="Z20" s="165"/>
      <c r="AB20" s="80"/>
      <c r="AC20" s="164"/>
      <c r="AD20" s="164"/>
      <c r="AE20" s="164"/>
      <c r="AF20" s="165"/>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64"/>
      <c r="X21" s="164"/>
      <c r="Y21" s="164"/>
      <c r="Z21" s="165"/>
      <c r="AB21" s="150"/>
      <c r="AC21" s="164"/>
      <c r="AD21" s="164"/>
      <c r="AE21" s="164"/>
      <c r="AF21" s="165"/>
    </row>
    <row r="22" spans="2:32" ht="13.8" thickBot="1" x14ac:dyDescent="0.3">
      <c r="B22" s="5">
        <v>18</v>
      </c>
      <c r="C22" s="13" t="s">
        <v>75</v>
      </c>
      <c r="D22" s="14" t="s">
        <v>53</v>
      </c>
      <c r="F22" s="194" t="s">
        <v>118</v>
      </c>
      <c r="G22" s="195"/>
      <c r="H22" s="196" t="s">
        <v>118</v>
      </c>
      <c r="I22" s="195"/>
      <c r="J22" s="196" t="s">
        <v>118</v>
      </c>
      <c r="K22" s="195"/>
      <c r="L22" s="196" t="s">
        <v>118</v>
      </c>
      <c r="M22" s="195"/>
      <c r="N22" s="196" t="s">
        <v>118</v>
      </c>
      <c r="O22" s="195"/>
      <c r="P22" s="196" t="s">
        <v>118</v>
      </c>
      <c r="Q22" s="195"/>
      <c r="R22" s="196" t="s">
        <v>119</v>
      </c>
      <c r="S22" s="199"/>
      <c r="T22" s="79" t="s">
        <v>88</v>
      </c>
      <c r="V22" s="4"/>
      <c r="W22" s="164"/>
      <c r="X22" s="164"/>
      <c r="Y22" s="164"/>
      <c r="Z22" s="165"/>
      <c r="AB22" s="4"/>
      <c r="AC22" s="164"/>
      <c r="AD22" s="164"/>
      <c r="AE22" s="164"/>
      <c r="AF22" s="165"/>
    </row>
    <row r="23" spans="2:32" ht="13.2" customHeight="1" thickBot="1" x14ac:dyDescent="0.3">
      <c r="B23" s="5">
        <v>19</v>
      </c>
      <c r="C23" s="77" t="s">
        <v>76</v>
      </c>
      <c r="D23" s="78" t="s">
        <v>54</v>
      </c>
      <c r="V23" s="4"/>
      <c r="W23" s="164"/>
      <c r="X23" s="164"/>
      <c r="Y23" s="164"/>
      <c r="Z23" s="165"/>
      <c r="AB23" s="4"/>
      <c r="AC23" s="164"/>
      <c r="AD23" s="164"/>
      <c r="AE23" s="164"/>
      <c r="AF23" s="165"/>
    </row>
    <row r="24" spans="2:32" ht="13.2" customHeight="1" x14ac:dyDescent="0.25">
      <c r="B24" s="5">
        <v>20</v>
      </c>
      <c r="C24" s="13" t="s">
        <v>77</v>
      </c>
      <c r="D24" s="14" t="s">
        <v>55</v>
      </c>
      <c r="F24" s="22" t="s">
        <v>22</v>
      </c>
      <c r="G24" s="177">
        <v>46150</v>
      </c>
      <c r="H24" s="178"/>
      <c r="J24" s="179" t="s">
        <v>99</v>
      </c>
      <c r="K24" s="180"/>
      <c r="L24" s="180"/>
      <c r="M24" s="180"/>
      <c r="N24" s="180"/>
      <c r="O24" s="180"/>
      <c r="P24" s="180"/>
      <c r="Q24" s="181"/>
      <c r="V24" s="4" t="s">
        <v>123</v>
      </c>
      <c r="W24" s="164"/>
      <c r="X24" s="164"/>
      <c r="Y24" s="164"/>
      <c r="Z24" s="165"/>
      <c r="AB24" s="150"/>
      <c r="AC24" s="164"/>
      <c r="AD24" s="164"/>
      <c r="AE24" s="164"/>
      <c r="AF24" s="165"/>
    </row>
    <row r="25" spans="2:32" ht="13.2" customHeight="1" x14ac:dyDescent="0.25">
      <c r="B25" s="5">
        <v>21</v>
      </c>
      <c r="C25" s="77" t="s">
        <v>78</v>
      </c>
      <c r="D25" s="78" t="s">
        <v>56</v>
      </c>
      <c r="F25" s="23" t="s">
        <v>30</v>
      </c>
      <c r="G25" s="197" t="s">
        <v>86</v>
      </c>
      <c r="H25" s="198"/>
      <c r="J25" s="182" t="s">
        <v>98</v>
      </c>
      <c r="K25" s="183"/>
      <c r="L25" s="183"/>
      <c r="M25" s="183"/>
      <c r="N25" s="183"/>
      <c r="O25" s="183"/>
      <c r="P25" s="183"/>
      <c r="Q25" s="184"/>
      <c r="V25" s="4"/>
      <c r="W25" s="164"/>
      <c r="X25" s="164"/>
      <c r="Y25" s="164"/>
      <c r="Z25" s="165"/>
      <c r="AB25" s="4"/>
      <c r="AC25" s="164"/>
      <c r="AD25" s="164"/>
      <c r="AE25" s="164"/>
      <c r="AF25" s="165"/>
    </row>
    <row r="26" spans="2:32" ht="13.2" customHeight="1" thickBot="1" x14ac:dyDescent="0.3">
      <c r="B26" s="5">
        <v>22</v>
      </c>
      <c r="C26" s="13" t="s">
        <v>79</v>
      </c>
      <c r="D26" s="14" t="s">
        <v>57</v>
      </c>
      <c r="F26" s="23" t="s">
        <v>21</v>
      </c>
      <c r="G26" s="197" t="s">
        <v>87</v>
      </c>
      <c r="H26" s="198"/>
      <c r="J26" s="185" t="s">
        <v>134</v>
      </c>
      <c r="K26" s="186"/>
      <c r="L26" s="186"/>
      <c r="M26" s="186"/>
      <c r="N26" s="186"/>
      <c r="O26" s="186"/>
      <c r="P26" s="186"/>
      <c r="Q26" s="187"/>
      <c r="V26" s="4"/>
      <c r="W26" s="164"/>
      <c r="X26" s="164"/>
      <c r="Y26" s="164"/>
      <c r="Z26" s="165"/>
      <c r="AB26" s="4"/>
      <c r="AC26" s="164"/>
      <c r="AD26" s="164"/>
      <c r="AE26" s="164"/>
      <c r="AF26" s="165"/>
    </row>
    <row r="27" spans="2:32" ht="13.2" customHeight="1" thickBot="1" x14ac:dyDescent="0.3">
      <c r="B27" s="5">
        <v>23</v>
      </c>
      <c r="C27" s="77" t="s">
        <v>80</v>
      </c>
      <c r="D27" s="78" t="s">
        <v>53</v>
      </c>
      <c r="F27" s="23" t="s">
        <v>126</v>
      </c>
      <c r="G27" s="197" t="s">
        <v>132</v>
      </c>
      <c r="H27" s="198"/>
      <c r="I27" s="146" t="s">
        <v>88</v>
      </c>
      <c r="V27" s="4"/>
      <c r="W27" s="164"/>
      <c r="X27" s="164"/>
      <c r="Y27" s="164"/>
      <c r="Z27" s="165"/>
      <c r="AB27" s="4"/>
      <c r="AC27" s="164"/>
      <c r="AD27" s="164"/>
      <c r="AE27" s="164"/>
      <c r="AF27" s="165"/>
    </row>
    <row r="28" spans="2:32" ht="13.2" customHeight="1" thickBot="1" x14ac:dyDescent="0.3">
      <c r="B28" s="5">
        <v>24</v>
      </c>
      <c r="C28" s="13"/>
      <c r="D28" s="14"/>
      <c r="F28" s="24" t="s">
        <v>127</v>
      </c>
      <c r="G28" s="200" t="s">
        <v>133</v>
      </c>
      <c r="H28" s="201"/>
      <c r="I28" s="146" t="s">
        <v>88</v>
      </c>
      <c r="N28" s="155" t="s">
        <v>128</v>
      </c>
      <c r="O28" s="156"/>
      <c r="P28" s="156"/>
      <c r="Q28" s="157"/>
      <c r="V28" s="4"/>
      <c r="W28" s="164"/>
      <c r="X28" s="164"/>
      <c r="Y28" s="164"/>
      <c r="Z28" s="165"/>
      <c r="AB28" s="4"/>
      <c r="AC28" s="164"/>
      <c r="AD28" s="164"/>
      <c r="AE28" s="164"/>
      <c r="AF28" s="165"/>
    </row>
    <row r="29" spans="2:32" ht="13.2" customHeight="1" thickBot="1" x14ac:dyDescent="0.3">
      <c r="B29" s="5">
        <v>25</v>
      </c>
      <c r="C29" s="77"/>
      <c r="D29" s="78"/>
      <c r="N29" s="158"/>
      <c r="O29" s="159"/>
      <c r="P29" s="159"/>
      <c r="Q29" s="160"/>
      <c r="V29" s="92"/>
      <c r="W29" s="166"/>
      <c r="X29" s="166"/>
      <c r="Y29" s="166"/>
      <c r="Z29" s="167"/>
      <c r="AB29" s="92"/>
      <c r="AC29" s="166"/>
      <c r="AD29" s="166"/>
      <c r="AE29" s="166"/>
      <c r="AF29" s="167"/>
    </row>
    <row r="30" spans="2:32" ht="13.2" customHeight="1" thickBot="1" x14ac:dyDescent="0.3">
      <c r="B30" s="5">
        <v>26</v>
      </c>
      <c r="C30" s="13"/>
      <c r="D30" s="14"/>
    </row>
    <row r="31" spans="2:32" ht="13.2" customHeight="1" x14ac:dyDescent="0.25">
      <c r="B31" s="5">
        <v>27</v>
      </c>
      <c r="C31" s="77"/>
      <c r="D31" s="78"/>
      <c r="F31" s="168" t="s">
        <v>97</v>
      </c>
      <c r="G31" s="169"/>
      <c r="H31" s="169"/>
      <c r="I31" s="169"/>
      <c r="J31" s="169"/>
      <c r="K31" s="169"/>
      <c r="L31" s="169"/>
      <c r="M31" s="169"/>
      <c r="N31" s="169"/>
      <c r="O31" s="169"/>
      <c r="P31" s="169"/>
      <c r="Q31" s="170"/>
    </row>
    <row r="32" spans="2:32" ht="13.2" customHeight="1" x14ac:dyDescent="0.25">
      <c r="B32" s="5">
        <v>28</v>
      </c>
      <c r="C32" s="13"/>
      <c r="D32" s="14"/>
      <c r="F32" s="171"/>
      <c r="G32" s="172"/>
      <c r="H32" s="172"/>
      <c r="I32" s="172"/>
      <c r="J32" s="172"/>
      <c r="K32" s="172"/>
      <c r="L32" s="172"/>
      <c r="M32" s="172"/>
      <c r="N32" s="172"/>
      <c r="O32" s="172"/>
      <c r="P32" s="172"/>
      <c r="Q32" s="173"/>
    </row>
    <row r="33" spans="2:17" ht="13.2" customHeight="1" x14ac:dyDescent="0.25">
      <c r="B33" s="5">
        <v>29</v>
      </c>
      <c r="C33" s="77"/>
      <c r="D33" s="78"/>
      <c r="F33" s="171"/>
      <c r="G33" s="172"/>
      <c r="H33" s="172"/>
      <c r="I33" s="172"/>
      <c r="J33" s="172"/>
      <c r="K33" s="172"/>
      <c r="L33" s="172"/>
      <c r="M33" s="172"/>
      <c r="N33" s="172"/>
      <c r="O33" s="172"/>
      <c r="P33" s="172"/>
      <c r="Q33" s="173"/>
    </row>
    <row r="34" spans="2:17" ht="13.2" customHeight="1" x14ac:dyDescent="0.25">
      <c r="B34" s="5">
        <v>30</v>
      </c>
      <c r="C34" s="13"/>
      <c r="D34" s="14"/>
      <c r="F34" s="171"/>
      <c r="G34" s="172"/>
      <c r="H34" s="172"/>
      <c r="I34" s="172"/>
      <c r="J34" s="172"/>
      <c r="K34" s="172"/>
      <c r="L34" s="172"/>
      <c r="M34" s="172"/>
      <c r="N34" s="172"/>
      <c r="O34" s="172"/>
      <c r="P34" s="172"/>
      <c r="Q34" s="173"/>
    </row>
    <row r="35" spans="2:17" ht="13.2" customHeight="1" x14ac:dyDescent="0.25">
      <c r="B35" s="5">
        <v>31</v>
      </c>
      <c r="C35" s="77"/>
      <c r="D35" s="78"/>
      <c r="F35" s="171"/>
      <c r="G35" s="172"/>
      <c r="H35" s="172"/>
      <c r="I35" s="172"/>
      <c r="J35" s="172"/>
      <c r="K35" s="172"/>
      <c r="L35" s="172"/>
      <c r="M35" s="172"/>
      <c r="N35" s="172"/>
      <c r="O35" s="172"/>
      <c r="P35" s="172"/>
      <c r="Q35" s="173"/>
    </row>
    <row r="36" spans="2:17" ht="13.2" customHeight="1" x14ac:dyDescent="0.25">
      <c r="B36" s="5">
        <v>32</v>
      </c>
      <c r="C36" s="13"/>
      <c r="D36" s="14"/>
      <c r="F36" s="171"/>
      <c r="G36" s="172"/>
      <c r="H36" s="172"/>
      <c r="I36" s="172"/>
      <c r="J36" s="172"/>
      <c r="K36" s="172"/>
      <c r="L36" s="172"/>
      <c r="M36" s="172"/>
      <c r="N36" s="172"/>
      <c r="O36" s="172"/>
      <c r="P36" s="172"/>
      <c r="Q36" s="173"/>
    </row>
    <row r="37" spans="2:17" ht="13.2" customHeight="1" x14ac:dyDescent="0.25">
      <c r="B37" s="5">
        <v>33</v>
      </c>
      <c r="C37" s="77"/>
      <c r="D37" s="78"/>
      <c r="F37" s="171"/>
      <c r="G37" s="172"/>
      <c r="H37" s="172"/>
      <c r="I37" s="172"/>
      <c r="J37" s="172"/>
      <c r="K37" s="172"/>
      <c r="L37" s="172"/>
      <c r="M37" s="172"/>
      <c r="N37" s="172"/>
      <c r="O37" s="172"/>
      <c r="P37" s="172"/>
      <c r="Q37" s="173"/>
    </row>
    <row r="38" spans="2:17" ht="13.2" customHeight="1" x14ac:dyDescent="0.25">
      <c r="B38" s="5">
        <v>34</v>
      </c>
      <c r="C38" s="13"/>
      <c r="D38" s="14"/>
      <c r="F38" s="171"/>
      <c r="G38" s="172"/>
      <c r="H38" s="172"/>
      <c r="I38" s="172"/>
      <c r="J38" s="172"/>
      <c r="K38" s="172"/>
      <c r="L38" s="172"/>
      <c r="M38" s="172"/>
      <c r="N38" s="172"/>
      <c r="O38" s="172"/>
      <c r="P38" s="172"/>
      <c r="Q38" s="173"/>
    </row>
    <row r="39" spans="2:17" ht="13.2" customHeight="1" x14ac:dyDescent="0.25">
      <c r="B39" s="5">
        <v>35</v>
      </c>
      <c r="C39" s="77"/>
      <c r="D39" s="78"/>
      <c r="F39" s="171"/>
      <c r="G39" s="172"/>
      <c r="H39" s="172"/>
      <c r="I39" s="172"/>
      <c r="J39" s="172"/>
      <c r="K39" s="172"/>
      <c r="L39" s="172"/>
      <c r="M39" s="172"/>
      <c r="N39" s="172"/>
      <c r="O39" s="172"/>
      <c r="P39" s="172"/>
      <c r="Q39" s="173"/>
    </row>
    <row r="40" spans="2:17" ht="13.2" customHeight="1" x14ac:dyDescent="0.25">
      <c r="B40" s="5">
        <v>36</v>
      </c>
      <c r="C40" s="13"/>
      <c r="D40" s="14"/>
      <c r="F40" s="171"/>
      <c r="G40" s="172"/>
      <c r="H40" s="172"/>
      <c r="I40" s="172"/>
      <c r="J40" s="172"/>
      <c r="K40" s="172"/>
      <c r="L40" s="172"/>
      <c r="M40" s="172"/>
      <c r="N40" s="172"/>
      <c r="O40" s="172"/>
      <c r="P40" s="172"/>
      <c r="Q40" s="173"/>
    </row>
    <row r="41" spans="2:17" ht="13.2" customHeight="1" x14ac:dyDescent="0.25">
      <c r="B41" s="5">
        <v>37</v>
      </c>
      <c r="C41" s="77"/>
      <c r="D41" s="78"/>
      <c r="F41" s="171"/>
      <c r="G41" s="172"/>
      <c r="H41" s="172"/>
      <c r="I41" s="172"/>
      <c r="J41" s="172"/>
      <c r="K41" s="172"/>
      <c r="L41" s="172"/>
      <c r="M41" s="172"/>
      <c r="N41" s="172"/>
      <c r="O41" s="172"/>
      <c r="P41" s="172"/>
      <c r="Q41" s="173"/>
    </row>
    <row r="42" spans="2:17" ht="13.2" customHeight="1" x14ac:dyDescent="0.25">
      <c r="B42" s="5">
        <v>38</v>
      </c>
      <c r="C42" s="13"/>
      <c r="D42" s="14"/>
      <c r="F42" s="171"/>
      <c r="G42" s="172"/>
      <c r="H42" s="172"/>
      <c r="I42" s="172"/>
      <c r="J42" s="172"/>
      <c r="K42" s="172"/>
      <c r="L42" s="172"/>
      <c r="M42" s="172"/>
      <c r="N42" s="172"/>
      <c r="O42" s="172"/>
      <c r="P42" s="172"/>
      <c r="Q42" s="173"/>
    </row>
    <row r="43" spans="2:17" ht="13.2" customHeight="1" x14ac:dyDescent="0.25">
      <c r="B43" s="5">
        <v>39</v>
      </c>
      <c r="C43" s="77"/>
      <c r="D43" s="78"/>
      <c r="F43" s="171"/>
      <c r="G43" s="172"/>
      <c r="H43" s="172"/>
      <c r="I43" s="172"/>
      <c r="J43" s="172"/>
      <c r="K43" s="172"/>
      <c r="L43" s="172"/>
      <c r="M43" s="172"/>
      <c r="N43" s="172"/>
      <c r="O43" s="172"/>
      <c r="P43" s="172"/>
      <c r="Q43" s="173"/>
    </row>
    <row r="44" spans="2:17" ht="13.2" customHeight="1" thickBot="1" x14ac:dyDescent="0.3">
      <c r="B44" s="6">
        <v>40</v>
      </c>
      <c r="C44" s="15"/>
      <c r="D44" s="16"/>
      <c r="F44" s="174"/>
      <c r="G44" s="175"/>
      <c r="H44" s="175"/>
      <c r="I44" s="175"/>
      <c r="J44" s="175"/>
      <c r="K44" s="175"/>
      <c r="L44" s="175"/>
      <c r="M44" s="175"/>
      <c r="N44" s="175"/>
      <c r="O44" s="175"/>
      <c r="P44" s="175"/>
      <c r="Q44" s="176"/>
    </row>
    <row r="45" spans="2:17" x14ac:dyDescent="0.25">
      <c r="C45" s="10">
        <f>COUNTA(C5:C44)</f>
        <v>23</v>
      </c>
    </row>
  </sheetData>
  <sheetProtection sheet="1" objects="1" scenarios="1" selectLockedCells="1"/>
  <mergeCells count="2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s>
  <dataValidations count="2">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11</xdr:col>
                <xdr:colOff>449580</xdr:colOff>
                <xdr:row>27</xdr:row>
                <xdr:rowOff>0</xdr:rowOff>
              </from>
              <to>
                <xdr:col>12</xdr:col>
                <xdr:colOff>396240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10</xdr:col>
                <xdr:colOff>449580</xdr:colOff>
                <xdr:row>27</xdr:row>
                <xdr:rowOff>0</xdr:rowOff>
              </from>
              <to>
                <xdr:col>11</xdr:col>
                <xdr:colOff>396240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20</xdr:col>
                <xdr:colOff>160020</xdr:colOff>
                <xdr:row>33</xdr:row>
                <xdr:rowOff>0</xdr:rowOff>
              </from>
              <to>
                <xdr:col>23</xdr:col>
                <xdr:colOff>426720</xdr:colOff>
                <xdr:row>35</xdr:row>
                <xdr:rowOff>160020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20</xdr:col>
                <xdr:colOff>152400</xdr:colOff>
                <xdr:row>36</xdr:row>
                <xdr:rowOff>53340</xdr:rowOff>
              </from>
              <to>
                <xdr:col>23</xdr:col>
                <xdr:colOff>426720</xdr:colOff>
                <xdr:row>39</xdr:row>
                <xdr:rowOff>91440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20</xdr:col>
                <xdr:colOff>160020</xdr:colOff>
                <xdr:row>29</xdr:row>
                <xdr:rowOff>68580</xdr:rowOff>
              </from>
              <to>
                <xdr:col>23</xdr:col>
                <xdr:colOff>426720</xdr:colOff>
                <xdr:row>32</xdr:row>
                <xdr:rowOff>106680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26</xdr:col>
                <xdr:colOff>160020</xdr:colOff>
                <xdr:row>29</xdr:row>
                <xdr:rowOff>68580</xdr:rowOff>
              </from>
              <to>
                <xdr:col>29</xdr:col>
                <xdr:colOff>434340</xdr:colOff>
                <xdr:row>32</xdr:row>
                <xdr:rowOff>106680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106680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26</xdr:col>
                <xdr:colOff>160020</xdr:colOff>
                <xdr:row>33</xdr:row>
                <xdr:rowOff>0</xdr:rowOff>
              </from>
              <to>
                <xdr:col>29</xdr:col>
                <xdr:colOff>434340</xdr:colOff>
                <xdr:row>36</xdr:row>
                <xdr:rowOff>38100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38100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142" sqref="B142"/>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68" t="s">
        <v>32</v>
      </c>
      <c r="H2" s="169"/>
      <c r="I2" s="169"/>
      <c r="J2" s="169"/>
      <c r="K2" s="169"/>
      <c r="L2" s="170"/>
    </row>
    <row r="3" spans="2:15" x14ac:dyDescent="0.25">
      <c r="B3" s="35">
        <v>0</v>
      </c>
      <c r="C3" s="36">
        <v>0</v>
      </c>
      <c r="D3" s="37">
        <v>6</v>
      </c>
      <c r="E3" s="27" t="str">
        <f>IF(AND($C3=$C4,$C4&lt;$C5),"+",IF($C3&lt;$C4,"++",""))</f>
        <v/>
      </c>
      <c r="F3" s="31"/>
      <c r="G3" s="171"/>
      <c r="H3" s="172"/>
      <c r="I3" s="172"/>
      <c r="J3" s="172"/>
      <c r="K3" s="172"/>
      <c r="L3" s="173"/>
    </row>
    <row r="4" spans="2:15" x14ac:dyDescent="0.25">
      <c r="B4" s="38">
        <v>0.5</v>
      </c>
      <c r="C4" s="39">
        <v>0</v>
      </c>
      <c r="D4" s="40">
        <v>6</v>
      </c>
      <c r="E4" s="27" t="str">
        <f>IF(AND($C4=$C5,$C5&lt;$C6),"+",IF($C4&lt;$C5,"++",""))</f>
        <v/>
      </c>
      <c r="F4" s="31"/>
      <c r="G4" s="171"/>
      <c r="H4" s="172"/>
      <c r="I4" s="172"/>
      <c r="J4" s="172"/>
      <c r="K4" s="172"/>
      <c r="L4" s="173"/>
    </row>
    <row r="5" spans="2:15" x14ac:dyDescent="0.25">
      <c r="B5" s="38">
        <v>1</v>
      </c>
      <c r="C5" s="39">
        <v>0</v>
      </c>
      <c r="D5" s="40">
        <v>6</v>
      </c>
      <c r="E5" s="27" t="str">
        <f t="shared" ref="E5:E50" si="0">IF(AND($C5=$C6,$C6&lt;$C7),"+",IF($C5&lt;$C6,"++",IF(AND($C5=$C4,$C4&gt;$C3),"-",IF($C5&gt;$C4,"--",""))))</f>
        <v/>
      </c>
      <c r="F5" s="31"/>
      <c r="G5" s="171"/>
      <c r="H5" s="172"/>
      <c r="I5" s="172"/>
      <c r="J5" s="172"/>
      <c r="K5" s="172"/>
      <c r="L5" s="173"/>
    </row>
    <row r="6" spans="2:15" x14ac:dyDescent="0.25">
      <c r="B6" s="38">
        <v>1.5</v>
      </c>
      <c r="C6" s="39">
        <v>0</v>
      </c>
      <c r="D6" s="40">
        <v>6</v>
      </c>
      <c r="E6" s="27" t="str">
        <f t="shared" si="0"/>
        <v/>
      </c>
      <c r="F6" s="31"/>
      <c r="G6" s="171"/>
      <c r="H6" s="172"/>
      <c r="I6" s="172"/>
      <c r="J6" s="172"/>
      <c r="K6" s="172"/>
      <c r="L6" s="173"/>
    </row>
    <row r="7" spans="2:15" x14ac:dyDescent="0.25">
      <c r="B7" s="38">
        <v>2</v>
      </c>
      <c r="C7" s="39">
        <v>0</v>
      </c>
      <c r="D7" s="40">
        <v>6</v>
      </c>
      <c r="E7" s="27" t="str">
        <f t="shared" si="0"/>
        <v/>
      </c>
      <c r="F7" s="31"/>
      <c r="G7" s="171"/>
      <c r="H7" s="172"/>
      <c r="I7" s="172"/>
      <c r="J7" s="172"/>
      <c r="K7" s="172"/>
      <c r="L7" s="173"/>
    </row>
    <row r="8" spans="2:15" ht="12.75" customHeight="1" x14ac:dyDescent="0.25">
      <c r="B8" s="38">
        <v>2.5</v>
      </c>
      <c r="C8" s="39">
        <v>0</v>
      </c>
      <c r="D8" s="40">
        <v>6</v>
      </c>
      <c r="E8" s="27" t="str">
        <f t="shared" si="0"/>
        <v/>
      </c>
      <c r="F8" s="31"/>
      <c r="G8" s="171"/>
      <c r="H8" s="172"/>
      <c r="I8" s="172"/>
      <c r="J8" s="172"/>
      <c r="K8" s="172"/>
      <c r="L8" s="173"/>
      <c r="M8" s="32"/>
      <c r="N8" s="32"/>
      <c r="O8" s="32"/>
    </row>
    <row r="9" spans="2:15" x14ac:dyDescent="0.25">
      <c r="B9" s="38">
        <v>3</v>
      </c>
      <c r="C9" s="39">
        <v>0</v>
      </c>
      <c r="D9" s="40">
        <v>6</v>
      </c>
      <c r="E9" s="27" t="str">
        <f t="shared" si="0"/>
        <v/>
      </c>
      <c r="F9" s="31"/>
      <c r="G9" s="171"/>
      <c r="H9" s="172"/>
      <c r="I9" s="172"/>
      <c r="J9" s="172"/>
      <c r="K9" s="172"/>
      <c r="L9" s="173"/>
      <c r="M9" s="32"/>
      <c r="N9" s="32"/>
      <c r="O9" s="32"/>
    </row>
    <row r="10" spans="2:15" x14ac:dyDescent="0.25">
      <c r="B10" s="38">
        <v>3.5</v>
      </c>
      <c r="C10" s="39">
        <v>0</v>
      </c>
      <c r="D10" s="40">
        <v>6</v>
      </c>
      <c r="E10" s="27" t="str">
        <f t="shared" si="0"/>
        <v/>
      </c>
      <c r="F10" s="31"/>
      <c r="G10" s="171"/>
      <c r="H10" s="172"/>
      <c r="I10" s="172"/>
      <c r="J10" s="172"/>
      <c r="K10" s="172"/>
      <c r="L10" s="173"/>
      <c r="M10" s="32"/>
      <c r="N10" s="32"/>
      <c r="O10" s="32"/>
    </row>
    <row r="11" spans="2:15" x14ac:dyDescent="0.25">
      <c r="B11" s="38">
        <v>4</v>
      </c>
      <c r="C11" s="39">
        <v>0</v>
      </c>
      <c r="D11" s="40">
        <v>6</v>
      </c>
      <c r="E11" s="27" t="str">
        <f t="shared" si="0"/>
        <v/>
      </c>
      <c r="G11" s="171"/>
      <c r="H11" s="172"/>
      <c r="I11" s="172"/>
      <c r="J11" s="172"/>
      <c r="K11" s="172"/>
      <c r="L11" s="173"/>
      <c r="M11" s="32"/>
      <c r="N11" s="32"/>
      <c r="O11" s="32"/>
    </row>
    <row r="12" spans="2:15" x14ac:dyDescent="0.25">
      <c r="B12" s="38">
        <v>4.5</v>
      </c>
      <c r="C12" s="39">
        <v>0</v>
      </c>
      <c r="D12" s="40">
        <v>6</v>
      </c>
      <c r="E12" s="27" t="str">
        <f t="shared" si="0"/>
        <v/>
      </c>
      <c r="F12" s="31"/>
      <c r="G12" s="171"/>
      <c r="H12" s="172"/>
      <c r="I12" s="172"/>
      <c r="J12" s="172"/>
      <c r="K12" s="172"/>
      <c r="L12" s="173"/>
      <c r="M12" s="32"/>
      <c r="N12" s="32"/>
      <c r="O12" s="32"/>
    </row>
    <row r="13" spans="2:15" x14ac:dyDescent="0.25">
      <c r="B13" s="38">
        <v>5</v>
      </c>
      <c r="C13" s="39">
        <v>0</v>
      </c>
      <c r="D13" s="40">
        <v>6</v>
      </c>
      <c r="E13" s="27" t="str">
        <f t="shared" si="0"/>
        <v/>
      </c>
      <c r="F13" s="31"/>
      <c r="G13" s="171"/>
      <c r="H13" s="172"/>
      <c r="I13" s="172"/>
      <c r="J13" s="172"/>
      <c r="K13" s="172"/>
      <c r="L13" s="173"/>
      <c r="M13" s="32"/>
      <c r="N13" s="32"/>
      <c r="O13" s="32"/>
    </row>
    <row r="14" spans="2:15" x14ac:dyDescent="0.25">
      <c r="B14" s="38">
        <v>5.5</v>
      </c>
      <c r="C14" s="39">
        <v>0</v>
      </c>
      <c r="D14" s="40">
        <v>6</v>
      </c>
      <c r="E14" s="27" t="str">
        <f t="shared" si="0"/>
        <v/>
      </c>
      <c r="F14" s="31"/>
      <c r="G14" s="171"/>
      <c r="H14" s="172"/>
      <c r="I14" s="172"/>
      <c r="J14" s="172"/>
      <c r="K14" s="172"/>
      <c r="L14" s="173"/>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cenario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cenario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2026-05-04T22:24:37Z</dcterms:modified>
</cp:coreProperties>
</file>