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DieseArbeitsmappe" defaultThemeVersion="124226"/>
  <mc:AlternateContent xmlns:mc="http://schemas.openxmlformats.org/markup-compatibility/2006">
    <mc:Choice Requires="x15">
      <x15ac:absPath xmlns:x15ac="http://schemas.microsoft.com/office/spreadsheetml/2010/11/ac" url="D:\Projects\AUT-EX\EXCEL-Korrekturliste-Mathe-ABI\"/>
    </mc:Choice>
  </mc:AlternateContent>
  <xr:revisionPtr revIDLastSave="0" documentId="13_ncr:1_{D286A644-DB5E-4D41-87C7-CB437D596D89}" xr6:coauthVersionLast="47" xr6:coauthVersionMax="47" xr10:uidLastSave="{00000000-0000-0000-0000-000000000000}"/>
  <bookViews>
    <workbookView xWindow="-108" yWindow="-108" windowWidth="30936" windowHeight="16776" activeTab="9" xr2:uid="{00000000-000D-0000-FFFF-FFFF00000000}"/>
  </bookViews>
  <sheets>
    <sheet name="Noten" sheetId="2994" r:id="rId1"/>
    <sheet name="Analysis A" sheetId="2987" r:id="rId2"/>
    <sheet name="Analysis B" sheetId="2988" r:id="rId3"/>
    <sheet name="Stochastik A" sheetId="2989" r:id="rId4"/>
    <sheet name="Stochastik B" sheetId="2990" r:id="rId5"/>
    <sheet name="Geometrie A" sheetId="2991" r:id="rId6"/>
    <sheet name="Geometrie B" sheetId="2992" r:id="rId7"/>
    <sheet name="Wahlaufgaben" sheetId="2993" r:id="rId8"/>
    <sheet name="ConfigW" sheetId="2995" r:id="rId9"/>
    <sheet name="Config" sheetId="14" r:id="rId10"/>
    <sheet name="Notenspiegel" sheetId="11" r:id="rId11"/>
    <sheet name="TestData" sheetId="1707" state="hidden" r:id="rId12"/>
  </sheets>
  <functionGroups builtInGroupCount="19"/>
  <definedNames>
    <definedName name="_xlnm._FilterDatabase" localSheetId="9" hidden="1">Config!$V$40:$V$44</definedName>
    <definedName name="PupilBlock" localSheetId="1">'Analysis A'!$C$7:$J$75</definedName>
    <definedName name="PupilBlock" localSheetId="2">'Analysis B'!$C$7:$N$75</definedName>
    <definedName name="PupilBlock" localSheetId="5">'Geometrie A'!$C$7:$F$75</definedName>
    <definedName name="PupilBlock" localSheetId="6">'Geometrie B'!$C$7:$I$75</definedName>
    <definedName name="PupilBlock" localSheetId="3">'Stochastik A'!$C$7:$E$75</definedName>
    <definedName name="PupilBlock" localSheetId="4">'Stochastik B'!$C$7:$I$75</definedName>
    <definedName name="PupilBlock" localSheetId="7">Wahlaufgaben!$C$7:$I$75</definedName>
    <definedName name="PupilBlock">#REF!</definedName>
  </definedNames>
  <calcPr calcId="191029" concurrentCalc="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8" i="2993" l="1"/>
  <c r="I9" i="2993"/>
  <c r="I11" i="2993"/>
  <c r="I12" i="2993"/>
  <c r="I14" i="2993"/>
  <c r="I15" i="2993"/>
  <c r="I17" i="2993"/>
  <c r="I18" i="2993"/>
  <c r="I20" i="2993"/>
  <c r="I21" i="2993"/>
  <c r="I23" i="2993"/>
  <c r="I24" i="2993"/>
  <c r="I26" i="2993"/>
  <c r="I27" i="2993"/>
  <c r="I29" i="2993"/>
  <c r="I30" i="2993"/>
  <c r="I32" i="2993"/>
  <c r="I33" i="2993"/>
  <c r="I35" i="2993"/>
  <c r="I36" i="2993"/>
  <c r="I38" i="2993"/>
  <c r="I39" i="2993"/>
  <c r="I41" i="2993"/>
  <c r="I42" i="2993"/>
  <c r="I44" i="2993"/>
  <c r="I45" i="2993"/>
  <c r="I47" i="2993"/>
  <c r="I48" i="2993"/>
  <c r="I50" i="2993"/>
  <c r="I51" i="2993"/>
  <c r="I53" i="2993"/>
  <c r="I54" i="2993"/>
  <c r="I56" i="2993"/>
  <c r="I57" i="2993"/>
  <c r="I59" i="2993"/>
  <c r="I60" i="2993"/>
  <c r="I62" i="2993"/>
  <c r="I63" i="2993"/>
  <c r="I65" i="2993"/>
  <c r="I66" i="2993"/>
  <c r="I68" i="2993"/>
  <c r="I69" i="2993"/>
  <c r="I71" i="2993"/>
  <c r="I72" i="2993"/>
  <c r="I74" i="2993"/>
  <c r="I75" i="2993"/>
  <c r="I8" i="2992"/>
  <c r="I9" i="2992"/>
  <c r="I11" i="2992"/>
  <c r="I12" i="2992"/>
  <c r="I14" i="2992"/>
  <c r="I15" i="2992"/>
  <c r="I17" i="2992"/>
  <c r="I18" i="2992"/>
  <c r="I20" i="2992"/>
  <c r="I21" i="2992"/>
  <c r="I23" i="2992"/>
  <c r="I24" i="2992"/>
  <c r="I26" i="2992"/>
  <c r="I27" i="2992"/>
  <c r="I29" i="2992"/>
  <c r="I30" i="2992"/>
  <c r="I32" i="2992"/>
  <c r="I33" i="2992"/>
  <c r="I35" i="2992"/>
  <c r="I36" i="2992"/>
  <c r="I38" i="2992"/>
  <c r="I39" i="2992"/>
  <c r="I41" i="2992"/>
  <c r="I42" i="2992"/>
  <c r="I44" i="2992"/>
  <c r="I45" i="2992"/>
  <c r="I47" i="2992"/>
  <c r="I48" i="2992"/>
  <c r="I50" i="2992"/>
  <c r="I51" i="2992"/>
  <c r="I53" i="2992"/>
  <c r="I54" i="2992"/>
  <c r="I56" i="2992"/>
  <c r="I57" i="2992"/>
  <c r="I59" i="2992"/>
  <c r="I60" i="2992"/>
  <c r="I62" i="2992"/>
  <c r="I63" i="2992"/>
  <c r="I65" i="2992"/>
  <c r="I66" i="2992"/>
  <c r="I68" i="2992"/>
  <c r="I69" i="2992"/>
  <c r="I71" i="2992"/>
  <c r="I72" i="2992"/>
  <c r="I74" i="2992"/>
  <c r="I75" i="2992"/>
  <c r="F8" i="2991"/>
  <c r="F9" i="2991"/>
  <c r="F11" i="2991"/>
  <c r="F12" i="2991"/>
  <c r="F14" i="2991"/>
  <c r="F15" i="2991"/>
  <c r="F17" i="2991"/>
  <c r="F18" i="2991"/>
  <c r="F20" i="2991"/>
  <c r="F21" i="2991"/>
  <c r="F23" i="2991"/>
  <c r="F24" i="2991"/>
  <c r="F26" i="2991"/>
  <c r="F27" i="2991"/>
  <c r="F29" i="2991"/>
  <c r="F30" i="2991"/>
  <c r="F32" i="2991"/>
  <c r="F33" i="2991"/>
  <c r="F35" i="2991"/>
  <c r="F36" i="2991"/>
  <c r="F38" i="2991"/>
  <c r="F39" i="2991"/>
  <c r="F41" i="2991"/>
  <c r="F42" i="2991"/>
  <c r="F44" i="2991"/>
  <c r="F45" i="2991"/>
  <c r="F47" i="2991"/>
  <c r="F48" i="2991"/>
  <c r="F50" i="2991"/>
  <c r="F51" i="2991"/>
  <c r="F53" i="2991"/>
  <c r="F54" i="2991"/>
  <c r="F56" i="2991"/>
  <c r="F57" i="2991"/>
  <c r="F59" i="2991"/>
  <c r="F60" i="2991"/>
  <c r="F62" i="2991"/>
  <c r="F63" i="2991"/>
  <c r="F65" i="2991"/>
  <c r="F66" i="2991"/>
  <c r="F68" i="2991"/>
  <c r="F69" i="2991"/>
  <c r="F71" i="2991"/>
  <c r="F72" i="2991"/>
  <c r="F74" i="2991"/>
  <c r="F75" i="2991"/>
  <c r="I8" i="2990"/>
  <c r="I9" i="2990"/>
  <c r="I11" i="2990"/>
  <c r="I12" i="2990"/>
  <c r="I14" i="2990"/>
  <c r="I15" i="2990"/>
  <c r="I17" i="2990"/>
  <c r="I18" i="2990"/>
  <c r="I20" i="2990"/>
  <c r="I21" i="2990"/>
  <c r="I23" i="2990"/>
  <c r="I24" i="2990"/>
  <c r="I26" i="2990"/>
  <c r="I27" i="2990"/>
  <c r="I29" i="2990"/>
  <c r="I30" i="2990"/>
  <c r="I32" i="2990"/>
  <c r="I33" i="2990"/>
  <c r="I35" i="2990"/>
  <c r="I36" i="2990"/>
  <c r="I38" i="2990"/>
  <c r="I39" i="2990"/>
  <c r="I41" i="2990"/>
  <c r="I42" i="2990"/>
  <c r="I44" i="2990"/>
  <c r="I45" i="2990"/>
  <c r="I47" i="2990"/>
  <c r="I48" i="2990"/>
  <c r="I50" i="2990"/>
  <c r="I51" i="2990"/>
  <c r="I53" i="2990"/>
  <c r="I54" i="2990"/>
  <c r="I56" i="2990"/>
  <c r="I57" i="2990"/>
  <c r="I59" i="2990"/>
  <c r="I60" i="2990"/>
  <c r="I62" i="2990"/>
  <c r="I63" i="2990"/>
  <c r="I65" i="2990"/>
  <c r="I66" i="2990"/>
  <c r="I68" i="2990"/>
  <c r="I69" i="2990"/>
  <c r="I71" i="2990"/>
  <c r="I72" i="2990"/>
  <c r="I74" i="2990"/>
  <c r="I75" i="2990"/>
  <c r="E8" i="2989"/>
  <c r="E9" i="2989"/>
  <c r="E11" i="2989"/>
  <c r="E12" i="2989"/>
  <c r="E14" i="2989"/>
  <c r="E15" i="2989"/>
  <c r="E17" i="2989"/>
  <c r="E18" i="2989"/>
  <c r="E20" i="2989"/>
  <c r="E21" i="2989"/>
  <c r="E23" i="2989"/>
  <c r="E24" i="2989"/>
  <c r="E26" i="2989"/>
  <c r="E27" i="2989"/>
  <c r="E29" i="2989"/>
  <c r="E30" i="2989"/>
  <c r="E32" i="2989"/>
  <c r="E33" i="2989"/>
  <c r="E35" i="2989"/>
  <c r="E36" i="2989"/>
  <c r="E38" i="2989"/>
  <c r="E39" i="2989"/>
  <c r="E41" i="2989"/>
  <c r="E42" i="2989"/>
  <c r="E44" i="2989"/>
  <c r="E45" i="2989"/>
  <c r="E47" i="2989"/>
  <c r="E48" i="2989"/>
  <c r="E50" i="2989"/>
  <c r="E51" i="2989"/>
  <c r="E53" i="2989"/>
  <c r="E54" i="2989"/>
  <c r="E56" i="2989"/>
  <c r="E57" i="2989"/>
  <c r="E59" i="2989"/>
  <c r="E60" i="2989"/>
  <c r="E62" i="2989"/>
  <c r="E63" i="2989"/>
  <c r="E65" i="2989"/>
  <c r="E66" i="2989"/>
  <c r="E68" i="2989"/>
  <c r="E69" i="2989"/>
  <c r="E71" i="2989"/>
  <c r="E72" i="2989"/>
  <c r="E74" i="2989"/>
  <c r="E75" i="2989"/>
  <c r="N8" i="2988"/>
  <c r="N9" i="2988"/>
  <c r="N11" i="2988"/>
  <c r="N12" i="2988"/>
  <c r="N14" i="2988"/>
  <c r="N15" i="2988"/>
  <c r="N17" i="2988"/>
  <c r="N18" i="2988"/>
  <c r="N20" i="2988"/>
  <c r="N21" i="2988"/>
  <c r="N23" i="2988"/>
  <c r="N24" i="2988"/>
  <c r="N26" i="2988"/>
  <c r="N27" i="2988"/>
  <c r="N29" i="2988"/>
  <c r="N30" i="2988"/>
  <c r="N32" i="2988"/>
  <c r="N33" i="2988"/>
  <c r="N35" i="2988"/>
  <c r="N36" i="2988"/>
  <c r="N38" i="2988"/>
  <c r="N39" i="2988"/>
  <c r="N41" i="2988"/>
  <c r="N42" i="2988"/>
  <c r="N44" i="2988"/>
  <c r="N45" i="2988"/>
  <c r="N47" i="2988"/>
  <c r="N48" i="2988"/>
  <c r="N50" i="2988"/>
  <c r="N51" i="2988"/>
  <c r="N53" i="2988"/>
  <c r="N54" i="2988"/>
  <c r="N56" i="2988"/>
  <c r="N57" i="2988"/>
  <c r="N59" i="2988"/>
  <c r="N60" i="2988"/>
  <c r="N62" i="2988"/>
  <c r="N63" i="2988"/>
  <c r="N65" i="2988"/>
  <c r="N66" i="2988"/>
  <c r="N68" i="2988"/>
  <c r="N69" i="2988"/>
  <c r="N71" i="2988"/>
  <c r="N72" i="2988"/>
  <c r="N74" i="2988"/>
  <c r="N75" i="2988"/>
  <c r="J8" i="2987"/>
  <c r="J9" i="2987"/>
  <c r="J11" i="2987"/>
  <c r="J12" i="2987"/>
  <c r="J14" i="2987"/>
  <c r="J15" i="2987"/>
  <c r="J17" i="2987"/>
  <c r="J18" i="2987"/>
  <c r="J20" i="2987"/>
  <c r="J21" i="2987"/>
  <c r="J23" i="2987"/>
  <c r="J24" i="2987"/>
  <c r="J26" i="2987"/>
  <c r="J27" i="2987"/>
  <c r="J29" i="2987"/>
  <c r="J30" i="2987"/>
  <c r="J32" i="2987"/>
  <c r="J33" i="2987"/>
  <c r="J35" i="2987"/>
  <c r="J36" i="2987"/>
  <c r="J38" i="2987"/>
  <c r="J39" i="2987"/>
  <c r="J41" i="2987"/>
  <c r="J42" i="2987"/>
  <c r="J44" i="2987"/>
  <c r="J45" i="2987"/>
  <c r="J47" i="2987"/>
  <c r="J48" i="2987"/>
  <c r="J50" i="2987"/>
  <c r="J51" i="2987"/>
  <c r="J53" i="2987"/>
  <c r="J54" i="2987"/>
  <c r="J56" i="2987"/>
  <c r="J57" i="2987"/>
  <c r="J59" i="2987"/>
  <c r="J60" i="2987"/>
  <c r="J62" i="2987"/>
  <c r="J63" i="2987"/>
  <c r="J65" i="2987"/>
  <c r="J66" i="2987"/>
  <c r="J68" i="2987"/>
  <c r="J69" i="2987"/>
  <c r="J71" i="2987"/>
  <c r="J72" i="2987"/>
  <c r="J74" i="2987"/>
  <c r="J75" i="2987"/>
  <c r="C7" i="2994"/>
  <c r="C7" i="2987"/>
  <c r="J7" i="2987"/>
  <c r="D7" i="2994"/>
  <c r="C7" i="2988"/>
  <c r="N7" i="2988"/>
  <c r="E7" i="2994"/>
  <c r="C7" i="2989"/>
  <c r="E7" i="2989"/>
  <c r="F7" i="2994"/>
  <c r="C7" i="2990"/>
  <c r="I7" i="2990"/>
  <c r="G7" i="2994"/>
  <c r="C7" i="2993"/>
  <c r="I7" i="2993"/>
  <c r="J7" i="2994"/>
  <c r="C7" i="2992"/>
  <c r="I7" i="2992"/>
  <c r="I7" i="2994"/>
  <c r="C7" i="2991"/>
  <c r="F7" i="2991"/>
  <c r="H7" i="2994"/>
  <c r="K7" i="2994"/>
  <c r="L7" i="2994"/>
  <c r="C8" i="2994"/>
  <c r="C10" i="2987"/>
  <c r="J10" i="2987"/>
  <c r="D8" i="2994"/>
  <c r="C10" i="2988"/>
  <c r="N10" i="2988"/>
  <c r="E8" i="2994"/>
  <c r="C10" i="2989"/>
  <c r="E10" i="2989"/>
  <c r="F8" i="2994"/>
  <c r="C10" i="2990"/>
  <c r="I10" i="2990"/>
  <c r="G8" i="2994"/>
  <c r="C10" i="2993"/>
  <c r="I10" i="2993"/>
  <c r="J8" i="2994"/>
  <c r="C10" i="2992"/>
  <c r="I10" i="2992"/>
  <c r="I8" i="2994"/>
  <c r="C10" i="2991"/>
  <c r="F10" i="2991"/>
  <c r="H8" i="2994"/>
  <c r="K8" i="2994"/>
  <c r="L8" i="2994"/>
  <c r="C9" i="2994"/>
  <c r="C13" i="2987"/>
  <c r="J13" i="2987"/>
  <c r="D9" i="2994"/>
  <c r="C13" i="2988"/>
  <c r="N13" i="2988"/>
  <c r="E9" i="2994"/>
  <c r="C13" i="2989"/>
  <c r="E13" i="2989"/>
  <c r="F9" i="2994"/>
  <c r="C13" i="2990"/>
  <c r="I13" i="2990"/>
  <c r="G9" i="2994"/>
  <c r="C13" i="2993"/>
  <c r="I13" i="2993"/>
  <c r="J9" i="2994"/>
  <c r="C13" i="2992"/>
  <c r="I13" i="2992"/>
  <c r="I9" i="2994"/>
  <c r="C13" i="2991"/>
  <c r="F13" i="2991"/>
  <c r="H9" i="2994"/>
  <c r="K9" i="2994"/>
  <c r="L9" i="2994"/>
  <c r="C10" i="2994"/>
  <c r="C16" i="2987"/>
  <c r="J16" i="2987"/>
  <c r="D10" i="2994"/>
  <c r="C16" i="2988"/>
  <c r="N16" i="2988"/>
  <c r="E10" i="2994"/>
  <c r="C16" i="2989"/>
  <c r="E16" i="2989"/>
  <c r="F10" i="2994"/>
  <c r="C16" i="2990"/>
  <c r="I16" i="2990"/>
  <c r="G10" i="2994"/>
  <c r="C16" i="2993"/>
  <c r="I16" i="2993"/>
  <c r="J10" i="2994"/>
  <c r="C16" i="2992"/>
  <c r="I16" i="2992"/>
  <c r="I10" i="2994"/>
  <c r="C16" i="2991"/>
  <c r="F16" i="2991"/>
  <c r="H10" i="2994"/>
  <c r="K10" i="2994"/>
  <c r="L10" i="2994"/>
  <c r="C29" i="2994"/>
  <c r="C19" i="2987"/>
  <c r="C22" i="2987"/>
  <c r="C25" i="2987"/>
  <c r="J73" i="2987"/>
  <c r="C73" i="2987"/>
  <c r="J70" i="2987"/>
  <c r="C70" i="2987"/>
  <c r="J67" i="2987"/>
  <c r="C67" i="2987"/>
  <c r="J64" i="2987"/>
  <c r="C64" i="2987"/>
  <c r="J61" i="2987"/>
  <c r="C61" i="2987"/>
  <c r="J58" i="2987"/>
  <c r="C58" i="2987"/>
  <c r="J55" i="2987"/>
  <c r="C55" i="2987"/>
  <c r="J52" i="2987"/>
  <c r="C52" i="2987"/>
  <c r="J49" i="2987"/>
  <c r="C49" i="2987"/>
  <c r="J46" i="2987"/>
  <c r="C46" i="2987"/>
  <c r="J43" i="2987"/>
  <c r="C43" i="2987"/>
  <c r="J40" i="2987"/>
  <c r="C40" i="2987"/>
  <c r="J37" i="2987"/>
  <c r="C37" i="2987"/>
  <c r="J34" i="2987"/>
  <c r="C34" i="2987"/>
  <c r="J31" i="2987"/>
  <c r="C31" i="2987"/>
  <c r="J28" i="2987"/>
  <c r="C28" i="2987"/>
  <c r="J25" i="2987"/>
  <c r="J22" i="2987"/>
  <c r="J19" i="2987"/>
  <c r="D29" i="2994"/>
  <c r="C19" i="2988"/>
  <c r="C22" i="2988"/>
  <c r="C25" i="2988"/>
  <c r="C28" i="2988"/>
  <c r="N73" i="2988"/>
  <c r="C73" i="2988"/>
  <c r="N70" i="2988"/>
  <c r="C70" i="2988"/>
  <c r="N67" i="2988"/>
  <c r="C67" i="2988"/>
  <c r="N64" i="2988"/>
  <c r="C64" i="2988"/>
  <c r="N61" i="2988"/>
  <c r="C61" i="2988"/>
  <c r="N58" i="2988"/>
  <c r="C58" i="2988"/>
  <c r="N55" i="2988"/>
  <c r="C55" i="2988"/>
  <c r="N52" i="2988"/>
  <c r="C52" i="2988"/>
  <c r="N49" i="2988"/>
  <c r="C49" i="2988"/>
  <c r="N46" i="2988"/>
  <c r="C46" i="2988"/>
  <c r="N43" i="2988"/>
  <c r="C43" i="2988"/>
  <c r="N40" i="2988"/>
  <c r="C40" i="2988"/>
  <c r="N37" i="2988"/>
  <c r="C37" i="2988"/>
  <c r="N34" i="2988"/>
  <c r="C34" i="2988"/>
  <c r="N31" i="2988"/>
  <c r="C31" i="2988"/>
  <c r="N28" i="2988"/>
  <c r="N25" i="2988"/>
  <c r="N22" i="2988"/>
  <c r="N19" i="2988"/>
  <c r="E29" i="2994"/>
  <c r="C19" i="2989"/>
  <c r="C22" i="2989"/>
  <c r="C25" i="2989"/>
  <c r="C28" i="2989"/>
  <c r="E73" i="2989"/>
  <c r="C73" i="2989"/>
  <c r="E70" i="2989"/>
  <c r="C70" i="2989"/>
  <c r="E67" i="2989"/>
  <c r="C67" i="2989"/>
  <c r="E64" i="2989"/>
  <c r="C64" i="2989"/>
  <c r="E61" i="2989"/>
  <c r="C61" i="2989"/>
  <c r="E58" i="2989"/>
  <c r="C58" i="2989"/>
  <c r="E55" i="2989"/>
  <c r="C55" i="2989"/>
  <c r="E52" i="2989"/>
  <c r="C52" i="2989"/>
  <c r="E49" i="2989"/>
  <c r="C49" i="2989"/>
  <c r="E46" i="2989"/>
  <c r="C46" i="2989"/>
  <c r="E43" i="2989"/>
  <c r="C43" i="2989"/>
  <c r="E40" i="2989"/>
  <c r="C40" i="2989"/>
  <c r="E37" i="2989"/>
  <c r="C37" i="2989"/>
  <c r="E34" i="2989"/>
  <c r="C34" i="2989"/>
  <c r="E31" i="2989"/>
  <c r="C31" i="2989"/>
  <c r="E28" i="2989"/>
  <c r="E25" i="2989"/>
  <c r="E22" i="2989"/>
  <c r="E19" i="2989"/>
  <c r="F29" i="2994"/>
  <c r="C19" i="2990"/>
  <c r="C22" i="2990"/>
  <c r="C25" i="2990"/>
  <c r="C28" i="2990"/>
  <c r="I73" i="2990"/>
  <c r="C73" i="2990"/>
  <c r="I70" i="2990"/>
  <c r="C70" i="2990"/>
  <c r="I67" i="2990"/>
  <c r="C67" i="2990"/>
  <c r="I64" i="2990"/>
  <c r="C64" i="2990"/>
  <c r="I61" i="2990"/>
  <c r="C61" i="2990"/>
  <c r="I58" i="2990"/>
  <c r="C58" i="2990"/>
  <c r="I55" i="2990"/>
  <c r="C55" i="2990"/>
  <c r="I52" i="2990"/>
  <c r="C52" i="2990"/>
  <c r="I49" i="2990"/>
  <c r="C49" i="2990"/>
  <c r="I46" i="2990"/>
  <c r="C46" i="2990"/>
  <c r="I43" i="2990"/>
  <c r="C43" i="2990"/>
  <c r="I40" i="2990"/>
  <c r="C40" i="2990"/>
  <c r="I37" i="2990"/>
  <c r="C37" i="2990"/>
  <c r="I34" i="2990"/>
  <c r="C34" i="2990"/>
  <c r="I31" i="2990"/>
  <c r="C31" i="2990"/>
  <c r="I28" i="2990"/>
  <c r="I25" i="2990"/>
  <c r="I22" i="2990"/>
  <c r="I19" i="2990"/>
  <c r="G29" i="2994"/>
  <c r="C19" i="2993"/>
  <c r="C22" i="2993"/>
  <c r="C25" i="2993"/>
  <c r="C28" i="2993"/>
  <c r="I73" i="2993"/>
  <c r="C73" i="2993"/>
  <c r="I70" i="2993"/>
  <c r="C70" i="2993"/>
  <c r="I67" i="2993"/>
  <c r="C67" i="2993"/>
  <c r="I64" i="2993"/>
  <c r="C64" i="2993"/>
  <c r="I61" i="2993"/>
  <c r="C61" i="2993"/>
  <c r="I58" i="2993"/>
  <c r="C58" i="2993"/>
  <c r="I55" i="2993"/>
  <c r="C55" i="2993"/>
  <c r="I52" i="2993"/>
  <c r="C52" i="2993"/>
  <c r="I49" i="2993"/>
  <c r="C49" i="2993"/>
  <c r="I46" i="2993"/>
  <c r="C46" i="2993"/>
  <c r="I43" i="2993"/>
  <c r="C43" i="2993"/>
  <c r="I40" i="2993"/>
  <c r="C40" i="2993"/>
  <c r="I37" i="2993"/>
  <c r="C37" i="2993"/>
  <c r="I34" i="2993"/>
  <c r="C34" i="2993"/>
  <c r="I31" i="2993"/>
  <c r="C31" i="2993"/>
  <c r="I28" i="2993"/>
  <c r="I25" i="2993"/>
  <c r="I22" i="2993"/>
  <c r="I19" i="2993"/>
  <c r="J29" i="2994"/>
  <c r="C19" i="2992"/>
  <c r="C22" i="2992"/>
  <c r="C25" i="2992"/>
  <c r="C28" i="2992"/>
  <c r="I73" i="2992"/>
  <c r="C73" i="2992"/>
  <c r="I70" i="2992"/>
  <c r="C70" i="2992"/>
  <c r="I67" i="2992"/>
  <c r="C67" i="2992"/>
  <c r="I64" i="2992"/>
  <c r="C64" i="2992"/>
  <c r="I61" i="2992"/>
  <c r="C61" i="2992"/>
  <c r="I58" i="2992"/>
  <c r="C58" i="2992"/>
  <c r="I55" i="2992"/>
  <c r="C55" i="2992"/>
  <c r="I52" i="2992"/>
  <c r="C52" i="2992"/>
  <c r="I49" i="2992"/>
  <c r="C49" i="2992"/>
  <c r="I46" i="2992"/>
  <c r="C46" i="2992"/>
  <c r="I43" i="2992"/>
  <c r="C43" i="2992"/>
  <c r="I40" i="2992"/>
  <c r="C40" i="2992"/>
  <c r="I37" i="2992"/>
  <c r="C37" i="2992"/>
  <c r="I34" i="2992"/>
  <c r="C34" i="2992"/>
  <c r="I31" i="2992"/>
  <c r="C31" i="2992"/>
  <c r="I28" i="2992"/>
  <c r="I25" i="2992"/>
  <c r="I22" i="2992"/>
  <c r="I19" i="2992"/>
  <c r="I29" i="2994"/>
  <c r="C19" i="2991"/>
  <c r="C22" i="2991"/>
  <c r="C25" i="2991"/>
  <c r="C28" i="2991"/>
  <c r="F73" i="2991"/>
  <c r="C73" i="2991"/>
  <c r="F70" i="2991"/>
  <c r="C70" i="2991"/>
  <c r="F67" i="2991"/>
  <c r="C67" i="2991"/>
  <c r="F64" i="2991"/>
  <c r="C64" i="2991"/>
  <c r="F61" i="2991"/>
  <c r="C61" i="2991"/>
  <c r="F58" i="2991"/>
  <c r="C58" i="2991"/>
  <c r="F55" i="2991"/>
  <c r="C55" i="2991"/>
  <c r="F52" i="2991"/>
  <c r="C52" i="2991"/>
  <c r="F49" i="2991"/>
  <c r="C49" i="2991"/>
  <c r="F46" i="2991"/>
  <c r="C46" i="2991"/>
  <c r="F43" i="2991"/>
  <c r="C43" i="2991"/>
  <c r="F40" i="2991"/>
  <c r="C40" i="2991"/>
  <c r="F37" i="2991"/>
  <c r="C37" i="2991"/>
  <c r="F34" i="2991"/>
  <c r="C34" i="2991"/>
  <c r="F31" i="2991"/>
  <c r="C31" i="2991"/>
  <c r="F28" i="2991"/>
  <c r="F25" i="2991"/>
  <c r="F22" i="2991"/>
  <c r="F19" i="2991"/>
  <c r="H29" i="2994"/>
  <c r="K29" i="2994"/>
  <c r="L29" i="2994"/>
  <c r="C28" i="2994"/>
  <c r="D28" i="2994"/>
  <c r="E28" i="2994"/>
  <c r="F28" i="2994"/>
  <c r="G28" i="2994"/>
  <c r="J28" i="2994"/>
  <c r="I28" i="2994"/>
  <c r="H28" i="2994"/>
  <c r="K28" i="2994"/>
  <c r="L28" i="2994"/>
  <c r="C27" i="2994"/>
  <c r="D27" i="2994"/>
  <c r="E27" i="2994"/>
  <c r="F27" i="2994"/>
  <c r="G27" i="2994"/>
  <c r="J27" i="2994"/>
  <c r="I27" i="2994"/>
  <c r="H27" i="2994"/>
  <c r="K27" i="2994"/>
  <c r="L27" i="2994"/>
  <c r="C26" i="2994"/>
  <c r="D26" i="2994"/>
  <c r="E26" i="2994"/>
  <c r="F26" i="2994"/>
  <c r="G26" i="2994"/>
  <c r="J26" i="2994"/>
  <c r="I26" i="2994"/>
  <c r="H26" i="2994"/>
  <c r="K26" i="2994"/>
  <c r="L26" i="2994"/>
  <c r="C25" i="2994"/>
  <c r="D25" i="2994"/>
  <c r="E25" i="2994"/>
  <c r="F25" i="2994"/>
  <c r="G25" i="2994"/>
  <c r="J25" i="2994"/>
  <c r="I25" i="2994"/>
  <c r="H25" i="2994"/>
  <c r="K25" i="2994"/>
  <c r="L25" i="2994"/>
  <c r="C24" i="2994"/>
  <c r="D24" i="2994"/>
  <c r="E24" i="2994"/>
  <c r="F24" i="2994"/>
  <c r="G24" i="2994"/>
  <c r="J24" i="2994"/>
  <c r="I24" i="2994"/>
  <c r="H24" i="2994"/>
  <c r="K24" i="2994"/>
  <c r="L24" i="2994"/>
  <c r="C23" i="2994"/>
  <c r="D23" i="2994"/>
  <c r="E23" i="2994"/>
  <c r="F23" i="2994"/>
  <c r="G23" i="2994"/>
  <c r="J23" i="2994"/>
  <c r="I23" i="2994"/>
  <c r="H23" i="2994"/>
  <c r="K23" i="2994"/>
  <c r="L23" i="2994"/>
  <c r="C22" i="2994"/>
  <c r="D22" i="2994"/>
  <c r="E22" i="2994"/>
  <c r="F22" i="2994"/>
  <c r="G22" i="2994"/>
  <c r="J22" i="2994"/>
  <c r="I22" i="2994"/>
  <c r="H22" i="2994"/>
  <c r="K22" i="2994"/>
  <c r="L22" i="2994"/>
  <c r="C21" i="2994"/>
  <c r="D21" i="2994"/>
  <c r="E21" i="2994"/>
  <c r="F21" i="2994"/>
  <c r="G21" i="2994"/>
  <c r="J21" i="2994"/>
  <c r="I21" i="2994"/>
  <c r="H21" i="2994"/>
  <c r="K21" i="2994"/>
  <c r="L21" i="2994"/>
  <c r="C20" i="2994"/>
  <c r="D20" i="2994"/>
  <c r="E20" i="2994"/>
  <c r="F20" i="2994"/>
  <c r="G20" i="2994"/>
  <c r="J20" i="2994"/>
  <c r="I20" i="2994"/>
  <c r="H20" i="2994"/>
  <c r="K20" i="2994"/>
  <c r="L20" i="2994"/>
  <c r="C19" i="2994"/>
  <c r="D19" i="2994"/>
  <c r="E19" i="2994"/>
  <c r="F19" i="2994"/>
  <c r="G19" i="2994"/>
  <c r="J19" i="2994"/>
  <c r="I19" i="2994"/>
  <c r="H19" i="2994"/>
  <c r="K19" i="2994"/>
  <c r="L19" i="2994"/>
  <c r="C18" i="2994"/>
  <c r="D18" i="2994"/>
  <c r="E18" i="2994"/>
  <c r="F18" i="2994"/>
  <c r="G18" i="2994"/>
  <c r="J18" i="2994"/>
  <c r="I18" i="2994"/>
  <c r="H18" i="2994"/>
  <c r="K18" i="2994"/>
  <c r="L18" i="2994"/>
  <c r="C17" i="2994"/>
  <c r="D17" i="2994"/>
  <c r="E17" i="2994"/>
  <c r="F17" i="2994"/>
  <c r="G17" i="2994"/>
  <c r="J17" i="2994"/>
  <c r="I17" i="2994"/>
  <c r="H17" i="2994"/>
  <c r="K17" i="2994"/>
  <c r="L17" i="2994"/>
  <c r="C16" i="2994"/>
  <c r="D16" i="2994"/>
  <c r="E16" i="2994"/>
  <c r="F16" i="2994"/>
  <c r="G16" i="2994"/>
  <c r="J16" i="2994"/>
  <c r="I16" i="2994"/>
  <c r="H16" i="2994"/>
  <c r="K16" i="2994"/>
  <c r="L16" i="2994"/>
  <c r="C15" i="2994"/>
  <c r="D15" i="2994"/>
  <c r="E15" i="2994"/>
  <c r="F15" i="2994"/>
  <c r="G15" i="2994"/>
  <c r="J15" i="2994"/>
  <c r="I15" i="2994"/>
  <c r="H15" i="2994"/>
  <c r="K15" i="2994"/>
  <c r="L15" i="2994"/>
  <c r="C14" i="2994"/>
  <c r="D14" i="2994"/>
  <c r="E14" i="2994"/>
  <c r="F14" i="2994"/>
  <c r="G14" i="2994"/>
  <c r="J14" i="2994"/>
  <c r="I14" i="2994"/>
  <c r="H14" i="2994"/>
  <c r="K14" i="2994"/>
  <c r="L14" i="2994"/>
  <c r="C13" i="2994"/>
  <c r="D13" i="2994"/>
  <c r="E13" i="2994"/>
  <c r="F13" i="2994"/>
  <c r="G13" i="2994"/>
  <c r="J13" i="2994"/>
  <c r="I13" i="2994"/>
  <c r="H13" i="2994"/>
  <c r="K13" i="2994"/>
  <c r="L13" i="2994"/>
  <c r="C12" i="2994"/>
  <c r="D12" i="2994"/>
  <c r="E12" i="2994"/>
  <c r="F12" i="2994"/>
  <c r="G12" i="2994"/>
  <c r="J12" i="2994"/>
  <c r="I12" i="2994"/>
  <c r="H12" i="2994"/>
  <c r="K12" i="2994"/>
  <c r="L12" i="2994"/>
  <c r="C11" i="2994"/>
  <c r="D11" i="2994"/>
  <c r="E11" i="2994"/>
  <c r="F11" i="2994"/>
  <c r="G11" i="2994"/>
  <c r="J11" i="2994"/>
  <c r="I11" i="2994"/>
  <c r="H11" i="2994"/>
  <c r="K11" i="2994"/>
  <c r="L11" i="2994"/>
  <c r="L30" i="2994"/>
  <c r="G21" i="14"/>
  <c r="I21" i="14"/>
  <c r="K21" i="14"/>
  <c r="M21" i="14"/>
  <c r="Q21" i="14"/>
  <c r="O21" i="14"/>
  <c r="D5" i="2995"/>
  <c r="E5" i="2995"/>
  <c r="F5" i="2995"/>
  <c r="G5" i="2995"/>
  <c r="H5" i="2995"/>
  <c r="C7" i="2995"/>
  <c r="C8" i="2995"/>
  <c r="C9" i="2995"/>
  <c r="C10" i="2995"/>
  <c r="C11" i="2995"/>
  <c r="C12" i="2995"/>
  <c r="C13" i="2995"/>
  <c r="C14" i="2995"/>
  <c r="C15" i="2995"/>
  <c r="C16" i="2995"/>
  <c r="C17" i="2995"/>
  <c r="C18" i="2995"/>
  <c r="C19" i="2995"/>
  <c r="C20" i="2995"/>
  <c r="C21" i="2995"/>
  <c r="C22" i="2995"/>
  <c r="C23" i="2995"/>
  <c r="C24" i="2995"/>
  <c r="C25" i="2995"/>
  <c r="C26" i="2995"/>
  <c r="C27" i="2995"/>
  <c r="C28" i="2995"/>
  <c r="C29" i="2995"/>
  <c r="H2" i="2995"/>
  <c r="B2" i="2995"/>
  <c r="E3" i="11"/>
  <c r="E26" i="11"/>
  <c r="E71" i="11"/>
  <c r="E76" i="11"/>
  <c r="E102" i="11"/>
  <c r="E120" i="11"/>
  <c r="E136" i="11"/>
  <c r="E134" i="11"/>
  <c r="E133" i="11"/>
  <c r="E131" i="11"/>
  <c r="E129" i="11"/>
  <c r="N7" i="2994"/>
  <c r="E21" i="11"/>
  <c r="E56" i="11"/>
  <c r="E66" i="11"/>
  <c r="E80" i="11"/>
  <c r="E87" i="11"/>
  <c r="E105" i="11"/>
  <c r="E119" i="11"/>
  <c r="E121" i="11"/>
  <c r="N8" i="2994"/>
  <c r="E24" i="11"/>
  <c r="E47" i="11"/>
  <c r="E52" i="11"/>
  <c r="E68" i="11"/>
  <c r="E77" i="11"/>
  <c r="N9" i="2994"/>
  <c r="E28" i="11"/>
  <c r="E74" i="11"/>
  <c r="E79" i="11"/>
  <c r="E97" i="11"/>
  <c r="E104" i="11"/>
  <c r="E143" i="11"/>
  <c r="N10" i="2994"/>
  <c r="E31" i="11"/>
  <c r="E88" i="11"/>
  <c r="E95" i="11"/>
  <c r="N11" i="2994"/>
  <c r="E94" i="11"/>
  <c r="E100" i="11"/>
  <c r="E130" i="11"/>
  <c r="E164" i="11"/>
  <c r="E180" i="11"/>
  <c r="N12" i="2994"/>
  <c r="E73" i="11"/>
  <c r="E83" i="11"/>
  <c r="E109" i="11"/>
  <c r="E139" i="11"/>
  <c r="E153" i="11"/>
  <c r="N13" i="2994"/>
  <c r="E54" i="11"/>
  <c r="E64" i="11"/>
  <c r="E81" i="11"/>
  <c r="E89" i="11"/>
  <c r="E115" i="11"/>
  <c r="N14" i="2994"/>
  <c r="E23" i="11"/>
  <c r="E60" i="11"/>
  <c r="E86" i="11"/>
  <c r="E103" i="11"/>
  <c r="N15" i="2994"/>
  <c r="E9" i="11"/>
  <c r="E44" i="11"/>
  <c r="E46" i="11"/>
  <c r="E63" i="11"/>
  <c r="N16" i="2994"/>
  <c r="E16" i="11"/>
  <c r="E43" i="11"/>
  <c r="E90" i="11"/>
  <c r="N17" i="2994"/>
  <c r="E85" i="11"/>
  <c r="E96" i="11"/>
  <c r="E123" i="11"/>
  <c r="E135" i="11"/>
  <c r="N18" i="2994"/>
  <c r="E72" i="11"/>
  <c r="E82" i="11"/>
  <c r="E93" i="11"/>
  <c r="E108" i="11"/>
  <c r="E124" i="11"/>
  <c r="N19" i="2994"/>
  <c r="E30" i="11"/>
  <c r="E61" i="11"/>
  <c r="E138" i="11"/>
  <c r="N20" i="2994"/>
  <c r="E27" i="11"/>
  <c r="E118" i="11"/>
  <c r="E126" i="11"/>
  <c r="N21" i="2994"/>
  <c r="E18" i="11"/>
  <c r="E62" i="11"/>
  <c r="N22" i="2994"/>
  <c r="E5" i="11"/>
  <c r="E53" i="11"/>
  <c r="N23" i="2994"/>
  <c r="E55" i="11"/>
  <c r="N24" i="2994"/>
  <c r="E22" i="11"/>
  <c r="E51" i="11"/>
  <c r="E75" i="11"/>
  <c r="E106" i="11"/>
  <c r="E122" i="11"/>
  <c r="N25" i="2994"/>
  <c r="E91" i="11"/>
  <c r="E125" i="11"/>
  <c r="E145" i="11"/>
  <c r="N26" i="2994"/>
  <c r="E113" i="11"/>
  <c r="E165" i="11"/>
  <c r="N27" i="2994"/>
  <c r="E65" i="11"/>
  <c r="N28" i="2994"/>
  <c r="E17" i="11"/>
  <c r="E49" i="11"/>
  <c r="E59" i="11"/>
  <c r="E98" i="11"/>
  <c r="E114" i="11"/>
  <c r="N29" i="2994"/>
  <c r="D6" i="2994"/>
  <c r="D30" i="2994"/>
  <c r="E6" i="2994"/>
  <c r="E30" i="2994"/>
  <c r="F6" i="2994"/>
  <c r="F30" i="2994"/>
  <c r="G6" i="2994"/>
  <c r="G30" i="2994"/>
  <c r="H6" i="2994"/>
  <c r="H30" i="2994"/>
  <c r="I6" i="2994"/>
  <c r="I30" i="2994"/>
  <c r="J6" i="2994"/>
  <c r="J30" i="2994"/>
  <c r="M7" i="2994"/>
  <c r="M8" i="2994"/>
  <c r="M9" i="2994"/>
  <c r="M10" i="2994"/>
  <c r="M11" i="2994"/>
  <c r="M12" i="2994"/>
  <c r="M13" i="2994"/>
  <c r="M14" i="2994"/>
  <c r="M15" i="2994"/>
  <c r="M16" i="2994"/>
  <c r="M17" i="2994"/>
  <c r="M18" i="2994"/>
  <c r="M19" i="2994"/>
  <c r="M20" i="2994"/>
  <c r="M21" i="2994"/>
  <c r="M22" i="2994"/>
  <c r="M23" i="2994"/>
  <c r="M24" i="2994"/>
  <c r="M25" i="2994"/>
  <c r="M26" i="2994"/>
  <c r="M27" i="2994"/>
  <c r="M28" i="2994"/>
  <c r="M29" i="2994"/>
  <c r="K6" i="2994"/>
  <c r="M2" i="2994"/>
  <c r="B2" i="2994"/>
  <c r="D6" i="2993"/>
  <c r="D76" i="2993"/>
  <c r="E6" i="2993"/>
  <c r="E76" i="2993"/>
  <c r="F6" i="2993"/>
  <c r="F76" i="2993"/>
  <c r="G6" i="2993"/>
  <c r="G76" i="2993"/>
  <c r="H6" i="2993"/>
  <c r="H76" i="2993"/>
  <c r="I6" i="2993"/>
  <c r="D5" i="2993"/>
  <c r="E5" i="2993"/>
  <c r="F5" i="2993"/>
  <c r="G5" i="2993"/>
  <c r="H5" i="2993"/>
  <c r="I2" i="2993"/>
  <c r="B2" i="2993"/>
  <c r="D6" i="2992"/>
  <c r="D76" i="2992"/>
  <c r="E6" i="2992"/>
  <c r="E76" i="2992"/>
  <c r="F6" i="2992"/>
  <c r="F76" i="2992"/>
  <c r="G6" i="2992"/>
  <c r="G76" i="2992"/>
  <c r="H6" i="2992"/>
  <c r="H76" i="2992"/>
  <c r="I6" i="2992"/>
  <c r="D5" i="2992"/>
  <c r="E5" i="2992"/>
  <c r="F5" i="2992"/>
  <c r="G5" i="2992"/>
  <c r="H5" i="2992"/>
  <c r="I2" i="2992"/>
  <c r="B2" i="2992"/>
  <c r="D6" i="2991"/>
  <c r="D76" i="2991"/>
  <c r="E6" i="2991"/>
  <c r="E76" i="2991"/>
  <c r="F6" i="2991"/>
  <c r="D5" i="2991"/>
  <c r="E5" i="2991"/>
  <c r="F2" i="2991"/>
  <c r="B2" i="2991"/>
  <c r="D6" i="2990"/>
  <c r="D76" i="2990"/>
  <c r="E6" i="2990"/>
  <c r="E76" i="2990"/>
  <c r="F6" i="2990"/>
  <c r="F76" i="2990"/>
  <c r="G6" i="2990"/>
  <c r="G76" i="2990"/>
  <c r="H6" i="2990"/>
  <c r="H76" i="2990"/>
  <c r="I6" i="2990"/>
  <c r="D5" i="2990"/>
  <c r="E5" i="2990"/>
  <c r="F5" i="2990"/>
  <c r="G5" i="2990"/>
  <c r="H5" i="2990"/>
  <c r="I2" i="2990"/>
  <c r="B2" i="2990"/>
  <c r="D6" i="2989"/>
  <c r="D76" i="2989"/>
  <c r="E6" i="2989"/>
  <c r="D5" i="2989"/>
  <c r="E2" i="2989"/>
  <c r="B2" i="2989"/>
  <c r="D6" i="2988"/>
  <c r="D76" i="2988"/>
  <c r="E6" i="2988"/>
  <c r="E76" i="2988"/>
  <c r="F6" i="2988"/>
  <c r="F76" i="2988"/>
  <c r="G6" i="2988"/>
  <c r="G76" i="2988"/>
  <c r="H6" i="2988"/>
  <c r="H76" i="2988"/>
  <c r="I6" i="2988"/>
  <c r="I76" i="2988"/>
  <c r="J6" i="2988"/>
  <c r="J76" i="2988"/>
  <c r="K6" i="2988"/>
  <c r="K76" i="2988"/>
  <c r="L6" i="2988"/>
  <c r="L76" i="2988"/>
  <c r="M6" i="2988"/>
  <c r="M76" i="2988"/>
  <c r="N6" i="2988"/>
  <c r="D5" i="2988"/>
  <c r="E5" i="2988"/>
  <c r="F5" i="2988"/>
  <c r="G5" i="2988"/>
  <c r="H5" i="2988"/>
  <c r="I5" i="2988"/>
  <c r="J5" i="2988"/>
  <c r="K5" i="2988"/>
  <c r="L5" i="2988"/>
  <c r="M5" i="2988"/>
  <c r="N2" i="2988"/>
  <c r="B2" i="2988"/>
  <c r="D6" i="2987"/>
  <c r="D76" i="2987"/>
  <c r="E6" i="2987"/>
  <c r="E76" i="2987"/>
  <c r="F6" i="2987"/>
  <c r="F76" i="2987"/>
  <c r="G6" i="2987"/>
  <c r="G76" i="2987"/>
  <c r="H6" i="2987"/>
  <c r="H76" i="2987"/>
  <c r="I6" i="2987"/>
  <c r="I76" i="2987"/>
  <c r="J6" i="2987"/>
  <c r="D5" i="2987"/>
  <c r="E5" i="2987"/>
  <c r="F5" i="2987"/>
  <c r="G5" i="2987"/>
  <c r="H5" i="2987"/>
  <c r="I5" i="2987"/>
  <c r="J2" i="2987"/>
  <c r="B2" i="2987"/>
  <c r="E40" i="11"/>
  <c r="E116" i="11"/>
  <c r="E35" i="11"/>
  <c r="E70" i="11"/>
  <c r="E101" i="11"/>
  <c r="E111" i="11"/>
  <c r="E19" i="11"/>
  <c r="E84" i="11"/>
  <c r="E15" i="11"/>
  <c r="E141" i="11"/>
  <c r="E107" i="11"/>
  <c r="E110" i="11"/>
  <c r="E137" i="11"/>
  <c r="E146" i="11"/>
  <c r="E42" i="11"/>
  <c r="E147" i="11"/>
  <c r="E78" i="11"/>
  <c r="E39" i="11"/>
  <c r="E25" i="11"/>
  <c r="E38" i="11"/>
  <c r="E92" i="11"/>
  <c r="E11" i="11"/>
  <c r="E34" i="11"/>
  <c r="E48" i="11"/>
  <c r="E37" i="11"/>
  <c r="E69" i="11"/>
  <c r="E67" i="11"/>
  <c r="E50" i="11"/>
  <c r="E33" i="11"/>
  <c r="E13" i="11"/>
  <c r="E142" i="11"/>
  <c r="E99" i="11"/>
  <c r="E112" i="11"/>
  <c r="E29" i="11"/>
  <c r="E157" i="11"/>
  <c r="E57" i="11"/>
  <c r="E117" i="11"/>
  <c r="E36" i="11"/>
  <c r="E32" i="11"/>
  <c r="E58" i="11"/>
  <c r="E151" i="11"/>
  <c r="E176" i="11"/>
  <c r="E132" i="11"/>
  <c r="E128" i="11"/>
  <c r="R21" i="14"/>
  <c r="E7" i="11"/>
  <c r="E181" i="11"/>
  <c r="E160" i="11"/>
  <c r="E198" i="11"/>
  <c r="E149" i="11"/>
  <c r="E148" i="11"/>
  <c r="E161" i="11"/>
  <c r="E20" i="11"/>
  <c r="E127" i="11"/>
  <c r="E159" i="11"/>
  <c r="E174" i="11"/>
  <c r="E167" i="11"/>
  <c r="E183" i="11"/>
  <c r="E223" i="11"/>
  <c r="E168" i="11"/>
  <c r="E144" i="11"/>
  <c r="E163" i="11"/>
  <c r="P21" i="14"/>
  <c r="H21" i="14"/>
  <c r="F21" i="14"/>
  <c r="E185" i="11"/>
  <c r="E178" i="11"/>
  <c r="E197" i="11"/>
  <c r="E237" i="11"/>
  <c r="E154" i="11"/>
  <c r="E140" i="11"/>
  <c r="E173" i="11"/>
  <c r="E193" i="11"/>
  <c r="E293" i="11"/>
  <c r="E292" i="11"/>
  <c r="E291" i="11"/>
  <c r="E290" i="11"/>
  <c r="E289" i="11"/>
  <c r="E288" i="11"/>
  <c r="E287" i="11"/>
  <c r="E286" i="11"/>
  <c r="E285" i="11"/>
  <c r="E284" i="11"/>
  <c r="E283" i="11"/>
  <c r="E282" i="11"/>
  <c r="E281" i="11"/>
  <c r="E280" i="11"/>
  <c r="E279" i="11"/>
  <c r="E278" i="11"/>
  <c r="E277" i="11"/>
  <c r="E276" i="11"/>
  <c r="E275" i="11"/>
  <c r="E274" i="11"/>
  <c r="E273" i="11"/>
  <c r="E272" i="11"/>
  <c r="E271" i="11"/>
  <c r="E270" i="11"/>
  <c r="E269" i="11"/>
  <c r="E268" i="11"/>
  <c r="E267" i="11"/>
  <c r="E266" i="11"/>
  <c r="E265" i="11"/>
  <c r="E264" i="11"/>
  <c r="E263" i="11"/>
  <c r="E262" i="11"/>
  <c r="E261" i="11"/>
  <c r="E260" i="11"/>
  <c r="E259" i="11"/>
  <c r="E258" i="11"/>
  <c r="E257" i="11"/>
  <c r="E256" i="11"/>
  <c r="E255" i="11"/>
  <c r="E254" i="11"/>
  <c r="E253" i="11"/>
  <c r="E252" i="11"/>
  <c r="E251" i="11"/>
  <c r="E250" i="11"/>
  <c r="E249" i="11"/>
  <c r="E248" i="11"/>
  <c r="E247" i="11"/>
  <c r="E246" i="11"/>
  <c r="E245" i="11"/>
  <c r="E244" i="11"/>
  <c r="E4" i="11"/>
  <c r="E243" i="11"/>
  <c r="E242" i="11"/>
  <c r="E241" i="11"/>
  <c r="E240" i="11"/>
  <c r="E239" i="11"/>
  <c r="E238" i="11"/>
  <c r="E236" i="11"/>
  <c r="E235" i="11"/>
  <c r="E234" i="11"/>
  <c r="E233" i="11"/>
  <c r="E232" i="11"/>
  <c r="E231" i="11"/>
  <c r="E230" i="11"/>
  <c r="E229" i="11"/>
  <c r="E228" i="11"/>
  <c r="E227" i="11"/>
  <c r="E226" i="11"/>
  <c r="E225" i="11"/>
  <c r="E224" i="11"/>
  <c r="E222" i="11"/>
  <c r="E221" i="11"/>
  <c r="E220" i="11"/>
  <c r="E219" i="11"/>
  <c r="E218" i="11"/>
  <c r="E217" i="11"/>
  <c r="E216" i="11"/>
  <c r="E215" i="11"/>
  <c r="E214" i="11"/>
  <c r="E213" i="11"/>
  <c r="E212" i="11"/>
  <c r="E211" i="11"/>
  <c r="E210" i="11"/>
  <c r="E209" i="11"/>
  <c r="E208" i="11"/>
  <c r="E207" i="11"/>
  <c r="E206" i="11"/>
  <c r="E205" i="11"/>
  <c r="E204" i="11"/>
  <c r="E203" i="11"/>
  <c r="E202" i="11"/>
  <c r="E201" i="11"/>
  <c r="E200" i="11"/>
  <c r="E199" i="11"/>
  <c r="E196" i="11"/>
  <c r="E195" i="11"/>
  <c r="E194" i="11"/>
  <c r="E192" i="11"/>
  <c r="E191" i="11"/>
  <c r="E190" i="11"/>
  <c r="E189" i="11"/>
  <c r="E188" i="11"/>
  <c r="E187" i="11"/>
  <c r="E186" i="11"/>
  <c r="E184" i="11"/>
  <c r="E182" i="11"/>
  <c r="E179" i="11"/>
  <c r="E177" i="11"/>
  <c r="E175" i="11"/>
  <c r="E172" i="11"/>
  <c r="E171" i="11"/>
  <c r="E170" i="11"/>
  <c r="E169" i="11"/>
  <c r="E166" i="11"/>
  <c r="E162" i="11"/>
  <c r="E158" i="11"/>
  <c r="E156" i="11"/>
  <c r="E155" i="11"/>
  <c r="E152" i="11"/>
  <c r="E150" i="11"/>
  <c r="E45" i="11"/>
  <c r="E41" i="11"/>
  <c r="E14" i="11"/>
  <c r="E12" i="11"/>
  <c r="E10" i="11"/>
  <c r="E8" i="11"/>
  <c r="E6" i="11"/>
  <c r="N21" i="14"/>
  <c r="J21" i="14"/>
  <c r="L21" i="14"/>
  <c r="C45" i="14"/>
  <c r="M30" i="2994" a="1"/>
  <c r="M30" i="299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krausertm</author>
  </authors>
  <commentList>
    <comment ref="T2" authorId="0" shapeId="0" xr:uid="{00000000-0006-0000-0700-000001000000}">
      <text>
        <r>
          <rPr>
            <sz val="9"/>
            <color indexed="81"/>
            <rFont val="Segoe UI"/>
            <family val="2"/>
          </rPr>
          <t>Der Name des Examens kann hier eingetragen werden. Bspw. Abitur, 1. Schulaufgabe, Stehgreifaufgabe, ...</t>
        </r>
      </text>
    </comment>
    <comment ref="T4" authorId="0" shapeId="0" xr:uid="{00000000-0006-0000-0700-000002000000}">
      <text>
        <r>
          <rPr>
            <sz val="9"/>
            <color indexed="81"/>
            <rFont val="Segoe UI"/>
            <family val="2"/>
          </rPr>
          <t>In dieser Zeile können die Teilgebiete des Examens eingetragen werden. Pro Teilgebiet wird ein Notenblatt mit Spalten für die jeweiligen Aufgaben erzeugt. Es können bis zu 6 Teilgebiete angelegt werden.</t>
        </r>
      </text>
    </comment>
    <comment ref="T6" authorId="0" shapeId="0" xr:uid="{00000000-0006-0000-0700-000003000000}">
      <text>
        <r>
          <rPr>
            <sz val="9"/>
            <color indexed="81"/>
            <rFont val="Segoe UI"/>
            <family val="2"/>
          </rPr>
          <t>In diesem Bereich werden die Aufgaben der Teilgebiete (linke Spalte) sowie die dafür vergebenen Punkte (rechte Spalte) eingetragen. Es sind bis zu 15 Aufgaben pro Teilgebiet möglich.</t>
        </r>
      </text>
    </comment>
    <comment ref="S21" authorId="0" shapeId="0" xr:uid="{155C4121-3387-4718-A1EE-AD4B5FB80D79}">
      <text>
        <r>
          <rPr>
            <sz val="9"/>
            <color indexed="81"/>
            <rFont val="Segoe UI"/>
            <family val="2"/>
          </rPr>
          <t>Die anderen Blätter verwenden die Punktzahl hier als Referenz! Bspw. das Gesamtnotenblatt! Es wird also für Wahlaufgaben nicht die Summe aller wählbaren Aufgaben, sondern der maximal pro Schüler zu erreichende Wert fix hinterlegt!</t>
        </r>
      </text>
    </comment>
    <comment ref="T22" authorId="0" shapeId="0" xr:uid="{A62C7A42-5ED6-42E2-8400-1D10DD9A5A95}">
      <text>
        <r>
          <rPr>
            <sz val="9"/>
            <color indexed="81"/>
            <rFont val="Segoe UI"/>
            <family val="2"/>
          </rPr>
          <t>Wahlaufgaben? Ist hier "Ja" angewählt, können die Aufgaben pro Schüler nach dem Erstellen der Tabellen auf dem Tab "ConfigW" an- und abgewählt werden.</t>
        </r>
      </text>
    </comment>
    <comment ref="I27" authorId="0" shapeId="0" xr:uid="{607C5AC7-F126-4559-B723-0C14F53C2BCB}">
      <text>
        <r>
          <rPr>
            <sz val="9"/>
            <color indexed="81"/>
            <rFont val="Segoe UI"/>
            <family val="2"/>
          </rPr>
          <t>Wird hier ein Name eingetragen, werden beim Erzeugen der Tabellen entsprechende Zeilen für den ZK angelegt!</t>
        </r>
      </text>
    </comment>
    <comment ref="I28" authorId="0" shapeId="0" xr:uid="{DDCD2850-8F03-46F5-B1C2-E7B66D9D3C23}">
      <text>
        <r>
          <rPr>
            <sz val="9"/>
            <color indexed="81"/>
            <rFont val="Segoe UI"/>
            <family val="2"/>
          </rPr>
          <t>Wird hier ein Name eingetragen, werden beim Erzeugen der Tabellen entsprechende Zeilen für den DK angelegt!</t>
        </r>
      </text>
    </comment>
    <comment ref="W40" authorId="0" shapeId="0" xr:uid="{83B934CC-3A83-4A1C-BBF8-F40507CC12C7}">
      <text>
        <r>
          <rPr>
            <sz val="9"/>
            <color indexed="81"/>
            <rFont val="Segoe UI"/>
            <family val="2"/>
          </rPr>
          <t>Ist diese Option aktiviert (1), so springt die Tabelle nach einer Punkteeingabe direkt in das nächste Feld für des selben Typs (EK,ZK,DK) und am Ende wieder nach oben.</t>
        </r>
      </text>
    </comment>
    <comment ref="W41" authorId="0" shapeId="0" xr:uid="{4BD76716-55ED-44E9-A100-A9DB4E02F54E}">
      <text>
        <r>
          <rPr>
            <sz val="9"/>
            <color indexed="81"/>
            <rFont val="Segoe UI"/>
            <family val="2"/>
          </rPr>
          <t>Ist diese Option aktiviert (1), so springt die Tabelle nach dem Löschen einer Punktezelle direkt in das nächste Feld für des selben Typs (EK,ZK,DK) und am Ende wieder nach oben.</t>
        </r>
      </text>
    </comment>
  </commentList>
</comments>
</file>

<file path=xl/sharedStrings.xml><?xml version="1.0" encoding="utf-8"?>
<sst xmlns="http://schemas.openxmlformats.org/spreadsheetml/2006/main" count="796" uniqueCount="138">
  <si>
    <t>Punkte</t>
  </si>
  <si>
    <t>Note</t>
  </si>
  <si>
    <t>1a</t>
  </si>
  <si>
    <t>4a</t>
  </si>
  <si>
    <t>4b</t>
  </si>
  <si>
    <t>2a</t>
  </si>
  <si>
    <t>Klasse</t>
  </si>
  <si>
    <t>Nachname</t>
  </si>
  <si>
    <t>Vorname</t>
  </si>
  <si>
    <t>Analysis A</t>
  </si>
  <si>
    <t>Analysis B</t>
  </si>
  <si>
    <t>Stochastik A</t>
  </si>
  <si>
    <t>Stochastik B</t>
  </si>
  <si>
    <t>Geometrie A</t>
  </si>
  <si>
    <t>Geometrie B</t>
  </si>
  <si>
    <t>Aufgabe</t>
  </si>
  <si>
    <t>1b</t>
  </si>
  <si>
    <t>2</t>
  </si>
  <si>
    <t>3</t>
  </si>
  <si>
    <t>1</t>
  </si>
  <si>
    <t>Marvin</t>
  </si>
  <si>
    <t>Kurs</t>
  </si>
  <si>
    <t>Datum</t>
  </si>
  <si>
    <t>1c</t>
  </si>
  <si>
    <t>1d</t>
  </si>
  <si>
    <t>1e</t>
  </si>
  <si>
    <t>1f</t>
  </si>
  <si>
    <t>1g</t>
  </si>
  <si>
    <t>1h</t>
  </si>
  <si>
    <t>2b</t>
  </si>
  <si>
    <t>Kursltr</t>
  </si>
  <si>
    <t>Notenpkt</t>
  </si>
  <si>
    <t xml:space="preserve">Info: Hier kann der Notenspiegel eingetragen werden. Die folgenden Werte sind in die Spalten einzutragen:
Spalte B: Erreichte Punktzahl (0-x)
Spalte C: Die Notenpunkte (0-15)
Spalte D: Die Schulnote (6-1) 
Die maximale Länge sind 300 Einträge!
Markierung auf der Notenübersicht:
Auf der Notenübersicht werden Schüler hervorgehoben, die einen bzw. zwei Punkteschritte (also 1 bzw. 2 Zeilen) von der nächst besseren oder auch nächst schlechteren Note entfernt sind. Die Farben haben dabei folgende Bedeutung:
</t>
  </si>
  <si>
    <t>Der Schüler ist zwei Schritte von der nächst besseren Note entfernt</t>
  </si>
  <si>
    <t>Der Schüler ist einen Schritt von der nächst besseren Note entfernt</t>
  </si>
  <si>
    <t>Der Schüler ist einen Schritt über der nächst schlechteren Note</t>
  </si>
  <si>
    <t>Der Schüler ist zwei Schritte über der nächst schlechteren Note</t>
  </si>
  <si>
    <t>Simon</t>
  </si>
  <si>
    <t>Lilian</t>
  </si>
  <si>
    <t>Leonie</t>
  </si>
  <si>
    <t>Cedric</t>
  </si>
  <si>
    <t>Annabell</t>
  </si>
  <si>
    <t>Stefanie</t>
  </si>
  <si>
    <t>Damian</t>
  </si>
  <si>
    <t>Meik</t>
  </si>
  <si>
    <t>Tomas</t>
  </si>
  <si>
    <t>Linn</t>
  </si>
  <si>
    <t>Amely</t>
  </si>
  <si>
    <t>Melvin</t>
  </si>
  <si>
    <t>Jean</t>
  </si>
  <si>
    <t>Leonardo</t>
  </si>
  <si>
    <t>Nicholas</t>
  </si>
  <si>
    <t>Vivienne</t>
  </si>
  <si>
    <t>Mads</t>
  </si>
  <si>
    <t>Raphael</t>
  </si>
  <si>
    <t>Emmely</t>
  </si>
  <si>
    <t>Karin</t>
  </si>
  <si>
    <t>Ingo</t>
  </si>
  <si>
    <t>Höfer</t>
  </si>
  <si>
    <t>Töpfer</t>
  </si>
  <si>
    <t>Fleischmann</t>
  </si>
  <si>
    <t>Drescher</t>
  </si>
  <si>
    <t>Baumgarten</t>
  </si>
  <si>
    <t>Traut</t>
  </si>
  <si>
    <t>Menke</t>
  </si>
  <si>
    <t>Carroll</t>
  </si>
  <si>
    <t>Hennings</t>
  </si>
  <si>
    <t>Walters</t>
  </si>
  <si>
    <t>Junker</t>
  </si>
  <si>
    <t>Stephens</t>
  </si>
  <si>
    <t>Cremer</t>
  </si>
  <si>
    <t>Nash</t>
  </si>
  <si>
    <t>Schön</t>
  </si>
  <si>
    <t>Sigl</t>
  </si>
  <si>
    <t>Kainz</t>
  </si>
  <si>
    <t>Hartmann</t>
  </si>
  <si>
    <t>Ullmann</t>
  </si>
  <si>
    <t>Hartl</t>
  </si>
  <si>
    <t>Klotz</t>
  </si>
  <si>
    <t>Ehlers</t>
  </si>
  <si>
    <t>Lindemann</t>
  </si>
  <si>
    <t>Name</t>
  </si>
  <si>
    <t>Summe</t>
  </si>
  <si>
    <t>Noten</t>
  </si>
  <si>
    <t>uiiii</t>
  </si>
  <si>
    <t>ø</t>
  </si>
  <si>
    <t>Ulrich</t>
  </si>
  <si>
    <t>K1</t>
  </si>
  <si>
    <t>?</t>
  </si>
  <si>
    <t>Anleitung:</t>
  </si>
  <si>
    <t>1.</t>
  </si>
  <si>
    <t>2.</t>
  </si>
  <si>
    <t>3.</t>
  </si>
  <si>
    <t>4.</t>
  </si>
  <si>
    <t>5.</t>
  </si>
  <si>
    <t>6.</t>
  </si>
  <si>
    <t>Mathe Abitur</t>
  </si>
  <si>
    <r>
      <rPr>
        <b/>
        <sz val="10"/>
        <rFont val="Arial"/>
        <family val="2"/>
      </rPr>
      <t xml:space="preserve">Hinweis: Nach dem erzeugen der Tabellen darf / kann </t>
    </r>
    <r>
      <rPr>
        <b/>
        <sz val="10"/>
        <color rgb="FFFF0000"/>
        <rFont val="Arial"/>
        <family val="2"/>
      </rPr>
      <t xml:space="preserve">NICHT </t>
    </r>
    <r>
      <rPr>
        <b/>
        <sz val="10"/>
        <rFont val="Arial"/>
        <family val="2"/>
      </rPr>
      <t>mehr verändert werden:</t>
    </r>
    <r>
      <rPr>
        <sz val="10"/>
        <rFont val="Arial"/>
        <family val="2"/>
      </rPr>
      <t xml:space="preserve">
- die Anzahl der Schüler
- die Anzahl der Teilaufgaben
- die Anzahl der Aufgaben der jeweiligen Teilaufgabe
- Die Bezeichnungen der Teilgebiete
Falls es doch einmal nötig sein sollte einen der o.g. nicht änderbaren Parameter anzupassen, speichern Sie bitte ihre bereits eingetragenen Punkte auf den Notenblättern in einer </t>
    </r>
    <r>
      <rPr>
        <b/>
        <sz val="10"/>
        <rFont val="Arial"/>
        <family val="2"/>
      </rPr>
      <t>neuen Excel-Datei</t>
    </r>
    <r>
      <rPr>
        <sz val="10"/>
        <rFont val="Arial"/>
        <family val="2"/>
      </rPr>
      <t xml:space="preserve"> und kopieren diese nach dem neu erstellen wieder an die richtigen Stellen zurück.
</t>
    </r>
    <r>
      <rPr>
        <b/>
        <sz val="10"/>
        <rFont val="Arial"/>
        <family val="2"/>
      </rPr>
      <t>Es kann noch geändert werden:</t>
    </r>
    <r>
      <rPr>
        <sz val="10"/>
        <rFont val="Arial"/>
        <family val="2"/>
      </rPr>
      <t xml:space="preserve">
- Die Namen der Schüler
- Die Bezeichnungen der Aufgaben und des Examens
- Die vergebenen Punkte für die Aufgaben</t>
    </r>
  </si>
  <si>
    <t>GitHub Releases (für neue Versionen)</t>
  </si>
  <si>
    <t>Lizenz: GNU GPLv3.</t>
  </si>
  <si>
    <t>5-</t>
  </si>
  <si>
    <t>5</t>
  </si>
  <si>
    <t>5+</t>
  </si>
  <si>
    <t>4-</t>
  </si>
  <si>
    <t>4</t>
  </si>
  <si>
    <t>4+</t>
  </si>
  <si>
    <t>3-</t>
  </si>
  <si>
    <t>3+</t>
  </si>
  <si>
    <t>2-</t>
  </si>
  <si>
    <t>2+</t>
  </si>
  <si>
    <t>1-</t>
  </si>
  <si>
    <t>1+</t>
  </si>
  <si>
    <t>Wahlaufgaben</t>
  </si>
  <si>
    <t>6</t>
  </si>
  <si>
    <t>7a</t>
  </si>
  <si>
    <t>7b</t>
  </si>
  <si>
    <t>8</t>
  </si>
  <si>
    <t>9</t>
  </si>
  <si>
    <t>Nein</t>
  </si>
  <si>
    <t>Ja</t>
  </si>
  <si>
    <t>x</t>
  </si>
  <si>
    <t>7.</t>
  </si>
  <si>
    <t>Über den Button "Alles löschen ... " können die Beispielinhalte entfernt werden.
Schülernamen, sowie Teilgebiete, Aufgaben und Punkte in die beiden Tabellen eintragen.
Wahlaufgaben können in der dafür vorgesehenen Spalte eingetragen werden.
Den Notenschlüssel auf dem Blatt "Notenspiegel" hinterlegen. (Beschreibung siehe dort)
Über den Button "Tabellen erzeugen" die Notenblätter generieren.
Falls Wahlaufgaben vorhanden sind, die gewählten Aufgaben pro Schüler auf  Blatt ConfigW eingeben.
Die erreichten Punkte der Schüler für die einzelnen Aufgaben auf den Notenblättern eintragen.
Über den Button "Schülerpunktzahlen-Druckseite erzeugen" die Druckansicht generieren und ausrducken, falls gewünscht.</t>
  </si>
  <si>
    <t>8.</t>
  </si>
  <si>
    <t>Wahlfachkonfiguration</t>
  </si>
  <si>
    <t>In nebenstehender Tabelle, alle gewählten Aufgaben des Schülers mit "x" selektieren. Anschließend den 'Wahlaufgaben aktualisieren' Button auf der Config-Seite anklicken!</t>
  </si>
  <si>
    <t>ZK</t>
  </si>
  <si>
    <t>DK</t>
  </si>
  <si>
    <t>Diese Buttons blenden die Zeilen für ZK/DK ein bzw. aus!</t>
  </si>
  <si>
    <t>ZK/DK:</t>
  </si>
  <si>
    <t>-</t>
  </si>
  <si>
    <t>Wird bei ZK/DK etwas eingetragen (Wert ist irrelevant!) so werden entsprechende Zeilen für ZK/DK angelegt!
Über die Buttons (EK, ZK, DK, Alle) können die jeweiligen Zeilen ein- und ausgeblendet werden. Bereits eingetragene Punktezahlen des ZK/DK bleiben so erhalten!
Über die Buttons  "ZK/DK anlegen" und "ZK/DK löschen" lassen sich die Zeilen für ZK/DK jederzeit einfügen und löschen, ohne die Hauptkorrektur zu beeinflussen.
Über die Buttons "ZK importieren" und "DK importieren" können die Korrekturwerte eines ZK/DK in die eigene Hauptkorrekturliste importiert werden. Das kann helfen wenn Teile der Arbeit während der noch laufenden Korrektur an den ZK/DK weitergegeben werden! Es sollte immer nur ZK in die Hauptliste und DK in ZK bzw. die Hauptliste übernommen werden!</t>
  </si>
  <si>
    <t>Emma</t>
  </si>
  <si>
    <t>Philipp</t>
  </si>
  <si>
    <t>Optionen</t>
  </si>
  <si>
    <t>Zu nächster Aufgabe navigieren nach Eingabe</t>
  </si>
  <si>
    <t>Zu nächster Aufgabe navigieren nach Löschen</t>
  </si>
  <si>
    <t>Pre-Release! v2.2.0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</si>
</sst>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x14ac:knownFonts="1">
    <font>
      <sz val="10"/>
      <name val="Arial"/>
    </font>
    <font>
      <b/>
      <sz val="12"/>
      <name val="Arial"/>
      <family val="2"/>
    </font>
    <font>
      <sz val="10"/>
      <name val="Arial"/>
      <family val="2"/>
    </font>
    <font>
      <b/>
      <sz val="10"/>
      <name val="Arial"/>
      <family val="2"/>
    </font>
    <font>
      <sz val="8"/>
      <name val="Arial"/>
      <family val="2"/>
    </font>
    <font>
      <sz val="10"/>
      <color theme="0" tint="-4.9989318521683403E-2"/>
      <name val="Arial"/>
      <family val="2"/>
    </font>
    <font>
      <sz val="10"/>
      <name val="Arial"/>
      <family val="2"/>
    </font>
    <font>
      <sz val="9"/>
      <color indexed="81"/>
      <name val="Segoe UI"/>
      <family val="2"/>
    </font>
    <font>
      <b/>
      <sz val="10"/>
      <color rgb="FFFF0000"/>
      <name val="Arial"/>
      <family val="2"/>
    </font>
    <font>
      <u/>
      <sz val="10"/>
      <color theme="10"/>
      <name val="Arial"/>
      <family val="2"/>
    </font>
    <font>
      <sz val="8"/>
      <name val="Arial"/>
      <family val="2"/>
    </font>
    <font>
      <b/>
      <sz val="8"/>
      <color rgb="FF00B0F0"/>
      <name val="Arial"/>
      <family val="2"/>
    </font>
    <font>
      <b/>
      <sz val="10"/>
      <color rgb="FFAF5000"/>
      <name val="Arial"/>
      <family val="2"/>
    </font>
    <font>
      <sz val="9"/>
      <name val="Arial"/>
      <family val="2"/>
    </font>
  </fonts>
  <fills count="17">
    <fill>
      <patternFill patternType="none"/>
    </fill>
    <fill>
      <patternFill patternType="gray125"/>
    </fill>
    <fill>
      <patternFill patternType="solid">
        <fgColor theme="6" tint="0.39997558519241921"/>
        <bgColor indexed="64"/>
      </patternFill>
    </fill>
    <fill>
      <patternFill patternType="solid">
        <fgColor theme="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92D050"/>
        <bgColor indexed="64"/>
      </patternFill>
    </fill>
    <fill>
      <patternFill patternType="solid">
        <fgColor rgb="FFCDFFBD"/>
        <bgColor indexed="64"/>
      </patternFill>
    </fill>
    <fill>
      <patternFill patternType="solid">
        <fgColor rgb="FFFF9797"/>
        <bgColor indexed="64"/>
      </patternFill>
    </fill>
    <fill>
      <patternFill patternType="solid">
        <fgColor rgb="FFFF0000"/>
        <bgColor indexed="64"/>
      </patternFill>
    </fill>
    <fill>
      <patternFill patternType="solid">
        <fgColor rgb="FFF0F0F0"/>
        <bgColor indexed="64"/>
      </patternFill>
    </fill>
    <fill>
      <patternFill patternType="solid">
        <fgColor rgb="FFC4D79B"/>
        <bgColor indexed="64"/>
      </patternFill>
    </fill>
    <fill>
      <patternFill patternType="solid">
        <fgColor rgb="FFD9D9D9"/>
        <bgColor indexed="64"/>
      </patternFill>
    </fill>
    <fill>
      <patternFill patternType="solid">
        <fgColor rgb="FFFFFFFF"/>
        <bgColor indexed="64"/>
      </patternFill>
    </fill>
    <fill>
      <patternFill patternType="solid">
        <fgColor rgb="FFE8E8E8"/>
        <bgColor indexed="64"/>
      </patternFill>
    </fill>
    <fill>
      <patternFill patternType="solid">
        <fgColor rgb="FFFFDCDC"/>
        <bgColor indexed="64"/>
      </patternFill>
    </fill>
    <fill>
      <patternFill patternType="solid">
        <fgColor rgb="FFE6FFE6"/>
        <bgColor indexed="64"/>
      </patternFill>
    </fill>
  </fills>
  <borders count="86">
    <border>
      <left/>
      <right/>
      <top/>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medium">
        <color indexed="64"/>
      </right>
      <top/>
      <bottom style="thin">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medium">
        <color indexed="64"/>
      </left>
      <right/>
      <top/>
      <bottom style="thin">
        <color indexed="64"/>
      </bottom>
      <diagonal/>
    </border>
    <border>
      <left style="thin">
        <color indexed="64"/>
      </left>
      <right/>
      <top style="thin">
        <color indexed="64"/>
      </top>
      <bottom style="thin">
        <color theme="0" tint="-4.9989318521683403E-2"/>
      </bottom>
      <diagonal/>
    </border>
    <border>
      <left/>
      <right style="medium">
        <color indexed="64"/>
      </right>
      <top style="thin">
        <color indexed="64"/>
      </top>
      <bottom style="thin">
        <color theme="0" tint="-4.9989318521683403E-2"/>
      </bottom>
      <diagonal/>
    </border>
    <border>
      <left style="thin">
        <color indexed="64"/>
      </left>
      <right/>
      <top style="thin">
        <color theme="0" tint="-4.9989318521683403E-2"/>
      </top>
      <bottom style="thin">
        <color theme="0" tint="-4.9989318521683403E-2"/>
      </bottom>
      <diagonal/>
    </border>
    <border>
      <left/>
      <right style="medium">
        <color indexed="64"/>
      </right>
      <top style="thin">
        <color theme="0" tint="-4.9989318521683403E-2"/>
      </top>
      <bottom style="thin">
        <color theme="0" tint="-4.9989318521683403E-2"/>
      </bottom>
      <diagonal/>
    </border>
    <border>
      <left style="thin">
        <color indexed="64"/>
      </left>
      <right/>
      <top style="thin">
        <color theme="0" tint="-4.9989318521683403E-2"/>
      </top>
      <bottom style="medium">
        <color indexed="64"/>
      </bottom>
      <diagonal/>
    </border>
    <border>
      <left/>
      <right style="medium">
        <color indexed="64"/>
      </right>
      <top style="thin">
        <color theme="0" tint="-4.9989318521683403E-2"/>
      </top>
      <bottom style="medium">
        <color indexed="64"/>
      </bottom>
      <diagonal/>
    </border>
    <border>
      <left style="medium">
        <color indexed="64"/>
      </left>
      <right style="thin">
        <color theme="2"/>
      </right>
      <top/>
      <bottom/>
      <diagonal/>
    </border>
    <border>
      <left style="thin">
        <color theme="2"/>
      </left>
      <right style="medium">
        <color indexed="64"/>
      </right>
      <top/>
      <bottom/>
      <diagonal/>
    </border>
    <border>
      <left/>
      <right style="thin">
        <color theme="2"/>
      </right>
      <top/>
      <bottom/>
      <diagonal/>
    </border>
    <border>
      <left style="thin">
        <color theme="2"/>
      </left>
      <right style="thin">
        <color theme="0" tint="-0.34998626667073579"/>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right style="thin">
        <color theme="0" tint="-0.34998626667073579"/>
      </right>
      <top/>
      <bottom style="thin">
        <color indexed="64"/>
      </bottom>
      <diagonal/>
    </border>
    <border>
      <left/>
      <right style="thin">
        <color theme="0" tint="-0.34998626667073579"/>
      </right>
      <top/>
      <bottom/>
      <diagonal/>
    </border>
    <border>
      <left style="medium">
        <color indexed="8"/>
      </left>
      <right/>
      <top/>
      <bottom/>
      <diagonal/>
    </border>
    <border>
      <left style="medium">
        <color indexed="8"/>
      </left>
      <right/>
      <top style="medium">
        <color indexed="8"/>
      </top>
      <bottom/>
      <diagonal/>
    </border>
    <border>
      <left/>
      <right/>
      <top style="medium">
        <color indexed="8"/>
      </top>
      <bottom/>
      <diagonal/>
    </border>
    <border>
      <left/>
      <right style="medium">
        <color indexed="8"/>
      </right>
      <top/>
      <bottom/>
      <diagonal/>
    </border>
    <border>
      <left/>
      <right style="medium">
        <color indexed="8"/>
      </right>
      <top style="medium">
        <color indexed="8"/>
      </top>
      <bottom/>
      <diagonal/>
    </border>
    <border>
      <left style="medium">
        <color indexed="8"/>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8"/>
      </left>
      <right style="medium">
        <color indexed="8"/>
      </right>
      <top style="medium">
        <color indexed="8"/>
      </top>
      <bottom/>
      <diagonal/>
    </border>
    <border>
      <left style="medium">
        <color indexed="8"/>
      </left>
      <right style="medium">
        <color indexed="8"/>
      </right>
      <top style="medium">
        <color indexed="8"/>
      </top>
      <bottom style="medium">
        <color indexed="8"/>
      </bottom>
      <diagonal/>
    </border>
    <border>
      <left style="thin">
        <color indexed="8"/>
      </left>
      <right style="thin">
        <color indexed="8"/>
      </right>
      <top style="thin">
        <color indexed="8"/>
      </top>
      <bottom style="thin">
        <color indexed="8"/>
      </bottom>
      <diagonal/>
    </border>
    <border>
      <left style="medium">
        <color indexed="8"/>
      </left>
      <right/>
      <top style="medium">
        <color indexed="8"/>
      </top>
      <bottom style="medium">
        <color indexed="8"/>
      </bottom>
      <diagonal/>
    </border>
    <border>
      <left style="thin">
        <color indexed="8"/>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thin">
        <color indexed="8"/>
      </right>
      <top style="medium">
        <color indexed="8"/>
      </top>
      <bottom style="thin">
        <color indexed="8"/>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thin">
        <color theme="0" tint="-0.34998626667073579"/>
      </left>
      <right/>
      <top/>
      <bottom/>
      <diagonal/>
    </border>
    <border>
      <left style="thin">
        <color theme="0" tint="-0.34998626667073579"/>
      </left>
      <right/>
      <top/>
      <bottom style="medium">
        <color indexed="64"/>
      </bottom>
      <diagonal/>
    </border>
    <border>
      <left/>
      <right style="thin">
        <color theme="0" tint="-0.34998626667073579"/>
      </right>
      <top/>
      <bottom style="medium">
        <color indexed="64"/>
      </bottom>
      <diagonal/>
    </border>
    <border>
      <left style="medium">
        <color indexed="64"/>
      </left>
      <right style="thin">
        <color theme="2"/>
      </right>
      <top/>
      <bottom style="thin">
        <color indexed="64"/>
      </bottom>
      <diagonal/>
    </border>
    <border>
      <left style="thin">
        <color theme="2"/>
      </left>
      <right style="thin">
        <color theme="0" tint="-0.34998626667073579"/>
      </right>
      <top/>
      <bottom style="thin">
        <color indexed="64"/>
      </bottom>
      <diagonal/>
    </border>
    <border>
      <left/>
      <right style="thin">
        <color theme="2"/>
      </right>
      <top/>
      <bottom style="thin">
        <color indexed="64"/>
      </bottom>
      <diagonal/>
    </border>
    <border>
      <left style="thin">
        <color theme="2"/>
      </left>
      <right style="medium">
        <color indexed="64"/>
      </right>
      <top/>
      <bottom style="thin">
        <color indexed="64"/>
      </bottom>
      <diagonal/>
    </border>
    <border>
      <left style="thin">
        <color indexed="8"/>
      </left>
      <right style="medium">
        <color indexed="8"/>
      </right>
      <top style="medium">
        <color indexed="8"/>
      </top>
      <bottom style="medium">
        <color indexed="8"/>
      </bottom>
      <diagonal/>
    </border>
    <border>
      <left style="medium">
        <color indexed="8"/>
      </left>
      <right style="thin">
        <color indexed="8"/>
      </right>
      <top style="medium">
        <color indexed="8"/>
      </top>
      <bottom style="medium">
        <color indexed="8"/>
      </bottom>
      <diagonal/>
    </border>
    <border>
      <left style="medium">
        <color indexed="8"/>
      </left>
      <right style="thin">
        <color indexed="8"/>
      </right>
      <top style="medium">
        <color indexed="8"/>
      </top>
      <bottom/>
      <diagonal/>
    </border>
    <border>
      <left style="thin">
        <color indexed="8"/>
      </left>
      <right style="medium">
        <color indexed="8"/>
      </right>
      <top style="medium">
        <color indexed="8"/>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8"/>
      </top>
      <bottom style="medium">
        <color indexed="8"/>
      </bottom>
      <diagonal/>
    </border>
    <border>
      <left style="medium">
        <color indexed="8"/>
      </left>
      <right style="thin">
        <color indexed="8"/>
      </right>
      <top/>
      <bottom/>
      <diagonal/>
    </border>
    <border>
      <left style="thin">
        <color indexed="8"/>
      </left>
      <right style="thin">
        <color indexed="8"/>
      </right>
      <top/>
      <bottom/>
      <diagonal/>
    </border>
    <border>
      <left style="thin">
        <color indexed="8"/>
      </left>
      <right/>
      <top/>
      <bottom/>
      <diagonal/>
    </border>
    <border>
      <left style="medium">
        <color indexed="8"/>
      </left>
      <right style="medium">
        <color indexed="8"/>
      </right>
      <top/>
      <bottom/>
      <diagonal/>
    </border>
    <border>
      <left style="medium">
        <color indexed="8"/>
      </left>
      <right style="thin">
        <color indexed="8"/>
      </right>
      <top/>
      <bottom style="hair">
        <color rgb="FFE8E8E8"/>
      </bottom>
      <diagonal/>
    </border>
    <border>
      <left style="thin">
        <color indexed="8"/>
      </left>
      <right style="thin">
        <color indexed="8"/>
      </right>
      <top/>
      <bottom style="hair">
        <color rgb="FFE8E8E8"/>
      </bottom>
      <diagonal/>
    </border>
    <border>
      <left style="medium">
        <color indexed="8"/>
      </left>
      <right style="medium">
        <color indexed="8"/>
      </right>
      <top/>
      <bottom style="hair">
        <color rgb="FFE8E8E8"/>
      </bottom>
      <diagonal/>
    </border>
    <border>
      <left style="medium">
        <color indexed="8"/>
      </left>
      <right style="thin">
        <color indexed="8"/>
      </right>
      <top/>
      <bottom style="hair">
        <color rgb="FFD9D9D9"/>
      </bottom>
      <diagonal/>
    </border>
    <border>
      <left style="thin">
        <color indexed="8"/>
      </left>
      <right style="thin">
        <color indexed="8"/>
      </right>
      <top/>
      <bottom style="hair">
        <color rgb="FFD9D9D9"/>
      </bottom>
      <diagonal/>
    </border>
    <border>
      <left style="medium">
        <color indexed="8"/>
      </left>
      <right style="medium">
        <color indexed="8"/>
      </right>
      <top/>
      <bottom style="hair">
        <color rgb="FFD9D9D9"/>
      </bottom>
      <diagonal/>
    </border>
    <border>
      <left style="medium">
        <color indexed="8"/>
      </left>
      <right style="medium">
        <color indexed="8"/>
      </right>
      <top style="medium">
        <color indexed="8"/>
      </top>
      <bottom style="hair">
        <color rgb="FFE8E8E8"/>
      </bottom>
      <diagonal/>
    </border>
    <border>
      <left style="medium">
        <color indexed="8"/>
      </left>
      <right style="thin">
        <color indexed="8"/>
      </right>
      <top style="medium">
        <color indexed="8"/>
      </top>
      <bottom style="hair">
        <color rgb="FFE8E8E8"/>
      </bottom>
      <diagonal/>
    </border>
    <border>
      <left style="thin">
        <color indexed="8"/>
      </left>
      <right style="thin">
        <color indexed="8"/>
      </right>
      <top style="medium">
        <color indexed="8"/>
      </top>
      <bottom style="hair">
        <color rgb="FFE8E8E8"/>
      </bottom>
      <diagonal/>
    </border>
    <border>
      <left style="thin">
        <color indexed="8"/>
      </left>
      <right/>
      <top style="medium">
        <color indexed="8"/>
      </top>
      <bottom style="hair">
        <color rgb="FFE8E8E8"/>
      </bottom>
      <diagonal/>
    </border>
    <border>
      <left style="thin">
        <color indexed="8"/>
      </left>
      <right/>
      <top/>
      <bottom style="hair">
        <color rgb="FFE8E8E8"/>
      </bottom>
      <diagonal/>
    </border>
    <border>
      <left style="thin">
        <color indexed="8"/>
      </left>
      <right/>
      <top/>
      <bottom style="hair">
        <color rgb="FFD9D9D9"/>
      </bottom>
      <diagonal/>
    </border>
    <border>
      <left style="medium">
        <color indexed="8"/>
      </left>
      <right style="thin">
        <color indexed="8"/>
      </right>
      <top style="thin">
        <color indexed="8"/>
      </top>
      <bottom style="hair">
        <color rgb="FFD9D9D9"/>
      </bottom>
      <diagonal/>
    </border>
    <border>
      <left style="thin">
        <color indexed="8"/>
      </left>
      <right style="thin">
        <color indexed="8"/>
      </right>
      <top style="thin">
        <color indexed="8"/>
      </top>
      <bottom style="hair">
        <color rgb="FFD9D9D9"/>
      </bottom>
      <diagonal/>
    </border>
    <border>
      <left style="thin">
        <color indexed="8"/>
      </left>
      <right/>
      <top style="thin">
        <color indexed="8"/>
      </top>
      <bottom style="hair">
        <color rgb="FFD9D9D9"/>
      </bottom>
      <diagonal/>
    </border>
    <border>
      <left style="medium">
        <color indexed="8"/>
      </left>
      <right style="medium">
        <color indexed="8"/>
      </right>
      <top style="thin">
        <color indexed="8"/>
      </top>
      <bottom style="hair">
        <color rgb="FFD9D9D9"/>
      </bottom>
      <diagonal/>
    </border>
    <border>
      <left style="medium">
        <color indexed="8"/>
      </left>
      <right style="thin">
        <color indexed="8"/>
      </right>
      <top style="thin">
        <color indexed="8"/>
      </top>
      <bottom style="hair">
        <color rgb="FFE8E8E8"/>
      </bottom>
      <diagonal/>
    </border>
    <border>
      <left style="thin">
        <color indexed="8"/>
      </left>
      <right style="thin">
        <color indexed="8"/>
      </right>
      <top style="thin">
        <color indexed="8"/>
      </top>
      <bottom style="hair">
        <color rgb="FFE8E8E8"/>
      </bottom>
      <diagonal/>
    </border>
    <border>
      <left style="thin">
        <color indexed="8"/>
      </left>
      <right/>
      <top style="thin">
        <color indexed="8"/>
      </top>
      <bottom style="hair">
        <color rgb="FFE8E8E8"/>
      </bottom>
      <diagonal/>
    </border>
    <border>
      <left style="medium">
        <color indexed="8"/>
      </left>
      <right style="medium">
        <color indexed="8"/>
      </right>
      <top style="thin">
        <color indexed="8"/>
      </top>
      <bottom style="hair">
        <color rgb="FFE8E8E8"/>
      </bottom>
      <diagonal/>
    </border>
    <border>
      <left/>
      <right style="medium">
        <color indexed="8"/>
      </right>
      <top style="medium">
        <color indexed="8"/>
      </top>
      <bottom style="medium">
        <color indexed="8"/>
      </bottom>
      <diagonal/>
    </border>
  </borders>
  <cellStyleXfs count="5">
    <xf numFmtId="0" fontId="0" fillId="0" borderId="0"/>
    <xf numFmtId="9" fontId="6" fillId="0" borderId="0" applyFont="0" applyFill="0" applyBorder="0" applyAlignment="0" applyProtection="0"/>
    <xf numFmtId="0" fontId="9" fillId="0" borderId="0" applyNumberFormat="0" applyFill="0" applyBorder="0" applyAlignment="0" applyProtection="0"/>
    <xf numFmtId="0" fontId="2" fillId="0" borderId="0"/>
    <xf numFmtId="9" fontId="2" fillId="0" borderId="0" applyFont="0" applyFill="0" applyBorder="0" applyAlignment="0" applyProtection="0"/>
  </cellStyleXfs>
  <cellXfs count="283">
    <xf numFmtId="0" fontId="0" fillId="0" borderId="0" xfId="0"/>
    <xf numFmtId="0" fontId="0" fillId="0" borderId="0" xfId="0" applyAlignment="1">
      <alignment horizontal="center"/>
    </xf>
    <xf numFmtId="49" fontId="0" fillId="0" borderId="0" xfId="0" applyNumberFormat="1" applyAlignment="1">
      <alignment horizontal="center"/>
    </xf>
    <xf numFmtId="0" fontId="0" fillId="4" borderId="0" xfId="0" applyFill="1"/>
    <xf numFmtId="0" fontId="0" fillId="5" borderId="5" xfId="0" applyFill="1" applyBorder="1"/>
    <xf numFmtId="0" fontId="0" fillId="5" borderId="8" xfId="0" applyFill="1" applyBorder="1" applyAlignment="1">
      <alignment horizontal="center"/>
    </xf>
    <xf numFmtId="0" fontId="0" fillId="5" borderId="9" xfId="0" applyFill="1" applyBorder="1" applyAlignment="1">
      <alignment horizontal="center"/>
    </xf>
    <xf numFmtId="0" fontId="4" fillId="5" borderId="10" xfId="0" applyFont="1" applyFill="1" applyBorder="1" applyAlignment="1">
      <alignment horizontal="center" vertical="center"/>
    </xf>
    <xf numFmtId="0" fontId="4" fillId="5" borderId="1" xfId="0" applyFont="1" applyFill="1" applyBorder="1" applyAlignment="1">
      <alignment horizontal="center" vertical="center"/>
    </xf>
    <xf numFmtId="0" fontId="4" fillId="5" borderId="7" xfId="0" applyFont="1" applyFill="1" applyBorder="1" applyAlignment="1">
      <alignment horizontal="center" vertical="center"/>
    </xf>
    <xf numFmtId="0" fontId="5" fillId="4" borderId="0" xfId="0" applyFont="1" applyFill="1" applyAlignment="1">
      <alignment horizontal="center"/>
    </xf>
    <xf numFmtId="49" fontId="2" fillId="3" borderId="17" xfId="0" applyNumberFormat="1" applyFont="1" applyFill="1" applyBorder="1" applyAlignment="1" applyProtection="1">
      <alignment horizontal="center"/>
      <protection locked="0"/>
    </xf>
    <xf numFmtId="49" fontId="2" fillId="3" borderId="19" xfId="0" applyNumberFormat="1" applyFont="1" applyFill="1" applyBorder="1" applyAlignment="1" applyProtection="1">
      <alignment horizontal="center"/>
      <protection locked="0"/>
    </xf>
    <xf numFmtId="0" fontId="2" fillId="3" borderId="13" xfId="0" applyFont="1" applyFill="1" applyBorder="1" applyProtection="1">
      <protection locked="0"/>
    </xf>
    <xf numFmtId="0" fontId="2" fillId="3" borderId="14" xfId="0" applyFont="1" applyFill="1" applyBorder="1" applyProtection="1">
      <protection locked="0"/>
    </xf>
    <xf numFmtId="0" fontId="2" fillId="3" borderId="15" xfId="0" applyFont="1" applyFill="1" applyBorder="1" applyProtection="1">
      <protection locked="0"/>
    </xf>
    <xf numFmtId="0" fontId="2" fillId="3" borderId="16" xfId="0" applyFont="1" applyFill="1" applyBorder="1" applyProtection="1">
      <protection locked="0"/>
    </xf>
    <xf numFmtId="0" fontId="3" fillId="5" borderId="1" xfId="0" applyFont="1" applyFill="1" applyBorder="1" applyAlignment="1">
      <alignment horizontal="center"/>
    </xf>
    <xf numFmtId="0" fontId="3" fillId="5" borderId="7" xfId="0" applyFont="1" applyFill="1" applyBorder="1" applyAlignment="1">
      <alignment horizontal="center"/>
    </xf>
    <xf numFmtId="0" fontId="2" fillId="3" borderId="6" xfId="0" applyFont="1" applyFill="1" applyBorder="1" applyAlignment="1">
      <alignment horizontal="centerContinuous"/>
    </xf>
    <xf numFmtId="0" fontId="4" fillId="5" borderId="24" xfId="0" applyFont="1" applyFill="1" applyBorder="1" applyAlignment="1">
      <alignment horizontal="center" vertical="center"/>
    </xf>
    <xf numFmtId="0" fontId="2" fillId="3" borderId="25" xfId="0" applyFont="1" applyFill="1" applyBorder="1" applyAlignment="1">
      <alignment horizontal="centerContinuous"/>
    </xf>
    <xf numFmtId="0" fontId="3" fillId="5" borderId="2" xfId="0" applyFont="1" applyFill="1" applyBorder="1" applyAlignment="1">
      <alignment horizontal="left"/>
    </xf>
    <xf numFmtId="0" fontId="3" fillId="5" borderId="5" xfId="0" applyFont="1" applyFill="1" applyBorder="1" applyAlignment="1">
      <alignment horizontal="left"/>
    </xf>
    <xf numFmtId="0" fontId="3" fillId="5" borderId="23" xfId="0" applyFont="1" applyFill="1" applyBorder="1" applyAlignment="1">
      <alignment horizontal="left"/>
    </xf>
    <xf numFmtId="0" fontId="2" fillId="3" borderId="25" xfId="0" applyFont="1" applyFill="1" applyBorder="1" applyAlignment="1">
      <alignment horizontal="left"/>
    </xf>
    <xf numFmtId="0" fontId="2" fillId="3" borderId="5" xfId="0" applyFont="1" applyFill="1" applyBorder="1" applyAlignment="1" applyProtection="1">
      <alignment horizontal="left"/>
      <protection locked="0"/>
    </xf>
    <xf numFmtId="0" fontId="2" fillId="0" borderId="0" xfId="0" applyFont="1" applyAlignment="1">
      <alignment horizontal="center"/>
    </xf>
    <xf numFmtId="0" fontId="2" fillId="2" borderId="2" xfId="0" applyFont="1" applyFill="1" applyBorder="1" applyAlignment="1">
      <alignment horizontal="center"/>
    </xf>
    <xf numFmtId="49" fontId="2" fillId="2" borderId="3" xfId="0" applyNumberFormat="1" applyFont="1" applyFill="1" applyBorder="1" applyAlignment="1">
      <alignment horizontal="center"/>
    </xf>
    <xf numFmtId="0" fontId="2" fillId="2" borderId="4" xfId="0" applyFont="1" applyFill="1" applyBorder="1" applyAlignment="1">
      <alignment horizontal="center"/>
    </xf>
    <xf numFmtId="0" fontId="2" fillId="0" borderId="0" xfId="0" applyFont="1" applyAlignment="1">
      <alignment vertical="top" wrapText="1"/>
    </xf>
    <xf numFmtId="0" fontId="0" fillId="0" borderId="0" xfId="0" applyAlignment="1">
      <alignment vertical="top" wrapText="1"/>
    </xf>
    <xf numFmtId="0" fontId="2" fillId="3" borderId="20" xfId="0" applyFont="1" applyFill="1" applyBorder="1" applyAlignment="1" applyProtection="1">
      <alignment horizontal="center"/>
      <protection locked="0"/>
    </xf>
    <xf numFmtId="0" fontId="2" fillId="3" borderId="18" xfId="0" applyFont="1" applyFill="1" applyBorder="1" applyAlignment="1" applyProtection="1">
      <alignment horizontal="center"/>
      <protection locked="0"/>
    </xf>
    <xf numFmtId="0" fontId="0" fillId="3" borderId="2" xfId="0" applyFill="1" applyBorder="1" applyAlignment="1" applyProtection="1">
      <alignment horizontal="center"/>
      <protection locked="0"/>
    </xf>
    <xf numFmtId="0" fontId="0" fillId="3" borderId="3" xfId="0" applyFill="1" applyBorder="1" applyAlignment="1" applyProtection="1">
      <alignment horizontal="center"/>
      <protection locked="0"/>
    </xf>
    <xf numFmtId="49" fontId="0" fillId="3" borderId="4" xfId="0" applyNumberFormat="1" applyFill="1" applyBorder="1" applyAlignment="1" applyProtection="1">
      <alignment horizontal="center"/>
      <protection locked="0"/>
    </xf>
    <xf numFmtId="0" fontId="0" fillId="3" borderId="5" xfId="0" applyFill="1" applyBorder="1" applyAlignment="1" applyProtection="1">
      <alignment horizontal="center"/>
      <protection locked="0"/>
    </xf>
    <xf numFmtId="0" fontId="0" fillId="3" borderId="0" xfId="0" applyFill="1" applyAlignment="1" applyProtection="1">
      <alignment horizontal="center"/>
      <protection locked="0"/>
    </xf>
    <xf numFmtId="49" fontId="0" fillId="3" borderId="6" xfId="0" applyNumberFormat="1" applyFill="1" applyBorder="1" applyAlignment="1" applyProtection="1">
      <alignment horizontal="center"/>
      <protection locked="0"/>
    </xf>
    <xf numFmtId="49" fontId="2" fillId="3" borderId="6" xfId="0" applyNumberFormat="1" applyFont="1" applyFill="1" applyBorder="1" applyAlignment="1" applyProtection="1">
      <alignment horizontal="center"/>
      <protection locked="0"/>
    </xf>
    <xf numFmtId="49" fontId="2" fillId="3" borderId="6" xfId="0" quotePrefix="1" applyNumberFormat="1" applyFont="1" applyFill="1" applyBorder="1" applyAlignment="1" applyProtection="1">
      <alignment horizontal="center"/>
      <protection locked="0"/>
    </xf>
    <xf numFmtId="49" fontId="0" fillId="3" borderId="0" xfId="0" applyNumberFormat="1" applyFill="1" applyAlignment="1" applyProtection="1">
      <alignment horizontal="center"/>
      <protection locked="0"/>
    </xf>
    <xf numFmtId="0" fontId="0" fillId="3" borderId="6" xfId="0" applyFill="1" applyBorder="1" applyAlignment="1" applyProtection="1">
      <alignment horizontal="center"/>
      <protection locked="0"/>
    </xf>
    <xf numFmtId="0" fontId="0" fillId="3" borderId="23" xfId="0" applyFill="1" applyBorder="1" applyAlignment="1" applyProtection="1">
      <alignment horizontal="center"/>
      <protection locked="0"/>
    </xf>
    <xf numFmtId="49" fontId="0" fillId="3" borderId="21" xfId="0" applyNumberFormat="1" applyFill="1" applyBorder="1" applyAlignment="1" applyProtection="1">
      <alignment horizontal="center"/>
      <protection locked="0"/>
    </xf>
    <xf numFmtId="0" fontId="0" fillId="3" borderId="22" xfId="0" applyFill="1" applyBorder="1" applyAlignment="1" applyProtection="1">
      <alignment horizontal="center"/>
      <protection locked="0"/>
    </xf>
    <xf numFmtId="0" fontId="2" fillId="5" borderId="5" xfId="0" applyFont="1" applyFill="1" applyBorder="1" applyAlignment="1">
      <alignment vertical="top" wrapText="1"/>
    </xf>
    <xf numFmtId="0" fontId="2" fillId="5" borderId="0" xfId="0" applyFont="1" applyFill="1" applyAlignment="1">
      <alignment vertical="top" wrapText="1"/>
    </xf>
    <xf numFmtId="0" fontId="2" fillId="5" borderId="6" xfId="0" applyFont="1" applyFill="1" applyBorder="1" applyAlignment="1">
      <alignment vertical="top" wrapText="1"/>
    </xf>
    <xf numFmtId="0" fontId="2" fillId="5" borderId="0" xfId="0" applyFont="1" applyFill="1" applyAlignment="1">
      <alignment vertical="top"/>
    </xf>
    <xf numFmtId="0" fontId="2" fillId="6" borderId="5" xfId="0" applyFont="1" applyFill="1" applyBorder="1" applyAlignment="1">
      <alignment vertical="top"/>
    </xf>
    <xf numFmtId="0" fontId="2" fillId="5" borderId="6" xfId="0" applyFont="1" applyFill="1" applyBorder="1" applyAlignment="1">
      <alignment vertical="top"/>
    </xf>
    <xf numFmtId="0" fontId="2" fillId="7" borderId="5" xfId="0" applyFont="1" applyFill="1" applyBorder="1" applyAlignment="1">
      <alignment vertical="top"/>
    </xf>
    <xf numFmtId="0" fontId="2" fillId="5" borderId="23" xfId="0" applyFont="1" applyFill="1" applyBorder="1" applyAlignment="1">
      <alignment vertical="top"/>
    </xf>
    <xf numFmtId="0" fontId="2" fillId="5" borderId="21" xfId="0" applyFont="1" applyFill="1" applyBorder="1" applyAlignment="1">
      <alignment vertical="top"/>
    </xf>
    <xf numFmtId="0" fontId="2" fillId="5" borderId="22" xfId="0" applyFont="1" applyFill="1" applyBorder="1" applyAlignment="1">
      <alignment vertical="top"/>
    </xf>
    <xf numFmtId="0" fontId="2" fillId="8" borderId="5" xfId="0" applyFont="1" applyFill="1" applyBorder="1" applyAlignment="1">
      <alignment vertical="top"/>
    </xf>
    <xf numFmtId="0" fontId="2" fillId="9" borderId="5" xfId="0" applyFont="1" applyFill="1" applyBorder="1" applyAlignment="1">
      <alignment vertical="top"/>
    </xf>
    <xf numFmtId="0" fontId="2" fillId="0" borderId="0" xfId="0" applyFont="1" applyAlignment="1">
      <alignment vertical="top"/>
    </xf>
    <xf numFmtId="0" fontId="0" fillId="0" borderId="0" xfId="0" applyProtection="1">
      <protection locked="0"/>
    </xf>
    <xf numFmtId="0" fontId="0" fillId="13" borderId="36" xfId="0" applyFill="1" applyBorder="1" applyAlignment="1" applyProtection="1">
      <alignment horizontal="center" vertical="center"/>
      <protection locked="0"/>
    </xf>
    <xf numFmtId="0" fontId="0" fillId="13" borderId="38" xfId="0" applyFill="1" applyBorder="1" applyAlignment="1" applyProtection="1">
      <alignment horizontal="center" vertical="center"/>
      <protection locked="0"/>
    </xf>
    <xf numFmtId="0" fontId="0" fillId="13" borderId="39" xfId="0" applyFill="1" applyBorder="1" applyAlignment="1" applyProtection="1">
      <alignment horizontal="center" vertical="center"/>
      <protection locked="0"/>
    </xf>
    <xf numFmtId="0" fontId="0" fillId="13" borderId="40" xfId="0" applyFill="1" applyBorder="1" applyAlignment="1" applyProtection="1">
      <alignment horizontal="center" vertical="center"/>
      <protection locked="0"/>
    </xf>
    <xf numFmtId="0" fontId="0" fillId="13" borderId="41" xfId="0" applyFill="1" applyBorder="1" applyAlignment="1" applyProtection="1">
      <alignment horizontal="center" vertical="center"/>
      <protection locked="0"/>
    </xf>
    <xf numFmtId="0" fontId="0" fillId="13" borderId="42" xfId="0" applyFill="1" applyBorder="1" applyAlignment="1" applyProtection="1">
      <alignment horizontal="center" vertical="center"/>
      <protection locked="0"/>
    </xf>
    <xf numFmtId="9" fontId="0" fillId="12" borderId="31" xfId="1" applyFont="1" applyFill="1" applyBorder="1" applyAlignment="1" applyProtection="1">
      <alignment horizontal="center" vertical="center"/>
    </xf>
    <xf numFmtId="9" fontId="0" fillId="12" borderId="32" xfId="1" applyFont="1" applyFill="1" applyBorder="1" applyAlignment="1" applyProtection="1">
      <alignment horizontal="center" vertical="center"/>
    </xf>
    <xf numFmtId="2" fontId="0" fillId="12" borderId="32" xfId="1" applyNumberFormat="1" applyFont="1" applyFill="1" applyBorder="1" applyAlignment="1" applyProtection="1">
      <alignment horizontal="center" vertical="center"/>
    </xf>
    <xf numFmtId="49" fontId="2" fillId="4" borderId="17" xfId="0" applyNumberFormat="1" applyFont="1" applyFill="1" applyBorder="1" applyAlignment="1" applyProtection="1">
      <alignment horizontal="center"/>
      <protection locked="0"/>
    </xf>
    <xf numFmtId="0" fontId="2" fillId="4" borderId="20" xfId="0" applyFont="1" applyFill="1" applyBorder="1" applyAlignment="1" applyProtection="1">
      <alignment horizontal="center"/>
      <protection locked="0"/>
    </xf>
    <xf numFmtId="49" fontId="2" fillId="4" borderId="19" xfId="0" applyNumberFormat="1" applyFont="1" applyFill="1" applyBorder="1" applyAlignment="1" applyProtection="1">
      <alignment horizontal="center"/>
      <protection locked="0"/>
    </xf>
    <xf numFmtId="0" fontId="2" fillId="4" borderId="18" xfId="0" applyFont="1" applyFill="1" applyBorder="1" applyAlignment="1" applyProtection="1">
      <alignment horizontal="center"/>
      <protection locked="0"/>
    </xf>
    <xf numFmtId="0" fontId="2" fillId="4" borderId="11" xfId="0" applyFont="1" applyFill="1" applyBorder="1" applyProtection="1">
      <protection locked="0"/>
    </xf>
    <xf numFmtId="0" fontId="2" fillId="4" borderId="12" xfId="0" applyFont="1" applyFill="1" applyBorder="1" applyProtection="1">
      <protection locked="0"/>
    </xf>
    <xf numFmtId="0" fontId="2" fillId="4" borderId="13" xfId="0" applyFont="1" applyFill="1" applyBorder="1" applyProtection="1">
      <protection locked="0"/>
    </xf>
    <xf numFmtId="0" fontId="2" fillId="4" borderId="14" xfId="0" applyFont="1" applyFill="1" applyBorder="1" applyProtection="1">
      <protection locked="0"/>
    </xf>
    <xf numFmtId="0" fontId="3" fillId="4" borderId="0" xfId="0" applyFont="1" applyFill="1" applyAlignment="1">
      <alignment horizontal="center"/>
    </xf>
    <xf numFmtId="0" fontId="3" fillId="5" borderId="5" xfId="0" applyFont="1" applyFill="1" applyBorder="1" applyAlignment="1">
      <alignment vertical="top" wrapText="1"/>
    </xf>
    <xf numFmtId="2" fontId="0" fillId="12" borderId="33" xfId="1" applyNumberFormat="1" applyFont="1" applyFill="1" applyBorder="1" applyAlignment="1" applyProtection="1">
      <alignment horizontal="center" vertical="center"/>
    </xf>
    <xf numFmtId="1" fontId="4" fillId="4" borderId="0" xfId="0" applyNumberFormat="1" applyFont="1" applyFill="1" applyAlignment="1">
      <alignment horizontal="center"/>
    </xf>
    <xf numFmtId="0" fontId="2" fillId="3" borderId="0" xfId="0" applyFont="1" applyFill="1" applyAlignment="1" applyProtection="1">
      <alignment horizontal="left"/>
      <protection locked="0"/>
    </xf>
    <xf numFmtId="0" fontId="4" fillId="4" borderId="0" xfId="0" applyFont="1" applyFill="1" applyAlignment="1">
      <alignment horizontal="center"/>
    </xf>
    <xf numFmtId="0" fontId="4" fillId="4" borderId="5" xfId="0" applyFont="1" applyFill="1" applyBorder="1" applyAlignment="1">
      <alignment horizontal="center"/>
    </xf>
    <xf numFmtId="0" fontId="4" fillId="4" borderId="46" xfId="0" applyFont="1" applyFill="1" applyBorder="1" applyAlignment="1">
      <alignment horizontal="center"/>
    </xf>
    <xf numFmtId="1" fontId="4" fillId="4" borderId="25" xfId="0" applyNumberFormat="1" applyFont="1" applyFill="1" applyBorder="1" applyAlignment="1">
      <alignment horizontal="center"/>
    </xf>
    <xf numFmtId="49" fontId="2" fillId="3" borderId="49" xfId="0" applyNumberFormat="1" applyFont="1" applyFill="1" applyBorder="1" applyAlignment="1" applyProtection="1">
      <alignment horizontal="center"/>
      <protection locked="0"/>
    </xf>
    <xf numFmtId="0" fontId="2" fillId="3" borderId="50" xfId="0" applyFont="1" applyFill="1" applyBorder="1" applyAlignment="1" applyProtection="1">
      <alignment horizontal="center"/>
      <protection locked="0"/>
    </xf>
    <xf numFmtId="49" fontId="2" fillId="3" borderId="51" xfId="0" applyNumberFormat="1" applyFont="1" applyFill="1" applyBorder="1" applyAlignment="1" applyProtection="1">
      <alignment horizontal="center"/>
      <protection locked="0"/>
    </xf>
    <xf numFmtId="0" fontId="2" fillId="3" borderId="52" xfId="0" applyFont="1" applyFill="1" applyBorder="1" applyAlignment="1" applyProtection="1">
      <alignment horizontal="center"/>
      <protection locked="0"/>
    </xf>
    <xf numFmtId="0" fontId="0" fillId="5" borderId="23" xfId="0" applyFill="1" applyBorder="1"/>
    <xf numFmtId="1" fontId="11" fillId="3" borderId="6" xfId="0" applyNumberFormat="1" applyFont="1" applyFill="1" applyBorder="1" applyAlignment="1" applyProtection="1">
      <alignment horizontal="center"/>
      <protection locked="0"/>
    </xf>
    <xf numFmtId="0" fontId="3" fillId="4" borderId="0" xfId="0" applyFont="1" applyFill="1"/>
    <xf numFmtId="0" fontId="3" fillId="5" borderId="5" xfId="0" quotePrefix="1" applyFont="1" applyFill="1" applyBorder="1" applyAlignment="1">
      <alignment vertical="top" wrapText="1"/>
    </xf>
    <xf numFmtId="0" fontId="0" fillId="10" borderId="0" xfId="0" applyFill="1"/>
    <xf numFmtId="0" fontId="3" fillId="11" borderId="27" xfId="0" applyFont="1" applyFill="1" applyBorder="1" applyAlignment="1">
      <alignment horizontal="left" vertical="center"/>
    </xf>
    <xf numFmtId="0" fontId="3" fillId="11" borderId="28" xfId="0" applyFont="1" applyFill="1" applyBorder="1" applyAlignment="1">
      <alignment horizontal="left" vertical="center"/>
    </xf>
    <xf numFmtId="0" fontId="3" fillId="11" borderId="28" xfId="0" applyFont="1" applyFill="1" applyBorder="1" applyAlignment="1">
      <alignment horizontal="right" vertical="center"/>
    </xf>
    <xf numFmtId="0" fontId="3" fillId="11" borderId="30" xfId="0" applyFont="1" applyFill="1" applyBorder="1" applyAlignment="1">
      <alignment horizontal="right" vertical="center"/>
    </xf>
    <xf numFmtId="0" fontId="1" fillId="11" borderId="26" xfId="0" applyFont="1" applyFill="1" applyBorder="1" applyAlignment="1">
      <alignment horizontal="centerContinuous" vertical="center"/>
    </xf>
    <xf numFmtId="0" fontId="1" fillId="11" borderId="0" xfId="0" applyFont="1" applyFill="1" applyAlignment="1">
      <alignment horizontal="centerContinuous" vertical="center"/>
    </xf>
    <xf numFmtId="0" fontId="1" fillId="11" borderId="29" xfId="0" applyFont="1" applyFill="1" applyBorder="1" applyAlignment="1">
      <alignment horizontal="centerContinuous" vertical="center"/>
    </xf>
    <xf numFmtId="0" fontId="1" fillId="11" borderId="32" xfId="0" applyFont="1" applyFill="1" applyBorder="1" applyAlignment="1">
      <alignment horizontal="centerContinuous" vertical="center"/>
    </xf>
    <xf numFmtId="0" fontId="1" fillId="11" borderId="33" xfId="0" applyFont="1" applyFill="1" applyBorder="1" applyAlignment="1">
      <alignment horizontal="centerContinuous" vertical="center"/>
    </xf>
    <xf numFmtId="0" fontId="0" fillId="12" borderId="27" xfId="0" applyFill="1" applyBorder="1"/>
    <xf numFmtId="0" fontId="0" fillId="12" borderId="26" xfId="0" applyFill="1" applyBorder="1"/>
    <xf numFmtId="0" fontId="0" fillId="12" borderId="30" xfId="0" applyFill="1" applyBorder="1"/>
    <xf numFmtId="0" fontId="0" fillId="12" borderId="29" xfId="0" applyFill="1" applyBorder="1"/>
    <xf numFmtId="0" fontId="0" fillId="12" borderId="26" xfId="0" applyFill="1" applyBorder="1" applyAlignment="1">
      <alignment horizontal="center"/>
    </xf>
    <xf numFmtId="0" fontId="0" fillId="12" borderId="34" xfId="0" applyFill="1" applyBorder="1" applyAlignment="1">
      <alignment horizontal="center"/>
    </xf>
    <xf numFmtId="0" fontId="0" fillId="12" borderId="35" xfId="0" applyFill="1" applyBorder="1" applyAlignment="1">
      <alignment horizontal="center"/>
    </xf>
    <xf numFmtId="0" fontId="0" fillId="12" borderId="36" xfId="0" applyFill="1" applyBorder="1"/>
    <xf numFmtId="0" fontId="0" fillId="14" borderId="36" xfId="0" applyFill="1" applyBorder="1"/>
    <xf numFmtId="0" fontId="0" fillId="12" borderId="37" xfId="0" applyFill="1" applyBorder="1" applyAlignment="1">
      <alignment horizontal="center" vertical="center"/>
    </xf>
    <xf numFmtId="0" fontId="0" fillId="12" borderId="56" xfId="0" applyFill="1" applyBorder="1" applyAlignment="1">
      <alignment horizontal="center" vertical="center"/>
    </xf>
    <xf numFmtId="0" fontId="0" fillId="14" borderId="56" xfId="0" applyFill="1" applyBorder="1" applyAlignment="1">
      <alignment horizontal="center" vertical="center"/>
    </xf>
    <xf numFmtId="49" fontId="0" fillId="12" borderId="35" xfId="0" applyNumberFormat="1" applyFill="1" applyBorder="1" applyAlignment="1">
      <alignment horizontal="center"/>
    </xf>
    <xf numFmtId="1" fontId="0" fillId="12" borderId="34" xfId="0" applyNumberFormat="1" applyFill="1" applyBorder="1" applyAlignment="1">
      <alignment horizontal="center"/>
    </xf>
    <xf numFmtId="0" fontId="0" fillId="12" borderId="27" xfId="0" applyFill="1" applyBorder="1" applyAlignment="1">
      <alignment horizontal="center"/>
    </xf>
    <xf numFmtId="0" fontId="0" fillId="12" borderId="37" xfId="0" applyFill="1" applyBorder="1" applyAlignment="1">
      <alignment horizontal="center"/>
    </xf>
    <xf numFmtId="0" fontId="0" fillId="12" borderId="30" xfId="0" applyFill="1" applyBorder="1" applyAlignment="1">
      <alignment horizontal="center"/>
    </xf>
    <xf numFmtId="0" fontId="0" fillId="12" borderId="29" xfId="0" applyFill="1" applyBorder="1" applyAlignment="1">
      <alignment horizontal="center"/>
    </xf>
    <xf numFmtId="0" fontId="0" fillId="12" borderId="36" xfId="0" applyFill="1" applyBorder="1" applyAlignment="1">
      <alignment horizontal="center" vertical="center"/>
    </xf>
    <xf numFmtId="0" fontId="0" fillId="12" borderId="38" xfId="0" applyFill="1" applyBorder="1" applyAlignment="1">
      <alignment horizontal="center" vertical="center"/>
    </xf>
    <xf numFmtId="0" fontId="0" fillId="14" borderId="36" xfId="0" applyFill="1" applyBorder="1" applyAlignment="1">
      <alignment horizontal="center" vertical="center"/>
    </xf>
    <xf numFmtId="0" fontId="0" fillId="14" borderId="37" xfId="0" applyFill="1" applyBorder="1" applyAlignment="1">
      <alignment horizontal="center" vertical="center"/>
    </xf>
    <xf numFmtId="0" fontId="0" fillId="12" borderId="55" xfId="0" applyFill="1" applyBorder="1" applyAlignment="1">
      <alignment horizontal="center" vertical="center"/>
    </xf>
    <xf numFmtId="0" fontId="0" fillId="14" borderId="55" xfId="0" applyFill="1" applyBorder="1" applyAlignment="1">
      <alignment horizontal="center" vertical="center"/>
    </xf>
    <xf numFmtId="0" fontId="0" fillId="12" borderId="38" xfId="0" applyFill="1" applyBorder="1"/>
    <xf numFmtId="0" fontId="0" fillId="12" borderId="41" xfId="0" applyFill="1" applyBorder="1"/>
    <xf numFmtId="0" fontId="0" fillId="12" borderId="41" xfId="0" applyFill="1" applyBorder="1" applyAlignment="1">
      <alignment horizontal="center" vertical="center"/>
    </xf>
    <xf numFmtId="0" fontId="0" fillId="12" borderId="43" xfId="0" applyFill="1" applyBorder="1"/>
    <xf numFmtId="0" fontId="0" fillId="14" borderId="44" xfId="0" applyFill="1" applyBorder="1"/>
    <xf numFmtId="0" fontId="0" fillId="12" borderId="44" xfId="0" applyFill="1" applyBorder="1"/>
    <xf numFmtId="0" fontId="0" fillId="12" borderId="45" xfId="0" applyFill="1" applyBorder="1"/>
    <xf numFmtId="1" fontId="0" fillId="12" borderId="27" xfId="0" applyNumberFormat="1" applyFill="1" applyBorder="1" applyAlignment="1">
      <alignment horizontal="center"/>
    </xf>
    <xf numFmtId="0" fontId="0" fillId="12" borderId="34" xfId="0" applyFill="1" applyBorder="1" applyAlignment="1">
      <alignment horizontal="center" wrapText="1"/>
    </xf>
    <xf numFmtId="0" fontId="0" fillId="6" borderId="55" xfId="0" applyFill="1" applyBorder="1" applyAlignment="1">
      <alignment horizontal="center" vertical="center"/>
    </xf>
    <xf numFmtId="0" fontId="0" fillId="6" borderId="56" xfId="0" applyFill="1" applyBorder="1" applyAlignment="1">
      <alignment horizontal="center" vertical="center"/>
    </xf>
    <xf numFmtId="0" fontId="0" fillId="8" borderId="55" xfId="0" applyFill="1" applyBorder="1" applyAlignment="1">
      <alignment horizontal="center" vertical="center"/>
    </xf>
    <xf numFmtId="0" fontId="0" fillId="8" borderId="56" xfId="0" applyFill="1" applyBorder="1" applyAlignment="1">
      <alignment horizontal="center" vertical="center"/>
    </xf>
    <xf numFmtId="0" fontId="0" fillId="9" borderId="55" xfId="0" applyFill="1" applyBorder="1" applyAlignment="1">
      <alignment horizontal="center" vertical="center"/>
    </xf>
    <xf numFmtId="0" fontId="0" fillId="9" borderId="56" xfId="0" applyFill="1" applyBorder="1" applyAlignment="1">
      <alignment horizontal="center" vertical="center"/>
    </xf>
    <xf numFmtId="0" fontId="0" fillId="7" borderId="55" xfId="0" applyFill="1" applyBorder="1" applyAlignment="1">
      <alignment horizontal="center" vertical="center"/>
    </xf>
    <xf numFmtId="0" fontId="0" fillId="7" borderId="56" xfId="0" applyFill="1" applyBorder="1" applyAlignment="1">
      <alignment horizontal="center" vertical="center"/>
    </xf>
    <xf numFmtId="0" fontId="0" fillId="7" borderId="54" xfId="0" applyFill="1" applyBorder="1" applyAlignment="1">
      <alignment horizontal="center" vertical="center"/>
    </xf>
    <xf numFmtId="0" fontId="0" fillId="7" borderId="53" xfId="0" applyFill="1" applyBorder="1" applyAlignment="1">
      <alignment horizontal="center" vertical="center"/>
    </xf>
    <xf numFmtId="0" fontId="13" fillId="4" borderId="5" xfId="0" applyFont="1" applyFill="1" applyBorder="1" applyAlignment="1">
      <alignment horizontal="center" vertical="center"/>
    </xf>
    <xf numFmtId="0" fontId="13" fillId="4" borderId="23" xfId="0" applyFont="1" applyFill="1" applyBorder="1" applyAlignment="1">
      <alignment horizontal="center" vertical="center"/>
    </xf>
    <xf numFmtId="0" fontId="13" fillId="3" borderId="58" xfId="0" applyFont="1" applyFill="1" applyBorder="1" applyAlignment="1" applyProtection="1">
      <alignment horizontal="center" vertical="center"/>
      <protection locked="0"/>
    </xf>
    <xf numFmtId="0" fontId="4" fillId="13" borderId="62" xfId="0" applyFont="1" applyFill="1" applyBorder="1" applyAlignment="1" applyProtection="1">
      <alignment horizontal="center" vertical="center"/>
      <protection locked="0"/>
    </xf>
    <xf numFmtId="0" fontId="4" fillId="13" borderId="63" xfId="0" applyFont="1" applyFill="1" applyBorder="1" applyAlignment="1" applyProtection="1">
      <alignment horizontal="center" vertical="center"/>
      <protection locked="0"/>
    </xf>
    <xf numFmtId="0" fontId="0" fillId="12" borderId="72" xfId="0" applyFill="1" applyBorder="1"/>
    <xf numFmtId="0" fontId="0" fillId="12" borderId="73" xfId="0" applyFill="1" applyBorder="1"/>
    <xf numFmtId="0" fontId="0" fillId="12" borderId="71" xfId="0" applyFill="1" applyBorder="1" applyAlignment="1">
      <alignment horizontal="center" vertical="center"/>
    </xf>
    <xf numFmtId="0" fontId="4" fillId="13" borderId="66" xfId="0" applyFont="1" applyFill="1" applyBorder="1" applyAlignment="1" applyProtection="1">
      <alignment horizontal="center" vertical="center"/>
      <protection locked="0"/>
    </xf>
    <xf numFmtId="0" fontId="4" fillId="15" borderId="66" xfId="0" applyFont="1" applyFill="1" applyBorder="1" applyAlignment="1" applyProtection="1">
      <alignment horizontal="center" vertical="center"/>
      <protection locked="0"/>
    </xf>
    <xf numFmtId="0" fontId="4" fillId="16" borderId="66" xfId="0" applyFont="1" applyFill="1" applyBorder="1" applyAlignment="1" applyProtection="1">
      <alignment horizontal="center" vertical="center"/>
      <protection locked="0"/>
    </xf>
    <xf numFmtId="0" fontId="4" fillId="13" borderId="75" xfId="0" applyFont="1" applyFill="1" applyBorder="1" applyAlignment="1" applyProtection="1">
      <alignment horizontal="center" vertical="center"/>
      <protection locked="0"/>
    </xf>
    <xf numFmtId="0" fontId="4" fillId="15" borderId="62" xfId="0" applyFont="1" applyFill="1" applyBorder="1" applyAlignment="1" applyProtection="1">
      <alignment horizontal="center" vertical="center"/>
      <protection locked="0"/>
    </xf>
    <xf numFmtId="0" fontId="4" fillId="15" borderId="63" xfId="0" applyFont="1" applyFill="1" applyBorder="1" applyAlignment="1" applyProtection="1">
      <alignment horizontal="center" vertical="center"/>
      <protection locked="0"/>
    </xf>
    <xf numFmtId="0" fontId="4" fillId="13" borderId="69" xfId="0" applyFont="1" applyFill="1" applyBorder="1" applyAlignment="1" applyProtection="1">
      <alignment horizontal="center" vertical="center"/>
      <protection locked="0"/>
    </xf>
    <xf numFmtId="0" fontId="4" fillId="16" borderId="69" xfId="0" applyFont="1" applyFill="1" applyBorder="1" applyAlignment="1" applyProtection="1">
      <alignment horizontal="center" vertical="center"/>
      <protection locked="0"/>
    </xf>
    <xf numFmtId="0" fontId="4" fillId="15" borderId="69" xfId="0" applyFont="1" applyFill="1" applyBorder="1" applyAlignment="1" applyProtection="1">
      <alignment horizontal="center" vertical="center"/>
      <protection locked="0"/>
    </xf>
    <xf numFmtId="0" fontId="4" fillId="13" borderId="76" xfId="0" applyFont="1" applyFill="1" applyBorder="1" applyAlignment="1" applyProtection="1">
      <alignment horizontal="center" vertical="center"/>
      <protection locked="0"/>
    </xf>
    <xf numFmtId="0" fontId="0" fillId="14" borderId="77" xfId="0" applyFill="1" applyBorder="1"/>
    <xf numFmtId="0" fontId="0" fillId="14" borderId="78" xfId="0" applyFill="1" applyBorder="1"/>
    <xf numFmtId="0" fontId="0" fillId="14" borderId="80" xfId="0" applyFill="1" applyBorder="1" applyAlignment="1">
      <alignment horizontal="center" vertical="center"/>
    </xf>
    <xf numFmtId="0" fontId="0" fillId="12" borderId="81" xfId="0" applyFill="1" applyBorder="1"/>
    <xf numFmtId="0" fontId="0" fillId="12" borderId="82" xfId="0" applyFill="1" applyBorder="1"/>
    <xf numFmtId="0" fontId="0" fillId="12" borderId="84" xfId="0" applyFill="1" applyBorder="1" applyAlignment="1">
      <alignment horizontal="center" vertical="center"/>
    </xf>
    <xf numFmtId="9" fontId="0" fillId="12" borderId="37" xfId="0" applyNumberFormat="1" applyFill="1" applyBorder="1" applyAlignment="1">
      <alignment horizontal="center" vertical="center"/>
    </xf>
    <xf numFmtId="9" fontId="0" fillId="12" borderId="60" xfId="0" applyNumberFormat="1" applyFill="1" applyBorder="1" applyAlignment="1">
      <alignment horizontal="center" vertical="center"/>
    </xf>
    <xf numFmtId="9" fontId="0" fillId="12" borderId="85" xfId="0" applyNumberFormat="1" applyFill="1" applyBorder="1" applyAlignment="1">
      <alignment horizontal="center" vertical="center"/>
    </xf>
    <xf numFmtId="0" fontId="2" fillId="13" borderId="73" xfId="0" applyFont="1" applyFill="1" applyBorder="1" applyAlignment="1" applyProtection="1">
      <alignment horizontal="center" vertical="center"/>
      <protection locked="0"/>
    </xf>
    <xf numFmtId="0" fontId="2" fillId="13" borderId="74" xfId="0" applyFont="1" applyFill="1" applyBorder="1" applyAlignment="1" applyProtection="1">
      <alignment horizontal="center" vertical="center"/>
      <protection locked="0"/>
    </xf>
    <xf numFmtId="0" fontId="2" fillId="13" borderId="78" xfId="0" applyFont="1" applyFill="1" applyBorder="1" applyAlignment="1" applyProtection="1">
      <alignment horizontal="center" vertical="center"/>
      <protection locked="0"/>
    </xf>
    <xf numFmtId="0" fontId="2" fillId="13" borderId="79" xfId="0" applyFont="1" applyFill="1" applyBorder="1" applyAlignment="1" applyProtection="1">
      <alignment horizontal="center" vertical="center"/>
      <protection locked="0"/>
    </xf>
    <xf numFmtId="0" fontId="2" fillId="13" borderId="82" xfId="0" applyFont="1" applyFill="1" applyBorder="1" applyAlignment="1" applyProtection="1">
      <alignment horizontal="center" vertical="center"/>
      <protection locked="0"/>
    </xf>
    <xf numFmtId="0" fontId="2" fillId="13" borderId="83" xfId="0" applyFont="1" applyFill="1" applyBorder="1" applyAlignment="1" applyProtection="1">
      <alignment horizontal="center" vertical="center"/>
      <protection locked="0"/>
    </xf>
    <xf numFmtId="0" fontId="3" fillId="4" borderId="2" xfId="0" applyFont="1" applyFill="1" applyBorder="1" applyAlignment="1">
      <alignment horizontal="center" vertical="center"/>
    </xf>
    <xf numFmtId="0" fontId="3" fillId="4" borderId="3" xfId="0" applyFont="1" applyFill="1" applyBorder="1" applyAlignment="1">
      <alignment horizontal="center" vertical="center"/>
    </xf>
    <xf numFmtId="0" fontId="3" fillId="4" borderId="4" xfId="0" applyFont="1" applyFill="1" applyBorder="1" applyAlignment="1">
      <alignment horizontal="center" vertical="center"/>
    </xf>
    <xf numFmtId="0" fontId="3" fillId="4" borderId="10" xfId="0" applyFont="1" applyFill="1" applyBorder="1" applyAlignment="1">
      <alignment horizontal="center" vertical="center"/>
    </xf>
    <xf numFmtId="0" fontId="3" fillId="4" borderId="1" xfId="0" applyFont="1" applyFill="1" applyBorder="1" applyAlignment="1">
      <alignment horizontal="center" vertical="center"/>
    </xf>
    <xf numFmtId="0" fontId="3" fillId="4" borderId="7" xfId="0" applyFont="1" applyFill="1" applyBorder="1" applyAlignment="1">
      <alignment horizontal="center" vertical="center"/>
    </xf>
    <xf numFmtId="0" fontId="4" fillId="4" borderId="57" xfId="0" applyFont="1" applyFill="1" applyBorder="1" applyAlignment="1">
      <alignment horizontal="left"/>
    </xf>
    <xf numFmtId="0" fontId="4" fillId="4" borderId="59" xfId="0" applyFont="1" applyFill="1" applyBorder="1" applyAlignment="1">
      <alignment horizontal="left"/>
    </xf>
    <xf numFmtId="0" fontId="0" fillId="4" borderId="0" xfId="0" applyFill="1" applyAlignment="1">
      <alignment horizontal="left"/>
    </xf>
    <xf numFmtId="0" fontId="0" fillId="4" borderId="6" xfId="0" applyFill="1" applyBorder="1" applyAlignment="1">
      <alignment horizontal="left"/>
    </xf>
    <xf numFmtId="0" fontId="1" fillId="2" borderId="2" xfId="0" applyFont="1" applyFill="1" applyBorder="1" applyAlignment="1">
      <alignment horizontal="center" vertical="center"/>
    </xf>
    <xf numFmtId="0" fontId="1" fillId="2" borderId="3" xfId="0" applyFont="1" applyFill="1" applyBorder="1" applyAlignment="1">
      <alignment horizontal="center" vertical="center"/>
    </xf>
    <xf numFmtId="0" fontId="1" fillId="2" borderId="4" xfId="0" applyFont="1" applyFill="1" applyBorder="1" applyAlignment="1">
      <alignment horizontal="center" vertical="center"/>
    </xf>
    <xf numFmtId="0" fontId="1" fillId="2" borderId="5" xfId="0" applyFont="1" applyFill="1" applyBorder="1" applyAlignment="1">
      <alignment horizontal="center" vertical="center"/>
    </xf>
    <xf numFmtId="0" fontId="1" fillId="2" borderId="0" xfId="0" applyFont="1" applyFill="1" applyAlignment="1">
      <alignment horizontal="center" vertical="center"/>
    </xf>
    <xf numFmtId="0" fontId="1" fillId="2" borderId="6" xfId="0" applyFont="1" applyFill="1" applyBorder="1" applyAlignment="1">
      <alignment horizontal="center" vertical="center"/>
    </xf>
    <xf numFmtId="0" fontId="2" fillId="5" borderId="0" xfId="0" applyFont="1" applyFill="1" applyAlignment="1">
      <alignment vertical="top" wrapText="1"/>
    </xf>
    <xf numFmtId="0" fontId="2" fillId="5" borderId="6" xfId="0" applyFont="1" applyFill="1" applyBorder="1" applyAlignment="1">
      <alignment vertical="top" wrapText="1"/>
    </xf>
    <xf numFmtId="0" fontId="2" fillId="5" borderId="21" xfId="0" applyFont="1" applyFill="1" applyBorder="1" applyAlignment="1">
      <alignment vertical="top" wrapText="1"/>
    </xf>
    <xf numFmtId="0" fontId="2" fillId="5" borderId="22" xfId="0" applyFont="1" applyFill="1" applyBorder="1" applyAlignment="1">
      <alignment vertical="top" wrapText="1"/>
    </xf>
    <xf numFmtId="0" fontId="2" fillId="3" borderId="0" xfId="0" applyFont="1" applyFill="1" applyAlignment="1" applyProtection="1">
      <alignment horizontal="left"/>
      <protection locked="0"/>
    </xf>
    <xf numFmtId="0" fontId="2" fillId="3" borderId="6" xfId="0" applyFont="1" applyFill="1" applyBorder="1" applyAlignment="1" applyProtection="1">
      <alignment horizontal="left"/>
      <protection locked="0"/>
    </xf>
    <xf numFmtId="49" fontId="4" fillId="4" borderId="47" xfId="0" applyNumberFormat="1" applyFont="1" applyFill="1" applyBorder="1" applyAlignment="1">
      <alignment horizontal="center"/>
    </xf>
    <xf numFmtId="49" fontId="4" fillId="4" borderId="22" xfId="0" applyNumberFormat="1" applyFont="1" applyFill="1" applyBorder="1" applyAlignment="1">
      <alignment horizontal="center"/>
    </xf>
    <xf numFmtId="0" fontId="2" fillId="3" borderId="21" xfId="0" applyFont="1" applyFill="1" applyBorder="1" applyAlignment="1" applyProtection="1">
      <alignment horizontal="left"/>
      <protection locked="0"/>
    </xf>
    <xf numFmtId="0" fontId="2" fillId="3" borderId="22" xfId="0" applyFont="1" applyFill="1" applyBorder="1" applyAlignment="1" applyProtection="1">
      <alignment horizontal="left"/>
      <protection locked="0"/>
    </xf>
    <xf numFmtId="0" fontId="4" fillId="5" borderId="2" xfId="0" applyFont="1" applyFill="1" applyBorder="1" applyAlignment="1">
      <alignment horizontal="left" vertical="center" wrapText="1"/>
    </xf>
    <xf numFmtId="0" fontId="4" fillId="5" borderId="3" xfId="0" applyFont="1" applyFill="1" applyBorder="1" applyAlignment="1">
      <alignment horizontal="left" vertical="center" wrapText="1"/>
    </xf>
    <xf numFmtId="0" fontId="4" fillId="5" borderId="4" xfId="0" applyFont="1" applyFill="1" applyBorder="1" applyAlignment="1">
      <alignment horizontal="left" vertical="center" wrapText="1"/>
    </xf>
    <xf numFmtId="0" fontId="4" fillId="5" borderId="23" xfId="0" applyFont="1" applyFill="1" applyBorder="1" applyAlignment="1">
      <alignment horizontal="left" vertical="center" wrapText="1"/>
    </xf>
    <xf numFmtId="0" fontId="4" fillId="5" borderId="21" xfId="0" applyFont="1" applyFill="1" applyBorder="1" applyAlignment="1">
      <alignment horizontal="left" vertical="center" wrapText="1"/>
    </xf>
    <xf numFmtId="0" fontId="4" fillId="5" borderId="22" xfId="0" applyFont="1" applyFill="1" applyBorder="1" applyAlignment="1">
      <alignment horizontal="left" vertical="center" wrapText="1"/>
    </xf>
    <xf numFmtId="0" fontId="3" fillId="5" borderId="2" xfId="0" applyFont="1" applyFill="1" applyBorder="1" applyAlignment="1">
      <alignment horizontal="left" vertical="top" wrapText="1"/>
    </xf>
    <xf numFmtId="0" fontId="3" fillId="5" borderId="3" xfId="0" applyFont="1" applyFill="1" applyBorder="1" applyAlignment="1">
      <alignment horizontal="left" vertical="top" wrapText="1"/>
    </xf>
    <xf numFmtId="0" fontId="3" fillId="5" borderId="4" xfId="0" applyFont="1" applyFill="1" applyBorder="1" applyAlignment="1">
      <alignment horizontal="left" vertical="top" wrapText="1"/>
    </xf>
    <xf numFmtId="0" fontId="2" fillId="5" borderId="2" xfId="0" applyFont="1" applyFill="1" applyBorder="1" applyAlignment="1">
      <alignment horizontal="left" vertical="top" wrapText="1"/>
    </xf>
    <xf numFmtId="0" fontId="2" fillId="5" borderId="3" xfId="0" applyFont="1" applyFill="1" applyBorder="1" applyAlignment="1">
      <alignment horizontal="left" vertical="top" wrapText="1"/>
    </xf>
    <xf numFmtId="0" fontId="2" fillId="5" borderId="4" xfId="0" applyFont="1" applyFill="1" applyBorder="1" applyAlignment="1">
      <alignment horizontal="left" vertical="top" wrapText="1"/>
    </xf>
    <xf numFmtId="0" fontId="2" fillId="5" borderId="5" xfId="0" applyFont="1" applyFill="1" applyBorder="1" applyAlignment="1">
      <alignment horizontal="left" vertical="top" wrapText="1"/>
    </xf>
    <xf numFmtId="0" fontId="2" fillId="5" borderId="0" xfId="0" applyFont="1" applyFill="1" applyAlignment="1">
      <alignment horizontal="left" vertical="top" wrapText="1"/>
    </xf>
    <xf numFmtId="0" fontId="2" fillId="5" borderId="6" xfId="0" applyFont="1" applyFill="1" applyBorder="1" applyAlignment="1">
      <alignment horizontal="left" vertical="top" wrapText="1"/>
    </xf>
    <xf numFmtId="0" fontId="2" fillId="5" borderId="23" xfId="0" applyFont="1" applyFill="1" applyBorder="1" applyAlignment="1">
      <alignment horizontal="left" vertical="top" wrapText="1"/>
    </xf>
    <xf numFmtId="0" fontId="2" fillId="5" borderId="21" xfId="0" applyFont="1" applyFill="1" applyBorder="1" applyAlignment="1">
      <alignment horizontal="left" vertical="top" wrapText="1"/>
    </xf>
    <xf numFmtId="0" fontId="2" fillId="5" borderId="22" xfId="0" applyFont="1" applyFill="1" applyBorder="1" applyAlignment="1">
      <alignment horizontal="left" vertical="top" wrapText="1"/>
    </xf>
    <xf numFmtId="14" fontId="2" fillId="3" borderId="3" xfId="0" applyNumberFormat="1" applyFont="1" applyFill="1" applyBorder="1" applyAlignment="1" applyProtection="1">
      <alignment horizontal="left"/>
      <protection locked="0"/>
    </xf>
    <xf numFmtId="14" fontId="2" fillId="3" borderId="4" xfId="0" applyNumberFormat="1" applyFont="1" applyFill="1" applyBorder="1" applyAlignment="1" applyProtection="1">
      <alignment horizontal="left"/>
      <protection locked="0"/>
    </xf>
    <xf numFmtId="0" fontId="9" fillId="5" borderId="2" xfId="2" applyFill="1" applyBorder="1" applyAlignment="1" applyProtection="1">
      <alignment horizontal="center"/>
      <protection locked="0"/>
    </xf>
    <xf numFmtId="0" fontId="9" fillId="5" borderId="3" xfId="2" applyFill="1" applyBorder="1" applyAlignment="1" applyProtection="1">
      <alignment horizontal="center"/>
      <protection locked="0"/>
    </xf>
    <xf numFmtId="0" fontId="9" fillId="5" borderId="4" xfId="2" applyFill="1" applyBorder="1" applyAlignment="1" applyProtection="1">
      <alignment horizontal="center"/>
      <protection locked="0"/>
    </xf>
    <xf numFmtId="0" fontId="9" fillId="5" borderId="5" xfId="2" applyFill="1" applyBorder="1" applyAlignment="1" applyProtection="1">
      <alignment horizontal="center"/>
      <protection locked="0"/>
    </xf>
    <xf numFmtId="0" fontId="9" fillId="5" borderId="0" xfId="2" applyFill="1" applyBorder="1" applyAlignment="1" applyProtection="1">
      <alignment horizontal="center"/>
      <protection locked="0"/>
    </xf>
    <xf numFmtId="0" fontId="9" fillId="5" borderId="6" xfId="2" applyFill="1" applyBorder="1" applyAlignment="1" applyProtection="1">
      <alignment horizontal="center"/>
      <protection locked="0"/>
    </xf>
    <xf numFmtId="0" fontId="12" fillId="5" borderId="23" xfId="0" applyFont="1" applyFill="1" applyBorder="1" applyAlignment="1" applyProtection="1">
      <alignment horizontal="center"/>
      <protection locked="0"/>
    </xf>
    <xf numFmtId="0" fontId="3" fillId="5" borderId="21" xfId="0" applyFont="1" applyFill="1" applyBorder="1" applyAlignment="1" applyProtection="1">
      <alignment horizontal="center"/>
      <protection locked="0"/>
    </xf>
    <xf numFmtId="0" fontId="3" fillId="5" borderId="22" xfId="0" applyFont="1" applyFill="1" applyBorder="1" applyAlignment="1" applyProtection="1">
      <alignment horizontal="center"/>
      <protection locked="0"/>
    </xf>
    <xf numFmtId="0" fontId="1" fillId="2" borderId="2" xfId="0" applyFont="1" applyFill="1" applyBorder="1" applyAlignment="1" applyProtection="1">
      <alignment horizontal="center" vertical="center"/>
      <protection locked="0"/>
    </xf>
    <xf numFmtId="0" fontId="1" fillId="2" borderId="3" xfId="0" applyFont="1" applyFill="1" applyBorder="1" applyAlignment="1" applyProtection="1">
      <alignment horizontal="center" vertical="center"/>
      <protection locked="0"/>
    </xf>
    <xf numFmtId="0" fontId="1" fillId="2" borderId="4" xfId="0" applyFont="1" applyFill="1" applyBorder="1" applyAlignment="1" applyProtection="1">
      <alignment horizontal="center" vertical="center"/>
      <protection locked="0"/>
    </xf>
    <xf numFmtId="0" fontId="1" fillId="2" borderId="5" xfId="0" applyFont="1" applyFill="1" applyBorder="1" applyAlignment="1" applyProtection="1">
      <alignment horizontal="center" vertical="center"/>
      <protection locked="0"/>
    </xf>
    <xf numFmtId="0" fontId="1" fillId="2" borderId="0" xfId="0" applyFont="1" applyFill="1" applyAlignment="1" applyProtection="1">
      <alignment horizontal="center" vertical="center"/>
      <protection locked="0"/>
    </xf>
    <xf numFmtId="0" fontId="1" fillId="2" borderId="6" xfId="0" applyFont="1" applyFill="1" applyBorder="1" applyAlignment="1" applyProtection="1">
      <alignment horizontal="center" vertical="center"/>
      <protection locked="0"/>
    </xf>
    <xf numFmtId="49" fontId="4" fillId="4" borderId="23" xfId="0" applyNumberFormat="1" applyFont="1" applyFill="1" applyBorder="1" applyAlignment="1">
      <alignment horizontal="center"/>
    </xf>
    <xf numFmtId="49" fontId="4" fillId="4" borderId="48" xfId="0" applyNumberFormat="1" applyFont="1" applyFill="1" applyBorder="1" applyAlignment="1">
      <alignment horizontal="center"/>
    </xf>
    <xf numFmtId="0" fontId="0" fillId="4" borderId="21" xfId="0" applyFill="1" applyBorder="1" applyAlignment="1">
      <alignment horizontal="left"/>
    </xf>
    <xf numFmtId="0" fontId="0" fillId="4" borderId="22" xfId="0" applyFill="1" applyBorder="1" applyAlignment="1">
      <alignment horizontal="left"/>
    </xf>
    <xf numFmtId="0" fontId="0" fillId="10" borderId="27" xfId="0" applyFill="1" applyBorder="1" applyAlignment="1">
      <alignment horizontal="left" vertical="center" wrapText="1"/>
    </xf>
    <xf numFmtId="0" fontId="0" fillId="0" borderId="28" xfId="0" applyBorder="1" applyAlignment="1">
      <alignment horizontal="left" vertical="center" wrapText="1"/>
    </xf>
    <xf numFmtId="0" fontId="0" fillId="0" borderId="30" xfId="0" applyBorder="1" applyAlignment="1">
      <alignment horizontal="left" vertical="center" wrapText="1"/>
    </xf>
    <xf numFmtId="0" fontId="0" fillId="0" borderId="26" xfId="0" applyBorder="1" applyAlignment="1">
      <alignment horizontal="left" vertical="center" wrapText="1"/>
    </xf>
    <xf numFmtId="0" fontId="0" fillId="0" borderId="0" xfId="0" applyAlignment="1">
      <alignment horizontal="left" vertical="center" wrapText="1"/>
    </xf>
    <xf numFmtId="0" fontId="0" fillId="0" borderId="29" xfId="0" applyBorder="1" applyAlignment="1">
      <alignment horizontal="left" vertical="center" wrapText="1"/>
    </xf>
    <xf numFmtId="0" fontId="0" fillId="0" borderId="31" xfId="0" applyBorder="1" applyAlignment="1">
      <alignment horizontal="left" vertical="center" wrapText="1"/>
    </xf>
    <xf numFmtId="0" fontId="0" fillId="0" borderId="32" xfId="0" applyBorder="1" applyAlignment="1">
      <alignment horizontal="left" vertical="center" wrapText="1"/>
    </xf>
    <xf numFmtId="0" fontId="0" fillId="0" borderId="33" xfId="0" applyBorder="1" applyAlignment="1">
      <alignment horizontal="left" vertical="center" wrapText="1"/>
    </xf>
    <xf numFmtId="0" fontId="4" fillId="10" borderId="0" xfId="0" applyFont="1" applyFill="1" applyProtection="1"/>
    <xf numFmtId="0" fontId="4" fillId="12" borderId="64" xfId="0" applyFont="1" applyFill="1" applyBorder="1" applyAlignment="1" applyProtection="1">
      <alignment horizontal="center" vertical="center"/>
    </xf>
    <xf numFmtId="0" fontId="4" fillId="12" borderId="67" xfId="0" applyFont="1" applyFill="1" applyBorder="1" applyAlignment="1" applyProtection="1">
      <alignment horizontal="center" vertical="center"/>
    </xf>
    <xf numFmtId="0" fontId="4" fillId="12" borderId="65" xfId="0" applyFont="1" applyFill="1" applyBorder="1" applyAlignment="1" applyProtection="1">
      <alignment horizontal="right"/>
    </xf>
    <xf numFmtId="0" fontId="4" fillId="14" borderId="64" xfId="0" applyFont="1" applyFill="1" applyBorder="1" applyAlignment="1" applyProtection="1">
      <alignment horizontal="center" vertical="center"/>
    </xf>
    <xf numFmtId="0" fontId="4" fillId="14" borderId="70" xfId="0" applyFont="1" applyFill="1" applyBorder="1" applyAlignment="1" applyProtection="1">
      <alignment horizontal="center" vertical="center"/>
    </xf>
    <xf numFmtId="0" fontId="4" fillId="14" borderId="68" xfId="0" applyFont="1" applyFill="1" applyBorder="1" applyAlignment="1" applyProtection="1">
      <alignment horizontal="right"/>
    </xf>
    <xf numFmtId="0" fontId="4" fillId="12" borderId="66" xfId="0" applyFont="1" applyFill="1" applyBorder="1" applyAlignment="1" applyProtection="1">
      <alignment horizontal="right"/>
    </xf>
    <xf numFmtId="0" fontId="4" fillId="14" borderId="69" xfId="0" applyFont="1" applyFill="1" applyBorder="1" applyAlignment="1" applyProtection="1">
      <alignment horizontal="right"/>
    </xf>
    <xf numFmtId="0" fontId="4" fillId="12" borderId="62" xfId="0" applyFont="1" applyFill="1" applyBorder="1" applyAlignment="1" applyProtection="1">
      <alignment horizontal="center" vertical="center"/>
    </xf>
    <xf numFmtId="0" fontId="4" fillId="12" borderId="63" xfId="0" applyFont="1" applyFill="1" applyBorder="1" applyAlignment="1" applyProtection="1">
      <alignment horizontal="center" vertical="center"/>
    </xf>
    <xf numFmtId="0" fontId="4" fillId="14" borderId="62" xfId="0" applyFont="1" applyFill="1" applyBorder="1" applyAlignment="1" applyProtection="1">
      <alignment horizontal="center" vertical="center"/>
    </xf>
    <xf numFmtId="0" fontId="4" fillId="14" borderId="63" xfId="0" applyFont="1" applyFill="1" applyBorder="1" applyAlignment="1" applyProtection="1">
      <alignment horizontal="center" vertical="center"/>
    </xf>
    <xf numFmtId="0" fontId="4" fillId="12" borderId="66" xfId="0" applyFont="1" applyFill="1" applyBorder="1" applyAlignment="1" applyProtection="1">
      <alignment horizontal="center" vertical="center"/>
    </xf>
    <xf numFmtId="0" fontId="4" fillId="14" borderId="69" xfId="0" applyFont="1" applyFill="1" applyBorder="1" applyAlignment="1" applyProtection="1">
      <alignment horizontal="center" vertical="center"/>
    </xf>
    <xf numFmtId="0" fontId="2" fillId="12" borderId="73" xfId="0" applyFont="1" applyFill="1" applyBorder="1" applyAlignment="1" applyProtection="1">
      <alignment horizontal="center" vertical="center"/>
    </xf>
    <xf numFmtId="0" fontId="2" fillId="12" borderId="74" xfId="0" applyFont="1" applyFill="1" applyBorder="1" applyAlignment="1" applyProtection="1">
      <alignment horizontal="center" vertical="center"/>
    </xf>
    <xf numFmtId="0" fontId="4" fillId="12" borderId="75" xfId="0" applyFont="1" applyFill="1" applyBorder="1" applyAlignment="1" applyProtection="1">
      <alignment horizontal="center" vertical="center"/>
    </xf>
    <xf numFmtId="0" fontId="4" fillId="14" borderId="76" xfId="0" applyFont="1" applyFill="1" applyBorder="1" applyAlignment="1" applyProtection="1">
      <alignment horizontal="center" vertical="center"/>
    </xf>
    <xf numFmtId="0" fontId="2" fillId="12" borderId="82" xfId="0" applyFont="1" applyFill="1" applyBorder="1" applyAlignment="1" applyProtection="1">
      <alignment horizontal="center" vertical="center"/>
    </xf>
    <xf numFmtId="0" fontId="2" fillId="12" borderId="83" xfId="0" applyFont="1" applyFill="1" applyBorder="1" applyAlignment="1" applyProtection="1">
      <alignment horizontal="center" vertical="center"/>
    </xf>
    <xf numFmtId="0" fontId="2" fillId="14" borderId="78" xfId="0" applyFont="1" applyFill="1" applyBorder="1" applyAlignment="1" applyProtection="1">
      <alignment horizontal="center" vertical="center"/>
    </xf>
    <xf numFmtId="0" fontId="2" fillId="14" borderId="79" xfId="0" applyFont="1" applyFill="1" applyBorder="1" applyAlignment="1" applyProtection="1">
      <alignment horizontal="center" vertical="center"/>
    </xf>
    <xf numFmtId="0" fontId="4" fillId="12" borderId="61" xfId="0" applyFont="1" applyFill="1" applyBorder="1" applyAlignment="1" applyProtection="1">
      <alignment horizontal="right"/>
    </xf>
    <xf numFmtId="0" fontId="4" fillId="12" borderId="62" xfId="0" applyFont="1" applyFill="1" applyBorder="1" applyAlignment="1" applyProtection="1">
      <alignment horizontal="right"/>
    </xf>
    <xf numFmtId="0" fontId="4" fillId="14" borderId="61" xfId="0" applyFont="1" applyFill="1" applyBorder="1" applyAlignment="1" applyProtection="1">
      <alignment horizontal="right"/>
    </xf>
    <xf numFmtId="0" fontId="4" fillId="14" borderId="62" xfId="0" applyFont="1" applyFill="1" applyBorder="1" applyAlignment="1" applyProtection="1">
      <alignment horizontal="right"/>
    </xf>
  </cellXfs>
  <cellStyles count="5">
    <cellStyle name="Link" xfId="2" builtinId="8"/>
    <cellStyle name="Prozent" xfId="1" builtinId="5"/>
    <cellStyle name="Prozent 2" xfId="4" xr:uid="{1507025D-B0F1-4420-901D-8726DF6DD13E}"/>
    <cellStyle name="Standard" xfId="0" builtinId="0"/>
    <cellStyle name="Standard 2" xfId="3" xr:uid="{8A3FEE63-99CF-4E9F-A246-50C9DB79BB51}"/>
  </cellStyles>
  <dxfs count="0"/>
  <tableStyles count="0" defaultTableStyle="TableStyleMedium2" defaultPivotStyle="PivotStyleLight16"/>
  <colors>
    <mruColors>
      <color rgb="FFFFDDDD"/>
      <color rgb="FFFFD9D9"/>
      <color rgb="FFE5FFE5"/>
      <color rgb="FFFFFF99"/>
      <color rgb="FFFCFC9A"/>
      <color rgb="FFFF0000"/>
      <color rgb="FFFF0097"/>
      <color rgb="FFFF9797"/>
      <color rgb="FFCDFFBD"/>
      <color rgb="FF92D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5.emf"/><Relationship Id="rId7" Type="http://schemas.openxmlformats.org/officeDocument/2006/relationships/image" Target="../media/image11.emf"/><Relationship Id="rId12" Type="http://schemas.openxmlformats.org/officeDocument/2006/relationships/image" Target="../media/image1.emf"/><Relationship Id="rId2" Type="http://schemas.openxmlformats.org/officeDocument/2006/relationships/image" Target="../media/image7.emf"/><Relationship Id="rId1" Type="http://schemas.openxmlformats.org/officeDocument/2006/relationships/image" Target="../media/image6.emf"/><Relationship Id="rId6" Type="http://schemas.openxmlformats.org/officeDocument/2006/relationships/image" Target="../media/image10.emf"/><Relationship Id="rId11" Type="http://schemas.openxmlformats.org/officeDocument/2006/relationships/image" Target="../media/image2.emf"/><Relationship Id="rId5" Type="http://schemas.openxmlformats.org/officeDocument/2006/relationships/image" Target="../media/image9.emf"/><Relationship Id="rId10" Type="http://schemas.openxmlformats.org/officeDocument/2006/relationships/image" Target="../media/image3.emf"/><Relationship Id="rId4" Type="http://schemas.openxmlformats.org/officeDocument/2006/relationships/image" Target="../media/image8.emf"/><Relationship Id="rId9"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3</xdr:col>
      <xdr:colOff>0</xdr:colOff>
      <xdr:row>12</xdr:row>
      <xdr:rowOff>0</xdr:rowOff>
    </xdr:from>
    <xdr:to>
      <xdr:col>4</xdr:col>
      <xdr:colOff>0</xdr:colOff>
      <xdr:row>13</xdr:row>
      <xdr:rowOff>0</xdr:rowOff>
    </xdr:to>
    <xdr:grpSp>
      <xdr:nvGrpSpPr>
        <xdr:cNvPr id="8701" name="Cross_D13">
          <a:extLst>
            <a:ext uri="{FF2B5EF4-FFF2-40B4-BE49-F238E27FC236}">
              <a16:creationId xmlns:a16="http://schemas.microsoft.com/office/drawing/2014/main" id="{BB42FC3E-3898-C9B8-08F2-57EBBD782E5F}"/>
            </a:ext>
          </a:extLst>
        </xdr:cNvPr>
        <xdr:cNvGrpSpPr/>
      </xdr:nvGrpSpPr>
      <xdr:grpSpPr>
        <a:xfrm>
          <a:off x="2232660" y="2499360"/>
          <a:ext cx="594360" cy="228600"/>
          <a:chOff x="2232660" y="2499360"/>
          <a:chExt cx="594360" cy="228600"/>
        </a:xfrm>
      </xdr:grpSpPr>
      <xdr:cxnSp macro="">
        <xdr:nvCxnSpPr>
          <xdr:cNvPr id="8699" name="Gerader Verbinder 8698">
            <a:extLst>
              <a:ext uri="{FF2B5EF4-FFF2-40B4-BE49-F238E27FC236}">
                <a16:creationId xmlns:a16="http://schemas.microsoft.com/office/drawing/2014/main" id="{3C43BFCE-1D45-64C1-5C82-A5F19765C367}"/>
              </a:ext>
            </a:extLst>
          </xdr:cNvPr>
          <xdr:cNvCxnSpPr/>
        </xdr:nvCxnSpPr>
        <xdr:spPr>
          <a:xfrm>
            <a:off x="2232660" y="249936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700" name="Gerader Verbinder 8699">
            <a:extLst>
              <a:ext uri="{FF2B5EF4-FFF2-40B4-BE49-F238E27FC236}">
                <a16:creationId xmlns:a16="http://schemas.microsoft.com/office/drawing/2014/main" id="{52EFA7DF-8D6E-D8CB-D51C-8831B95DB840}"/>
              </a:ext>
            </a:extLst>
          </xdr:cNvPr>
          <xdr:cNvCxnSpPr/>
        </xdr:nvCxnSpPr>
        <xdr:spPr>
          <a:xfrm flipH="1">
            <a:off x="2232660" y="249936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13</xdr:row>
      <xdr:rowOff>0</xdr:rowOff>
    </xdr:from>
    <xdr:to>
      <xdr:col>4</xdr:col>
      <xdr:colOff>0</xdr:colOff>
      <xdr:row>14</xdr:row>
      <xdr:rowOff>0</xdr:rowOff>
    </xdr:to>
    <xdr:grpSp>
      <xdr:nvGrpSpPr>
        <xdr:cNvPr id="8704" name="Cross_D14">
          <a:extLst>
            <a:ext uri="{FF2B5EF4-FFF2-40B4-BE49-F238E27FC236}">
              <a16:creationId xmlns:a16="http://schemas.microsoft.com/office/drawing/2014/main" id="{8CC6FA7A-3D4A-4CE0-A037-A73370CF0358}"/>
            </a:ext>
          </a:extLst>
        </xdr:cNvPr>
        <xdr:cNvGrpSpPr/>
      </xdr:nvGrpSpPr>
      <xdr:grpSpPr>
        <a:xfrm>
          <a:off x="2232660" y="2727960"/>
          <a:ext cx="594360" cy="167640"/>
          <a:chOff x="2232660" y="2727960"/>
          <a:chExt cx="594360" cy="167640"/>
        </a:xfrm>
      </xdr:grpSpPr>
      <xdr:cxnSp macro="">
        <xdr:nvCxnSpPr>
          <xdr:cNvPr id="8702" name="Gerader Verbinder 8701">
            <a:extLst>
              <a:ext uri="{FF2B5EF4-FFF2-40B4-BE49-F238E27FC236}">
                <a16:creationId xmlns:a16="http://schemas.microsoft.com/office/drawing/2014/main" id="{AE2179A5-C510-B5E0-D3EA-04DDCC4BBD66}"/>
              </a:ext>
            </a:extLst>
          </xdr:cNvPr>
          <xdr:cNvCxnSpPr/>
        </xdr:nvCxnSpPr>
        <xdr:spPr>
          <a:xfrm>
            <a:off x="2232660" y="27279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703" name="Gerader Verbinder 8702">
            <a:extLst>
              <a:ext uri="{FF2B5EF4-FFF2-40B4-BE49-F238E27FC236}">
                <a16:creationId xmlns:a16="http://schemas.microsoft.com/office/drawing/2014/main" id="{F1BB86CD-868B-0372-914A-BABEB631E3B8}"/>
              </a:ext>
            </a:extLst>
          </xdr:cNvPr>
          <xdr:cNvCxnSpPr/>
        </xdr:nvCxnSpPr>
        <xdr:spPr>
          <a:xfrm flipH="1">
            <a:off x="2232660" y="27279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14</xdr:row>
      <xdr:rowOff>0</xdr:rowOff>
    </xdr:from>
    <xdr:to>
      <xdr:col>4</xdr:col>
      <xdr:colOff>0</xdr:colOff>
      <xdr:row>15</xdr:row>
      <xdr:rowOff>0</xdr:rowOff>
    </xdr:to>
    <xdr:grpSp>
      <xdr:nvGrpSpPr>
        <xdr:cNvPr id="8707" name="Cross_D15">
          <a:extLst>
            <a:ext uri="{FF2B5EF4-FFF2-40B4-BE49-F238E27FC236}">
              <a16:creationId xmlns:a16="http://schemas.microsoft.com/office/drawing/2014/main" id="{A54D441D-4443-E746-E5E5-2431ACA8DCAD}"/>
            </a:ext>
          </a:extLst>
        </xdr:cNvPr>
        <xdr:cNvGrpSpPr/>
      </xdr:nvGrpSpPr>
      <xdr:grpSpPr>
        <a:xfrm>
          <a:off x="2232660" y="2895600"/>
          <a:ext cx="594360" cy="167640"/>
          <a:chOff x="2232660" y="2895600"/>
          <a:chExt cx="594360" cy="167640"/>
        </a:xfrm>
      </xdr:grpSpPr>
      <xdr:cxnSp macro="">
        <xdr:nvCxnSpPr>
          <xdr:cNvPr id="8705" name="Gerader Verbinder 8704">
            <a:extLst>
              <a:ext uri="{FF2B5EF4-FFF2-40B4-BE49-F238E27FC236}">
                <a16:creationId xmlns:a16="http://schemas.microsoft.com/office/drawing/2014/main" id="{5396FE58-B15B-AA77-0056-CB607720D549}"/>
              </a:ext>
            </a:extLst>
          </xdr:cNvPr>
          <xdr:cNvCxnSpPr/>
        </xdr:nvCxnSpPr>
        <xdr:spPr>
          <a:xfrm>
            <a:off x="2232660" y="28956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706" name="Gerader Verbinder 8705">
            <a:extLst>
              <a:ext uri="{FF2B5EF4-FFF2-40B4-BE49-F238E27FC236}">
                <a16:creationId xmlns:a16="http://schemas.microsoft.com/office/drawing/2014/main" id="{DBFEF55F-926B-BF75-EEC9-7B2873CEE552}"/>
              </a:ext>
            </a:extLst>
          </xdr:cNvPr>
          <xdr:cNvCxnSpPr/>
        </xdr:nvCxnSpPr>
        <xdr:spPr>
          <a:xfrm flipH="1">
            <a:off x="2232660" y="28956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21</xdr:row>
      <xdr:rowOff>0</xdr:rowOff>
    </xdr:from>
    <xdr:to>
      <xdr:col>4</xdr:col>
      <xdr:colOff>0</xdr:colOff>
      <xdr:row>22</xdr:row>
      <xdr:rowOff>0</xdr:rowOff>
    </xdr:to>
    <xdr:grpSp>
      <xdr:nvGrpSpPr>
        <xdr:cNvPr id="8710" name="Cross_D22">
          <a:extLst>
            <a:ext uri="{FF2B5EF4-FFF2-40B4-BE49-F238E27FC236}">
              <a16:creationId xmlns:a16="http://schemas.microsoft.com/office/drawing/2014/main" id="{C17A9164-C89A-B3F5-578D-CC4AC64BCCC5}"/>
            </a:ext>
          </a:extLst>
        </xdr:cNvPr>
        <xdr:cNvGrpSpPr/>
      </xdr:nvGrpSpPr>
      <xdr:grpSpPr>
        <a:xfrm>
          <a:off x="2232660" y="4191000"/>
          <a:ext cx="594360" cy="228600"/>
          <a:chOff x="2232660" y="4191000"/>
          <a:chExt cx="594360" cy="228600"/>
        </a:xfrm>
      </xdr:grpSpPr>
      <xdr:cxnSp macro="">
        <xdr:nvCxnSpPr>
          <xdr:cNvPr id="8708" name="Gerader Verbinder 8707">
            <a:extLst>
              <a:ext uri="{FF2B5EF4-FFF2-40B4-BE49-F238E27FC236}">
                <a16:creationId xmlns:a16="http://schemas.microsoft.com/office/drawing/2014/main" id="{E5C603E5-C66D-73D0-1866-6F3FADC4CF5B}"/>
              </a:ext>
            </a:extLst>
          </xdr:cNvPr>
          <xdr:cNvCxnSpPr/>
        </xdr:nvCxnSpPr>
        <xdr:spPr>
          <a:xfrm>
            <a:off x="2232660" y="419100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709" name="Gerader Verbinder 8708">
            <a:extLst>
              <a:ext uri="{FF2B5EF4-FFF2-40B4-BE49-F238E27FC236}">
                <a16:creationId xmlns:a16="http://schemas.microsoft.com/office/drawing/2014/main" id="{571AA8EE-724C-F106-30C4-C8EBC21377EC}"/>
              </a:ext>
            </a:extLst>
          </xdr:cNvPr>
          <xdr:cNvCxnSpPr/>
        </xdr:nvCxnSpPr>
        <xdr:spPr>
          <a:xfrm flipH="1">
            <a:off x="2232660" y="419100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22</xdr:row>
      <xdr:rowOff>0</xdr:rowOff>
    </xdr:from>
    <xdr:to>
      <xdr:col>4</xdr:col>
      <xdr:colOff>0</xdr:colOff>
      <xdr:row>23</xdr:row>
      <xdr:rowOff>0</xdr:rowOff>
    </xdr:to>
    <xdr:grpSp>
      <xdr:nvGrpSpPr>
        <xdr:cNvPr id="8713" name="Cross_D23">
          <a:extLst>
            <a:ext uri="{FF2B5EF4-FFF2-40B4-BE49-F238E27FC236}">
              <a16:creationId xmlns:a16="http://schemas.microsoft.com/office/drawing/2014/main" id="{16CB05E5-08B4-2FF2-5007-62F91FD92BB9}"/>
            </a:ext>
          </a:extLst>
        </xdr:cNvPr>
        <xdr:cNvGrpSpPr/>
      </xdr:nvGrpSpPr>
      <xdr:grpSpPr>
        <a:xfrm>
          <a:off x="2232660" y="4419600"/>
          <a:ext cx="594360" cy="167640"/>
          <a:chOff x="2232660" y="4419600"/>
          <a:chExt cx="594360" cy="167640"/>
        </a:xfrm>
      </xdr:grpSpPr>
      <xdr:cxnSp macro="">
        <xdr:nvCxnSpPr>
          <xdr:cNvPr id="8711" name="Gerader Verbinder 8710">
            <a:extLst>
              <a:ext uri="{FF2B5EF4-FFF2-40B4-BE49-F238E27FC236}">
                <a16:creationId xmlns:a16="http://schemas.microsoft.com/office/drawing/2014/main" id="{2157F0AE-F4FD-F83C-05FF-064113218F38}"/>
              </a:ext>
            </a:extLst>
          </xdr:cNvPr>
          <xdr:cNvCxnSpPr/>
        </xdr:nvCxnSpPr>
        <xdr:spPr>
          <a:xfrm>
            <a:off x="2232660" y="44196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712" name="Gerader Verbinder 8711">
            <a:extLst>
              <a:ext uri="{FF2B5EF4-FFF2-40B4-BE49-F238E27FC236}">
                <a16:creationId xmlns:a16="http://schemas.microsoft.com/office/drawing/2014/main" id="{D05F773E-75E4-9030-2D2F-7BA9C7F7A285}"/>
              </a:ext>
            </a:extLst>
          </xdr:cNvPr>
          <xdr:cNvCxnSpPr/>
        </xdr:nvCxnSpPr>
        <xdr:spPr>
          <a:xfrm flipH="1">
            <a:off x="2232660" y="44196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23</xdr:row>
      <xdr:rowOff>0</xdr:rowOff>
    </xdr:from>
    <xdr:to>
      <xdr:col>4</xdr:col>
      <xdr:colOff>0</xdr:colOff>
      <xdr:row>24</xdr:row>
      <xdr:rowOff>0</xdr:rowOff>
    </xdr:to>
    <xdr:grpSp>
      <xdr:nvGrpSpPr>
        <xdr:cNvPr id="8716" name="Cross_D24">
          <a:extLst>
            <a:ext uri="{FF2B5EF4-FFF2-40B4-BE49-F238E27FC236}">
              <a16:creationId xmlns:a16="http://schemas.microsoft.com/office/drawing/2014/main" id="{FEFCAF6C-8153-AA5F-C36F-DC772B9DD2B2}"/>
            </a:ext>
          </a:extLst>
        </xdr:cNvPr>
        <xdr:cNvGrpSpPr/>
      </xdr:nvGrpSpPr>
      <xdr:grpSpPr>
        <a:xfrm>
          <a:off x="2232660" y="4587240"/>
          <a:ext cx="594360" cy="167640"/>
          <a:chOff x="2232660" y="4587240"/>
          <a:chExt cx="594360" cy="167640"/>
        </a:xfrm>
      </xdr:grpSpPr>
      <xdr:cxnSp macro="">
        <xdr:nvCxnSpPr>
          <xdr:cNvPr id="8714" name="Gerader Verbinder 8713">
            <a:extLst>
              <a:ext uri="{FF2B5EF4-FFF2-40B4-BE49-F238E27FC236}">
                <a16:creationId xmlns:a16="http://schemas.microsoft.com/office/drawing/2014/main" id="{171E890D-1AFC-B68E-9650-24ADF063229A}"/>
              </a:ext>
            </a:extLst>
          </xdr:cNvPr>
          <xdr:cNvCxnSpPr/>
        </xdr:nvCxnSpPr>
        <xdr:spPr>
          <a:xfrm>
            <a:off x="2232660" y="45872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715" name="Gerader Verbinder 8714">
            <a:extLst>
              <a:ext uri="{FF2B5EF4-FFF2-40B4-BE49-F238E27FC236}">
                <a16:creationId xmlns:a16="http://schemas.microsoft.com/office/drawing/2014/main" id="{CDDE9480-93EF-EBF9-496B-EE5DEDC6A445}"/>
              </a:ext>
            </a:extLst>
          </xdr:cNvPr>
          <xdr:cNvCxnSpPr/>
        </xdr:nvCxnSpPr>
        <xdr:spPr>
          <a:xfrm flipH="1">
            <a:off x="2232660" y="45872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24</xdr:row>
      <xdr:rowOff>0</xdr:rowOff>
    </xdr:from>
    <xdr:to>
      <xdr:col>4</xdr:col>
      <xdr:colOff>0</xdr:colOff>
      <xdr:row>25</xdr:row>
      <xdr:rowOff>0</xdr:rowOff>
    </xdr:to>
    <xdr:grpSp>
      <xdr:nvGrpSpPr>
        <xdr:cNvPr id="8719" name="Cross_D25">
          <a:extLst>
            <a:ext uri="{FF2B5EF4-FFF2-40B4-BE49-F238E27FC236}">
              <a16:creationId xmlns:a16="http://schemas.microsoft.com/office/drawing/2014/main" id="{DAA28E53-37EA-BD08-EE7D-BF0556672F40}"/>
            </a:ext>
          </a:extLst>
        </xdr:cNvPr>
        <xdr:cNvGrpSpPr/>
      </xdr:nvGrpSpPr>
      <xdr:grpSpPr>
        <a:xfrm>
          <a:off x="2232660" y="4754880"/>
          <a:ext cx="594360" cy="228600"/>
          <a:chOff x="2232660" y="4754880"/>
          <a:chExt cx="594360" cy="228600"/>
        </a:xfrm>
      </xdr:grpSpPr>
      <xdr:cxnSp macro="">
        <xdr:nvCxnSpPr>
          <xdr:cNvPr id="8717" name="Gerader Verbinder 8716">
            <a:extLst>
              <a:ext uri="{FF2B5EF4-FFF2-40B4-BE49-F238E27FC236}">
                <a16:creationId xmlns:a16="http://schemas.microsoft.com/office/drawing/2014/main" id="{F2AE2235-AC5C-F56B-B859-1C34185F8BF0}"/>
              </a:ext>
            </a:extLst>
          </xdr:cNvPr>
          <xdr:cNvCxnSpPr/>
        </xdr:nvCxnSpPr>
        <xdr:spPr>
          <a:xfrm>
            <a:off x="2232660" y="47548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718" name="Gerader Verbinder 8717">
            <a:extLst>
              <a:ext uri="{FF2B5EF4-FFF2-40B4-BE49-F238E27FC236}">
                <a16:creationId xmlns:a16="http://schemas.microsoft.com/office/drawing/2014/main" id="{ACC630F6-E201-761D-C0D5-B663E593F5BB}"/>
              </a:ext>
            </a:extLst>
          </xdr:cNvPr>
          <xdr:cNvCxnSpPr/>
        </xdr:nvCxnSpPr>
        <xdr:spPr>
          <a:xfrm flipH="1">
            <a:off x="2232660" y="47548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25</xdr:row>
      <xdr:rowOff>0</xdr:rowOff>
    </xdr:from>
    <xdr:to>
      <xdr:col>4</xdr:col>
      <xdr:colOff>0</xdr:colOff>
      <xdr:row>26</xdr:row>
      <xdr:rowOff>0</xdr:rowOff>
    </xdr:to>
    <xdr:grpSp>
      <xdr:nvGrpSpPr>
        <xdr:cNvPr id="8722" name="Cross_D26">
          <a:extLst>
            <a:ext uri="{FF2B5EF4-FFF2-40B4-BE49-F238E27FC236}">
              <a16:creationId xmlns:a16="http://schemas.microsoft.com/office/drawing/2014/main" id="{E8928962-AA63-9D86-4642-E89BFC65408F}"/>
            </a:ext>
          </a:extLst>
        </xdr:cNvPr>
        <xdr:cNvGrpSpPr/>
      </xdr:nvGrpSpPr>
      <xdr:grpSpPr>
        <a:xfrm>
          <a:off x="2232660" y="4983480"/>
          <a:ext cx="594360" cy="167640"/>
          <a:chOff x="2232660" y="4983480"/>
          <a:chExt cx="594360" cy="167640"/>
        </a:xfrm>
      </xdr:grpSpPr>
      <xdr:cxnSp macro="">
        <xdr:nvCxnSpPr>
          <xdr:cNvPr id="8720" name="Gerader Verbinder 8719">
            <a:extLst>
              <a:ext uri="{FF2B5EF4-FFF2-40B4-BE49-F238E27FC236}">
                <a16:creationId xmlns:a16="http://schemas.microsoft.com/office/drawing/2014/main" id="{7F3FB633-C076-AFF2-8EB4-BA9317136B15}"/>
              </a:ext>
            </a:extLst>
          </xdr:cNvPr>
          <xdr:cNvCxnSpPr/>
        </xdr:nvCxnSpPr>
        <xdr:spPr>
          <a:xfrm>
            <a:off x="2232660" y="49834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721" name="Gerader Verbinder 8720">
            <a:extLst>
              <a:ext uri="{FF2B5EF4-FFF2-40B4-BE49-F238E27FC236}">
                <a16:creationId xmlns:a16="http://schemas.microsoft.com/office/drawing/2014/main" id="{C08DC2A8-68C1-36BA-4B8F-E0B274EC10DC}"/>
              </a:ext>
            </a:extLst>
          </xdr:cNvPr>
          <xdr:cNvCxnSpPr/>
        </xdr:nvCxnSpPr>
        <xdr:spPr>
          <a:xfrm flipH="1">
            <a:off x="2232660" y="49834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26</xdr:row>
      <xdr:rowOff>0</xdr:rowOff>
    </xdr:from>
    <xdr:to>
      <xdr:col>4</xdr:col>
      <xdr:colOff>0</xdr:colOff>
      <xdr:row>27</xdr:row>
      <xdr:rowOff>0</xdr:rowOff>
    </xdr:to>
    <xdr:grpSp>
      <xdr:nvGrpSpPr>
        <xdr:cNvPr id="8725" name="Cross_D27">
          <a:extLst>
            <a:ext uri="{FF2B5EF4-FFF2-40B4-BE49-F238E27FC236}">
              <a16:creationId xmlns:a16="http://schemas.microsoft.com/office/drawing/2014/main" id="{0F37D4FB-E7FE-3C51-0FBD-1C7CB24AF154}"/>
            </a:ext>
          </a:extLst>
        </xdr:cNvPr>
        <xdr:cNvGrpSpPr/>
      </xdr:nvGrpSpPr>
      <xdr:grpSpPr>
        <a:xfrm>
          <a:off x="2232660" y="5151120"/>
          <a:ext cx="594360" cy="167640"/>
          <a:chOff x="2232660" y="5151120"/>
          <a:chExt cx="594360" cy="167640"/>
        </a:xfrm>
      </xdr:grpSpPr>
      <xdr:cxnSp macro="">
        <xdr:nvCxnSpPr>
          <xdr:cNvPr id="8723" name="Gerader Verbinder 8722">
            <a:extLst>
              <a:ext uri="{FF2B5EF4-FFF2-40B4-BE49-F238E27FC236}">
                <a16:creationId xmlns:a16="http://schemas.microsoft.com/office/drawing/2014/main" id="{0A6DB1C8-ACA1-6CFB-F5F5-986932069C6A}"/>
              </a:ext>
            </a:extLst>
          </xdr:cNvPr>
          <xdr:cNvCxnSpPr/>
        </xdr:nvCxnSpPr>
        <xdr:spPr>
          <a:xfrm>
            <a:off x="2232660" y="51511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724" name="Gerader Verbinder 8723">
            <a:extLst>
              <a:ext uri="{FF2B5EF4-FFF2-40B4-BE49-F238E27FC236}">
                <a16:creationId xmlns:a16="http://schemas.microsoft.com/office/drawing/2014/main" id="{46870B46-4AA9-71E5-56F3-619896AD8890}"/>
              </a:ext>
            </a:extLst>
          </xdr:cNvPr>
          <xdr:cNvCxnSpPr/>
        </xdr:nvCxnSpPr>
        <xdr:spPr>
          <a:xfrm flipH="1">
            <a:off x="2232660" y="51511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27</xdr:row>
      <xdr:rowOff>0</xdr:rowOff>
    </xdr:from>
    <xdr:to>
      <xdr:col>4</xdr:col>
      <xdr:colOff>0</xdr:colOff>
      <xdr:row>28</xdr:row>
      <xdr:rowOff>0</xdr:rowOff>
    </xdr:to>
    <xdr:grpSp>
      <xdr:nvGrpSpPr>
        <xdr:cNvPr id="8728" name="Cross_D28">
          <a:extLst>
            <a:ext uri="{FF2B5EF4-FFF2-40B4-BE49-F238E27FC236}">
              <a16:creationId xmlns:a16="http://schemas.microsoft.com/office/drawing/2014/main" id="{1A66881F-3BD3-DDA1-4BEE-7259C62D0A74}"/>
            </a:ext>
          </a:extLst>
        </xdr:cNvPr>
        <xdr:cNvGrpSpPr/>
      </xdr:nvGrpSpPr>
      <xdr:grpSpPr>
        <a:xfrm>
          <a:off x="2232660" y="5318760"/>
          <a:ext cx="594360" cy="228600"/>
          <a:chOff x="2232660" y="5318760"/>
          <a:chExt cx="594360" cy="228600"/>
        </a:xfrm>
      </xdr:grpSpPr>
      <xdr:cxnSp macro="">
        <xdr:nvCxnSpPr>
          <xdr:cNvPr id="8726" name="Gerader Verbinder 8725">
            <a:extLst>
              <a:ext uri="{FF2B5EF4-FFF2-40B4-BE49-F238E27FC236}">
                <a16:creationId xmlns:a16="http://schemas.microsoft.com/office/drawing/2014/main" id="{644EC30C-9EA6-85EC-DAE0-0A624C35893C}"/>
              </a:ext>
            </a:extLst>
          </xdr:cNvPr>
          <xdr:cNvCxnSpPr/>
        </xdr:nvCxnSpPr>
        <xdr:spPr>
          <a:xfrm>
            <a:off x="2232660" y="531876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727" name="Gerader Verbinder 8726">
            <a:extLst>
              <a:ext uri="{FF2B5EF4-FFF2-40B4-BE49-F238E27FC236}">
                <a16:creationId xmlns:a16="http://schemas.microsoft.com/office/drawing/2014/main" id="{C1CB7227-E990-FFF7-BD69-B76AD76A7902}"/>
              </a:ext>
            </a:extLst>
          </xdr:cNvPr>
          <xdr:cNvCxnSpPr/>
        </xdr:nvCxnSpPr>
        <xdr:spPr>
          <a:xfrm flipH="1">
            <a:off x="2232660" y="531876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28</xdr:row>
      <xdr:rowOff>0</xdr:rowOff>
    </xdr:from>
    <xdr:to>
      <xdr:col>4</xdr:col>
      <xdr:colOff>0</xdr:colOff>
      <xdr:row>29</xdr:row>
      <xdr:rowOff>0</xdr:rowOff>
    </xdr:to>
    <xdr:grpSp>
      <xdr:nvGrpSpPr>
        <xdr:cNvPr id="8731" name="Cross_D29">
          <a:extLst>
            <a:ext uri="{FF2B5EF4-FFF2-40B4-BE49-F238E27FC236}">
              <a16:creationId xmlns:a16="http://schemas.microsoft.com/office/drawing/2014/main" id="{8AD1AA51-F370-9635-EFCA-99F0940551AD}"/>
            </a:ext>
          </a:extLst>
        </xdr:cNvPr>
        <xdr:cNvGrpSpPr/>
      </xdr:nvGrpSpPr>
      <xdr:grpSpPr>
        <a:xfrm>
          <a:off x="2232660" y="5547360"/>
          <a:ext cx="594360" cy="167640"/>
          <a:chOff x="2232660" y="5547360"/>
          <a:chExt cx="594360" cy="167640"/>
        </a:xfrm>
      </xdr:grpSpPr>
      <xdr:cxnSp macro="">
        <xdr:nvCxnSpPr>
          <xdr:cNvPr id="8729" name="Gerader Verbinder 8728">
            <a:extLst>
              <a:ext uri="{FF2B5EF4-FFF2-40B4-BE49-F238E27FC236}">
                <a16:creationId xmlns:a16="http://schemas.microsoft.com/office/drawing/2014/main" id="{4BA895E0-85EE-3E06-1874-648BC9631C5C}"/>
              </a:ext>
            </a:extLst>
          </xdr:cNvPr>
          <xdr:cNvCxnSpPr/>
        </xdr:nvCxnSpPr>
        <xdr:spPr>
          <a:xfrm>
            <a:off x="2232660" y="55473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730" name="Gerader Verbinder 8729">
            <a:extLst>
              <a:ext uri="{FF2B5EF4-FFF2-40B4-BE49-F238E27FC236}">
                <a16:creationId xmlns:a16="http://schemas.microsoft.com/office/drawing/2014/main" id="{9AFCF44D-7CA5-EEF4-818A-7479B487F4EB}"/>
              </a:ext>
            </a:extLst>
          </xdr:cNvPr>
          <xdr:cNvCxnSpPr/>
        </xdr:nvCxnSpPr>
        <xdr:spPr>
          <a:xfrm flipH="1">
            <a:off x="2232660" y="55473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29</xdr:row>
      <xdr:rowOff>0</xdr:rowOff>
    </xdr:from>
    <xdr:to>
      <xdr:col>4</xdr:col>
      <xdr:colOff>0</xdr:colOff>
      <xdr:row>30</xdr:row>
      <xdr:rowOff>0</xdr:rowOff>
    </xdr:to>
    <xdr:grpSp>
      <xdr:nvGrpSpPr>
        <xdr:cNvPr id="8734" name="Cross_D30">
          <a:extLst>
            <a:ext uri="{FF2B5EF4-FFF2-40B4-BE49-F238E27FC236}">
              <a16:creationId xmlns:a16="http://schemas.microsoft.com/office/drawing/2014/main" id="{29A556FE-3D91-B1BB-B664-DC974DA1524A}"/>
            </a:ext>
          </a:extLst>
        </xdr:cNvPr>
        <xdr:cNvGrpSpPr/>
      </xdr:nvGrpSpPr>
      <xdr:grpSpPr>
        <a:xfrm>
          <a:off x="2232660" y="5715000"/>
          <a:ext cx="594360" cy="167640"/>
          <a:chOff x="2232660" y="5715000"/>
          <a:chExt cx="594360" cy="167640"/>
        </a:xfrm>
      </xdr:grpSpPr>
      <xdr:cxnSp macro="">
        <xdr:nvCxnSpPr>
          <xdr:cNvPr id="8732" name="Gerader Verbinder 8731">
            <a:extLst>
              <a:ext uri="{FF2B5EF4-FFF2-40B4-BE49-F238E27FC236}">
                <a16:creationId xmlns:a16="http://schemas.microsoft.com/office/drawing/2014/main" id="{BB6ED6CC-DF16-AB6F-1EA1-EF28ACFE6349}"/>
              </a:ext>
            </a:extLst>
          </xdr:cNvPr>
          <xdr:cNvCxnSpPr/>
        </xdr:nvCxnSpPr>
        <xdr:spPr>
          <a:xfrm>
            <a:off x="2232660" y="57150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733" name="Gerader Verbinder 8732">
            <a:extLst>
              <a:ext uri="{FF2B5EF4-FFF2-40B4-BE49-F238E27FC236}">
                <a16:creationId xmlns:a16="http://schemas.microsoft.com/office/drawing/2014/main" id="{B7E4EFAD-7778-A975-F211-0C0359282B10}"/>
              </a:ext>
            </a:extLst>
          </xdr:cNvPr>
          <xdr:cNvCxnSpPr/>
        </xdr:nvCxnSpPr>
        <xdr:spPr>
          <a:xfrm flipH="1">
            <a:off x="2232660" y="57150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33</xdr:row>
      <xdr:rowOff>0</xdr:rowOff>
    </xdr:from>
    <xdr:to>
      <xdr:col>4</xdr:col>
      <xdr:colOff>0</xdr:colOff>
      <xdr:row>34</xdr:row>
      <xdr:rowOff>0</xdr:rowOff>
    </xdr:to>
    <xdr:grpSp>
      <xdr:nvGrpSpPr>
        <xdr:cNvPr id="8737" name="Cross_D34">
          <a:extLst>
            <a:ext uri="{FF2B5EF4-FFF2-40B4-BE49-F238E27FC236}">
              <a16:creationId xmlns:a16="http://schemas.microsoft.com/office/drawing/2014/main" id="{EDEA2062-DD66-0BE4-6932-5DB91B31AB49}"/>
            </a:ext>
          </a:extLst>
        </xdr:cNvPr>
        <xdr:cNvGrpSpPr/>
      </xdr:nvGrpSpPr>
      <xdr:grpSpPr>
        <a:xfrm>
          <a:off x="2232660" y="6446520"/>
          <a:ext cx="594360" cy="228600"/>
          <a:chOff x="2232660" y="6446520"/>
          <a:chExt cx="594360" cy="228600"/>
        </a:xfrm>
      </xdr:grpSpPr>
      <xdr:cxnSp macro="">
        <xdr:nvCxnSpPr>
          <xdr:cNvPr id="8735" name="Gerader Verbinder 8734">
            <a:extLst>
              <a:ext uri="{FF2B5EF4-FFF2-40B4-BE49-F238E27FC236}">
                <a16:creationId xmlns:a16="http://schemas.microsoft.com/office/drawing/2014/main" id="{35DD54E0-54CC-35CD-CF8F-82465A65C343}"/>
              </a:ext>
            </a:extLst>
          </xdr:cNvPr>
          <xdr:cNvCxnSpPr/>
        </xdr:nvCxnSpPr>
        <xdr:spPr>
          <a:xfrm>
            <a:off x="2232660" y="644652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736" name="Gerader Verbinder 8735">
            <a:extLst>
              <a:ext uri="{FF2B5EF4-FFF2-40B4-BE49-F238E27FC236}">
                <a16:creationId xmlns:a16="http://schemas.microsoft.com/office/drawing/2014/main" id="{11623489-7EAE-9A9A-8032-0104D92D19C9}"/>
              </a:ext>
            </a:extLst>
          </xdr:cNvPr>
          <xdr:cNvCxnSpPr/>
        </xdr:nvCxnSpPr>
        <xdr:spPr>
          <a:xfrm flipH="1">
            <a:off x="2232660" y="644652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34</xdr:row>
      <xdr:rowOff>0</xdr:rowOff>
    </xdr:from>
    <xdr:to>
      <xdr:col>4</xdr:col>
      <xdr:colOff>0</xdr:colOff>
      <xdr:row>35</xdr:row>
      <xdr:rowOff>0</xdr:rowOff>
    </xdr:to>
    <xdr:grpSp>
      <xdr:nvGrpSpPr>
        <xdr:cNvPr id="8740" name="Cross_D35">
          <a:extLst>
            <a:ext uri="{FF2B5EF4-FFF2-40B4-BE49-F238E27FC236}">
              <a16:creationId xmlns:a16="http://schemas.microsoft.com/office/drawing/2014/main" id="{8FA5F016-DC82-8393-9036-BE9CAC8C2F6E}"/>
            </a:ext>
          </a:extLst>
        </xdr:cNvPr>
        <xdr:cNvGrpSpPr/>
      </xdr:nvGrpSpPr>
      <xdr:grpSpPr>
        <a:xfrm>
          <a:off x="2232660" y="6675120"/>
          <a:ext cx="594360" cy="167640"/>
          <a:chOff x="2232660" y="6675120"/>
          <a:chExt cx="594360" cy="167640"/>
        </a:xfrm>
      </xdr:grpSpPr>
      <xdr:cxnSp macro="">
        <xdr:nvCxnSpPr>
          <xdr:cNvPr id="8738" name="Gerader Verbinder 8737">
            <a:extLst>
              <a:ext uri="{FF2B5EF4-FFF2-40B4-BE49-F238E27FC236}">
                <a16:creationId xmlns:a16="http://schemas.microsoft.com/office/drawing/2014/main" id="{1ABB84B1-106E-B334-5588-122B2CBBAD1A}"/>
              </a:ext>
            </a:extLst>
          </xdr:cNvPr>
          <xdr:cNvCxnSpPr/>
        </xdr:nvCxnSpPr>
        <xdr:spPr>
          <a:xfrm>
            <a:off x="2232660" y="66751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739" name="Gerader Verbinder 8738">
            <a:extLst>
              <a:ext uri="{FF2B5EF4-FFF2-40B4-BE49-F238E27FC236}">
                <a16:creationId xmlns:a16="http://schemas.microsoft.com/office/drawing/2014/main" id="{FB8A67DD-B8BA-BF4D-6802-CC9EEEED51F5}"/>
              </a:ext>
            </a:extLst>
          </xdr:cNvPr>
          <xdr:cNvCxnSpPr/>
        </xdr:nvCxnSpPr>
        <xdr:spPr>
          <a:xfrm flipH="1">
            <a:off x="2232660" y="66751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35</xdr:row>
      <xdr:rowOff>0</xdr:rowOff>
    </xdr:from>
    <xdr:to>
      <xdr:col>4</xdr:col>
      <xdr:colOff>0</xdr:colOff>
      <xdr:row>36</xdr:row>
      <xdr:rowOff>0</xdr:rowOff>
    </xdr:to>
    <xdr:grpSp>
      <xdr:nvGrpSpPr>
        <xdr:cNvPr id="8743" name="Cross_D36">
          <a:extLst>
            <a:ext uri="{FF2B5EF4-FFF2-40B4-BE49-F238E27FC236}">
              <a16:creationId xmlns:a16="http://schemas.microsoft.com/office/drawing/2014/main" id="{F6E129F4-BE33-4BCD-7D4C-7210FC9A267E}"/>
            </a:ext>
          </a:extLst>
        </xdr:cNvPr>
        <xdr:cNvGrpSpPr/>
      </xdr:nvGrpSpPr>
      <xdr:grpSpPr>
        <a:xfrm>
          <a:off x="2232660" y="6842760"/>
          <a:ext cx="594360" cy="167640"/>
          <a:chOff x="2232660" y="6842760"/>
          <a:chExt cx="594360" cy="167640"/>
        </a:xfrm>
      </xdr:grpSpPr>
      <xdr:cxnSp macro="">
        <xdr:nvCxnSpPr>
          <xdr:cNvPr id="8741" name="Gerader Verbinder 8740">
            <a:extLst>
              <a:ext uri="{FF2B5EF4-FFF2-40B4-BE49-F238E27FC236}">
                <a16:creationId xmlns:a16="http://schemas.microsoft.com/office/drawing/2014/main" id="{38BA9505-AC5E-7B90-800F-BB4F70E9A3C9}"/>
              </a:ext>
            </a:extLst>
          </xdr:cNvPr>
          <xdr:cNvCxnSpPr/>
        </xdr:nvCxnSpPr>
        <xdr:spPr>
          <a:xfrm>
            <a:off x="2232660" y="68427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742" name="Gerader Verbinder 8741">
            <a:extLst>
              <a:ext uri="{FF2B5EF4-FFF2-40B4-BE49-F238E27FC236}">
                <a16:creationId xmlns:a16="http://schemas.microsoft.com/office/drawing/2014/main" id="{1561FDB2-A326-9A06-5E8A-AAC65E9C332D}"/>
              </a:ext>
            </a:extLst>
          </xdr:cNvPr>
          <xdr:cNvCxnSpPr/>
        </xdr:nvCxnSpPr>
        <xdr:spPr>
          <a:xfrm flipH="1">
            <a:off x="2232660" y="68427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45</xdr:row>
      <xdr:rowOff>0</xdr:rowOff>
    </xdr:from>
    <xdr:to>
      <xdr:col>4</xdr:col>
      <xdr:colOff>0</xdr:colOff>
      <xdr:row>46</xdr:row>
      <xdr:rowOff>0</xdr:rowOff>
    </xdr:to>
    <xdr:grpSp>
      <xdr:nvGrpSpPr>
        <xdr:cNvPr id="8746" name="Cross_D46">
          <a:extLst>
            <a:ext uri="{FF2B5EF4-FFF2-40B4-BE49-F238E27FC236}">
              <a16:creationId xmlns:a16="http://schemas.microsoft.com/office/drawing/2014/main" id="{67F5B0E3-7BEB-4C44-77C0-15239FECFE61}"/>
            </a:ext>
          </a:extLst>
        </xdr:cNvPr>
        <xdr:cNvGrpSpPr/>
      </xdr:nvGrpSpPr>
      <xdr:grpSpPr>
        <a:xfrm>
          <a:off x="2232660" y="8702040"/>
          <a:ext cx="594360" cy="228600"/>
          <a:chOff x="2232660" y="8702040"/>
          <a:chExt cx="594360" cy="228600"/>
        </a:xfrm>
      </xdr:grpSpPr>
      <xdr:cxnSp macro="">
        <xdr:nvCxnSpPr>
          <xdr:cNvPr id="8744" name="Gerader Verbinder 8743">
            <a:extLst>
              <a:ext uri="{FF2B5EF4-FFF2-40B4-BE49-F238E27FC236}">
                <a16:creationId xmlns:a16="http://schemas.microsoft.com/office/drawing/2014/main" id="{364DDA23-0F17-1A8D-C659-D68E641AD204}"/>
              </a:ext>
            </a:extLst>
          </xdr:cNvPr>
          <xdr:cNvCxnSpPr/>
        </xdr:nvCxnSpPr>
        <xdr:spPr>
          <a:xfrm>
            <a:off x="2232660" y="870204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745" name="Gerader Verbinder 8744">
            <a:extLst>
              <a:ext uri="{FF2B5EF4-FFF2-40B4-BE49-F238E27FC236}">
                <a16:creationId xmlns:a16="http://schemas.microsoft.com/office/drawing/2014/main" id="{39BCA851-61CC-B10E-ACD0-0358AF760FDF}"/>
              </a:ext>
            </a:extLst>
          </xdr:cNvPr>
          <xdr:cNvCxnSpPr/>
        </xdr:nvCxnSpPr>
        <xdr:spPr>
          <a:xfrm flipH="1">
            <a:off x="2232660" y="870204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46</xdr:row>
      <xdr:rowOff>0</xdr:rowOff>
    </xdr:from>
    <xdr:to>
      <xdr:col>4</xdr:col>
      <xdr:colOff>0</xdr:colOff>
      <xdr:row>47</xdr:row>
      <xdr:rowOff>0</xdr:rowOff>
    </xdr:to>
    <xdr:grpSp>
      <xdr:nvGrpSpPr>
        <xdr:cNvPr id="8749" name="Cross_D47">
          <a:extLst>
            <a:ext uri="{FF2B5EF4-FFF2-40B4-BE49-F238E27FC236}">
              <a16:creationId xmlns:a16="http://schemas.microsoft.com/office/drawing/2014/main" id="{B6E250E3-8EBF-DC9C-265F-03CF9D9AE4B3}"/>
            </a:ext>
          </a:extLst>
        </xdr:cNvPr>
        <xdr:cNvGrpSpPr/>
      </xdr:nvGrpSpPr>
      <xdr:grpSpPr>
        <a:xfrm>
          <a:off x="2232660" y="8930640"/>
          <a:ext cx="594360" cy="167640"/>
          <a:chOff x="2232660" y="8930640"/>
          <a:chExt cx="594360" cy="167640"/>
        </a:xfrm>
      </xdr:grpSpPr>
      <xdr:cxnSp macro="">
        <xdr:nvCxnSpPr>
          <xdr:cNvPr id="8747" name="Gerader Verbinder 8746">
            <a:extLst>
              <a:ext uri="{FF2B5EF4-FFF2-40B4-BE49-F238E27FC236}">
                <a16:creationId xmlns:a16="http://schemas.microsoft.com/office/drawing/2014/main" id="{71FE79E9-FB9B-3BF5-1B87-2DC4A048E4BB}"/>
              </a:ext>
            </a:extLst>
          </xdr:cNvPr>
          <xdr:cNvCxnSpPr/>
        </xdr:nvCxnSpPr>
        <xdr:spPr>
          <a:xfrm>
            <a:off x="2232660" y="89306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748" name="Gerader Verbinder 8747">
            <a:extLst>
              <a:ext uri="{FF2B5EF4-FFF2-40B4-BE49-F238E27FC236}">
                <a16:creationId xmlns:a16="http://schemas.microsoft.com/office/drawing/2014/main" id="{F21779BE-6F1D-4A6B-F5EB-C41803E5B31A}"/>
              </a:ext>
            </a:extLst>
          </xdr:cNvPr>
          <xdr:cNvCxnSpPr/>
        </xdr:nvCxnSpPr>
        <xdr:spPr>
          <a:xfrm flipH="1">
            <a:off x="2232660" y="89306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47</xdr:row>
      <xdr:rowOff>0</xdr:rowOff>
    </xdr:from>
    <xdr:to>
      <xdr:col>4</xdr:col>
      <xdr:colOff>0</xdr:colOff>
      <xdr:row>48</xdr:row>
      <xdr:rowOff>0</xdr:rowOff>
    </xdr:to>
    <xdr:grpSp>
      <xdr:nvGrpSpPr>
        <xdr:cNvPr id="8752" name="Cross_D48">
          <a:extLst>
            <a:ext uri="{FF2B5EF4-FFF2-40B4-BE49-F238E27FC236}">
              <a16:creationId xmlns:a16="http://schemas.microsoft.com/office/drawing/2014/main" id="{12829A82-D005-FD57-5521-C3B7A7A5F736}"/>
            </a:ext>
          </a:extLst>
        </xdr:cNvPr>
        <xdr:cNvGrpSpPr/>
      </xdr:nvGrpSpPr>
      <xdr:grpSpPr>
        <a:xfrm>
          <a:off x="2232660" y="9098280"/>
          <a:ext cx="594360" cy="167640"/>
          <a:chOff x="2232660" y="9098280"/>
          <a:chExt cx="594360" cy="167640"/>
        </a:xfrm>
      </xdr:grpSpPr>
      <xdr:cxnSp macro="">
        <xdr:nvCxnSpPr>
          <xdr:cNvPr id="8750" name="Gerader Verbinder 8749">
            <a:extLst>
              <a:ext uri="{FF2B5EF4-FFF2-40B4-BE49-F238E27FC236}">
                <a16:creationId xmlns:a16="http://schemas.microsoft.com/office/drawing/2014/main" id="{444B1BDE-5AC3-26D0-5346-287890B270B8}"/>
              </a:ext>
            </a:extLst>
          </xdr:cNvPr>
          <xdr:cNvCxnSpPr/>
        </xdr:nvCxnSpPr>
        <xdr:spPr>
          <a:xfrm>
            <a:off x="2232660" y="90982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751" name="Gerader Verbinder 8750">
            <a:extLst>
              <a:ext uri="{FF2B5EF4-FFF2-40B4-BE49-F238E27FC236}">
                <a16:creationId xmlns:a16="http://schemas.microsoft.com/office/drawing/2014/main" id="{70543F9A-0F2A-058B-2C94-65E37B03EBBA}"/>
              </a:ext>
            </a:extLst>
          </xdr:cNvPr>
          <xdr:cNvCxnSpPr/>
        </xdr:nvCxnSpPr>
        <xdr:spPr>
          <a:xfrm flipH="1">
            <a:off x="2232660" y="90982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48</xdr:row>
      <xdr:rowOff>0</xdr:rowOff>
    </xdr:from>
    <xdr:to>
      <xdr:col>4</xdr:col>
      <xdr:colOff>0</xdr:colOff>
      <xdr:row>49</xdr:row>
      <xdr:rowOff>0</xdr:rowOff>
    </xdr:to>
    <xdr:grpSp>
      <xdr:nvGrpSpPr>
        <xdr:cNvPr id="8755" name="Cross_D49">
          <a:extLst>
            <a:ext uri="{FF2B5EF4-FFF2-40B4-BE49-F238E27FC236}">
              <a16:creationId xmlns:a16="http://schemas.microsoft.com/office/drawing/2014/main" id="{7BBB3C34-21A9-8E6A-16FB-84AB342B7AE6}"/>
            </a:ext>
          </a:extLst>
        </xdr:cNvPr>
        <xdr:cNvGrpSpPr/>
      </xdr:nvGrpSpPr>
      <xdr:grpSpPr>
        <a:xfrm>
          <a:off x="2232660" y="9265920"/>
          <a:ext cx="594360" cy="228600"/>
          <a:chOff x="2232660" y="9265920"/>
          <a:chExt cx="594360" cy="228600"/>
        </a:xfrm>
      </xdr:grpSpPr>
      <xdr:cxnSp macro="">
        <xdr:nvCxnSpPr>
          <xdr:cNvPr id="8753" name="Gerader Verbinder 8752">
            <a:extLst>
              <a:ext uri="{FF2B5EF4-FFF2-40B4-BE49-F238E27FC236}">
                <a16:creationId xmlns:a16="http://schemas.microsoft.com/office/drawing/2014/main" id="{38E06506-C1A8-9292-8CC3-D45B0537BB8B}"/>
              </a:ext>
            </a:extLst>
          </xdr:cNvPr>
          <xdr:cNvCxnSpPr/>
        </xdr:nvCxnSpPr>
        <xdr:spPr>
          <a:xfrm>
            <a:off x="2232660" y="926592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754" name="Gerader Verbinder 8753">
            <a:extLst>
              <a:ext uri="{FF2B5EF4-FFF2-40B4-BE49-F238E27FC236}">
                <a16:creationId xmlns:a16="http://schemas.microsoft.com/office/drawing/2014/main" id="{4F2E1187-C386-943B-6286-F8F3156806D4}"/>
              </a:ext>
            </a:extLst>
          </xdr:cNvPr>
          <xdr:cNvCxnSpPr/>
        </xdr:nvCxnSpPr>
        <xdr:spPr>
          <a:xfrm flipH="1">
            <a:off x="2232660" y="926592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49</xdr:row>
      <xdr:rowOff>0</xdr:rowOff>
    </xdr:from>
    <xdr:to>
      <xdr:col>4</xdr:col>
      <xdr:colOff>0</xdr:colOff>
      <xdr:row>50</xdr:row>
      <xdr:rowOff>0</xdr:rowOff>
    </xdr:to>
    <xdr:grpSp>
      <xdr:nvGrpSpPr>
        <xdr:cNvPr id="8758" name="Cross_D50">
          <a:extLst>
            <a:ext uri="{FF2B5EF4-FFF2-40B4-BE49-F238E27FC236}">
              <a16:creationId xmlns:a16="http://schemas.microsoft.com/office/drawing/2014/main" id="{F2574AB0-52C6-1A27-AB11-1B03D04C85DD}"/>
            </a:ext>
          </a:extLst>
        </xdr:cNvPr>
        <xdr:cNvGrpSpPr/>
      </xdr:nvGrpSpPr>
      <xdr:grpSpPr>
        <a:xfrm>
          <a:off x="2232660" y="9494520"/>
          <a:ext cx="594360" cy="167640"/>
          <a:chOff x="2232660" y="9494520"/>
          <a:chExt cx="594360" cy="167640"/>
        </a:xfrm>
      </xdr:grpSpPr>
      <xdr:cxnSp macro="">
        <xdr:nvCxnSpPr>
          <xdr:cNvPr id="8756" name="Gerader Verbinder 8755">
            <a:extLst>
              <a:ext uri="{FF2B5EF4-FFF2-40B4-BE49-F238E27FC236}">
                <a16:creationId xmlns:a16="http://schemas.microsoft.com/office/drawing/2014/main" id="{6914B888-4A57-D136-FC3A-2365AD1EDE35}"/>
              </a:ext>
            </a:extLst>
          </xdr:cNvPr>
          <xdr:cNvCxnSpPr/>
        </xdr:nvCxnSpPr>
        <xdr:spPr>
          <a:xfrm>
            <a:off x="2232660" y="94945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757" name="Gerader Verbinder 8756">
            <a:extLst>
              <a:ext uri="{FF2B5EF4-FFF2-40B4-BE49-F238E27FC236}">
                <a16:creationId xmlns:a16="http://schemas.microsoft.com/office/drawing/2014/main" id="{9EE7BB01-FF52-2911-8BFD-E1B435D9BAA3}"/>
              </a:ext>
            </a:extLst>
          </xdr:cNvPr>
          <xdr:cNvCxnSpPr/>
        </xdr:nvCxnSpPr>
        <xdr:spPr>
          <a:xfrm flipH="1">
            <a:off x="2232660" y="94945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50</xdr:row>
      <xdr:rowOff>0</xdr:rowOff>
    </xdr:from>
    <xdr:to>
      <xdr:col>4</xdr:col>
      <xdr:colOff>0</xdr:colOff>
      <xdr:row>51</xdr:row>
      <xdr:rowOff>0</xdr:rowOff>
    </xdr:to>
    <xdr:grpSp>
      <xdr:nvGrpSpPr>
        <xdr:cNvPr id="8761" name="Cross_D51">
          <a:extLst>
            <a:ext uri="{FF2B5EF4-FFF2-40B4-BE49-F238E27FC236}">
              <a16:creationId xmlns:a16="http://schemas.microsoft.com/office/drawing/2014/main" id="{8C1CCEE4-4B2E-4CA2-FF7B-222B0744C5DF}"/>
            </a:ext>
          </a:extLst>
        </xdr:cNvPr>
        <xdr:cNvGrpSpPr/>
      </xdr:nvGrpSpPr>
      <xdr:grpSpPr>
        <a:xfrm>
          <a:off x="2232660" y="9662160"/>
          <a:ext cx="594360" cy="167640"/>
          <a:chOff x="2232660" y="9662160"/>
          <a:chExt cx="594360" cy="167640"/>
        </a:xfrm>
      </xdr:grpSpPr>
      <xdr:cxnSp macro="">
        <xdr:nvCxnSpPr>
          <xdr:cNvPr id="8759" name="Gerader Verbinder 8758">
            <a:extLst>
              <a:ext uri="{FF2B5EF4-FFF2-40B4-BE49-F238E27FC236}">
                <a16:creationId xmlns:a16="http://schemas.microsoft.com/office/drawing/2014/main" id="{997AE308-FF17-448F-D28D-E3F22BA40AF4}"/>
              </a:ext>
            </a:extLst>
          </xdr:cNvPr>
          <xdr:cNvCxnSpPr/>
        </xdr:nvCxnSpPr>
        <xdr:spPr>
          <a:xfrm>
            <a:off x="2232660" y="96621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760" name="Gerader Verbinder 8759">
            <a:extLst>
              <a:ext uri="{FF2B5EF4-FFF2-40B4-BE49-F238E27FC236}">
                <a16:creationId xmlns:a16="http://schemas.microsoft.com/office/drawing/2014/main" id="{7FE5CE85-7ED6-AC82-330A-5159FCCBA518}"/>
              </a:ext>
            </a:extLst>
          </xdr:cNvPr>
          <xdr:cNvCxnSpPr/>
        </xdr:nvCxnSpPr>
        <xdr:spPr>
          <a:xfrm flipH="1">
            <a:off x="2232660" y="96621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51</xdr:row>
      <xdr:rowOff>0</xdr:rowOff>
    </xdr:from>
    <xdr:to>
      <xdr:col>4</xdr:col>
      <xdr:colOff>0</xdr:colOff>
      <xdr:row>52</xdr:row>
      <xdr:rowOff>0</xdr:rowOff>
    </xdr:to>
    <xdr:grpSp>
      <xdr:nvGrpSpPr>
        <xdr:cNvPr id="8764" name="Cross_D52">
          <a:extLst>
            <a:ext uri="{FF2B5EF4-FFF2-40B4-BE49-F238E27FC236}">
              <a16:creationId xmlns:a16="http://schemas.microsoft.com/office/drawing/2014/main" id="{5C1F58D7-6C9F-EFB1-1B1F-17D0E892169C}"/>
            </a:ext>
          </a:extLst>
        </xdr:cNvPr>
        <xdr:cNvGrpSpPr/>
      </xdr:nvGrpSpPr>
      <xdr:grpSpPr>
        <a:xfrm>
          <a:off x="2232660" y="9829800"/>
          <a:ext cx="594360" cy="228600"/>
          <a:chOff x="2232660" y="9829800"/>
          <a:chExt cx="594360" cy="228600"/>
        </a:xfrm>
      </xdr:grpSpPr>
      <xdr:cxnSp macro="">
        <xdr:nvCxnSpPr>
          <xdr:cNvPr id="8762" name="Gerader Verbinder 8761">
            <a:extLst>
              <a:ext uri="{FF2B5EF4-FFF2-40B4-BE49-F238E27FC236}">
                <a16:creationId xmlns:a16="http://schemas.microsoft.com/office/drawing/2014/main" id="{E5778BD0-5E53-C520-C44C-F4EDB860D142}"/>
              </a:ext>
            </a:extLst>
          </xdr:cNvPr>
          <xdr:cNvCxnSpPr/>
        </xdr:nvCxnSpPr>
        <xdr:spPr>
          <a:xfrm>
            <a:off x="2232660" y="982980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763" name="Gerader Verbinder 8762">
            <a:extLst>
              <a:ext uri="{FF2B5EF4-FFF2-40B4-BE49-F238E27FC236}">
                <a16:creationId xmlns:a16="http://schemas.microsoft.com/office/drawing/2014/main" id="{893432CE-8C60-7832-CF6F-514F64E8EEBC}"/>
              </a:ext>
            </a:extLst>
          </xdr:cNvPr>
          <xdr:cNvCxnSpPr/>
        </xdr:nvCxnSpPr>
        <xdr:spPr>
          <a:xfrm flipH="1">
            <a:off x="2232660" y="982980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52</xdr:row>
      <xdr:rowOff>0</xdr:rowOff>
    </xdr:from>
    <xdr:to>
      <xdr:col>4</xdr:col>
      <xdr:colOff>0</xdr:colOff>
      <xdr:row>53</xdr:row>
      <xdr:rowOff>0</xdr:rowOff>
    </xdr:to>
    <xdr:grpSp>
      <xdr:nvGrpSpPr>
        <xdr:cNvPr id="8767" name="Cross_D53">
          <a:extLst>
            <a:ext uri="{FF2B5EF4-FFF2-40B4-BE49-F238E27FC236}">
              <a16:creationId xmlns:a16="http://schemas.microsoft.com/office/drawing/2014/main" id="{1DEF9F54-6C3C-170A-7AC4-C0F7567E6C2B}"/>
            </a:ext>
          </a:extLst>
        </xdr:cNvPr>
        <xdr:cNvGrpSpPr/>
      </xdr:nvGrpSpPr>
      <xdr:grpSpPr>
        <a:xfrm>
          <a:off x="2232660" y="10058400"/>
          <a:ext cx="594360" cy="167640"/>
          <a:chOff x="2232660" y="10058400"/>
          <a:chExt cx="594360" cy="167640"/>
        </a:xfrm>
      </xdr:grpSpPr>
      <xdr:cxnSp macro="">
        <xdr:nvCxnSpPr>
          <xdr:cNvPr id="8765" name="Gerader Verbinder 8764">
            <a:extLst>
              <a:ext uri="{FF2B5EF4-FFF2-40B4-BE49-F238E27FC236}">
                <a16:creationId xmlns:a16="http://schemas.microsoft.com/office/drawing/2014/main" id="{A8580EB4-EB4B-F444-3B11-BA807E1563AF}"/>
              </a:ext>
            </a:extLst>
          </xdr:cNvPr>
          <xdr:cNvCxnSpPr/>
        </xdr:nvCxnSpPr>
        <xdr:spPr>
          <a:xfrm>
            <a:off x="2232660" y="100584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766" name="Gerader Verbinder 8765">
            <a:extLst>
              <a:ext uri="{FF2B5EF4-FFF2-40B4-BE49-F238E27FC236}">
                <a16:creationId xmlns:a16="http://schemas.microsoft.com/office/drawing/2014/main" id="{226E7BB6-7760-5187-9209-83492ED09BB7}"/>
              </a:ext>
            </a:extLst>
          </xdr:cNvPr>
          <xdr:cNvCxnSpPr/>
        </xdr:nvCxnSpPr>
        <xdr:spPr>
          <a:xfrm flipH="1">
            <a:off x="2232660" y="100584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53</xdr:row>
      <xdr:rowOff>0</xdr:rowOff>
    </xdr:from>
    <xdr:to>
      <xdr:col>4</xdr:col>
      <xdr:colOff>0</xdr:colOff>
      <xdr:row>54</xdr:row>
      <xdr:rowOff>0</xdr:rowOff>
    </xdr:to>
    <xdr:grpSp>
      <xdr:nvGrpSpPr>
        <xdr:cNvPr id="8770" name="Cross_D54">
          <a:extLst>
            <a:ext uri="{FF2B5EF4-FFF2-40B4-BE49-F238E27FC236}">
              <a16:creationId xmlns:a16="http://schemas.microsoft.com/office/drawing/2014/main" id="{85B2CC15-CF77-19A7-73E5-B5F6916F4EA8}"/>
            </a:ext>
          </a:extLst>
        </xdr:cNvPr>
        <xdr:cNvGrpSpPr/>
      </xdr:nvGrpSpPr>
      <xdr:grpSpPr>
        <a:xfrm>
          <a:off x="2232660" y="10226040"/>
          <a:ext cx="594360" cy="167640"/>
          <a:chOff x="2232660" y="10226040"/>
          <a:chExt cx="594360" cy="167640"/>
        </a:xfrm>
      </xdr:grpSpPr>
      <xdr:cxnSp macro="">
        <xdr:nvCxnSpPr>
          <xdr:cNvPr id="8768" name="Gerader Verbinder 8767">
            <a:extLst>
              <a:ext uri="{FF2B5EF4-FFF2-40B4-BE49-F238E27FC236}">
                <a16:creationId xmlns:a16="http://schemas.microsoft.com/office/drawing/2014/main" id="{2C12D7B9-8EAF-DB62-6266-3D61A790DE41}"/>
              </a:ext>
            </a:extLst>
          </xdr:cNvPr>
          <xdr:cNvCxnSpPr/>
        </xdr:nvCxnSpPr>
        <xdr:spPr>
          <a:xfrm>
            <a:off x="2232660" y="102260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769" name="Gerader Verbinder 8768">
            <a:extLst>
              <a:ext uri="{FF2B5EF4-FFF2-40B4-BE49-F238E27FC236}">
                <a16:creationId xmlns:a16="http://schemas.microsoft.com/office/drawing/2014/main" id="{18AFC458-0731-F1ED-20F8-527A27E94A60}"/>
              </a:ext>
            </a:extLst>
          </xdr:cNvPr>
          <xdr:cNvCxnSpPr/>
        </xdr:nvCxnSpPr>
        <xdr:spPr>
          <a:xfrm flipH="1">
            <a:off x="2232660" y="102260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57</xdr:row>
      <xdr:rowOff>0</xdr:rowOff>
    </xdr:from>
    <xdr:to>
      <xdr:col>4</xdr:col>
      <xdr:colOff>0</xdr:colOff>
      <xdr:row>58</xdr:row>
      <xdr:rowOff>0</xdr:rowOff>
    </xdr:to>
    <xdr:grpSp>
      <xdr:nvGrpSpPr>
        <xdr:cNvPr id="8773" name="Cross_D58">
          <a:extLst>
            <a:ext uri="{FF2B5EF4-FFF2-40B4-BE49-F238E27FC236}">
              <a16:creationId xmlns:a16="http://schemas.microsoft.com/office/drawing/2014/main" id="{3CE6055C-E421-341D-D297-B0ED5B114B7F}"/>
            </a:ext>
          </a:extLst>
        </xdr:cNvPr>
        <xdr:cNvGrpSpPr/>
      </xdr:nvGrpSpPr>
      <xdr:grpSpPr>
        <a:xfrm>
          <a:off x="2232660" y="10957560"/>
          <a:ext cx="594360" cy="228600"/>
          <a:chOff x="2232660" y="10957560"/>
          <a:chExt cx="594360" cy="228600"/>
        </a:xfrm>
      </xdr:grpSpPr>
      <xdr:cxnSp macro="">
        <xdr:nvCxnSpPr>
          <xdr:cNvPr id="8771" name="Gerader Verbinder 8770">
            <a:extLst>
              <a:ext uri="{FF2B5EF4-FFF2-40B4-BE49-F238E27FC236}">
                <a16:creationId xmlns:a16="http://schemas.microsoft.com/office/drawing/2014/main" id="{3D237B2A-FFC5-2EE3-1442-51D3BE6C8ADC}"/>
              </a:ext>
            </a:extLst>
          </xdr:cNvPr>
          <xdr:cNvCxnSpPr/>
        </xdr:nvCxnSpPr>
        <xdr:spPr>
          <a:xfrm>
            <a:off x="2232660" y="1095756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772" name="Gerader Verbinder 8771">
            <a:extLst>
              <a:ext uri="{FF2B5EF4-FFF2-40B4-BE49-F238E27FC236}">
                <a16:creationId xmlns:a16="http://schemas.microsoft.com/office/drawing/2014/main" id="{1C52E10B-E0B6-B95C-C7E1-5609B726825A}"/>
              </a:ext>
            </a:extLst>
          </xdr:cNvPr>
          <xdr:cNvCxnSpPr/>
        </xdr:nvCxnSpPr>
        <xdr:spPr>
          <a:xfrm flipH="1">
            <a:off x="2232660" y="1095756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58</xdr:row>
      <xdr:rowOff>0</xdr:rowOff>
    </xdr:from>
    <xdr:to>
      <xdr:col>4</xdr:col>
      <xdr:colOff>0</xdr:colOff>
      <xdr:row>59</xdr:row>
      <xdr:rowOff>0</xdr:rowOff>
    </xdr:to>
    <xdr:grpSp>
      <xdr:nvGrpSpPr>
        <xdr:cNvPr id="8776" name="Cross_D59">
          <a:extLst>
            <a:ext uri="{FF2B5EF4-FFF2-40B4-BE49-F238E27FC236}">
              <a16:creationId xmlns:a16="http://schemas.microsoft.com/office/drawing/2014/main" id="{3297B28D-06CC-5408-89D2-82D57D296D7C}"/>
            </a:ext>
          </a:extLst>
        </xdr:cNvPr>
        <xdr:cNvGrpSpPr/>
      </xdr:nvGrpSpPr>
      <xdr:grpSpPr>
        <a:xfrm>
          <a:off x="2232660" y="11186160"/>
          <a:ext cx="594360" cy="167640"/>
          <a:chOff x="2232660" y="11186160"/>
          <a:chExt cx="594360" cy="167640"/>
        </a:xfrm>
      </xdr:grpSpPr>
      <xdr:cxnSp macro="">
        <xdr:nvCxnSpPr>
          <xdr:cNvPr id="8774" name="Gerader Verbinder 8773">
            <a:extLst>
              <a:ext uri="{FF2B5EF4-FFF2-40B4-BE49-F238E27FC236}">
                <a16:creationId xmlns:a16="http://schemas.microsoft.com/office/drawing/2014/main" id="{B5CD3BD9-32AA-81F1-59D1-12F60EA5563B}"/>
              </a:ext>
            </a:extLst>
          </xdr:cNvPr>
          <xdr:cNvCxnSpPr/>
        </xdr:nvCxnSpPr>
        <xdr:spPr>
          <a:xfrm>
            <a:off x="2232660" y="111861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775" name="Gerader Verbinder 8774">
            <a:extLst>
              <a:ext uri="{FF2B5EF4-FFF2-40B4-BE49-F238E27FC236}">
                <a16:creationId xmlns:a16="http://schemas.microsoft.com/office/drawing/2014/main" id="{5EC26BF7-E81F-2BF3-9FD0-8EAEBD006CA0}"/>
              </a:ext>
            </a:extLst>
          </xdr:cNvPr>
          <xdr:cNvCxnSpPr/>
        </xdr:nvCxnSpPr>
        <xdr:spPr>
          <a:xfrm flipH="1">
            <a:off x="2232660" y="111861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59</xdr:row>
      <xdr:rowOff>0</xdr:rowOff>
    </xdr:from>
    <xdr:to>
      <xdr:col>4</xdr:col>
      <xdr:colOff>0</xdr:colOff>
      <xdr:row>60</xdr:row>
      <xdr:rowOff>0</xdr:rowOff>
    </xdr:to>
    <xdr:grpSp>
      <xdr:nvGrpSpPr>
        <xdr:cNvPr id="8779" name="Cross_D60">
          <a:extLst>
            <a:ext uri="{FF2B5EF4-FFF2-40B4-BE49-F238E27FC236}">
              <a16:creationId xmlns:a16="http://schemas.microsoft.com/office/drawing/2014/main" id="{09D7FD7F-D6E0-0EC9-96AC-B1242F7B8B14}"/>
            </a:ext>
          </a:extLst>
        </xdr:cNvPr>
        <xdr:cNvGrpSpPr/>
      </xdr:nvGrpSpPr>
      <xdr:grpSpPr>
        <a:xfrm>
          <a:off x="2232660" y="11353800"/>
          <a:ext cx="594360" cy="167640"/>
          <a:chOff x="2232660" y="11353800"/>
          <a:chExt cx="594360" cy="167640"/>
        </a:xfrm>
      </xdr:grpSpPr>
      <xdr:cxnSp macro="">
        <xdr:nvCxnSpPr>
          <xdr:cNvPr id="8777" name="Gerader Verbinder 8776">
            <a:extLst>
              <a:ext uri="{FF2B5EF4-FFF2-40B4-BE49-F238E27FC236}">
                <a16:creationId xmlns:a16="http://schemas.microsoft.com/office/drawing/2014/main" id="{2F5DACE7-DB5A-D093-2460-55F35B1F0695}"/>
              </a:ext>
            </a:extLst>
          </xdr:cNvPr>
          <xdr:cNvCxnSpPr/>
        </xdr:nvCxnSpPr>
        <xdr:spPr>
          <a:xfrm>
            <a:off x="2232660" y="113538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778" name="Gerader Verbinder 8777">
            <a:extLst>
              <a:ext uri="{FF2B5EF4-FFF2-40B4-BE49-F238E27FC236}">
                <a16:creationId xmlns:a16="http://schemas.microsoft.com/office/drawing/2014/main" id="{40ACCFBA-5B3F-BACC-5C71-094254C02CB4}"/>
              </a:ext>
            </a:extLst>
          </xdr:cNvPr>
          <xdr:cNvCxnSpPr/>
        </xdr:nvCxnSpPr>
        <xdr:spPr>
          <a:xfrm flipH="1">
            <a:off x="2232660" y="113538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60</xdr:row>
      <xdr:rowOff>0</xdr:rowOff>
    </xdr:from>
    <xdr:to>
      <xdr:col>4</xdr:col>
      <xdr:colOff>0</xdr:colOff>
      <xdr:row>61</xdr:row>
      <xdr:rowOff>0</xdr:rowOff>
    </xdr:to>
    <xdr:grpSp>
      <xdr:nvGrpSpPr>
        <xdr:cNvPr id="8782" name="Cross_D61">
          <a:extLst>
            <a:ext uri="{FF2B5EF4-FFF2-40B4-BE49-F238E27FC236}">
              <a16:creationId xmlns:a16="http://schemas.microsoft.com/office/drawing/2014/main" id="{8F58904A-46B8-AB22-8748-FE90605247D8}"/>
            </a:ext>
          </a:extLst>
        </xdr:cNvPr>
        <xdr:cNvGrpSpPr/>
      </xdr:nvGrpSpPr>
      <xdr:grpSpPr>
        <a:xfrm>
          <a:off x="2232660" y="11521440"/>
          <a:ext cx="594360" cy="228600"/>
          <a:chOff x="2232660" y="11521440"/>
          <a:chExt cx="594360" cy="228600"/>
        </a:xfrm>
      </xdr:grpSpPr>
      <xdr:cxnSp macro="">
        <xdr:nvCxnSpPr>
          <xdr:cNvPr id="8780" name="Gerader Verbinder 8779">
            <a:extLst>
              <a:ext uri="{FF2B5EF4-FFF2-40B4-BE49-F238E27FC236}">
                <a16:creationId xmlns:a16="http://schemas.microsoft.com/office/drawing/2014/main" id="{355E5F3B-8045-0DB5-6F2B-894B2C61021A}"/>
              </a:ext>
            </a:extLst>
          </xdr:cNvPr>
          <xdr:cNvCxnSpPr/>
        </xdr:nvCxnSpPr>
        <xdr:spPr>
          <a:xfrm>
            <a:off x="2232660" y="1152144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781" name="Gerader Verbinder 8780">
            <a:extLst>
              <a:ext uri="{FF2B5EF4-FFF2-40B4-BE49-F238E27FC236}">
                <a16:creationId xmlns:a16="http://schemas.microsoft.com/office/drawing/2014/main" id="{C850B56B-A402-4E55-B43B-95785751CB18}"/>
              </a:ext>
            </a:extLst>
          </xdr:cNvPr>
          <xdr:cNvCxnSpPr/>
        </xdr:nvCxnSpPr>
        <xdr:spPr>
          <a:xfrm flipH="1">
            <a:off x="2232660" y="1152144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61</xdr:row>
      <xdr:rowOff>0</xdr:rowOff>
    </xdr:from>
    <xdr:to>
      <xdr:col>4</xdr:col>
      <xdr:colOff>0</xdr:colOff>
      <xdr:row>62</xdr:row>
      <xdr:rowOff>0</xdr:rowOff>
    </xdr:to>
    <xdr:grpSp>
      <xdr:nvGrpSpPr>
        <xdr:cNvPr id="8785" name="Cross_D62">
          <a:extLst>
            <a:ext uri="{FF2B5EF4-FFF2-40B4-BE49-F238E27FC236}">
              <a16:creationId xmlns:a16="http://schemas.microsoft.com/office/drawing/2014/main" id="{6CCBAD9F-8D12-4CAA-30D4-411F34D530E0}"/>
            </a:ext>
          </a:extLst>
        </xdr:cNvPr>
        <xdr:cNvGrpSpPr/>
      </xdr:nvGrpSpPr>
      <xdr:grpSpPr>
        <a:xfrm>
          <a:off x="2232660" y="11750040"/>
          <a:ext cx="594360" cy="167640"/>
          <a:chOff x="2232660" y="11750040"/>
          <a:chExt cx="594360" cy="167640"/>
        </a:xfrm>
      </xdr:grpSpPr>
      <xdr:cxnSp macro="">
        <xdr:nvCxnSpPr>
          <xdr:cNvPr id="8783" name="Gerader Verbinder 8782">
            <a:extLst>
              <a:ext uri="{FF2B5EF4-FFF2-40B4-BE49-F238E27FC236}">
                <a16:creationId xmlns:a16="http://schemas.microsoft.com/office/drawing/2014/main" id="{5A254DD8-BE3B-3E81-76A8-86BD74C6E025}"/>
              </a:ext>
            </a:extLst>
          </xdr:cNvPr>
          <xdr:cNvCxnSpPr/>
        </xdr:nvCxnSpPr>
        <xdr:spPr>
          <a:xfrm>
            <a:off x="2232660" y="117500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784" name="Gerader Verbinder 8783">
            <a:extLst>
              <a:ext uri="{FF2B5EF4-FFF2-40B4-BE49-F238E27FC236}">
                <a16:creationId xmlns:a16="http://schemas.microsoft.com/office/drawing/2014/main" id="{D8382EB1-B270-2402-95C2-4AFB33974C4C}"/>
              </a:ext>
            </a:extLst>
          </xdr:cNvPr>
          <xdr:cNvCxnSpPr/>
        </xdr:nvCxnSpPr>
        <xdr:spPr>
          <a:xfrm flipH="1">
            <a:off x="2232660" y="117500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62</xdr:row>
      <xdr:rowOff>0</xdr:rowOff>
    </xdr:from>
    <xdr:to>
      <xdr:col>4</xdr:col>
      <xdr:colOff>0</xdr:colOff>
      <xdr:row>63</xdr:row>
      <xdr:rowOff>0</xdr:rowOff>
    </xdr:to>
    <xdr:grpSp>
      <xdr:nvGrpSpPr>
        <xdr:cNvPr id="8788" name="Cross_D63">
          <a:extLst>
            <a:ext uri="{FF2B5EF4-FFF2-40B4-BE49-F238E27FC236}">
              <a16:creationId xmlns:a16="http://schemas.microsoft.com/office/drawing/2014/main" id="{CC2600E0-858A-C53A-3DAC-588A468F877B}"/>
            </a:ext>
          </a:extLst>
        </xdr:cNvPr>
        <xdr:cNvGrpSpPr/>
      </xdr:nvGrpSpPr>
      <xdr:grpSpPr>
        <a:xfrm>
          <a:off x="2232660" y="11917680"/>
          <a:ext cx="594360" cy="167640"/>
          <a:chOff x="2232660" y="11917680"/>
          <a:chExt cx="594360" cy="167640"/>
        </a:xfrm>
      </xdr:grpSpPr>
      <xdr:cxnSp macro="">
        <xdr:nvCxnSpPr>
          <xdr:cNvPr id="8786" name="Gerader Verbinder 8785">
            <a:extLst>
              <a:ext uri="{FF2B5EF4-FFF2-40B4-BE49-F238E27FC236}">
                <a16:creationId xmlns:a16="http://schemas.microsoft.com/office/drawing/2014/main" id="{83C1B088-9E44-1CEC-75B6-6CBF0EC8EDE3}"/>
              </a:ext>
            </a:extLst>
          </xdr:cNvPr>
          <xdr:cNvCxnSpPr/>
        </xdr:nvCxnSpPr>
        <xdr:spPr>
          <a:xfrm>
            <a:off x="2232660" y="119176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787" name="Gerader Verbinder 8786">
            <a:extLst>
              <a:ext uri="{FF2B5EF4-FFF2-40B4-BE49-F238E27FC236}">
                <a16:creationId xmlns:a16="http://schemas.microsoft.com/office/drawing/2014/main" id="{0A3C7DA6-7BCE-D0B5-2E0E-8F05CA9864E6}"/>
              </a:ext>
            </a:extLst>
          </xdr:cNvPr>
          <xdr:cNvCxnSpPr/>
        </xdr:nvCxnSpPr>
        <xdr:spPr>
          <a:xfrm flipH="1">
            <a:off x="2232660" y="119176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9</xdr:row>
      <xdr:rowOff>0</xdr:rowOff>
    </xdr:from>
    <xdr:to>
      <xdr:col>5</xdr:col>
      <xdr:colOff>0</xdr:colOff>
      <xdr:row>10</xdr:row>
      <xdr:rowOff>0</xdr:rowOff>
    </xdr:to>
    <xdr:grpSp>
      <xdr:nvGrpSpPr>
        <xdr:cNvPr id="8791" name="Cross_E10">
          <a:extLst>
            <a:ext uri="{FF2B5EF4-FFF2-40B4-BE49-F238E27FC236}">
              <a16:creationId xmlns:a16="http://schemas.microsoft.com/office/drawing/2014/main" id="{95E9C1AD-5667-BEB5-FE9D-71FA2754073E}"/>
            </a:ext>
          </a:extLst>
        </xdr:cNvPr>
        <xdr:cNvGrpSpPr/>
      </xdr:nvGrpSpPr>
      <xdr:grpSpPr>
        <a:xfrm>
          <a:off x="2827020" y="1935480"/>
          <a:ext cx="594360" cy="228600"/>
          <a:chOff x="2827020" y="1935480"/>
          <a:chExt cx="594360" cy="228600"/>
        </a:xfrm>
      </xdr:grpSpPr>
      <xdr:cxnSp macro="">
        <xdr:nvCxnSpPr>
          <xdr:cNvPr id="8789" name="Gerader Verbinder 8788">
            <a:extLst>
              <a:ext uri="{FF2B5EF4-FFF2-40B4-BE49-F238E27FC236}">
                <a16:creationId xmlns:a16="http://schemas.microsoft.com/office/drawing/2014/main" id="{2B0CD480-A11A-8F33-8DC4-9C0A614337EC}"/>
              </a:ext>
            </a:extLst>
          </xdr:cNvPr>
          <xdr:cNvCxnSpPr/>
        </xdr:nvCxnSpPr>
        <xdr:spPr>
          <a:xfrm>
            <a:off x="2827020" y="19354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790" name="Gerader Verbinder 8789">
            <a:extLst>
              <a:ext uri="{FF2B5EF4-FFF2-40B4-BE49-F238E27FC236}">
                <a16:creationId xmlns:a16="http://schemas.microsoft.com/office/drawing/2014/main" id="{31A55229-3FC7-7F17-AEF2-12EDF1397F5C}"/>
              </a:ext>
            </a:extLst>
          </xdr:cNvPr>
          <xdr:cNvCxnSpPr/>
        </xdr:nvCxnSpPr>
        <xdr:spPr>
          <a:xfrm flipH="1">
            <a:off x="2827020" y="19354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10</xdr:row>
      <xdr:rowOff>0</xdr:rowOff>
    </xdr:from>
    <xdr:to>
      <xdr:col>5</xdr:col>
      <xdr:colOff>0</xdr:colOff>
      <xdr:row>11</xdr:row>
      <xdr:rowOff>0</xdr:rowOff>
    </xdr:to>
    <xdr:grpSp>
      <xdr:nvGrpSpPr>
        <xdr:cNvPr id="8794" name="Cross_E11">
          <a:extLst>
            <a:ext uri="{FF2B5EF4-FFF2-40B4-BE49-F238E27FC236}">
              <a16:creationId xmlns:a16="http://schemas.microsoft.com/office/drawing/2014/main" id="{AE9FDAAE-8E0D-4ACA-5FEC-3995F61C9DCD}"/>
            </a:ext>
          </a:extLst>
        </xdr:cNvPr>
        <xdr:cNvGrpSpPr/>
      </xdr:nvGrpSpPr>
      <xdr:grpSpPr>
        <a:xfrm>
          <a:off x="2827020" y="2164080"/>
          <a:ext cx="594360" cy="167640"/>
          <a:chOff x="2827020" y="2164080"/>
          <a:chExt cx="594360" cy="167640"/>
        </a:xfrm>
      </xdr:grpSpPr>
      <xdr:cxnSp macro="">
        <xdr:nvCxnSpPr>
          <xdr:cNvPr id="8792" name="Gerader Verbinder 8791">
            <a:extLst>
              <a:ext uri="{FF2B5EF4-FFF2-40B4-BE49-F238E27FC236}">
                <a16:creationId xmlns:a16="http://schemas.microsoft.com/office/drawing/2014/main" id="{E50A70C3-7C8F-1E67-DDE5-7781688380E0}"/>
              </a:ext>
            </a:extLst>
          </xdr:cNvPr>
          <xdr:cNvCxnSpPr/>
        </xdr:nvCxnSpPr>
        <xdr:spPr>
          <a:xfrm>
            <a:off x="2827020" y="21640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793" name="Gerader Verbinder 8792">
            <a:extLst>
              <a:ext uri="{FF2B5EF4-FFF2-40B4-BE49-F238E27FC236}">
                <a16:creationId xmlns:a16="http://schemas.microsoft.com/office/drawing/2014/main" id="{3590F725-3866-8510-C91F-E49FB23F5F7B}"/>
              </a:ext>
            </a:extLst>
          </xdr:cNvPr>
          <xdr:cNvCxnSpPr/>
        </xdr:nvCxnSpPr>
        <xdr:spPr>
          <a:xfrm flipH="1">
            <a:off x="2827020" y="21640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11</xdr:row>
      <xdr:rowOff>0</xdr:rowOff>
    </xdr:from>
    <xdr:to>
      <xdr:col>5</xdr:col>
      <xdr:colOff>0</xdr:colOff>
      <xdr:row>12</xdr:row>
      <xdr:rowOff>0</xdr:rowOff>
    </xdr:to>
    <xdr:grpSp>
      <xdr:nvGrpSpPr>
        <xdr:cNvPr id="8797" name="Cross_E12">
          <a:extLst>
            <a:ext uri="{FF2B5EF4-FFF2-40B4-BE49-F238E27FC236}">
              <a16:creationId xmlns:a16="http://schemas.microsoft.com/office/drawing/2014/main" id="{C9EAAAEC-6A76-8120-EC4E-0D5F5296AA2D}"/>
            </a:ext>
          </a:extLst>
        </xdr:cNvPr>
        <xdr:cNvGrpSpPr/>
      </xdr:nvGrpSpPr>
      <xdr:grpSpPr>
        <a:xfrm>
          <a:off x="2827020" y="2331720"/>
          <a:ext cx="594360" cy="167640"/>
          <a:chOff x="2827020" y="2331720"/>
          <a:chExt cx="594360" cy="167640"/>
        </a:xfrm>
      </xdr:grpSpPr>
      <xdr:cxnSp macro="">
        <xdr:nvCxnSpPr>
          <xdr:cNvPr id="8795" name="Gerader Verbinder 8794">
            <a:extLst>
              <a:ext uri="{FF2B5EF4-FFF2-40B4-BE49-F238E27FC236}">
                <a16:creationId xmlns:a16="http://schemas.microsoft.com/office/drawing/2014/main" id="{99C3295C-5A97-4B70-5ED9-6C8D77A3FE50}"/>
              </a:ext>
            </a:extLst>
          </xdr:cNvPr>
          <xdr:cNvCxnSpPr/>
        </xdr:nvCxnSpPr>
        <xdr:spPr>
          <a:xfrm>
            <a:off x="2827020" y="23317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796" name="Gerader Verbinder 8795">
            <a:extLst>
              <a:ext uri="{FF2B5EF4-FFF2-40B4-BE49-F238E27FC236}">
                <a16:creationId xmlns:a16="http://schemas.microsoft.com/office/drawing/2014/main" id="{C9B5BA21-4CFE-C307-751C-A111E3AF0F0E}"/>
              </a:ext>
            </a:extLst>
          </xdr:cNvPr>
          <xdr:cNvCxnSpPr/>
        </xdr:nvCxnSpPr>
        <xdr:spPr>
          <a:xfrm flipH="1">
            <a:off x="2827020" y="23317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12</xdr:row>
      <xdr:rowOff>0</xdr:rowOff>
    </xdr:from>
    <xdr:to>
      <xdr:col>5</xdr:col>
      <xdr:colOff>0</xdr:colOff>
      <xdr:row>13</xdr:row>
      <xdr:rowOff>0</xdr:rowOff>
    </xdr:to>
    <xdr:grpSp>
      <xdr:nvGrpSpPr>
        <xdr:cNvPr id="8800" name="Cross_E13">
          <a:extLst>
            <a:ext uri="{FF2B5EF4-FFF2-40B4-BE49-F238E27FC236}">
              <a16:creationId xmlns:a16="http://schemas.microsoft.com/office/drawing/2014/main" id="{ABF8D053-D0E3-C905-9A85-FA32B8CB33BC}"/>
            </a:ext>
          </a:extLst>
        </xdr:cNvPr>
        <xdr:cNvGrpSpPr/>
      </xdr:nvGrpSpPr>
      <xdr:grpSpPr>
        <a:xfrm>
          <a:off x="2827020" y="2499360"/>
          <a:ext cx="594360" cy="228600"/>
          <a:chOff x="2827020" y="2499360"/>
          <a:chExt cx="594360" cy="228600"/>
        </a:xfrm>
      </xdr:grpSpPr>
      <xdr:cxnSp macro="">
        <xdr:nvCxnSpPr>
          <xdr:cNvPr id="8798" name="Gerader Verbinder 8797">
            <a:extLst>
              <a:ext uri="{FF2B5EF4-FFF2-40B4-BE49-F238E27FC236}">
                <a16:creationId xmlns:a16="http://schemas.microsoft.com/office/drawing/2014/main" id="{A4B24053-C1CE-E4E9-BCDB-5BA2BA30A073}"/>
              </a:ext>
            </a:extLst>
          </xdr:cNvPr>
          <xdr:cNvCxnSpPr/>
        </xdr:nvCxnSpPr>
        <xdr:spPr>
          <a:xfrm>
            <a:off x="2827020" y="249936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799" name="Gerader Verbinder 8798">
            <a:extLst>
              <a:ext uri="{FF2B5EF4-FFF2-40B4-BE49-F238E27FC236}">
                <a16:creationId xmlns:a16="http://schemas.microsoft.com/office/drawing/2014/main" id="{363B2862-3290-E866-6316-612C83B2D70F}"/>
              </a:ext>
            </a:extLst>
          </xdr:cNvPr>
          <xdr:cNvCxnSpPr/>
        </xdr:nvCxnSpPr>
        <xdr:spPr>
          <a:xfrm flipH="1">
            <a:off x="2827020" y="249936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13</xdr:row>
      <xdr:rowOff>0</xdr:rowOff>
    </xdr:from>
    <xdr:to>
      <xdr:col>5</xdr:col>
      <xdr:colOff>0</xdr:colOff>
      <xdr:row>14</xdr:row>
      <xdr:rowOff>0</xdr:rowOff>
    </xdr:to>
    <xdr:grpSp>
      <xdr:nvGrpSpPr>
        <xdr:cNvPr id="8803" name="Cross_E14">
          <a:extLst>
            <a:ext uri="{FF2B5EF4-FFF2-40B4-BE49-F238E27FC236}">
              <a16:creationId xmlns:a16="http://schemas.microsoft.com/office/drawing/2014/main" id="{5CAF730F-3422-320F-87E3-CABC84148263}"/>
            </a:ext>
          </a:extLst>
        </xdr:cNvPr>
        <xdr:cNvGrpSpPr/>
      </xdr:nvGrpSpPr>
      <xdr:grpSpPr>
        <a:xfrm>
          <a:off x="2827020" y="2727960"/>
          <a:ext cx="594360" cy="167640"/>
          <a:chOff x="2827020" y="2727960"/>
          <a:chExt cx="594360" cy="167640"/>
        </a:xfrm>
      </xdr:grpSpPr>
      <xdr:cxnSp macro="">
        <xdr:nvCxnSpPr>
          <xdr:cNvPr id="8801" name="Gerader Verbinder 8800">
            <a:extLst>
              <a:ext uri="{FF2B5EF4-FFF2-40B4-BE49-F238E27FC236}">
                <a16:creationId xmlns:a16="http://schemas.microsoft.com/office/drawing/2014/main" id="{A4160661-4348-93F3-FA4E-B12C79ECC5F7}"/>
              </a:ext>
            </a:extLst>
          </xdr:cNvPr>
          <xdr:cNvCxnSpPr/>
        </xdr:nvCxnSpPr>
        <xdr:spPr>
          <a:xfrm>
            <a:off x="2827020" y="27279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802" name="Gerader Verbinder 8801">
            <a:extLst>
              <a:ext uri="{FF2B5EF4-FFF2-40B4-BE49-F238E27FC236}">
                <a16:creationId xmlns:a16="http://schemas.microsoft.com/office/drawing/2014/main" id="{7287D136-3629-AE46-38C2-53AF60F547D8}"/>
              </a:ext>
            </a:extLst>
          </xdr:cNvPr>
          <xdr:cNvCxnSpPr/>
        </xdr:nvCxnSpPr>
        <xdr:spPr>
          <a:xfrm flipH="1">
            <a:off x="2827020" y="27279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14</xdr:row>
      <xdr:rowOff>0</xdr:rowOff>
    </xdr:from>
    <xdr:to>
      <xdr:col>5</xdr:col>
      <xdr:colOff>0</xdr:colOff>
      <xdr:row>15</xdr:row>
      <xdr:rowOff>0</xdr:rowOff>
    </xdr:to>
    <xdr:grpSp>
      <xdr:nvGrpSpPr>
        <xdr:cNvPr id="8806" name="Cross_E15">
          <a:extLst>
            <a:ext uri="{FF2B5EF4-FFF2-40B4-BE49-F238E27FC236}">
              <a16:creationId xmlns:a16="http://schemas.microsoft.com/office/drawing/2014/main" id="{5EAF55F3-1F1E-3F2B-D9E8-AA924354C504}"/>
            </a:ext>
          </a:extLst>
        </xdr:cNvPr>
        <xdr:cNvGrpSpPr/>
      </xdr:nvGrpSpPr>
      <xdr:grpSpPr>
        <a:xfrm>
          <a:off x="2827020" y="2895600"/>
          <a:ext cx="594360" cy="167640"/>
          <a:chOff x="2827020" y="2895600"/>
          <a:chExt cx="594360" cy="167640"/>
        </a:xfrm>
      </xdr:grpSpPr>
      <xdr:cxnSp macro="">
        <xdr:nvCxnSpPr>
          <xdr:cNvPr id="8804" name="Gerader Verbinder 8803">
            <a:extLst>
              <a:ext uri="{FF2B5EF4-FFF2-40B4-BE49-F238E27FC236}">
                <a16:creationId xmlns:a16="http://schemas.microsoft.com/office/drawing/2014/main" id="{6CFF5AFB-41D4-E660-7664-F1023491D564}"/>
              </a:ext>
            </a:extLst>
          </xdr:cNvPr>
          <xdr:cNvCxnSpPr/>
        </xdr:nvCxnSpPr>
        <xdr:spPr>
          <a:xfrm>
            <a:off x="2827020" y="28956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805" name="Gerader Verbinder 8804">
            <a:extLst>
              <a:ext uri="{FF2B5EF4-FFF2-40B4-BE49-F238E27FC236}">
                <a16:creationId xmlns:a16="http://schemas.microsoft.com/office/drawing/2014/main" id="{CACCF77C-39F0-66DE-4C06-0E3061C597DD}"/>
              </a:ext>
            </a:extLst>
          </xdr:cNvPr>
          <xdr:cNvCxnSpPr/>
        </xdr:nvCxnSpPr>
        <xdr:spPr>
          <a:xfrm flipH="1">
            <a:off x="2827020" y="28956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18</xdr:row>
      <xdr:rowOff>0</xdr:rowOff>
    </xdr:from>
    <xdr:to>
      <xdr:col>5</xdr:col>
      <xdr:colOff>0</xdr:colOff>
      <xdr:row>19</xdr:row>
      <xdr:rowOff>0</xdr:rowOff>
    </xdr:to>
    <xdr:grpSp>
      <xdr:nvGrpSpPr>
        <xdr:cNvPr id="8809" name="Cross_E19">
          <a:extLst>
            <a:ext uri="{FF2B5EF4-FFF2-40B4-BE49-F238E27FC236}">
              <a16:creationId xmlns:a16="http://schemas.microsoft.com/office/drawing/2014/main" id="{A2D7A702-DDC7-950F-F35D-61B236CBEB55}"/>
            </a:ext>
          </a:extLst>
        </xdr:cNvPr>
        <xdr:cNvGrpSpPr/>
      </xdr:nvGrpSpPr>
      <xdr:grpSpPr>
        <a:xfrm>
          <a:off x="2827020" y="3627120"/>
          <a:ext cx="594360" cy="228600"/>
          <a:chOff x="2827020" y="3627120"/>
          <a:chExt cx="594360" cy="228600"/>
        </a:xfrm>
      </xdr:grpSpPr>
      <xdr:cxnSp macro="">
        <xdr:nvCxnSpPr>
          <xdr:cNvPr id="8807" name="Gerader Verbinder 8806">
            <a:extLst>
              <a:ext uri="{FF2B5EF4-FFF2-40B4-BE49-F238E27FC236}">
                <a16:creationId xmlns:a16="http://schemas.microsoft.com/office/drawing/2014/main" id="{0DED8B90-AE99-AC40-D5C1-F14D34D89F09}"/>
              </a:ext>
            </a:extLst>
          </xdr:cNvPr>
          <xdr:cNvCxnSpPr/>
        </xdr:nvCxnSpPr>
        <xdr:spPr>
          <a:xfrm>
            <a:off x="2827020" y="362712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808" name="Gerader Verbinder 8807">
            <a:extLst>
              <a:ext uri="{FF2B5EF4-FFF2-40B4-BE49-F238E27FC236}">
                <a16:creationId xmlns:a16="http://schemas.microsoft.com/office/drawing/2014/main" id="{DF9848E8-94DB-5C0B-AD68-6B9C039327F9}"/>
              </a:ext>
            </a:extLst>
          </xdr:cNvPr>
          <xdr:cNvCxnSpPr/>
        </xdr:nvCxnSpPr>
        <xdr:spPr>
          <a:xfrm flipH="1">
            <a:off x="2827020" y="362712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19</xdr:row>
      <xdr:rowOff>0</xdr:rowOff>
    </xdr:from>
    <xdr:to>
      <xdr:col>5</xdr:col>
      <xdr:colOff>0</xdr:colOff>
      <xdr:row>20</xdr:row>
      <xdr:rowOff>0</xdr:rowOff>
    </xdr:to>
    <xdr:grpSp>
      <xdr:nvGrpSpPr>
        <xdr:cNvPr id="8812" name="Cross_E20">
          <a:extLst>
            <a:ext uri="{FF2B5EF4-FFF2-40B4-BE49-F238E27FC236}">
              <a16:creationId xmlns:a16="http://schemas.microsoft.com/office/drawing/2014/main" id="{833FAE7C-0D93-8D97-19E6-825D469DA9EE}"/>
            </a:ext>
          </a:extLst>
        </xdr:cNvPr>
        <xdr:cNvGrpSpPr/>
      </xdr:nvGrpSpPr>
      <xdr:grpSpPr>
        <a:xfrm>
          <a:off x="2827020" y="3855720"/>
          <a:ext cx="594360" cy="167640"/>
          <a:chOff x="2827020" y="3855720"/>
          <a:chExt cx="594360" cy="167640"/>
        </a:xfrm>
      </xdr:grpSpPr>
      <xdr:cxnSp macro="">
        <xdr:nvCxnSpPr>
          <xdr:cNvPr id="8810" name="Gerader Verbinder 8809">
            <a:extLst>
              <a:ext uri="{FF2B5EF4-FFF2-40B4-BE49-F238E27FC236}">
                <a16:creationId xmlns:a16="http://schemas.microsoft.com/office/drawing/2014/main" id="{2C883E2F-01FC-9A04-E3F8-DAE2B8AC3BBD}"/>
              </a:ext>
            </a:extLst>
          </xdr:cNvPr>
          <xdr:cNvCxnSpPr/>
        </xdr:nvCxnSpPr>
        <xdr:spPr>
          <a:xfrm>
            <a:off x="2827020" y="38557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811" name="Gerader Verbinder 8810">
            <a:extLst>
              <a:ext uri="{FF2B5EF4-FFF2-40B4-BE49-F238E27FC236}">
                <a16:creationId xmlns:a16="http://schemas.microsoft.com/office/drawing/2014/main" id="{EA5378A6-AEBA-575C-7F46-0C4BB6DB3972}"/>
              </a:ext>
            </a:extLst>
          </xdr:cNvPr>
          <xdr:cNvCxnSpPr/>
        </xdr:nvCxnSpPr>
        <xdr:spPr>
          <a:xfrm flipH="1">
            <a:off x="2827020" y="38557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20</xdr:row>
      <xdr:rowOff>0</xdr:rowOff>
    </xdr:from>
    <xdr:to>
      <xdr:col>5</xdr:col>
      <xdr:colOff>0</xdr:colOff>
      <xdr:row>21</xdr:row>
      <xdr:rowOff>0</xdr:rowOff>
    </xdr:to>
    <xdr:grpSp>
      <xdr:nvGrpSpPr>
        <xdr:cNvPr id="8815" name="Cross_E21">
          <a:extLst>
            <a:ext uri="{FF2B5EF4-FFF2-40B4-BE49-F238E27FC236}">
              <a16:creationId xmlns:a16="http://schemas.microsoft.com/office/drawing/2014/main" id="{5C914C5C-7C38-F682-7882-308FA511EAF8}"/>
            </a:ext>
          </a:extLst>
        </xdr:cNvPr>
        <xdr:cNvGrpSpPr/>
      </xdr:nvGrpSpPr>
      <xdr:grpSpPr>
        <a:xfrm>
          <a:off x="2827020" y="4023360"/>
          <a:ext cx="594360" cy="167640"/>
          <a:chOff x="2827020" y="4023360"/>
          <a:chExt cx="594360" cy="167640"/>
        </a:xfrm>
      </xdr:grpSpPr>
      <xdr:cxnSp macro="">
        <xdr:nvCxnSpPr>
          <xdr:cNvPr id="8813" name="Gerader Verbinder 8812">
            <a:extLst>
              <a:ext uri="{FF2B5EF4-FFF2-40B4-BE49-F238E27FC236}">
                <a16:creationId xmlns:a16="http://schemas.microsoft.com/office/drawing/2014/main" id="{8E427D3D-8D1B-9A62-B22D-AD1BEF55BCDF}"/>
              </a:ext>
            </a:extLst>
          </xdr:cNvPr>
          <xdr:cNvCxnSpPr/>
        </xdr:nvCxnSpPr>
        <xdr:spPr>
          <a:xfrm>
            <a:off x="2827020" y="40233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814" name="Gerader Verbinder 8813">
            <a:extLst>
              <a:ext uri="{FF2B5EF4-FFF2-40B4-BE49-F238E27FC236}">
                <a16:creationId xmlns:a16="http://schemas.microsoft.com/office/drawing/2014/main" id="{3B790040-20F2-A4BA-F1AA-099E6BC0B80A}"/>
              </a:ext>
            </a:extLst>
          </xdr:cNvPr>
          <xdr:cNvCxnSpPr/>
        </xdr:nvCxnSpPr>
        <xdr:spPr>
          <a:xfrm flipH="1">
            <a:off x="2827020" y="40233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27</xdr:row>
      <xdr:rowOff>0</xdr:rowOff>
    </xdr:from>
    <xdr:to>
      <xdr:col>5</xdr:col>
      <xdr:colOff>0</xdr:colOff>
      <xdr:row>28</xdr:row>
      <xdr:rowOff>0</xdr:rowOff>
    </xdr:to>
    <xdr:grpSp>
      <xdr:nvGrpSpPr>
        <xdr:cNvPr id="8818" name="Cross_E28">
          <a:extLst>
            <a:ext uri="{FF2B5EF4-FFF2-40B4-BE49-F238E27FC236}">
              <a16:creationId xmlns:a16="http://schemas.microsoft.com/office/drawing/2014/main" id="{F84680ED-EE5F-4FCE-5B85-43BD662F340E}"/>
            </a:ext>
          </a:extLst>
        </xdr:cNvPr>
        <xdr:cNvGrpSpPr/>
      </xdr:nvGrpSpPr>
      <xdr:grpSpPr>
        <a:xfrm>
          <a:off x="2827020" y="5318760"/>
          <a:ext cx="594360" cy="228600"/>
          <a:chOff x="2827020" y="5318760"/>
          <a:chExt cx="594360" cy="228600"/>
        </a:xfrm>
      </xdr:grpSpPr>
      <xdr:cxnSp macro="">
        <xdr:nvCxnSpPr>
          <xdr:cNvPr id="8816" name="Gerader Verbinder 8815">
            <a:extLst>
              <a:ext uri="{FF2B5EF4-FFF2-40B4-BE49-F238E27FC236}">
                <a16:creationId xmlns:a16="http://schemas.microsoft.com/office/drawing/2014/main" id="{9ED15A59-16FD-192C-938C-A9EFD1EE2B7C}"/>
              </a:ext>
            </a:extLst>
          </xdr:cNvPr>
          <xdr:cNvCxnSpPr/>
        </xdr:nvCxnSpPr>
        <xdr:spPr>
          <a:xfrm>
            <a:off x="2827020" y="531876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817" name="Gerader Verbinder 8816">
            <a:extLst>
              <a:ext uri="{FF2B5EF4-FFF2-40B4-BE49-F238E27FC236}">
                <a16:creationId xmlns:a16="http://schemas.microsoft.com/office/drawing/2014/main" id="{97D5B3A1-147E-0AD3-4BEE-D38B9311715E}"/>
              </a:ext>
            </a:extLst>
          </xdr:cNvPr>
          <xdr:cNvCxnSpPr/>
        </xdr:nvCxnSpPr>
        <xdr:spPr>
          <a:xfrm flipH="1">
            <a:off x="2827020" y="531876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28</xdr:row>
      <xdr:rowOff>0</xdr:rowOff>
    </xdr:from>
    <xdr:to>
      <xdr:col>5</xdr:col>
      <xdr:colOff>0</xdr:colOff>
      <xdr:row>29</xdr:row>
      <xdr:rowOff>0</xdr:rowOff>
    </xdr:to>
    <xdr:grpSp>
      <xdr:nvGrpSpPr>
        <xdr:cNvPr id="8821" name="Cross_E29">
          <a:extLst>
            <a:ext uri="{FF2B5EF4-FFF2-40B4-BE49-F238E27FC236}">
              <a16:creationId xmlns:a16="http://schemas.microsoft.com/office/drawing/2014/main" id="{3C652532-F41C-B163-B757-05E9FB2A7F60}"/>
            </a:ext>
          </a:extLst>
        </xdr:cNvPr>
        <xdr:cNvGrpSpPr/>
      </xdr:nvGrpSpPr>
      <xdr:grpSpPr>
        <a:xfrm>
          <a:off x="2827020" y="5547360"/>
          <a:ext cx="594360" cy="167640"/>
          <a:chOff x="2827020" y="5547360"/>
          <a:chExt cx="594360" cy="167640"/>
        </a:xfrm>
      </xdr:grpSpPr>
      <xdr:cxnSp macro="">
        <xdr:nvCxnSpPr>
          <xdr:cNvPr id="8819" name="Gerader Verbinder 8818">
            <a:extLst>
              <a:ext uri="{FF2B5EF4-FFF2-40B4-BE49-F238E27FC236}">
                <a16:creationId xmlns:a16="http://schemas.microsoft.com/office/drawing/2014/main" id="{01145284-4F1A-2D18-0E2E-449DFB327BE6}"/>
              </a:ext>
            </a:extLst>
          </xdr:cNvPr>
          <xdr:cNvCxnSpPr/>
        </xdr:nvCxnSpPr>
        <xdr:spPr>
          <a:xfrm>
            <a:off x="2827020" y="55473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820" name="Gerader Verbinder 8819">
            <a:extLst>
              <a:ext uri="{FF2B5EF4-FFF2-40B4-BE49-F238E27FC236}">
                <a16:creationId xmlns:a16="http://schemas.microsoft.com/office/drawing/2014/main" id="{3BAE0FEB-84E3-3975-E2E7-3C7E1BB509B5}"/>
              </a:ext>
            </a:extLst>
          </xdr:cNvPr>
          <xdr:cNvCxnSpPr/>
        </xdr:nvCxnSpPr>
        <xdr:spPr>
          <a:xfrm flipH="1">
            <a:off x="2827020" y="55473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29</xdr:row>
      <xdr:rowOff>0</xdr:rowOff>
    </xdr:from>
    <xdr:to>
      <xdr:col>5</xdr:col>
      <xdr:colOff>0</xdr:colOff>
      <xdr:row>30</xdr:row>
      <xdr:rowOff>0</xdr:rowOff>
    </xdr:to>
    <xdr:grpSp>
      <xdr:nvGrpSpPr>
        <xdr:cNvPr id="8824" name="Cross_E30">
          <a:extLst>
            <a:ext uri="{FF2B5EF4-FFF2-40B4-BE49-F238E27FC236}">
              <a16:creationId xmlns:a16="http://schemas.microsoft.com/office/drawing/2014/main" id="{1D9360C9-9861-ED59-5891-39DD275B541D}"/>
            </a:ext>
          </a:extLst>
        </xdr:cNvPr>
        <xdr:cNvGrpSpPr/>
      </xdr:nvGrpSpPr>
      <xdr:grpSpPr>
        <a:xfrm>
          <a:off x="2827020" y="5715000"/>
          <a:ext cx="594360" cy="167640"/>
          <a:chOff x="2827020" y="5715000"/>
          <a:chExt cx="594360" cy="167640"/>
        </a:xfrm>
      </xdr:grpSpPr>
      <xdr:cxnSp macro="">
        <xdr:nvCxnSpPr>
          <xdr:cNvPr id="8822" name="Gerader Verbinder 8821">
            <a:extLst>
              <a:ext uri="{FF2B5EF4-FFF2-40B4-BE49-F238E27FC236}">
                <a16:creationId xmlns:a16="http://schemas.microsoft.com/office/drawing/2014/main" id="{2E3CB85E-2C38-2BBA-A97D-0C92B5B6239C}"/>
              </a:ext>
            </a:extLst>
          </xdr:cNvPr>
          <xdr:cNvCxnSpPr/>
        </xdr:nvCxnSpPr>
        <xdr:spPr>
          <a:xfrm>
            <a:off x="2827020" y="57150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823" name="Gerader Verbinder 8822">
            <a:extLst>
              <a:ext uri="{FF2B5EF4-FFF2-40B4-BE49-F238E27FC236}">
                <a16:creationId xmlns:a16="http://schemas.microsoft.com/office/drawing/2014/main" id="{062FEB11-2E7D-A62F-1B6C-13796891D13D}"/>
              </a:ext>
            </a:extLst>
          </xdr:cNvPr>
          <xdr:cNvCxnSpPr/>
        </xdr:nvCxnSpPr>
        <xdr:spPr>
          <a:xfrm flipH="1">
            <a:off x="2827020" y="57150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36</xdr:row>
      <xdr:rowOff>0</xdr:rowOff>
    </xdr:from>
    <xdr:to>
      <xdr:col>5</xdr:col>
      <xdr:colOff>0</xdr:colOff>
      <xdr:row>37</xdr:row>
      <xdr:rowOff>0</xdr:rowOff>
    </xdr:to>
    <xdr:grpSp>
      <xdr:nvGrpSpPr>
        <xdr:cNvPr id="8827" name="Cross_E37">
          <a:extLst>
            <a:ext uri="{FF2B5EF4-FFF2-40B4-BE49-F238E27FC236}">
              <a16:creationId xmlns:a16="http://schemas.microsoft.com/office/drawing/2014/main" id="{602176CD-1936-971C-0D46-9AA37417F579}"/>
            </a:ext>
          </a:extLst>
        </xdr:cNvPr>
        <xdr:cNvGrpSpPr/>
      </xdr:nvGrpSpPr>
      <xdr:grpSpPr>
        <a:xfrm>
          <a:off x="2827020" y="7010400"/>
          <a:ext cx="594360" cy="228600"/>
          <a:chOff x="2827020" y="7010400"/>
          <a:chExt cx="594360" cy="228600"/>
        </a:xfrm>
      </xdr:grpSpPr>
      <xdr:cxnSp macro="">
        <xdr:nvCxnSpPr>
          <xdr:cNvPr id="8825" name="Gerader Verbinder 8824">
            <a:extLst>
              <a:ext uri="{FF2B5EF4-FFF2-40B4-BE49-F238E27FC236}">
                <a16:creationId xmlns:a16="http://schemas.microsoft.com/office/drawing/2014/main" id="{3B03D27A-19A2-0AE4-A534-D7937A346D98}"/>
              </a:ext>
            </a:extLst>
          </xdr:cNvPr>
          <xdr:cNvCxnSpPr/>
        </xdr:nvCxnSpPr>
        <xdr:spPr>
          <a:xfrm>
            <a:off x="2827020" y="701040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826" name="Gerader Verbinder 8825">
            <a:extLst>
              <a:ext uri="{FF2B5EF4-FFF2-40B4-BE49-F238E27FC236}">
                <a16:creationId xmlns:a16="http://schemas.microsoft.com/office/drawing/2014/main" id="{1C1CCA26-AC43-C725-0E4A-1EE36C6081AE}"/>
              </a:ext>
            </a:extLst>
          </xdr:cNvPr>
          <xdr:cNvCxnSpPr/>
        </xdr:nvCxnSpPr>
        <xdr:spPr>
          <a:xfrm flipH="1">
            <a:off x="2827020" y="701040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37</xdr:row>
      <xdr:rowOff>0</xdr:rowOff>
    </xdr:from>
    <xdr:to>
      <xdr:col>5</xdr:col>
      <xdr:colOff>0</xdr:colOff>
      <xdr:row>38</xdr:row>
      <xdr:rowOff>0</xdr:rowOff>
    </xdr:to>
    <xdr:grpSp>
      <xdr:nvGrpSpPr>
        <xdr:cNvPr id="8830" name="Cross_E38">
          <a:extLst>
            <a:ext uri="{FF2B5EF4-FFF2-40B4-BE49-F238E27FC236}">
              <a16:creationId xmlns:a16="http://schemas.microsoft.com/office/drawing/2014/main" id="{A83AC871-C177-2990-3782-EF098119F824}"/>
            </a:ext>
          </a:extLst>
        </xdr:cNvPr>
        <xdr:cNvGrpSpPr/>
      </xdr:nvGrpSpPr>
      <xdr:grpSpPr>
        <a:xfrm>
          <a:off x="2827020" y="7239000"/>
          <a:ext cx="594360" cy="167640"/>
          <a:chOff x="2827020" y="7239000"/>
          <a:chExt cx="594360" cy="167640"/>
        </a:xfrm>
      </xdr:grpSpPr>
      <xdr:cxnSp macro="">
        <xdr:nvCxnSpPr>
          <xdr:cNvPr id="8828" name="Gerader Verbinder 8827">
            <a:extLst>
              <a:ext uri="{FF2B5EF4-FFF2-40B4-BE49-F238E27FC236}">
                <a16:creationId xmlns:a16="http://schemas.microsoft.com/office/drawing/2014/main" id="{64E40C02-6A71-F420-D34B-7463E1274BEA}"/>
              </a:ext>
            </a:extLst>
          </xdr:cNvPr>
          <xdr:cNvCxnSpPr/>
        </xdr:nvCxnSpPr>
        <xdr:spPr>
          <a:xfrm>
            <a:off x="2827020" y="72390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829" name="Gerader Verbinder 8828">
            <a:extLst>
              <a:ext uri="{FF2B5EF4-FFF2-40B4-BE49-F238E27FC236}">
                <a16:creationId xmlns:a16="http://schemas.microsoft.com/office/drawing/2014/main" id="{18873552-A573-BA15-46B2-56B2A3FE1B6A}"/>
              </a:ext>
            </a:extLst>
          </xdr:cNvPr>
          <xdr:cNvCxnSpPr/>
        </xdr:nvCxnSpPr>
        <xdr:spPr>
          <a:xfrm flipH="1">
            <a:off x="2827020" y="72390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38</xdr:row>
      <xdr:rowOff>0</xdr:rowOff>
    </xdr:from>
    <xdr:to>
      <xdr:col>5</xdr:col>
      <xdr:colOff>0</xdr:colOff>
      <xdr:row>39</xdr:row>
      <xdr:rowOff>0</xdr:rowOff>
    </xdr:to>
    <xdr:grpSp>
      <xdr:nvGrpSpPr>
        <xdr:cNvPr id="8833" name="Cross_E39">
          <a:extLst>
            <a:ext uri="{FF2B5EF4-FFF2-40B4-BE49-F238E27FC236}">
              <a16:creationId xmlns:a16="http://schemas.microsoft.com/office/drawing/2014/main" id="{A56F9A69-E8BE-8481-DF6D-C5E71B13F0CF}"/>
            </a:ext>
          </a:extLst>
        </xdr:cNvPr>
        <xdr:cNvGrpSpPr/>
      </xdr:nvGrpSpPr>
      <xdr:grpSpPr>
        <a:xfrm>
          <a:off x="2827020" y="7406640"/>
          <a:ext cx="594360" cy="167640"/>
          <a:chOff x="2827020" y="7406640"/>
          <a:chExt cx="594360" cy="167640"/>
        </a:xfrm>
      </xdr:grpSpPr>
      <xdr:cxnSp macro="">
        <xdr:nvCxnSpPr>
          <xdr:cNvPr id="8831" name="Gerader Verbinder 8830">
            <a:extLst>
              <a:ext uri="{FF2B5EF4-FFF2-40B4-BE49-F238E27FC236}">
                <a16:creationId xmlns:a16="http://schemas.microsoft.com/office/drawing/2014/main" id="{B6EC3427-6BC9-52F2-5E5B-6E5D99235654}"/>
              </a:ext>
            </a:extLst>
          </xdr:cNvPr>
          <xdr:cNvCxnSpPr/>
        </xdr:nvCxnSpPr>
        <xdr:spPr>
          <a:xfrm>
            <a:off x="2827020" y="74066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832" name="Gerader Verbinder 8831">
            <a:extLst>
              <a:ext uri="{FF2B5EF4-FFF2-40B4-BE49-F238E27FC236}">
                <a16:creationId xmlns:a16="http://schemas.microsoft.com/office/drawing/2014/main" id="{15B496BA-35DD-832F-4818-B2EC5AC2E1BC}"/>
              </a:ext>
            </a:extLst>
          </xdr:cNvPr>
          <xdr:cNvCxnSpPr/>
        </xdr:nvCxnSpPr>
        <xdr:spPr>
          <a:xfrm flipH="1">
            <a:off x="2827020" y="74066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39</xdr:row>
      <xdr:rowOff>0</xdr:rowOff>
    </xdr:from>
    <xdr:to>
      <xdr:col>5</xdr:col>
      <xdr:colOff>0</xdr:colOff>
      <xdr:row>40</xdr:row>
      <xdr:rowOff>0</xdr:rowOff>
    </xdr:to>
    <xdr:grpSp>
      <xdr:nvGrpSpPr>
        <xdr:cNvPr id="8836" name="Cross_E40">
          <a:extLst>
            <a:ext uri="{FF2B5EF4-FFF2-40B4-BE49-F238E27FC236}">
              <a16:creationId xmlns:a16="http://schemas.microsoft.com/office/drawing/2014/main" id="{C3C0EA3E-657F-6ACE-5F6F-32ABF832A401}"/>
            </a:ext>
          </a:extLst>
        </xdr:cNvPr>
        <xdr:cNvGrpSpPr/>
      </xdr:nvGrpSpPr>
      <xdr:grpSpPr>
        <a:xfrm>
          <a:off x="2827020" y="7574280"/>
          <a:ext cx="594360" cy="228600"/>
          <a:chOff x="2827020" y="7574280"/>
          <a:chExt cx="594360" cy="228600"/>
        </a:xfrm>
      </xdr:grpSpPr>
      <xdr:cxnSp macro="">
        <xdr:nvCxnSpPr>
          <xdr:cNvPr id="8834" name="Gerader Verbinder 8833">
            <a:extLst>
              <a:ext uri="{FF2B5EF4-FFF2-40B4-BE49-F238E27FC236}">
                <a16:creationId xmlns:a16="http://schemas.microsoft.com/office/drawing/2014/main" id="{D904A350-8D91-8B1E-C11E-237B05696FCE}"/>
              </a:ext>
            </a:extLst>
          </xdr:cNvPr>
          <xdr:cNvCxnSpPr/>
        </xdr:nvCxnSpPr>
        <xdr:spPr>
          <a:xfrm>
            <a:off x="2827020" y="75742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835" name="Gerader Verbinder 8834">
            <a:extLst>
              <a:ext uri="{FF2B5EF4-FFF2-40B4-BE49-F238E27FC236}">
                <a16:creationId xmlns:a16="http://schemas.microsoft.com/office/drawing/2014/main" id="{4048CAD6-9F15-C9D1-C8AA-64E6A0FA4A86}"/>
              </a:ext>
            </a:extLst>
          </xdr:cNvPr>
          <xdr:cNvCxnSpPr/>
        </xdr:nvCxnSpPr>
        <xdr:spPr>
          <a:xfrm flipH="1">
            <a:off x="2827020" y="75742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40</xdr:row>
      <xdr:rowOff>0</xdr:rowOff>
    </xdr:from>
    <xdr:to>
      <xdr:col>5</xdr:col>
      <xdr:colOff>0</xdr:colOff>
      <xdr:row>41</xdr:row>
      <xdr:rowOff>0</xdr:rowOff>
    </xdr:to>
    <xdr:grpSp>
      <xdr:nvGrpSpPr>
        <xdr:cNvPr id="8839" name="Cross_E41">
          <a:extLst>
            <a:ext uri="{FF2B5EF4-FFF2-40B4-BE49-F238E27FC236}">
              <a16:creationId xmlns:a16="http://schemas.microsoft.com/office/drawing/2014/main" id="{DF1F1B29-C157-63A1-3A36-A87813650C6B}"/>
            </a:ext>
          </a:extLst>
        </xdr:cNvPr>
        <xdr:cNvGrpSpPr/>
      </xdr:nvGrpSpPr>
      <xdr:grpSpPr>
        <a:xfrm>
          <a:off x="2827020" y="7802880"/>
          <a:ext cx="594360" cy="167640"/>
          <a:chOff x="2827020" y="7802880"/>
          <a:chExt cx="594360" cy="167640"/>
        </a:xfrm>
      </xdr:grpSpPr>
      <xdr:cxnSp macro="">
        <xdr:nvCxnSpPr>
          <xdr:cNvPr id="8837" name="Gerader Verbinder 8836">
            <a:extLst>
              <a:ext uri="{FF2B5EF4-FFF2-40B4-BE49-F238E27FC236}">
                <a16:creationId xmlns:a16="http://schemas.microsoft.com/office/drawing/2014/main" id="{202BE936-CFE8-9FA4-6172-7005B0ED45CA}"/>
              </a:ext>
            </a:extLst>
          </xdr:cNvPr>
          <xdr:cNvCxnSpPr/>
        </xdr:nvCxnSpPr>
        <xdr:spPr>
          <a:xfrm>
            <a:off x="2827020" y="78028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838" name="Gerader Verbinder 8837">
            <a:extLst>
              <a:ext uri="{FF2B5EF4-FFF2-40B4-BE49-F238E27FC236}">
                <a16:creationId xmlns:a16="http://schemas.microsoft.com/office/drawing/2014/main" id="{4826064B-CDB7-E009-223E-A879D4B485BE}"/>
              </a:ext>
            </a:extLst>
          </xdr:cNvPr>
          <xdr:cNvCxnSpPr/>
        </xdr:nvCxnSpPr>
        <xdr:spPr>
          <a:xfrm flipH="1">
            <a:off x="2827020" y="78028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41</xdr:row>
      <xdr:rowOff>0</xdr:rowOff>
    </xdr:from>
    <xdr:to>
      <xdr:col>5</xdr:col>
      <xdr:colOff>0</xdr:colOff>
      <xdr:row>42</xdr:row>
      <xdr:rowOff>0</xdr:rowOff>
    </xdr:to>
    <xdr:grpSp>
      <xdr:nvGrpSpPr>
        <xdr:cNvPr id="8842" name="Cross_E42">
          <a:extLst>
            <a:ext uri="{FF2B5EF4-FFF2-40B4-BE49-F238E27FC236}">
              <a16:creationId xmlns:a16="http://schemas.microsoft.com/office/drawing/2014/main" id="{C63BA449-1B59-5C51-3BF7-E81AF828CF2E}"/>
            </a:ext>
          </a:extLst>
        </xdr:cNvPr>
        <xdr:cNvGrpSpPr/>
      </xdr:nvGrpSpPr>
      <xdr:grpSpPr>
        <a:xfrm>
          <a:off x="2827020" y="7970520"/>
          <a:ext cx="594360" cy="167640"/>
          <a:chOff x="2827020" y="7970520"/>
          <a:chExt cx="594360" cy="167640"/>
        </a:xfrm>
      </xdr:grpSpPr>
      <xdr:cxnSp macro="">
        <xdr:nvCxnSpPr>
          <xdr:cNvPr id="8840" name="Gerader Verbinder 8839">
            <a:extLst>
              <a:ext uri="{FF2B5EF4-FFF2-40B4-BE49-F238E27FC236}">
                <a16:creationId xmlns:a16="http://schemas.microsoft.com/office/drawing/2014/main" id="{72B4C62C-57E9-444E-F944-48A550F44144}"/>
              </a:ext>
            </a:extLst>
          </xdr:cNvPr>
          <xdr:cNvCxnSpPr/>
        </xdr:nvCxnSpPr>
        <xdr:spPr>
          <a:xfrm>
            <a:off x="2827020" y="79705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841" name="Gerader Verbinder 8840">
            <a:extLst>
              <a:ext uri="{FF2B5EF4-FFF2-40B4-BE49-F238E27FC236}">
                <a16:creationId xmlns:a16="http://schemas.microsoft.com/office/drawing/2014/main" id="{8DA39B72-7CCD-D2F7-1D45-22D9B8D8FC65}"/>
              </a:ext>
            </a:extLst>
          </xdr:cNvPr>
          <xdr:cNvCxnSpPr/>
        </xdr:nvCxnSpPr>
        <xdr:spPr>
          <a:xfrm flipH="1">
            <a:off x="2827020" y="79705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42</xdr:row>
      <xdr:rowOff>0</xdr:rowOff>
    </xdr:from>
    <xdr:to>
      <xdr:col>5</xdr:col>
      <xdr:colOff>0</xdr:colOff>
      <xdr:row>43</xdr:row>
      <xdr:rowOff>0</xdr:rowOff>
    </xdr:to>
    <xdr:grpSp>
      <xdr:nvGrpSpPr>
        <xdr:cNvPr id="8845" name="Cross_E43">
          <a:extLst>
            <a:ext uri="{FF2B5EF4-FFF2-40B4-BE49-F238E27FC236}">
              <a16:creationId xmlns:a16="http://schemas.microsoft.com/office/drawing/2014/main" id="{A144766B-78A9-1CDE-83F0-64760A2E46D3}"/>
            </a:ext>
          </a:extLst>
        </xdr:cNvPr>
        <xdr:cNvGrpSpPr/>
      </xdr:nvGrpSpPr>
      <xdr:grpSpPr>
        <a:xfrm>
          <a:off x="2827020" y="8138160"/>
          <a:ext cx="594360" cy="228600"/>
          <a:chOff x="2827020" y="8138160"/>
          <a:chExt cx="594360" cy="228600"/>
        </a:xfrm>
      </xdr:grpSpPr>
      <xdr:cxnSp macro="">
        <xdr:nvCxnSpPr>
          <xdr:cNvPr id="8843" name="Gerader Verbinder 8842">
            <a:extLst>
              <a:ext uri="{FF2B5EF4-FFF2-40B4-BE49-F238E27FC236}">
                <a16:creationId xmlns:a16="http://schemas.microsoft.com/office/drawing/2014/main" id="{B96A6C4A-3EB2-D9F6-59CD-00FF09305819}"/>
              </a:ext>
            </a:extLst>
          </xdr:cNvPr>
          <xdr:cNvCxnSpPr/>
        </xdr:nvCxnSpPr>
        <xdr:spPr>
          <a:xfrm>
            <a:off x="2827020" y="813816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844" name="Gerader Verbinder 8843">
            <a:extLst>
              <a:ext uri="{FF2B5EF4-FFF2-40B4-BE49-F238E27FC236}">
                <a16:creationId xmlns:a16="http://schemas.microsoft.com/office/drawing/2014/main" id="{3FB373EC-2801-4EFA-C33D-4692CF800B68}"/>
              </a:ext>
            </a:extLst>
          </xdr:cNvPr>
          <xdr:cNvCxnSpPr/>
        </xdr:nvCxnSpPr>
        <xdr:spPr>
          <a:xfrm flipH="1">
            <a:off x="2827020" y="813816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43</xdr:row>
      <xdr:rowOff>0</xdr:rowOff>
    </xdr:from>
    <xdr:to>
      <xdr:col>5</xdr:col>
      <xdr:colOff>0</xdr:colOff>
      <xdr:row>44</xdr:row>
      <xdr:rowOff>0</xdr:rowOff>
    </xdr:to>
    <xdr:grpSp>
      <xdr:nvGrpSpPr>
        <xdr:cNvPr id="8848" name="Cross_E44">
          <a:extLst>
            <a:ext uri="{FF2B5EF4-FFF2-40B4-BE49-F238E27FC236}">
              <a16:creationId xmlns:a16="http://schemas.microsoft.com/office/drawing/2014/main" id="{D1BDDD9B-AFE8-9887-810B-1477A65537B2}"/>
            </a:ext>
          </a:extLst>
        </xdr:cNvPr>
        <xdr:cNvGrpSpPr/>
      </xdr:nvGrpSpPr>
      <xdr:grpSpPr>
        <a:xfrm>
          <a:off x="2827020" y="8366760"/>
          <a:ext cx="594360" cy="167640"/>
          <a:chOff x="2827020" y="8366760"/>
          <a:chExt cx="594360" cy="167640"/>
        </a:xfrm>
      </xdr:grpSpPr>
      <xdr:cxnSp macro="">
        <xdr:nvCxnSpPr>
          <xdr:cNvPr id="8846" name="Gerader Verbinder 8845">
            <a:extLst>
              <a:ext uri="{FF2B5EF4-FFF2-40B4-BE49-F238E27FC236}">
                <a16:creationId xmlns:a16="http://schemas.microsoft.com/office/drawing/2014/main" id="{34C6176B-D54E-F2C5-370E-386329151E9F}"/>
              </a:ext>
            </a:extLst>
          </xdr:cNvPr>
          <xdr:cNvCxnSpPr/>
        </xdr:nvCxnSpPr>
        <xdr:spPr>
          <a:xfrm>
            <a:off x="2827020" y="83667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847" name="Gerader Verbinder 8846">
            <a:extLst>
              <a:ext uri="{FF2B5EF4-FFF2-40B4-BE49-F238E27FC236}">
                <a16:creationId xmlns:a16="http://schemas.microsoft.com/office/drawing/2014/main" id="{EE9A52DB-4E4D-5D4E-748A-AA32F84E2143}"/>
              </a:ext>
            </a:extLst>
          </xdr:cNvPr>
          <xdr:cNvCxnSpPr/>
        </xdr:nvCxnSpPr>
        <xdr:spPr>
          <a:xfrm flipH="1">
            <a:off x="2827020" y="83667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44</xdr:row>
      <xdr:rowOff>0</xdr:rowOff>
    </xdr:from>
    <xdr:to>
      <xdr:col>5</xdr:col>
      <xdr:colOff>0</xdr:colOff>
      <xdr:row>45</xdr:row>
      <xdr:rowOff>0</xdr:rowOff>
    </xdr:to>
    <xdr:grpSp>
      <xdr:nvGrpSpPr>
        <xdr:cNvPr id="8851" name="Cross_E45">
          <a:extLst>
            <a:ext uri="{FF2B5EF4-FFF2-40B4-BE49-F238E27FC236}">
              <a16:creationId xmlns:a16="http://schemas.microsoft.com/office/drawing/2014/main" id="{02D6AA34-FC57-EDF9-82BB-D864D8AAE403}"/>
            </a:ext>
          </a:extLst>
        </xdr:cNvPr>
        <xdr:cNvGrpSpPr/>
      </xdr:nvGrpSpPr>
      <xdr:grpSpPr>
        <a:xfrm>
          <a:off x="2827020" y="8534400"/>
          <a:ext cx="594360" cy="167640"/>
          <a:chOff x="2827020" y="8534400"/>
          <a:chExt cx="594360" cy="167640"/>
        </a:xfrm>
      </xdr:grpSpPr>
      <xdr:cxnSp macro="">
        <xdr:nvCxnSpPr>
          <xdr:cNvPr id="8849" name="Gerader Verbinder 8848">
            <a:extLst>
              <a:ext uri="{FF2B5EF4-FFF2-40B4-BE49-F238E27FC236}">
                <a16:creationId xmlns:a16="http://schemas.microsoft.com/office/drawing/2014/main" id="{7C692391-7593-8536-07EB-E2EBEBA6C29E}"/>
              </a:ext>
            </a:extLst>
          </xdr:cNvPr>
          <xdr:cNvCxnSpPr/>
        </xdr:nvCxnSpPr>
        <xdr:spPr>
          <a:xfrm>
            <a:off x="2827020" y="85344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850" name="Gerader Verbinder 8849">
            <a:extLst>
              <a:ext uri="{FF2B5EF4-FFF2-40B4-BE49-F238E27FC236}">
                <a16:creationId xmlns:a16="http://schemas.microsoft.com/office/drawing/2014/main" id="{982C3E3F-C648-9837-8B32-03AC403E0715}"/>
              </a:ext>
            </a:extLst>
          </xdr:cNvPr>
          <xdr:cNvCxnSpPr/>
        </xdr:nvCxnSpPr>
        <xdr:spPr>
          <a:xfrm flipH="1">
            <a:off x="2827020" y="85344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45</xdr:row>
      <xdr:rowOff>0</xdr:rowOff>
    </xdr:from>
    <xdr:to>
      <xdr:col>5</xdr:col>
      <xdr:colOff>0</xdr:colOff>
      <xdr:row>46</xdr:row>
      <xdr:rowOff>0</xdr:rowOff>
    </xdr:to>
    <xdr:grpSp>
      <xdr:nvGrpSpPr>
        <xdr:cNvPr id="8854" name="Cross_E46">
          <a:extLst>
            <a:ext uri="{FF2B5EF4-FFF2-40B4-BE49-F238E27FC236}">
              <a16:creationId xmlns:a16="http://schemas.microsoft.com/office/drawing/2014/main" id="{12BEE689-EF7A-9E1B-1A71-E2F851BAE69C}"/>
            </a:ext>
          </a:extLst>
        </xdr:cNvPr>
        <xdr:cNvGrpSpPr/>
      </xdr:nvGrpSpPr>
      <xdr:grpSpPr>
        <a:xfrm>
          <a:off x="2827020" y="8702040"/>
          <a:ext cx="594360" cy="228600"/>
          <a:chOff x="2827020" y="8702040"/>
          <a:chExt cx="594360" cy="228600"/>
        </a:xfrm>
      </xdr:grpSpPr>
      <xdr:cxnSp macro="">
        <xdr:nvCxnSpPr>
          <xdr:cNvPr id="8852" name="Gerader Verbinder 8851">
            <a:extLst>
              <a:ext uri="{FF2B5EF4-FFF2-40B4-BE49-F238E27FC236}">
                <a16:creationId xmlns:a16="http://schemas.microsoft.com/office/drawing/2014/main" id="{39485787-58DA-BEDE-D5BF-A83FFD884EE3}"/>
              </a:ext>
            </a:extLst>
          </xdr:cNvPr>
          <xdr:cNvCxnSpPr/>
        </xdr:nvCxnSpPr>
        <xdr:spPr>
          <a:xfrm>
            <a:off x="2827020" y="870204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853" name="Gerader Verbinder 8852">
            <a:extLst>
              <a:ext uri="{FF2B5EF4-FFF2-40B4-BE49-F238E27FC236}">
                <a16:creationId xmlns:a16="http://schemas.microsoft.com/office/drawing/2014/main" id="{2075A557-BE4F-9B5B-C722-BBD69AC1EEA4}"/>
              </a:ext>
            </a:extLst>
          </xdr:cNvPr>
          <xdr:cNvCxnSpPr/>
        </xdr:nvCxnSpPr>
        <xdr:spPr>
          <a:xfrm flipH="1">
            <a:off x="2827020" y="870204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46</xdr:row>
      <xdr:rowOff>0</xdr:rowOff>
    </xdr:from>
    <xdr:to>
      <xdr:col>5</xdr:col>
      <xdr:colOff>0</xdr:colOff>
      <xdr:row>47</xdr:row>
      <xdr:rowOff>0</xdr:rowOff>
    </xdr:to>
    <xdr:grpSp>
      <xdr:nvGrpSpPr>
        <xdr:cNvPr id="8857" name="Cross_E47">
          <a:extLst>
            <a:ext uri="{FF2B5EF4-FFF2-40B4-BE49-F238E27FC236}">
              <a16:creationId xmlns:a16="http://schemas.microsoft.com/office/drawing/2014/main" id="{2AA29B8B-11DE-B25A-E71E-24A4E09C4F3E}"/>
            </a:ext>
          </a:extLst>
        </xdr:cNvPr>
        <xdr:cNvGrpSpPr/>
      </xdr:nvGrpSpPr>
      <xdr:grpSpPr>
        <a:xfrm>
          <a:off x="2827020" y="8930640"/>
          <a:ext cx="594360" cy="167640"/>
          <a:chOff x="2827020" y="8930640"/>
          <a:chExt cx="594360" cy="167640"/>
        </a:xfrm>
      </xdr:grpSpPr>
      <xdr:cxnSp macro="">
        <xdr:nvCxnSpPr>
          <xdr:cNvPr id="8855" name="Gerader Verbinder 8854">
            <a:extLst>
              <a:ext uri="{FF2B5EF4-FFF2-40B4-BE49-F238E27FC236}">
                <a16:creationId xmlns:a16="http://schemas.microsoft.com/office/drawing/2014/main" id="{777E4D30-C554-9791-A1CA-DCFF399B91C5}"/>
              </a:ext>
            </a:extLst>
          </xdr:cNvPr>
          <xdr:cNvCxnSpPr/>
        </xdr:nvCxnSpPr>
        <xdr:spPr>
          <a:xfrm>
            <a:off x="2827020" y="89306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856" name="Gerader Verbinder 8855">
            <a:extLst>
              <a:ext uri="{FF2B5EF4-FFF2-40B4-BE49-F238E27FC236}">
                <a16:creationId xmlns:a16="http://schemas.microsoft.com/office/drawing/2014/main" id="{3C824AA8-C424-0D8F-F56E-452CCD683D38}"/>
              </a:ext>
            </a:extLst>
          </xdr:cNvPr>
          <xdr:cNvCxnSpPr/>
        </xdr:nvCxnSpPr>
        <xdr:spPr>
          <a:xfrm flipH="1">
            <a:off x="2827020" y="89306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47</xdr:row>
      <xdr:rowOff>0</xdr:rowOff>
    </xdr:from>
    <xdr:to>
      <xdr:col>5</xdr:col>
      <xdr:colOff>0</xdr:colOff>
      <xdr:row>48</xdr:row>
      <xdr:rowOff>0</xdr:rowOff>
    </xdr:to>
    <xdr:grpSp>
      <xdr:nvGrpSpPr>
        <xdr:cNvPr id="8860" name="Cross_E48">
          <a:extLst>
            <a:ext uri="{FF2B5EF4-FFF2-40B4-BE49-F238E27FC236}">
              <a16:creationId xmlns:a16="http://schemas.microsoft.com/office/drawing/2014/main" id="{432AD5B0-F5C6-6EFE-B5DE-FA8B5A0A04E3}"/>
            </a:ext>
          </a:extLst>
        </xdr:cNvPr>
        <xdr:cNvGrpSpPr/>
      </xdr:nvGrpSpPr>
      <xdr:grpSpPr>
        <a:xfrm>
          <a:off x="2827020" y="9098280"/>
          <a:ext cx="594360" cy="167640"/>
          <a:chOff x="2827020" y="9098280"/>
          <a:chExt cx="594360" cy="167640"/>
        </a:xfrm>
      </xdr:grpSpPr>
      <xdr:cxnSp macro="">
        <xdr:nvCxnSpPr>
          <xdr:cNvPr id="8858" name="Gerader Verbinder 8857">
            <a:extLst>
              <a:ext uri="{FF2B5EF4-FFF2-40B4-BE49-F238E27FC236}">
                <a16:creationId xmlns:a16="http://schemas.microsoft.com/office/drawing/2014/main" id="{53B538BE-7C2F-E26C-4391-95A3F9D805CC}"/>
              </a:ext>
            </a:extLst>
          </xdr:cNvPr>
          <xdr:cNvCxnSpPr/>
        </xdr:nvCxnSpPr>
        <xdr:spPr>
          <a:xfrm>
            <a:off x="2827020" y="90982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859" name="Gerader Verbinder 8858">
            <a:extLst>
              <a:ext uri="{FF2B5EF4-FFF2-40B4-BE49-F238E27FC236}">
                <a16:creationId xmlns:a16="http://schemas.microsoft.com/office/drawing/2014/main" id="{2E0B5A02-E826-6E34-3055-757F98827841}"/>
              </a:ext>
            </a:extLst>
          </xdr:cNvPr>
          <xdr:cNvCxnSpPr/>
        </xdr:nvCxnSpPr>
        <xdr:spPr>
          <a:xfrm flipH="1">
            <a:off x="2827020" y="90982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54</xdr:row>
      <xdr:rowOff>0</xdr:rowOff>
    </xdr:from>
    <xdr:to>
      <xdr:col>5</xdr:col>
      <xdr:colOff>0</xdr:colOff>
      <xdr:row>55</xdr:row>
      <xdr:rowOff>0</xdr:rowOff>
    </xdr:to>
    <xdr:grpSp>
      <xdr:nvGrpSpPr>
        <xdr:cNvPr id="8863" name="Cross_E55">
          <a:extLst>
            <a:ext uri="{FF2B5EF4-FFF2-40B4-BE49-F238E27FC236}">
              <a16:creationId xmlns:a16="http://schemas.microsoft.com/office/drawing/2014/main" id="{1E89BA76-BB01-6282-2212-195DB52FF617}"/>
            </a:ext>
          </a:extLst>
        </xdr:cNvPr>
        <xdr:cNvGrpSpPr/>
      </xdr:nvGrpSpPr>
      <xdr:grpSpPr>
        <a:xfrm>
          <a:off x="2827020" y="10393680"/>
          <a:ext cx="594360" cy="228600"/>
          <a:chOff x="2827020" y="10393680"/>
          <a:chExt cx="594360" cy="228600"/>
        </a:xfrm>
      </xdr:grpSpPr>
      <xdr:cxnSp macro="">
        <xdr:nvCxnSpPr>
          <xdr:cNvPr id="8861" name="Gerader Verbinder 8860">
            <a:extLst>
              <a:ext uri="{FF2B5EF4-FFF2-40B4-BE49-F238E27FC236}">
                <a16:creationId xmlns:a16="http://schemas.microsoft.com/office/drawing/2014/main" id="{32040798-2407-E5BA-BFCC-AF83F355E149}"/>
              </a:ext>
            </a:extLst>
          </xdr:cNvPr>
          <xdr:cNvCxnSpPr/>
        </xdr:nvCxnSpPr>
        <xdr:spPr>
          <a:xfrm>
            <a:off x="2827020" y="103936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862" name="Gerader Verbinder 8861">
            <a:extLst>
              <a:ext uri="{FF2B5EF4-FFF2-40B4-BE49-F238E27FC236}">
                <a16:creationId xmlns:a16="http://schemas.microsoft.com/office/drawing/2014/main" id="{FA2AA88B-6A62-D7DC-0581-536D59228359}"/>
              </a:ext>
            </a:extLst>
          </xdr:cNvPr>
          <xdr:cNvCxnSpPr/>
        </xdr:nvCxnSpPr>
        <xdr:spPr>
          <a:xfrm flipH="1">
            <a:off x="2827020" y="103936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55</xdr:row>
      <xdr:rowOff>0</xdr:rowOff>
    </xdr:from>
    <xdr:to>
      <xdr:col>5</xdr:col>
      <xdr:colOff>0</xdr:colOff>
      <xdr:row>56</xdr:row>
      <xdr:rowOff>0</xdr:rowOff>
    </xdr:to>
    <xdr:grpSp>
      <xdr:nvGrpSpPr>
        <xdr:cNvPr id="8866" name="Cross_E56">
          <a:extLst>
            <a:ext uri="{FF2B5EF4-FFF2-40B4-BE49-F238E27FC236}">
              <a16:creationId xmlns:a16="http://schemas.microsoft.com/office/drawing/2014/main" id="{DE1DD2DD-A5AA-3E1E-29C4-8205672A74FB}"/>
            </a:ext>
          </a:extLst>
        </xdr:cNvPr>
        <xdr:cNvGrpSpPr/>
      </xdr:nvGrpSpPr>
      <xdr:grpSpPr>
        <a:xfrm>
          <a:off x="2827020" y="10622280"/>
          <a:ext cx="594360" cy="167640"/>
          <a:chOff x="2827020" y="10622280"/>
          <a:chExt cx="594360" cy="167640"/>
        </a:xfrm>
      </xdr:grpSpPr>
      <xdr:cxnSp macro="">
        <xdr:nvCxnSpPr>
          <xdr:cNvPr id="8864" name="Gerader Verbinder 8863">
            <a:extLst>
              <a:ext uri="{FF2B5EF4-FFF2-40B4-BE49-F238E27FC236}">
                <a16:creationId xmlns:a16="http://schemas.microsoft.com/office/drawing/2014/main" id="{A8336E9E-CB5D-D993-5C6D-1EC3EA5EF191}"/>
              </a:ext>
            </a:extLst>
          </xdr:cNvPr>
          <xdr:cNvCxnSpPr/>
        </xdr:nvCxnSpPr>
        <xdr:spPr>
          <a:xfrm>
            <a:off x="2827020" y="106222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865" name="Gerader Verbinder 8864">
            <a:extLst>
              <a:ext uri="{FF2B5EF4-FFF2-40B4-BE49-F238E27FC236}">
                <a16:creationId xmlns:a16="http://schemas.microsoft.com/office/drawing/2014/main" id="{DEAE4DD4-1962-3FA6-8D2A-2986C50C309C}"/>
              </a:ext>
            </a:extLst>
          </xdr:cNvPr>
          <xdr:cNvCxnSpPr/>
        </xdr:nvCxnSpPr>
        <xdr:spPr>
          <a:xfrm flipH="1">
            <a:off x="2827020" y="106222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56</xdr:row>
      <xdr:rowOff>0</xdr:rowOff>
    </xdr:from>
    <xdr:to>
      <xdr:col>5</xdr:col>
      <xdr:colOff>0</xdr:colOff>
      <xdr:row>57</xdr:row>
      <xdr:rowOff>0</xdr:rowOff>
    </xdr:to>
    <xdr:grpSp>
      <xdr:nvGrpSpPr>
        <xdr:cNvPr id="8869" name="Cross_E57">
          <a:extLst>
            <a:ext uri="{FF2B5EF4-FFF2-40B4-BE49-F238E27FC236}">
              <a16:creationId xmlns:a16="http://schemas.microsoft.com/office/drawing/2014/main" id="{0F9512EB-9405-3063-4732-F78B0335B319}"/>
            </a:ext>
          </a:extLst>
        </xdr:cNvPr>
        <xdr:cNvGrpSpPr/>
      </xdr:nvGrpSpPr>
      <xdr:grpSpPr>
        <a:xfrm>
          <a:off x="2827020" y="10789920"/>
          <a:ext cx="594360" cy="167640"/>
          <a:chOff x="2827020" y="10789920"/>
          <a:chExt cx="594360" cy="167640"/>
        </a:xfrm>
      </xdr:grpSpPr>
      <xdr:cxnSp macro="">
        <xdr:nvCxnSpPr>
          <xdr:cNvPr id="8867" name="Gerader Verbinder 8866">
            <a:extLst>
              <a:ext uri="{FF2B5EF4-FFF2-40B4-BE49-F238E27FC236}">
                <a16:creationId xmlns:a16="http://schemas.microsoft.com/office/drawing/2014/main" id="{33E4B3F7-361D-5178-1EC5-BA51AD90D048}"/>
              </a:ext>
            </a:extLst>
          </xdr:cNvPr>
          <xdr:cNvCxnSpPr/>
        </xdr:nvCxnSpPr>
        <xdr:spPr>
          <a:xfrm>
            <a:off x="2827020" y="107899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868" name="Gerader Verbinder 8867">
            <a:extLst>
              <a:ext uri="{FF2B5EF4-FFF2-40B4-BE49-F238E27FC236}">
                <a16:creationId xmlns:a16="http://schemas.microsoft.com/office/drawing/2014/main" id="{B4DE9B27-0659-FCCB-4DC3-5CFFC61F9D9E}"/>
              </a:ext>
            </a:extLst>
          </xdr:cNvPr>
          <xdr:cNvCxnSpPr/>
        </xdr:nvCxnSpPr>
        <xdr:spPr>
          <a:xfrm flipH="1">
            <a:off x="2827020" y="107899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57</xdr:row>
      <xdr:rowOff>0</xdr:rowOff>
    </xdr:from>
    <xdr:to>
      <xdr:col>5</xdr:col>
      <xdr:colOff>0</xdr:colOff>
      <xdr:row>58</xdr:row>
      <xdr:rowOff>0</xdr:rowOff>
    </xdr:to>
    <xdr:grpSp>
      <xdr:nvGrpSpPr>
        <xdr:cNvPr id="8872" name="Cross_E58">
          <a:extLst>
            <a:ext uri="{FF2B5EF4-FFF2-40B4-BE49-F238E27FC236}">
              <a16:creationId xmlns:a16="http://schemas.microsoft.com/office/drawing/2014/main" id="{C8E304C9-EF35-CD13-D3E2-0A6C6D0518DE}"/>
            </a:ext>
          </a:extLst>
        </xdr:cNvPr>
        <xdr:cNvGrpSpPr/>
      </xdr:nvGrpSpPr>
      <xdr:grpSpPr>
        <a:xfrm>
          <a:off x="2827020" y="10957560"/>
          <a:ext cx="594360" cy="228600"/>
          <a:chOff x="2827020" y="10957560"/>
          <a:chExt cx="594360" cy="228600"/>
        </a:xfrm>
      </xdr:grpSpPr>
      <xdr:cxnSp macro="">
        <xdr:nvCxnSpPr>
          <xdr:cNvPr id="8870" name="Gerader Verbinder 8869">
            <a:extLst>
              <a:ext uri="{FF2B5EF4-FFF2-40B4-BE49-F238E27FC236}">
                <a16:creationId xmlns:a16="http://schemas.microsoft.com/office/drawing/2014/main" id="{7B6C3738-0933-ADB3-53E7-53AB283F789A}"/>
              </a:ext>
            </a:extLst>
          </xdr:cNvPr>
          <xdr:cNvCxnSpPr/>
        </xdr:nvCxnSpPr>
        <xdr:spPr>
          <a:xfrm>
            <a:off x="2827020" y="1095756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871" name="Gerader Verbinder 8870">
            <a:extLst>
              <a:ext uri="{FF2B5EF4-FFF2-40B4-BE49-F238E27FC236}">
                <a16:creationId xmlns:a16="http://schemas.microsoft.com/office/drawing/2014/main" id="{2A132D7F-70EC-C9CC-D6D5-A539BCA3590C}"/>
              </a:ext>
            </a:extLst>
          </xdr:cNvPr>
          <xdr:cNvCxnSpPr/>
        </xdr:nvCxnSpPr>
        <xdr:spPr>
          <a:xfrm flipH="1">
            <a:off x="2827020" y="1095756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58</xdr:row>
      <xdr:rowOff>0</xdr:rowOff>
    </xdr:from>
    <xdr:to>
      <xdr:col>5</xdr:col>
      <xdr:colOff>0</xdr:colOff>
      <xdr:row>59</xdr:row>
      <xdr:rowOff>0</xdr:rowOff>
    </xdr:to>
    <xdr:grpSp>
      <xdr:nvGrpSpPr>
        <xdr:cNvPr id="8875" name="Cross_E59">
          <a:extLst>
            <a:ext uri="{FF2B5EF4-FFF2-40B4-BE49-F238E27FC236}">
              <a16:creationId xmlns:a16="http://schemas.microsoft.com/office/drawing/2014/main" id="{C8A7D9B0-B35D-FC39-0D6D-A2E594EE2348}"/>
            </a:ext>
          </a:extLst>
        </xdr:cNvPr>
        <xdr:cNvGrpSpPr/>
      </xdr:nvGrpSpPr>
      <xdr:grpSpPr>
        <a:xfrm>
          <a:off x="2827020" y="11186160"/>
          <a:ext cx="594360" cy="167640"/>
          <a:chOff x="2827020" y="11186160"/>
          <a:chExt cx="594360" cy="167640"/>
        </a:xfrm>
      </xdr:grpSpPr>
      <xdr:cxnSp macro="">
        <xdr:nvCxnSpPr>
          <xdr:cNvPr id="8873" name="Gerader Verbinder 8872">
            <a:extLst>
              <a:ext uri="{FF2B5EF4-FFF2-40B4-BE49-F238E27FC236}">
                <a16:creationId xmlns:a16="http://schemas.microsoft.com/office/drawing/2014/main" id="{FE8545FE-013F-56CF-AA91-1B006D63733F}"/>
              </a:ext>
            </a:extLst>
          </xdr:cNvPr>
          <xdr:cNvCxnSpPr/>
        </xdr:nvCxnSpPr>
        <xdr:spPr>
          <a:xfrm>
            <a:off x="2827020" y="111861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874" name="Gerader Verbinder 8873">
            <a:extLst>
              <a:ext uri="{FF2B5EF4-FFF2-40B4-BE49-F238E27FC236}">
                <a16:creationId xmlns:a16="http://schemas.microsoft.com/office/drawing/2014/main" id="{0C05D0FB-11BB-7EB5-07C1-9901F2DDE92B}"/>
              </a:ext>
            </a:extLst>
          </xdr:cNvPr>
          <xdr:cNvCxnSpPr/>
        </xdr:nvCxnSpPr>
        <xdr:spPr>
          <a:xfrm flipH="1">
            <a:off x="2827020" y="111861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59</xdr:row>
      <xdr:rowOff>0</xdr:rowOff>
    </xdr:from>
    <xdr:to>
      <xdr:col>5</xdr:col>
      <xdr:colOff>0</xdr:colOff>
      <xdr:row>60</xdr:row>
      <xdr:rowOff>0</xdr:rowOff>
    </xdr:to>
    <xdr:grpSp>
      <xdr:nvGrpSpPr>
        <xdr:cNvPr id="8878" name="Cross_E60">
          <a:extLst>
            <a:ext uri="{FF2B5EF4-FFF2-40B4-BE49-F238E27FC236}">
              <a16:creationId xmlns:a16="http://schemas.microsoft.com/office/drawing/2014/main" id="{282788E9-4F70-6A20-0CDC-3C1C9D79E4D6}"/>
            </a:ext>
          </a:extLst>
        </xdr:cNvPr>
        <xdr:cNvGrpSpPr/>
      </xdr:nvGrpSpPr>
      <xdr:grpSpPr>
        <a:xfrm>
          <a:off x="2827020" y="11353800"/>
          <a:ext cx="594360" cy="167640"/>
          <a:chOff x="2827020" y="11353800"/>
          <a:chExt cx="594360" cy="167640"/>
        </a:xfrm>
      </xdr:grpSpPr>
      <xdr:cxnSp macro="">
        <xdr:nvCxnSpPr>
          <xdr:cNvPr id="8876" name="Gerader Verbinder 8875">
            <a:extLst>
              <a:ext uri="{FF2B5EF4-FFF2-40B4-BE49-F238E27FC236}">
                <a16:creationId xmlns:a16="http://schemas.microsoft.com/office/drawing/2014/main" id="{64A8658E-81E2-217E-E462-557795F69988}"/>
              </a:ext>
            </a:extLst>
          </xdr:cNvPr>
          <xdr:cNvCxnSpPr/>
        </xdr:nvCxnSpPr>
        <xdr:spPr>
          <a:xfrm>
            <a:off x="2827020" y="113538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877" name="Gerader Verbinder 8876">
            <a:extLst>
              <a:ext uri="{FF2B5EF4-FFF2-40B4-BE49-F238E27FC236}">
                <a16:creationId xmlns:a16="http://schemas.microsoft.com/office/drawing/2014/main" id="{6D5D719A-8B9C-EF90-D9F1-F3B78E8063E6}"/>
              </a:ext>
            </a:extLst>
          </xdr:cNvPr>
          <xdr:cNvCxnSpPr/>
        </xdr:nvCxnSpPr>
        <xdr:spPr>
          <a:xfrm flipH="1">
            <a:off x="2827020" y="113538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60</xdr:row>
      <xdr:rowOff>0</xdr:rowOff>
    </xdr:from>
    <xdr:to>
      <xdr:col>5</xdr:col>
      <xdr:colOff>0</xdr:colOff>
      <xdr:row>61</xdr:row>
      <xdr:rowOff>0</xdr:rowOff>
    </xdr:to>
    <xdr:grpSp>
      <xdr:nvGrpSpPr>
        <xdr:cNvPr id="8881" name="Cross_E61">
          <a:extLst>
            <a:ext uri="{FF2B5EF4-FFF2-40B4-BE49-F238E27FC236}">
              <a16:creationId xmlns:a16="http://schemas.microsoft.com/office/drawing/2014/main" id="{7BFD7787-BCF8-D5CE-3955-1F1CA851338E}"/>
            </a:ext>
          </a:extLst>
        </xdr:cNvPr>
        <xdr:cNvGrpSpPr/>
      </xdr:nvGrpSpPr>
      <xdr:grpSpPr>
        <a:xfrm>
          <a:off x="2827020" y="11521440"/>
          <a:ext cx="594360" cy="228600"/>
          <a:chOff x="2827020" y="11521440"/>
          <a:chExt cx="594360" cy="228600"/>
        </a:xfrm>
      </xdr:grpSpPr>
      <xdr:cxnSp macro="">
        <xdr:nvCxnSpPr>
          <xdr:cNvPr id="8879" name="Gerader Verbinder 8878">
            <a:extLst>
              <a:ext uri="{FF2B5EF4-FFF2-40B4-BE49-F238E27FC236}">
                <a16:creationId xmlns:a16="http://schemas.microsoft.com/office/drawing/2014/main" id="{7AE4016E-8011-1455-310B-DD740202F947}"/>
              </a:ext>
            </a:extLst>
          </xdr:cNvPr>
          <xdr:cNvCxnSpPr/>
        </xdr:nvCxnSpPr>
        <xdr:spPr>
          <a:xfrm>
            <a:off x="2827020" y="1152144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880" name="Gerader Verbinder 8879">
            <a:extLst>
              <a:ext uri="{FF2B5EF4-FFF2-40B4-BE49-F238E27FC236}">
                <a16:creationId xmlns:a16="http://schemas.microsoft.com/office/drawing/2014/main" id="{A35DF552-E3BF-EE22-47CB-4292FFCC5FF1}"/>
              </a:ext>
            </a:extLst>
          </xdr:cNvPr>
          <xdr:cNvCxnSpPr/>
        </xdr:nvCxnSpPr>
        <xdr:spPr>
          <a:xfrm flipH="1">
            <a:off x="2827020" y="1152144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61</xdr:row>
      <xdr:rowOff>0</xdr:rowOff>
    </xdr:from>
    <xdr:to>
      <xdr:col>5</xdr:col>
      <xdr:colOff>0</xdr:colOff>
      <xdr:row>62</xdr:row>
      <xdr:rowOff>0</xdr:rowOff>
    </xdr:to>
    <xdr:grpSp>
      <xdr:nvGrpSpPr>
        <xdr:cNvPr id="8884" name="Cross_E62">
          <a:extLst>
            <a:ext uri="{FF2B5EF4-FFF2-40B4-BE49-F238E27FC236}">
              <a16:creationId xmlns:a16="http://schemas.microsoft.com/office/drawing/2014/main" id="{D9B50B71-1877-93B3-0CBD-1ACEC0ACA5D0}"/>
            </a:ext>
          </a:extLst>
        </xdr:cNvPr>
        <xdr:cNvGrpSpPr/>
      </xdr:nvGrpSpPr>
      <xdr:grpSpPr>
        <a:xfrm>
          <a:off x="2827020" y="11750040"/>
          <a:ext cx="594360" cy="167640"/>
          <a:chOff x="2827020" y="11750040"/>
          <a:chExt cx="594360" cy="167640"/>
        </a:xfrm>
      </xdr:grpSpPr>
      <xdr:cxnSp macro="">
        <xdr:nvCxnSpPr>
          <xdr:cNvPr id="8882" name="Gerader Verbinder 8881">
            <a:extLst>
              <a:ext uri="{FF2B5EF4-FFF2-40B4-BE49-F238E27FC236}">
                <a16:creationId xmlns:a16="http://schemas.microsoft.com/office/drawing/2014/main" id="{08B199E5-94EE-F14D-DD55-930F02890208}"/>
              </a:ext>
            </a:extLst>
          </xdr:cNvPr>
          <xdr:cNvCxnSpPr/>
        </xdr:nvCxnSpPr>
        <xdr:spPr>
          <a:xfrm>
            <a:off x="2827020" y="117500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883" name="Gerader Verbinder 8882">
            <a:extLst>
              <a:ext uri="{FF2B5EF4-FFF2-40B4-BE49-F238E27FC236}">
                <a16:creationId xmlns:a16="http://schemas.microsoft.com/office/drawing/2014/main" id="{32BB8106-8FA7-487B-9E3B-11E3A6299EFC}"/>
              </a:ext>
            </a:extLst>
          </xdr:cNvPr>
          <xdr:cNvCxnSpPr/>
        </xdr:nvCxnSpPr>
        <xdr:spPr>
          <a:xfrm flipH="1">
            <a:off x="2827020" y="117500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62</xdr:row>
      <xdr:rowOff>0</xdr:rowOff>
    </xdr:from>
    <xdr:to>
      <xdr:col>5</xdr:col>
      <xdr:colOff>0</xdr:colOff>
      <xdr:row>63</xdr:row>
      <xdr:rowOff>0</xdr:rowOff>
    </xdr:to>
    <xdr:grpSp>
      <xdr:nvGrpSpPr>
        <xdr:cNvPr id="8887" name="Cross_E63">
          <a:extLst>
            <a:ext uri="{FF2B5EF4-FFF2-40B4-BE49-F238E27FC236}">
              <a16:creationId xmlns:a16="http://schemas.microsoft.com/office/drawing/2014/main" id="{09AEB770-0EA7-C695-CCD1-ACF602C4C7DD}"/>
            </a:ext>
          </a:extLst>
        </xdr:cNvPr>
        <xdr:cNvGrpSpPr/>
      </xdr:nvGrpSpPr>
      <xdr:grpSpPr>
        <a:xfrm>
          <a:off x="2827020" y="11917680"/>
          <a:ext cx="594360" cy="167640"/>
          <a:chOff x="2827020" y="11917680"/>
          <a:chExt cx="594360" cy="167640"/>
        </a:xfrm>
      </xdr:grpSpPr>
      <xdr:cxnSp macro="">
        <xdr:nvCxnSpPr>
          <xdr:cNvPr id="8885" name="Gerader Verbinder 8884">
            <a:extLst>
              <a:ext uri="{FF2B5EF4-FFF2-40B4-BE49-F238E27FC236}">
                <a16:creationId xmlns:a16="http://schemas.microsoft.com/office/drawing/2014/main" id="{999003B2-73C8-5458-82AE-2E11B482D46A}"/>
              </a:ext>
            </a:extLst>
          </xdr:cNvPr>
          <xdr:cNvCxnSpPr/>
        </xdr:nvCxnSpPr>
        <xdr:spPr>
          <a:xfrm>
            <a:off x="2827020" y="119176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886" name="Gerader Verbinder 8885">
            <a:extLst>
              <a:ext uri="{FF2B5EF4-FFF2-40B4-BE49-F238E27FC236}">
                <a16:creationId xmlns:a16="http://schemas.microsoft.com/office/drawing/2014/main" id="{930C6C4A-F867-6DA5-246E-5B5B45237C70}"/>
              </a:ext>
            </a:extLst>
          </xdr:cNvPr>
          <xdr:cNvCxnSpPr/>
        </xdr:nvCxnSpPr>
        <xdr:spPr>
          <a:xfrm flipH="1">
            <a:off x="2827020" y="119176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69</xdr:row>
      <xdr:rowOff>0</xdr:rowOff>
    </xdr:from>
    <xdr:to>
      <xdr:col>5</xdr:col>
      <xdr:colOff>0</xdr:colOff>
      <xdr:row>70</xdr:row>
      <xdr:rowOff>0</xdr:rowOff>
    </xdr:to>
    <xdr:grpSp>
      <xdr:nvGrpSpPr>
        <xdr:cNvPr id="8890" name="Cross_E70">
          <a:extLst>
            <a:ext uri="{FF2B5EF4-FFF2-40B4-BE49-F238E27FC236}">
              <a16:creationId xmlns:a16="http://schemas.microsoft.com/office/drawing/2014/main" id="{8C4D871F-BAB4-A2BD-193E-126F407AEF50}"/>
            </a:ext>
          </a:extLst>
        </xdr:cNvPr>
        <xdr:cNvGrpSpPr/>
      </xdr:nvGrpSpPr>
      <xdr:grpSpPr>
        <a:xfrm>
          <a:off x="2827020" y="13213080"/>
          <a:ext cx="594360" cy="228600"/>
          <a:chOff x="2827020" y="13213080"/>
          <a:chExt cx="594360" cy="228600"/>
        </a:xfrm>
      </xdr:grpSpPr>
      <xdr:cxnSp macro="">
        <xdr:nvCxnSpPr>
          <xdr:cNvPr id="8888" name="Gerader Verbinder 8887">
            <a:extLst>
              <a:ext uri="{FF2B5EF4-FFF2-40B4-BE49-F238E27FC236}">
                <a16:creationId xmlns:a16="http://schemas.microsoft.com/office/drawing/2014/main" id="{0357244A-C20B-1EE1-591B-D77EDFEFE110}"/>
              </a:ext>
            </a:extLst>
          </xdr:cNvPr>
          <xdr:cNvCxnSpPr/>
        </xdr:nvCxnSpPr>
        <xdr:spPr>
          <a:xfrm>
            <a:off x="2827020" y="132130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889" name="Gerader Verbinder 8888">
            <a:extLst>
              <a:ext uri="{FF2B5EF4-FFF2-40B4-BE49-F238E27FC236}">
                <a16:creationId xmlns:a16="http://schemas.microsoft.com/office/drawing/2014/main" id="{6DD1AB54-D043-584D-994B-78D5D5D73569}"/>
              </a:ext>
            </a:extLst>
          </xdr:cNvPr>
          <xdr:cNvCxnSpPr/>
        </xdr:nvCxnSpPr>
        <xdr:spPr>
          <a:xfrm flipH="1">
            <a:off x="2827020" y="132130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70</xdr:row>
      <xdr:rowOff>0</xdr:rowOff>
    </xdr:from>
    <xdr:to>
      <xdr:col>5</xdr:col>
      <xdr:colOff>0</xdr:colOff>
      <xdr:row>71</xdr:row>
      <xdr:rowOff>0</xdr:rowOff>
    </xdr:to>
    <xdr:grpSp>
      <xdr:nvGrpSpPr>
        <xdr:cNvPr id="8893" name="Cross_E71">
          <a:extLst>
            <a:ext uri="{FF2B5EF4-FFF2-40B4-BE49-F238E27FC236}">
              <a16:creationId xmlns:a16="http://schemas.microsoft.com/office/drawing/2014/main" id="{B8F028E1-2E76-B9C8-AC73-17864CFEBD16}"/>
            </a:ext>
          </a:extLst>
        </xdr:cNvPr>
        <xdr:cNvGrpSpPr/>
      </xdr:nvGrpSpPr>
      <xdr:grpSpPr>
        <a:xfrm>
          <a:off x="2827020" y="13441680"/>
          <a:ext cx="594360" cy="167640"/>
          <a:chOff x="2827020" y="13441680"/>
          <a:chExt cx="594360" cy="167640"/>
        </a:xfrm>
      </xdr:grpSpPr>
      <xdr:cxnSp macro="">
        <xdr:nvCxnSpPr>
          <xdr:cNvPr id="8891" name="Gerader Verbinder 8890">
            <a:extLst>
              <a:ext uri="{FF2B5EF4-FFF2-40B4-BE49-F238E27FC236}">
                <a16:creationId xmlns:a16="http://schemas.microsoft.com/office/drawing/2014/main" id="{7B2536D6-6BE6-CAE8-7E4B-3891195BBDB7}"/>
              </a:ext>
            </a:extLst>
          </xdr:cNvPr>
          <xdr:cNvCxnSpPr/>
        </xdr:nvCxnSpPr>
        <xdr:spPr>
          <a:xfrm>
            <a:off x="2827020" y="134416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892" name="Gerader Verbinder 8891">
            <a:extLst>
              <a:ext uri="{FF2B5EF4-FFF2-40B4-BE49-F238E27FC236}">
                <a16:creationId xmlns:a16="http://schemas.microsoft.com/office/drawing/2014/main" id="{A244EDD0-A497-3FE7-E3BF-C5B4127FF834}"/>
              </a:ext>
            </a:extLst>
          </xdr:cNvPr>
          <xdr:cNvCxnSpPr/>
        </xdr:nvCxnSpPr>
        <xdr:spPr>
          <a:xfrm flipH="1">
            <a:off x="2827020" y="134416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71</xdr:row>
      <xdr:rowOff>0</xdr:rowOff>
    </xdr:from>
    <xdr:to>
      <xdr:col>5</xdr:col>
      <xdr:colOff>0</xdr:colOff>
      <xdr:row>72</xdr:row>
      <xdr:rowOff>1</xdr:rowOff>
    </xdr:to>
    <xdr:grpSp>
      <xdr:nvGrpSpPr>
        <xdr:cNvPr id="8896" name="Cross_E72">
          <a:extLst>
            <a:ext uri="{FF2B5EF4-FFF2-40B4-BE49-F238E27FC236}">
              <a16:creationId xmlns:a16="http://schemas.microsoft.com/office/drawing/2014/main" id="{A93261CF-8B29-CC36-FDA5-61B29D21A462}"/>
            </a:ext>
          </a:extLst>
        </xdr:cNvPr>
        <xdr:cNvGrpSpPr/>
      </xdr:nvGrpSpPr>
      <xdr:grpSpPr>
        <a:xfrm>
          <a:off x="2827020" y="13609320"/>
          <a:ext cx="594360" cy="167641"/>
          <a:chOff x="2827020" y="13609320"/>
          <a:chExt cx="594360" cy="167641"/>
        </a:xfrm>
      </xdr:grpSpPr>
      <xdr:cxnSp macro="">
        <xdr:nvCxnSpPr>
          <xdr:cNvPr id="8894" name="Gerader Verbinder 8893">
            <a:extLst>
              <a:ext uri="{FF2B5EF4-FFF2-40B4-BE49-F238E27FC236}">
                <a16:creationId xmlns:a16="http://schemas.microsoft.com/office/drawing/2014/main" id="{B96FBCFE-35FD-FA47-0D1F-001717A81D80}"/>
              </a:ext>
            </a:extLst>
          </xdr:cNvPr>
          <xdr:cNvCxnSpPr/>
        </xdr:nvCxnSpPr>
        <xdr:spPr>
          <a:xfrm>
            <a:off x="2827020" y="13609320"/>
            <a:ext cx="594360" cy="167641"/>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895" name="Gerader Verbinder 8894">
            <a:extLst>
              <a:ext uri="{FF2B5EF4-FFF2-40B4-BE49-F238E27FC236}">
                <a16:creationId xmlns:a16="http://schemas.microsoft.com/office/drawing/2014/main" id="{2438A9CA-7A78-A9D5-91C8-534C62A24D2E}"/>
              </a:ext>
            </a:extLst>
          </xdr:cNvPr>
          <xdr:cNvCxnSpPr/>
        </xdr:nvCxnSpPr>
        <xdr:spPr>
          <a:xfrm flipH="1">
            <a:off x="2827020" y="13609320"/>
            <a:ext cx="594360" cy="167641"/>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72</xdr:row>
      <xdr:rowOff>1</xdr:rowOff>
    </xdr:from>
    <xdr:to>
      <xdr:col>5</xdr:col>
      <xdr:colOff>0</xdr:colOff>
      <xdr:row>73</xdr:row>
      <xdr:rowOff>1</xdr:rowOff>
    </xdr:to>
    <xdr:grpSp>
      <xdr:nvGrpSpPr>
        <xdr:cNvPr id="8899" name="Cross_E73">
          <a:extLst>
            <a:ext uri="{FF2B5EF4-FFF2-40B4-BE49-F238E27FC236}">
              <a16:creationId xmlns:a16="http://schemas.microsoft.com/office/drawing/2014/main" id="{9981481A-6CC4-6932-6AAF-6727E90972FA}"/>
            </a:ext>
          </a:extLst>
        </xdr:cNvPr>
        <xdr:cNvGrpSpPr/>
      </xdr:nvGrpSpPr>
      <xdr:grpSpPr>
        <a:xfrm>
          <a:off x="2827020" y="13776961"/>
          <a:ext cx="594360" cy="228600"/>
          <a:chOff x="2827020" y="13776961"/>
          <a:chExt cx="594360" cy="228600"/>
        </a:xfrm>
      </xdr:grpSpPr>
      <xdr:cxnSp macro="">
        <xdr:nvCxnSpPr>
          <xdr:cNvPr id="8897" name="Gerader Verbinder 8896">
            <a:extLst>
              <a:ext uri="{FF2B5EF4-FFF2-40B4-BE49-F238E27FC236}">
                <a16:creationId xmlns:a16="http://schemas.microsoft.com/office/drawing/2014/main" id="{31B1516C-E116-5B8A-660E-713F1A68F619}"/>
              </a:ext>
            </a:extLst>
          </xdr:cNvPr>
          <xdr:cNvCxnSpPr/>
        </xdr:nvCxnSpPr>
        <xdr:spPr>
          <a:xfrm>
            <a:off x="2827020" y="13776961"/>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898" name="Gerader Verbinder 8897">
            <a:extLst>
              <a:ext uri="{FF2B5EF4-FFF2-40B4-BE49-F238E27FC236}">
                <a16:creationId xmlns:a16="http://schemas.microsoft.com/office/drawing/2014/main" id="{6D65320E-E993-44E2-ECF0-C138DABB6BCD}"/>
              </a:ext>
            </a:extLst>
          </xdr:cNvPr>
          <xdr:cNvCxnSpPr/>
        </xdr:nvCxnSpPr>
        <xdr:spPr>
          <a:xfrm flipH="1">
            <a:off x="2827020" y="13776961"/>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73</xdr:row>
      <xdr:rowOff>1</xdr:rowOff>
    </xdr:from>
    <xdr:to>
      <xdr:col>5</xdr:col>
      <xdr:colOff>0</xdr:colOff>
      <xdr:row>74</xdr:row>
      <xdr:rowOff>0</xdr:rowOff>
    </xdr:to>
    <xdr:grpSp>
      <xdr:nvGrpSpPr>
        <xdr:cNvPr id="8902" name="Cross_E74">
          <a:extLst>
            <a:ext uri="{FF2B5EF4-FFF2-40B4-BE49-F238E27FC236}">
              <a16:creationId xmlns:a16="http://schemas.microsoft.com/office/drawing/2014/main" id="{145DA6CE-BE80-4D59-7713-E875DEAF3526}"/>
            </a:ext>
          </a:extLst>
        </xdr:cNvPr>
        <xdr:cNvGrpSpPr/>
      </xdr:nvGrpSpPr>
      <xdr:grpSpPr>
        <a:xfrm>
          <a:off x="2827020" y="14005561"/>
          <a:ext cx="594360" cy="167639"/>
          <a:chOff x="2827020" y="14005561"/>
          <a:chExt cx="594360" cy="167639"/>
        </a:xfrm>
      </xdr:grpSpPr>
      <xdr:cxnSp macro="">
        <xdr:nvCxnSpPr>
          <xdr:cNvPr id="8900" name="Gerader Verbinder 8899">
            <a:extLst>
              <a:ext uri="{FF2B5EF4-FFF2-40B4-BE49-F238E27FC236}">
                <a16:creationId xmlns:a16="http://schemas.microsoft.com/office/drawing/2014/main" id="{F186EA28-9C8F-167A-958E-03A23A950579}"/>
              </a:ext>
            </a:extLst>
          </xdr:cNvPr>
          <xdr:cNvCxnSpPr/>
        </xdr:nvCxnSpPr>
        <xdr:spPr>
          <a:xfrm>
            <a:off x="2827020" y="14005561"/>
            <a:ext cx="59436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901" name="Gerader Verbinder 8900">
            <a:extLst>
              <a:ext uri="{FF2B5EF4-FFF2-40B4-BE49-F238E27FC236}">
                <a16:creationId xmlns:a16="http://schemas.microsoft.com/office/drawing/2014/main" id="{0606109C-12E6-6FE8-05F3-CBED0D98BB53}"/>
              </a:ext>
            </a:extLst>
          </xdr:cNvPr>
          <xdr:cNvCxnSpPr/>
        </xdr:nvCxnSpPr>
        <xdr:spPr>
          <a:xfrm flipH="1">
            <a:off x="2827020" y="14005561"/>
            <a:ext cx="59436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74</xdr:row>
      <xdr:rowOff>0</xdr:rowOff>
    </xdr:from>
    <xdr:to>
      <xdr:col>5</xdr:col>
      <xdr:colOff>0</xdr:colOff>
      <xdr:row>74</xdr:row>
      <xdr:rowOff>167639</xdr:rowOff>
    </xdr:to>
    <xdr:grpSp>
      <xdr:nvGrpSpPr>
        <xdr:cNvPr id="8905" name="Cross_E75">
          <a:extLst>
            <a:ext uri="{FF2B5EF4-FFF2-40B4-BE49-F238E27FC236}">
              <a16:creationId xmlns:a16="http://schemas.microsoft.com/office/drawing/2014/main" id="{979B40A5-EB61-C3E2-0F6D-ED688AE30528}"/>
            </a:ext>
          </a:extLst>
        </xdr:cNvPr>
        <xdr:cNvGrpSpPr/>
      </xdr:nvGrpSpPr>
      <xdr:grpSpPr>
        <a:xfrm>
          <a:off x="2827020" y="14173200"/>
          <a:ext cx="594360" cy="167639"/>
          <a:chOff x="2827020" y="14173200"/>
          <a:chExt cx="594360" cy="167639"/>
        </a:xfrm>
      </xdr:grpSpPr>
      <xdr:cxnSp macro="">
        <xdr:nvCxnSpPr>
          <xdr:cNvPr id="8903" name="Gerader Verbinder 8902">
            <a:extLst>
              <a:ext uri="{FF2B5EF4-FFF2-40B4-BE49-F238E27FC236}">
                <a16:creationId xmlns:a16="http://schemas.microsoft.com/office/drawing/2014/main" id="{E26C3734-332A-C792-E1C7-AA4EC1D97D2D}"/>
              </a:ext>
            </a:extLst>
          </xdr:cNvPr>
          <xdr:cNvCxnSpPr/>
        </xdr:nvCxnSpPr>
        <xdr:spPr>
          <a:xfrm>
            <a:off x="2827020" y="14173200"/>
            <a:ext cx="59436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904" name="Gerader Verbinder 8903">
            <a:extLst>
              <a:ext uri="{FF2B5EF4-FFF2-40B4-BE49-F238E27FC236}">
                <a16:creationId xmlns:a16="http://schemas.microsoft.com/office/drawing/2014/main" id="{29CF0A13-C46A-706F-41DF-BA9FD31B22BC}"/>
              </a:ext>
            </a:extLst>
          </xdr:cNvPr>
          <xdr:cNvCxnSpPr/>
        </xdr:nvCxnSpPr>
        <xdr:spPr>
          <a:xfrm flipH="1">
            <a:off x="2827020" y="14173200"/>
            <a:ext cx="59436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9</xdr:row>
      <xdr:rowOff>0</xdr:rowOff>
    </xdr:from>
    <xdr:to>
      <xdr:col>6</xdr:col>
      <xdr:colOff>0</xdr:colOff>
      <xdr:row>10</xdr:row>
      <xdr:rowOff>0</xdr:rowOff>
    </xdr:to>
    <xdr:grpSp>
      <xdr:nvGrpSpPr>
        <xdr:cNvPr id="8908" name="Cross_F10">
          <a:extLst>
            <a:ext uri="{FF2B5EF4-FFF2-40B4-BE49-F238E27FC236}">
              <a16:creationId xmlns:a16="http://schemas.microsoft.com/office/drawing/2014/main" id="{2576AAA1-E37D-9183-3060-B1F03724D7FB}"/>
            </a:ext>
          </a:extLst>
        </xdr:cNvPr>
        <xdr:cNvGrpSpPr/>
      </xdr:nvGrpSpPr>
      <xdr:grpSpPr>
        <a:xfrm>
          <a:off x="3421380" y="1935480"/>
          <a:ext cx="594360" cy="228600"/>
          <a:chOff x="3421380" y="1935480"/>
          <a:chExt cx="594360" cy="228600"/>
        </a:xfrm>
      </xdr:grpSpPr>
      <xdr:cxnSp macro="">
        <xdr:nvCxnSpPr>
          <xdr:cNvPr id="8906" name="Gerader Verbinder 8905">
            <a:extLst>
              <a:ext uri="{FF2B5EF4-FFF2-40B4-BE49-F238E27FC236}">
                <a16:creationId xmlns:a16="http://schemas.microsoft.com/office/drawing/2014/main" id="{213E5E73-FACA-9282-B31E-CFE855798C99}"/>
              </a:ext>
            </a:extLst>
          </xdr:cNvPr>
          <xdr:cNvCxnSpPr/>
        </xdr:nvCxnSpPr>
        <xdr:spPr>
          <a:xfrm>
            <a:off x="3421380" y="19354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907" name="Gerader Verbinder 8906">
            <a:extLst>
              <a:ext uri="{FF2B5EF4-FFF2-40B4-BE49-F238E27FC236}">
                <a16:creationId xmlns:a16="http://schemas.microsoft.com/office/drawing/2014/main" id="{D9B48C36-E280-5316-E992-F397BDE3E2EC}"/>
              </a:ext>
            </a:extLst>
          </xdr:cNvPr>
          <xdr:cNvCxnSpPr/>
        </xdr:nvCxnSpPr>
        <xdr:spPr>
          <a:xfrm flipH="1">
            <a:off x="3421380" y="19354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10</xdr:row>
      <xdr:rowOff>0</xdr:rowOff>
    </xdr:from>
    <xdr:to>
      <xdr:col>6</xdr:col>
      <xdr:colOff>0</xdr:colOff>
      <xdr:row>11</xdr:row>
      <xdr:rowOff>0</xdr:rowOff>
    </xdr:to>
    <xdr:grpSp>
      <xdr:nvGrpSpPr>
        <xdr:cNvPr id="8911" name="Cross_F11">
          <a:extLst>
            <a:ext uri="{FF2B5EF4-FFF2-40B4-BE49-F238E27FC236}">
              <a16:creationId xmlns:a16="http://schemas.microsoft.com/office/drawing/2014/main" id="{BE698872-68A5-89F8-BB68-2364A9F510CA}"/>
            </a:ext>
          </a:extLst>
        </xdr:cNvPr>
        <xdr:cNvGrpSpPr/>
      </xdr:nvGrpSpPr>
      <xdr:grpSpPr>
        <a:xfrm>
          <a:off x="3421380" y="2164080"/>
          <a:ext cx="594360" cy="167640"/>
          <a:chOff x="3421380" y="2164080"/>
          <a:chExt cx="594360" cy="167640"/>
        </a:xfrm>
      </xdr:grpSpPr>
      <xdr:cxnSp macro="">
        <xdr:nvCxnSpPr>
          <xdr:cNvPr id="8909" name="Gerader Verbinder 8908">
            <a:extLst>
              <a:ext uri="{FF2B5EF4-FFF2-40B4-BE49-F238E27FC236}">
                <a16:creationId xmlns:a16="http://schemas.microsoft.com/office/drawing/2014/main" id="{791AEC09-C0A3-A9BA-031B-1882E3B53701}"/>
              </a:ext>
            </a:extLst>
          </xdr:cNvPr>
          <xdr:cNvCxnSpPr/>
        </xdr:nvCxnSpPr>
        <xdr:spPr>
          <a:xfrm>
            <a:off x="3421380" y="21640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910" name="Gerader Verbinder 8909">
            <a:extLst>
              <a:ext uri="{FF2B5EF4-FFF2-40B4-BE49-F238E27FC236}">
                <a16:creationId xmlns:a16="http://schemas.microsoft.com/office/drawing/2014/main" id="{90611AD1-4969-E245-3FE9-471661B78EEB}"/>
              </a:ext>
            </a:extLst>
          </xdr:cNvPr>
          <xdr:cNvCxnSpPr/>
        </xdr:nvCxnSpPr>
        <xdr:spPr>
          <a:xfrm flipH="1">
            <a:off x="3421380" y="21640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11</xdr:row>
      <xdr:rowOff>0</xdr:rowOff>
    </xdr:from>
    <xdr:to>
      <xdr:col>6</xdr:col>
      <xdr:colOff>0</xdr:colOff>
      <xdr:row>12</xdr:row>
      <xdr:rowOff>0</xdr:rowOff>
    </xdr:to>
    <xdr:grpSp>
      <xdr:nvGrpSpPr>
        <xdr:cNvPr id="8914" name="Cross_F12">
          <a:extLst>
            <a:ext uri="{FF2B5EF4-FFF2-40B4-BE49-F238E27FC236}">
              <a16:creationId xmlns:a16="http://schemas.microsoft.com/office/drawing/2014/main" id="{B7DBCCF8-6044-DC57-1DD1-CA5C0BD32BB3}"/>
            </a:ext>
          </a:extLst>
        </xdr:cNvPr>
        <xdr:cNvGrpSpPr/>
      </xdr:nvGrpSpPr>
      <xdr:grpSpPr>
        <a:xfrm>
          <a:off x="3421380" y="2331720"/>
          <a:ext cx="594360" cy="167640"/>
          <a:chOff x="3421380" y="2331720"/>
          <a:chExt cx="594360" cy="167640"/>
        </a:xfrm>
      </xdr:grpSpPr>
      <xdr:cxnSp macro="">
        <xdr:nvCxnSpPr>
          <xdr:cNvPr id="8912" name="Gerader Verbinder 8911">
            <a:extLst>
              <a:ext uri="{FF2B5EF4-FFF2-40B4-BE49-F238E27FC236}">
                <a16:creationId xmlns:a16="http://schemas.microsoft.com/office/drawing/2014/main" id="{5E504FCF-3BD6-07F6-3555-2967D48DEAAB}"/>
              </a:ext>
            </a:extLst>
          </xdr:cNvPr>
          <xdr:cNvCxnSpPr/>
        </xdr:nvCxnSpPr>
        <xdr:spPr>
          <a:xfrm>
            <a:off x="3421380" y="23317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913" name="Gerader Verbinder 8912">
            <a:extLst>
              <a:ext uri="{FF2B5EF4-FFF2-40B4-BE49-F238E27FC236}">
                <a16:creationId xmlns:a16="http://schemas.microsoft.com/office/drawing/2014/main" id="{C0A9CF1D-7EB8-997C-B05C-6988657AB0AB}"/>
              </a:ext>
            </a:extLst>
          </xdr:cNvPr>
          <xdr:cNvCxnSpPr/>
        </xdr:nvCxnSpPr>
        <xdr:spPr>
          <a:xfrm flipH="1">
            <a:off x="3421380" y="23317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12</xdr:row>
      <xdr:rowOff>0</xdr:rowOff>
    </xdr:from>
    <xdr:to>
      <xdr:col>6</xdr:col>
      <xdr:colOff>0</xdr:colOff>
      <xdr:row>13</xdr:row>
      <xdr:rowOff>0</xdr:rowOff>
    </xdr:to>
    <xdr:grpSp>
      <xdr:nvGrpSpPr>
        <xdr:cNvPr id="8917" name="Cross_F13">
          <a:extLst>
            <a:ext uri="{FF2B5EF4-FFF2-40B4-BE49-F238E27FC236}">
              <a16:creationId xmlns:a16="http://schemas.microsoft.com/office/drawing/2014/main" id="{15AED280-7EE0-A914-8F47-CC5B9E8C513F}"/>
            </a:ext>
          </a:extLst>
        </xdr:cNvPr>
        <xdr:cNvGrpSpPr/>
      </xdr:nvGrpSpPr>
      <xdr:grpSpPr>
        <a:xfrm>
          <a:off x="3421380" y="2499360"/>
          <a:ext cx="594360" cy="228600"/>
          <a:chOff x="3421380" y="2499360"/>
          <a:chExt cx="594360" cy="228600"/>
        </a:xfrm>
      </xdr:grpSpPr>
      <xdr:cxnSp macro="">
        <xdr:nvCxnSpPr>
          <xdr:cNvPr id="8915" name="Gerader Verbinder 8914">
            <a:extLst>
              <a:ext uri="{FF2B5EF4-FFF2-40B4-BE49-F238E27FC236}">
                <a16:creationId xmlns:a16="http://schemas.microsoft.com/office/drawing/2014/main" id="{C665B19F-4ABD-C90A-2AA3-4C897101094F}"/>
              </a:ext>
            </a:extLst>
          </xdr:cNvPr>
          <xdr:cNvCxnSpPr/>
        </xdr:nvCxnSpPr>
        <xdr:spPr>
          <a:xfrm>
            <a:off x="3421380" y="249936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916" name="Gerader Verbinder 8915">
            <a:extLst>
              <a:ext uri="{FF2B5EF4-FFF2-40B4-BE49-F238E27FC236}">
                <a16:creationId xmlns:a16="http://schemas.microsoft.com/office/drawing/2014/main" id="{CF61D176-35F3-77EE-5376-C18ED15AF2AA}"/>
              </a:ext>
            </a:extLst>
          </xdr:cNvPr>
          <xdr:cNvCxnSpPr/>
        </xdr:nvCxnSpPr>
        <xdr:spPr>
          <a:xfrm flipH="1">
            <a:off x="3421380" y="249936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13</xdr:row>
      <xdr:rowOff>0</xdr:rowOff>
    </xdr:from>
    <xdr:to>
      <xdr:col>6</xdr:col>
      <xdr:colOff>0</xdr:colOff>
      <xdr:row>14</xdr:row>
      <xdr:rowOff>0</xdr:rowOff>
    </xdr:to>
    <xdr:grpSp>
      <xdr:nvGrpSpPr>
        <xdr:cNvPr id="8920" name="Cross_F14">
          <a:extLst>
            <a:ext uri="{FF2B5EF4-FFF2-40B4-BE49-F238E27FC236}">
              <a16:creationId xmlns:a16="http://schemas.microsoft.com/office/drawing/2014/main" id="{943C9B12-CC23-6667-357F-5558591BE85F}"/>
            </a:ext>
          </a:extLst>
        </xdr:cNvPr>
        <xdr:cNvGrpSpPr/>
      </xdr:nvGrpSpPr>
      <xdr:grpSpPr>
        <a:xfrm>
          <a:off x="3421380" y="2727960"/>
          <a:ext cx="594360" cy="167640"/>
          <a:chOff x="3421380" y="2727960"/>
          <a:chExt cx="594360" cy="167640"/>
        </a:xfrm>
      </xdr:grpSpPr>
      <xdr:cxnSp macro="">
        <xdr:nvCxnSpPr>
          <xdr:cNvPr id="8918" name="Gerader Verbinder 8917">
            <a:extLst>
              <a:ext uri="{FF2B5EF4-FFF2-40B4-BE49-F238E27FC236}">
                <a16:creationId xmlns:a16="http://schemas.microsoft.com/office/drawing/2014/main" id="{3BBCD949-E7F6-6F12-6E06-8B8FBC9AE762}"/>
              </a:ext>
            </a:extLst>
          </xdr:cNvPr>
          <xdr:cNvCxnSpPr/>
        </xdr:nvCxnSpPr>
        <xdr:spPr>
          <a:xfrm>
            <a:off x="3421380" y="27279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919" name="Gerader Verbinder 8918">
            <a:extLst>
              <a:ext uri="{FF2B5EF4-FFF2-40B4-BE49-F238E27FC236}">
                <a16:creationId xmlns:a16="http://schemas.microsoft.com/office/drawing/2014/main" id="{3F2251BA-5E59-FBB5-A977-00AB0E9CBC92}"/>
              </a:ext>
            </a:extLst>
          </xdr:cNvPr>
          <xdr:cNvCxnSpPr/>
        </xdr:nvCxnSpPr>
        <xdr:spPr>
          <a:xfrm flipH="1">
            <a:off x="3421380" y="27279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14</xdr:row>
      <xdr:rowOff>0</xdr:rowOff>
    </xdr:from>
    <xdr:to>
      <xdr:col>6</xdr:col>
      <xdr:colOff>0</xdr:colOff>
      <xdr:row>15</xdr:row>
      <xdr:rowOff>0</xdr:rowOff>
    </xdr:to>
    <xdr:grpSp>
      <xdr:nvGrpSpPr>
        <xdr:cNvPr id="8923" name="Cross_F15">
          <a:extLst>
            <a:ext uri="{FF2B5EF4-FFF2-40B4-BE49-F238E27FC236}">
              <a16:creationId xmlns:a16="http://schemas.microsoft.com/office/drawing/2014/main" id="{3688CD39-DD9A-906A-1774-04E992B85A61}"/>
            </a:ext>
          </a:extLst>
        </xdr:cNvPr>
        <xdr:cNvGrpSpPr/>
      </xdr:nvGrpSpPr>
      <xdr:grpSpPr>
        <a:xfrm>
          <a:off x="3421380" y="2895600"/>
          <a:ext cx="594360" cy="167640"/>
          <a:chOff x="3421380" y="2895600"/>
          <a:chExt cx="594360" cy="167640"/>
        </a:xfrm>
      </xdr:grpSpPr>
      <xdr:cxnSp macro="">
        <xdr:nvCxnSpPr>
          <xdr:cNvPr id="8921" name="Gerader Verbinder 8920">
            <a:extLst>
              <a:ext uri="{FF2B5EF4-FFF2-40B4-BE49-F238E27FC236}">
                <a16:creationId xmlns:a16="http://schemas.microsoft.com/office/drawing/2014/main" id="{F91C3729-7ECD-C9A7-CDC8-EC3E433667B2}"/>
              </a:ext>
            </a:extLst>
          </xdr:cNvPr>
          <xdr:cNvCxnSpPr/>
        </xdr:nvCxnSpPr>
        <xdr:spPr>
          <a:xfrm>
            <a:off x="3421380" y="28956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922" name="Gerader Verbinder 8921">
            <a:extLst>
              <a:ext uri="{FF2B5EF4-FFF2-40B4-BE49-F238E27FC236}">
                <a16:creationId xmlns:a16="http://schemas.microsoft.com/office/drawing/2014/main" id="{B5EF12E4-24C4-D00E-3936-9394D9DE147E}"/>
              </a:ext>
            </a:extLst>
          </xdr:cNvPr>
          <xdr:cNvCxnSpPr/>
        </xdr:nvCxnSpPr>
        <xdr:spPr>
          <a:xfrm flipH="1">
            <a:off x="3421380" y="28956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18</xdr:row>
      <xdr:rowOff>0</xdr:rowOff>
    </xdr:from>
    <xdr:to>
      <xdr:col>6</xdr:col>
      <xdr:colOff>0</xdr:colOff>
      <xdr:row>19</xdr:row>
      <xdr:rowOff>0</xdr:rowOff>
    </xdr:to>
    <xdr:grpSp>
      <xdr:nvGrpSpPr>
        <xdr:cNvPr id="8926" name="Cross_F19">
          <a:extLst>
            <a:ext uri="{FF2B5EF4-FFF2-40B4-BE49-F238E27FC236}">
              <a16:creationId xmlns:a16="http://schemas.microsoft.com/office/drawing/2014/main" id="{CEA6E500-5B51-7BC5-263D-70ED5D4424F3}"/>
            </a:ext>
          </a:extLst>
        </xdr:cNvPr>
        <xdr:cNvGrpSpPr/>
      </xdr:nvGrpSpPr>
      <xdr:grpSpPr>
        <a:xfrm>
          <a:off x="3421380" y="3627120"/>
          <a:ext cx="594360" cy="228600"/>
          <a:chOff x="3421380" y="3627120"/>
          <a:chExt cx="594360" cy="228600"/>
        </a:xfrm>
      </xdr:grpSpPr>
      <xdr:cxnSp macro="">
        <xdr:nvCxnSpPr>
          <xdr:cNvPr id="8924" name="Gerader Verbinder 8923">
            <a:extLst>
              <a:ext uri="{FF2B5EF4-FFF2-40B4-BE49-F238E27FC236}">
                <a16:creationId xmlns:a16="http://schemas.microsoft.com/office/drawing/2014/main" id="{F3B7D10E-8C55-E121-B028-C2BE50D49DAC}"/>
              </a:ext>
            </a:extLst>
          </xdr:cNvPr>
          <xdr:cNvCxnSpPr/>
        </xdr:nvCxnSpPr>
        <xdr:spPr>
          <a:xfrm>
            <a:off x="3421380" y="362712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925" name="Gerader Verbinder 8924">
            <a:extLst>
              <a:ext uri="{FF2B5EF4-FFF2-40B4-BE49-F238E27FC236}">
                <a16:creationId xmlns:a16="http://schemas.microsoft.com/office/drawing/2014/main" id="{8C28F39E-E94A-80EE-2084-9AE3FF088152}"/>
              </a:ext>
            </a:extLst>
          </xdr:cNvPr>
          <xdr:cNvCxnSpPr/>
        </xdr:nvCxnSpPr>
        <xdr:spPr>
          <a:xfrm flipH="1">
            <a:off x="3421380" y="362712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19</xdr:row>
      <xdr:rowOff>0</xdr:rowOff>
    </xdr:from>
    <xdr:to>
      <xdr:col>6</xdr:col>
      <xdr:colOff>0</xdr:colOff>
      <xdr:row>20</xdr:row>
      <xdr:rowOff>0</xdr:rowOff>
    </xdr:to>
    <xdr:grpSp>
      <xdr:nvGrpSpPr>
        <xdr:cNvPr id="8929" name="Cross_F20">
          <a:extLst>
            <a:ext uri="{FF2B5EF4-FFF2-40B4-BE49-F238E27FC236}">
              <a16:creationId xmlns:a16="http://schemas.microsoft.com/office/drawing/2014/main" id="{13ED5CB1-F195-5CF5-E67D-D834BAD903CD}"/>
            </a:ext>
          </a:extLst>
        </xdr:cNvPr>
        <xdr:cNvGrpSpPr/>
      </xdr:nvGrpSpPr>
      <xdr:grpSpPr>
        <a:xfrm>
          <a:off x="3421380" y="3855720"/>
          <a:ext cx="594360" cy="167640"/>
          <a:chOff x="3421380" y="3855720"/>
          <a:chExt cx="594360" cy="167640"/>
        </a:xfrm>
      </xdr:grpSpPr>
      <xdr:cxnSp macro="">
        <xdr:nvCxnSpPr>
          <xdr:cNvPr id="8927" name="Gerader Verbinder 8926">
            <a:extLst>
              <a:ext uri="{FF2B5EF4-FFF2-40B4-BE49-F238E27FC236}">
                <a16:creationId xmlns:a16="http://schemas.microsoft.com/office/drawing/2014/main" id="{4E01177D-702A-6B0D-C10D-282F2E00B30D}"/>
              </a:ext>
            </a:extLst>
          </xdr:cNvPr>
          <xdr:cNvCxnSpPr/>
        </xdr:nvCxnSpPr>
        <xdr:spPr>
          <a:xfrm>
            <a:off x="3421380" y="38557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928" name="Gerader Verbinder 8927">
            <a:extLst>
              <a:ext uri="{FF2B5EF4-FFF2-40B4-BE49-F238E27FC236}">
                <a16:creationId xmlns:a16="http://schemas.microsoft.com/office/drawing/2014/main" id="{D58730E6-2A32-E446-55A4-164F3EE2EEE6}"/>
              </a:ext>
            </a:extLst>
          </xdr:cNvPr>
          <xdr:cNvCxnSpPr/>
        </xdr:nvCxnSpPr>
        <xdr:spPr>
          <a:xfrm flipH="1">
            <a:off x="3421380" y="38557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20</xdr:row>
      <xdr:rowOff>0</xdr:rowOff>
    </xdr:from>
    <xdr:to>
      <xdr:col>6</xdr:col>
      <xdr:colOff>0</xdr:colOff>
      <xdr:row>21</xdr:row>
      <xdr:rowOff>0</xdr:rowOff>
    </xdr:to>
    <xdr:grpSp>
      <xdr:nvGrpSpPr>
        <xdr:cNvPr id="8932" name="Cross_F21">
          <a:extLst>
            <a:ext uri="{FF2B5EF4-FFF2-40B4-BE49-F238E27FC236}">
              <a16:creationId xmlns:a16="http://schemas.microsoft.com/office/drawing/2014/main" id="{F3412563-DD74-2C6F-4DA0-B2108E3822AC}"/>
            </a:ext>
          </a:extLst>
        </xdr:cNvPr>
        <xdr:cNvGrpSpPr/>
      </xdr:nvGrpSpPr>
      <xdr:grpSpPr>
        <a:xfrm>
          <a:off x="3421380" y="4023360"/>
          <a:ext cx="594360" cy="167640"/>
          <a:chOff x="3421380" y="4023360"/>
          <a:chExt cx="594360" cy="167640"/>
        </a:xfrm>
      </xdr:grpSpPr>
      <xdr:cxnSp macro="">
        <xdr:nvCxnSpPr>
          <xdr:cNvPr id="8930" name="Gerader Verbinder 8929">
            <a:extLst>
              <a:ext uri="{FF2B5EF4-FFF2-40B4-BE49-F238E27FC236}">
                <a16:creationId xmlns:a16="http://schemas.microsoft.com/office/drawing/2014/main" id="{1D54D130-139C-29BB-E4F3-44B73C70029C}"/>
              </a:ext>
            </a:extLst>
          </xdr:cNvPr>
          <xdr:cNvCxnSpPr/>
        </xdr:nvCxnSpPr>
        <xdr:spPr>
          <a:xfrm>
            <a:off x="3421380" y="40233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931" name="Gerader Verbinder 8930">
            <a:extLst>
              <a:ext uri="{FF2B5EF4-FFF2-40B4-BE49-F238E27FC236}">
                <a16:creationId xmlns:a16="http://schemas.microsoft.com/office/drawing/2014/main" id="{139837DA-2CED-41A4-D4F0-D5C27A283968}"/>
              </a:ext>
            </a:extLst>
          </xdr:cNvPr>
          <xdr:cNvCxnSpPr/>
        </xdr:nvCxnSpPr>
        <xdr:spPr>
          <a:xfrm flipH="1">
            <a:off x="3421380" y="40233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27</xdr:row>
      <xdr:rowOff>0</xdr:rowOff>
    </xdr:from>
    <xdr:to>
      <xdr:col>6</xdr:col>
      <xdr:colOff>0</xdr:colOff>
      <xdr:row>28</xdr:row>
      <xdr:rowOff>0</xdr:rowOff>
    </xdr:to>
    <xdr:grpSp>
      <xdr:nvGrpSpPr>
        <xdr:cNvPr id="8935" name="Cross_F28">
          <a:extLst>
            <a:ext uri="{FF2B5EF4-FFF2-40B4-BE49-F238E27FC236}">
              <a16:creationId xmlns:a16="http://schemas.microsoft.com/office/drawing/2014/main" id="{C55C1109-C085-94C9-C3C4-E6C46E779E08}"/>
            </a:ext>
          </a:extLst>
        </xdr:cNvPr>
        <xdr:cNvGrpSpPr/>
      </xdr:nvGrpSpPr>
      <xdr:grpSpPr>
        <a:xfrm>
          <a:off x="3421380" y="5318760"/>
          <a:ext cx="594360" cy="228600"/>
          <a:chOff x="3421380" y="5318760"/>
          <a:chExt cx="594360" cy="228600"/>
        </a:xfrm>
      </xdr:grpSpPr>
      <xdr:cxnSp macro="">
        <xdr:nvCxnSpPr>
          <xdr:cNvPr id="8933" name="Gerader Verbinder 8932">
            <a:extLst>
              <a:ext uri="{FF2B5EF4-FFF2-40B4-BE49-F238E27FC236}">
                <a16:creationId xmlns:a16="http://schemas.microsoft.com/office/drawing/2014/main" id="{E7AFC96A-AEAE-B014-DE5B-63FEDD3BBBEE}"/>
              </a:ext>
            </a:extLst>
          </xdr:cNvPr>
          <xdr:cNvCxnSpPr/>
        </xdr:nvCxnSpPr>
        <xdr:spPr>
          <a:xfrm>
            <a:off x="3421380" y="531876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934" name="Gerader Verbinder 8933">
            <a:extLst>
              <a:ext uri="{FF2B5EF4-FFF2-40B4-BE49-F238E27FC236}">
                <a16:creationId xmlns:a16="http://schemas.microsoft.com/office/drawing/2014/main" id="{F1BAEF68-FA20-CC3E-113C-EDDAA5EFC4F7}"/>
              </a:ext>
            </a:extLst>
          </xdr:cNvPr>
          <xdr:cNvCxnSpPr/>
        </xdr:nvCxnSpPr>
        <xdr:spPr>
          <a:xfrm flipH="1">
            <a:off x="3421380" y="531876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28</xdr:row>
      <xdr:rowOff>0</xdr:rowOff>
    </xdr:from>
    <xdr:to>
      <xdr:col>6</xdr:col>
      <xdr:colOff>0</xdr:colOff>
      <xdr:row>29</xdr:row>
      <xdr:rowOff>0</xdr:rowOff>
    </xdr:to>
    <xdr:grpSp>
      <xdr:nvGrpSpPr>
        <xdr:cNvPr id="8938" name="Cross_F29">
          <a:extLst>
            <a:ext uri="{FF2B5EF4-FFF2-40B4-BE49-F238E27FC236}">
              <a16:creationId xmlns:a16="http://schemas.microsoft.com/office/drawing/2014/main" id="{E5DA6298-1472-2342-96CB-D47A5FCC695E}"/>
            </a:ext>
          </a:extLst>
        </xdr:cNvPr>
        <xdr:cNvGrpSpPr/>
      </xdr:nvGrpSpPr>
      <xdr:grpSpPr>
        <a:xfrm>
          <a:off x="3421380" y="5547360"/>
          <a:ext cx="594360" cy="167640"/>
          <a:chOff x="3421380" y="5547360"/>
          <a:chExt cx="594360" cy="167640"/>
        </a:xfrm>
      </xdr:grpSpPr>
      <xdr:cxnSp macro="">
        <xdr:nvCxnSpPr>
          <xdr:cNvPr id="8936" name="Gerader Verbinder 8935">
            <a:extLst>
              <a:ext uri="{FF2B5EF4-FFF2-40B4-BE49-F238E27FC236}">
                <a16:creationId xmlns:a16="http://schemas.microsoft.com/office/drawing/2014/main" id="{924C37B9-B46F-F9D7-C26A-7D20A74BABA5}"/>
              </a:ext>
            </a:extLst>
          </xdr:cNvPr>
          <xdr:cNvCxnSpPr/>
        </xdr:nvCxnSpPr>
        <xdr:spPr>
          <a:xfrm>
            <a:off x="3421380" y="55473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937" name="Gerader Verbinder 8936">
            <a:extLst>
              <a:ext uri="{FF2B5EF4-FFF2-40B4-BE49-F238E27FC236}">
                <a16:creationId xmlns:a16="http://schemas.microsoft.com/office/drawing/2014/main" id="{7BD0A4A7-33CF-5412-0433-1D5A26DED962}"/>
              </a:ext>
            </a:extLst>
          </xdr:cNvPr>
          <xdr:cNvCxnSpPr/>
        </xdr:nvCxnSpPr>
        <xdr:spPr>
          <a:xfrm flipH="1">
            <a:off x="3421380" y="55473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29</xdr:row>
      <xdr:rowOff>0</xdr:rowOff>
    </xdr:from>
    <xdr:to>
      <xdr:col>6</xdr:col>
      <xdr:colOff>0</xdr:colOff>
      <xdr:row>30</xdr:row>
      <xdr:rowOff>0</xdr:rowOff>
    </xdr:to>
    <xdr:grpSp>
      <xdr:nvGrpSpPr>
        <xdr:cNvPr id="8941" name="Cross_F30">
          <a:extLst>
            <a:ext uri="{FF2B5EF4-FFF2-40B4-BE49-F238E27FC236}">
              <a16:creationId xmlns:a16="http://schemas.microsoft.com/office/drawing/2014/main" id="{6F6A1775-937B-0AD8-BB5F-95C7E834AB91}"/>
            </a:ext>
          </a:extLst>
        </xdr:cNvPr>
        <xdr:cNvGrpSpPr/>
      </xdr:nvGrpSpPr>
      <xdr:grpSpPr>
        <a:xfrm>
          <a:off x="3421380" y="5715000"/>
          <a:ext cx="594360" cy="167640"/>
          <a:chOff x="3421380" y="5715000"/>
          <a:chExt cx="594360" cy="167640"/>
        </a:xfrm>
      </xdr:grpSpPr>
      <xdr:cxnSp macro="">
        <xdr:nvCxnSpPr>
          <xdr:cNvPr id="8939" name="Gerader Verbinder 8938">
            <a:extLst>
              <a:ext uri="{FF2B5EF4-FFF2-40B4-BE49-F238E27FC236}">
                <a16:creationId xmlns:a16="http://schemas.microsoft.com/office/drawing/2014/main" id="{D5510347-C298-7D18-CB15-98F8319CCEC6}"/>
              </a:ext>
            </a:extLst>
          </xdr:cNvPr>
          <xdr:cNvCxnSpPr/>
        </xdr:nvCxnSpPr>
        <xdr:spPr>
          <a:xfrm>
            <a:off x="3421380" y="57150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940" name="Gerader Verbinder 8939">
            <a:extLst>
              <a:ext uri="{FF2B5EF4-FFF2-40B4-BE49-F238E27FC236}">
                <a16:creationId xmlns:a16="http://schemas.microsoft.com/office/drawing/2014/main" id="{B8CFCEE6-D508-09DD-D5A6-64A393D8BDE6}"/>
              </a:ext>
            </a:extLst>
          </xdr:cNvPr>
          <xdr:cNvCxnSpPr/>
        </xdr:nvCxnSpPr>
        <xdr:spPr>
          <a:xfrm flipH="1">
            <a:off x="3421380" y="57150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36</xdr:row>
      <xdr:rowOff>0</xdr:rowOff>
    </xdr:from>
    <xdr:to>
      <xdr:col>6</xdr:col>
      <xdr:colOff>0</xdr:colOff>
      <xdr:row>37</xdr:row>
      <xdr:rowOff>0</xdr:rowOff>
    </xdr:to>
    <xdr:grpSp>
      <xdr:nvGrpSpPr>
        <xdr:cNvPr id="8944" name="Cross_F37">
          <a:extLst>
            <a:ext uri="{FF2B5EF4-FFF2-40B4-BE49-F238E27FC236}">
              <a16:creationId xmlns:a16="http://schemas.microsoft.com/office/drawing/2014/main" id="{7F9304C2-ADCA-64EA-DE23-04EFA4CC4FED}"/>
            </a:ext>
          </a:extLst>
        </xdr:cNvPr>
        <xdr:cNvGrpSpPr/>
      </xdr:nvGrpSpPr>
      <xdr:grpSpPr>
        <a:xfrm>
          <a:off x="3421380" y="7010400"/>
          <a:ext cx="594360" cy="228600"/>
          <a:chOff x="3421380" y="7010400"/>
          <a:chExt cx="594360" cy="228600"/>
        </a:xfrm>
      </xdr:grpSpPr>
      <xdr:cxnSp macro="">
        <xdr:nvCxnSpPr>
          <xdr:cNvPr id="8942" name="Gerader Verbinder 8941">
            <a:extLst>
              <a:ext uri="{FF2B5EF4-FFF2-40B4-BE49-F238E27FC236}">
                <a16:creationId xmlns:a16="http://schemas.microsoft.com/office/drawing/2014/main" id="{291AB054-6570-808A-B859-272FABDC4234}"/>
              </a:ext>
            </a:extLst>
          </xdr:cNvPr>
          <xdr:cNvCxnSpPr/>
        </xdr:nvCxnSpPr>
        <xdr:spPr>
          <a:xfrm>
            <a:off x="3421380" y="701040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943" name="Gerader Verbinder 8942">
            <a:extLst>
              <a:ext uri="{FF2B5EF4-FFF2-40B4-BE49-F238E27FC236}">
                <a16:creationId xmlns:a16="http://schemas.microsoft.com/office/drawing/2014/main" id="{49577C6C-1354-41F8-942B-32DA738F1CC0}"/>
              </a:ext>
            </a:extLst>
          </xdr:cNvPr>
          <xdr:cNvCxnSpPr/>
        </xdr:nvCxnSpPr>
        <xdr:spPr>
          <a:xfrm flipH="1">
            <a:off x="3421380" y="701040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37</xdr:row>
      <xdr:rowOff>0</xdr:rowOff>
    </xdr:from>
    <xdr:to>
      <xdr:col>6</xdr:col>
      <xdr:colOff>0</xdr:colOff>
      <xdr:row>38</xdr:row>
      <xdr:rowOff>0</xdr:rowOff>
    </xdr:to>
    <xdr:grpSp>
      <xdr:nvGrpSpPr>
        <xdr:cNvPr id="8947" name="Cross_F38">
          <a:extLst>
            <a:ext uri="{FF2B5EF4-FFF2-40B4-BE49-F238E27FC236}">
              <a16:creationId xmlns:a16="http://schemas.microsoft.com/office/drawing/2014/main" id="{5AA89B67-81AA-12A7-13B0-7295BD09A17E}"/>
            </a:ext>
          </a:extLst>
        </xdr:cNvPr>
        <xdr:cNvGrpSpPr/>
      </xdr:nvGrpSpPr>
      <xdr:grpSpPr>
        <a:xfrm>
          <a:off x="3421380" y="7239000"/>
          <a:ext cx="594360" cy="167640"/>
          <a:chOff x="3421380" y="7239000"/>
          <a:chExt cx="594360" cy="167640"/>
        </a:xfrm>
      </xdr:grpSpPr>
      <xdr:cxnSp macro="">
        <xdr:nvCxnSpPr>
          <xdr:cNvPr id="8945" name="Gerader Verbinder 8944">
            <a:extLst>
              <a:ext uri="{FF2B5EF4-FFF2-40B4-BE49-F238E27FC236}">
                <a16:creationId xmlns:a16="http://schemas.microsoft.com/office/drawing/2014/main" id="{78AFBF51-DFB3-81B2-1CE6-9FC9D062405D}"/>
              </a:ext>
            </a:extLst>
          </xdr:cNvPr>
          <xdr:cNvCxnSpPr/>
        </xdr:nvCxnSpPr>
        <xdr:spPr>
          <a:xfrm>
            <a:off x="3421380" y="72390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946" name="Gerader Verbinder 8945">
            <a:extLst>
              <a:ext uri="{FF2B5EF4-FFF2-40B4-BE49-F238E27FC236}">
                <a16:creationId xmlns:a16="http://schemas.microsoft.com/office/drawing/2014/main" id="{61D0393F-E1A7-B926-9F47-83708A8C7964}"/>
              </a:ext>
            </a:extLst>
          </xdr:cNvPr>
          <xdr:cNvCxnSpPr/>
        </xdr:nvCxnSpPr>
        <xdr:spPr>
          <a:xfrm flipH="1">
            <a:off x="3421380" y="72390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38</xdr:row>
      <xdr:rowOff>0</xdr:rowOff>
    </xdr:from>
    <xdr:to>
      <xdr:col>6</xdr:col>
      <xdr:colOff>0</xdr:colOff>
      <xdr:row>39</xdr:row>
      <xdr:rowOff>0</xdr:rowOff>
    </xdr:to>
    <xdr:grpSp>
      <xdr:nvGrpSpPr>
        <xdr:cNvPr id="8950" name="Cross_F39">
          <a:extLst>
            <a:ext uri="{FF2B5EF4-FFF2-40B4-BE49-F238E27FC236}">
              <a16:creationId xmlns:a16="http://schemas.microsoft.com/office/drawing/2014/main" id="{82E699CA-38F8-E5DC-CF88-E773F8C08726}"/>
            </a:ext>
          </a:extLst>
        </xdr:cNvPr>
        <xdr:cNvGrpSpPr/>
      </xdr:nvGrpSpPr>
      <xdr:grpSpPr>
        <a:xfrm>
          <a:off x="3421380" y="7406640"/>
          <a:ext cx="594360" cy="167640"/>
          <a:chOff x="3421380" y="7406640"/>
          <a:chExt cx="594360" cy="167640"/>
        </a:xfrm>
      </xdr:grpSpPr>
      <xdr:cxnSp macro="">
        <xdr:nvCxnSpPr>
          <xdr:cNvPr id="8948" name="Gerader Verbinder 8947">
            <a:extLst>
              <a:ext uri="{FF2B5EF4-FFF2-40B4-BE49-F238E27FC236}">
                <a16:creationId xmlns:a16="http://schemas.microsoft.com/office/drawing/2014/main" id="{998954CF-9286-BCA5-1B69-3041A9298B8F}"/>
              </a:ext>
            </a:extLst>
          </xdr:cNvPr>
          <xdr:cNvCxnSpPr/>
        </xdr:nvCxnSpPr>
        <xdr:spPr>
          <a:xfrm>
            <a:off x="3421380" y="74066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949" name="Gerader Verbinder 8948">
            <a:extLst>
              <a:ext uri="{FF2B5EF4-FFF2-40B4-BE49-F238E27FC236}">
                <a16:creationId xmlns:a16="http://schemas.microsoft.com/office/drawing/2014/main" id="{DD8C7940-FF53-D644-C62E-B0203944AA6E}"/>
              </a:ext>
            </a:extLst>
          </xdr:cNvPr>
          <xdr:cNvCxnSpPr/>
        </xdr:nvCxnSpPr>
        <xdr:spPr>
          <a:xfrm flipH="1">
            <a:off x="3421380" y="74066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39</xdr:row>
      <xdr:rowOff>0</xdr:rowOff>
    </xdr:from>
    <xdr:to>
      <xdr:col>6</xdr:col>
      <xdr:colOff>0</xdr:colOff>
      <xdr:row>40</xdr:row>
      <xdr:rowOff>0</xdr:rowOff>
    </xdr:to>
    <xdr:grpSp>
      <xdr:nvGrpSpPr>
        <xdr:cNvPr id="8953" name="Cross_F40">
          <a:extLst>
            <a:ext uri="{FF2B5EF4-FFF2-40B4-BE49-F238E27FC236}">
              <a16:creationId xmlns:a16="http://schemas.microsoft.com/office/drawing/2014/main" id="{837CD764-91E0-FF65-4849-2ADA443B801A}"/>
            </a:ext>
          </a:extLst>
        </xdr:cNvPr>
        <xdr:cNvGrpSpPr/>
      </xdr:nvGrpSpPr>
      <xdr:grpSpPr>
        <a:xfrm>
          <a:off x="3421380" y="7574280"/>
          <a:ext cx="594360" cy="228600"/>
          <a:chOff x="3421380" y="7574280"/>
          <a:chExt cx="594360" cy="228600"/>
        </a:xfrm>
      </xdr:grpSpPr>
      <xdr:cxnSp macro="">
        <xdr:nvCxnSpPr>
          <xdr:cNvPr id="8951" name="Gerader Verbinder 8950">
            <a:extLst>
              <a:ext uri="{FF2B5EF4-FFF2-40B4-BE49-F238E27FC236}">
                <a16:creationId xmlns:a16="http://schemas.microsoft.com/office/drawing/2014/main" id="{347E0F67-D848-EEB5-3856-3C78DC51F070}"/>
              </a:ext>
            </a:extLst>
          </xdr:cNvPr>
          <xdr:cNvCxnSpPr/>
        </xdr:nvCxnSpPr>
        <xdr:spPr>
          <a:xfrm>
            <a:off x="3421380" y="75742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952" name="Gerader Verbinder 8951">
            <a:extLst>
              <a:ext uri="{FF2B5EF4-FFF2-40B4-BE49-F238E27FC236}">
                <a16:creationId xmlns:a16="http://schemas.microsoft.com/office/drawing/2014/main" id="{47BA5CDC-E4D7-F4BB-65A9-ED312FC75950}"/>
              </a:ext>
            </a:extLst>
          </xdr:cNvPr>
          <xdr:cNvCxnSpPr/>
        </xdr:nvCxnSpPr>
        <xdr:spPr>
          <a:xfrm flipH="1">
            <a:off x="3421380" y="75742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40</xdr:row>
      <xdr:rowOff>0</xdr:rowOff>
    </xdr:from>
    <xdr:to>
      <xdr:col>6</xdr:col>
      <xdr:colOff>0</xdr:colOff>
      <xdr:row>41</xdr:row>
      <xdr:rowOff>0</xdr:rowOff>
    </xdr:to>
    <xdr:grpSp>
      <xdr:nvGrpSpPr>
        <xdr:cNvPr id="8956" name="Cross_F41">
          <a:extLst>
            <a:ext uri="{FF2B5EF4-FFF2-40B4-BE49-F238E27FC236}">
              <a16:creationId xmlns:a16="http://schemas.microsoft.com/office/drawing/2014/main" id="{64D87426-1192-B221-0AA2-ACD217D934DE}"/>
            </a:ext>
          </a:extLst>
        </xdr:cNvPr>
        <xdr:cNvGrpSpPr/>
      </xdr:nvGrpSpPr>
      <xdr:grpSpPr>
        <a:xfrm>
          <a:off x="3421380" y="7802880"/>
          <a:ext cx="594360" cy="167640"/>
          <a:chOff x="3421380" y="7802880"/>
          <a:chExt cx="594360" cy="167640"/>
        </a:xfrm>
      </xdr:grpSpPr>
      <xdr:cxnSp macro="">
        <xdr:nvCxnSpPr>
          <xdr:cNvPr id="8954" name="Gerader Verbinder 8953">
            <a:extLst>
              <a:ext uri="{FF2B5EF4-FFF2-40B4-BE49-F238E27FC236}">
                <a16:creationId xmlns:a16="http://schemas.microsoft.com/office/drawing/2014/main" id="{A281D030-5945-6826-8EDC-6D6008A7B6A4}"/>
              </a:ext>
            </a:extLst>
          </xdr:cNvPr>
          <xdr:cNvCxnSpPr/>
        </xdr:nvCxnSpPr>
        <xdr:spPr>
          <a:xfrm>
            <a:off x="3421380" y="78028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955" name="Gerader Verbinder 8954">
            <a:extLst>
              <a:ext uri="{FF2B5EF4-FFF2-40B4-BE49-F238E27FC236}">
                <a16:creationId xmlns:a16="http://schemas.microsoft.com/office/drawing/2014/main" id="{4BC9BD31-8B27-4637-C133-0C2850D47F17}"/>
              </a:ext>
            </a:extLst>
          </xdr:cNvPr>
          <xdr:cNvCxnSpPr/>
        </xdr:nvCxnSpPr>
        <xdr:spPr>
          <a:xfrm flipH="1">
            <a:off x="3421380" y="78028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41</xdr:row>
      <xdr:rowOff>0</xdr:rowOff>
    </xdr:from>
    <xdr:to>
      <xdr:col>6</xdr:col>
      <xdr:colOff>0</xdr:colOff>
      <xdr:row>42</xdr:row>
      <xdr:rowOff>0</xdr:rowOff>
    </xdr:to>
    <xdr:grpSp>
      <xdr:nvGrpSpPr>
        <xdr:cNvPr id="8959" name="Cross_F42">
          <a:extLst>
            <a:ext uri="{FF2B5EF4-FFF2-40B4-BE49-F238E27FC236}">
              <a16:creationId xmlns:a16="http://schemas.microsoft.com/office/drawing/2014/main" id="{59B32422-D4B2-079D-73AA-F22BE98E1088}"/>
            </a:ext>
          </a:extLst>
        </xdr:cNvPr>
        <xdr:cNvGrpSpPr/>
      </xdr:nvGrpSpPr>
      <xdr:grpSpPr>
        <a:xfrm>
          <a:off x="3421380" y="7970520"/>
          <a:ext cx="594360" cy="167640"/>
          <a:chOff x="3421380" y="7970520"/>
          <a:chExt cx="594360" cy="167640"/>
        </a:xfrm>
      </xdr:grpSpPr>
      <xdr:cxnSp macro="">
        <xdr:nvCxnSpPr>
          <xdr:cNvPr id="8957" name="Gerader Verbinder 8956">
            <a:extLst>
              <a:ext uri="{FF2B5EF4-FFF2-40B4-BE49-F238E27FC236}">
                <a16:creationId xmlns:a16="http://schemas.microsoft.com/office/drawing/2014/main" id="{63265681-8758-A4B6-CD31-143813B28F54}"/>
              </a:ext>
            </a:extLst>
          </xdr:cNvPr>
          <xdr:cNvCxnSpPr/>
        </xdr:nvCxnSpPr>
        <xdr:spPr>
          <a:xfrm>
            <a:off x="3421380" y="79705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958" name="Gerader Verbinder 8957">
            <a:extLst>
              <a:ext uri="{FF2B5EF4-FFF2-40B4-BE49-F238E27FC236}">
                <a16:creationId xmlns:a16="http://schemas.microsoft.com/office/drawing/2014/main" id="{7F9ADEE7-DD00-3BEE-BCE0-D6B850790933}"/>
              </a:ext>
            </a:extLst>
          </xdr:cNvPr>
          <xdr:cNvCxnSpPr/>
        </xdr:nvCxnSpPr>
        <xdr:spPr>
          <a:xfrm flipH="1">
            <a:off x="3421380" y="79705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42</xdr:row>
      <xdr:rowOff>0</xdr:rowOff>
    </xdr:from>
    <xdr:to>
      <xdr:col>6</xdr:col>
      <xdr:colOff>0</xdr:colOff>
      <xdr:row>43</xdr:row>
      <xdr:rowOff>0</xdr:rowOff>
    </xdr:to>
    <xdr:grpSp>
      <xdr:nvGrpSpPr>
        <xdr:cNvPr id="8962" name="Cross_F43">
          <a:extLst>
            <a:ext uri="{FF2B5EF4-FFF2-40B4-BE49-F238E27FC236}">
              <a16:creationId xmlns:a16="http://schemas.microsoft.com/office/drawing/2014/main" id="{5FB256EC-4C57-2462-2881-B85AC66C1E4B}"/>
            </a:ext>
          </a:extLst>
        </xdr:cNvPr>
        <xdr:cNvGrpSpPr/>
      </xdr:nvGrpSpPr>
      <xdr:grpSpPr>
        <a:xfrm>
          <a:off x="3421380" y="8138160"/>
          <a:ext cx="594360" cy="228600"/>
          <a:chOff x="3421380" y="8138160"/>
          <a:chExt cx="594360" cy="228600"/>
        </a:xfrm>
      </xdr:grpSpPr>
      <xdr:cxnSp macro="">
        <xdr:nvCxnSpPr>
          <xdr:cNvPr id="8960" name="Gerader Verbinder 8959">
            <a:extLst>
              <a:ext uri="{FF2B5EF4-FFF2-40B4-BE49-F238E27FC236}">
                <a16:creationId xmlns:a16="http://schemas.microsoft.com/office/drawing/2014/main" id="{14A9E762-8763-AC9F-12AB-D006FAC25078}"/>
              </a:ext>
            </a:extLst>
          </xdr:cNvPr>
          <xdr:cNvCxnSpPr/>
        </xdr:nvCxnSpPr>
        <xdr:spPr>
          <a:xfrm>
            <a:off x="3421380" y="813816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961" name="Gerader Verbinder 8960">
            <a:extLst>
              <a:ext uri="{FF2B5EF4-FFF2-40B4-BE49-F238E27FC236}">
                <a16:creationId xmlns:a16="http://schemas.microsoft.com/office/drawing/2014/main" id="{01B29BAC-A3E5-9E6E-DF76-544038B87326}"/>
              </a:ext>
            </a:extLst>
          </xdr:cNvPr>
          <xdr:cNvCxnSpPr/>
        </xdr:nvCxnSpPr>
        <xdr:spPr>
          <a:xfrm flipH="1">
            <a:off x="3421380" y="813816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43</xdr:row>
      <xdr:rowOff>0</xdr:rowOff>
    </xdr:from>
    <xdr:to>
      <xdr:col>6</xdr:col>
      <xdr:colOff>0</xdr:colOff>
      <xdr:row>44</xdr:row>
      <xdr:rowOff>0</xdr:rowOff>
    </xdr:to>
    <xdr:grpSp>
      <xdr:nvGrpSpPr>
        <xdr:cNvPr id="8965" name="Cross_F44">
          <a:extLst>
            <a:ext uri="{FF2B5EF4-FFF2-40B4-BE49-F238E27FC236}">
              <a16:creationId xmlns:a16="http://schemas.microsoft.com/office/drawing/2014/main" id="{F2CB561A-5CA1-312F-AF9B-82D488837C85}"/>
            </a:ext>
          </a:extLst>
        </xdr:cNvPr>
        <xdr:cNvGrpSpPr/>
      </xdr:nvGrpSpPr>
      <xdr:grpSpPr>
        <a:xfrm>
          <a:off x="3421380" y="8366760"/>
          <a:ext cx="594360" cy="167640"/>
          <a:chOff x="3421380" y="8366760"/>
          <a:chExt cx="594360" cy="167640"/>
        </a:xfrm>
      </xdr:grpSpPr>
      <xdr:cxnSp macro="">
        <xdr:nvCxnSpPr>
          <xdr:cNvPr id="8963" name="Gerader Verbinder 8962">
            <a:extLst>
              <a:ext uri="{FF2B5EF4-FFF2-40B4-BE49-F238E27FC236}">
                <a16:creationId xmlns:a16="http://schemas.microsoft.com/office/drawing/2014/main" id="{ED9B11D3-401F-51B6-55FF-4C9CD7084D47}"/>
              </a:ext>
            </a:extLst>
          </xdr:cNvPr>
          <xdr:cNvCxnSpPr/>
        </xdr:nvCxnSpPr>
        <xdr:spPr>
          <a:xfrm>
            <a:off x="3421380" y="83667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964" name="Gerader Verbinder 8963">
            <a:extLst>
              <a:ext uri="{FF2B5EF4-FFF2-40B4-BE49-F238E27FC236}">
                <a16:creationId xmlns:a16="http://schemas.microsoft.com/office/drawing/2014/main" id="{15955368-5994-F9A1-11B1-0F06587D9ED9}"/>
              </a:ext>
            </a:extLst>
          </xdr:cNvPr>
          <xdr:cNvCxnSpPr/>
        </xdr:nvCxnSpPr>
        <xdr:spPr>
          <a:xfrm flipH="1">
            <a:off x="3421380" y="83667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44</xdr:row>
      <xdr:rowOff>0</xdr:rowOff>
    </xdr:from>
    <xdr:to>
      <xdr:col>6</xdr:col>
      <xdr:colOff>0</xdr:colOff>
      <xdr:row>45</xdr:row>
      <xdr:rowOff>0</xdr:rowOff>
    </xdr:to>
    <xdr:grpSp>
      <xdr:nvGrpSpPr>
        <xdr:cNvPr id="8968" name="Cross_F45">
          <a:extLst>
            <a:ext uri="{FF2B5EF4-FFF2-40B4-BE49-F238E27FC236}">
              <a16:creationId xmlns:a16="http://schemas.microsoft.com/office/drawing/2014/main" id="{1828F6DF-ADD2-C9CA-2E11-5AD12D19EE35}"/>
            </a:ext>
          </a:extLst>
        </xdr:cNvPr>
        <xdr:cNvGrpSpPr/>
      </xdr:nvGrpSpPr>
      <xdr:grpSpPr>
        <a:xfrm>
          <a:off x="3421380" y="8534400"/>
          <a:ext cx="594360" cy="167640"/>
          <a:chOff x="3421380" y="8534400"/>
          <a:chExt cx="594360" cy="167640"/>
        </a:xfrm>
      </xdr:grpSpPr>
      <xdr:cxnSp macro="">
        <xdr:nvCxnSpPr>
          <xdr:cNvPr id="8966" name="Gerader Verbinder 8965">
            <a:extLst>
              <a:ext uri="{FF2B5EF4-FFF2-40B4-BE49-F238E27FC236}">
                <a16:creationId xmlns:a16="http://schemas.microsoft.com/office/drawing/2014/main" id="{AE0D5AF8-206B-3AC3-4B28-2984441CA0BD}"/>
              </a:ext>
            </a:extLst>
          </xdr:cNvPr>
          <xdr:cNvCxnSpPr/>
        </xdr:nvCxnSpPr>
        <xdr:spPr>
          <a:xfrm>
            <a:off x="3421380" y="85344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967" name="Gerader Verbinder 8966">
            <a:extLst>
              <a:ext uri="{FF2B5EF4-FFF2-40B4-BE49-F238E27FC236}">
                <a16:creationId xmlns:a16="http://schemas.microsoft.com/office/drawing/2014/main" id="{FE360991-CF9C-4538-33A8-8B6E00AFFF5B}"/>
              </a:ext>
            </a:extLst>
          </xdr:cNvPr>
          <xdr:cNvCxnSpPr/>
        </xdr:nvCxnSpPr>
        <xdr:spPr>
          <a:xfrm flipH="1">
            <a:off x="3421380" y="85344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45</xdr:row>
      <xdr:rowOff>0</xdr:rowOff>
    </xdr:from>
    <xdr:to>
      <xdr:col>6</xdr:col>
      <xdr:colOff>0</xdr:colOff>
      <xdr:row>46</xdr:row>
      <xdr:rowOff>0</xdr:rowOff>
    </xdr:to>
    <xdr:grpSp>
      <xdr:nvGrpSpPr>
        <xdr:cNvPr id="8971" name="Cross_F46">
          <a:extLst>
            <a:ext uri="{FF2B5EF4-FFF2-40B4-BE49-F238E27FC236}">
              <a16:creationId xmlns:a16="http://schemas.microsoft.com/office/drawing/2014/main" id="{E3837486-6ED5-87BB-1123-DE91530D0393}"/>
            </a:ext>
          </a:extLst>
        </xdr:cNvPr>
        <xdr:cNvGrpSpPr/>
      </xdr:nvGrpSpPr>
      <xdr:grpSpPr>
        <a:xfrm>
          <a:off x="3421380" y="8702040"/>
          <a:ext cx="594360" cy="228600"/>
          <a:chOff x="3421380" y="8702040"/>
          <a:chExt cx="594360" cy="228600"/>
        </a:xfrm>
      </xdr:grpSpPr>
      <xdr:cxnSp macro="">
        <xdr:nvCxnSpPr>
          <xdr:cNvPr id="8969" name="Gerader Verbinder 8968">
            <a:extLst>
              <a:ext uri="{FF2B5EF4-FFF2-40B4-BE49-F238E27FC236}">
                <a16:creationId xmlns:a16="http://schemas.microsoft.com/office/drawing/2014/main" id="{313AC181-7232-9A7B-17E8-E42F01BC8F13}"/>
              </a:ext>
            </a:extLst>
          </xdr:cNvPr>
          <xdr:cNvCxnSpPr/>
        </xdr:nvCxnSpPr>
        <xdr:spPr>
          <a:xfrm>
            <a:off x="3421380" y="870204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970" name="Gerader Verbinder 8969">
            <a:extLst>
              <a:ext uri="{FF2B5EF4-FFF2-40B4-BE49-F238E27FC236}">
                <a16:creationId xmlns:a16="http://schemas.microsoft.com/office/drawing/2014/main" id="{0DACB7BE-61DB-9445-7255-6B88D812F1E5}"/>
              </a:ext>
            </a:extLst>
          </xdr:cNvPr>
          <xdr:cNvCxnSpPr/>
        </xdr:nvCxnSpPr>
        <xdr:spPr>
          <a:xfrm flipH="1">
            <a:off x="3421380" y="870204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46</xdr:row>
      <xdr:rowOff>0</xdr:rowOff>
    </xdr:from>
    <xdr:to>
      <xdr:col>6</xdr:col>
      <xdr:colOff>0</xdr:colOff>
      <xdr:row>47</xdr:row>
      <xdr:rowOff>0</xdr:rowOff>
    </xdr:to>
    <xdr:grpSp>
      <xdr:nvGrpSpPr>
        <xdr:cNvPr id="8974" name="Cross_F47">
          <a:extLst>
            <a:ext uri="{FF2B5EF4-FFF2-40B4-BE49-F238E27FC236}">
              <a16:creationId xmlns:a16="http://schemas.microsoft.com/office/drawing/2014/main" id="{CD108921-37DC-068D-8E02-B81D796E7228}"/>
            </a:ext>
          </a:extLst>
        </xdr:cNvPr>
        <xdr:cNvGrpSpPr/>
      </xdr:nvGrpSpPr>
      <xdr:grpSpPr>
        <a:xfrm>
          <a:off x="3421380" y="8930640"/>
          <a:ext cx="594360" cy="167640"/>
          <a:chOff x="3421380" y="8930640"/>
          <a:chExt cx="594360" cy="167640"/>
        </a:xfrm>
      </xdr:grpSpPr>
      <xdr:cxnSp macro="">
        <xdr:nvCxnSpPr>
          <xdr:cNvPr id="8972" name="Gerader Verbinder 8971">
            <a:extLst>
              <a:ext uri="{FF2B5EF4-FFF2-40B4-BE49-F238E27FC236}">
                <a16:creationId xmlns:a16="http://schemas.microsoft.com/office/drawing/2014/main" id="{6BD1C2BA-DA93-F3EE-8861-BA32A2C890C4}"/>
              </a:ext>
            </a:extLst>
          </xdr:cNvPr>
          <xdr:cNvCxnSpPr/>
        </xdr:nvCxnSpPr>
        <xdr:spPr>
          <a:xfrm>
            <a:off x="3421380" y="89306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973" name="Gerader Verbinder 8972">
            <a:extLst>
              <a:ext uri="{FF2B5EF4-FFF2-40B4-BE49-F238E27FC236}">
                <a16:creationId xmlns:a16="http://schemas.microsoft.com/office/drawing/2014/main" id="{B8A550F1-99BF-2F91-0D17-F21404B27D2A}"/>
              </a:ext>
            </a:extLst>
          </xdr:cNvPr>
          <xdr:cNvCxnSpPr/>
        </xdr:nvCxnSpPr>
        <xdr:spPr>
          <a:xfrm flipH="1">
            <a:off x="3421380" y="89306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47</xdr:row>
      <xdr:rowOff>0</xdr:rowOff>
    </xdr:from>
    <xdr:to>
      <xdr:col>6</xdr:col>
      <xdr:colOff>0</xdr:colOff>
      <xdr:row>48</xdr:row>
      <xdr:rowOff>0</xdr:rowOff>
    </xdr:to>
    <xdr:grpSp>
      <xdr:nvGrpSpPr>
        <xdr:cNvPr id="8977" name="Cross_F48">
          <a:extLst>
            <a:ext uri="{FF2B5EF4-FFF2-40B4-BE49-F238E27FC236}">
              <a16:creationId xmlns:a16="http://schemas.microsoft.com/office/drawing/2014/main" id="{7D4238DD-F5B5-CDA4-1247-D3C691F29B87}"/>
            </a:ext>
          </a:extLst>
        </xdr:cNvPr>
        <xdr:cNvGrpSpPr/>
      </xdr:nvGrpSpPr>
      <xdr:grpSpPr>
        <a:xfrm>
          <a:off x="3421380" y="9098280"/>
          <a:ext cx="594360" cy="167640"/>
          <a:chOff x="3421380" y="9098280"/>
          <a:chExt cx="594360" cy="167640"/>
        </a:xfrm>
      </xdr:grpSpPr>
      <xdr:cxnSp macro="">
        <xdr:nvCxnSpPr>
          <xdr:cNvPr id="8975" name="Gerader Verbinder 8974">
            <a:extLst>
              <a:ext uri="{FF2B5EF4-FFF2-40B4-BE49-F238E27FC236}">
                <a16:creationId xmlns:a16="http://schemas.microsoft.com/office/drawing/2014/main" id="{7BB60D57-17EB-2676-7DD7-41A6523C8462}"/>
              </a:ext>
            </a:extLst>
          </xdr:cNvPr>
          <xdr:cNvCxnSpPr/>
        </xdr:nvCxnSpPr>
        <xdr:spPr>
          <a:xfrm>
            <a:off x="3421380" y="90982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976" name="Gerader Verbinder 8975">
            <a:extLst>
              <a:ext uri="{FF2B5EF4-FFF2-40B4-BE49-F238E27FC236}">
                <a16:creationId xmlns:a16="http://schemas.microsoft.com/office/drawing/2014/main" id="{20A8A738-FD51-2A91-89F4-3D1988E98275}"/>
              </a:ext>
            </a:extLst>
          </xdr:cNvPr>
          <xdr:cNvCxnSpPr/>
        </xdr:nvCxnSpPr>
        <xdr:spPr>
          <a:xfrm flipH="1">
            <a:off x="3421380" y="90982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54</xdr:row>
      <xdr:rowOff>0</xdr:rowOff>
    </xdr:from>
    <xdr:to>
      <xdr:col>6</xdr:col>
      <xdr:colOff>0</xdr:colOff>
      <xdr:row>55</xdr:row>
      <xdr:rowOff>0</xdr:rowOff>
    </xdr:to>
    <xdr:grpSp>
      <xdr:nvGrpSpPr>
        <xdr:cNvPr id="8980" name="Cross_F55">
          <a:extLst>
            <a:ext uri="{FF2B5EF4-FFF2-40B4-BE49-F238E27FC236}">
              <a16:creationId xmlns:a16="http://schemas.microsoft.com/office/drawing/2014/main" id="{E35616B9-BB6D-4E38-71E4-D5B2279532DB}"/>
            </a:ext>
          </a:extLst>
        </xdr:cNvPr>
        <xdr:cNvGrpSpPr/>
      </xdr:nvGrpSpPr>
      <xdr:grpSpPr>
        <a:xfrm>
          <a:off x="3421380" y="10393680"/>
          <a:ext cx="594360" cy="228600"/>
          <a:chOff x="3421380" y="10393680"/>
          <a:chExt cx="594360" cy="228600"/>
        </a:xfrm>
      </xdr:grpSpPr>
      <xdr:cxnSp macro="">
        <xdr:nvCxnSpPr>
          <xdr:cNvPr id="8978" name="Gerader Verbinder 8977">
            <a:extLst>
              <a:ext uri="{FF2B5EF4-FFF2-40B4-BE49-F238E27FC236}">
                <a16:creationId xmlns:a16="http://schemas.microsoft.com/office/drawing/2014/main" id="{A13A3AE1-6C3E-116D-1A2B-86DA11FEC620}"/>
              </a:ext>
            </a:extLst>
          </xdr:cNvPr>
          <xdr:cNvCxnSpPr/>
        </xdr:nvCxnSpPr>
        <xdr:spPr>
          <a:xfrm>
            <a:off x="3421380" y="103936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979" name="Gerader Verbinder 8978">
            <a:extLst>
              <a:ext uri="{FF2B5EF4-FFF2-40B4-BE49-F238E27FC236}">
                <a16:creationId xmlns:a16="http://schemas.microsoft.com/office/drawing/2014/main" id="{0F92EAA7-207B-93CA-4E91-A2A6F6F6C087}"/>
              </a:ext>
            </a:extLst>
          </xdr:cNvPr>
          <xdr:cNvCxnSpPr/>
        </xdr:nvCxnSpPr>
        <xdr:spPr>
          <a:xfrm flipH="1">
            <a:off x="3421380" y="103936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55</xdr:row>
      <xdr:rowOff>0</xdr:rowOff>
    </xdr:from>
    <xdr:to>
      <xdr:col>6</xdr:col>
      <xdr:colOff>0</xdr:colOff>
      <xdr:row>56</xdr:row>
      <xdr:rowOff>0</xdr:rowOff>
    </xdr:to>
    <xdr:grpSp>
      <xdr:nvGrpSpPr>
        <xdr:cNvPr id="8983" name="Cross_F56">
          <a:extLst>
            <a:ext uri="{FF2B5EF4-FFF2-40B4-BE49-F238E27FC236}">
              <a16:creationId xmlns:a16="http://schemas.microsoft.com/office/drawing/2014/main" id="{CB4DCCEB-FBF2-503C-178F-EE8148DF6441}"/>
            </a:ext>
          </a:extLst>
        </xdr:cNvPr>
        <xdr:cNvGrpSpPr/>
      </xdr:nvGrpSpPr>
      <xdr:grpSpPr>
        <a:xfrm>
          <a:off x="3421380" y="10622280"/>
          <a:ext cx="594360" cy="167640"/>
          <a:chOff x="3421380" y="10622280"/>
          <a:chExt cx="594360" cy="167640"/>
        </a:xfrm>
      </xdr:grpSpPr>
      <xdr:cxnSp macro="">
        <xdr:nvCxnSpPr>
          <xdr:cNvPr id="8981" name="Gerader Verbinder 8980">
            <a:extLst>
              <a:ext uri="{FF2B5EF4-FFF2-40B4-BE49-F238E27FC236}">
                <a16:creationId xmlns:a16="http://schemas.microsoft.com/office/drawing/2014/main" id="{6B4BD6E6-E67E-7858-5B5C-42F08EF95F06}"/>
              </a:ext>
            </a:extLst>
          </xdr:cNvPr>
          <xdr:cNvCxnSpPr/>
        </xdr:nvCxnSpPr>
        <xdr:spPr>
          <a:xfrm>
            <a:off x="3421380" y="106222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982" name="Gerader Verbinder 8981">
            <a:extLst>
              <a:ext uri="{FF2B5EF4-FFF2-40B4-BE49-F238E27FC236}">
                <a16:creationId xmlns:a16="http://schemas.microsoft.com/office/drawing/2014/main" id="{2171C3FF-182E-D9AE-617E-3FE0BB22615F}"/>
              </a:ext>
            </a:extLst>
          </xdr:cNvPr>
          <xdr:cNvCxnSpPr/>
        </xdr:nvCxnSpPr>
        <xdr:spPr>
          <a:xfrm flipH="1">
            <a:off x="3421380" y="106222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56</xdr:row>
      <xdr:rowOff>0</xdr:rowOff>
    </xdr:from>
    <xdr:to>
      <xdr:col>6</xdr:col>
      <xdr:colOff>0</xdr:colOff>
      <xdr:row>57</xdr:row>
      <xdr:rowOff>0</xdr:rowOff>
    </xdr:to>
    <xdr:grpSp>
      <xdr:nvGrpSpPr>
        <xdr:cNvPr id="8986" name="Cross_F57">
          <a:extLst>
            <a:ext uri="{FF2B5EF4-FFF2-40B4-BE49-F238E27FC236}">
              <a16:creationId xmlns:a16="http://schemas.microsoft.com/office/drawing/2014/main" id="{B1FC5604-157F-0132-5713-557CF4147DF0}"/>
            </a:ext>
          </a:extLst>
        </xdr:cNvPr>
        <xdr:cNvGrpSpPr/>
      </xdr:nvGrpSpPr>
      <xdr:grpSpPr>
        <a:xfrm>
          <a:off x="3421380" y="10789920"/>
          <a:ext cx="594360" cy="167640"/>
          <a:chOff x="3421380" y="10789920"/>
          <a:chExt cx="594360" cy="167640"/>
        </a:xfrm>
      </xdr:grpSpPr>
      <xdr:cxnSp macro="">
        <xdr:nvCxnSpPr>
          <xdr:cNvPr id="8984" name="Gerader Verbinder 8983">
            <a:extLst>
              <a:ext uri="{FF2B5EF4-FFF2-40B4-BE49-F238E27FC236}">
                <a16:creationId xmlns:a16="http://schemas.microsoft.com/office/drawing/2014/main" id="{AEF12350-513A-3423-8AAC-D92890F42046}"/>
              </a:ext>
            </a:extLst>
          </xdr:cNvPr>
          <xdr:cNvCxnSpPr/>
        </xdr:nvCxnSpPr>
        <xdr:spPr>
          <a:xfrm>
            <a:off x="3421380" y="107899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985" name="Gerader Verbinder 8984">
            <a:extLst>
              <a:ext uri="{FF2B5EF4-FFF2-40B4-BE49-F238E27FC236}">
                <a16:creationId xmlns:a16="http://schemas.microsoft.com/office/drawing/2014/main" id="{106298C9-C410-69AB-854B-727E63A86716}"/>
              </a:ext>
            </a:extLst>
          </xdr:cNvPr>
          <xdr:cNvCxnSpPr/>
        </xdr:nvCxnSpPr>
        <xdr:spPr>
          <a:xfrm flipH="1">
            <a:off x="3421380" y="107899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57</xdr:row>
      <xdr:rowOff>0</xdr:rowOff>
    </xdr:from>
    <xdr:to>
      <xdr:col>6</xdr:col>
      <xdr:colOff>0</xdr:colOff>
      <xdr:row>58</xdr:row>
      <xdr:rowOff>0</xdr:rowOff>
    </xdr:to>
    <xdr:grpSp>
      <xdr:nvGrpSpPr>
        <xdr:cNvPr id="8989" name="Cross_F58">
          <a:extLst>
            <a:ext uri="{FF2B5EF4-FFF2-40B4-BE49-F238E27FC236}">
              <a16:creationId xmlns:a16="http://schemas.microsoft.com/office/drawing/2014/main" id="{52FCD685-B67A-D453-35F7-B175E5C67B7F}"/>
            </a:ext>
          </a:extLst>
        </xdr:cNvPr>
        <xdr:cNvGrpSpPr/>
      </xdr:nvGrpSpPr>
      <xdr:grpSpPr>
        <a:xfrm>
          <a:off x="3421380" y="10957560"/>
          <a:ext cx="594360" cy="228600"/>
          <a:chOff x="3421380" y="10957560"/>
          <a:chExt cx="594360" cy="228600"/>
        </a:xfrm>
      </xdr:grpSpPr>
      <xdr:cxnSp macro="">
        <xdr:nvCxnSpPr>
          <xdr:cNvPr id="8987" name="Gerader Verbinder 8986">
            <a:extLst>
              <a:ext uri="{FF2B5EF4-FFF2-40B4-BE49-F238E27FC236}">
                <a16:creationId xmlns:a16="http://schemas.microsoft.com/office/drawing/2014/main" id="{14842AEA-A6D6-857D-6409-29B6ADB533B4}"/>
              </a:ext>
            </a:extLst>
          </xdr:cNvPr>
          <xdr:cNvCxnSpPr/>
        </xdr:nvCxnSpPr>
        <xdr:spPr>
          <a:xfrm>
            <a:off x="3421380" y="1095756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988" name="Gerader Verbinder 8987">
            <a:extLst>
              <a:ext uri="{FF2B5EF4-FFF2-40B4-BE49-F238E27FC236}">
                <a16:creationId xmlns:a16="http://schemas.microsoft.com/office/drawing/2014/main" id="{8F910187-516D-D4A8-A699-0093403B5158}"/>
              </a:ext>
            </a:extLst>
          </xdr:cNvPr>
          <xdr:cNvCxnSpPr/>
        </xdr:nvCxnSpPr>
        <xdr:spPr>
          <a:xfrm flipH="1">
            <a:off x="3421380" y="1095756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58</xdr:row>
      <xdr:rowOff>0</xdr:rowOff>
    </xdr:from>
    <xdr:to>
      <xdr:col>6</xdr:col>
      <xdr:colOff>0</xdr:colOff>
      <xdr:row>59</xdr:row>
      <xdr:rowOff>0</xdr:rowOff>
    </xdr:to>
    <xdr:grpSp>
      <xdr:nvGrpSpPr>
        <xdr:cNvPr id="8992" name="Cross_F59">
          <a:extLst>
            <a:ext uri="{FF2B5EF4-FFF2-40B4-BE49-F238E27FC236}">
              <a16:creationId xmlns:a16="http://schemas.microsoft.com/office/drawing/2014/main" id="{5FE72B8E-25D6-B61E-A90A-179E2EE38E3A}"/>
            </a:ext>
          </a:extLst>
        </xdr:cNvPr>
        <xdr:cNvGrpSpPr/>
      </xdr:nvGrpSpPr>
      <xdr:grpSpPr>
        <a:xfrm>
          <a:off x="3421380" y="11186160"/>
          <a:ext cx="594360" cy="167640"/>
          <a:chOff x="3421380" y="11186160"/>
          <a:chExt cx="594360" cy="167640"/>
        </a:xfrm>
      </xdr:grpSpPr>
      <xdr:cxnSp macro="">
        <xdr:nvCxnSpPr>
          <xdr:cNvPr id="8990" name="Gerader Verbinder 8989">
            <a:extLst>
              <a:ext uri="{FF2B5EF4-FFF2-40B4-BE49-F238E27FC236}">
                <a16:creationId xmlns:a16="http://schemas.microsoft.com/office/drawing/2014/main" id="{4470ED16-DAAB-F329-ECED-DEFD1AD7EB75}"/>
              </a:ext>
            </a:extLst>
          </xdr:cNvPr>
          <xdr:cNvCxnSpPr/>
        </xdr:nvCxnSpPr>
        <xdr:spPr>
          <a:xfrm>
            <a:off x="3421380" y="111861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991" name="Gerader Verbinder 8990">
            <a:extLst>
              <a:ext uri="{FF2B5EF4-FFF2-40B4-BE49-F238E27FC236}">
                <a16:creationId xmlns:a16="http://schemas.microsoft.com/office/drawing/2014/main" id="{1C0CB122-6A32-02BC-794E-CE6FE628F480}"/>
              </a:ext>
            </a:extLst>
          </xdr:cNvPr>
          <xdr:cNvCxnSpPr/>
        </xdr:nvCxnSpPr>
        <xdr:spPr>
          <a:xfrm flipH="1">
            <a:off x="3421380" y="111861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59</xdr:row>
      <xdr:rowOff>0</xdr:rowOff>
    </xdr:from>
    <xdr:to>
      <xdr:col>6</xdr:col>
      <xdr:colOff>0</xdr:colOff>
      <xdr:row>60</xdr:row>
      <xdr:rowOff>0</xdr:rowOff>
    </xdr:to>
    <xdr:grpSp>
      <xdr:nvGrpSpPr>
        <xdr:cNvPr id="8995" name="Cross_F60">
          <a:extLst>
            <a:ext uri="{FF2B5EF4-FFF2-40B4-BE49-F238E27FC236}">
              <a16:creationId xmlns:a16="http://schemas.microsoft.com/office/drawing/2014/main" id="{FFC4E56F-A997-1299-EC3A-0C97789D0DFC}"/>
            </a:ext>
          </a:extLst>
        </xdr:cNvPr>
        <xdr:cNvGrpSpPr/>
      </xdr:nvGrpSpPr>
      <xdr:grpSpPr>
        <a:xfrm>
          <a:off x="3421380" y="11353800"/>
          <a:ext cx="594360" cy="167640"/>
          <a:chOff x="3421380" y="11353800"/>
          <a:chExt cx="594360" cy="167640"/>
        </a:xfrm>
      </xdr:grpSpPr>
      <xdr:cxnSp macro="">
        <xdr:nvCxnSpPr>
          <xdr:cNvPr id="8993" name="Gerader Verbinder 8992">
            <a:extLst>
              <a:ext uri="{FF2B5EF4-FFF2-40B4-BE49-F238E27FC236}">
                <a16:creationId xmlns:a16="http://schemas.microsoft.com/office/drawing/2014/main" id="{AC1FA673-22D8-57A8-ACFF-F85F34E1D01F}"/>
              </a:ext>
            </a:extLst>
          </xdr:cNvPr>
          <xdr:cNvCxnSpPr/>
        </xdr:nvCxnSpPr>
        <xdr:spPr>
          <a:xfrm>
            <a:off x="3421380" y="113538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994" name="Gerader Verbinder 8993">
            <a:extLst>
              <a:ext uri="{FF2B5EF4-FFF2-40B4-BE49-F238E27FC236}">
                <a16:creationId xmlns:a16="http://schemas.microsoft.com/office/drawing/2014/main" id="{3CBF3946-580D-37BB-8FE0-D8B5C3615334}"/>
              </a:ext>
            </a:extLst>
          </xdr:cNvPr>
          <xdr:cNvCxnSpPr/>
        </xdr:nvCxnSpPr>
        <xdr:spPr>
          <a:xfrm flipH="1">
            <a:off x="3421380" y="113538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60</xdr:row>
      <xdr:rowOff>0</xdr:rowOff>
    </xdr:from>
    <xdr:to>
      <xdr:col>6</xdr:col>
      <xdr:colOff>0</xdr:colOff>
      <xdr:row>61</xdr:row>
      <xdr:rowOff>0</xdr:rowOff>
    </xdr:to>
    <xdr:grpSp>
      <xdr:nvGrpSpPr>
        <xdr:cNvPr id="8998" name="Cross_F61">
          <a:extLst>
            <a:ext uri="{FF2B5EF4-FFF2-40B4-BE49-F238E27FC236}">
              <a16:creationId xmlns:a16="http://schemas.microsoft.com/office/drawing/2014/main" id="{403A79F8-B46F-BDB3-3B89-111196C9BA31}"/>
            </a:ext>
          </a:extLst>
        </xdr:cNvPr>
        <xdr:cNvGrpSpPr/>
      </xdr:nvGrpSpPr>
      <xdr:grpSpPr>
        <a:xfrm>
          <a:off x="3421380" y="11521440"/>
          <a:ext cx="594360" cy="228600"/>
          <a:chOff x="3421380" y="11521440"/>
          <a:chExt cx="594360" cy="228600"/>
        </a:xfrm>
      </xdr:grpSpPr>
      <xdr:cxnSp macro="">
        <xdr:nvCxnSpPr>
          <xdr:cNvPr id="8996" name="Gerader Verbinder 8995">
            <a:extLst>
              <a:ext uri="{FF2B5EF4-FFF2-40B4-BE49-F238E27FC236}">
                <a16:creationId xmlns:a16="http://schemas.microsoft.com/office/drawing/2014/main" id="{1CB2EBD5-BFCF-FAF8-67F1-86AE4901774E}"/>
              </a:ext>
            </a:extLst>
          </xdr:cNvPr>
          <xdr:cNvCxnSpPr/>
        </xdr:nvCxnSpPr>
        <xdr:spPr>
          <a:xfrm>
            <a:off x="3421380" y="1152144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997" name="Gerader Verbinder 8996">
            <a:extLst>
              <a:ext uri="{FF2B5EF4-FFF2-40B4-BE49-F238E27FC236}">
                <a16:creationId xmlns:a16="http://schemas.microsoft.com/office/drawing/2014/main" id="{B5469DB3-29CE-2218-3E07-E1E40EE757FA}"/>
              </a:ext>
            </a:extLst>
          </xdr:cNvPr>
          <xdr:cNvCxnSpPr/>
        </xdr:nvCxnSpPr>
        <xdr:spPr>
          <a:xfrm flipH="1">
            <a:off x="3421380" y="1152144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61</xdr:row>
      <xdr:rowOff>0</xdr:rowOff>
    </xdr:from>
    <xdr:to>
      <xdr:col>6</xdr:col>
      <xdr:colOff>0</xdr:colOff>
      <xdr:row>62</xdr:row>
      <xdr:rowOff>0</xdr:rowOff>
    </xdr:to>
    <xdr:grpSp>
      <xdr:nvGrpSpPr>
        <xdr:cNvPr id="9001" name="Cross_F62">
          <a:extLst>
            <a:ext uri="{FF2B5EF4-FFF2-40B4-BE49-F238E27FC236}">
              <a16:creationId xmlns:a16="http://schemas.microsoft.com/office/drawing/2014/main" id="{560C0C55-0C25-B015-FFA4-575FC50C881F}"/>
            </a:ext>
          </a:extLst>
        </xdr:cNvPr>
        <xdr:cNvGrpSpPr/>
      </xdr:nvGrpSpPr>
      <xdr:grpSpPr>
        <a:xfrm>
          <a:off x="3421380" y="11750040"/>
          <a:ext cx="594360" cy="167640"/>
          <a:chOff x="3421380" y="11750040"/>
          <a:chExt cx="594360" cy="167640"/>
        </a:xfrm>
      </xdr:grpSpPr>
      <xdr:cxnSp macro="">
        <xdr:nvCxnSpPr>
          <xdr:cNvPr id="8999" name="Gerader Verbinder 8998">
            <a:extLst>
              <a:ext uri="{FF2B5EF4-FFF2-40B4-BE49-F238E27FC236}">
                <a16:creationId xmlns:a16="http://schemas.microsoft.com/office/drawing/2014/main" id="{16438FA7-D241-2199-BBA7-25FEAD004478}"/>
              </a:ext>
            </a:extLst>
          </xdr:cNvPr>
          <xdr:cNvCxnSpPr/>
        </xdr:nvCxnSpPr>
        <xdr:spPr>
          <a:xfrm>
            <a:off x="3421380" y="117500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000" name="Gerader Verbinder 8999">
            <a:extLst>
              <a:ext uri="{FF2B5EF4-FFF2-40B4-BE49-F238E27FC236}">
                <a16:creationId xmlns:a16="http://schemas.microsoft.com/office/drawing/2014/main" id="{0F90642D-CFA7-7E43-02CE-45A43AFDFF78}"/>
              </a:ext>
            </a:extLst>
          </xdr:cNvPr>
          <xdr:cNvCxnSpPr/>
        </xdr:nvCxnSpPr>
        <xdr:spPr>
          <a:xfrm flipH="1">
            <a:off x="3421380" y="117500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62</xdr:row>
      <xdr:rowOff>0</xdr:rowOff>
    </xdr:from>
    <xdr:to>
      <xdr:col>6</xdr:col>
      <xdr:colOff>0</xdr:colOff>
      <xdr:row>63</xdr:row>
      <xdr:rowOff>0</xdr:rowOff>
    </xdr:to>
    <xdr:grpSp>
      <xdr:nvGrpSpPr>
        <xdr:cNvPr id="9004" name="Cross_F63">
          <a:extLst>
            <a:ext uri="{FF2B5EF4-FFF2-40B4-BE49-F238E27FC236}">
              <a16:creationId xmlns:a16="http://schemas.microsoft.com/office/drawing/2014/main" id="{12C9DF7B-C400-BF59-3229-897501151D32}"/>
            </a:ext>
          </a:extLst>
        </xdr:cNvPr>
        <xdr:cNvGrpSpPr/>
      </xdr:nvGrpSpPr>
      <xdr:grpSpPr>
        <a:xfrm>
          <a:off x="3421380" y="11917680"/>
          <a:ext cx="594360" cy="167640"/>
          <a:chOff x="3421380" y="11917680"/>
          <a:chExt cx="594360" cy="167640"/>
        </a:xfrm>
      </xdr:grpSpPr>
      <xdr:cxnSp macro="">
        <xdr:nvCxnSpPr>
          <xdr:cNvPr id="9002" name="Gerader Verbinder 9001">
            <a:extLst>
              <a:ext uri="{FF2B5EF4-FFF2-40B4-BE49-F238E27FC236}">
                <a16:creationId xmlns:a16="http://schemas.microsoft.com/office/drawing/2014/main" id="{9FBC9D47-0B04-BEC2-8963-F7D1320FF4A2}"/>
              </a:ext>
            </a:extLst>
          </xdr:cNvPr>
          <xdr:cNvCxnSpPr/>
        </xdr:nvCxnSpPr>
        <xdr:spPr>
          <a:xfrm>
            <a:off x="3421380" y="119176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003" name="Gerader Verbinder 9002">
            <a:extLst>
              <a:ext uri="{FF2B5EF4-FFF2-40B4-BE49-F238E27FC236}">
                <a16:creationId xmlns:a16="http://schemas.microsoft.com/office/drawing/2014/main" id="{D9A5D568-A0FC-37D1-45EF-1100E8D46E4B}"/>
              </a:ext>
            </a:extLst>
          </xdr:cNvPr>
          <xdr:cNvCxnSpPr/>
        </xdr:nvCxnSpPr>
        <xdr:spPr>
          <a:xfrm flipH="1">
            <a:off x="3421380" y="119176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69</xdr:row>
      <xdr:rowOff>0</xdr:rowOff>
    </xdr:from>
    <xdr:to>
      <xdr:col>6</xdr:col>
      <xdr:colOff>0</xdr:colOff>
      <xdr:row>70</xdr:row>
      <xdr:rowOff>0</xdr:rowOff>
    </xdr:to>
    <xdr:grpSp>
      <xdr:nvGrpSpPr>
        <xdr:cNvPr id="9007" name="Cross_F70">
          <a:extLst>
            <a:ext uri="{FF2B5EF4-FFF2-40B4-BE49-F238E27FC236}">
              <a16:creationId xmlns:a16="http://schemas.microsoft.com/office/drawing/2014/main" id="{21DC963D-D61D-1AD5-6638-CF1389EB7FCD}"/>
            </a:ext>
          </a:extLst>
        </xdr:cNvPr>
        <xdr:cNvGrpSpPr/>
      </xdr:nvGrpSpPr>
      <xdr:grpSpPr>
        <a:xfrm>
          <a:off x="3421380" y="13213080"/>
          <a:ext cx="594360" cy="228600"/>
          <a:chOff x="3421380" y="13213080"/>
          <a:chExt cx="594360" cy="228600"/>
        </a:xfrm>
      </xdr:grpSpPr>
      <xdr:cxnSp macro="">
        <xdr:nvCxnSpPr>
          <xdr:cNvPr id="9005" name="Gerader Verbinder 9004">
            <a:extLst>
              <a:ext uri="{FF2B5EF4-FFF2-40B4-BE49-F238E27FC236}">
                <a16:creationId xmlns:a16="http://schemas.microsoft.com/office/drawing/2014/main" id="{8EC21474-ED35-E698-C036-4A36E47CC010}"/>
              </a:ext>
            </a:extLst>
          </xdr:cNvPr>
          <xdr:cNvCxnSpPr/>
        </xdr:nvCxnSpPr>
        <xdr:spPr>
          <a:xfrm>
            <a:off x="3421380" y="132130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006" name="Gerader Verbinder 9005">
            <a:extLst>
              <a:ext uri="{FF2B5EF4-FFF2-40B4-BE49-F238E27FC236}">
                <a16:creationId xmlns:a16="http://schemas.microsoft.com/office/drawing/2014/main" id="{2367664F-8590-6055-EA1E-3D37D918E2AC}"/>
              </a:ext>
            </a:extLst>
          </xdr:cNvPr>
          <xdr:cNvCxnSpPr/>
        </xdr:nvCxnSpPr>
        <xdr:spPr>
          <a:xfrm flipH="1">
            <a:off x="3421380" y="132130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70</xdr:row>
      <xdr:rowOff>0</xdr:rowOff>
    </xdr:from>
    <xdr:to>
      <xdr:col>6</xdr:col>
      <xdr:colOff>0</xdr:colOff>
      <xdr:row>71</xdr:row>
      <xdr:rowOff>0</xdr:rowOff>
    </xdr:to>
    <xdr:grpSp>
      <xdr:nvGrpSpPr>
        <xdr:cNvPr id="9010" name="Cross_F71">
          <a:extLst>
            <a:ext uri="{FF2B5EF4-FFF2-40B4-BE49-F238E27FC236}">
              <a16:creationId xmlns:a16="http://schemas.microsoft.com/office/drawing/2014/main" id="{34975FF1-C2CF-1CAE-E654-B29FEBD60546}"/>
            </a:ext>
          </a:extLst>
        </xdr:cNvPr>
        <xdr:cNvGrpSpPr/>
      </xdr:nvGrpSpPr>
      <xdr:grpSpPr>
        <a:xfrm>
          <a:off x="3421380" y="13441680"/>
          <a:ext cx="594360" cy="167640"/>
          <a:chOff x="3421380" y="13441680"/>
          <a:chExt cx="594360" cy="167640"/>
        </a:xfrm>
      </xdr:grpSpPr>
      <xdr:cxnSp macro="">
        <xdr:nvCxnSpPr>
          <xdr:cNvPr id="9008" name="Gerader Verbinder 9007">
            <a:extLst>
              <a:ext uri="{FF2B5EF4-FFF2-40B4-BE49-F238E27FC236}">
                <a16:creationId xmlns:a16="http://schemas.microsoft.com/office/drawing/2014/main" id="{9A6BD90C-A63B-F36B-E2E9-BEC262959703}"/>
              </a:ext>
            </a:extLst>
          </xdr:cNvPr>
          <xdr:cNvCxnSpPr/>
        </xdr:nvCxnSpPr>
        <xdr:spPr>
          <a:xfrm>
            <a:off x="3421380" y="134416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009" name="Gerader Verbinder 9008">
            <a:extLst>
              <a:ext uri="{FF2B5EF4-FFF2-40B4-BE49-F238E27FC236}">
                <a16:creationId xmlns:a16="http://schemas.microsoft.com/office/drawing/2014/main" id="{7F035DE6-5B64-9E4C-92B8-80F92B3F31E4}"/>
              </a:ext>
            </a:extLst>
          </xdr:cNvPr>
          <xdr:cNvCxnSpPr/>
        </xdr:nvCxnSpPr>
        <xdr:spPr>
          <a:xfrm flipH="1">
            <a:off x="3421380" y="134416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71</xdr:row>
      <xdr:rowOff>0</xdr:rowOff>
    </xdr:from>
    <xdr:to>
      <xdr:col>6</xdr:col>
      <xdr:colOff>0</xdr:colOff>
      <xdr:row>72</xdr:row>
      <xdr:rowOff>1</xdr:rowOff>
    </xdr:to>
    <xdr:grpSp>
      <xdr:nvGrpSpPr>
        <xdr:cNvPr id="9013" name="Cross_F72">
          <a:extLst>
            <a:ext uri="{FF2B5EF4-FFF2-40B4-BE49-F238E27FC236}">
              <a16:creationId xmlns:a16="http://schemas.microsoft.com/office/drawing/2014/main" id="{C7044B90-8AF1-1E0A-5CDC-DAF5B9986979}"/>
            </a:ext>
          </a:extLst>
        </xdr:cNvPr>
        <xdr:cNvGrpSpPr/>
      </xdr:nvGrpSpPr>
      <xdr:grpSpPr>
        <a:xfrm>
          <a:off x="3421380" y="13609320"/>
          <a:ext cx="594360" cy="167641"/>
          <a:chOff x="3421380" y="13609320"/>
          <a:chExt cx="594360" cy="167641"/>
        </a:xfrm>
      </xdr:grpSpPr>
      <xdr:cxnSp macro="">
        <xdr:nvCxnSpPr>
          <xdr:cNvPr id="9011" name="Gerader Verbinder 9010">
            <a:extLst>
              <a:ext uri="{FF2B5EF4-FFF2-40B4-BE49-F238E27FC236}">
                <a16:creationId xmlns:a16="http://schemas.microsoft.com/office/drawing/2014/main" id="{8D69549B-B016-4E6E-2D10-12D3EAA71247}"/>
              </a:ext>
            </a:extLst>
          </xdr:cNvPr>
          <xdr:cNvCxnSpPr/>
        </xdr:nvCxnSpPr>
        <xdr:spPr>
          <a:xfrm>
            <a:off x="3421380" y="13609320"/>
            <a:ext cx="594360" cy="167641"/>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012" name="Gerader Verbinder 9011">
            <a:extLst>
              <a:ext uri="{FF2B5EF4-FFF2-40B4-BE49-F238E27FC236}">
                <a16:creationId xmlns:a16="http://schemas.microsoft.com/office/drawing/2014/main" id="{FC74230F-1840-3605-68C3-0C2F9CB9CAF9}"/>
              </a:ext>
            </a:extLst>
          </xdr:cNvPr>
          <xdr:cNvCxnSpPr/>
        </xdr:nvCxnSpPr>
        <xdr:spPr>
          <a:xfrm flipH="1">
            <a:off x="3421380" y="13609320"/>
            <a:ext cx="594360" cy="167641"/>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72</xdr:row>
      <xdr:rowOff>1</xdr:rowOff>
    </xdr:from>
    <xdr:to>
      <xdr:col>6</xdr:col>
      <xdr:colOff>0</xdr:colOff>
      <xdr:row>73</xdr:row>
      <xdr:rowOff>1</xdr:rowOff>
    </xdr:to>
    <xdr:grpSp>
      <xdr:nvGrpSpPr>
        <xdr:cNvPr id="9016" name="Cross_F73">
          <a:extLst>
            <a:ext uri="{FF2B5EF4-FFF2-40B4-BE49-F238E27FC236}">
              <a16:creationId xmlns:a16="http://schemas.microsoft.com/office/drawing/2014/main" id="{53AC851B-A074-032A-C199-A4D4DC04E53D}"/>
            </a:ext>
          </a:extLst>
        </xdr:cNvPr>
        <xdr:cNvGrpSpPr/>
      </xdr:nvGrpSpPr>
      <xdr:grpSpPr>
        <a:xfrm>
          <a:off x="3421380" y="13776961"/>
          <a:ext cx="594360" cy="228600"/>
          <a:chOff x="3421380" y="13776961"/>
          <a:chExt cx="594360" cy="228600"/>
        </a:xfrm>
      </xdr:grpSpPr>
      <xdr:cxnSp macro="">
        <xdr:nvCxnSpPr>
          <xdr:cNvPr id="9014" name="Gerader Verbinder 9013">
            <a:extLst>
              <a:ext uri="{FF2B5EF4-FFF2-40B4-BE49-F238E27FC236}">
                <a16:creationId xmlns:a16="http://schemas.microsoft.com/office/drawing/2014/main" id="{F5A91B93-F0C0-ED8C-DECD-D9063391A115}"/>
              </a:ext>
            </a:extLst>
          </xdr:cNvPr>
          <xdr:cNvCxnSpPr/>
        </xdr:nvCxnSpPr>
        <xdr:spPr>
          <a:xfrm>
            <a:off x="3421380" y="13776961"/>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015" name="Gerader Verbinder 9014">
            <a:extLst>
              <a:ext uri="{FF2B5EF4-FFF2-40B4-BE49-F238E27FC236}">
                <a16:creationId xmlns:a16="http://schemas.microsoft.com/office/drawing/2014/main" id="{3601F3CF-A82F-E532-78ED-56FFD0B14AF0}"/>
              </a:ext>
            </a:extLst>
          </xdr:cNvPr>
          <xdr:cNvCxnSpPr/>
        </xdr:nvCxnSpPr>
        <xdr:spPr>
          <a:xfrm flipH="1">
            <a:off x="3421380" y="13776961"/>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73</xdr:row>
      <xdr:rowOff>1</xdr:rowOff>
    </xdr:from>
    <xdr:to>
      <xdr:col>6</xdr:col>
      <xdr:colOff>0</xdr:colOff>
      <xdr:row>74</xdr:row>
      <xdr:rowOff>0</xdr:rowOff>
    </xdr:to>
    <xdr:grpSp>
      <xdr:nvGrpSpPr>
        <xdr:cNvPr id="9019" name="Cross_F74">
          <a:extLst>
            <a:ext uri="{FF2B5EF4-FFF2-40B4-BE49-F238E27FC236}">
              <a16:creationId xmlns:a16="http://schemas.microsoft.com/office/drawing/2014/main" id="{7EA8D98D-EB93-AC5A-AEAA-47707D405B4E}"/>
            </a:ext>
          </a:extLst>
        </xdr:cNvPr>
        <xdr:cNvGrpSpPr/>
      </xdr:nvGrpSpPr>
      <xdr:grpSpPr>
        <a:xfrm>
          <a:off x="3421380" y="14005561"/>
          <a:ext cx="594360" cy="167639"/>
          <a:chOff x="3421380" y="14005561"/>
          <a:chExt cx="594360" cy="167639"/>
        </a:xfrm>
      </xdr:grpSpPr>
      <xdr:cxnSp macro="">
        <xdr:nvCxnSpPr>
          <xdr:cNvPr id="9017" name="Gerader Verbinder 9016">
            <a:extLst>
              <a:ext uri="{FF2B5EF4-FFF2-40B4-BE49-F238E27FC236}">
                <a16:creationId xmlns:a16="http://schemas.microsoft.com/office/drawing/2014/main" id="{9D586594-6202-F286-46DF-41CBEBA7294A}"/>
              </a:ext>
            </a:extLst>
          </xdr:cNvPr>
          <xdr:cNvCxnSpPr/>
        </xdr:nvCxnSpPr>
        <xdr:spPr>
          <a:xfrm>
            <a:off x="3421380" y="14005561"/>
            <a:ext cx="59436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018" name="Gerader Verbinder 9017">
            <a:extLst>
              <a:ext uri="{FF2B5EF4-FFF2-40B4-BE49-F238E27FC236}">
                <a16:creationId xmlns:a16="http://schemas.microsoft.com/office/drawing/2014/main" id="{6884E692-27AE-9542-B721-01102CDD66DB}"/>
              </a:ext>
            </a:extLst>
          </xdr:cNvPr>
          <xdr:cNvCxnSpPr/>
        </xdr:nvCxnSpPr>
        <xdr:spPr>
          <a:xfrm flipH="1">
            <a:off x="3421380" y="14005561"/>
            <a:ext cx="59436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74</xdr:row>
      <xdr:rowOff>0</xdr:rowOff>
    </xdr:from>
    <xdr:to>
      <xdr:col>6</xdr:col>
      <xdr:colOff>0</xdr:colOff>
      <xdr:row>74</xdr:row>
      <xdr:rowOff>167639</xdr:rowOff>
    </xdr:to>
    <xdr:grpSp>
      <xdr:nvGrpSpPr>
        <xdr:cNvPr id="9022" name="Cross_F75">
          <a:extLst>
            <a:ext uri="{FF2B5EF4-FFF2-40B4-BE49-F238E27FC236}">
              <a16:creationId xmlns:a16="http://schemas.microsoft.com/office/drawing/2014/main" id="{611395BB-3819-DE1E-61F3-161534F08A43}"/>
            </a:ext>
          </a:extLst>
        </xdr:cNvPr>
        <xdr:cNvGrpSpPr/>
      </xdr:nvGrpSpPr>
      <xdr:grpSpPr>
        <a:xfrm>
          <a:off x="3421380" y="14173200"/>
          <a:ext cx="594360" cy="167639"/>
          <a:chOff x="3421380" y="14173200"/>
          <a:chExt cx="594360" cy="167639"/>
        </a:xfrm>
      </xdr:grpSpPr>
      <xdr:cxnSp macro="">
        <xdr:nvCxnSpPr>
          <xdr:cNvPr id="9020" name="Gerader Verbinder 9019">
            <a:extLst>
              <a:ext uri="{FF2B5EF4-FFF2-40B4-BE49-F238E27FC236}">
                <a16:creationId xmlns:a16="http://schemas.microsoft.com/office/drawing/2014/main" id="{3BABC30A-96ED-34AA-CD42-C1D4A3F70E3F}"/>
              </a:ext>
            </a:extLst>
          </xdr:cNvPr>
          <xdr:cNvCxnSpPr/>
        </xdr:nvCxnSpPr>
        <xdr:spPr>
          <a:xfrm>
            <a:off x="3421380" y="14173200"/>
            <a:ext cx="59436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021" name="Gerader Verbinder 9020">
            <a:extLst>
              <a:ext uri="{FF2B5EF4-FFF2-40B4-BE49-F238E27FC236}">
                <a16:creationId xmlns:a16="http://schemas.microsoft.com/office/drawing/2014/main" id="{2900D1CC-36A8-AB89-C1F1-04B80662E4FC}"/>
              </a:ext>
            </a:extLst>
          </xdr:cNvPr>
          <xdr:cNvCxnSpPr/>
        </xdr:nvCxnSpPr>
        <xdr:spPr>
          <a:xfrm flipH="1">
            <a:off x="3421380" y="14173200"/>
            <a:ext cx="59436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6</xdr:row>
      <xdr:rowOff>0</xdr:rowOff>
    </xdr:from>
    <xdr:to>
      <xdr:col>7</xdr:col>
      <xdr:colOff>0</xdr:colOff>
      <xdr:row>7</xdr:row>
      <xdr:rowOff>0</xdr:rowOff>
    </xdr:to>
    <xdr:grpSp>
      <xdr:nvGrpSpPr>
        <xdr:cNvPr id="9025" name="Cross_G7">
          <a:extLst>
            <a:ext uri="{FF2B5EF4-FFF2-40B4-BE49-F238E27FC236}">
              <a16:creationId xmlns:a16="http://schemas.microsoft.com/office/drawing/2014/main" id="{847F0269-6382-9C3D-283C-41F34183CB05}"/>
            </a:ext>
          </a:extLst>
        </xdr:cNvPr>
        <xdr:cNvGrpSpPr/>
      </xdr:nvGrpSpPr>
      <xdr:grpSpPr>
        <a:xfrm>
          <a:off x="4015740" y="1371600"/>
          <a:ext cx="594360" cy="228600"/>
          <a:chOff x="4015740" y="1371600"/>
          <a:chExt cx="594360" cy="228600"/>
        </a:xfrm>
      </xdr:grpSpPr>
      <xdr:cxnSp macro="">
        <xdr:nvCxnSpPr>
          <xdr:cNvPr id="9023" name="Gerader Verbinder 9022">
            <a:extLst>
              <a:ext uri="{FF2B5EF4-FFF2-40B4-BE49-F238E27FC236}">
                <a16:creationId xmlns:a16="http://schemas.microsoft.com/office/drawing/2014/main" id="{4D787FEB-A40A-8013-0E56-D9EBD1DEA0A2}"/>
              </a:ext>
            </a:extLst>
          </xdr:cNvPr>
          <xdr:cNvCxnSpPr/>
        </xdr:nvCxnSpPr>
        <xdr:spPr>
          <a:xfrm>
            <a:off x="4015740" y="137160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024" name="Gerader Verbinder 9023">
            <a:extLst>
              <a:ext uri="{FF2B5EF4-FFF2-40B4-BE49-F238E27FC236}">
                <a16:creationId xmlns:a16="http://schemas.microsoft.com/office/drawing/2014/main" id="{2D71C3B1-0A50-8FE7-0FD9-670F2AC7A8AE}"/>
              </a:ext>
            </a:extLst>
          </xdr:cNvPr>
          <xdr:cNvCxnSpPr/>
        </xdr:nvCxnSpPr>
        <xdr:spPr>
          <a:xfrm flipH="1">
            <a:off x="4015740" y="137160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7</xdr:row>
      <xdr:rowOff>0</xdr:rowOff>
    </xdr:from>
    <xdr:to>
      <xdr:col>7</xdr:col>
      <xdr:colOff>0</xdr:colOff>
      <xdr:row>8</xdr:row>
      <xdr:rowOff>0</xdr:rowOff>
    </xdr:to>
    <xdr:grpSp>
      <xdr:nvGrpSpPr>
        <xdr:cNvPr id="9028" name="Cross_G8">
          <a:extLst>
            <a:ext uri="{FF2B5EF4-FFF2-40B4-BE49-F238E27FC236}">
              <a16:creationId xmlns:a16="http://schemas.microsoft.com/office/drawing/2014/main" id="{EA79A38D-85B0-3C2B-B133-E5AC6EDC1D78}"/>
            </a:ext>
          </a:extLst>
        </xdr:cNvPr>
        <xdr:cNvGrpSpPr/>
      </xdr:nvGrpSpPr>
      <xdr:grpSpPr>
        <a:xfrm>
          <a:off x="4015740" y="1600200"/>
          <a:ext cx="594360" cy="167640"/>
          <a:chOff x="4015740" y="1600200"/>
          <a:chExt cx="594360" cy="167640"/>
        </a:xfrm>
      </xdr:grpSpPr>
      <xdr:cxnSp macro="">
        <xdr:nvCxnSpPr>
          <xdr:cNvPr id="9026" name="Gerader Verbinder 9025">
            <a:extLst>
              <a:ext uri="{FF2B5EF4-FFF2-40B4-BE49-F238E27FC236}">
                <a16:creationId xmlns:a16="http://schemas.microsoft.com/office/drawing/2014/main" id="{2E2CB074-7567-31E6-EF36-F9961A8C0A9B}"/>
              </a:ext>
            </a:extLst>
          </xdr:cNvPr>
          <xdr:cNvCxnSpPr/>
        </xdr:nvCxnSpPr>
        <xdr:spPr>
          <a:xfrm>
            <a:off x="4015740" y="16002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027" name="Gerader Verbinder 9026">
            <a:extLst>
              <a:ext uri="{FF2B5EF4-FFF2-40B4-BE49-F238E27FC236}">
                <a16:creationId xmlns:a16="http://schemas.microsoft.com/office/drawing/2014/main" id="{14D72946-D7D7-214A-24B9-93235E0BEE22}"/>
              </a:ext>
            </a:extLst>
          </xdr:cNvPr>
          <xdr:cNvCxnSpPr/>
        </xdr:nvCxnSpPr>
        <xdr:spPr>
          <a:xfrm flipH="1">
            <a:off x="4015740" y="16002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8</xdr:row>
      <xdr:rowOff>0</xdr:rowOff>
    </xdr:from>
    <xdr:to>
      <xdr:col>7</xdr:col>
      <xdr:colOff>0</xdr:colOff>
      <xdr:row>9</xdr:row>
      <xdr:rowOff>0</xdr:rowOff>
    </xdr:to>
    <xdr:grpSp>
      <xdr:nvGrpSpPr>
        <xdr:cNvPr id="9031" name="Cross_G9">
          <a:extLst>
            <a:ext uri="{FF2B5EF4-FFF2-40B4-BE49-F238E27FC236}">
              <a16:creationId xmlns:a16="http://schemas.microsoft.com/office/drawing/2014/main" id="{C8F7D444-89D3-EFE4-559D-5DE52764A4F0}"/>
            </a:ext>
          </a:extLst>
        </xdr:cNvPr>
        <xdr:cNvGrpSpPr/>
      </xdr:nvGrpSpPr>
      <xdr:grpSpPr>
        <a:xfrm>
          <a:off x="4015740" y="1767840"/>
          <a:ext cx="594360" cy="167640"/>
          <a:chOff x="4015740" y="1767840"/>
          <a:chExt cx="594360" cy="167640"/>
        </a:xfrm>
      </xdr:grpSpPr>
      <xdr:cxnSp macro="">
        <xdr:nvCxnSpPr>
          <xdr:cNvPr id="9029" name="Gerader Verbinder 9028">
            <a:extLst>
              <a:ext uri="{FF2B5EF4-FFF2-40B4-BE49-F238E27FC236}">
                <a16:creationId xmlns:a16="http://schemas.microsoft.com/office/drawing/2014/main" id="{E1FBC2DE-370A-933D-999F-1E75EB509B09}"/>
              </a:ext>
            </a:extLst>
          </xdr:cNvPr>
          <xdr:cNvCxnSpPr/>
        </xdr:nvCxnSpPr>
        <xdr:spPr>
          <a:xfrm>
            <a:off x="4015740" y="17678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030" name="Gerader Verbinder 9029">
            <a:extLst>
              <a:ext uri="{FF2B5EF4-FFF2-40B4-BE49-F238E27FC236}">
                <a16:creationId xmlns:a16="http://schemas.microsoft.com/office/drawing/2014/main" id="{61ECFABB-F533-4CF0-55BB-F3B67AA996CB}"/>
              </a:ext>
            </a:extLst>
          </xdr:cNvPr>
          <xdr:cNvCxnSpPr/>
        </xdr:nvCxnSpPr>
        <xdr:spPr>
          <a:xfrm flipH="1">
            <a:off x="4015740" y="17678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15</xdr:row>
      <xdr:rowOff>0</xdr:rowOff>
    </xdr:from>
    <xdr:to>
      <xdr:col>7</xdr:col>
      <xdr:colOff>0</xdr:colOff>
      <xdr:row>16</xdr:row>
      <xdr:rowOff>0</xdr:rowOff>
    </xdr:to>
    <xdr:grpSp>
      <xdr:nvGrpSpPr>
        <xdr:cNvPr id="9034" name="Cross_G16">
          <a:extLst>
            <a:ext uri="{FF2B5EF4-FFF2-40B4-BE49-F238E27FC236}">
              <a16:creationId xmlns:a16="http://schemas.microsoft.com/office/drawing/2014/main" id="{A355CED3-0C94-7C57-9978-6350178112B7}"/>
            </a:ext>
          </a:extLst>
        </xdr:cNvPr>
        <xdr:cNvGrpSpPr/>
      </xdr:nvGrpSpPr>
      <xdr:grpSpPr>
        <a:xfrm>
          <a:off x="4015740" y="3063240"/>
          <a:ext cx="594360" cy="228600"/>
          <a:chOff x="4015740" y="3063240"/>
          <a:chExt cx="594360" cy="228600"/>
        </a:xfrm>
      </xdr:grpSpPr>
      <xdr:cxnSp macro="">
        <xdr:nvCxnSpPr>
          <xdr:cNvPr id="9032" name="Gerader Verbinder 9031">
            <a:extLst>
              <a:ext uri="{FF2B5EF4-FFF2-40B4-BE49-F238E27FC236}">
                <a16:creationId xmlns:a16="http://schemas.microsoft.com/office/drawing/2014/main" id="{5707D282-9B0A-D8B4-A4A4-53152F105ABB}"/>
              </a:ext>
            </a:extLst>
          </xdr:cNvPr>
          <xdr:cNvCxnSpPr/>
        </xdr:nvCxnSpPr>
        <xdr:spPr>
          <a:xfrm>
            <a:off x="4015740" y="306324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033" name="Gerader Verbinder 9032">
            <a:extLst>
              <a:ext uri="{FF2B5EF4-FFF2-40B4-BE49-F238E27FC236}">
                <a16:creationId xmlns:a16="http://schemas.microsoft.com/office/drawing/2014/main" id="{08367C0B-256C-355E-4469-5F43A0347296}"/>
              </a:ext>
            </a:extLst>
          </xdr:cNvPr>
          <xdr:cNvCxnSpPr/>
        </xdr:nvCxnSpPr>
        <xdr:spPr>
          <a:xfrm flipH="1">
            <a:off x="4015740" y="306324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16</xdr:row>
      <xdr:rowOff>0</xdr:rowOff>
    </xdr:from>
    <xdr:to>
      <xdr:col>7</xdr:col>
      <xdr:colOff>0</xdr:colOff>
      <xdr:row>17</xdr:row>
      <xdr:rowOff>0</xdr:rowOff>
    </xdr:to>
    <xdr:grpSp>
      <xdr:nvGrpSpPr>
        <xdr:cNvPr id="9037" name="Cross_G17">
          <a:extLst>
            <a:ext uri="{FF2B5EF4-FFF2-40B4-BE49-F238E27FC236}">
              <a16:creationId xmlns:a16="http://schemas.microsoft.com/office/drawing/2014/main" id="{9F7CB70E-EADD-97AB-C166-AAC683D34BB5}"/>
            </a:ext>
          </a:extLst>
        </xdr:cNvPr>
        <xdr:cNvGrpSpPr/>
      </xdr:nvGrpSpPr>
      <xdr:grpSpPr>
        <a:xfrm>
          <a:off x="4015740" y="3291840"/>
          <a:ext cx="594360" cy="167640"/>
          <a:chOff x="4015740" y="3291840"/>
          <a:chExt cx="594360" cy="167640"/>
        </a:xfrm>
      </xdr:grpSpPr>
      <xdr:cxnSp macro="">
        <xdr:nvCxnSpPr>
          <xdr:cNvPr id="9035" name="Gerader Verbinder 9034">
            <a:extLst>
              <a:ext uri="{FF2B5EF4-FFF2-40B4-BE49-F238E27FC236}">
                <a16:creationId xmlns:a16="http://schemas.microsoft.com/office/drawing/2014/main" id="{E902CDA7-0B82-054C-41A6-6C567A6B2D09}"/>
              </a:ext>
            </a:extLst>
          </xdr:cNvPr>
          <xdr:cNvCxnSpPr/>
        </xdr:nvCxnSpPr>
        <xdr:spPr>
          <a:xfrm>
            <a:off x="4015740" y="32918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036" name="Gerader Verbinder 9035">
            <a:extLst>
              <a:ext uri="{FF2B5EF4-FFF2-40B4-BE49-F238E27FC236}">
                <a16:creationId xmlns:a16="http://schemas.microsoft.com/office/drawing/2014/main" id="{20609ACA-3792-68E7-6E08-D541ECBDCBF6}"/>
              </a:ext>
            </a:extLst>
          </xdr:cNvPr>
          <xdr:cNvCxnSpPr/>
        </xdr:nvCxnSpPr>
        <xdr:spPr>
          <a:xfrm flipH="1">
            <a:off x="4015740" y="32918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17</xdr:row>
      <xdr:rowOff>0</xdr:rowOff>
    </xdr:from>
    <xdr:to>
      <xdr:col>7</xdr:col>
      <xdr:colOff>0</xdr:colOff>
      <xdr:row>18</xdr:row>
      <xdr:rowOff>0</xdr:rowOff>
    </xdr:to>
    <xdr:grpSp>
      <xdr:nvGrpSpPr>
        <xdr:cNvPr id="9040" name="Cross_G18">
          <a:extLst>
            <a:ext uri="{FF2B5EF4-FFF2-40B4-BE49-F238E27FC236}">
              <a16:creationId xmlns:a16="http://schemas.microsoft.com/office/drawing/2014/main" id="{EC4885D8-5A28-DDEB-DDD1-A2CDF7AD5E43}"/>
            </a:ext>
          </a:extLst>
        </xdr:cNvPr>
        <xdr:cNvGrpSpPr/>
      </xdr:nvGrpSpPr>
      <xdr:grpSpPr>
        <a:xfrm>
          <a:off x="4015740" y="3459480"/>
          <a:ext cx="594360" cy="167640"/>
          <a:chOff x="4015740" y="3459480"/>
          <a:chExt cx="594360" cy="167640"/>
        </a:xfrm>
      </xdr:grpSpPr>
      <xdr:cxnSp macro="">
        <xdr:nvCxnSpPr>
          <xdr:cNvPr id="9038" name="Gerader Verbinder 9037">
            <a:extLst>
              <a:ext uri="{FF2B5EF4-FFF2-40B4-BE49-F238E27FC236}">
                <a16:creationId xmlns:a16="http://schemas.microsoft.com/office/drawing/2014/main" id="{6DCFA262-5F6E-954D-47B5-3CBA1934BC28}"/>
              </a:ext>
            </a:extLst>
          </xdr:cNvPr>
          <xdr:cNvCxnSpPr/>
        </xdr:nvCxnSpPr>
        <xdr:spPr>
          <a:xfrm>
            <a:off x="4015740" y="34594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039" name="Gerader Verbinder 9038">
            <a:extLst>
              <a:ext uri="{FF2B5EF4-FFF2-40B4-BE49-F238E27FC236}">
                <a16:creationId xmlns:a16="http://schemas.microsoft.com/office/drawing/2014/main" id="{21DA7D1A-2170-155F-BB43-2BCB4D837987}"/>
              </a:ext>
            </a:extLst>
          </xdr:cNvPr>
          <xdr:cNvCxnSpPr/>
        </xdr:nvCxnSpPr>
        <xdr:spPr>
          <a:xfrm flipH="1">
            <a:off x="4015740" y="34594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24</xdr:row>
      <xdr:rowOff>0</xdr:rowOff>
    </xdr:from>
    <xdr:to>
      <xdr:col>7</xdr:col>
      <xdr:colOff>0</xdr:colOff>
      <xdr:row>25</xdr:row>
      <xdr:rowOff>0</xdr:rowOff>
    </xdr:to>
    <xdr:grpSp>
      <xdr:nvGrpSpPr>
        <xdr:cNvPr id="9043" name="Cross_G25">
          <a:extLst>
            <a:ext uri="{FF2B5EF4-FFF2-40B4-BE49-F238E27FC236}">
              <a16:creationId xmlns:a16="http://schemas.microsoft.com/office/drawing/2014/main" id="{66DD439D-4534-F80F-DC30-D9FCF1A40672}"/>
            </a:ext>
          </a:extLst>
        </xdr:cNvPr>
        <xdr:cNvGrpSpPr/>
      </xdr:nvGrpSpPr>
      <xdr:grpSpPr>
        <a:xfrm>
          <a:off x="4015740" y="4754880"/>
          <a:ext cx="594360" cy="228600"/>
          <a:chOff x="4015740" y="4754880"/>
          <a:chExt cx="594360" cy="228600"/>
        </a:xfrm>
      </xdr:grpSpPr>
      <xdr:cxnSp macro="">
        <xdr:nvCxnSpPr>
          <xdr:cNvPr id="9041" name="Gerader Verbinder 9040">
            <a:extLst>
              <a:ext uri="{FF2B5EF4-FFF2-40B4-BE49-F238E27FC236}">
                <a16:creationId xmlns:a16="http://schemas.microsoft.com/office/drawing/2014/main" id="{32570E95-C71F-9B1A-8F20-79B29CB3F1AB}"/>
              </a:ext>
            </a:extLst>
          </xdr:cNvPr>
          <xdr:cNvCxnSpPr/>
        </xdr:nvCxnSpPr>
        <xdr:spPr>
          <a:xfrm>
            <a:off x="4015740" y="47548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042" name="Gerader Verbinder 9041">
            <a:extLst>
              <a:ext uri="{FF2B5EF4-FFF2-40B4-BE49-F238E27FC236}">
                <a16:creationId xmlns:a16="http://schemas.microsoft.com/office/drawing/2014/main" id="{E44BA46A-D4E9-5E20-F21D-D2B1CB2F0DAD}"/>
              </a:ext>
            </a:extLst>
          </xdr:cNvPr>
          <xdr:cNvCxnSpPr/>
        </xdr:nvCxnSpPr>
        <xdr:spPr>
          <a:xfrm flipH="1">
            <a:off x="4015740" y="47548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25</xdr:row>
      <xdr:rowOff>0</xdr:rowOff>
    </xdr:from>
    <xdr:to>
      <xdr:col>7</xdr:col>
      <xdr:colOff>0</xdr:colOff>
      <xdr:row>26</xdr:row>
      <xdr:rowOff>0</xdr:rowOff>
    </xdr:to>
    <xdr:grpSp>
      <xdr:nvGrpSpPr>
        <xdr:cNvPr id="9046" name="Cross_G26">
          <a:extLst>
            <a:ext uri="{FF2B5EF4-FFF2-40B4-BE49-F238E27FC236}">
              <a16:creationId xmlns:a16="http://schemas.microsoft.com/office/drawing/2014/main" id="{B8E4F6AA-9344-8FF3-A627-965468C5C1E8}"/>
            </a:ext>
          </a:extLst>
        </xdr:cNvPr>
        <xdr:cNvGrpSpPr/>
      </xdr:nvGrpSpPr>
      <xdr:grpSpPr>
        <a:xfrm>
          <a:off x="4015740" y="4983480"/>
          <a:ext cx="594360" cy="167640"/>
          <a:chOff x="4015740" y="4983480"/>
          <a:chExt cx="594360" cy="167640"/>
        </a:xfrm>
      </xdr:grpSpPr>
      <xdr:cxnSp macro="">
        <xdr:nvCxnSpPr>
          <xdr:cNvPr id="9044" name="Gerader Verbinder 9043">
            <a:extLst>
              <a:ext uri="{FF2B5EF4-FFF2-40B4-BE49-F238E27FC236}">
                <a16:creationId xmlns:a16="http://schemas.microsoft.com/office/drawing/2014/main" id="{EFE42CF4-C53B-09C0-8E5F-402AA57FF1EB}"/>
              </a:ext>
            </a:extLst>
          </xdr:cNvPr>
          <xdr:cNvCxnSpPr/>
        </xdr:nvCxnSpPr>
        <xdr:spPr>
          <a:xfrm>
            <a:off x="4015740" y="49834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045" name="Gerader Verbinder 9044">
            <a:extLst>
              <a:ext uri="{FF2B5EF4-FFF2-40B4-BE49-F238E27FC236}">
                <a16:creationId xmlns:a16="http://schemas.microsoft.com/office/drawing/2014/main" id="{F12EE89A-E6FB-8553-73B5-61577D21123B}"/>
              </a:ext>
            </a:extLst>
          </xdr:cNvPr>
          <xdr:cNvCxnSpPr/>
        </xdr:nvCxnSpPr>
        <xdr:spPr>
          <a:xfrm flipH="1">
            <a:off x="4015740" y="49834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26</xdr:row>
      <xdr:rowOff>0</xdr:rowOff>
    </xdr:from>
    <xdr:to>
      <xdr:col>7</xdr:col>
      <xdr:colOff>0</xdr:colOff>
      <xdr:row>27</xdr:row>
      <xdr:rowOff>0</xdr:rowOff>
    </xdr:to>
    <xdr:grpSp>
      <xdr:nvGrpSpPr>
        <xdr:cNvPr id="9049" name="Cross_G27">
          <a:extLst>
            <a:ext uri="{FF2B5EF4-FFF2-40B4-BE49-F238E27FC236}">
              <a16:creationId xmlns:a16="http://schemas.microsoft.com/office/drawing/2014/main" id="{AF3B8345-7052-707A-1101-128ECC2342DD}"/>
            </a:ext>
          </a:extLst>
        </xdr:cNvPr>
        <xdr:cNvGrpSpPr/>
      </xdr:nvGrpSpPr>
      <xdr:grpSpPr>
        <a:xfrm>
          <a:off x="4015740" y="5151120"/>
          <a:ext cx="594360" cy="167640"/>
          <a:chOff x="4015740" y="5151120"/>
          <a:chExt cx="594360" cy="167640"/>
        </a:xfrm>
      </xdr:grpSpPr>
      <xdr:cxnSp macro="">
        <xdr:nvCxnSpPr>
          <xdr:cNvPr id="9047" name="Gerader Verbinder 9046">
            <a:extLst>
              <a:ext uri="{FF2B5EF4-FFF2-40B4-BE49-F238E27FC236}">
                <a16:creationId xmlns:a16="http://schemas.microsoft.com/office/drawing/2014/main" id="{63A37499-24E8-6ECB-4BA4-95764D755B84}"/>
              </a:ext>
            </a:extLst>
          </xdr:cNvPr>
          <xdr:cNvCxnSpPr/>
        </xdr:nvCxnSpPr>
        <xdr:spPr>
          <a:xfrm>
            <a:off x="4015740" y="51511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048" name="Gerader Verbinder 9047">
            <a:extLst>
              <a:ext uri="{FF2B5EF4-FFF2-40B4-BE49-F238E27FC236}">
                <a16:creationId xmlns:a16="http://schemas.microsoft.com/office/drawing/2014/main" id="{98BCB1B5-A9D8-D2A6-7F10-BEEFB8144388}"/>
              </a:ext>
            </a:extLst>
          </xdr:cNvPr>
          <xdr:cNvCxnSpPr/>
        </xdr:nvCxnSpPr>
        <xdr:spPr>
          <a:xfrm flipH="1">
            <a:off x="4015740" y="51511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30</xdr:row>
      <xdr:rowOff>0</xdr:rowOff>
    </xdr:from>
    <xdr:to>
      <xdr:col>7</xdr:col>
      <xdr:colOff>0</xdr:colOff>
      <xdr:row>31</xdr:row>
      <xdr:rowOff>0</xdr:rowOff>
    </xdr:to>
    <xdr:grpSp>
      <xdr:nvGrpSpPr>
        <xdr:cNvPr id="9052" name="Cross_G31">
          <a:extLst>
            <a:ext uri="{FF2B5EF4-FFF2-40B4-BE49-F238E27FC236}">
              <a16:creationId xmlns:a16="http://schemas.microsoft.com/office/drawing/2014/main" id="{53DCA9B0-D383-4BC3-0954-B4BF22E6FBC4}"/>
            </a:ext>
          </a:extLst>
        </xdr:cNvPr>
        <xdr:cNvGrpSpPr/>
      </xdr:nvGrpSpPr>
      <xdr:grpSpPr>
        <a:xfrm>
          <a:off x="4015740" y="5882640"/>
          <a:ext cx="594360" cy="228600"/>
          <a:chOff x="4015740" y="5882640"/>
          <a:chExt cx="594360" cy="228600"/>
        </a:xfrm>
      </xdr:grpSpPr>
      <xdr:cxnSp macro="">
        <xdr:nvCxnSpPr>
          <xdr:cNvPr id="9050" name="Gerader Verbinder 9049">
            <a:extLst>
              <a:ext uri="{FF2B5EF4-FFF2-40B4-BE49-F238E27FC236}">
                <a16:creationId xmlns:a16="http://schemas.microsoft.com/office/drawing/2014/main" id="{44690F04-F6D9-9EF6-899A-52CA1905C621}"/>
              </a:ext>
            </a:extLst>
          </xdr:cNvPr>
          <xdr:cNvCxnSpPr/>
        </xdr:nvCxnSpPr>
        <xdr:spPr>
          <a:xfrm>
            <a:off x="4015740" y="588264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051" name="Gerader Verbinder 9050">
            <a:extLst>
              <a:ext uri="{FF2B5EF4-FFF2-40B4-BE49-F238E27FC236}">
                <a16:creationId xmlns:a16="http://schemas.microsoft.com/office/drawing/2014/main" id="{4AD8F46A-AA5A-2147-85DB-132D4E93AC82}"/>
              </a:ext>
            </a:extLst>
          </xdr:cNvPr>
          <xdr:cNvCxnSpPr/>
        </xdr:nvCxnSpPr>
        <xdr:spPr>
          <a:xfrm flipH="1">
            <a:off x="4015740" y="588264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31</xdr:row>
      <xdr:rowOff>0</xdr:rowOff>
    </xdr:from>
    <xdr:to>
      <xdr:col>7</xdr:col>
      <xdr:colOff>0</xdr:colOff>
      <xdr:row>32</xdr:row>
      <xdr:rowOff>0</xdr:rowOff>
    </xdr:to>
    <xdr:grpSp>
      <xdr:nvGrpSpPr>
        <xdr:cNvPr id="9055" name="Cross_G32">
          <a:extLst>
            <a:ext uri="{FF2B5EF4-FFF2-40B4-BE49-F238E27FC236}">
              <a16:creationId xmlns:a16="http://schemas.microsoft.com/office/drawing/2014/main" id="{BB95AE50-5F22-033C-66CF-C3AAC804F4C2}"/>
            </a:ext>
          </a:extLst>
        </xdr:cNvPr>
        <xdr:cNvGrpSpPr/>
      </xdr:nvGrpSpPr>
      <xdr:grpSpPr>
        <a:xfrm>
          <a:off x="4015740" y="6111240"/>
          <a:ext cx="594360" cy="167640"/>
          <a:chOff x="4015740" y="6111240"/>
          <a:chExt cx="594360" cy="167640"/>
        </a:xfrm>
      </xdr:grpSpPr>
      <xdr:cxnSp macro="">
        <xdr:nvCxnSpPr>
          <xdr:cNvPr id="9053" name="Gerader Verbinder 9052">
            <a:extLst>
              <a:ext uri="{FF2B5EF4-FFF2-40B4-BE49-F238E27FC236}">
                <a16:creationId xmlns:a16="http://schemas.microsoft.com/office/drawing/2014/main" id="{AB5B5511-3232-F9E7-1D89-C99FAC2E3F76}"/>
              </a:ext>
            </a:extLst>
          </xdr:cNvPr>
          <xdr:cNvCxnSpPr/>
        </xdr:nvCxnSpPr>
        <xdr:spPr>
          <a:xfrm>
            <a:off x="4015740" y="61112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054" name="Gerader Verbinder 9053">
            <a:extLst>
              <a:ext uri="{FF2B5EF4-FFF2-40B4-BE49-F238E27FC236}">
                <a16:creationId xmlns:a16="http://schemas.microsoft.com/office/drawing/2014/main" id="{16081529-3DAE-C153-58E9-F94A0DFB8BAD}"/>
              </a:ext>
            </a:extLst>
          </xdr:cNvPr>
          <xdr:cNvCxnSpPr/>
        </xdr:nvCxnSpPr>
        <xdr:spPr>
          <a:xfrm flipH="1">
            <a:off x="4015740" y="61112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32</xdr:row>
      <xdr:rowOff>0</xdr:rowOff>
    </xdr:from>
    <xdr:to>
      <xdr:col>7</xdr:col>
      <xdr:colOff>0</xdr:colOff>
      <xdr:row>33</xdr:row>
      <xdr:rowOff>0</xdr:rowOff>
    </xdr:to>
    <xdr:grpSp>
      <xdr:nvGrpSpPr>
        <xdr:cNvPr id="9058" name="Cross_G33">
          <a:extLst>
            <a:ext uri="{FF2B5EF4-FFF2-40B4-BE49-F238E27FC236}">
              <a16:creationId xmlns:a16="http://schemas.microsoft.com/office/drawing/2014/main" id="{0FD820F4-E157-6319-2263-DAE377F77109}"/>
            </a:ext>
          </a:extLst>
        </xdr:cNvPr>
        <xdr:cNvGrpSpPr/>
      </xdr:nvGrpSpPr>
      <xdr:grpSpPr>
        <a:xfrm>
          <a:off x="4015740" y="6278880"/>
          <a:ext cx="594360" cy="167640"/>
          <a:chOff x="4015740" y="6278880"/>
          <a:chExt cx="594360" cy="167640"/>
        </a:xfrm>
      </xdr:grpSpPr>
      <xdr:cxnSp macro="">
        <xdr:nvCxnSpPr>
          <xdr:cNvPr id="9056" name="Gerader Verbinder 9055">
            <a:extLst>
              <a:ext uri="{FF2B5EF4-FFF2-40B4-BE49-F238E27FC236}">
                <a16:creationId xmlns:a16="http://schemas.microsoft.com/office/drawing/2014/main" id="{CFF4B200-5C53-802B-D5CD-4D5D8AF3B8A4}"/>
              </a:ext>
            </a:extLst>
          </xdr:cNvPr>
          <xdr:cNvCxnSpPr/>
        </xdr:nvCxnSpPr>
        <xdr:spPr>
          <a:xfrm>
            <a:off x="4015740" y="62788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057" name="Gerader Verbinder 9056">
            <a:extLst>
              <a:ext uri="{FF2B5EF4-FFF2-40B4-BE49-F238E27FC236}">
                <a16:creationId xmlns:a16="http://schemas.microsoft.com/office/drawing/2014/main" id="{DE787CDC-9EEE-87D2-DDB1-C2EDA1C03E68}"/>
              </a:ext>
            </a:extLst>
          </xdr:cNvPr>
          <xdr:cNvCxnSpPr/>
        </xdr:nvCxnSpPr>
        <xdr:spPr>
          <a:xfrm flipH="1">
            <a:off x="4015740" y="62788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42</xdr:row>
      <xdr:rowOff>0</xdr:rowOff>
    </xdr:from>
    <xdr:to>
      <xdr:col>7</xdr:col>
      <xdr:colOff>0</xdr:colOff>
      <xdr:row>43</xdr:row>
      <xdr:rowOff>0</xdr:rowOff>
    </xdr:to>
    <xdr:grpSp>
      <xdr:nvGrpSpPr>
        <xdr:cNvPr id="9061" name="Cross_G43">
          <a:extLst>
            <a:ext uri="{FF2B5EF4-FFF2-40B4-BE49-F238E27FC236}">
              <a16:creationId xmlns:a16="http://schemas.microsoft.com/office/drawing/2014/main" id="{B9FE8068-7469-093E-3BDA-CCB5C582714F}"/>
            </a:ext>
          </a:extLst>
        </xdr:cNvPr>
        <xdr:cNvGrpSpPr/>
      </xdr:nvGrpSpPr>
      <xdr:grpSpPr>
        <a:xfrm>
          <a:off x="4015740" y="8138160"/>
          <a:ext cx="594360" cy="228600"/>
          <a:chOff x="4015740" y="8138160"/>
          <a:chExt cx="594360" cy="228600"/>
        </a:xfrm>
      </xdr:grpSpPr>
      <xdr:cxnSp macro="">
        <xdr:nvCxnSpPr>
          <xdr:cNvPr id="9059" name="Gerader Verbinder 9058">
            <a:extLst>
              <a:ext uri="{FF2B5EF4-FFF2-40B4-BE49-F238E27FC236}">
                <a16:creationId xmlns:a16="http://schemas.microsoft.com/office/drawing/2014/main" id="{D436ED19-0E20-1168-5834-3511C60DFF3A}"/>
              </a:ext>
            </a:extLst>
          </xdr:cNvPr>
          <xdr:cNvCxnSpPr/>
        </xdr:nvCxnSpPr>
        <xdr:spPr>
          <a:xfrm>
            <a:off x="4015740" y="813816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060" name="Gerader Verbinder 9059">
            <a:extLst>
              <a:ext uri="{FF2B5EF4-FFF2-40B4-BE49-F238E27FC236}">
                <a16:creationId xmlns:a16="http://schemas.microsoft.com/office/drawing/2014/main" id="{C8F7C7A9-B481-4D0A-CF82-CCCBA535322B}"/>
              </a:ext>
            </a:extLst>
          </xdr:cNvPr>
          <xdr:cNvCxnSpPr/>
        </xdr:nvCxnSpPr>
        <xdr:spPr>
          <a:xfrm flipH="1">
            <a:off x="4015740" y="813816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43</xdr:row>
      <xdr:rowOff>0</xdr:rowOff>
    </xdr:from>
    <xdr:to>
      <xdr:col>7</xdr:col>
      <xdr:colOff>0</xdr:colOff>
      <xdr:row>44</xdr:row>
      <xdr:rowOff>0</xdr:rowOff>
    </xdr:to>
    <xdr:grpSp>
      <xdr:nvGrpSpPr>
        <xdr:cNvPr id="9064" name="Cross_G44">
          <a:extLst>
            <a:ext uri="{FF2B5EF4-FFF2-40B4-BE49-F238E27FC236}">
              <a16:creationId xmlns:a16="http://schemas.microsoft.com/office/drawing/2014/main" id="{65B3F377-376A-568A-DA26-8DC75BA1BDF6}"/>
            </a:ext>
          </a:extLst>
        </xdr:cNvPr>
        <xdr:cNvGrpSpPr/>
      </xdr:nvGrpSpPr>
      <xdr:grpSpPr>
        <a:xfrm>
          <a:off x="4015740" y="8366760"/>
          <a:ext cx="594360" cy="167640"/>
          <a:chOff x="4015740" y="8366760"/>
          <a:chExt cx="594360" cy="167640"/>
        </a:xfrm>
      </xdr:grpSpPr>
      <xdr:cxnSp macro="">
        <xdr:nvCxnSpPr>
          <xdr:cNvPr id="9062" name="Gerader Verbinder 9061">
            <a:extLst>
              <a:ext uri="{FF2B5EF4-FFF2-40B4-BE49-F238E27FC236}">
                <a16:creationId xmlns:a16="http://schemas.microsoft.com/office/drawing/2014/main" id="{C02FAAAB-C006-DFAF-C084-362EFCCAE558}"/>
              </a:ext>
            </a:extLst>
          </xdr:cNvPr>
          <xdr:cNvCxnSpPr/>
        </xdr:nvCxnSpPr>
        <xdr:spPr>
          <a:xfrm>
            <a:off x="4015740" y="83667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063" name="Gerader Verbinder 9062">
            <a:extLst>
              <a:ext uri="{FF2B5EF4-FFF2-40B4-BE49-F238E27FC236}">
                <a16:creationId xmlns:a16="http://schemas.microsoft.com/office/drawing/2014/main" id="{FB70CF29-BED1-39D5-5B5D-2658E16C79B4}"/>
              </a:ext>
            </a:extLst>
          </xdr:cNvPr>
          <xdr:cNvCxnSpPr/>
        </xdr:nvCxnSpPr>
        <xdr:spPr>
          <a:xfrm flipH="1">
            <a:off x="4015740" y="83667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44</xdr:row>
      <xdr:rowOff>0</xdr:rowOff>
    </xdr:from>
    <xdr:to>
      <xdr:col>7</xdr:col>
      <xdr:colOff>0</xdr:colOff>
      <xdr:row>45</xdr:row>
      <xdr:rowOff>0</xdr:rowOff>
    </xdr:to>
    <xdr:grpSp>
      <xdr:nvGrpSpPr>
        <xdr:cNvPr id="9067" name="Cross_G45">
          <a:extLst>
            <a:ext uri="{FF2B5EF4-FFF2-40B4-BE49-F238E27FC236}">
              <a16:creationId xmlns:a16="http://schemas.microsoft.com/office/drawing/2014/main" id="{FA6B727C-1CF3-1277-3669-1241D5012E57}"/>
            </a:ext>
          </a:extLst>
        </xdr:cNvPr>
        <xdr:cNvGrpSpPr/>
      </xdr:nvGrpSpPr>
      <xdr:grpSpPr>
        <a:xfrm>
          <a:off x="4015740" y="8534400"/>
          <a:ext cx="594360" cy="167640"/>
          <a:chOff x="4015740" y="8534400"/>
          <a:chExt cx="594360" cy="167640"/>
        </a:xfrm>
      </xdr:grpSpPr>
      <xdr:cxnSp macro="">
        <xdr:nvCxnSpPr>
          <xdr:cNvPr id="9065" name="Gerader Verbinder 9064">
            <a:extLst>
              <a:ext uri="{FF2B5EF4-FFF2-40B4-BE49-F238E27FC236}">
                <a16:creationId xmlns:a16="http://schemas.microsoft.com/office/drawing/2014/main" id="{6A9BD36A-3C50-52A9-EBB0-AD752113A83B}"/>
              </a:ext>
            </a:extLst>
          </xdr:cNvPr>
          <xdr:cNvCxnSpPr/>
        </xdr:nvCxnSpPr>
        <xdr:spPr>
          <a:xfrm>
            <a:off x="4015740" y="85344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066" name="Gerader Verbinder 9065">
            <a:extLst>
              <a:ext uri="{FF2B5EF4-FFF2-40B4-BE49-F238E27FC236}">
                <a16:creationId xmlns:a16="http://schemas.microsoft.com/office/drawing/2014/main" id="{090DB0C8-7819-78D0-BC06-003BF328C763}"/>
              </a:ext>
            </a:extLst>
          </xdr:cNvPr>
          <xdr:cNvCxnSpPr/>
        </xdr:nvCxnSpPr>
        <xdr:spPr>
          <a:xfrm flipH="1">
            <a:off x="4015740" y="85344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48</xdr:row>
      <xdr:rowOff>0</xdr:rowOff>
    </xdr:from>
    <xdr:to>
      <xdr:col>7</xdr:col>
      <xdr:colOff>0</xdr:colOff>
      <xdr:row>49</xdr:row>
      <xdr:rowOff>0</xdr:rowOff>
    </xdr:to>
    <xdr:grpSp>
      <xdr:nvGrpSpPr>
        <xdr:cNvPr id="9070" name="Cross_G49">
          <a:extLst>
            <a:ext uri="{FF2B5EF4-FFF2-40B4-BE49-F238E27FC236}">
              <a16:creationId xmlns:a16="http://schemas.microsoft.com/office/drawing/2014/main" id="{08B1188E-C7BB-D41A-77D9-F2EB1641CB30}"/>
            </a:ext>
          </a:extLst>
        </xdr:cNvPr>
        <xdr:cNvGrpSpPr/>
      </xdr:nvGrpSpPr>
      <xdr:grpSpPr>
        <a:xfrm>
          <a:off x="4015740" y="9265920"/>
          <a:ext cx="594360" cy="228600"/>
          <a:chOff x="4015740" y="9265920"/>
          <a:chExt cx="594360" cy="228600"/>
        </a:xfrm>
      </xdr:grpSpPr>
      <xdr:cxnSp macro="">
        <xdr:nvCxnSpPr>
          <xdr:cNvPr id="9068" name="Gerader Verbinder 9067">
            <a:extLst>
              <a:ext uri="{FF2B5EF4-FFF2-40B4-BE49-F238E27FC236}">
                <a16:creationId xmlns:a16="http://schemas.microsoft.com/office/drawing/2014/main" id="{701C9B39-46C2-4E4A-1C12-EA61B872B8C0}"/>
              </a:ext>
            </a:extLst>
          </xdr:cNvPr>
          <xdr:cNvCxnSpPr/>
        </xdr:nvCxnSpPr>
        <xdr:spPr>
          <a:xfrm>
            <a:off x="4015740" y="926592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069" name="Gerader Verbinder 9068">
            <a:extLst>
              <a:ext uri="{FF2B5EF4-FFF2-40B4-BE49-F238E27FC236}">
                <a16:creationId xmlns:a16="http://schemas.microsoft.com/office/drawing/2014/main" id="{7BC34650-F984-8856-F438-E5D201E56492}"/>
              </a:ext>
            </a:extLst>
          </xdr:cNvPr>
          <xdr:cNvCxnSpPr/>
        </xdr:nvCxnSpPr>
        <xdr:spPr>
          <a:xfrm flipH="1">
            <a:off x="4015740" y="926592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49</xdr:row>
      <xdr:rowOff>0</xdr:rowOff>
    </xdr:from>
    <xdr:to>
      <xdr:col>7</xdr:col>
      <xdr:colOff>0</xdr:colOff>
      <xdr:row>50</xdr:row>
      <xdr:rowOff>0</xdr:rowOff>
    </xdr:to>
    <xdr:grpSp>
      <xdr:nvGrpSpPr>
        <xdr:cNvPr id="9073" name="Cross_G50">
          <a:extLst>
            <a:ext uri="{FF2B5EF4-FFF2-40B4-BE49-F238E27FC236}">
              <a16:creationId xmlns:a16="http://schemas.microsoft.com/office/drawing/2014/main" id="{7CAF8A9C-1CB5-071F-41A8-64BD93BAF0DD}"/>
            </a:ext>
          </a:extLst>
        </xdr:cNvPr>
        <xdr:cNvGrpSpPr/>
      </xdr:nvGrpSpPr>
      <xdr:grpSpPr>
        <a:xfrm>
          <a:off x="4015740" y="9494520"/>
          <a:ext cx="594360" cy="167640"/>
          <a:chOff x="4015740" y="9494520"/>
          <a:chExt cx="594360" cy="167640"/>
        </a:xfrm>
      </xdr:grpSpPr>
      <xdr:cxnSp macro="">
        <xdr:nvCxnSpPr>
          <xdr:cNvPr id="9071" name="Gerader Verbinder 9070">
            <a:extLst>
              <a:ext uri="{FF2B5EF4-FFF2-40B4-BE49-F238E27FC236}">
                <a16:creationId xmlns:a16="http://schemas.microsoft.com/office/drawing/2014/main" id="{58341F91-5915-E2DC-C026-668F3D55049A}"/>
              </a:ext>
            </a:extLst>
          </xdr:cNvPr>
          <xdr:cNvCxnSpPr/>
        </xdr:nvCxnSpPr>
        <xdr:spPr>
          <a:xfrm>
            <a:off x="4015740" y="94945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072" name="Gerader Verbinder 9071">
            <a:extLst>
              <a:ext uri="{FF2B5EF4-FFF2-40B4-BE49-F238E27FC236}">
                <a16:creationId xmlns:a16="http://schemas.microsoft.com/office/drawing/2014/main" id="{3D61E8D6-ED90-79E2-7AB8-D3213F4A4F27}"/>
              </a:ext>
            </a:extLst>
          </xdr:cNvPr>
          <xdr:cNvCxnSpPr/>
        </xdr:nvCxnSpPr>
        <xdr:spPr>
          <a:xfrm flipH="1">
            <a:off x="4015740" y="94945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50</xdr:row>
      <xdr:rowOff>0</xdr:rowOff>
    </xdr:from>
    <xdr:to>
      <xdr:col>7</xdr:col>
      <xdr:colOff>0</xdr:colOff>
      <xdr:row>51</xdr:row>
      <xdr:rowOff>0</xdr:rowOff>
    </xdr:to>
    <xdr:grpSp>
      <xdr:nvGrpSpPr>
        <xdr:cNvPr id="9076" name="Cross_G51">
          <a:extLst>
            <a:ext uri="{FF2B5EF4-FFF2-40B4-BE49-F238E27FC236}">
              <a16:creationId xmlns:a16="http://schemas.microsoft.com/office/drawing/2014/main" id="{2C47C993-62C1-2920-1C6E-458EEBFB70A1}"/>
            </a:ext>
          </a:extLst>
        </xdr:cNvPr>
        <xdr:cNvGrpSpPr/>
      </xdr:nvGrpSpPr>
      <xdr:grpSpPr>
        <a:xfrm>
          <a:off x="4015740" y="9662160"/>
          <a:ext cx="594360" cy="167640"/>
          <a:chOff x="4015740" y="9662160"/>
          <a:chExt cx="594360" cy="167640"/>
        </a:xfrm>
      </xdr:grpSpPr>
      <xdr:cxnSp macro="">
        <xdr:nvCxnSpPr>
          <xdr:cNvPr id="9074" name="Gerader Verbinder 9073">
            <a:extLst>
              <a:ext uri="{FF2B5EF4-FFF2-40B4-BE49-F238E27FC236}">
                <a16:creationId xmlns:a16="http://schemas.microsoft.com/office/drawing/2014/main" id="{22A58210-1097-8174-7442-052DC5A182FC}"/>
              </a:ext>
            </a:extLst>
          </xdr:cNvPr>
          <xdr:cNvCxnSpPr/>
        </xdr:nvCxnSpPr>
        <xdr:spPr>
          <a:xfrm>
            <a:off x="4015740" y="96621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075" name="Gerader Verbinder 9074">
            <a:extLst>
              <a:ext uri="{FF2B5EF4-FFF2-40B4-BE49-F238E27FC236}">
                <a16:creationId xmlns:a16="http://schemas.microsoft.com/office/drawing/2014/main" id="{A4ACE6D8-A57D-89BD-921B-D11A8158A0D8}"/>
              </a:ext>
            </a:extLst>
          </xdr:cNvPr>
          <xdr:cNvCxnSpPr/>
        </xdr:nvCxnSpPr>
        <xdr:spPr>
          <a:xfrm flipH="1">
            <a:off x="4015740" y="96621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63</xdr:row>
      <xdr:rowOff>0</xdr:rowOff>
    </xdr:from>
    <xdr:to>
      <xdr:col>7</xdr:col>
      <xdr:colOff>0</xdr:colOff>
      <xdr:row>64</xdr:row>
      <xdr:rowOff>0</xdr:rowOff>
    </xdr:to>
    <xdr:grpSp>
      <xdr:nvGrpSpPr>
        <xdr:cNvPr id="9079" name="Cross_G64">
          <a:extLst>
            <a:ext uri="{FF2B5EF4-FFF2-40B4-BE49-F238E27FC236}">
              <a16:creationId xmlns:a16="http://schemas.microsoft.com/office/drawing/2014/main" id="{5410DB7C-B26C-2E4E-61CE-E1E908DE99B5}"/>
            </a:ext>
          </a:extLst>
        </xdr:cNvPr>
        <xdr:cNvGrpSpPr/>
      </xdr:nvGrpSpPr>
      <xdr:grpSpPr>
        <a:xfrm>
          <a:off x="4015740" y="12085320"/>
          <a:ext cx="594360" cy="228600"/>
          <a:chOff x="4015740" y="12085320"/>
          <a:chExt cx="594360" cy="228600"/>
        </a:xfrm>
      </xdr:grpSpPr>
      <xdr:cxnSp macro="">
        <xdr:nvCxnSpPr>
          <xdr:cNvPr id="9077" name="Gerader Verbinder 9076">
            <a:extLst>
              <a:ext uri="{FF2B5EF4-FFF2-40B4-BE49-F238E27FC236}">
                <a16:creationId xmlns:a16="http://schemas.microsoft.com/office/drawing/2014/main" id="{E7F3F9B9-9F9C-B6FD-43C0-ED4690A36083}"/>
              </a:ext>
            </a:extLst>
          </xdr:cNvPr>
          <xdr:cNvCxnSpPr/>
        </xdr:nvCxnSpPr>
        <xdr:spPr>
          <a:xfrm>
            <a:off x="4015740" y="1208532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078" name="Gerader Verbinder 9077">
            <a:extLst>
              <a:ext uri="{FF2B5EF4-FFF2-40B4-BE49-F238E27FC236}">
                <a16:creationId xmlns:a16="http://schemas.microsoft.com/office/drawing/2014/main" id="{6835646B-BB5F-193F-463F-7788B4E41F88}"/>
              </a:ext>
            </a:extLst>
          </xdr:cNvPr>
          <xdr:cNvCxnSpPr/>
        </xdr:nvCxnSpPr>
        <xdr:spPr>
          <a:xfrm flipH="1">
            <a:off x="4015740" y="1208532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64</xdr:row>
      <xdr:rowOff>0</xdr:rowOff>
    </xdr:from>
    <xdr:to>
      <xdr:col>7</xdr:col>
      <xdr:colOff>0</xdr:colOff>
      <xdr:row>65</xdr:row>
      <xdr:rowOff>0</xdr:rowOff>
    </xdr:to>
    <xdr:grpSp>
      <xdr:nvGrpSpPr>
        <xdr:cNvPr id="9082" name="Cross_G65">
          <a:extLst>
            <a:ext uri="{FF2B5EF4-FFF2-40B4-BE49-F238E27FC236}">
              <a16:creationId xmlns:a16="http://schemas.microsoft.com/office/drawing/2014/main" id="{BFD9D4E3-D509-D7B3-AB6E-9CA13A5801C1}"/>
            </a:ext>
          </a:extLst>
        </xdr:cNvPr>
        <xdr:cNvGrpSpPr/>
      </xdr:nvGrpSpPr>
      <xdr:grpSpPr>
        <a:xfrm>
          <a:off x="4015740" y="12313920"/>
          <a:ext cx="594360" cy="167640"/>
          <a:chOff x="4015740" y="12313920"/>
          <a:chExt cx="594360" cy="167640"/>
        </a:xfrm>
      </xdr:grpSpPr>
      <xdr:cxnSp macro="">
        <xdr:nvCxnSpPr>
          <xdr:cNvPr id="9080" name="Gerader Verbinder 9079">
            <a:extLst>
              <a:ext uri="{FF2B5EF4-FFF2-40B4-BE49-F238E27FC236}">
                <a16:creationId xmlns:a16="http://schemas.microsoft.com/office/drawing/2014/main" id="{95A9D461-724B-6ABD-2DCA-A67D4F524179}"/>
              </a:ext>
            </a:extLst>
          </xdr:cNvPr>
          <xdr:cNvCxnSpPr/>
        </xdr:nvCxnSpPr>
        <xdr:spPr>
          <a:xfrm>
            <a:off x="4015740" y="123139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081" name="Gerader Verbinder 9080">
            <a:extLst>
              <a:ext uri="{FF2B5EF4-FFF2-40B4-BE49-F238E27FC236}">
                <a16:creationId xmlns:a16="http://schemas.microsoft.com/office/drawing/2014/main" id="{9D70C205-1193-0466-2E49-7AF7CCDB5F3A}"/>
              </a:ext>
            </a:extLst>
          </xdr:cNvPr>
          <xdr:cNvCxnSpPr/>
        </xdr:nvCxnSpPr>
        <xdr:spPr>
          <a:xfrm flipH="1">
            <a:off x="4015740" y="123139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65</xdr:row>
      <xdr:rowOff>0</xdr:rowOff>
    </xdr:from>
    <xdr:to>
      <xdr:col>7</xdr:col>
      <xdr:colOff>0</xdr:colOff>
      <xdr:row>66</xdr:row>
      <xdr:rowOff>0</xdr:rowOff>
    </xdr:to>
    <xdr:grpSp>
      <xdr:nvGrpSpPr>
        <xdr:cNvPr id="9085" name="Cross_G66">
          <a:extLst>
            <a:ext uri="{FF2B5EF4-FFF2-40B4-BE49-F238E27FC236}">
              <a16:creationId xmlns:a16="http://schemas.microsoft.com/office/drawing/2014/main" id="{5ACB9ECD-3CE6-6B1C-B2BF-092AE2140332}"/>
            </a:ext>
          </a:extLst>
        </xdr:cNvPr>
        <xdr:cNvGrpSpPr/>
      </xdr:nvGrpSpPr>
      <xdr:grpSpPr>
        <a:xfrm>
          <a:off x="4015740" y="12481560"/>
          <a:ext cx="594360" cy="167640"/>
          <a:chOff x="4015740" y="12481560"/>
          <a:chExt cx="594360" cy="167640"/>
        </a:xfrm>
      </xdr:grpSpPr>
      <xdr:cxnSp macro="">
        <xdr:nvCxnSpPr>
          <xdr:cNvPr id="9083" name="Gerader Verbinder 9082">
            <a:extLst>
              <a:ext uri="{FF2B5EF4-FFF2-40B4-BE49-F238E27FC236}">
                <a16:creationId xmlns:a16="http://schemas.microsoft.com/office/drawing/2014/main" id="{AE529687-710F-B70B-26D2-15630C9DFA37}"/>
              </a:ext>
            </a:extLst>
          </xdr:cNvPr>
          <xdr:cNvCxnSpPr/>
        </xdr:nvCxnSpPr>
        <xdr:spPr>
          <a:xfrm>
            <a:off x="4015740" y="124815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084" name="Gerader Verbinder 9083">
            <a:extLst>
              <a:ext uri="{FF2B5EF4-FFF2-40B4-BE49-F238E27FC236}">
                <a16:creationId xmlns:a16="http://schemas.microsoft.com/office/drawing/2014/main" id="{2EE913BB-E8A7-624A-D264-467731F72746}"/>
              </a:ext>
            </a:extLst>
          </xdr:cNvPr>
          <xdr:cNvCxnSpPr/>
        </xdr:nvCxnSpPr>
        <xdr:spPr>
          <a:xfrm flipH="1">
            <a:off x="4015740" y="124815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66</xdr:row>
      <xdr:rowOff>0</xdr:rowOff>
    </xdr:from>
    <xdr:to>
      <xdr:col>7</xdr:col>
      <xdr:colOff>0</xdr:colOff>
      <xdr:row>67</xdr:row>
      <xdr:rowOff>0</xdr:rowOff>
    </xdr:to>
    <xdr:grpSp>
      <xdr:nvGrpSpPr>
        <xdr:cNvPr id="9088" name="Cross_G67">
          <a:extLst>
            <a:ext uri="{FF2B5EF4-FFF2-40B4-BE49-F238E27FC236}">
              <a16:creationId xmlns:a16="http://schemas.microsoft.com/office/drawing/2014/main" id="{4B984C8C-24E1-D8B2-E236-FDBDB2CEA28A}"/>
            </a:ext>
          </a:extLst>
        </xdr:cNvPr>
        <xdr:cNvGrpSpPr/>
      </xdr:nvGrpSpPr>
      <xdr:grpSpPr>
        <a:xfrm>
          <a:off x="4015740" y="12649200"/>
          <a:ext cx="594360" cy="228600"/>
          <a:chOff x="4015740" y="12649200"/>
          <a:chExt cx="594360" cy="228600"/>
        </a:xfrm>
      </xdr:grpSpPr>
      <xdr:cxnSp macro="">
        <xdr:nvCxnSpPr>
          <xdr:cNvPr id="9086" name="Gerader Verbinder 9085">
            <a:extLst>
              <a:ext uri="{FF2B5EF4-FFF2-40B4-BE49-F238E27FC236}">
                <a16:creationId xmlns:a16="http://schemas.microsoft.com/office/drawing/2014/main" id="{2B550742-2855-C2E2-567E-FC8E9EF51244}"/>
              </a:ext>
            </a:extLst>
          </xdr:cNvPr>
          <xdr:cNvCxnSpPr/>
        </xdr:nvCxnSpPr>
        <xdr:spPr>
          <a:xfrm>
            <a:off x="4015740" y="1264920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087" name="Gerader Verbinder 9086">
            <a:extLst>
              <a:ext uri="{FF2B5EF4-FFF2-40B4-BE49-F238E27FC236}">
                <a16:creationId xmlns:a16="http://schemas.microsoft.com/office/drawing/2014/main" id="{1D786340-7F99-2C04-1575-ECB60CE955A6}"/>
              </a:ext>
            </a:extLst>
          </xdr:cNvPr>
          <xdr:cNvCxnSpPr/>
        </xdr:nvCxnSpPr>
        <xdr:spPr>
          <a:xfrm flipH="1">
            <a:off x="4015740" y="1264920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67</xdr:row>
      <xdr:rowOff>0</xdr:rowOff>
    </xdr:from>
    <xdr:to>
      <xdr:col>7</xdr:col>
      <xdr:colOff>0</xdr:colOff>
      <xdr:row>67</xdr:row>
      <xdr:rowOff>167639</xdr:rowOff>
    </xdr:to>
    <xdr:grpSp>
      <xdr:nvGrpSpPr>
        <xdr:cNvPr id="9091" name="Cross_G68">
          <a:extLst>
            <a:ext uri="{FF2B5EF4-FFF2-40B4-BE49-F238E27FC236}">
              <a16:creationId xmlns:a16="http://schemas.microsoft.com/office/drawing/2014/main" id="{A44A016D-DC9F-E52F-5DDE-0CB087BD3755}"/>
            </a:ext>
          </a:extLst>
        </xdr:cNvPr>
        <xdr:cNvGrpSpPr/>
      </xdr:nvGrpSpPr>
      <xdr:grpSpPr>
        <a:xfrm>
          <a:off x="4015740" y="12877800"/>
          <a:ext cx="594360" cy="167639"/>
          <a:chOff x="4015740" y="12877800"/>
          <a:chExt cx="594360" cy="167639"/>
        </a:xfrm>
      </xdr:grpSpPr>
      <xdr:cxnSp macro="">
        <xdr:nvCxnSpPr>
          <xdr:cNvPr id="9089" name="Gerader Verbinder 9088">
            <a:extLst>
              <a:ext uri="{FF2B5EF4-FFF2-40B4-BE49-F238E27FC236}">
                <a16:creationId xmlns:a16="http://schemas.microsoft.com/office/drawing/2014/main" id="{EEE27FCA-F68A-BE82-E7BB-CC1B779D7E26}"/>
              </a:ext>
            </a:extLst>
          </xdr:cNvPr>
          <xdr:cNvCxnSpPr/>
        </xdr:nvCxnSpPr>
        <xdr:spPr>
          <a:xfrm>
            <a:off x="4015740" y="12877800"/>
            <a:ext cx="59436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090" name="Gerader Verbinder 9089">
            <a:extLst>
              <a:ext uri="{FF2B5EF4-FFF2-40B4-BE49-F238E27FC236}">
                <a16:creationId xmlns:a16="http://schemas.microsoft.com/office/drawing/2014/main" id="{560045D2-553D-BD47-FAD8-1BA8953EA108}"/>
              </a:ext>
            </a:extLst>
          </xdr:cNvPr>
          <xdr:cNvCxnSpPr/>
        </xdr:nvCxnSpPr>
        <xdr:spPr>
          <a:xfrm flipH="1">
            <a:off x="4015740" y="12877800"/>
            <a:ext cx="59436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67</xdr:row>
      <xdr:rowOff>167639</xdr:rowOff>
    </xdr:from>
    <xdr:to>
      <xdr:col>7</xdr:col>
      <xdr:colOff>0</xdr:colOff>
      <xdr:row>69</xdr:row>
      <xdr:rowOff>0</xdr:rowOff>
    </xdr:to>
    <xdr:grpSp>
      <xdr:nvGrpSpPr>
        <xdr:cNvPr id="9094" name="Cross_G69">
          <a:extLst>
            <a:ext uri="{FF2B5EF4-FFF2-40B4-BE49-F238E27FC236}">
              <a16:creationId xmlns:a16="http://schemas.microsoft.com/office/drawing/2014/main" id="{8E767690-F7BC-0AC3-1024-4121FE8F67C1}"/>
            </a:ext>
          </a:extLst>
        </xdr:cNvPr>
        <xdr:cNvGrpSpPr/>
      </xdr:nvGrpSpPr>
      <xdr:grpSpPr>
        <a:xfrm>
          <a:off x="4015740" y="13045439"/>
          <a:ext cx="594360" cy="167641"/>
          <a:chOff x="4015740" y="13045439"/>
          <a:chExt cx="594360" cy="167641"/>
        </a:xfrm>
      </xdr:grpSpPr>
      <xdr:cxnSp macro="">
        <xdr:nvCxnSpPr>
          <xdr:cNvPr id="9092" name="Gerader Verbinder 9091">
            <a:extLst>
              <a:ext uri="{FF2B5EF4-FFF2-40B4-BE49-F238E27FC236}">
                <a16:creationId xmlns:a16="http://schemas.microsoft.com/office/drawing/2014/main" id="{5744610F-6380-A425-4384-E2C33BDADD4E}"/>
              </a:ext>
            </a:extLst>
          </xdr:cNvPr>
          <xdr:cNvCxnSpPr/>
        </xdr:nvCxnSpPr>
        <xdr:spPr>
          <a:xfrm>
            <a:off x="4015740" y="13045439"/>
            <a:ext cx="594360" cy="167641"/>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093" name="Gerader Verbinder 9092">
            <a:extLst>
              <a:ext uri="{FF2B5EF4-FFF2-40B4-BE49-F238E27FC236}">
                <a16:creationId xmlns:a16="http://schemas.microsoft.com/office/drawing/2014/main" id="{A3311B4E-0868-517C-7074-9443B34E3F93}"/>
              </a:ext>
            </a:extLst>
          </xdr:cNvPr>
          <xdr:cNvCxnSpPr/>
        </xdr:nvCxnSpPr>
        <xdr:spPr>
          <a:xfrm flipH="1">
            <a:off x="4015740" y="13045439"/>
            <a:ext cx="594360" cy="167641"/>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69</xdr:row>
      <xdr:rowOff>0</xdr:rowOff>
    </xdr:from>
    <xdr:to>
      <xdr:col>7</xdr:col>
      <xdr:colOff>0</xdr:colOff>
      <xdr:row>70</xdr:row>
      <xdr:rowOff>0</xdr:rowOff>
    </xdr:to>
    <xdr:grpSp>
      <xdr:nvGrpSpPr>
        <xdr:cNvPr id="9097" name="Cross_G70">
          <a:extLst>
            <a:ext uri="{FF2B5EF4-FFF2-40B4-BE49-F238E27FC236}">
              <a16:creationId xmlns:a16="http://schemas.microsoft.com/office/drawing/2014/main" id="{251CBF60-99A1-740C-7678-0AF8438A0AC6}"/>
            </a:ext>
          </a:extLst>
        </xdr:cNvPr>
        <xdr:cNvGrpSpPr/>
      </xdr:nvGrpSpPr>
      <xdr:grpSpPr>
        <a:xfrm>
          <a:off x="4015740" y="13213080"/>
          <a:ext cx="594360" cy="228600"/>
          <a:chOff x="4015740" y="13213080"/>
          <a:chExt cx="594360" cy="228600"/>
        </a:xfrm>
      </xdr:grpSpPr>
      <xdr:cxnSp macro="">
        <xdr:nvCxnSpPr>
          <xdr:cNvPr id="9095" name="Gerader Verbinder 9094">
            <a:extLst>
              <a:ext uri="{FF2B5EF4-FFF2-40B4-BE49-F238E27FC236}">
                <a16:creationId xmlns:a16="http://schemas.microsoft.com/office/drawing/2014/main" id="{CE932569-0FEC-2FED-689B-586C46DCE939}"/>
              </a:ext>
            </a:extLst>
          </xdr:cNvPr>
          <xdr:cNvCxnSpPr/>
        </xdr:nvCxnSpPr>
        <xdr:spPr>
          <a:xfrm>
            <a:off x="4015740" y="132130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096" name="Gerader Verbinder 9095">
            <a:extLst>
              <a:ext uri="{FF2B5EF4-FFF2-40B4-BE49-F238E27FC236}">
                <a16:creationId xmlns:a16="http://schemas.microsoft.com/office/drawing/2014/main" id="{C0323158-7433-2E2D-8625-FA60787F4BDB}"/>
              </a:ext>
            </a:extLst>
          </xdr:cNvPr>
          <xdr:cNvCxnSpPr/>
        </xdr:nvCxnSpPr>
        <xdr:spPr>
          <a:xfrm flipH="1">
            <a:off x="4015740" y="132130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70</xdr:row>
      <xdr:rowOff>0</xdr:rowOff>
    </xdr:from>
    <xdr:to>
      <xdr:col>7</xdr:col>
      <xdr:colOff>0</xdr:colOff>
      <xdr:row>71</xdr:row>
      <xdr:rowOff>0</xdr:rowOff>
    </xdr:to>
    <xdr:grpSp>
      <xdr:nvGrpSpPr>
        <xdr:cNvPr id="9100" name="Cross_G71">
          <a:extLst>
            <a:ext uri="{FF2B5EF4-FFF2-40B4-BE49-F238E27FC236}">
              <a16:creationId xmlns:a16="http://schemas.microsoft.com/office/drawing/2014/main" id="{C99BFD4B-12BD-D668-0266-5BB41790D523}"/>
            </a:ext>
          </a:extLst>
        </xdr:cNvPr>
        <xdr:cNvGrpSpPr/>
      </xdr:nvGrpSpPr>
      <xdr:grpSpPr>
        <a:xfrm>
          <a:off x="4015740" y="13441680"/>
          <a:ext cx="594360" cy="167640"/>
          <a:chOff x="4015740" y="13441680"/>
          <a:chExt cx="594360" cy="167640"/>
        </a:xfrm>
      </xdr:grpSpPr>
      <xdr:cxnSp macro="">
        <xdr:nvCxnSpPr>
          <xdr:cNvPr id="9098" name="Gerader Verbinder 9097">
            <a:extLst>
              <a:ext uri="{FF2B5EF4-FFF2-40B4-BE49-F238E27FC236}">
                <a16:creationId xmlns:a16="http://schemas.microsoft.com/office/drawing/2014/main" id="{3F65A661-F628-CD22-0580-1D4110C8CB48}"/>
              </a:ext>
            </a:extLst>
          </xdr:cNvPr>
          <xdr:cNvCxnSpPr/>
        </xdr:nvCxnSpPr>
        <xdr:spPr>
          <a:xfrm>
            <a:off x="4015740" y="134416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099" name="Gerader Verbinder 9098">
            <a:extLst>
              <a:ext uri="{FF2B5EF4-FFF2-40B4-BE49-F238E27FC236}">
                <a16:creationId xmlns:a16="http://schemas.microsoft.com/office/drawing/2014/main" id="{9AC39803-D10A-BA19-6935-8D50DCCC9276}"/>
              </a:ext>
            </a:extLst>
          </xdr:cNvPr>
          <xdr:cNvCxnSpPr/>
        </xdr:nvCxnSpPr>
        <xdr:spPr>
          <a:xfrm flipH="1">
            <a:off x="4015740" y="134416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71</xdr:row>
      <xdr:rowOff>0</xdr:rowOff>
    </xdr:from>
    <xdr:to>
      <xdr:col>7</xdr:col>
      <xdr:colOff>0</xdr:colOff>
      <xdr:row>72</xdr:row>
      <xdr:rowOff>1</xdr:rowOff>
    </xdr:to>
    <xdr:grpSp>
      <xdr:nvGrpSpPr>
        <xdr:cNvPr id="9103" name="Cross_G72">
          <a:extLst>
            <a:ext uri="{FF2B5EF4-FFF2-40B4-BE49-F238E27FC236}">
              <a16:creationId xmlns:a16="http://schemas.microsoft.com/office/drawing/2014/main" id="{9551F188-9E89-191B-55F6-F014B50032C1}"/>
            </a:ext>
          </a:extLst>
        </xdr:cNvPr>
        <xdr:cNvGrpSpPr/>
      </xdr:nvGrpSpPr>
      <xdr:grpSpPr>
        <a:xfrm>
          <a:off x="4015740" y="13609320"/>
          <a:ext cx="594360" cy="167641"/>
          <a:chOff x="4015740" y="13609320"/>
          <a:chExt cx="594360" cy="167641"/>
        </a:xfrm>
      </xdr:grpSpPr>
      <xdr:cxnSp macro="">
        <xdr:nvCxnSpPr>
          <xdr:cNvPr id="9101" name="Gerader Verbinder 9100">
            <a:extLst>
              <a:ext uri="{FF2B5EF4-FFF2-40B4-BE49-F238E27FC236}">
                <a16:creationId xmlns:a16="http://schemas.microsoft.com/office/drawing/2014/main" id="{F683A668-E374-B72D-EF37-CE7B6AFA5897}"/>
              </a:ext>
            </a:extLst>
          </xdr:cNvPr>
          <xdr:cNvCxnSpPr/>
        </xdr:nvCxnSpPr>
        <xdr:spPr>
          <a:xfrm>
            <a:off x="4015740" y="13609320"/>
            <a:ext cx="594360" cy="167641"/>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102" name="Gerader Verbinder 9101">
            <a:extLst>
              <a:ext uri="{FF2B5EF4-FFF2-40B4-BE49-F238E27FC236}">
                <a16:creationId xmlns:a16="http://schemas.microsoft.com/office/drawing/2014/main" id="{E2271E28-A39D-91B7-1A4E-5B6716C39C02}"/>
              </a:ext>
            </a:extLst>
          </xdr:cNvPr>
          <xdr:cNvCxnSpPr/>
        </xdr:nvCxnSpPr>
        <xdr:spPr>
          <a:xfrm flipH="1">
            <a:off x="4015740" y="13609320"/>
            <a:ext cx="594360" cy="167641"/>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6</xdr:row>
      <xdr:rowOff>0</xdr:rowOff>
    </xdr:from>
    <xdr:to>
      <xdr:col>8</xdr:col>
      <xdr:colOff>0</xdr:colOff>
      <xdr:row>7</xdr:row>
      <xdr:rowOff>0</xdr:rowOff>
    </xdr:to>
    <xdr:grpSp>
      <xdr:nvGrpSpPr>
        <xdr:cNvPr id="9106" name="Cross_H7">
          <a:extLst>
            <a:ext uri="{FF2B5EF4-FFF2-40B4-BE49-F238E27FC236}">
              <a16:creationId xmlns:a16="http://schemas.microsoft.com/office/drawing/2014/main" id="{07DDB268-AA58-0342-BAE2-F997BF01F2B6}"/>
            </a:ext>
          </a:extLst>
        </xdr:cNvPr>
        <xdr:cNvGrpSpPr/>
      </xdr:nvGrpSpPr>
      <xdr:grpSpPr>
        <a:xfrm>
          <a:off x="4610100" y="1371600"/>
          <a:ext cx="594360" cy="228600"/>
          <a:chOff x="4610100" y="1371600"/>
          <a:chExt cx="594360" cy="228600"/>
        </a:xfrm>
      </xdr:grpSpPr>
      <xdr:cxnSp macro="">
        <xdr:nvCxnSpPr>
          <xdr:cNvPr id="9104" name="Gerader Verbinder 9103">
            <a:extLst>
              <a:ext uri="{FF2B5EF4-FFF2-40B4-BE49-F238E27FC236}">
                <a16:creationId xmlns:a16="http://schemas.microsoft.com/office/drawing/2014/main" id="{3C5F2663-BCCC-0EF9-AB6A-1AFAE9FC17DB}"/>
              </a:ext>
            </a:extLst>
          </xdr:cNvPr>
          <xdr:cNvCxnSpPr/>
        </xdr:nvCxnSpPr>
        <xdr:spPr>
          <a:xfrm>
            <a:off x="4610100" y="137160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105" name="Gerader Verbinder 9104">
            <a:extLst>
              <a:ext uri="{FF2B5EF4-FFF2-40B4-BE49-F238E27FC236}">
                <a16:creationId xmlns:a16="http://schemas.microsoft.com/office/drawing/2014/main" id="{5F025665-9DEE-E642-5FAB-26A97ACB0456}"/>
              </a:ext>
            </a:extLst>
          </xdr:cNvPr>
          <xdr:cNvCxnSpPr/>
        </xdr:nvCxnSpPr>
        <xdr:spPr>
          <a:xfrm flipH="1">
            <a:off x="4610100" y="137160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7</xdr:row>
      <xdr:rowOff>0</xdr:rowOff>
    </xdr:from>
    <xdr:to>
      <xdr:col>8</xdr:col>
      <xdr:colOff>0</xdr:colOff>
      <xdr:row>8</xdr:row>
      <xdr:rowOff>0</xdr:rowOff>
    </xdr:to>
    <xdr:grpSp>
      <xdr:nvGrpSpPr>
        <xdr:cNvPr id="9109" name="Cross_H8">
          <a:extLst>
            <a:ext uri="{FF2B5EF4-FFF2-40B4-BE49-F238E27FC236}">
              <a16:creationId xmlns:a16="http://schemas.microsoft.com/office/drawing/2014/main" id="{4FCD8FD8-65D1-6D6E-4F85-E97C30BAD21A}"/>
            </a:ext>
          </a:extLst>
        </xdr:cNvPr>
        <xdr:cNvGrpSpPr/>
      </xdr:nvGrpSpPr>
      <xdr:grpSpPr>
        <a:xfrm>
          <a:off x="4610100" y="1600200"/>
          <a:ext cx="594360" cy="167640"/>
          <a:chOff x="4610100" y="1600200"/>
          <a:chExt cx="594360" cy="167640"/>
        </a:xfrm>
      </xdr:grpSpPr>
      <xdr:cxnSp macro="">
        <xdr:nvCxnSpPr>
          <xdr:cNvPr id="9107" name="Gerader Verbinder 9106">
            <a:extLst>
              <a:ext uri="{FF2B5EF4-FFF2-40B4-BE49-F238E27FC236}">
                <a16:creationId xmlns:a16="http://schemas.microsoft.com/office/drawing/2014/main" id="{CAB7A94C-786A-E706-214A-CC834BD95505}"/>
              </a:ext>
            </a:extLst>
          </xdr:cNvPr>
          <xdr:cNvCxnSpPr/>
        </xdr:nvCxnSpPr>
        <xdr:spPr>
          <a:xfrm>
            <a:off x="4610100" y="16002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108" name="Gerader Verbinder 9107">
            <a:extLst>
              <a:ext uri="{FF2B5EF4-FFF2-40B4-BE49-F238E27FC236}">
                <a16:creationId xmlns:a16="http://schemas.microsoft.com/office/drawing/2014/main" id="{2691CC30-6C4A-EA44-E2F9-28EB4E21F946}"/>
              </a:ext>
            </a:extLst>
          </xdr:cNvPr>
          <xdr:cNvCxnSpPr/>
        </xdr:nvCxnSpPr>
        <xdr:spPr>
          <a:xfrm flipH="1">
            <a:off x="4610100" y="16002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8</xdr:row>
      <xdr:rowOff>0</xdr:rowOff>
    </xdr:from>
    <xdr:to>
      <xdr:col>8</xdr:col>
      <xdr:colOff>0</xdr:colOff>
      <xdr:row>9</xdr:row>
      <xdr:rowOff>0</xdr:rowOff>
    </xdr:to>
    <xdr:grpSp>
      <xdr:nvGrpSpPr>
        <xdr:cNvPr id="9112" name="Cross_H9">
          <a:extLst>
            <a:ext uri="{FF2B5EF4-FFF2-40B4-BE49-F238E27FC236}">
              <a16:creationId xmlns:a16="http://schemas.microsoft.com/office/drawing/2014/main" id="{C9323890-F3DE-7C47-61F3-BECB3B3CBF17}"/>
            </a:ext>
          </a:extLst>
        </xdr:cNvPr>
        <xdr:cNvGrpSpPr/>
      </xdr:nvGrpSpPr>
      <xdr:grpSpPr>
        <a:xfrm>
          <a:off x="4610100" y="1767840"/>
          <a:ext cx="594360" cy="167640"/>
          <a:chOff x="4610100" y="1767840"/>
          <a:chExt cx="594360" cy="167640"/>
        </a:xfrm>
      </xdr:grpSpPr>
      <xdr:cxnSp macro="">
        <xdr:nvCxnSpPr>
          <xdr:cNvPr id="9110" name="Gerader Verbinder 9109">
            <a:extLst>
              <a:ext uri="{FF2B5EF4-FFF2-40B4-BE49-F238E27FC236}">
                <a16:creationId xmlns:a16="http://schemas.microsoft.com/office/drawing/2014/main" id="{879FC018-75FA-E9C4-FC49-D229BAD0EB0A}"/>
              </a:ext>
            </a:extLst>
          </xdr:cNvPr>
          <xdr:cNvCxnSpPr/>
        </xdr:nvCxnSpPr>
        <xdr:spPr>
          <a:xfrm>
            <a:off x="4610100" y="17678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111" name="Gerader Verbinder 9110">
            <a:extLst>
              <a:ext uri="{FF2B5EF4-FFF2-40B4-BE49-F238E27FC236}">
                <a16:creationId xmlns:a16="http://schemas.microsoft.com/office/drawing/2014/main" id="{C58B251B-1394-0F96-789C-C2981B2DA339}"/>
              </a:ext>
            </a:extLst>
          </xdr:cNvPr>
          <xdr:cNvCxnSpPr/>
        </xdr:nvCxnSpPr>
        <xdr:spPr>
          <a:xfrm flipH="1">
            <a:off x="4610100" y="17678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9</xdr:row>
      <xdr:rowOff>0</xdr:rowOff>
    </xdr:from>
    <xdr:to>
      <xdr:col>8</xdr:col>
      <xdr:colOff>0</xdr:colOff>
      <xdr:row>10</xdr:row>
      <xdr:rowOff>0</xdr:rowOff>
    </xdr:to>
    <xdr:grpSp>
      <xdr:nvGrpSpPr>
        <xdr:cNvPr id="9115" name="Cross_H10">
          <a:extLst>
            <a:ext uri="{FF2B5EF4-FFF2-40B4-BE49-F238E27FC236}">
              <a16:creationId xmlns:a16="http://schemas.microsoft.com/office/drawing/2014/main" id="{C22FDE34-B325-A464-D72A-6B5E29551FB3}"/>
            </a:ext>
          </a:extLst>
        </xdr:cNvPr>
        <xdr:cNvGrpSpPr/>
      </xdr:nvGrpSpPr>
      <xdr:grpSpPr>
        <a:xfrm>
          <a:off x="4610100" y="1935480"/>
          <a:ext cx="594360" cy="228600"/>
          <a:chOff x="4610100" y="1935480"/>
          <a:chExt cx="594360" cy="228600"/>
        </a:xfrm>
      </xdr:grpSpPr>
      <xdr:cxnSp macro="">
        <xdr:nvCxnSpPr>
          <xdr:cNvPr id="9113" name="Gerader Verbinder 9112">
            <a:extLst>
              <a:ext uri="{FF2B5EF4-FFF2-40B4-BE49-F238E27FC236}">
                <a16:creationId xmlns:a16="http://schemas.microsoft.com/office/drawing/2014/main" id="{6F950CFE-2D24-0AC6-002E-46CA493AF933}"/>
              </a:ext>
            </a:extLst>
          </xdr:cNvPr>
          <xdr:cNvCxnSpPr/>
        </xdr:nvCxnSpPr>
        <xdr:spPr>
          <a:xfrm>
            <a:off x="4610100" y="19354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114" name="Gerader Verbinder 9113">
            <a:extLst>
              <a:ext uri="{FF2B5EF4-FFF2-40B4-BE49-F238E27FC236}">
                <a16:creationId xmlns:a16="http://schemas.microsoft.com/office/drawing/2014/main" id="{B72C3A39-69A5-0846-CF9F-3738E050B8DC}"/>
              </a:ext>
            </a:extLst>
          </xdr:cNvPr>
          <xdr:cNvCxnSpPr/>
        </xdr:nvCxnSpPr>
        <xdr:spPr>
          <a:xfrm flipH="1">
            <a:off x="4610100" y="19354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10</xdr:row>
      <xdr:rowOff>0</xdr:rowOff>
    </xdr:from>
    <xdr:to>
      <xdr:col>8</xdr:col>
      <xdr:colOff>0</xdr:colOff>
      <xdr:row>11</xdr:row>
      <xdr:rowOff>0</xdr:rowOff>
    </xdr:to>
    <xdr:grpSp>
      <xdr:nvGrpSpPr>
        <xdr:cNvPr id="9118" name="Cross_H11">
          <a:extLst>
            <a:ext uri="{FF2B5EF4-FFF2-40B4-BE49-F238E27FC236}">
              <a16:creationId xmlns:a16="http://schemas.microsoft.com/office/drawing/2014/main" id="{0A128645-8445-0027-F84D-CCF9A3967276}"/>
            </a:ext>
          </a:extLst>
        </xdr:cNvPr>
        <xdr:cNvGrpSpPr/>
      </xdr:nvGrpSpPr>
      <xdr:grpSpPr>
        <a:xfrm>
          <a:off x="4610100" y="2164080"/>
          <a:ext cx="594360" cy="167640"/>
          <a:chOff x="4610100" y="2164080"/>
          <a:chExt cx="594360" cy="167640"/>
        </a:xfrm>
      </xdr:grpSpPr>
      <xdr:cxnSp macro="">
        <xdr:nvCxnSpPr>
          <xdr:cNvPr id="9116" name="Gerader Verbinder 9115">
            <a:extLst>
              <a:ext uri="{FF2B5EF4-FFF2-40B4-BE49-F238E27FC236}">
                <a16:creationId xmlns:a16="http://schemas.microsoft.com/office/drawing/2014/main" id="{BC38A4F2-F47F-C559-816C-9A8DA4C058E1}"/>
              </a:ext>
            </a:extLst>
          </xdr:cNvPr>
          <xdr:cNvCxnSpPr/>
        </xdr:nvCxnSpPr>
        <xdr:spPr>
          <a:xfrm>
            <a:off x="4610100" y="21640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117" name="Gerader Verbinder 9116">
            <a:extLst>
              <a:ext uri="{FF2B5EF4-FFF2-40B4-BE49-F238E27FC236}">
                <a16:creationId xmlns:a16="http://schemas.microsoft.com/office/drawing/2014/main" id="{6D0F1B16-4610-5771-6253-BE6D0F29B34D}"/>
              </a:ext>
            </a:extLst>
          </xdr:cNvPr>
          <xdr:cNvCxnSpPr/>
        </xdr:nvCxnSpPr>
        <xdr:spPr>
          <a:xfrm flipH="1">
            <a:off x="4610100" y="21640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11</xdr:row>
      <xdr:rowOff>0</xdr:rowOff>
    </xdr:from>
    <xdr:to>
      <xdr:col>8</xdr:col>
      <xdr:colOff>0</xdr:colOff>
      <xdr:row>12</xdr:row>
      <xdr:rowOff>0</xdr:rowOff>
    </xdr:to>
    <xdr:grpSp>
      <xdr:nvGrpSpPr>
        <xdr:cNvPr id="9121" name="Cross_H12">
          <a:extLst>
            <a:ext uri="{FF2B5EF4-FFF2-40B4-BE49-F238E27FC236}">
              <a16:creationId xmlns:a16="http://schemas.microsoft.com/office/drawing/2014/main" id="{2A7BAC26-2E3C-F0DC-32F9-DADE0ED650D1}"/>
            </a:ext>
          </a:extLst>
        </xdr:cNvPr>
        <xdr:cNvGrpSpPr/>
      </xdr:nvGrpSpPr>
      <xdr:grpSpPr>
        <a:xfrm>
          <a:off x="4610100" y="2331720"/>
          <a:ext cx="594360" cy="167640"/>
          <a:chOff x="4610100" y="2331720"/>
          <a:chExt cx="594360" cy="167640"/>
        </a:xfrm>
      </xdr:grpSpPr>
      <xdr:cxnSp macro="">
        <xdr:nvCxnSpPr>
          <xdr:cNvPr id="9119" name="Gerader Verbinder 9118">
            <a:extLst>
              <a:ext uri="{FF2B5EF4-FFF2-40B4-BE49-F238E27FC236}">
                <a16:creationId xmlns:a16="http://schemas.microsoft.com/office/drawing/2014/main" id="{88CFEC2A-7505-5BBD-BC96-5F54A0AF94E1}"/>
              </a:ext>
            </a:extLst>
          </xdr:cNvPr>
          <xdr:cNvCxnSpPr/>
        </xdr:nvCxnSpPr>
        <xdr:spPr>
          <a:xfrm>
            <a:off x="4610100" y="23317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120" name="Gerader Verbinder 9119">
            <a:extLst>
              <a:ext uri="{FF2B5EF4-FFF2-40B4-BE49-F238E27FC236}">
                <a16:creationId xmlns:a16="http://schemas.microsoft.com/office/drawing/2014/main" id="{F7A05EAD-312C-BCF5-280A-A7C5042A6B09}"/>
              </a:ext>
            </a:extLst>
          </xdr:cNvPr>
          <xdr:cNvCxnSpPr/>
        </xdr:nvCxnSpPr>
        <xdr:spPr>
          <a:xfrm flipH="1">
            <a:off x="4610100" y="23317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15</xdr:row>
      <xdr:rowOff>0</xdr:rowOff>
    </xdr:from>
    <xdr:to>
      <xdr:col>8</xdr:col>
      <xdr:colOff>0</xdr:colOff>
      <xdr:row>16</xdr:row>
      <xdr:rowOff>0</xdr:rowOff>
    </xdr:to>
    <xdr:grpSp>
      <xdr:nvGrpSpPr>
        <xdr:cNvPr id="9124" name="Cross_H16">
          <a:extLst>
            <a:ext uri="{FF2B5EF4-FFF2-40B4-BE49-F238E27FC236}">
              <a16:creationId xmlns:a16="http://schemas.microsoft.com/office/drawing/2014/main" id="{5202EB2C-263F-EE8B-FBD1-20EF56E87307}"/>
            </a:ext>
          </a:extLst>
        </xdr:cNvPr>
        <xdr:cNvGrpSpPr/>
      </xdr:nvGrpSpPr>
      <xdr:grpSpPr>
        <a:xfrm>
          <a:off x="4610100" y="3063240"/>
          <a:ext cx="594360" cy="228600"/>
          <a:chOff x="4610100" y="3063240"/>
          <a:chExt cx="594360" cy="228600"/>
        </a:xfrm>
      </xdr:grpSpPr>
      <xdr:cxnSp macro="">
        <xdr:nvCxnSpPr>
          <xdr:cNvPr id="9122" name="Gerader Verbinder 9121">
            <a:extLst>
              <a:ext uri="{FF2B5EF4-FFF2-40B4-BE49-F238E27FC236}">
                <a16:creationId xmlns:a16="http://schemas.microsoft.com/office/drawing/2014/main" id="{2089668E-4677-B16D-6D7D-312FDB2B8726}"/>
              </a:ext>
            </a:extLst>
          </xdr:cNvPr>
          <xdr:cNvCxnSpPr/>
        </xdr:nvCxnSpPr>
        <xdr:spPr>
          <a:xfrm>
            <a:off x="4610100" y="306324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123" name="Gerader Verbinder 9122">
            <a:extLst>
              <a:ext uri="{FF2B5EF4-FFF2-40B4-BE49-F238E27FC236}">
                <a16:creationId xmlns:a16="http://schemas.microsoft.com/office/drawing/2014/main" id="{3B1E6DBB-055F-BF5D-7FBF-219DC5B050F6}"/>
              </a:ext>
            </a:extLst>
          </xdr:cNvPr>
          <xdr:cNvCxnSpPr/>
        </xdr:nvCxnSpPr>
        <xdr:spPr>
          <a:xfrm flipH="1">
            <a:off x="4610100" y="306324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16</xdr:row>
      <xdr:rowOff>0</xdr:rowOff>
    </xdr:from>
    <xdr:to>
      <xdr:col>8</xdr:col>
      <xdr:colOff>0</xdr:colOff>
      <xdr:row>17</xdr:row>
      <xdr:rowOff>0</xdr:rowOff>
    </xdr:to>
    <xdr:grpSp>
      <xdr:nvGrpSpPr>
        <xdr:cNvPr id="9127" name="Cross_H17">
          <a:extLst>
            <a:ext uri="{FF2B5EF4-FFF2-40B4-BE49-F238E27FC236}">
              <a16:creationId xmlns:a16="http://schemas.microsoft.com/office/drawing/2014/main" id="{625382F8-73E7-4101-4B6B-8616E8665BEA}"/>
            </a:ext>
          </a:extLst>
        </xdr:cNvPr>
        <xdr:cNvGrpSpPr/>
      </xdr:nvGrpSpPr>
      <xdr:grpSpPr>
        <a:xfrm>
          <a:off x="4610100" y="3291840"/>
          <a:ext cx="594360" cy="167640"/>
          <a:chOff x="4610100" y="3291840"/>
          <a:chExt cx="594360" cy="167640"/>
        </a:xfrm>
      </xdr:grpSpPr>
      <xdr:cxnSp macro="">
        <xdr:nvCxnSpPr>
          <xdr:cNvPr id="9125" name="Gerader Verbinder 9124">
            <a:extLst>
              <a:ext uri="{FF2B5EF4-FFF2-40B4-BE49-F238E27FC236}">
                <a16:creationId xmlns:a16="http://schemas.microsoft.com/office/drawing/2014/main" id="{2CF18326-81EE-2A60-8CF0-ADE15CBD82E5}"/>
              </a:ext>
            </a:extLst>
          </xdr:cNvPr>
          <xdr:cNvCxnSpPr/>
        </xdr:nvCxnSpPr>
        <xdr:spPr>
          <a:xfrm>
            <a:off x="4610100" y="32918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126" name="Gerader Verbinder 9125">
            <a:extLst>
              <a:ext uri="{FF2B5EF4-FFF2-40B4-BE49-F238E27FC236}">
                <a16:creationId xmlns:a16="http://schemas.microsoft.com/office/drawing/2014/main" id="{EB14EC3E-9EF9-0C92-AF4F-2CC95A902C73}"/>
              </a:ext>
            </a:extLst>
          </xdr:cNvPr>
          <xdr:cNvCxnSpPr/>
        </xdr:nvCxnSpPr>
        <xdr:spPr>
          <a:xfrm flipH="1">
            <a:off x="4610100" y="32918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17</xdr:row>
      <xdr:rowOff>0</xdr:rowOff>
    </xdr:from>
    <xdr:to>
      <xdr:col>8</xdr:col>
      <xdr:colOff>0</xdr:colOff>
      <xdr:row>18</xdr:row>
      <xdr:rowOff>0</xdr:rowOff>
    </xdr:to>
    <xdr:grpSp>
      <xdr:nvGrpSpPr>
        <xdr:cNvPr id="9130" name="Cross_H18">
          <a:extLst>
            <a:ext uri="{FF2B5EF4-FFF2-40B4-BE49-F238E27FC236}">
              <a16:creationId xmlns:a16="http://schemas.microsoft.com/office/drawing/2014/main" id="{8A37EFC2-FC5A-A7F1-3D17-31F6EC52DA62}"/>
            </a:ext>
          </a:extLst>
        </xdr:cNvPr>
        <xdr:cNvGrpSpPr/>
      </xdr:nvGrpSpPr>
      <xdr:grpSpPr>
        <a:xfrm>
          <a:off x="4610100" y="3459480"/>
          <a:ext cx="594360" cy="167640"/>
          <a:chOff x="4610100" y="3459480"/>
          <a:chExt cx="594360" cy="167640"/>
        </a:xfrm>
      </xdr:grpSpPr>
      <xdr:cxnSp macro="">
        <xdr:nvCxnSpPr>
          <xdr:cNvPr id="9128" name="Gerader Verbinder 9127">
            <a:extLst>
              <a:ext uri="{FF2B5EF4-FFF2-40B4-BE49-F238E27FC236}">
                <a16:creationId xmlns:a16="http://schemas.microsoft.com/office/drawing/2014/main" id="{1FD7D2EF-AD65-5CB4-E2D3-2458A1DFB103}"/>
              </a:ext>
            </a:extLst>
          </xdr:cNvPr>
          <xdr:cNvCxnSpPr/>
        </xdr:nvCxnSpPr>
        <xdr:spPr>
          <a:xfrm>
            <a:off x="4610100" y="34594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129" name="Gerader Verbinder 9128">
            <a:extLst>
              <a:ext uri="{FF2B5EF4-FFF2-40B4-BE49-F238E27FC236}">
                <a16:creationId xmlns:a16="http://schemas.microsoft.com/office/drawing/2014/main" id="{3F86F29B-D9DB-D0C5-9988-6EEF4366A6BC}"/>
              </a:ext>
            </a:extLst>
          </xdr:cNvPr>
          <xdr:cNvCxnSpPr/>
        </xdr:nvCxnSpPr>
        <xdr:spPr>
          <a:xfrm flipH="1">
            <a:off x="4610100" y="34594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18</xdr:row>
      <xdr:rowOff>0</xdr:rowOff>
    </xdr:from>
    <xdr:to>
      <xdr:col>8</xdr:col>
      <xdr:colOff>0</xdr:colOff>
      <xdr:row>19</xdr:row>
      <xdr:rowOff>0</xdr:rowOff>
    </xdr:to>
    <xdr:grpSp>
      <xdr:nvGrpSpPr>
        <xdr:cNvPr id="9133" name="Cross_H19">
          <a:extLst>
            <a:ext uri="{FF2B5EF4-FFF2-40B4-BE49-F238E27FC236}">
              <a16:creationId xmlns:a16="http://schemas.microsoft.com/office/drawing/2014/main" id="{E83279CF-1F06-77A2-4E67-0AEB0CFA32E4}"/>
            </a:ext>
          </a:extLst>
        </xdr:cNvPr>
        <xdr:cNvGrpSpPr/>
      </xdr:nvGrpSpPr>
      <xdr:grpSpPr>
        <a:xfrm>
          <a:off x="4610100" y="3627120"/>
          <a:ext cx="594360" cy="228600"/>
          <a:chOff x="4610100" y="3627120"/>
          <a:chExt cx="594360" cy="228600"/>
        </a:xfrm>
      </xdr:grpSpPr>
      <xdr:cxnSp macro="">
        <xdr:nvCxnSpPr>
          <xdr:cNvPr id="9131" name="Gerader Verbinder 9130">
            <a:extLst>
              <a:ext uri="{FF2B5EF4-FFF2-40B4-BE49-F238E27FC236}">
                <a16:creationId xmlns:a16="http://schemas.microsoft.com/office/drawing/2014/main" id="{D3B69A16-973C-E6F4-2EAF-E5520ECBCAE2}"/>
              </a:ext>
            </a:extLst>
          </xdr:cNvPr>
          <xdr:cNvCxnSpPr/>
        </xdr:nvCxnSpPr>
        <xdr:spPr>
          <a:xfrm>
            <a:off x="4610100" y="362712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132" name="Gerader Verbinder 9131">
            <a:extLst>
              <a:ext uri="{FF2B5EF4-FFF2-40B4-BE49-F238E27FC236}">
                <a16:creationId xmlns:a16="http://schemas.microsoft.com/office/drawing/2014/main" id="{C539F41A-D762-5401-D31F-CC3E5A4E6C09}"/>
              </a:ext>
            </a:extLst>
          </xdr:cNvPr>
          <xdr:cNvCxnSpPr/>
        </xdr:nvCxnSpPr>
        <xdr:spPr>
          <a:xfrm flipH="1">
            <a:off x="4610100" y="362712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19</xdr:row>
      <xdr:rowOff>0</xdr:rowOff>
    </xdr:from>
    <xdr:to>
      <xdr:col>8</xdr:col>
      <xdr:colOff>0</xdr:colOff>
      <xdr:row>20</xdr:row>
      <xdr:rowOff>0</xdr:rowOff>
    </xdr:to>
    <xdr:grpSp>
      <xdr:nvGrpSpPr>
        <xdr:cNvPr id="9136" name="Cross_H20">
          <a:extLst>
            <a:ext uri="{FF2B5EF4-FFF2-40B4-BE49-F238E27FC236}">
              <a16:creationId xmlns:a16="http://schemas.microsoft.com/office/drawing/2014/main" id="{EE28BA0A-794F-64B6-31CB-07B0E8A9FE36}"/>
            </a:ext>
          </a:extLst>
        </xdr:cNvPr>
        <xdr:cNvGrpSpPr/>
      </xdr:nvGrpSpPr>
      <xdr:grpSpPr>
        <a:xfrm>
          <a:off x="4610100" y="3855720"/>
          <a:ext cx="594360" cy="167640"/>
          <a:chOff x="4610100" y="3855720"/>
          <a:chExt cx="594360" cy="167640"/>
        </a:xfrm>
      </xdr:grpSpPr>
      <xdr:cxnSp macro="">
        <xdr:nvCxnSpPr>
          <xdr:cNvPr id="9134" name="Gerader Verbinder 9133">
            <a:extLst>
              <a:ext uri="{FF2B5EF4-FFF2-40B4-BE49-F238E27FC236}">
                <a16:creationId xmlns:a16="http://schemas.microsoft.com/office/drawing/2014/main" id="{684E9680-6D02-62D5-EA21-EBEA639A04DA}"/>
              </a:ext>
            </a:extLst>
          </xdr:cNvPr>
          <xdr:cNvCxnSpPr/>
        </xdr:nvCxnSpPr>
        <xdr:spPr>
          <a:xfrm>
            <a:off x="4610100" y="38557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135" name="Gerader Verbinder 9134">
            <a:extLst>
              <a:ext uri="{FF2B5EF4-FFF2-40B4-BE49-F238E27FC236}">
                <a16:creationId xmlns:a16="http://schemas.microsoft.com/office/drawing/2014/main" id="{F988E80B-FC37-F127-7E35-2AA20E3A5AD0}"/>
              </a:ext>
            </a:extLst>
          </xdr:cNvPr>
          <xdr:cNvCxnSpPr/>
        </xdr:nvCxnSpPr>
        <xdr:spPr>
          <a:xfrm flipH="1">
            <a:off x="4610100" y="38557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20</xdr:row>
      <xdr:rowOff>0</xdr:rowOff>
    </xdr:from>
    <xdr:to>
      <xdr:col>8</xdr:col>
      <xdr:colOff>0</xdr:colOff>
      <xdr:row>21</xdr:row>
      <xdr:rowOff>0</xdr:rowOff>
    </xdr:to>
    <xdr:grpSp>
      <xdr:nvGrpSpPr>
        <xdr:cNvPr id="9139" name="Cross_H21">
          <a:extLst>
            <a:ext uri="{FF2B5EF4-FFF2-40B4-BE49-F238E27FC236}">
              <a16:creationId xmlns:a16="http://schemas.microsoft.com/office/drawing/2014/main" id="{373E23AF-B282-FE2C-4CD5-4AA4A14E1FBB}"/>
            </a:ext>
          </a:extLst>
        </xdr:cNvPr>
        <xdr:cNvGrpSpPr/>
      </xdr:nvGrpSpPr>
      <xdr:grpSpPr>
        <a:xfrm>
          <a:off x="4610100" y="4023360"/>
          <a:ext cx="594360" cy="167640"/>
          <a:chOff x="4610100" y="4023360"/>
          <a:chExt cx="594360" cy="167640"/>
        </a:xfrm>
      </xdr:grpSpPr>
      <xdr:cxnSp macro="">
        <xdr:nvCxnSpPr>
          <xdr:cNvPr id="9137" name="Gerader Verbinder 9136">
            <a:extLst>
              <a:ext uri="{FF2B5EF4-FFF2-40B4-BE49-F238E27FC236}">
                <a16:creationId xmlns:a16="http://schemas.microsoft.com/office/drawing/2014/main" id="{EF715BAA-FC0E-A519-CF76-7FDA8A0B6E5D}"/>
              </a:ext>
            </a:extLst>
          </xdr:cNvPr>
          <xdr:cNvCxnSpPr/>
        </xdr:nvCxnSpPr>
        <xdr:spPr>
          <a:xfrm>
            <a:off x="4610100" y="40233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138" name="Gerader Verbinder 9137">
            <a:extLst>
              <a:ext uri="{FF2B5EF4-FFF2-40B4-BE49-F238E27FC236}">
                <a16:creationId xmlns:a16="http://schemas.microsoft.com/office/drawing/2014/main" id="{DE59650D-C06E-C5F4-971F-AB87325C8B59}"/>
              </a:ext>
            </a:extLst>
          </xdr:cNvPr>
          <xdr:cNvCxnSpPr/>
        </xdr:nvCxnSpPr>
        <xdr:spPr>
          <a:xfrm flipH="1">
            <a:off x="4610100" y="40233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21</xdr:row>
      <xdr:rowOff>0</xdr:rowOff>
    </xdr:from>
    <xdr:to>
      <xdr:col>8</xdr:col>
      <xdr:colOff>0</xdr:colOff>
      <xdr:row>22</xdr:row>
      <xdr:rowOff>0</xdr:rowOff>
    </xdr:to>
    <xdr:grpSp>
      <xdr:nvGrpSpPr>
        <xdr:cNvPr id="9142" name="Cross_H22">
          <a:extLst>
            <a:ext uri="{FF2B5EF4-FFF2-40B4-BE49-F238E27FC236}">
              <a16:creationId xmlns:a16="http://schemas.microsoft.com/office/drawing/2014/main" id="{22CB0041-BD6E-A4CF-4D7B-23C3CF9CD62E}"/>
            </a:ext>
          </a:extLst>
        </xdr:cNvPr>
        <xdr:cNvGrpSpPr/>
      </xdr:nvGrpSpPr>
      <xdr:grpSpPr>
        <a:xfrm>
          <a:off x="4610100" y="4191000"/>
          <a:ext cx="594360" cy="228600"/>
          <a:chOff x="4610100" y="4191000"/>
          <a:chExt cx="594360" cy="228600"/>
        </a:xfrm>
      </xdr:grpSpPr>
      <xdr:cxnSp macro="">
        <xdr:nvCxnSpPr>
          <xdr:cNvPr id="9140" name="Gerader Verbinder 9139">
            <a:extLst>
              <a:ext uri="{FF2B5EF4-FFF2-40B4-BE49-F238E27FC236}">
                <a16:creationId xmlns:a16="http://schemas.microsoft.com/office/drawing/2014/main" id="{789575F7-A25D-A9C2-A34E-9A21692798BB}"/>
              </a:ext>
            </a:extLst>
          </xdr:cNvPr>
          <xdr:cNvCxnSpPr/>
        </xdr:nvCxnSpPr>
        <xdr:spPr>
          <a:xfrm>
            <a:off x="4610100" y="419100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141" name="Gerader Verbinder 9140">
            <a:extLst>
              <a:ext uri="{FF2B5EF4-FFF2-40B4-BE49-F238E27FC236}">
                <a16:creationId xmlns:a16="http://schemas.microsoft.com/office/drawing/2014/main" id="{B9D811A5-BD5E-EECB-EBBC-C1037BB92673}"/>
              </a:ext>
            </a:extLst>
          </xdr:cNvPr>
          <xdr:cNvCxnSpPr/>
        </xdr:nvCxnSpPr>
        <xdr:spPr>
          <a:xfrm flipH="1">
            <a:off x="4610100" y="419100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22</xdr:row>
      <xdr:rowOff>0</xdr:rowOff>
    </xdr:from>
    <xdr:to>
      <xdr:col>8</xdr:col>
      <xdr:colOff>0</xdr:colOff>
      <xdr:row>23</xdr:row>
      <xdr:rowOff>0</xdr:rowOff>
    </xdr:to>
    <xdr:grpSp>
      <xdr:nvGrpSpPr>
        <xdr:cNvPr id="9145" name="Cross_H23">
          <a:extLst>
            <a:ext uri="{FF2B5EF4-FFF2-40B4-BE49-F238E27FC236}">
              <a16:creationId xmlns:a16="http://schemas.microsoft.com/office/drawing/2014/main" id="{ACA9E850-ED90-ED74-7DC3-56098951A1A8}"/>
            </a:ext>
          </a:extLst>
        </xdr:cNvPr>
        <xdr:cNvGrpSpPr/>
      </xdr:nvGrpSpPr>
      <xdr:grpSpPr>
        <a:xfrm>
          <a:off x="4610100" y="4419600"/>
          <a:ext cx="594360" cy="167640"/>
          <a:chOff x="4610100" y="4419600"/>
          <a:chExt cx="594360" cy="167640"/>
        </a:xfrm>
      </xdr:grpSpPr>
      <xdr:cxnSp macro="">
        <xdr:nvCxnSpPr>
          <xdr:cNvPr id="9143" name="Gerader Verbinder 9142">
            <a:extLst>
              <a:ext uri="{FF2B5EF4-FFF2-40B4-BE49-F238E27FC236}">
                <a16:creationId xmlns:a16="http://schemas.microsoft.com/office/drawing/2014/main" id="{D317A3D1-61DD-A7D1-89ED-9F791165746B}"/>
              </a:ext>
            </a:extLst>
          </xdr:cNvPr>
          <xdr:cNvCxnSpPr/>
        </xdr:nvCxnSpPr>
        <xdr:spPr>
          <a:xfrm>
            <a:off x="4610100" y="44196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144" name="Gerader Verbinder 9143">
            <a:extLst>
              <a:ext uri="{FF2B5EF4-FFF2-40B4-BE49-F238E27FC236}">
                <a16:creationId xmlns:a16="http://schemas.microsoft.com/office/drawing/2014/main" id="{80972912-C84A-1A96-D5C3-78B55535159A}"/>
              </a:ext>
            </a:extLst>
          </xdr:cNvPr>
          <xdr:cNvCxnSpPr/>
        </xdr:nvCxnSpPr>
        <xdr:spPr>
          <a:xfrm flipH="1">
            <a:off x="4610100" y="44196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23</xdr:row>
      <xdr:rowOff>0</xdr:rowOff>
    </xdr:from>
    <xdr:to>
      <xdr:col>8</xdr:col>
      <xdr:colOff>0</xdr:colOff>
      <xdr:row>24</xdr:row>
      <xdr:rowOff>0</xdr:rowOff>
    </xdr:to>
    <xdr:grpSp>
      <xdr:nvGrpSpPr>
        <xdr:cNvPr id="9148" name="Cross_H24">
          <a:extLst>
            <a:ext uri="{FF2B5EF4-FFF2-40B4-BE49-F238E27FC236}">
              <a16:creationId xmlns:a16="http://schemas.microsoft.com/office/drawing/2014/main" id="{2F0DE979-E242-724D-7D36-9EC404DA859E}"/>
            </a:ext>
          </a:extLst>
        </xdr:cNvPr>
        <xdr:cNvGrpSpPr/>
      </xdr:nvGrpSpPr>
      <xdr:grpSpPr>
        <a:xfrm>
          <a:off x="4610100" y="4587240"/>
          <a:ext cx="594360" cy="167640"/>
          <a:chOff x="4610100" y="4587240"/>
          <a:chExt cx="594360" cy="167640"/>
        </a:xfrm>
      </xdr:grpSpPr>
      <xdr:cxnSp macro="">
        <xdr:nvCxnSpPr>
          <xdr:cNvPr id="9146" name="Gerader Verbinder 9145">
            <a:extLst>
              <a:ext uri="{FF2B5EF4-FFF2-40B4-BE49-F238E27FC236}">
                <a16:creationId xmlns:a16="http://schemas.microsoft.com/office/drawing/2014/main" id="{EC77A565-2953-B453-21E9-258D7D3FA9D8}"/>
              </a:ext>
            </a:extLst>
          </xdr:cNvPr>
          <xdr:cNvCxnSpPr/>
        </xdr:nvCxnSpPr>
        <xdr:spPr>
          <a:xfrm>
            <a:off x="4610100" y="45872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147" name="Gerader Verbinder 9146">
            <a:extLst>
              <a:ext uri="{FF2B5EF4-FFF2-40B4-BE49-F238E27FC236}">
                <a16:creationId xmlns:a16="http://schemas.microsoft.com/office/drawing/2014/main" id="{5225BB71-E1A4-F8E4-4086-BBF2EB29E001}"/>
              </a:ext>
            </a:extLst>
          </xdr:cNvPr>
          <xdr:cNvCxnSpPr/>
        </xdr:nvCxnSpPr>
        <xdr:spPr>
          <a:xfrm flipH="1">
            <a:off x="4610100" y="45872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30</xdr:row>
      <xdr:rowOff>0</xdr:rowOff>
    </xdr:from>
    <xdr:to>
      <xdr:col>8</xdr:col>
      <xdr:colOff>0</xdr:colOff>
      <xdr:row>31</xdr:row>
      <xdr:rowOff>0</xdr:rowOff>
    </xdr:to>
    <xdr:grpSp>
      <xdr:nvGrpSpPr>
        <xdr:cNvPr id="9151" name="Cross_H31">
          <a:extLst>
            <a:ext uri="{FF2B5EF4-FFF2-40B4-BE49-F238E27FC236}">
              <a16:creationId xmlns:a16="http://schemas.microsoft.com/office/drawing/2014/main" id="{AE56AAEA-591A-C1F9-FD14-0A9D3A362B76}"/>
            </a:ext>
          </a:extLst>
        </xdr:cNvPr>
        <xdr:cNvGrpSpPr/>
      </xdr:nvGrpSpPr>
      <xdr:grpSpPr>
        <a:xfrm>
          <a:off x="4610100" y="5882640"/>
          <a:ext cx="594360" cy="228600"/>
          <a:chOff x="4610100" y="5882640"/>
          <a:chExt cx="594360" cy="228600"/>
        </a:xfrm>
      </xdr:grpSpPr>
      <xdr:cxnSp macro="">
        <xdr:nvCxnSpPr>
          <xdr:cNvPr id="9149" name="Gerader Verbinder 9148">
            <a:extLst>
              <a:ext uri="{FF2B5EF4-FFF2-40B4-BE49-F238E27FC236}">
                <a16:creationId xmlns:a16="http://schemas.microsoft.com/office/drawing/2014/main" id="{04DB0813-2C68-B5B2-CED4-F6144250FBD9}"/>
              </a:ext>
            </a:extLst>
          </xdr:cNvPr>
          <xdr:cNvCxnSpPr/>
        </xdr:nvCxnSpPr>
        <xdr:spPr>
          <a:xfrm>
            <a:off x="4610100" y="588264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150" name="Gerader Verbinder 9149">
            <a:extLst>
              <a:ext uri="{FF2B5EF4-FFF2-40B4-BE49-F238E27FC236}">
                <a16:creationId xmlns:a16="http://schemas.microsoft.com/office/drawing/2014/main" id="{BA5D341A-DB48-861F-8B36-8F97AF928AA4}"/>
              </a:ext>
            </a:extLst>
          </xdr:cNvPr>
          <xdr:cNvCxnSpPr/>
        </xdr:nvCxnSpPr>
        <xdr:spPr>
          <a:xfrm flipH="1">
            <a:off x="4610100" y="588264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31</xdr:row>
      <xdr:rowOff>0</xdr:rowOff>
    </xdr:from>
    <xdr:to>
      <xdr:col>8</xdr:col>
      <xdr:colOff>0</xdr:colOff>
      <xdr:row>32</xdr:row>
      <xdr:rowOff>0</xdr:rowOff>
    </xdr:to>
    <xdr:grpSp>
      <xdr:nvGrpSpPr>
        <xdr:cNvPr id="9154" name="Cross_H32">
          <a:extLst>
            <a:ext uri="{FF2B5EF4-FFF2-40B4-BE49-F238E27FC236}">
              <a16:creationId xmlns:a16="http://schemas.microsoft.com/office/drawing/2014/main" id="{DCCAE916-2074-D235-C2FC-CAF0669C24DB}"/>
            </a:ext>
          </a:extLst>
        </xdr:cNvPr>
        <xdr:cNvGrpSpPr/>
      </xdr:nvGrpSpPr>
      <xdr:grpSpPr>
        <a:xfrm>
          <a:off x="4610100" y="6111240"/>
          <a:ext cx="594360" cy="167640"/>
          <a:chOff x="4610100" y="6111240"/>
          <a:chExt cx="594360" cy="167640"/>
        </a:xfrm>
      </xdr:grpSpPr>
      <xdr:cxnSp macro="">
        <xdr:nvCxnSpPr>
          <xdr:cNvPr id="9152" name="Gerader Verbinder 9151">
            <a:extLst>
              <a:ext uri="{FF2B5EF4-FFF2-40B4-BE49-F238E27FC236}">
                <a16:creationId xmlns:a16="http://schemas.microsoft.com/office/drawing/2014/main" id="{6F1AC111-51CC-9D2B-404F-4AE6FA8D89E8}"/>
              </a:ext>
            </a:extLst>
          </xdr:cNvPr>
          <xdr:cNvCxnSpPr/>
        </xdr:nvCxnSpPr>
        <xdr:spPr>
          <a:xfrm>
            <a:off x="4610100" y="61112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153" name="Gerader Verbinder 9152">
            <a:extLst>
              <a:ext uri="{FF2B5EF4-FFF2-40B4-BE49-F238E27FC236}">
                <a16:creationId xmlns:a16="http://schemas.microsoft.com/office/drawing/2014/main" id="{99B40BD6-4158-6D6E-9B71-77EC6BCEF115}"/>
              </a:ext>
            </a:extLst>
          </xdr:cNvPr>
          <xdr:cNvCxnSpPr/>
        </xdr:nvCxnSpPr>
        <xdr:spPr>
          <a:xfrm flipH="1">
            <a:off x="4610100" y="61112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32</xdr:row>
      <xdr:rowOff>0</xdr:rowOff>
    </xdr:from>
    <xdr:to>
      <xdr:col>8</xdr:col>
      <xdr:colOff>0</xdr:colOff>
      <xdr:row>33</xdr:row>
      <xdr:rowOff>0</xdr:rowOff>
    </xdr:to>
    <xdr:grpSp>
      <xdr:nvGrpSpPr>
        <xdr:cNvPr id="9157" name="Cross_H33">
          <a:extLst>
            <a:ext uri="{FF2B5EF4-FFF2-40B4-BE49-F238E27FC236}">
              <a16:creationId xmlns:a16="http://schemas.microsoft.com/office/drawing/2014/main" id="{7DD2E3AC-C4B7-0680-2CD8-76C51D3A0A87}"/>
            </a:ext>
          </a:extLst>
        </xdr:cNvPr>
        <xdr:cNvGrpSpPr/>
      </xdr:nvGrpSpPr>
      <xdr:grpSpPr>
        <a:xfrm>
          <a:off x="4610100" y="6278880"/>
          <a:ext cx="594360" cy="167640"/>
          <a:chOff x="4610100" y="6278880"/>
          <a:chExt cx="594360" cy="167640"/>
        </a:xfrm>
      </xdr:grpSpPr>
      <xdr:cxnSp macro="">
        <xdr:nvCxnSpPr>
          <xdr:cNvPr id="9155" name="Gerader Verbinder 9154">
            <a:extLst>
              <a:ext uri="{FF2B5EF4-FFF2-40B4-BE49-F238E27FC236}">
                <a16:creationId xmlns:a16="http://schemas.microsoft.com/office/drawing/2014/main" id="{928CD07B-3DA4-8D1F-31EB-516EF3746E55}"/>
              </a:ext>
            </a:extLst>
          </xdr:cNvPr>
          <xdr:cNvCxnSpPr/>
        </xdr:nvCxnSpPr>
        <xdr:spPr>
          <a:xfrm>
            <a:off x="4610100" y="62788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156" name="Gerader Verbinder 9155">
            <a:extLst>
              <a:ext uri="{FF2B5EF4-FFF2-40B4-BE49-F238E27FC236}">
                <a16:creationId xmlns:a16="http://schemas.microsoft.com/office/drawing/2014/main" id="{71F90B39-822A-751B-F1F1-036F2C19538D}"/>
              </a:ext>
            </a:extLst>
          </xdr:cNvPr>
          <xdr:cNvCxnSpPr/>
        </xdr:nvCxnSpPr>
        <xdr:spPr>
          <a:xfrm flipH="1">
            <a:off x="4610100" y="62788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33</xdr:row>
      <xdr:rowOff>0</xdr:rowOff>
    </xdr:from>
    <xdr:to>
      <xdr:col>8</xdr:col>
      <xdr:colOff>0</xdr:colOff>
      <xdr:row>34</xdr:row>
      <xdr:rowOff>0</xdr:rowOff>
    </xdr:to>
    <xdr:grpSp>
      <xdr:nvGrpSpPr>
        <xdr:cNvPr id="9160" name="Cross_H34">
          <a:extLst>
            <a:ext uri="{FF2B5EF4-FFF2-40B4-BE49-F238E27FC236}">
              <a16:creationId xmlns:a16="http://schemas.microsoft.com/office/drawing/2014/main" id="{5213302F-E0B7-A070-EAAF-91208A9C7630}"/>
            </a:ext>
          </a:extLst>
        </xdr:cNvPr>
        <xdr:cNvGrpSpPr/>
      </xdr:nvGrpSpPr>
      <xdr:grpSpPr>
        <a:xfrm>
          <a:off x="4610100" y="6446520"/>
          <a:ext cx="594360" cy="228600"/>
          <a:chOff x="4610100" y="6446520"/>
          <a:chExt cx="594360" cy="228600"/>
        </a:xfrm>
      </xdr:grpSpPr>
      <xdr:cxnSp macro="">
        <xdr:nvCxnSpPr>
          <xdr:cNvPr id="9158" name="Gerader Verbinder 9157">
            <a:extLst>
              <a:ext uri="{FF2B5EF4-FFF2-40B4-BE49-F238E27FC236}">
                <a16:creationId xmlns:a16="http://schemas.microsoft.com/office/drawing/2014/main" id="{FC05B2EA-8193-E697-7DC3-34154B42E543}"/>
              </a:ext>
            </a:extLst>
          </xdr:cNvPr>
          <xdr:cNvCxnSpPr/>
        </xdr:nvCxnSpPr>
        <xdr:spPr>
          <a:xfrm>
            <a:off x="4610100" y="644652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159" name="Gerader Verbinder 9158">
            <a:extLst>
              <a:ext uri="{FF2B5EF4-FFF2-40B4-BE49-F238E27FC236}">
                <a16:creationId xmlns:a16="http://schemas.microsoft.com/office/drawing/2014/main" id="{9CA66410-8D9C-6CE6-1A92-9993D454F578}"/>
              </a:ext>
            </a:extLst>
          </xdr:cNvPr>
          <xdr:cNvCxnSpPr/>
        </xdr:nvCxnSpPr>
        <xdr:spPr>
          <a:xfrm flipH="1">
            <a:off x="4610100" y="644652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34</xdr:row>
      <xdr:rowOff>0</xdr:rowOff>
    </xdr:from>
    <xdr:to>
      <xdr:col>8</xdr:col>
      <xdr:colOff>0</xdr:colOff>
      <xdr:row>35</xdr:row>
      <xdr:rowOff>0</xdr:rowOff>
    </xdr:to>
    <xdr:grpSp>
      <xdr:nvGrpSpPr>
        <xdr:cNvPr id="9163" name="Cross_H35">
          <a:extLst>
            <a:ext uri="{FF2B5EF4-FFF2-40B4-BE49-F238E27FC236}">
              <a16:creationId xmlns:a16="http://schemas.microsoft.com/office/drawing/2014/main" id="{C9984AAF-930D-4544-6D23-A15312A9777A}"/>
            </a:ext>
          </a:extLst>
        </xdr:cNvPr>
        <xdr:cNvGrpSpPr/>
      </xdr:nvGrpSpPr>
      <xdr:grpSpPr>
        <a:xfrm>
          <a:off x="4610100" y="6675120"/>
          <a:ext cx="594360" cy="167640"/>
          <a:chOff x="4610100" y="6675120"/>
          <a:chExt cx="594360" cy="167640"/>
        </a:xfrm>
      </xdr:grpSpPr>
      <xdr:cxnSp macro="">
        <xdr:nvCxnSpPr>
          <xdr:cNvPr id="9161" name="Gerader Verbinder 9160">
            <a:extLst>
              <a:ext uri="{FF2B5EF4-FFF2-40B4-BE49-F238E27FC236}">
                <a16:creationId xmlns:a16="http://schemas.microsoft.com/office/drawing/2014/main" id="{D0426681-829B-D624-7721-EDCECD7B57A9}"/>
              </a:ext>
            </a:extLst>
          </xdr:cNvPr>
          <xdr:cNvCxnSpPr/>
        </xdr:nvCxnSpPr>
        <xdr:spPr>
          <a:xfrm>
            <a:off x="4610100" y="66751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162" name="Gerader Verbinder 9161">
            <a:extLst>
              <a:ext uri="{FF2B5EF4-FFF2-40B4-BE49-F238E27FC236}">
                <a16:creationId xmlns:a16="http://schemas.microsoft.com/office/drawing/2014/main" id="{3AAED2E4-05C1-C5B4-3992-CC72F4CD6D97}"/>
              </a:ext>
            </a:extLst>
          </xdr:cNvPr>
          <xdr:cNvCxnSpPr/>
        </xdr:nvCxnSpPr>
        <xdr:spPr>
          <a:xfrm flipH="1">
            <a:off x="4610100" y="66751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35</xdr:row>
      <xdr:rowOff>0</xdr:rowOff>
    </xdr:from>
    <xdr:to>
      <xdr:col>8</xdr:col>
      <xdr:colOff>0</xdr:colOff>
      <xdr:row>36</xdr:row>
      <xdr:rowOff>0</xdr:rowOff>
    </xdr:to>
    <xdr:grpSp>
      <xdr:nvGrpSpPr>
        <xdr:cNvPr id="9166" name="Cross_H36">
          <a:extLst>
            <a:ext uri="{FF2B5EF4-FFF2-40B4-BE49-F238E27FC236}">
              <a16:creationId xmlns:a16="http://schemas.microsoft.com/office/drawing/2014/main" id="{6C5D6AAF-F67C-9CF4-64C7-15472284FF9C}"/>
            </a:ext>
          </a:extLst>
        </xdr:cNvPr>
        <xdr:cNvGrpSpPr/>
      </xdr:nvGrpSpPr>
      <xdr:grpSpPr>
        <a:xfrm>
          <a:off x="4610100" y="6842760"/>
          <a:ext cx="594360" cy="167640"/>
          <a:chOff x="4610100" y="6842760"/>
          <a:chExt cx="594360" cy="167640"/>
        </a:xfrm>
      </xdr:grpSpPr>
      <xdr:cxnSp macro="">
        <xdr:nvCxnSpPr>
          <xdr:cNvPr id="9164" name="Gerader Verbinder 9163">
            <a:extLst>
              <a:ext uri="{FF2B5EF4-FFF2-40B4-BE49-F238E27FC236}">
                <a16:creationId xmlns:a16="http://schemas.microsoft.com/office/drawing/2014/main" id="{AB98774B-2A25-DFBA-6136-EE944A435F94}"/>
              </a:ext>
            </a:extLst>
          </xdr:cNvPr>
          <xdr:cNvCxnSpPr/>
        </xdr:nvCxnSpPr>
        <xdr:spPr>
          <a:xfrm>
            <a:off x="4610100" y="68427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165" name="Gerader Verbinder 9164">
            <a:extLst>
              <a:ext uri="{FF2B5EF4-FFF2-40B4-BE49-F238E27FC236}">
                <a16:creationId xmlns:a16="http://schemas.microsoft.com/office/drawing/2014/main" id="{590CF668-96E1-5024-D0DC-6629227AEBF0}"/>
              </a:ext>
            </a:extLst>
          </xdr:cNvPr>
          <xdr:cNvCxnSpPr/>
        </xdr:nvCxnSpPr>
        <xdr:spPr>
          <a:xfrm flipH="1">
            <a:off x="4610100" y="68427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36</xdr:row>
      <xdr:rowOff>0</xdr:rowOff>
    </xdr:from>
    <xdr:to>
      <xdr:col>8</xdr:col>
      <xdr:colOff>0</xdr:colOff>
      <xdr:row>37</xdr:row>
      <xdr:rowOff>0</xdr:rowOff>
    </xdr:to>
    <xdr:grpSp>
      <xdr:nvGrpSpPr>
        <xdr:cNvPr id="9169" name="Cross_H37">
          <a:extLst>
            <a:ext uri="{FF2B5EF4-FFF2-40B4-BE49-F238E27FC236}">
              <a16:creationId xmlns:a16="http://schemas.microsoft.com/office/drawing/2014/main" id="{40AE409E-F572-E794-B72D-91D6E694D711}"/>
            </a:ext>
          </a:extLst>
        </xdr:cNvPr>
        <xdr:cNvGrpSpPr/>
      </xdr:nvGrpSpPr>
      <xdr:grpSpPr>
        <a:xfrm>
          <a:off x="4610100" y="7010400"/>
          <a:ext cx="594360" cy="228600"/>
          <a:chOff x="4610100" y="7010400"/>
          <a:chExt cx="594360" cy="228600"/>
        </a:xfrm>
      </xdr:grpSpPr>
      <xdr:cxnSp macro="">
        <xdr:nvCxnSpPr>
          <xdr:cNvPr id="9167" name="Gerader Verbinder 9166">
            <a:extLst>
              <a:ext uri="{FF2B5EF4-FFF2-40B4-BE49-F238E27FC236}">
                <a16:creationId xmlns:a16="http://schemas.microsoft.com/office/drawing/2014/main" id="{C3F2D166-7D95-B224-EE2A-329BED31C868}"/>
              </a:ext>
            </a:extLst>
          </xdr:cNvPr>
          <xdr:cNvCxnSpPr/>
        </xdr:nvCxnSpPr>
        <xdr:spPr>
          <a:xfrm>
            <a:off x="4610100" y="701040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168" name="Gerader Verbinder 9167">
            <a:extLst>
              <a:ext uri="{FF2B5EF4-FFF2-40B4-BE49-F238E27FC236}">
                <a16:creationId xmlns:a16="http://schemas.microsoft.com/office/drawing/2014/main" id="{5633E58C-E4B8-8C9A-3A16-685AEBC325C1}"/>
              </a:ext>
            </a:extLst>
          </xdr:cNvPr>
          <xdr:cNvCxnSpPr/>
        </xdr:nvCxnSpPr>
        <xdr:spPr>
          <a:xfrm flipH="1">
            <a:off x="4610100" y="701040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37</xdr:row>
      <xdr:rowOff>0</xdr:rowOff>
    </xdr:from>
    <xdr:to>
      <xdr:col>8</xdr:col>
      <xdr:colOff>0</xdr:colOff>
      <xdr:row>38</xdr:row>
      <xdr:rowOff>0</xdr:rowOff>
    </xdr:to>
    <xdr:grpSp>
      <xdr:nvGrpSpPr>
        <xdr:cNvPr id="9172" name="Cross_H38">
          <a:extLst>
            <a:ext uri="{FF2B5EF4-FFF2-40B4-BE49-F238E27FC236}">
              <a16:creationId xmlns:a16="http://schemas.microsoft.com/office/drawing/2014/main" id="{99AD174C-56E5-506C-6334-6A5E24A0E195}"/>
            </a:ext>
          </a:extLst>
        </xdr:cNvPr>
        <xdr:cNvGrpSpPr/>
      </xdr:nvGrpSpPr>
      <xdr:grpSpPr>
        <a:xfrm>
          <a:off x="4610100" y="7239000"/>
          <a:ext cx="594360" cy="167640"/>
          <a:chOff x="4610100" y="7239000"/>
          <a:chExt cx="594360" cy="167640"/>
        </a:xfrm>
      </xdr:grpSpPr>
      <xdr:cxnSp macro="">
        <xdr:nvCxnSpPr>
          <xdr:cNvPr id="9170" name="Gerader Verbinder 9169">
            <a:extLst>
              <a:ext uri="{FF2B5EF4-FFF2-40B4-BE49-F238E27FC236}">
                <a16:creationId xmlns:a16="http://schemas.microsoft.com/office/drawing/2014/main" id="{0CB657E1-301D-ED6D-0F7A-15C7A66805BD}"/>
              </a:ext>
            </a:extLst>
          </xdr:cNvPr>
          <xdr:cNvCxnSpPr/>
        </xdr:nvCxnSpPr>
        <xdr:spPr>
          <a:xfrm>
            <a:off x="4610100" y="72390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171" name="Gerader Verbinder 9170">
            <a:extLst>
              <a:ext uri="{FF2B5EF4-FFF2-40B4-BE49-F238E27FC236}">
                <a16:creationId xmlns:a16="http://schemas.microsoft.com/office/drawing/2014/main" id="{87AC16A8-64E2-3B79-0BA7-26B82CFCE798}"/>
              </a:ext>
            </a:extLst>
          </xdr:cNvPr>
          <xdr:cNvCxnSpPr/>
        </xdr:nvCxnSpPr>
        <xdr:spPr>
          <a:xfrm flipH="1">
            <a:off x="4610100" y="72390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38</xdr:row>
      <xdr:rowOff>0</xdr:rowOff>
    </xdr:from>
    <xdr:to>
      <xdr:col>8</xdr:col>
      <xdr:colOff>0</xdr:colOff>
      <xdr:row>39</xdr:row>
      <xdr:rowOff>0</xdr:rowOff>
    </xdr:to>
    <xdr:grpSp>
      <xdr:nvGrpSpPr>
        <xdr:cNvPr id="9175" name="Cross_H39">
          <a:extLst>
            <a:ext uri="{FF2B5EF4-FFF2-40B4-BE49-F238E27FC236}">
              <a16:creationId xmlns:a16="http://schemas.microsoft.com/office/drawing/2014/main" id="{35CD3299-E208-963D-C9D7-F510EC64B285}"/>
            </a:ext>
          </a:extLst>
        </xdr:cNvPr>
        <xdr:cNvGrpSpPr/>
      </xdr:nvGrpSpPr>
      <xdr:grpSpPr>
        <a:xfrm>
          <a:off x="4610100" y="7406640"/>
          <a:ext cx="594360" cy="167640"/>
          <a:chOff x="4610100" y="7406640"/>
          <a:chExt cx="594360" cy="167640"/>
        </a:xfrm>
      </xdr:grpSpPr>
      <xdr:cxnSp macro="">
        <xdr:nvCxnSpPr>
          <xdr:cNvPr id="9173" name="Gerader Verbinder 9172">
            <a:extLst>
              <a:ext uri="{FF2B5EF4-FFF2-40B4-BE49-F238E27FC236}">
                <a16:creationId xmlns:a16="http://schemas.microsoft.com/office/drawing/2014/main" id="{515A8CB8-9D03-AE57-876B-54D3B175073A}"/>
              </a:ext>
            </a:extLst>
          </xdr:cNvPr>
          <xdr:cNvCxnSpPr/>
        </xdr:nvCxnSpPr>
        <xdr:spPr>
          <a:xfrm>
            <a:off x="4610100" y="74066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174" name="Gerader Verbinder 9173">
            <a:extLst>
              <a:ext uri="{FF2B5EF4-FFF2-40B4-BE49-F238E27FC236}">
                <a16:creationId xmlns:a16="http://schemas.microsoft.com/office/drawing/2014/main" id="{BB9DEE30-5980-2903-921B-F02ED972F7DB}"/>
              </a:ext>
            </a:extLst>
          </xdr:cNvPr>
          <xdr:cNvCxnSpPr/>
        </xdr:nvCxnSpPr>
        <xdr:spPr>
          <a:xfrm flipH="1">
            <a:off x="4610100" y="74066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39</xdr:row>
      <xdr:rowOff>0</xdr:rowOff>
    </xdr:from>
    <xdr:to>
      <xdr:col>8</xdr:col>
      <xdr:colOff>0</xdr:colOff>
      <xdr:row>40</xdr:row>
      <xdr:rowOff>0</xdr:rowOff>
    </xdr:to>
    <xdr:grpSp>
      <xdr:nvGrpSpPr>
        <xdr:cNvPr id="9178" name="Cross_H40">
          <a:extLst>
            <a:ext uri="{FF2B5EF4-FFF2-40B4-BE49-F238E27FC236}">
              <a16:creationId xmlns:a16="http://schemas.microsoft.com/office/drawing/2014/main" id="{7067E270-9D7F-F918-62D7-0B0F94A02212}"/>
            </a:ext>
          </a:extLst>
        </xdr:cNvPr>
        <xdr:cNvGrpSpPr/>
      </xdr:nvGrpSpPr>
      <xdr:grpSpPr>
        <a:xfrm>
          <a:off x="4610100" y="7574280"/>
          <a:ext cx="594360" cy="228600"/>
          <a:chOff x="4610100" y="7574280"/>
          <a:chExt cx="594360" cy="228600"/>
        </a:xfrm>
      </xdr:grpSpPr>
      <xdr:cxnSp macro="">
        <xdr:nvCxnSpPr>
          <xdr:cNvPr id="9176" name="Gerader Verbinder 9175">
            <a:extLst>
              <a:ext uri="{FF2B5EF4-FFF2-40B4-BE49-F238E27FC236}">
                <a16:creationId xmlns:a16="http://schemas.microsoft.com/office/drawing/2014/main" id="{EC05816D-A2F7-53CF-4CFF-4C249319C7AD}"/>
              </a:ext>
            </a:extLst>
          </xdr:cNvPr>
          <xdr:cNvCxnSpPr/>
        </xdr:nvCxnSpPr>
        <xdr:spPr>
          <a:xfrm>
            <a:off x="4610100" y="75742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177" name="Gerader Verbinder 9176">
            <a:extLst>
              <a:ext uri="{FF2B5EF4-FFF2-40B4-BE49-F238E27FC236}">
                <a16:creationId xmlns:a16="http://schemas.microsoft.com/office/drawing/2014/main" id="{6C951528-C819-2D9C-35DD-30994D53CFEE}"/>
              </a:ext>
            </a:extLst>
          </xdr:cNvPr>
          <xdr:cNvCxnSpPr/>
        </xdr:nvCxnSpPr>
        <xdr:spPr>
          <a:xfrm flipH="1">
            <a:off x="4610100" y="75742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40</xdr:row>
      <xdr:rowOff>0</xdr:rowOff>
    </xdr:from>
    <xdr:to>
      <xdr:col>8</xdr:col>
      <xdr:colOff>0</xdr:colOff>
      <xdr:row>41</xdr:row>
      <xdr:rowOff>0</xdr:rowOff>
    </xdr:to>
    <xdr:grpSp>
      <xdr:nvGrpSpPr>
        <xdr:cNvPr id="9181" name="Cross_H41">
          <a:extLst>
            <a:ext uri="{FF2B5EF4-FFF2-40B4-BE49-F238E27FC236}">
              <a16:creationId xmlns:a16="http://schemas.microsoft.com/office/drawing/2014/main" id="{5BC70BDB-2366-64BB-085D-3B7265BD89D9}"/>
            </a:ext>
          </a:extLst>
        </xdr:cNvPr>
        <xdr:cNvGrpSpPr/>
      </xdr:nvGrpSpPr>
      <xdr:grpSpPr>
        <a:xfrm>
          <a:off x="4610100" y="7802880"/>
          <a:ext cx="594360" cy="167640"/>
          <a:chOff x="4610100" y="7802880"/>
          <a:chExt cx="594360" cy="167640"/>
        </a:xfrm>
      </xdr:grpSpPr>
      <xdr:cxnSp macro="">
        <xdr:nvCxnSpPr>
          <xdr:cNvPr id="9179" name="Gerader Verbinder 9178">
            <a:extLst>
              <a:ext uri="{FF2B5EF4-FFF2-40B4-BE49-F238E27FC236}">
                <a16:creationId xmlns:a16="http://schemas.microsoft.com/office/drawing/2014/main" id="{C76365BA-E836-BAD7-0BB9-A5DDE4493524}"/>
              </a:ext>
            </a:extLst>
          </xdr:cNvPr>
          <xdr:cNvCxnSpPr/>
        </xdr:nvCxnSpPr>
        <xdr:spPr>
          <a:xfrm>
            <a:off x="4610100" y="78028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180" name="Gerader Verbinder 9179">
            <a:extLst>
              <a:ext uri="{FF2B5EF4-FFF2-40B4-BE49-F238E27FC236}">
                <a16:creationId xmlns:a16="http://schemas.microsoft.com/office/drawing/2014/main" id="{911E5129-7245-7036-73F5-9B286803D60E}"/>
              </a:ext>
            </a:extLst>
          </xdr:cNvPr>
          <xdr:cNvCxnSpPr/>
        </xdr:nvCxnSpPr>
        <xdr:spPr>
          <a:xfrm flipH="1">
            <a:off x="4610100" y="78028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41</xdr:row>
      <xdr:rowOff>0</xdr:rowOff>
    </xdr:from>
    <xdr:to>
      <xdr:col>8</xdr:col>
      <xdr:colOff>0</xdr:colOff>
      <xdr:row>42</xdr:row>
      <xdr:rowOff>0</xdr:rowOff>
    </xdr:to>
    <xdr:grpSp>
      <xdr:nvGrpSpPr>
        <xdr:cNvPr id="9184" name="Cross_H42">
          <a:extLst>
            <a:ext uri="{FF2B5EF4-FFF2-40B4-BE49-F238E27FC236}">
              <a16:creationId xmlns:a16="http://schemas.microsoft.com/office/drawing/2014/main" id="{673D28CC-E17F-2BA4-869D-3C75233BBA38}"/>
            </a:ext>
          </a:extLst>
        </xdr:cNvPr>
        <xdr:cNvGrpSpPr/>
      </xdr:nvGrpSpPr>
      <xdr:grpSpPr>
        <a:xfrm>
          <a:off x="4610100" y="7970520"/>
          <a:ext cx="594360" cy="167640"/>
          <a:chOff x="4610100" y="7970520"/>
          <a:chExt cx="594360" cy="167640"/>
        </a:xfrm>
      </xdr:grpSpPr>
      <xdr:cxnSp macro="">
        <xdr:nvCxnSpPr>
          <xdr:cNvPr id="9182" name="Gerader Verbinder 9181">
            <a:extLst>
              <a:ext uri="{FF2B5EF4-FFF2-40B4-BE49-F238E27FC236}">
                <a16:creationId xmlns:a16="http://schemas.microsoft.com/office/drawing/2014/main" id="{833A1C41-1412-8F0B-0C77-A44C2026F76D}"/>
              </a:ext>
            </a:extLst>
          </xdr:cNvPr>
          <xdr:cNvCxnSpPr/>
        </xdr:nvCxnSpPr>
        <xdr:spPr>
          <a:xfrm>
            <a:off x="4610100" y="79705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183" name="Gerader Verbinder 9182">
            <a:extLst>
              <a:ext uri="{FF2B5EF4-FFF2-40B4-BE49-F238E27FC236}">
                <a16:creationId xmlns:a16="http://schemas.microsoft.com/office/drawing/2014/main" id="{715DC3B2-5197-2220-10F2-B5898C588038}"/>
              </a:ext>
            </a:extLst>
          </xdr:cNvPr>
          <xdr:cNvCxnSpPr/>
        </xdr:nvCxnSpPr>
        <xdr:spPr>
          <a:xfrm flipH="1">
            <a:off x="4610100" y="79705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51</xdr:row>
      <xdr:rowOff>0</xdr:rowOff>
    </xdr:from>
    <xdr:to>
      <xdr:col>8</xdr:col>
      <xdr:colOff>0</xdr:colOff>
      <xdr:row>52</xdr:row>
      <xdr:rowOff>0</xdr:rowOff>
    </xdr:to>
    <xdr:grpSp>
      <xdr:nvGrpSpPr>
        <xdr:cNvPr id="9187" name="Cross_H52">
          <a:extLst>
            <a:ext uri="{FF2B5EF4-FFF2-40B4-BE49-F238E27FC236}">
              <a16:creationId xmlns:a16="http://schemas.microsoft.com/office/drawing/2014/main" id="{388CA2A6-CC53-61AB-0B0B-EC24670F0215}"/>
            </a:ext>
          </a:extLst>
        </xdr:cNvPr>
        <xdr:cNvGrpSpPr/>
      </xdr:nvGrpSpPr>
      <xdr:grpSpPr>
        <a:xfrm>
          <a:off x="4610100" y="9829800"/>
          <a:ext cx="594360" cy="228600"/>
          <a:chOff x="4610100" y="9829800"/>
          <a:chExt cx="594360" cy="228600"/>
        </a:xfrm>
      </xdr:grpSpPr>
      <xdr:cxnSp macro="">
        <xdr:nvCxnSpPr>
          <xdr:cNvPr id="9185" name="Gerader Verbinder 9184">
            <a:extLst>
              <a:ext uri="{FF2B5EF4-FFF2-40B4-BE49-F238E27FC236}">
                <a16:creationId xmlns:a16="http://schemas.microsoft.com/office/drawing/2014/main" id="{21FA5214-34F2-24DA-9667-8B78362118FE}"/>
              </a:ext>
            </a:extLst>
          </xdr:cNvPr>
          <xdr:cNvCxnSpPr/>
        </xdr:nvCxnSpPr>
        <xdr:spPr>
          <a:xfrm>
            <a:off x="4610100" y="982980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186" name="Gerader Verbinder 9185">
            <a:extLst>
              <a:ext uri="{FF2B5EF4-FFF2-40B4-BE49-F238E27FC236}">
                <a16:creationId xmlns:a16="http://schemas.microsoft.com/office/drawing/2014/main" id="{DE7AB601-1D79-69E1-2EBC-7CDDF9B56B88}"/>
              </a:ext>
            </a:extLst>
          </xdr:cNvPr>
          <xdr:cNvCxnSpPr/>
        </xdr:nvCxnSpPr>
        <xdr:spPr>
          <a:xfrm flipH="1">
            <a:off x="4610100" y="982980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52</xdr:row>
      <xdr:rowOff>0</xdr:rowOff>
    </xdr:from>
    <xdr:to>
      <xdr:col>8</xdr:col>
      <xdr:colOff>0</xdr:colOff>
      <xdr:row>53</xdr:row>
      <xdr:rowOff>0</xdr:rowOff>
    </xdr:to>
    <xdr:grpSp>
      <xdr:nvGrpSpPr>
        <xdr:cNvPr id="9190" name="Cross_H53">
          <a:extLst>
            <a:ext uri="{FF2B5EF4-FFF2-40B4-BE49-F238E27FC236}">
              <a16:creationId xmlns:a16="http://schemas.microsoft.com/office/drawing/2014/main" id="{A84C2649-9123-6403-2A09-3513A64E9486}"/>
            </a:ext>
          </a:extLst>
        </xdr:cNvPr>
        <xdr:cNvGrpSpPr/>
      </xdr:nvGrpSpPr>
      <xdr:grpSpPr>
        <a:xfrm>
          <a:off x="4610100" y="10058400"/>
          <a:ext cx="594360" cy="167640"/>
          <a:chOff x="4610100" y="10058400"/>
          <a:chExt cx="594360" cy="167640"/>
        </a:xfrm>
      </xdr:grpSpPr>
      <xdr:cxnSp macro="">
        <xdr:nvCxnSpPr>
          <xdr:cNvPr id="9188" name="Gerader Verbinder 9187">
            <a:extLst>
              <a:ext uri="{FF2B5EF4-FFF2-40B4-BE49-F238E27FC236}">
                <a16:creationId xmlns:a16="http://schemas.microsoft.com/office/drawing/2014/main" id="{79874F47-5477-DCA5-7E6A-7E53C1FA9ACB}"/>
              </a:ext>
            </a:extLst>
          </xdr:cNvPr>
          <xdr:cNvCxnSpPr/>
        </xdr:nvCxnSpPr>
        <xdr:spPr>
          <a:xfrm>
            <a:off x="4610100" y="100584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189" name="Gerader Verbinder 9188">
            <a:extLst>
              <a:ext uri="{FF2B5EF4-FFF2-40B4-BE49-F238E27FC236}">
                <a16:creationId xmlns:a16="http://schemas.microsoft.com/office/drawing/2014/main" id="{A1310AEE-2B8A-52F1-C7AE-F188ADB18076}"/>
              </a:ext>
            </a:extLst>
          </xdr:cNvPr>
          <xdr:cNvCxnSpPr/>
        </xdr:nvCxnSpPr>
        <xdr:spPr>
          <a:xfrm flipH="1">
            <a:off x="4610100" y="100584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53</xdr:row>
      <xdr:rowOff>0</xdr:rowOff>
    </xdr:from>
    <xdr:to>
      <xdr:col>8</xdr:col>
      <xdr:colOff>0</xdr:colOff>
      <xdr:row>54</xdr:row>
      <xdr:rowOff>0</xdr:rowOff>
    </xdr:to>
    <xdr:grpSp>
      <xdr:nvGrpSpPr>
        <xdr:cNvPr id="9193" name="Cross_H54">
          <a:extLst>
            <a:ext uri="{FF2B5EF4-FFF2-40B4-BE49-F238E27FC236}">
              <a16:creationId xmlns:a16="http://schemas.microsoft.com/office/drawing/2014/main" id="{C47FFAEF-88B4-2673-1313-074536CFBC49}"/>
            </a:ext>
          </a:extLst>
        </xdr:cNvPr>
        <xdr:cNvGrpSpPr/>
      </xdr:nvGrpSpPr>
      <xdr:grpSpPr>
        <a:xfrm>
          <a:off x="4610100" y="10226040"/>
          <a:ext cx="594360" cy="167640"/>
          <a:chOff x="4610100" y="10226040"/>
          <a:chExt cx="594360" cy="167640"/>
        </a:xfrm>
      </xdr:grpSpPr>
      <xdr:cxnSp macro="">
        <xdr:nvCxnSpPr>
          <xdr:cNvPr id="9191" name="Gerader Verbinder 9190">
            <a:extLst>
              <a:ext uri="{FF2B5EF4-FFF2-40B4-BE49-F238E27FC236}">
                <a16:creationId xmlns:a16="http://schemas.microsoft.com/office/drawing/2014/main" id="{A50C77DA-4016-13CE-98B6-3FB05C52FF5C}"/>
              </a:ext>
            </a:extLst>
          </xdr:cNvPr>
          <xdr:cNvCxnSpPr/>
        </xdr:nvCxnSpPr>
        <xdr:spPr>
          <a:xfrm>
            <a:off x="4610100" y="102260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192" name="Gerader Verbinder 9191">
            <a:extLst>
              <a:ext uri="{FF2B5EF4-FFF2-40B4-BE49-F238E27FC236}">
                <a16:creationId xmlns:a16="http://schemas.microsoft.com/office/drawing/2014/main" id="{D1769548-56BB-F734-76E7-5E8C3D82AF70}"/>
              </a:ext>
            </a:extLst>
          </xdr:cNvPr>
          <xdr:cNvCxnSpPr/>
        </xdr:nvCxnSpPr>
        <xdr:spPr>
          <a:xfrm flipH="1">
            <a:off x="4610100" y="102260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54</xdr:row>
      <xdr:rowOff>0</xdr:rowOff>
    </xdr:from>
    <xdr:to>
      <xdr:col>8</xdr:col>
      <xdr:colOff>0</xdr:colOff>
      <xdr:row>55</xdr:row>
      <xdr:rowOff>0</xdr:rowOff>
    </xdr:to>
    <xdr:grpSp>
      <xdr:nvGrpSpPr>
        <xdr:cNvPr id="9196" name="Cross_H55">
          <a:extLst>
            <a:ext uri="{FF2B5EF4-FFF2-40B4-BE49-F238E27FC236}">
              <a16:creationId xmlns:a16="http://schemas.microsoft.com/office/drawing/2014/main" id="{61F529D7-5F0F-BB52-C3F9-7C647EF04A50}"/>
            </a:ext>
          </a:extLst>
        </xdr:cNvPr>
        <xdr:cNvGrpSpPr/>
      </xdr:nvGrpSpPr>
      <xdr:grpSpPr>
        <a:xfrm>
          <a:off x="4610100" y="10393680"/>
          <a:ext cx="594360" cy="228600"/>
          <a:chOff x="4610100" y="10393680"/>
          <a:chExt cx="594360" cy="228600"/>
        </a:xfrm>
      </xdr:grpSpPr>
      <xdr:cxnSp macro="">
        <xdr:nvCxnSpPr>
          <xdr:cNvPr id="9194" name="Gerader Verbinder 9193">
            <a:extLst>
              <a:ext uri="{FF2B5EF4-FFF2-40B4-BE49-F238E27FC236}">
                <a16:creationId xmlns:a16="http://schemas.microsoft.com/office/drawing/2014/main" id="{3383B596-3E3C-8D72-F6D0-EBF1C8C6DB76}"/>
              </a:ext>
            </a:extLst>
          </xdr:cNvPr>
          <xdr:cNvCxnSpPr/>
        </xdr:nvCxnSpPr>
        <xdr:spPr>
          <a:xfrm>
            <a:off x="4610100" y="103936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195" name="Gerader Verbinder 9194">
            <a:extLst>
              <a:ext uri="{FF2B5EF4-FFF2-40B4-BE49-F238E27FC236}">
                <a16:creationId xmlns:a16="http://schemas.microsoft.com/office/drawing/2014/main" id="{B54BAB50-7E7A-7113-6617-8C83C7A2E4CA}"/>
              </a:ext>
            </a:extLst>
          </xdr:cNvPr>
          <xdr:cNvCxnSpPr/>
        </xdr:nvCxnSpPr>
        <xdr:spPr>
          <a:xfrm flipH="1">
            <a:off x="4610100" y="103936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55</xdr:row>
      <xdr:rowOff>0</xdr:rowOff>
    </xdr:from>
    <xdr:to>
      <xdr:col>8</xdr:col>
      <xdr:colOff>0</xdr:colOff>
      <xdr:row>56</xdr:row>
      <xdr:rowOff>0</xdr:rowOff>
    </xdr:to>
    <xdr:grpSp>
      <xdr:nvGrpSpPr>
        <xdr:cNvPr id="9199" name="Cross_H56">
          <a:extLst>
            <a:ext uri="{FF2B5EF4-FFF2-40B4-BE49-F238E27FC236}">
              <a16:creationId xmlns:a16="http://schemas.microsoft.com/office/drawing/2014/main" id="{F0EE4B3E-7A0A-27FA-6884-A09830FCE3C6}"/>
            </a:ext>
          </a:extLst>
        </xdr:cNvPr>
        <xdr:cNvGrpSpPr/>
      </xdr:nvGrpSpPr>
      <xdr:grpSpPr>
        <a:xfrm>
          <a:off x="4610100" y="10622280"/>
          <a:ext cx="594360" cy="167640"/>
          <a:chOff x="4610100" y="10622280"/>
          <a:chExt cx="594360" cy="167640"/>
        </a:xfrm>
      </xdr:grpSpPr>
      <xdr:cxnSp macro="">
        <xdr:nvCxnSpPr>
          <xdr:cNvPr id="9197" name="Gerader Verbinder 9196">
            <a:extLst>
              <a:ext uri="{FF2B5EF4-FFF2-40B4-BE49-F238E27FC236}">
                <a16:creationId xmlns:a16="http://schemas.microsoft.com/office/drawing/2014/main" id="{673E29B3-4837-44BD-36C4-95C03400BE6A}"/>
              </a:ext>
            </a:extLst>
          </xdr:cNvPr>
          <xdr:cNvCxnSpPr/>
        </xdr:nvCxnSpPr>
        <xdr:spPr>
          <a:xfrm>
            <a:off x="4610100" y="106222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198" name="Gerader Verbinder 9197">
            <a:extLst>
              <a:ext uri="{FF2B5EF4-FFF2-40B4-BE49-F238E27FC236}">
                <a16:creationId xmlns:a16="http://schemas.microsoft.com/office/drawing/2014/main" id="{EC4EEBF2-39BA-92CF-F6A2-F41011D875B2}"/>
              </a:ext>
            </a:extLst>
          </xdr:cNvPr>
          <xdr:cNvCxnSpPr/>
        </xdr:nvCxnSpPr>
        <xdr:spPr>
          <a:xfrm flipH="1">
            <a:off x="4610100" y="106222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56</xdr:row>
      <xdr:rowOff>0</xdr:rowOff>
    </xdr:from>
    <xdr:to>
      <xdr:col>8</xdr:col>
      <xdr:colOff>0</xdr:colOff>
      <xdr:row>57</xdr:row>
      <xdr:rowOff>0</xdr:rowOff>
    </xdr:to>
    <xdr:grpSp>
      <xdr:nvGrpSpPr>
        <xdr:cNvPr id="9202" name="Cross_H57">
          <a:extLst>
            <a:ext uri="{FF2B5EF4-FFF2-40B4-BE49-F238E27FC236}">
              <a16:creationId xmlns:a16="http://schemas.microsoft.com/office/drawing/2014/main" id="{0B289F16-8AEF-ECC8-3400-4C9842A19DCE}"/>
            </a:ext>
          </a:extLst>
        </xdr:cNvPr>
        <xdr:cNvGrpSpPr/>
      </xdr:nvGrpSpPr>
      <xdr:grpSpPr>
        <a:xfrm>
          <a:off x="4610100" y="10789920"/>
          <a:ext cx="594360" cy="167640"/>
          <a:chOff x="4610100" y="10789920"/>
          <a:chExt cx="594360" cy="167640"/>
        </a:xfrm>
      </xdr:grpSpPr>
      <xdr:cxnSp macro="">
        <xdr:nvCxnSpPr>
          <xdr:cNvPr id="9200" name="Gerader Verbinder 9199">
            <a:extLst>
              <a:ext uri="{FF2B5EF4-FFF2-40B4-BE49-F238E27FC236}">
                <a16:creationId xmlns:a16="http://schemas.microsoft.com/office/drawing/2014/main" id="{19EBE03C-BA9B-70E2-F967-DC8EA9D502DB}"/>
              </a:ext>
            </a:extLst>
          </xdr:cNvPr>
          <xdr:cNvCxnSpPr/>
        </xdr:nvCxnSpPr>
        <xdr:spPr>
          <a:xfrm>
            <a:off x="4610100" y="107899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201" name="Gerader Verbinder 9200">
            <a:extLst>
              <a:ext uri="{FF2B5EF4-FFF2-40B4-BE49-F238E27FC236}">
                <a16:creationId xmlns:a16="http://schemas.microsoft.com/office/drawing/2014/main" id="{E55EFFB1-538B-1BBF-55B9-52B287ED32C2}"/>
              </a:ext>
            </a:extLst>
          </xdr:cNvPr>
          <xdr:cNvCxnSpPr/>
        </xdr:nvCxnSpPr>
        <xdr:spPr>
          <a:xfrm flipH="1">
            <a:off x="4610100" y="107899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63</xdr:row>
      <xdr:rowOff>0</xdr:rowOff>
    </xdr:from>
    <xdr:to>
      <xdr:col>8</xdr:col>
      <xdr:colOff>0</xdr:colOff>
      <xdr:row>64</xdr:row>
      <xdr:rowOff>0</xdr:rowOff>
    </xdr:to>
    <xdr:grpSp>
      <xdr:nvGrpSpPr>
        <xdr:cNvPr id="9205" name="Cross_H64">
          <a:extLst>
            <a:ext uri="{FF2B5EF4-FFF2-40B4-BE49-F238E27FC236}">
              <a16:creationId xmlns:a16="http://schemas.microsoft.com/office/drawing/2014/main" id="{B95424DB-8711-E645-17E6-EE4249A575CF}"/>
            </a:ext>
          </a:extLst>
        </xdr:cNvPr>
        <xdr:cNvGrpSpPr/>
      </xdr:nvGrpSpPr>
      <xdr:grpSpPr>
        <a:xfrm>
          <a:off x="4610100" y="12085320"/>
          <a:ext cx="594360" cy="228600"/>
          <a:chOff x="4610100" y="12085320"/>
          <a:chExt cx="594360" cy="228600"/>
        </a:xfrm>
      </xdr:grpSpPr>
      <xdr:cxnSp macro="">
        <xdr:nvCxnSpPr>
          <xdr:cNvPr id="9203" name="Gerader Verbinder 9202">
            <a:extLst>
              <a:ext uri="{FF2B5EF4-FFF2-40B4-BE49-F238E27FC236}">
                <a16:creationId xmlns:a16="http://schemas.microsoft.com/office/drawing/2014/main" id="{AA9090DC-1993-DC68-4157-89B70A600037}"/>
              </a:ext>
            </a:extLst>
          </xdr:cNvPr>
          <xdr:cNvCxnSpPr/>
        </xdr:nvCxnSpPr>
        <xdr:spPr>
          <a:xfrm>
            <a:off x="4610100" y="1208532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204" name="Gerader Verbinder 9203">
            <a:extLst>
              <a:ext uri="{FF2B5EF4-FFF2-40B4-BE49-F238E27FC236}">
                <a16:creationId xmlns:a16="http://schemas.microsoft.com/office/drawing/2014/main" id="{AA38072A-17F5-81EA-99AF-A0BDEB02C5E1}"/>
              </a:ext>
            </a:extLst>
          </xdr:cNvPr>
          <xdr:cNvCxnSpPr/>
        </xdr:nvCxnSpPr>
        <xdr:spPr>
          <a:xfrm flipH="1">
            <a:off x="4610100" y="1208532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64</xdr:row>
      <xdr:rowOff>0</xdr:rowOff>
    </xdr:from>
    <xdr:to>
      <xdr:col>8</xdr:col>
      <xdr:colOff>0</xdr:colOff>
      <xdr:row>65</xdr:row>
      <xdr:rowOff>0</xdr:rowOff>
    </xdr:to>
    <xdr:grpSp>
      <xdr:nvGrpSpPr>
        <xdr:cNvPr id="9208" name="Cross_H65">
          <a:extLst>
            <a:ext uri="{FF2B5EF4-FFF2-40B4-BE49-F238E27FC236}">
              <a16:creationId xmlns:a16="http://schemas.microsoft.com/office/drawing/2014/main" id="{6B66885F-0AE9-4CBB-FD4E-DC4C39363F2B}"/>
            </a:ext>
          </a:extLst>
        </xdr:cNvPr>
        <xdr:cNvGrpSpPr/>
      </xdr:nvGrpSpPr>
      <xdr:grpSpPr>
        <a:xfrm>
          <a:off x="4610100" y="12313920"/>
          <a:ext cx="594360" cy="167640"/>
          <a:chOff x="4610100" y="12313920"/>
          <a:chExt cx="594360" cy="167640"/>
        </a:xfrm>
      </xdr:grpSpPr>
      <xdr:cxnSp macro="">
        <xdr:nvCxnSpPr>
          <xdr:cNvPr id="9206" name="Gerader Verbinder 9205">
            <a:extLst>
              <a:ext uri="{FF2B5EF4-FFF2-40B4-BE49-F238E27FC236}">
                <a16:creationId xmlns:a16="http://schemas.microsoft.com/office/drawing/2014/main" id="{48DFD44D-E1C8-0CF9-7CAA-5F49868C1419}"/>
              </a:ext>
            </a:extLst>
          </xdr:cNvPr>
          <xdr:cNvCxnSpPr/>
        </xdr:nvCxnSpPr>
        <xdr:spPr>
          <a:xfrm>
            <a:off x="4610100" y="123139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207" name="Gerader Verbinder 9206">
            <a:extLst>
              <a:ext uri="{FF2B5EF4-FFF2-40B4-BE49-F238E27FC236}">
                <a16:creationId xmlns:a16="http://schemas.microsoft.com/office/drawing/2014/main" id="{E4DACCD8-8A06-9C83-208F-4D78C5629837}"/>
              </a:ext>
            </a:extLst>
          </xdr:cNvPr>
          <xdr:cNvCxnSpPr/>
        </xdr:nvCxnSpPr>
        <xdr:spPr>
          <a:xfrm flipH="1">
            <a:off x="4610100" y="123139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65</xdr:row>
      <xdr:rowOff>0</xdr:rowOff>
    </xdr:from>
    <xdr:to>
      <xdr:col>8</xdr:col>
      <xdr:colOff>0</xdr:colOff>
      <xdr:row>66</xdr:row>
      <xdr:rowOff>0</xdr:rowOff>
    </xdr:to>
    <xdr:grpSp>
      <xdr:nvGrpSpPr>
        <xdr:cNvPr id="9211" name="Cross_H66">
          <a:extLst>
            <a:ext uri="{FF2B5EF4-FFF2-40B4-BE49-F238E27FC236}">
              <a16:creationId xmlns:a16="http://schemas.microsoft.com/office/drawing/2014/main" id="{28F1708F-537B-32DD-B272-51C7892DDD93}"/>
            </a:ext>
          </a:extLst>
        </xdr:cNvPr>
        <xdr:cNvGrpSpPr/>
      </xdr:nvGrpSpPr>
      <xdr:grpSpPr>
        <a:xfrm>
          <a:off x="4610100" y="12481560"/>
          <a:ext cx="594360" cy="167640"/>
          <a:chOff x="4610100" y="12481560"/>
          <a:chExt cx="594360" cy="167640"/>
        </a:xfrm>
      </xdr:grpSpPr>
      <xdr:cxnSp macro="">
        <xdr:nvCxnSpPr>
          <xdr:cNvPr id="9209" name="Gerader Verbinder 9208">
            <a:extLst>
              <a:ext uri="{FF2B5EF4-FFF2-40B4-BE49-F238E27FC236}">
                <a16:creationId xmlns:a16="http://schemas.microsoft.com/office/drawing/2014/main" id="{0CFC96DD-BFB2-CC04-332C-7EDFBDF2BFBA}"/>
              </a:ext>
            </a:extLst>
          </xdr:cNvPr>
          <xdr:cNvCxnSpPr/>
        </xdr:nvCxnSpPr>
        <xdr:spPr>
          <a:xfrm>
            <a:off x="4610100" y="124815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210" name="Gerader Verbinder 9209">
            <a:extLst>
              <a:ext uri="{FF2B5EF4-FFF2-40B4-BE49-F238E27FC236}">
                <a16:creationId xmlns:a16="http://schemas.microsoft.com/office/drawing/2014/main" id="{129E5A0C-C7FB-D148-52D8-683D7CED3458}"/>
              </a:ext>
            </a:extLst>
          </xdr:cNvPr>
          <xdr:cNvCxnSpPr/>
        </xdr:nvCxnSpPr>
        <xdr:spPr>
          <a:xfrm flipH="1">
            <a:off x="4610100" y="124815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66</xdr:row>
      <xdr:rowOff>0</xdr:rowOff>
    </xdr:from>
    <xdr:to>
      <xdr:col>8</xdr:col>
      <xdr:colOff>0</xdr:colOff>
      <xdr:row>67</xdr:row>
      <xdr:rowOff>0</xdr:rowOff>
    </xdr:to>
    <xdr:grpSp>
      <xdr:nvGrpSpPr>
        <xdr:cNvPr id="9214" name="Cross_H67">
          <a:extLst>
            <a:ext uri="{FF2B5EF4-FFF2-40B4-BE49-F238E27FC236}">
              <a16:creationId xmlns:a16="http://schemas.microsoft.com/office/drawing/2014/main" id="{4FD0EAA5-0187-11BB-75BF-50EA7B75717C}"/>
            </a:ext>
          </a:extLst>
        </xdr:cNvPr>
        <xdr:cNvGrpSpPr/>
      </xdr:nvGrpSpPr>
      <xdr:grpSpPr>
        <a:xfrm>
          <a:off x="4610100" y="12649200"/>
          <a:ext cx="594360" cy="228600"/>
          <a:chOff x="4610100" y="12649200"/>
          <a:chExt cx="594360" cy="228600"/>
        </a:xfrm>
      </xdr:grpSpPr>
      <xdr:cxnSp macro="">
        <xdr:nvCxnSpPr>
          <xdr:cNvPr id="9212" name="Gerader Verbinder 9211">
            <a:extLst>
              <a:ext uri="{FF2B5EF4-FFF2-40B4-BE49-F238E27FC236}">
                <a16:creationId xmlns:a16="http://schemas.microsoft.com/office/drawing/2014/main" id="{5B12A543-F518-6834-CDA9-44EAAE87DF46}"/>
              </a:ext>
            </a:extLst>
          </xdr:cNvPr>
          <xdr:cNvCxnSpPr/>
        </xdr:nvCxnSpPr>
        <xdr:spPr>
          <a:xfrm>
            <a:off x="4610100" y="1264920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213" name="Gerader Verbinder 9212">
            <a:extLst>
              <a:ext uri="{FF2B5EF4-FFF2-40B4-BE49-F238E27FC236}">
                <a16:creationId xmlns:a16="http://schemas.microsoft.com/office/drawing/2014/main" id="{94BE7CD7-D4E8-6412-61A6-6B38A97F6CFF}"/>
              </a:ext>
            </a:extLst>
          </xdr:cNvPr>
          <xdr:cNvCxnSpPr/>
        </xdr:nvCxnSpPr>
        <xdr:spPr>
          <a:xfrm flipH="1">
            <a:off x="4610100" y="1264920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67</xdr:row>
      <xdr:rowOff>0</xdr:rowOff>
    </xdr:from>
    <xdr:to>
      <xdr:col>8</xdr:col>
      <xdr:colOff>0</xdr:colOff>
      <xdr:row>67</xdr:row>
      <xdr:rowOff>167639</xdr:rowOff>
    </xdr:to>
    <xdr:grpSp>
      <xdr:nvGrpSpPr>
        <xdr:cNvPr id="9217" name="Cross_H68">
          <a:extLst>
            <a:ext uri="{FF2B5EF4-FFF2-40B4-BE49-F238E27FC236}">
              <a16:creationId xmlns:a16="http://schemas.microsoft.com/office/drawing/2014/main" id="{24BAE271-8C0D-7B2B-33F6-4797DF38A7C6}"/>
            </a:ext>
          </a:extLst>
        </xdr:cNvPr>
        <xdr:cNvGrpSpPr/>
      </xdr:nvGrpSpPr>
      <xdr:grpSpPr>
        <a:xfrm>
          <a:off x="4610100" y="12877800"/>
          <a:ext cx="594360" cy="167639"/>
          <a:chOff x="4610100" y="12877800"/>
          <a:chExt cx="594360" cy="167639"/>
        </a:xfrm>
      </xdr:grpSpPr>
      <xdr:cxnSp macro="">
        <xdr:nvCxnSpPr>
          <xdr:cNvPr id="9215" name="Gerader Verbinder 9214">
            <a:extLst>
              <a:ext uri="{FF2B5EF4-FFF2-40B4-BE49-F238E27FC236}">
                <a16:creationId xmlns:a16="http://schemas.microsoft.com/office/drawing/2014/main" id="{497BF26A-CA03-DE8B-034F-6AF681A95F0B}"/>
              </a:ext>
            </a:extLst>
          </xdr:cNvPr>
          <xdr:cNvCxnSpPr/>
        </xdr:nvCxnSpPr>
        <xdr:spPr>
          <a:xfrm>
            <a:off x="4610100" y="12877800"/>
            <a:ext cx="59436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216" name="Gerader Verbinder 9215">
            <a:extLst>
              <a:ext uri="{FF2B5EF4-FFF2-40B4-BE49-F238E27FC236}">
                <a16:creationId xmlns:a16="http://schemas.microsoft.com/office/drawing/2014/main" id="{56D29F4D-1848-314B-C83B-71D8C1DE4CD3}"/>
              </a:ext>
            </a:extLst>
          </xdr:cNvPr>
          <xdr:cNvCxnSpPr/>
        </xdr:nvCxnSpPr>
        <xdr:spPr>
          <a:xfrm flipH="1">
            <a:off x="4610100" y="12877800"/>
            <a:ext cx="59436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67</xdr:row>
      <xdr:rowOff>167639</xdr:rowOff>
    </xdr:from>
    <xdr:to>
      <xdr:col>8</xdr:col>
      <xdr:colOff>0</xdr:colOff>
      <xdr:row>69</xdr:row>
      <xdr:rowOff>0</xdr:rowOff>
    </xdr:to>
    <xdr:grpSp>
      <xdr:nvGrpSpPr>
        <xdr:cNvPr id="9220" name="Cross_H69">
          <a:extLst>
            <a:ext uri="{FF2B5EF4-FFF2-40B4-BE49-F238E27FC236}">
              <a16:creationId xmlns:a16="http://schemas.microsoft.com/office/drawing/2014/main" id="{5A9C60FD-4783-A01F-E4DF-29B90AE459C0}"/>
            </a:ext>
          </a:extLst>
        </xdr:cNvPr>
        <xdr:cNvGrpSpPr/>
      </xdr:nvGrpSpPr>
      <xdr:grpSpPr>
        <a:xfrm>
          <a:off x="4610100" y="13045439"/>
          <a:ext cx="594360" cy="167641"/>
          <a:chOff x="4610100" y="13045439"/>
          <a:chExt cx="594360" cy="167641"/>
        </a:xfrm>
      </xdr:grpSpPr>
      <xdr:cxnSp macro="">
        <xdr:nvCxnSpPr>
          <xdr:cNvPr id="9218" name="Gerader Verbinder 9217">
            <a:extLst>
              <a:ext uri="{FF2B5EF4-FFF2-40B4-BE49-F238E27FC236}">
                <a16:creationId xmlns:a16="http://schemas.microsoft.com/office/drawing/2014/main" id="{686DD138-07A4-6D9F-AF0E-7A5FA8D25ED4}"/>
              </a:ext>
            </a:extLst>
          </xdr:cNvPr>
          <xdr:cNvCxnSpPr/>
        </xdr:nvCxnSpPr>
        <xdr:spPr>
          <a:xfrm>
            <a:off x="4610100" y="13045439"/>
            <a:ext cx="594360" cy="167641"/>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219" name="Gerader Verbinder 9218">
            <a:extLst>
              <a:ext uri="{FF2B5EF4-FFF2-40B4-BE49-F238E27FC236}">
                <a16:creationId xmlns:a16="http://schemas.microsoft.com/office/drawing/2014/main" id="{D2176F2C-E640-FF41-3E68-01E924B62FCE}"/>
              </a:ext>
            </a:extLst>
          </xdr:cNvPr>
          <xdr:cNvCxnSpPr/>
        </xdr:nvCxnSpPr>
        <xdr:spPr>
          <a:xfrm flipH="1">
            <a:off x="4610100" y="13045439"/>
            <a:ext cx="594360" cy="167641"/>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72</xdr:row>
      <xdr:rowOff>1</xdr:rowOff>
    </xdr:from>
    <xdr:to>
      <xdr:col>8</xdr:col>
      <xdr:colOff>0</xdr:colOff>
      <xdr:row>73</xdr:row>
      <xdr:rowOff>1</xdr:rowOff>
    </xdr:to>
    <xdr:grpSp>
      <xdr:nvGrpSpPr>
        <xdr:cNvPr id="9223" name="Cross_H73">
          <a:extLst>
            <a:ext uri="{FF2B5EF4-FFF2-40B4-BE49-F238E27FC236}">
              <a16:creationId xmlns:a16="http://schemas.microsoft.com/office/drawing/2014/main" id="{47D9B9B9-851D-4387-6FE3-C1ED6B46262F}"/>
            </a:ext>
          </a:extLst>
        </xdr:cNvPr>
        <xdr:cNvGrpSpPr/>
      </xdr:nvGrpSpPr>
      <xdr:grpSpPr>
        <a:xfrm>
          <a:off x="4610100" y="13776961"/>
          <a:ext cx="594360" cy="228600"/>
          <a:chOff x="4610100" y="13776961"/>
          <a:chExt cx="594360" cy="228600"/>
        </a:xfrm>
      </xdr:grpSpPr>
      <xdr:cxnSp macro="">
        <xdr:nvCxnSpPr>
          <xdr:cNvPr id="9221" name="Gerader Verbinder 9220">
            <a:extLst>
              <a:ext uri="{FF2B5EF4-FFF2-40B4-BE49-F238E27FC236}">
                <a16:creationId xmlns:a16="http://schemas.microsoft.com/office/drawing/2014/main" id="{C47577DA-AB06-C2EC-B4B4-8A93C19C0F71}"/>
              </a:ext>
            </a:extLst>
          </xdr:cNvPr>
          <xdr:cNvCxnSpPr/>
        </xdr:nvCxnSpPr>
        <xdr:spPr>
          <a:xfrm>
            <a:off x="4610100" y="13776961"/>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222" name="Gerader Verbinder 9221">
            <a:extLst>
              <a:ext uri="{FF2B5EF4-FFF2-40B4-BE49-F238E27FC236}">
                <a16:creationId xmlns:a16="http://schemas.microsoft.com/office/drawing/2014/main" id="{CB5FF5F1-BBF1-9519-032C-CDB1D0144E46}"/>
              </a:ext>
            </a:extLst>
          </xdr:cNvPr>
          <xdr:cNvCxnSpPr/>
        </xdr:nvCxnSpPr>
        <xdr:spPr>
          <a:xfrm flipH="1">
            <a:off x="4610100" y="13776961"/>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73</xdr:row>
      <xdr:rowOff>1</xdr:rowOff>
    </xdr:from>
    <xdr:to>
      <xdr:col>8</xdr:col>
      <xdr:colOff>0</xdr:colOff>
      <xdr:row>74</xdr:row>
      <xdr:rowOff>0</xdr:rowOff>
    </xdr:to>
    <xdr:grpSp>
      <xdr:nvGrpSpPr>
        <xdr:cNvPr id="9226" name="Cross_H74">
          <a:extLst>
            <a:ext uri="{FF2B5EF4-FFF2-40B4-BE49-F238E27FC236}">
              <a16:creationId xmlns:a16="http://schemas.microsoft.com/office/drawing/2014/main" id="{7B989FCD-3E91-93E9-D4A1-68BDF7467DCF}"/>
            </a:ext>
          </a:extLst>
        </xdr:cNvPr>
        <xdr:cNvGrpSpPr/>
      </xdr:nvGrpSpPr>
      <xdr:grpSpPr>
        <a:xfrm>
          <a:off x="4610100" y="14005561"/>
          <a:ext cx="594360" cy="167639"/>
          <a:chOff x="4610100" y="14005561"/>
          <a:chExt cx="594360" cy="167639"/>
        </a:xfrm>
      </xdr:grpSpPr>
      <xdr:cxnSp macro="">
        <xdr:nvCxnSpPr>
          <xdr:cNvPr id="9224" name="Gerader Verbinder 9223">
            <a:extLst>
              <a:ext uri="{FF2B5EF4-FFF2-40B4-BE49-F238E27FC236}">
                <a16:creationId xmlns:a16="http://schemas.microsoft.com/office/drawing/2014/main" id="{C48436B5-974E-9D13-EA3E-D5DA09DC727D}"/>
              </a:ext>
            </a:extLst>
          </xdr:cNvPr>
          <xdr:cNvCxnSpPr/>
        </xdr:nvCxnSpPr>
        <xdr:spPr>
          <a:xfrm>
            <a:off x="4610100" y="14005561"/>
            <a:ext cx="59436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225" name="Gerader Verbinder 9224">
            <a:extLst>
              <a:ext uri="{FF2B5EF4-FFF2-40B4-BE49-F238E27FC236}">
                <a16:creationId xmlns:a16="http://schemas.microsoft.com/office/drawing/2014/main" id="{925410DE-61EE-A0D4-CAC4-FA1F836DFFC7}"/>
              </a:ext>
            </a:extLst>
          </xdr:cNvPr>
          <xdr:cNvCxnSpPr/>
        </xdr:nvCxnSpPr>
        <xdr:spPr>
          <a:xfrm flipH="1">
            <a:off x="4610100" y="14005561"/>
            <a:ext cx="59436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74</xdr:row>
      <xdr:rowOff>0</xdr:rowOff>
    </xdr:from>
    <xdr:to>
      <xdr:col>8</xdr:col>
      <xdr:colOff>0</xdr:colOff>
      <xdr:row>74</xdr:row>
      <xdr:rowOff>167639</xdr:rowOff>
    </xdr:to>
    <xdr:grpSp>
      <xdr:nvGrpSpPr>
        <xdr:cNvPr id="9229" name="Cross_H75">
          <a:extLst>
            <a:ext uri="{FF2B5EF4-FFF2-40B4-BE49-F238E27FC236}">
              <a16:creationId xmlns:a16="http://schemas.microsoft.com/office/drawing/2014/main" id="{0045A7D0-5865-4613-D7C4-C8129B922D58}"/>
            </a:ext>
          </a:extLst>
        </xdr:cNvPr>
        <xdr:cNvGrpSpPr/>
      </xdr:nvGrpSpPr>
      <xdr:grpSpPr>
        <a:xfrm>
          <a:off x="4610100" y="14173200"/>
          <a:ext cx="594360" cy="167639"/>
          <a:chOff x="4610100" y="14173200"/>
          <a:chExt cx="594360" cy="167639"/>
        </a:xfrm>
      </xdr:grpSpPr>
      <xdr:cxnSp macro="">
        <xdr:nvCxnSpPr>
          <xdr:cNvPr id="9227" name="Gerader Verbinder 9226">
            <a:extLst>
              <a:ext uri="{FF2B5EF4-FFF2-40B4-BE49-F238E27FC236}">
                <a16:creationId xmlns:a16="http://schemas.microsoft.com/office/drawing/2014/main" id="{2DE5BFE0-7AC2-A558-52B8-CFA57F4B69EB}"/>
              </a:ext>
            </a:extLst>
          </xdr:cNvPr>
          <xdr:cNvCxnSpPr/>
        </xdr:nvCxnSpPr>
        <xdr:spPr>
          <a:xfrm>
            <a:off x="4610100" y="14173200"/>
            <a:ext cx="59436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228" name="Gerader Verbinder 9227">
            <a:extLst>
              <a:ext uri="{FF2B5EF4-FFF2-40B4-BE49-F238E27FC236}">
                <a16:creationId xmlns:a16="http://schemas.microsoft.com/office/drawing/2014/main" id="{767D71F6-7125-7250-0774-AF60AFA80FDC}"/>
              </a:ext>
            </a:extLst>
          </xdr:cNvPr>
          <xdr:cNvCxnSpPr/>
        </xdr:nvCxnSpPr>
        <xdr:spPr>
          <a:xfrm flipH="1">
            <a:off x="4610100" y="14173200"/>
            <a:ext cx="59436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0</xdr:colOff>
          <xdr:row>29</xdr:row>
          <xdr:rowOff>68580</xdr:rowOff>
        </xdr:from>
        <xdr:to>
          <xdr:col>23</xdr:col>
          <xdr:colOff>434340</xdr:colOff>
          <xdr:row>32</xdr:row>
          <xdr:rowOff>99060</xdr:rowOff>
        </xdr:to>
        <xdr:sp macro="" textlink="">
          <xdr:nvSpPr>
            <xdr:cNvPr id="10243" name="cmdCreateTables" hidden="1">
              <a:extLst>
                <a:ext uri="{63B3BB69-23CF-44E3-9099-C40C66FF867C}">
                  <a14:compatExt spid="_x0000_s10243"/>
                </a:ext>
                <a:ext uri="{FF2B5EF4-FFF2-40B4-BE49-F238E27FC236}">
                  <a16:creationId xmlns:a16="http://schemas.microsoft.com/office/drawing/2014/main" id="{00000000-0008-0000-0900-000003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33</xdr:row>
          <xdr:rowOff>0</xdr:rowOff>
        </xdr:from>
        <xdr:to>
          <xdr:col>25</xdr:col>
          <xdr:colOff>358140</xdr:colOff>
          <xdr:row>36</xdr:row>
          <xdr:rowOff>30480</xdr:rowOff>
        </xdr:to>
        <xdr:sp macro="" textlink="">
          <xdr:nvSpPr>
            <xdr:cNvPr id="10244" name="cmdCreateResults" hidden="1">
              <a:extLst>
                <a:ext uri="{63B3BB69-23CF-44E3-9099-C40C66FF867C}">
                  <a14:compatExt spid="_x0000_s10244"/>
                </a:ext>
                <a:ext uri="{FF2B5EF4-FFF2-40B4-BE49-F238E27FC236}">
                  <a16:creationId xmlns:a16="http://schemas.microsoft.com/office/drawing/2014/main" id="{00000000-0008-0000-0900-000004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29</xdr:row>
          <xdr:rowOff>68580</xdr:rowOff>
        </xdr:from>
        <xdr:to>
          <xdr:col>25</xdr:col>
          <xdr:colOff>358140</xdr:colOff>
          <xdr:row>32</xdr:row>
          <xdr:rowOff>99060</xdr:rowOff>
        </xdr:to>
        <xdr:sp macro="" textlink="">
          <xdr:nvSpPr>
            <xdr:cNvPr id="10246" name="cmdClearAll" hidden="1">
              <a:extLst>
                <a:ext uri="{63B3BB69-23CF-44E3-9099-C40C66FF867C}">
                  <a14:compatExt spid="_x0000_s10246"/>
                </a:ext>
                <a:ext uri="{FF2B5EF4-FFF2-40B4-BE49-F238E27FC236}">
                  <a16:creationId xmlns:a16="http://schemas.microsoft.com/office/drawing/2014/main" id="{00000000-0008-0000-0900-000006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0</xdr:colOff>
          <xdr:row>33</xdr:row>
          <xdr:rowOff>0</xdr:rowOff>
        </xdr:from>
        <xdr:to>
          <xdr:col>23</xdr:col>
          <xdr:colOff>434340</xdr:colOff>
          <xdr:row>36</xdr:row>
          <xdr:rowOff>30480</xdr:rowOff>
        </xdr:to>
        <xdr:sp macro="" textlink="">
          <xdr:nvSpPr>
            <xdr:cNvPr id="10276" name="btnSelExUpdate" hidden="1">
              <a:extLst>
                <a:ext uri="{63B3BB69-23CF-44E3-9099-C40C66FF867C}">
                  <a14:compatExt spid="_x0000_s10276"/>
                </a:ext>
                <a:ext uri="{FF2B5EF4-FFF2-40B4-BE49-F238E27FC236}">
                  <a16:creationId xmlns:a16="http://schemas.microsoft.com/office/drawing/2014/main" id="{00000000-0008-0000-0900-0000242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441960</xdr:colOff>
          <xdr:row>27</xdr:row>
          <xdr:rowOff>0</xdr:rowOff>
        </xdr:from>
        <xdr:to>
          <xdr:col>9</xdr:col>
          <xdr:colOff>388620</xdr:colOff>
          <xdr:row>28</xdr:row>
          <xdr:rowOff>160020</xdr:rowOff>
        </xdr:to>
        <xdr:sp macro="" textlink="">
          <xdr:nvSpPr>
            <xdr:cNvPr id="10277" name="cmdEK" hidden="1">
              <a:extLst>
                <a:ext uri="{63B3BB69-23CF-44E3-9099-C40C66FF867C}">
                  <a14:compatExt spid="_x0000_s10277"/>
                </a:ext>
                <a:ext uri="{FF2B5EF4-FFF2-40B4-BE49-F238E27FC236}">
                  <a16:creationId xmlns:a16="http://schemas.microsoft.com/office/drawing/2014/main" id="{00000000-0008-0000-0900-000025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441960</xdr:colOff>
          <xdr:row>27</xdr:row>
          <xdr:rowOff>0</xdr:rowOff>
        </xdr:from>
        <xdr:to>
          <xdr:col>10</xdr:col>
          <xdr:colOff>388620</xdr:colOff>
          <xdr:row>28</xdr:row>
          <xdr:rowOff>160020</xdr:rowOff>
        </xdr:to>
        <xdr:sp macro="" textlink="">
          <xdr:nvSpPr>
            <xdr:cNvPr id="10278" name="cmdZK" hidden="1">
              <a:extLst>
                <a:ext uri="{63B3BB69-23CF-44E3-9099-C40C66FF867C}">
                  <a14:compatExt spid="_x0000_s10278"/>
                </a:ext>
                <a:ext uri="{FF2B5EF4-FFF2-40B4-BE49-F238E27FC236}">
                  <a16:creationId xmlns:a16="http://schemas.microsoft.com/office/drawing/2014/main" id="{00000000-0008-0000-0900-000026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0</xdr:colOff>
          <xdr:row>27</xdr:row>
          <xdr:rowOff>0</xdr:rowOff>
        </xdr:from>
        <xdr:to>
          <xdr:col>11</xdr:col>
          <xdr:colOff>403860</xdr:colOff>
          <xdr:row>28</xdr:row>
          <xdr:rowOff>160020</xdr:rowOff>
        </xdr:to>
        <xdr:sp macro="" textlink="">
          <xdr:nvSpPr>
            <xdr:cNvPr id="10279" name="cmdDK" hidden="1">
              <a:extLst>
                <a:ext uri="{63B3BB69-23CF-44E3-9099-C40C66FF867C}">
                  <a14:compatExt spid="_x0000_s10279"/>
                </a:ext>
                <a:ext uri="{FF2B5EF4-FFF2-40B4-BE49-F238E27FC236}">
                  <a16:creationId xmlns:a16="http://schemas.microsoft.com/office/drawing/2014/main" id="{00000000-0008-0000-0900-000027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0</xdr:colOff>
          <xdr:row>27</xdr:row>
          <xdr:rowOff>0</xdr:rowOff>
        </xdr:from>
        <xdr:to>
          <xdr:col>12</xdr:col>
          <xdr:colOff>403860</xdr:colOff>
          <xdr:row>28</xdr:row>
          <xdr:rowOff>160020</xdr:rowOff>
        </xdr:to>
        <xdr:sp macro="" textlink="">
          <xdr:nvSpPr>
            <xdr:cNvPr id="10280" name="cmdAK" hidden="1">
              <a:extLst>
                <a:ext uri="{63B3BB69-23CF-44E3-9099-C40C66FF867C}">
                  <a14:compatExt spid="_x0000_s10280"/>
                </a:ext>
                <a:ext uri="{FF2B5EF4-FFF2-40B4-BE49-F238E27FC236}">
                  <a16:creationId xmlns:a16="http://schemas.microsoft.com/office/drawing/2014/main" id="{00000000-0008-0000-0900-000028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27</xdr:col>
          <xdr:colOff>0</xdr:colOff>
          <xdr:row>29</xdr:row>
          <xdr:rowOff>68580</xdr:rowOff>
        </xdr:from>
        <xdr:to>
          <xdr:col>29</xdr:col>
          <xdr:colOff>441960</xdr:colOff>
          <xdr:row>32</xdr:row>
          <xdr:rowOff>99060</xdr:rowOff>
        </xdr:to>
        <xdr:sp macro="" textlink="">
          <xdr:nvSpPr>
            <xdr:cNvPr id="10285" name="cmdAddZKDK" hidden="1">
              <a:extLst>
                <a:ext uri="{63B3BB69-23CF-44E3-9099-C40C66FF867C}">
                  <a14:compatExt spid="_x0000_s10285"/>
                </a:ext>
                <a:ext uri="{FF2B5EF4-FFF2-40B4-BE49-F238E27FC236}">
                  <a16:creationId xmlns:a16="http://schemas.microsoft.com/office/drawing/2014/main" id="{00000000-0008-0000-0900-00002D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29</xdr:col>
          <xdr:colOff>518160</xdr:colOff>
          <xdr:row>29</xdr:row>
          <xdr:rowOff>68580</xdr:rowOff>
        </xdr:from>
        <xdr:to>
          <xdr:col>31</xdr:col>
          <xdr:colOff>342900</xdr:colOff>
          <xdr:row>32</xdr:row>
          <xdr:rowOff>99060</xdr:rowOff>
        </xdr:to>
        <xdr:sp macro="" textlink="">
          <xdr:nvSpPr>
            <xdr:cNvPr id="10287" name="cmdDelZKDK" hidden="1">
              <a:extLst>
                <a:ext uri="{63B3BB69-23CF-44E3-9099-C40C66FF867C}">
                  <a14:compatExt spid="_x0000_s10287"/>
                </a:ext>
                <a:ext uri="{FF2B5EF4-FFF2-40B4-BE49-F238E27FC236}">
                  <a16:creationId xmlns:a16="http://schemas.microsoft.com/office/drawing/2014/main" id="{00000000-0008-0000-0900-00002F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27</xdr:col>
          <xdr:colOff>0</xdr:colOff>
          <xdr:row>33</xdr:row>
          <xdr:rowOff>0</xdr:rowOff>
        </xdr:from>
        <xdr:to>
          <xdr:col>29</xdr:col>
          <xdr:colOff>441960</xdr:colOff>
          <xdr:row>36</xdr:row>
          <xdr:rowOff>30480</xdr:rowOff>
        </xdr:to>
        <xdr:sp macro="" textlink="">
          <xdr:nvSpPr>
            <xdr:cNvPr id="10288" name="cmdImportZK" hidden="1">
              <a:extLst>
                <a:ext uri="{63B3BB69-23CF-44E3-9099-C40C66FF867C}">
                  <a14:compatExt spid="_x0000_s10288"/>
                </a:ext>
                <a:ext uri="{FF2B5EF4-FFF2-40B4-BE49-F238E27FC236}">
                  <a16:creationId xmlns:a16="http://schemas.microsoft.com/office/drawing/2014/main" id="{00000000-0008-0000-0900-000030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29</xdr:col>
          <xdr:colOff>518160</xdr:colOff>
          <xdr:row>33</xdr:row>
          <xdr:rowOff>0</xdr:rowOff>
        </xdr:from>
        <xdr:to>
          <xdr:col>31</xdr:col>
          <xdr:colOff>342900</xdr:colOff>
          <xdr:row>36</xdr:row>
          <xdr:rowOff>30480</xdr:rowOff>
        </xdr:to>
        <xdr:sp macro="" textlink="">
          <xdr:nvSpPr>
            <xdr:cNvPr id="10289" name="cmdImportDK" hidden="1">
              <a:extLst>
                <a:ext uri="{63B3BB69-23CF-44E3-9099-C40C66FF867C}">
                  <a14:compatExt spid="_x0000_s10289"/>
                </a:ext>
                <a:ext uri="{FF2B5EF4-FFF2-40B4-BE49-F238E27FC236}">
                  <a16:creationId xmlns:a16="http://schemas.microsoft.com/office/drawing/2014/main" id="{00000000-0008-0000-0900-00003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xml"/><Relationship Id="rId13" Type="http://schemas.openxmlformats.org/officeDocument/2006/relationships/image" Target="../media/image4.emf"/><Relationship Id="rId18" Type="http://schemas.openxmlformats.org/officeDocument/2006/relationships/control" Target="../activeX/activeX7.xml"/><Relationship Id="rId26" Type="http://schemas.openxmlformats.org/officeDocument/2006/relationships/control" Target="../activeX/activeX11.xml"/><Relationship Id="rId3" Type="http://schemas.openxmlformats.org/officeDocument/2006/relationships/printerSettings" Target="../printerSettings/printerSettings3.bin"/><Relationship Id="rId21" Type="http://schemas.openxmlformats.org/officeDocument/2006/relationships/image" Target="../media/image8.emf"/><Relationship Id="rId7" Type="http://schemas.openxmlformats.org/officeDocument/2006/relationships/image" Target="../media/image1.emf"/><Relationship Id="rId12" Type="http://schemas.openxmlformats.org/officeDocument/2006/relationships/control" Target="../activeX/activeX4.xml"/><Relationship Id="rId17" Type="http://schemas.openxmlformats.org/officeDocument/2006/relationships/image" Target="../media/image6.emf"/><Relationship Id="rId25" Type="http://schemas.openxmlformats.org/officeDocument/2006/relationships/image" Target="../media/image10.emf"/><Relationship Id="rId2" Type="http://schemas.openxmlformats.org/officeDocument/2006/relationships/hyperlink" Target="https://github.com/bee-eater/EXCEL-Korrekturliste-Mathe-ABI/blob/master/LICENSE" TargetMode="External"/><Relationship Id="rId16" Type="http://schemas.openxmlformats.org/officeDocument/2006/relationships/control" Target="../activeX/activeX6.xml"/><Relationship Id="rId20" Type="http://schemas.openxmlformats.org/officeDocument/2006/relationships/control" Target="../activeX/activeX8.xml"/><Relationship Id="rId29" Type="http://schemas.openxmlformats.org/officeDocument/2006/relationships/image" Target="../media/image12.emf"/><Relationship Id="rId1" Type="http://schemas.openxmlformats.org/officeDocument/2006/relationships/hyperlink" Target="https://github.com/bee-eater/EXCEL-Korrekturliste-Mathe-ABI/releases" TargetMode="External"/><Relationship Id="rId6" Type="http://schemas.openxmlformats.org/officeDocument/2006/relationships/control" Target="../activeX/activeX1.xml"/><Relationship Id="rId11" Type="http://schemas.openxmlformats.org/officeDocument/2006/relationships/image" Target="../media/image3.emf"/><Relationship Id="rId24" Type="http://schemas.openxmlformats.org/officeDocument/2006/relationships/control" Target="../activeX/activeX10.xml"/><Relationship Id="rId5" Type="http://schemas.openxmlformats.org/officeDocument/2006/relationships/vmlDrawing" Target="../drawings/vmlDrawing1.vml"/><Relationship Id="rId15" Type="http://schemas.openxmlformats.org/officeDocument/2006/relationships/image" Target="../media/image5.emf"/><Relationship Id="rId23" Type="http://schemas.openxmlformats.org/officeDocument/2006/relationships/image" Target="../media/image9.emf"/><Relationship Id="rId28" Type="http://schemas.openxmlformats.org/officeDocument/2006/relationships/control" Target="../activeX/activeX12.xml"/><Relationship Id="rId10" Type="http://schemas.openxmlformats.org/officeDocument/2006/relationships/control" Target="../activeX/activeX3.xml"/><Relationship Id="rId19" Type="http://schemas.openxmlformats.org/officeDocument/2006/relationships/image" Target="../media/image7.emf"/><Relationship Id="rId4" Type="http://schemas.openxmlformats.org/officeDocument/2006/relationships/drawing" Target="../drawings/drawing2.xml"/><Relationship Id="rId9" Type="http://schemas.openxmlformats.org/officeDocument/2006/relationships/image" Target="../media/image2.emf"/><Relationship Id="rId14" Type="http://schemas.openxmlformats.org/officeDocument/2006/relationships/control" Target="../activeX/activeX5.xml"/><Relationship Id="rId22" Type="http://schemas.openxmlformats.org/officeDocument/2006/relationships/control" Target="../activeX/activeX9.xml"/><Relationship Id="rId27" Type="http://schemas.openxmlformats.org/officeDocument/2006/relationships/image" Target="../media/image11.emf"/><Relationship Id="rId30" Type="http://schemas.openxmlformats.org/officeDocument/2006/relationships/comments" Target="../comments1.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53733E-84D4-42D1-A35A-83197C7A7B66}">
  <sheetPr codeName="Tabelle9">
    <tabColor rgb="FF00B0F0"/>
  </sheetPr>
  <dimension ref="B1:N100"/>
  <sheetViews>
    <sheetView workbookViewId="0"/>
  </sheetViews>
  <sheetFormatPr baseColWidth="10" defaultColWidth="11.5546875" defaultRowHeight="13.2" x14ac:dyDescent="0.25"/>
  <cols>
    <col min="1" max="2" width="3.44140625" style="96" customWidth="1"/>
    <col min="3" max="3" width="25.6640625" style="96" customWidth="1"/>
    <col min="4" max="10" width="11.6640625" style="96" customWidth="1"/>
    <col min="11" max="13" width="8.6640625" style="96" customWidth="1"/>
    <col min="14" max="14" width="8.6640625" style="96" hidden="1" customWidth="1"/>
    <col min="15" max="16384" width="11.5546875" style="96"/>
  </cols>
  <sheetData>
    <row r="1" spans="2:14" ht="18" customHeight="1" thickBot="1" x14ac:dyDescent="0.3"/>
    <row r="2" spans="2:14" ht="18" customHeight="1" x14ac:dyDescent="0.25">
      <c r="B2" s="97" t="str">
        <f>Config!F2&amp;" "&amp;YEAR(Config!G24)</f>
        <v>Mathe Abitur 2026</v>
      </c>
      <c r="C2" s="98"/>
      <c r="D2" s="98"/>
      <c r="E2" s="98"/>
      <c r="F2" s="99"/>
      <c r="G2" s="99"/>
      <c r="H2" s="99"/>
      <c r="I2" s="99"/>
      <c r="J2" s="99"/>
      <c r="K2" s="99"/>
      <c r="L2" s="99"/>
      <c r="M2" s="100" t="str">
        <f>"Kurs "&amp;Config!G26</f>
        <v>Kurs K1</v>
      </c>
    </row>
    <row r="3" spans="2:14" ht="18" customHeight="1" x14ac:dyDescent="0.25">
      <c r="B3" s="101" t="s">
        <v>83</v>
      </c>
      <c r="C3" s="102"/>
      <c r="D3" s="102"/>
      <c r="E3" s="102"/>
      <c r="F3" s="102"/>
      <c r="G3" s="102"/>
      <c r="H3" s="102"/>
      <c r="I3" s="102"/>
      <c r="J3" s="102"/>
      <c r="K3" s="102"/>
      <c r="L3" s="102"/>
      <c r="M3" s="103"/>
    </row>
    <row r="4" spans="2:14" ht="18" customHeight="1" thickBot="1" x14ac:dyDescent="0.3">
      <c r="B4" s="101"/>
      <c r="C4" s="102"/>
      <c r="D4" s="104"/>
      <c r="E4" s="104"/>
      <c r="F4" s="104"/>
      <c r="G4" s="104"/>
      <c r="H4" s="104"/>
      <c r="I4" s="104"/>
      <c r="J4" s="104"/>
      <c r="K4" s="104"/>
      <c r="L4" s="102"/>
      <c r="M4" s="103"/>
    </row>
    <row r="5" spans="2:14" ht="18" customHeight="1" thickBot="1" x14ac:dyDescent="0.3">
      <c r="B5" s="106"/>
      <c r="C5" s="108"/>
      <c r="D5" s="112" t="s">
        <v>9</v>
      </c>
      <c r="E5" s="112" t="s">
        <v>10</v>
      </c>
      <c r="F5" s="112" t="s">
        <v>11</v>
      </c>
      <c r="G5" s="112" t="s">
        <v>12</v>
      </c>
      <c r="H5" s="112" t="s">
        <v>13</v>
      </c>
      <c r="I5" s="112" t="s">
        <v>14</v>
      </c>
      <c r="J5" s="112" t="s">
        <v>112</v>
      </c>
      <c r="K5" s="121" t="s">
        <v>82</v>
      </c>
      <c r="L5" s="120"/>
      <c r="M5" s="122"/>
    </row>
    <row r="6" spans="2:14" ht="18" customHeight="1" thickBot="1" x14ac:dyDescent="0.3">
      <c r="B6" s="107"/>
      <c r="C6" s="109" t="s">
        <v>81</v>
      </c>
      <c r="D6" s="119">
        <f>Config!G21</f>
        <v>15</v>
      </c>
      <c r="E6" s="119">
        <f>Config!I21</f>
        <v>30</v>
      </c>
      <c r="F6" s="119">
        <f>Config!K21</f>
        <v>5</v>
      </c>
      <c r="G6" s="119">
        <f>Config!M21</f>
        <v>17</v>
      </c>
      <c r="H6" s="119">
        <f>Config!O21</f>
        <v>5</v>
      </c>
      <c r="I6" s="119">
        <f>Config!Q21</f>
        <v>18</v>
      </c>
      <c r="J6" s="119">
        <f>Config!S21</f>
        <v>10</v>
      </c>
      <c r="K6" s="137">
        <f t="shared" ref="K6:K29" si="0">SUM(D6:J6)</f>
        <v>100</v>
      </c>
      <c r="L6" s="110" t="s">
        <v>0</v>
      </c>
      <c r="M6" s="123" t="s">
        <v>1</v>
      </c>
      <c r="N6" s="96" t="s">
        <v>84</v>
      </c>
    </row>
    <row r="7" spans="2:14" ht="18" customHeight="1" thickBot="1" x14ac:dyDescent="0.3">
      <c r="B7" s="133">
        <v>1</v>
      </c>
      <c r="C7" s="130" t="str">
        <f>Config!C5&amp;", "&amp;Config!D5</f>
        <v>Höfer, Simon</v>
      </c>
      <c r="D7" s="125">
        <f>VLOOKUP(C7,'Analysis A'!PupilBlock,8,0)</f>
        <v>11</v>
      </c>
      <c r="E7" s="125">
        <f>VLOOKUP(C7,'Analysis B'!PupilBlock,12,0)</f>
        <v>22.5</v>
      </c>
      <c r="F7" s="125">
        <f>VLOOKUP(C7,'Stochastik A'!PupilBlock,3,0)</f>
        <v>2.5</v>
      </c>
      <c r="G7" s="125">
        <f>VLOOKUP(C7,'Stochastik B'!PupilBlock,7,0)</f>
        <v>13</v>
      </c>
      <c r="H7" s="125">
        <f>VLOOKUP(C7,'Geometrie A'!PupilBlock,4,0)</f>
        <v>0</v>
      </c>
      <c r="I7" s="125">
        <f>VLOOKUP(C7,'Geometrie B'!PupilBlock,7,0)</f>
        <v>9</v>
      </c>
      <c r="J7" s="125">
        <f>VLOOKUP(C7,Wahlaufgaben!PupilBlock,7,0)</f>
        <v>7</v>
      </c>
      <c r="K7" s="115">
        <f t="shared" si="0"/>
        <v>65</v>
      </c>
      <c r="L7" s="139">
        <f>VLOOKUP(VALUE(K7),Notenspiegel!$B$3:$C$302,2,0)</f>
        <v>9</v>
      </c>
      <c r="M7" s="140" t="str">
        <f>VLOOKUP(VALUE(K7),Notenspiegel!$B$3:$D$302,3,0)</f>
        <v>3+</v>
      </c>
      <c r="N7" s="96" t="str">
        <f>VLOOKUP(VALUE(K7),Notenspiegel!$B$3:$E$302,4,0)</f>
        <v>--</v>
      </c>
    </row>
    <row r="8" spans="2:14" ht="18" customHeight="1" thickBot="1" x14ac:dyDescent="0.3">
      <c r="B8" s="134">
        <v>2</v>
      </c>
      <c r="C8" s="114" t="str">
        <f>Config!C6&amp;", "&amp;Config!D6</f>
        <v>Töpfer, Lilian</v>
      </c>
      <c r="D8" s="126">
        <f>VLOOKUP(C8,'Analysis A'!PupilBlock,8,0)</f>
        <v>9</v>
      </c>
      <c r="E8" s="126">
        <f>VLOOKUP(C8,'Analysis B'!PupilBlock,12,0)</f>
        <v>17.5</v>
      </c>
      <c r="F8" s="126">
        <f>VLOOKUP(C8,'Stochastik A'!PupilBlock,3,0)</f>
        <v>5</v>
      </c>
      <c r="G8" s="126">
        <f>VLOOKUP(C8,'Stochastik B'!PupilBlock,7,0)</f>
        <v>7</v>
      </c>
      <c r="H8" s="126">
        <f>VLOOKUP(C8,'Geometrie A'!PupilBlock,4,0)</f>
        <v>3.5</v>
      </c>
      <c r="I8" s="126">
        <f>VLOOKUP(C8,'Geometrie B'!PupilBlock,7,0)</f>
        <v>9</v>
      </c>
      <c r="J8" s="126">
        <f>VLOOKUP(C8,Wahlaufgaben!PupilBlock,7,0)</f>
        <v>8</v>
      </c>
      <c r="K8" s="127">
        <f t="shared" si="0"/>
        <v>59</v>
      </c>
      <c r="L8" s="141">
        <f>VLOOKUP(VALUE(K8),Notenspiegel!$B$3:$C$302,2,0)</f>
        <v>7</v>
      </c>
      <c r="M8" s="142" t="str">
        <f>VLOOKUP(VALUE(K8),Notenspiegel!$B$3:$D$302,3,0)</f>
        <v>3-</v>
      </c>
      <c r="N8" s="96" t="str">
        <f>VLOOKUP(VALUE(K8),Notenspiegel!$B$3:$E$302,4,0)</f>
        <v>+</v>
      </c>
    </row>
    <row r="9" spans="2:14" ht="18" customHeight="1" thickBot="1" x14ac:dyDescent="0.3">
      <c r="B9" s="135">
        <v>3</v>
      </c>
      <c r="C9" s="113" t="str">
        <f>Config!C7&amp;", "&amp;Config!D7</f>
        <v>Fleischmann, Leonie</v>
      </c>
      <c r="D9" s="124">
        <f>VLOOKUP(C9,'Analysis A'!PupilBlock,8,0)</f>
        <v>10.5</v>
      </c>
      <c r="E9" s="124">
        <f>VLOOKUP(C9,'Analysis B'!PupilBlock,12,0)</f>
        <v>11.5</v>
      </c>
      <c r="F9" s="124">
        <f>VLOOKUP(C9,'Stochastik A'!PupilBlock,3,0)</f>
        <v>2.5</v>
      </c>
      <c r="G9" s="124">
        <f>VLOOKUP(C9,'Stochastik B'!PupilBlock,7,0)</f>
        <v>8</v>
      </c>
      <c r="H9" s="124">
        <f>VLOOKUP(C9,'Geometrie A'!PupilBlock,4,0)</f>
        <v>4.5</v>
      </c>
      <c r="I9" s="124">
        <f>VLOOKUP(C9,'Geometrie B'!PupilBlock,7,0)</f>
        <v>14</v>
      </c>
      <c r="J9" s="124">
        <f>VLOOKUP(C9,Wahlaufgaben!PupilBlock,7,0)</f>
        <v>8</v>
      </c>
      <c r="K9" s="115">
        <f t="shared" si="0"/>
        <v>59</v>
      </c>
      <c r="L9" s="141">
        <f>VLOOKUP(VALUE(K9),Notenspiegel!$B$3:$C$302,2,0)</f>
        <v>7</v>
      </c>
      <c r="M9" s="142" t="str">
        <f>VLOOKUP(VALUE(K9),Notenspiegel!$B$3:$D$302,3,0)</f>
        <v>3-</v>
      </c>
      <c r="N9" s="96" t="str">
        <f>VLOOKUP(VALUE(K9),Notenspiegel!$B$3:$E$302,4,0)</f>
        <v>+</v>
      </c>
    </row>
    <row r="10" spans="2:14" ht="18" customHeight="1" thickBot="1" x14ac:dyDescent="0.3">
      <c r="B10" s="134">
        <v>4</v>
      </c>
      <c r="C10" s="114" t="str">
        <f>Config!C8&amp;", "&amp;Config!D8</f>
        <v>Drescher, Cedric</v>
      </c>
      <c r="D10" s="126">
        <f>VLOOKUP(C10,'Analysis A'!PupilBlock,8,0)</f>
        <v>12.5</v>
      </c>
      <c r="E10" s="126">
        <f>VLOOKUP(C10,'Analysis B'!PupilBlock,12,0)</f>
        <v>23</v>
      </c>
      <c r="F10" s="126">
        <f>VLOOKUP(C10,'Stochastik A'!PupilBlock,3,0)</f>
        <v>2.5</v>
      </c>
      <c r="G10" s="126">
        <f>VLOOKUP(C10,'Stochastik B'!PupilBlock,7,0)</f>
        <v>9</v>
      </c>
      <c r="H10" s="126">
        <f>VLOOKUP(C10,'Geometrie A'!PupilBlock,4,0)</f>
        <v>3.5</v>
      </c>
      <c r="I10" s="126">
        <f>VLOOKUP(C10,'Geometrie B'!PupilBlock,7,0)</f>
        <v>13.5</v>
      </c>
      <c r="J10" s="126">
        <f>VLOOKUP(C10,Wahlaufgaben!PupilBlock,7,0)</f>
        <v>6</v>
      </c>
      <c r="K10" s="127">
        <f t="shared" si="0"/>
        <v>70</v>
      </c>
      <c r="L10" s="139">
        <f>VLOOKUP(VALUE(K10),Notenspiegel!$B$3:$C$302,2,0)</f>
        <v>10</v>
      </c>
      <c r="M10" s="140" t="str">
        <f>VLOOKUP(VALUE(K10),Notenspiegel!$B$3:$D$302,3,0)</f>
        <v>2-</v>
      </c>
      <c r="N10" s="96" t="str">
        <f>VLOOKUP(VALUE(K10),Notenspiegel!$B$3:$E$302,4,0)</f>
        <v>--</v>
      </c>
    </row>
    <row r="11" spans="2:14" ht="18" customHeight="1" thickBot="1" x14ac:dyDescent="0.3">
      <c r="B11" s="135">
        <v>5</v>
      </c>
      <c r="C11" s="113" t="str">
        <f>Config!C9&amp;", "&amp;Config!D9</f>
        <v>Baumgarten, Annabell</v>
      </c>
      <c r="D11" s="124">
        <f>VLOOKUP(C11,'Analysis A'!PupilBlock,8,0)</f>
        <v>14</v>
      </c>
      <c r="E11" s="124">
        <f>VLOOKUP(C11,'Analysis B'!PupilBlock,12,0)</f>
        <v>21.5</v>
      </c>
      <c r="F11" s="124">
        <f>VLOOKUP(C11,'Stochastik A'!PupilBlock,3,0)</f>
        <v>2.5</v>
      </c>
      <c r="G11" s="124">
        <f>VLOOKUP(C11,'Stochastik B'!PupilBlock,7,0)</f>
        <v>4.5</v>
      </c>
      <c r="H11" s="124">
        <f>VLOOKUP(C11,'Geometrie A'!PupilBlock,4,0)</f>
        <v>3.5</v>
      </c>
      <c r="I11" s="124">
        <f>VLOOKUP(C11,'Geometrie B'!PupilBlock,7,0)</f>
        <v>12</v>
      </c>
      <c r="J11" s="124">
        <f>VLOOKUP(C11,Wahlaufgaben!PupilBlock,7,0)</f>
        <v>6</v>
      </c>
      <c r="K11" s="115">
        <f t="shared" si="0"/>
        <v>64</v>
      </c>
      <c r="L11" s="141">
        <f>VLOOKUP(VALUE(K11),Notenspiegel!$B$3:$C$302,2,0)</f>
        <v>8</v>
      </c>
      <c r="M11" s="142" t="str">
        <f>VLOOKUP(VALUE(K11),Notenspiegel!$B$3:$D$302,3,0)</f>
        <v>3</v>
      </c>
      <c r="N11" s="96" t="str">
        <f>VLOOKUP(VALUE(K11),Notenspiegel!$B$3:$E$302,4,0)</f>
        <v>+</v>
      </c>
    </row>
    <row r="12" spans="2:14" ht="18" customHeight="1" thickBot="1" x14ac:dyDescent="0.3">
      <c r="B12" s="134">
        <v>6</v>
      </c>
      <c r="C12" s="114" t="str">
        <f>Config!C10&amp;", "&amp;Config!D10</f>
        <v>Traut, Stefanie</v>
      </c>
      <c r="D12" s="126">
        <f>VLOOKUP(C12,'Analysis A'!PupilBlock,8,0)</f>
        <v>12.5</v>
      </c>
      <c r="E12" s="126">
        <f>VLOOKUP(C12,'Analysis B'!PupilBlock,12,0)</f>
        <v>33</v>
      </c>
      <c r="F12" s="126">
        <f>VLOOKUP(C12,'Stochastik A'!PupilBlock,3,0)</f>
        <v>3</v>
      </c>
      <c r="G12" s="126">
        <f>VLOOKUP(C12,'Stochastik B'!PupilBlock,7,0)</f>
        <v>10.5</v>
      </c>
      <c r="H12" s="126">
        <f>VLOOKUP(C12,'Geometrie A'!PupilBlock,4,0)</f>
        <v>4.5</v>
      </c>
      <c r="I12" s="126">
        <f>VLOOKUP(C12,'Geometrie B'!PupilBlock,7,0)</f>
        <v>17</v>
      </c>
      <c r="J12" s="126">
        <f>VLOOKUP(C12,Wahlaufgaben!PupilBlock,7,0)</f>
        <v>8</v>
      </c>
      <c r="K12" s="127">
        <f t="shared" si="0"/>
        <v>88.5</v>
      </c>
      <c r="L12" s="129">
        <f>VLOOKUP(VALUE(K12),Notenspiegel!$B$3:$C$302,2,0)</f>
        <v>13</v>
      </c>
      <c r="M12" s="117" t="str">
        <f>VLOOKUP(VALUE(K12),Notenspiegel!$B$3:$D$302,3,0)</f>
        <v>1-</v>
      </c>
      <c r="N12" s="96" t="str">
        <f>VLOOKUP(VALUE(K12),Notenspiegel!$B$3:$E$302,4,0)</f>
        <v/>
      </c>
    </row>
    <row r="13" spans="2:14" ht="18" customHeight="1" thickBot="1" x14ac:dyDescent="0.3">
      <c r="B13" s="135">
        <v>7</v>
      </c>
      <c r="C13" s="113" t="str">
        <f>Config!C11&amp;", "&amp;Config!D11</f>
        <v>Menke, Damian</v>
      </c>
      <c r="D13" s="124">
        <f>VLOOKUP(C13,'Analysis A'!PupilBlock,8,0)</f>
        <v>12.5</v>
      </c>
      <c r="E13" s="124">
        <f>VLOOKUP(C13,'Analysis B'!PupilBlock,12,0)</f>
        <v>22.5</v>
      </c>
      <c r="F13" s="124">
        <f>VLOOKUP(C13,'Stochastik A'!PupilBlock,3,0)</f>
        <v>5</v>
      </c>
      <c r="G13" s="124">
        <f>VLOOKUP(C13,'Stochastik B'!PupilBlock,7,0)</f>
        <v>8.5</v>
      </c>
      <c r="H13" s="124">
        <f>VLOOKUP(C13,'Geometrie A'!PupilBlock,4,0)</f>
        <v>4.5</v>
      </c>
      <c r="I13" s="124">
        <f>VLOOKUP(C13,'Geometrie B'!PupilBlock,7,0)</f>
        <v>15</v>
      </c>
      <c r="J13" s="124">
        <f>VLOOKUP(C13,Wahlaufgaben!PupilBlock,7,0)</f>
        <v>7</v>
      </c>
      <c r="K13" s="115">
        <f t="shared" si="0"/>
        <v>75</v>
      </c>
      <c r="L13" s="139">
        <f>VLOOKUP(VALUE(K13),Notenspiegel!$B$3:$C$302,2,0)</f>
        <v>11</v>
      </c>
      <c r="M13" s="140" t="str">
        <f>VLOOKUP(VALUE(K13),Notenspiegel!$B$3:$D$302,3,0)</f>
        <v>2</v>
      </c>
      <c r="N13" s="96" t="str">
        <f>VLOOKUP(VALUE(K13),Notenspiegel!$B$3:$E$302,4,0)</f>
        <v>--</v>
      </c>
    </row>
    <row r="14" spans="2:14" ht="18" customHeight="1" thickBot="1" x14ac:dyDescent="0.3">
      <c r="B14" s="134">
        <v>8</v>
      </c>
      <c r="C14" s="114" t="str">
        <f>Config!C12&amp;", "&amp;Config!D12</f>
        <v>Carroll, Meik</v>
      </c>
      <c r="D14" s="126">
        <f>VLOOKUP(C14,'Analysis A'!PupilBlock,8,0)</f>
        <v>9</v>
      </c>
      <c r="E14" s="126">
        <f>VLOOKUP(C14,'Analysis B'!PupilBlock,12,0)</f>
        <v>16.5</v>
      </c>
      <c r="F14" s="126">
        <f>VLOOKUP(C14,'Stochastik A'!PupilBlock,3,0)</f>
        <v>5</v>
      </c>
      <c r="G14" s="126">
        <f>VLOOKUP(C14,'Stochastik B'!PupilBlock,7,0)</f>
        <v>8.5</v>
      </c>
      <c r="H14" s="126">
        <f>VLOOKUP(C14,'Geometrie A'!PupilBlock,4,0)</f>
        <v>4</v>
      </c>
      <c r="I14" s="126">
        <f>VLOOKUP(C14,'Geometrie B'!PupilBlock,7,0)</f>
        <v>13</v>
      </c>
      <c r="J14" s="126">
        <f>VLOOKUP(C14,Wahlaufgaben!PupilBlock,7,0)</f>
        <v>7</v>
      </c>
      <c r="K14" s="127">
        <f t="shared" si="0"/>
        <v>63</v>
      </c>
      <c r="L14" s="129">
        <f>VLOOKUP(VALUE(K14),Notenspiegel!$B$3:$C$302,2,0)</f>
        <v>8</v>
      </c>
      <c r="M14" s="117" t="str">
        <f>VLOOKUP(VALUE(K14),Notenspiegel!$B$3:$D$302,3,0)</f>
        <v>3</v>
      </c>
      <c r="N14" s="96" t="str">
        <f>VLOOKUP(VALUE(K14),Notenspiegel!$B$3:$E$302,4,0)</f>
        <v/>
      </c>
    </row>
    <row r="15" spans="2:14" ht="18" customHeight="1" thickBot="1" x14ac:dyDescent="0.3">
      <c r="B15" s="135">
        <v>9</v>
      </c>
      <c r="C15" s="113" t="str">
        <f>Config!C13&amp;", "&amp;Config!D13</f>
        <v>Hennings, Tomas</v>
      </c>
      <c r="D15" s="124">
        <f>VLOOKUP(C15,'Analysis A'!PupilBlock,8,0)</f>
        <v>10</v>
      </c>
      <c r="E15" s="124">
        <f>VLOOKUP(C15,'Analysis B'!PupilBlock,12,0)</f>
        <v>14.5</v>
      </c>
      <c r="F15" s="124">
        <f>VLOOKUP(C15,'Stochastik A'!PupilBlock,3,0)</f>
        <v>4</v>
      </c>
      <c r="G15" s="124">
        <f>VLOOKUP(C15,'Stochastik B'!PupilBlock,7,0)</f>
        <v>13</v>
      </c>
      <c r="H15" s="124">
        <f>VLOOKUP(C15,'Geometrie A'!PupilBlock,4,0)</f>
        <v>4.5</v>
      </c>
      <c r="I15" s="124">
        <f>VLOOKUP(C15,'Geometrie B'!PupilBlock,7,0)</f>
        <v>4</v>
      </c>
      <c r="J15" s="124">
        <f>VLOOKUP(C15,Wahlaufgaben!PupilBlock,7,0)</f>
        <v>8</v>
      </c>
      <c r="K15" s="115">
        <f t="shared" si="0"/>
        <v>58</v>
      </c>
      <c r="L15" s="128">
        <f>VLOOKUP(VALUE(K15),Notenspiegel!$B$3:$C$302,2,0)</f>
        <v>7</v>
      </c>
      <c r="M15" s="116" t="str">
        <f>VLOOKUP(VALUE(K15),Notenspiegel!$B$3:$D$302,3,0)</f>
        <v>3-</v>
      </c>
      <c r="N15" s="96" t="str">
        <f>VLOOKUP(VALUE(K15),Notenspiegel!$B$3:$E$302,4,0)</f>
        <v/>
      </c>
    </row>
    <row r="16" spans="2:14" ht="18" customHeight="1" thickBot="1" x14ac:dyDescent="0.3">
      <c r="B16" s="134">
        <v>10</v>
      </c>
      <c r="C16" s="114" t="str">
        <f>Config!C14&amp;", "&amp;Config!D14</f>
        <v>Walters, Linn</v>
      </c>
      <c r="D16" s="126">
        <f>VLOOKUP(C16,'Analysis A'!PupilBlock,8,0)</f>
        <v>3</v>
      </c>
      <c r="E16" s="126">
        <f>VLOOKUP(C16,'Analysis B'!PupilBlock,12,0)</f>
        <v>7</v>
      </c>
      <c r="F16" s="126">
        <f>VLOOKUP(C16,'Stochastik A'!PupilBlock,3,0)</f>
        <v>2.5</v>
      </c>
      <c r="G16" s="126">
        <f>VLOOKUP(C16,'Stochastik B'!PupilBlock,7,0)</f>
        <v>8</v>
      </c>
      <c r="H16" s="126">
        <f>VLOOKUP(C16,'Geometrie A'!PupilBlock,4,0)</f>
        <v>1</v>
      </c>
      <c r="I16" s="126">
        <f>VLOOKUP(C16,'Geometrie B'!PupilBlock,7,0)</f>
        <v>8.5</v>
      </c>
      <c r="J16" s="126">
        <f>VLOOKUP(C16,Wahlaufgaben!PupilBlock,7,0)</f>
        <v>8</v>
      </c>
      <c r="K16" s="127">
        <f t="shared" si="0"/>
        <v>38</v>
      </c>
      <c r="L16" s="129">
        <f>VLOOKUP(VALUE(K16),Notenspiegel!$B$3:$C$302,2,0)</f>
        <v>3</v>
      </c>
      <c r="M16" s="117" t="str">
        <f>VLOOKUP(VALUE(K16),Notenspiegel!$B$3:$D$302,3,0)</f>
        <v>5+</v>
      </c>
      <c r="N16" s="96" t="str">
        <f>VLOOKUP(VALUE(K16),Notenspiegel!$B$3:$E$302,4,0)</f>
        <v/>
      </c>
    </row>
    <row r="17" spans="2:14" ht="18" customHeight="1" thickBot="1" x14ac:dyDescent="0.3">
      <c r="B17" s="135">
        <v>11</v>
      </c>
      <c r="C17" s="113" t="str">
        <f>Config!C15&amp;", "&amp;Config!D15</f>
        <v>Junker, Amely</v>
      </c>
      <c r="D17" s="124">
        <f>VLOOKUP(C17,'Analysis A'!PupilBlock,8,0)</f>
        <v>6.5</v>
      </c>
      <c r="E17" s="124">
        <f>VLOOKUP(C17,'Analysis B'!PupilBlock,12,0)</f>
        <v>13.5</v>
      </c>
      <c r="F17" s="124">
        <f>VLOOKUP(C17,'Stochastik A'!PupilBlock,3,0)</f>
        <v>2</v>
      </c>
      <c r="G17" s="124">
        <f>VLOOKUP(C17,'Stochastik B'!PupilBlock,7,0)</f>
        <v>6.5</v>
      </c>
      <c r="H17" s="124">
        <f>VLOOKUP(C17,'Geometrie A'!PupilBlock,4,0)</f>
        <v>2</v>
      </c>
      <c r="I17" s="124">
        <f>VLOOKUP(C17,'Geometrie B'!PupilBlock,7,0)</f>
        <v>13</v>
      </c>
      <c r="J17" s="124">
        <f>VLOOKUP(C17,Wahlaufgaben!PupilBlock,7,0)</f>
        <v>6</v>
      </c>
      <c r="K17" s="115">
        <f t="shared" si="0"/>
        <v>49.5</v>
      </c>
      <c r="L17" s="143">
        <f>VLOOKUP(VALUE(K17),Notenspiegel!$B$3:$C$302,2,0)</f>
        <v>5</v>
      </c>
      <c r="M17" s="144" t="str">
        <f>VLOOKUP(VALUE(K17),Notenspiegel!$B$3:$D$302,3,0)</f>
        <v>4</v>
      </c>
      <c r="N17" s="96" t="str">
        <f>VLOOKUP(VALUE(K17),Notenspiegel!$B$3:$E$302,4,0)</f>
        <v>++</v>
      </c>
    </row>
    <row r="18" spans="2:14" ht="18" customHeight="1" thickBot="1" x14ac:dyDescent="0.3">
      <c r="B18" s="134">
        <v>12</v>
      </c>
      <c r="C18" s="114" t="str">
        <f>Config!C16&amp;", "&amp;Config!D16</f>
        <v>Stephens, Melvin</v>
      </c>
      <c r="D18" s="126">
        <f>VLOOKUP(C18,'Analysis A'!PupilBlock,8,0)</f>
        <v>11.5</v>
      </c>
      <c r="E18" s="126">
        <f>VLOOKUP(C18,'Analysis B'!PupilBlock,12,0)</f>
        <v>27</v>
      </c>
      <c r="F18" s="126">
        <f>VLOOKUP(C18,'Stochastik A'!PupilBlock,3,0)</f>
        <v>2.5</v>
      </c>
      <c r="G18" s="126">
        <f>VLOOKUP(C18,'Stochastik B'!PupilBlock,7,0)</f>
        <v>5.5</v>
      </c>
      <c r="H18" s="126">
        <f>VLOOKUP(C18,'Geometrie A'!PupilBlock,4,0)</f>
        <v>0.5</v>
      </c>
      <c r="I18" s="126">
        <f>VLOOKUP(C18,'Geometrie B'!PupilBlock,7,0)</f>
        <v>13</v>
      </c>
      <c r="J18" s="126">
        <f>VLOOKUP(C18,Wahlaufgaben!PupilBlock,7,0)</f>
        <v>6</v>
      </c>
      <c r="K18" s="127">
        <f t="shared" si="0"/>
        <v>66</v>
      </c>
      <c r="L18" s="129">
        <f>VLOOKUP(VALUE(K18),Notenspiegel!$B$3:$C$302,2,0)</f>
        <v>9</v>
      </c>
      <c r="M18" s="117" t="str">
        <f>VLOOKUP(VALUE(K18),Notenspiegel!$B$3:$D$302,3,0)</f>
        <v>3+</v>
      </c>
      <c r="N18" s="96" t="str">
        <f>VLOOKUP(VALUE(K18),Notenspiegel!$B$3:$E$302,4,0)</f>
        <v/>
      </c>
    </row>
    <row r="19" spans="2:14" ht="18" customHeight="1" thickBot="1" x14ac:dyDescent="0.3">
      <c r="B19" s="135">
        <v>13</v>
      </c>
      <c r="C19" s="113" t="str">
        <f>Config!C17&amp;", "&amp;Config!D17</f>
        <v>Cremer, Marvin</v>
      </c>
      <c r="D19" s="124">
        <f>VLOOKUP(C19,'Analysis A'!PupilBlock,8,0)</f>
        <v>12.5</v>
      </c>
      <c r="E19" s="124">
        <f>VLOOKUP(C19,'Analysis B'!PupilBlock,12,0)</f>
        <v>22</v>
      </c>
      <c r="F19" s="124">
        <f>VLOOKUP(C19,'Stochastik A'!PupilBlock,3,0)</f>
        <v>5</v>
      </c>
      <c r="G19" s="124">
        <f>VLOOKUP(C19,'Stochastik B'!PupilBlock,7,0)</f>
        <v>5.5</v>
      </c>
      <c r="H19" s="124">
        <f>VLOOKUP(C19,'Geometrie A'!PupilBlock,4,0)</f>
        <v>4.5</v>
      </c>
      <c r="I19" s="124">
        <f>VLOOKUP(C19,'Geometrie B'!PupilBlock,7,0)</f>
        <v>3</v>
      </c>
      <c r="J19" s="124">
        <f>VLOOKUP(C19,Wahlaufgaben!PupilBlock,7,0)</f>
        <v>8</v>
      </c>
      <c r="K19" s="115">
        <f t="shared" si="0"/>
        <v>60.5</v>
      </c>
      <c r="L19" s="145">
        <f>VLOOKUP(VALUE(K19),Notenspiegel!$B$3:$C$302,2,0)</f>
        <v>8</v>
      </c>
      <c r="M19" s="146" t="str">
        <f>VLOOKUP(VALUE(K19),Notenspiegel!$B$3:$D$302,3,0)</f>
        <v>3</v>
      </c>
      <c r="N19" s="96" t="str">
        <f>VLOOKUP(VALUE(K19),Notenspiegel!$B$3:$E$302,4,0)</f>
        <v>-</v>
      </c>
    </row>
    <row r="20" spans="2:14" ht="18" customHeight="1" thickBot="1" x14ac:dyDescent="0.3">
      <c r="B20" s="134">
        <v>14</v>
      </c>
      <c r="C20" s="114" t="str">
        <f>Config!C18&amp;", "&amp;Config!D18</f>
        <v>Nash, Jean</v>
      </c>
      <c r="D20" s="126">
        <f>VLOOKUP(C20,'Analysis A'!PupilBlock,8,0)</f>
        <v>13.5</v>
      </c>
      <c r="E20" s="126">
        <f>VLOOKUP(C20,'Analysis B'!PupilBlock,12,0)</f>
        <v>15.5</v>
      </c>
      <c r="F20" s="126">
        <f>VLOOKUP(C20,'Stochastik A'!PupilBlock,3,0)</f>
        <v>5</v>
      </c>
      <c r="G20" s="126">
        <f>VLOOKUP(C20,'Stochastik B'!PupilBlock,7,0)</f>
        <v>8</v>
      </c>
      <c r="H20" s="126">
        <f>VLOOKUP(C20,'Geometrie A'!PupilBlock,4,0)</f>
        <v>4</v>
      </c>
      <c r="I20" s="126">
        <f>VLOOKUP(C20,'Geometrie B'!PupilBlock,7,0)</f>
        <v>14.5</v>
      </c>
      <c r="J20" s="126">
        <f>VLOOKUP(C20,Wahlaufgaben!PupilBlock,7,0)</f>
        <v>7</v>
      </c>
      <c r="K20" s="127">
        <f t="shared" si="0"/>
        <v>67.5</v>
      </c>
      <c r="L20" s="129">
        <f>VLOOKUP(VALUE(K20),Notenspiegel!$B$3:$C$302,2,0)</f>
        <v>9</v>
      </c>
      <c r="M20" s="117" t="str">
        <f>VLOOKUP(VALUE(K20),Notenspiegel!$B$3:$D$302,3,0)</f>
        <v>3+</v>
      </c>
      <c r="N20" s="96" t="str">
        <f>VLOOKUP(VALUE(K20),Notenspiegel!$B$3:$E$302,4,0)</f>
        <v/>
      </c>
    </row>
    <row r="21" spans="2:14" ht="18" customHeight="1" thickBot="1" x14ac:dyDescent="0.3">
      <c r="B21" s="135">
        <v>15</v>
      </c>
      <c r="C21" s="113" t="str">
        <f>Config!C19&amp;", "&amp;Config!D19</f>
        <v>Schön, Leonardo</v>
      </c>
      <c r="D21" s="124">
        <f>VLOOKUP(C21,'Analysis A'!PupilBlock,8,0)</f>
        <v>12</v>
      </c>
      <c r="E21" s="124">
        <f>VLOOKUP(C21,'Analysis B'!PupilBlock,12,0)</f>
        <v>23.5</v>
      </c>
      <c r="F21" s="124">
        <f>VLOOKUP(C21,'Stochastik A'!PupilBlock,3,0)</f>
        <v>2.5</v>
      </c>
      <c r="G21" s="124">
        <f>VLOOKUP(C21,'Stochastik B'!PupilBlock,7,0)</f>
        <v>8</v>
      </c>
      <c r="H21" s="124">
        <f>VLOOKUP(C21,'Geometrie A'!PupilBlock,4,0)</f>
        <v>5</v>
      </c>
      <c r="I21" s="124">
        <f>VLOOKUP(C21,'Geometrie B'!PupilBlock,7,0)</f>
        <v>6.5</v>
      </c>
      <c r="J21" s="124">
        <f>VLOOKUP(C21,Wahlaufgaben!PupilBlock,7,0)</f>
        <v>4</v>
      </c>
      <c r="K21" s="115">
        <f t="shared" si="0"/>
        <v>61.5</v>
      </c>
      <c r="L21" s="128">
        <f>VLOOKUP(VALUE(K21),Notenspiegel!$B$3:$C$302,2,0)</f>
        <v>8</v>
      </c>
      <c r="M21" s="116" t="str">
        <f>VLOOKUP(VALUE(K21),Notenspiegel!$B$3:$D$302,3,0)</f>
        <v>3</v>
      </c>
      <c r="N21" s="96" t="str">
        <f>VLOOKUP(VALUE(K21),Notenspiegel!$B$3:$E$302,4,0)</f>
        <v/>
      </c>
    </row>
    <row r="22" spans="2:14" ht="18" customHeight="1" thickBot="1" x14ac:dyDescent="0.3">
      <c r="B22" s="134">
        <v>16</v>
      </c>
      <c r="C22" s="114" t="str">
        <f>Config!C20&amp;", "&amp;Config!D20</f>
        <v>Sigl, Nicholas</v>
      </c>
      <c r="D22" s="126">
        <f>VLOOKUP(C22,'Analysis A'!PupilBlock,8,0)</f>
        <v>7.5</v>
      </c>
      <c r="E22" s="126">
        <f>VLOOKUP(C22,'Analysis B'!PupilBlock,12,0)</f>
        <v>22</v>
      </c>
      <c r="F22" s="126">
        <f>VLOOKUP(C22,'Stochastik A'!PupilBlock,3,0)</f>
        <v>5</v>
      </c>
      <c r="G22" s="126">
        <f>VLOOKUP(C22,'Stochastik B'!PupilBlock,7,0)</f>
        <v>0</v>
      </c>
      <c r="H22" s="126">
        <f>VLOOKUP(C22,'Geometrie A'!PupilBlock,4,0)</f>
        <v>4.5</v>
      </c>
      <c r="I22" s="126">
        <f>VLOOKUP(C22,'Geometrie B'!PupilBlock,7,0)</f>
        <v>6</v>
      </c>
      <c r="J22" s="126">
        <f>VLOOKUP(C22,Wahlaufgaben!PupilBlock,7,0)</f>
        <v>8</v>
      </c>
      <c r="K22" s="127">
        <f t="shared" si="0"/>
        <v>53</v>
      </c>
      <c r="L22" s="129">
        <f>VLOOKUP(VALUE(K22),Notenspiegel!$B$3:$C$302,2,0)</f>
        <v>6</v>
      </c>
      <c r="M22" s="117" t="str">
        <f>VLOOKUP(VALUE(K22),Notenspiegel!$B$3:$D$302,3,0)</f>
        <v>4+</v>
      </c>
      <c r="N22" s="96" t="str">
        <f>VLOOKUP(VALUE(K22),Notenspiegel!$B$3:$E$302,4,0)</f>
        <v/>
      </c>
    </row>
    <row r="23" spans="2:14" ht="18" customHeight="1" thickBot="1" x14ac:dyDescent="0.3">
      <c r="B23" s="135">
        <v>17</v>
      </c>
      <c r="C23" s="113" t="str">
        <f>Config!C21&amp;", "&amp;Config!D21</f>
        <v>Kainz, Vivienne</v>
      </c>
      <c r="D23" s="124">
        <f>VLOOKUP(C23,'Analysis A'!PupilBlock,8,0)</f>
        <v>1</v>
      </c>
      <c r="E23" s="124">
        <f>VLOOKUP(C23,'Analysis B'!PupilBlock,12,0)</f>
        <v>6.5</v>
      </c>
      <c r="F23" s="124">
        <f>VLOOKUP(C23,'Stochastik A'!PupilBlock,3,0)</f>
        <v>5</v>
      </c>
      <c r="G23" s="124">
        <f>VLOOKUP(C23,'Stochastik B'!PupilBlock,7,0)</f>
        <v>7.5</v>
      </c>
      <c r="H23" s="124">
        <f>VLOOKUP(C23,'Geometrie A'!PupilBlock,4,0)</f>
        <v>5</v>
      </c>
      <c r="I23" s="124">
        <f>VLOOKUP(C23,'Geometrie B'!PupilBlock,7,0)</f>
        <v>4.5</v>
      </c>
      <c r="J23" s="124">
        <f>VLOOKUP(C23,Wahlaufgaben!PupilBlock,7,0)</f>
        <v>10</v>
      </c>
      <c r="K23" s="115">
        <f t="shared" si="0"/>
        <v>39.5</v>
      </c>
      <c r="L23" s="143">
        <f>VLOOKUP(VALUE(K23),Notenspiegel!$B$3:$C$302,2,0)</f>
        <v>3</v>
      </c>
      <c r="M23" s="144" t="str">
        <f>VLOOKUP(VALUE(K23),Notenspiegel!$B$3:$D$302,3,0)</f>
        <v>5+</v>
      </c>
      <c r="N23" s="96" t="str">
        <f>VLOOKUP(VALUE(K23),Notenspiegel!$B$3:$E$302,4,0)</f>
        <v>++</v>
      </c>
    </row>
    <row r="24" spans="2:14" ht="18" customHeight="1" thickBot="1" x14ac:dyDescent="0.3">
      <c r="B24" s="134">
        <v>18</v>
      </c>
      <c r="C24" s="114" t="str">
        <f>Config!C22&amp;", "&amp;Config!D22</f>
        <v>Hartmann, Mads</v>
      </c>
      <c r="D24" s="126">
        <f>VLOOKUP(C24,'Analysis A'!PupilBlock,8,0)</f>
        <v>10</v>
      </c>
      <c r="E24" s="126">
        <f>VLOOKUP(C24,'Analysis B'!PupilBlock,12,0)</f>
        <v>16</v>
      </c>
      <c r="F24" s="126">
        <f>VLOOKUP(C24,'Stochastik A'!PupilBlock,3,0)</f>
        <v>2.5</v>
      </c>
      <c r="G24" s="126">
        <f>VLOOKUP(C24,'Stochastik B'!PupilBlock,7,0)</f>
        <v>7</v>
      </c>
      <c r="H24" s="126">
        <f>VLOOKUP(C24,'Geometrie A'!PupilBlock,4,0)</f>
        <v>1</v>
      </c>
      <c r="I24" s="126">
        <f>VLOOKUP(C24,'Geometrie B'!PupilBlock,7,0)</f>
        <v>14</v>
      </c>
      <c r="J24" s="126">
        <f>VLOOKUP(C24,Wahlaufgaben!PupilBlock,7,0)</f>
        <v>7</v>
      </c>
      <c r="K24" s="127">
        <f t="shared" si="0"/>
        <v>57.5</v>
      </c>
      <c r="L24" s="129">
        <f>VLOOKUP(VALUE(K24),Notenspiegel!$B$3:$C$302,2,0)</f>
        <v>7</v>
      </c>
      <c r="M24" s="117" t="str">
        <f>VLOOKUP(VALUE(K24),Notenspiegel!$B$3:$D$302,3,0)</f>
        <v>3-</v>
      </c>
      <c r="N24" s="96" t="str">
        <f>VLOOKUP(VALUE(K24),Notenspiegel!$B$3:$E$302,4,0)</f>
        <v/>
      </c>
    </row>
    <row r="25" spans="2:14" ht="18" customHeight="1" thickBot="1" x14ac:dyDescent="0.3">
      <c r="B25" s="135">
        <v>19</v>
      </c>
      <c r="C25" s="113" t="str">
        <f>Config!C23&amp;", "&amp;Config!D23</f>
        <v>Ullmann, Raphael</v>
      </c>
      <c r="D25" s="124">
        <f>VLOOKUP(C25,'Analysis A'!PupilBlock,8,0)</f>
        <v>9.5</v>
      </c>
      <c r="E25" s="124">
        <f>VLOOKUP(C25,'Analysis B'!PupilBlock,12,0)</f>
        <v>14.5</v>
      </c>
      <c r="F25" s="124">
        <f>VLOOKUP(C25,'Stochastik A'!PupilBlock,3,0)</f>
        <v>5</v>
      </c>
      <c r="G25" s="124">
        <f>VLOOKUP(C25,'Stochastik B'!PupilBlock,7,0)</f>
        <v>7</v>
      </c>
      <c r="H25" s="124">
        <f>VLOOKUP(C25,'Geometrie A'!PupilBlock,4,0)</f>
        <v>2</v>
      </c>
      <c r="I25" s="124">
        <f>VLOOKUP(C25,'Geometrie B'!PupilBlock,7,0)</f>
        <v>13.5</v>
      </c>
      <c r="J25" s="124">
        <f>VLOOKUP(C25,Wahlaufgaben!PupilBlock,7,0)</f>
        <v>8</v>
      </c>
      <c r="K25" s="115">
        <f t="shared" si="0"/>
        <v>59.5</v>
      </c>
      <c r="L25" s="143">
        <f>VLOOKUP(VALUE(K25),Notenspiegel!$B$3:$C$302,2,0)</f>
        <v>7</v>
      </c>
      <c r="M25" s="144" t="str">
        <f>VLOOKUP(VALUE(K25),Notenspiegel!$B$3:$D$302,3,0)</f>
        <v>3-</v>
      </c>
      <c r="N25" s="96" t="str">
        <f>VLOOKUP(VALUE(K25),Notenspiegel!$B$3:$E$302,4,0)</f>
        <v>++</v>
      </c>
    </row>
    <row r="26" spans="2:14" ht="18" customHeight="1" thickBot="1" x14ac:dyDescent="0.3">
      <c r="B26" s="134">
        <v>20</v>
      </c>
      <c r="C26" s="114" t="str">
        <f>Config!C24&amp;", "&amp;Config!D24</f>
        <v>Hartl, Emmely</v>
      </c>
      <c r="D26" s="126">
        <f>VLOOKUP(C26,'Analysis A'!PupilBlock,8,0)</f>
        <v>13.5</v>
      </c>
      <c r="E26" s="126">
        <f>VLOOKUP(C26,'Analysis B'!PupilBlock,12,0)</f>
        <v>23</v>
      </c>
      <c r="F26" s="126">
        <f>VLOOKUP(C26,'Stochastik A'!PupilBlock,3,0)</f>
        <v>3</v>
      </c>
      <c r="G26" s="126">
        <f>VLOOKUP(C26,'Stochastik B'!PupilBlock,7,0)</f>
        <v>4.5</v>
      </c>
      <c r="H26" s="126">
        <f>VLOOKUP(C26,'Geometrie A'!PupilBlock,4,0)</f>
        <v>2</v>
      </c>
      <c r="I26" s="126">
        <f>VLOOKUP(C26,'Geometrie B'!PupilBlock,7,0)</f>
        <v>15</v>
      </c>
      <c r="J26" s="126">
        <f>VLOOKUP(C26,Wahlaufgaben!PupilBlock,7,0)</f>
        <v>10</v>
      </c>
      <c r="K26" s="127">
        <f t="shared" si="0"/>
        <v>71</v>
      </c>
      <c r="L26" s="129">
        <f>VLOOKUP(VALUE(K26),Notenspiegel!$B$3:$C$302,2,0)</f>
        <v>10</v>
      </c>
      <c r="M26" s="117" t="str">
        <f>VLOOKUP(VALUE(K26),Notenspiegel!$B$3:$D$302,3,0)</f>
        <v>2-</v>
      </c>
      <c r="N26" s="96" t="str">
        <f>VLOOKUP(VALUE(K26),Notenspiegel!$B$3:$E$302,4,0)</f>
        <v/>
      </c>
    </row>
    <row r="27" spans="2:14" ht="18" customHeight="1" thickBot="1" x14ac:dyDescent="0.3">
      <c r="B27" s="135">
        <v>21</v>
      </c>
      <c r="C27" s="113" t="str">
        <f>Config!C25&amp;", "&amp;Config!D25</f>
        <v>Klotz, Karin</v>
      </c>
      <c r="D27" s="124">
        <f>VLOOKUP(C27,'Analysis A'!PupilBlock,8,0)</f>
        <v>13.5</v>
      </c>
      <c r="E27" s="124">
        <f>VLOOKUP(C27,'Analysis B'!PupilBlock,12,0)</f>
        <v>26.5</v>
      </c>
      <c r="F27" s="124">
        <f>VLOOKUP(C27,'Stochastik A'!PupilBlock,3,0)</f>
        <v>4</v>
      </c>
      <c r="G27" s="124">
        <f>VLOOKUP(C27,'Stochastik B'!PupilBlock,7,0)</f>
        <v>6</v>
      </c>
      <c r="H27" s="124">
        <f>VLOOKUP(C27,'Geometrie A'!PupilBlock,4,0)</f>
        <v>5</v>
      </c>
      <c r="I27" s="124">
        <f>VLOOKUP(C27,'Geometrie B'!PupilBlock,7,0)</f>
        <v>16</v>
      </c>
      <c r="J27" s="124">
        <f>VLOOKUP(C27,Wahlaufgaben!PupilBlock,7,0)</f>
        <v>10</v>
      </c>
      <c r="K27" s="115">
        <f t="shared" si="0"/>
        <v>81</v>
      </c>
      <c r="L27" s="128">
        <f>VLOOKUP(VALUE(K27),Notenspiegel!$B$3:$C$302,2,0)</f>
        <v>12</v>
      </c>
      <c r="M27" s="116" t="str">
        <f>VLOOKUP(VALUE(K27),Notenspiegel!$B$3:$D$302,3,0)</f>
        <v>2+</v>
      </c>
      <c r="N27" s="96" t="str">
        <f>VLOOKUP(VALUE(K27),Notenspiegel!$B$3:$E$302,4,0)</f>
        <v/>
      </c>
    </row>
    <row r="28" spans="2:14" ht="18" customHeight="1" thickBot="1" x14ac:dyDescent="0.3">
      <c r="B28" s="134">
        <v>22</v>
      </c>
      <c r="C28" s="114" t="str">
        <f>Config!C26&amp;", "&amp;Config!D26</f>
        <v>Ehlers, Ingo</v>
      </c>
      <c r="D28" s="126">
        <f>VLOOKUP(C28,'Analysis A'!PupilBlock,8,0)</f>
        <v>10</v>
      </c>
      <c r="E28" s="126">
        <f>VLOOKUP(C28,'Analysis B'!PupilBlock,12,0)</f>
        <v>21</v>
      </c>
      <c r="F28" s="126">
        <f>VLOOKUP(C28,'Stochastik A'!PupilBlock,3,0)</f>
        <v>5</v>
      </c>
      <c r="G28" s="126">
        <f>VLOOKUP(C28,'Stochastik B'!PupilBlock,7,0)</f>
        <v>5.5</v>
      </c>
      <c r="H28" s="126">
        <f>VLOOKUP(C28,'Geometrie A'!PupilBlock,4,0)</f>
        <v>5</v>
      </c>
      <c r="I28" s="126">
        <f>VLOOKUP(C28,'Geometrie B'!PupilBlock,7,0)</f>
        <v>14.5</v>
      </c>
      <c r="J28" s="126">
        <f>VLOOKUP(C28,Wahlaufgaben!PupilBlock,7,0)</f>
        <v>7</v>
      </c>
      <c r="K28" s="127">
        <f t="shared" si="0"/>
        <v>68</v>
      </c>
      <c r="L28" s="129">
        <f>VLOOKUP(VALUE(K28),Notenspiegel!$B$3:$C$302,2,0)</f>
        <v>9</v>
      </c>
      <c r="M28" s="117" t="str">
        <f>VLOOKUP(VALUE(K28),Notenspiegel!$B$3:$D$302,3,0)</f>
        <v>3+</v>
      </c>
      <c r="N28" s="96" t="str">
        <f>VLOOKUP(VALUE(K28),Notenspiegel!$B$3:$E$302,4,0)</f>
        <v/>
      </c>
    </row>
    <row r="29" spans="2:14" ht="18" customHeight="1" thickBot="1" x14ac:dyDescent="0.3">
      <c r="B29" s="136">
        <v>23</v>
      </c>
      <c r="C29" s="131" t="str">
        <f>Config!C27&amp;", "&amp;Config!D27</f>
        <v>Lindemann, Mads</v>
      </c>
      <c r="D29" s="132">
        <f>VLOOKUP(C29,'Analysis A'!PupilBlock,8,0)</f>
        <v>7</v>
      </c>
      <c r="E29" s="132">
        <f>VLOOKUP(C29,'Analysis B'!PupilBlock,12,0)</f>
        <v>16</v>
      </c>
      <c r="F29" s="132">
        <f>VLOOKUP(C29,'Stochastik A'!PupilBlock,3,0)</f>
        <v>5</v>
      </c>
      <c r="G29" s="132">
        <f>VLOOKUP(C29,'Stochastik B'!PupilBlock,7,0)</f>
        <v>10</v>
      </c>
      <c r="H29" s="132">
        <f>VLOOKUP(C29,'Geometrie A'!PupilBlock,4,0)</f>
        <v>3</v>
      </c>
      <c r="I29" s="132">
        <f>VLOOKUP(C29,'Geometrie B'!PupilBlock,7,0)</f>
        <v>6.5</v>
      </c>
      <c r="J29" s="132">
        <f>VLOOKUP(C29,Wahlaufgaben!PupilBlock,7,0)</f>
        <v>8</v>
      </c>
      <c r="K29" s="115">
        <f t="shared" si="0"/>
        <v>55.5</v>
      </c>
      <c r="L29" s="147">
        <f>VLOOKUP(VALUE(K29),Notenspiegel!$B$3:$C$302,2,0)</f>
        <v>7</v>
      </c>
      <c r="M29" s="148" t="str">
        <f>VLOOKUP(VALUE(K29),Notenspiegel!$B$3:$D$302,3,0)</f>
        <v>3-</v>
      </c>
      <c r="N29" s="96" t="str">
        <f>VLOOKUP(VALUE(K29),Notenspiegel!$B$3:$E$302,4,0)</f>
        <v>-</v>
      </c>
    </row>
    <row r="30" spans="2:14" ht="18" customHeight="1" thickBot="1" x14ac:dyDescent="0.3">
      <c r="B30" s="68"/>
      <c r="C30" s="69"/>
      <c r="D30" s="69">
        <f t="shared" ref="D30:J30" si="1">SUM(D7:D29)/(23*D6)</f>
        <v>0.672463768115942</v>
      </c>
      <c r="E30" s="69">
        <f t="shared" si="1"/>
        <v>0.63260869565217392</v>
      </c>
      <c r="F30" s="69">
        <f t="shared" si="1"/>
        <v>0.74782608695652175</v>
      </c>
      <c r="G30" s="69">
        <f t="shared" si="1"/>
        <v>0.4373401534526854</v>
      </c>
      <c r="H30" s="69">
        <f t="shared" si="1"/>
        <v>0.66956521739130437</v>
      </c>
      <c r="I30" s="69">
        <f t="shared" si="1"/>
        <v>0.61594202898550721</v>
      </c>
      <c r="J30" s="69">
        <f t="shared" si="1"/>
        <v>0.74782608695652175</v>
      </c>
      <c r="K30" s="69" t="s">
        <v>85</v>
      </c>
      <c r="L30" s="70">
        <f>AVERAGE(L7:L29)</f>
        <v>7.9565217391304346</v>
      </c>
      <c r="M30" s="81">
        <f t="array" ref="M30">AVERAGE(SUBSTITUTE(SUBSTITUTE(M7:M29,"+",""),"-","")*1)</f>
        <v>3</v>
      </c>
    </row>
    <row r="31" spans="2:14" ht="18" customHeight="1" x14ac:dyDescent="0.25"/>
    <row r="32" spans="2:14"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row r="65" ht="18" customHeight="1" x14ac:dyDescent="0.25"/>
    <row r="66" ht="18" customHeight="1" x14ac:dyDescent="0.25"/>
    <row r="67" ht="18" customHeight="1" x14ac:dyDescent="0.25"/>
    <row r="68" ht="18" customHeight="1" x14ac:dyDescent="0.25"/>
    <row r="69" ht="18" customHeight="1" x14ac:dyDescent="0.25"/>
    <row r="70" ht="18" customHeight="1" x14ac:dyDescent="0.25"/>
    <row r="71" ht="18" customHeight="1" x14ac:dyDescent="0.25"/>
    <row r="72" ht="18" customHeight="1" x14ac:dyDescent="0.25"/>
    <row r="73" ht="18" customHeight="1" x14ac:dyDescent="0.25"/>
    <row r="74" ht="18" customHeight="1" x14ac:dyDescent="0.25"/>
    <row r="75" ht="18" customHeight="1" x14ac:dyDescent="0.25"/>
    <row r="76" ht="18" customHeight="1" x14ac:dyDescent="0.25"/>
    <row r="77" ht="18" customHeight="1" x14ac:dyDescent="0.25"/>
    <row r="78" ht="18" customHeight="1" x14ac:dyDescent="0.25"/>
    <row r="79" ht="18" customHeight="1" x14ac:dyDescent="0.25"/>
    <row r="8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sheetProtection sheet="1" objects="1" scenarios="1" selectLockedCells="1"/>
  <dataConsolidate/>
  <pageMargins left="0.7" right="0.7" top="0.78740157499999996" bottom="0.78740157499999996" header="0.3" footer="0.3"/>
  <pageSetup paperSize="9"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EAECF4-7034-4B57-821E-4373E7AEB826}">
  <sheetPr codeName="Tabelle1">
    <tabColor rgb="FF92D050"/>
  </sheetPr>
  <dimension ref="B1:J100"/>
  <sheetViews>
    <sheetView workbookViewId="0">
      <selection activeCell="D8" sqref="D8"/>
    </sheetView>
  </sheetViews>
  <sheetFormatPr baseColWidth="10" defaultColWidth="11.5546875" defaultRowHeight="13.2" x14ac:dyDescent="0.25"/>
  <cols>
    <col min="1" max="2" width="3.44140625" style="96" customWidth="1"/>
    <col min="3" max="3" width="25.6640625" style="96" customWidth="1"/>
    <col min="4" max="10" width="8.6640625" style="96" customWidth="1"/>
    <col min="11" max="16384" width="11.5546875" style="96"/>
  </cols>
  <sheetData>
    <row r="1" spans="2:10" ht="18" customHeight="1" thickBot="1" x14ac:dyDescent="0.3"/>
    <row r="2" spans="2:10" ht="18" customHeight="1" x14ac:dyDescent="0.25">
      <c r="B2" s="97" t="str">
        <f>Config!F2&amp;" "&amp;YEAR(Config!G24)</f>
        <v>Mathe Abitur 2026</v>
      </c>
      <c r="C2" s="98"/>
      <c r="D2" s="98"/>
      <c r="E2" s="98"/>
      <c r="F2" s="98"/>
      <c r="G2" s="99"/>
      <c r="H2" s="99"/>
      <c r="I2" s="99"/>
      <c r="J2" s="100" t="str">
        <f>"Kurs "&amp;Config!G26</f>
        <v>Kurs K1</v>
      </c>
    </row>
    <row r="3" spans="2:10" ht="18" customHeight="1" x14ac:dyDescent="0.25">
      <c r="B3" s="101" t="s">
        <v>9</v>
      </c>
      <c r="C3" s="102"/>
      <c r="D3" s="102"/>
      <c r="E3" s="102"/>
      <c r="F3" s="102"/>
      <c r="G3" s="102"/>
      <c r="H3" s="102"/>
      <c r="I3" s="102"/>
      <c r="J3" s="103"/>
    </row>
    <row r="4" spans="2:10" ht="18" customHeight="1" thickBot="1" x14ac:dyDescent="0.3">
      <c r="B4" s="101"/>
      <c r="C4" s="102"/>
      <c r="D4" s="104"/>
      <c r="E4" s="104"/>
      <c r="F4" s="104"/>
      <c r="G4" s="104"/>
      <c r="H4" s="104"/>
      <c r="I4" s="104"/>
      <c r="J4" s="105"/>
    </row>
    <row r="5" spans="2:10" ht="18" customHeight="1" thickBot="1" x14ac:dyDescent="0.3">
      <c r="B5" s="106"/>
      <c r="C5" s="108"/>
      <c r="D5" s="118" t="str">
        <f>Config!F6</f>
        <v>1a</v>
      </c>
      <c r="E5" s="118" t="str">
        <f>Config!F7</f>
        <v>1b</v>
      </c>
      <c r="F5" s="118" t="str">
        <f>Config!F8</f>
        <v>2</v>
      </c>
      <c r="G5" s="118" t="str">
        <f>Config!F9</f>
        <v>3</v>
      </c>
      <c r="H5" s="118" t="str">
        <f>Config!F10</f>
        <v>4a</v>
      </c>
      <c r="I5" s="118" t="str">
        <f>Config!F11</f>
        <v>4b</v>
      </c>
      <c r="J5" s="112" t="s">
        <v>82</v>
      </c>
    </row>
    <row r="6" spans="2:10" ht="18" customHeight="1" thickBot="1" x14ac:dyDescent="0.3">
      <c r="B6" s="107"/>
      <c r="C6" s="109" t="s">
        <v>81</v>
      </c>
      <c r="D6" s="111">
        <f>Config!G6</f>
        <v>2</v>
      </c>
      <c r="E6" s="111">
        <f>Config!G7</f>
        <v>2</v>
      </c>
      <c r="F6" s="111">
        <f>Config!G8</f>
        <v>3</v>
      </c>
      <c r="G6" s="111">
        <f>Config!G9</f>
        <v>3</v>
      </c>
      <c r="H6" s="111">
        <f>Config!G10</f>
        <v>3</v>
      </c>
      <c r="I6" s="111">
        <f>Config!G11</f>
        <v>2</v>
      </c>
      <c r="J6" s="119">
        <f>Config!G21</f>
        <v>15</v>
      </c>
    </row>
    <row r="7" spans="2:10" ht="18" customHeight="1" x14ac:dyDescent="0.25">
      <c r="B7" s="154">
        <v>1</v>
      </c>
      <c r="C7" s="155" t="str">
        <f>Config!C5&amp;", "&amp;Config!D5</f>
        <v>Höfer, Simon</v>
      </c>
      <c r="D7" s="176">
        <v>1</v>
      </c>
      <c r="E7" s="176">
        <v>1</v>
      </c>
      <c r="F7" s="176">
        <v>1.5</v>
      </c>
      <c r="G7" s="176">
        <v>2.5</v>
      </c>
      <c r="H7" s="176">
        <v>3</v>
      </c>
      <c r="I7" s="177">
        <v>2</v>
      </c>
      <c r="J7" s="156">
        <f t="shared" ref="J7:J37" si="0">SUM(D7:I7)</f>
        <v>11</v>
      </c>
    </row>
    <row r="8" spans="2:10" s="256" customFormat="1" ht="13.2" customHeight="1" x14ac:dyDescent="0.2">
      <c r="B8" s="259"/>
      <c r="C8" s="263" t="s">
        <v>126</v>
      </c>
      <c r="D8" s="157">
        <v>1</v>
      </c>
      <c r="E8" s="158">
        <v>0.5</v>
      </c>
      <c r="F8" s="157">
        <v>1.5</v>
      </c>
      <c r="G8" s="159">
        <v>3</v>
      </c>
      <c r="H8" s="157">
        <v>3</v>
      </c>
      <c r="I8" s="160">
        <v>2</v>
      </c>
      <c r="J8" s="258">
        <f>SUM(D8:I8)</f>
        <v>11</v>
      </c>
    </row>
    <row r="9" spans="2:10" s="256" customFormat="1" ht="13.2" customHeight="1" x14ac:dyDescent="0.2">
      <c r="B9" s="279"/>
      <c r="C9" s="280" t="s">
        <v>127</v>
      </c>
      <c r="D9" s="152">
        <v>1</v>
      </c>
      <c r="E9" s="161">
        <v>0.5</v>
      </c>
      <c r="F9" s="152">
        <v>1.5</v>
      </c>
      <c r="G9" s="152">
        <v>2.5</v>
      </c>
      <c r="H9" s="152">
        <v>3</v>
      </c>
      <c r="I9" s="162">
        <v>1.5</v>
      </c>
      <c r="J9" s="257">
        <f>SUM(D9:I9)</f>
        <v>10</v>
      </c>
    </row>
    <row r="10" spans="2:10" ht="18" customHeight="1" x14ac:dyDescent="0.25">
      <c r="B10" s="167">
        <v>2</v>
      </c>
      <c r="C10" s="168" t="str">
        <f>Config!C6&amp;", "&amp;Config!D6</f>
        <v>Töpfer, Lilian</v>
      </c>
      <c r="D10" s="178">
        <v>1.5</v>
      </c>
      <c r="E10" s="178">
        <v>2</v>
      </c>
      <c r="F10" s="178">
        <v>0.5</v>
      </c>
      <c r="G10" s="178">
        <v>1</v>
      </c>
      <c r="H10" s="178">
        <v>2</v>
      </c>
      <c r="I10" s="179">
        <v>2</v>
      </c>
      <c r="J10" s="169">
        <f t="shared" si="0"/>
        <v>9</v>
      </c>
    </row>
    <row r="11" spans="2:10" s="256" customFormat="1" ht="13.2" customHeight="1" x14ac:dyDescent="0.2">
      <c r="B11" s="262"/>
      <c r="C11" s="264" t="s">
        <v>126</v>
      </c>
      <c r="D11" s="163">
        <v>1.5</v>
      </c>
      <c r="E11" s="163">
        <v>2</v>
      </c>
      <c r="F11" s="164">
        <v>1</v>
      </c>
      <c r="G11" s="165">
        <v>0.5</v>
      </c>
      <c r="H11" s="163">
        <v>2</v>
      </c>
      <c r="I11" s="166">
        <v>2</v>
      </c>
      <c r="J11" s="261">
        <f>SUM(D11:I11)</f>
        <v>9</v>
      </c>
    </row>
    <row r="12" spans="2:10" s="256" customFormat="1" ht="13.2" customHeight="1" x14ac:dyDescent="0.2">
      <c r="B12" s="281"/>
      <c r="C12" s="282" t="s">
        <v>127</v>
      </c>
      <c r="D12" s="152">
        <v>1.5</v>
      </c>
      <c r="E12" s="152">
        <v>2</v>
      </c>
      <c r="F12" s="152">
        <v>0.5</v>
      </c>
      <c r="G12" s="152">
        <v>1</v>
      </c>
      <c r="H12" s="152">
        <v>2</v>
      </c>
      <c r="I12" s="153">
        <v>2</v>
      </c>
      <c r="J12" s="260">
        <f>SUM(D12:I12)</f>
        <v>9</v>
      </c>
    </row>
    <row r="13" spans="2:10" ht="18" customHeight="1" x14ac:dyDescent="0.25">
      <c r="B13" s="170">
        <v>3</v>
      </c>
      <c r="C13" s="171" t="str">
        <f>Config!C7&amp;", "&amp;Config!D7</f>
        <v>Fleischmann, Leonie</v>
      </c>
      <c r="D13" s="180">
        <v>0.5</v>
      </c>
      <c r="E13" s="180">
        <v>1.5</v>
      </c>
      <c r="F13" s="180">
        <v>1.5</v>
      </c>
      <c r="G13" s="180">
        <v>3</v>
      </c>
      <c r="H13" s="180">
        <v>3</v>
      </c>
      <c r="I13" s="181">
        <v>1</v>
      </c>
      <c r="J13" s="172">
        <f t="shared" si="0"/>
        <v>10.5</v>
      </c>
    </row>
    <row r="14" spans="2:10" s="256" customFormat="1" ht="13.2" customHeight="1" x14ac:dyDescent="0.2">
      <c r="B14" s="259"/>
      <c r="C14" s="263" t="s">
        <v>126</v>
      </c>
      <c r="D14" s="157"/>
      <c r="E14" s="157"/>
      <c r="F14" s="157"/>
      <c r="G14" s="157"/>
      <c r="H14" s="157"/>
      <c r="I14" s="160"/>
      <c r="J14" s="258">
        <f>SUM(D14:I14)</f>
        <v>0</v>
      </c>
    </row>
    <row r="15" spans="2:10" s="256" customFormat="1" ht="13.2" customHeight="1" x14ac:dyDescent="0.2">
      <c r="B15" s="279"/>
      <c r="C15" s="280" t="s">
        <v>127</v>
      </c>
      <c r="D15" s="152"/>
      <c r="E15" s="152"/>
      <c r="F15" s="152"/>
      <c r="G15" s="152"/>
      <c r="H15" s="152"/>
      <c r="I15" s="153"/>
      <c r="J15" s="257">
        <f>SUM(D15:I15)</f>
        <v>0</v>
      </c>
    </row>
    <row r="16" spans="2:10" ht="18" customHeight="1" x14ac:dyDescent="0.25">
      <c r="B16" s="167">
        <v>4</v>
      </c>
      <c r="C16" s="168" t="str">
        <f>Config!C8&amp;", "&amp;Config!D8</f>
        <v>Drescher, Cedric</v>
      </c>
      <c r="D16" s="178">
        <v>2</v>
      </c>
      <c r="E16" s="178">
        <v>2</v>
      </c>
      <c r="F16" s="178">
        <v>1</v>
      </c>
      <c r="G16" s="178">
        <v>3</v>
      </c>
      <c r="H16" s="178">
        <v>2.5</v>
      </c>
      <c r="I16" s="179">
        <v>2</v>
      </c>
      <c r="J16" s="169">
        <f t="shared" si="0"/>
        <v>12.5</v>
      </c>
    </row>
    <row r="17" spans="2:10" s="256" customFormat="1" ht="13.2" customHeight="1" x14ac:dyDescent="0.2">
      <c r="B17" s="262"/>
      <c r="C17" s="264" t="s">
        <v>126</v>
      </c>
      <c r="D17" s="163"/>
      <c r="E17" s="163"/>
      <c r="F17" s="163"/>
      <c r="G17" s="163"/>
      <c r="H17" s="163"/>
      <c r="I17" s="166"/>
      <c r="J17" s="261">
        <f>SUM(D17:I17)</f>
        <v>0</v>
      </c>
    </row>
    <row r="18" spans="2:10" s="256" customFormat="1" ht="13.2" customHeight="1" x14ac:dyDescent="0.2">
      <c r="B18" s="281"/>
      <c r="C18" s="282" t="s">
        <v>127</v>
      </c>
      <c r="D18" s="152"/>
      <c r="E18" s="152"/>
      <c r="F18" s="152"/>
      <c r="G18" s="152"/>
      <c r="H18" s="152"/>
      <c r="I18" s="153"/>
      <c r="J18" s="260">
        <f>SUM(D18:I18)</f>
        <v>0</v>
      </c>
    </row>
    <row r="19" spans="2:10" ht="18" customHeight="1" x14ac:dyDescent="0.25">
      <c r="B19" s="170">
        <v>5</v>
      </c>
      <c r="C19" s="171" t="str">
        <f>Config!C9&amp;", "&amp;Config!D9</f>
        <v>Baumgarten, Annabell</v>
      </c>
      <c r="D19" s="180">
        <v>2</v>
      </c>
      <c r="E19" s="180">
        <v>2</v>
      </c>
      <c r="F19" s="180">
        <v>2.5</v>
      </c>
      <c r="G19" s="180">
        <v>3</v>
      </c>
      <c r="H19" s="180">
        <v>2.5</v>
      </c>
      <c r="I19" s="181">
        <v>2</v>
      </c>
      <c r="J19" s="172">
        <f t="shared" si="0"/>
        <v>14</v>
      </c>
    </row>
    <row r="20" spans="2:10" s="256" customFormat="1" ht="13.2" customHeight="1" x14ac:dyDescent="0.2">
      <c r="B20" s="259"/>
      <c r="C20" s="263" t="s">
        <v>126</v>
      </c>
      <c r="D20" s="157"/>
      <c r="E20" s="157"/>
      <c r="F20" s="157"/>
      <c r="G20" s="157"/>
      <c r="H20" s="157"/>
      <c r="I20" s="160"/>
      <c r="J20" s="258">
        <f>SUM(D20:I20)</f>
        <v>0</v>
      </c>
    </row>
    <row r="21" spans="2:10" s="256" customFormat="1" ht="13.2" customHeight="1" x14ac:dyDescent="0.2">
      <c r="B21" s="279"/>
      <c r="C21" s="280" t="s">
        <v>127</v>
      </c>
      <c r="D21" s="152"/>
      <c r="E21" s="152"/>
      <c r="F21" s="152"/>
      <c r="G21" s="152"/>
      <c r="H21" s="152"/>
      <c r="I21" s="153"/>
      <c r="J21" s="257">
        <f>SUM(D21:I21)</f>
        <v>0</v>
      </c>
    </row>
    <row r="22" spans="2:10" ht="18" customHeight="1" x14ac:dyDescent="0.25">
      <c r="B22" s="167">
        <v>6</v>
      </c>
      <c r="C22" s="168" t="str">
        <f>Config!C10&amp;", "&amp;Config!D10</f>
        <v>Traut, Stefanie</v>
      </c>
      <c r="D22" s="178">
        <v>2</v>
      </c>
      <c r="E22" s="178">
        <v>2</v>
      </c>
      <c r="F22" s="178">
        <v>2</v>
      </c>
      <c r="G22" s="178">
        <v>2</v>
      </c>
      <c r="H22" s="178">
        <v>2.5</v>
      </c>
      <c r="I22" s="179">
        <v>2</v>
      </c>
      <c r="J22" s="169">
        <f t="shared" si="0"/>
        <v>12.5</v>
      </c>
    </row>
    <row r="23" spans="2:10" s="256" customFormat="1" ht="13.2" customHeight="1" x14ac:dyDescent="0.2">
      <c r="B23" s="262"/>
      <c r="C23" s="264" t="s">
        <v>126</v>
      </c>
      <c r="D23" s="163"/>
      <c r="E23" s="163"/>
      <c r="F23" s="163"/>
      <c r="G23" s="163"/>
      <c r="H23" s="163"/>
      <c r="I23" s="166"/>
      <c r="J23" s="261">
        <f>SUM(D23:I23)</f>
        <v>0</v>
      </c>
    </row>
    <row r="24" spans="2:10" s="256" customFormat="1" ht="13.2" customHeight="1" x14ac:dyDescent="0.2">
      <c r="B24" s="281"/>
      <c r="C24" s="282" t="s">
        <v>127</v>
      </c>
      <c r="D24" s="152"/>
      <c r="E24" s="152"/>
      <c r="F24" s="152"/>
      <c r="G24" s="152"/>
      <c r="H24" s="152"/>
      <c r="I24" s="153"/>
      <c r="J24" s="260">
        <f>SUM(D24:I24)</f>
        <v>0</v>
      </c>
    </row>
    <row r="25" spans="2:10" ht="18" customHeight="1" x14ac:dyDescent="0.25">
      <c r="B25" s="170">
        <v>7</v>
      </c>
      <c r="C25" s="171" t="str">
        <f>Config!C11&amp;", "&amp;Config!D11</f>
        <v>Menke, Damian</v>
      </c>
      <c r="D25" s="180">
        <v>1</v>
      </c>
      <c r="E25" s="180">
        <v>1.5</v>
      </c>
      <c r="F25" s="180">
        <v>3</v>
      </c>
      <c r="G25" s="180">
        <v>3</v>
      </c>
      <c r="H25" s="180">
        <v>3</v>
      </c>
      <c r="I25" s="181">
        <v>1</v>
      </c>
      <c r="J25" s="172">
        <f t="shared" si="0"/>
        <v>12.5</v>
      </c>
    </row>
    <row r="26" spans="2:10" s="256" customFormat="1" ht="13.2" customHeight="1" x14ac:dyDescent="0.2">
      <c r="B26" s="259"/>
      <c r="C26" s="263" t="s">
        <v>126</v>
      </c>
      <c r="D26" s="157"/>
      <c r="E26" s="157"/>
      <c r="F26" s="157"/>
      <c r="G26" s="157"/>
      <c r="H26" s="157"/>
      <c r="I26" s="160"/>
      <c r="J26" s="258">
        <f>SUM(D26:I26)</f>
        <v>0</v>
      </c>
    </row>
    <row r="27" spans="2:10" s="256" customFormat="1" ht="13.2" customHeight="1" x14ac:dyDescent="0.2">
      <c r="B27" s="279"/>
      <c r="C27" s="280" t="s">
        <v>127</v>
      </c>
      <c r="D27" s="152"/>
      <c r="E27" s="152"/>
      <c r="F27" s="152"/>
      <c r="G27" s="152"/>
      <c r="H27" s="152"/>
      <c r="I27" s="153"/>
      <c r="J27" s="257">
        <f>SUM(D27:I27)</f>
        <v>0</v>
      </c>
    </row>
    <row r="28" spans="2:10" ht="18" customHeight="1" x14ac:dyDescent="0.25">
      <c r="B28" s="167">
        <v>8</v>
      </c>
      <c r="C28" s="168" t="str">
        <f>Config!C12&amp;", "&amp;Config!D12</f>
        <v>Carroll, Meik</v>
      </c>
      <c r="D28" s="178">
        <v>0.5</v>
      </c>
      <c r="E28" s="178">
        <v>2</v>
      </c>
      <c r="F28" s="178">
        <v>1.5</v>
      </c>
      <c r="G28" s="178">
        <v>1</v>
      </c>
      <c r="H28" s="178">
        <v>3</v>
      </c>
      <c r="I28" s="179">
        <v>1</v>
      </c>
      <c r="J28" s="169">
        <f t="shared" si="0"/>
        <v>9</v>
      </c>
    </row>
    <row r="29" spans="2:10" s="256" customFormat="1" ht="13.2" customHeight="1" x14ac:dyDescent="0.2">
      <c r="B29" s="262"/>
      <c r="C29" s="264" t="s">
        <v>126</v>
      </c>
      <c r="D29" s="163"/>
      <c r="E29" s="163"/>
      <c r="F29" s="163"/>
      <c r="G29" s="163"/>
      <c r="H29" s="163"/>
      <c r="I29" s="166"/>
      <c r="J29" s="261">
        <f>SUM(D29:I29)</f>
        <v>0</v>
      </c>
    </row>
    <row r="30" spans="2:10" s="256" customFormat="1" ht="13.2" customHeight="1" x14ac:dyDescent="0.2">
      <c r="B30" s="281"/>
      <c r="C30" s="282" t="s">
        <v>127</v>
      </c>
      <c r="D30" s="152"/>
      <c r="E30" s="152"/>
      <c r="F30" s="152"/>
      <c r="G30" s="152"/>
      <c r="H30" s="152"/>
      <c r="I30" s="153"/>
      <c r="J30" s="260">
        <f>SUM(D30:I30)</f>
        <v>0</v>
      </c>
    </row>
    <row r="31" spans="2:10" ht="18" customHeight="1" x14ac:dyDescent="0.25">
      <c r="B31" s="170">
        <v>9</v>
      </c>
      <c r="C31" s="171" t="str">
        <f>Config!C13&amp;", "&amp;Config!D13</f>
        <v>Hennings, Tomas</v>
      </c>
      <c r="D31" s="180">
        <v>1.5</v>
      </c>
      <c r="E31" s="180">
        <v>2</v>
      </c>
      <c r="F31" s="180">
        <v>1.5</v>
      </c>
      <c r="G31" s="180">
        <v>1</v>
      </c>
      <c r="H31" s="180">
        <v>2</v>
      </c>
      <c r="I31" s="181">
        <v>2</v>
      </c>
      <c r="J31" s="172">
        <f t="shared" si="0"/>
        <v>10</v>
      </c>
    </row>
    <row r="32" spans="2:10" s="256" customFormat="1" ht="13.2" customHeight="1" x14ac:dyDescent="0.2">
      <c r="B32" s="259"/>
      <c r="C32" s="263" t="s">
        <v>126</v>
      </c>
      <c r="D32" s="157"/>
      <c r="E32" s="157"/>
      <c r="F32" s="157"/>
      <c r="G32" s="157"/>
      <c r="H32" s="157"/>
      <c r="I32" s="160"/>
      <c r="J32" s="258">
        <f>SUM(D32:I32)</f>
        <v>0</v>
      </c>
    </row>
    <row r="33" spans="2:10" s="256" customFormat="1" ht="13.2" customHeight="1" x14ac:dyDescent="0.2">
      <c r="B33" s="279"/>
      <c r="C33" s="280" t="s">
        <v>127</v>
      </c>
      <c r="D33" s="152"/>
      <c r="E33" s="152"/>
      <c r="F33" s="152"/>
      <c r="G33" s="152"/>
      <c r="H33" s="152"/>
      <c r="I33" s="153"/>
      <c r="J33" s="257">
        <f>SUM(D33:I33)</f>
        <v>0</v>
      </c>
    </row>
    <row r="34" spans="2:10" ht="18" customHeight="1" x14ac:dyDescent="0.25">
      <c r="B34" s="167">
        <v>10</v>
      </c>
      <c r="C34" s="168" t="str">
        <f>Config!C14&amp;", "&amp;Config!D14</f>
        <v>Walters, Linn</v>
      </c>
      <c r="D34" s="178">
        <v>0.5</v>
      </c>
      <c r="E34" s="178">
        <v>1</v>
      </c>
      <c r="F34" s="178">
        <v>0</v>
      </c>
      <c r="G34" s="178">
        <v>1</v>
      </c>
      <c r="H34" s="178">
        <v>0.5</v>
      </c>
      <c r="I34" s="179">
        <v>0</v>
      </c>
      <c r="J34" s="169">
        <f t="shared" si="0"/>
        <v>3</v>
      </c>
    </row>
    <row r="35" spans="2:10" s="256" customFormat="1" ht="13.2" customHeight="1" x14ac:dyDescent="0.2">
      <c r="B35" s="262"/>
      <c r="C35" s="264" t="s">
        <v>126</v>
      </c>
      <c r="D35" s="163"/>
      <c r="E35" s="163"/>
      <c r="F35" s="163"/>
      <c r="G35" s="163"/>
      <c r="H35" s="163"/>
      <c r="I35" s="166"/>
      <c r="J35" s="261">
        <f>SUM(D35:I35)</f>
        <v>0</v>
      </c>
    </row>
    <row r="36" spans="2:10" s="256" customFormat="1" ht="13.2" customHeight="1" x14ac:dyDescent="0.2">
      <c r="B36" s="281"/>
      <c r="C36" s="282" t="s">
        <v>127</v>
      </c>
      <c r="D36" s="152"/>
      <c r="E36" s="152"/>
      <c r="F36" s="152"/>
      <c r="G36" s="152"/>
      <c r="H36" s="152"/>
      <c r="I36" s="153"/>
      <c r="J36" s="260">
        <f>SUM(D36:I36)</f>
        <v>0</v>
      </c>
    </row>
    <row r="37" spans="2:10" ht="18" customHeight="1" x14ac:dyDescent="0.25">
      <c r="B37" s="170">
        <v>11</v>
      </c>
      <c r="C37" s="171" t="str">
        <f>Config!C15&amp;", "&amp;Config!D15</f>
        <v>Junker, Amely</v>
      </c>
      <c r="D37" s="180">
        <v>0.5</v>
      </c>
      <c r="E37" s="180">
        <v>2</v>
      </c>
      <c r="F37" s="180">
        <v>1.5</v>
      </c>
      <c r="G37" s="180">
        <v>0</v>
      </c>
      <c r="H37" s="180">
        <v>1.5</v>
      </c>
      <c r="I37" s="181">
        <v>1</v>
      </c>
      <c r="J37" s="172">
        <f t="shared" si="0"/>
        <v>6.5</v>
      </c>
    </row>
    <row r="38" spans="2:10" s="256" customFormat="1" ht="13.2" customHeight="1" x14ac:dyDescent="0.2">
      <c r="B38" s="259"/>
      <c r="C38" s="263" t="s">
        <v>126</v>
      </c>
      <c r="D38" s="157"/>
      <c r="E38" s="157"/>
      <c r="F38" s="157"/>
      <c r="G38" s="157"/>
      <c r="H38" s="157"/>
      <c r="I38" s="160"/>
      <c r="J38" s="258">
        <f>SUM(D38:I38)</f>
        <v>0</v>
      </c>
    </row>
    <row r="39" spans="2:10" s="256" customFormat="1" ht="13.2" customHeight="1" x14ac:dyDescent="0.2">
      <c r="B39" s="279"/>
      <c r="C39" s="280" t="s">
        <v>127</v>
      </c>
      <c r="D39" s="152"/>
      <c r="E39" s="152"/>
      <c r="F39" s="152"/>
      <c r="G39" s="152"/>
      <c r="H39" s="152"/>
      <c r="I39" s="153"/>
      <c r="J39" s="257">
        <f>SUM(D39:I39)</f>
        <v>0</v>
      </c>
    </row>
    <row r="40" spans="2:10" ht="18" customHeight="1" x14ac:dyDescent="0.25">
      <c r="B40" s="167">
        <v>12</v>
      </c>
      <c r="C40" s="168" t="str">
        <f>Config!C16&amp;", "&amp;Config!D16</f>
        <v>Stephens, Melvin</v>
      </c>
      <c r="D40" s="178">
        <v>2</v>
      </c>
      <c r="E40" s="178">
        <v>2</v>
      </c>
      <c r="F40" s="178">
        <v>1</v>
      </c>
      <c r="G40" s="178">
        <v>3</v>
      </c>
      <c r="H40" s="178">
        <v>1.5</v>
      </c>
      <c r="I40" s="179">
        <v>2</v>
      </c>
      <c r="J40" s="169">
        <f t="shared" ref="J40:J70" si="1">SUM(D40:I40)</f>
        <v>11.5</v>
      </c>
    </row>
    <row r="41" spans="2:10" s="256" customFormat="1" ht="13.2" customHeight="1" x14ac:dyDescent="0.2">
      <c r="B41" s="262"/>
      <c r="C41" s="264" t="s">
        <v>126</v>
      </c>
      <c r="D41" s="163"/>
      <c r="E41" s="163"/>
      <c r="F41" s="163"/>
      <c r="G41" s="163"/>
      <c r="H41" s="163"/>
      <c r="I41" s="166"/>
      <c r="J41" s="261">
        <f>SUM(D41:I41)</f>
        <v>0</v>
      </c>
    </row>
    <row r="42" spans="2:10" s="256" customFormat="1" ht="13.2" customHeight="1" x14ac:dyDescent="0.2">
      <c r="B42" s="281"/>
      <c r="C42" s="282" t="s">
        <v>127</v>
      </c>
      <c r="D42" s="152"/>
      <c r="E42" s="152"/>
      <c r="F42" s="152"/>
      <c r="G42" s="152"/>
      <c r="H42" s="152"/>
      <c r="I42" s="153"/>
      <c r="J42" s="260">
        <f>SUM(D42:I42)</f>
        <v>0</v>
      </c>
    </row>
    <row r="43" spans="2:10" ht="18" customHeight="1" x14ac:dyDescent="0.25">
      <c r="B43" s="170">
        <v>13</v>
      </c>
      <c r="C43" s="171" t="str">
        <f>Config!C17&amp;", "&amp;Config!D17</f>
        <v>Cremer, Marvin</v>
      </c>
      <c r="D43" s="180">
        <v>1.5</v>
      </c>
      <c r="E43" s="180">
        <v>2</v>
      </c>
      <c r="F43" s="180">
        <v>1.5</v>
      </c>
      <c r="G43" s="180">
        <v>3</v>
      </c>
      <c r="H43" s="180">
        <v>3</v>
      </c>
      <c r="I43" s="181">
        <v>1.5</v>
      </c>
      <c r="J43" s="172">
        <f t="shared" si="1"/>
        <v>12.5</v>
      </c>
    </row>
    <row r="44" spans="2:10" s="256" customFormat="1" ht="13.2" customHeight="1" x14ac:dyDescent="0.2">
      <c r="B44" s="259"/>
      <c r="C44" s="263" t="s">
        <v>126</v>
      </c>
      <c r="D44" s="157"/>
      <c r="E44" s="157"/>
      <c r="F44" s="157"/>
      <c r="G44" s="157"/>
      <c r="H44" s="157"/>
      <c r="I44" s="160"/>
      <c r="J44" s="258">
        <f>SUM(D44:I44)</f>
        <v>0</v>
      </c>
    </row>
    <row r="45" spans="2:10" s="256" customFormat="1" ht="13.2" customHeight="1" x14ac:dyDescent="0.2">
      <c r="B45" s="279"/>
      <c r="C45" s="280" t="s">
        <v>127</v>
      </c>
      <c r="D45" s="152"/>
      <c r="E45" s="152"/>
      <c r="F45" s="152"/>
      <c r="G45" s="152"/>
      <c r="H45" s="152"/>
      <c r="I45" s="153"/>
      <c r="J45" s="257">
        <f>SUM(D45:I45)</f>
        <v>0</v>
      </c>
    </row>
    <row r="46" spans="2:10" ht="18" customHeight="1" x14ac:dyDescent="0.25">
      <c r="B46" s="167">
        <v>14</v>
      </c>
      <c r="C46" s="168" t="str">
        <f>Config!C18&amp;", "&amp;Config!D18</f>
        <v>Nash, Jean</v>
      </c>
      <c r="D46" s="178">
        <v>2</v>
      </c>
      <c r="E46" s="178">
        <v>2</v>
      </c>
      <c r="F46" s="178">
        <v>1.5</v>
      </c>
      <c r="G46" s="178">
        <v>3</v>
      </c>
      <c r="H46" s="178">
        <v>3</v>
      </c>
      <c r="I46" s="179">
        <v>2</v>
      </c>
      <c r="J46" s="169">
        <f t="shared" si="1"/>
        <v>13.5</v>
      </c>
    </row>
    <row r="47" spans="2:10" s="256" customFormat="1" ht="13.2" customHeight="1" x14ac:dyDescent="0.2">
      <c r="B47" s="262"/>
      <c r="C47" s="264" t="s">
        <v>126</v>
      </c>
      <c r="D47" s="163"/>
      <c r="E47" s="163"/>
      <c r="F47" s="163"/>
      <c r="G47" s="163"/>
      <c r="H47" s="163"/>
      <c r="I47" s="166"/>
      <c r="J47" s="261">
        <f>SUM(D47:I47)</f>
        <v>0</v>
      </c>
    </row>
    <row r="48" spans="2:10" s="256" customFormat="1" ht="13.2" customHeight="1" x14ac:dyDescent="0.2">
      <c r="B48" s="281"/>
      <c r="C48" s="282" t="s">
        <v>127</v>
      </c>
      <c r="D48" s="152"/>
      <c r="E48" s="152"/>
      <c r="F48" s="152"/>
      <c r="G48" s="152"/>
      <c r="H48" s="152"/>
      <c r="I48" s="153"/>
      <c r="J48" s="260">
        <f>SUM(D48:I48)</f>
        <v>0</v>
      </c>
    </row>
    <row r="49" spans="2:10" ht="18" customHeight="1" x14ac:dyDescent="0.25">
      <c r="B49" s="170">
        <v>15</v>
      </c>
      <c r="C49" s="171" t="str">
        <f>Config!C19&amp;", "&amp;Config!D19</f>
        <v>Schön, Leonardo</v>
      </c>
      <c r="D49" s="180">
        <v>1</v>
      </c>
      <c r="E49" s="180">
        <v>2</v>
      </c>
      <c r="F49" s="180">
        <v>1.5</v>
      </c>
      <c r="G49" s="180">
        <v>3</v>
      </c>
      <c r="H49" s="180">
        <v>2.5</v>
      </c>
      <c r="I49" s="181">
        <v>2</v>
      </c>
      <c r="J49" s="172">
        <f t="shared" si="1"/>
        <v>12</v>
      </c>
    </row>
    <row r="50" spans="2:10" s="256" customFormat="1" ht="13.2" customHeight="1" x14ac:dyDescent="0.2">
      <c r="B50" s="259"/>
      <c r="C50" s="263" t="s">
        <v>126</v>
      </c>
      <c r="D50" s="157"/>
      <c r="E50" s="157"/>
      <c r="F50" s="157"/>
      <c r="G50" s="157"/>
      <c r="H50" s="157"/>
      <c r="I50" s="160"/>
      <c r="J50" s="258">
        <f>SUM(D50:I50)</f>
        <v>0</v>
      </c>
    </row>
    <row r="51" spans="2:10" s="256" customFormat="1" ht="13.2" customHeight="1" x14ac:dyDescent="0.2">
      <c r="B51" s="279"/>
      <c r="C51" s="280" t="s">
        <v>127</v>
      </c>
      <c r="D51" s="152"/>
      <c r="E51" s="152"/>
      <c r="F51" s="152"/>
      <c r="G51" s="152"/>
      <c r="H51" s="152"/>
      <c r="I51" s="153"/>
      <c r="J51" s="257">
        <f>SUM(D51:I51)</f>
        <v>0</v>
      </c>
    </row>
    <row r="52" spans="2:10" ht="18" customHeight="1" x14ac:dyDescent="0.25">
      <c r="B52" s="167">
        <v>16</v>
      </c>
      <c r="C52" s="168" t="str">
        <f>Config!C20&amp;", "&amp;Config!D20</f>
        <v>Sigl, Nicholas</v>
      </c>
      <c r="D52" s="178">
        <v>2</v>
      </c>
      <c r="E52" s="178">
        <v>0</v>
      </c>
      <c r="F52" s="178">
        <v>1</v>
      </c>
      <c r="G52" s="178">
        <v>1.5</v>
      </c>
      <c r="H52" s="178">
        <v>2</v>
      </c>
      <c r="I52" s="179">
        <v>1</v>
      </c>
      <c r="J52" s="169">
        <f t="shared" si="1"/>
        <v>7.5</v>
      </c>
    </row>
    <row r="53" spans="2:10" s="256" customFormat="1" ht="13.2" customHeight="1" x14ac:dyDescent="0.2">
      <c r="B53" s="262"/>
      <c r="C53" s="264" t="s">
        <v>126</v>
      </c>
      <c r="D53" s="163"/>
      <c r="E53" s="163"/>
      <c r="F53" s="163"/>
      <c r="G53" s="163"/>
      <c r="H53" s="163"/>
      <c r="I53" s="166"/>
      <c r="J53" s="261">
        <f>SUM(D53:I53)</f>
        <v>0</v>
      </c>
    </row>
    <row r="54" spans="2:10" s="256" customFormat="1" ht="13.2" customHeight="1" x14ac:dyDescent="0.2">
      <c r="B54" s="281"/>
      <c r="C54" s="282" t="s">
        <v>127</v>
      </c>
      <c r="D54" s="152"/>
      <c r="E54" s="152"/>
      <c r="F54" s="152"/>
      <c r="G54" s="152"/>
      <c r="H54" s="152"/>
      <c r="I54" s="153"/>
      <c r="J54" s="260">
        <f>SUM(D54:I54)</f>
        <v>0</v>
      </c>
    </row>
    <row r="55" spans="2:10" ht="18" customHeight="1" x14ac:dyDescent="0.25">
      <c r="B55" s="170">
        <v>17</v>
      </c>
      <c r="C55" s="171" t="str">
        <f>Config!C21&amp;", "&amp;Config!D21</f>
        <v>Kainz, Vivienne</v>
      </c>
      <c r="D55" s="180">
        <v>0.5</v>
      </c>
      <c r="E55" s="180">
        <v>0</v>
      </c>
      <c r="F55" s="180">
        <v>0</v>
      </c>
      <c r="G55" s="180">
        <v>0</v>
      </c>
      <c r="H55" s="180">
        <v>0.5</v>
      </c>
      <c r="I55" s="181">
        <v>0</v>
      </c>
      <c r="J55" s="172">
        <f t="shared" si="1"/>
        <v>1</v>
      </c>
    </row>
    <row r="56" spans="2:10" s="256" customFormat="1" ht="13.2" customHeight="1" x14ac:dyDescent="0.2">
      <c r="B56" s="259"/>
      <c r="C56" s="263" t="s">
        <v>126</v>
      </c>
      <c r="D56" s="157"/>
      <c r="E56" s="157"/>
      <c r="F56" s="157"/>
      <c r="G56" s="157"/>
      <c r="H56" s="157"/>
      <c r="I56" s="160"/>
      <c r="J56" s="258">
        <f>SUM(D56:I56)</f>
        <v>0</v>
      </c>
    </row>
    <row r="57" spans="2:10" s="256" customFormat="1" ht="13.2" customHeight="1" x14ac:dyDescent="0.2">
      <c r="B57" s="279"/>
      <c r="C57" s="280" t="s">
        <v>127</v>
      </c>
      <c r="D57" s="152"/>
      <c r="E57" s="152"/>
      <c r="F57" s="152"/>
      <c r="G57" s="152"/>
      <c r="H57" s="152"/>
      <c r="I57" s="153"/>
      <c r="J57" s="257">
        <f>SUM(D57:I57)</f>
        <v>0</v>
      </c>
    </row>
    <row r="58" spans="2:10" ht="18" customHeight="1" x14ac:dyDescent="0.25">
      <c r="B58" s="167">
        <v>18</v>
      </c>
      <c r="C58" s="168" t="str">
        <f>Config!C22&amp;", "&amp;Config!D22</f>
        <v>Hartmann, Mads</v>
      </c>
      <c r="D58" s="178">
        <v>2</v>
      </c>
      <c r="E58" s="178">
        <v>2</v>
      </c>
      <c r="F58" s="178">
        <v>1</v>
      </c>
      <c r="G58" s="178">
        <v>1</v>
      </c>
      <c r="H58" s="178">
        <v>3</v>
      </c>
      <c r="I58" s="179">
        <v>1</v>
      </c>
      <c r="J58" s="169">
        <f t="shared" si="1"/>
        <v>10</v>
      </c>
    </row>
    <row r="59" spans="2:10" s="256" customFormat="1" ht="13.2" customHeight="1" x14ac:dyDescent="0.2">
      <c r="B59" s="262"/>
      <c r="C59" s="264" t="s">
        <v>126</v>
      </c>
      <c r="D59" s="163"/>
      <c r="E59" s="163"/>
      <c r="F59" s="163"/>
      <c r="G59" s="163"/>
      <c r="H59" s="163"/>
      <c r="I59" s="166"/>
      <c r="J59" s="261">
        <f>SUM(D59:I59)</f>
        <v>0</v>
      </c>
    </row>
    <row r="60" spans="2:10" s="256" customFormat="1" ht="13.2" customHeight="1" x14ac:dyDescent="0.2">
      <c r="B60" s="281"/>
      <c r="C60" s="282" t="s">
        <v>127</v>
      </c>
      <c r="D60" s="152"/>
      <c r="E60" s="152"/>
      <c r="F60" s="152"/>
      <c r="G60" s="152"/>
      <c r="H60" s="152"/>
      <c r="I60" s="153"/>
      <c r="J60" s="260">
        <f>SUM(D60:I60)</f>
        <v>0</v>
      </c>
    </row>
    <row r="61" spans="2:10" ht="18" customHeight="1" x14ac:dyDescent="0.25">
      <c r="B61" s="170">
        <v>19</v>
      </c>
      <c r="C61" s="171" t="str">
        <f>Config!C23&amp;", "&amp;Config!D23</f>
        <v>Ullmann, Raphael</v>
      </c>
      <c r="D61" s="180">
        <v>0.5</v>
      </c>
      <c r="E61" s="180">
        <v>2</v>
      </c>
      <c r="F61" s="180">
        <v>1</v>
      </c>
      <c r="G61" s="180">
        <v>2.5</v>
      </c>
      <c r="H61" s="180">
        <v>1.5</v>
      </c>
      <c r="I61" s="181">
        <v>2</v>
      </c>
      <c r="J61" s="172">
        <f t="shared" si="1"/>
        <v>9.5</v>
      </c>
    </row>
    <row r="62" spans="2:10" s="256" customFormat="1" ht="13.2" customHeight="1" x14ac:dyDescent="0.2">
      <c r="B62" s="259"/>
      <c r="C62" s="263" t="s">
        <v>126</v>
      </c>
      <c r="D62" s="157"/>
      <c r="E62" s="157"/>
      <c r="F62" s="157"/>
      <c r="G62" s="157"/>
      <c r="H62" s="157"/>
      <c r="I62" s="160"/>
      <c r="J62" s="258">
        <f>SUM(D62:I62)</f>
        <v>0</v>
      </c>
    </row>
    <row r="63" spans="2:10" s="256" customFormat="1" ht="13.2" customHeight="1" x14ac:dyDescent="0.2">
      <c r="B63" s="279"/>
      <c r="C63" s="280" t="s">
        <v>127</v>
      </c>
      <c r="D63" s="152"/>
      <c r="E63" s="152"/>
      <c r="F63" s="152"/>
      <c r="G63" s="152"/>
      <c r="H63" s="152"/>
      <c r="I63" s="153"/>
      <c r="J63" s="257">
        <f>SUM(D63:I63)</f>
        <v>0</v>
      </c>
    </row>
    <row r="64" spans="2:10" ht="18" customHeight="1" x14ac:dyDescent="0.25">
      <c r="B64" s="167">
        <v>20</v>
      </c>
      <c r="C64" s="168" t="str">
        <f>Config!C24&amp;", "&amp;Config!D24</f>
        <v>Hartl, Emmely</v>
      </c>
      <c r="D64" s="178">
        <v>1</v>
      </c>
      <c r="E64" s="178">
        <v>2</v>
      </c>
      <c r="F64" s="178">
        <v>2.5</v>
      </c>
      <c r="G64" s="178">
        <v>3</v>
      </c>
      <c r="H64" s="178">
        <v>3</v>
      </c>
      <c r="I64" s="179">
        <v>2</v>
      </c>
      <c r="J64" s="169">
        <f t="shared" si="1"/>
        <v>13.5</v>
      </c>
    </row>
    <row r="65" spans="2:10" s="256" customFormat="1" ht="13.2" customHeight="1" x14ac:dyDescent="0.2">
      <c r="B65" s="262"/>
      <c r="C65" s="264" t="s">
        <v>126</v>
      </c>
      <c r="D65" s="163"/>
      <c r="E65" s="163"/>
      <c r="F65" s="163"/>
      <c r="G65" s="163"/>
      <c r="H65" s="163"/>
      <c r="I65" s="166"/>
      <c r="J65" s="261">
        <f>SUM(D65:I65)</f>
        <v>0</v>
      </c>
    </row>
    <row r="66" spans="2:10" s="256" customFormat="1" ht="13.2" customHeight="1" x14ac:dyDescent="0.2">
      <c r="B66" s="281"/>
      <c r="C66" s="282" t="s">
        <v>127</v>
      </c>
      <c r="D66" s="152"/>
      <c r="E66" s="152"/>
      <c r="F66" s="152"/>
      <c r="G66" s="152"/>
      <c r="H66" s="152"/>
      <c r="I66" s="153"/>
      <c r="J66" s="260">
        <f>SUM(D66:I66)</f>
        <v>0</v>
      </c>
    </row>
    <row r="67" spans="2:10" ht="18" customHeight="1" x14ac:dyDescent="0.25">
      <c r="B67" s="170">
        <v>21</v>
      </c>
      <c r="C67" s="171" t="str">
        <f>Config!C25&amp;", "&amp;Config!D25</f>
        <v>Klotz, Karin</v>
      </c>
      <c r="D67" s="180">
        <v>2</v>
      </c>
      <c r="E67" s="180">
        <v>2</v>
      </c>
      <c r="F67" s="180">
        <v>1.5</v>
      </c>
      <c r="G67" s="180">
        <v>3</v>
      </c>
      <c r="H67" s="180">
        <v>3</v>
      </c>
      <c r="I67" s="181">
        <v>2</v>
      </c>
      <c r="J67" s="172">
        <f t="shared" si="1"/>
        <v>13.5</v>
      </c>
    </row>
    <row r="68" spans="2:10" s="256" customFormat="1" ht="13.2" customHeight="1" x14ac:dyDescent="0.2">
      <c r="B68" s="259"/>
      <c r="C68" s="263" t="s">
        <v>126</v>
      </c>
      <c r="D68" s="157"/>
      <c r="E68" s="157"/>
      <c r="F68" s="157"/>
      <c r="G68" s="157"/>
      <c r="H68" s="157"/>
      <c r="I68" s="160"/>
      <c r="J68" s="258">
        <f>SUM(D68:I68)</f>
        <v>0</v>
      </c>
    </row>
    <row r="69" spans="2:10" s="256" customFormat="1" ht="13.2" customHeight="1" x14ac:dyDescent="0.2">
      <c r="B69" s="279"/>
      <c r="C69" s="280" t="s">
        <v>127</v>
      </c>
      <c r="D69" s="152"/>
      <c r="E69" s="152"/>
      <c r="F69" s="152"/>
      <c r="G69" s="152"/>
      <c r="H69" s="152"/>
      <c r="I69" s="153"/>
      <c r="J69" s="257">
        <f>SUM(D69:I69)</f>
        <v>0</v>
      </c>
    </row>
    <row r="70" spans="2:10" ht="18" customHeight="1" x14ac:dyDescent="0.25">
      <c r="B70" s="167">
        <v>22</v>
      </c>
      <c r="C70" s="168" t="str">
        <f>Config!C26&amp;", "&amp;Config!D26</f>
        <v>Ehlers, Ingo</v>
      </c>
      <c r="D70" s="178">
        <v>0.5</v>
      </c>
      <c r="E70" s="178">
        <v>1.5</v>
      </c>
      <c r="F70" s="178">
        <v>1</v>
      </c>
      <c r="G70" s="178">
        <v>3</v>
      </c>
      <c r="H70" s="178">
        <v>3</v>
      </c>
      <c r="I70" s="179">
        <v>1</v>
      </c>
      <c r="J70" s="169">
        <f t="shared" si="1"/>
        <v>10</v>
      </c>
    </row>
    <row r="71" spans="2:10" s="256" customFormat="1" ht="13.2" customHeight="1" x14ac:dyDescent="0.2">
      <c r="B71" s="262"/>
      <c r="C71" s="264" t="s">
        <v>126</v>
      </c>
      <c r="D71" s="163"/>
      <c r="E71" s="163"/>
      <c r="F71" s="163"/>
      <c r="G71" s="163"/>
      <c r="H71" s="163"/>
      <c r="I71" s="166"/>
      <c r="J71" s="261">
        <f>SUM(D71:I71)</f>
        <v>0</v>
      </c>
    </row>
    <row r="72" spans="2:10" s="256" customFormat="1" ht="13.2" customHeight="1" x14ac:dyDescent="0.2">
      <c r="B72" s="281"/>
      <c r="C72" s="282" t="s">
        <v>127</v>
      </c>
      <c r="D72" s="152"/>
      <c r="E72" s="152"/>
      <c r="F72" s="152"/>
      <c r="G72" s="152"/>
      <c r="H72" s="152"/>
      <c r="I72" s="153"/>
      <c r="J72" s="260">
        <f>SUM(D72:I72)</f>
        <v>0</v>
      </c>
    </row>
    <row r="73" spans="2:10" ht="18" customHeight="1" x14ac:dyDescent="0.25">
      <c r="B73" s="170">
        <v>23</v>
      </c>
      <c r="C73" s="171" t="str">
        <f>Config!C27&amp;", "&amp;Config!D27</f>
        <v>Lindemann, Mads</v>
      </c>
      <c r="D73" s="180">
        <v>0.5</v>
      </c>
      <c r="E73" s="180">
        <v>2</v>
      </c>
      <c r="F73" s="180">
        <v>1.5</v>
      </c>
      <c r="G73" s="180">
        <v>0.5</v>
      </c>
      <c r="H73" s="180">
        <v>1.5</v>
      </c>
      <c r="I73" s="181">
        <v>1</v>
      </c>
      <c r="J73" s="172">
        <f t="shared" ref="J73" si="2">SUM(D73:I73)</f>
        <v>7</v>
      </c>
    </row>
    <row r="74" spans="2:10" s="256" customFormat="1" ht="13.2" customHeight="1" x14ac:dyDescent="0.2">
      <c r="B74" s="259"/>
      <c r="C74" s="263" t="s">
        <v>126</v>
      </c>
      <c r="D74" s="157"/>
      <c r="E74" s="157"/>
      <c r="F74" s="157"/>
      <c r="G74" s="157"/>
      <c r="H74" s="157"/>
      <c r="I74" s="160"/>
      <c r="J74" s="258">
        <f>SUM(D74:I74)</f>
        <v>0</v>
      </c>
    </row>
    <row r="75" spans="2:10" s="256" customFormat="1" ht="13.2" customHeight="1" thickBot="1" x14ac:dyDescent="0.25">
      <c r="B75" s="279"/>
      <c r="C75" s="280" t="s">
        <v>127</v>
      </c>
      <c r="D75" s="152"/>
      <c r="E75" s="152"/>
      <c r="F75" s="152"/>
      <c r="G75" s="152"/>
      <c r="H75" s="152"/>
      <c r="I75" s="153"/>
      <c r="J75" s="257">
        <f>SUM(D75:I75)</f>
        <v>0</v>
      </c>
    </row>
    <row r="76" spans="2:10" ht="18" customHeight="1" thickBot="1" x14ac:dyDescent="0.3">
      <c r="B76" s="173"/>
      <c r="C76" s="174"/>
      <c r="D76" s="174">
        <f>IF(COUNTIFS(D7:D73,"&lt;&gt;",C7:C73,"&lt;&gt;ZK",C7:C73,"&lt;&gt;DK")&lt;&gt;0,SUMIFS(D7:D73,C7:C73,"&lt;&gt;ZK",C7:C73,"&lt;&gt;DK")/(COUNTIFS(D7:D73,"&lt;&gt;",C7:C73,"&lt;&gt;ZK",C7:C73,"&lt;&gt;DK")*D6),0)</f>
        <v>0.61956521739130432</v>
      </c>
      <c r="E76" s="174">
        <f>IF(COUNTIFS(E7:E73,"&lt;&gt;",C7:C73,"&lt;&gt;ZK",C7:C73,"&lt;&gt;DK")&lt;&gt;0,SUMIFS(E7:E73,C7:C73,"&lt;&gt;ZK",C7:C73,"&lt;&gt;DK")/(COUNTIFS(E7:E73,"&lt;&gt;",C7:C73,"&lt;&gt;ZK",C7:C73,"&lt;&gt;DK")*E6),0)</f>
        <v>0.83695652173913049</v>
      </c>
      <c r="F76" s="174">
        <f>IF(COUNTIFS(F7:F73,"&lt;&gt;",C7:C73,"&lt;&gt;ZK",C7:C73,"&lt;&gt;DK")&lt;&gt;0,SUMIFS(F7:F73,C7:C73,"&lt;&gt;ZK",C7:C73,"&lt;&gt;DK")/(COUNTIFS(F7:F73,"&lt;&gt;",C7:C73,"&lt;&gt;ZK",C7:C73,"&lt;&gt;DK")*F6),0)</f>
        <v>0.45652173913043476</v>
      </c>
      <c r="G76" s="174">
        <f>IF(COUNTIFS(G7:G73,"&lt;&gt;",C7:C73,"&lt;&gt;ZK",C7:C73,"&lt;&gt;DK")&lt;&gt;0,SUMIFS(G7:G73,C7:C73,"&lt;&gt;ZK",C7:C73,"&lt;&gt;DK")/(COUNTIFS(G7:G73,"&lt;&gt;",C7:C73,"&lt;&gt;ZK",C7:C73,"&lt;&gt;DK")*G6),0)</f>
        <v>0.6811594202898551</v>
      </c>
      <c r="H76" s="174">
        <f>IF(COUNTIFS(H7:H73,"&lt;&gt;",C7:C73,"&lt;&gt;ZK",C7:C73,"&lt;&gt;DK")&lt;&gt;0,SUMIFS(H7:H73,C7:C73,"&lt;&gt;ZK",C7:C73,"&lt;&gt;DK")/(COUNTIFS(H7:H73,"&lt;&gt;",C7:C73,"&lt;&gt;ZK",C7:C73,"&lt;&gt;DK")*H6),0)</f>
        <v>0.76811594202898548</v>
      </c>
      <c r="I76" s="174">
        <f>IF(COUNTIFS(I7:I73,"&lt;&gt;",C7:C73,"&lt;&gt;ZK",C7:C73,"&lt;&gt;DK")&lt;&gt;0,SUMIFS(I7:I73,C7:C73,"&lt;&gt;ZK",C7:C73,"&lt;&gt;DK")/(COUNTIFS(I7:I73,"&lt;&gt;",C7:C73,"&lt;&gt;ZK",C7:C73,"&lt;&gt;DK")*I6),0)</f>
        <v>0.72826086956521741</v>
      </c>
      <c r="J76" s="175"/>
    </row>
    <row r="77" spans="2:10" ht="18" customHeight="1" x14ac:dyDescent="0.25"/>
    <row r="78" spans="2:10" ht="18" customHeight="1" x14ac:dyDescent="0.25"/>
    <row r="79" spans="2:10" ht="18" customHeight="1" x14ac:dyDescent="0.25"/>
    <row r="80" spans="2:1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sheetProtection sheet="1" objects="1" scenarios="1" selectLockedCells="1"/>
  <dataValidations count="6">
    <dataValidation type="decimal" allowBlank="1" showErrorMessage="1" sqref="D7:D75" xr:uid="{C1050670-11B5-440D-85F9-03995A0882AE}">
      <formula1>0</formula1>
      <formula2>$D$6</formula2>
    </dataValidation>
    <dataValidation type="decimal" allowBlank="1" showErrorMessage="1" sqref="E7:E75" xr:uid="{6C2145EB-03D1-4ABC-9492-C8342DA4D4F1}">
      <formula1>0</formula1>
      <formula2>$E$6</formula2>
    </dataValidation>
    <dataValidation type="decimal" allowBlank="1" showErrorMessage="1" sqref="F7:F75" xr:uid="{EBD5F72F-109F-4169-9680-7F883DF8B1B9}">
      <formula1>0</formula1>
      <formula2>$F$6</formula2>
    </dataValidation>
    <dataValidation type="decimal" allowBlank="1" showErrorMessage="1" sqref="G7:G75" xr:uid="{60DA7E16-8BBF-4602-BD4A-414CBABACFBE}">
      <formula1>0</formula1>
      <formula2>$G$6</formula2>
    </dataValidation>
    <dataValidation type="decimal" allowBlank="1" showErrorMessage="1" sqref="H7:H75" xr:uid="{B1D7B81D-DD83-410A-8966-7545066D183D}">
      <formula1>0</formula1>
      <formula2>$H$6</formula2>
    </dataValidation>
    <dataValidation type="decimal" allowBlank="1" showErrorMessage="1" sqref="I7:I75" xr:uid="{AD9C44C9-50F7-4857-93DD-0E15B54A72D1}">
      <formula1>0</formula1>
      <formula2>$I$6</formula2>
    </dataValidation>
  </dataValidations>
  <pageMargins left="0.7" right="0.7" top="0.78740157499999996" bottom="0.78740157499999996" header="0.3" footer="0.3"/>
  <pageSetup paperSize="9" orientation="portrait" horizontalDpi="300" vertic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063FA2-655C-4303-933D-66B3DE21F376}">
  <sheetPr codeName="Tabelle2">
    <tabColor rgb="FF92D050"/>
  </sheetPr>
  <dimension ref="B1:N100"/>
  <sheetViews>
    <sheetView workbookViewId="0">
      <selection activeCell="D8" sqref="D8"/>
    </sheetView>
  </sheetViews>
  <sheetFormatPr baseColWidth="10" defaultColWidth="11.5546875" defaultRowHeight="13.2" x14ac:dyDescent="0.25"/>
  <cols>
    <col min="1" max="2" width="3.44140625" style="96" customWidth="1"/>
    <col min="3" max="3" width="25.6640625" style="96" customWidth="1"/>
    <col min="4" max="14" width="8.6640625" style="96" customWidth="1"/>
    <col min="15" max="16384" width="11.5546875" style="96"/>
  </cols>
  <sheetData>
    <row r="1" spans="2:14" ht="18" customHeight="1" thickBot="1" x14ac:dyDescent="0.3"/>
    <row r="2" spans="2:14" ht="18" customHeight="1" x14ac:dyDescent="0.25">
      <c r="B2" s="97" t="str">
        <f>Config!F2&amp;" "&amp;YEAR(Config!G24)</f>
        <v>Mathe Abitur 2026</v>
      </c>
      <c r="C2" s="98"/>
      <c r="D2" s="98"/>
      <c r="E2" s="98"/>
      <c r="F2" s="98"/>
      <c r="G2" s="98"/>
      <c r="H2" s="98"/>
      <c r="I2" s="99"/>
      <c r="J2" s="99"/>
      <c r="K2" s="99"/>
      <c r="L2" s="99"/>
      <c r="M2" s="99"/>
      <c r="N2" s="100" t="str">
        <f>"Kurs "&amp;Config!G26</f>
        <v>Kurs K1</v>
      </c>
    </row>
    <row r="3" spans="2:14" ht="18" customHeight="1" x14ac:dyDescent="0.25">
      <c r="B3" s="101" t="s">
        <v>10</v>
      </c>
      <c r="C3" s="102"/>
      <c r="D3" s="102"/>
      <c r="E3" s="102"/>
      <c r="F3" s="102"/>
      <c r="G3" s="102"/>
      <c r="H3" s="102"/>
      <c r="I3" s="102"/>
      <c r="J3" s="102"/>
      <c r="K3" s="102"/>
      <c r="L3" s="102"/>
      <c r="M3" s="102"/>
      <c r="N3" s="103"/>
    </row>
    <row r="4" spans="2:14" ht="18" customHeight="1" thickBot="1" x14ac:dyDescent="0.3">
      <c r="B4" s="101"/>
      <c r="C4" s="102"/>
      <c r="D4" s="104"/>
      <c r="E4" s="104"/>
      <c r="F4" s="104"/>
      <c r="G4" s="104"/>
      <c r="H4" s="104"/>
      <c r="I4" s="104"/>
      <c r="J4" s="104"/>
      <c r="K4" s="104"/>
      <c r="L4" s="104"/>
      <c r="M4" s="104"/>
      <c r="N4" s="105"/>
    </row>
    <row r="5" spans="2:14" ht="18" customHeight="1" thickBot="1" x14ac:dyDescent="0.3">
      <c r="B5" s="106"/>
      <c r="C5" s="108"/>
      <c r="D5" s="118" t="str">
        <f>Config!H6</f>
        <v>1a</v>
      </c>
      <c r="E5" s="118" t="str">
        <f>Config!H7</f>
        <v>1b</v>
      </c>
      <c r="F5" s="118" t="str">
        <f>Config!H8</f>
        <v>1c</v>
      </c>
      <c r="G5" s="118" t="str">
        <f>Config!H9</f>
        <v>1d</v>
      </c>
      <c r="H5" s="118" t="str">
        <f>Config!H10</f>
        <v>1e</v>
      </c>
      <c r="I5" s="118" t="str">
        <f>Config!H11</f>
        <v>1f</v>
      </c>
      <c r="J5" s="118" t="str">
        <f>Config!H12</f>
        <v>1g</v>
      </c>
      <c r="K5" s="118" t="str">
        <f>Config!H13</f>
        <v>1h</v>
      </c>
      <c r="L5" s="118" t="str">
        <f>Config!H14</f>
        <v>2a</v>
      </c>
      <c r="M5" s="118" t="str">
        <f>Config!H15</f>
        <v>2b</v>
      </c>
      <c r="N5" s="112" t="s">
        <v>82</v>
      </c>
    </row>
    <row r="6" spans="2:14" ht="18" customHeight="1" thickBot="1" x14ac:dyDescent="0.3">
      <c r="B6" s="107"/>
      <c r="C6" s="109" t="s">
        <v>81</v>
      </c>
      <c r="D6" s="111">
        <f>Config!I6</f>
        <v>2</v>
      </c>
      <c r="E6" s="111">
        <f>Config!I7</f>
        <v>3</v>
      </c>
      <c r="F6" s="111">
        <f>Config!I8</f>
        <v>4</v>
      </c>
      <c r="G6" s="111">
        <f>Config!I9</f>
        <v>3</v>
      </c>
      <c r="H6" s="111">
        <f>Config!I10</f>
        <v>3</v>
      </c>
      <c r="I6" s="111">
        <f>Config!I11</f>
        <v>4</v>
      </c>
      <c r="J6" s="111">
        <f>Config!I12</f>
        <v>3</v>
      </c>
      <c r="K6" s="111">
        <f>Config!I13</f>
        <v>4</v>
      </c>
      <c r="L6" s="111">
        <f>Config!I14</f>
        <v>2</v>
      </c>
      <c r="M6" s="111">
        <f>Config!I15</f>
        <v>2</v>
      </c>
      <c r="N6" s="119">
        <f>Config!I21</f>
        <v>30</v>
      </c>
    </row>
    <row r="7" spans="2:14" ht="18" customHeight="1" x14ac:dyDescent="0.25">
      <c r="B7" s="154">
        <v>1</v>
      </c>
      <c r="C7" s="155" t="str">
        <f>Config!C5&amp;", "&amp;Config!D5</f>
        <v>Höfer, Simon</v>
      </c>
      <c r="D7" s="176">
        <v>1.5</v>
      </c>
      <c r="E7" s="176">
        <v>3</v>
      </c>
      <c r="F7" s="176">
        <v>3</v>
      </c>
      <c r="G7" s="176">
        <v>3</v>
      </c>
      <c r="H7" s="176">
        <v>3</v>
      </c>
      <c r="I7" s="176">
        <v>4</v>
      </c>
      <c r="J7" s="176">
        <v>3</v>
      </c>
      <c r="K7" s="176">
        <v>0</v>
      </c>
      <c r="L7" s="176">
        <v>2</v>
      </c>
      <c r="M7" s="177">
        <v>0</v>
      </c>
      <c r="N7" s="156">
        <f t="shared" ref="N7:N37" si="0">SUM(D7:M7)</f>
        <v>22.5</v>
      </c>
    </row>
    <row r="8" spans="2:14" s="256" customFormat="1" ht="13.2" customHeight="1" x14ac:dyDescent="0.2">
      <c r="B8" s="259"/>
      <c r="C8" s="263" t="s">
        <v>126</v>
      </c>
      <c r="D8" s="157"/>
      <c r="E8" s="157"/>
      <c r="F8" s="157"/>
      <c r="G8" s="157"/>
      <c r="H8" s="157"/>
      <c r="I8" s="157"/>
      <c r="J8" s="157"/>
      <c r="K8" s="157"/>
      <c r="L8" s="157"/>
      <c r="M8" s="160"/>
      <c r="N8" s="258">
        <f>SUM(D8:M8)</f>
        <v>0</v>
      </c>
    </row>
    <row r="9" spans="2:14" s="256" customFormat="1" ht="13.2" customHeight="1" x14ac:dyDescent="0.2">
      <c r="B9" s="279"/>
      <c r="C9" s="280" t="s">
        <v>127</v>
      </c>
      <c r="D9" s="152"/>
      <c r="E9" s="152"/>
      <c r="F9" s="152"/>
      <c r="G9" s="152"/>
      <c r="H9" s="152"/>
      <c r="I9" s="152"/>
      <c r="J9" s="152"/>
      <c r="K9" s="152"/>
      <c r="L9" s="152"/>
      <c r="M9" s="153"/>
      <c r="N9" s="257">
        <f>SUM(D9:M9)</f>
        <v>0</v>
      </c>
    </row>
    <row r="10" spans="2:14" ht="18" customHeight="1" x14ac:dyDescent="0.25">
      <c r="B10" s="167">
        <v>2</v>
      </c>
      <c r="C10" s="168" t="str">
        <f>Config!C6&amp;", "&amp;Config!D6</f>
        <v>Töpfer, Lilian</v>
      </c>
      <c r="D10" s="178">
        <v>0.5</v>
      </c>
      <c r="E10" s="178">
        <v>2.5</v>
      </c>
      <c r="F10" s="178">
        <v>3</v>
      </c>
      <c r="G10" s="178">
        <v>3</v>
      </c>
      <c r="H10" s="178">
        <v>3</v>
      </c>
      <c r="I10" s="178">
        <v>4</v>
      </c>
      <c r="J10" s="178">
        <v>0</v>
      </c>
      <c r="K10" s="178">
        <v>0</v>
      </c>
      <c r="L10" s="178">
        <v>1.5</v>
      </c>
      <c r="M10" s="179">
        <v>0</v>
      </c>
      <c r="N10" s="169">
        <f t="shared" si="0"/>
        <v>17.5</v>
      </c>
    </row>
    <row r="11" spans="2:14" s="256" customFormat="1" ht="13.2" customHeight="1" x14ac:dyDescent="0.2">
      <c r="B11" s="262"/>
      <c r="C11" s="264" t="s">
        <v>126</v>
      </c>
      <c r="D11" s="163"/>
      <c r="E11" s="163"/>
      <c r="F11" s="163"/>
      <c r="G11" s="163"/>
      <c r="H11" s="163"/>
      <c r="I11" s="163"/>
      <c r="J11" s="163"/>
      <c r="K11" s="163"/>
      <c r="L11" s="163"/>
      <c r="M11" s="166"/>
      <c r="N11" s="261">
        <f>SUM(D11:M11)</f>
        <v>0</v>
      </c>
    </row>
    <row r="12" spans="2:14" s="256" customFormat="1" ht="13.2" customHeight="1" x14ac:dyDescent="0.2">
      <c r="B12" s="281"/>
      <c r="C12" s="282" t="s">
        <v>127</v>
      </c>
      <c r="D12" s="152"/>
      <c r="E12" s="152"/>
      <c r="F12" s="152"/>
      <c r="G12" s="152"/>
      <c r="H12" s="152"/>
      <c r="I12" s="152"/>
      <c r="J12" s="152"/>
      <c r="K12" s="152"/>
      <c r="L12" s="152"/>
      <c r="M12" s="153"/>
      <c r="N12" s="260">
        <f>SUM(D12:M12)</f>
        <v>0</v>
      </c>
    </row>
    <row r="13" spans="2:14" ht="18" customHeight="1" x14ac:dyDescent="0.25">
      <c r="B13" s="170">
        <v>3</v>
      </c>
      <c r="C13" s="171" t="str">
        <f>Config!C7&amp;", "&amp;Config!D7</f>
        <v>Fleischmann, Leonie</v>
      </c>
      <c r="D13" s="180">
        <v>1</v>
      </c>
      <c r="E13" s="180">
        <v>2</v>
      </c>
      <c r="F13" s="180">
        <v>0</v>
      </c>
      <c r="G13" s="180">
        <v>1</v>
      </c>
      <c r="H13" s="180">
        <v>3</v>
      </c>
      <c r="I13" s="180">
        <v>2.5</v>
      </c>
      <c r="J13" s="180">
        <v>0</v>
      </c>
      <c r="K13" s="180">
        <v>0</v>
      </c>
      <c r="L13" s="180">
        <v>0</v>
      </c>
      <c r="M13" s="181">
        <v>2</v>
      </c>
      <c r="N13" s="172">
        <f t="shared" si="0"/>
        <v>11.5</v>
      </c>
    </row>
    <row r="14" spans="2:14" s="256" customFormat="1" ht="13.2" customHeight="1" x14ac:dyDescent="0.2">
      <c r="B14" s="259"/>
      <c r="C14" s="263" t="s">
        <v>126</v>
      </c>
      <c r="D14" s="157"/>
      <c r="E14" s="157"/>
      <c r="F14" s="157"/>
      <c r="G14" s="157"/>
      <c r="H14" s="157"/>
      <c r="I14" s="157"/>
      <c r="J14" s="157"/>
      <c r="K14" s="157"/>
      <c r="L14" s="157"/>
      <c r="M14" s="160"/>
      <c r="N14" s="258">
        <f>SUM(D14:M14)</f>
        <v>0</v>
      </c>
    </row>
    <row r="15" spans="2:14" s="256" customFormat="1" ht="13.2" customHeight="1" x14ac:dyDescent="0.2">
      <c r="B15" s="279"/>
      <c r="C15" s="280" t="s">
        <v>127</v>
      </c>
      <c r="D15" s="152"/>
      <c r="E15" s="152"/>
      <c r="F15" s="152"/>
      <c r="G15" s="152"/>
      <c r="H15" s="152"/>
      <c r="I15" s="152"/>
      <c r="J15" s="152"/>
      <c r="K15" s="152"/>
      <c r="L15" s="152"/>
      <c r="M15" s="153"/>
      <c r="N15" s="257">
        <f>SUM(D15:M15)</f>
        <v>0</v>
      </c>
    </row>
    <row r="16" spans="2:14" ht="18" customHeight="1" x14ac:dyDescent="0.25">
      <c r="B16" s="167">
        <v>4</v>
      </c>
      <c r="C16" s="168" t="str">
        <f>Config!C8&amp;", "&amp;Config!D8</f>
        <v>Drescher, Cedric</v>
      </c>
      <c r="D16" s="178">
        <v>1</v>
      </c>
      <c r="E16" s="178">
        <v>3</v>
      </c>
      <c r="F16" s="178">
        <v>3</v>
      </c>
      <c r="G16" s="178">
        <v>3</v>
      </c>
      <c r="H16" s="178">
        <v>3</v>
      </c>
      <c r="I16" s="178">
        <v>4</v>
      </c>
      <c r="J16" s="178">
        <v>1.5</v>
      </c>
      <c r="K16" s="178">
        <v>0</v>
      </c>
      <c r="L16" s="178">
        <v>1.5</v>
      </c>
      <c r="M16" s="179">
        <v>3</v>
      </c>
      <c r="N16" s="169">
        <f t="shared" si="0"/>
        <v>23</v>
      </c>
    </row>
    <row r="17" spans="2:14" s="256" customFormat="1" ht="13.2" customHeight="1" x14ac:dyDescent="0.2">
      <c r="B17" s="262"/>
      <c r="C17" s="264" t="s">
        <v>126</v>
      </c>
      <c r="D17" s="163"/>
      <c r="E17" s="163"/>
      <c r="F17" s="163"/>
      <c r="G17" s="163"/>
      <c r="H17" s="163"/>
      <c r="I17" s="163"/>
      <c r="J17" s="163"/>
      <c r="K17" s="163"/>
      <c r="L17" s="163"/>
      <c r="M17" s="166"/>
      <c r="N17" s="261">
        <f>SUM(D17:M17)</f>
        <v>0</v>
      </c>
    </row>
    <row r="18" spans="2:14" s="256" customFormat="1" ht="13.2" customHeight="1" x14ac:dyDescent="0.2">
      <c r="B18" s="281"/>
      <c r="C18" s="282" t="s">
        <v>127</v>
      </c>
      <c r="D18" s="152"/>
      <c r="E18" s="152"/>
      <c r="F18" s="152"/>
      <c r="G18" s="152"/>
      <c r="H18" s="152"/>
      <c r="I18" s="152"/>
      <c r="J18" s="152"/>
      <c r="K18" s="152"/>
      <c r="L18" s="152"/>
      <c r="M18" s="153"/>
      <c r="N18" s="260">
        <f>SUM(D18:M18)</f>
        <v>0</v>
      </c>
    </row>
    <row r="19" spans="2:14" ht="18" customHeight="1" x14ac:dyDescent="0.25">
      <c r="B19" s="170">
        <v>5</v>
      </c>
      <c r="C19" s="171" t="str">
        <f>Config!C9&amp;", "&amp;Config!D9</f>
        <v>Baumgarten, Annabell</v>
      </c>
      <c r="D19" s="180">
        <v>2</v>
      </c>
      <c r="E19" s="180">
        <v>2</v>
      </c>
      <c r="F19" s="180">
        <v>3.5</v>
      </c>
      <c r="G19" s="180">
        <v>2.5</v>
      </c>
      <c r="H19" s="180">
        <v>2</v>
      </c>
      <c r="I19" s="180">
        <v>1</v>
      </c>
      <c r="J19" s="180">
        <v>0.5</v>
      </c>
      <c r="K19" s="180">
        <v>2.5</v>
      </c>
      <c r="L19" s="180">
        <v>2</v>
      </c>
      <c r="M19" s="181">
        <v>3.5</v>
      </c>
      <c r="N19" s="172">
        <f t="shared" si="0"/>
        <v>21.5</v>
      </c>
    </row>
    <row r="20" spans="2:14" s="256" customFormat="1" ht="13.2" customHeight="1" x14ac:dyDescent="0.2">
      <c r="B20" s="259"/>
      <c r="C20" s="263" t="s">
        <v>126</v>
      </c>
      <c r="D20" s="157"/>
      <c r="E20" s="157"/>
      <c r="F20" s="157"/>
      <c r="G20" s="157"/>
      <c r="H20" s="157"/>
      <c r="I20" s="157"/>
      <c r="J20" s="157"/>
      <c r="K20" s="157"/>
      <c r="L20" s="157"/>
      <c r="M20" s="160"/>
      <c r="N20" s="258">
        <f>SUM(D20:M20)</f>
        <v>0</v>
      </c>
    </row>
    <row r="21" spans="2:14" s="256" customFormat="1" ht="13.2" customHeight="1" x14ac:dyDescent="0.2">
      <c r="B21" s="279"/>
      <c r="C21" s="280" t="s">
        <v>127</v>
      </c>
      <c r="D21" s="152"/>
      <c r="E21" s="152"/>
      <c r="F21" s="152"/>
      <c r="G21" s="152"/>
      <c r="H21" s="152"/>
      <c r="I21" s="152"/>
      <c r="J21" s="152"/>
      <c r="K21" s="152"/>
      <c r="L21" s="152"/>
      <c r="M21" s="153"/>
      <c r="N21" s="257">
        <f>SUM(D21:M21)</f>
        <v>0</v>
      </c>
    </row>
    <row r="22" spans="2:14" ht="18" customHeight="1" x14ac:dyDescent="0.25">
      <c r="B22" s="167">
        <v>6</v>
      </c>
      <c r="C22" s="168" t="str">
        <f>Config!C10&amp;", "&amp;Config!D10</f>
        <v>Traut, Stefanie</v>
      </c>
      <c r="D22" s="178">
        <v>2</v>
      </c>
      <c r="E22" s="178">
        <v>3</v>
      </c>
      <c r="F22" s="178">
        <v>4</v>
      </c>
      <c r="G22" s="178">
        <v>3</v>
      </c>
      <c r="H22" s="178">
        <v>3</v>
      </c>
      <c r="I22" s="178">
        <v>4</v>
      </c>
      <c r="J22" s="178">
        <v>3</v>
      </c>
      <c r="K22" s="178">
        <v>4</v>
      </c>
      <c r="L22" s="178">
        <v>2</v>
      </c>
      <c r="M22" s="179">
        <v>5</v>
      </c>
      <c r="N22" s="169">
        <f t="shared" si="0"/>
        <v>33</v>
      </c>
    </row>
    <row r="23" spans="2:14" s="256" customFormat="1" ht="13.2" customHeight="1" x14ac:dyDescent="0.2">
      <c r="B23" s="262"/>
      <c r="C23" s="264" t="s">
        <v>126</v>
      </c>
      <c r="D23" s="163"/>
      <c r="E23" s="163"/>
      <c r="F23" s="163"/>
      <c r="G23" s="163"/>
      <c r="H23" s="163"/>
      <c r="I23" s="163"/>
      <c r="J23" s="163"/>
      <c r="K23" s="163"/>
      <c r="L23" s="163"/>
      <c r="M23" s="166"/>
      <c r="N23" s="261">
        <f>SUM(D23:M23)</f>
        <v>0</v>
      </c>
    </row>
    <row r="24" spans="2:14" s="256" customFormat="1" ht="13.2" customHeight="1" x14ac:dyDescent="0.2">
      <c r="B24" s="281"/>
      <c r="C24" s="282" t="s">
        <v>127</v>
      </c>
      <c r="D24" s="152"/>
      <c r="E24" s="152"/>
      <c r="F24" s="152"/>
      <c r="G24" s="152"/>
      <c r="H24" s="152"/>
      <c r="I24" s="152"/>
      <c r="J24" s="152"/>
      <c r="K24" s="152"/>
      <c r="L24" s="152"/>
      <c r="M24" s="153"/>
      <c r="N24" s="260">
        <f>SUM(D24:M24)</f>
        <v>0</v>
      </c>
    </row>
    <row r="25" spans="2:14" ht="18" customHeight="1" x14ac:dyDescent="0.25">
      <c r="B25" s="170">
        <v>7</v>
      </c>
      <c r="C25" s="171" t="str">
        <f>Config!C11&amp;", "&amp;Config!D11</f>
        <v>Menke, Damian</v>
      </c>
      <c r="D25" s="180">
        <v>1.5</v>
      </c>
      <c r="E25" s="180">
        <v>2.5</v>
      </c>
      <c r="F25" s="180">
        <v>4</v>
      </c>
      <c r="G25" s="180">
        <v>2</v>
      </c>
      <c r="H25" s="180">
        <v>2</v>
      </c>
      <c r="I25" s="180">
        <v>2.5</v>
      </c>
      <c r="J25" s="180">
        <v>0.5</v>
      </c>
      <c r="K25" s="180">
        <v>3</v>
      </c>
      <c r="L25" s="180">
        <v>1</v>
      </c>
      <c r="M25" s="181">
        <v>3.5</v>
      </c>
      <c r="N25" s="172">
        <f t="shared" si="0"/>
        <v>22.5</v>
      </c>
    </row>
    <row r="26" spans="2:14" s="256" customFormat="1" ht="13.2" customHeight="1" x14ac:dyDescent="0.2">
      <c r="B26" s="259"/>
      <c r="C26" s="263" t="s">
        <v>126</v>
      </c>
      <c r="D26" s="157"/>
      <c r="E26" s="157"/>
      <c r="F26" s="157"/>
      <c r="G26" s="157"/>
      <c r="H26" s="157"/>
      <c r="I26" s="157"/>
      <c r="J26" s="157"/>
      <c r="K26" s="157"/>
      <c r="L26" s="157"/>
      <c r="M26" s="160"/>
      <c r="N26" s="258">
        <f>SUM(D26:M26)</f>
        <v>0</v>
      </c>
    </row>
    <row r="27" spans="2:14" s="256" customFormat="1" ht="13.2" customHeight="1" x14ac:dyDescent="0.2">
      <c r="B27" s="279"/>
      <c r="C27" s="280" t="s">
        <v>127</v>
      </c>
      <c r="D27" s="152"/>
      <c r="E27" s="152"/>
      <c r="F27" s="152"/>
      <c r="G27" s="152"/>
      <c r="H27" s="152"/>
      <c r="I27" s="152"/>
      <c r="J27" s="152"/>
      <c r="K27" s="152"/>
      <c r="L27" s="152"/>
      <c r="M27" s="153"/>
      <c r="N27" s="257">
        <f>SUM(D27:M27)</f>
        <v>0</v>
      </c>
    </row>
    <row r="28" spans="2:14" ht="18" customHeight="1" x14ac:dyDescent="0.25">
      <c r="B28" s="167">
        <v>8</v>
      </c>
      <c r="C28" s="168" t="str">
        <f>Config!C12&amp;", "&amp;Config!D12</f>
        <v>Carroll, Meik</v>
      </c>
      <c r="D28" s="178">
        <v>1.5</v>
      </c>
      <c r="E28" s="178">
        <v>1</v>
      </c>
      <c r="F28" s="178">
        <v>2.5</v>
      </c>
      <c r="G28" s="178">
        <v>3</v>
      </c>
      <c r="H28" s="178">
        <v>3</v>
      </c>
      <c r="I28" s="178">
        <v>3.5</v>
      </c>
      <c r="J28" s="178">
        <v>0</v>
      </c>
      <c r="K28" s="178">
        <v>0</v>
      </c>
      <c r="L28" s="178">
        <v>2</v>
      </c>
      <c r="M28" s="179">
        <v>0</v>
      </c>
      <c r="N28" s="169">
        <f t="shared" si="0"/>
        <v>16.5</v>
      </c>
    </row>
    <row r="29" spans="2:14" s="256" customFormat="1" ht="13.2" customHeight="1" x14ac:dyDescent="0.2">
      <c r="B29" s="262"/>
      <c r="C29" s="264" t="s">
        <v>126</v>
      </c>
      <c r="D29" s="163"/>
      <c r="E29" s="163"/>
      <c r="F29" s="163"/>
      <c r="G29" s="163"/>
      <c r="H29" s="163"/>
      <c r="I29" s="163"/>
      <c r="J29" s="163"/>
      <c r="K29" s="163"/>
      <c r="L29" s="163"/>
      <c r="M29" s="166"/>
      <c r="N29" s="261">
        <f>SUM(D29:M29)</f>
        <v>0</v>
      </c>
    </row>
    <row r="30" spans="2:14" s="256" customFormat="1" ht="13.2" customHeight="1" x14ac:dyDescent="0.2">
      <c r="B30" s="281"/>
      <c r="C30" s="282" t="s">
        <v>127</v>
      </c>
      <c r="D30" s="152"/>
      <c r="E30" s="152"/>
      <c r="F30" s="152"/>
      <c r="G30" s="152"/>
      <c r="H30" s="152"/>
      <c r="I30" s="152"/>
      <c r="J30" s="152"/>
      <c r="K30" s="152"/>
      <c r="L30" s="152"/>
      <c r="M30" s="153"/>
      <c r="N30" s="260">
        <f>SUM(D30:M30)</f>
        <v>0</v>
      </c>
    </row>
    <row r="31" spans="2:14" ht="18" customHeight="1" x14ac:dyDescent="0.25">
      <c r="B31" s="170">
        <v>9</v>
      </c>
      <c r="C31" s="171" t="str">
        <f>Config!C13&amp;", "&amp;Config!D13</f>
        <v>Hennings, Tomas</v>
      </c>
      <c r="D31" s="180">
        <v>1.5</v>
      </c>
      <c r="E31" s="180">
        <v>3</v>
      </c>
      <c r="F31" s="180">
        <v>4</v>
      </c>
      <c r="G31" s="180">
        <v>3</v>
      </c>
      <c r="H31" s="180">
        <v>2</v>
      </c>
      <c r="I31" s="180">
        <v>1</v>
      </c>
      <c r="J31" s="180">
        <v>0</v>
      </c>
      <c r="K31" s="180">
        <v>0</v>
      </c>
      <c r="L31" s="180">
        <v>0</v>
      </c>
      <c r="M31" s="181">
        <v>0</v>
      </c>
      <c r="N31" s="172">
        <f t="shared" si="0"/>
        <v>14.5</v>
      </c>
    </row>
    <row r="32" spans="2:14" s="256" customFormat="1" ht="13.2" customHeight="1" x14ac:dyDescent="0.2">
      <c r="B32" s="259"/>
      <c r="C32" s="263" t="s">
        <v>126</v>
      </c>
      <c r="D32" s="157"/>
      <c r="E32" s="157"/>
      <c r="F32" s="157"/>
      <c r="G32" s="157"/>
      <c r="H32" s="157"/>
      <c r="I32" s="157"/>
      <c r="J32" s="157"/>
      <c r="K32" s="157"/>
      <c r="L32" s="157"/>
      <c r="M32" s="160"/>
      <c r="N32" s="258">
        <f>SUM(D32:M32)</f>
        <v>0</v>
      </c>
    </row>
    <row r="33" spans="2:14" s="256" customFormat="1" ht="13.2" customHeight="1" x14ac:dyDescent="0.2">
      <c r="B33" s="279"/>
      <c r="C33" s="280" t="s">
        <v>127</v>
      </c>
      <c r="D33" s="152"/>
      <c r="E33" s="152"/>
      <c r="F33" s="152"/>
      <c r="G33" s="152"/>
      <c r="H33" s="152"/>
      <c r="I33" s="152"/>
      <c r="J33" s="152"/>
      <c r="K33" s="152"/>
      <c r="L33" s="152"/>
      <c r="M33" s="153"/>
      <c r="N33" s="257">
        <f>SUM(D33:M33)</f>
        <v>0</v>
      </c>
    </row>
    <row r="34" spans="2:14" ht="18" customHeight="1" x14ac:dyDescent="0.25">
      <c r="B34" s="167">
        <v>10</v>
      </c>
      <c r="C34" s="168" t="str">
        <f>Config!C14&amp;", "&amp;Config!D14</f>
        <v>Walters, Linn</v>
      </c>
      <c r="D34" s="178">
        <v>0</v>
      </c>
      <c r="E34" s="178">
        <v>1.5</v>
      </c>
      <c r="F34" s="178">
        <v>2.5</v>
      </c>
      <c r="G34" s="178">
        <v>0</v>
      </c>
      <c r="H34" s="178">
        <v>1</v>
      </c>
      <c r="I34" s="178">
        <v>1</v>
      </c>
      <c r="J34" s="178">
        <v>0</v>
      </c>
      <c r="K34" s="178">
        <v>0</v>
      </c>
      <c r="L34" s="178">
        <v>1</v>
      </c>
      <c r="M34" s="179">
        <v>0</v>
      </c>
      <c r="N34" s="169">
        <f t="shared" si="0"/>
        <v>7</v>
      </c>
    </row>
    <row r="35" spans="2:14" s="256" customFormat="1" ht="13.2" customHeight="1" x14ac:dyDescent="0.2">
      <c r="B35" s="262"/>
      <c r="C35" s="264" t="s">
        <v>126</v>
      </c>
      <c r="D35" s="163"/>
      <c r="E35" s="163"/>
      <c r="F35" s="163"/>
      <c r="G35" s="163"/>
      <c r="H35" s="163"/>
      <c r="I35" s="163"/>
      <c r="J35" s="163"/>
      <c r="K35" s="163"/>
      <c r="L35" s="163"/>
      <c r="M35" s="166"/>
      <c r="N35" s="261">
        <f>SUM(D35:M35)</f>
        <v>0</v>
      </c>
    </row>
    <row r="36" spans="2:14" s="256" customFormat="1" ht="13.2" customHeight="1" x14ac:dyDescent="0.2">
      <c r="B36" s="281"/>
      <c r="C36" s="282" t="s">
        <v>127</v>
      </c>
      <c r="D36" s="152"/>
      <c r="E36" s="152"/>
      <c r="F36" s="152"/>
      <c r="G36" s="152"/>
      <c r="H36" s="152"/>
      <c r="I36" s="152"/>
      <c r="J36" s="152"/>
      <c r="K36" s="152"/>
      <c r="L36" s="152"/>
      <c r="M36" s="153"/>
      <c r="N36" s="260">
        <f>SUM(D36:M36)</f>
        <v>0</v>
      </c>
    </row>
    <row r="37" spans="2:14" ht="18" customHeight="1" x14ac:dyDescent="0.25">
      <c r="B37" s="170">
        <v>11</v>
      </c>
      <c r="C37" s="171" t="str">
        <f>Config!C15&amp;", "&amp;Config!D15</f>
        <v>Junker, Amely</v>
      </c>
      <c r="D37" s="180">
        <v>1</v>
      </c>
      <c r="E37" s="180">
        <v>1.5</v>
      </c>
      <c r="F37" s="180">
        <v>4</v>
      </c>
      <c r="G37" s="180">
        <v>1.5</v>
      </c>
      <c r="H37" s="180">
        <v>2</v>
      </c>
      <c r="I37" s="180">
        <v>3.5</v>
      </c>
      <c r="J37" s="180">
        <v>0</v>
      </c>
      <c r="K37" s="180">
        <v>0</v>
      </c>
      <c r="L37" s="180">
        <v>0</v>
      </c>
      <c r="M37" s="181">
        <v>0</v>
      </c>
      <c r="N37" s="172">
        <f t="shared" si="0"/>
        <v>13.5</v>
      </c>
    </row>
    <row r="38" spans="2:14" s="256" customFormat="1" ht="13.2" customHeight="1" x14ac:dyDescent="0.2">
      <c r="B38" s="259"/>
      <c r="C38" s="263" t="s">
        <v>126</v>
      </c>
      <c r="D38" s="157"/>
      <c r="E38" s="157"/>
      <c r="F38" s="157"/>
      <c r="G38" s="157"/>
      <c r="H38" s="157"/>
      <c r="I38" s="157"/>
      <c r="J38" s="157"/>
      <c r="K38" s="157"/>
      <c r="L38" s="157"/>
      <c r="M38" s="160"/>
      <c r="N38" s="258">
        <f>SUM(D38:M38)</f>
        <v>0</v>
      </c>
    </row>
    <row r="39" spans="2:14" s="256" customFormat="1" ht="13.2" customHeight="1" x14ac:dyDescent="0.2">
      <c r="B39" s="279"/>
      <c r="C39" s="280" t="s">
        <v>127</v>
      </c>
      <c r="D39" s="152"/>
      <c r="E39" s="152"/>
      <c r="F39" s="152"/>
      <c r="G39" s="152"/>
      <c r="H39" s="152"/>
      <c r="I39" s="152"/>
      <c r="J39" s="152"/>
      <c r="K39" s="152"/>
      <c r="L39" s="152"/>
      <c r="M39" s="153"/>
      <c r="N39" s="257">
        <f>SUM(D39:M39)</f>
        <v>0</v>
      </c>
    </row>
    <row r="40" spans="2:14" ht="18" customHeight="1" x14ac:dyDescent="0.25">
      <c r="B40" s="167">
        <v>12</v>
      </c>
      <c r="C40" s="168" t="str">
        <f>Config!C16&amp;", "&amp;Config!D16</f>
        <v>Stephens, Melvin</v>
      </c>
      <c r="D40" s="178">
        <v>2</v>
      </c>
      <c r="E40" s="178">
        <v>3</v>
      </c>
      <c r="F40" s="178">
        <v>4</v>
      </c>
      <c r="G40" s="178">
        <v>3</v>
      </c>
      <c r="H40" s="178">
        <v>3</v>
      </c>
      <c r="I40" s="178">
        <v>4</v>
      </c>
      <c r="J40" s="178">
        <v>3</v>
      </c>
      <c r="K40" s="178">
        <v>0</v>
      </c>
      <c r="L40" s="178">
        <v>2</v>
      </c>
      <c r="M40" s="179">
        <v>3</v>
      </c>
      <c r="N40" s="169">
        <f t="shared" ref="N40:N70" si="1">SUM(D40:M40)</f>
        <v>27</v>
      </c>
    </row>
    <row r="41" spans="2:14" s="256" customFormat="1" ht="13.2" customHeight="1" x14ac:dyDescent="0.2">
      <c r="B41" s="262"/>
      <c r="C41" s="264" t="s">
        <v>126</v>
      </c>
      <c r="D41" s="163"/>
      <c r="E41" s="163"/>
      <c r="F41" s="163"/>
      <c r="G41" s="163"/>
      <c r="H41" s="163"/>
      <c r="I41" s="163"/>
      <c r="J41" s="163"/>
      <c r="K41" s="163"/>
      <c r="L41" s="163"/>
      <c r="M41" s="166"/>
      <c r="N41" s="261">
        <f>SUM(D41:M41)</f>
        <v>0</v>
      </c>
    </row>
    <row r="42" spans="2:14" s="256" customFormat="1" ht="13.2" customHeight="1" x14ac:dyDescent="0.2">
      <c r="B42" s="281"/>
      <c r="C42" s="282" t="s">
        <v>127</v>
      </c>
      <c r="D42" s="152"/>
      <c r="E42" s="152"/>
      <c r="F42" s="152"/>
      <c r="G42" s="152"/>
      <c r="H42" s="152"/>
      <c r="I42" s="152"/>
      <c r="J42" s="152"/>
      <c r="K42" s="152"/>
      <c r="L42" s="152"/>
      <c r="M42" s="153"/>
      <c r="N42" s="260">
        <f>SUM(D42:M42)</f>
        <v>0</v>
      </c>
    </row>
    <row r="43" spans="2:14" ht="18" customHeight="1" x14ac:dyDescent="0.25">
      <c r="B43" s="170">
        <v>13</v>
      </c>
      <c r="C43" s="171" t="str">
        <f>Config!C17&amp;", "&amp;Config!D17</f>
        <v>Cremer, Marvin</v>
      </c>
      <c r="D43" s="180">
        <v>0.5</v>
      </c>
      <c r="E43" s="180">
        <v>1.5</v>
      </c>
      <c r="F43" s="180">
        <v>4</v>
      </c>
      <c r="G43" s="180">
        <v>3</v>
      </c>
      <c r="H43" s="180">
        <v>3</v>
      </c>
      <c r="I43" s="180">
        <v>3.5</v>
      </c>
      <c r="J43" s="180">
        <v>0</v>
      </c>
      <c r="K43" s="180">
        <v>0</v>
      </c>
      <c r="L43" s="180">
        <v>2</v>
      </c>
      <c r="M43" s="181">
        <v>4.5</v>
      </c>
      <c r="N43" s="172">
        <f t="shared" si="1"/>
        <v>22</v>
      </c>
    </row>
    <row r="44" spans="2:14" s="256" customFormat="1" ht="13.2" customHeight="1" x14ac:dyDescent="0.2">
      <c r="B44" s="259"/>
      <c r="C44" s="263" t="s">
        <v>126</v>
      </c>
      <c r="D44" s="157"/>
      <c r="E44" s="157"/>
      <c r="F44" s="157"/>
      <c r="G44" s="157"/>
      <c r="H44" s="157"/>
      <c r="I44" s="157"/>
      <c r="J44" s="157"/>
      <c r="K44" s="157"/>
      <c r="L44" s="157"/>
      <c r="M44" s="160"/>
      <c r="N44" s="258">
        <f>SUM(D44:M44)</f>
        <v>0</v>
      </c>
    </row>
    <row r="45" spans="2:14" s="256" customFormat="1" ht="13.2" customHeight="1" x14ac:dyDescent="0.2">
      <c r="B45" s="279"/>
      <c r="C45" s="280" t="s">
        <v>127</v>
      </c>
      <c r="D45" s="152"/>
      <c r="E45" s="152"/>
      <c r="F45" s="152"/>
      <c r="G45" s="152"/>
      <c r="H45" s="152"/>
      <c r="I45" s="152"/>
      <c r="J45" s="152"/>
      <c r="K45" s="152"/>
      <c r="L45" s="152"/>
      <c r="M45" s="153"/>
      <c r="N45" s="257">
        <f>SUM(D45:M45)</f>
        <v>0</v>
      </c>
    </row>
    <row r="46" spans="2:14" ht="18" customHeight="1" x14ac:dyDescent="0.25">
      <c r="B46" s="167">
        <v>14</v>
      </c>
      <c r="C46" s="168" t="str">
        <f>Config!C18&amp;", "&amp;Config!D18</f>
        <v>Nash, Jean</v>
      </c>
      <c r="D46" s="178">
        <v>1.5</v>
      </c>
      <c r="E46" s="178">
        <v>2.5</v>
      </c>
      <c r="F46" s="178">
        <v>3</v>
      </c>
      <c r="G46" s="178">
        <v>2.5</v>
      </c>
      <c r="H46" s="178">
        <v>2</v>
      </c>
      <c r="I46" s="178">
        <v>4</v>
      </c>
      <c r="J46" s="178">
        <v>0</v>
      </c>
      <c r="K46" s="178">
        <v>0</v>
      </c>
      <c r="L46" s="178">
        <v>0</v>
      </c>
      <c r="M46" s="179">
        <v>0</v>
      </c>
      <c r="N46" s="169">
        <f t="shared" si="1"/>
        <v>15.5</v>
      </c>
    </row>
    <row r="47" spans="2:14" s="256" customFormat="1" ht="13.2" customHeight="1" x14ac:dyDescent="0.2">
      <c r="B47" s="262"/>
      <c r="C47" s="264" t="s">
        <v>126</v>
      </c>
      <c r="D47" s="163"/>
      <c r="E47" s="163"/>
      <c r="F47" s="163"/>
      <c r="G47" s="163"/>
      <c r="H47" s="163"/>
      <c r="I47" s="163"/>
      <c r="J47" s="163"/>
      <c r="K47" s="163"/>
      <c r="L47" s="163"/>
      <c r="M47" s="166"/>
      <c r="N47" s="261">
        <f>SUM(D47:M47)</f>
        <v>0</v>
      </c>
    </row>
    <row r="48" spans="2:14" s="256" customFormat="1" ht="13.2" customHeight="1" x14ac:dyDescent="0.2">
      <c r="B48" s="281"/>
      <c r="C48" s="282" t="s">
        <v>127</v>
      </c>
      <c r="D48" s="152"/>
      <c r="E48" s="152"/>
      <c r="F48" s="152"/>
      <c r="G48" s="152"/>
      <c r="H48" s="152"/>
      <c r="I48" s="152"/>
      <c r="J48" s="152"/>
      <c r="K48" s="152"/>
      <c r="L48" s="152"/>
      <c r="M48" s="153"/>
      <c r="N48" s="260">
        <f>SUM(D48:M48)</f>
        <v>0</v>
      </c>
    </row>
    <row r="49" spans="2:14" ht="18" customHeight="1" x14ac:dyDescent="0.25">
      <c r="B49" s="170">
        <v>15</v>
      </c>
      <c r="C49" s="171" t="str">
        <f>Config!C19&amp;", "&amp;Config!D19</f>
        <v>Schön, Leonardo</v>
      </c>
      <c r="D49" s="180">
        <v>1.5</v>
      </c>
      <c r="E49" s="180">
        <v>3</v>
      </c>
      <c r="F49" s="180">
        <v>4</v>
      </c>
      <c r="G49" s="180">
        <v>3</v>
      </c>
      <c r="H49" s="180">
        <v>2.5</v>
      </c>
      <c r="I49" s="180">
        <v>3.5</v>
      </c>
      <c r="J49" s="180">
        <v>0.5</v>
      </c>
      <c r="K49" s="180">
        <v>0</v>
      </c>
      <c r="L49" s="180">
        <v>2</v>
      </c>
      <c r="M49" s="181">
        <v>3.5</v>
      </c>
      <c r="N49" s="172">
        <f t="shared" si="1"/>
        <v>23.5</v>
      </c>
    </row>
    <row r="50" spans="2:14" s="256" customFormat="1" ht="13.2" customHeight="1" x14ac:dyDescent="0.2">
      <c r="B50" s="259"/>
      <c r="C50" s="263" t="s">
        <v>126</v>
      </c>
      <c r="D50" s="157"/>
      <c r="E50" s="157"/>
      <c r="F50" s="157"/>
      <c r="G50" s="157"/>
      <c r="H50" s="157"/>
      <c r="I50" s="157"/>
      <c r="J50" s="157"/>
      <c r="K50" s="157"/>
      <c r="L50" s="157"/>
      <c r="M50" s="160"/>
      <c r="N50" s="258">
        <f>SUM(D50:M50)</f>
        <v>0</v>
      </c>
    </row>
    <row r="51" spans="2:14" s="256" customFormat="1" ht="13.2" customHeight="1" x14ac:dyDescent="0.2">
      <c r="B51" s="279"/>
      <c r="C51" s="280" t="s">
        <v>127</v>
      </c>
      <c r="D51" s="152"/>
      <c r="E51" s="152"/>
      <c r="F51" s="152"/>
      <c r="G51" s="152"/>
      <c r="H51" s="152"/>
      <c r="I51" s="152"/>
      <c r="J51" s="152"/>
      <c r="K51" s="152"/>
      <c r="L51" s="152"/>
      <c r="M51" s="153"/>
      <c r="N51" s="257">
        <f>SUM(D51:M51)</f>
        <v>0</v>
      </c>
    </row>
    <row r="52" spans="2:14" ht="18" customHeight="1" x14ac:dyDescent="0.25">
      <c r="B52" s="167">
        <v>16</v>
      </c>
      <c r="C52" s="168" t="str">
        <f>Config!C20&amp;", "&amp;Config!D20</f>
        <v>Sigl, Nicholas</v>
      </c>
      <c r="D52" s="178">
        <v>1.5</v>
      </c>
      <c r="E52" s="178">
        <v>3</v>
      </c>
      <c r="F52" s="178">
        <v>4</v>
      </c>
      <c r="G52" s="178">
        <v>3</v>
      </c>
      <c r="H52" s="178">
        <v>3</v>
      </c>
      <c r="I52" s="178">
        <v>4</v>
      </c>
      <c r="J52" s="178">
        <v>0</v>
      </c>
      <c r="K52" s="178">
        <v>1.5</v>
      </c>
      <c r="L52" s="178">
        <v>0</v>
      </c>
      <c r="M52" s="179">
        <v>2</v>
      </c>
      <c r="N52" s="169">
        <f t="shared" si="1"/>
        <v>22</v>
      </c>
    </row>
    <row r="53" spans="2:14" s="256" customFormat="1" ht="13.2" customHeight="1" x14ac:dyDescent="0.2">
      <c r="B53" s="262"/>
      <c r="C53" s="264" t="s">
        <v>126</v>
      </c>
      <c r="D53" s="163"/>
      <c r="E53" s="163"/>
      <c r="F53" s="163"/>
      <c r="G53" s="163"/>
      <c r="H53" s="163"/>
      <c r="I53" s="163"/>
      <c r="J53" s="163"/>
      <c r="K53" s="163"/>
      <c r="L53" s="163"/>
      <c r="M53" s="166"/>
      <c r="N53" s="261">
        <f>SUM(D53:M53)</f>
        <v>0</v>
      </c>
    </row>
    <row r="54" spans="2:14" s="256" customFormat="1" ht="13.2" customHeight="1" x14ac:dyDescent="0.2">
      <c r="B54" s="281"/>
      <c r="C54" s="282" t="s">
        <v>127</v>
      </c>
      <c r="D54" s="152"/>
      <c r="E54" s="152"/>
      <c r="F54" s="152"/>
      <c r="G54" s="152"/>
      <c r="H54" s="152"/>
      <c r="I54" s="152"/>
      <c r="J54" s="152"/>
      <c r="K54" s="152"/>
      <c r="L54" s="152"/>
      <c r="M54" s="153"/>
      <c r="N54" s="260">
        <f>SUM(D54:M54)</f>
        <v>0</v>
      </c>
    </row>
    <row r="55" spans="2:14" ht="18" customHeight="1" x14ac:dyDescent="0.25">
      <c r="B55" s="170">
        <v>17</v>
      </c>
      <c r="C55" s="171" t="str">
        <f>Config!C21&amp;", "&amp;Config!D21</f>
        <v>Kainz, Vivienne</v>
      </c>
      <c r="D55" s="180">
        <v>1.5</v>
      </c>
      <c r="E55" s="180">
        <v>1.5</v>
      </c>
      <c r="F55" s="180">
        <v>0</v>
      </c>
      <c r="G55" s="180">
        <v>1.5</v>
      </c>
      <c r="H55" s="180">
        <v>1</v>
      </c>
      <c r="I55" s="180">
        <v>1</v>
      </c>
      <c r="J55" s="180">
        <v>0</v>
      </c>
      <c r="K55" s="180">
        <v>0</v>
      </c>
      <c r="L55" s="180">
        <v>0</v>
      </c>
      <c r="M55" s="181">
        <v>0</v>
      </c>
      <c r="N55" s="172">
        <f t="shared" si="1"/>
        <v>6.5</v>
      </c>
    </row>
    <row r="56" spans="2:14" s="256" customFormat="1" ht="13.2" customHeight="1" x14ac:dyDescent="0.2">
      <c r="B56" s="259"/>
      <c r="C56" s="263" t="s">
        <v>126</v>
      </c>
      <c r="D56" s="157"/>
      <c r="E56" s="157"/>
      <c r="F56" s="157"/>
      <c r="G56" s="157"/>
      <c r="H56" s="157"/>
      <c r="I56" s="157"/>
      <c r="J56" s="157"/>
      <c r="K56" s="157"/>
      <c r="L56" s="157"/>
      <c r="M56" s="160"/>
      <c r="N56" s="258">
        <f>SUM(D56:M56)</f>
        <v>0</v>
      </c>
    </row>
    <row r="57" spans="2:14" s="256" customFormat="1" ht="13.2" customHeight="1" x14ac:dyDescent="0.2">
      <c r="B57" s="279"/>
      <c r="C57" s="280" t="s">
        <v>127</v>
      </c>
      <c r="D57" s="152"/>
      <c r="E57" s="152"/>
      <c r="F57" s="152"/>
      <c r="G57" s="152"/>
      <c r="H57" s="152"/>
      <c r="I57" s="152"/>
      <c r="J57" s="152"/>
      <c r="K57" s="152"/>
      <c r="L57" s="152"/>
      <c r="M57" s="153"/>
      <c r="N57" s="257">
        <f>SUM(D57:M57)</f>
        <v>0</v>
      </c>
    </row>
    <row r="58" spans="2:14" ht="18" customHeight="1" x14ac:dyDescent="0.25">
      <c r="B58" s="167">
        <v>18</v>
      </c>
      <c r="C58" s="168" t="str">
        <f>Config!C22&amp;", "&amp;Config!D22</f>
        <v>Hartmann, Mads</v>
      </c>
      <c r="D58" s="178">
        <v>1</v>
      </c>
      <c r="E58" s="178">
        <v>2.5</v>
      </c>
      <c r="F58" s="178">
        <v>2</v>
      </c>
      <c r="G58" s="178">
        <v>3</v>
      </c>
      <c r="H58" s="178">
        <v>2.5</v>
      </c>
      <c r="I58" s="178">
        <v>3.5</v>
      </c>
      <c r="J58" s="178">
        <v>0</v>
      </c>
      <c r="K58" s="178">
        <v>0</v>
      </c>
      <c r="L58" s="178">
        <v>1.5</v>
      </c>
      <c r="M58" s="179">
        <v>0</v>
      </c>
      <c r="N58" s="169">
        <f t="shared" si="1"/>
        <v>16</v>
      </c>
    </row>
    <row r="59" spans="2:14" s="256" customFormat="1" ht="13.2" customHeight="1" x14ac:dyDescent="0.2">
      <c r="B59" s="262"/>
      <c r="C59" s="264" t="s">
        <v>126</v>
      </c>
      <c r="D59" s="163"/>
      <c r="E59" s="163"/>
      <c r="F59" s="163"/>
      <c r="G59" s="163"/>
      <c r="H59" s="163"/>
      <c r="I59" s="163"/>
      <c r="J59" s="163"/>
      <c r="K59" s="163"/>
      <c r="L59" s="163"/>
      <c r="M59" s="166"/>
      <c r="N59" s="261">
        <f>SUM(D59:M59)</f>
        <v>0</v>
      </c>
    </row>
    <row r="60" spans="2:14" s="256" customFormat="1" ht="13.2" customHeight="1" x14ac:dyDescent="0.2">
      <c r="B60" s="281"/>
      <c r="C60" s="282" t="s">
        <v>127</v>
      </c>
      <c r="D60" s="152"/>
      <c r="E60" s="152"/>
      <c r="F60" s="152"/>
      <c r="G60" s="152"/>
      <c r="H60" s="152"/>
      <c r="I60" s="152"/>
      <c r="J60" s="152"/>
      <c r="K60" s="152"/>
      <c r="L60" s="152"/>
      <c r="M60" s="153"/>
      <c r="N60" s="260">
        <f>SUM(D60:M60)</f>
        <v>0</v>
      </c>
    </row>
    <row r="61" spans="2:14" ht="18" customHeight="1" x14ac:dyDescent="0.25">
      <c r="B61" s="170">
        <v>19</v>
      </c>
      <c r="C61" s="171" t="str">
        <f>Config!C23&amp;", "&amp;Config!D23</f>
        <v>Ullmann, Raphael</v>
      </c>
      <c r="D61" s="180">
        <v>1.5</v>
      </c>
      <c r="E61" s="180">
        <v>2</v>
      </c>
      <c r="F61" s="180">
        <v>3</v>
      </c>
      <c r="G61" s="180">
        <v>0.5</v>
      </c>
      <c r="H61" s="180">
        <v>1</v>
      </c>
      <c r="I61" s="180">
        <v>4</v>
      </c>
      <c r="J61" s="180">
        <v>0.5</v>
      </c>
      <c r="K61" s="180">
        <v>0</v>
      </c>
      <c r="L61" s="180">
        <v>2</v>
      </c>
      <c r="M61" s="181">
        <v>0</v>
      </c>
      <c r="N61" s="172">
        <f t="shared" si="1"/>
        <v>14.5</v>
      </c>
    </row>
    <row r="62" spans="2:14" s="256" customFormat="1" ht="13.2" customHeight="1" x14ac:dyDescent="0.2">
      <c r="B62" s="259"/>
      <c r="C62" s="263" t="s">
        <v>126</v>
      </c>
      <c r="D62" s="157"/>
      <c r="E62" s="157"/>
      <c r="F62" s="157"/>
      <c r="G62" s="157"/>
      <c r="H62" s="157"/>
      <c r="I62" s="157"/>
      <c r="J62" s="157"/>
      <c r="K62" s="157"/>
      <c r="L62" s="157"/>
      <c r="M62" s="160"/>
      <c r="N62" s="258">
        <f>SUM(D62:M62)</f>
        <v>0</v>
      </c>
    </row>
    <row r="63" spans="2:14" s="256" customFormat="1" ht="13.2" customHeight="1" x14ac:dyDescent="0.2">
      <c r="B63" s="279"/>
      <c r="C63" s="280" t="s">
        <v>127</v>
      </c>
      <c r="D63" s="152"/>
      <c r="E63" s="152"/>
      <c r="F63" s="152"/>
      <c r="G63" s="152"/>
      <c r="H63" s="152"/>
      <c r="I63" s="152"/>
      <c r="J63" s="152"/>
      <c r="K63" s="152"/>
      <c r="L63" s="152"/>
      <c r="M63" s="153"/>
      <c r="N63" s="257">
        <f>SUM(D63:M63)</f>
        <v>0</v>
      </c>
    </row>
    <row r="64" spans="2:14" ht="18" customHeight="1" x14ac:dyDescent="0.25">
      <c r="B64" s="167">
        <v>20</v>
      </c>
      <c r="C64" s="168" t="str">
        <f>Config!C24&amp;", "&amp;Config!D24</f>
        <v>Hartl, Emmely</v>
      </c>
      <c r="D64" s="178">
        <v>1.5</v>
      </c>
      <c r="E64" s="178">
        <v>3</v>
      </c>
      <c r="F64" s="178">
        <v>3.5</v>
      </c>
      <c r="G64" s="178">
        <v>2.5</v>
      </c>
      <c r="H64" s="178">
        <v>2</v>
      </c>
      <c r="I64" s="178">
        <v>3.5</v>
      </c>
      <c r="J64" s="178">
        <v>2</v>
      </c>
      <c r="K64" s="178">
        <v>0</v>
      </c>
      <c r="L64" s="178">
        <v>1.5</v>
      </c>
      <c r="M64" s="179">
        <v>3.5</v>
      </c>
      <c r="N64" s="169">
        <f t="shared" si="1"/>
        <v>23</v>
      </c>
    </row>
    <row r="65" spans="2:14" s="256" customFormat="1" ht="13.2" customHeight="1" x14ac:dyDescent="0.2">
      <c r="B65" s="262"/>
      <c r="C65" s="264" t="s">
        <v>126</v>
      </c>
      <c r="D65" s="163"/>
      <c r="E65" s="163"/>
      <c r="F65" s="163"/>
      <c r="G65" s="163"/>
      <c r="H65" s="163"/>
      <c r="I65" s="163"/>
      <c r="J65" s="163"/>
      <c r="K65" s="163"/>
      <c r="L65" s="163"/>
      <c r="M65" s="166"/>
      <c r="N65" s="261">
        <f>SUM(D65:M65)</f>
        <v>0</v>
      </c>
    </row>
    <row r="66" spans="2:14" s="256" customFormat="1" ht="13.2" customHeight="1" x14ac:dyDescent="0.2">
      <c r="B66" s="281"/>
      <c r="C66" s="282" t="s">
        <v>127</v>
      </c>
      <c r="D66" s="152"/>
      <c r="E66" s="152"/>
      <c r="F66" s="152"/>
      <c r="G66" s="152"/>
      <c r="H66" s="152"/>
      <c r="I66" s="152"/>
      <c r="J66" s="152"/>
      <c r="K66" s="152"/>
      <c r="L66" s="152"/>
      <c r="M66" s="153"/>
      <c r="N66" s="260">
        <f>SUM(D66:M66)</f>
        <v>0</v>
      </c>
    </row>
    <row r="67" spans="2:14" ht="18" customHeight="1" x14ac:dyDescent="0.25">
      <c r="B67" s="170">
        <v>21</v>
      </c>
      <c r="C67" s="171" t="str">
        <f>Config!C25&amp;", "&amp;Config!D25</f>
        <v>Klotz, Karin</v>
      </c>
      <c r="D67" s="180">
        <v>2</v>
      </c>
      <c r="E67" s="180">
        <v>2.5</v>
      </c>
      <c r="F67" s="180">
        <v>4</v>
      </c>
      <c r="G67" s="180">
        <v>3</v>
      </c>
      <c r="H67" s="180">
        <v>2.5</v>
      </c>
      <c r="I67" s="180">
        <v>3</v>
      </c>
      <c r="J67" s="180">
        <v>3</v>
      </c>
      <c r="K67" s="180">
        <v>0</v>
      </c>
      <c r="L67" s="180">
        <v>2</v>
      </c>
      <c r="M67" s="181">
        <v>4.5</v>
      </c>
      <c r="N67" s="172">
        <f t="shared" si="1"/>
        <v>26.5</v>
      </c>
    </row>
    <row r="68" spans="2:14" s="256" customFormat="1" ht="13.2" customHeight="1" x14ac:dyDescent="0.2">
      <c r="B68" s="259"/>
      <c r="C68" s="263" t="s">
        <v>126</v>
      </c>
      <c r="D68" s="157"/>
      <c r="E68" s="157"/>
      <c r="F68" s="157"/>
      <c r="G68" s="157"/>
      <c r="H68" s="157"/>
      <c r="I68" s="157"/>
      <c r="J68" s="157"/>
      <c r="K68" s="157"/>
      <c r="L68" s="157"/>
      <c r="M68" s="160"/>
      <c r="N68" s="258">
        <f>SUM(D68:M68)</f>
        <v>0</v>
      </c>
    </row>
    <row r="69" spans="2:14" s="256" customFormat="1" ht="13.2" customHeight="1" x14ac:dyDescent="0.2">
      <c r="B69" s="279"/>
      <c r="C69" s="280" t="s">
        <v>127</v>
      </c>
      <c r="D69" s="152"/>
      <c r="E69" s="152"/>
      <c r="F69" s="152"/>
      <c r="G69" s="152"/>
      <c r="H69" s="152"/>
      <c r="I69" s="152"/>
      <c r="J69" s="152"/>
      <c r="K69" s="152"/>
      <c r="L69" s="152"/>
      <c r="M69" s="153"/>
      <c r="N69" s="257">
        <f>SUM(D69:M69)</f>
        <v>0</v>
      </c>
    </row>
    <row r="70" spans="2:14" ht="18" customHeight="1" x14ac:dyDescent="0.25">
      <c r="B70" s="167">
        <v>22</v>
      </c>
      <c r="C70" s="168" t="str">
        <f>Config!C26&amp;", "&amp;Config!D26</f>
        <v>Ehlers, Ingo</v>
      </c>
      <c r="D70" s="178">
        <v>0.5</v>
      </c>
      <c r="E70" s="178">
        <v>3</v>
      </c>
      <c r="F70" s="178">
        <v>4</v>
      </c>
      <c r="G70" s="178">
        <v>2</v>
      </c>
      <c r="H70" s="178">
        <v>2.5</v>
      </c>
      <c r="I70" s="178">
        <v>3</v>
      </c>
      <c r="J70" s="178">
        <v>1.5</v>
      </c>
      <c r="K70" s="178">
        <v>0</v>
      </c>
      <c r="L70" s="178">
        <v>2</v>
      </c>
      <c r="M70" s="179">
        <v>2.5</v>
      </c>
      <c r="N70" s="169">
        <f t="shared" si="1"/>
        <v>21</v>
      </c>
    </row>
    <row r="71" spans="2:14" s="256" customFormat="1" ht="13.2" customHeight="1" x14ac:dyDescent="0.2">
      <c r="B71" s="262"/>
      <c r="C71" s="264" t="s">
        <v>126</v>
      </c>
      <c r="D71" s="163"/>
      <c r="E71" s="163"/>
      <c r="F71" s="163"/>
      <c r="G71" s="163"/>
      <c r="H71" s="163"/>
      <c r="I71" s="163"/>
      <c r="J71" s="163"/>
      <c r="K71" s="163"/>
      <c r="L71" s="163"/>
      <c r="M71" s="166"/>
      <c r="N71" s="261">
        <f>SUM(D71:M71)</f>
        <v>0</v>
      </c>
    </row>
    <row r="72" spans="2:14" s="256" customFormat="1" ht="13.2" customHeight="1" x14ac:dyDescent="0.2">
      <c r="B72" s="281"/>
      <c r="C72" s="282" t="s">
        <v>127</v>
      </c>
      <c r="D72" s="152"/>
      <c r="E72" s="152"/>
      <c r="F72" s="152"/>
      <c r="G72" s="152"/>
      <c r="H72" s="152"/>
      <c r="I72" s="152"/>
      <c r="J72" s="152"/>
      <c r="K72" s="152"/>
      <c r="L72" s="152"/>
      <c r="M72" s="153"/>
      <c r="N72" s="260">
        <f>SUM(D72:M72)</f>
        <v>0</v>
      </c>
    </row>
    <row r="73" spans="2:14" ht="18" customHeight="1" x14ac:dyDescent="0.25">
      <c r="B73" s="170">
        <v>23</v>
      </c>
      <c r="C73" s="171" t="str">
        <f>Config!C27&amp;", "&amp;Config!D27</f>
        <v>Lindemann, Mads</v>
      </c>
      <c r="D73" s="180">
        <v>1</v>
      </c>
      <c r="E73" s="180">
        <v>2.5</v>
      </c>
      <c r="F73" s="180">
        <v>3.5</v>
      </c>
      <c r="G73" s="180">
        <v>3</v>
      </c>
      <c r="H73" s="180">
        <v>2</v>
      </c>
      <c r="I73" s="180">
        <v>4</v>
      </c>
      <c r="J73" s="180">
        <v>0</v>
      </c>
      <c r="K73" s="180">
        <v>0</v>
      </c>
      <c r="L73" s="180">
        <v>0</v>
      </c>
      <c r="M73" s="181">
        <v>0</v>
      </c>
      <c r="N73" s="172">
        <f t="shared" ref="N73" si="2">SUM(D73:M73)</f>
        <v>16</v>
      </c>
    </row>
    <row r="74" spans="2:14" s="256" customFormat="1" ht="13.2" customHeight="1" x14ac:dyDescent="0.2">
      <c r="B74" s="259"/>
      <c r="C74" s="263" t="s">
        <v>126</v>
      </c>
      <c r="D74" s="157"/>
      <c r="E74" s="157"/>
      <c r="F74" s="157"/>
      <c r="G74" s="157"/>
      <c r="H74" s="157"/>
      <c r="I74" s="157"/>
      <c r="J74" s="157"/>
      <c r="K74" s="157"/>
      <c r="L74" s="157"/>
      <c r="M74" s="160"/>
      <c r="N74" s="258">
        <f>SUM(D74:M74)</f>
        <v>0</v>
      </c>
    </row>
    <row r="75" spans="2:14" s="256" customFormat="1" ht="13.2" customHeight="1" thickBot="1" x14ac:dyDescent="0.25">
      <c r="B75" s="279"/>
      <c r="C75" s="280" t="s">
        <v>127</v>
      </c>
      <c r="D75" s="152"/>
      <c r="E75" s="152"/>
      <c r="F75" s="152"/>
      <c r="G75" s="152"/>
      <c r="H75" s="152"/>
      <c r="I75" s="152"/>
      <c r="J75" s="152"/>
      <c r="K75" s="152"/>
      <c r="L75" s="152"/>
      <c r="M75" s="153"/>
      <c r="N75" s="257">
        <f>SUM(D75:M75)</f>
        <v>0</v>
      </c>
    </row>
    <row r="76" spans="2:14" ht="18" customHeight="1" thickBot="1" x14ac:dyDescent="0.3">
      <c r="B76" s="173"/>
      <c r="C76" s="174"/>
      <c r="D76" s="174">
        <f>IF(COUNTIFS(D7:D73,"&lt;&gt;",C7:C73,"&lt;&gt;ZK",C7:C73,"&lt;&gt;DK")&lt;&gt;0,SUMIFS(D7:D73,C7:C73,"&lt;&gt;ZK",C7:C73,"&lt;&gt;DK")/(COUNTIFS(D7:D73,"&lt;&gt;",C7:C73,"&lt;&gt;ZK",C7:C73,"&lt;&gt;DK")*D6),0)</f>
        <v>0.64130434782608692</v>
      </c>
      <c r="E76" s="174">
        <f>IF(COUNTIFS(E7:E73,"&lt;&gt;",C7:C73,"&lt;&gt;ZK",C7:C73,"&lt;&gt;DK")&lt;&gt;0,SUMIFS(E7:E73,C7:C73,"&lt;&gt;ZK",C7:C73,"&lt;&gt;DK")/(COUNTIFS(E7:E73,"&lt;&gt;",C7:C73,"&lt;&gt;ZK",C7:C73,"&lt;&gt;DK")*E6),0)</f>
        <v>0.79710144927536231</v>
      </c>
      <c r="F76" s="174">
        <f>IF(COUNTIFS(F7:F73,"&lt;&gt;",C7:C73,"&lt;&gt;ZK",C7:C73,"&lt;&gt;DK")&lt;&gt;0,SUMIFS(F7:F73,C7:C73,"&lt;&gt;ZK",C7:C73,"&lt;&gt;DK")/(COUNTIFS(F7:F73,"&lt;&gt;",C7:C73,"&lt;&gt;ZK",C7:C73,"&lt;&gt;DK")*F6),0)</f>
        <v>0.78804347826086951</v>
      </c>
      <c r="G76" s="174">
        <f>IF(COUNTIFS(G7:G73,"&lt;&gt;",C7:C73,"&lt;&gt;ZK",C7:C73,"&lt;&gt;DK")&lt;&gt;0,SUMIFS(G7:G73,C7:C73,"&lt;&gt;ZK",C7:C73,"&lt;&gt;DK")/(COUNTIFS(G7:G73,"&lt;&gt;",C7:C73,"&lt;&gt;ZK",C7:C73,"&lt;&gt;DK")*G6),0)</f>
        <v>0.79710144927536231</v>
      </c>
      <c r="H76" s="174">
        <f>IF(COUNTIFS(H7:H73,"&lt;&gt;",C7:C73,"&lt;&gt;ZK",C7:C73,"&lt;&gt;DK")&lt;&gt;0,SUMIFS(H7:H73,C7:C73,"&lt;&gt;ZK",C7:C73,"&lt;&gt;DK")/(COUNTIFS(H7:H73,"&lt;&gt;",C7:C73,"&lt;&gt;ZK",C7:C73,"&lt;&gt;DK")*H6),0)</f>
        <v>0.78260869565217395</v>
      </c>
      <c r="I76" s="174">
        <f>IF(COUNTIFS(I7:I73,"&lt;&gt;",C7:C73,"&lt;&gt;ZK",C7:C73,"&lt;&gt;DK")&lt;&gt;0,SUMIFS(I7:I73,C7:C73,"&lt;&gt;ZK",C7:C73,"&lt;&gt;DK")/(COUNTIFS(I7:I73,"&lt;&gt;",C7:C73,"&lt;&gt;ZK",C7:C73,"&lt;&gt;DK")*I6),0)</f>
        <v>0.78260869565217395</v>
      </c>
      <c r="J76" s="174">
        <f>IF(COUNTIFS(J7:J73,"&lt;&gt;",C7:C73,"&lt;&gt;ZK",C7:C73,"&lt;&gt;DK")&lt;&gt;0,SUMIFS(J7:J73,C7:C73,"&lt;&gt;ZK",C7:C73,"&lt;&gt;DK")/(COUNTIFS(J7:J73,"&lt;&gt;",C7:C73,"&lt;&gt;ZK",C7:C73,"&lt;&gt;DK")*J6),0)</f>
        <v>0.27536231884057971</v>
      </c>
      <c r="K76" s="174">
        <f>IF(COUNTIFS(K7:K73,"&lt;&gt;",C7:C73,"&lt;&gt;ZK",C7:C73,"&lt;&gt;DK")&lt;&gt;0,SUMIFS(K7:K73,C7:C73,"&lt;&gt;ZK",C7:C73,"&lt;&gt;DK")/(COUNTIFS(K7:K73,"&lt;&gt;",C7:C73,"&lt;&gt;ZK",C7:C73,"&lt;&gt;DK")*K6),0)</f>
        <v>0.11956521739130435</v>
      </c>
      <c r="L76" s="174">
        <f>IF(COUNTIFS(L7:L73,"&lt;&gt;",C7:C73,"&lt;&gt;ZK",C7:C73,"&lt;&gt;DK")&lt;&gt;0,SUMIFS(L7:L73,C7:C73,"&lt;&gt;ZK",C7:C73,"&lt;&gt;DK")/(COUNTIFS(L7:L73,"&lt;&gt;",C7:C73,"&lt;&gt;ZK",C7:C73,"&lt;&gt;DK")*L6),0)</f>
        <v>0.60869565217391308</v>
      </c>
      <c r="M76" s="174">
        <f>IF(COUNTIFS(M7:M73,"&lt;&gt;",C7:C73,"&lt;&gt;ZK",C7:C73,"&lt;&gt;DK")&lt;&gt;0,SUMIFS(M7:M73,C7:C73,"&lt;&gt;ZK",C7:C73,"&lt;&gt;DK")/(COUNTIFS(M7:M73,"&lt;&gt;",C7:C73,"&lt;&gt;ZK",C7:C73,"&lt;&gt;DK")*M6),0)</f>
        <v>0.88043478260869568</v>
      </c>
      <c r="N76" s="175"/>
    </row>
    <row r="77" spans="2:14" ht="18" customHeight="1" x14ac:dyDescent="0.25"/>
    <row r="78" spans="2:14" ht="18" customHeight="1" x14ac:dyDescent="0.25"/>
    <row r="79" spans="2:14" ht="18" customHeight="1" x14ac:dyDescent="0.25"/>
    <row r="80" spans="2:14"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sheetProtection sheet="1" objects="1" scenarios="1" selectLockedCells="1"/>
  <dataValidations count="10">
    <dataValidation type="decimal" allowBlank="1" showErrorMessage="1" sqref="D7:D75" xr:uid="{874FF4F8-71DB-4466-9E1A-83C9EA8DDFEB}">
      <formula1>0</formula1>
      <formula2>$D$6</formula2>
    </dataValidation>
    <dataValidation type="decimal" allowBlank="1" showErrorMessage="1" sqref="E7:E75" xr:uid="{F3A0D915-4705-4ABA-BD91-B132DBCE0A61}">
      <formula1>0</formula1>
      <formula2>$E$6</formula2>
    </dataValidation>
    <dataValidation type="decimal" allowBlank="1" showErrorMessage="1" sqref="F7:F75" xr:uid="{7B036392-1682-4521-825A-07496D5B3ADB}">
      <formula1>0</formula1>
      <formula2>$F$6</formula2>
    </dataValidation>
    <dataValidation type="decimal" allowBlank="1" showErrorMessage="1" sqref="G7:G75" xr:uid="{CD0793F8-0346-43AF-8C03-704DE4DCBA03}">
      <formula1>0</formula1>
      <formula2>$G$6</formula2>
    </dataValidation>
    <dataValidation type="decimal" allowBlank="1" showErrorMessage="1" sqref="H7:H75" xr:uid="{C704A20F-A292-403F-BAD9-64981909BDB3}">
      <formula1>0</formula1>
      <formula2>$H$6</formula2>
    </dataValidation>
    <dataValidation type="decimal" allowBlank="1" showErrorMessage="1" sqref="I7:I75" xr:uid="{3A6793CA-2AF9-46E1-83FD-FC313595831C}">
      <formula1>0</formula1>
      <formula2>$I$6</formula2>
    </dataValidation>
    <dataValidation type="decimal" allowBlank="1" showErrorMessage="1" sqref="J7:J75" xr:uid="{BC54545C-D409-4C6C-A4E8-E9AFA70F1020}">
      <formula1>0</formula1>
      <formula2>$J$6</formula2>
    </dataValidation>
    <dataValidation type="decimal" allowBlank="1" showErrorMessage="1" sqref="K7:K75" xr:uid="{3BD50FA4-C62D-474F-B0F2-1C40E9384FD9}">
      <formula1>0</formula1>
      <formula2>$K$6</formula2>
    </dataValidation>
    <dataValidation type="decimal" allowBlank="1" showErrorMessage="1" sqref="L7:L75" xr:uid="{8A0F86E8-ED57-4817-952B-FFCC43664586}">
      <formula1>0</formula1>
      <formula2>$L$6</formula2>
    </dataValidation>
    <dataValidation type="decimal" allowBlank="1" showErrorMessage="1" sqref="M7:M75" xr:uid="{8B0B83C4-26DC-4AD0-95D4-60EC74F155B0}">
      <formula1>0</formula1>
      <formula2>$M$6</formula2>
    </dataValidation>
  </dataValidations>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8A0D4E-59C7-46CE-8401-67A00F367F2A}">
  <sheetPr codeName="Tabelle3">
    <tabColor rgb="FF92D050"/>
  </sheetPr>
  <dimension ref="B1:E100"/>
  <sheetViews>
    <sheetView workbookViewId="0">
      <selection activeCell="D8" sqref="D8"/>
    </sheetView>
  </sheetViews>
  <sheetFormatPr baseColWidth="10" defaultColWidth="11.5546875" defaultRowHeight="13.2" x14ac:dyDescent="0.25"/>
  <cols>
    <col min="1" max="2" width="3.44140625" style="96" customWidth="1"/>
    <col min="3" max="3" width="25.6640625" style="96" customWidth="1"/>
    <col min="4" max="5" width="8.6640625" style="96" customWidth="1"/>
    <col min="6" max="16384" width="11.5546875" style="96"/>
  </cols>
  <sheetData>
    <row r="1" spans="2:5" ht="18" customHeight="1" thickBot="1" x14ac:dyDescent="0.3"/>
    <row r="2" spans="2:5" ht="18" customHeight="1" x14ac:dyDescent="0.25">
      <c r="B2" s="97" t="str">
        <f>Config!F2&amp;" "&amp;YEAR(Config!G24)</f>
        <v>Mathe Abitur 2026</v>
      </c>
      <c r="C2" s="98"/>
      <c r="D2" s="99"/>
      <c r="E2" s="100" t="str">
        <f>"Kurs "&amp;Config!G26</f>
        <v>Kurs K1</v>
      </c>
    </row>
    <row r="3" spans="2:5" ht="18" customHeight="1" x14ac:dyDescent="0.25">
      <c r="B3" s="101" t="s">
        <v>11</v>
      </c>
      <c r="C3" s="102"/>
      <c r="D3" s="102"/>
      <c r="E3" s="103"/>
    </row>
    <row r="4" spans="2:5" ht="18" customHeight="1" thickBot="1" x14ac:dyDescent="0.3">
      <c r="B4" s="101"/>
      <c r="C4" s="102"/>
      <c r="D4" s="104"/>
      <c r="E4" s="105"/>
    </row>
    <row r="5" spans="2:5" ht="18" customHeight="1" thickBot="1" x14ac:dyDescent="0.3">
      <c r="B5" s="106"/>
      <c r="C5" s="108"/>
      <c r="D5" s="118" t="str">
        <f>Config!J6</f>
        <v>1</v>
      </c>
      <c r="E5" s="112" t="s">
        <v>82</v>
      </c>
    </row>
    <row r="6" spans="2:5" ht="18" customHeight="1" thickBot="1" x14ac:dyDescent="0.3">
      <c r="B6" s="107"/>
      <c r="C6" s="109" t="s">
        <v>81</v>
      </c>
      <c r="D6" s="111">
        <f>Config!K6</f>
        <v>5</v>
      </c>
      <c r="E6" s="119">
        <f>Config!K21</f>
        <v>5</v>
      </c>
    </row>
    <row r="7" spans="2:5" ht="18" customHeight="1" x14ac:dyDescent="0.25">
      <c r="B7" s="154">
        <v>1</v>
      </c>
      <c r="C7" s="155" t="str">
        <f>Config!C5&amp;", "&amp;Config!D5</f>
        <v>Höfer, Simon</v>
      </c>
      <c r="D7" s="177">
        <v>2.5</v>
      </c>
      <c r="E7" s="156">
        <f t="shared" ref="E7:E37" si="0">SUM(D7:D7)</f>
        <v>2.5</v>
      </c>
    </row>
    <row r="8" spans="2:5" s="256" customFormat="1" ht="13.2" customHeight="1" x14ac:dyDescent="0.2">
      <c r="B8" s="259"/>
      <c r="C8" s="263" t="s">
        <v>126</v>
      </c>
      <c r="D8" s="160"/>
      <c r="E8" s="258">
        <f>SUM(D8:D8)</f>
        <v>0</v>
      </c>
    </row>
    <row r="9" spans="2:5" s="256" customFormat="1" ht="13.2" customHeight="1" x14ac:dyDescent="0.2">
      <c r="B9" s="279"/>
      <c r="C9" s="280" t="s">
        <v>127</v>
      </c>
      <c r="D9" s="153"/>
      <c r="E9" s="257">
        <f>SUM(D9:D9)</f>
        <v>0</v>
      </c>
    </row>
    <row r="10" spans="2:5" ht="18" customHeight="1" x14ac:dyDescent="0.25">
      <c r="B10" s="167">
        <v>2</v>
      </c>
      <c r="C10" s="168" t="str">
        <f>Config!C6&amp;", "&amp;Config!D6</f>
        <v>Töpfer, Lilian</v>
      </c>
      <c r="D10" s="179">
        <v>5</v>
      </c>
      <c r="E10" s="169">
        <f t="shared" si="0"/>
        <v>5</v>
      </c>
    </row>
    <row r="11" spans="2:5" s="256" customFormat="1" ht="13.2" customHeight="1" x14ac:dyDescent="0.2">
      <c r="B11" s="262"/>
      <c r="C11" s="264" t="s">
        <v>126</v>
      </c>
      <c r="D11" s="166"/>
      <c r="E11" s="261">
        <f>SUM(D11:D11)</f>
        <v>0</v>
      </c>
    </row>
    <row r="12" spans="2:5" s="256" customFormat="1" ht="13.2" customHeight="1" x14ac:dyDescent="0.2">
      <c r="B12" s="281"/>
      <c r="C12" s="282" t="s">
        <v>127</v>
      </c>
      <c r="D12" s="153"/>
      <c r="E12" s="260">
        <f>SUM(D12:D12)</f>
        <v>0</v>
      </c>
    </row>
    <row r="13" spans="2:5" ht="18" customHeight="1" x14ac:dyDescent="0.25">
      <c r="B13" s="170">
        <v>3</v>
      </c>
      <c r="C13" s="171" t="str">
        <f>Config!C7&amp;", "&amp;Config!D7</f>
        <v>Fleischmann, Leonie</v>
      </c>
      <c r="D13" s="181">
        <v>2.5</v>
      </c>
      <c r="E13" s="172">
        <f t="shared" si="0"/>
        <v>2.5</v>
      </c>
    </row>
    <row r="14" spans="2:5" s="256" customFormat="1" ht="13.2" customHeight="1" x14ac:dyDescent="0.2">
      <c r="B14" s="259"/>
      <c r="C14" s="263" t="s">
        <v>126</v>
      </c>
      <c r="D14" s="160"/>
      <c r="E14" s="258">
        <f>SUM(D14:D14)</f>
        <v>0</v>
      </c>
    </row>
    <row r="15" spans="2:5" s="256" customFormat="1" ht="13.2" customHeight="1" x14ac:dyDescent="0.2">
      <c r="B15" s="279"/>
      <c r="C15" s="280" t="s">
        <v>127</v>
      </c>
      <c r="D15" s="153"/>
      <c r="E15" s="257">
        <f>SUM(D15:D15)</f>
        <v>0</v>
      </c>
    </row>
    <row r="16" spans="2:5" ht="18" customHeight="1" x14ac:dyDescent="0.25">
      <c r="B16" s="167">
        <v>4</v>
      </c>
      <c r="C16" s="168" t="str">
        <f>Config!C8&amp;", "&amp;Config!D8</f>
        <v>Drescher, Cedric</v>
      </c>
      <c r="D16" s="179">
        <v>2.5</v>
      </c>
      <c r="E16" s="169">
        <f t="shared" si="0"/>
        <v>2.5</v>
      </c>
    </row>
    <row r="17" spans="2:5" s="256" customFormat="1" ht="13.2" customHeight="1" x14ac:dyDescent="0.2">
      <c r="B17" s="262"/>
      <c r="C17" s="264" t="s">
        <v>126</v>
      </c>
      <c r="D17" s="166"/>
      <c r="E17" s="261">
        <f>SUM(D17:D17)</f>
        <v>0</v>
      </c>
    </row>
    <row r="18" spans="2:5" s="256" customFormat="1" ht="13.2" customHeight="1" x14ac:dyDescent="0.2">
      <c r="B18" s="281"/>
      <c r="C18" s="282" t="s">
        <v>127</v>
      </c>
      <c r="D18" s="153"/>
      <c r="E18" s="260">
        <f>SUM(D18:D18)</f>
        <v>0</v>
      </c>
    </row>
    <row r="19" spans="2:5" ht="18" customHeight="1" x14ac:dyDescent="0.25">
      <c r="B19" s="170">
        <v>5</v>
      </c>
      <c r="C19" s="171" t="str">
        <f>Config!C9&amp;", "&amp;Config!D9</f>
        <v>Baumgarten, Annabell</v>
      </c>
      <c r="D19" s="181">
        <v>2.5</v>
      </c>
      <c r="E19" s="172">
        <f t="shared" si="0"/>
        <v>2.5</v>
      </c>
    </row>
    <row r="20" spans="2:5" s="256" customFormat="1" ht="13.2" customHeight="1" x14ac:dyDescent="0.2">
      <c r="B20" s="259"/>
      <c r="C20" s="263" t="s">
        <v>126</v>
      </c>
      <c r="D20" s="160"/>
      <c r="E20" s="258">
        <f>SUM(D20:D20)</f>
        <v>0</v>
      </c>
    </row>
    <row r="21" spans="2:5" s="256" customFormat="1" ht="13.2" customHeight="1" x14ac:dyDescent="0.2">
      <c r="B21" s="279"/>
      <c r="C21" s="280" t="s">
        <v>127</v>
      </c>
      <c r="D21" s="153"/>
      <c r="E21" s="257">
        <f>SUM(D21:D21)</f>
        <v>0</v>
      </c>
    </row>
    <row r="22" spans="2:5" ht="18" customHeight="1" x14ac:dyDescent="0.25">
      <c r="B22" s="167">
        <v>6</v>
      </c>
      <c r="C22" s="168" t="str">
        <f>Config!C10&amp;", "&amp;Config!D10</f>
        <v>Traut, Stefanie</v>
      </c>
      <c r="D22" s="179">
        <v>3</v>
      </c>
      <c r="E22" s="169">
        <f t="shared" si="0"/>
        <v>3</v>
      </c>
    </row>
    <row r="23" spans="2:5" s="256" customFormat="1" ht="13.2" customHeight="1" x14ac:dyDescent="0.2">
      <c r="B23" s="262"/>
      <c r="C23" s="264" t="s">
        <v>126</v>
      </c>
      <c r="D23" s="166"/>
      <c r="E23" s="261">
        <f>SUM(D23:D23)</f>
        <v>0</v>
      </c>
    </row>
    <row r="24" spans="2:5" s="256" customFormat="1" ht="13.2" customHeight="1" x14ac:dyDescent="0.2">
      <c r="B24" s="281"/>
      <c r="C24" s="282" t="s">
        <v>127</v>
      </c>
      <c r="D24" s="153"/>
      <c r="E24" s="260">
        <f>SUM(D24:D24)</f>
        <v>0</v>
      </c>
    </row>
    <row r="25" spans="2:5" ht="18" customHeight="1" x14ac:dyDescent="0.25">
      <c r="B25" s="170">
        <v>7</v>
      </c>
      <c r="C25" s="171" t="str">
        <f>Config!C11&amp;", "&amp;Config!D11</f>
        <v>Menke, Damian</v>
      </c>
      <c r="D25" s="181">
        <v>5</v>
      </c>
      <c r="E25" s="172">
        <f t="shared" si="0"/>
        <v>5</v>
      </c>
    </row>
    <row r="26" spans="2:5" s="256" customFormat="1" ht="13.2" customHeight="1" x14ac:dyDescent="0.2">
      <c r="B26" s="259"/>
      <c r="C26" s="263" t="s">
        <v>126</v>
      </c>
      <c r="D26" s="160"/>
      <c r="E26" s="258">
        <f>SUM(D26:D26)</f>
        <v>0</v>
      </c>
    </row>
    <row r="27" spans="2:5" s="256" customFormat="1" ht="13.2" customHeight="1" x14ac:dyDescent="0.2">
      <c r="B27" s="279"/>
      <c r="C27" s="280" t="s">
        <v>127</v>
      </c>
      <c r="D27" s="153"/>
      <c r="E27" s="257">
        <f>SUM(D27:D27)</f>
        <v>0</v>
      </c>
    </row>
    <row r="28" spans="2:5" ht="18" customHeight="1" x14ac:dyDescent="0.25">
      <c r="B28" s="167">
        <v>8</v>
      </c>
      <c r="C28" s="168" t="str">
        <f>Config!C12&amp;", "&amp;Config!D12</f>
        <v>Carroll, Meik</v>
      </c>
      <c r="D28" s="179">
        <v>5</v>
      </c>
      <c r="E28" s="169">
        <f t="shared" si="0"/>
        <v>5</v>
      </c>
    </row>
    <row r="29" spans="2:5" s="256" customFormat="1" ht="13.2" customHeight="1" x14ac:dyDescent="0.2">
      <c r="B29" s="262"/>
      <c r="C29" s="264" t="s">
        <v>126</v>
      </c>
      <c r="D29" s="166"/>
      <c r="E29" s="261">
        <f>SUM(D29:D29)</f>
        <v>0</v>
      </c>
    </row>
    <row r="30" spans="2:5" s="256" customFormat="1" ht="13.2" customHeight="1" x14ac:dyDescent="0.2">
      <c r="B30" s="281"/>
      <c r="C30" s="282" t="s">
        <v>127</v>
      </c>
      <c r="D30" s="153"/>
      <c r="E30" s="260">
        <f>SUM(D30:D30)</f>
        <v>0</v>
      </c>
    </row>
    <row r="31" spans="2:5" ht="18" customHeight="1" x14ac:dyDescent="0.25">
      <c r="B31" s="170">
        <v>9</v>
      </c>
      <c r="C31" s="171" t="str">
        <f>Config!C13&amp;", "&amp;Config!D13</f>
        <v>Hennings, Tomas</v>
      </c>
      <c r="D31" s="181">
        <v>4</v>
      </c>
      <c r="E31" s="172">
        <f t="shared" si="0"/>
        <v>4</v>
      </c>
    </row>
    <row r="32" spans="2:5" s="256" customFormat="1" ht="13.2" customHeight="1" x14ac:dyDescent="0.2">
      <c r="B32" s="259"/>
      <c r="C32" s="263" t="s">
        <v>126</v>
      </c>
      <c r="D32" s="160"/>
      <c r="E32" s="258">
        <f>SUM(D32:D32)</f>
        <v>0</v>
      </c>
    </row>
    <row r="33" spans="2:5" s="256" customFormat="1" ht="13.2" customHeight="1" x14ac:dyDescent="0.2">
      <c r="B33" s="279"/>
      <c r="C33" s="280" t="s">
        <v>127</v>
      </c>
      <c r="D33" s="153"/>
      <c r="E33" s="257">
        <f>SUM(D33:D33)</f>
        <v>0</v>
      </c>
    </row>
    <row r="34" spans="2:5" ht="18" customHeight="1" x14ac:dyDescent="0.25">
      <c r="B34" s="167">
        <v>10</v>
      </c>
      <c r="C34" s="168" t="str">
        <f>Config!C14&amp;", "&amp;Config!D14</f>
        <v>Walters, Linn</v>
      </c>
      <c r="D34" s="179">
        <v>2.5</v>
      </c>
      <c r="E34" s="169">
        <f t="shared" si="0"/>
        <v>2.5</v>
      </c>
    </row>
    <row r="35" spans="2:5" s="256" customFormat="1" ht="13.2" customHeight="1" x14ac:dyDescent="0.2">
      <c r="B35" s="262"/>
      <c r="C35" s="264" t="s">
        <v>126</v>
      </c>
      <c r="D35" s="166"/>
      <c r="E35" s="261">
        <f>SUM(D35:D35)</f>
        <v>0</v>
      </c>
    </row>
    <row r="36" spans="2:5" s="256" customFormat="1" ht="13.2" customHeight="1" x14ac:dyDescent="0.2">
      <c r="B36" s="281"/>
      <c r="C36" s="282" t="s">
        <v>127</v>
      </c>
      <c r="D36" s="153"/>
      <c r="E36" s="260">
        <f>SUM(D36:D36)</f>
        <v>0</v>
      </c>
    </row>
    <row r="37" spans="2:5" ht="18" customHeight="1" x14ac:dyDescent="0.25">
      <c r="B37" s="170">
        <v>11</v>
      </c>
      <c r="C37" s="171" t="str">
        <f>Config!C15&amp;", "&amp;Config!D15</f>
        <v>Junker, Amely</v>
      </c>
      <c r="D37" s="181">
        <v>2</v>
      </c>
      <c r="E37" s="172">
        <f t="shared" si="0"/>
        <v>2</v>
      </c>
    </row>
    <row r="38" spans="2:5" s="256" customFormat="1" ht="13.2" customHeight="1" x14ac:dyDescent="0.2">
      <c r="B38" s="259"/>
      <c r="C38" s="263" t="s">
        <v>126</v>
      </c>
      <c r="D38" s="160"/>
      <c r="E38" s="258">
        <f>SUM(D38:D38)</f>
        <v>0</v>
      </c>
    </row>
    <row r="39" spans="2:5" s="256" customFormat="1" ht="13.2" customHeight="1" x14ac:dyDescent="0.2">
      <c r="B39" s="279"/>
      <c r="C39" s="280" t="s">
        <v>127</v>
      </c>
      <c r="D39" s="153"/>
      <c r="E39" s="257">
        <f>SUM(D39:D39)</f>
        <v>0</v>
      </c>
    </row>
    <row r="40" spans="2:5" ht="18" customHeight="1" x14ac:dyDescent="0.25">
      <c r="B40" s="167">
        <v>12</v>
      </c>
      <c r="C40" s="168" t="str">
        <f>Config!C16&amp;", "&amp;Config!D16</f>
        <v>Stephens, Melvin</v>
      </c>
      <c r="D40" s="179">
        <v>2.5</v>
      </c>
      <c r="E40" s="169">
        <f t="shared" ref="E40:E70" si="1">SUM(D40:D40)</f>
        <v>2.5</v>
      </c>
    </row>
    <row r="41" spans="2:5" s="256" customFormat="1" ht="13.2" customHeight="1" x14ac:dyDescent="0.2">
      <c r="B41" s="262"/>
      <c r="C41" s="264" t="s">
        <v>126</v>
      </c>
      <c r="D41" s="166"/>
      <c r="E41" s="261">
        <f>SUM(D41:D41)</f>
        <v>0</v>
      </c>
    </row>
    <row r="42" spans="2:5" s="256" customFormat="1" ht="13.2" customHeight="1" x14ac:dyDescent="0.2">
      <c r="B42" s="281"/>
      <c r="C42" s="282" t="s">
        <v>127</v>
      </c>
      <c r="D42" s="153"/>
      <c r="E42" s="260">
        <f>SUM(D42:D42)</f>
        <v>0</v>
      </c>
    </row>
    <row r="43" spans="2:5" ht="18" customHeight="1" x14ac:dyDescent="0.25">
      <c r="B43" s="170">
        <v>13</v>
      </c>
      <c r="C43" s="171" t="str">
        <f>Config!C17&amp;", "&amp;Config!D17</f>
        <v>Cremer, Marvin</v>
      </c>
      <c r="D43" s="181">
        <v>5</v>
      </c>
      <c r="E43" s="172">
        <f t="shared" si="1"/>
        <v>5</v>
      </c>
    </row>
    <row r="44" spans="2:5" s="256" customFormat="1" ht="13.2" customHeight="1" x14ac:dyDescent="0.2">
      <c r="B44" s="259"/>
      <c r="C44" s="263" t="s">
        <v>126</v>
      </c>
      <c r="D44" s="160"/>
      <c r="E44" s="258">
        <f>SUM(D44:D44)</f>
        <v>0</v>
      </c>
    </row>
    <row r="45" spans="2:5" s="256" customFormat="1" ht="13.2" customHeight="1" x14ac:dyDescent="0.2">
      <c r="B45" s="279"/>
      <c r="C45" s="280" t="s">
        <v>127</v>
      </c>
      <c r="D45" s="153"/>
      <c r="E45" s="257">
        <f>SUM(D45:D45)</f>
        <v>0</v>
      </c>
    </row>
    <row r="46" spans="2:5" ht="18" customHeight="1" x14ac:dyDescent="0.25">
      <c r="B46" s="167">
        <v>14</v>
      </c>
      <c r="C46" s="168" t="str">
        <f>Config!C18&amp;", "&amp;Config!D18</f>
        <v>Nash, Jean</v>
      </c>
      <c r="D46" s="179">
        <v>5</v>
      </c>
      <c r="E46" s="169">
        <f t="shared" si="1"/>
        <v>5</v>
      </c>
    </row>
    <row r="47" spans="2:5" s="256" customFormat="1" ht="13.2" customHeight="1" x14ac:dyDescent="0.2">
      <c r="B47" s="262"/>
      <c r="C47" s="264" t="s">
        <v>126</v>
      </c>
      <c r="D47" s="166"/>
      <c r="E47" s="261">
        <f>SUM(D47:D47)</f>
        <v>0</v>
      </c>
    </row>
    <row r="48" spans="2:5" s="256" customFormat="1" ht="13.2" customHeight="1" x14ac:dyDescent="0.2">
      <c r="B48" s="281"/>
      <c r="C48" s="282" t="s">
        <v>127</v>
      </c>
      <c r="D48" s="153"/>
      <c r="E48" s="260">
        <f>SUM(D48:D48)</f>
        <v>0</v>
      </c>
    </row>
    <row r="49" spans="2:5" ht="18" customHeight="1" x14ac:dyDescent="0.25">
      <c r="B49" s="170">
        <v>15</v>
      </c>
      <c r="C49" s="171" t="str">
        <f>Config!C19&amp;", "&amp;Config!D19</f>
        <v>Schön, Leonardo</v>
      </c>
      <c r="D49" s="181">
        <v>2.5</v>
      </c>
      <c r="E49" s="172">
        <f t="shared" si="1"/>
        <v>2.5</v>
      </c>
    </row>
    <row r="50" spans="2:5" s="256" customFormat="1" ht="13.2" customHeight="1" x14ac:dyDescent="0.2">
      <c r="B50" s="259"/>
      <c r="C50" s="263" t="s">
        <v>126</v>
      </c>
      <c r="D50" s="160"/>
      <c r="E50" s="258">
        <f>SUM(D50:D50)</f>
        <v>0</v>
      </c>
    </row>
    <row r="51" spans="2:5" s="256" customFormat="1" ht="13.2" customHeight="1" x14ac:dyDescent="0.2">
      <c r="B51" s="279"/>
      <c r="C51" s="280" t="s">
        <v>127</v>
      </c>
      <c r="D51" s="153"/>
      <c r="E51" s="257">
        <f>SUM(D51:D51)</f>
        <v>0</v>
      </c>
    </row>
    <row r="52" spans="2:5" ht="18" customHeight="1" x14ac:dyDescent="0.25">
      <c r="B52" s="167">
        <v>16</v>
      </c>
      <c r="C52" s="168" t="str">
        <f>Config!C20&amp;", "&amp;Config!D20</f>
        <v>Sigl, Nicholas</v>
      </c>
      <c r="D52" s="179">
        <v>5</v>
      </c>
      <c r="E52" s="169">
        <f t="shared" si="1"/>
        <v>5</v>
      </c>
    </row>
    <row r="53" spans="2:5" s="256" customFormat="1" ht="13.2" customHeight="1" x14ac:dyDescent="0.2">
      <c r="B53" s="262"/>
      <c r="C53" s="264" t="s">
        <v>126</v>
      </c>
      <c r="D53" s="166"/>
      <c r="E53" s="261">
        <f>SUM(D53:D53)</f>
        <v>0</v>
      </c>
    </row>
    <row r="54" spans="2:5" s="256" customFormat="1" ht="13.2" customHeight="1" x14ac:dyDescent="0.2">
      <c r="B54" s="281"/>
      <c r="C54" s="282" t="s">
        <v>127</v>
      </c>
      <c r="D54" s="153"/>
      <c r="E54" s="260">
        <f>SUM(D54:D54)</f>
        <v>0</v>
      </c>
    </row>
    <row r="55" spans="2:5" ht="18" customHeight="1" x14ac:dyDescent="0.25">
      <c r="B55" s="170">
        <v>17</v>
      </c>
      <c r="C55" s="171" t="str">
        <f>Config!C21&amp;", "&amp;Config!D21</f>
        <v>Kainz, Vivienne</v>
      </c>
      <c r="D55" s="181">
        <v>5</v>
      </c>
      <c r="E55" s="172">
        <f t="shared" si="1"/>
        <v>5</v>
      </c>
    </row>
    <row r="56" spans="2:5" s="256" customFormat="1" ht="13.2" customHeight="1" x14ac:dyDescent="0.2">
      <c r="B56" s="259"/>
      <c r="C56" s="263" t="s">
        <v>126</v>
      </c>
      <c r="D56" s="160"/>
      <c r="E56" s="258">
        <f>SUM(D56:D56)</f>
        <v>0</v>
      </c>
    </row>
    <row r="57" spans="2:5" s="256" customFormat="1" ht="13.2" customHeight="1" x14ac:dyDescent="0.2">
      <c r="B57" s="279"/>
      <c r="C57" s="280" t="s">
        <v>127</v>
      </c>
      <c r="D57" s="153"/>
      <c r="E57" s="257">
        <f>SUM(D57:D57)</f>
        <v>0</v>
      </c>
    </row>
    <row r="58" spans="2:5" ht="18" customHeight="1" x14ac:dyDescent="0.25">
      <c r="B58" s="167">
        <v>18</v>
      </c>
      <c r="C58" s="168" t="str">
        <f>Config!C22&amp;", "&amp;Config!D22</f>
        <v>Hartmann, Mads</v>
      </c>
      <c r="D58" s="179">
        <v>2.5</v>
      </c>
      <c r="E58" s="169">
        <f t="shared" si="1"/>
        <v>2.5</v>
      </c>
    </row>
    <row r="59" spans="2:5" s="256" customFormat="1" ht="13.2" customHeight="1" x14ac:dyDescent="0.2">
      <c r="B59" s="262"/>
      <c r="C59" s="264" t="s">
        <v>126</v>
      </c>
      <c r="D59" s="166"/>
      <c r="E59" s="261">
        <f>SUM(D59:D59)</f>
        <v>0</v>
      </c>
    </row>
    <row r="60" spans="2:5" s="256" customFormat="1" ht="13.2" customHeight="1" x14ac:dyDescent="0.2">
      <c r="B60" s="281"/>
      <c r="C60" s="282" t="s">
        <v>127</v>
      </c>
      <c r="D60" s="153"/>
      <c r="E60" s="260">
        <f>SUM(D60:D60)</f>
        <v>0</v>
      </c>
    </row>
    <row r="61" spans="2:5" ht="18" customHeight="1" x14ac:dyDescent="0.25">
      <c r="B61" s="170">
        <v>19</v>
      </c>
      <c r="C61" s="171" t="str">
        <f>Config!C23&amp;", "&amp;Config!D23</f>
        <v>Ullmann, Raphael</v>
      </c>
      <c r="D61" s="181">
        <v>5</v>
      </c>
      <c r="E61" s="172">
        <f t="shared" si="1"/>
        <v>5</v>
      </c>
    </row>
    <row r="62" spans="2:5" s="256" customFormat="1" ht="13.2" customHeight="1" x14ac:dyDescent="0.2">
      <c r="B62" s="259"/>
      <c r="C62" s="263" t="s">
        <v>126</v>
      </c>
      <c r="D62" s="160"/>
      <c r="E62" s="258">
        <f>SUM(D62:D62)</f>
        <v>0</v>
      </c>
    </row>
    <row r="63" spans="2:5" s="256" customFormat="1" ht="13.2" customHeight="1" x14ac:dyDescent="0.2">
      <c r="B63" s="279"/>
      <c r="C63" s="280" t="s">
        <v>127</v>
      </c>
      <c r="D63" s="153"/>
      <c r="E63" s="257">
        <f>SUM(D63:D63)</f>
        <v>0</v>
      </c>
    </row>
    <row r="64" spans="2:5" ht="18" customHeight="1" x14ac:dyDescent="0.25">
      <c r="B64" s="167">
        <v>20</v>
      </c>
      <c r="C64" s="168" t="str">
        <f>Config!C24&amp;", "&amp;Config!D24</f>
        <v>Hartl, Emmely</v>
      </c>
      <c r="D64" s="179">
        <v>3</v>
      </c>
      <c r="E64" s="169">
        <f t="shared" si="1"/>
        <v>3</v>
      </c>
    </row>
    <row r="65" spans="2:5" s="256" customFormat="1" ht="13.2" customHeight="1" x14ac:dyDescent="0.2">
      <c r="B65" s="262"/>
      <c r="C65" s="264" t="s">
        <v>126</v>
      </c>
      <c r="D65" s="166"/>
      <c r="E65" s="261">
        <f>SUM(D65:D65)</f>
        <v>0</v>
      </c>
    </row>
    <row r="66" spans="2:5" s="256" customFormat="1" ht="13.2" customHeight="1" x14ac:dyDescent="0.2">
      <c r="B66" s="281"/>
      <c r="C66" s="282" t="s">
        <v>127</v>
      </c>
      <c r="D66" s="153"/>
      <c r="E66" s="260">
        <f>SUM(D66:D66)</f>
        <v>0</v>
      </c>
    </row>
    <row r="67" spans="2:5" ht="18" customHeight="1" x14ac:dyDescent="0.25">
      <c r="B67" s="170">
        <v>21</v>
      </c>
      <c r="C67" s="171" t="str">
        <f>Config!C25&amp;", "&amp;Config!D25</f>
        <v>Klotz, Karin</v>
      </c>
      <c r="D67" s="181">
        <v>4</v>
      </c>
      <c r="E67" s="172">
        <f t="shared" si="1"/>
        <v>4</v>
      </c>
    </row>
    <row r="68" spans="2:5" s="256" customFormat="1" ht="13.2" customHeight="1" x14ac:dyDescent="0.2">
      <c r="B68" s="259"/>
      <c r="C68" s="263" t="s">
        <v>126</v>
      </c>
      <c r="D68" s="160"/>
      <c r="E68" s="258">
        <f>SUM(D68:D68)</f>
        <v>0</v>
      </c>
    </row>
    <row r="69" spans="2:5" s="256" customFormat="1" ht="13.2" customHeight="1" x14ac:dyDescent="0.2">
      <c r="B69" s="279"/>
      <c r="C69" s="280" t="s">
        <v>127</v>
      </c>
      <c r="D69" s="153"/>
      <c r="E69" s="257">
        <f>SUM(D69:D69)</f>
        <v>0</v>
      </c>
    </row>
    <row r="70" spans="2:5" ht="18" customHeight="1" x14ac:dyDescent="0.25">
      <c r="B70" s="167">
        <v>22</v>
      </c>
      <c r="C70" s="168" t="str">
        <f>Config!C26&amp;", "&amp;Config!D26</f>
        <v>Ehlers, Ingo</v>
      </c>
      <c r="D70" s="179">
        <v>5</v>
      </c>
      <c r="E70" s="169">
        <f t="shared" si="1"/>
        <v>5</v>
      </c>
    </row>
    <row r="71" spans="2:5" s="256" customFormat="1" ht="13.2" customHeight="1" x14ac:dyDescent="0.2">
      <c r="B71" s="262"/>
      <c r="C71" s="264" t="s">
        <v>126</v>
      </c>
      <c r="D71" s="166"/>
      <c r="E71" s="261">
        <f>SUM(D71:D71)</f>
        <v>0</v>
      </c>
    </row>
    <row r="72" spans="2:5" s="256" customFormat="1" ht="13.2" customHeight="1" x14ac:dyDescent="0.2">
      <c r="B72" s="281"/>
      <c r="C72" s="282" t="s">
        <v>127</v>
      </c>
      <c r="D72" s="153"/>
      <c r="E72" s="260">
        <f>SUM(D72:D72)</f>
        <v>0</v>
      </c>
    </row>
    <row r="73" spans="2:5" ht="18" customHeight="1" x14ac:dyDescent="0.25">
      <c r="B73" s="170">
        <v>23</v>
      </c>
      <c r="C73" s="171" t="str">
        <f>Config!C27&amp;", "&amp;Config!D27</f>
        <v>Lindemann, Mads</v>
      </c>
      <c r="D73" s="181">
        <v>5</v>
      </c>
      <c r="E73" s="172">
        <f t="shared" ref="E73" si="2">SUM(D73:D73)</f>
        <v>5</v>
      </c>
    </row>
    <row r="74" spans="2:5" s="256" customFormat="1" ht="13.2" customHeight="1" x14ac:dyDescent="0.2">
      <c r="B74" s="259"/>
      <c r="C74" s="263" t="s">
        <v>126</v>
      </c>
      <c r="D74" s="160"/>
      <c r="E74" s="258">
        <f>SUM(D74:D74)</f>
        <v>0</v>
      </c>
    </row>
    <row r="75" spans="2:5" s="256" customFormat="1" ht="13.2" customHeight="1" thickBot="1" x14ac:dyDescent="0.25">
      <c r="B75" s="279"/>
      <c r="C75" s="280" t="s">
        <v>127</v>
      </c>
      <c r="D75" s="153"/>
      <c r="E75" s="257">
        <f>SUM(D75:D75)</f>
        <v>0</v>
      </c>
    </row>
    <row r="76" spans="2:5" ht="18" customHeight="1" thickBot="1" x14ac:dyDescent="0.3">
      <c r="B76" s="173"/>
      <c r="C76" s="174"/>
      <c r="D76" s="174">
        <f>IF(COUNTIFS(D7:D73,"&lt;&gt;",C7:C73,"&lt;&gt;ZK",C7:C73,"&lt;&gt;DK")&lt;&gt;0,SUMIFS(D7:D73,C7:C73,"&lt;&gt;ZK",C7:C73,"&lt;&gt;DK")/(COUNTIFS(D7:D73,"&lt;&gt;",C7:C73,"&lt;&gt;ZK",C7:C73,"&lt;&gt;DK")*D6),0)</f>
        <v>0.74782608695652175</v>
      </c>
      <c r="E76" s="175"/>
    </row>
    <row r="77" spans="2:5" ht="18" customHeight="1" x14ac:dyDescent="0.25"/>
    <row r="78" spans="2:5" ht="18" customHeight="1" x14ac:dyDescent="0.25"/>
    <row r="79" spans="2:5" ht="18" customHeight="1" x14ac:dyDescent="0.25"/>
    <row r="80" spans="2:5"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sheetProtection sheet="1" objects="1" scenarios="1" selectLockedCells="1"/>
  <dataValidations count="1">
    <dataValidation type="decimal" allowBlank="1" showErrorMessage="1" sqref="D7:D75" xr:uid="{4118106A-3701-44F6-BA20-381781B9B05E}">
      <formula1>0</formula1>
      <formula2>$D$6</formula2>
    </dataValidation>
  </dataValidations>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7042AE-3981-4F5D-87C6-840F8FD2DADF}">
  <sheetPr codeName="Tabelle4">
    <tabColor rgb="FF92D050"/>
  </sheetPr>
  <dimension ref="B1:I100"/>
  <sheetViews>
    <sheetView workbookViewId="0">
      <selection activeCell="D8" sqref="D8"/>
    </sheetView>
  </sheetViews>
  <sheetFormatPr baseColWidth="10" defaultColWidth="11.5546875" defaultRowHeight="13.2" x14ac:dyDescent="0.25"/>
  <cols>
    <col min="1" max="2" width="3.44140625" style="96" customWidth="1"/>
    <col min="3" max="3" width="25.6640625" style="96" customWidth="1"/>
    <col min="4" max="9" width="8.6640625" style="96" customWidth="1"/>
    <col min="10" max="16384" width="11.5546875" style="96"/>
  </cols>
  <sheetData>
    <row r="1" spans="2:9" ht="18" customHeight="1" thickBot="1" x14ac:dyDescent="0.3"/>
    <row r="2" spans="2:9" ht="18" customHeight="1" x14ac:dyDescent="0.25">
      <c r="B2" s="97" t="str">
        <f>Config!F2&amp;" "&amp;YEAR(Config!G24)</f>
        <v>Mathe Abitur 2026</v>
      </c>
      <c r="C2" s="98"/>
      <c r="D2" s="98"/>
      <c r="E2" s="98"/>
      <c r="F2" s="99"/>
      <c r="G2" s="99"/>
      <c r="H2" s="99"/>
      <c r="I2" s="100" t="str">
        <f>"Kurs "&amp;Config!G26</f>
        <v>Kurs K1</v>
      </c>
    </row>
    <row r="3" spans="2:9" ht="18" customHeight="1" x14ac:dyDescent="0.25">
      <c r="B3" s="101" t="s">
        <v>12</v>
      </c>
      <c r="C3" s="102"/>
      <c r="D3" s="102"/>
      <c r="E3" s="102"/>
      <c r="F3" s="102"/>
      <c r="G3" s="102"/>
      <c r="H3" s="102"/>
      <c r="I3" s="103"/>
    </row>
    <row r="4" spans="2:9" ht="18" customHeight="1" thickBot="1" x14ac:dyDescent="0.3">
      <c r="B4" s="101"/>
      <c r="C4" s="102"/>
      <c r="D4" s="104"/>
      <c r="E4" s="104"/>
      <c r="F4" s="104"/>
      <c r="G4" s="104"/>
      <c r="H4" s="104"/>
      <c r="I4" s="105"/>
    </row>
    <row r="5" spans="2:9" ht="18" customHeight="1" thickBot="1" x14ac:dyDescent="0.3">
      <c r="B5" s="106"/>
      <c r="C5" s="108"/>
      <c r="D5" s="118" t="str">
        <f>Config!L6</f>
        <v>1a</v>
      </c>
      <c r="E5" s="118" t="str">
        <f>Config!L7</f>
        <v>1b</v>
      </c>
      <c r="F5" s="118" t="str">
        <f>Config!L8</f>
        <v>1c</v>
      </c>
      <c r="G5" s="118" t="str">
        <f>Config!L9</f>
        <v>1d</v>
      </c>
      <c r="H5" s="118" t="str">
        <f>Config!L10</f>
        <v>2</v>
      </c>
      <c r="I5" s="112" t="s">
        <v>82</v>
      </c>
    </row>
    <row r="6" spans="2:9" ht="18" customHeight="1" thickBot="1" x14ac:dyDescent="0.3">
      <c r="B6" s="107"/>
      <c r="C6" s="109" t="s">
        <v>81</v>
      </c>
      <c r="D6" s="111">
        <f>Config!M6</f>
        <v>2</v>
      </c>
      <c r="E6" s="111">
        <f>Config!M7</f>
        <v>2</v>
      </c>
      <c r="F6" s="111">
        <f>Config!M8</f>
        <v>2</v>
      </c>
      <c r="G6" s="111">
        <f>Config!M9</f>
        <v>4</v>
      </c>
      <c r="H6" s="111">
        <f>Config!M10</f>
        <v>7</v>
      </c>
      <c r="I6" s="119">
        <f>Config!M21</f>
        <v>17</v>
      </c>
    </row>
    <row r="7" spans="2:9" ht="18" customHeight="1" x14ac:dyDescent="0.25">
      <c r="B7" s="154">
        <v>1</v>
      </c>
      <c r="C7" s="155" t="str">
        <f>Config!C5&amp;", "&amp;Config!D5</f>
        <v>Höfer, Simon</v>
      </c>
      <c r="D7" s="176">
        <v>2</v>
      </c>
      <c r="E7" s="176">
        <v>2</v>
      </c>
      <c r="F7" s="176">
        <v>2</v>
      </c>
      <c r="G7" s="176">
        <v>4</v>
      </c>
      <c r="H7" s="177">
        <v>3</v>
      </c>
      <c r="I7" s="156">
        <f t="shared" ref="I7:I37" si="0">SUM(D7:H7)</f>
        <v>13</v>
      </c>
    </row>
    <row r="8" spans="2:9" s="256" customFormat="1" ht="13.2" customHeight="1" x14ac:dyDescent="0.2">
      <c r="B8" s="259"/>
      <c r="C8" s="263" t="s">
        <v>126</v>
      </c>
      <c r="D8" s="157"/>
      <c r="E8" s="157"/>
      <c r="F8" s="157"/>
      <c r="G8" s="157"/>
      <c r="H8" s="160"/>
      <c r="I8" s="258">
        <f>SUM(D8:H8)</f>
        <v>0</v>
      </c>
    </row>
    <row r="9" spans="2:9" s="256" customFormat="1" ht="13.2" customHeight="1" x14ac:dyDescent="0.2">
      <c r="B9" s="279"/>
      <c r="C9" s="280" t="s">
        <v>127</v>
      </c>
      <c r="D9" s="152"/>
      <c r="E9" s="152"/>
      <c r="F9" s="152"/>
      <c r="G9" s="152"/>
      <c r="H9" s="153"/>
      <c r="I9" s="257">
        <f>SUM(D9:H9)</f>
        <v>0</v>
      </c>
    </row>
    <row r="10" spans="2:9" ht="18" customHeight="1" x14ac:dyDescent="0.25">
      <c r="B10" s="167">
        <v>2</v>
      </c>
      <c r="C10" s="168" t="str">
        <f>Config!C6&amp;", "&amp;Config!D6</f>
        <v>Töpfer, Lilian</v>
      </c>
      <c r="D10" s="178">
        <v>1</v>
      </c>
      <c r="E10" s="178">
        <v>2</v>
      </c>
      <c r="F10" s="178">
        <v>1</v>
      </c>
      <c r="G10" s="178">
        <v>2</v>
      </c>
      <c r="H10" s="179">
        <v>1</v>
      </c>
      <c r="I10" s="169">
        <f t="shared" si="0"/>
        <v>7</v>
      </c>
    </row>
    <row r="11" spans="2:9" s="256" customFormat="1" ht="13.2" customHeight="1" x14ac:dyDescent="0.2">
      <c r="B11" s="262"/>
      <c r="C11" s="264" t="s">
        <v>126</v>
      </c>
      <c r="D11" s="163"/>
      <c r="E11" s="163"/>
      <c r="F11" s="163"/>
      <c r="G11" s="163"/>
      <c r="H11" s="166"/>
      <c r="I11" s="261">
        <f>SUM(D11:H11)</f>
        <v>0</v>
      </c>
    </row>
    <row r="12" spans="2:9" s="256" customFormat="1" ht="13.2" customHeight="1" x14ac:dyDescent="0.2">
      <c r="B12" s="281"/>
      <c r="C12" s="282" t="s">
        <v>127</v>
      </c>
      <c r="D12" s="152"/>
      <c r="E12" s="152"/>
      <c r="F12" s="152"/>
      <c r="G12" s="152"/>
      <c r="H12" s="153"/>
      <c r="I12" s="260">
        <f>SUM(D12:H12)</f>
        <v>0</v>
      </c>
    </row>
    <row r="13" spans="2:9" ht="18" customHeight="1" x14ac:dyDescent="0.25">
      <c r="B13" s="170">
        <v>3</v>
      </c>
      <c r="C13" s="171" t="str">
        <f>Config!C7&amp;", "&amp;Config!D7</f>
        <v>Fleischmann, Leonie</v>
      </c>
      <c r="D13" s="180">
        <v>2</v>
      </c>
      <c r="E13" s="180">
        <v>2</v>
      </c>
      <c r="F13" s="180">
        <v>1</v>
      </c>
      <c r="G13" s="180">
        <v>3</v>
      </c>
      <c r="H13" s="181">
        <v>0</v>
      </c>
      <c r="I13" s="172">
        <f t="shared" si="0"/>
        <v>8</v>
      </c>
    </row>
    <row r="14" spans="2:9" s="256" customFormat="1" ht="13.2" customHeight="1" x14ac:dyDescent="0.2">
      <c r="B14" s="259"/>
      <c r="C14" s="263" t="s">
        <v>126</v>
      </c>
      <c r="D14" s="157"/>
      <c r="E14" s="157"/>
      <c r="F14" s="157"/>
      <c r="G14" s="157"/>
      <c r="H14" s="160"/>
      <c r="I14" s="258">
        <f>SUM(D14:H14)</f>
        <v>0</v>
      </c>
    </row>
    <row r="15" spans="2:9" s="256" customFormat="1" ht="13.2" customHeight="1" x14ac:dyDescent="0.2">
      <c r="B15" s="279"/>
      <c r="C15" s="280" t="s">
        <v>127</v>
      </c>
      <c r="D15" s="152"/>
      <c r="E15" s="152"/>
      <c r="F15" s="152"/>
      <c r="G15" s="152"/>
      <c r="H15" s="153"/>
      <c r="I15" s="257">
        <f>SUM(D15:H15)</f>
        <v>0</v>
      </c>
    </row>
    <row r="16" spans="2:9" ht="18" customHeight="1" x14ac:dyDescent="0.25">
      <c r="B16" s="167">
        <v>4</v>
      </c>
      <c r="C16" s="168" t="str">
        <f>Config!C8&amp;", "&amp;Config!D8</f>
        <v>Drescher, Cedric</v>
      </c>
      <c r="D16" s="178">
        <v>2</v>
      </c>
      <c r="E16" s="178">
        <v>2</v>
      </c>
      <c r="F16" s="178">
        <v>1</v>
      </c>
      <c r="G16" s="178">
        <v>4</v>
      </c>
      <c r="H16" s="179">
        <v>0</v>
      </c>
      <c r="I16" s="169">
        <f t="shared" si="0"/>
        <v>9</v>
      </c>
    </row>
    <row r="17" spans="2:9" s="256" customFormat="1" ht="13.2" customHeight="1" x14ac:dyDescent="0.2">
      <c r="B17" s="262"/>
      <c r="C17" s="264" t="s">
        <v>126</v>
      </c>
      <c r="D17" s="163"/>
      <c r="E17" s="163"/>
      <c r="F17" s="163"/>
      <c r="G17" s="163"/>
      <c r="H17" s="166"/>
      <c r="I17" s="261">
        <f>SUM(D17:H17)</f>
        <v>0</v>
      </c>
    </row>
    <row r="18" spans="2:9" s="256" customFormat="1" ht="13.2" customHeight="1" x14ac:dyDescent="0.2">
      <c r="B18" s="281"/>
      <c r="C18" s="282" t="s">
        <v>127</v>
      </c>
      <c r="D18" s="152"/>
      <c r="E18" s="152"/>
      <c r="F18" s="152"/>
      <c r="G18" s="152"/>
      <c r="H18" s="153"/>
      <c r="I18" s="260">
        <f>SUM(D18:H18)</f>
        <v>0</v>
      </c>
    </row>
    <row r="19" spans="2:9" ht="18" customHeight="1" x14ac:dyDescent="0.25">
      <c r="B19" s="170">
        <v>5</v>
      </c>
      <c r="C19" s="171" t="str">
        <f>Config!C9&amp;", "&amp;Config!D9</f>
        <v>Baumgarten, Annabell</v>
      </c>
      <c r="D19" s="180">
        <v>1</v>
      </c>
      <c r="E19" s="180">
        <v>1</v>
      </c>
      <c r="F19" s="180">
        <v>1</v>
      </c>
      <c r="G19" s="180">
        <v>1.5</v>
      </c>
      <c r="H19" s="181">
        <v>0</v>
      </c>
      <c r="I19" s="172">
        <f t="shared" si="0"/>
        <v>4.5</v>
      </c>
    </row>
    <row r="20" spans="2:9" s="256" customFormat="1" ht="13.2" customHeight="1" x14ac:dyDescent="0.2">
      <c r="B20" s="259"/>
      <c r="C20" s="263" t="s">
        <v>126</v>
      </c>
      <c r="D20" s="157"/>
      <c r="E20" s="157"/>
      <c r="F20" s="157"/>
      <c r="G20" s="157"/>
      <c r="H20" s="160"/>
      <c r="I20" s="258">
        <f>SUM(D20:H20)</f>
        <v>0</v>
      </c>
    </row>
    <row r="21" spans="2:9" s="256" customFormat="1" ht="13.2" customHeight="1" x14ac:dyDescent="0.2">
      <c r="B21" s="279"/>
      <c r="C21" s="280" t="s">
        <v>127</v>
      </c>
      <c r="D21" s="152"/>
      <c r="E21" s="152"/>
      <c r="F21" s="152"/>
      <c r="G21" s="152"/>
      <c r="H21" s="153"/>
      <c r="I21" s="257">
        <f>SUM(D21:H21)</f>
        <v>0</v>
      </c>
    </row>
    <row r="22" spans="2:9" ht="18" customHeight="1" x14ac:dyDescent="0.25">
      <c r="B22" s="167">
        <v>6</v>
      </c>
      <c r="C22" s="168" t="str">
        <f>Config!C10&amp;", "&amp;Config!D10</f>
        <v>Traut, Stefanie</v>
      </c>
      <c r="D22" s="178">
        <v>2</v>
      </c>
      <c r="E22" s="178">
        <v>0.5</v>
      </c>
      <c r="F22" s="178">
        <v>1</v>
      </c>
      <c r="G22" s="178">
        <v>4</v>
      </c>
      <c r="H22" s="179">
        <v>3</v>
      </c>
      <c r="I22" s="169">
        <f t="shared" si="0"/>
        <v>10.5</v>
      </c>
    </row>
    <row r="23" spans="2:9" s="256" customFormat="1" ht="13.2" customHeight="1" x14ac:dyDescent="0.2">
      <c r="B23" s="262"/>
      <c r="C23" s="264" t="s">
        <v>126</v>
      </c>
      <c r="D23" s="163"/>
      <c r="E23" s="163"/>
      <c r="F23" s="163"/>
      <c r="G23" s="163"/>
      <c r="H23" s="166"/>
      <c r="I23" s="261">
        <f>SUM(D23:H23)</f>
        <v>0</v>
      </c>
    </row>
    <row r="24" spans="2:9" s="256" customFormat="1" ht="13.2" customHeight="1" x14ac:dyDescent="0.2">
      <c r="B24" s="281"/>
      <c r="C24" s="282" t="s">
        <v>127</v>
      </c>
      <c r="D24" s="152"/>
      <c r="E24" s="152"/>
      <c r="F24" s="152"/>
      <c r="G24" s="152"/>
      <c r="H24" s="153"/>
      <c r="I24" s="260">
        <f>SUM(D24:H24)</f>
        <v>0</v>
      </c>
    </row>
    <row r="25" spans="2:9" ht="18" customHeight="1" x14ac:dyDescent="0.25">
      <c r="B25" s="170">
        <v>7</v>
      </c>
      <c r="C25" s="171" t="str">
        <f>Config!C11&amp;", "&amp;Config!D11</f>
        <v>Menke, Damian</v>
      </c>
      <c r="D25" s="180">
        <v>2</v>
      </c>
      <c r="E25" s="180">
        <v>2</v>
      </c>
      <c r="F25" s="180">
        <v>2</v>
      </c>
      <c r="G25" s="180">
        <v>2.5</v>
      </c>
      <c r="H25" s="181">
        <v>0</v>
      </c>
      <c r="I25" s="172">
        <f t="shared" si="0"/>
        <v>8.5</v>
      </c>
    </row>
    <row r="26" spans="2:9" s="256" customFormat="1" ht="13.2" customHeight="1" x14ac:dyDescent="0.2">
      <c r="B26" s="259"/>
      <c r="C26" s="263" t="s">
        <v>126</v>
      </c>
      <c r="D26" s="157"/>
      <c r="E26" s="157"/>
      <c r="F26" s="157"/>
      <c r="G26" s="157"/>
      <c r="H26" s="160"/>
      <c r="I26" s="258">
        <f>SUM(D26:H26)</f>
        <v>0</v>
      </c>
    </row>
    <row r="27" spans="2:9" s="256" customFormat="1" ht="13.2" customHeight="1" x14ac:dyDescent="0.2">
      <c r="B27" s="279"/>
      <c r="C27" s="280" t="s">
        <v>127</v>
      </c>
      <c r="D27" s="152"/>
      <c r="E27" s="152"/>
      <c r="F27" s="152"/>
      <c r="G27" s="152"/>
      <c r="H27" s="153"/>
      <c r="I27" s="257">
        <f>SUM(D27:H27)</f>
        <v>0</v>
      </c>
    </row>
    <row r="28" spans="2:9" ht="18" customHeight="1" x14ac:dyDescent="0.25">
      <c r="B28" s="167">
        <v>8</v>
      </c>
      <c r="C28" s="168" t="str">
        <f>Config!C12&amp;", "&amp;Config!D12</f>
        <v>Carroll, Meik</v>
      </c>
      <c r="D28" s="178">
        <v>2</v>
      </c>
      <c r="E28" s="178">
        <v>2</v>
      </c>
      <c r="F28" s="178">
        <v>2</v>
      </c>
      <c r="G28" s="178">
        <v>2</v>
      </c>
      <c r="H28" s="179">
        <v>0.5</v>
      </c>
      <c r="I28" s="169">
        <f t="shared" si="0"/>
        <v>8.5</v>
      </c>
    </row>
    <row r="29" spans="2:9" s="256" customFormat="1" ht="13.2" customHeight="1" x14ac:dyDescent="0.2">
      <c r="B29" s="262"/>
      <c r="C29" s="264" t="s">
        <v>126</v>
      </c>
      <c r="D29" s="163"/>
      <c r="E29" s="163"/>
      <c r="F29" s="163"/>
      <c r="G29" s="163"/>
      <c r="H29" s="166"/>
      <c r="I29" s="261">
        <f>SUM(D29:H29)</f>
        <v>0</v>
      </c>
    </row>
    <row r="30" spans="2:9" s="256" customFormat="1" ht="13.2" customHeight="1" x14ac:dyDescent="0.2">
      <c r="B30" s="281"/>
      <c r="C30" s="282" t="s">
        <v>127</v>
      </c>
      <c r="D30" s="152"/>
      <c r="E30" s="152"/>
      <c r="F30" s="152"/>
      <c r="G30" s="152"/>
      <c r="H30" s="153"/>
      <c r="I30" s="260">
        <f>SUM(D30:H30)</f>
        <v>0</v>
      </c>
    </row>
    <row r="31" spans="2:9" ht="18" customHeight="1" x14ac:dyDescent="0.25">
      <c r="B31" s="170">
        <v>9</v>
      </c>
      <c r="C31" s="171" t="str">
        <f>Config!C13&amp;", "&amp;Config!D13</f>
        <v>Hennings, Tomas</v>
      </c>
      <c r="D31" s="180">
        <v>2</v>
      </c>
      <c r="E31" s="180">
        <v>2</v>
      </c>
      <c r="F31" s="180">
        <v>2</v>
      </c>
      <c r="G31" s="180">
        <v>4</v>
      </c>
      <c r="H31" s="181">
        <v>3</v>
      </c>
      <c r="I31" s="172">
        <f t="shared" si="0"/>
        <v>13</v>
      </c>
    </row>
    <row r="32" spans="2:9" s="256" customFormat="1" ht="13.2" customHeight="1" x14ac:dyDescent="0.2">
      <c r="B32" s="259"/>
      <c r="C32" s="263" t="s">
        <v>126</v>
      </c>
      <c r="D32" s="157"/>
      <c r="E32" s="157"/>
      <c r="F32" s="157"/>
      <c r="G32" s="157"/>
      <c r="H32" s="160"/>
      <c r="I32" s="258">
        <f>SUM(D32:H32)</f>
        <v>0</v>
      </c>
    </row>
    <row r="33" spans="2:9" s="256" customFormat="1" ht="13.2" customHeight="1" x14ac:dyDescent="0.2">
      <c r="B33" s="279"/>
      <c r="C33" s="280" t="s">
        <v>127</v>
      </c>
      <c r="D33" s="152"/>
      <c r="E33" s="152"/>
      <c r="F33" s="152"/>
      <c r="G33" s="152"/>
      <c r="H33" s="153"/>
      <c r="I33" s="257">
        <f>SUM(D33:H33)</f>
        <v>0</v>
      </c>
    </row>
    <row r="34" spans="2:9" ht="18" customHeight="1" x14ac:dyDescent="0.25">
      <c r="B34" s="167">
        <v>10</v>
      </c>
      <c r="C34" s="168" t="str">
        <f>Config!C14&amp;", "&amp;Config!D14</f>
        <v>Walters, Linn</v>
      </c>
      <c r="D34" s="178">
        <v>2</v>
      </c>
      <c r="E34" s="178">
        <v>2</v>
      </c>
      <c r="F34" s="178">
        <v>2</v>
      </c>
      <c r="G34" s="178">
        <v>2</v>
      </c>
      <c r="H34" s="179">
        <v>0</v>
      </c>
      <c r="I34" s="169">
        <f t="shared" si="0"/>
        <v>8</v>
      </c>
    </row>
    <row r="35" spans="2:9" s="256" customFormat="1" ht="13.2" customHeight="1" x14ac:dyDescent="0.2">
      <c r="B35" s="262"/>
      <c r="C35" s="264" t="s">
        <v>126</v>
      </c>
      <c r="D35" s="163"/>
      <c r="E35" s="163"/>
      <c r="F35" s="163"/>
      <c r="G35" s="163"/>
      <c r="H35" s="166"/>
      <c r="I35" s="261">
        <f>SUM(D35:H35)</f>
        <v>0</v>
      </c>
    </row>
    <row r="36" spans="2:9" s="256" customFormat="1" ht="13.2" customHeight="1" x14ac:dyDescent="0.2">
      <c r="B36" s="281"/>
      <c r="C36" s="282" t="s">
        <v>127</v>
      </c>
      <c r="D36" s="152"/>
      <c r="E36" s="152"/>
      <c r="F36" s="152"/>
      <c r="G36" s="152"/>
      <c r="H36" s="153"/>
      <c r="I36" s="260">
        <f>SUM(D36:H36)</f>
        <v>0</v>
      </c>
    </row>
    <row r="37" spans="2:9" ht="18" customHeight="1" x14ac:dyDescent="0.25">
      <c r="B37" s="170">
        <v>11</v>
      </c>
      <c r="C37" s="171" t="str">
        <f>Config!C15&amp;", "&amp;Config!D15</f>
        <v>Junker, Amely</v>
      </c>
      <c r="D37" s="180">
        <v>1</v>
      </c>
      <c r="E37" s="180">
        <v>0</v>
      </c>
      <c r="F37" s="180">
        <v>2</v>
      </c>
      <c r="G37" s="180">
        <v>1.5</v>
      </c>
      <c r="H37" s="181">
        <v>2</v>
      </c>
      <c r="I37" s="172">
        <f t="shared" si="0"/>
        <v>6.5</v>
      </c>
    </row>
    <row r="38" spans="2:9" s="256" customFormat="1" ht="13.2" customHeight="1" x14ac:dyDescent="0.2">
      <c r="B38" s="259"/>
      <c r="C38" s="263" t="s">
        <v>126</v>
      </c>
      <c r="D38" s="157"/>
      <c r="E38" s="157"/>
      <c r="F38" s="157"/>
      <c r="G38" s="157"/>
      <c r="H38" s="160"/>
      <c r="I38" s="258">
        <f>SUM(D38:H38)</f>
        <v>0</v>
      </c>
    </row>
    <row r="39" spans="2:9" s="256" customFormat="1" ht="13.2" customHeight="1" x14ac:dyDescent="0.2">
      <c r="B39" s="279"/>
      <c r="C39" s="280" t="s">
        <v>127</v>
      </c>
      <c r="D39" s="152"/>
      <c r="E39" s="152"/>
      <c r="F39" s="152"/>
      <c r="G39" s="152"/>
      <c r="H39" s="153"/>
      <c r="I39" s="257">
        <f>SUM(D39:H39)</f>
        <v>0</v>
      </c>
    </row>
    <row r="40" spans="2:9" ht="18" customHeight="1" x14ac:dyDescent="0.25">
      <c r="B40" s="167">
        <v>12</v>
      </c>
      <c r="C40" s="168" t="str">
        <f>Config!C16&amp;", "&amp;Config!D16</f>
        <v>Stephens, Melvin</v>
      </c>
      <c r="D40" s="178">
        <v>2</v>
      </c>
      <c r="E40" s="178">
        <v>2</v>
      </c>
      <c r="F40" s="178">
        <v>1</v>
      </c>
      <c r="G40" s="178">
        <v>0.5</v>
      </c>
      <c r="H40" s="179">
        <v>0</v>
      </c>
      <c r="I40" s="169">
        <f t="shared" ref="I40:I70" si="1">SUM(D40:H40)</f>
        <v>5.5</v>
      </c>
    </row>
    <row r="41" spans="2:9" s="256" customFormat="1" ht="13.2" customHeight="1" x14ac:dyDescent="0.2">
      <c r="B41" s="262"/>
      <c r="C41" s="264" t="s">
        <v>126</v>
      </c>
      <c r="D41" s="163"/>
      <c r="E41" s="163"/>
      <c r="F41" s="163"/>
      <c r="G41" s="163"/>
      <c r="H41" s="166"/>
      <c r="I41" s="261">
        <f>SUM(D41:H41)</f>
        <v>0</v>
      </c>
    </row>
    <row r="42" spans="2:9" s="256" customFormat="1" ht="13.2" customHeight="1" x14ac:dyDescent="0.2">
      <c r="B42" s="281"/>
      <c r="C42" s="282" t="s">
        <v>127</v>
      </c>
      <c r="D42" s="152"/>
      <c r="E42" s="152"/>
      <c r="F42" s="152"/>
      <c r="G42" s="152"/>
      <c r="H42" s="153"/>
      <c r="I42" s="260">
        <f>SUM(D42:H42)</f>
        <v>0</v>
      </c>
    </row>
    <row r="43" spans="2:9" ht="18" customHeight="1" x14ac:dyDescent="0.25">
      <c r="B43" s="170">
        <v>13</v>
      </c>
      <c r="C43" s="171" t="str">
        <f>Config!C17&amp;", "&amp;Config!D17</f>
        <v>Cremer, Marvin</v>
      </c>
      <c r="D43" s="180">
        <v>2</v>
      </c>
      <c r="E43" s="180">
        <v>0</v>
      </c>
      <c r="F43" s="180">
        <v>1.5</v>
      </c>
      <c r="G43" s="180">
        <v>0</v>
      </c>
      <c r="H43" s="181">
        <v>2</v>
      </c>
      <c r="I43" s="172">
        <f t="shared" si="1"/>
        <v>5.5</v>
      </c>
    </row>
    <row r="44" spans="2:9" s="256" customFormat="1" ht="13.2" customHeight="1" x14ac:dyDescent="0.2">
      <c r="B44" s="259"/>
      <c r="C44" s="263" t="s">
        <v>126</v>
      </c>
      <c r="D44" s="157"/>
      <c r="E44" s="157"/>
      <c r="F44" s="157"/>
      <c r="G44" s="157"/>
      <c r="H44" s="160"/>
      <c r="I44" s="258">
        <f>SUM(D44:H44)</f>
        <v>0</v>
      </c>
    </row>
    <row r="45" spans="2:9" s="256" customFormat="1" ht="13.2" customHeight="1" x14ac:dyDescent="0.2">
      <c r="B45" s="279"/>
      <c r="C45" s="280" t="s">
        <v>127</v>
      </c>
      <c r="D45" s="152"/>
      <c r="E45" s="152"/>
      <c r="F45" s="152"/>
      <c r="G45" s="152"/>
      <c r="H45" s="153"/>
      <c r="I45" s="257">
        <f>SUM(D45:H45)</f>
        <v>0</v>
      </c>
    </row>
    <row r="46" spans="2:9" ht="18" customHeight="1" x14ac:dyDescent="0.25">
      <c r="B46" s="167">
        <v>14</v>
      </c>
      <c r="C46" s="168" t="str">
        <f>Config!C18&amp;", "&amp;Config!D18</f>
        <v>Nash, Jean</v>
      </c>
      <c r="D46" s="178">
        <v>2</v>
      </c>
      <c r="E46" s="178">
        <v>0</v>
      </c>
      <c r="F46" s="178">
        <v>1</v>
      </c>
      <c r="G46" s="178">
        <v>2</v>
      </c>
      <c r="H46" s="179">
        <v>3</v>
      </c>
      <c r="I46" s="169">
        <f t="shared" si="1"/>
        <v>8</v>
      </c>
    </row>
    <row r="47" spans="2:9" s="256" customFormat="1" ht="13.2" customHeight="1" x14ac:dyDescent="0.2">
      <c r="B47" s="262"/>
      <c r="C47" s="264" t="s">
        <v>126</v>
      </c>
      <c r="D47" s="163"/>
      <c r="E47" s="163"/>
      <c r="F47" s="163"/>
      <c r="G47" s="163"/>
      <c r="H47" s="166"/>
      <c r="I47" s="261">
        <f>SUM(D47:H47)</f>
        <v>0</v>
      </c>
    </row>
    <row r="48" spans="2:9" s="256" customFormat="1" ht="13.2" customHeight="1" x14ac:dyDescent="0.2">
      <c r="B48" s="281"/>
      <c r="C48" s="282" t="s">
        <v>127</v>
      </c>
      <c r="D48" s="152"/>
      <c r="E48" s="152"/>
      <c r="F48" s="152"/>
      <c r="G48" s="152"/>
      <c r="H48" s="153"/>
      <c r="I48" s="260">
        <f>SUM(D48:H48)</f>
        <v>0</v>
      </c>
    </row>
    <row r="49" spans="2:9" ht="18" customHeight="1" x14ac:dyDescent="0.25">
      <c r="B49" s="170">
        <v>15</v>
      </c>
      <c r="C49" s="171" t="str">
        <f>Config!C19&amp;", "&amp;Config!D19</f>
        <v>Schön, Leonardo</v>
      </c>
      <c r="D49" s="180">
        <v>2</v>
      </c>
      <c r="E49" s="180">
        <v>0.5</v>
      </c>
      <c r="F49" s="180">
        <v>1.5</v>
      </c>
      <c r="G49" s="180">
        <v>3</v>
      </c>
      <c r="H49" s="181">
        <v>1</v>
      </c>
      <c r="I49" s="172">
        <f t="shared" si="1"/>
        <v>8</v>
      </c>
    </row>
    <row r="50" spans="2:9" s="256" customFormat="1" ht="13.2" customHeight="1" x14ac:dyDescent="0.2">
      <c r="B50" s="259"/>
      <c r="C50" s="263" t="s">
        <v>126</v>
      </c>
      <c r="D50" s="157"/>
      <c r="E50" s="157"/>
      <c r="F50" s="157"/>
      <c r="G50" s="157"/>
      <c r="H50" s="160"/>
      <c r="I50" s="258">
        <f>SUM(D50:H50)</f>
        <v>0</v>
      </c>
    </row>
    <row r="51" spans="2:9" s="256" customFormat="1" ht="13.2" customHeight="1" x14ac:dyDescent="0.2">
      <c r="B51" s="279"/>
      <c r="C51" s="280" t="s">
        <v>127</v>
      </c>
      <c r="D51" s="152"/>
      <c r="E51" s="152"/>
      <c r="F51" s="152"/>
      <c r="G51" s="152"/>
      <c r="H51" s="153"/>
      <c r="I51" s="257">
        <f>SUM(D51:H51)</f>
        <v>0</v>
      </c>
    </row>
    <row r="52" spans="2:9" ht="18" customHeight="1" x14ac:dyDescent="0.25">
      <c r="B52" s="167">
        <v>16</v>
      </c>
      <c r="C52" s="168" t="str">
        <f>Config!C20&amp;", "&amp;Config!D20</f>
        <v>Sigl, Nicholas</v>
      </c>
      <c r="D52" s="178">
        <v>0</v>
      </c>
      <c r="E52" s="178">
        <v>0</v>
      </c>
      <c r="F52" s="178">
        <v>0</v>
      </c>
      <c r="G52" s="178">
        <v>0</v>
      </c>
      <c r="H52" s="179">
        <v>0</v>
      </c>
      <c r="I52" s="169">
        <f t="shared" si="1"/>
        <v>0</v>
      </c>
    </row>
    <row r="53" spans="2:9" s="256" customFormat="1" ht="13.2" customHeight="1" x14ac:dyDescent="0.2">
      <c r="B53" s="262"/>
      <c r="C53" s="264" t="s">
        <v>126</v>
      </c>
      <c r="D53" s="163"/>
      <c r="E53" s="163"/>
      <c r="F53" s="163"/>
      <c r="G53" s="163"/>
      <c r="H53" s="166"/>
      <c r="I53" s="261">
        <f>SUM(D53:H53)</f>
        <v>0</v>
      </c>
    </row>
    <row r="54" spans="2:9" s="256" customFormat="1" ht="13.2" customHeight="1" x14ac:dyDescent="0.2">
      <c r="B54" s="281"/>
      <c r="C54" s="282" t="s">
        <v>127</v>
      </c>
      <c r="D54" s="152"/>
      <c r="E54" s="152"/>
      <c r="F54" s="152"/>
      <c r="G54" s="152"/>
      <c r="H54" s="153"/>
      <c r="I54" s="260">
        <f>SUM(D54:H54)</f>
        <v>0</v>
      </c>
    </row>
    <row r="55" spans="2:9" ht="18" customHeight="1" x14ac:dyDescent="0.25">
      <c r="B55" s="170">
        <v>17</v>
      </c>
      <c r="C55" s="171" t="str">
        <f>Config!C21&amp;", "&amp;Config!D21</f>
        <v>Kainz, Vivienne</v>
      </c>
      <c r="D55" s="180">
        <v>1</v>
      </c>
      <c r="E55" s="180">
        <v>1</v>
      </c>
      <c r="F55" s="180">
        <v>1.5</v>
      </c>
      <c r="G55" s="180">
        <v>1</v>
      </c>
      <c r="H55" s="181">
        <v>3</v>
      </c>
      <c r="I55" s="172">
        <f t="shared" si="1"/>
        <v>7.5</v>
      </c>
    </row>
    <row r="56" spans="2:9" s="256" customFormat="1" ht="13.2" customHeight="1" x14ac:dyDescent="0.2">
      <c r="B56" s="259"/>
      <c r="C56" s="263" t="s">
        <v>126</v>
      </c>
      <c r="D56" s="157"/>
      <c r="E56" s="157"/>
      <c r="F56" s="157"/>
      <c r="G56" s="157"/>
      <c r="H56" s="160"/>
      <c r="I56" s="258">
        <f>SUM(D56:H56)</f>
        <v>0</v>
      </c>
    </row>
    <row r="57" spans="2:9" s="256" customFormat="1" ht="13.2" customHeight="1" x14ac:dyDescent="0.2">
      <c r="B57" s="279"/>
      <c r="C57" s="280" t="s">
        <v>127</v>
      </c>
      <c r="D57" s="152"/>
      <c r="E57" s="152"/>
      <c r="F57" s="152"/>
      <c r="G57" s="152"/>
      <c r="H57" s="153"/>
      <c r="I57" s="257">
        <f>SUM(D57:H57)</f>
        <v>0</v>
      </c>
    </row>
    <row r="58" spans="2:9" ht="18" customHeight="1" x14ac:dyDescent="0.25">
      <c r="B58" s="167">
        <v>18</v>
      </c>
      <c r="C58" s="168" t="str">
        <f>Config!C22&amp;", "&amp;Config!D22</f>
        <v>Hartmann, Mads</v>
      </c>
      <c r="D58" s="178">
        <v>2</v>
      </c>
      <c r="E58" s="178">
        <v>2</v>
      </c>
      <c r="F58" s="178">
        <v>1</v>
      </c>
      <c r="G58" s="178">
        <v>2</v>
      </c>
      <c r="H58" s="179">
        <v>0</v>
      </c>
      <c r="I58" s="169">
        <f t="shared" si="1"/>
        <v>7</v>
      </c>
    </row>
    <row r="59" spans="2:9" s="256" customFormat="1" ht="13.2" customHeight="1" x14ac:dyDescent="0.2">
      <c r="B59" s="262"/>
      <c r="C59" s="264" t="s">
        <v>126</v>
      </c>
      <c r="D59" s="163"/>
      <c r="E59" s="163"/>
      <c r="F59" s="163"/>
      <c r="G59" s="163"/>
      <c r="H59" s="166"/>
      <c r="I59" s="261">
        <f>SUM(D59:H59)</f>
        <v>0</v>
      </c>
    </row>
    <row r="60" spans="2:9" s="256" customFormat="1" ht="13.2" customHeight="1" x14ac:dyDescent="0.2">
      <c r="B60" s="281"/>
      <c r="C60" s="282" t="s">
        <v>127</v>
      </c>
      <c r="D60" s="152"/>
      <c r="E60" s="152"/>
      <c r="F60" s="152"/>
      <c r="G60" s="152"/>
      <c r="H60" s="153"/>
      <c r="I60" s="260">
        <f>SUM(D60:H60)</f>
        <v>0</v>
      </c>
    </row>
    <row r="61" spans="2:9" ht="18" customHeight="1" x14ac:dyDescent="0.25">
      <c r="B61" s="170">
        <v>19</v>
      </c>
      <c r="C61" s="171" t="str">
        <f>Config!C23&amp;", "&amp;Config!D23</f>
        <v>Ullmann, Raphael</v>
      </c>
      <c r="D61" s="180">
        <v>2</v>
      </c>
      <c r="E61" s="180">
        <v>0.5</v>
      </c>
      <c r="F61" s="180">
        <v>1.5</v>
      </c>
      <c r="G61" s="180">
        <v>2</v>
      </c>
      <c r="H61" s="181">
        <v>1</v>
      </c>
      <c r="I61" s="172">
        <f t="shared" si="1"/>
        <v>7</v>
      </c>
    </row>
    <row r="62" spans="2:9" s="256" customFormat="1" ht="13.2" customHeight="1" x14ac:dyDescent="0.2">
      <c r="B62" s="259"/>
      <c r="C62" s="263" t="s">
        <v>126</v>
      </c>
      <c r="D62" s="157"/>
      <c r="E62" s="157"/>
      <c r="F62" s="157"/>
      <c r="G62" s="157"/>
      <c r="H62" s="160"/>
      <c r="I62" s="258">
        <f>SUM(D62:H62)</f>
        <v>0</v>
      </c>
    </row>
    <row r="63" spans="2:9" s="256" customFormat="1" ht="13.2" customHeight="1" x14ac:dyDescent="0.2">
      <c r="B63" s="279"/>
      <c r="C63" s="280" t="s">
        <v>127</v>
      </c>
      <c r="D63" s="152"/>
      <c r="E63" s="152"/>
      <c r="F63" s="152"/>
      <c r="G63" s="152"/>
      <c r="H63" s="153"/>
      <c r="I63" s="257">
        <f>SUM(D63:H63)</f>
        <v>0</v>
      </c>
    </row>
    <row r="64" spans="2:9" ht="18" customHeight="1" x14ac:dyDescent="0.25">
      <c r="B64" s="167">
        <v>20</v>
      </c>
      <c r="C64" s="168" t="str">
        <f>Config!C24&amp;", "&amp;Config!D24</f>
        <v>Hartl, Emmely</v>
      </c>
      <c r="D64" s="178">
        <v>2</v>
      </c>
      <c r="E64" s="178">
        <v>0.5</v>
      </c>
      <c r="F64" s="178">
        <v>2</v>
      </c>
      <c r="G64" s="178">
        <v>0</v>
      </c>
      <c r="H64" s="179">
        <v>0</v>
      </c>
      <c r="I64" s="169">
        <f t="shared" si="1"/>
        <v>4.5</v>
      </c>
    </row>
    <row r="65" spans="2:9" s="256" customFormat="1" ht="13.2" customHeight="1" x14ac:dyDescent="0.2">
      <c r="B65" s="262"/>
      <c r="C65" s="264" t="s">
        <v>126</v>
      </c>
      <c r="D65" s="163"/>
      <c r="E65" s="163"/>
      <c r="F65" s="163"/>
      <c r="G65" s="163"/>
      <c r="H65" s="166"/>
      <c r="I65" s="261">
        <f>SUM(D65:H65)</f>
        <v>0</v>
      </c>
    </row>
    <row r="66" spans="2:9" s="256" customFormat="1" ht="13.2" customHeight="1" x14ac:dyDescent="0.2">
      <c r="B66" s="281"/>
      <c r="C66" s="282" t="s">
        <v>127</v>
      </c>
      <c r="D66" s="152"/>
      <c r="E66" s="152"/>
      <c r="F66" s="152"/>
      <c r="G66" s="152"/>
      <c r="H66" s="153"/>
      <c r="I66" s="260">
        <f>SUM(D66:H66)</f>
        <v>0</v>
      </c>
    </row>
    <row r="67" spans="2:9" ht="18" customHeight="1" x14ac:dyDescent="0.25">
      <c r="B67" s="170">
        <v>21</v>
      </c>
      <c r="C67" s="171" t="str">
        <f>Config!C25&amp;", "&amp;Config!D25</f>
        <v>Klotz, Karin</v>
      </c>
      <c r="D67" s="180">
        <v>1</v>
      </c>
      <c r="E67" s="180">
        <v>2</v>
      </c>
      <c r="F67" s="180">
        <v>1</v>
      </c>
      <c r="G67" s="180">
        <v>2</v>
      </c>
      <c r="H67" s="181">
        <v>0</v>
      </c>
      <c r="I67" s="172">
        <f t="shared" si="1"/>
        <v>6</v>
      </c>
    </row>
    <row r="68" spans="2:9" s="256" customFormat="1" ht="13.2" customHeight="1" x14ac:dyDescent="0.2">
      <c r="B68" s="259"/>
      <c r="C68" s="263" t="s">
        <v>126</v>
      </c>
      <c r="D68" s="157"/>
      <c r="E68" s="157"/>
      <c r="F68" s="157"/>
      <c r="G68" s="157"/>
      <c r="H68" s="160"/>
      <c r="I68" s="258">
        <f>SUM(D68:H68)</f>
        <v>0</v>
      </c>
    </row>
    <row r="69" spans="2:9" s="256" customFormat="1" ht="13.2" customHeight="1" x14ac:dyDescent="0.2">
      <c r="B69" s="279"/>
      <c r="C69" s="280" t="s">
        <v>127</v>
      </c>
      <c r="D69" s="152"/>
      <c r="E69" s="152"/>
      <c r="F69" s="152"/>
      <c r="G69" s="152"/>
      <c r="H69" s="153"/>
      <c r="I69" s="257">
        <f>SUM(D69:H69)</f>
        <v>0</v>
      </c>
    </row>
    <row r="70" spans="2:9" ht="18" customHeight="1" x14ac:dyDescent="0.25">
      <c r="B70" s="167">
        <v>22</v>
      </c>
      <c r="C70" s="168" t="str">
        <f>Config!C26&amp;", "&amp;Config!D26</f>
        <v>Ehlers, Ingo</v>
      </c>
      <c r="D70" s="178">
        <v>2</v>
      </c>
      <c r="E70" s="178">
        <v>0</v>
      </c>
      <c r="F70" s="178">
        <v>2</v>
      </c>
      <c r="G70" s="178">
        <v>1.5</v>
      </c>
      <c r="H70" s="179">
        <v>0</v>
      </c>
      <c r="I70" s="169">
        <f t="shared" si="1"/>
        <v>5.5</v>
      </c>
    </row>
    <row r="71" spans="2:9" s="256" customFormat="1" ht="13.2" customHeight="1" x14ac:dyDescent="0.2">
      <c r="B71" s="262"/>
      <c r="C71" s="264" t="s">
        <v>126</v>
      </c>
      <c r="D71" s="163"/>
      <c r="E71" s="163"/>
      <c r="F71" s="163"/>
      <c r="G71" s="163"/>
      <c r="H71" s="166"/>
      <c r="I71" s="261">
        <f>SUM(D71:H71)</f>
        <v>0</v>
      </c>
    </row>
    <row r="72" spans="2:9" s="256" customFormat="1" ht="13.2" customHeight="1" x14ac:dyDescent="0.2">
      <c r="B72" s="281"/>
      <c r="C72" s="282" t="s">
        <v>127</v>
      </c>
      <c r="D72" s="152"/>
      <c r="E72" s="152"/>
      <c r="F72" s="152"/>
      <c r="G72" s="152"/>
      <c r="H72" s="153"/>
      <c r="I72" s="260">
        <f>SUM(D72:H72)</f>
        <v>0</v>
      </c>
    </row>
    <row r="73" spans="2:9" ht="18" customHeight="1" x14ac:dyDescent="0.25">
      <c r="B73" s="170">
        <v>23</v>
      </c>
      <c r="C73" s="171" t="str">
        <f>Config!C27&amp;", "&amp;Config!D27</f>
        <v>Lindemann, Mads</v>
      </c>
      <c r="D73" s="180">
        <v>2</v>
      </c>
      <c r="E73" s="180">
        <v>2</v>
      </c>
      <c r="F73" s="180">
        <v>2</v>
      </c>
      <c r="G73" s="180">
        <v>4</v>
      </c>
      <c r="H73" s="181">
        <v>0</v>
      </c>
      <c r="I73" s="172">
        <f t="shared" ref="I73" si="2">SUM(D73:H73)</f>
        <v>10</v>
      </c>
    </row>
    <row r="74" spans="2:9" s="256" customFormat="1" ht="13.2" customHeight="1" x14ac:dyDescent="0.2">
      <c r="B74" s="259"/>
      <c r="C74" s="263" t="s">
        <v>126</v>
      </c>
      <c r="D74" s="157"/>
      <c r="E74" s="157"/>
      <c r="F74" s="157"/>
      <c r="G74" s="157"/>
      <c r="H74" s="160"/>
      <c r="I74" s="258">
        <f>SUM(D74:H74)</f>
        <v>0</v>
      </c>
    </row>
    <row r="75" spans="2:9" s="256" customFormat="1" ht="13.2" customHeight="1" thickBot="1" x14ac:dyDescent="0.25">
      <c r="B75" s="279"/>
      <c r="C75" s="280" t="s">
        <v>127</v>
      </c>
      <c r="D75" s="152"/>
      <c r="E75" s="152"/>
      <c r="F75" s="152"/>
      <c r="G75" s="152"/>
      <c r="H75" s="153"/>
      <c r="I75" s="257">
        <f>SUM(D75:H75)</f>
        <v>0</v>
      </c>
    </row>
    <row r="76" spans="2:9" ht="18" customHeight="1" thickBot="1" x14ac:dyDescent="0.3">
      <c r="B76" s="173"/>
      <c r="C76" s="174"/>
      <c r="D76" s="174">
        <f>IF(COUNTIFS(D7:D73,"&lt;&gt;",C7:C73,"&lt;&gt;ZK",C7:C73,"&lt;&gt;DK")&lt;&gt;0,SUMIFS(D7:D73,C7:C73,"&lt;&gt;ZK",C7:C73,"&lt;&gt;DK")/(COUNTIFS(D7:D73,"&lt;&gt;",C7:C73,"&lt;&gt;ZK",C7:C73,"&lt;&gt;DK")*D6),0)</f>
        <v>0.84782608695652173</v>
      </c>
      <c r="E76" s="174">
        <f>IF(COUNTIFS(E7:E73,"&lt;&gt;",C7:C73,"&lt;&gt;ZK",C7:C73,"&lt;&gt;DK")&lt;&gt;0,SUMIFS(E7:E73,C7:C73,"&lt;&gt;ZK",C7:C73,"&lt;&gt;DK")/(COUNTIFS(E7:E73,"&lt;&gt;",C7:C73,"&lt;&gt;ZK",C7:C73,"&lt;&gt;DK")*E6),0)</f>
        <v>0.60869565217391308</v>
      </c>
      <c r="F76" s="174">
        <f>IF(COUNTIFS(F7:F73,"&lt;&gt;",C7:C73,"&lt;&gt;ZK",C7:C73,"&lt;&gt;DK")&lt;&gt;0,SUMIFS(F7:F73,C7:C73,"&lt;&gt;ZK",C7:C73,"&lt;&gt;DK")/(COUNTIFS(F7:F73,"&lt;&gt;",C7:C73,"&lt;&gt;ZK",C7:C73,"&lt;&gt;DK")*F6),0)</f>
        <v>0.71739130434782605</v>
      </c>
      <c r="G76" s="174">
        <f>IF(COUNTIFS(G7:G73,"&lt;&gt;",C7:C73,"&lt;&gt;ZK",C7:C73,"&lt;&gt;DK")&lt;&gt;0,SUMIFS(G7:G73,C7:C73,"&lt;&gt;ZK",C7:C73,"&lt;&gt;DK")/(COUNTIFS(G7:G73,"&lt;&gt;",C7:C73,"&lt;&gt;ZK",C7:C73,"&lt;&gt;DK")*G6),0)</f>
        <v>0.52717391304347827</v>
      </c>
      <c r="H76" s="174">
        <f>IF(COUNTIFS(H7:H73,"&lt;&gt;",C7:C73,"&lt;&gt;ZK",C7:C73,"&lt;&gt;DK")&lt;&gt;0,SUMIFS(H7:H73,C7:C73,"&lt;&gt;ZK",C7:C73,"&lt;&gt;DK")/(COUNTIFS(H7:H73,"&lt;&gt;",C7:C73,"&lt;&gt;ZK",C7:C73,"&lt;&gt;DK")*H6),0)</f>
        <v>0.13975155279503104</v>
      </c>
      <c r="I76" s="175"/>
    </row>
    <row r="77" spans="2:9" ht="18" customHeight="1" x14ac:dyDescent="0.25"/>
    <row r="78" spans="2:9" ht="18" customHeight="1" x14ac:dyDescent="0.25"/>
    <row r="79" spans="2:9" ht="18" customHeight="1" x14ac:dyDescent="0.25"/>
    <row r="80" spans="2:9"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sheetProtection sheet="1" objects="1" scenarios="1" selectLockedCells="1"/>
  <dataValidations count="5">
    <dataValidation type="decimal" allowBlank="1" showErrorMessage="1" sqref="D7:D75" xr:uid="{227C5B74-5567-4EEF-81FC-93E5F19A9E41}">
      <formula1>0</formula1>
      <formula2>$D$6</formula2>
    </dataValidation>
    <dataValidation type="decimal" allowBlank="1" showErrorMessage="1" sqref="E7:E75" xr:uid="{C9262354-9CD1-4D00-86A2-C8802C99F699}">
      <formula1>0</formula1>
      <formula2>$E$6</formula2>
    </dataValidation>
    <dataValidation type="decimal" allowBlank="1" showErrorMessage="1" sqref="F7:F75" xr:uid="{F7DF0CBE-F581-4B85-B01B-A59C3A238E73}">
      <formula1>0</formula1>
      <formula2>$F$6</formula2>
    </dataValidation>
    <dataValidation type="decimal" allowBlank="1" showErrorMessage="1" sqref="G7:G75" xr:uid="{0D5D8469-C246-44F8-8445-32FFB3C92F51}">
      <formula1>0</formula1>
      <formula2>$G$6</formula2>
    </dataValidation>
    <dataValidation type="decimal" allowBlank="1" showErrorMessage="1" sqref="H7:H75" xr:uid="{7356ED7F-7F80-4D0C-8034-CF4D3DD9A798}">
      <formula1>0</formula1>
      <formula2>$H$6</formula2>
    </dataValidation>
  </dataValidations>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FB05A1-78EE-4CE0-9910-1D738BBE7362}">
  <sheetPr codeName="Tabelle5">
    <tabColor rgb="FF92D050"/>
  </sheetPr>
  <dimension ref="B1:F100"/>
  <sheetViews>
    <sheetView workbookViewId="0">
      <selection activeCell="D8" sqref="D8"/>
    </sheetView>
  </sheetViews>
  <sheetFormatPr baseColWidth="10" defaultColWidth="11.5546875" defaultRowHeight="13.2" x14ac:dyDescent="0.25"/>
  <cols>
    <col min="1" max="2" width="3.44140625" style="96" customWidth="1"/>
    <col min="3" max="3" width="25.6640625" style="96" customWidth="1"/>
    <col min="4" max="6" width="8.6640625" style="96" customWidth="1"/>
    <col min="7" max="16384" width="11.5546875" style="96"/>
  </cols>
  <sheetData>
    <row r="1" spans="2:6" ht="18" customHeight="1" thickBot="1" x14ac:dyDescent="0.3"/>
    <row r="2" spans="2:6" ht="18" customHeight="1" x14ac:dyDescent="0.25">
      <c r="B2" s="97" t="str">
        <f>Config!F2&amp;" "&amp;YEAR(Config!G24)</f>
        <v>Mathe Abitur 2026</v>
      </c>
      <c r="C2" s="98"/>
      <c r="D2" s="98"/>
      <c r="E2" s="99"/>
      <c r="F2" s="100" t="str">
        <f>"Kurs "&amp;Config!G26</f>
        <v>Kurs K1</v>
      </c>
    </row>
    <row r="3" spans="2:6" ht="18" customHeight="1" x14ac:dyDescent="0.25">
      <c r="B3" s="101" t="s">
        <v>13</v>
      </c>
      <c r="C3" s="102"/>
      <c r="D3" s="102"/>
      <c r="E3" s="102"/>
      <c r="F3" s="103"/>
    </row>
    <row r="4" spans="2:6" ht="18" customHeight="1" thickBot="1" x14ac:dyDescent="0.3">
      <c r="B4" s="101"/>
      <c r="C4" s="102"/>
      <c r="D4" s="104"/>
      <c r="E4" s="104"/>
      <c r="F4" s="105"/>
    </row>
    <row r="5" spans="2:6" ht="18" customHeight="1" thickBot="1" x14ac:dyDescent="0.3">
      <c r="B5" s="106"/>
      <c r="C5" s="108"/>
      <c r="D5" s="118" t="str">
        <f>Config!N6</f>
        <v>1a</v>
      </c>
      <c r="E5" s="118" t="str">
        <f>Config!N7</f>
        <v>1b</v>
      </c>
      <c r="F5" s="112" t="s">
        <v>82</v>
      </c>
    </row>
    <row r="6" spans="2:6" ht="18" customHeight="1" thickBot="1" x14ac:dyDescent="0.3">
      <c r="B6" s="107"/>
      <c r="C6" s="109" t="s">
        <v>81</v>
      </c>
      <c r="D6" s="111">
        <f>Config!O6</f>
        <v>2</v>
      </c>
      <c r="E6" s="111">
        <f>Config!O7</f>
        <v>3</v>
      </c>
      <c r="F6" s="119">
        <f>Config!O21</f>
        <v>5</v>
      </c>
    </row>
    <row r="7" spans="2:6" ht="18" customHeight="1" x14ac:dyDescent="0.25">
      <c r="B7" s="154">
        <v>1</v>
      </c>
      <c r="C7" s="155" t="str">
        <f>Config!C5&amp;", "&amp;Config!D5</f>
        <v>Höfer, Simon</v>
      </c>
      <c r="D7" s="176">
        <v>0</v>
      </c>
      <c r="E7" s="177">
        <v>0</v>
      </c>
      <c r="F7" s="156">
        <f t="shared" ref="F7:F37" si="0">SUM(D7:E7)</f>
        <v>0</v>
      </c>
    </row>
    <row r="8" spans="2:6" s="256" customFormat="1" ht="13.2" customHeight="1" x14ac:dyDescent="0.2">
      <c r="B8" s="259"/>
      <c r="C8" s="263" t="s">
        <v>126</v>
      </c>
      <c r="D8" s="157"/>
      <c r="E8" s="160"/>
      <c r="F8" s="258">
        <f>SUM(D8:E8)</f>
        <v>0</v>
      </c>
    </row>
    <row r="9" spans="2:6" s="256" customFormat="1" ht="13.2" customHeight="1" x14ac:dyDescent="0.2">
      <c r="B9" s="279"/>
      <c r="C9" s="280" t="s">
        <v>127</v>
      </c>
      <c r="D9" s="152"/>
      <c r="E9" s="153"/>
      <c r="F9" s="257">
        <f>SUM(D9:E9)</f>
        <v>0</v>
      </c>
    </row>
    <row r="10" spans="2:6" ht="18" customHeight="1" x14ac:dyDescent="0.25">
      <c r="B10" s="167">
        <v>2</v>
      </c>
      <c r="C10" s="168" t="str">
        <f>Config!C6&amp;", "&amp;Config!D6</f>
        <v>Töpfer, Lilian</v>
      </c>
      <c r="D10" s="178">
        <v>1.5</v>
      </c>
      <c r="E10" s="179">
        <v>2</v>
      </c>
      <c r="F10" s="169">
        <f t="shared" si="0"/>
        <v>3.5</v>
      </c>
    </row>
    <row r="11" spans="2:6" s="256" customFormat="1" ht="13.2" customHeight="1" x14ac:dyDescent="0.2">
      <c r="B11" s="262"/>
      <c r="C11" s="264" t="s">
        <v>126</v>
      </c>
      <c r="D11" s="163"/>
      <c r="E11" s="166"/>
      <c r="F11" s="261">
        <f>SUM(D11:E11)</f>
        <v>0</v>
      </c>
    </row>
    <row r="12" spans="2:6" s="256" customFormat="1" ht="13.2" customHeight="1" x14ac:dyDescent="0.2">
      <c r="B12" s="281"/>
      <c r="C12" s="282" t="s">
        <v>127</v>
      </c>
      <c r="D12" s="152"/>
      <c r="E12" s="153"/>
      <c r="F12" s="260">
        <f>SUM(D12:E12)</f>
        <v>0</v>
      </c>
    </row>
    <row r="13" spans="2:6" ht="18" customHeight="1" x14ac:dyDescent="0.25">
      <c r="B13" s="170">
        <v>3</v>
      </c>
      <c r="C13" s="171" t="str">
        <f>Config!C7&amp;", "&amp;Config!D7</f>
        <v>Fleischmann, Leonie</v>
      </c>
      <c r="D13" s="180">
        <v>2</v>
      </c>
      <c r="E13" s="181">
        <v>2.5</v>
      </c>
      <c r="F13" s="172">
        <f t="shared" si="0"/>
        <v>4.5</v>
      </c>
    </row>
    <row r="14" spans="2:6" s="256" customFormat="1" ht="13.2" customHeight="1" x14ac:dyDescent="0.2">
      <c r="B14" s="259"/>
      <c r="C14" s="263" t="s">
        <v>126</v>
      </c>
      <c r="D14" s="157"/>
      <c r="E14" s="160"/>
      <c r="F14" s="258">
        <f>SUM(D14:E14)</f>
        <v>0</v>
      </c>
    </row>
    <row r="15" spans="2:6" s="256" customFormat="1" ht="13.2" customHeight="1" x14ac:dyDescent="0.2">
      <c r="B15" s="279"/>
      <c r="C15" s="280" t="s">
        <v>127</v>
      </c>
      <c r="D15" s="152"/>
      <c r="E15" s="153"/>
      <c r="F15" s="257">
        <f>SUM(D15:E15)</f>
        <v>0</v>
      </c>
    </row>
    <row r="16" spans="2:6" ht="18" customHeight="1" x14ac:dyDescent="0.25">
      <c r="B16" s="167">
        <v>4</v>
      </c>
      <c r="C16" s="168" t="str">
        <f>Config!C8&amp;", "&amp;Config!D8</f>
        <v>Drescher, Cedric</v>
      </c>
      <c r="D16" s="178">
        <v>2</v>
      </c>
      <c r="E16" s="179">
        <v>1.5</v>
      </c>
      <c r="F16" s="169">
        <f t="shared" si="0"/>
        <v>3.5</v>
      </c>
    </row>
    <row r="17" spans="2:6" s="256" customFormat="1" ht="13.2" customHeight="1" x14ac:dyDescent="0.2">
      <c r="B17" s="262"/>
      <c r="C17" s="264" t="s">
        <v>126</v>
      </c>
      <c r="D17" s="163"/>
      <c r="E17" s="166"/>
      <c r="F17" s="261">
        <f>SUM(D17:E17)</f>
        <v>0</v>
      </c>
    </row>
    <row r="18" spans="2:6" s="256" customFormat="1" ht="13.2" customHeight="1" x14ac:dyDescent="0.2">
      <c r="B18" s="281"/>
      <c r="C18" s="282" t="s">
        <v>127</v>
      </c>
      <c r="D18" s="152"/>
      <c r="E18" s="153"/>
      <c r="F18" s="260">
        <f>SUM(D18:E18)</f>
        <v>0</v>
      </c>
    </row>
    <row r="19" spans="2:6" ht="18" customHeight="1" x14ac:dyDescent="0.25">
      <c r="B19" s="170">
        <v>5</v>
      </c>
      <c r="C19" s="171" t="str">
        <f>Config!C9&amp;", "&amp;Config!D9</f>
        <v>Baumgarten, Annabell</v>
      </c>
      <c r="D19" s="180">
        <v>1.5</v>
      </c>
      <c r="E19" s="181">
        <v>2</v>
      </c>
      <c r="F19" s="172">
        <f t="shared" si="0"/>
        <v>3.5</v>
      </c>
    </row>
    <row r="20" spans="2:6" s="256" customFormat="1" ht="13.2" customHeight="1" x14ac:dyDescent="0.2">
      <c r="B20" s="259"/>
      <c r="C20" s="263" t="s">
        <v>126</v>
      </c>
      <c r="D20" s="157"/>
      <c r="E20" s="160"/>
      <c r="F20" s="258">
        <f>SUM(D20:E20)</f>
        <v>0</v>
      </c>
    </row>
    <row r="21" spans="2:6" s="256" customFormat="1" ht="13.2" customHeight="1" x14ac:dyDescent="0.2">
      <c r="B21" s="279"/>
      <c r="C21" s="280" t="s">
        <v>127</v>
      </c>
      <c r="D21" s="152"/>
      <c r="E21" s="153"/>
      <c r="F21" s="257">
        <f>SUM(D21:E21)</f>
        <v>0</v>
      </c>
    </row>
    <row r="22" spans="2:6" ht="18" customHeight="1" x14ac:dyDescent="0.25">
      <c r="B22" s="167">
        <v>6</v>
      </c>
      <c r="C22" s="168" t="str">
        <f>Config!C10&amp;", "&amp;Config!D10</f>
        <v>Traut, Stefanie</v>
      </c>
      <c r="D22" s="178">
        <v>1.5</v>
      </c>
      <c r="E22" s="179">
        <v>3</v>
      </c>
      <c r="F22" s="169">
        <f t="shared" si="0"/>
        <v>4.5</v>
      </c>
    </row>
    <row r="23" spans="2:6" s="256" customFormat="1" ht="13.2" customHeight="1" x14ac:dyDescent="0.2">
      <c r="B23" s="262"/>
      <c r="C23" s="264" t="s">
        <v>126</v>
      </c>
      <c r="D23" s="163"/>
      <c r="E23" s="166"/>
      <c r="F23" s="261">
        <f>SUM(D23:E23)</f>
        <v>0</v>
      </c>
    </row>
    <row r="24" spans="2:6" s="256" customFormat="1" ht="13.2" customHeight="1" x14ac:dyDescent="0.2">
      <c r="B24" s="281"/>
      <c r="C24" s="282" t="s">
        <v>127</v>
      </c>
      <c r="D24" s="152"/>
      <c r="E24" s="153"/>
      <c r="F24" s="260">
        <f>SUM(D24:E24)</f>
        <v>0</v>
      </c>
    </row>
    <row r="25" spans="2:6" ht="18" customHeight="1" x14ac:dyDescent="0.25">
      <c r="B25" s="170">
        <v>7</v>
      </c>
      <c r="C25" s="171" t="str">
        <f>Config!C11&amp;", "&amp;Config!D11</f>
        <v>Menke, Damian</v>
      </c>
      <c r="D25" s="180">
        <v>2</v>
      </c>
      <c r="E25" s="181">
        <v>2.5</v>
      </c>
      <c r="F25" s="172">
        <f t="shared" si="0"/>
        <v>4.5</v>
      </c>
    </row>
    <row r="26" spans="2:6" s="256" customFormat="1" ht="13.2" customHeight="1" x14ac:dyDescent="0.2">
      <c r="B26" s="259"/>
      <c r="C26" s="263" t="s">
        <v>126</v>
      </c>
      <c r="D26" s="157"/>
      <c r="E26" s="160"/>
      <c r="F26" s="258">
        <f>SUM(D26:E26)</f>
        <v>0</v>
      </c>
    </row>
    <row r="27" spans="2:6" s="256" customFormat="1" ht="13.2" customHeight="1" x14ac:dyDescent="0.2">
      <c r="B27" s="279"/>
      <c r="C27" s="280" t="s">
        <v>127</v>
      </c>
      <c r="D27" s="152"/>
      <c r="E27" s="153"/>
      <c r="F27" s="257">
        <f>SUM(D27:E27)</f>
        <v>0</v>
      </c>
    </row>
    <row r="28" spans="2:6" ht="18" customHeight="1" x14ac:dyDescent="0.25">
      <c r="B28" s="167">
        <v>8</v>
      </c>
      <c r="C28" s="168" t="str">
        <f>Config!C12&amp;", "&amp;Config!D12</f>
        <v>Carroll, Meik</v>
      </c>
      <c r="D28" s="178">
        <v>2</v>
      </c>
      <c r="E28" s="179">
        <v>2</v>
      </c>
      <c r="F28" s="169">
        <f t="shared" si="0"/>
        <v>4</v>
      </c>
    </row>
    <row r="29" spans="2:6" s="256" customFormat="1" ht="13.2" customHeight="1" x14ac:dyDescent="0.2">
      <c r="B29" s="262"/>
      <c r="C29" s="264" t="s">
        <v>126</v>
      </c>
      <c r="D29" s="163"/>
      <c r="E29" s="166"/>
      <c r="F29" s="261">
        <f>SUM(D29:E29)</f>
        <v>0</v>
      </c>
    </row>
    <row r="30" spans="2:6" s="256" customFormat="1" ht="13.2" customHeight="1" x14ac:dyDescent="0.2">
      <c r="B30" s="281"/>
      <c r="C30" s="282" t="s">
        <v>127</v>
      </c>
      <c r="D30" s="152"/>
      <c r="E30" s="153"/>
      <c r="F30" s="260">
        <f>SUM(D30:E30)</f>
        <v>0</v>
      </c>
    </row>
    <row r="31" spans="2:6" ht="18" customHeight="1" x14ac:dyDescent="0.25">
      <c r="B31" s="170">
        <v>9</v>
      </c>
      <c r="C31" s="171" t="str">
        <f>Config!C13&amp;", "&amp;Config!D13</f>
        <v>Hennings, Tomas</v>
      </c>
      <c r="D31" s="180">
        <v>1.5</v>
      </c>
      <c r="E31" s="181">
        <v>3</v>
      </c>
      <c r="F31" s="172">
        <f t="shared" si="0"/>
        <v>4.5</v>
      </c>
    </row>
    <row r="32" spans="2:6" s="256" customFormat="1" ht="13.2" customHeight="1" x14ac:dyDescent="0.2">
      <c r="B32" s="259"/>
      <c r="C32" s="263" t="s">
        <v>126</v>
      </c>
      <c r="D32" s="157"/>
      <c r="E32" s="160"/>
      <c r="F32" s="258">
        <f>SUM(D32:E32)</f>
        <v>0</v>
      </c>
    </row>
    <row r="33" spans="2:6" s="256" customFormat="1" ht="13.2" customHeight="1" x14ac:dyDescent="0.2">
      <c r="B33" s="279"/>
      <c r="C33" s="280" t="s">
        <v>127</v>
      </c>
      <c r="D33" s="152"/>
      <c r="E33" s="153"/>
      <c r="F33" s="257">
        <f>SUM(D33:E33)</f>
        <v>0</v>
      </c>
    </row>
    <row r="34" spans="2:6" ht="18" customHeight="1" x14ac:dyDescent="0.25">
      <c r="B34" s="167">
        <v>10</v>
      </c>
      <c r="C34" s="168" t="str">
        <f>Config!C14&amp;", "&amp;Config!D14</f>
        <v>Walters, Linn</v>
      </c>
      <c r="D34" s="178">
        <v>1</v>
      </c>
      <c r="E34" s="179">
        <v>0</v>
      </c>
      <c r="F34" s="169">
        <f t="shared" si="0"/>
        <v>1</v>
      </c>
    </row>
    <row r="35" spans="2:6" s="256" customFormat="1" ht="13.2" customHeight="1" x14ac:dyDescent="0.2">
      <c r="B35" s="262"/>
      <c r="C35" s="264" t="s">
        <v>126</v>
      </c>
      <c r="D35" s="163"/>
      <c r="E35" s="166"/>
      <c r="F35" s="261">
        <f>SUM(D35:E35)</f>
        <v>0</v>
      </c>
    </row>
    <row r="36" spans="2:6" s="256" customFormat="1" ht="13.2" customHeight="1" x14ac:dyDescent="0.2">
      <c r="B36" s="281"/>
      <c r="C36" s="282" t="s">
        <v>127</v>
      </c>
      <c r="D36" s="152"/>
      <c r="E36" s="153"/>
      <c r="F36" s="260">
        <f>SUM(D36:E36)</f>
        <v>0</v>
      </c>
    </row>
    <row r="37" spans="2:6" ht="18" customHeight="1" x14ac:dyDescent="0.25">
      <c r="B37" s="170">
        <v>11</v>
      </c>
      <c r="C37" s="171" t="str">
        <f>Config!C15&amp;", "&amp;Config!D15</f>
        <v>Junker, Amely</v>
      </c>
      <c r="D37" s="180">
        <v>2</v>
      </c>
      <c r="E37" s="181">
        <v>0</v>
      </c>
      <c r="F37" s="172">
        <f t="shared" si="0"/>
        <v>2</v>
      </c>
    </row>
    <row r="38" spans="2:6" s="256" customFormat="1" ht="13.2" customHeight="1" x14ac:dyDescent="0.2">
      <c r="B38" s="259"/>
      <c r="C38" s="263" t="s">
        <v>126</v>
      </c>
      <c r="D38" s="157"/>
      <c r="E38" s="160"/>
      <c r="F38" s="258">
        <f>SUM(D38:E38)</f>
        <v>0</v>
      </c>
    </row>
    <row r="39" spans="2:6" s="256" customFormat="1" ht="13.2" customHeight="1" x14ac:dyDescent="0.2">
      <c r="B39" s="279"/>
      <c r="C39" s="280" t="s">
        <v>127</v>
      </c>
      <c r="D39" s="152"/>
      <c r="E39" s="153"/>
      <c r="F39" s="257">
        <f>SUM(D39:E39)</f>
        <v>0</v>
      </c>
    </row>
    <row r="40" spans="2:6" ht="18" customHeight="1" x14ac:dyDescent="0.25">
      <c r="B40" s="167">
        <v>12</v>
      </c>
      <c r="C40" s="168" t="str">
        <f>Config!C16&amp;", "&amp;Config!D16</f>
        <v>Stephens, Melvin</v>
      </c>
      <c r="D40" s="178">
        <v>0.5</v>
      </c>
      <c r="E40" s="179">
        <v>0</v>
      </c>
      <c r="F40" s="169">
        <f t="shared" ref="F40:F70" si="1">SUM(D40:E40)</f>
        <v>0.5</v>
      </c>
    </row>
    <row r="41" spans="2:6" s="256" customFormat="1" ht="13.2" customHeight="1" x14ac:dyDescent="0.2">
      <c r="B41" s="262"/>
      <c r="C41" s="264" t="s">
        <v>126</v>
      </c>
      <c r="D41" s="163"/>
      <c r="E41" s="166"/>
      <c r="F41" s="261">
        <f>SUM(D41:E41)</f>
        <v>0</v>
      </c>
    </row>
    <row r="42" spans="2:6" s="256" customFormat="1" ht="13.2" customHeight="1" x14ac:dyDescent="0.2">
      <c r="B42" s="281"/>
      <c r="C42" s="282" t="s">
        <v>127</v>
      </c>
      <c r="D42" s="152"/>
      <c r="E42" s="153"/>
      <c r="F42" s="260">
        <f>SUM(D42:E42)</f>
        <v>0</v>
      </c>
    </row>
    <row r="43" spans="2:6" ht="18" customHeight="1" x14ac:dyDescent="0.25">
      <c r="B43" s="170">
        <v>13</v>
      </c>
      <c r="C43" s="171" t="str">
        <f>Config!C17&amp;", "&amp;Config!D17</f>
        <v>Cremer, Marvin</v>
      </c>
      <c r="D43" s="180">
        <v>1.5</v>
      </c>
      <c r="E43" s="181">
        <v>3</v>
      </c>
      <c r="F43" s="172">
        <f t="shared" si="1"/>
        <v>4.5</v>
      </c>
    </row>
    <row r="44" spans="2:6" s="256" customFormat="1" ht="13.2" customHeight="1" x14ac:dyDescent="0.2">
      <c r="B44" s="259"/>
      <c r="C44" s="263" t="s">
        <v>126</v>
      </c>
      <c r="D44" s="157"/>
      <c r="E44" s="160"/>
      <c r="F44" s="258">
        <f>SUM(D44:E44)</f>
        <v>0</v>
      </c>
    </row>
    <row r="45" spans="2:6" s="256" customFormat="1" ht="13.2" customHeight="1" x14ac:dyDescent="0.2">
      <c r="B45" s="279"/>
      <c r="C45" s="280" t="s">
        <v>127</v>
      </c>
      <c r="D45" s="152"/>
      <c r="E45" s="153"/>
      <c r="F45" s="257">
        <f>SUM(D45:E45)</f>
        <v>0</v>
      </c>
    </row>
    <row r="46" spans="2:6" ht="18" customHeight="1" x14ac:dyDescent="0.25">
      <c r="B46" s="167">
        <v>14</v>
      </c>
      <c r="C46" s="168" t="str">
        <f>Config!C18&amp;", "&amp;Config!D18</f>
        <v>Nash, Jean</v>
      </c>
      <c r="D46" s="178">
        <v>2</v>
      </c>
      <c r="E46" s="179">
        <v>2</v>
      </c>
      <c r="F46" s="169">
        <f t="shared" si="1"/>
        <v>4</v>
      </c>
    </row>
    <row r="47" spans="2:6" s="256" customFormat="1" ht="13.2" customHeight="1" x14ac:dyDescent="0.2">
      <c r="B47" s="262"/>
      <c r="C47" s="264" t="s">
        <v>126</v>
      </c>
      <c r="D47" s="163"/>
      <c r="E47" s="166"/>
      <c r="F47" s="261">
        <f>SUM(D47:E47)</f>
        <v>0</v>
      </c>
    </row>
    <row r="48" spans="2:6" s="256" customFormat="1" ht="13.2" customHeight="1" x14ac:dyDescent="0.2">
      <c r="B48" s="281"/>
      <c r="C48" s="282" t="s">
        <v>127</v>
      </c>
      <c r="D48" s="152"/>
      <c r="E48" s="153"/>
      <c r="F48" s="260">
        <f>SUM(D48:E48)</f>
        <v>0</v>
      </c>
    </row>
    <row r="49" spans="2:6" ht="18" customHeight="1" x14ac:dyDescent="0.25">
      <c r="B49" s="170">
        <v>15</v>
      </c>
      <c r="C49" s="171" t="str">
        <f>Config!C19&amp;", "&amp;Config!D19</f>
        <v>Schön, Leonardo</v>
      </c>
      <c r="D49" s="180">
        <v>2</v>
      </c>
      <c r="E49" s="181">
        <v>3</v>
      </c>
      <c r="F49" s="172">
        <f t="shared" si="1"/>
        <v>5</v>
      </c>
    </row>
    <row r="50" spans="2:6" s="256" customFormat="1" ht="13.2" customHeight="1" x14ac:dyDescent="0.2">
      <c r="B50" s="259"/>
      <c r="C50" s="263" t="s">
        <v>126</v>
      </c>
      <c r="D50" s="157"/>
      <c r="E50" s="160"/>
      <c r="F50" s="258">
        <f>SUM(D50:E50)</f>
        <v>0</v>
      </c>
    </row>
    <row r="51" spans="2:6" s="256" customFormat="1" ht="13.2" customHeight="1" x14ac:dyDescent="0.2">
      <c r="B51" s="279"/>
      <c r="C51" s="280" t="s">
        <v>127</v>
      </c>
      <c r="D51" s="152"/>
      <c r="E51" s="153"/>
      <c r="F51" s="257">
        <f>SUM(D51:E51)</f>
        <v>0</v>
      </c>
    </row>
    <row r="52" spans="2:6" ht="18" customHeight="1" x14ac:dyDescent="0.25">
      <c r="B52" s="167">
        <v>16</v>
      </c>
      <c r="C52" s="168" t="str">
        <f>Config!C20&amp;", "&amp;Config!D20</f>
        <v>Sigl, Nicholas</v>
      </c>
      <c r="D52" s="178">
        <v>2</v>
      </c>
      <c r="E52" s="179">
        <v>2.5</v>
      </c>
      <c r="F52" s="169">
        <f t="shared" si="1"/>
        <v>4.5</v>
      </c>
    </row>
    <row r="53" spans="2:6" s="256" customFormat="1" ht="13.2" customHeight="1" x14ac:dyDescent="0.2">
      <c r="B53" s="262"/>
      <c r="C53" s="264" t="s">
        <v>126</v>
      </c>
      <c r="D53" s="163"/>
      <c r="E53" s="166"/>
      <c r="F53" s="261">
        <f>SUM(D53:E53)</f>
        <v>0</v>
      </c>
    </row>
    <row r="54" spans="2:6" s="256" customFormat="1" ht="13.2" customHeight="1" x14ac:dyDescent="0.2">
      <c r="B54" s="281"/>
      <c r="C54" s="282" t="s">
        <v>127</v>
      </c>
      <c r="D54" s="152"/>
      <c r="E54" s="153"/>
      <c r="F54" s="260">
        <f>SUM(D54:E54)</f>
        <v>0</v>
      </c>
    </row>
    <row r="55" spans="2:6" ht="18" customHeight="1" x14ac:dyDescent="0.25">
      <c r="B55" s="170">
        <v>17</v>
      </c>
      <c r="C55" s="171" t="str">
        <f>Config!C21&amp;", "&amp;Config!D21</f>
        <v>Kainz, Vivienne</v>
      </c>
      <c r="D55" s="180">
        <v>2</v>
      </c>
      <c r="E55" s="181">
        <v>3</v>
      </c>
      <c r="F55" s="172">
        <f t="shared" si="1"/>
        <v>5</v>
      </c>
    </row>
    <row r="56" spans="2:6" s="256" customFormat="1" ht="13.2" customHeight="1" x14ac:dyDescent="0.2">
      <c r="B56" s="259"/>
      <c r="C56" s="263" t="s">
        <v>126</v>
      </c>
      <c r="D56" s="157"/>
      <c r="E56" s="160"/>
      <c r="F56" s="258">
        <f>SUM(D56:E56)</f>
        <v>0</v>
      </c>
    </row>
    <row r="57" spans="2:6" s="256" customFormat="1" ht="13.2" customHeight="1" x14ac:dyDescent="0.2">
      <c r="B57" s="279"/>
      <c r="C57" s="280" t="s">
        <v>127</v>
      </c>
      <c r="D57" s="152"/>
      <c r="E57" s="153"/>
      <c r="F57" s="257">
        <f>SUM(D57:E57)</f>
        <v>0</v>
      </c>
    </row>
    <row r="58" spans="2:6" ht="18" customHeight="1" x14ac:dyDescent="0.25">
      <c r="B58" s="167">
        <v>18</v>
      </c>
      <c r="C58" s="168" t="str">
        <f>Config!C22&amp;", "&amp;Config!D22</f>
        <v>Hartmann, Mads</v>
      </c>
      <c r="D58" s="178">
        <v>1</v>
      </c>
      <c r="E58" s="179">
        <v>0</v>
      </c>
      <c r="F58" s="169">
        <f t="shared" si="1"/>
        <v>1</v>
      </c>
    </row>
    <row r="59" spans="2:6" s="256" customFormat="1" ht="13.2" customHeight="1" x14ac:dyDescent="0.2">
      <c r="B59" s="262"/>
      <c r="C59" s="264" t="s">
        <v>126</v>
      </c>
      <c r="D59" s="163"/>
      <c r="E59" s="166"/>
      <c r="F59" s="261">
        <f>SUM(D59:E59)</f>
        <v>0</v>
      </c>
    </row>
    <row r="60" spans="2:6" s="256" customFormat="1" ht="13.2" customHeight="1" x14ac:dyDescent="0.2">
      <c r="B60" s="281"/>
      <c r="C60" s="282" t="s">
        <v>127</v>
      </c>
      <c r="D60" s="152"/>
      <c r="E60" s="153"/>
      <c r="F60" s="260">
        <f>SUM(D60:E60)</f>
        <v>0</v>
      </c>
    </row>
    <row r="61" spans="2:6" ht="18" customHeight="1" x14ac:dyDescent="0.25">
      <c r="B61" s="170">
        <v>19</v>
      </c>
      <c r="C61" s="171" t="str">
        <f>Config!C23&amp;", "&amp;Config!D23</f>
        <v>Ullmann, Raphael</v>
      </c>
      <c r="D61" s="180">
        <v>2</v>
      </c>
      <c r="E61" s="181">
        <v>0</v>
      </c>
      <c r="F61" s="172">
        <f t="shared" si="1"/>
        <v>2</v>
      </c>
    </row>
    <row r="62" spans="2:6" s="256" customFormat="1" ht="13.2" customHeight="1" x14ac:dyDescent="0.2">
      <c r="B62" s="259"/>
      <c r="C62" s="263" t="s">
        <v>126</v>
      </c>
      <c r="D62" s="157"/>
      <c r="E62" s="160"/>
      <c r="F62" s="258">
        <f>SUM(D62:E62)</f>
        <v>0</v>
      </c>
    </row>
    <row r="63" spans="2:6" s="256" customFormat="1" ht="13.2" customHeight="1" x14ac:dyDescent="0.2">
      <c r="B63" s="279"/>
      <c r="C63" s="280" t="s">
        <v>127</v>
      </c>
      <c r="D63" s="152"/>
      <c r="E63" s="153"/>
      <c r="F63" s="257">
        <f>SUM(D63:E63)</f>
        <v>0</v>
      </c>
    </row>
    <row r="64" spans="2:6" ht="18" customHeight="1" x14ac:dyDescent="0.25">
      <c r="B64" s="167">
        <v>20</v>
      </c>
      <c r="C64" s="168" t="str">
        <f>Config!C24&amp;", "&amp;Config!D24</f>
        <v>Hartl, Emmely</v>
      </c>
      <c r="D64" s="178">
        <v>2</v>
      </c>
      <c r="E64" s="179">
        <v>0</v>
      </c>
      <c r="F64" s="169">
        <f t="shared" si="1"/>
        <v>2</v>
      </c>
    </row>
    <row r="65" spans="2:6" s="256" customFormat="1" ht="13.2" customHeight="1" x14ac:dyDescent="0.2">
      <c r="B65" s="262"/>
      <c r="C65" s="264" t="s">
        <v>126</v>
      </c>
      <c r="D65" s="163"/>
      <c r="E65" s="166"/>
      <c r="F65" s="261">
        <f>SUM(D65:E65)</f>
        <v>0</v>
      </c>
    </row>
    <row r="66" spans="2:6" s="256" customFormat="1" ht="13.2" customHeight="1" x14ac:dyDescent="0.2">
      <c r="B66" s="281"/>
      <c r="C66" s="282" t="s">
        <v>127</v>
      </c>
      <c r="D66" s="152"/>
      <c r="E66" s="153"/>
      <c r="F66" s="260">
        <f>SUM(D66:E66)</f>
        <v>0</v>
      </c>
    </row>
    <row r="67" spans="2:6" ht="18" customHeight="1" x14ac:dyDescent="0.25">
      <c r="B67" s="170">
        <v>21</v>
      </c>
      <c r="C67" s="171" t="str">
        <f>Config!C25&amp;", "&amp;Config!D25</f>
        <v>Klotz, Karin</v>
      </c>
      <c r="D67" s="180">
        <v>2</v>
      </c>
      <c r="E67" s="181">
        <v>3</v>
      </c>
      <c r="F67" s="172">
        <f t="shared" si="1"/>
        <v>5</v>
      </c>
    </row>
    <row r="68" spans="2:6" s="256" customFormat="1" ht="13.2" customHeight="1" x14ac:dyDescent="0.2">
      <c r="B68" s="259"/>
      <c r="C68" s="263" t="s">
        <v>126</v>
      </c>
      <c r="D68" s="157"/>
      <c r="E68" s="160"/>
      <c r="F68" s="258">
        <f>SUM(D68:E68)</f>
        <v>0</v>
      </c>
    </row>
    <row r="69" spans="2:6" s="256" customFormat="1" ht="13.2" customHeight="1" x14ac:dyDescent="0.2">
      <c r="B69" s="279"/>
      <c r="C69" s="280" t="s">
        <v>127</v>
      </c>
      <c r="D69" s="152"/>
      <c r="E69" s="153"/>
      <c r="F69" s="257">
        <f>SUM(D69:E69)</f>
        <v>0</v>
      </c>
    </row>
    <row r="70" spans="2:6" ht="18" customHeight="1" x14ac:dyDescent="0.25">
      <c r="B70" s="167">
        <v>22</v>
      </c>
      <c r="C70" s="168" t="str">
        <f>Config!C26&amp;", "&amp;Config!D26</f>
        <v>Ehlers, Ingo</v>
      </c>
      <c r="D70" s="178">
        <v>2</v>
      </c>
      <c r="E70" s="179">
        <v>3</v>
      </c>
      <c r="F70" s="169">
        <f t="shared" si="1"/>
        <v>5</v>
      </c>
    </row>
    <row r="71" spans="2:6" s="256" customFormat="1" ht="13.2" customHeight="1" x14ac:dyDescent="0.2">
      <c r="B71" s="262"/>
      <c r="C71" s="264" t="s">
        <v>126</v>
      </c>
      <c r="D71" s="163"/>
      <c r="E71" s="166"/>
      <c r="F71" s="261">
        <f>SUM(D71:E71)</f>
        <v>0</v>
      </c>
    </row>
    <row r="72" spans="2:6" s="256" customFormat="1" ht="13.2" customHeight="1" x14ac:dyDescent="0.2">
      <c r="B72" s="281"/>
      <c r="C72" s="282" t="s">
        <v>127</v>
      </c>
      <c r="D72" s="152"/>
      <c r="E72" s="153"/>
      <c r="F72" s="260">
        <f>SUM(D72:E72)</f>
        <v>0</v>
      </c>
    </row>
    <row r="73" spans="2:6" ht="18" customHeight="1" x14ac:dyDescent="0.25">
      <c r="B73" s="170">
        <v>23</v>
      </c>
      <c r="C73" s="171" t="str">
        <f>Config!C27&amp;", "&amp;Config!D27</f>
        <v>Lindemann, Mads</v>
      </c>
      <c r="D73" s="180">
        <v>2</v>
      </c>
      <c r="E73" s="181">
        <v>1</v>
      </c>
      <c r="F73" s="172">
        <f t="shared" ref="F73" si="2">SUM(D73:E73)</f>
        <v>3</v>
      </c>
    </row>
    <row r="74" spans="2:6" s="256" customFormat="1" ht="13.2" customHeight="1" x14ac:dyDescent="0.2">
      <c r="B74" s="259"/>
      <c r="C74" s="263" t="s">
        <v>126</v>
      </c>
      <c r="D74" s="157"/>
      <c r="E74" s="160"/>
      <c r="F74" s="258">
        <f>SUM(D74:E74)</f>
        <v>0</v>
      </c>
    </row>
    <row r="75" spans="2:6" s="256" customFormat="1" ht="13.2" customHeight="1" thickBot="1" x14ac:dyDescent="0.25">
      <c r="B75" s="279"/>
      <c r="C75" s="280" t="s">
        <v>127</v>
      </c>
      <c r="D75" s="152"/>
      <c r="E75" s="153"/>
      <c r="F75" s="257">
        <f>SUM(D75:E75)</f>
        <v>0</v>
      </c>
    </row>
    <row r="76" spans="2:6" ht="18" customHeight="1" thickBot="1" x14ac:dyDescent="0.3">
      <c r="B76" s="173"/>
      <c r="C76" s="174"/>
      <c r="D76" s="174">
        <f>IF(COUNTIFS(D7:D73,"&lt;&gt;",C7:C73,"&lt;&gt;ZK",C7:C73,"&lt;&gt;DK")&lt;&gt;0,SUMIFS(D7:D73,C7:C73,"&lt;&gt;ZK",C7:C73,"&lt;&gt;DK")/(COUNTIFS(D7:D73,"&lt;&gt;",C7:C73,"&lt;&gt;ZK",C7:C73,"&lt;&gt;DK")*D6),0)</f>
        <v>0.82608695652173914</v>
      </c>
      <c r="E76" s="174">
        <f>IF(COUNTIFS(E7:E73,"&lt;&gt;",C7:C73,"&lt;&gt;ZK",C7:C73,"&lt;&gt;DK")&lt;&gt;0,SUMIFS(E7:E73,C7:C73,"&lt;&gt;ZK",C7:C73,"&lt;&gt;DK")/(COUNTIFS(E7:E73,"&lt;&gt;",C7:C73,"&lt;&gt;ZK",C7:C73,"&lt;&gt;DK")*E6),0)</f>
        <v>0.56521739130434778</v>
      </c>
      <c r="F76" s="175"/>
    </row>
    <row r="77" spans="2:6" ht="18" customHeight="1" x14ac:dyDescent="0.25"/>
    <row r="78" spans="2:6" ht="18" customHeight="1" x14ac:dyDescent="0.25"/>
    <row r="79" spans="2:6" ht="18" customHeight="1" x14ac:dyDescent="0.25"/>
    <row r="80" spans="2:6"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sheetProtection sheet="1" objects="1" scenarios="1" selectLockedCells="1"/>
  <dataValidations count="2">
    <dataValidation type="decimal" allowBlank="1" showErrorMessage="1" sqref="D7:D75" xr:uid="{175966EB-922B-4F8F-BFB8-2A65D8B0B098}">
      <formula1>0</formula1>
      <formula2>$D$6</formula2>
    </dataValidation>
    <dataValidation type="decimal" allowBlank="1" showErrorMessage="1" sqref="E7:E75" xr:uid="{8DF27EE0-5EB9-4A8B-948A-C8DAE9D847E4}">
      <formula1>0</formula1>
      <formula2>$E$6</formula2>
    </dataValidation>
  </dataValidations>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B4F5D1-D302-488E-8362-C6BD3D966EE4}">
  <sheetPr codeName="Tabelle6">
    <tabColor rgb="FF92D050"/>
  </sheetPr>
  <dimension ref="B1:I100"/>
  <sheetViews>
    <sheetView workbookViewId="0">
      <selection activeCell="D8" sqref="D8"/>
    </sheetView>
  </sheetViews>
  <sheetFormatPr baseColWidth="10" defaultColWidth="11.5546875" defaultRowHeight="13.2" x14ac:dyDescent="0.25"/>
  <cols>
    <col min="1" max="2" width="3.44140625" style="96" customWidth="1"/>
    <col min="3" max="3" width="25.6640625" style="96" customWidth="1"/>
    <col min="4" max="9" width="8.6640625" style="96" customWidth="1"/>
    <col min="10" max="16384" width="11.5546875" style="96"/>
  </cols>
  <sheetData>
    <row r="1" spans="2:9" ht="18" customHeight="1" thickBot="1" x14ac:dyDescent="0.3"/>
    <row r="2" spans="2:9" ht="18" customHeight="1" x14ac:dyDescent="0.25">
      <c r="B2" s="97" t="str">
        <f>Config!F2&amp;" "&amp;YEAR(Config!G24)</f>
        <v>Mathe Abitur 2026</v>
      </c>
      <c r="C2" s="98"/>
      <c r="D2" s="98"/>
      <c r="E2" s="98"/>
      <c r="F2" s="99"/>
      <c r="G2" s="99"/>
      <c r="H2" s="99"/>
      <c r="I2" s="100" t="str">
        <f>"Kurs "&amp;Config!G26</f>
        <v>Kurs K1</v>
      </c>
    </row>
    <row r="3" spans="2:9" ht="18" customHeight="1" x14ac:dyDescent="0.25">
      <c r="B3" s="101" t="s">
        <v>14</v>
      </c>
      <c r="C3" s="102"/>
      <c r="D3" s="102"/>
      <c r="E3" s="102"/>
      <c r="F3" s="102"/>
      <c r="G3" s="102"/>
      <c r="H3" s="102"/>
      <c r="I3" s="103"/>
    </row>
    <row r="4" spans="2:9" ht="18" customHeight="1" thickBot="1" x14ac:dyDescent="0.3">
      <c r="B4" s="101"/>
      <c r="C4" s="102"/>
      <c r="D4" s="104"/>
      <c r="E4" s="104"/>
      <c r="F4" s="104"/>
      <c r="G4" s="104"/>
      <c r="H4" s="104"/>
      <c r="I4" s="105"/>
    </row>
    <row r="5" spans="2:9" ht="18" customHeight="1" thickBot="1" x14ac:dyDescent="0.3">
      <c r="B5" s="106"/>
      <c r="C5" s="108"/>
      <c r="D5" s="118" t="str">
        <f>Config!P6</f>
        <v>1a</v>
      </c>
      <c r="E5" s="118" t="str">
        <f>Config!P7</f>
        <v>1b</v>
      </c>
      <c r="F5" s="118" t="str">
        <f>Config!P8</f>
        <v>1c</v>
      </c>
      <c r="G5" s="118" t="str">
        <f>Config!P9</f>
        <v>1d</v>
      </c>
      <c r="H5" s="118" t="str">
        <f>Config!P10</f>
        <v>1e</v>
      </c>
      <c r="I5" s="112" t="s">
        <v>82</v>
      </c>
    </row>
    <row r="6" spans="2:9" ht="18" customHeight="1" thickBot="1" x14ac:dyDescent="0.3">
      <c r="B6" s="107"/>
      <c r="C6" s="109" t="s">
        <v>81</v>
      </c>
      <c r="D6" s="111">
        <f>Config!Q6</f>
        <v>4</v>
      </c>
      <c r="E6" s="111">
        <f>Config!Q7</f>
        <v>3</v>
      </c>
      <c r="F6" s="111">
        <f>Config!Q8</f>
        <v>4</v>
      </c>
      <c r="G6" s="111">
        <f>Config!Q9</f>
        <v>3</v>
      </c>
      <c r="H6" s="111">
        <f>Config!Q10</f>
        <v>4</v>
      </c>
      <c r="I6" s="119">
        <f>Config!Q21</f>
        <v>18</v>
      </c>
    </row>
    <row r="7" spans="2:9" ht="18" customHeight="1" x14ac:dyDescent="0.25">
      <c r="B7" s="154">
        <v>1</v>
      </c>
      <c r="C7" s="155" t="str">
        <f>Config!C5&amp;", "&amp;Config!D5</f>
        <v>Höfer, Simon</v>
      </c>
      <c r="D7" s="176">
        <v>4</v>
      </c>
      <c r="E7" s="176">
        <v>2</v>
      </c>
      <c r="F7" s="176">
        <v>2</v>
      </c>
      <c r="G7" s="176">
        <v>0.5</v>
      </c>
      <c r="H7" s="177">
        <v>0.5</v>
      </c>
      <c r="I7" s="156">
        <f t="shared" ref="I7:I37" si="0">SUM(D7:H7)</f>
        <v>9</v>
      </c>
    </row>
    <row r="8" spans="2:9" s="256" customFormat="1" ht="13.2" customHeight="1" x14ac:dyDescent="0.2">
      <c r="B8" s="259"/>
      <c r="C8" s="263" t="s">
        <v>126</v>
      </c>
      <c r="D8" s="157"/>
      <c r="E8" s="157"/>
      <c r="F8" s="157"/>
      <c r="G8" s="157"/>
      <c r="H8" s="160"/>
      <c r="I8" s="258">
        <f>SUM(D8:H8)</f>
        <v>0</v>
      </c>
    </row>
    <row r="9" spans="2:9" s="256" customFormat="1" ht="13.2" customHeight="1" x14ac:dyDescent="0.2">
      <c r="B9" s="279"/>
      <c r="C9" s="280" t="s">
        <v>127</v>
      </c>
      <c r="D9" s="152"/>
      <c r="E9" s="152"/>
      <c r="F9" s="152"/>
      <c r="G9" s="152"/>
      <c r="H9" s="153"/>
      <c r="I9" s="257">
        <f>SUM(D9:H9)</f>
        <v>0</v>
      </c>
    </row>
    <row r="10" spans="2:9" ht="18" customHeight="1" x14ac:dyDescent="0.25">
      <c r="B10" s="167">
        <v>2</v>
      </c>
      <c r="C10" s="168" t="str">
        <f>Config!C6&amp;", "&amp;Config!D6</f>
        <v>Töpfer, Lilian</v>
      </c>
      <c r="D10" s="178">
        <v>4</v>
      </c>
      <c r="E10" s="178">
        <v>0</v>
      </c>
      <c r="F10" s="178">
        <v>2.5</v>
      </c>
      <c r="G10" s="178">
        <v>0.5</v>
      </c>
      <c r="H10" s="179">
        <v>2</v>
      </c>
      <c r="I10" s="169">
        <f t="shared" si="0"/>
        <v>9</v>
      </c>
    </row>
    <row r="11" spans="2:9" s="256" customFormat="1" ht="13.2" customHeight="1" x14ac:dyDescent="0.2">
      <c r="B11" s="262"/>
      <c r="C11" s="264" t="s">
        <v>126</v>
      </c>
      <c r="D11" s="163"/>
      <c r="E11" s="163"/>
      <c r="F11" s="163"/>
      <c r="G11" s="163"/>
      <c r="H11" s="166"/>
      <c r="I11" s="261">
        <f>SUM(D11:H11)</f>
        <v>0</v>
      </c>
    </row>
    <row r="12" spans="2:9" s="256" customFormat="1" ht="13.2" customHeight="1" x14ac:dyDescent="0.2">
      <c r="B12" s="281"/>
      <c r="C12" s="282" t="s">
        <v>127</v>
      </c>
      <c r="D12" s="152"/>
      <c r="E12" s="152"/>
      <c r="F12" s="152"/>
      <c r="G12" s="152"/>
      <c r="H12" s="153"/>
      <c r="I12" s="260">
        <f>SUM(D12:H12)</f>
        <v>0</v>
      </c>
    </row>
    <row r="13" spans="2:9" ht="18" customHeight="1" x14ac:dyDescent="0.25">
      <c r="B13" s="170">
        <v>3</v>
      </c>
      <c r="C13" s="171" t="str">
        <f>Config!C7&amp;", "&amp;Config!D7</f>
        <v>Fleischmann, Leonie</v>
      </c>
      <c r="D13" s="180">
        <v>4</v>
      </c>
      <c r="E13" s="180">
        <v>2</v>
      </c>
      <c r="F13" s="180">
        <v>3</v>
      </c>
      <c r="G13" s="180">
        <v>2</v>
      </c>
      <c r="H13" s="181">
        <v>3</v>
      </c>
      <c r="I13" s="172">
        <f t="shared" si="0"/>
        <v>14</v>
      </c>
    </row>
    <row r="14" spans="2:9" s="256" customFormat="1" ht="13.2" customHeight="1" x14ac:dyDescent="0.2">
      <c r="B14" s="259"/>
      <c r="C14" s="263" t="s">
        <v>126</v>
      </c>
      <c r="D14" s="157"/>
      <c r="E14" s="157"/>
      <c r="F14" s="157"/>
      <c r="G14" s="157"/>
      <c r="H14" s="160"/>
      <c r="I14" s="258">
        <f>SUM(D14:H14)</f>
        <v>0</v>
      </c>
    </row>
    <row r="15" spans="2:9" s="256" customFormat="1" ht="13.2" customHeight="1" x14ac:dyDescent="0.2">
      <c r="B15" s="279"/>
      <c r="C15" s="280" t="s">
        <v>127</v>
      </c>
      <c r="D15" s="152"/>
      <c r="E15" s="152"/>
      <c r="F15" s="152"/>
      <c r="G15" s="152"/>
      <c r="H15" s="153"/>
      <c r="I15" s="257">
        <f>SUM(D15:H15)</f>
        <v>0</v>
      </c>
    </row>
    <row r="16" spans="2:9" ht="18" customHeight="1" x14ac:dyDescent="0.25">
      <c r="B16" s="167">
        <v>4</v>
      </c>
      <c r="C16" s="168" t="str">
        <f>Config!C8&amp;", "&amp;Config!D8</f>
        <v>Drescher, Cedric</v>
      </c>
      <c r="D16" s="178">
        <v>4</v>
      </c>
      <c r="E16" s="178">
        <v>2</v>
      </c>
      <c r="F16" s="178">
        <v>3.5</v>
      </c>
      <c r="G16" s="178">
        <v>0</v>
      </c>
      <c r="H16" s="179">
        <v>4</v>
      </c>
      <c r="I16" s="169">
        <f t="shared" si="0"/>
        <v>13.5</v>
      </c>
    </row>
    <row r="17" spans="2:9" s="256" customFormat="1" ht="13.2" customHeight="1" x14ac:dyDescent="0.2">
      <c r="B17" s="262"/>
      <c r="C17" s="264" t="s">
        <v>126</v>
      </c>
      <c r="D17" s="163"/>
      <c r="E17" s="163"/>
      <c r="F17" s="163"/>
      <c r="G17" s="163"/>
      <c r="H17" s="166"/>
      <c r="I17" s="261">
        <f>SUM(D17:H17)</f>
        <v>0</v>
      </c>
    </row>
    <row r="18" spans="2:9" s="256" customFormat="1" ht="13.2" customHeight="1" x14ac:dyDescent="0.2">
      <c r="B18" s="281"/>
      <c r="C18" s="282" t="s">
        <v>127</v>
      </c>
      <c r="D18" s="152"/>
      <c r="E18" s="152"/>
      <c r="F18" s="152"/>
      <c r="G18" s="152"/>
      <c r="H18" s="153"/>
      <c r="I18" s="260">
        <f>SUM(D18:H18)</f>
        <v>0</v>
      </c>
    </row>
    <row r="19" spans="2:9" ht="18" customHeight="1" x14ac:dyDescent="0.25">
      <c r="B19" s="170">
        <v>5</v>
      </c>
      <c r="C19" s="171" t="str">
        <f>Config!C9&amp;", "&amp;Config!D9</f>
        <v>Baumgarten, Annabell</v>
      </c>
      <c r="D19" s="180">
        <v>4</v>
      </c>
      <c r="E19" s="180">
        <v>2</v>
      </c>
      <c r="F19" s="180">
        <v>3</v>
      </c>
      <c r="G19" s="180">
        <v>0</v>
      </c>
      <c r="H19" s="181">
        <v>3</v>
      </c>
      <c r="I19" s="172">
        <f t="shared" si="0"/>
        <v>12</v>
      </c>
    </row>
    <row r="20" spans="2:9" s="256" customFormat="1" ht="13.2" customHeight="1" x14ac:dyDescent="0.2">
      <c r="B20" s="259"/>
      <c r="C20" s="263" t="s">
        <v>126</v>
      </c>
      <c r="D20" s="157"/>
      <c r="E20" s="157"/>
      <c r="F20" s="157"/>
      <c r="G20" s="157"/>
      <c r="H20" s="160"/>
      <c r="I20" s="258">
        <f>SUM(D20:H20)</f>
        <v>0</v>
      </c>
    </row>
    <row r="21" spans="2:9" s="256" customFormat="1" ht="13.2" customHeight="1" x14ac:dyDescent="0.2">
      <c r="B21" s="279"/>
      <c r="C21" s="280" t="s">
        <v>127</v>
      </c>
      <c r="D21" s="152"/>
      <c r="E21" s="152"/>
      <c r="F21" s="152"/>
      <c r="G21" s="152"/>
      <c r="H21" s="153"/>
      <c r="I21" s="257">
        <f>SUM(D21:H21)</f>
        <v>0</v>
      </c>
    </row>
    <row r="22" spans="2:9" ht="18" customHeight="1" x14ac:dyDescent="0.25">
      <c r="B22" s="167">
        <v>6</v>
      </c>
      <c r="C22" s="168" t="str">
        <f>Config!C10&amp;", "&amp;Config!D10</f>
        <v>Traut, Stefanie</v>
      </c>
      <c r="D22" s="178">
        <v>4</v>
      </c>
      <c r="E22" s="178">
        <v>3</v>
      </c>
      <c r="F22" s="178">
        <v>4</v>
      </c>
      <c r="G22" s="178">
        <v>2</v>
      </c>
      <c r="H22" s="179">
        <v>4</v>
      </c>
      <c r="I22" s="169">
        <f t="shared" si="0"/>
        <v>17</v>
      </c>
    </row>
    <row r="23" spans="2:9" s="256" customFormat="1" ht="13.2" customHeight="1" x14ac:dyDescent="0.2">
      <c r="B23" s="262"/>
      <c r="C23" s="264" t="s">
        <v>126</v>
      </c>
      <c r="D23" s="163"/>
      <c r="E23" s="163"/>
      <c r="F23" s="163"/>
      <c r="G23" s="163"/>
      <c r="H23" s="166"/>
      <c r="I23" s="261">
        <f>SUM(D23:H23)</f>
        <v>0</v>
      </c>
    </row>
    <row r="24" spans="2:9" s="256" customFormat="1" ht="13.2" customHeight="1" x14ac:dyDescent="0.2">
      <c r="B24" s="281"/>
      <c r="C24" s="282" t="s">
        <v>127</v>
      </c>
      <c r="D24" s="152"/>
      <c r="E24" s="152"/>
      <c r="F24" s="152"/>
      <c r="G24" s="152"/>
      <c r="H24" s="153"/>
      <c r="I24" s="260">
        <f>SUM(D24:H24)</f>
        <v>0</v>
      </c>
    </row>
    <row r="25" spans="2:9" ht="18" customHeight="1" x14ac:dyDescent="0.25">
      <c r="B25" s="170">
        <v>7</v>
      </c>
      <c r="C25" s="171" t="str">
        <f>Config!C11&amp;", "&amp;Config!D11</f>
        <v>Menke, Damian</v>
      </c>
      <c r="D25" s="180">
        <v>4</v>
      </c>
      <c r="E25" s="180">
        <v>3</v>
      </c>
      <c r="F25" s="180">
        <v>3.5</v>
      </c>
      <c r="G25" s="180">
        <v>0.5</v>
      </c>
      <c r="H25" s="181">
        <v>4</v>
      </c>
      <c r="I25" s="172">
        <f t="shared" si="0"/>
        <v>15</v>
      </c>
    </row>
    <row r="26" spans="2:9" s="256" customFormat="1" ht="13.2" customHeight="1" x14ac:dyDescent="0.2">
      <c r="B26" s="259"/>
      <c r="C26" s="263" t="s">
        <v>126</v>
      </c>
      <c r="D26" s="157"/>
      <c r="E26" s="157"/>
      <c r="F26" s="157"/>
      <c r="G26" s="157"/>
      <c r="H26" s="160"/>
      <c r="I26" s="258">
        <f>SUM(D26:H26)</f>
        <v>0</v>
      </c>
    </row>
    <row r="27" spans="2:9" s="256" customFormat="1" ht="13.2" customHeight="1" x14ac:dyDescent="0.2">
      <c r="B27" s="279"/>
      <c r="C27" s="280" t="s">
        <v>127</v>
      </c>
      <c r="D27" s="152"/>
      <c r="E27" s="152"/>
      <c r="F27" s="152"/>
      <c r="G27" s="152"/>
      <c r="H27" s="153"/>
      <c r="I27" s="257">
        <f>SUM(D27:H27)</f>
        <v>0</v>
      </c>
    </row>
    <row r="28" spans="2:9" ht="18" customHeight="1" x14ac:dyDescent="0.25">
      <c r="B28" s="167">
        <v>8</v>
      </c>
      <c r="C28" s="168" t="str">
        <f>Config!C12&amp;", "&amp;Config!D12</f>
        <v>Carroll, Meik</v>
      </c>
      <c r="D28" s="178">
        <v>3.5</v>
      </c>
      <c r="E28" s="178">
        <v>2</v>
      </c>
      <c r="F28" s="178">
        <v>3.5</v>
      </c>
      <c r="G28" s="178">
        <v>2</v>
      </c>
      <c r="H28" s="179">
        <v>2</v>
      </c>
      <c r="I28" s="169">
        <f t="shared" si="0"/>
        <v>13</v>
      </c>
    </row>
    <row r="29" spans="2:9" s="256" customFormat="1" ht="13.2" customHeight="1" x14ac:dyDescent="0.2">
      <c r="B29" s="262"/>
      <c r="C29" s="264" t="s">
        <v>126</v>
      </c>
      <c r="D29" s="163"/>
      <c r="E29" s="163"/>
      <c r="F29" s="163"/>
      <c r="G29" s="163"/>
      <c r="H29" s="166"/>
      <c r="I29" s="261">
        <f>SUM(D29:H29)</f>
        <v>0</v>
      </c>
    </row>
    <row r="30" spans="2:9" s="256" customFormat="1" ht="13.2" customHeight="1" x14ac:dyDescent="0.2">
      <c r="B30" s="281"/>
      <c r="C30" s="282" t="s">
        <v>127</v>
      </c>
      <c r="D30" s="152"/>
      <c r="E30" s="152"/>
      <c r="F30" s="152"/>
      <c r="G30" s="152"/>
      <c r="H30" s="153"/>
      <c r="I30" s="260">
        <f>SUM(D30:H30)</f>
        <v>0</v>
      </c>
    </row>
    <row r="31" spans="2:9" ht="18" customHeight="1" x14ac:dyDescent="0.25">
      <c r="B31" s="170">
        <v>9</v>
      </c>
      <c r="C31" s="171" t="str">
        <f>Config!C13&amp;", "&amp;Config!D13</f>
        <v>Hennings, Tomas</v>
      </c>
      <c r="D31" s="180">
        <v>2</v>
      </c>
      <c r="E31" s="180">
        <v>0</v>
      </c>
      <c r="F31" s="180">
        <v>1</v>
      </c>
      <c r="G31" s="180">
        <v>1</v>
      </c>
      <c r="H31" s="181">
        <v>0</v>
      </c>
      <c r="I31" s="172">
        <f t="shared" si="0"/>
        <v>4</v>
      </c>
    </row>
    <row r="32" spans="2:9" s="256" customFormat="1" ht="13.2" customHeight="1" x14ac:dyDescent="0.2">
      <c r="B32" s="259"/>
      <c r="C32" s="263" t="s">
        <v>126</v>
      </c>
      <c r="D32" s="157"/>
      <c r="E32" s="157"/>
      <c r="F32" s="157"/>
      <c r="G32" s="157"/>
      <c r="H32" s="160"/>
      <c r="I32" s="258">
        <f>SUM(D32:H32)</f>
        <v>0</v>
      </c>
    </row>
    <row r="33" spans="2:9" s="256" customFormat="1" ht="13.2" customHeight="1" x14ac:dyDescent="0.2">
      <c r="B33" s="279"/>
      <c r="C33" s="280" t="s">
        <v>127</v>
      </c>
      <c r="D33" s="152"/>
      <c r="E33" s="152"/>
      <c r="F33" s="152"/>
      <c r="G33" s="152"/>
      <c r="H33" s="153"/>
      <c r="I33" s="257">
        <f>SUM(D33:H33)</f>
        <v>0</v>
      </c>
    </row>
    <row r="34" spans="2:9" ht="18" customHeight="1" x14ac:dyDescent="0.25">
      <c r="B34" s="167">
        <v>10</v>
      </c>
      <c r="C34" s="168" t="str">
        <f>Config!C14&amp;", "&amp;Config!D14</f>
        <v>Walters, Linn</v>
      </c>
      <c r="D34" s="178">
        <v>2.5</v>
      </c>
      <c r="E34" s="178">
        <v>1</v>
      </c>
      <c r="F34" s="178">
        <v>3</v>
      </c>
      <c r="G34" s="178">
        <v>2</v>
      </c>
      <c r="H34" s="179">
        <v>0</v>
      </c>
      <c r="I34" s="169">
        <f t="shared" si="0"/>
        <v>8.5</v>
      </c>
    </row>
    <row r="35" spans="2:9" s="256" customFormat="1" ht="13.2" customHeight="1" x14ac:dyDescent="0.2">
      <c r="B35" s="262"/>
      <c r="C35" s="264" t="s">
        <v>126</v>
      </c>
      <c r="D35" s="163"/>
      <c r="E35" s="163"/>
      <c r="F35" s="163"/>
      <c r="G35" s="163"/>
      <c r="H35" s="166"/>
      <c r="I35" s="261">
        <f>SUM(D35:H35)</f>
        <v>0</v>
      </c>
    </row>
    <row r="36" spans="2:9" s="256" customFormat="1" ht="13.2" customHeight="1" x14ac:dyDescent="0.2">
      <c r="B36" s="281"/>
      <c r="C36" s="282" t="s">
        <v>127</v>
      </c>
      <c r="D36" s="152"/>
      <c r="E36" s="152"/>
      <c r="F36" s="152"/>
      <c r="G36" s="152"/>
      <c r="H36" s="153"/>
      <c r="I36" s="260">
        <f>SUM(D36:H36)</f>
        <v>0</v>
      </c>
    </row>
    <row r="37" spans="2:9" ht="18" customHeight="1" x14ac:dyDescent="0.25">
      <c r="B37" s="170">
        <v>11</v>
      </c>
      <c r="C37" s="171" t="str">
        <f>Config!C15&amp;", "&amp;Config!D15</f>
        <v>Junker, Amely</v>
      </c>
      <c r="D37" s="180">
        <v>4</v>
      </c>
      <c r="E37" s="180">
        <v>3</v>
      </c>
      <c r="F37" s="180">
        <v>2</v>
      </c>
      <c r="G37" s="180">
        <v>2</v>
      </c>
      <c r="H37" s="181">
        <v>2</v>
      </c>
      <c r="I37" s="172">
        <f t="shared" si="0"/>
        <v>13</v>
      </c>
    </row>
    <row r="38" spans="2:9" s="256" customFormat="1" ht="13.2" customHeight="1" x14ac:dyDescent="0.2">
      <c r="B38" s="259"/>
      <c r="C38" s="263" t="s">
        <v>126</v>
      </c>
      <c r="D38" s="157"/>
      <c r="E38" s="157"/>
      <c r="F38" s="157"/>
      <c r="G38" s="157"/>
      <c r="H38" s="160"/>
      <c r="I38" s="258">
        <f>SUM(D38:H38)</f>
        <v>0</v>
      </c>
    </row>
    <row r="39" spans="2:9" s="256" customFormat="1" ht="13.2" customHeight="1" x14ac:dyDescent="0.2">
      <c r="B39" s="279"/>
      <c r="C39" s="280" t="s">
        <v>127</v>
      </c>
      <c r="D39" s="152"/>
      <c r="E39" s="152"/>
      <c r="F39" s="152"/>
      <c r="G39" s="152"/>
      <c r="H39" s="153"/>
      <c r="I39" s="257">
        <f>SUM(D39:H39)</f>
        <v>0</v>
      </c>
    </row>
    <row r="40" spans="2:9" ht="18" customHeight="1" x14ac:dyDescent="0.25">
      <c r="B40" s="167">
        <v>12</v>
      </c>
      <c r="C40" s="168" t="str">
        <f>Config!C16&amp;", "&amp;Config!D16</f>
        <v>Stephens, Melvin</v>
      </c>
      <c r="D40" s="178">
        <v>4</v>
      </c>
      <c r="E40" s="178">
        <v>2</v>
      </c>
      <c r="F40" s="178">
        <v>3</v>
      </c>
      <c r="G40" s="178">
        <v>2</v>
      </c>
      <c r="H40" s="179">
        <v>2</v>
      </c>
      <c r="I40" s="169">
        <f t="shared" ref="I40:I70" si="1">SUM(D40:H40)</f>
        <v>13</v>
      </c>
    </row>
    <row r="41" spans="2:9" s="256" customFormat="1" ht="13.2" customHeight="1" x14ac:dyDescent="0.2">
      <c r="B41" s="262"/>
      <c r="C41" s="264" t="s">
        <v>126</v>
      </c>
      <c r="D41" s="163"/>
      <c r="E41" s="163"/>
      <c r="F41" s="163"/>
      <c r="G41" s="163"/>
      <c r="H41" s="166"/>
      <c r="I41" s="261">
        <f>SUM(D41:H41)</f>
        <v>0</v>
      </c>
    </row>
    <row r="42" spans="2:9" s="256" customFormat="1" ht="13.2" customHeight="1" x14ac:dyDescent="0.2">
      <c r="B42" s="281"/>
      <c r="C42" s="282" t="s">
        <v>127</v>
      </c>
      <c r="D42" s="152"/>
      <c r="E42" s="152"/>
      <c r="F42" s="152"/>
      <c r="G42" s="152"/>
      <c r="H42" s="153"/>
      <c r="I42" s="260">
        <f>SUM(D42:H42)</f>
        <v>0</v>
      </c>
    </row>
    <row r="43" spans="2:9" ht="18" customHeight="1" x14ac:dyDescent="0.25">
      <c r="B43" s="170">
        <v>13</v>
      </c>
      <c r="C43" s="171" t="str">
        <f>Config!C17&amp;", "&amp;Config!D17</f>
        <v>Cremer, Marvin</v>
      </c>
      <c r="D43" s="180">
        <v>3</v>
      </c>
      <c r="E43" s="180">
        <v>0</v>
      </c>
      <c r="F43" s="180">
        <v>0</v>
      </c>
      <c r="G43" s="180">
        <v>0</v>
      </c>
      <c r="H43" s="181">
        <v>0</v>
      </c>
      <c r="I43" s="172">
        <f t="shared" si="1"/>
        <v>3</v>
      </c>
    </row>
    <row r="44" spans="2:9" s="256" customFormat="1" ht="13.2" customHeight="1" x14ac:dyDescent="0.2">
      <c r="B44" s="259"/>
      <c r="C44" s="263" t="s">
        <v>126</v>
      </c>
      <c r="D44" s="157"/>
      <c r="E44" s="157"/>
      <c r="F44" s="157"/>
      <c r="G44" s="157"/>
      <c r="H44" s="160"/>
      <c r="I44" s="258">
        <f>SUM(D44:H44)</f>
        <v>0</v>
      </c>
    </row>
    <row r="45" spans="2:9" s="256" customFormat="1" ht="13.2" customHeight="1" x14ac:dyDescent="0.2">
      <c r="B45" s="279"/>
      <c r="C45" s="280" t="s">
        <v>127</v>
      </c>
      <c r="D45" s="152"/>
      <c r="E45" s="152"/>
      <c r="F45" s="152"/>
      <c r="G45" s="152"/>
      <c r="H45" s="153"/>
      <c r="I45" s="257">
        <f>SUM(D45:H45)</f>
        <v>0</v>
      </c>
    </row>
    <row r="46" spans="2:9" ht="18" customHeight="1" x14ac:dyDescent="0.25">
      <c r="B46" s="167">
        <v>14</v>
      </c>
      <c r="C46" s="168" t="str">
        <f>Config!C18&amp;", "&amp;Config!D18</f>
        <v>Nash, Jean</v>
      </c>
      <c r="D46" s="178">
        <v>4</v>
      </c>
      <c r="E46" s="178">
        <v>3</v>
      </c>
      <c r="F46" s="178">
        <v>2</v>
      </c>
      <c r="G46" s="178">
        <v>2</v>
      </c>
      <c r="H46" s="179">
        <v>3.5</v>
      </c>
      <c r="I46" s="169">
        <f t="shared" si="1"/>
        <v>14.5</v>
      </c>
    </row>
    <row r="47" spans="2:9" s="256" customFormat="1" ht="13.2" customHeight="1" x14ac:dyDescent="0.2">
      <c r="B47" s="262"/>
      <c r="C47" s="264" t="s">
        <v>126</v>
      </c>
      <c r="D47" s="163"/>
      <c r="E47" s="163"/>
      <c r="F47" s="163"/>
      <c r="G47" s="163"/>
      <c r="H47" s="166"/>
      <c r="I47" s="261">
        <f>SUM(D47:H47)</f>
        <v>0</v>
      </c>
    </row>
    <row r="48" spans="2:9" s="256" customFormat="1" ht="13.2" customHeight="1" x14ac:dyDescent="0.2">
      <c r="B48" s="281"/>
      <c r="C48" s="282" t="s">
        <v>127</v>
      </c>
      <c r="D48" s="152"/>
      <c r="E48" s="152"/>
      <c r="F48" s="152"/>
      <c r="G48" s="152"/>
      <c r="H48" s="153"/>
      <c r="I48" s="260">
        <f>SUM(D48:H48)</f>
        <v>0</v>
      </c>
    </row>
    <row r="49" spans="2:9" ht="18" customHeight="1" x14ac:dyDescent="0.25">
      <c r="B49" s="170">
        <v>15</v>
      </c>
      <c r="C49" s="171" t="str">
        <f>Config!C19&amp;", "&amp;Config!D19</f>
        <v>Schön, Leonardo</v>
      </c>
      <c r="D49" s="180">
        <v>4</v>
      </c>
      <c r="E49" s="180">
        <v>1</v>
      </c>
      <c r="F49" s="180">
        <v>1</v>
      </c>
      <c r="G49" s="180">
        <v>0.5</v>
      </c>
      <c r="H49" s="181">
        <v>0</v>
      </c>
      <c r="I49" s="172">
        <f t="shared" si="1"/>
        <v>6.5</v>
      </c>
    </row>
    <row r="50" spans="2:9" s="256" customFormat="1" ht="13.2" customHeight="1" x14ac:dyDescent="0.2">
      <c r="B50" s="259"/>
      <c r="C50" s="263" t="s">
        <v>126</v>
      </c>
      <c r="D50" s="157"/>
      <c r="E50" s="157"/>
      <c r="F50" s="157"/>
      <c r="G50" s="157"/>
      <c r="H50" s="160"/>
      <c r="I50" s="258">
        <f>SUM(D50:H50)</f>
        <v>0</v>
      </c>
    </row>
    <row r="51" spans="2:9" s="256" customFormat="1" ht="13.2" customHeight="1" x14ac:dyDescent="0.2">
      <c r="B51" s="279"/>
      <c r="C51" s="280" t="s">
        <v>127</v>
      </c>
      <c r="D51" s="152"/>
      <c r="E51" s="152"/>
      <c r="F51" s="152"/>
      <c r="G51" s="152"/>
      <c r="H51" s="153"/>
      <c r="I51" s="257">
        <f>SUM(D51:H51)</f>
        <v>0</v>
      </c>
    </row>
    <row r="52" spans="2:9" ht="18" customHeight="1" x14ac:dyDescent="0.25">
      <c r="B52" s="167">
        <v>16</v>
      </c>
      <c r="C52" s="168" t="str">
        <f>Config!C20&amp;", "&amp;Config!D20</f>
        <v>Sigl, Nicholas</v>
      </c>
      <c r="D52" s="178">
        <v>4</v>
      </c>
      <c r="E52" s="178">
        <v>0.5</v>
      </c>
      <c r="F52" s="178">
        <v>1</v>
      </c>
      <c r="G52" s="178">
        <v>0.5</v>
      </c>
      <c r="H52" s="179">
        <v>0</v>
      </c>
      <c r="I52" s="169">
        <f t="shared" si="1"/>
        <v>6</v>
      </c>
    </row>
    <row r="53" spans="2:9" s="256" customFormat="1" ht="13.2" customHeight="1" x14ac:dyDescent="0.2">
      <c r="B53" s="262"/>
      <c r="C53" s="264" t="s">
        <v>126</v>
      </c>
      <c r="D53" s="163"/>
      <c r="E53" s="163"/>
      <c r="F53" s="163"/>
      <c r="G53" s="163"/>
      <c r="H53" s="166"/>
      <c r="I53" s="261">
        <f>SUM(D53:H53)</f>
        <v>0</v>
      </c>
    </row>
    <row r="54" spans="2:9" s="256" customFormat="1" ht="13.2" customHeight="1" x14ac:dyDescent="0.2">
      <c r="B54" s="281"/>
      <c r="C54" s="282" t="s">
        <v>127</v>
      </c>
      <c r="D54" s="152"/>
      <c r="E54" s="152"/>
      <c r="F54" s="152"/>
      <c r="G54" s="152"/>
      <c r="H54" s="153"/>
      <c r="I54" s="260">
        <f>SUM(D54:H54)</f>
        <v>0</v>
      </c>
    </row>
    <row r="55" spans="2:9" ht="18" customHeight="1" x14ac:dyDescent="0.25">
      <c r="B55" s="170">
        <v>17</v>
      </c>
      <c r="C55" s="171" t="str">
        <f>Config!C21&amp;", "&amp;Config!D21</f>
        <v>Kainz, Vivienne</v>
      </c>
      <c r="D55" s="180">
        <v>2</v>
      </c>
      <c r="E55" s="180">
        <v>0</v>
      </c>
      <c r="F55" s="180">
        <v>1</v>
      </c>
      <c r="G55" s="180">
        <v>1.5</v>
      </c>
      <c r="H55" s="181">
        <v>0</v>
      </c>
      <c r="I55" s="172">
        <f t="shared" si="1"/>
        <v>4.5</v>
      </c>
    </row>
    <row r="56" spans="2:9" s="256" customFormat="1" ht="13.2" customHeight="1" x14ac:dyDescent="0.2">
      <c r="B56" s="259"/>
      <c r="C56" s="263" t="s">
        <v>126</v>
      </c>
      <c r="D56" s="157"/>
      <c r="E56" s="157"/>
      <c r="F56" s="157"/>
      <c r="G56" s="157"/>
      <c r="H56" s="160"/>
      <c r="I56" s="258">
        <f>SUM(D56:H56)</f>
        <v>0</v>
      </c>
    </row>
    <row r="57" spans="2:9" s="256" customFormat="1" ht="13.2" customHeight="1" x14ac:dyDescent="0.2">
      <c r="B57" s="279"/>
      <c r="C57" s="280" t="s">
        <v>127</v>
      </c>
      <c r="D57" s="152"/>
      <c r="E57" s="152"/>
      <c r="F57" s="152"/>
      <c r="G57" s="152"/>
      <c r="H57" s="153"/>
      <c r="I57" s="257">
        <f>SUM(D57:H57)</f>
        <v>0</v>
      </c>
    </row>
    <row r="58" spans="2:9" ht="18" customHeight="1" x14ac:dyDescent="0.25">
      <c r="B58" s="167">
        <v>18</v>
      </c>
      <c r="C58" s="168" t="str">
        <f>Config!C22&amp;", "&amp;Config!D22</f>
        <v>Hartmann, Mads</v>
      </c>
      <c r="D58" s="178">
        <v>4</v>
      </c>
      <c r="E58" s="178">
        <v>3</v>
      </c>
      <c r="F58" s="178">
        <v>3</v>
      </c>
      <c r="G58" s="178">
        <v>0</v>
      </c>
      <c r="H58" s="179">
        <v>4</v>
      </c>
      <c r="I58" s="169">
        <f t="shared" si="1"/>
        <v>14</v>
      </c>
    </row>
    <row r="59" spans="2:9" s="256" customFormat="1" ht="13.2" customHeight="1" x14ac:dyDescent="0.2">
      <c r="B59" s="262"/>
      <c r="C59" s="264" t="s">
        <v>126</v>
      </c>
      <c r="D59" s="163"/>
      <c r="E59" s="163"/>
      <c r="F59" s="163"/>
      <c r="G59" s="163"/>
      <c r="H59" s="166"/>
      <c r="I59" s="261">
        <f>SUM(D59:H59)</f>
        <v>0</v>
      </c>
    </row>
    <row r="60" spans="2:9" s="256" customFormat="1" ht="13.2" customHeight="1" x14ac:dyDescent="0.2">
      <c r="B60" s="281"/>
      <c r="C60" s="282" t="s">
        <v>127</v>
      </c>
      <c r="D60" s="152"/>
      <c r="E60" s="152"/>
      <c r="F60" s="152"/>
      <c r="G60" s="152"/>
      <c r="H60" s="153"/>
      <c r="I60" s="260">
        <f>SUM(D60:H60)</f>
        <v>0</v>
      </c>
    </row>
    <row r="61" spans="2:9" ht="18" customHeight="1" x14ac:dyDescent="0.25">
      <c r="B61" s="170">
        <v>19</v>
      </c>
      <c r="C61" s="171" t="str">
        <f>Config!C23&amp;", "&amp;Config!D23</f>
        <v>Ullmann, Raphael</v>
      </c>
      <c r="D61" s="180">
        <v>4</v>
      </c>
      <c r="E61" s="180">
        <v>1</v>
      </c>
      <c r="F61" s="180">
        <v>3</v>
      </c>
      <c r="G61" s="180">
        <v>2</v>
      </c>
      <c r="H61" s="181">
        <v>3.5</v>
      </c>
      <c r="I61" s="172">
        <f t="shared" si="1"/>
        <v>13.5</v>
      </c>
    </row>
    <row r="62" spans="2:9" s="256" customFormat="1" ht="13.2" customHeight="1" x14ac:dyDescent="0.2">
      <c r="B62" s="259"/>
      <c r="C62" s="263" t="s">
        <v>126</v>
      </c>
      <c r="D62" s="157"/>
      <c r="E62" s="157"/>
      <c r="F62" s="157"/>
      <c r="G62" s="157"/>
      <c r="H62" s="160"/>
      <c r="I62" s="258">
        <f>SUM(D62:H62)</f>
        <v>0</v>
      </c>
    </row>
    <row r="63" spans="2:9" s="256" customFormat="1" ht="13.2" customHeight="1" x14ac:dyDescent="0.2">
      <c r="B63" s="279"/>
      <c r="C63" s="280" t="s">
        <v>127</v>
      </c>
      <c r="D63" s="152"/>
      <c r="E63" s="152"/>
      <c r="F63" s="152"/>
      <c r="G63" s="152"/>
      <c r="H63" s="153"/>
      <c r="I63" s="257">
        <f>SUM(D63:H63)</f>
        <v>0</v>
      </c>
    </row>
    <row r="64" spans="2:9" ht="18" customHeight="1" x14ac:dyDescent="0.25">
      <c r="B64" s="167">
        <v>20</v>
      </c>
      <c r="C64" s="168" t="str">
        <f>Config!C24&amp;", "&amp;Config!D24</f>
        <v>Hartl, Emmely</v>
      </c>
      <c r="D64" s="178">
        <v>4</v>
      </c>
      <c r="E64" s="178">
        <v>2</v>
      </c>
      <c r="F64" s="178">
        <v>3</v>
      </c>
      <c r="G64" s="178">
        <v>2</v>
      </c>
      <c r="H64" s="179">
        <v>4</v>
      </c>
      <c r="I64" s="169">
        <f t="shared" si="1"/>
        <v>15</v>
      </c>
    </row>
    <row r="65" spans="2:9" s="256" customFormat="1" ht="13.2" customHeight="1" x14ac:dyDescent="0.2">
      <c r="B65" s="262"/>
      <c r="C65" s="264" t="s">
        <v>126</v>
      </c>
      <c r="D65" s="163"/>
      <c r="E65" s="163"/>
      <c r="F65" s="163"/>
      <c r="G65" s="163"/>
      <c r="H65" s="166"/>
      <c r="I65" s="261">
        <f>SUM(D65:H65)</f>
        <v>0</v>
      </c>
    </row>
    <row r="66" spans="2:9" s="256" customFormat="1" ht="13.2" customHeight="1" x14ac:dyDescent="0.2">
      <c r="B66" s="281"/>
      <c r="C66" s="282" t="s">
        <v>127</v>
      </c>
      <c r="D66" s="152"/>
      <c r="E66" s="152"/>
      <c r="F66" s="152"/>
      <c r="G66" s="152"/>
      <c r="H66" s="153"/>
      <c r="I66" s="260">
        <f>SUM(D66:H66)</f>
        <v>0</v>
      </c>
    </row>
    <row r="67" spans="2:9" ht="18" customHeight="1" x14ac:dyDescent="0.25">
      <c r="B67" s="170">
        <v>21</v>
      </c>
      <c r="C67" s="171" t="str">
        <f>Config!C25&amp;", "&amp;Config!D25</f>
        <v>Klotz, Karin</v>
      </c>
      <c r="D67" s="180">
        <v>4</v>
      </c>
      <c r="E67" s="180">
        <v>3</v>
      </c>
      <c r="F67" s="180">
        <v>4</v>
      </c>
      <c r="G67" s="180">
        <v>2</v>
      </c>
      <c r="H67" s="181">
        <v>3</v>
      </c>
      <c r="I67" s="172">
        <f t="shared" si="1"/>
        <v>16</v>
      </c>
    </row>
    <row r="68" spans="2:9" s="256" customFormat="1" ht="13.2" customHeight="1" x14ac:dyDescent="0.2">
      <c r="B68" s="259"/>
      <c r="C68" s="263" t="s">
        <v>126</v>
      </c>
      <c r="D68" s="157"/>
      <c r="E68" s="157"/>
      <c r="F68" s="157"/>
      <c r="G68" s="157"/>
      <c r="H68" s="160"/>
      <c r="I68" s="258">
        <f>SUM(D68:H68)</f>
        <v>0</v>
      </c>
    </row>
    <row r="69" spans="2:9" s="256" customFormat="1" ht="13.2" customHeight="1" x14ac:dyDescent="0.2">
      <c r="B69" s="279"/>
      <c r="C69" s="280" t="s">
        <v>127</v>
      </c>
      <c r="D69" s="152"/>
      <c r="E69" s="152"/>
      <c r="F69" s="152"/>
      <c r="G69" s="152"/>
      <c r="H69" s="153"/>
      <c r="I69" s="257">
        <f>SUM(D69:H69)</f>
        <v>0</v>
      </c>
    </row>
    <row r="70" spans="2:9" ht="18" customHeight="1" x14ac:dyDescent="0.25">
      <c r="B70" s="167">
        <v>22</v>
      </c>
      <c r="C70" s="168" t="str">
        <f>Config!C26&amp;", "&amp;Config!D26</f>
        <v>Ehlers, Ingo</v>
      </c>
      <c r="D70" s="178">
        <v>4</v>
      </c>
      <c r="E70" s="178">
        <v>2</v>
      </c>
      <c r="F70" s="178">
        <v>4</v>
      </c>
      <c r="G70" s="178">
        <v>2</v>
      </c>
      <c r="H70" s="179">
        <v>2.5</v>
      </c>
      <c r="I70" s="169">
        <f t="shared" si="1"/>
        <v>14.5</v>
      </c>
    </row>
    <row r="71" spans="2:9" s="256" customFormat="1" ht="13.2" customHeight="1" x14ac:dyDescent="0.2">
      <c r="B71" s="262"/>
      <c r="C71" s="264" t="s">
        <v>126</v>
      </c>
      <c r="D71" s="163"/>
      <c r="E71" s="163"/>
      <c r="F71" s="163"/>
      <c r="G71" s="163"/>
      <c r="H71" s="166"/>
      <c r="I71" s="261">
        <f>SUM(D71:H71)</f>
        <v>0</v>
      </c>
    </row>
    <row r="72" spans="2:9" s="256" customFormat="1" ht="13.2" customHeight="1" x14ac:dyDescent="0.2">
      <c r="B72" s="281"/>
      <c r="C72" s="282" t="s">
        <v>127</v>
      </c>
      <c r="D72" s="152"/>
      <c r="E72" s="152"/>
      <c r="F72" s="152"/>
      <c r="G72" s="152"/>
      <c r="H72" s="153"/>
      <c r="I72" s="260">
        <f>SUM(D72:H72)</f>
        <v>0</v>
      </c>
    </row>
    <row r="73" spans="2:9" ht="18" customHeight="1" x14ac:dyDescent="0.25">
      <c r="B73" s="170">
        <v>23</v>
      </c>
      <c r="C73" s="171" t="str">
        <f>Config!C27&amp;", "&amp;Config!D27</f>
        <v>Lindemann, Mads</v>
      </c>
      <c r="D73" s="180">
        <v>4</v>
      </c>
      <c r="E73" s="180">
        <v>0</v>
      </c>
      <c r="F73" s="180">
        <v>2</v>
      </c>
      <c r="G73" s="180">
        <v>0.5</v>
      </c>
      <c r="H73" s="181">
        <v>0</v>
      </c>
      <c r="I73" s="172">
        <f t="shared" ref="I73" si="2">SUM(D73:H73)</f>
        <v>6.5</v>
      </c>
    </row>
    <row r="74" spans="2:9" s="256" customFormat="1" ht="13.2" customHeight="1" x14ac:dyDescent="0.2">
      <c r="B74" s="259"/>
      <c r="C74" s="263" t="s">
        <v>126</v>
      </c>
      <c r="D74" s="157"/>
      <c r="E74" s="157"/>
      <c r="F74" s="157"/>
      <c r="G74" s="157"/>
      <c r="H74" s="160"/>
      <c r="I74" s="258">
        <f>SUM(D74:H74)</f>
        <v>0</v>
      </c>
    </row>
    <row r="75" spans="2:9" s="256" customFormat="1" ht="13.2" customHeight="1" thickBot="1" x14ac:dyDescent="0.25">
      <c r="B75" s="279"/>
      <c r="C75" s="280" t="s">
        <v>127</v>
      </c>
      <c r="D75" s="152"/>
      <c r="E75" s="152"/>
      <c r="F75" s="152"/>
      <c r="G75" s="152"/>
      <c r="H75" s="153"/>
      <c r="I75" s="257">
        <f>SUM(D75:H75)</f>
        <v>0</v>
      </c>
    </row>
    <row r="76" spans="2:9" ht="18" customHeight="1" thickBot="1" x14ac:dyDescent="0.3">
      <c r="B76" s="173"/>
      <c r="C76" s="174"/>
      <c r="D76" s="174">
        <f>IF(COUNTIFS(D7:D73,"&lt;&gt;",C7:C73,"&lt;&gt;ZK",C7:C73,"&lt;&gt;DK")&lt;&gt;0,SUMIFS(D7:D73,C7:C73,"&lt;&gt;ZK",C7:C73,"&lt;&gt;DK")/(COUNTIFS(D7:D73,"&lt;&gt;",C7:C73,"&lt;&gt;ZK",C7:C73,"&lt;&gt;DK")*D6),0)</f>
        <v>0.92391304347826086</v>
      </c>
      <c r="E76" s="174">
        <f>IF(COUNTIFS(E7:E73,"&lt;&gt;",C7:C73,"&lt;&gt;ZK",C7:C73,"&lt;&gt;DK")&lt;&gt;0,SUMIFS(E7:E73,C7:C73,"&lt;&gt;ZK",C7:C73,"&lt;&gt;DK")/(COUNTIFS(E7:E73,"&lt;&gt;",C7:C73,"&lt;&gt;ZK",C7:C73,"&lt;&gt;DK")*E6),0)</f>
        <v>0.54347826086956519</v>
      </c>
      <c r="F76" s="174">
        <f>IF(COUNTIFS(F7:F73,"&lt;&gt;",C7:C73,"&lt;&gt;ZK",C7:C73,"&lt;&gt;DK")&lt;&gt;0,SUMIFS(F7:F73,C7:C73,"&lt;&gt;ZK",C7:C73,"&lt;&gt;DK")/(COUNTIFS(F7:F73,"&lt;&gt;",C7:C73,"&lt;&gt;ZK",C7:C73,"&lt;&gt;DK")*F6),0)</f>
        <v>0.63043478260869568</v>
      </c>
      <c r="G76" s="174">
        <f>IF(COUNTIFS(G7:G73,"&lt;&gt;",C7:C73,"&lt;&gt;ZK",C7:C73,"&lt;&gt;DK")&lt;&gt;0,SUMIFS(G7:G73,C7:C73,"&lt;&gt;ZK",C7:C73,"&lt;&gt;DK")/(COUNTIFS(G7:G73,"&lt;&gt;",C7:C73,"&lt;&gt;ZK",C7:C73,"&lt;&gt;DK")*G6),0)</f>
        <v>0.39855072463768115</v>
      </c>
      <c r="H76" s="174">
        <f>IF(COUNTIFS(H7:H73,"&lt;&gt;",C7:C73,"&lt;&gt;ZK",C7:C73,"&lt;&gt;DK")&lt;&gt;0,SUMIFS(H7:H73,C7:C73,"&lt;&gt;ZK",C7:C73,"&lt;&gt;DK")/(COUNTIFS(H7:H73,"&lt;&gt;",C7:C73,"&lt;&gt;ZK",C7:C73,"&lt;&gt;DK")*H6),0)</f>
        <v>0.51086956521739135</v>
      </c>
      <c r="I76" s="175"/>
    </row>
    <row r="77" spans="2:9" ht="18" customHeight="1" x14ac:dyDescent="0.25"/>
    <row r="78" spans="2:9" ht="18" customHeight="1" x14ac:dyDescent="0.25"/>
    <row r="79" spans="2:9" ht="18" customHeight="1" x14ac:dyDescent="0.25"/>
    <row r="80" spans="2:9"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sheetProtection sheet="1" objects="1" scenarios="1" selectLockedCells="1"/>
  <dataValidations count="5">
    <dataValidation type="decimal" allowBlank="1" showErrorMessage="1" sqref="D7:D75" xr:uid="{7539F855-6E01-4600-B5E2-33D2E0346948}">
      <formula1>0</formula1>
      <formula2>$D$6</formula2>
    </dataValidation>
    <dataValidation type="decimal" allowBlank="1" showErrorMessage="1" sqref="E7:E75" xr:uid="{38B35D7C-C11B-4394-AFAE-2ED2E6F8C8D6}">
      <formula1>0</formula1>
      <formula2>$E$6</formula2>
    </dataValidation>
    <dataValidation type="decimal" allowBlank="1" showErrorMessage="1" sqref="F7:F75" xr:uid="{C1CD3525-9CC7-4225-9DA9-ECB9F9CFD959}">
      <formula1>0</formula1>
      <formula2>$F$6</formula2>
    </dataValidation>
    <dataValidation type="decimal" allowBlank="1" showErrorMessage="1" sqref="G7:G75" xr:uid="{02447C01-EE5D-437A-AA75-2A8BD4B0DF58}">
      <formula1>0</formula1>
      <formula2>$G$6</formula2>
    </dataValidation>
    <dataValidation type="decimal" allowBlank="1" showErrorMessage="1" sqref="H7:H75" xr:uid="{296A63BE-03AE-4D7D-A18C-94B27708607F}">
      <formula1>0</formula1>
      <formula2>$H$6</formula2>
    </dataValidation>
  </dataValidations>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4B3D3B-2B32-4058-AC6A-E4CEA67A1656}">
  <sheetPr codeName="Tabelle7">
    <tabColor rgb="FF92D050"/>
  </sheetPr>
  <dimension ref="B1:I100"/>
  <sheetViews>
    <sheetView workbookViewId="0">
      <selection activeCell="D8" sqref="D8"/>
    </sheetView>
  </sheetViews>
  <sheetFormatPr baseColWidth="10" defaultColWidth="11.5546875" defaultRowHeight="13.2" x14ac:dyDescent="0.25"/>
  <cols>
    <col min="1" max="2" width="3.44140625" style="96" customWidth="1"/>
    <col min="3" max="3" width="25.6640625" style="96" customWidth="1"/>
    <col min="4" max="9" width="8.6640625" style="96" customWidth="1"/>
    <col min="10" max="16384" width="11.5546875" style="96"/>
  </cols>
  <sheetData>
    <row r="1" spans="2:9" ht="18" customHeight="1" thickBot="1" x14ac:dyDescent="0.3"/>
    <row r="2" spans="2:9" ht="18" customHeight="1" x14ac:dyDescent="0.25">
      <c r="B2" s="97" t="str">
        <f>Config!F2&amp;" "&amp;YEAR(Config!G24)</f>
        <v>Mathe Abitur 2026</v>
      </c>
      <c r="C2" s="98"/>
      <c r="D2" s="98"/>
      <c r="E2" s="98"/>
      <c r="F2" s="99"/>
      <c r="G2" s="99"/>
      <c r="H2" s="99"/>
      <c r="I2" s="100" t="str">
        <f>"Kurs "&amp;Config!G26</f>
        <v>Kurs K1</v>
      </c>
    </row>
    <row r="3" spans="2:9" ht="18" customHeight="1" x14ac:dyDescent="0.25">
      <c r="B3" s="101" t="s">
        <v>112</v>
      </c>
      <c r="C3" s="102"/>
      <c r="D3" s="102"/>
      <c r="E3" s="102"/>
      <c r="F3" s="102"/>
      <c r="G3" s="102"/>
      <c r="H3" s="102"/>
      <c r="I3" s="103"/>
    </row>
    <row r="4" spans="2:9" ht="18" customHeight="1" thickBot="1" x14ac:dyDescent="0.3">
      <c r="B4" s="101"/>
      <c r="C4" s="102"/>
      <c r="D4" s="104"/>
      <c r="E4" s="104"/>
      <c r="F4" s="104"/>
      <c r="G4" s="104"/>
      <c r="H4" s="104"/>
      <c r="I4" s="105"/>
    </row>
    <row r="5" spans="2:9" ht="18" customHeight="1" thickBot="1" x14ac:dyDescent="0.3">
      <c r="B5" s="106"/>
      <c r="C5" s="108"/>
      <c r="D5" s="118" t="str">
        <f>Config!R6</f>
        <v>6</v>
      </c>
      <c r="E5" s="118" t="str">
        <f>Config!R7</f>
        <v>7a</v>
      </c>
      <c r="F5" s="118" t="str">
        <f>Config!R8</f>
        <v>7b</v>
      </c>
      <c r="G5" s="118" t="str">
        <f>Config!R9</f>
        <v>8</v>
      </c>
      <c r="H5" s="118" t="str">
        <f>Config!R10</f>
        <v>9</v>
      </c>
      <c r="I5" s="112" t="s">
        <v>82</v>
      </c>
    </row>
    <row r="6" spans="2:9" ht="18" customHeight="1" thickBot="1" x14ac:dyDescent="0.3">
      <c r="B6" s="107"/>
      <c r="C6" s="109" t="s">
        <v>81</v>
      </c>
      <c r="D6" s="111">
        <f>Config!S6</f>
        <v>5</v>
      </c>
      <c r="E6" s="111">
        <f>Config!S7</f>
        <v>2</v>
      </c>
      <c r="F6" s="111">
        <f>Config!S8</f>
        <v>3</v>
      </c>
      <c r="G6" s="111">
        <f>Config!S9</f>
        <v>5</v>
      </c>
      <c r="H6" s="111">
        <f>Config!S10</f>
        <v>5</v>
      </c>
      <c r="I6" s="119">
        <f>Config!S21</f>
        <v>10</v>
      </c>
    </row>
    <row r="7" spans="2:9" ht="18" customHeight="1" x14ac:dyDescent="0.25">
      <c r="B7" s="154">
        <v>1</v>
      </c>
      <c r="C7" s="155" t="str">
        <f>Config!C5&amp;", "&amp;Config!D5</f>
        <v>Höfer, Simon</v>
      </c>
      <c r="D7" s="176">
        <v>3</v>
      </c>
      <c r="E7" s="176">
        <v>2</v>
      </c>
      <c r="F7" s="176">
        <v>2</v>
      </c>
      <c r="G7" s="271"/>
      <c r="H7" s="272"/>
      <c r="I7" s="156">
        <f t="shared" ref="I7:I37" si="0">SUM(D7:H7)</f>
        <v>7</v>
      </c>
    </row>
    <row r="8" spans="2:9" s="256" customFormat="1" ht="13.2" customHeight="1" x14ac:dyDescent="0.2">
      <c r="B8" s="259"/>
      <c r="C8" s="263" t="s">
        <v>126</v>
      </c>
      <c r="D8" s="157"/>
      <c r="E8" s="157"/>
      <c r="F8" s="157"/>
      <c r="G8" s="269"/>
      <c r="H8" s="273"/>
      <c r="I8" s="258">
        <f>SUM(D8:H8)</f>
        <v>0</v>
      </c>
    </row>
    <row r="9" spans="2:9" s="256" customFormat="1" ht="13.2" customHeight="1" x14ac:dyDescent="0.2">
      <c r="B9" s="279"/>
      <c r="C9" s="280" t="s">
        <v>127</v>
      </c>
      <c r="D9" s="152"/>
      <c r="E9" s="152"/>
      <c r="F9" s="152"/>
      <c r="G9" s="265"/>
      <c r="H9" s="266"/>
      <c r="I9" s="257">
        <f>SUM(D9:H9)</f>
        <v>0</v>
      </c>
    </row>
    <row r="10" spans="2:9" ht="18" customHeight="1" x14ac:dyDescent="0.25">
      <c r="B10" s="167">
        <v>2</v>
      </c>
      <c r="C10" s="168" t="str">
        <f>Config!C6&amp;", "&amp;Config!D6</f>
        <v>Töpfer, Lilian</v>
      </c>
      <c r="D10" s="178">
        <v>4</v>
      </c>
      <c r="E10" s="277"/>
      <c r="F10" s="277"/>
      <c r="G10" s="178">
        <v>4</v>
      </c>
      <c r="H10" s="278"/>
      <c r="I10" s="169">
        <f t="shared" si="0"/>
        <v>8</v>
      </c>
    </row>
    <row r="11" spans="2:9" s="256" customFormat="1" ht="13.2" customHeight="1" x14ac:dyDescent="0.2">
      <c r="B11" s="262"/>
      <c r="C11" s="264" t="s">
        <v>126</v>
      </c>
      <c r="D11" s="163"/>
      <c r="E11" s="270"/>
      <c r="F11" s="270"/>
      <c r="G11" s="163"/>
      <c r="H11" s="274"/>
      <c r="I11" s="261">
        <f>SUM(D11:H11)</f>
        <v>0</v>
      </c>
    </row>
    <row r="12" spans="2:9" s="256" customFormat="1" ht="13.2" customHeight="1" x14ac:dyDescent="0.2">
      <c r="B12" s="281"/>
      <c r="C12" s="282" t="s">
        <v>127</v>
      </c>
      <c r="D12" s="152"/>
      <c r="E12" s="267"/>
      <c r="F12" s="267"/>
      <c r="G12" s="152"/>
      <c r="H12" s="268"/>
      <c r="I12" s="260">
        <f>SUM(D12:H12)</f>
        <v>0</v>
      </c>
    </row>
    <row r="13" spans="2:9" ht="18" customHeight="1" x14ac:dyDescent="0.25">
      <c r="B13" s="170">
        <v>3</v>
      </c>
      <c r="C13" s="171" t="str">
        <f>Config!C7&amp;", "&amp;Config!D7</f>
        <v>Fleischmann, Leonie</v>
      </c>
      <c r="D13" s="275"/>
      <c r="E13" s="275"/>
      <c r="F13" s="275"/>
      <c r="G13" s="180">
        <v>5</v>
      </c>
      <c r="H13" s="181">
        <v>3</v>
      </c>
      <c r="I13" s="172">
        <f t="shared" si="0"/>
        <v>8</v>
      </c>
    </row>
    <row r="14" spans="2:9" s="256" customFormat="1" ht="13.2" customHeight="1" x14ac:dyDescent="0.2">
      <c r="B14" s="259"/>
      <c r="C14" s="263" t="s">
        <v>126</v>
      </c>
      <c r="D14" s="269"/>
      <c r="E14" s="269"/>
      <c r="F14" s="269"/>
      <c r="G14" s="157"/>
      <c r="H14" s="160"/>
      <c r="I14" s="258">
        <f>SUM(D14:H14)</f>
        <v>0</v>
      </c>
    </row>
    <row r="15" spans="2:9" s="256" customFormat="1" ht="13.2" customHeight="1" x14ac:dyDescent="0.2">
      <c r="B15" s="279"/>
      <c r="C15" s="280" t="s">
        <v>127</v>
      </c>
      <c r="D15" s="265"/>
      <c r="E15" s="265"/>
      <c r="F15" s="265"/>
      <c r="G15" s="152"/>
      <c r="H15" s="153"/>
      <c r="I15" s="257">
        <f>SUM(D15:H15)</f>
        <v>0</v>
      </c>
    </row>
    <row r="16" spans="2:9" ht="18" customHeight="1" x14ac:dyDescent="0.25">
      <c r="B16" s="167">
        <v>4</v>
      </c>
      <c r="C16" s="168" t="str">
        <f>Config!C8&amp;", "&amp;Config!D8</f>
        <v>Drescher, Cedric</v>
      </c>
      <c r="D16" s="178">
        <v>1</v>
      </c>
      <c r="E16" s="178">
        <v>2</v>
      </c>
      <c r="F16" s="178">
        <v>3</v>
      </c>
      <c r="G16" s="277"/>
      <c r="H16" s="278"/>
      <c r="I16" s="169">
        <f t="shared" si="0"/>
        <v>6</v>
      </c>
    </row>
    <row r="17" spans="2:9" s="256" customFormat="1" ht="13.2" customHeight="1" x14ac:dyDescent="0.2">
      <c r="B17" s="262"/>
      <c r="C17" s="264" t="s">
        <v>126</v>
      </c>
      <c r="D17" s="163"/>
      <c r="E17" s="163"/>
      <c r="F17" s="163"/>
      <c r="G17" s="270"/>
      <c r="H17" s="274"/>
      <c r="I17" s="261">
        <f>SUM(D17:H17)</f>
        <v>0</v>
      </c>
    </row>
    <row r="18" spans="2:9" s="256" customFormat="1" ht="13.2" customHeight="1" x14ac:dyDescent="0.2">
      <c r="B18" s="281"/>
      <c r="C18" s="282" t="s">
        <v>127</v>
      </c>
      <c r="D18" s="152"/>
      <c r="E18" s="152"/>
      <c r="F18" s="152"/>
      <c r="G18" s="267"/>
      <c r="H18" s="268"/>
      <c r="I18" s="260">
        <f>SUM(D18:H18)</f>
        <v>0</v>
      </c>
    </row>
    <row r="19" spans="2:9" ht="18" customHeight="1" x14ac:dyDescent="0.25">
      <c r="B19" s="170">
        <v>5</v>
      </c>
      <c r="C19" s="171" t="str">
        <f>Config!C9&amp;", "&amp;Config!D9</f>
        <v>Baumgarten, Annabell</v>
      </c>
      <c r="D19" s="180">
        <v>1</v>
      </c>
      <c r="E19" s="275"/>
      <c r="F19" s="275"/>
      <c r="G19" s="180">
        <v>5</v>
      </c>
      <c r="H19" s="276"/>
      <c r="I19" s="172">
        <f t="shared" si="0"/>
        <v>6</v>
      </c>
    </row>
    <row r="20" spans="2:9" s="256" customFormat="1" ht="13.2" customHeight="1" x14ac:dyDescent="0.2">
      <c r="B20" s="259"/>
      <c r="C20" s="263" t="s">
        <v>126</v>
      </c>
      <c r="D20" s="157"/>
      <c r="E20" s="269"/>
      <c r="F20" s="269"/>
      <c r="G20" s="157"/>
      <c r="H20" s="273"/>
      <c r="I20" s="258">
        <f>SUM(D20:H20)</f>
        <v>0</v>
      </c>
    </row>
    <row r="21" spans="2:9" s="256" customFormat="1" ht="13.2" customHeight="1" x14ac:dyDescent="0.2">
      <c r="B21" s="279"/>
      <c r="C21" s="280" t="s">
        <v>127</v>
      </c>
      <c r="D21" s="152"/>
      <c r="E21" s="265"/>
      <c r="F21" s="265"/>
      <c r="G21" s="152"/>
      <c r="H21" s="266"/>
      <c r="I21" s="257">
        <f>SUM(D21:H21)</f>
        <v>0</v>
      </c>
    </row>
    <row r="22" spans="2:9" ht="18" customHeight="1" x14ac:dyDescent="0.25">
      <c r="B22" s="167">
        <v>6</v>
      </c>
      <c r="C22" s="168" t="str">
        <f>Config!C10&amp;", "&amp;Config!D10</f>
        <v>Traut, Stefanie</v>
      </c>
      <c r="D22" s="277"/>
      <c r="E22" s="178">
        <v>2</v>
      </c>
      <c r="F22" s="178">
        <v>3</v>
      </c>
      <c r="G22" s="178">
        <v>3</v>
      </c>
      <c r="H22" s="278"/>
      <c r="I22" s="169">
        <f t="shared" si="0"/>
        <v>8</v>
      </c>
    </row>
    <row r="23" spans="2:9" s="256" customFormat="1" ht="13.2" customHeight="1" x14ac:dyDescent="0.2">
      <c r="B23" s="262"/>
      <c r="C23" s="264" t="s">
        <v>126</v>
      </c>
      <c r="D23" s="270"/>
      <c r="E23" s="163"/>
      <c r="F23" s="163"/>
      <c r="G23" s="163"/>
      <c r="H23" s="274"/>
      <c r="I23" s="261">
        <f>SUM(D23:H23)</f>
        <v>0</v>
      </c>
    </row>
    <row r="24" spans="2:9" s="256" customFormat="1" ht="13.2" customHeight="1" x14ac:dyDescent="0.2">
      <c r="B24" s="281"/>
      <c r="C24" s="282" t="s">
        <v>127</v>
      </c>
      <c r="D24" s="267"/>
      <c r="E24" s="152"/>
      <c r="F24" s="152"/>
      <c r="G24" s="152"/>
      <c r="H24" s="268"/>
      <c r="I24" s="260">
        <f>SUM(D24:H24)</f>
        <v>0</v>
      </c>
    </row>
    <row r="25" spans="2:9" ht="18" customHeight="1" x14ac:dyDescent="0.25">
      <c r="B25" s="170">
        <v>7</v>
      </c>
      <c r="C25" s="171" t="str">
        <f>Config!C11&amp;", "&amp;Config!D11</f>
        <v>Menke, Damian</v>
      </c>
      <c r="D25" s="275"/>
      <c r="E25" s="180">
        <v>1</v>
      </c>
      <c r="F25" s="180">
        <v>2</v>
      </c>
      <c r="G25" s="275"/>
      <c r="H25" s="181">
        <v>4</v>
      </c>
      <c r="I25" s="172">
        <f t="shared" si="0"/>
        <v>7</v>
      </c>
    </row>
    <row r="26" spans="2:9" s="256" customFormat="1" ht="13.2" customHeight="1" x14ac:dyDescent="0.2">
      <c r="B26" s="259"/>
      <c r="C26" s="263" t="s">
        <v>126</v>
      </c>
      <c r="D26" s="269"/>
      <c r="E26" s="157"/>
      <c r="F26" s="157"/>
      <c r="G26" s="269"/>
      <c r="H26" s="160"/>
      <c r="I26" s="258">
        <f>SUM(D26:H26)</f>
        <v>0</v>
      </c>
    </row>
    <row r="27" spans="2:9" s="256" customFormat="1" ht="13.2" customHeight="1" x14ac:dyDescent="0.2">
      <c r="B27" s="279"/>
      <c r="C27" s="280" t="s">
        <v>127</v>
      </c>
      <c r="D27" s="265"/>
      <c r="E27" s="152"/>
      <c r="F27" s="152"/>
      <c r="G27" s="265"/>
      <c r="H27" s="153"/>
      <c r="I27" s="257">
        <f>SUM(D27:H27)</f>
        <v>0</v>
      </c>
    </row>
    <row r="28" spans="2:9" ht="18" customHeight="1" x14ac:dyDescent="0.25">
      <c r="B28" s="167">
        <v>8</v>
      </c>
      <c r="C28" s="168" t="str">
        <f>Config!C12&amp;", "&amp;Config!D12</f>
        <v>Carroll, Meik</v>
      </c>
      <c r="D28" s="277"/>
      <c r="E28" s="277"/>
      <c r="F28" s="277"/>
      <c r="G28" s="178">
        <v>4</v>
      </c>
      <c r="H28" s="179">
        <v>3</v>
      </c>
      <c r="I28" s="169">
        <f t="shared" si="0"/>
        <v>7</v>
      </c>
    </row>
    <row r="29" spans="2:9" s="256" customFormat="1" ht="13.2" customHeight="1" x14ac:dyDescent="0.2">
      <c r="B29" s="262"/>
      <c r="C29" s="264" t="s">
        <v>126</v>
      </c>
      <c r="D29" s="270"/>
      <c r="E29" s="270"/>
      <c r="F29" s="270"/>
      <c r="G29" s="163"/>
      <c r="H29" s="166"/>
      <c r="I29" s="261">
        <f>SUM(D29:H29)</f>
        <v>0</v>
      </c>
    </row>
    <row r="30" spans="2:9" s="256" customFormat="1" ht="13.2" customHeight="1" x14ac:dyDescent="0.2">
      <c r="B30" s="281"/>
      <c r="C30" s="282" t="s">
        <v>127</v>
      </c>
      <c r="D30" s="267"/>
      <c r="E30" s="267"/>
      <c r="F30" s="267"/>
      <c r="G30" s="152"/>
      <c r="H30" s="153"/>
      <c r="I30" s="260">
        <f>SUM(D30:H30)</f>
        <v>0</v>
      </c>
    </row>
    <row r="31" spans="2:9" ht="18" customHeight="1" x14ac:dyDescent="0.25">
      <c r="B31" s="170">
        <v>9</v>
      </c>
      <c r="C31" s="171" t="str">
        <f>Config!C13&amp;", "&amp;Config!D13</f>
        <v>Hennings, Tomas</v>
      </c>
      <c r="D31" s="180">
        <v>5</v>
      </c>
      <c r="E31" s="180">
        <v>2</v>
      </c>
      <c r="F31" s="180">
        <v>1</v>
      </c>
      <c r="G31" s="275"/>
      <c r="H31" s="276"/>
      <c r="I31" s="172">
        <f t="shared" si="0"/>
        <v>8</v>
      </c>
    </row>
    <row r="32" spans="2:9" s="256" customFormat="1" ht="13.2" customHeight="1" x14ac:dyDescent="0.2">
      <c r="B32" s="259"/>
      <c r="C32" s="263" t="s">
        <v>126</v>
      </c>
      <c r="D32" s="157"/>
      <c r="E32" s="157"/>
      <c r="F32" s="157"/>
      <c r="G32" s="269"/>
      <c r="H32" s="273"/>
      <c r="I32" s="258">
        <f>SUM(D32:H32)</f>
        <v>0</v>
      </c>
    </row>
    <row r="33" spans="2:9" s="256" customFormat="1" ht="13.2" customHeight="1" x14ac:dyDescent="0.2">
      <c r="B33" s="279"/>
      <c r="C33" s="280" t="s">
        <v>127</v>
      </c>
      <c r="D33" s="152"/>
      <c r="E33" s="152"/>
      <c r="F33" s="152"/>
      <c r="G33" s="265"/>
      <c r="H33" s="266"/>
      <c r="I33" s="257">
        <f>SUM(D33:H33)</f>
        <v>0</v>
      </c>
    </row>
    <row r="34" spans="2:9" ht="18" customHeight="1" x14ac:dyDescent="0.25">
      <c r="B34" s="167">
        <v>10</v>
      </c>
      <c r="C34" s="168" t="str">
        <f>Config!C14&amp;", "&amp;Config!D14</f>
        <v>Walters, Linn</v>
      </c>
      <c r="D34" s="277"/>
      <c r="E34" s="178">
        <v>1</v>
      </c>
      <c r="F34" s="178">
        <v>2</v>
      </c>
      <c r="G34" s="178">
        <v>5</v>
      </c>
      <c r="H34" s="278"/>
      <c r="I34" s="169">
        <f t="shared" si="0"/>
        <v>8</v>
      </c>
    </row>
    <row r="35" spans="2:9" s="256" customFormat="1" ht="13.2" customHeight="1" x14ac:dyDescent="0.2">
      <c r="B35" s="262"/>
      <c r="C35" s="264" t="s">
        <v>126</v>
      </c>
      <c r="D35" s="270"/>
      <c r="E35" s="163"/>
      <c r="F35" s="163"/>
      <c r="G35" s="163"/>
      <c r="H35" s="274"/>
      <c r="I35" s="261">
        <f>SUM(D35:H35)</f>
        <v>0</v>
      </c>
    </row>
    <row r="36" spans="2:9" s="256" customFormat="1" ht="13.2" customHeight="1" x14ac:dyDescent="0.2">
      <c r="B36" s="281"/>
      <c r="C36" s="282" t="s">
        <v>127</v>
      </c>
      <c r="D36" s="267"/>
      <c r="E36" s="152"/>
      <c r="F36" s="152"/>
      <c r="G36" s="152"/>
      <c r="H36" s="268"/>
      <c r="I36" s="260">
        <f>SUM(D36:H36)</f>
        <v>0</v>
      </c>
    </row>
    <row r="37" spans="2:9" ht="18" customHeight="1" x14ac:dyDescent="0.25">
      <c r="B37" s="170">
        <v>11</v>
      </c>
      <c r="C37" s="171" t="str">
        <f>Config!C15&amp;", "&amp;Config!D15</f>
        <v>Junker, Amely</v>
      </c>
      <c r="D37" s="180">
        <v>2</v>
      </c>
      <c r="E37" s="275"/>
      <c r="F37" s="275"/>
      <c r="G37" s="180">
        <v>4</v>
      </c>
      <c r="H37" s="276"/>
      <c r="I37" s="172">
        <f t="shared" si="0"/>
        <v>6</v>
      </c>
    </row>
    <row r="38" spans="2:9" s="256" customFormat="1" ht="13.2" customHeight="1" x14ac:dyDescent="0.2">
      <c r="B38" s="259"/>
      <c r="C38" s="263" t="s">
        <v>126</v>
      </c>
      <c r="D38" s="157"/>
      <c r="E38" s="269"/>
      <c r="F38" s="269"/>
      <c r="G38" s="157"/>
      <c r="H38" s="273"/>
      <c r="I38" s="258">
        <f>SUM(D38:H38)</f>
        <v>0</v>
      </c>
    </row>
    <row r="39" spans="2:9" s="256" customFormat="1" ht="13.2" customHeight="1" x14ac:dyDescent="0.2">
      <c r="B39" s="279"/>
      <c r="C39" s="280" t="s">
        <v>127</v>
      </c>
      <c r="D39" s="152"/>
      <c r="E39" s="265"/>
      <c r="F39" s="265"/>
      <c r="G39" s="152"/>
      <c r="H39" s="266"/>
      <c r="I39" s="257">
        <f>SUM(D39:H39)</f>
        <v>0</v>
      </c>
    </row>
    <row r="40" spans="2:9" ht="18" customHeight="1" x14ac:dyDescent="0.25">
      <c r="B40" s="167">
        <v>12</v>
      </c>
      <c r="C40" s="168" t="str">
        <f>Config!C16&amp;", "&amp;Config!D16</f>
        <v>Stephens, Melvin</v>
      </c>
      <c r="D40" s="178">
        <v>5</v>
      </c>
      <c r="E40" s="277"/>
      <c r="F40" s="277"/>
      <c r="G40" s="178">
        <v>1</v>
      </c>
      <c r="H40" s="278"/>
      <c r="I40" s="169">
        <f t="shared" ref="I40:I70" si="1">SUM(D40:H40)</f>
        <v>6</v>
      </c>
    </row>
    <row r="41" spans="2:9" s="256" customFormat="1" ht="13.2" customHeight="1" x14ac:dyDescent="0.2">
      <c r="B41" s="262"/>
      <c r="C41" s="264" t="s">
        <v>126</v>
      </c>
      <c r="D41" s="163"/>
      <c r="E41" s="270"/>
      <c r="F41" s="270"/>
      <c r="G41" s="163"/>
      <c r="H41" s="274"/>
      <c r="I41" s="261">
        <f>SUM(D41:H41)</f>
        <v>0</v>
      </c>
    </row>
    <row r="42" spans="2:9" s="256" customFormat="1" ht="13.2" customHeight="1" x14ac:dyDescent="0.2">
      <c r="B42" s="281"/>
      <c r="C42" s="282" t="s">
        <v>127</v>
      </c>
      <c r="D42" s="152"/>
      <c r="E42" s="267"/>
      <c r="F42" s="267"/>
      <c r="G42" s="152"/>
      <c r="H42" s="268"/>
      <c r="I42" s="260">
        <f>SUM(D42:H42)</f>
        <v>0</v>
      </c>
    </row>
    <row r="43" spans="2:9" ht="18" customHeight="1" x14ac:dyDescent="0.25">
      <c r="B43" s="170">
        <v>13</v>
      </c>
      <c r="C43" s="171" t="str">
        <f>Config!C17&amp;", "&amp;Config!D17</f>
        <v>Cremer, Marvin</v>
      </c>
      <c r="D43" s="180">
        <v>3</v>
      </c>
      <c r="E43" s="275"/>
      <c r="F43" s="275"/>
      <c r="G43" s="275"/>
      <c r="H43" s="181">
        <v>5</v>
      </c>
      <c r="I43" s="172">
        <f t="shared" si="1"/>
        <v>8</v>
      </c>
    </row>
    <row r="44" spans="2:9" s="256" customFormat="1" ht="13.2" customHeight="1" x14ac:dyDescent="0.2">
      <c r="B44" s="259"/>
      <c r="C44" s="263" t="s">
        <v>126</v>
      </c>
      <c r="D44" s="157"/>
      <c r="E44" s="269"/>
      <c r="F44" s="269"/>
      <c r="G44" s="269"/>
      <c r="H44" s="160"/>
      <c r="I44" s="258">
        <f>SUM(D44:H44)</f>
        <v>0</v>
      </c>
    </row>
    <row r="45" spans="2:9" s="256" customFormat="1" ht="13.2" customHeight="1" x14ac:dyDescent="0.2">
      <c r="B45" s="279"/>
      <c r="C45" s="280" t="s">
        <v>127</v>
      </c>
      <c r="D45" s="152"/>
      <c r="E45" s="265"/>
      <c r="F45" s="265"/>
      <c r="G45" s="265"/>
      <c r="H45" s="153"/>
      <c r="I45" s="257">
        <f>SUM(D45:H45)</f>
        <v>0</v>
      </c>
    </row>
    <row r="46" spans="2:9" ht="18" customHeight="1" x14ac:dyDescent="0.25">
      <c r="B46" s="167">
        <v>14</v>
      </c>
      <c r="C46" s="168" t="str">
        <f>Config!C18&amp;", "&amp;Config!D18</f>
        <v>Nash, Jean</v>
      </c>
      <c r="D46" s="277"/>
      <c r="E46" s="277"/>
      <c r="F46" s="277"/>
      <c r="G46" s="178">
        <v>4</v>
      </c>
      <c r="H46" s="179">
        <v>3</v>
      </c>
      <c r="I46" s="169">
        <f t="shared" si="1"/>
        <v>7</v>
      </c>
    </row>
    <row r="47" spans="2:9" s="256" customFormat="1" ht="13.2" customHeight="1" x14ac:dyDescent="0.2">
      <c r="B47" s="262"/>
      <c r="C47" s="264" t="s">
        <v>126</v>
      </c>
      <c r="D47" s="270"/>
      <c r="E47" s="270"/>
      <c r="F47" s="270"/>
      <c r="G47" s="163"/>
      <c r="H47" s="166"/>
      <c r="I47" s="261">
        <f>SUM(D47:H47)</f>
        <v>0</v>
      </c>
    </row>
    <row r="48" spans="2:9" s="256" customFormat="1" ht="13.2" customHeight="1" x14ac:dyDescent="0.2">
      <c r="B48" s="281"/>
      <c r="C48" s="282" t="s">
        <v>127</v>
      </c>
      <c r="D48" s="267"/>
      <c r="E48" s="267"/>
      <c r="F48" s="267"/>
      <c r="G48" s="152"/>
      <c r="H48" s="153"/>
      <c r="I48" s="260">
        <f>SUM(D48:H48)</f>
        <v>0</v>
      </c>
    </row>
    <row r="49" spans="2:9" ht="18" customHeight="1" x14ac:dyDescent="0.25">
      <c r="B49" s="170">
        <v>15</v>
      </c>
      <c r="C49" s="171" t="str">
        <f>Config!C19&amp;", "&amp;Config!D19</f>
        <v>Schön, Leonardo</v>
      </c>
      <c r="D49" s="275"/>
      <c r="E49" s="180">
        <v>1</v>
      </c>
      <c r="F49" s="180">
        <v>2</v>
      </c>
      <c r="G49" s="275"/>
      <c r="H49" s="181">
        <v>1</v>
      </c>
      <c r="I49" s="172">
        <f t="shared" si="1"/>
        <v>4</v>
      </c>
    </row>
    <row r="50" spans="2:9" s="256" customFormat="1" ht="13.2" customHeight="1" x14ac:dyDescent="0.2">
      <c r="B50" s="259"/>
      <c r="C50" s="263" t="s">
        <v>126</v>
      </c>
      <c r="D50" s="269"/>
      <c r="E50" s="157"/>
      <c r="F50" s="157"/>
      <c r="G50" s="269"/>
      <c r="H50" s="160"/>
      <c r="I50" s="258">
        <f>SUM(D50:H50)</f>
        <v>0</v>
      </c>
    </row>
    <row r="51" spans="2:9" s="256" customFormat="1" ht="13.2" customHeight="1" x14ac:dyDescent="0.2">
      <c r="B51" s="279"/>
      <c r="C51" s="280" t="s">
        <v>127</v>
      </c>
      <c r="D51" s="265"/>
      <c r="E51" s="152"/>
      <c r="F51" s="152"/>
      <c r="G51" s="265"/>
      <c r="H51" s="153"/>
      <c r="I51" s="257">
        <f>SUM(D51:H51)</f>
        <v>0</v>
      </c>
    </row>
    <row r="52" spans="2:9" ht="18" customHeight="1" x14ac:dyDescent="0.25">
      <c r="B52" s="167">
        <v>16</v>
      </c>
      <c r="C52" s="168" t="str">
        <f>Config!C20&amp;", "&amp;Config!D20</f>
        <v>Sigl, Nicholas</v>
      </c>
      <c r="D52" s="277"/>
      <c r="E52" s="178">
        <v>1</v>
      </c>
      <c r="F52" s="178">
        <v>2</v>
      </c>
      <c r="G52" s="178">
        <v>5</v>
      </c>
      <c r="H52" s="278"/>
      <c r="I52" s="169">
        <f t="shared" si="1"/>
        <v>8</v>
      </c>
    </row>
    <row r="53" spans="2:9" s="256" customFormat="1" ht="13.2" customHeight="1" x14ac:dyDescent="0.2">
      <c r="B53" s="262"/>
      <c r="C53" s="264" t="s">
        <v>126</v>
      </c>
      <c r="D53" s="270"/>
      <c r="E53" s="163"/>
      <c r="F53" s="163"/>
      <c r="G53" s="163"/>
      <c r="H53" s="274"/>
      <c r="I53" s="261">
        <f>SUM(D53:H53)</f>
        <v>0</v>
      </c>
    </row>
    <row r="54" spans="2:9" s="256" customFormat="1" ht="13.2" customHeight="1" x14ac:dyDescent="0.2">
      <c r="B54" s="281"/>
      <c r="C54" s="282" t="s">
        <v>127</v>
      </c>
      <c r="D54" s="267"/>
      <c r="E54" s="152"/>
      <c r="F54" s="152"/>
      <c r="G54" s="152"/>
      <c r="H54" s="268"/>
      <c r="I54" s="260">
        <f>SUM(D54:H54)</f>
        <v>0</v>
      </c>
    </row>
    <row r="55" spans="2:9" ht="18" customHeight="1" x14ac:dyDescent="0.25">
      <c r="B55" s="170">
        <v>17</v>
      </c>
      <c r="C55" s="171" t="str">
        <f>Config!C21&amp;", "&amp;Config!D21</f>
        <v>Kainz, Vivienne</v>
      </c>
      <c r="D55" s="180">
        <v>5</v>
      </c>
      <c r="E55" s="275"/>
      <c r="F55" s="275"/>
      <c r="G55" s="180">
        <v>5</v>
      </c>
      <c r="H55" s="276"/>
      <c r="I55" s="172">
        <f t="shared" si="1"/>
        <v>10</v>
      </c>
    </row>
    <row r="56" spans="2:9" s="256" customFormat="1" ht="13.2" customHeight="1" x14ac:dyDescent="0.2">
      <c r="B56" s="259"/>
      <c r="C56" s="263" t="s">
        <v>126</v>
      </c>
      <c r="D56" s="157"/>
      <c r="E56" s="269"/>
      <c r="F56" s="269"/>
      <c r="G56" s="157"/>
      <c r="H56" s="273"/>
      <c r="I56" s="258">
        <f>SUM(D56:H56)</f>
        <v>0</v>
      </c>
    </row>
    <row r="57" spans="2:9" s="256" customFormat="1" ht="13.2" customHeight="1" x14ac:dyDescent="0.2">
      <c r="B57" s="279"/>
      <c r="C57" s="280" t="s">
        <v>127</v>
      </c>
      <c r="D57" s="152"/>
      <c r="E57" s="265"/>
      <c r="F57" s="265"/>
      <c r="G57" s="152"/>
      <c r="H57" s="266"/>
      <c r="I57" s="257">
        <f>SUM(D57:H57)</f>
        <v>0</v>
      </c>
    </row>
    <row r="58" spans="2:9" ht="18" customHeight="1" x14ac:dyDescent="0.25">
      <c r="B58" s="167">
        <v>18</v>
      </c>
      <c r="C58" s="168" t="str">
        <f>Config!C22&amp;", "&amp;Config!D22</f>
        <v>Hartmann, Mads</v>
      </c>
      <c r="D58" s="277"/>
      <c r="E58" s="277"/>
      <c r="F58" s="277"/>
      <c r="G58" s="178">
        <v>3</v>
      </c>
      <c r="H58" s="179">
        <v>4</v>
      </c>
      <c r="I58" s="169">
        <f t="shared" si="1"/>
        <v>7</v>
      </c>
    </row>
    <row r="59" spans="2:9" s="256" customFormat="1" ht="13.2" customHeight="1" x14ac:dyDescent="0.2">
      <c r="B59" s="262"/>
      <c r="C59" s="264" t="s">
        <v>126</v>
      </c>
      <c r="D59" s="270"/>
      <c r="E59" s="270"/>
      <c r="F59" s="270"/>
      <c r="G59" s="163"/>
      <c r="H59" s="166"/>
      <c r="I59" s="261">
        <f>SUM(D59:H59)</f>
        <v>0</v>
      </c>
    </row>
    <row r="60" spans="2:9" s="256" customFormat="1" ht="13.2" customHeight="1" x14ac:dyDescent="0.2">
      <c r="B60" s="281"/>
      <c r="C60" s="282" t="s">
        <v>127</v>
      </c>
      <c r="D60" s="267"/>
      <c r="E60" s="267"/>
      <c r="F60" s="267"/>
      <c r="G60" s="152"/>
      <c r="H60" s="153"/>
      <c r="I60" s="260">
        <f>SUM(D60:H60)</f>
        <v>0</v>
      </c>
    </row>
    <row r="61" spans="2:9" ht="18" customHeight="1" x14ac:dyDescent="0.25">
      <c r="B61" s="170">
        <v>19</v>
      </c>
      <c r="C61" s="171" t="str">
        <f>Config!C23&amp;", "&amp;Config!D23</f>
        <v>Ullmann, Raphael</v>
      </c>
      <c r="D61" s="275"/>
      <c r="E61" s="275"/>
      <c r="F61" s="275"/>
      <c r="G61" s="180">
        <v>5</v>
      </c>
      <c r="H61" s="181">
        <v>3</v>
      </c>
      <c r="I61" s="172">
        <f t="shared" si="1"/>
        <v>8</v>
      </c>
    </row>
    <row r="62" spans="2:9" s="256" customFormat="1" ht="13.2" customHeight="1" x14ac:dyDescent="0.2">
      <c r="B62" s="259"/>
      <c r="C62" s="263" t="s">
        <v>126</v>
      </c>
      <c r="D62" s="269"/>
      <c r="E62" s="269"/>
      <c r="F62" s="269"/>
      <c r="G62" s="157"/>
      <c r="H62" s="160"/>
      <c r="I62" s="258">
        <f>SUM(D62:H62)</f>
        <v>0</v>
      </c>
    </row>
    <row r="63" spans="2:9" s="256" customFormat="1" ht="13.2" customHeight="1" x14ac:dyDescent="0.2">
      <c r="B63" s="279"/>
      <c r="C63" s="280" t="s">
        <v>127</v>
      </c>
      <c r="D63" s="265"/>
      <c r="E63" s="265"/>
      <c r="F63" s="265"/>
      <c r="G63" s="152"/>
      <c r="H63" s="153"/>
      <c r="I63" s="257">
        <f>SUM(D63:H63)</f>
        <v>0</v>
      </c>
    </row>
    <row r="64" spans="2:9" ht="18" customHeight="1" x14ac:dyDescent="0.25">
      <c r="B64" s="167">
        <v>20</v>
      </c>
      <c r="C64" s="168" t="str">
        <f>Config!C24&amp;", "&amp;Config!D24</f>
        <v>Hartl, Emmely</v>
      </c>
      <c r="D64" s="178">
        <v>5</v>
      </c>
      <c r="E64" s="178">
        <v>2</v>
      </c>
      <c r="F64" s="178">
        <v>3</v>
      </c>
      <c r="G64" s="277"/>
      <c r="H64" s="278"/>
      <c r="I64" s="169">
        <f t="shared" si="1"/>
        <v>10</v>
      </c>
    </row>
    <row r="65" spans="2:9" s="256" customFormat="1" ht="13.2" customHeight="1" x14ac:dyDescent="0.2">
      <c r="B65" s="262"/>
      <c r="C65" s="264" t="s">
        <v>126</v>
      </c>
      <c r="D65" s="163"/>
      <c r="E65" s="163"/>
      <c r="F65" s="163"/>
      <c r="G65" s="270"/>
      <c r="H65" s="274"/>
      <c r="I65" s="261">
        <f>SUM(D65:H65)</f>
        <v>0</v>
      </c>
    </row>
    <row r="66" spans="2:9" s="256" customFormat="1" ht="13.2" customHeight="1" x14ac:dyDescent="0.2">
      <c r="B66" s="281"/>
      <c r="C66" s="282" t="s">
        <v>127</v>
      </c>
      <c r="D66" s="152"/>
      <c r="E66" s="152"/>
      <c r="F66" s="152"/>
      <c r="G66" s="267"/>
      <c r="H66" s="268"/>
      <c r="I66" s="260">
        <f>SUM(D66:H66)</f>
        <v>0</v>
      </c>
    </row>
    <row r="67" spans="2:9" ht="18" customHeight="1" x14ac:dyDescent="0.25">
      <c r="B67" s="170">
        <v>21</v>
      </c>
      <c r="C67" s="171" t="str">
        <f>Config!C25&amp;", "&amp;Config!D25</f>
        <v>Klotz, Karin</v>
      </c>
      <c r="D67" s="180">
        <v>5</v>
      </c>
      <c r="E67" s="180">
        <v>2</v>
      </c>
      <c r="F67" s="180">
        <v>3</v>
      </c>
      <c r="G67" s="275"/>
      <c r="H67" s="276"/>
      <c r="I67" s="172">
        <f t="shared" si="1"/>
        <v>10</v>
      </c>
    </row>
    <row r="68" spans="2:9" s="256" customFormat="1" ht="13.2" customHeight="1" x14ac:dyDescent="0.2">
      <c r="B68" s="259"/>
      <c r="C68" s="263" t="s">
        <v>126</v>
      </c>
      <c r="D68" s="157"/>
      <c r="E68" s="157"/>
      <c r="F68" s="157"/>
      <c r="G68" s="269"/>
      <c r="H68" s="273"/>
      <c r="I68" s="258">
        <f>SUM(D68:H68)</f>
        <v>0</v>
      </c>
    </row>
    <row r="69" spans="2:9" s="256" customFormat="1" ht="13.2" customHeight="1" x14ac:dyDescent="0.2">
      <c r="B69" s="279"/>
      <c r="C69" s="280" t="s">
        <v>127</v>
      </c>
      <c r="D69" s="152"/>
      <c r="E69" s="152"/>
      <c r="F69" s="152"/>
      <c r="G69" s="265"/>
      <c r="H69" s="266"/>
      <c r="I69" s="257">
        <f>SUM(D69:H69)</f>
        <v>0</v>
      </c>
    </row>
    <row r="70" spans="2:9" ht="18" customHeight="1" x14ac:dyDescent="0.25">
      <c r="B70" s="167">
        <v>22</v>
      </c>
      <c r="C70" s="168" t="str">
        <f>Config!C26&amp;", "&amp;Config!D26</f>
        <v>Ehlers, Ingo</v>
      </c>
      <c r="D70" s="178">
        <v>2</v>
      </c>
      <c r="E70" s="277"/>
      <c r="F70" s="277"/>
      <c r="G70" s="277"/>
      <c r="H70" s="179">
        <v>5</v>
      </c>
      <c r="I70" s="169">
        <f t="shared" si="1"/>
        <v>7</v>
      </c>
    </row>
    <row r="71" spans="2:9" s="256" customFormat="1" ht="13.2" customHeight="1" x14ac:dyDescent="0.2">
      <c r="B71" s="262"/>
      <c r="C71" s="264" t="s">
        <v>126</v>
      </c>
      <c r="D71" s="163"/>
      <c r="E71" s="270"/>
      <c r="F71" s="270"/>
      <c r="G71" s="270"/>
      <c r="H71" s="166"/>
      <c r="I71" s="261">
        <f>SUM(D71:H71)</f>
        <v>0</v>
      </c>
    </row>
    <row r="72" spans="2:9" s="256" customFormat="1" ht="13.2" customHeight="1" x14ac:dyDescent="0.2">
      <c r="B72" s="281"/>
      <c r="C72" s="282" t="s">
        <v>127</v>
      </c>
      <c r="D72" s="152"/>
      <c r="E72" s="267"/>
      <c r="F72" s="267"/>
      <c r="G72" s="267"/>
      <c r="H72" s="153"/>
      <c r="I72" s="260">
        <f>SUM(D72:H72)</f>
        <v>0</v>
      </c>
    </row>
    <row r="73" spans="2:9" ht="18" customHeight="1" x14ac:dyDescent="0.25">
      <c r="B73" s="170">
        <v>23</v>
      </c>
      <c r="C73" s="171" t="str">
        <f>Config!C27&amp;", "&amp;Config!D27</f>
        <v>Lindemann, Mads</v>
      </c>
      <c r="D73" s="180">
        <v>3</v>
      </c>
      <c r="E73" s="275"/>
      <c r="F73" s="275"/>
      <c r="G73" s="180">
        <v>5</v>
      </c>
      <c r="H73" s="276"/>
      <c r="I73" s="172">
        <f t="shared" ref="I73" si="2">SUM(D73:H73)</f>
        <v>8</v>
      </c>
    </row>
    <row r="74" spans="2:9" s="256" customFormat="1" ht="13.2" customHeight="1" x14ac:dyDescent="0.2">
      <c r="B74" s="259"/>
      <c r="C74" s="263" t="s">
        <v>126</v>
      </c>
      <c r="D74" s="157"/>
      <c r="E74" s="269"/>
      <c r="F74" s="269"/>
      <c r="G74" s="157"/>
      <c r="H74" s="273"/>
      <c r="I74" s="258">
        <f>SUM(D74:H74)</f>
        <v>0</v>
      </c>
    </row>
    <row r="75" spans="2:9" s="256" customFormat="1" ht="13.2" customHeight="1" thickBot="1" x14ac:dyDescent="0.25">
      <c r="B75" s="279"/>
      <c r="C75" s="280" t="s">
        <v>127</v>
      </c>
      <c r="D75" s="152"/>
      <c r="E75" s="265"/>
      <c r="F75" s="265"/>
      <c r="G75" s="152"/>
      <c r="H75" s="266"/>
      <c r="I75" s="257">
        <f>SUM(D75:H75)</f>
        <v>0</v>
      </c>
    </row>
    <row r="76" spans="2:9" ht="18" customHeight="1" thickBot="1" x14ac:dyDescent="0.3">
      <c r="B76" s="173"/>
      <c r="C76" s="174"/>
      <c r="D76" s="174">
        <f>IF(COUNTIFS(D7:D73,"&lt;&gt;",C7:C73,"&lt;&gt;ZK",C7:C73,"&lt;&gt;DK")&lt;&gt;0,SUMIFS(D7:D73,C7:C73,"&lt;&gt;ZK",C7:C73,"&lt;&gt;DK")/(COUNTIFS(D7:D73,"&lt;&gt;",C7:C73,"&lt;&gt;ZK",C7:C73,"&lt;&gt;DK")*D6),0)</f>
        <v>0.67692307692307696</v>
      </c>
      <c r="E76" s="174">
        <f>IF(COUNTIFS(E7:E73,"&lt;&gt;",C7:C73,"&lt;&gt;ZK",C7:C73,"&lt;&gt;DK")&lt;&gt;0,SUMIFS(E7:E73,C7:C73,"&lt;&gt;ZK",C7:C73,"&lt;&gt;DK")/(COUNTIFS(E7:E73,"&lt;&gt;",C7:C73,"&lt;&gt;ZK",C7:C73,"&lt;&gt;DK")*E6),0)</f>
        <v>0.8</v>
      </c>
      <c r="F76" s="174">
        <f>IF(COUNTIFS(F7:F73,"&lt;&gt;",C7:C73,"&lt;&gt;ZK",C7:C73,"&lt;&gt;DK")&lt;&gt;0,SUMIFS(F7:F73,C7:C73,"&lt;&gt;ZK",C7:C73,"&lt;&gt;DK")/(COUNTIFS(F7:F73,"&lt;&gt;",C7:C73,"&lt;&gt;ZK",C7:C73,"&lt;&gt;DK")*F6),0)</f>
        <v>0.76666666666666672</v>
      </c>
      <c r="G76" s="174">
        <f>IF(COUNTIFS(G7:G73,"&lt;&gt;",C7:C73,"&lt;&gt;ZK",C7:C73,"&lt;&gt;DK")&lt;&gt;0,SUMIFS(G7:G73,C7:C73,"&lt;&gt;ZK",C7:C73,"&lt;&gt;DK")/(COUNTIFS(G7:G73,"&lt;&gt;",C7:C73,"&lt;&gt;ZK",C7:C73,"&lt;&gt;DK")*G6),0)</f>
        <v>0.82857142857142863</v>
      </c>
      <c r="H76" s="174">
        <f>IF(COUNTIFS(H7:H73,"&lt;&gt;",C7:C73,"&lt;&gt;ZK",C7:C73,"&lt;&gt;DK")&lt;&gt;0,SUMIFS(H7:H73,C7:C73,"&lt;&gt;ZK",C7:C73,"&lt;&gt;DK")/(COUNTIFS(H7:H73,"&lt;&gt;",C7:C73,"&lt;&gt;ZK",C7:C73,"&lt;&gt;DK")*H6),0)</f>
        <v>0.68888888888888888</v>
      </c>
      <c r="I76" s="175"/>
    </row>
    <row r="77" spans="2:9" ht="18" customHeight="1" x14ac:dyDescent="0.25"/>
    <row r="78" spans="2:9" ht="18" customHeight="1" x14ac:dyDescent="0.25"/>
    <row r="79" spans="2:9" ht="18" customHeight="1" x14ac:dyDescent="0.25"/>
    <row r="80" spans="2:9"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sheetProtection sheet="1" objects="1" scenarios="1" selectLockedCells="1"/>
  <dataValidations count="5">
    <dataValidation type="decimal" allowBlank="1" showErrorMessage="1" sqref="D7:D75" xr:uid="{4F62F5DB-D8C2-481B-A265-48E8D8602C1E}">
      <formula1>0</formula1>
      <formula2>$D$6</formula2>
    </dataValidation>
    <dataValidation type="decimal" allowBlank="1" showErrorMessage="1" sqref="E7:E75" xr:uid="{8FD7501C-FD13-40B7-93A1-58A41815F2D5}">
      <formula1>0</formula1>
      <formula2>$E$6</formula2>
    </dataValidation>
    <dataValidation type="decimal" allowBlank="1" showErrorMessage="1" sqref="F7:F75" xr:uid="{BBB6BDAD-2BE3-44B3-A851-53771BC6FFF7}">
      <formula1>0</formula1>
      <formula2>$F$6</formula2>
    </dataValidation>
    <dataValidation type="decimal" allowBlank="1" showErrorMessage="1" sqref="G7:G75" xr:uid="{3AE333DF-6560-459A-847B-F6AD2F7DDA55}">
      <formula1>0</formula1>
      <formula2>$G$6</formula2>
    </dataValidation>
    <dataValidation type="decimal" allowBlank="1" showErrorMessage="1" sqref="H7:H75" xr:uid="{F3DE39C4-F935-4727-8260-53E3050D961E}">
      <formula1>0</formula1>
      <formula2>$H$6</formula2>
    </dataValidation>
  </dataValidations>
  <pageMargins left="0.7" right="0.7" top="0.78740157499999996" bottom="0.78740157499999996"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6DE1D-D471-4E1B-958E-B8B36DDFF646}">
  <sheetPr codeName="Tabelle11">
    <tabColor rgb="FFFFC000"/>
  </sheetPr>
  <dimension ref="B1:N100"/>
  <sheetViews>
    <sheetView workbookViewId="0">
      <selection activeCell="D28" sqref="D28"/>
    </sheetView>
  </sheetViews>
  <sheetFormatPr baseColWidth="10" defaultColWidth="11.5546875" defaultRowHeight="13.2" x14ac:dyDescent="0.25"/>
  <cols>
    <col min="1" max="2" width="3.44140625" style="96" customWidth="1"/>
    <col min="3" max="3" width="25.6640625" style="96" customWidth="1"/>
    <col min="4" max="8" width="4.6640625" style="96" customWidth="1"/>
    <col min="9" max="9" width="2.6640625" style="96" customWidth="1"/>
    <col min="10" max="16384" width="11.5546875" style="96"/>
  </cols>
  <sheetData>
    <row r="1" spans="2:14" ht="18" customHeight="1" thickBot="1" x14ac:dyDescent="0.3"/>
    <row r="2" spans="2:14" ht="18" customHeight="1" x14ac:dyDescent="0.25">
      <c r="B2" s="97" t="str">
        <f>Config!F2&amp;" "&amp;YEAR(Config!G24)</f>
        <v>Mathe Abitur 2026</v>
      </c>
      <c r="C2" s="98"/>
      <c r="D2" s="98"/>
      <c r="E2" s="98"/>
      <c r="F2" s="99"/>
      <c r="G2" s="99"/>
      <c r="H2" s="100" t="str">
        <f>"Kurs "&amp;Config!G26</f>
        <v>Kurs K1</v>
      </c>
    </row>
    <row r="3" spans="2:14" ht="18" customHeight="1" x14ac:dyDescent="0.25">
      <c r="B3" s="101" t="s">
        <v>124</v>
      </c>
      <c r="C3" s="102"/>
      <c r="D3" s="102"/>
      <c r="E3" s="102"/>
      <c r="F3" s="102"/>
      <c r="G3" s="102"/>
      <c r="H3" s="103"/>
    </row>
    <row r="4" spans="2:14" ht="18" customHeight="1" thickBot="1" x14ac:dyDescent="0.3">
      <c r="B4" s="101"/>
      <c r="C4" s="102"/>
      <c r="D4" s="104"/>
      <c r="E4" s="104"/>
      <c r="F4" s="104"/>
      <c r="G4" s="104"/>
      <c r="H4" s="105"/>
    </row>
    <row r="5" spans="2:14" ht="18" customHeight="1" thickBot="1" x14ac:dyDescent="0.3">
      <c r="B5" s="106"/>
      <c r="C5" s="108"/>
      <c r="D5" s="118" t="str">
        <f>Config!R6</f>
        <v>6</v>
      </c>
      <c r="E5" s="118" t="str">
        <f>Config!R7</f>
        <v>7a</v>
      </c>
      <c r="F5" s="118" t="str">
        <f>Config!R8</f>
        <v>7b</v>
      </c>
      <c r="G5" s="118" t="str">
        <f>Config!R9</f>
        <v>8</v>
      </c>
      <c r="H5" s="118" t="str">
        <f>Config!R10</f>
        <v>9</v>
      </c>
    </row>
    <row r="6" spans="2:14" ht="18" customHeight="1" thickBot="1" x14ac:dyDescent="0.3">
      <c r="B6" s="107"/>
      <c r="C6" s="109" t="s">
        <v>81</v>
      </c>
      <c r="D6" s="138" t="s">
        <v>112</v>
      </c>
      <c r="E6" s="138" t="s">
        <v>112</v>
      </c>
      <c r="F6" s="138" t="s">
        <v>112</v>
      </c>
      <c r="G6" s="138" t="s">
        <v>112</v>
      </c>
      <c r="H6" s="138" t="s">
        <v>112</v>
      </c>
      <c r="J6" s="247" t="s">
        <v>125</v>
      </c>
      <c r="K6" s="248"/>
      <c r="L6" s="248"/>
      <c r="M6" s="248"/>
      <c r="N6" s="249"/>
    </row>
    <row r="7" spans="2:14" ht="18" customHeight="1" x14ac:dyDescent="0.25">
      <c r="B7" s="133">
        <v>1</v>
      </c>
      <c r="C7" s="130" t="str">
        <f>Config!C5&amp;", "&amp;Config!D5</f>
        <v>Höfer, Simon</v>
      </c>
      <c r="D7" s="63" t="s">
        <v>120</v>
      </c>
      <c r="E7" s="63" t="s">
        <v>120</v>
      </c>
      <c r="F7" s="63" t="s">
        <v>120</v>
      </c>
      <c r="G7" s="63"/>
      <c r="H7" s="64"/>
      <c r="J7" s="250"/>
      <c r="K7" s="251"/>
      <c r="L7" s="251"/>
      <c r="M7" s="251"/>
      <c r="N7" s="252"/>
    </row>
    <row r="8" spans="2:14" ht="18" customHeight="1" thickBot="1" x14ac:dyDescent="0.3">
      <c r="B8" s="135">
        <v>2</v>
      </c>
      <c r="C8" s="113" t="str">
        <f>Config!C6&amp;", "&amp;Config!D6</f>
        <v>Töpfer, Lilian</v>
      </c>
      <c r="D8" s="62" t="s">
        <v>120</v>
      </c>
      <c r="E8" s="62"/>
      <c r="F8" s="62"/>
      <c r="G8" s="62" t="s">
        <v>120</v>
      </c>
      <c r="H8" s="65"/>
      <c r="J8" s="253"/>
      <c r="K8" s="254"/>
      <c r="L8" s="254"/>
      <c r="M8" s="254"/>
      <c r="N8" s="255"/>
    </row>
    <row r="9" spans="2:14" ht="18" customHeight="1" x14ac:dyDescent="0.25">
      <c r="B9" s="135">
        <v>3</v>
      </c>
      <c r="C9" s="113" t="str">
        <f>Config!C7&amp;", "&amp;Config!D7</f>
        <v>Fleischmann, Leonie</v>
      </c>
      <c r="D9" s="62"/>
      <c r="E9" s="62"/>
      <c r="F9" s="62"/>
      <c r="G9" s="62" t="s">
        <v>120</v>
      </c>
      <c r="H9" s="65" t="s">
        <v>120</v>
      </c>
    </row>
    <row r="10" spans="2:14" ht="18" customHeight="1" x14ac:dyDescent="0.25">
      <c r="B10" s="135">
        <v>4</v>
      </c>
      <c r="C10" s="113" t="str">
        <f>Config!C8&amp;", "&amp;Config!D8</f>
        <v>Drescher, Cedric</v>
      </c>
      <c r="D10" s="62" t="s">
        <v>120</v>
      </c>
      <c r="E10" s="62" t="s">
        <v>120</v>
      </c>
      <c r="F10" s="62" t="s">
        <v>120</v>
      </c>
      <c r="G10" s="62"/>
      <c r="H10" s="65"/>
    </row>
    <row r="11" spans="2:14" ht="18" customHeight="1" x14ac:dyDescent="0.25">
      <c r="B11" s="135">
        <v>5</v>
      </c>
      <c r="C11" s="113" t="str">
        <f>Config!C9&amp;", "&amp;Config!D9</f>
        <v>Baumgarten, Annabell</v>
      </c>
      <c r="D11" s="62" t="s">
        <v>120</v>
      </c>
      <c r="E11" s="62"/>
      <c r="F11" s="62"/>
      <c r="G11" s="62" t="s">
        <v>120</v>
      </c>
      <c r="H11" s="65"/>
    </row>
    <row r="12" spans="2:14" ht="18" customHeight="1" x14ac:dyDescent="0.25">
      <c r="B12" s="135">
        <v>6</v>
      </c>
      <c r="C12" s="113" t="str">
        <f>Config!C10&amp;", "&amp;Config!D10</f>
        <v>Traut, Stefanie</v>
      </c>
      <c r="D12" s="62"/>
      <c r="E12" s="62" t="s">
        <v>120</v>
      </c>
      <c r="F12" s="62" t="s">
        <v>120</v>
      </c>
      <c r="G12" s="62" t="s">
        <v>120</v>
      </c>
      <c r="H12" s="65"/>
    </row>
    <row r="13" spans="2:14" ht="18" customHeight="1" x14ac:dyDescent="0.25">
      <c r="B13" s="135">
        <v>7</v>
      </c>
      <c r="C13" s="113" t="str">
        <f>Config!C11&amp;", "&amp;Config!D11</f>
        <v>Menke, Damian</v>
      </c>
      <c r="D13" s="62"/>
      <c r="E13" s="62" t="s">
        <v>120</v>
      </c>
      <c r="F13" s="62" t="s">
        <v>120</v>
      </c>
      <c r="G13" s="62"/>
      <c r="H13" s="65" t="s">
        <v>120</v>
      </c>
    </row>
    <row r="14" spans="2:14" ht="18" customHeight="1" x14ac:dyDescent="0.25">
      <c r="B14" s="135">
        <v>8</v>
      </c>
      <c r="C14" s="113" t="str">
        <f>Config!C12&amp;", "&amp;Config!D12</f>
        <v>Carroll, Meik</v>
      </c>
      <c r="D14" s="62"/>
      <c r="E14" s="62"/>
      <c r="F14" s="62"/>
      <c r="G14" s="62" t="s">
        <v>120</v>
      </c>
      <c r="H14" s="65" t="s">
        <v>120</v>
      </c>
    </row>
    <row r="15" spans="2:14" ht="18" customHeight="1" x14ac:dyDescent="0.25">
      <c r="B15" s="135">
        <v>9</v>
      </c>
      <c r="C15" s="113" t="str">
        <f>Config!C13&amp;", "&amp;Config!D13</f>
        <v>Hennings, Tomas</v>
      </c>
      <c r="D15" s="62" t="s">
        <v>120</v>
      </c>
      <c r="E15" s="62" t="s">
        <v>120</v>
      </c>
      <c r="F15" s="62" t="s">
        <v>120</v>
      </c>
      <c r="G15" s="62"/>
      <c r="H15" s="65"/>
    </row>
    <row r="16" spans="2:14" ht="18" customHeight="1" x14ac:dyDescent="0.25">
      <c r="B16" s="135">
        <v>10</v>
      </c>
      <c r="C16" s="113" t="str">
        <f>Config!C14&amp;", "&amp;Config!D14</f>
        <v>Walters, Linn</v>
      </c>
      <c r="D16" s="62"/>
      <c r="E16" s="62" t="s">
        <v>120</v>
      </c>
      <c r="F16" s="62" t="s">
        <v>120</v>
      </c>
      <c r="G16" s="62" t="s">
        <v>120</v>
      </c>
      <c r="H16" s="65"/>
    </row>
    <row r="17" spans="2:8" ht="18" customHeight="1" x14ac:dyDescent="0.25">
      <c r="B17" s="135">
        <v>11</v>
      </c>
      <c r="C17" s="113" t="str">
        <f>Config!C15&amp;", "&amp;Config!D15</f>
        <v>Junker, Amely</v>
      </c>
      <c r="D17" s="62" t="s">
        <v>120</v>
      </c>
      <c r="E17" s="62"/>
      <c r="F17" s="62"/>
      <c r="G17" s="62" t="s">
        <v>120</v>
      </c>
      <c r="H17" s="65"/>
    </row>
    <row r="18" spans="2:8" ht="18" customHeight="1" x14ac:dyDescent="0.25">
      <c r="B18" s="135">
        <v>12</v>
      </c>
      <c r="C18" s="113" t="str">
        <f>Config!C16&amp;", "&amp;Config!D16</f>
        <v>Stephens, Melvin</v>
      </c>
      <c r="D18" s="62" t="s">
        <v>120</v>
      </c>
      <c r="E18" s="62"/>
      <c r="F18" s="62"/>
      <c r="G18" s="62" t="s">
        <v>120</v>
      </c>
      <c r="H18" s="65"/>
    </row>
    <row r="19" spans="2:8" ht="18" customHeight="1" x14ac:dyDescent="0.25">
      <c r="B19" s="135">
        <v>13</v>
      </c>
      <c r="C19" s="113" t="str">
        <f>Config!C17&amp;", "&amp;Config!D17</f>
        <v>Cremer, Marvin</v>
      </c>
      <c r="D19" s="62" t="s">
        <v>120</v>
      </c>
      <c r="E19" s="62"/>
      <c r="F19" s="62"/>
      <c r="G19" s="62"/>
      <c r="H19" s="65" t="s">
        <v>120</v>
      </c>
    </row>
    <row r="20" spans="2:8" ht="18" customHeight="1" x14ac:dyDescent="0.25">
      <c r="B20" s="135">
        <v>14</v>
      </c>
      <c r="C20" s="113" t="str">
        <f>Config!C18&amp;", "&amp;Config!D18</f>
        <v>Nash, Jean</v>
      </c>
      <c r="D20" s="62"/>
      <c r="E20" s="62"/>
      <c r="F20" s="62"/>
      <c r="G20" s="62" t="s">
        <v>120</v>
      </c>
      <c r="H20" s="65" t="s">
        <v>120</v>
      </c>
    </row>
    <row r="21" spans="2:8" ht="18" customHeight="1" x14ac:dyDescent="0.25">
      <c r="B21" s="135">
        <v>15</v>
      </c>
      <c r="C21" s="113" t="str">
        <f>Config!C19&amp;", "&amp;Config!D19</f>
        <v>Schön, Leonardo</v>
      </c>
      <c r="D21" s="62"/>
      <c r="E21" s="62" t="s">
        <v>120</v>
      </c>
      <c r="F21" s="62" t="s">
        <v>120</v>
      </c>
      <c r="G21" s="62"/>
      <c r="H21" s="65" t="s">
        <v>120</v>
      </c>
    </row>
    <row r="22" spans="2:8" ht="18" customHeight="1" x14ac:dyDescent="0.25">
      <c r="B22" s="135">
        <v>16</v>
      </c>
      <c r="C22" s="113" t="str">
        <f>Config!C20&amp;", "&amp;Config!D20</f>
        <v>Sigl, Nicholas</v>
      </c>
      <c r="D22" s="62"/>
      <c r="E22" s="62" t="s">
        <v>120</v>
      </c>
      <c r="F22" s="62" t="s">
        <v>120</v>
      </c>
      <c r="G22" s="62" t="s">
        <v>120</v>
      </c>
      <c r="H22" s="65"/>
    </row>
    <row r="23" spans="2:8" ht="18" customHeight="1" x14ac:dyDescent="0.25">
      <c r="B23" s="135">
        <v>17</v>
      </c>
      <c r="C23" s="113" t="str">
        <f>Config!C21&amp;", "&amp;Config!D21</f>
        <v>Kainz, Vivienne</v>
      </c>
      <c r="D23" s="62" t="s">
        <v>120</v>
      </c>
      <c r="E23" s="62"/>
      <c r="F23" s="62"/>
      <c r="G23" s="62" t="s">
        <v>120</v>
      </c>
      <c r="H23" s="65"/>
    </row>
    <row r="24" spans="2:8" ht="18" customHeight="1" x14ac:dyDescent="0.25">
      <c r="B24" s="135">
        <v>18</v>
      </c>
      <c r="C24" s="113" t="str">
        <f>Config!C22&amp;", "&amp;Config!D22</f>
        <v>Hartmann, Mads</v>
      </c>
      <c r="D24" s="62"/>
      <c r="E24" s="62"/>
      <c r="F24" s="62"/>
      <c r="G24" s="62" t="s">
        <v>120</v>
      </c>
      <c r="H24" s="65" t="s">
        <v>120</v>
      </c>
    </row>
    <row r="25" spans="2:8" ht="18" customHeight="1" x14ac:dyDescent="0.25">
      <c r="B25" s="135">
        <v>19</v>
      </c>
      <c r="C25" s="113" t="str">
        <f>Config!C23&amp;", "&amp;Config!D23</f>
        <v>Ullmann, Raphael</v>
      </c>
      <c r="D25" s="62"/>
      <c r="E25" s="62"/>
      <c r="F25" s="62"/>
      <c r="G25" s="62" t="s">
        <v>120</v>
      </c>
      <c r="H25" s="65" t="s">
        <v>120</v>
      </c>
    </row>
    <row r="26" spans="2:8" ht="18" customHeight="1" x14ac:dyDescent="0.25">
      <c r="B26" s="135">
        <v>20</v>
      </c>
      <c r="C26" s="113" t="str">
        <f>Config!C24&amp;", "&amp;Config!D24</f>
        <v>Hartl, Emmely</v>
      </c>
      <c r="D26" s="62" t="s">
        <v>120</v>
      </c>
      <c r="E26" s="62" t="s">
        <v>120</v>
      </c>
      <c r="F26" s="62" t="s">
        <v>120</v>
      </c>
      <c r="G26" s="62"/>
      <c r="H26" s="65"/>
    </row>
    <row r="27" spans="2:8" ht="18" customHeight="1" x14ac:dyDescent="0.25">
      <c r="B27" s="135">
        <v>21</v>
      </c>
      <c r="C27" s="113" t="str">
        <f>Config!C25&amp;", "&amp;Config!D25</f>
        <v>Klotz, Karin</v>
      </c>
      <c r="D27" s="62" t="s">
        <v>120</v>
      </c>
      <c r="E27" s="62" t="s">
        <v>120</v>
      </c>
      <c r="F27" s="62" t="s">
        <v>120</v>
      </c>
      <c r="G27" s="62"/>
      <c r="H27" s="65"/>
    </row>
    <row r="28" spans="2:8" ht="18" customHeight="1" x14ac:dyDescent="0.25">
      <c r="B28" s="135">
        <v>22</v>
      </c>
      <c r="C28" s="113" t="str">
        <f>Config!C26&amp;", "&amp;Config!D26</f>
        <v>Ehlers, Ingo</v>
      </c>
      <c r="D28" s="62" t="s">
        <v>120</v>
      </c>
      <c r="E28" s="62"/>
      <c r="F28" s="62"/>
      <c r="G28" s="62"/>
      <c r="H28" s="65" t="s">
        <v>120</v>
      </c>
    </row>
    <row r="29" spans="2:8" ht="18" customHeight="1" thickBot="1" x14ac:dyDescent="0.3">
      <c r="B29" s="136">
        <v>23</v>
      </c>
      <c r="C29" s="131" t="str">
        <f>Config!C27&amp;", "&amp;Config!D27</f>
        <v>Lindemann, Mads</v>
      </c>
      <c r="D29" s="66" t="s">
        <v>120</v>
      </c>
      <c r="E29" s="66"/>
      <c r="F29" s="66"/>
      <c r="G29" s="66" t="s">
        <v>120</v>
      </c>
      <c r="H29" s="67"/>
    </row>
    <row r="30" spans="2:8" ht="18" customHeight="1" x14ac:dyDescent="0.25"/>
    <row r="31" spans="2:8" ht="18" customHeight="1" x14ac:dyDescent="0.25"/>
    <row r="32" spans="2:8"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row r="65" ht="18" customHeight="1" x14ac:dyDescent="0.25"/>
    <row r="66" ht="18" customHeight="1" x14ac:dyDescent="0.25"/>
    <row r="67" ht="18" customHeight="1" x14ac:dyDescent="0.25"/>
    <row r="68" ht="18" customHeight="1" x14ac:dyDescent="0.25"/>
    <row r="69" ht="18" customHeight="1" x14ac:dyDescent="0.25"/>
    <row r="70" ht="18" customHeight="1" x14ac:dyDescent="0.25"/>
    <row r="71" ht="18" customHeight="1" x14ac:dyDescent="0.25"/>
    <row r="72" ht="18" customHeight="1" x14ac:dyDescent="0.25"/>
    <row r="73" ht="18" customHeight="1" x14ac:dyDescent="0.25"/>
    <row r="74" ht="18" customHeight="1" x14ac:dyDescent="0.25"/>
    <row r="75" ht="18" customHeight="1" x14ac:dyDescent="0.25"/>
    <row r="76" ht="18" customHeight="1" x14ac:dyDescent="0.25"/>
    <row r="77" ht="18" customHeight="1" x14ac:dyDescent="0.25"/>
    <row r="78" ht="18" customHeight="1" x14ac:dyDescent="0.25"/>
    <row r="79" ht="18" customHeight="1" x14ac:dyDescent="0.25"/>
    <row r="8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sheetProtection sheet="1" objects="1" selectLockedCells="1"/>
  <mergeCells count="1">
    <mergeCell ref="J6:N8"/>
  </mergeCells>
  <dataValidations count="1">
    <dataValidation type="list" allowBlank="1" showDropDown="1" showInputMessage="1" showErrorMessage="1" sqref="D7:H29" xr:uid="{C268995B-66E9-4C5B-9ABC-5B215B023E1B}">
      <formula1>"x,"</formula1>
    </dataValidation>
  </dataValidations>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nfig">
    <tabColor rgb="FFFFC000"/>
  </sheetPr>
  <dimension ref="B1:AF45"/>
  <sheetViews>
    <sheetView tabSelected="1" zoomScaleNormal="100" workbookViewId="0">
      <selection activeCell="G27" sqref="G27:H27"/>
    </sheetView>
  </sheetViews>
  <sheetFormatPr baseColWidth="10" defaultColWidth="11.44140625" defaultRowHeight="13.2" x14ac:dyDescent="0.25"/>
  <cols>
    <col min="1" max="2" width="3.44140625" style="3" customWidth="1"/>
    <col min="3" max="4" width="17.5546875" style="3" customWidth="1"/>
    <col min="5" max="5" width="4.44140625" style="3" customWidth="1"/>
    <col min="6" max="19" width="6.6640625" style="3" customWidth="1"/>
    <col min="20" max="20" width="2.5546875" style="3" customWidth="1"/>
    <col min="21" max="21" width="2.44140625" style="3" customWidth="1"/>
    <col min="22" max="22" width="2.5546875" style="3" customWidth="1"/>
    <col min="23" max="25" width="11.44140625" style="3"/>
    <col min="26" max="26" width="11.44140625" style="3" customWidth="1"/>
    <col min="27" max="28" width="2.44140625" style="3" customWidth="1"/>
    <col min="29" max="16384" width="11.44140625" style="3"/>
  </cols>
  <sheetData>
    <row r="1" spans="2:32" ht="13.8" thickBot="1" x14ac:dyDescent="0.3"/>
    <row r="2" spans="2:32" ht="13.2" customHeight="1" x14ac:dyDescent="0.25">
      <c r="B2" s="192" t="s">
        <v>6</v>
      </c>
      <c r="C2" s="193"/>
      <c r="D2" s="194"/>
      <c r="F2" s="237" t="s">
        <v>96</v>
      </c>
      <c r="G2" s="238"/>
      <c r="H2" s="238"/>
      <c r="I2" s="238"/>
      <c r="J2" s="238"/>
      <c r="K2" s="238"/>
      <c r="L2" s="238"/>
      <c r="M2" s="238"/>
      <c r="N2" s="238"/>
      <c r="O2" s="238"/>
      <c r="P2" s="238"/>
      <c r="Q2" s="238"/>
      <c r="R2" s="238"/>
      <c r="S2" s="239"/>
      <c r="T2" s="79" t="s">
        <v>88</v>
      </c>
      <c r="V2" s="214" t="s">
        <v>89</v>
      </c>
      <c r="W2" s="215"/>
      <c r="X2" s="215"/>
      <c r="Y2" s="215"/>
      <c r="Z2" s="216"/>
      <c r="AB2" s="214" t="s">
        <v>129</v>
      </c>
      <c r="AC2" s="215"/>
      <c r="AD2" s="215"/>
      <c r="AE2" s="215"/>
      <c r="AF2" s="216"/>
    </row>
    <row r="3" spans="2:32" ht="13.2" customHeight="1" x14ac:dyDescent="0.25">
      <c r="B3" s="195"/>
      <c r="C3" s="196"/>
      <c r="D3" s="197"/>
      <c r="F3" s="240"/>
      <c r="G3" s="241"/>
      <c r="H3" s="241"/>
      <c r="I3" s="241"/>
      <c r="J3" s="241"/>
      <c r="K3" s="241"/>
      <c r="L3" s="241"/>
      <c r="M3" s="241"/>
      <c r="N3" s="241"/>
      <c r="O3" s="241"/>
      <c r="P3" s="241"/>
      <c r="Q3" s="241"/>
      <c r="R3" s="241"/>
      <c r="S3" s="242"/>
      <c r="V3" s="80" t="s">
        <v>90</v>
      </c>
      <c r="W3" s="198" t="s">
        <v>122</v>
      </c>
      <c r="X3" s="198"/>
      <c r="Y3" s="198"/>
      <c r="Z3" s="199"/>
      <c r="AB3" s="95" t="s">
        <v>130</v>
      </c>
      <c r="AC3" s="198" t="s">
        <v>131</v>
      </c>
      <c r="AD3" s="198"/>
      <c r="AE3" s="198"/>
      <c r="AF3" s="199"/>
    </row>
    <row r="4" spans="2:32" ht="13.2" customHeight="1" x14ac:dyDescent="0.25">
      <c r="B4" s="4"/>
      <c r="C4" s="17" t="s">
        <v>7</v>
      </c>
      <c r="D4" s="18" t="s">
        <v>8</v>
      </c>
      <c r="F4" s="26" t="s">
        <v>9</v>
      </c>
      <c r="G4" s="21"/>
      <c r="H4" s="83" t="s">
        <v>10</v>
      </c>
      <c r="I4" s="21"/>
      <c r="J4" s="83" t="s">
        <v>11</v>
      </c>
      <c r="K4" s="21"/>
      <c r="L4" s="83" t="s">
        <v>12</v>
      </c>
      <c r="M4" s="21"/>
      <c r="N4" s="83" t="s">
        <v>13</v>
      </c>
      <c r="O4" s="25"/>
      <c r="P4" s="83" t="s">
        <v>14</v>
      </c>
      <c r="Q4" s="25"/>
      <c r="R4" s="83" t="s">
        <v>112</v>
      </c>
      <c r="S4" s="19"/>
      <c r="T4" s="79" t="s">
        <v>88</v>
      </c>
      <c r="V4" s="80"/>
      <c r="W4" s="198"/>
      <c r="X4" s="198"/>
      <c r="Y4" s="198"/>
      <c r="Z4" s="199"/>
      <c r="AB4" s="80"/>
      <c r="AC4" s="198"/>
      <c r="AD4" s="198"/>
      <c r="AE4" s="198"/>
      <c r="AF4" s="199"/>
    </row>
    <row r="5" spans="2:32" ht="13.2" customHeight="1" x14ac:dyDescent="0.25">
      <c r="B5" s="5">
        <v>1</v>
      </c>
      <c r="C5" s="75" t="s">
        <v>58</v>
      </c>
      <c r="D5" s="76" t="s">
        <v>37</v>
      </c>
      <c r="F5" s="7" t="s">
        <v>15</v>
      </c>
      <c r="G5" s="20" t="s">
        <v>0</v>
      </c>
      <c r="H5" s="8" t="s">
        <v>15</v>
      </c>
      <c r="I5" s="20" t="s">
        <v>0</v>
      </c>
      <c r="J5" s="8" t="s">
        <v>15</v>
      </c>
      <c r="K5" s="20" t="s">
        <v>0</v>
      </c>
      <c r="L5" s="8" t="s">
        <v>15</v>
      </c>
      <c r="M5" s="20" t="s">
        <v>0</v>
      </c>
      <c r="N5" s="8" t="s">
        <v>15</v>
      </c>
      <c r="O5" s="20" t="s">
        <v>0</v>
      </c>
      <c r="P5" s="8" t="s">
        <v>15</v>
      </c>
      <c r="Q5" s="20" t="s">
        <v>0</v>
      </c>
      <c r="R5" s="8" t="s">
        <v>15</v>
      </c>
      <c r="S5" s="9" t="s">
        <v>0</v>
      </c>
      <c r="V5" s="80"/>
      <c r="W5" s="198"/>
      <c r="X5" s="198"/>
      <c r="Y5" s="198"/>
      <c r="Z5" s="199"/>
      <c r="AB5" s="80"/>
      <c r="AC5" s="198"/>
      <c r="AD5" s="198"/>
      <c r="AE5" s="198"/>
      <c r="AF5" s="199"/>
    </row>
    <row r="6" spans="2:32" ht="13.2" customHeight="1" x14ac:dyDescent="0.25">
      <c r="B6" s="5">
        <v>2</v>
      </c>
      <c r="C6" s="13" t="s">
        <v>59</v>
      </c>
      <c r="D6" s="14" t="s">
        <v>38</v>
      </c>
      <c r="F6" s="11" t="s">
        <v>2</v>
      </c>
      <c r="G6" s="33">
        <v>2</v>
      </c>
      <c r="H6" s="12" t="s">
        <v>2</v>
      </c>
      <c r="I6" s="33">
        <v>2</v>
      </c>
      <c r="J6" s="12" t="s">
        <v>19</v>
      </c>
      <c r="K6" s="33">
        <v>5</v>
      </c>
      <c r="L6" s="12" t="s">
        <v>2</v>
      </c>
      <c r="M6" s="33">
        <v>2</v>
      </c>
      <c r="N6" s="12" t="s">
        <v>2</v>
      </c>
      <c r="O6" s="33">
        <v>2</v>
      </c>
      <c r="P6" s="12" t="s">
        <v>2</v>
      </c>
      <c r="Q6" s="33">
        <v>4</v>
      </c>
      <c r="R6" s="12" t="s">
        <v>113</v>
      </c>
      <c r="S6" s="34">
        <v>5</v>
      </c>
      <c r="T6" s="79" t="s">
        <v>88</v>
      </c>
      <c r="V6" s="80" t="s">
        <v>91</v>
      </c>
      <c r="W6" s="198"/>
      <c r="X6" s="198"/>
      <c r="Y6" s="198"/>
      <c r="Z6" s="199"/>
      <c r="AB6" s="95" t="s">
        <v>130</v>
      </c>
      <c r="AC6" s="198"/>
      <c r="AD6" s="198"/>
      <c r="AE6" s="198"/>
      <c r="AF6" s="199"/>
    </row>
    <row r="7" spans="2:32" ht="13.2" customHeight="1" x14ac:dyDescent="0.25">
      <c r="B7" s="5">
        <v>3</v>
      </c>
      <c r="C7" s="77" t="s">
        <v>60</v>
      </c>
      <c r="D7" s="78" t="s">
        <v>39</v>
      </c>
      <c r="F7" s="71" t="s">
        <v>16</v>
      </c>
      <c r="G7" s="72">
        <v>2</v>
      </c>
      <c r="H7" s="73" t="s">
        <v>16</v>
      </c>
      <c r="I7" s="72">
        <v>3</v>
      </c>
      <c r="J7" s="73"/>
      <c r="K7" s="72"/>
      <c r="L7" s="73" t="s">
        <v>16</v>
      </c>
      <c r="M7" s="72">
        <v>2</v>
      </c>
      <c r="N7" s="73" t="s">
        <v>16</v>
      </c>
      <c r="O7" s="72">
        <v>3</v>
      </c>
      <c r="P7" s="73" t="s">
        <v>16</v>
      </c>
      <c r="Q7" s="72">
        <v>3</v>
      </c>
      <c r="R7" s="73" t="s">
        <v>114</v>
      </c>
      <c r="S7" s="74">
        <v>2</v>
      </c>
      <c r="V7" s="80"/>
      <c r="W7" s="198"/>
      <c r="X7" s="198"/>
      <c r="Y7" s="198"/>
      <c r="Z7" s="199"/>
      <c r="AB7" s="80"/>
      <c r="AC7" s="198"/>
      <c r="AD7" s="198"/>
      <c r="AE7" s="198"/>
      <c r="AF7" s="199"/>
    </row>
    <row r="8" spans="2:32" ht="13.2" customHeight="1" x14ac:dyDescent="0.25">
      <c r="B8" s="5">
        <v>4</v>
      </c>
      <c r="C8" s="13" t="s">
        <v>61</v>
      </c>
      <c r="D8" s="14" t="s">
        <v>40</v>
      </c>
      <c r="F8" s="11" t="s">
        <v>17</v>
      </c>
      <c r="G8" s="33">
        <v>3</v>
      </c>
      <c r="H8" s="12" t="s">
        <v>23</v>
      </c>
      <c r="I8" s="33">
        <v>4</v>
      </c>
      <c r="J8" s="12"/>
      <c r="K8" s="33"/>
      <c r="L8" s="12" t="s">
        <v>23</v>
      </c>
      <c r="M8" s="33">
        <v>2</v>
      </c>
      <c r="N8" s="12"/>
      <c r="O8" s="33"/>
      <c r="P8" s="12" t="s">
        <v>23</v>
      </c>
      <c r="Q8" s="33">
        <v>4</v>
      </c>
      <c r="R8" s="12" t="s">
        <v>115</v>
      </c>
      <c r="S8" s="34">
        <v>3</v>
      </c>
      <c r="V8" s="80"/>
      <c r="W8" s="198"/>
      <c r="X8" s="198"/>
      <c r="Y8" s="198"/>
      <c r="Z8" s="199"/>
      <c r="AB8" s="80"/>
      <c r="AC8" s="198"/>
      <c r="AD8" s="198"/>
      <c r="AE8" s="198"/>
      <c r="AF8" s="199"/>
    </row>
    <row r="9" spans="2:32" ht="13.2" customHeight="1" x14ac:dyDescent="0.25">
      <c r="B9" s="5">
        <v>5</v>
      </c>
      <c r="C9" s="77" t="s">
        <v>62</v>
      </c>
      <c r="D9" s="78" t="s">
        <v>41</v>
      </c>
      <c r="F9" s="71" t="s">
        <v>18</v>
      </c>
      <c r="G9" s="72">
        <v>3</v>
      </c>
      <c r="H9" s="73" t="s">
        <v>24</v>
      </c>
      <c r="I9" s="72">
        <v>3</v>
      </c>
      <c r="J9" s="73"/>
      <c r="K9" s="72"/>
      <c r="L9" s="73" t="s">
        <v>24</v>
      </c>
      <c r="M9" s="72">
        <v>4</v>
      </c>
      <c r="N9" s="73"/>
      <c r="O9" s="72"/>
      <c r="P9" s="73" t="s">
        <v>24</v>
      </c>
      <c r="Q9" s="72">
        <v>3</v>
      </c>
      <c r="R9" s="73" t="s">
        <v>116</v>
      </c>
      <c r="S9" s="74">
        <v>5</v>
      </c>
      <c r="V9" s="80" t="s">
        <v>92</v>
      </c>
      <c r="W9" s="198"/>
      <c r="X9" s="198"/>
      <c r="Y9" s="198"/>
      <c r="Z9" s="199"/>
      <c r="AB9" s="95"/>
      <c r="AC9" s="198"/>
      <c r="AD9" s="198"/>
      <c r="AE9" s="198"/>
      <c r="AF9" s="199"/>
    </row>
    <row r="10" spans="2:32" ht="13.2" customHeight="1" x14ac:dyDescent="0.25">
      <c r="B10" s="5">
        <v>6</v>
      </c>
      <c r="C10" s="13" t="s">
        <v>63</v>
      </c>
      <c r="D10" s="14" t="s">
        <v>42</v>
      </c>
      <c r="F10" s="11" t="s">
        <v>3</v>
      </c>
      <c r="G10" s="33">
        <v>3</v>
      </c>
      <c r="H10" s="12" t="s">
        <v>25</v>
      </c>
      <c r="I10" s="33">
        <v>3</v>
      </c>
      <c r="J10" s="12"/>
      <c r="K10" s="33"/>
      <c r="L10" s="12" t="s">
        <v>17</v>
      </c>
      <c r="M10" s="33">
        <v>7</v>
      </c>
      <c r="N10" s="12"/>
      <c r="O10" s="33"/>
      <c r="P10" s="12" t="s">
        <v>25</v>
      </c>
      <c r="Q10" s="33">
        <v>4</v>
      </c>
      <c r="R10" s="12" t="s">
        <v>117</v>
      </c>
      <c r="S10" s="34">
        <v>5</v>
      </c>
      <c r="V10" s="80"/>
      <c r="W10" s="198"/>
      <c r="X10" s="198"/>
      <c r="Y10" s="198"/>
      <c r="Z10" s="199"/>
      <c r="AB10" s="80"/>
      <c r="AC10" s="198"/>
      <c r="AD10" s="198"/>
      <c r="AE10" s="198"/>
      <c r="AF10" s="199"/>
    </row>
    <row r="11" spans="2:32" ht="13.2" customHeight="1" x14ac:dyDescent="0.25">
      <c r="B11" s="5">
        <v>7</v>
      </c>
      <c r="C11" s="77" t="s">
        <v>64</v>
      </c>
      <c r="D11" s="78" t="s">
        <v>43</v>
      </c>
      <c r="F11" s="71" t="s">
        <v>4</v>
      </c>
      <c r="G11" s="72">
        <v>2</v>
      </c>
      <c r="H11" s="73" t="s">
        <v>26</v>
      </c>
      <c r="I11" s="72">
        <v>4</v>
      </c>
      <c r="J11" s="73"/>
      <c r="K11" s="72"/>
      <c r="L11" s="73"/>
      <c r="M11" s="72"/>
      <c r="N11" s="73"/>
      <c r="O11" s="72"/>
      <c r="P11" s="73"/>
      <c r="Q11" s="72"/>
      <c r="R11" s="73"/>
      <c r="S11" s="74"/>
      <c r="V11" s="80"/>
      <c r="W11" s="198"/>
      <c r="X11" s="198"/>
      <c r="Y11" s="198"/>
      <c r="Z11" s="199"/>
      <c r="AB11" s="95" t="s">
        <v>130</v>
      </c>
      <c r="AC11" s="198"/>
      <c r="AD11" s="198"/>
      <c r="AE11" s="198"/>
      <c r="AF11" s="199"/>
    </row>
    <row r="12" spans="2:32" ht="13.2" customHeight="1" x14ac:dyDescent="0.25">
      <c r="B12" s="5">
        <v>8</v>
      </c>
      <c r="C12" s="13" t="s">
        <v>65</v>
      </c>
      <c r="D12" s="14" t="s">
        <v>44</v>
      </c>
      <c r="F12" s="11"/>
      <c r="G12" s="33"/>
      <c r="H12" s="12" t="s">
        <v>27</v>
      </c>
      <c r="I12" s="33">
        <v>3</v>
      </c>
      <c r="J12" s="12"/>
      <c r="K12" s="33"/>
      <c r="L12" s="12"/>
      <c r="M12" s="33"/>
      <c r="N12" s="12"/>
      <c r="O12" s="33"/>
      <c r="P12" s="12"/>
      <c r="Q12" s="33"/>
      <c r="R12" s="12"/>
      <c r="S12" s="34"/>
      <c r="V12" s="80" t="s">
        <v>93</v>
      </c>
      <c r="W12" s="198"/>
      <c r="X12" s="198"/>
      <c r="Y12" s="198"/>
      <c r="Z12" s="199"/>
      <c r="AB12" s="95"/>
      <c r="AC12" s="198"/>
      <c r="AD12" s="198"/>
      <c r="AE12" s="198"/>
      <c r="AF12" s="199"/>
    </row>
    <row r="13" spans="2:32" ht="13.2" customHeight="1" x14ac:dyDescent="0.25">
      <c r="B13" s="5">
        <v>9</v>
      </c>
      <c r="C13" s="77" t="s">
        <v>66</v>
      </c>
      <c r="D13" s="78" t="s">
        <v>45</v>
      </c>
      <c r="F13" s="71"/>
      <c r="G13" s="72"/>
      <c r="H13" s="73" t="s">
        <v>28</v>
      </c>
      <c r="I13" s="72">
        <v>4</v>
      </c>
      <c r="J13" s="73"/>
      <c r="K13" s="72"/>
      <c r="L13" s="73"/>
      <c r="M13" s="72"/>
      <c r="N13" s="73"/>
      <c r="O13" s="72"/>
      <c r="P13" s="73"/>
      <c r="Q13" s="72"/>
      <c r="R13" s="73"/>
      <c r="S13" s="74"/>
      <c r="V13" s="80"/>
      <c r="W13" s="198"/>
      <c r="X13" s="198"/>
      <c r="Y13" s="198"/>
      <c r="Z13" s="199"/>
      <c r="AB13" s="80"/>
      <c r="AC13" s="198"/>
      <c r="AD13" s="198"/>
      <c r="AE13" s="198"/>
      <c r="AF13" s="199"/>
    </row>
    <row r="14" spans="2:32" ht="13.2" customHeight="1" x14ac:dyDescent="0.25">
      <c r="B14" s="5">
        <v>10</v>
      </c>
      <c r="C14" s="13" t="s">
        <v>67</v>
      </c>
      <c r="D14" s="14" t="s">
        <v>46</v>
      </c>
      <c r="F14" s="11"/>
      <c r="G14" s="33"/>
      <c r="H14" s="12" t="s">
        <v>5</v>
      </c>
      <c r="I14" s="33">
        <v>2</v>
      </c>
      <c r="J14" s="12"/>
      <c r="K14" s="33"/>
      <c r="L14" s="12"/>
      <c r="M14" s="33"/>
      <c r="N14" s="12"/>
      <c r="O14" s="33"/>
      <c r="P14" s="12"/>
      <c r="Q14" s="33"/>
      <c r="R14" s="12"/>
      <c r="S14" s="34"/>
      <c r="V14" s="80"/>
      <c r="W14" s="198"/>
      <c r="X14" s="198"/>
      <c r="Y14" s="198"/>
      <c r="Z14" s="199"/>
      <c r="AB14" s="80"/>
      <c r="AC14" s="198"/>
      <c r="AD14" s="198"/>
      <c r="AE14" s="198"/>
      <c r="AF14" s="199"/>
    </row>
    <row r="15" spans="2:32" ht="13.2" customHeight="1" x14ac:dyDescent="0.25">
      <c r="B15" s="5">
        <v>11</v>
      </c>
      <c r="C15" s="77" t="s">
        <v>68</v>
      </c>
      <c r="D15" s="78" t="s">
        <v>47</v>
      </c>
      <c r="F15" s="71"/>
      <c r="G15" s="72"/>
      <c r="H15" s="73" t="s">
        <v>29</v>
      </c>
      <c r="I15" s="72">
        <v>2</v>
      </c>
      <c r="J15" s="73"/>
      <c r="K15" s="72"/>
      <c r="L15" s="73"/>
      <c r="M15" s="72"/>
      <c r="N15" s="73"/>
      <c r="O15" s="72"/>
      <c r="P15" s="73"/>
      <c r="Q15" s="72"/>
      <c r="R15" s="73"/>
      <c r="S15" s="74"/>
      <c r="V15" s="80" t="s">
        <v>94</v>
      </c>
      <c r="W15" s="198"/>
      <c r="X15" s="198"/>
      <c r="Y15" s="198"/>
      <c r="Z15" s="199"/>
      <c r="AB15" s="95"/>
      <c r="AC15" s="198"/>
      <c r="AD15" s="198"/>
      <c r="AE15" s="198"/>
      <c r="AF15" s="199"/>
    </row>
    <row r="16" spans="2:32" ht="13.2" customHeight="1" x14ac:dyDescent="0.25">
      <c r="B16" s="5">
        <v>12</v>
      </c>
      <c r="C16" s="13" t="s">
        <v>69</v>
      </c>
      <c r="D16" s="14" t="s">
        <v>48</v>
      </c>
      <c r="F16" s="11"/>
      <c r="G16" s="33"/>
      <c r="H16" s="12"/>
      <c r="I16" s="33"/>
      <c r="J16" s="12"/>
      <c r="K16" s="33"/>
      <c r="L16" s="12"/>
      <c r="M16" s="33"/>
      <c r="N16" s="12"/>
      <c r="O16" s="33"/>
      <c r="P16" s="12"/>
      <c r="Q16" s="33"/>
      <c r="R16" s="12"/>
      <c r="S16" s="34"/>
      <c r="V16" s="80"/>
      <c r="W16" s="198"/>
      <c r="X16" s="198"/>
      <c r="Y16" s="198"/>
      <c r="Z16" s="199"/>
      <c r="AB16" s="95" t="s">
        <v>130</v>
      </c>
      <c r="AC16" s="198"/>
      <c r="AD16" s="198"/>
      <c r="AE16" s="198"/>
      <c r="AF16" s="199"/>
    </row>
    <row r="17" spans="2:32" ht="13.2" customHeight="1" x14ac:dyDescent="0.25">
      <c r="B17" s="5">
        <v>13</v>
      </c>
      <c r="C17" s="77" t="s">
        <v>70</v>
      </c>
      <c r="D17" s="78" t="s">
        <v>20</v>
      </c>
      <c r="F17" s="71"/>
      <c r="G17" s="72"/>
      <c r="H17" s="73"/>
      <c r="I17" s="72"/>
      <c r="J17" s="73"/>
      <c r="K17" s="72"/>
      <c r="L17" s="73"/>
      <c r="M17" s="72"/>
      <c r="N17" s="73"/>
      <c r="O17" s="72"/>
      <c r="P17" s="73"/>
      <c r="Q17" s="72"/>
      <c r="R17" s="73"/>
      <c r="S17" s="74"/>
      <c r="V17" s="80"/>
      <c r="W17" s="198"/>
      <c r="X17" s="198"/>
      <c r="Y17" s="198"/>
      <c r="Z17" s="199"/>
      <c r="AB17" s="80"/>
      <c r="AC17" s="198"/>
      <c r="AD17" s="198"/>
      <c r="AE17" s="198"/>
      <c r="AF17" s="199"/>
    </row>
    <row r="18" spans="2:32" ht="13.2" customHeight="1" x14ac:dyDescent="0.25">
      <c r="B18" s="5">
        <v>14</v>
      </c>
      <c r="C18" s="13" t="s">
        <v>71</v>
      </c>
      <c r="D18" s="14" t="s">
        <v>49</v>
      </c>
      <c r="F18" s="11"/>
      <c r="G18" s="33"/>
      <c r="H18" s="12"/>
      <c r="I18" s="33"/>
      <c r="J18" s="12"/>
      <c r="K18" s="33"/>
      <c r="L18" s="12"/>
      <c r="M18" s="33"/>
      <c r="N18" s="12"/>
      <c r="O18" s="33"/>
      <c r="P18" s="12"/>
      <c r="Q18" s="33"/>
      <c r="R18" s="12"/>
      <c r="S18" s="34"/>
      <c r="V18" s="80" t="s">
        <v>95</v>
      </c>
      <c r="W18" s="198"/>
      <c r="X18" s="198"/>
      <c r="Y18" s="198"/>
      <c r="Z18" s="199"/>
      <c r="AB18" s="95"/>
      <c r="AC18" s="198"/>
      <c r="AD18" s="198"/>
      <c r="AE18" s="198"/>
      <c r="AF18" s="199"/>
    </row>
    <row r="19" spans="2:32" ht="13.2" customHeight="1" x14ac:dyDescent="0.25">
      <c r="B19" s="5">
        <v>15</v>
      </c>
      <c r="C19" s="77" t="s">
        <v>72</v>
      </c>
      <c r="D19" s="78" t="s">
        <v>50</v>
      </c>
      <c r="F19" s="71"/>
      <c r="G19" s="72"/>
      <c r="H19" s="73"/>
      <c r="I19" s="72"/>
      <c r="J19" s="73"/>
      <c r="K19" s="72"/>
      <c r="L19" s="73"/>
      <c r="M19" s="72"/>
      <c r="N19" s="73"/>
      <c r="O19" s="72"/>
      <c r="P19" s="73"/>
      <c r="Q19" s="72"/>
      <c r="R19" s="73"/>
      <c r="S19" s="74"/>
      <c r="V19" s="80"/>
      <c r="W19" s="198"/>
      <c r="X19" s="198"/>
      <c r="Y19" s="198"/>
      <c r="Z19" s="199"/>
      <c r="AB19" s="80"/>
      <c r="AC19" s="198"/>
      <c r="AD19" s="198"/>
      <c r="AE19" s="198"/>
      <c r="AF19" s="199"/>
    </row>
    <row r="20" spans="2:32" ht="13.2" customHeight="1" x14ac:dyDescent="0.25">
      <c r="B20" s="5">
        <v>16</v>
      </c>
      <c r="C20" s="13" t="s">
        <v>73</v>
      </c>
      <c r="D20" s="14" t="s">
        <v>51</v>
      </c>
      <c r="F20" s="88"/>
      <c r="G20" s="89"/>
      <c r="H20" s="90"/>
      <c r="I20" s="89"/>
      <c r="J20" s="90"/>
      <c r="K20" s="89"/>
      <c r="L20" s="90"/>
      <c r="M20" s="89"/>
      <c r="N20" s="90"/>
      <c r="O20" s="89"/>
      <c r="P20" s="90"/>
      <c r="Q20" s="89"/>
      <c r="R20" s="90"/>
      <c r="S20" s="91"/>
      <c r="V20" s="80"/>
      <c r="W20" s="198"/>
      <c r="X20" s="198"/>
      <c r="Y20" s="198"/>
      <c r="Z20" s="199"/>
      <c r="AB20" s="80"/>
      <c r="AC20" s="198"/>
      <c r="AD20" s="198"/>
      <c r="AE20" s="198"/>
      <c r="AF20" s="199"/>
    </row>
    <row r="21" spans="2:32" ht="13.2" customHeight="1" x14ac:dyDescent="0.25">
      <c r="B21" s="5">
        <v>17</v>
      </c>
      <c r="C21" s="77" t="s">
        <v>74</v>
      </c>
      <c r="D21" s="78" t="s">
        <v>52</v>
      </c>
      <c r="F21" s="85">
        <f>COUNTA(F6:F20)</f>
        <v>6</v>
      </c>
      <c r="G21" s="82">
        <f>SUM(G6:G20)</f>
        <v>15</v>
      </c>
      <c r="H21" s="86">
        <f>COUNTA(H6:H20)</f>
        <v>10</v>
      </c>
      <c r="I21" s="87">
        <f>SUM(I6:I20)</f>
        <v>30</v>
      </c>
      <c r="J21" s="86">
        <f>COUNTA(J6:J20)</f>
        <v>1</v>
      </c>
      <c r="K21" s="87">
        <f>SUM(K6:K20)</f>
        <v>5</v>
      </c>
      <c r="L21" s="86">
        <f>COUNTA(L6:L20)</f>
        <v>5</v>
      </c>
      <c r="M21" s="87">
        <f>SUM(M6:M20)</f>
        <v>17</v>
      </c>
      <c r="N21" s="86">
        <f>COUNTA(N6:N20)</f>
        <v>2</v>
      </c>
      <c r="O21" s="87">
        <f>SUM(O6:O20)</f>
        <v>5</v>
      </c>
      <c r="P21" s="86">
        <f>COUNTA(P6:P20)</f>
        <v>5</v>
      </c>
      <c r="Q21" s="87">
        <f>SUM(Q6:Q20)</f>
        <v>18</v>
      </c>
      <c r="R21" s="84">
        <f>COUNTA(R6:R20)</f>
        <v>5</v>
      </c>
      <c r="S21" s="93">
        <v>10</v>
      </c>
      <c r="T21" s="79"/>
      <c r="V21" s="80" t="s">
        <v>121</v>
      </c>
      <c r="W21" s="198"/>
      <c r="X21" s="198"/>
      <c r="Y21" s="198"/>
      <c r="Z21" s="199"/>
      <c r="AB21" s="95"/>
      <c r="AC21" s="198"/>
      <c r="AD21" s="198"/>
      <c r="AE21" s="198"/>
      <c r="AF21" s="199"/>
    </row>
    <row r="22" spans="2:32" ht="13.8" thickBot="1" x14ac:dyDescent="0.3">
      <c r="B22" s="5">
        <v>18</v>
      </c>
      <c r="C22" s="13" t="s">
        <v>75</v>
      </c>
      <c r="D22" s="14" t="s">
        <v>53</v>
      </c>
      <c r="F22" s="243" t="s">
        <v>118</v>
      </c>
      <c r="G22" s="244"/>
      <c r="H22" s="204" t="s">
        <v>118</v>
      </c>
      <c r="I22" s="244"/>
      <c r="J22" s="204" t="s">
        <v>118</v>
      </c>
      <c r="K22" s="244"/>
      <c r="L22" s="204" t="s">
        <v>118</v>
      </c>
      <c r="M22" s="244"/>
      <c r="N22" s="204" t="s">
        <v>118</v>
      </c>
      <c r="O22" s="244"/>
      <c r="P22" s="204" t="s">
        <v>118</v>
      </c>
      <c r="Q22" s="244"/>
      <c r="R22" s="204" t="s">
        <v>119</v>
      </c>
      <c r="S22" s="205"/>
      <c r="T22" s="79" t="s">
        <v>88</v>
      </c>
      <c r="V22" s="4"/>
      <c r="W22" s="198"/>
      <c r="X22" s="198"/>
      <c r="Y22" s="198"/>
      <c r="Z22" s="199"/>
      <c r="AB22" s="4"/>
      <c r="AC22" s="198"/>
      <c r="AD22" s="198"/>
      <c r="AE22" s="198"/>
      <c r="AF22" s="199"/>
    </row>
    <row r="23" spans="2:32" ht="13.2" customHeight="1" thickBot="1" x14ac:dyDescent="0.3">
      <c r="B23" s="5">
        <v>19</v>
      </c>
      <c r="C23" s="77" t="s">
        <v>76</v>
      </c>
      <c r="D23" s="78" t="s">
        <v>54</v>
      </c>
      <c r="V23" s="4"/>
      <c r="W23" s="198"/>
      <c r="X23" s="198"/>
      <c r="Y23" s="198"/>
      <c r="Z23" s="199"/>
      <c r="AB23" s="4"/>
      <c r="AC23" s="198"/>
      <c r="AD23" s="198"/>
      <c r="AE23" s="198"/>
      <c r="AF23" s="199"/>
    </row>
    <row r="24" spans="2:32" ht="13.2" customHeight="1" x14ac:dyDescent="0.25">
      <c r="B24" s="5">
        <v>20</v>
      </c>
      <c r="C24" s="13" t="s">
        <v>77</v>
      </c>
      <c r="D24" s="14" t="s">
        <v>55</v>
      </c>
      <c r="F24" s="22" t="s">
        <v>22</v>
      </c>
      <c r="G24" s="226">
        <v>46150</v>
      </c>
      <c r="H24" s="227"/>
      <c r="J24" s="228" t="s">
        <v>99</v>
      </c>
      <c r="K24" s="229"/>
      <c r="L24" s="229"/>
      <c r="M24" s="229"/>
      <c r="N24" s="229"/>
      <c r="O24" s="229"/>
      <c r="P24" s="229"/>
      <c r="Q24" s="230"/>
      <c r="V24" s="4" t="s">
        <v>123</v>
      </c>
      <c r="W24" s="198"/>
      <c r="X24" s="198"/>
      <c r="Y24" s="198"/>
      <c r="Z24" s="199"/>
      <c r="AB24" s="95"/>
      <c r="AC24" s="198"/>
      <c r="AD24" s="198"/>
      <c r="AE24" s="198"/>
      <c r="AF24" s="199"/>
    </row>
    <row r="25" spans="2:32" ht="13.2" customHeight="1" x14ac:dyDescent="0.25">
      <c r="B25" s="5">
        <v>21</v>
      </c>
      <c r="C25" s="77" t="s">
        <v>78</v>
      </c>
      <c r="D25" s="78" t="s">
        <v>56</v>
      </c>
      <c r="F25" s="23" t="s">
        <v>30</v>
      </c>
      <c r="G25" s="202" t="s">
        <v>86</v>
      </c>
      <c r="H25" s="203"/>
      <c r="J25" s="231" t="s">
        <v>98</v>
      </c>
      <c r="K25" s="232"/>
      <c r="L25" s="232"/>
      <c r="M25" s="232"/>
      <c r="N25" s="232"/>
      <c r="O25" s="232"/>
      <c r="P25" s="232"/>
      <c r="Q25" s="233"/>
      <c r="V25" s="4"/>
      <c r="W25" s="198"/>
      <c r="X25" s="198"/>
      <c r="Y25" s="198"/>
      <c r="Z25" s="199"/>
      <c r="AB25" s="4"/>
      <c r="AC25" s="198"/>
      <c r="AD25" s="198"/>
      <c r="AE25" s="198"/>
      <c r="AF25" s="199"/>
    </row>
    <row r="26" spans="2:32" ht="13.2" customHeight="1" thickBot="1" x14ac:dyDescent="0.3">
      <c r="B26" s="5">
        <v>22</v>
      </c>
      <c r="C26" s="13" t="s">
        <v>79</v>
      </c>
      <c r="D26" s="14" t="s">
        <v>57</v>
      </c>
      <c r="F26" s="23" t="s">
        <v>21</v>
      </c>
      <c r="G26" s="202" t="s">
        <v>87</v>
      </c>
      <c r="H26" s="203"/>
      <c r="J26" s="234" t="s">
        <v>137</v>
      </c>
      <c r="K26" s="235"/>
      <c r="L26" s="235"/>
      <c r="M26" s="235"/>
      <c r="N26" s="235"/>
      <c r="O26" s="235"/>
      <c r="P26" s="235"/>
      <c r="Q26" s="236"/>
      <c r="V26" s="4"/>
      <c r="W26" s="198"/>
      <c r="X26" s="198"/>
      <c r="Y26" s="198"/>
      <c r="Z26" s="199"/>
      <c r="AB26" s="4"/>
      <c r="AC26" s="198"/>
      <c r="AD26" s="198"/>
      <c r="AE26" s="198"/>
      <c r="AF26" s="199"/>
    </row>
    <row r="27" spans="2:32" ht="13.2" customHeight="1" thickBot="1" x14ac:dyDescent="0.3">
      <c r="B27" s="5">
        <v>23</v>
      </c>
      <c r="C27" s="77" t="s">
        <v>80</v>
      </c>
      <c r="D27" s="78" t="s">
        <v>53</v>
      </c>
      <c r="F27" s="23" t="s">
        <v>126</v>
      </c>
      <c r="G27" s="202" t="s">
        <v>132</v>
      </c>
      <c r="H27" s="203"/>
      <c r="I27" s="94" t="s">
        <v>88</v>
      </c>
      <c r="V27" s="4"/>
      <c r="W27" s="198"/>
      <c r="X27" s="198"/>
      <c r="Y27" s="198"/>
      <c r="Z27" s="199"/>
      <c r="AB27" s="4"/>
      <c r="AC27" s="198"/>
      <c r="AD27" s="198"/>
      <c r="AE27" s="198"/>
      <c r="AF27" s="199"/>
    </row>
    <row r="28" spans="2:32" ht="13.2" customHeight="1" thickBot="1" x14ac:dyDescent="0.3">
      <c r="B28" s="5">
        <v>24</v>
      </c>
      <c r="C28" s="13"/>
      <c r="D28" s="14"/>
      <c r="F28" s="24" t="s">
        <v>127</v>
      </c>
      <c r="G28" s="206" t="s">
        <v>133</v>
      </c>
      <c r="H28" s="207"/>
      <c r="I28" s="94" t="s">
        <v>88</v>
      </c>
      <c r="N28" s="208" t="s">
        <v>128</v>
      </c>
      <c r="O28" s="209"/>
      <c r="P28" s="209"/>
      <c r="Q28" s="210"/>
      <c r="V28" s="4"/>
      <c r="W28" s="198"/>
      <c r="X28" s="198"/>
      <c r="Y28" s="198"/>
      <c r="Z28" s="199"/>
      <c r="AB28" s="4"/>
      <c r="AC28" s="198"/>
      <c r="AD28" s="198"/>
      <c r="AE28" s="198"/>
      <c r="AF28" s="199"/>
    </row>
    <row r="29" spans="2:32" ht="13.2" customHeight="1" thickBot="1" x14ac:dyDescent="0.3">
      <c r="B29" s="5">
        <v>25</v>
      </c>
      <c r="C29" s="77"/>
      <c r="D29" s="78"/>
      <c r="N29" s="211"/>
      <c r="O29" s="212"/>
      <c r="P29" s="212"/>
      <c r="Q29" s="213"/>
      <c r="V29" s="92"/>
      <c r="W29" s="200"/>
      <c r="X29" s="200"/>
      <c r="Y29" s="200"/>
      <c r="Z29" s="201"/>
      <c r="AB29" s="92"/>
      <c r="AC29" s="200"/>
      <c r="AD29" s="200"/>
      <c r="AE29" s="200"/>
      <c r="AF29" s="201"/>
    </row>
    <row r="30" spans="2:32" ht="13.2" customHeight="1" thickBot="1" x14ac:dyDescent="0.3">
      <c r="B30" s="5">
        <v>26</v>
      </c>
      <c r="C30" s="13"/>
      <c r="D30" s="14"/>
    </row>
    <row r="31" spans="2:32" ht="13.2" customHeight="1" x14ac:dyDescent="0.25">
      <c r="B31" s="5">
        <v>27</v>
      </c>
      <c r="C31" s="77"/>
      <c r="D31" s="78"/>
      <c r="F31" s="217" t="s">
        <v>97</v>
      </c>
      <c r="G31" s="218"/>
      <c r="H31" s="218"/>
      <c r="I31" s="218"/>
      <c r="J31" s="218"/>
      <c r="K31" s="218"/>
      <c r="L31" s="218"/>
      <c r="M31" s="218"/>
      <c r="N31" s="218"/>
      <c r="O31" s="218"/>
      <c r="P31" s="218"/>
      <c r="Q31" s="219"/>
    </row>
    <row r="32" spans="2:32" ht="13.2" customHeight="1" x14ac:dyDescent="0.25">
      <c r="B32" s="5">
        <v>28</v>
      </c>
      <c r="C32" s="13"/>
      <c r="D32" s="14"/>
      <c r="F32" s="220"/>
      <c r="G32" s="221"/>
      <c r="H32" s="221"/>
      <c r="I32" s="221"/>
      <c r="J32" s="221"/>
      <c r="K32" s="221"/>
      <c r="L32" s="221"/>
      <c r="M32" s="221"/>
      <c r="N32" s="221"/>
      <c r="O32" s="221"/>
      <c r="P32" s="221"/>
      <c r="Q32" s="222"/>
    </row>
    <row r="33" spans="2:25" ht="13.2" customHeight="1" x14ac:dyDescent="0.25">
      <c r="B33" s="5">
        <v>29</v>
      </c>
      <c r="C33" s="77"/>
      <c r="D33" s="78"/>
      <c r="F33" s="220"/>
      <c r="G33" s="221"/>
      <c r="H33" s="221"/>
      <c r="I33" s="221"/>
      <c r="J33" s="221"/>
      <c r="K33" s="221"/>
      <c r="L33" s="221"/>
      <c r="M33" s="221"/>
      <c r="N33" s="221"/>
      <c r="O33" s="221"/>
      <c r="P33" s="221"/>
      <c r="Q33" s="222"/>
    </row>
    <row r="34" spans="2:25" ht="13.2" customHeight="1" x14ac:dyDescent="0.25">
      <c r="B34" s="5">
        <v>30</v>
      </c>
      <c r="C34" s="13"/>
      <c r="D34" s="14"/>
      <c r="F34" s="220"/>
      <c r="G34" s="221"/>
      <c r="H34" s="221"/>
      <c r="I34" s="221"/>
      <c r="J34" s="221"/>
      <c r="K34" s="221"/>
      <c r="L34" s="221"/>
      <c r="M34" s="221"/>
      <c r="N34" s="221"/>
      <c r="O34" s="221"/>
      <c r="P34" s="221"/>
      <c r="Q34" s="222"/>
    </row>
    <row r="35" spans="2:25" ht="13.2" customHeight="1" x14ac:dyDescent="0.25">
      <c r="B35" s="5">
        <v>31</v>
      </c>
      <c r="C35" s="77"/>
      <c r="D35" s="78"/>
      <c r="F35" s="220"/>
      <c r="G35" s="221"/>
      <c r="H35" s="221"/>
      <c r="I35" s="221"/>
      <c r="J35" s="221"/>
      <c r="K35" s="221"/>
      <c r="L35" s="221"/>
      <c r="M35" s="221"/>
      <c r="N35" s="221"/>
      <c r="O35" s="221"/>
      <c r="P35" s="221"/>
      <c r="Q35" s="222"/>
    </row>
    <row r="36" spans="2:25" ht="13.2" customHeight="1" x14ac:dyDescent="0.25">
      <c r="B36" s="5">
        <v>32</v>
      </c>
      <c r="C36" s="13"/>
      <c r="D36" s="14"/>
      <c r="F36" s="220"/>
      <c r="G36" s="221"/>
      <c r="H36" s="221"/>
      <c r="I36" s="221"/>
      <c r="J36" s="221"/>
      <c r="K36" s="221"/>
      <c r="L36" s="221"/>
      <c r="M36" s="221"/>
      <c r="N36" s="221"/>
      <c r="O36" s="221"/>
      <c r="P36" s="221"/>
      <c r="Q36" s="222"/>
    </row>
    <row r="37" spans="2:25" ht="13.2" customHeight="1" thickBot="1" x14ac:dyDescent="0.3">
      <c r="B37" s="5">
        <v>33</v>
      </c>
      <c r="C37" s="77"/>
      <c r="D37" s="78"/>
      <c r="F37" s="220"/>
      <c r="G37" s="221"/>
      <c r="H37" s="221"/>
      <c r="I37" s="221"/>
      <c r="J37" s="221"/>
      <c r="K37" s="221"/>
      <c r="L37" s="221"/>
      <c r="M37" s="221"/>
      <c r="N37" s="221"/>
      <c r="O37" s="221"/>
      <c r="P37" s="221"/>
      <c r="Q37" s="222"/>
    </row>
    <row r="38" spans="2:25" ht="13.2" customHeight="1" x14ac:dyDescent="0.25">
      <c r="B38" s="5">
        <v>34</v>
      </c>
      <c r="C38" s="13"/>
      <c r="D38" s="14"/>
      <c r="F38" s="220"/>
      <c r="G38" s="221"/>
      <c r="H38" s="221"/>
      <c r="I38" s="221"/>
      <c r="J38" s="221"/>
      <c r="K38" s="221"/>
      <c r="L38" s="221"/>
      <c r="M38" s="221"/>
      <c r="N38" s="221"/>
      <c r="O38" s="221"/>
      <c r="P38" s="221"/>
      <c r="Q38" s="222"/>
      <c r="V38" s="182" t="s">
        <v>134</v>
      </c>
      <c r="W38" s="183"/>
      <c r="X38" s="183"/>
      <c r="Y38" s="184"/>
    </row>
    <row r="39" spans="2:25" ht="13.2" customHeight="1" x14ac:dyDescent="0.25">
      <c r="B39" s="5">
        <v>35</v>
      </c>
      <c r="C39" s="77"/>
      <c r="D39" s="78"/>
      <c r="F39" s="220"/>
      <c r="G39" s="221"/>
      <c r="H39" s="221"/>
      <c r="I39" s="221"/>
      <c r="J39" s="221"/>
      <c r="K39" s="221"/>
      <c r="L39" s="221"/>
      <c r="M39" s="221"/>
      <c r="N39" s="221"/>
      <c r="O39" s="221"/>
      <c r="P39" s="221"/>
      <c r="Q39" s="222"/>
      <c r="V39" s="185"/>
      <c r="W39" s="186"/>
      <c r="X39" s="186"/>
      <c r="Y39" s="187"/>
    </row>
    <row r="40" spans="2:25" ht="13.2" customHeight="1" x14ac:dyDescent="0.25">
      <c r="B40" s="5">
        <v>36</v>
      </c>
      <c r="C40" s="13"/>
      <c r="D40" s="14"/>
      <c r="F40" s="220"/>
      <c r="G40" s="221"/>
      <c r="H40" s="221"/>
      <c r="I40" s="221"/>
      <c r="J40" s="221"/>
      <c r="K40" s="221"/>
      <c r="L40" s="221"/>
      <c r="M40" s="221"/>
      <c r="N40" s="221"/>
      <c r="O40" s="221"/>
      <c r="P40" s="221"/>
      <c r="Q40" s="222"/>
      <c r="V40" s="151">
        <v>1</v>
      </c>
      <c r="W40" s="188" t="s">
        <v>135</v>
      </c>
      <c r="X40" s="188"/>
      <c r="Y40" s="189"/>
    </row>
    <row r="41" spans="2:25" ht="13.2" customHeight="1" x14ac:dyDescent="0.25">
      <c r="B41" s="5">
        <v>37</v>
      </c>
      <c r="C41" s="77"/>
      <c r="D41" s="78"/>
      <c r="F41" s="220"/>
      <c r="G41" s="221"/>
      <c r="H41" s="221"/>
      <c r="I41" s="221"/>
      <c r="J41" s="221"/>
      <c r="K41" s="221"/>
      <c r="L41" s="221"/>
      <c r="M41" s="221"/>
      <c r="N41" s="221"/>
      <c r="O41" s="221"/>
      <c r="P41" s="221"/>
      <c r="Q41" s="222"/>
      <c r="V41" s="151">
        <v>1</v>
      </c>
      <c r="W41" s="188" t="s">
        <v>136</v>
      </c>
      <c r="X41" s="188"/>
      <c r="Y41" s="189"/>
    </row>
    <row r="42" spans="2:25" ht="13.2" customHeight="1" x14ac:dyDescent="0.25">
      <c r="B42" s="5">
        <v>38</v>
      </c>
      <c r="C42" s="13"/>
      <c r="D42" s="14"/>
      <c r="F42" s="220"/>
      <c r="G42" s="221"/>
      <c r="H42" s="221"/>
      <c r="I42" s="221"/>
      <c r="J42" s="221"/>
      <c r="K42" s="221"/>
      <c r="L42" s="221"/>
      <c r="M42" s="221"/>
      <c r="N42" s="221"/>
      <c r="O42" s="221"/>
      <c r="P42" s="221"/>
      <c r="Q42" s="222"/>
      <c r="V42" s="149"/>
      <c r="W42" s="190"/>
      <c r="X42" s="190"/>
      <c r="Y42" s="191"/>
    </row>
    <row r="43" spans="2:25" ht="13.2" customHeight="1" x14ac:dyDescent="0.25">
      <c r="B43" s="5">
        <v>39</v>
      </c>
      <c r="C43" s="77"/>
      <c r="D43" s="78"/>
      <c r="F43" s="220"/>
      <c r="G43" s="221"/>
      <c r="H43" s="221"/>
      <c r="I43" s="221"/>
      <c r="J43" s="221"/>
      <c r="K43" s="221"/>
      <c r="L43" s="221"/>
      <c r="M43" s="221"/>
      <c r="N43" s="221"/>
      <c r="O43" s="221"/>
      <c r="P43" s="221"/>
      <c r="Q43" s="222"/>
      <c r="V43" s="149"/>
      <c r="W43" s="190"/>
      <c r="X43" s="190"/>
      <c r="Y43" s="191"/>
    </row>
    <row r="44" spans="2:25" ht="13.2" customHeight="1" thickBot="1" x14ac:dyDescent="0.3">
      <c r="B44" s="6">
        <v>40</v>
      </c>
      <c r="C44" s="15"/>
      <c r="D44" s="16"/>
      <c r="F44" s="223"/>
      <c r="G44" s="224"/>
      <c r="H44" s="224"/>
      <c r="I44" s="224"/>
      <c r="J44" s="224"/>
      <c r="K44" s="224"/>
      <c r="L44" s="224"/>
      <c r="M44" s="224"/>
      <c r="N44" s="224"/>
      <c r="O44" s="224"/>
      <c r="P44" s="224"/>
      <c r="Q44" s="225"/>
      <c r="V44" s="150"/>
      <c r="W44" s="245"/>
      <c r="X44" s="245"/>
      <c r="Y44" s="246"/>
    </row>
    <row r="45" spans="2:25" x14ac:dyDescent="0.25">
      <c r="C45" s="10">
        <f>COUNTA(C5:C44)</f>
        <v>23</v>
      </c>
    </row>
  </sheetData>
  <sheetProtection sheet="1" objects="1" scenarios="1" selectLockedCells="1"/>
  <mergeCells count="29">
    <mergeCell ref="AB2:AF2"/>
    <mergeCell ref="AC3:AF29"/>
    <mergeCell ref="F31:Q44"/>
    <mergeCell ref="V2:Z2"/>
    <mergeCell ref="G24:H24"/>
    <mergeCell ref="J24:Q24"/>
    <mergeCell ref="J25:Q25"/>
    <mergeCell ref="J26:Q26"/>
    <mergeCell ref="F2:S3"/>
    <mergeCell ref="F22:G22"/>
    <mergeCell ref="H22:I22"/>
    <mergeCell ref="J22:K22"/>
    <mergeCell ref="L22:M22"/>
    <mergeCell ref="N22:O22"/>
    <mergeCell ref="P22:Q22"/>
    <mergeCell ref="W44:Y44"/>
    <mergeCell ref="B2:D3"/>
    <mergeCell ref="W3:Z29"/>
    <mergeCell ref="G25:H25"/>
    <mergeCell ref="G26:H26"/>
    <mergeCell ref="R22:S22"/>
    <mergeCell ref="G27:H27"/>
    <mergeCell ref="G28:H28"/>
    <mergeCell ref="N28:Q29"/>
    <mergeCell ref="V38:Y39"/>
    <mergeCell ref="W40:Y40"/>
    <mergeCell ref="W41:Y41"/>
    <mergeCell ref="W42:Y42"/>
    <mergeCell ref="W43:Y43"/>
  </mergeCells>
  <dataValidations count="3">
    <dataValidation type="list" allowBlank="1" showInputMessage="1" showErrorMessage="1" sqref="J22:R22 F22 H22" xr:uid="{F4A9CAD1-0480-4ADA-93BE-D2D9C0DD371C}">
      <formula1>"Nein,Ja"</formula1>
    </dataValidation>
    <dataValidation type="custom" showInputMessage="1" showErrorMessage="1" sqref="R27:S29 J24:Q26" xr:uid="{C85A5DCF-A5EF-4D06-8770-728CD61BE72F}">
      <formula1>"&lt;0&gt;0"</formula1>
    </dataValidation>
    <dataValidation type="list" allowBlank="1" showInputMessage="1" showErrorMessage="1" sqref="V40:V44" xr:uid="{A49DA2BE-7493-40C6-97D8-C7DB38F348D0}">
      <formula1>"1,0"</formula1>
    </dataValidation>
  </dataValidations>
  <hyperlinks>
    <hyperlink ref="J25:Q25" r:id="rId1" display="GitHub Link" xr:uid="{A973A2A7-B95C-4AE9-8B6C-E5EA47EE1315}"/>
    <hyperlink ref="J24:Q24" r:id="rId2" display="Dies ist ein OpenSource Projekt lizensiert unter der GNU GPLv3." xr:uid="{C8FBEF54-C8DE-441C-8DDB-974F2A593A75}"/>
  </hyperlinks>
  <pageMargins left="0.7" right="0.7" top="0.78740157499999996" bottom="0.78740157499999996" header="0.3" footer="0.3"/>
  <pageSetup paperSize="9" orientation="portrait" r:id="rId3"/>
  <ignoredErrors>
    <ignoredError sqref="J21 L21 N21" formula="1"/>
  </ignoredErrors>
  <drawing r:id="rId4"/>
  <legacyDrawing r:id="rId5"/>
  <controls>
    <mc:AlternateContent xmlns:mc="http://schemas.openxmlformats.org/markup-compatibility/2006">
      <mc:Choice Requires="x14">
        <control shapeId="10289" r:id="rId6" name="cmdImportDK">
          <controlPr defaultSize="0" autoLine="0" r:id="rId7">
            <anchor>
              <from>
                <xdr:col>29</xdr:col>
                <xdr:colOff>518160</xdr:colOff>
                <xdr:row>33</xdr:row>
                <xdr:rowOff>0</xdr:rowOff>
              </from>
              <to>
                <xdr:col>31</xdr:col>
                <xdr:colOff>342900</xdr:colOff>
                <xdr:row>36</xdr:row>
                <xdr:rowOff>30480</xdr:rowOff>
              </to>
            </anchor>
          </controlPr>
        </control>
      </mc:Choice>
      <mc:Fallback>
        <control shapeId="10289" r:id="rId6" name="cmdImportDK"/>
      </mc:Fallback>
    </mc:AlternateContent>
    <mc:AlternateContent xmlns:mc="http://schemas.openxmlformats.org/markup-compatibility/2006">
      <mc:Choice Requires="x14">
        <control shapeId="10288" r:id="rId8" name="cmdImportZK">
          <controlPr defaultSize="0" autoLine="0" r:id="rId9">
            <anchor>
              <from>
                <xdr:col>27</xdr:col>
                <xdr:colOff>0</xdr:colOff>
                <xdr:row>33</xdr:row>
                <xdr:rowOff>0</xdr:rowOff>
              </from>
              <to>
                <xdr:col>29</xdr:col>
                <xdr:colOff>441960</xdr:colOff>
                <xdr:row>36</xdr:row>
                <xdr:rowOff>30480</xdr:rowOff>
              </to>
            </anchor>
          </controlPr>
        </control>
      </mc:Choice>
      <mc:Fallback>
        <control shapeId="10288" r:id="rId8" name="cmdImportZK"/>
      </mc:Fallback>
    </mc:AlternateContent>
    <mc:AlternateContent xmlns:mc="http://schemas.openxmlformats.org/markup-compatibility/2006">
      <mc:Choice Requires="x14">
        <control shapeId="10287" r:id="rId10" name="cmdDelZKDK">
          <controlPr defaultSize="0" autoLine="0" r:id="rId11">
            <anchor>
              <from>
                <xdr:col>29</xdr:col>
                <xdr:colOff>518160</xdr:colOff>
                <xdr:row>29</xdr:row>
                <xdr:rowOff>68580</xdr:rowOff>
              </from>
              <to>
                <xdr:col>31</xdr:col>
                <xdr:colOff>342900</xdr:colOff>
                <xdr:row>32</xdr:row>
                <xdr:rowOff>99060</xdr:rowOff>
              </to>
            </anchor>
          </controlPr>
        </control>
      </mc:Choice>
      <mc:Fallback>
        <control shapeId="10287" r:id="rId10" name="cmdDelZKDK"/>
      </mc:Fallback>
    </mc:AlternateContent>
    <mc:AlternateContent xmlns:mc="http://schemas.openxmlformats.org/markup-compatibility/2006">
      <mc:Choice Requires="x14">
        <control shapeId="10285" r:id="rId12" name="cmdAddZKDK">
          <controlPr defaultSize="0" autoLine="0" r:id="rId13">
            <anchor>
              <from>
                <xdr:col>27</xdr:col>
                <xdr:colOff>0</xdr:colOff>
                <xdr:row>29</xdr:row>
                <xdr:rowOff>68580</xdr:rowOff>
              </from>
              <to>
                <xdr:col>29</xdr:col>
                <xdr:colOff>441960</xdr:colOff>
                <xdr:row>32</xdr:row>
                <xdr:rowOff>99060</xdr:rowOff>
              </to>
            </anchor>
          </controlPr>
        </control>
      </mc:Choice>
      <mc:Fallback>
        <control shapeId="10285" r:id="rId12" name="cmdAddZKDK"/>
      </mc:Fallback>
    </mc:AlternateContent>
    <mc:AlternateContent xmlns:mc="http://schemas.openxmlformats.org/markup-compatibility/2006">
      <mc:Choice Requires="x14">
        <control shapeId="10246" r:id="rId14" name="cmdClearAll">
          <controlPr defaultSize="0" autoLine="0" r:id="rId15">
            <anchor>
              <from>
                <xdr:col>23</xdr:col>
                <xdr:colOff>533400</xdr:colOff>
                <xdr:row>29</xdr:row>
                <xdr:rowOff>68580</xdr:rowOff>
              </from>
              <to>
                <xdr:col>25</xdr:col>
                <xdr:colOff>358140</xdr:colOff>
                <xdr:row>32</xdr:row>
                <xdr:rowOff>99060</xdr:rowOff>
              </to>
            </anchor>
          </controlPr>
        </control>
      </mc:Choice>
      <mc:Fallback>
        <control shapeId="10246" r:id="rId14" name="cmdClearAll"/>
      </mc:Fallback>
    </mc:AlternateContent>
    <mc:AlternateContent xmlns:mc="http://schemas.openxmlformats.org/markup-compatibility/2006">
      <mc:Choice Requires="x14">
        <control shapeId="10243" r:id="rId16" name="cmdCreateTables">
          <controlPr defaultSize="0" autoLine="0" r:id="rId17">
            <anchor>
              <from>
                <xdr:col>21</xdr:col>
                <xdr:colOff>0</xdr:colOff>
                <xdr:row>29</xdr:row>
                <xdr:rowOff>68580</xdr:rowOff>
              </from>
              <to>
                <xdr:col>23</xdr:col>
                <xdr:colOff>434340</xdr:colOff>
                <xdr:row>32</xdr:row>
                <xdr:rowOff>99060</xdr:rowOff>
              </to>
            </anchor>
          </controlPr>
        </control>
      </mc:Choice>
      <mc:Fallback>
        <control shapeId="10243" r:id="rId16" name="cmdCreateTables"/>
      </mc:Fallback>
    </mc:AlternateContent>
    <mc:AlternateContent xmlns:mc="http://schemas.openxmlformats.org/markup-compatibility/2006">
      <mc:Choice Requires="x14">
        <control shapeId="10244" r:id="rId18" name="cmdCreateResults">
          <controlPr defaultSize="0" autoLine="0" r:id="rId19">
            <anchor>
              <from>
                <xdr:col>23</xdr:col>
                <xdr:colOff>533400</xdr:colOff>
                <xdr:row>33</xdr:row>
                <xdr:rowOff>0</xdr:rowOff>
              </from>
              <to>
                <xdr:col>25</xdr:col>
                <xdr:colOff>358140</xdr:colOff>
                <xdr:row>36</xdr:row>
                <xdr:rowOff>30480</xdr:rowOff>
              </to>
            </anchor>
          </controlPr>
        </control>
      </mc:Choice>
      <mc:Fallback>
        <control shapeId="10244" r:id="rId18" name="cmdCreateResults"/>
      </mc:Fallback>
    </mc:AlternateContent>
    <mc:AlternateContent xmlns:mc="http://schemas.openxmlformats.org/markup-compatibility/2006">
      <mc:Choice Requires="x14">
        <control shapeId="10276" r:id="rId20" name="btnSelExUpdate">
          <controlPr defaultSize="0" print="0" autoLine="0" r:id="rId21">
            <anchor>
              <from>
                <xdr:col>21</xdr:col>
                <xdr:colOff>0</xdr:colOff>
                <xdr:row>33</xdr:row>
                <xdr:rowOff>0</xdr:rowOff>
              </from>
              <to>
                <xdr:col>23</xdr:col>
                <xdr:colOff>434340</xdr:colOff>
                <xdr:row>36</xdr:row>
                <xdr:rowOff>30480</xdr:rowOff>
              </to>
            </anchor>
          </controlPr>
        </control>
      </mc:Choice>
      <mc:Fallback>
        <control shapeId="10276" r:id="rId20" name="btnSelExUpdate"/>
      </mc:Fallback>
    </mc:AlternateContent>
    <mc:AlternateContent xmlns:mc="http://schemas.openxmlformats.org/markup-compatibility/2006">
      <mc:Choice Requires="x14">
        <control shapeId="10277" r:id="rId22" name="cmdEK">
          <controlPr defaultSize="0" autoLine="0" r:id="rId23">
            <anchor>
              <from>
                <xdr:col>8</xdr:col>
                <xdr:colOff>441960</xdr:colOff>
                <xdr:row>27</xdr:row>
                <xdr:rowOff>0</xdr:rowOff>
              </from>
              <to>
                <xdr:col>9</xdr:col>
                <xdr:colOff>388620</xdr:colOff>
                <xdr:row>28</xdr:row>
                <xdr:rowOff>160020</xdr:rowOff>
              </to>
            </anchor>
          </controlPr>
        </control>
      </mc:Choice>
      <mc:Fallback>
        <control shapeId="10277" r:id="rId22" name="cmdEK"/>
      </mc:Fallback>
    </mc:AlternateContent>
    <mc:AlternateContent xmlns:mc="http://schemas.openxmlformats.org/markup-compatibility/2006">
      <mc:Choice Requires="x14">
        <control shapeId="10278" r:id="rId24" name="cmdZK">
          <controlPr defaultSize="0" autoLine="0" r:id="rId25">
            <anchor>
              <from>
                <xdr:col>9</xdr:col>
                <xdr:colOff>441960</xdr:colOff>
                <xdr:row>27</xdr:row>
                <xdr:rowOff>0</xdr:rowOff>
              </from>
              <to>
                <xdr:col>10</xdr:col>
                <xdr:colOff>388620</xdr:colOff>
                <xdr:row>28</xdr:row>
                <xdr:rowOff>160020</xdr:rowOff>
              </to>
            </anchor>
          </controlPr>
        </control>
      </mc:Choice>
      <mc:Fallback>
        <control shapeId="10278" r:id="rId24" name="cmdZK"/>
      </mc:Fallback>
    </mc:AlternateContent>
    <mc:AlternateContent xmlns:mc="http://schemas.openxmlformats.org/markup-compatibility/2006">
      <mc:Choice Requires="x14">
        <control shapeId="10279" r:id="rId26" name="cmdDK">
          <controlPr defaultSize="0" autoLine="0" r:id="rId27">
            <anchor>
              <from>
                <xdr:col>11</xdr:col>
                <xdr:colOff>0</xdr:colOff>
                <xdr:row>27</xdr:row>
                <xdr:rowOff>0</xdr:rowOff>
              </from>
              <to>
                <xdr:col>11</xdr:col>
                <xdr:colOff>403860</xdr:colOff>
                <xdr:row>28</xdr:row>
                <xdr:rowOff>160020</xdr:rowOff>
              </to>
            </anchor>
          </controlPr>
        </control>
      </mc:Choice>
      <mc:Fallback>
        <control shapeId="10279" r:id="rId26" name="cmdDK"/>
      </mc:Fallback>
    </mc:AlternateContent>
    <mc:AlternateContent xmlns:mc="http://schemas.openxmlformats.org/markup-compatibility/2006">
      <mc:Choice Requires="x14">
        <control shapeId="10280" r:id="rId28" name="cmdAK">
          <controlPr defaultSize="0" autoLine="0" r:id="rId29">
            <anchor>
              <from>
                <xdr:col>12</xdr:col>
                <xdr:colOff>0</xdr:colOff>
                <xdr:row>27</xdr:row>
                <xdr:rowOff>0</xdr:rowOff>
              </from>
              <to>
                <xdr:col>12</xdr:col>
                <xdr:colOff>403860</xdr:colOff>
                <xdr:row>28</xdr:row>
                <xdr:rowOff>160020</xdr:rowOff>
              </to>
            </anchor>
          </controlPr>
        </control>
      </mc:Choice>
      <mc:Fallback>
        <control shapeId="10280" r:id="rId28" name="cmdAK"/>
      </mc:Fallback>
    </mc:AlternateContent>
  </control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Notenspiegel">
    <tabColor theme="0"/>
  </sheetPr>
  <dimension ref="B1:O302"/>
  <sheetViews>
    <sheetView workbookViewId="0">
      <selection activeCell="D7" sqref="D7"/>
    </sheetView>
  </sheetViews>
  <sheetFormatPr baseColWidth="10" defaultRowHeight="13.2" x14ac:dyDescent="0.25"/>
  <cols>
    <col min="1" max="1" width="2.88671875" customWidth="1"/>
    <col min="2" max="2" width="9.109375" style="1" customWidth="1"/>
    <col min="3" max="3" width="9.109375" style="2" customWidth="1"/>
    <col min="4" max="4" width="9.109375" style="1" customWidth="1"/>
    <col min="5" max="5" width="3.109375" style="2" hidden="1" customWidth="1"/>
    <col min="6" max="6" width="3.44140625" customWidth="1"/>
    <col min="7" max="8" width="11.44140625" customWidth="1"/>
  </cols>
  <sheetData>
    <row r="1" spans="2:15" ht="13.8" thickBot="1" x14ac:dyDescent="0.3"/>
    <row r="2" spans="2:15" ht="13.5" customHeight="1" thickBot="1" x14ac:dyDescent="0.3">
      <c r="B2" s="28" t="s">
        <v>0</v>
      </c>
      <c r="C2" s="29" t="s">
        <v>31</v>
      </c>
      <c r="D2" s="30" t="s">
        <v>1</v>
      </c>
      <c r="F2" s="31"/>
      <c r="G2" s="217" t="s">
        <v>32</v>
      </c>
      <c r="H2" s="218"/>
      <c r="I2" s="218"/>
      <c r="J2" s="218"/>
      <c r="K2" s="218"/>
      <c r="L2" s="219"/>
    </row>
    <row r="3" spans="2:15" x14ac:dyDescent="0.25">
      <c r="B3" s="35">
        <v>0</v>
      </c>
      <c r="C3" s="36">
        <v>0</v>
      </c>
      <c r="D3" s="37">
        <v>6</v>
      </c>
      <c r="E3" s="27" t="str">
        <f>IF(AND($C3=$C4,$C4&lt;$C5),"+",IF($C3&lt;$C4,"++",""))</f>
        <v/>
      </c>
      <c r="F3" s="31"/>
      <c r="G3" s="220"/>
      <c r="H3" s="221"/>
      <c r="I3" s="221"/>
      <c r="J3" s="221"/>
      <c r="K3" s="221"/>
      <c r="L3" s="222"/>
    </row>
    <row r="4" spans="2:15" x14ac:dyDescent="0.25">
      <c r="B4" s="38">
        <v>0.5</v>
      </c>
      <c r="C4" s="39">
        <v>0</v>
      </c>
      <c r="D4" s="40">
        <v>6</v>
      </c>
      <c r="E4" s="27" t="str">
        <f>IF(AND($C4=$C5,$C5&lt;$C6),"+",IF($C4&lt;$C5,"++",""))</f>
        <v/>
      </c>
      <c r="F4" s="31"/>
      <c r="G4" s="220"/>
      <c r="H4" s="221"/>
      <c r="I4" s="221"/>
      <c r="J4" s="221"/>
      <c r="K4" s="221"/>
      <c r="L4" s="222"/>
    </row>
    <row r="5" spans="2:15" x14ac:dyDescent="0.25">
      <c r="B5" s="38">
        <v>1</v>
      </c>
      <c r="C5" s="39">
        <v>0</v>
      </c>
      <c r="D5" s="40">
        <v>6</v>
      </c>
      <c r="E5" s="27" t="str">
        <f t="shared" ref="E5:E50" si="0">IF(AND($C5=$C6,$C6&lt;$C7),"+",IF($C5&lt;$C6,"++",IF(AND($C5=$C4,$C4&gt;$C3),"-",IF($C5&gt;$C4,"--",""))))</f>
        <v/>
      </c>
      <c r="F5" s="31"/>
      <c r="G5" s="220"/>
      <c r="H5" s="221"/>
      <c r="I5" s="221"/>
      <c r="J5" s="221"/>
      <c r="K5" s="221"/>
      <c r="L5" s="222"/>
    </row>
    <row r="6" spans="2:15" x14ac:dyDescent="0.25">
      <c r="B6" s="38">
        <v>1.5</v>
      </c>
      <c r="C6" s="39">
        <v>0</v>
      </c>
      <c r="D6" s="40">
        <v>6</v>
      </c>
      <c r="E6" s="27" t="str">
        <f t="shared" si="0"/>
        <v/>
      </c>
      <c r="F6" s="31"/>
      <c r="G6" s="220"/>
      <c r="H6" s="221"/>
      <c r="I6" s="221"/>
      <c r="J6" s="221"/>
      <c r="K6" s="221"/>
      <c r="L6" s="222"/>
    </row>
    <row r="7" spans="2:15" x14ac:dyDescent="0.25">
      <c r="B7" s="38">
        <v>2</v>
      </c>
      <c r="C7" s="39">
        <v>0</v>
      </c>
      <c r="D7" s="40">
        <v>6</v>
      </c>
      <c r="E7" s="27" t="str">
        <f t="shared" si="0"/>
        <v/>
      </c>
      <c r="F7" s="31"/>
      <c r="G7" s="220"/>
      <c r="H7" s="221"/>
      <c r="I7" s="221"/>
      <c r="J7" s="221"/>
      <c r="K7" s="221"/>
      <c r="L7" s="222"/>
    </row>
    <row r="8" spans="2:15" ht="12.75" customHeight="1" x14ac:dyDescent="0.25">
      <c r="B8" s="38">
        <v>2.5</v>
      </c>
      <c r="C8" s="39">
        <v>0</v>
      </c>
      <c r="D8" s="40">
        <v>6</v>
      </c>
      <c r="E8" s="27" t="str">
        <f t="shared" si="0"/>
        <v/>
      </c>
      <c r="F8" s="31"/>
      <c r="G8" s="220"/>
      <c r="H8" s="221"/>
      <c r="I8" s="221"/>
      <c r="J8" s="221"/>
      <c r="K8" s="221"/>
      <c r="L8" s="222"/>
      <c r="M8" s="32"/>
      <c r="N8" s="32"/>
      <c r="O8" s="32"/>
    </row>
    <row r="9" spans="2:15" x14ac:dyDescent="0.25">
      <c r="B9" s="38">
        <v>3</v>
      </c>
      <c r="C9" s="39">
        <v>0</v>
      </c>
      <c r="D9" s="40">
        <v>6</v>
      </c>
      <c r="E9" s="27" t="str">
        <f t="shared" si="0"/>
        <v/>
      </c>
      <c r="F9" s="31"/>
      <c r="G9" s="220"/>
      <c r="H9" s="221"/>
      <c r="I9" s="221"/>
      <c r="J9" s="221"/>
      <c r="K9" s="221"/>
      <c r="L9" s="222"/>
      <c r="M9" s="32"/>
      <c r="N9" s="32"/>
      <c r="O9" s="32"/>
    </row>
    <row r="10" spans="2:15" x14ac:dyDescent="0.25">
      <c r="B10" s="38">
        <v>3.5</v>
      </c>
      <c r="C10" s="39">
        <v>0</v>
      </c>
      <c r="D10" s="40">
        <v>6</v>
      </c>
      <c r="E10" s="27" t="str">
        <f t="shared" si="0"/>
        <v/>
      </c>
      <c r="F10" s="31"/>
      <c r="G10" s="220"/>
      <c r="H10" s="221"/>
      <c r="I10" s="221"/>
      <c r="J10" s="221"/>
      <c r="K10" s="221"/>
      <c r="L10" s="222"/>
      <c r="M10" s="32"/>
      <c r="N10" s="32"/>
      <c r="O10" s="32"/>
    </row>
    <row r="11" spans="2:15" x14ac:dyDescent="0.25">
      <c r="B11" s="38">
        <v>4</v>
      </c>
      <c r="C11" s="39">
        <v>0</v>
      </c>
      <c r="D11" s="40">
        <v>6</v>
      </c>
      <c r="E11" s="27" t="str">
        <f t="shared" si="0"/>
        <v/>
      </c>
      <c r="G11" s="220"/>
      <c r="H11" s="221"/>
      <c r="I11" s="221"/>
      <c r="J11" s="221"/>
      <c r="K11" s="221"/>
      <c r="L11" s="222"/>
      <c r="M11" s="32"/>
      <c r="N11" s="32"/>
      <c r="O11" s="32"/>
    </row>
    <row r="12" spans="2:15" x14ac:dyDescent="0.25">
      <c r="B12" s="38">
        <v>4.5</v>
      </c>
      <c r="C12" s="39">
        <v>0</v>
      </c>
      <c r="D12" s="40">
        <v>6</v>
      </c>
      <c r="E12" s="27" t="str">
        <f t="shared" si="0"/>
        <v/>
      </c>
      <c r="F12" s="31"/>
      <c r="G12" s="220"/>
      <c r="H12" s="221"/>
      <c r="I12" s="221"/>
      <c r="J12" s="221"/>
      <c r="K12" s="221"/>
      <c r="L12" s="222"/>
      <c r="M12" s="32"/>
      <c r="N12" s="32"/>
      <c r="O12" s="32"/>
    </row>
    <row r="13" spans="2:15" x14ac:dyDescent="0.25">
      <c r="B13" s="38">
        <v>5</v>
      </c>
      <c r="C13" s="39">
        <v>0</v>
      </c>
      <c r="D13" s="40">
        <v>6</v>
      </c>
      <c r="E13" s="27" t="str">
        <f t="shared" si="0"/>
        <v/>
      </c>
      <c r="F13" s="31"/>
      <c r="G13" s="220"/>
      <c r="H13" s="221"/>
      <c r="I13" s="221"/>
      <c r="J13" s="221"/>
      <c r="K13" s="221"/>
      <c r="L13" s="222"/>
      <c r="M13" s="32"/>
      <c r="N13" s="32"/>
      <c r="O13" s="32"/>
    </row>
    <row r="14" spans="2:15" x14ac:dyDescent="0.25">
      <c r="B14" s="38">
        <v>5.5</v>
      </c>
      <c r="C14" s="39">
        <v>0</v>
      </c>
      <c r="D14" s="40">
        <v>6</v>
      </c>
      <c r="E14" s="27" t="str">
        <f t="shared" si="0"/>
        <v/>
      </c>
      <c r="F14" s="31"/>
      <c r="G14" s="220"/>
      <c r="H14" s="221"/>
      <c r="I14" s="221"/>
      <c r="J14" s="221"/>
      <c r="K14" s="221"/>
      <c r="L14" s="222"/>
      <c r="M14" s="32"/>
      <c r="N14" s="32"/>
      <c r="O14" s="32"/>
    </row>
    <row r="15" spans="2:15" x14ac:dyDescent="0.25">
      <c r="B15" s="38">
        <v>6</v>
      </c>
      <c r="C15" s="39">
        <v>0</v>
      </c>
      <c r="D15" s="40">
        <v>6</v>
      </c>
      <c r="E15" s="27" t="str">
        <f t="shared" si="0"/>
        <v/>
      </c>
      <c r="F15" s="31"/>
      <c r="G15" s="48"/>
      <c r="H15" s="49"/>
      <c r="I15" s="49"/>
      <c r="J15" s="49"/>
      <c r="K15" s="49"/>
      <c r="L15" s="50"/>
      <c r="M15" s="32"/>
      <c r="N15" s="32"/>
      <c r="O15" s="32"/>
    </row>
    <row r="16" spans="2:15" x14ac:dyDescent="0.25">
      <c r="B16" s="38">
        <v>6.5</v>
      </c>
      <c r="C16" s="39">
        <v>0</v>
      </c>
      <c r="D16" s="40">
        <v>6</v>
      </c>
      <c r="E16" s="27" t="str">
        <f t="shared" si="0"/>
        <v/>
      </c>
      <c r="F16" s="31"/>
      <c r="G16" s="58"/>
      <c r="H16" s="51" t="s">
        <v>33</v>
      </c>
      <c r="I16" s="51"/>
      <c r="J16" s="51"/>
      <c r="K16" s="51"/>
      <c r="L16" s="53"/>
      <c r="M16" s="32"/>
      <c r="N16" s="32"/>
      <c r="O16" s="32"/>
    </row>
    <row r="17" spans="2:15" x14ac:dyDescent="0.25">
      <c r="B17" s="38">
        <v>7</v>
      </c>
      <c r="C17" s="39">
        <v>0</v>
      </c>
      <c r="D17" s="40">
        <v>6</v>
      </c>
      <c r="E17" s="27" t="str">
        <f t="shared" si="0"/>
        <v/>
      </c>
      <c r="F17" s="31"/>
      <c r="G17" s="59"/>
      <c r="H17" s="51" t="s">
        <v>34</v>
      </c>
      <c r="I17" s="51"/>
      <c r="J17" s="51"/>
      <c r="K17" s="51"/>
      <c r="L17" s="53"/>
      <c r="M17" s="32"/>
      <c r="N17" s="32"/>
      <c r="O17" s="32"/>
    </row>
    <row r="18" spans="2:15" x14ac:dyDescent="0.25">
      <c r="B18" s="38">
        <v>7.5</v>
      </c>
      <c r="C18" s="39">
        <v>0</v>
      </c>
      <c r="D18" s="40">
        <v>6</v>
      </c>
      <c r="E18" s="27" t="str">
        <f t="shared" si="0"/>
        <v/>
      </c>
      <c r="F18" s="31"/>
      <c r="G18" s="52"/>
      <c r="H18" s="51" t="s">
        <v>35</v>
      </c>
      <c r="I18" s="51"/>
      <c r="J18" s="51"/>
      <c r="K18" s="51"/>
      <c r="L18" s="53"/>
      <c r="M18" s="32"/>
      <c r="N18" s="32"/>
      <c r="O18" s="32"/>
    </row>
    <row r="19" spans="2:15" x14ac:dyDescent="0.25">
      <c r="B19" s="38">
        <v>8</v>
      </c>
      <c r="C19" s="39">
        <v>0</v>
      </c>
      <c r="D19" s="40">
        <v>6</v>
      </c>
      <c r="E19" s="27" t="str">
        <f t="shared" si="0"/>
        <v/>
      </c>
      <c r="F19" s="31"/>
      <c r="G19" s="54"/>
      <c r="H19" s="51" t="s">
        <v>36</v>
      </c>
      <c r="I19" s="51"/>
      <c r="J19" s="51"/>
      <c r="K19" s="51"/>
      <c r="L19" s="53"/>
      <c r="M19" s="32"/>
      <c r="N19" s="32"/>
      <c r="O19" s="32"/>
    </row>
    <row r="20" spans="2:15" ht="13.8" thickBot="1" x14ac:dyDescent="0.3">
      <c r="B20" s="38">
        <v>8.5</v>
      </c>
      <c r="C20" s="39">
        <v>0</v>
      </c>
      <c r="D20" s="40">
        <v>6</v>
      </c>
      <c r="E20" s="27" t="str">
        <f t="shared" si="0"/>
        <v/>
      </c>
      <c r="F20" s="31"/>
      <c r="G20" s="55"/>
      <c r="H20" s="56"/>
      <c r="I20" s="56"/>
      <c r="J20" s="56"/>
      <c r="K20" s="56"/>
      <c r="L20" s="57"/>
      <c r="M20" s="32"/>
      <c r="N20" s="32"/>
      <c r="O20" s="32"/>
    </row>
    <row r="21" spans="2:15" x14ac:dyDescent="0.25">
      <c r="B21" s="38">
        <v>9</v>
      </c>
      <c r="C21" s="39">
        <v>0</v>
      </c>
      <c r="D21" s="40">
        <v>6</v>
      </c>
      <c r="E21" s="27" t="str">
        <f t="shared" si="0"/>
        <v/>
      </c>
      <c r="G21" s="60"/>
      <c r="H21" s="60"/>
      <c r="I21" s="60"/>
      <c r="J21" s="60"/>
      <c r="K21" s="60"/>
      <c r="L21" s="60"/>
      <c r="M21" s="32"/>
      <c r="N21" s="32"/>
      <c r="O21" s="32"/>
    </row>
    <row r="22" spans="2:15" x14ac:dyDescent="0.25">
      <c r="B22" s="38">
        <v>9.5</v>
      </c>
      <c r="C22" s="39">
        <v>0</v>
      </c>
      <c r="D22" s="40">
        <v>6</v>
      </c>
      <c r="E22" s="27" t="str">
        <f t="shared" si="0"/>
        <v/>
      </c>
      <c r="G22" s="60"/>
      <c r="H22" s="60"/>
      <c r="I22" s="60"/>
      <c r="J22" s="60"/>
      <c r="K22" s="60"/>
      <c r="L22" s="60"/>
    </row>
    <row r="23" spans="2:15" x14ac:dyDescent="0.25">
      <c r="B23" s="38">
        <v>10</v>
      </c>
      <c r="C23" s="39">
        <v>0</v>
      </c>
      <c r="D23" s="40">
        <v>6</v>
      </c>
      <c r="E23" s="27" t="str">
        <f t="shared" si="0"/>
        <v/>
      </c>
      <c r="G23" s="60"/>
      <c r="H23" s="60"/>
      <c r="I23" s="60"/>
      <c r="J23" s="60"/>
      <c r="K23" s="60"/>
      <c r="L23" s="60"/>
    </row>
    <row r="24" spans="2:15" x14ac:dyDescent="0.25">
      <c r="B24" s="38">
        <v>10.5</v>
      </c>
      <c r="C24" s="39">
        <v>0</v>
      </c>
      <c r="D24" s="40">
        <v>6</v>
      </c>
      <c r="E24" s="27" t="str">
        <f t="shared" si="0"/>
        <v/>
      </c>
      <c r="G24" s="60"/>
      <c r="H24" s="60"/>
      <c r="I24" s="60"/>
      <c r="J24" s="60"/>
      <c r="K24" s="60"/>
      <c r="L24" s="60"/>
    </row>
    <row r="25" spans="2:15" x14ac:dyDescent="0.25">
      <c r="B25" s="38">
        <v>11</v>
      </c>
      <c r="C25" s="39">
        <v>0</v>
      </c>
      <c r="D25" s="40">
        <v>6</v>
      </c>
      <c r="E25" s="27" t="str">
        <f t="shared" si="0"/>
        <v/>
      </c>
    </row>
    <row r="26" spans="2:15" x14ac:dyDescent="0.25">
      <c r="B26" s="38">
        <v>11.5</v>
      </c>
      <c r="C26" s="39">
        <v>0</v>
      </c>
      <c r="D26" s="40">
        <v>6</v>
      </c>
      <c r="E26" s="27" t="str">
        <f t="shared" si="0"/>
        <v/>
      </c>
      <c r="G26" s="31"/>
      <c r="H26" s="31"/>
      <c r="I26" s="31"/>
      <c r="J26" s="31"/>
      <c r="K26" s="31"/>
      <c r="L26" s="31"/>
    </row>
    <row r="27" spans="2:15" x14ac:dyDescent="0.25">
      <c r="B27" s="38">
        <v>12</v>
      </c>
      <c r="C27" s="39">
        <v>0</v>
      </c>
      <c r="D27" s="40">
        <v>6</v>
      </c>
      <c r="E27" s="27" t="str">
        <f t="shared" si="0"/>
        <v/>
      </c>
      <c r="G27" s="31"/>
      <c r="H27" s="31"/>
      <c r="I27" s="31"/>
      <c r="J27" s="31"/>
      <c r="K27" s="31"/>
      <c r="L27" s="31"/>
    </row>
    <row r="28" spans="2:15" x14ac:dyDescent="0.25">
      <c r="B28" s="38">
        <v>12.5</v>
      </c>
      <c r="C28" s="39">
        <v>0</v>
      </c>
      <c r="D28" s="40">
        <v>6</v>
      </c>
      <c r="E28" s="27" t="str">
        <f t="shared" si="0"/>
        <v/>
      </c>
      <c r="G28" s="31"/>
      <c r="H28" s="31"/>
      <c r="I28" s="31"/>
      <c r="J28" s="31"/>
      <c r="K28" s="31"/>
      <c r="L28" s="31"/>
    </row>
    <row r="29" spans="2:15" x14ac:dyDescent="0.25">
      <c r="B29" s="38">
        <v>13</v>
      </c>
      <c r="C29" s="39">
        <v>0</v>
      </c>
      <c r="D29" s="40">
        <v>6</v>
      </c>
      <c r="E29" s="27" t="str">
        <f t="shared" si="0"/>
        <v/>
      </c>
      <c r="G29" s="31"/>
      <c r="H29" s="31"/>
      <c r="I29" s="31"/>
      <c r="J29" s="31"/>
      <c r="K29" s="31"/>
      <c r="L29" s="31"/>
    </row>
    <row r="30" spans="2:15" x14ac:dyDescent="0.25">
      <c r="B30" s="38">
        <v>13.5</v>
      </c>
      <c r="C30" s="39">
        <v>0</v>
      </c>
      <c r="D30" s="40">
        <v>6</v>
      </c>
      <c r="E30" s="27" t="str">
        <f t="shared" si="0"/>
        <v/>
      </c>
      <c r="G30" s="31"/>
      <c r="H30" s="31"/>
      <c r="I30" s="31"/>
      <c r="J30" s="31"/>
      <c r="K30" s="31"/>
      <c r="L30" s="31"/>
    </row>
    <row r="31" spans="2:15" x14ac:dyDescent="0.25">
      <c r="B31" s="38">
        <v>14</v>
      </c>
      <c r="C31" s="39">
        <v>0</v>
      </c>
      <c r="D31" s="40">
        <v>6</v>
      </c>
      <c r="E31" s="27" t="str">
        <f t="shared" si="0"/>
        <v/>
      </c>
      <c r="G31" s="31"/>
      <c r="H31" s="31"/>
      <c r="I31" s="31"/>
      <c r="J31" s="31"/>
      <c r="K31" s="31"/>
      <c r="L31" s="31"/>
    </row>
    <row r="32" spans="2:15" x14ac:dyDescent="0.25">
      <c r="B32" s="38">
        <v>14.5</v>
      </c>
      <c r="C32" s="39">
        <v>0</v>
      </c>
      <c r="D32" s="40">
        <v>6</v>
      </c>
      <c r="E32" s="27" t="str">
        <f t="shared" si="0"/>
        <v/>
      </c>
      <c r="G32" s="31"/>
      <c r="H32" s="31"/>
      <c r="I32" s="31"/>
      <c r="J32" s="31"/>
      <c r="K32" s="31"/>
      <c r="L32" s="31"/>
    </row>
    <row r="33" spans="2:12" x14ac:dyDescent="0.25">
      <c r="B33" s="38">
        <v>15</v>
      </c>
      <c r="C33" s="39">
        <v>0</v>
      </c>
      <c r="D33" s="40">
        <v>6</v>
      </c>
      <c r="E33" s="27" t="str">
        <f t="shared" si="0"/>
        <v/>
      </c>
      <c r="G33" s="31"/>
      <c r="H33" s="31"/>
      <c r="I33" s="31"/>
      <c r="J33" s="31"/>
      <c r="K33" s="31"/>
      <c r="L33" s="31"/>
    </row>
    <row r="34" spans="2:12" x14ac:dyDescent="0.25">
      <c r="B34" s="38">
        <v>15.5</v>
      </c>
      <c r="C34" s="39">
        <v>0</v>
      </c>
      <c r="D34" s="40">
        <v>6</v>
      </c>
      <c r="E34" s="27" t="str">
        <f t="shared" si="0"/>
        <v/>
      </c>
      <c r="G34" s="31"/>
      <c r="H34" s="31"/>
      <c r="I34" s="31"/>
      <c r="J34" s="31"/>
      <c r="K34" s="31"/>
      <c r="L34" s="31"/>
    </row>
    <row r="35" spans="2:12" x14ac:dyDescent="0.25">
      <c r="B35" s="38">
        <v>16</v>
      </c>
      <c r="C35" s="39">
        <v>0</v>
      </c>
      <c r="D35" s="40">
        <v>6</v>
      </c>
      <c r="E35" s="27" t="str">
        <f t="shared" si="0"/>
        <v/>
      </c>
    </row>
    <row r="36" spans="2:12" x14ac:dyDescent="0.25">
      <c r="B36" s="38">
        <v>16.5</v>
      </c>
      <c r="C36" s="39">
        <v>0</v>
      </c>
      <c r="D36" s="40">
        <v>6</v>
      </c>
      <c r="E36" s="27" t="str">
        <f t="shared" si="0"/>
        <v/>
      </c>
    </row>
    <row r="37" spans="2:12" x14ac:dyDescent="0.25">
      <c r="B37" s="38">
        <v>17</v>
      </c>
      <c r="C37" s="39">
        <v>0</v>
      </c>
      <c r="D37" s="40">
        <v>6</v>
      </c>
      <c r="E37" s="27" t="str">
        <f t="shared" si="0"/>
        <v/>
      </c>
    </row>
    <row r="38" spans="2:12" x14ac:dyDescent="0.25">
      <c r="B38" s="38">
        <v>17.5</v>
      </c>
      <c r="C38" s="39">
        <v>0</v>
      </c>
      <c r="D38" s="40">
        <v>6</v>
      </c>
      <c r="E38" s="27" t="str">
        <f t="shared" si="0"/>
        <v/>
      </c>
    </row>
    <row r="39" spans="2:12" x14ac:dyDescent="0.25">
      <c r="B39" s="38">
        <v>18</v>
      </c>
      <c r="C39" s="39">
        <v>0</v>
      </c>
      <c r="D39" s="40">
        <v>6</v>
      </c>
      <c r="E39" s="27" t="str">
        <f t="shared" si="0"/>
        <v/>
      </c>
    </row>
    <row r="40" spans="2:12" x14ac:dyDescent="0.25">
      <c r="B40" s="38">
        <v>18.5</v>
      </c>
      <c r="C40" s="39">
        <v>0</v>
      </c>
      <c r="D40" s="40">
        <v>6</v>
      </c>
      <c r="E40" s="27" t="str">
        <f t="shared" si="0"/>
        <v/>
      </c>
    </row>
    <row r="41" spans="2:12" x14ac:dyDescent="0.25">
      <c r="B41" s="38">
        <v>19</v>
      </c>
      <c r="C41" s="39">
        <v>0</v>
      </c>
      <c r="D41" s="40">
        <v>6</v>
      </c>
      <c r="E41" s="27" t="str">
        <f t="shared" si="0"/>
        <v>+</v>
      </c>
    </row>
    <row r="42" spans="2:12" x14ac:dyDescent="0.25">
      <c r="B42" s="38">
        <v>19.5</v>
      </c>
      <c r="C42" s="39">
        <v>0</v>
      </c>
      <c r="D42" s="40">
        <v>6</v>
      </c>
      <c r="E42" s="27" t="str">
        <f t="shared" si="0"/>
        <v>++</v>
      </c>
    </row>
    <row r="43" spans="2:12" x14ac:dyDescent="0.25">
      <c r="B43" s="38">
        <v>20</v>
      </c>
      <c r="C43" s="39">
        <v>1</v>
      </c>
      <c r="D43" s="40" t="s">
        <v>100</v>
      </c>
      <c r="E43" s="27" t="str">
        <f t="shared" si="0"/>
        <v>--</v>
      </c>
    </row>
    <row r="44" spans="2:12" x14ac:dyDescent="0.25">
      <c r="B44" s="38">
        <v>20.5</v>
      </c>
      <c r="C44" s="39">
        <v>1</v>
      </c>
      <c r="D44" s="40" t="s">
        <v>100</v>
      </c>
      <c r="E44" s="27" t="str">
        <f t="shared" si="0"/>
        <v>-</v>
      </c>
    </row>
    <row r="45" spans="2:12" x14ac:dyDescent="0.25">
      <c r="B45" s="38">
        <v>21</v>
      </c>
      <c r="C45" s="39">
        <v>1</v>
      </c>
      <c r="D45" s="40" t="s">
        <v>100</v>
      </c>
      <c r="E45" s="27" t="str">
        <f t="shared" si="0"/>
        <v/>
      </c>
    </row>
    <row r="46" spans="2:12" x14ac:dyDescent="0.25">
      <c r="B46" s="38">
        <v>21.5</v>
      </c>
      <c r="C46" s="39">
        <v>1</v>
      </c>
      <c r="D46" s="40" t="s">
        <v>100</v>
      </c>
      <c r="E46" s="27" t="str">
        <f t="shared" si="0"/>
        <v/>
      </c>
    </row>
    <row r="47" spans="2:12" x14ac:dyDescent="0.25">
      <c r="B47" s="38">
        <v>22</v>
      </c>
      <c r="C47" s="39">
        <v>1</v>
      </c>
      <c r="D47" s="40" t="s">
        <v>100</v>
      </c>
      <c r="E47" s="27" t="str">
        <f t="shared" si="0"/>
        <v/>
      </c>
    </row>
    <row r="48" spans="2:12" x14ac:dyDescent="0.25">
      <c r="B48" s="38">
        <v>22.5</v>
      </c>
      <c r="C48" s="39">
        <v>1</v>
      </c>
      <c r="D48" s="40" t="s">
        <v>100</v>
      </c>
      <c r="E48" s="27" t="str">
        <f t="shared" si="0"/>
        <v/>
      </c>
    </row>
    <row r="49" spans="2:5" x14ac:dyDescent="0.25">
      <c r="B49" s="38">
        <v>23</v>
      </c>
      <c r="C49" s="39">
        <v>1</v>
      </c>
      <c r="D49" s="40" t="s">
        <v>100</v>
      </c>
      <c r="E49" s="27" t="str">
        <f t="shared" si="0"/>
        <v/>
      </c>
    </row>
    <row r="50" spans="2:5" x14ac:dyDescent="0.25">
      <c r="B50" s="38">
        <v>23.5</v>
      </c>
      <c r="C50" s="39">
        <v>1</v>
      </c>
      <c r="D50" s="40" t="s">
        <v>100</v>
      </c>
      <c r="E50" s="27" t="str">
        <f t="shared" si="0"/>
        <v/>
      </c>
    </row>
    <row r="51" spans="2:5" x14ac:dyDescent="0.25">
      <c r="B51" s="38">
        <v>24</v>
      </c>
      <c r="C51" s="39">
        <v>1</v>
      </c>
      <c r="D51" s="40" t="s">
        <v>100</v>
      </c>
      <c r="E51" s="27" t="str">
        <f>IF(AND($C51=$C52,$C52&lt;$C53),"+",IF($C51&lt;$C52,"++",IF(AND($C51=$C50,$C50&gt;$C49),"-",IF($C51&gt;$C50,"--",""))))</f>
        <v/>
      </c>
    </row>
    <row r="52" spans="2:5" x14ac:dyDescent="0.25">
      <c r="B52" s="38">
        <v>24.5</v>
      </c>
      <c r="C52" s="39">
        <v>1</v>
      </c>
      <c r="D52" s="40" t="s">
        <v>100</v>
      </c>
      <c r="E52" s="27" t="str">
        <f t="shared" ref="E52:E115" si="1">IF(AND($C52=$C53,$C53&lt;$C54),"+",IF($C52&lt;$C53,"++",IF(AND($C52=$C51,$C51&gt;$C50),"-",IF($C52&gt;$C51,"--",""))))</f>
        <v/>
      </c>
    </row>
    <row r="53" spans="2:5" x14ac:dyDescent="0.25">
      <c r="B53" s="38">
        <v>25</v>
      </c>
      <c r="C53" s="39">
        <v>1</v>
      </c>
      <c r="D53" s="41" t="s">
        <v>100</v>
      </c>
      <c r="E53" s="27" t="str">
        <f t="shared" si="1"/>
        <v/>
      </c>
    </row>
    <row r="54" spans="2:5" x14ac:dyDescent="0.25">
      <c r="B54" s="38">
        <v>25.5</v>
      </c>
      <c r="C54" s="39">
        <v>1</v>
      </c>
      <c r="D54" s="41" t="s">
        <v>100</v>
      </c>
      <c r="E54" s="27" t="str">
        <f t="shared" si="1"/>
        <v/>
      </c>
    </row>
    <row r="55" spans="2:5" x14ac:dyDescent="0.25">
      <c r="B55" s="38">
        <v>26</v>
      </c>
      <c r="C55" s="39">
        <v>1</v>
      </c>
      <c r="D55" s="41" t="s">
        <v>100</v>
      </c>
      <c r="E55" s="27" t="str">
        <f t="shared" si="1"/>
        <v>+</v>
      </c>
    </row>
    <row r="56" spans="2:5" x14ac:dyDescent="0.25">
      <c r="B56" s="38">
        <v>26.5</v>
      </c>
      <c r="C56" s="39">
        <v>1</v>
      </c>
      <c r="D56" s="41" t="s">
        <v>100</v>
      </c>
      <c r="E56" s="27" t="str">
        <f t="shared" si="1"/>
        <v>++</v>
      </c>
    </row>
    <row r="57" spans="2:5" x14ac:dyDescent="0.25">
      <c r="B57" s="38">
        <v>27</v>
      </c>
      <c r="C57" s="39">
        <v>2</v>
      </c>
      <c r="D57" s="41" t="s">
        <v>101</v>
      </c>
      <c r="E57" s="27" t="str">
        <f t="shared" si="1"/>
        <v>--</v>
      </c>
    </row>
    <row r="58" spans="2:5" x14ac:dyDescent="0.25">
      <c r="B58" s="38">
        <v>27.5</v>
      </c>
      <c r="C58" s="39">
        <v>2</v>
      </c>
      <c r="D58" s="41" t="s">
        <v>101</v>
      </c>
      <c r="E58" s="27" t="str">
        <f t="shared" si="1"/>
        <v>-</v>
      </c>
    </row>
    <row r="59" spans="2:5" x14ac:dyDescent="0.25">
      <c r="B59" s="38">
        <v>28</v>
      </c>
      <c r="C59" s="39">
        <v>2</v>
      </c>
      <c r="D59" s="41" t="s">
        <v>101</v>
      </c>
      <c r="E59" s="27" t="str">
        <f t="shared" si="1"/>
        <v/>
      </c>
    </row>
    <row r="60" spans="2:5" x14ac:dyDescent="0.25">
      <c r="B60" s="38">
        <v>28.5</v>
      </c>
      <c r="C60" s="39">
        <v>2</v>
      </c>
      <c r="D60" s="41" t="s">
        <v>101</v>
      </c>
      <c r="E60" s="27" t="str">
        <f t="shared" si="1"/>
        <v/>
      </c>
    </row>
    <row r="61" spans="2:5" x14ac:dyDescent="0.25">
      <c r="B61" s="38">
        <v>29</v>
      </c>
      <c r="C61" s="39">
        <v>2</v>
      </c>
      <c r="D61" s="41" t="s">
        <v>101</v>
      </c>
      <c r="E61" s="27" t="str">
        <f t="shared" si="1"/>
        <v/>
      </c>
    </row>
    <row r="62" spans="2:5" x14ac:dyDescent="0.25">
      <c r="B62" s="38">
        <v>29.5</v>
      </c>
      <c r="C62" s="39">
        <v>2</v>
      </c>
      <c r="D62" s="41" t="s">
        <v>101</v>
      </c>
      <c r="E62" s="27" t="str">
        <f t="shared" si="1"/>
        <v/>
      </c>
    </row>
    <row r="63" spans="2:5" x14ac:dyDescent="0.25">
      <c r="B63" s="38">
        <v>30</v>
      </c>
      <c r="C63" s="39">
        <v>2</v>
      </c>
      <c r="D63" s="41" t="s">
        <v>101</v>
      </c>
      <c r="E63" s="27" t="str">
        <f t="shared" si="1"/>
        <v/>
      </c>
    </row>
    <row r="64" spans="2:5" x14ac:dyDescent="0.25">
      <c r="B64" s="38">
        <v>30.5</v>
      </c>
      <c r="C64" s="39">
        <v>2</v>
      </c>
      <c r="D64" s="41" t="s">
        <v>101</v>
      </c>
      <c r="E64" s="27" t="str">
        <f t="shared" si="1"/>
        <v/>
      </c>
    </row>
    <row r="65" spans="2:5" x14ac:dyDescent="0.25">
      <c r="B65" s="38">
        <v>31</v>
      </c>
      <c r="C65" s="39">
        <v>2</v>
      </c>
      <c r="D65" s="41" t="s">
        <v>101</v>
      </c>
      <c r="E65" s="27" t="str">
        <f t="shared" si="1"/>
        <v/>
      </c>
    </row>
    <row r="66" spans="2:5" x14ac:dyDescent="0.25">
      <c r="B66" s="38">
        <v>31.5</v>
      </c>
      <c r="C66" s="39">
        <v>2</v>
      </c>
      <c r="D66" s="41" t="s">
        <v>101</v>
      </c>
      <c r="E66" s="27" t="str">
        <f t="shared" si="1"/>
        <v/>
      </c>
    </row>
    <row r="67" spans="2:5" x14ac:dyDescent="0.25">
      <c r="B67" s="38">
        <v>32</v>
      </c>
      <c r="C67" s="39">
        <v>2</v>
      </c>
      <c r="D67" s="41" t="s">
        <v>101</v>
      </c>
      <c r="E67" s="27" t="str">
        <f t="shared" si="1"/>
        <v>+</v>
      </c>
    </row>
    <row r="68" spans="2:5" x14ac:dyDescent="0.25">
      <c r="B68" s="38">
        <v>32.5</v>
      </c>
      <c r="C68" s="39">
        <v>2</v>
      </c>
      <c r="D68" s="41" t="s">
        <v>101</v>
      </c>
      <c r="E68" s="27" t="str">
        <f t="shared" si="1"/>
        <v>++</v>
      </c>
    </row>
    <row r="69" spans="2:5" x14ac:dyDescent="0.25">
      <c r="B69" s="38">
        <v>33</v>
      </c>
      <c r="C69" s="39">
        <v>3</v>
      </c>
      <c r="D69" s="40" t="s">
        <v>102</v>
      </c>
      <c r="E69" s="27" t="str">
        <f t="shared" si="1"/>
        <v>--</v>
      </c>
    </row>
    <row r="70" spans="2:5" x14ac:dyDescent="0.25">
      <c r="B70" s="38">
        <v>33.5</v>
      </c>
      <c r="C70" s="39">
        <v>3</v>
      </c>
      <c r="D70" s="40" t="s">
        <v>102</v>
      </c>
      <c r="E70" s="27" t="str">
        <f t="shared" si="1"/>
        <v>-</v>
      </c>
    </row>
    <row r="71" spans="2:5" x14ac:dyDescent="0.25">
      <c r="B71" s="38">
        <v>34</v>
      </c>
      <c r="C71" s="39">
        <v>3</v>
      </c>
      <c r="D71" s="40" t="s">
        <v>102</v>
      </c>
      <c r="E71" s="27" t="str">
        <f t="shared" si="1"/>
        <v/>
      </c>
    </row>
    <row r="72" spans="2:5" x14ac:dyDescent="0.25">
      <c r="B72" s="38">
        <v>34.5</v>
      </c>
      <c r="C72" s="39">
        <v>3</v>
      </c>
      <c r="D72" s="40" t="s">
        <v>102</v>
      </c>
      <c r="E72" s="27" t="str">
        <f t="shared" si="1"/>
        <v/>
      </c>
    </row>
    <row r="73" spans="2:5" x14ac:dyDescent="0.25">
      <c r="B73" s="38">
        <v>35</v>
      </c>
      <c r="C73" s="39">
        <v>3</v>
      </c>
      <c r="D73" s="40" t="s">
        <v>102</v>
      </c>
      <c r="E73" s="27" t="str">
        <f t="shared" si="1"/>
        <v/>
      </c>
    </row>
    <row r="74" spans="2:5" x14ac:dyDescent="0.25">
      <c r="B74" s="38">
        <v>35.5</v>
      </c>
      <c r="C74" s="39">
        <v>3</v>
      </c>
      <c r="D74" s="40" t="s">
        <v>102</v>
      </c>
      <c r="E74" s="27" t="str">
        <f t="shared" si="1"/>
        <v/>
      </c>
    </row>
    <row r="75" spans="2:5" x14ac:dyDescent="0.25">
      <c r="B75" s="38">
        <v>36</v>
      </c>
      <c r="C75" s="39">
        <v>3</v>
      </c>
      <c r="D75" s="40" t="s">
        <v>102</v>
      </c>
      <c r="E75" s="27" t="str">
        <f t="shared" si="1"/>
        <v/>
      </c>
    </row>
    <row r="76" spans="2:5" x14ac:dyDescent="0.25">
      <c r="B76" s="38">
        <v>36.5</v>
      </c>
      <c r="C76" s="39">
        <v>3</v>
      </c>
      <c r="D76" s="40" t="s">
        <v>102</v>
      </c>
      <c r="E76" s="27" t="str">
        <f t="shared" si="1"/>
        <v/>
      </c>
    </row>
    <row r="77" spans="2:5" x14ac:dyDescent="0.25">
      <c r="B77" s="38">
        <v>37</v>
      </c>
      <c r="C77" s="39">
        <v>3</v>
      </c>
      <c r="D77" s="40" t="s">
        <v>102</v>
      </c>
      <c r="E77" s="27" t="str">
        <f t="shared" si="1"/>
        <v/>
      </c>
    </row>
    <row r="78" spans="2:5" x14ac:dyDescent="0.25">
      <c r="B78" s="38">
        <v>37.5</v>
      </c>
      <c r="C78" s="39">
        <v>3</v>
      </c>
      <c r="D78" s="40" t="s">
        <v>102</v>
      </c>
      <c r="E78" s="27" t="str">
        <f t="shared" si="1"/>
        <v/>
      </c>
    </row>
    <row r="79" spans="2:5" x14ac:dyDescent="0.25">
      <c r="B79" s="38">
        <v>38</v>
      </c>
      <c r="C79" s="39">
        <v>3</v>
      </c>
      <c r="D79" s="40" t="s">
        <v>102</v>
      </c>
      <c r="E79" s="27" t="str">
        <f t="shared" si="1"/>
        <v/>
      </c>
    </row>
    <row r="80" spans="2:5" x14ac:dyDescent="0.25">
      <c r="B80" s="38">
        <v>38.5</v>
      </c>
      <c r="C80" s="39">
        <v>3</v>
      </c>
      <c r="D80" s="40" t="s">
        <v>102</v>
      </c>
      <c r="E80" s="27" t="str">
        <f t="shared" si="1"/>
        <v/>
      </c>
    </row>
    <row r="81" spans="2:5" x14ac:dyDescent="0.25">
      <c r="B81" s="38">
        <v>39</v>
      </c>
      <c r="C81" s="39">
        <v>3</v>
      </c>
      <c r="D81" s="40" t="s">
        <v>102</v>
      </c>
      <c r="E81" s="27" t="str">
        <f t="shared" si="1"/>
        <v>+</v>
      </c>
    </row>
    <row r="82" spans="2:5" x14ac:dyDescent="0.25">
      <c r="B82" s="38">
        <v>39.5</v>
      </c>
      <c r="C82" s="39">
        <v>3</v>
      </c>
      <c r="D82" s="40" t="s">
        <v>102</v>
      </c>
      <c r="E82" s="27" t="str">
        <f t="shared" si="1"/>
        <v>++</v>
      </c>
    </row>
    <row r="83" spans="2:5" x14ac:dyDescent="0.25">
      <c r="B83" s="38">
        <v>40</v>
      </c>
      <c r="C83" s="39">
        <v>4</v>
      </c>
      <c r="D83" s="40" t="s">
        <v>103</v>
      </c>
      <c r="E83" s="27" t="str">
        <f t="shared" si="1"/>
        <v>--</v>
      </c>
    </row>
    <row r="84" spans="2:5" x14ac:dyDescent="0.25">
      <c r="B84" s="38">
        <v>40.5</v>
      </c>
      <c r="C84" s="39">
        <v>4</v>
      </c>
      <c r="D84" s="40" t="s">
        <v>103</v>
      </c>
      <c r="E84" s="27" t="str">
        <f t="shared" si="1"/>
        <v>-</v>
      </c>
    </row>
    <row r="85" spans="2:5" x14ac:dyDescent="0.25">
      <c r="B85" s="38">
        <v>41</v>
      </c>
      <c r="C85" s="39">
        <v>4</v>
      </c>
      <c r="D85" s="42" t="s">
        <v>103</v>
      </c>
      <c r="E85" s="27" t="str">
        <f t="shared" si="1"/>
        <v/>
      </c>
    </row>
    <row r="86" spans="2:5" x14ac:dyDescent="0.25">
      <c r="B86" s="38">
        <v>41.5</v>
      </c>
      <c r="C86" s="39">
        <v>4</v>
      </c>
      <c r="D86" s="42" t="s">
        <v>103</v>
      </c>
      <c r="E86" s="27" t="str">
        <f t="shared" si="1"/>
        <v/>
      </c>
    </row>
    <row r="87" spans="2:5" x14ac:dyDescent="0.25">
      <c r="B87" s="38">
        <v>42</v>
      </c>
      <c r="C87" s="39">
        <v>4</v>
      </c>
      <c r="D87" s="42" t="s">
        <v>103</v>
      </c>
      <c r="E87" s="27" t="str">
        <f t="shared" si="1"/>
        <v/>
      </c>
    </row>
    <row r="88" spans="2:5" x14ac:dyDescent="0.25">
      <c r="B88" s="38">
        <v>42.5</v>
      </c>
      <c r="C88" s="39">
        <v>4</v>
      </c>
      <c r="D88" s="42" t="s">
        <v>103</v>
      </c>
      <c r="E88" s="27" t="str">
        <f t="shared" si="1"/>
        <v/>
      </c>
    </row>
    <row r="89" spans="2:5" x14ac:dyDescent="0.25">
      <c r="B89" s="38">
        <v>43</v>
      </c>
      <c r="C89" s="39">
        <v>4</v>
      </c>
      <c r="D89" s="42" t="s">
        <v>103</v>
      </c>
      <c r="E89" s="27" t="str">
        <f t="shared" si="1"/>
        <v/>
      </c>
    </row>
    <row r="90" spans="2:5" x14ac:dyDescent="0.25">
      <c r="B90" s="38">
        <v>43.5</v>
      </c>
      <c r="C90" s="39">
        <v>4</v>
      </c>
      <c r="D90" s="42" t="s">
        <v>103</v>
      </c>
      <c r="E90" s="27" t="str">
        <f t="shared" si="1"/>
        <v/>
      </c>
    </row>
    <row r="91" spans="2:5" x14ac:dyDescent="0.25">
      <c r="B91" s="38">
        <v>44</v>
      </c>
      <c r="C91" s="39">
        <v>4</v>
      </c>
      <c r="D91" s="42" t="s">
        <v>103</v>
      </c>
      <c r="E91" s="27" t="str">
        <f t="shared" si="1"/>
        <v>+</v>
      </c>
    </row>
    <row r="92" spans="2:5" x14ac:dyDescent="0.25">
      <c r="B92" s="38">
        <v>44.5</v>
      </c>
      <c r="C92" s="39">
        <v>4</v>
      </c>
      <c r="D92" s="42" t="s">
        <v>103</v>
      </c>
      <c r="E92" s="27" t="str">
        <f t="shared" si="1"/>
        <v>++</v>
      </c>
    </row>
    <row r="93" spans="2:5" x14ac:dyDescent="0.25">
      <c r="B93" s="38">
        <v>45</v>
      </c>
      <c r="C93" s="39">
        <v>5</v>
      </c>
      <c r="D93" s="42" t="s">
        <v>104</v>
      </c>
      <c r="E93" s="27" t="str">
        <f t="shared" si="1"/>
        <v>--</v>
      </c>
    </row>
    <row r="94" spans="2:5" x14ac:dyDescent="0.25">
      <c r="B94" s="38">
        <v>45.5</v>
      </c>
      <c r="C94" s="39">
        <v>5</v>
      </c>
      <c r="D94" s="42" t="s">
        <v>104</v>
      </c>
      <c r="E94" s="27" t="str">
        <f t="shared" si="1"/>
        <v>-</v>
      </c>
    </row>
    <row r="95" spans="2:5" x14ac:dyDescent="0.25">
      <c r="B95" s="38">
        <v>46</v>
      </c>
      <c r="C95" s="39">
        <v>5</v>
      </c>
      <c r="D95" s="42" t="s">
        <v>104</v>
      </c>
      <c r="E95" s="27" t="str">
        <f t="shared" si="1"/>
        <v/>
      </c>
    </row>
    <row r="96" spans="2:5" x14ac:dyDescent="0.25">
      <c r="B96" s="38">
        <v>46.5</v>
      </c>
      <c r="C96" s="39">
        <v>5</v>
      </c>
      <c r="D96" s="42" t="s">
        <v>104</v>
      </c>
      <c r="E96" s="27" t="str">
        <f t="shared" si="1"/>
        <v/>
      </c>
    </row>
    <row r="97" spans="2:5" x14ac:dyDescent="0.25">
      <c r="B97" s="38">
        <v>47</v>
      </c>
      <c r="C97" s="39">
        <v>5</v>
      </c>
      <c r="D97" s="42" t="s">
        <v>104</v>
      </c>
      <c r="E97" s="27" t="str">
        <f t="shared" si="1"/>
        <v/>
      </c>
    </row>
    <row r="98" spans="2:5" x14ac:dyDescent="0.25">
      <c r="B98" s="38">
        <v>47.5</v>
      </c>
      <c r="C98" s="39">
        <v>5</v>
      </c>
      <c r="D98" s="42" t="s">
        <v>104</v>
      </c>
      <c r="E98" s="27" t="str">
        <f t="shared" si="1"/>
        <v/>
      </c>
    </row>
    <row r="99" spans="2:5" x14ac:dyDescent="0.25">
      <c r="B99" s="38">
        <v>48</v>
      </c>
      <c r="C99" s="39">
        <v>5</v>
      </c>
      <c r="D99" s="42" t="s">
        <v>104</v>
      </c>
      <c r="E99" s="27" t="str">
        <f t="shared" si="1"/>
        <v/>
      </c>
    </row>
    <row r="100" spans="2:5" x14ac:dyDescent="0.25">
      <c r="B100" s="38">
        <v>48.5</v>
      </c>
      <c r="C100" s="39">
        <v>5</v>
      </c>
      <c r="D100" s="42" t="s">
        <v>104</v>
      </c>
      <c r="E100" s="27" t="str">
        <f t="shared" si="1"/>
        <v/>
      </c>
    </row>
    <row r="101" spans="2:5" x14ac:dyDescent="0.25">
      <c r="B101" s="38">
        <v>49</v>
      </c>
      <c r="C101" s="39">
        <v>5</v>
      </c>
      <c r="D101" s="41" t="s">
        <v>104</v>
      </c>
      <c r="E101" s="27" t="str">
        <f t="shared" si="1"/>
        <v>+</v>
      </c>
    </row>
    <row r="102" spans="2:5" x14ac:dyDescent="0.25">
      <c r="B102" s="38">
        <v>49.5</v>
      </c>
      <c r="C102" s="39">
        <v>5</v>
      </c>
      <c r="D102" s="41" t="s">
        <v>104</v>
      </c>
      <c r="E102" s="27" t="str">
        <f t="shared" si="1"/>
        <v>++</v>
      </c>
    </row>
    <row r="103" spans="2:5" x14ac:dyDescent="0.25">
      <c r="B103" s="38">
        <v>50</v>
      </c>
      <c r="C103" s="39">
        <v>6</v>
      </c>
      <c r="D103" s="41" t="s">
        <v>105</v>
      </c>
      <c r="E103" s="27" t="str">
        <f t="shared" si="1"/>
        <v>--</v>
      </c>
    </row>
    <row r="104" spans="2:5" x14ac:dyDescent="0.25">
      <c r="B104" s="38">
        <v>50.5</v>
      </c>
      <c r="C104" s="39">
        <v>6</v>
      </c>
      <c r="D104" s="41" t="s">
        <v>105</v>
      </c>
      <c r="E104" s="27" t="str">
        <f t="shared" si="1"/>
        <v>-</v>
      </c>
    </row>
    <row r="105" spans="2:5" x14ac:dyDescent="0.25">
      <c r="B105" s="38">
        <v>51</v>
      </c>
      <c r="C105" s="39">
        <v>6</v>
      </c>
      <c r="D105" s="41" t="s">
        <v>105</v>
      </c>
      <c r="E105" s="27" t="str">
        <f t="shared" si="1"/>
        <v/>
      </c>
    </row>
    <row r="106" spans="2:5" x14ac:dyDescent="0.25">
      <c r="B106" s="38">
        <v>51.5</v>
      </c>
      <c r="C106" s="39">
        <v>6</v>
      </c>
      <c r="D106" s="41" t="s">
        <v>105</v>
      </c>
      <c r="E106" s="27" t="str">
        <f t="shared" si="1"/>
        <v/>
      </c>
    </row>
    <row r="107" spans="2:5" x14ac:dyDescent="0.25">
      <c r="B107" s="38">
        <v>52</v>
      </c>
      <c r="C107" s="39">
        <v>6</v>
      </c>
      <c r="D107" s="41" t="s">
        <v>105</v>
      </c>
      <c r="E107" s="27" t="str">
        <f t="shared" si="1"/>
        <v/>
      </c>
    </row>
    <row r="108" spans="2:5" x14ac:dyDescent="0.25">
      <c r="B108" s="38">
        <v>52.5</v>
      </c>
      <c r="C108" s="39">
        <v>6</v>
      </c>
      <c r="D108" s="41" t="s">
        <v>105</v>
      </c>
      <c r="E108" s="27" t="str">
        <f t="shared" si="1"/>
        <v/>
      </c>
    </row>
    <row r="109" spans="2:5" x14ac:dyDescent="0.25">
      <c r="B109" s="38">
        <v>53</v>
      </c>
      <c r="C109" s="39">
        <v>6</v>
      </c>
      <c r="D109" s="41" t="s">
        <v>105</v>
      </c>
      <c r="E109" s="27" t="str">
        <f t="shared" si="1"/>
        <v/>
      </c>
    </row>
    <row r="110" spans="2:5" x14ac:dyDescent="0.25">
      <c r="B110" s="38">
        <v>53.5</v>
      </c>
      <c r="C110" s="39">
        <v>6</v>
      </c>
      <c r="D110" s="41" t="s">
        <v>105</v>
      </c>
      <c r="E110" s="27" t="str">
        <f t="shared" si="1"/>
        <v/>
      </c>
    </row>
    <row r="111" spans="2:5" x14ac:dyDescent="0.25">
      <c r="B111" s="38">
        <v>54</v>
      </c>
      <c r="C111" s="39">
        <v>6</v>
      </c>
      <c r="D111" s="41" t="s">
        <v>105</v>
      </c>
      <c r="E111" s="27" t="str">
        <f t="shared" si="1"/>
        <v>+</v>
      </c>
    </row>
    <row r="112" spans="2:5" x14ac:dyDescent="0.25">
      <c r="B112" s="38">
        <v>54.5</v>
      </c>
      <c r="C112" s="39">
        <v>6</v>
      </c>
      <c r="D112" s="41" t="s">
        <v>105</v>
      </c>
      <c r="E112" s="27" t="str">
        <f t="shared" si="1"/>
        <v>++</v>
      </c>
    </row>
    <row r="113" spans="2:5" x14ac:dyDescent="0.25">
      <c r="B113" s="38">
        <v>55</v>
      </c>
      <c r="C113" s="39">
        <v>7</v>
      </c>
      <c r="D113" s="40" t="s">
        <v>106</v>
      </c>
      <c r="E113" s="27" t="str">
        <f t="shared" si="1"/>
        <v>--</v>
      </c>
    </row>
    <row r="114" spans="2:5" x14ac:dyDescent="0.25">
      <c r="B114" s="38">
        <v>55.5</v>
      </c>
      <c r="C114" s="39">
        <v>7</v>
      </c>
      <c r="D114" s="40" t="s">
        <v>106</v>
      </c>
      <c r="E114" s="27" t="str">
        <f t="shared" si="1"/>
        <v>-</v>
      </c>
    </row>
    <row r="115" spans="2:5" x14ac:dyDescent="0.25">
      <c r="B115" s="38">
        <v>56</v>
      </c>
      <c r="C115" s="39">
        <v>7</v>
      </c>
      <c r="D115" s="40" t="s">
        <v>106</v>
      </c>
      <c r="E115" s="27" t="str">
        <f t="shared" si="1"/>
        <v/>
      </c>
    </row>
    <row r="116" spans="2:5" x14ac:dyDescent="0.25">
      <c r="B116" s="38">
        <v>56.5</v>
      </c>
      <c r="C116" s="39">
        <v>7</v>
      </c>
      <c r="D116" s="40" t="s">
        <v>106</v>
      </c>
      <c r="E116" s="27" t="str">
        <f t="shared" ref="E116:E179" si="2">IF(AND($C116=$C117,$C117&lt;$C118),"+",IF($C116&lt;$C117,"++",IF(AND($C116=$C115,$C115&gt;$C114),"-",IF($C116&gt;$C115,"--",""))))</f>
        <v/>
      </c>
    </row>
    <row r="117" spans="2:5" x14ac:dyDescent="0.25">
      <c r="B117" s="38">
        <v>57</v>
      </c>
      <c r="C117" s="39">
        <v>7</v>
      </c>
      <c r="D117" s="40" t="s">
        <v>106</v>
      </c>
      <c r="E117" s="27" t="str">
        <f t="shared" si="2"/>
        <v/>
      </c>
    </row>
    <row r="118" spans="2:5" x14ac:dyDescent="0.25">
      <c r="B118" s="38">
        <v>57.5</v>
      </c>
      <c r="C118" s="39">
        <v>7</v>
      </c>
      <c r="D118" s="40" t="s">
        <v>106</v>
      </c>
      <c r="E118" s="27" t="str">
        <f t="shared" si="2"/>
        <v/>
      </c>
    </row>
    <row r="119" spans="2:5" x14ac:dyDescent="0.25">
      <c r="B119" s="38">
        <v>58</v>
      </c>
      <c r="C119" s="39">
        <v>7</v>
      </c>
      <c r="D119" s="40" t="s">
        <v>106</v>
      </c>
      <c r="E119" s="27" t="str">
        <f t="shared" si="2"/>
        <v/>
      </c>
    </row>
    <row r="120" spans="2:5" x14ac:dyDescent="0.25">
      <c r="B120" s="38">
        <v>58.5</v>
      </c>
      <c r="C120" s="39">
        <v>7</v>
      </c>
      <c r="D120" s="40" t="s">
        <v>106</v>
      </c>
      <c r="E120" s="27" t="str">
        <f t="shared" si="2"/>
        <v/>
      </c>
    </row>
    <row r="121" spans="2:5" x14ac:dyDescent="0.25">
      <c r="B121" s="38">
        <v>59</v>
      </c>
      <c r="C121" s="39">
        <v>7</v>
      </c>
      <c r="D121" s="40" t="s">
        <v>106</v>
      </c>
      <c r="E121" s="27" t="str">
        <f t="shared" si="2"/>
        <v>+</v>
      </c>
    </row>
    <row r="122" spans="2:5" x14ac:dyDescent="0.25">
      <c r="B122" s="38">
        <v>59.5</v>
      </c>
      <c r="C122" s="39">
        <v>7</v>
      </c>
      <c r="D122" s="40" t="s">
        <v>106</v>
      </c>
      <c r="E122" s="27" t="str">
        <f t="shared" si="2"/>
        <v>++</v>
      </c>
    </row>
    <row r="123" spans="2:5" x14ac:dyDescent="0.25">
      <c r="B123" s="38">
        <v>60</v>
      </c>
      <c r="C123" s="39">
        <v>8</v>
      </c>
      <c r="D123" s="40" t="s">
        <v>18</v>
      </c>
      <c r="E123" s="27" t="str">
        <f t="shared" si="2"/>
        <v>--</v>
      </c>
    </row>
    <row r="124" spans="2:5" x14ac:dyDescent="0.25">
      <c r="B124" s="38">
        <v>60.5</v>
      </c>
      <c r="C124" s="39">
        <v>8</v>
      </c>
      <c r="D124" s="40" t="s">
        <v>18</v>
      </c>
      <c r="E124" s="27" t="str">
        <f t="shared" si="2"/>
        <v>-</v>
      </c>
    </row>
    <row r="125" spans="2:5" x14ac:dyDescent="0.25">
      <c r="B125" s="38">
        <v>61</v>
      </c>
      <c r="C125" s="39">
        <v>8</v>
      </c>
      <c r="D125" s="42" t="s">
        <v>18</v>
      </c>
      <c r="E125" s="27" t="str">
        <f t="shared" si="2"/>
        <v/>
      </c>
    </row>
    <row r="126" spans="2:5" x14ac:dyDescent="0.25">
      <c r="B126" s="38">
        <v>61.5</v>
      </c>
      <c r="C126" s="39">
        <v>8</v>
      </c>
      <c r="D126" s="42" t="s">
        <v>18</v>
      </c>
      <c r="E126" s="27" t="str">
        <f t="shared" si="2"/>
        <v/>
      </c>
    </row>
    <row r="127" spans="2:5" x14ac:dyDescent="0.25">
      <c r="B127" s="38">
        <v>62</v>
      </c>
      <c r="C127" s="39">
        <v>8</v>
      </c>
      <c r="D127" s="42" t="s">
        <v>18</v>
      </c>
      <c r="E127" s="27" t="str">
        <f t="shared" si="2"/>
        <v/>
      </c>
    </row>
    <row r="128" spans="2:5" x14ac:dyDescent="0.25">
      <c r="B128" s="38">
        <v>62.5</v>
      </c>
      <c r="C128" s="39">
        <v>8</v>
      </c>
      <c r="D128" s="42" t="s">
        <v>18</v>
      </c>
      <c r="E128" s="27" t="str">
        <f t="shared" si="2"/>
        <v/>
      </c>
    </row>
    <row r="129" spans="2:5" x14ac:dyDescent="0.25">
      <c r="B129" s="38">
        <v>63</v>
      </c>
      <c r="C129" s="39">
        <v>8</v>
      </c>
      <c r="D129" s="42" t="s">
        <v>18</v>
      </c>
      <c r="E129" s="27" t="str">
        <f t="shared" si="2"/>
        <v/>
      </c>
    </row>
    <row r="130" spans="2:5" x14ac:dyDescent="0.25">
      <c r="B130" s="38">
        <v>63.5</v>
      </c>
      <c r="C130" s="39">
        <v>8</v>
      </c>
      <c r="D130" s="42" t="s">
        <v>18</v>
      </c>
      <c r="E130" s="27" t="str">
        <f t="shared" si="2"/>
        <v/>
      </c>
    </row>
    <row r="131" spans="2:5" x14ac:dyDescent="0.25">
      <c r="B131" s="38">
        <v>64</v>
      </c>
      <c r="C131" s="39">
        <v>8</v>
      </c>
      <c r="D131" s="42" t="s">
        <v>18</v>
      </c>
      <c r="E131" s="27" t="str">
        <f t="shared" si="2"/>
        <v>+</v>
      </c>
    </row>
    <row r="132" spans="2:5" x14ac:dyDescent="0.25">
      <c r="B132" s="38">
        <v>64.5</v>
      </c>
      <c r="C132" s="39">
        <v>8</v>
      </c>
      <c r="D132" s="42" t="s">
        <v>18</v>
      </c>
      <c r="E132" s="27" t="str">
        <f t="shared" si="2"/>
        <v>++</v>
      </c>
    </row>
    <row r="133" spans="2:5" x14ac:dyDescent="0.25">
      <c r="B133" s="38">
        <v>65</v>
      </c>
      <c r="C133" s="39">
        <v>9</v>
      </c>
      <c r="D133" s="42" t="s">
        <v>107</v>
      </c>
      <c r="E133" s="27" t="str">
        <f t="shared" si="2"/>
        <v>--</v>
      </c>
    </row>
    <row r="134" spans="2:5" x14ac:dyDescent="0.25">
      <c r="B134" s="38">
        <v>65.5</v>
      </c>
      <c r="C134" s="39">
        <v>9</v>
      </c>
      <c r="D134" s="42" t="s">
        <v>107</v>
      </c>
      <c r="E134" s="27" t="str">
        <f t="shared" si="2"/>
        <v>-</v>
      </c>
    </row>
    <row r="135" spans="2:5" x14ac:dyDescent="0.25">
      <c r="B135" s="38">
        <v>66</v>
      </c>
      <c r="C135" s="39">
        <v>9</v>
      </c>
      <c r="D135" s="42" t="s">
        <v>107</v>
      </c>
      <c r="E135" s="27" t="str">
        <f t="shared" si="2"/>
        <v/>
      </c>
    </row>
    <row r="136" spans="2:5" x14ac:dyDescent="0.25">
      <c r="B136" s="38">
        <v>66.5</v>
      </c>
      <c r="C136" s="39">
        <v>9</v>
      </c>
      <c r="D136" s="42" t="s">
        <v>107</v>
      </c>
      <c r="E136" s="27" t="str">
        <f t="shared" si="2"/>
        <v/>
      </c>
    </row>
    <row r="137" spans="2:5" x14ac:dyDescent="0.25">
      <c r="B137" s="38">
        <v>67</v>
      </c>
      <c r="C137" s="39">
        <v>9</v>
      </c>
      <c r="D137" s="41" t="s">
        <v>107</v>
      </c>
      <c r="E137" s="27" t="str">
        <f t="shared" si="2"/>
        <v/>
      </c>
    </row>
    <row r="138" spans="2:5" x14ac:dyDescent="0.25">
      <c r="B138" s="38">
        <v>67.5</v>
      </c>
      <c r="C138" s="39">
        <v>9</v>
      </c>
      <c r="D138" s="41" t="s">
        <v>107</v>
      </c>
      <c r="E138" s="27" t="str">
        <f t="shared" si="2"/>
        <v/>
      </c>
    </row>
    <row r="139" spans="2:5" x14ac:dyDescent="0.25">
      <c r="B139" s="38">
        <v>68</v>
      </c>
      <c r="C139" s="39">
        <v>9</v>
      </c>
      <c r="D139" s="41" t="s">
        <v>107</v>
      </c>
      <c r="E139" s="27" t="str">
        <f t="shared" si="2"/>
        <v/>
      </c>
    </row>
    <row r="140" spans="2:5" x14ac:dyDescent="0.25">
      <c r="B140" s="38">
        <v>68.5</v>
      </c>
      <c r="C140" s="39">
        <v>9</v>
      </c>
      <c r="D140" s="41" t="s">
        <v>107</v>
      </c>
      <c r="E140" s="27" t="str">
        <f t="shared" si="2"/>
        <v/>
      </c>
    </row>
    <row r="141" spans="2:5" x14ac:dyDescent="0.25">
      <c r="B141" s="38">
        <v>69</v>
      </c>
      <c r="C141" s="39">
        <v>9</v>
      </c>
      <c r="D141" s="41" t="s">
        <v>107</v>
      </c>
      <c r="E141" s="27" t="str">
        <f t="shared" si="2"/>
        <v>+</v>
      </c>
    </row>
    <row r="142" spans="2:5" x14ac:dyDescent="0.25">
      <c r="B142" s="38">
        <v>69.5</v>
      </c>
      <c r="C142" s="39">
        <v>9</v>
      </c>
      <c r="D142" s="41" t="s">
        <v>107</v>
      </c>
      <c r="E142" s="27" t="str">
        <f t="shared" si="2"/>
        <v>++</v>
      </c>
    </row>
    <row r="143" spans="2:5" x14ac:dyDescent="0.25">
      <c r="B143" s="38">
        <v>70</v>
      </c>
      <c r="C143" s="39">
        <v>10</v>
      </c>
      <c r="D143" s="41" t="s">
        <v>108</v>
      </c>
      <c r="E143" s="27" t="str">
        <f t="shared" si="2"/>
        <v>--</v>
      </c>
    </row>
    <row r="144" spans="2:5" x14ac:dyDescent="0.25">
      <c r="B144" s="38">
        <v>70.5</v>
      </c>
      <c r="C144" s="39">
        <v>10</v>
      </c>
      <c r="D144" s="41" t="s">
        <v>108</v>
      </c>
      <c r="E144" s="27" t="str">
        <f t="shared" si="2"/>
        <v>-</v>
      </c>
    </row>
    <row r="145" spans="2:5" x14ac:dyDescent="0.25">
      <c r="B145" s="38">
        <v>71</v>
      </c>
      <c r="C145" s="39">
        <v>10</v>
      </c>
      <c r="D145" s="41" t="s">
        <v>108</v>
      </c>
      <c r="E145" s="27" t="str">
        <f t="shared" si="2"/>
        <v/>
      </c>
    </row>
    <row r="146" spans="2:5" x14ac:dyDescent="0.25">
      <c r="B146" s="38">
        <v>71.5</v>
      </c>
      <c r="C146" s="39">
        <v>10</v>
      </c>
      <c r="D146" s="41" t="s">
        <v>108</v>
      </c>
      <c r="E146" s="27" t="str">
        <f t="shared" si="2"/>
        <v/>
      </c>
    </row>
    <row r="147" spans="2:5" x14ac:dyDescent="0.25">
      <c r="B147" s="38">
        <v>72</v>
      </c>
      <c r="C147" s="39">
        <v>10</v>
      </c>
      <c r="D147" s="41" t="s">
        <v>108</v>
      </c>
      <c r="E147" s="27" t="str">
        <f t="shared" si="2"/>
        <v/>
      </c>
    </row>
    <row r="148" spans="2:5" x14ac:dyDescent="0.25">
      <c r="B148" s="38">
        <v>72.5</v>
      </c>
      <c r="C148" s="39">
        <v>10</v>
      </c>
      <c r="D148" s="41" t="s">
        <v>108</v>
      </c>
      <c r="E148" s="27" t="str">
        <f t="shared" si="2"/>
        <v/>
      </c>
    </row>
    <row r="149" spans="2:5" x14ac:dyDescent="0.25">
      <c r="B149" s="38">
        <v>73</v>
      </c>
      <c r="C149" s="39">
        <v>10</v>
      </c>
      <c r="D149" s="40" t="s">
        <v>108</v>
      </c>
      <c r="E149" s="27" t="str">
        <f t="shared" si="2"/>
        <v/>
      </c>
    </row>
    <row r="150" spans="2:5" x14ac:dyDescent="0.25">
      <c r="B150" s="38">
        <v>73.5</v>
      </c>
      <c r="C150" s="39">
        <v>10</v>
      </c>
      <c r="D150" s="40" t="s">
        <v>108</v>
      </c>
      <c r="E150" s="27" t="str">
        <f t="shared" si="2"/>
        <v/>
      </c>
    </row>
    <row r="151" spans="2:5" x14ac:dyDescent="0.25">
      <c r="B151" s="38">
        <v>74</v>
      </c>
      <c r="C151" s="39">
        <v>10</v>
      </c>
      <c r="D151" s="40" t="s">
        <v>108</v>
      </c>
      <c r="E151" s="27" t="str">
        <f t="shared" si="2"/>
        <v>+</v>
      </c>
    </row>
    <row r="152" spans="2:5" x14ac:dyDescent="0.25">
      <c r="B152" s="38">
        <v>74.5</v>
      </c>
      <c r="C152" s="39">
        <v>10</v>
      </c>
      <c r="D152" s="40" t="s">
        <v>108</v>
      </c>
      <c r="E152" s="27" t="str">
        <f t="shared" si="2"/>
        <v>++</v>
      </c>
    </row>
    <row r="153" spans="2:5" x14ac:dyDescent="0.25">
      <c r="B153" s="38">
        <v>75</v>
      </c>
      <c r="C153" s="39">
        <v>11</v>
      </c>
      <c r="D153" s="40" t="s">
        <v>17</v>
      </c>
      <c r="E153" s="27" t="str">
        <f t="shared" si="2"/>
        <v>--</v>
      </c>
    </row>
    <row r="154" spans="2:5" x14ac:dyDescent="0.25">
      <c r="B154" s="38">
        <v>75.5</v>
      </c>
      <c r="C154" s="39">
        <v>11</v>
      </c>
      <c r="D154" s="40" t="s">
        <v>17</v>
      </c>
      <c r="E154" s="27" t="str">
        <f t="shared" si="2"/>
        <v>-</v>
      </c>
    </row>
    <row r="155" spans="2:5" x14ac:dyDescent="0.25">
      <c r="B155" s="38">
        <v>76</v>
      </c>
      <c r="C155" s="39">
        <v>11</v>
      </c>
      <c r="D155" s="40" t="s">
        <v>17</v>
      </c>
      <c r="E155" s="27" t="str">
        <f t="shared" si="2"/>
        <v/>
      </c>
    </row>
    <row r="156" spans="2:5" x14ac:dyDescent="0.25">
      <c r="B156" s="38">
        <v>76.5</v>
      </c>
      <c r="C156" s="39">
        <v>11</v>
      </c>
      <c r="D156" s="40" t="s">
        <v>17</v>
      </c>
      <c r="E156" s="27" t="str">
        <f t="shared" si="2"/>
        <v/>
      </c>
    </row>
    <row r="157" spans="2:5" x14ac:dyDescent="0.25">
      <c r="B157" s="38">
        <v>77</v>
      </c>
      <c r="C157" s="39">
        <v>11</v>
      </c>
      <c r="D157" s="40" t="s">
        <v>17</v>
      </c>
      <c r="E157" s="27" t="str">
        <f t="shared" si="2"/>
        <v/>
      </c>
    </row>
    <row r="158" spans="2:5" x14ac:dyDescent="0.25">
      <c r="B158" s="38">
        <v>77.5</v>
      </c>
      <c r="C158" s="39">
        <v>11</v>
      </c>
      <c r="D158" s="40" t="s">
        <v>17</v>
      </c>
      <c r="E158" s="27" t="str">
        <f t="shared" si="2"/>
        <v/>
      </c>
    </row>
    <row r="159" spans="2:5" x14ac:dyDescent="0.25">
      <c r="B159" s="38">
        <v>78</v>
      </c>
      <c r="C159" s="39">
        <v>11</v>
      </c>
      <c r="D159" s="40" t="s">
        <v>17</v>
      </c>
      <c r="E159" s="27" t="str">
        <f t="shared" si="2"/>
        <v/>
      </c>
    </row>
    <row r="160" spans="2:5" x14ac:dyDescent="0.25">
      <c r="B160" s="38">
        <v>78.5</v>
      </c>
      <c r="C160" s="39">
        <v>11</v>
      </c>
      <c r="D160" s="40" t="s">
        <v>17</v>
      </c>
      <c r="E160" s="27" t="str">
        <f t="shared" si="2"/>
        <v/>
      </c>
    </row>
    <row r="161" spans="2:5" x14ac:dyDescent="0.25">
      <c r="B161" s="38">
        <v>79</v>
      </c>
      <c r="C161" s="39">
        <v>11</v>
      </c>
      <c r="D161" s="42" t="s">
        <v>17</v>
      </c>
      <c r="E161" s="27" t="str">
        <f t="shared" si="2"/>
        <v>+</v>
      </c>
    </row>
    <row r="162" spans="2:5" x14ac:dyDescent="0.25">
      <c r="B162" s="38">
        <v>79.5</v>
      </c>
      <c r="C162" s="39">
        <v>11</v>
      </c>
      <c r="D162" s="42" t="s">
        <v>17</v>
      </c>
      <c r="E162" s="27" t="str">
        <f t="shared" si="2"/>
        <v>++</v>
      </c>
    </row>
    <row r="163" spans="2:5" x14ac:dyDescent="0.25">
      <c r="B163" s="38">
        <v>80</v>
      </c>
      <c r="C163" s="39">
        <v>12</v>
      </c>
      <c r="D163" s="42" t="s">
        <v>109</v>
      </c>
      <c r="E163" s="27" t="str">
        <f t="shared" si="2"/>
        <v>--</v>
      </c>
    </row>
    <row r="164" spans="2:5" x14ac:dyDescent="0.25">
      <c r="B164" s="38">
        <v>80.5</v>
      </c>
      <c r="C164" s="39">
        <v>12</v>
      </c>
      <c r="D164" s="42" t="s">
        <v>109</v>
      </c>
      <c r="E164" s="27" t="str">
        <f t="shared" si="2"/>
        <v>-</v>
      </c>
    </row>
    <row r="165" spans="2:5" x14ac:dyDescent="0.25">
      <c r="B165" s="38">
        <v>81</v>
      </c>
      <c r="C165" s="39">
        <v>12</v>
      </c>
      <c r="D165" s="42" t="s">
        <v>109</v>
      </c>
      <c r="E165" s="27" t="str">
        <f t="shared" si="2"/>
        <v/>
      </c>
    </row>
    <row r="166" spans="2:5" x14ac:dyDescent="0.25">
      <c r="B166" s="38">
        <v>81.5</v>
      </c>
      <c r="C166" s="39">
        <v>12</v>
      </c>
      <c r="D166" s="42" t="s">
        <v>109</v>
      </c>
      <c r="E166" s="27" t="str">
        <f t="shared" si="2"/>
        <v/>
      </c>
    </row>
    <row r="167" spans="2:5" x14ac:dyDescent="0.25">
      <c r="B167" s="38">
        <v>82</v>
      </c>
      <c r="C167" s="39">
        <v>12</v>
      </c>
      <c r="D167" s="42" t="s">
        <v>109</v>
      </c>
      <c r="E167" s="27" t="str">
        <f t="shared" si="2"/>
        <v/>
      </c>
    </row>
    <row r="168" spans="2:5" x14ac:dyDescent="0.25">
      <c r="B168" s="38">
        <v>82.5</v>
      </c>
      <c r="C168" s="39">
        <v>12</v>
      </c>
      <c r="D168" s="42" t="s">
        <v>109</v>
      </c>
      <c r="E168" s="27" t="str">
        <f t="shared" si="2"/>
        <v/>
      </c>
    </row>
    <row r="169" spans="2:5" x14ac:dyDescent="0.25">
      <c r="B169" s="38">
        <v>83</v>
      </c>
      <c r="C169" s="39">
        <v>12</v>
      </c>
      <c r="D169" s="42" t="s">
        <v>109</v>
      </c>
      <c r="E169" s="27" t="str">
        <f t="shared" si="2"/>
        <v/>
      </c>
    </row>
    <row r="170" spans="2:5" x14ac:dyDescent="0.25">
      <c r="B170" s="38">
        <v>83.5</v>
      </c>
      <c r="C170" s="39">
        <v>12</v>
      </c>
      <c r="D170" s="42" t="s">
        <v>109</v>
      </c>
      <c r="E170" s="27" t="str">
        <f t="shared" si="2"/>
        <v/>
      </c>
    </row>
    <row r="171" spans="2:5" x14ac:dyDescent="0.25">
      <c r="B171" s="38">
        <v>84</v>
      </c>
      <c r="C171" s="39">
        <v>12</v>
      </c>
      <c r="D171" s="42" t="s">
        <v>109</v>
      </c>
      <c r="E171" s="27" t="str">
        <f t="shared" si="2"/>
        <v>+</v>
      </c>
    </row>
    <row r="172" spans="2:5" x14ac:dyDescent="0.25">
      <c r="B172" s="38">
        <v>84.5</v>
      </c>
      <c r="C172" s="39">
        <v>12</v>
      </c>
      <c r="D172" s="42" t="s">
        <v>109</v>
      </c>
      <c r="E172" s="27" t="str">
        <f t="shared" si="2"/>
        <v>++</v>
      </c>
    </row>
    <row r="173" spans="2:5" x14ac:dyDescent="0.25">
      <c r="B173" s="38">
        <v>85</v>
      </c>
      <c r="C173" s="39">
        <v>13</v>
      </c>
      <c r="D173" s="41" t="s">
        <v>110</v>
      </c>
      <c r="E173" s="27" t="str">
        <f t="shared" si="2"/>
        <v>--</v>
      </c>
    </row>
    <row r="174" spans="2:5" x14ac:dyDescent="0.25">
      <c r="B174" s="38">
        <v>85.5</v>
      </c>
      <c r="C174" s="39">
        <v>13</v>
      </c>
      <c r="D174" s="41" t="s">
        <v>110</v>
      </c>
      <c r="E174" s="27" t="str">
        <f t="shared" si="2"/>
        <v>-</v>
      </c>
    </row>
    <row r="175" spans="2:5" x14ac:dyDescent="0.25">
      <c r="B175" s="38">
        <v>86</v>
      </c>
      <c r="C175" s="39">
        <v>13</v>
      </c>
      <c r="D175" s="41" t="s">
        <v>110</v>
      </c>
      <c r="E175" s="27" t="str">
        <f t="shared" si="2"/>
        <v/>
      </c>
    </row>
    <row r="176" spans="2:5" x14ac:dyDescent="0.25">
      <c r="B176" s="38">
        <v>86.5</v>
      </c>
      <c r="C176" s="39">
        <v>13</v>
      </c>
      <c r="D176" s="41" t="s">
        <v>110</v>
      </c>
      <c r="E176" s="27" t="str">
        <f t="shared" si="2"/>
        <v/>
      </c>
    </row>
    <row r="177" spans="2:5" x14ac:dyDescent="0.25">
      <c r="B177" s="38">
        <v>87</v>
      </c>
      <c r="C177" s="39">
        <v>13</v>
      </c>
      <c r="D177" s="41" t="s">
        <v>110</v>
      </c>
      <c r="E177" s="27" t="str">
        <f t="shared" si="2"/>
        <v/>
      </c>
    </row>
    <row r="178" spans="2:5" x14ac:dyDescent="0.25">
      <c r="B178" s="38">
        <v>87.5</v>
      </c>
      <c r="C178" s="39">
        <v>13</v>
      </c>
      <c r="D178" s="41" t="s">
        <v>110</v>
      </c>
      <c r="E178" s="27" t="str">
        <f t="shared" si="2"/>
        <v/>
      </c>
    </row>
    <row r="179" spans="2:5" x14ac:dyDescent="0.25">
      <c r="B179" s="38">
        <v>88</v>
      </c>
      <c r="C179" s="39">
        <v>13</v>
      </c>
      <c r="D179" s="41" t="s">
        <v>110</v>
      </c>
      <c r="E179" s="27" t="str">
        <f t="shared" si="2"/>
        <v/>
      </c>
    </row>
    <row r="180" spans="2:5" x14ac:dyDescent="0.25">
      <c r="B180" s="38">
        <v>88.5</v>
      </c>
      <c r="C180" s="39">
        <v>13</v>
      </c>
      <c r="D180" s="41" t="s">
        <v>110</v>
      </c>
      <c r="E180" s="27" t="str">
        <f t="shared" ref="E180:E244" si="3">IF(AND($C180=$C181,$C181&lt;$C182),"+",IF($C180&lt;$C181,"++",IF(AND($C180=$C179,$C179&gt;$C178),"-",IF($C180&gt;$C179,"--",""))))</f>
        <v/>
      </c>
    </row>
    <row r="181" spans="2:5" x14ac:dyDescent="0.25">
      <c r="B181" s="38">
        <v>89</v>
      </c>
      <c r="C181" s="39">
        <v>13</v>
      </c>
      <c r="D181" s="41" t="s">
        <v>110</v>
      </c>
      <c r="E181" s="27" t="str">
        <f t="shared" si="3"/>
        <v>+</v>
      </c>
    </row>
    <row r="182" spans="2:5" x14ac:dyDescent="0.25">
      <c r="B182" s="38">
        <v>89.5</v>
      </c>
      <c r="C182" s="39">
        <v>13</v>
      </c>
      <c r="D182" s="41" t="s">
        <v>110</v>
      </c>
      <c r="E182" s="27" t="str">
        <f t="shared" si="3"/>
        <v>++</v>
      </c>
    </row>
    <row r="183" spans="2:5" x14ac:dyDescent="0.25">
      <c r="B183" s="38">
        <v>90</v>
      </c>
      <c r="C183" s="39">
        <v>14</v>
      </c>
      <c r="D183" s="41" t="s">
        <v>19</v>
      </c>
      <c r="E183" s="27" t="str">
        <f t="shared" si="3"/>
        <v>--</v>
      </c>
    </row>
    <row r="184" spans="2:5" x14ac:dyDescent="0.25">
      <c r="B184" s="38">
        <v>90.5</v>
      </c>
      <c r="C184" s="39">
        <v>14</v>
      </c>
      <c r="D184" s="41" t="s">
        <v>19</v>
      </c>
      <c r="E184" s="27" t="str">
        <f t="shared" si="3"/>
        <v>-</v>
      </c>
    </row>
    <row r="185" spans="2:5" x14ac:dyDescent="0.25">
      <c r="B185" s="38">
        <v>91</v>
      </c>
      <c r="C185" s="39">
        <v>14</v>
      </c>
      <c r="D185" s="40" t="s">
        <v>19</v>
      </c>
      <c r="E185" s="27" t="str">
        <f t="shared" si="3"/>
        <v/>
      </c>
    </row>
    <row r="186" spans="2:5" x14ac:dyDescent="0.25">
      <c r="B186" s="38">
        <v>91.5</v>
      </c>
      <c r="C186" s="39">
        <v>14</v>
      </c>
      <c r="D186" s="40" t="s">
        <v>19</v>
      </c>
      <c r="E186" s="27" t="str">
        <f t="shared" si="3"/>
        <v/>
      </c>
    </row>
    <row r="187" spans="2:5" x14ac:dyDescent="0.25">
      <c r="B187" s="38">
        <v>92</v>
      </c>
      <c r="C187" s="39">
        <v>14</v>
      </c>
      <c r="D187" s="40" t="s">
        <v>19</v>
      </c>
      <c r="E187" s="27" t="str">
        <f t="shared" si="3"/>
        <v/>
      </c>
    </row>
    <row r="188" spans="2:5" x14ac:dyDescent="0.25">
      <c r="B188" s="38">
        <v>92.5</v>
      </c>
      <c r="C188" s="39">
        <v>14</v>
      </c>
      <c r="D188" s="40" t="s">
        <v>19</v>
      </c>
      <c r="E188" s="27" t="str">
        <f t="shared" si="3"/>
        <v/>
      </c>
    </row>
    <row r="189" spans="2:5" x14ac:dyDescent="0.25">
      <c r="B189" s="38">
        <v>93</v>
      </c>
      <c r="C189" s="39">
        <v>14</v>
      </c>
      <c r="D189" s="40" t="s">
        <v>19</v>
      </c>
      <c r="E189" s="27" t="str">
        <f t="shared" si="3"/>
        <v/>
      </c>
    </row>
    <row r="190" spans="2:5" x14ac:dyDescent="0.25">
      <c r="B190" s="38">
        <v>93.5</v>
      </c>
      <c r="C190" s="39">
        <v>14</v>
      </c>
      <c r="D190" s="40" t="s">
        <v>19</v>
      </c>
      <c r="E190" s="27" t="str">
        <f t="shared" si="3"/>
        <v/>
      </c>
    </row>
    <row r="191" spans="2:5" x14ac:dyDescent="0.25">
      <c r="B191" s="38">
        <v>94</v>
      </c>
      <c r="C191" s="39">
        <v>14</v>
      </c>
      <c r="D191" s="40" t="s">
        <v>19</v>
      </c>
      <c r="E191" s="27" t="str">
        <f t="shared" si="3"/>
        <v>+</v>
      </c>
    </row>
    <row r="192" spans="2:5" x14ac:dyDescent="0.25">
      <c r="B192" s="38">
        <v>94.5</v>
      </c>
      <c r="C192" s="39">
        <v>14</v>
      </c>
      <c r="D192" s="40" t="s">
        <v>19</v>
      </c>
      <c r="E192" s="27" t="str">
        <f t="shared" si="3"/>
        <v>++</v>
      </c>
    </row>
    <row r="193" spans="2:5" x14ac:dyDescent="0.25">
      <c r="B193" s="38">
        <v>95</v>
      </c>
      <c r="C193" s="39">
        <v>15</v>
      </c>
      <c r="D193" s="40" t="s">
        <v>111</v>
      </c>
      <c r="E193" s="27" t="str">
        <f t="shared" si="3"/>
        <v>--</v>
      </c>
    </row>
    <row r="194" spans="2:5" x14ac:dyDescent="0.25">
      <c r="B194" s="38">
        <v>95.5</v>
      </c>
      <c r="C194" s="39">
        <v>15</v>
      </c>
      <c r="D194" s="40" t="s">
        <v>111</v>
      </c>
      <c r="E194" s="27" t="str">
        <f t="shared" si="3"/>
        <v>-</v>
      </c>
    </row>
    <row r="195" spans="2:5" x14ac:dyDescent="0.25">
      <c r="B195" s="38">
        <v>96</v>
      </c>
      <c r="C195" s="39">
        <v>15</v>
      </c>
      <c r="D195" s="40" t="s">
        <v>111</v>
      </c>
      <c r="E195" s="27" t="str">
        <f t="shared" si="3"/>
        <v/>
      </c>
    </row>
    <row r="196" spans="2:5" x14ac:dyDescent="0.25">
      <c r="B196" s="38">
        <v>96.5</v>
      </c>
      <c r="C196" s="39">
        <v>15</v>
      </c>
      <c r="D196" s="42" t="s">
        <v>111</v>
      </c>
      <c r="E196" s="27" t="str">
        <f t="shared" si="3"/>
        <v/>
      </c>
    </row>
    <row r="197" spans="2:5" x14ac:dyDescent="0.25">
      <c r="B197" s="38">
        <v>97</v>
      </c>
      <c r="C197" s="39">
        <v>15</v>
      </c>
      <c r="D197" s="42" t="s">
        <v>111</v>
      </c>
      <c r="E197" s="27" t="str">
        <f t="shared" si="3"/>
        <v/>
      </c>
    </row>
    <row r="198" spans="2:5" x14ac:dyDescent="0.25">
      <c r="B198" s="38">
        <v>97.5</v>
      </c>
      <c r="C198" s="39">
        <v>15</v>
      </c>
      <c r="D198" s="42" t="s">
        <v>111</v>
      </c>
      <c r="E198" s="27" t="str">
        <f t="shared" si="3"/>
        <v/>
      </c>
    </row>
    <row r="199" spans="2:5" x14ac:dyDescent="0.25">
      <c r="B199" s="38">
        <v>98</v>
      </c>
      <c r="C199" s="39">
        <v>15</v>
      </c>
      <c r="D199" s="42" t="s">
        <v>111</v>
      </c>
      <c r="E199" s="27" t="str">
        <f t="shared" si="3"/>
        <v/>
      </c>
    </row>
    <row r="200" spans="2:5" x14ac:dyDescent="0.25">
      <c r="B200" s="38">
        <v>98.5</v>
      </c>
      <c r="C200" s="39">
        <v>15</v>
      </c>
      <c r="D200" s="42" t="s">
        <v>111</v>
      </c>
      <c r="E200" s="27" t="str">
        <f t="shared" si="3"/>
        <v/>
      </c>
    </row>
    <row r="201" spans="2:5" x14ac:dyDescent="0.25">
      <c r="B201" s="38">
        <v>99</v>
      </c>
      <c r="C201" s="39">
        <v>15</v>
      </c>
      <c r="D201" s="42" t="s">
        <v>111</v>
      </c>
      <c r="E201" s="27" t="str">
        <f t="shared" si="3"/>
        <v/>
      </c>
    </row>
    <row r="202" spans="2:5" x14ac:dyDescent="0.25">
      <c r="B202" s="38">
        <v>99.5</v>
      </c>
      <c r="C202" s="39">
        <v>15</v>
      </c>
      <c r="D202" s="42" t="s">
        <v>111</v>
      </c>
      <c r="E202" s="27" t="str">
        <f t="shared" si="3"/>
        <v/>
      </c>
    </row>
    <row r="203" spans="2:5" x14ac:dyDescent="0.25">
      <c r="B203" s="38">
        <v>100</v>
      </c>
      <c r="C203" s="39">
        <v>15</v>
      </c>
      <c r="D203" s="42" t="s">
        <v>111</v>
      </c>
      <c r="E203" s="27" t="str">
        <f t="shared" si="3"/>
        <v/>
      </c>
    </row>
    <row r="204" spans="2:5" x14ac:dyDescent="0.25">
      <c r="B204" s="38"/>
      <c r="C204" s="39"/>
      <c r="D204" s="42"/>
      <c r="E204" s="27" t="str">
        <f t="shared" si="3"/>
        <v/>
      </c>
    </row>
    <row r="205" spans="2:5" x14ac:dyDescent="0.25">
      <c r="B205" s="38"/>
      <c r="C205" s="39"/>
      <c r="D205" s="42"/>
      <c r="E205" s="27" t="str">
        <f t="shared" si="3"/>
        <v/>
      </c>
    </row>
    <row r="206" spans="2:5" x14ac:dyDescent="0.25">
      <c r="B206" s="38"/>
      <c r="C206" s="39"/>
      <c r="D206" s="42"/>
      <c r="E206" s="27" t="str">
        <f t="shared" si="3"/>
        <v/>
      </c>
    </row>
    <row r="207" spans="2:5" x14ac:dyDescent="0.25">
      <c r="B207" s="38"/>
      <c r="C207" s="39"/>
      <c r="D207" s="42"/>
      <c r="E207" s="27" t="str">
        <f t="shared" si="3"/>
        <v/>
      </c>
    </row>
    <row r="208" spans="2:5" x14ac:dyDescent="0.25">
      <c r="B208" s="38"/>
      <c r="C208" s="39"/>
      <c r="D208" s="42"/>
      <c r="E208" s="27" t="str">
        <f t="shared" si="3"/>
        <v/>
      </c>
    </row>
    <row r="209" spans="2:5" x14ac:dyDescent="0.25">
      <c r="B209" s="38"/>
      <c r="C209" s="39"/>
      <c r="D209" s="41"/>
      <c r="E209" s="27" t="str">
        <f t="shared" si="3"/>
        <v/>
      </c>
    </row>
    <row r="210" spans="2:5" x14ac:dyDescent="0.25">
      <c r="B210" s="38"/>
      <c r="C210" s="39"/>
      <c r="D210" s="41"/>
      <c r="E210" s="27" t="str">
        <f t="shared" si="3"/>
        <v/>
      </c>
    </row>
    <row r="211" spans="2:5" x14ac:dyDescent="0.25">
      <c r="B211" s="38"/>
      <c r="C211" s="39"/>
      <c r="D211" s="41"/>
      <c r="E211" s="27" t="str">
        <f t="shared" si="3"/>
        <v/>
      </c>
    </row>
    <row r="212" spans="2:5" x14ac:dyDescent="0.25">
      <c r="B212" s="38"/>
      <c r="C212" s="39"/>
      <c r="D212" s="41"/>
      <c r="E212" s="27" t="str">
        <f t="shared" si="3"/>
        <v/>
      </c>
    </row>
    <row r="213" spans="2:5" x14ac:dyDescent="0.25">
      <c r="B213" s="38"/>
      <c r="C213" s="39"/>
      <c r="D213" s="41"/>
      <c r="E213" s="27" t="str">
        <f t="shared" si="3"/>
        <v/>
      </c>
    </row>
    <row r="214" spans="2:5" x14ac:dyDescent="0.25">
      <c r="B214" s="38"/>
      <c r="C214" s="39"/>
      <c r="D214" s="41"/>
      <c r="E214" s="27" t="str">
        <f t="shared" si="3"/>
        <v/>
      </c>
    </row>
    <row r="215" spans="2:5" x14ac:dyDescent="0.25">
      <c r="B215" s="38"/>
      <c r="C215" s="39"/>
      <c r="D215" s="41"/>
      <c r="E215" s="27" t="str">
        <f t="shared" si="3"/>
        <v/>
      </c>
    </row>
    <row r="216" spans="2:5" x14ac:dyDescent="0.25">
      <c r="B216" s="38"/>
      <c r="C216" s="39"/>
      <c r="D216" s="41"/>
      <c r="E216" s="27" t="str">
        <f t="shared" si="3"/>
        <v/>
      </c>
    </row>
    <row r="217" spans="2:5" x14ac:dyDescent="0.25">
      <c r="B217" s="38"/>
      <c r="C217" s="39"/>
      <c r="D217" s="41"/>
      <c r="E217" s="27" t="str">
        <f t="shared" si="3"/>
        <v/>
      </c>
    </row>
    <row r="218" spans="2:5" x14ac:dyDescent="0.25">
      <c r="B218" s="38"/>
      <c r="C218" s="39"/>
      <c r="D218" s="41"/>
      <c r="E218" s="27" t="str">
        <f t="shared" si="3"/>
        <v/>
      </c>
    </row>
    <row r="219" spans="2:5" x14ac:dyDescent="0.25">
      <c r="B219" s="38"/>
      <c r="C219" s="39"/>
      <c r="D219" s="41"/>
      <c r="E219" s="27" t="str">
        <f t="shared" si="3"/>
        <v/>
      </c>
    </row>
    <row r="220" spans="2:5" x14ac:dyDescent="0.25">
      <c r="B220" s="38"/>
      <c r="C220" s="39"/>
      <c r="D220" s="41"/>
      <c r="E220" s="27" t="str">
        <f t="shared" si="3"/>
        <v/>
      </c>
    </row>
    <row r="221" spans="2:5" x14ac:dyDescent="0.25">
      <c r="B221" s="38"/>
      <c r="C221" s="39"/>
      <c r="D221" s="40"/>
      <c r="E221" s="27" t="str">
        <f t="shared" si="3"/>
        <v/>
      </c>
    </row>
    <row r="222" spans="2:5" x14ac:dyDescent="0.25">
      <c r="B222" s="38"/>
      <c r="C222" s="39"/>
      <c r="D222" s="40"/>
      <c r="E222" s="27" t="str">
        <f t="shared" si="3"/>
        <v/>
      </c>
    </row>
    <row r="223" spans="2:5" x14ac:dyDescent="0.25">
      <c r="B223" s="38"/>
      <c r="C223" s="39"/>
      <c r="D223" s="40"/>
      <c r="E223" s="27" t="str">
        <f t="shared" si="3"/>
        <v/>
      </c>
    </row>
    <row r="224" spans="2:5" x14ac:dyDescent="0.25">
      <c r="B224" s="38"/>
      <c r="C224" s="39"/>
      <c r="D224" s="40"/>
      <c r="E224" s="27" t="str">
        <f t="shared" si="3"/>
        <v/>
      </c>
    </row>
    <row r="225" spans="2:5" x14ac:dyDescent="0.25">
      <c r="B225" s="38"/>
      <c r="C225" s="39"/>
      <c r="D225" s="40"/>
      <c r="E225" s="27" t="str">
        <f t="shared" si="3"/>
        <v/>
      </c>
    </row>
    <row r="226" spans="2:5" x14ac:dyDescent="0.25">
      <c r="B226" s="38"/>
      <c r="C226" s="39"/>
      <c r="D226" s="40"/>
      <c r="E226" s="27" t="str">
        <f t="shared" si="3"/>
        <v/>
      </c>
    </row>
    <row r="227" spans="2:5" x14ac:dyDescent="0.25">
      <c r="B227" s="38"/>
      <c r="C227" s="39"/>
      <c r="D227" s="40"/>
      <c r="E227" s="27" t="str">
        <f t="shared" si="3"/>
        <v/>
      </c>
    </row>
    <row r="228" spans="2:5" x14ac:dyDescent="0.25">
      <c r="B228" s="38"/>
      <c r="C228" s="39"/>
      <c r="D228" s="40"/>
      <c r="E228" s="27" t="str">
        <f t="shared" si="3"/>
        <v/>
      </c>
    </row>
    <row r="229" spans="2:5" x14ac:dyDescent="0.25">
      <c r="B229" s="38"/>
      <c r="C229" s="39"/>
      <c r="D229" s="40"/>
      <c r="E229" s="27" t="str">
        <f t="shared" si="3"/>
        <v/>
      </c>
    </row>
    <row r="230" spans="2:5" x14ac:dyDescent="0.25">
      <c r="B230" s="38"/>
      <c r="C230" s="39"/>
      <c r="D230" s="40"/>
      <c r="E230" s="27" t="str">
        <f t="shared" si="3"/>
        <v/>
      </c>
    </row>
    <row r="231" spans="2:5" x14ac:dyDescent="0.25">
      <c r="B231" s="38"/>
      <c r="C231" s="39"/>
      <c r="D231" s="40"/>
      <c r="E231" s="27" t="str">
        <f t="shared" si="3"/>
        <v/>
      </c>
    </row>
    <row r="232" spans="2:5" x14ac:dyDescent="0.25">
      <c r="B232" s="38"/>
      <c r="C232" s="39"/>
      <c r="D232" s="40"/>
      <c r="E232" s="27" t="str">
        <f t="shared" si="3"/>
        <v/>
      </c>
    </row>
    <row r="233" spans="2:5" x14ac:dyDescent="0.25">
      <c r="B233" s="38"/>
      <c r="C233" s="39"/>
      <c r="D233" s="42"/>
      <c r="E233" s="27" t="str">
        <f t="shared" si="3"/>
        <v/>
      </c>
    </row>
    <row r="234" spans="2:5" x14ac:dyDescent="0.25">
      <c r="B234" s="38"/>
      <c r="C234" s="39"/>
      <c r="D234" s="42"/>
      <c r="E234" s="27" t="str">
        <f t="shared" si="3"/>
        <v/>
      </c>
    </row>
    <row r="235" spans="2:5" x14ac:dyDescent="0.25">
      <c r="B235" s="38"/>
      <c r="C235" s="39"/>
      <c r="D235" s="42"/>
      <c r="E235" s="27" t="str">
        <f t="shared" si="3"/>
        <v/>
      </c>
    </row>
    <row r="236" spans="2:5" x14ac:dyDescent="0.25">
      <c r="B236" s="38"/>
      <c r="C236" s="39"/>
      <c r="D236" s="42"/>
      <c r="E236" s="27" t="str">
        <f t="shared" si="3"/>
        <v/>
      </c>
    </row>
    <row r="237" spans="2:5" x14ac:dyDescent="0.25">
      <c r="B237" s="38"/>
      <c r="C237" s="39"/>
      <c r="D237" s="42"/>
      <c r="E237" s="27" t="str">
        <f t="shared" si="3"/>
        <v/>
      </c>
    </row>
    <row r="238" spans="2:5" x14ac:dyDescent="0.25">
      <c r="B238" s="38"/>
      <c r="C238" s="39"/>
      <c r="D238" s="42"/>
      <c r="E238" s="27" t="str">
        <f t="shared" si="3"/>
        <v/>
      </c>
    </row>
    <row r="239" spans="2:5" x14ac:dyDescent="0.25">
      <c r="B239" s="38"/>
      <c r="C239" s="39"/>
      <c r="D239" s="42"/>
      <c r="E239" s="27" t="str">
        <f t="shared" si="3"/>
        <v/>
      </c>
    </row>
    <row r="240" spans="2:5" x14ac:dyDescent="0.25">
      <c r="B240" s="38"/>
      <c r="C240" s="39"/>
      <c r="D240" s="42"/>
      <c r="E240" s="27" t="str">
        <f t="shared" si="3"/>
        <v/>
      </c>
    </row>
    <row r="241" spans="2:5" x14ac:dyDescent="0.25">
      <c r="B241" s="38"/>
      <c r="C241" s="39"/>
      <c r="D241" s="42"/>
      <c r="E241" s="27" t="str">
        <f t="shared" si="3"/>
        <v/>
      </c>
    </row>
    <row r="242" spans="2:5" x14ac:dyDescent="0.25">
      <c r="B242" s="38"/>
      <c r="C242" s="39"/>
      <c r="D242" s="42"/>
      <c r="E242" s="27" t="str">
        <f t="shared" si="3"/>
        <v/>
      </c>
    </row>
    <row r="243" spans="2:5" x14ac:dyDescent="0.25">
      <c r="B243" s="38"/>
      <c r="C243" s="39"/>
      <c r="D243" s="42"/>
      <c r="E243" s="27" t="str">
        <f t="shared" si="3"/>
        <v/>
      </c>
    </row>
    <row r="244" spans="2:5" x14ac:dyDescent="0.25">
      <c r="B244" s="38"/>
      <c r="C244" s="43"/>
      <c r="D244" s="44"/>
      <c r="E244" s="27" t="str">
        <f t="shared" si="3"/>
        <v/>
      </c>
    </row>
    <row r="245" spans="2:5" x14ac:dyDescent="0.25">
      <c r="B245" s="38"/>
      <c r="C245" s="43"/>
      <c r="D245" s="44"/>
      <c r="E245" s="27" t="str">
        <f t="shared" ref="E245:E293" si="4">IF(AND($C245=$C246,$C246&lt;$C247),"+",IF($C245&lt;$C246,"++",IF(AND($C245=$C244,$C244&gt;$C243),"-",IF($C245&gt;$C244,"--",""))))</f>
        <v/>
      </c>
    </row>
    <row r="246" spans="2:5" x14ac:dyDescent="0.25">
      <c r="B246" s="38"/>
      <c r="C246" s="43"/>
      <c r="D246" s="44"/>
      <c r="E246" s="27" t="str">
        <f t="shared" si="4"/>
        <v/>
      </c>
    </row>
    <row r="247" spans="2:5" x14ac:dyDescent="0.25">
      <c r="B247" s="38"/>
      <c r="C247" s="43"/>
      <c r="D247" s="44"/>
      <c r="E247" s="27" t="str">
        <f t="shared" si="4"/>
        <v/>
      </c>
    </row>
    <row r="248" spans="2:5" x14ac:dyDescent="0.25">
      <c r="B248" s="38"/>
      <c r="C248" s="43"/>
      <c r="D248" s="44"/>
      <c r="E248" s="27" t="str">
        <f t="shared" si="4"/>
        <v/>
      </c>
    </row>
    <row r="249" spans="2:5" x14ac:dyDescent="0.25">
      <c r="B249" s="38"/>
      <c r="C249" s="43"/>
      <c r="D249" s="44"/>
      <c r="E249" s="27" t="str">
        <f t="shared" si="4"/>
        <v/>
      </c>
    </row>
    <row r="250" spans="2:5" x14ac:dyDescent="0.25">
      <c r="B250" s="38"/>
      <c r="C250" s="43"/>
      <c r="D250" s="44"/>
      <c r="E250" s="27" t="str">
        <f t="shared" si="4"/>
        <v/>
      </c>
    </row>
    <row r="251" spans="2:5" x14ac:dyDescent="0.25">
      <c r="B251" s="38"/>
      <c r="C251" s="43"/>
      <c r="D251" s="44"/>
      <c r="E251" s="27" t="str">
        <f t="shared" si="4"/>
        <v/>
      </c>
    </row>
    <row r="252" spans="2:5" x14ac:dyDescent="0.25">
      <c r="B252" s="38"/>
      <c r="C252" s="43"/>
      <c r="D252" s="44"/>
      <c r="E252" s="27" t="str">
        <f t="shared" si="4"/>
        <v/>
      </c>
    </row>
    <row r="253" spans="2:5" x14ac:dyDescent="0.25">
      <c r="B253" s="38"/>
      <c r="C253" s="43"/>
      <c r="D253" s="44"/>
      <c r="E253" s="27" t="str">
        <f t="shared" si="4"/>
        <v/>
      </c>
    </row>
    <row r="254" spans="2:5" x14ac:dyDescent="0.25">
      <c r="B254" s="38"/>
      <c r="C254" s="43"/>
      <c r="D254" s="44"/>
      <c r="E254" s="27" t="str">
        <f t="shared" si="4"/>
        <v/>
      </c>
    </row>
    <row r="255" spans="2:5" x14ac:dyDescent="0.25">
      <c r="B255" s="38"/>
      <c r="C255" s="43"/>
      <c r="D255" s="44"/>
      <c r="E255" s="27" t="str">
        <f t="shared" si="4"/>
        <v/>
      </c>
    </row>
    <row r="256" spans="2:5" x14ac:dyDescent="0.25">
      <c r="B256" s="38"/>
      <c r="C256" s="43"/>
      <c r="D256" s="44"/>
      <c r="E256" s="27" t="str">
        <f t="shared" si="4"/>
        <v/>
      </c>
    </row>
    <row r="257" spans="2:5" x14ac:dyDescent="0.25">
      <c r="B257" s="38"/>
      <c r="C257" s="43"/>
      <c r="D257" s="44"/>
      <c r="E257" s="27" t="str">
        <f t="shared" si="4"/>
        <v/>
      </c>
    </row>
    <row r="258" spans="2:5" x14ac:dyDescent="0.25">
      <c r="B258" s="38"/>
      <c r="C258" s="43"/>
      <c r="D258" s="44"/>
      <c r="E258" s="27" t="str">
        <f t="shared" si="4"/>
        <v/>
      </c>
    </row>
    <row r="259" spans="2:5" x14ac:dyDescent="0.25">
      <c r="B259" s="38"/>
      <c r="C259" s="43"/>
      <c r="D259" s="44"/>
      <c r="E259" s="27" t="str">
        <f t="shared" si="4"/>
        <v/>
      </c>
    </row>
    <row r="260" spans="2:5" x14ac:dyDescent="0.25">
      <c r="B260" s="38"/>
      <c r="C260" s="43"/>
      <c r="D260" s="44"/>
      <c r="E260" s="27" t="str">
        <f t="shared" si="4"/>
        <v/>
      </c>
    </row>
    <row r="261" spans="2:5" x14ac:dyDescent="0.25">
      <c r="B261" s="38"/>
      <c r="C261" s="43"/>
      <c r="D261" s="44"/>
      <c r="E261" s="27" t="str">
        <f t="shared" si="4"/>
        <v/>
      </c>
    </row>
    <row r="262" spans="2:5" x14ac:dyDescent="0.25">
      <c r="B262" s="38"/>
      <c r="C262" s="43"/>
      <c r="D262" s="44"/>
      <c r="E262" s="27" t="str">
        <f t="shared" si="4"/>
        <v/>
      </c>
    </row>
    <row r="263" spans="2:5" x14ac:dyDescent="0.25">
      <c r="B263" s="38"/>
      <c r="C263" s="43"/>
      <c r="D263" s="44"/>
      <c r="E263" s="27" t="str">
        <f t="shared" si="4"/>
        <v/>
      </c>
    </row>
    <row r="264" spans="2:5" x14ac:dyDescent="0.25">
      <c r="B264" s="38"/>
      <c r="C264" s="43"/>
      <c r="D264" s="44"/>
      <c r="E264" s="27" t="str">
        <f t="shared" si="4"/>
        <v/>
      </c>
    </row>
    <row r="265" spans="2:5" x14ac:dyDescent="0.25">
      <c r="B265" s="38"/>
      <c r="C265" s="43"/>
      <c r="D265" s="44"/>
      <c r="E265" s="27" t="str">
        <f t="shared" si="4"/>
        <v/>
      </c>
    </row>
    <row r="266" spans="2:5" x14ac:dyDescent="0.25">
      <c r="B266" s="38"/>
      <c r="C266" s="43"/>
      <c r="D266" s="44"/>
      <c r="E266" s="27" t="str">
        <f t="shared" si="4"/>
        <v/>
      </c>
    </row>
    <row r="267" spans="2:5" x14ac:dyDescent="0.25">
      <c r="B267" s="38"/>
      <c r="C267" s="43"/>
      <c r="D267" s="44"/>
      <c r="E267" s="27" t="str">
        <f t="shared" si="4"/>
        <v/>
      </c>
    </row>
    <row r="268" spans="2:5" x14ac:dyDescent="0.25">
      <c r="B268" s="38"/>
      <c r="C268" s="43"/>
      <c r="D268" s="44"/>
      <c r="E268" s="27" t="str">
        <f t="shared" si="4"/>
        <v/>
      </c>
    </row>
    <row r="269" spans="2:5" x14ac:dyDescent="0.25">
      <c r="B269" s="38"/>
      <c r="C269" s="43"/>
      <c r="D269" s="44"/>
      <c r="E269" s="27" t="str">
        <f t="shared" si="4"/>
        <v/>
      </c>
    </row>
    <row r="270" spans="2:5" x14ac:dyDescent="0.25">
      <c r="B270" s="38"/>
      <c r="C270" s="43"/>
      <c r="D270" s="44"/>
      <c r="E270" s="27" t="str">
        <f t="shared" si="4"/>
        <v/>
      </c>
    </row>
    <row r="271" spans="2:5" x14ac:dyDescent="0.25">
      <c r="B271" s="38"/>
      <c r="C271" s="43"/>
      <c r="D271" s="44"/>
      <c r="E271" s="27" t="str">
        <f t="shared" si="4"/>
        <v/>
      </c>
    </row>
    <row r="272" spans="2:5" x14ac:dyDescent="0.25">
      <c r="B272" s="38"/>
      <c r="C272" s="43"/>
      <c r="D272" s="44"/>
      <c r="E272" s="27" t="str">
        <f t="shared" si="4"/>
        <v/>
      </c>
    </row>
    <row r="273" spans="2:5" x14ac:dyDescent="0.25">
      <c r="B273" s="38"/>
      <c r="C273" s="43"/>
      <c r="D273" s="44"/>
      <c r="E273" s="27" t="str">
        <f t="shared" si="4"/>
        <v/>
      </c>
    </row>
    <row r="274" spans="2:5" x14ac:dyDescent="0.25">
      <c r="B274" s="38"/>
      <c r="C274" s="43"/>
      <c r="D274" s="44"/>
      <c r="E274" s="27" t="str">
        <f t="shared" si="4"/>
        <v/>
      </c>
    </row>
    <row r="275" spans="2:5" x14ac:dyDescent="0.25">
      <c r="B275" s="38"/>
      <c r="C275" s="43"/>
      <c r="D275" s="44"/>
      <c r="E275" s="27" t="str">
        <f t="shared" si="4"/>
        <v/>
      </c>
    </row>
    <row r="276" spans="2:5" x14ac:dyDescent="0.25">
      <c r="B276" s="38"/>
      <c r="C276" s="43"/>
      <c r="D276" s="44"/>
      <c r="E276" s="27" t="str">
        <f t="shared" si="4"/>
        <v/>
      </c>
    </row>
    <row r="277" spans="2:5" x14ac:dyDescent="0.25">
      <c r="B277" s="38"/>
      <c r="C277" s="43"/>
      <c r="D277" s="44"/>
      <c r="E277" s="27" t="str">
        <f t="shared" si="4"/>
        <v/>
      </c>
    </row>
    <row r="278" spans="2:5" x14ac:dyDescent="0.25">
      <c r="B278" s="38"/>
      <c r="C278" s="43"/>
      <c r="D278" s="44"/>
      <c r="E278" s="27" t="str">
        <f t="shared" si="4"/>
        <v/>
      </c>
    </row>
    <row r="279" spans="2:5" x14ac:dyDescent="0.25">
      <c r="B279" s="38"/>
      <c r="C279" s="43"/>
      <c r="D279" s="44"/>
      <c r="E279" s="27" t="str">
        <f t="shared" si="4"/>
        <v/>
      </c>
    </row>
    <row r="280" spans="2:5" x14ac:dyDescent="0.25">
      <c r="B280" s="38"/>
      <c r="C280" s="43"/>
      <c r="D280" s="44"/>
      <c r="E280" s="27" t="str">
        <f t="shared" si="4"/>
        <v/>
      </c>
    </row>
    <row r="281" spans="2:5" x14ac:dyDescent="0.25">
      <c r="B281" s="38"/>
      <c r="C281" s="43"/>
      <c r="D281" s="44"/>
      <c r="E281" s="27" t="str">
        <f t="shared" si="4"/>
        <v/>
      </c>
    </row>
    <row r="282" spans="2:5" x14ac:dyDescent="0.25">
      <c r="B282" s="38"/>
      <c r="C282" s="43"/>
      <c r="D282" s="44"/>
      <c r="E282" s="27" t="str">
        <f t="shared" si="4"/>
        <v/>
      </c>
    </row>
    <row r="283" spans="2:5" x14ac:dyDescent="0.25">
      <c r="B283" s="38"/>
      <c r="C283" s="43"/>
      <c r="D283" s="44"/>
      <c r="E283" s="27" t="str">
        <f t="shared" si="4"/>
        <v/>
      </c>
    </row>
    <row r="284" spans="2:5" x14ac:dyDescent="0.25">
      <c r="B284" s="38"/>
      <c r="C284" s="43"/>
      <c r="D284" s="44"/>
      <c r="E284" s="27" t="str">
        <f t="shared" si="4"/>
        <v/>
      </c>
    </row>
    <row r="285" spans="2:5" x14ac:dyDescent="0.25">
      <c r="B285" s="38"/>
      <c r="C285" s="43"/>
      <c r="D285" s="44"/>
      <c r="E285" s="27" t="str">
        <f t="shared" si="4"/>
        <v/>
      </c>
    </row>
    <row r="286" spans="2:5" x14ac:dyDescent="0.25">
      <c r="B286" s="38"/>
      <c r="C286" s="43"/>
      <c r="D286" s="44"/>
      <c r="E286" s="27" t="str">
        <f t="shared" si="4"/>
        <v/>
      </c>
    </row>
    <row r="287" spans="2:5" x14ac:dyDescent="0.25">
      <c r="B287" s="38"/>
      <c r="C287" s="43"/>
      <c r="D287" s="44"/>
      <c r="E287" s="27" t="str">
        <f t="shared" si="4"/>
        <v/>
      </c>
    </row>
    <row r="288" spans="2:5" x14ac:dyDescent="0.25">
      <c r="B288" s="38"/>
      <c r="C288" s="43"/>
      <c r="D288" s="44"/>
      <c r="E288" s="27" t="str">
        <f t="shared" si="4"/>
        <v/>
      </c>
    </row>
    <row r="289" spans="2:5" x14ac:dyDescent="0.25">
      <c r="B289" s="38"/>
      <c r="C289" s="43"/>
      <c r="D289" s="44"/>
      <c r="E289" s="27" t="str">
        <f t="shared" si="4"/>
        <v/>
      </c>
    </row>
    <row r="290" spans="2:5" x14ac:dyDescent="0.25">
      <c r="B290" s="38"/>
      <c r="C290" s="43"/>
      <c r="D290" s="44"/>
      <c r="E290" s="27" t="str">
        <f t="shared" si="4"/>
        <v/>
      </c>
    </row>
    <row r="291" spans="2:5" x14ac:dyDescent="0.25">
      <c r="B291" s="38"/>
      <c r="C291" s="43"/>
      <c r="D291" s="44"/>
      <c r="E291" s="27" t="str">
        <f t="shared" si="4"/>
        <v/>
      </c>
    </row>
    <row r="292" spans="2:5" x14ac:dyDescent="0.25">
      <c r="B292" s="38"/>
      <c r="C292" s="43"/>
      <c r="D292" s="44"/>
      <c r="E292" s="27" t="str">
        <f t="shared" si="4"/>
        <v/>
      </c>
    </row>
    <row r="293" spans="2:5" x14ac:dyDescent="0.25">
      <c r="B293" s="38"/>
      <c r="C293" s="43"/>
      <c r="D293" s="44"/>
      <c r="E293" s="27" t="str">
        <f t="shared" si="4"/>
        <v/>
      </c>
    </row>
    <row r="294" spans="2:5" x14ac:dyDescent="0.25">
      <c r="B294" s="38"/>
      <c r="C294" s="43"/>
      <c r="D294" s="44"/>
    </row>
    <row r="295" spans="2:5" x14ac:dyDescent="0.25">
      <c r="B295" s="38"/>
      <c r="C295" s="43"/>
      <c r="D295" s="44"/>
    </row>
    <row r="296" spans="2:5" x14ac:dyDescent="0.25">
      <c r="B296" s="38"/>
      <c r="C296" s="43"/>
      <c r="D296" s="44"/>
    </row>
    <row r="297" spans="2:5" x14ac:dyDescent="0.25">
      <c r="B297" s="38"/>
      <c r="C297" s="43"/>
      <c r="D297" s="44"/>
    </row>
    <row r="298" spans="2:5" x14ac:dyDescent="0.25">
      <c r="B298" s="38"/>
      <c r="C298" s="43"/>
      <c r="D298" s="44"/>
    </row>
    <row r="299" spans="2:5" x14ac:dyDescent="0.25">
      <c r="B299" s="38"/>
      <c r="C299" s="43"/>
      <c r="D299" s="44"/>
    </row>
    <row r="300" spans="2:5" x14ac:dyDescent="0.25">
      <c r="B300" s="38"/>
      <c r="C300" s="43"/>
      <c r="D300" s="44"/>
    </row>
    <row r="301" spans="2:5" x14ac:dyDescent="0.25">
      <c r="B301" s="38"/>
      <c r="C301" s="43"/>
      <c r="D301" s="44"/>
    </row>
    <row r="302" spans="2:5" ht="13.8" thickBot="1" x14ac:dyDescent="0.3">
      <c r="B302" s="45"/>
      <c r="C302" s="46"/>
      <c r="D302" s="47"/>
    </row>
  </sheetData>
  <sheetProtection sheet="1" objects="1" selectLockedCells="1"/>
  <mergeCells count="1">
    <mergeCell ref="G2:L14"/>
  </mergeCells>
  <phoneticPr fontId="10" type="noConversion"/>
  <pageMargins left="0.7" right="0.7" top="0.78740157499999996" bottom="0.78740157499999996"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267"/>
  <dimension ref="A1:L195"/>
  <sheetViews>
    <sheetView topLeftCell="A154" zoomScaleNormal="100" workbookViewId="0">
      <selection activeCell="A173" sqref="A173:E195"/>
    </sheetView>
  </sheetViews>
  <sheetFormatPr baseColWidth="10" defaultColWidth="11.44140625" defaultRowHeight="13.2" x14ac:dyDescent="0.25"/>
  <cols>
    <col min="1" max="16384" width="11.44140625" style="61"/>
  </cols>
  <sheetData>
    <row r="1" spans="1:6" x14ac:dyDescent="0.25">
      <c r="A1" s="61">
        <v>0.5</v>
      </c>
      <c r="B1" s="61">
        <v>2</v>
      </c>
      <c r="C1" s="61">
        <v>1.5</v>
      </c>
      <c r="D1" s="61">
        <v>2.5</v>
      </c>
      <c r="E1" s="61">
        <v>3</v>
      </c>
      <c r="F1" s="61">
        <v>2</v>
      </c>
    </row>
    <row r="2" spans="1:6" x14ac:dyDescent="0.25">
      <c r="A2" s="61">
        <v>1.5</v>
      </c>
      <c r="B2" s="61">
        <v>2</v>
      </c>
      <c r="C2" s="61">
        <v>0.5</v>
      </c>
      <c r="D2" s="61">
        <v>1</v>
      </c>
      <c r="E2" s="61">
        <v>2</v>
      </c>
      <c r="F2" s="61">
        <v>2</v>
      </c>
    </row>
    <row r="3" spans="1:6" x14ac:dyDescent="0.25">
      <c r="A3" s="61">
        <v>0.5</v>
      </c>
      <c r="B3" s="61">
        <v>1.5</v>
      </c>
      <c r="C3" s="61">
        <v>1.5</v>
      </c>
      <c r="D3" s="61">
        <v>3</v>
      </c>
      <c r="E3" s="61">
        <v>3</v>
      </c>
      <c r="F3" s="61">
        <v>1</v>
      </c>
    </row>
    <row r="4" spans="1:6" x14ac:dyDescent="0.25">
      <c r="A4" s="61">
        <v>2</v>
      </c>
      <c r="B4" s="61">
        <v>2</v>
      </c>
      <c r="C4" s="61">
        <v>1</v>
      </c>
      <c r="D4" s="61">
        <v>3</v>
      </c>
      <c r="E4" s="61">
        <v>2.5</v>
      </c>
      <c r="F4" s="61">
        <v>2</v>
      </c>
    </row>
    <row r="5" spans="1:6" x14ac:dyDescent="0.25">
      <c r="A5" s="61">
        <v>2</v>
      </c>
      <c r="B5" s="61">
        <v>2</v>
      </c>
      <c r="C5" s="61">
        <v>2.5</v>
      </c>
      <c r="D5" s="61">
        <v>3</v>
      </c>
      <c r="E5" s="61">
        <v>2.5</v>
      </c>
      <c r="F5" s="61">
        <v>2</v>
      </c>
    </row>
    <row r="6" spans="1:6" x14ac:dyDescent="0.25">
      <c r="A6" s="61">
        <v>2</v>
      </c>
      <c r="B6" s="61">
        <v>2</v>
      </c>
      <c r="C6" s="61">
        <v>2</v>
      </c>
      <c r="D6" s="61">
        <v>2</v>
      </c>
      <c r="E6" s="61">
        <v>2.5</v>
      </c>
      <c r="F6" s="61">
        <v>2</v>
      </c>
    </row>
    <row r="7" spans="1:6" x14ac:dyDescent="0.25">
      <c r="A7" s="61">
        <v>1</v>
      </c>
      <c r="B7" s="61">
        <v>1.5</v>
      </c>
      <c r="C7" s="61">
        <v>3</v>
      </c>
      <c r="D7" s="61">
        <v>3</v>
      </c>
      <c r="E7" s="61">
        <v>3</v>
      </c>
      <c r="F7" s="61">
        <v>1</v>
      </c>
    </row>
    <row r="8" spans="1:6" x14ac:dyDescent="0.25">
      <c r="A8" s="61">
        <v>0.5</v>
      </c>
      <c r="B8" s="61">
        <v>2</v>
      </c>
      <c r="C8" s="61">
        <v>1.5</v>
      </c>
      <c r="D8" s="61">
        <v>1</v>
      </c>
      <c r="E8" s="61">
        <v>3</v>
      </c>
      <c r="F8" s="61">
        <v>1</v>
      </c>
    </row>
    <row r="9" spans="1:6" x14ac:dyDescent="0.25">
      <c r="A9" s="61">
        <v>1.5</v>
      </c>
      <c r="B9" s="61">
        <v>2</v>
      </c>
      <c r="C9" s="61">
        <v>1.5</v>
      </c>
      <c r="D9" s="61">
        <v>1</v>
      </c>
      <c r="E9" s="61">
        <v>2</v>
      </c>
      <c r="F9" s="61">
        <v>2</v>
      </c>
    </row>
    <row r="10" spans="1:6" x14ac:dyDescent="0.25">
      <c r="A10" s="61">
        <v>0.5</v>
      </c>
      <c r="B10" s="61">
        <v>1</v>
      </c>
      <c r="C10" s="61">
        <v>0</v>
      </c>
      <c r="D10" s="61">
        <v>1</v>
      </c>
      <c r="E10" s="61">
        <v>0.5</v>
      </c>
      <c r="F10" s="61">
        <v>0</v>
      </c>
    </row>
    <row r="11" spans="1:6" x14ac:dyDescent="0.25">
      <c r="A11" s="61">
        <v>0.5</v>
      </c>
      <c r="B11" s="61">
        <v>2</v>
      </c>
      <c r="C11" s="61">
        <v>1.5</v>
      </c>
      <c r="D11" s="61">
        <v>0</v>
      </c>
      <c r="E11" s="61">
        <v>1.5</v>
      </c>
      <c r="F11" s="61">
        <v>1</v>
      </c>
    </row>
    <row r="12" spans="1:6" x14ac:dyDescent="0.25">
      <c r="A12" s="61">
        <v>2</v>
      </c>
      <c r="B12" s="61">
        <v>2</v>
      </c>
      <c r="C12" s="61">
        <v>1</v>
      </c>
      <c r="D12" s="61">
        <v>3</v>
      </c>
      <c r="E12" s="61">
        <v>1.5</v>
      </c>
      <c r="F12" s="61">
        <v>2</v>
      </c>
    </row>
    <row r="13" spans="1:6" x14ac:dyDescent="0.25">
      <c r="A13" s="61">
        <v>1.5</v>
      </c>
      <c r="B13" s="61">
        <v>2</v>
      </c>
      <c r="C13" s="61">
        <v>1.5</v>
      </c>
      <c r="D13" s="61">
        <v>3</v>
      </c>
      <c r="E13" s="61">
        <v>3</v>
      </c>
      <c r="F13" s="61">
        <v>1.5</v>
      </c>
    </row>
    <row r="14" spans="1:6" x14ac:dyDescent="0.25">
      <c r="A14" s="61">
        <v>2</v>
      </c>
      <c r="B14" s="61">
        <v>2</v>
      </c>
      <c r="C14" s="61">
        <v>1.5</v>
      </c>
      <c r="D14" s="61">
        <v>3</v>
      </c>
      <c r="E14" s="61">
        <v>3</v>
      </c>
      <c r="F14" s="61">
        <v>2</v>
      </c>
    </row>
    <row r="15" spans="1:6" x14ac:dyDescent="0.25">
      <c r="A15" s="61">
        <v>1</v>
      </c>
      <c r="B15" s="61">
        <v>2</v>
      </c>
      <c r="C15" s="61">
        <v>1.5</v>
      </c>
      <c r="D15" s="61">
        <v>3</v>
      </c>
      <c r="E15" s="61">
        <v>2.5</v>
      </c>
      <c r="F15" s="61">
        <v>2</v>
      </c>
    </row>
    <row r="16" spans="1:6" x14ac:dyDescent="0.25">
      <c r="A16" s="61">
        <v>2</v>
      </c>
      <c r="B16" s="61">
        <v>0</v>
      </c>
      <c r="C16" s="61">
        <v>1</v>
      </c>
      <c r="D16" s="61">
        <v>1.5</v>
      </c>
      <c r="E16" s="61">
        <v>2</v>
      </c>
      <c r="F16" s="61">
        <v>1</v>
      </c>
    </row>
    <row r="17" spans="1:12" x14ac:dyDescent="0.25">
      <c r="A17" s="61">
        <v>0.5</v>
      </c>
      <c r="B17" s="61">
        <v>0</v>
      </c>
      <c r="C17" s="61">
        <v>0</v>
      </c>
      <c r="D17" s="61">
        <v>0</v>
      </c>
      <c r="E17" s="61">
        <v>0.5</v>
      </c>
      <c r="F17" s="61">
        <v>0</v>
      </c>
    </row>
    <row r="18" spans="1:12" x14ac:dyDescent="0.25">
      <c r="A18" s="61">
        <v>2</v>
      </c>
      <c r="B18" s="61">
        <v>2</v>
      </c>
      <c r="C18" s="61">
        <v>1</v>
      </c>
      <c r="D18" s="61">
        <v>1</v>
      </c>
      <c r="E18" s="61">
        <v>3</v>
      </c>
      <c r="F18" s="61">
        <v>1</v>
      </c>
    </row>
    <row r="19" spans="1:12" x14ac:dyDescent="0.25">
      <c r="A19" s="61">
        <v>0.5</v>
      </c>
      <c r="B19" s="61">
        <v>2</v>
      </c>
      <c r="C19" s="61">
        <v>1</v>
      </c>
      <c r="D19" s="61">
        <v>2.5</v>
      </c>
      <c r="E19" s="61">
        <v>1.5</v>
      </c>
      <c r="F19" s="61">
        <v>2</v>
      </c>
    </row>
    <row r="20" spans="1:12" x14ac:dyDescent="0.25">
      <c r="A20" s="61">
        <v>1</v>
      </c>
      <c r="B20" s="61">
        <v>2</v>
      </c>
      <c r="C20" s="61">
        <v>2.5</v>
      </c>
      <c r="D20" s="61">
        <v>3</v>
      </c>
      <c r="E20" s="61">
        <v>3</v>
      </c>
      <c r="F20" s="61">
        <v>2</v>
      </c>
    </row>
    <row r="21" spans="1:12" x14ac:dyDescent="0.25">
      <c r="A21" s="61">
        <v>2</v>
      </c>
      <c r="B21" s="61">
        <v>2</v>
      </c>
      <c r="C21" s="61">
        <v>1.5</v>
      </c>
      <c r="D21" s="61">
        <v>3</v>
      </c>
      <c r="E21" s="61">
        <v>3</v>
      </c>
      <c r="F21" s="61">
        <v>2</v>
      </c>
    </row>
    <row r="22" spans="1:12" x14ac:dyDescent="0.25">
      <c r="A22" s="61">
        <v>0.5</v>
      </c>
      <c r="B22" s="61">
        <v>1.5</v>
      </c>
      <c r="C22" s="61">
        <v>1</v>
      </c>
      <c r="D22" s="61">
        <v>3</v>
      </c>
      <c r="E22" s="61">
        <v>3</v>
      </c>
      <c r="F22" s="61">
        <v>1</v>
      </c>
    </row>
    <row r="23" spans="1:12" x14ac:dyDescent="0.25">
      <c r="A23" s="61">
        <v>0.5</v>
      </c>
      <c r="B23" s="61">
        <v>2</v>
      </c>
      <c r="C23" s="61">
        <v>1.5</v>
      </c>
      <c r="D23" s="61">
        <v>0.5</v>
      </c>
      <c r="E23" s="61">
        <v>1.5</v>
      </c>
      <c r="F23" s="61">
        <v>1</v>
      </c>
    </row>
    <row r="25" spans="1:12" x14ac:dyDescent="0.25">
      <c r="A25" s="61">
        <v>1.5</v>
      </c>
      <c r="B25" s="61">
        <v>3</v>
      </c>
      <c r="C25" s="61">
        <v>3</v>
      </c>
      <c r="D25" s="61">
        <v>3</v>
      </c>
      <c r="E25" s="61">
        <v>3</v>
      </c>
      <c r="F25" s="61">
        <v>4</v>
      </c>
      <c r="G25" s="61">
        <v>3</v>
      </c>
      <c r="H25" s="61">
        <v>0</v>
      </c>
      <c r="I25" s="61">
        <v>2</v>
      </c>
      <c r="J25" s="61">
        <v>0</v>
      </c>
      <c r="K25" s="61">
        <v>4</v>
      </c>
      <c r="L25" s="61">
        <v>2.5</v>
      </c>
    </row>
    <row r="26" spans="1:12" x14ac:dyDescent="0.25">
      <c r="A26" s="61">
        <v>0.5</v>
      </c>
      <c r="B26" s="61">
        <v>2.5</v>
      </c>
      <c r="C26" s="61">
        <v>3</v>
      </c>
      <c r="D26" s="61">
        <v>3</v>
      </c>
      <c r="E26" s="61">
        <v>3</v>
      </c>
      <c r="F26" s="61">
        <v>4</v>
      </c>
      <c r="G26" s="61">
        <v>0</v>
      </c>
      <c r="H26" s="61">
        <v>0</v>
      </c>
      <c r="I26" s="61">
        <v>1.5</v>
      </c>
      <c r="J26" s="61">
        <v>0</v>
      </c>
      <c r="K26" s="61">
        <v>1</v>
      </c>
      <c r="L26" s="61">
        <v>2</v>
      </c>
    </row>
    <row r="27" spans="1:12" x14ac:dyDescent="0.25">
      <c r="A27" s="61">
        <v>1</v>
      </c>
      <c r="B27" s="61">
        <v>2</v>
      </c>
      <c r="C27" s="61">
        <v>0</v>
      </c>
      <c r="D27" s="61">
        <v>1</v>
      </c>
      <c r="E27" s="61">
        <v>3</v>
      </c>
      <c r="F27" s="61">
        <v>2.5</v>
      </c>
      <c r="G27" s="61">
        <v>0</v>
      </c>
      <c r="H27" s="61">
        <v>0</v>
      </c>
      <c r="I27" s="61">
        <v>0</v>
      </c>
      <c r="J27" s="61">
        <v>2</v>
      </c>
      <c r="K27" s="61">
        <v>0</v>
      </c>
      <c r="L27" s="61">
        <v>0</v>
      </c>
    </row>
    <row r="28" spans="1:12" x14ac:dyDescent="0.25">
      <c r="A28" s="61">
        <v>1</v>
      </c>
      <c r="B28" s="61">
        <v>3</v>
      </c>
      <c r="C28" s="61">
        <v>3</v>
      </c>
      <c r="D28" s="61">
        <v>3</v>
      </c>
      <c r="E28" s="61">
        <v>3</v>
      </c>
      <c r="F28" s="61">
        <v>4</v>
      </c>
      <c r="G28" s="61">
        <v>1.5</v>
      </c>
      <c r="H28" s="61">
        <v>0</v>
      </c>
      <c r="I28" s="61">
        <v>1.5</v>
      </c>
      <c r="J28" s="61">
        <v>3</v>
      </c>
      <c r="K28" s="61">
        <v>3</v>
      </c>
      <c r="L28" s="61">
        <v>0</v>
      </c>
    </row>
    <row r="29" spans="1:12" x14ac:dyDescent="0.25">
      <c r="A29" s="61">
        <v>2</v>
      </c>
      <c r="B29" s="61">
        <v>2</v>
      </c>
      <c r="C29" s="61">
        <v>3.5</v>
      </c>
      <c r="D29" s="61">
        <v>2.5</v>
      </c>
      <c r="E29" s="61">
        <v>2</v>
      </c>
      <c r="F29" s="61">
        <v>1</v>
      </c>
      <c r="G29" s="61">
        <v>0.5</v>
      </c>
      <c r="H29" s="61">
        <v>2.5</v>
      </c>
      <c r="I29" s="61">
        <v>2</v>
      </c>
      <c r="J29" s="61">
        <v>3.5</v>
      </c>
      <c r="K29" s="61">
        <v>3</v>
      </c>
      <c r="L29" s="61">
        <v>2.5</v>
      </c>
    </row>
    <row r="30" spans="1:12" x14ac:dyDescent="0.25">
      <c r="A30" s="61">
        <v>2</v>
      </c>
      <c r="B30" s="61">
        <v>3</v>
      </c>
      <c r="C30" s="61">
        <v>4</v>
      </c>
      <c r="D30" s="61">
        <v>3</v>
      </c>
      <c r="E30" s="61">
        <v>3</v>
      </c>
      <c r="F30" s="61">
        <v>4</v>
      </c>
      <c r="G30" s="61">
        <v>3</v>
      </c>
      <c r="H30" s="61">
        <v>4</v>
      </c>
      <c r="I30" s="61">
        <v>2</v>
      </c>
      <c r="J30" s="61">
        <v>5</v>
      </c>
      <c r="K30" s="61">
        <v>4</v>
      </c>
      <c r="L30" s="61">
        <v>3</v>
      </c>
    </row>
    <row r="31" spans="1:12" x14ac:dyDescent="0.25">
      <c r="A31" s="61">
        <v>1.5</v>
      </c>
      <c r="B31" s="61">
        <v>2.5</v>
      </c>
      <c r="C31" s="61">
        <v>4</v>
      </c>
      <c r="D31" s="61">
        <v>2</v>
      </c>
      <c r="E31" s="61">
        <v>2</v>
      </c>
      <c r="F31" s="61">
        <v>2.5</v>
      </c>
      <c r="G31" s="61">
        <v>0.5</v>
      </c>
      <c r="H31" s="61">
        <v>3</v>
      </c>
      <c r="I31" s="61">
        <v>1</v>
      </c>
      <c r="J31" s="61">
        <v>3.5</v>
      </c>
      <c r="K31" s="61">
        <v>2</v>
      </c>
      <c r="L31" s="61">
        <v>1.5</v>
      </c>
    </row>
    <row r="32" spans="1:12" x14ac:dyDescent="0.25">
      <c r="A32" s="61">
        <v>1.5</v>
      </c>
      <c r="B32" s="61">
        <v>1</v>
      </c>
      <c r="C32" s="61">
        <v>2.5</v>
      </c>
      <c r="D32" s="61">
        <v>3</v>
      </c>
      <c r="E32" s="61">
        <v>3</v>
      </c>
      <c r="F32" s="61">
        <v>3.5</v>
      </c>
      <c r="G32" s="61">
        <v>0</v>
      </c>
      <c r="H32" s="61">
        <v>0</v>
      </c>
      <c r="I32" s="61">
        <v>2</v>
      </c>
      <c r="J32" s="61">
        <v>0</v>
      </c>
      <c r="K32" s="61">
        <v>0</v>
      </c>
      <c r="L32" s="61">
        <v>0</v>
      </c>
    </row>
    <row r="33" spans="1:12" x14ac:dyDescent="0.25">
      <c r="A33" s="61">
        <v>1.5</v>
      </c>
      <c r="B33" s="61">
        <v>3</v>
      </c>
      <c r="C33" s="61">
        <v>4</v>
      </c>
      <c r="D33" s="61">
        <v>3</v>
      </c>
      <c r="E33" s="61">
        <v>2</v>
      </c>
      <c r="F33" s="61">
        <v>1</v>
      </c>
      <c r="G33" s="61">
        <v>0</v>
      </c>
      <c r="H33" s="61">
        <v>0</v>
      </c>
      <c r="I33" s="61">
        <v>0</v>
      </c>
      <c r="J33" s="61">
        <v>0</v>
      </c>
      <c r="K33" s="61">
        <v>0</v>
      </c>
      <c r="L33" s="61">
        <v>0</v>
      </c>
    </row>
    <row r="34" spans="1:12" x14ac:dyDescent="0.25">
      <c r="A34" s="61">
        <v>0</v>
      </c>
      <c r="B34" s="61">
        <v>1.5</v>
      </c>
      <c r="C34" s="61">
        <v>2.5</v>
      </c>
      <c r="D34" s="61">
        <v>0</v>
      </c>
      <c r="E34" s="61">
        <v>1</v>
      </c>
      <c r="F34" s="61">
        <v>1</v>
      </c>
      <c r="G34" s="61">
        <v>0</v>
      </c>
      <c r="H34" s="61">
        <v>0</v>
      </c>
      <c r="I34" s="61">
        <v>1</v>
      </c>
      <c r="J34" s="61">
        <v>0</v>
      </c>
      <c r="K34" s="61">
        <v>1</v>
      </c>
      <c r="L34" s="61">
        <v>0.5</v>
      </c>
    </row>
    <row r="35" spans="1:12" x14ac:dyDescent="0.25">
      <c r="A35" s="61">
        <v>1</v>
      </c>
      <c r="B35" s="61">
        <v>1.5</v>
      </c>
      <c r="C35" s="61">
        <v>4</v>
      </c>
      <c r="D35" s="61">
        <v>1.5</v>
      </c>
      <c r="E35" s="61">
        <v>2</v>
      </c>
      <c r="F35" s="61">
        <v>3.5</v>
      </c>
      <c r="G35" s="61">
        <v>0</v>
      </c>
      <c r="H35" s="61">
        <v>0</v>
      </c>
      <c r="I35" s="61">
        <v>0</v>
      </c>
      <c r="J35" s="61">
        <v>0</v>
      </c>
      <c r="K35" s="61">
        <v>1</v>
      </c>
      <c r="L35" s="61">
        <v>0</v>
      </c>
    </row>
    <row r="36" spans="1:12" x14ac:dyDescent="0.25">
      <c r="A36" s="61">
        <v>2</v>
      </c>
      <c r="B36" s="61">
        <v>3</v>
      </c>
      <c r="C36" s="61">
        <v>4</v>
      </c>
      <c r="D36" s="61">
        <v>3</v>
      </c>
      <c r="E36" s="61">
        <v>3</v>
      </c>
      <c r="F36" s="61">
        <v>4</v>
      </c>
      <c r="G36" s="61">
        <v>3</v>
      </c>
      <c r="H36" s="61">
        <v>0</v>
      </c>
      <c r="I36" s="61">
        <v>2</v>
      </c>
      <c r="J36" s="61">
        <v>3</v>
      </c>
      <c r="K36" s="61">
        <v>3</v>
      </c>
      <c r="L36" s="61">
        <v>2</v>
      </c>
    </row>
    <row r="37" spans="1:12" x14ac:dyDescent="0.25">
      <c r="A37" s="61">
        <v>0.5</v>
      </c>
      <c r="B37" s="61">
        <v>1.5</v>
      </c>
      <c r="C37" s="61">
        <v>4</v>
      </c>
      <c r="D37" s="61">
        <v>3</v>
      </c>
      <c r="E37" s="61">
        <v>3</v>
      </c>
      <c r="F37" s="61">
        <v>3.5</v>
      </c>
      <c r="G37" s="61">
        <v>0</v>
      </c>
      <c r="H37" s="61">
        <v>0</v>
      </c>
      <c r="I37" s="61">
        <v>2</v>
      </c>
      <c r="J37" s="61">
        <v>4.5</v>
      </c>
      <c r="K37" s="61">
        <v>0</v>
      </c>
      <c r="L37" s="61">
        <v>0</v>
      </c>
    </row>
    <row r="38" spans="1:12" x14ac:dyDescent="0.25">
      <c r="A38" s="61">
        <v>1.5</v>
      </c>
      <c r="B38" s="61">
        <v>2.5</v>
      </c>
      <c r="C38" s="61">
        <v>3</v>
      </c>
      <c r="D38" s="61">
        <v>2.5</v>
      </c>
      <c r="E38" s="61">
        <v>2</v>
      </c>
      <c r="F38" s="61">
        <v>4</v>
      </c>
      <c r="G38" s="61">
        <v>0</v>
      </c>
      <c r="H38" s="61">
        <v>0</v>
      </c>
      <c r="I38" s="61">
        <v>0</v>
      </c>
      <c r="J38" s="61">
        <v>0</v>
      </c>
      <c r="K38" s="61">
        <v>1</v>
      </c>
      <c r="L38" s="61">
        <v>0</v>
      </c>
    </row>
    <row r="39" spans="1:12" x14ac:dyDescent="0.25">
      <c r="A39" s="61">
        <v>1.5</v>
      </c>
      <c r="B39" s="61">
        <v>3</v>
      </c>
      <c r="C39" s="61">
        <v>4</v>
      </c>
      <c r="D39" s="61">
        <v>3</v>
      </c>
      <c r="E39" s="61">
        <v>2.5</v>
      </c>
      <c r="F39" s="61">
        <v>3.5</v>
      </c>
      <c r="G39" s="61">
        <v>0.5</v>
      </c>
      <c r="H39" s="61">
        <v>0</v>
      </c>
      <c r="I39" s="61">
        <v>2</v>
      </c>
      <c r="J39" s="61">
        <v>3.5</v>
      </c>
      <c r="K39" s="61">
        <v>3.5</v>
      </c>
      <c r="L39" s="61">
        <v>0.5</v>
      </c>
    </row>
    <row r="40" spans="1:12" x14ac:dyDescent="0.25">
      <c r="A40" s="61">
        <v>1.5</v>
      </c>
      <c r="B40" s="61">
        <v>3</v>
      </c>
      <c r="C40" s="61">
        <v>4</v>
      </c>
      <c r="D40" s="61">
        <v>3</v>
      </c>
      <c r="E40" s="61">
        <v>3</v>
      </c>
      <c r="F40" s="61">
        <v>4</v>
      </c>
      <c r="G40" s="61">
        <v>0</v>
      </c>
      <c r="H40" s="61">
        <v>1.5</v>
      </c>
      <c r="I40" s="61">
        <v>0</v>
      </c>
      <c r="J40" s="61">
        <v>2</v>
      </c>
      <c r="K40" s="61">
        <v>0</v>
      </c>
      <c r="L40" s="61">
        <v>0</v>
      </c>
    </row>
    <row r="41" spans="1:12" x14ac:dyDescent="0.25">
      <c r="A41" s="61">
        <v>1.5</v>
      </c>
      <c r="B41" s="61">
        <v>1.5</v>
      </c>
      <c r="C41" s="61">
        <v>0</v>
      </c>
      <c r="D41" s="61">
        <v>1.5</v>
      </c>
      <c r="E41" s="61">
        <v>1</v>
      </c>
      <c r="F41" s="61">
        <v>1</v>
      </c>
      <c r="G41" s="61">
        <v>0</v>
      </c>
      <c r="H41" s="61">
        <v>0</v>
      </c>
      <c r="I41" s="61">
        <v>0</v>
      </c>
      <c r="J41" s="61">
        <v>0</v>
      </c>
      <c r="K41" s="61">
        <v>0</v>
      </c>
      <c r="L41" s="61">
        <v>0</v>
      </c>
    </row>
    <row r="42" spans="1:12" x14ac:dyDescent="0.25">
      <c r="A42" s="61">
        <v>1</v>
      </c>
      <c r="B42" s="61">
        <v>2.5</v>
      </c>
      <c r="C42" s="61">
        <v>2</v>
      </c>
      <c r="D42" s="61">
        <v>3</v>
      </c>
      <c r="E42" s="61">
        <v>2.5</v>
      </c>
      <c r="F42" s="61">
        <v>3.5</v>
      </c>
      <c r="G42" s="61">
        <v>0</v>
      </c>
      <c r="H42" s="61">
        <v>0</v>
      </c>
      <c r="I42" s="61">
        <v>1.5</v>
      </c>
      <c r="J42" s="61">
        <v>0</v>
      </c>
      <c r="K42" s="61">
        <v>0</v>
      </c>
      <c r="L42" s="61">
        <v>0</v>
      </c>
    </row>
    <row r="43" spans="1:12" x14ac:dyDescent="0.25">
      <c r="A43" s="61">
        <v>1.5</v>
      </c>
      <c r="B43" s="61">
        <v>2</v>
      </c>
      <c r="C43" s="61">
        <v>3</v>
      </c>
      <c r="D43" s="61">
        <v>0.5</v>
      </c>
      <c r="E43" s="61">
        <v>1</v>
      </c>
      <c r="F43" s="61">
        <v>4</v>
      </c>
      <c r="G43" s="61">
        <v>0.5</v>
      </c>
      <c r="H43" s="61">
        <v>0</v>
      </c>
      <c r="I43" s="61">
        <v>2</v>
      </c>
      <c r="J43" s="61">
        <v>0</v>
      </c>
      <c r="K43" s="61">
        <v>2</v>
      </c>
      <c r="L43" s="61">
        <v>0</v>
      </c>
    </row>
    <row r="44" spans="1:12" x14ac:dyDescent="0.25">
      <c r="A44" s="61">
        <v>1.5</v>
      </c>
      <c r="B44" s="61">
        <v>3</v>
      </c>
      <c r="C44" s="61">
        <v>3.5</v>
      </c>
      <c r="D44" s="61">
        <v>2.5</v>
      </c>
      <c r="E44" s="61">
        <v>2</v>
      </c>
      <c r="F44" s="61">
        <v>3.5</v>
      </c>
      <c r="G44" s="61">
        <v>2</v>
      </c>
      <c r="H44" s="61">
        <v>0</v>
      </c>
      <c r="I44" s="61">
        <v>1.5</v>
      </c>
      <c r="J44" s="61">
        <v>3.5</v>
      </c>
      <c r="K44" s="61">
        <v>3</v>
      </c>
      <c r="L44" s="61">
        <v>0</v>
      </c>
    </row>
    <row r="45" spans="1:12" x14ac:dyDescent="0.25">
      <c r="A45" s="61">
        <v>2</v>
      </c>
      <c r="B45" s="61">
        <v>2.5</v>
      </c>
      <c r="C45" s="61">
        <v>4</v>
      </c>
      <c r="D45" s="61">
        <v>3</v>
      </c>
      <c r="E45" s="61">
        <v>2.5</v>
      </c>
      <c r="F45" s="61">
        <v>3</v>
      </c>
      <c r="G45" s="61">
        <v>3</v>
      </c>
      <c r="H45" s="61">
        <v>0</v>
      </c>
      <c r="I45" s="61">
        <v>2</v>
      </c>
      <c r="J45" s="61">
        <v>4.5</v>
      </c>
      <c r="K45" s="61">
        <v>3</v>
      </c>
      <c r="L45" s="61">
        <v>3</v>
      </c>
    </row>
    <row r="46" spans="1:12" x14ac:dyDescent="0.25">
      <c r="A46" s="61">
        <v>0.5</v>
      </c>
      <c r="B46" s="61">
        <v>3</v>
      </c>
      <c r="C46" s="61">
        <v>4</v>
      </c>
      <c r="D46" s="61">
        <v>2</v>
      </c>
      <c r="E46" s="61">
        <v>2.5</v>
      </c>
      <c r="F46" s="61">
        <v>3</v>
      </c>
      <c r="G46" s="61">
        <v>1.5</v>
      </c>
      <c r="H46" s="61">
        <v>0</v>
      </c>
      <c r="I46" s="61">
        <v>2</v>
      </c>
      <c r="J46" s="61">
        <v>2.5</v>
      </c>
      <c r="K46" s="61">
        <v>2.5</v>
      </c>
      <c r="L46" s="61">
        <v>2.5</v>
      </c>
    </row>
    <row r="47" spans="1:12" x14ac:dyDescent="0.25">
      <c r="A47" s="61">
        <v>1</v>
      </c>
      <c r="B47" s="61">
        <v>2.5</v>
      </c>
      <c r="C47" s="61">
        <v>3.5</v>
      </c>
      <c r="D47" s="61">
        <v>3</v>
      </c>
      <c r="E47" s="61">
        <v>2</v>
      </c>
      <c r="F47" s="61">
        <v>4</v>
      </c>
      <c r="G47" s="61">
        <v>0</v>
      </c>
      <c r="H47" s="61">
        <v>0</v>
      </c>
      <c r="I47" s="61">
        <v>0</v>
      </c>
      <c r="J47" s="61">
        <v>0</v>
      </c>
      <c r="K47" s="61">
        <v>1</v>
      </c>
      <c r="L47" s="61">
        <v>0</v>
      </c>
    </row>
    <row r="49" spans="1:3" x14ac:dyDescent="0.25">
      <c r="A49" s="61">
        <v>2.5</v>
      </c>
      <c r="B49" s="61">
        <v>1</v>
      </c>
      <c r="C49" s="61">
        <v>0.5</v>
      </c>
    </row>
    <row r="50" spans="1:3" x14ac:dyDescent="0.25">
      <c r="A50" s="61">
        <v>5</v>
      </c>
      <c r="B50" s="61">
        <v>1.5</v>
      </c>
      <c r="C50" s="61">
        <v>1</v>
      </c>
    </row>
    <row r="51" spans="1:3" x14ac:dyDescent="0.25">
      <c r="A51" s="61">
        <v>2.5</v>
      </c>
      <c r="B51" s="61">
        <v>0</v>
      </c>
      <c r="C51" s="61">
        <v>1</v>
      </c>
    </row>
    <row r="52" spans="1:3" x14ac:dyDescent="0.25">
      <c r="A52" s="61">
        <v>2.5</v>
      </c>
      <c r="B52" s="61">
        <v>1</v>
      </c>
      <c r="C52" s="61">
        <v>1</v>
      </c>
    </row>
    <row r="53" spans="1:3" x14ac:dyDescent="0.25">
      <c r="A53" s="61">
        <v>2.5</v>
      </c>
      <c r="B53" s="61">
        <v>2</v>
      </c>
      <c r="C53" s="61">
        <v>3</v>
      </c>
    </row>
    <row r="54" spans="1:3" x14ac:dyDescent="0.25">
      <c r="A54" s="61">
        <v>3</v>
      </c>
      <c r="B54" s="61">
        <v>2</v>
      </c>
      <c r="C54" s="61">
        <v>3</v>
      </c>
    </row>
    <row r="55" spans="1:3" x14ac:dyDescent="0.25">
      <c r="A55" s="61">
        <v>5</v>
      </c>
      <c r="B55" s="61">
        <v>2</v>
      </c>
      <c r="C55" s="61">
        <v>3</v>
      </c>
    </row>
    <row r="56" spans="1:3" x14ac:dyDescent="0.25">
      <c r="A56" s="61">
        <v>5</v>
      </c>
      <c r="B56" s="61">
        <v>2</v>
      </c>
      <c r="C56" s="61">
        <v>3</v>
      </c>
    </row>
    <row r="57" spans="1:3" x14ac:dyDescent="0.25">
      <c r="A57" s="61">
        <v>4</v>
      </c>
      <c r="B57" s="61">
        <v>0</v>
      </c>
      <c r="C57" s="61">
        <v>3</v>
      </c>
    </row>
    <row r="58" spans="1:3" x14ac:dyDescent="0.25">
      <c r="A58" s="61">
        <v>2.5</v>
      </c>
      <c r="B58" s="61">
        <v>2</v>
      </c>
      <c r="C58" s="61">
        <v>0</v>
      </c>
    </row>
    <row r="59" spans="1:3" x14ac:dyDescent="0.25">
      <c r="A59" s="61">
        <v>2</v>
      </c>
      <c r="B59" s="61">
        <v>0</v>
      </c>
      <c r="C59" s="61">
        <v>0</v>
      </c>
    </row>
    <row r="60" spans="1:3" x14ac:dyDescent="0.25">
      <c r="A60" s="61">
        <v>2.5</v>
      </c>
      <c r="B60" s="61">
        <v>0</v>
      </c>
      <c r="C60" s="61">
        <v>2</v>
      </c>
    </row>
    <row r="61" spans="1:3" x14ac:dyDescent="0.25">
      <c r="A61" s="61">
        <v>5</v>
      </c>
      <c r="B61" s="61">
        <v>1</v>
      </c>
      <c r="C61" s="61">
        <v>3</v>
      </c>
    </row>
    <row r="62" spans="1:3" x14ac:dyDescent="0.25">
      <c r="A62" s="61">
        <v>5</v>
      </c>
      <c r="B62" s="61">
        <v>1.5</v>
      </c>
      <c r="C62" s="61">
        <v>0.5</v>
      </c>
    </row>
    <row r="63" spans="1:3" x14ac:dyDescent="0.25">
      <c r="A63" s="61">
        <v>2.5</v>
      </c>
      <c r="B63" s="61">
        <v>0</v>
      </c>
      <c r="C63" s="61">
        <v>1</v>
      </c>
    </row>
    <row r="64" spans="1:3" x14ac:dyDescent="0.25">
      <c r="A64" s="61">
        <v>5</v>
      </c>
      <c r="B64" s="61">
        <v>1</v>
      </c>
      <c r="C64" s="61">
        <v>1</v>
      </c>
    </row>
    <row r="65" spans="1:6" x14ac:dyDescent="0.25">
      <c r="A65" s="61">
        <v>5</v>
      </c>
      <c r="B65" s="61">
        <v>1</v>
      </c>
      <c r="C65" s="61">
        <v>3</v>
      </c>
    </row>
    <row r="66" spans="1:6" x14ac:dyDescent="0.25">
      <c r="A66" s="61">
        <v>2.5</v>
      </c>
      <c r="B66" s="61">
        <v>1</v>
      </c>
      <c r="C66" s="61">
        <v>1</v>
      </c>
    </row>
    <row r="67" spans="1:6" x14ac:dyDescent="0.25">
      <c r="A67" s="61">
        <v>5</v>
      </c>
      <c r="B67" s="61">
        <v>0</v>
      </c>
      <c r="C67" s="61">
        <v>0.5</v>
      </c>
    </row>
    <row r="68" spans="1:6" x14ac:dyDescent="0.25">
      <c r="A68" s="61">
        <v>3</v>
      </c>
      <c r="B68" s="61">
        <v>0</v>
      </c>
      <c r="C68" s="61">
        <v>0</v>
      </c>
    </row>
    <row r="69" spans="1:6" x14ac:dyDescent="0.25">
      <c r="A69" s="61">
        <v>4</v>
      </c>
      <c r="B69" s="61">
        <v>1</v>
      </c>
      <c r="C69" s="61">
        <v>1</v>
      </c>
    </row>
    <row r="70" spans="1:6" x14ac:dyDescent="0.25">
      <c r="A70" s="61">
        <v>5</v>
      </c>
      <c r="B70" s="61">
        <v>2</v>
      </c>
      <c r="C70" s="61">
        <v>3</v>
      </c>
    </row>
    <row r="71" spans="1:6" x14ac:dyDescent="0.25">
      <c r="A71" s="61">
        <v>5</v>
      </c>
      <c r="B71" s="61">
        <v>2</v>
      </c>
      <c r="C71" s="61">
        <v>1</v>
      </c>
    </row>
    <row r="73" spans="1:6" x14ac:dyDescent="0.25">
      <c r="A73" s="61">
        <v>2</v>
      </c>
      <c r="B73" s="61">
        <v>2</v>
      </c>
      <c r="C73" s="61">
        <v>2</v>
      </c>
      <c r="D73" s="61">
        <v>4</v>
      </c>
      <c r="E73" s="61">
        <v>3</v>
      </c>
      <c r="F73" s="61">
        <v>7</v>
      </c>
    </row>
    <row r="74" spans="1:6" x14ac:dyDescent="0.25">
      <c r="A74" s="61">
        <v>1</v>
      </c>
      <c r="B74" s="61">
        <v>2</v>
      </c>
      <c r="C74" s="61">
        <v>1</v>
      </c>
      <c r="D74" s="61">
        <v>2</v>
      </c>
      <c r="E74" s="61">
        <v>1</v>
      </c>
      <c r="F74" s="61">
        <v>7</v>
      </c>
    </row>
    <row r="75" spans="1:6" x14ac:dyDescent="0.25">
      <c r="A75" s="61">
        <v>2</v>
      </c>
      <c r="B75" s="61">
        <v>2</v>
      </c>
      <c r="C75" s="61">
        <v>1</v>
      </c>
      <c r="D75" s="61">
        <v>3</v>
      </c>
      <c r="E75" s="61">
        <v>0</v>
      </c>
      <c r="F75" s="61">
        <v>5</v>
      </c>
    </row>
    <row r="76" spans="1:6" x14ac:dyDescent="0.25">
      <c r="A76" s="61">
        <v>2</v>
      </c>
      <c r="B76" s="61">
        <v>2</v>
      </c>
      <c r="C76" s="61">
        <v>1</v>
      </c>
      <c r="D76" s="61">
        <v>4</v>
      </c>
      <c r="E76" s="61">
        <v>0</v>
      </c>
      <c r="F76" s="61">
        <v>6.5</v>
      </c>
    </row>
    <row r="77" spans="1:6" x14ac:dyDescent="0.25">
      <c r="A77" s="61">
        <v>1</v>
      </c>
      <c r="B77" s="61">
        <v>1</v>
      </c>
      <c r="C77" s="61">
        <v>1</v>
      </c>
      <c r="D77" s="61">
        <v>1.5</v>
      </c>
      <c r="E77" s="61">
        <v>0</v>
      </c>
      <c r="F77" s="61">
        <v>4</v>
      </c>
    </row>
    <row r="78" spans="1:6" x14ac:dyDescent="0.25">
      <c r="A78" s="61">
        <v>2</v>
      </c>
      <c r="B78" s="61">
        <v>0.5</v>
      </c>
      <c r="C78" s="61">
        <v>1</v>
      </c>
      <c r="D78" s="61">
        <v>4</v>
      </c>
      <c r="E78" s="61">
        <v>3</v>
      </c>
      <c r="F78" s="61">
        <v>6</v>
      </c>
    </row>
    <row r="79" spans="1:6" x14ac:dyDescent="0.25">
      <c r="A79" s="61">
        <v>2</v>
      </c>
      <c r="B79" s="61">
        <v>2</v>
      </c>
      <c r="C79" s="61">
        <v>2</v>
      </c>
      <c r="D79" s="61">
        <v>2.5</v>
      </c>
      <c r="E79" s="61">
        <v>0</v>
      </c>
      <c r="F79" s="61">
        <v>0.5</v>
      </c>
    </row>
    <row r="80" spans="1:6" x14ac:dyDescent="0.25">
      <c r="A80" s="61">
        <v>2</v>
      </c>
      <c r="B80" s="61">
        <v>2</v>
      </c>
      <c r="C80" s="61">
        <v>2</v>
      </c>
      <c r="D80" s="61">
        <v>2</v>
      </c>
      <c r="E80" s="61">
        <v>0.5</v>
      </c>
      <c r="F80" s="61">
        <v>7</v>
      </c>
    </row>
    <row r="81" spans="1:6" x14ac:dyDescent="0.25">
      <c r="A81" s="61">
        <v>2</v>
      </c>
      <c r="B81" s="61">
        <v>2</v>
      </c>
      <c r="C81" s="61">
        <v>2</v>
      </c>
      <c r="D81" s="61">
        <v>4</v>
      </c>
      <c r="E81" s="61">
        <v>3</v>
      </c>
      <c r="F81" s="61">
        <v>7</v>
      </c>
    </row>
    <row r="82" spans="1:6" x14ac:dyDescent="0.25">
      <c r="A82" s="61">
        <v>2</v>
      </c>
      <c r="B82" s="61">
        <v>2</v>
      </c>
      <c r="C82" s="61">
        <v>2</v>
      </c>
      <c r="D82" s="61">
        <v>2</v>
      </c>
      <c r="E82" s="61">
        <v>0</v>
      </c>
      <c r="F82" s="61">
        <v>7</v>
      </c>
    </row>
    <row r="83" spans="1:6" x14ac:dyDescent="0.25">
      <c r="A83" s="61">
        <v>1</v>
      </c>
      <c r="B83" s="61">
        <v>0</v>
      </c>
      <c r="C83" s="61">
        <v>2</v>
      </c>
      <c r="D83" s="61">
        <v>1.5</v>
      </c>
      <c r="E83" s="61">
        <v>2</v>
      </c>
      <c r="F83" s="61">
        <v>3</v>
      </c>
    </row>
    <row r="84" spans="1:6" x14ac:dyDescent="0.25">
      <c r="A84" s="61">
        <v>2</v>
      </c>
      <c r="B84" s="61">
        <v>2</v>
      </c>
      <c r="C84" s="61">
        <v>1</v>
      </c>
      <c r="D84" s="61">
        <v>0.5</v>
      </c>
      <c r="E84" s="61">
        <v>0</v>
      </c>
      <c r="F84" s="61">
        <v>2</v>
      </c>
    </row>
    <row r="85" spans="1:6" x14ac:dyDescent="0.25">
      <c r="A85" s="61">
        <v>2</v>
      </c>
      <c r="B85" s="61">
        <v>0</v>
      </c>
      <c r="C85" s="61">
        <v>1.5</v>
      </c>
      <c r="D85" s="61">
        <v>0</v>
      </c>
      <c r="E85" s="61">
        <v>2</v>
      </c>
      <c r="F85" s="61">
        <v>0</v>
      </c>
    </row>
    <row r="86" spans="1:6" x14ac:dyDescent="0.25">
      <c r="A86" s="61">
        <v>2</v>
      </c>
      <c r="B86" s="61">
        <v>0</v>
      </c>
      <c r="C86" s="61">
        <v>1</v>
      </c>
      <c r="D86" s="61">
        <v>2</v>
      </c>
      <c r="E86" s="61">
        <v>3</v>
      </c>
      <c r="F86" s="61">
        <v>0</v>
      </c>
    </row>
    <row r="87" spans="1:6" x14ac:dyDescent="0.25">
      <c r="A87" s="61">
        <v>2</v>
      </c>
      <c r="B87" s="61">
        <v>0.5</v>
      </c>
      <c r="C87" s="61">
        <v>1.5</v>
      </c>
      <c r="D87" s="61">
        <v>3</v>
      </c>
      <c r="E87" s="61">
        <v>1</v>
      </c>
      <c r="F87" s="61">
        <v>7</v>
      </c>
    </row>
    <row r="88" spans="1:6" x14ac:dyDescent="0.25">
      <c r="A88" s="61">
        <v>0</v>
      </c>
      <c r="B88" s="61">
        <v>0</v>
      </c>
      <c r="C88" s="61">
        <v>0</v>
      </c>
      <c r="D88" s="61">
        <v>0</v>
      </c>
      <c r="E88" s="61">
        <v>0</v>
      </c>
      <c r="F88" s="61">
        <v>0</v>
      </c>
    </row>
    <row r="89" spans="1:6" x14ac:dyDescent="0.25">
      <c r="A89" s="61">
        <v>1</v>
      </c>
      <c r="B89" s="61">
        <v>1</v>
      </c>
      <c r="C89" s="61">
        <v>1.5</v>
      </c>
      <c r="D89" s="61">
        <v>1</v>
      </c>
      <c r="E89" s="61">
        <v>3</v>
      </c>
      <c r="F89" s="61">
        <v>3</v>
      </c>
    </row>
    <row r="90" spans="1:6" x14ac:dyDescent="0.25">
      <c r="A90" s="61">
        <v>2</v>
      </c>
      <c r="B90" s="61">
        <v>2</v>
      </c>
      <c r="C90" s="61">
        <v>1</v>
      </c>
      <c r="D90" s="61">
        <v>2</v>
      </c>
      <c r="E90" s="61">
        <v>0</v>
      </c>
      <c r="F90" s="61">
        <v>6</v>
      </c>
    </row>
    <row r="91" spans="1:6" x14ac:dyDescent="0.25">
      <c r="A91" s="61">
        <v>2</v>
      </c>
      <c r="B91" s="61">
        <v>0.5</v>
      </c>
      <c r="C91" s="61">
        <v>1.5</v>
      </c>
      <c r="D91" s="61">
        <v>2</v>
      </c>
      <c r="E91" s="61">
        <v>1</v>
      </c>
      <c r="F91" s="61">
        <v>5</v>
      </c>
    </row>
    <row r="92" spans="1:6" x14ac:dyDescent="0.25">
      <c r="A92" s="61">
        <v>2</v>
      </c>
      <c r="B92" s="61">
        <v>0.5</v>
      </c>
      <c r="C92" s="61">
        <v>2</v>
      </c>
      <c r="D92" s="61">
        <v>0</v>
      </c>
      <c r="E92" s="61">
        <v>0</v>
      </c>
      <c r="F92" s="61">
        <v>0</v>
      </c>
    </row>
    <row r="93" spans="1:6" x14ac:dyDescent="0.25">
      <c r="A93" s="61">
        <v>1</v>
      </c>
      <c r="B93" s="61">
        <v>2</v>
      </c>
      <c r="C93" s="61">
        <v>1</v>
      </c>
      <c r="D93" s="61">
        <v>2</v>
      </c>
      <c r="E93" s="61">
        <v>0</v>
      </c>
      <c r="F93" s="61">
        <v>7</v>
      </c>
    </row>
    <row r="94" spans="1:6" x14ac:dyDescent="0.25">
      <c r="A94" s="61">
        <v>2</v>
      </c>
      <c r="B94" s="61">
        <v>0</v>
      </c>
      <c r="C94" s="61">
        <v>2</v>
      </c>
      <c r="D94" s="61">
        <v>1.5</v>
      </c>
      <c r="E94" s="61">
        <v>0</v>
      </c>
      <c r="F94" s="61">
        <v>6</v>
      </c>
    </row>
    <row r="95" spans="1:6" x14ac:dyDescent="0.25">
      <c r="A95" s="61">
        <v>2</v>
      </c>
      <c r="B95" s="61">
        <v>2</v>
      </c>
      <c r="C95" s="61">
        <v>2</v>
      </c>
      <c r="D95" s="61">
        <v>4</v>
      </c>
      <c r="E95" s="61">
        <v>0</v>
      </c>
      <c r="F95" s="61">
        <v>6</v>
      </c>
    </row>
    <row r="97" spans="1:4" x14ac:dyDescent="0.25">
      <c r="A97" s="61">
        <v>0</v>
      </c>
      <c r="B97" s="61">
        <v>0</v>
      </c>
      <c r="C97" s="61">
        <v>1</v>
      </c>
      <c r="D97" s="61">
        <v>0</v>
      </c>
    </row>
    <row r="98" spans="1:4" x14ac:dyDescent="0.25">
      <c r="A98" s="61">
        <v>1.5</v>
      </c>
      <c r="B98" s="61">
        <v>2</v>
      </c>
      <c r="C98" s="61">
        <v>1.5</v>
      </c>
      <c r="D98" s="61">
        <v>2</v>
      </c>
    </row>
    <row r="99" spans="1:4" x14ac:dyDescent="0.25">
      <c r="A99" s="61">
        <v>2</v>
      </c>
      <c r="B99" s="61">
        <v>2.5</v>
      </c>
      <c r="C99" s="61">
        <v>2</v>
      </c>
      <c r="D99" s="61">
        <v>0</v>
      </c>
    </row>
    <row r="100" spans="1:4" x14ac:dyDescent="0.25">
      <c r="A100" s="61">
        <v>2</v>
      </c>
      <c r="B100" s="61">
        <v>1.5</v>
      </c>
      <c r="C100" s="61">
        <v>2</v>
      </c>
      <c r="D100" s="61">
        <v>1</v>
      </c>
    </row>
    <row r="101" spans="1:4" x14ac:dyDescent="0.25">
      <c r="A101" s="61">
        <v>1.5</v>
      </c>
      <c r="B101" s="61">
        <v>2</v>
      </c>
      <c r="C101" s="61">
        <v>2</v>
      </c>
      <c r="D101" s="61">
        <v>2</v>
      </c>
    </row>
    <row r="102" spans="1:4" x14ac:dyDescent="0.25">
      <c r="A102" s="61">
        <v>1.5</v>
      </c>
      <c r="B102" s="61">
        <v>3</v>
      </c>
      <c r="C102" s="61">
        <v>1.5</v>
      </c>
      <c r="D102" s="61">
        <v>2</v>
      </c>
    </row>
    <row r="103" spans="1:4" x14ac:dyDescent="0.25">
      <c r="A103" s="61">
        <v>2</v>
      </c>
      <c r="B103" s="61">
        <v>2.5</v>
      </c>
      <c r="C103" s="61">
        <v>2</v>
      </c>
      <c r="D103" s="61">
        <v>3</v>
      </c>
    </row>
    <row r="104" spans="1:4" x14ac:dyDescent="0.25">
      <c r="A104" s="61">
        <v>2</v>
      </c>
      <c r="B104" s="61">
        <v>2</v>
      </c>
      <c r="C104" s="61">
        <v>2</v>
      </c>
      <c r="D104" s="61">
        <v>3</v>
      </c>
    </row>
    <row r="105" spans="1:4" x14ac:dyDescent="0.25">
      <c r="A105" s="61">
        <v>1.5</v>
      </c>
      <c r="B105" s="61">
        <v>3</v>
      </c>
      <c r="C105" s="61">
        <v>1.5</v>
      </c>
      <c r="D105" s="61">
        <v>1</v>
      </c>
    </row>
    <row r="106" spans="1:4" x14ac:dyDescent="0.25">
      <c r="A106" s="61">
        <v>1</v>
      </c>
      <c r="B106" s="61">
        <v>0</v>
      </c>
      <c r="C106" s="61">
        <v>2</v>
      </c>
      <c r="D106" s="61">
        <v>0.5</v>
      </c>
    </row>
    <row r="107" spans="1:4" x14ac:dyDescent="0.25">
      <c r="A107" s="61">
        <v>2</v>
      </c>
      <c r="B107" s="61">
        <v>0</v>
      </c>
      <c r="C107" s="61">
        <v>2</v>
      </c>
      <c r="D107" s="61">
        <v>0</v>
      </c>
    </row>
    <row r="108" spans="1:4" x14ac:dyDescent="0.25">
      <c r="A108" s="61">
        <v>0.5</v>
      </c>
      <c r="B108" s="61">
        <v>0</v>
      </c>
      <c r="C108" s="61">
        <v>2</v>
      </c>
      <c r="D108" s="61">
        <v>0</v>
      </c>
    </row>
    <row r="109" spans="1:4" x14ac:dyDescent="0.25">
      <c r="A109" s="61">
        <v>1.5</v>
      </c>
      <c r="B109" s="61">
        <v>3</v>
      </c>
      <c r="C109" s="61">
        <v>0</v>
      </c>
      <c r="D109" s="61">
        <v>2</v>
      </c>
    </row>
    <row r="110" spans="1:4" x14ac:dyDescent="0.25">
      <c r="A110" s="61">
        <v>2</v>
      </c>
      <c r="B110" s="61">
        <v>2</v>
      </c>
      <c r="C110" s="61">
        <v>1.5</v>
      </c>
      <c r="D110" s="61">
        <v>2</v>
      </c>
    </row>
    <row r="111" spans="1:4" x14ac:dyDescent="0.25">
      <c r="A111" s="61">
        <v>2</v>
      </c>
      <c r="B111" s="61">
        <v>3</v>
      </c>
      <c r="C111" s="61">
        <v>1.5</v>
      </c>
      <c r="D111" s="61">
        <v>3</v>
      </c>
    </row>
    <row r="112" spans="1:4" x14ac:dyDescent="0.25">
      <c r="A112" s="61">
        <v>2</v>
      </c>
      <c r="B112" s="61">
        <v>2.5</v>
      </c>
      <c r="C112" s="61">
        <v>2</v>
      </c>
      <c r="D112" s="61">
        <v>2</v>
      </c>
    </row>
    <row r="113" spans="1:6" x14ac:dyDescent="0.25">
      <c r="A113" s="61">
        <v>2</v>
      </c>
      <c r="B113" s="61">
        <v>3</v>
      </c>
      <c r="C113" s="61">
        <v>1.5</v>
      </c>
      <c r="D113" s="61">
        <v>0</v>
      </c>
    </row>
    <row r="114" spans="1:6" x14ac:dyDescent="0.25">
      <c r="A114" s="61">
        <v>1</v>
      </c>
      <c r="B114" s="61">
        <v>0</v>
      </c>
      <c r="C114" s="61">
        <v>1</v>
      </c>
      <c r="D114" s="61">
        <v>0</v>
      </c>
    </row>
    <row r="115" spans="1:6" x14ac:dyDescent="0.25">
      <c r="A115" s="61">
        <v>2</v>
      </c>
      <c r="B115" s="61">
        <v>0</v>
      </c>
      <c r="C115" s="61">
        <v>2</v>
      </c>
      <c r="D115" s="61">
        <v>0.5</v>
      </c>
    </row>
    <row r="116" spans="1:6" x14ac:dyDescent="0.25">
      <c r="A116" s="61">
        <v>2</v>
      </c>
      <c r="B116" s="61">
        <v>0</v>
      </c>
      <c r="C116" s="61">
        <v>2</v>
      </c>
      <c r="D116" s="61">
        <v>1</v>
      </c>
    </row>
    <row r="117" spans="1:6" x14ac:dyDescent="0.25">
      <c r="A117" s="61">
        <v>2</v>
      </c>
      <c r="B117" s="61">
        <v>3</v>
      </c>
      <c r="C117" s="61">
        <v>2</v>
      </c>
      <c r="D117" s="61">
        <v>1.5</v>
      </c>
    </row>
    <row r="118" spans="1:6" x14ac:dyDescent="0.25">
      <c r="A118" s="61">
        <v>2</v>
      </c>
      <c r="B118" s="61">
        <v>3</v>
      </c>
      <c r="C118" s="61">
        <v>2</v>
      </c>
      <c r="D118" s="61">
        <v>3</v>
      </c>
    </row>
    <row r="119" spans="1:6" x14ac:dyDescent="0.25">
      <c r="A119" s="61">
        <v>2</v>
      </c>
      <c r="B119" s="61">
        <v>1</v>
      </c>
      <c r="C119" s="61">
        <v>1</v>
      </c>
      <c r="D119" s="61">
        <v>1.5</v>
      </c>
    </row>
    <row r="121" spans="1:6" x14ac:dyDescent="0.25">
      <c r="A121" s="61">
        <v>4</v>
      </c>
      <c r="B121" s="61">
        <v>2</v>
      </c>
      <c r="C121" s="61">
        <v>2</v>
      </c>
      <c r="D121" s="61">
        <v>0.5</v>
      </c>
      <c r="E121" s="61">
        <v>0.5</v>
      </c>
      <c r="F121" s="61">
        <v>0.5</v>
      </c>
    </row>
    <row r="122" spans="1:6" x14ac:dyDescent="0.25">
      <c r="A122" s="61">
        <v>4</v>
      </c>
      <c r="B122" s="61">
        <v>0</v>
      </c>
      <c r="C122" s="61">
        <v>2.5</v>
      </c>
      <c r="D122" s="61">
        <v>0.5</v>
      </c>
      <c r="E122" s="61">
        <v>2</v>
      </c>
      <c r="F122" s="61">
        <v>3</v>
      </c>
    </row>
    <row r="123" spans="1:6" x14ac:dyDescent="0.25">
      <c r="A123" s="61">
        <v>4</v>
      </c>
      <c r="B123" s="61">
        <v>2</v>
      </c>
      <c r="C123" s="61">
        <v>3</v>
      </c>
      <c r="D123" s="61">
        <v>2</v>
      </c>
      <c r="E123" s="61">
        <v>3</v>
      </c>
      <c r="F123" s="61">
        <v>1.5</v>
      </c>
    </row>
    <row r="124" spans="1:6" x14ac:dyDescent="0.25">
      <c r="A124" s="61">
        <v>4</v>
      </c>
      <c r="B124" s="61">
        <v>2</v>
      </c>
      <c r="C124" s="61">
        <v>3.5</v>
      </c>
      <c r="D124" s="61">
        <v>0</v>
      </c>
      <c r="E124" s="61">
        <v>4</v>
      </c>
      <c r="F124" s="61">
        <v>2</v>
      </c>
    </row>
    <row r="125" spans="1:6" x14ac:dyDescent="0.25">
      <c r="A125" s="61">
        <v>4</v>
      </c>
      <c r="B125" s="61">
        <v>2</v>
      </c>
      <c r="C125" s="61">
        <v>3</v>
      </c>
      <c r="D125" s="61">
        <v>0</v>
      </c>
      <c r="E125" s="61">
        <v>3</v>
      </c>
      <c r="F125" s="61">
        <v>2.5</v>
      </c>
    </row>
    <row r="126" spans="1:6" x14ac:dyDescent="0.25">
      <c r="A126" s="61">
        <v>4</v>
      </c>
      <c r="B126" s="61">
        <v>3</v>
      </c>
      <c r="C126" s="61">
        <v>4</v>
      </c>
      <c r="D126" s="61">
        <v>2</v>
      </c>
      <c r="E126" s="61">
        <v>4</v>
      </c>
      <c r="F126" s="61">
        <v>3</v>
      </c>
    </row>
    <row r="127" spans="1:6" x14ac:dyDescent="0.25">
      <c r="A127" s="61">
        <v>4</v>
      </c>
      <c r="B127" s="61">
        <v>3</v>
      </c>
      <c r="C127" s="61">
        <v>3.5</v>
      </c>
      <c r="D127" s="61">
        <v>0.5</v>
      </c>
      <c r="E127" s="61">
        <v>4</v>
      </c>
      <c r="F127" s="61">
        <v>1</v>
      </c>
    </row>
    <row r="128" spans="1:6" x14ac:dyDescent="0.25">
      <c r="A128" s="61">
        <v>3.5</v>
      </c>
      <c r="B128" s="61">
        <v>2</v>
      </c>
      <c r="C128" s="61">
        <v>3.5</v>
      </c>
      <c r="D128" s="61">
        <v>2</v>
      </c>
      <c r="E128" s="61">
        <v>2</v>
      </c>
      <c r="F128" s="61">
        <v>3</v>
      </c>
    </row>
    <row r="129" spans="1:6" x14ac:dyDescent="0.25">
      <c r="A129" s="61">
        <v>2</v>
      </c>
      <c r="B129" s="61">
        <v>0</v>
      </c>
      <c r="C129" s="61">
        <v>1</v>
      </c>
      <c r="D129" s="61">
        <v>1</v>
      </c>
      <c r="E129" s="61">
        <v>0</v>
      </c>
      <c r="F129" s="61">
        <v>2</v>
      </c>
    </row>
    <row r="130" spans="1:6" x14ac:dyDescent="0.25">
      <c r="A130" s="61">
        <v>2.5</v>
      </c>
      <c r="B130" s="61">
        <v>1</v>
      </c>
      <c r="C130" s="61">
        <v>3</v>
      </c>
      <c r="D130" s="61">
        <v>2</v>
      </c>
      <c r="E130" s="61">
        <v>0</v>
      </c>
      <c r="F130" s="61">
        <v>0.5</v>
      </c>
    </row>
    <row r="131" spans="1:6" x14ac:dyDescent="0.25">
      <c r="A131" s="61">
        <v>4</v>
      </c>
      <c r="B131" s="61">
        <v>3</v>
      </c>
      <c r="C131" s="61">
        <v>2</v>
      </c>
      <c r="D131" s="61">
        <v>2</v>
      </c>
      <c r="E131" s="61">
        <v>2</v>
      </c>
      <c r="F131" s="61">
        <v>3</v>
      </c>
    </row>
    <row r="132" spans="1:6" x14ac:dyDescent="0.25">
      <c r="A132" s="61">
        <v>4</v>
      </c>
      <c r="B132" s="61">
        <v>2</v>
      </c>
      <c r="C132" s="61">
        <v>3</v>
      </c>
      <c r="D132" s="61">
        <v>2</v>
      </c>
      <c r="E132" s="61">
        <v>2</v>
      </c>
      <c r="F132" s="61">
        <v>3</v>
      </c>
    </row>
    <row r="133" spans="1:6" x14ac:dyDescent="0.25">
      <c r="A133" s="61">
        <v>3</v>
      </c>
      <c r="B133" s="61">
        <v>0</v>
      </c>
      <c r="C133" s="61">
        <v>0</v>
      </c>
      <c r="D133" s="61">
        <v>0</v>
      </c>
      <c r="E133" s="61">
        <v>0</v>
      </c>
      <c r="F133" s="61">
        <v>0</v>
      </c>
    </row>
    <row r="134" spans="1:6" x14ac:dyDescent="0.25">
      <c r="A134" s="61">
        <v>4</v>
      </c>
      <c r="B134" s="61">
        <v>3</v>
      </c>
      <c r="C134" s="61">
        <v>2</v>
      </c>
      <c r="D134" s="61">
        <v>2</v>
      </c>
      <c r="E134" s="61">
        <v>3.5</v>
      </c>
      <c r="F134" s="61">
        <v>2.5</v>
      </c>
    </row>
    <row r="135" spans="1:6" x14ac:dyDescent="0.25">
      <c r="A135" s="61">
        <v>4</v>
      </c>
      <c r="B135" s="61">
        <v>1</v>
      </c>
      <c r="C135" s="61">
        <v>1</v>
      </c>
      <c r="D135" s="61">
        <v>0.5</v>
      </c>
      <c r="E135" s="61">
        <v>0</v>
      </c>
      <c r="F135" s="61">
        <v>1.5</v>
      </c>
    </row>
    <row r="136" spans="1:6" x14ac:dyDescent="0.25">
      <c r="A136" s="61">
        <v>4</v>
      </c>
      <c r="B136" s="61">
        <v>0.5</v>
      </c>
      <c r="C136" s="61">
        <v>1</v>
      </c>
      <c r="D136" s="61">
        <v>0.5</v>
      </c>
      <c r="E136" s="61">
        <v>0</v>
      </c>
      <c r="F136" s="61">
        <v>0.5</v>
      </c>
    </row>
    <row r="137" spans="1:6" x14ac:dyDescent="0.25">
      <c r="A137" s="61">
        <v>2</v>
      </c>
      <c r="B137" s="61">
        <v>0</v>
      </c>
      <c r="C137" s="61">
        <v>1</v>
      </c>
      <c r="D137" s="61">
        <v>1.5</v>
      </c>
      <c r="E137" s="61">
        <v>0</v>
      </c>
      <c r="F137" s="61">
        <v>0</v>
      </c>
    </row>
    <row r="138" spans="1:6" x14ac:dyDescent="0.25">
      <c r="A138" s="61">
        <v>4</v>
      </c>
      <c r="B138" s="61">
        <v>3</v>
      </c>
      <c r="C138" s="61">
        <v>3</v>
      </c>
      <c r="D138" s="61">
        <v>0</v>
      </c>
      <c r="E138" s="61">
        <v>4</v>
      </c>
      <c r="F138" s="61">
        <v>0</v>
      </c>
    </row>
    <row r="139" spans="1:6" x14ac:dyDescent="0.25">
      <c r="A139" s="61">
        <v>4</v>
      </c>
      <c r="B139" s="61">
        <v>1</v>
      </c>
      <c r="C139" s="61">
        <v>3</v>
      </c>
      <c r="D139" s="61">
        <v>2</v>
      </c>
      <c r="E139" s="61">
        <v>3.5</v>
      </c>
      <c r="F139" s="61">
        <v>2</v>
      </c>
    </row>
    <row r="140" spans="1:6" x14ac:dyDescent="0.25">
      <c r="A140" s="61">
        <v>4</v>
      </c>
      <c r="B140" s="61">
        <v>2</v>
      </c>
      <c r="C140" s="61">
        <v>3</v>
      </c>
      <c r="D140" s="61">
        <v>2</v>
      </c>
      <c r="E140" s="61">
        <v>4</v>
      </c>
      <c r="F140" s="61">
        <v>2</v>
      </c>
    </row>
    <row r="141" spans="1:6" x14ac:dyDescent="0.25">
      <c r="A141" s="61">
        <v>4</v>
      </c>
      <c r="B141" s="61">
        <v>3</v>
      </c>
      <c r="C141" s="61">
        <v>4</v>
      </c>
      <c r="D141" s="61">
        <v>2</v>
      </c>
      <c r="E141" s="61">
        <v>3</v>
      </c>
      <c r="F141" s="61">
        <v>3</v>
      </c>
    </row>
    <row r="142" spans="1:6" x14ac:dyDescent="0.25">
      <c r="A142" s="61">
        <v>4</v>
      </c>
      <c r="B142" s="61">
        <v>2</v>
      </c>
      <c r="C142" s="61">
        <v>4</v>
      </c>
      <c r="D142" s="61">
        <v>2</v>
      </c>
      <c r="E142" s="61">
        <v>2.5</v>
      </c>
      <c r="F142" s="61">
        <v>3</v>
      </c>
    </row>
    <row r="143" spans="1:6" x14ac:dyDescent="0.25">
      <c r="A143" s="61">
        <v>4</v>
      </c>
      <c r="B143" s="61">
        <v>0</v>
      </c>
      <c r="C143" s="61">
        <v>2</v>
      </c>
      <c r="D143" s="61">
        <v>0.5</v>
      </c>
      <c r="E143" s="61">
        <v>0</v>
      </c>
      <c r="F143" s="61">
        <v>0</v>
      </c>
    </row>
    <row r="147" spans="1:5" x14ac:dyDescent="0.25">
      <c r="A147" s="61" t="s">
        <v>120</v>
      </c>
      <c r="C147" s="61" t="s">
        <v>120</v>
      </c>
    </row>
    <row r="148" spans="1:5" x14ac:dyDescent="0.25">
      <c r="A148" s="61" t="s">
        <v>120</v>
      </c>
      <c r="D148" s="61" t="s">
        <v>120</v>
      </c>
    </row>
    <row r="149" spans="1:5" x14ac:dyDescent="0.25">
      <c r="D149" s="61" t="s">
        <v>120</v>
      </c>
      <c r="E149" s="61" t="s">
        <v>120</v>
      </c>
    </row>
    <row r="150" spans="1:5" x14ac:dyDescent="0.25">
      <c r="A150" s="61" t="s">
        <v>120</v>
      </c>
      <c r="B150" s="61" t="s">
        <v>120</v>
      </c>
      <c r="C150" s="61" t="s">
        <v>120</v>
      </c>
    </row>
    <row r="151" spans="1:5" x14ac:dyDescent="0.25">
      <c r="A151" s="61" t="s">
        <v>120</v>
      </c>
      <c r="D151" s="61" t="s">
        <v>120</v>
      </c>
    </row>
    <row r="152" spans="1:5" x14ac:dyDescent="0.25">
      <c r="B152" s="61" t="s">
        <v>120</v>
      </c>
      <c r="C152" s="61" t="s">
        <v>120</v>
      </c>
      <c r="D152" s="61" t="s">
        <v>120</v>
      </c>
    </row>
    <row r="153" spans="1:5" x14ac:dyDescent="0.25">
      <c r="B153" s="61" t="s">
        <v>120</v>
      </c>
      <c r="C153" s="61" t="s">
        <v>120</v>
      </c>
      <c r="E153" s="61" t="s">
        <v>120</v>
      </c>
    </row>
    <row r="154" spans="1:5" x14ac:dyDescent="0.25">
      <c r="D154" s="61" t="s">
        <v>120</v>
      </c>
      <c r="E154" s="61" t="s">
        <v>120</v>
      </c>
    </row>
    <row r="155" spans="1:5" x14ac:dyDescent="0.25">
      <c r="A155" s="61" t="s">
        <v>120</v>
      </c>
      <c r="B155" s="61" t="s">
        <v>120</v>
      </c>
      <c r="C155" s="61" t="s">
        <v>120</v>
      </c>
    </row>
    <row r="156" spans="1:5" x14ac:dyDescent="0.25">
      <c r="B156" s="61" t="s">
        <v>120</v>
      </c>
      <c r="C156" s="61" t="s">
        <v>120</v>
      </c>
      <c r="D156" s="61" t="s">
        <v>120</v>
      </c>
    </row>
    <row r="157" spans="1:5" x14ac:dyDescent="0.25">
      <c r="A157" s="61" t="s">
        <v>120</v>
      </c>
      <c r="D157" s="61" t="s">
        <v>120</v>
      </c>
    </row>
    <row r="158" spans="1:5" x14ac:dyDescent="0.25">
      <c r="A158" s="61" t="s">
        <v>120</v>
      </c>
      <c r="D158" s="61" t="s">
        <v>120</v>
      </c>
    </row>
    <row r="159" spans="1:5" x14ac:dyDescent="0.25">
      <c r="A159" s="61" t="s">
        <v>120</v>
      </c>
      <c r="E159" s="61" t="s">
        <v>120</v>
      </c>
    </row>
    <row r="160" spans="1:5" x14ac:dyDescent="0.25">
      <c r="D160" s="61" t="s">
        <v>120</v>
      </c>
      <c r="E160" s="61" t="s">
        <v>120</v>
      </c>
    </row>
    <row r="161" spans="1:5" x14ac:dyDescent="0.25">
      <c r="B161" s="61" t="s">
        <v>120</v>
      </c>
      <c r="C161" s="61" t="s">
        <v>120</v>
      </c>
      <c r="E161" s="61" t="s">
        <v>120</v>
      </c>
    </row>
    <row r="162" spans="1:5" x14ac:dyDescent="0.25">
      <c r="B162" s="61" t="s">
        <v>120</v>
      </c>
      <c r="C162" s="61" t="s">
        <v>120</v>
      </c>
      <c r="D162" s="61" t="s">
        <v>120</v>
      </c>
    </row>
    <row r="163" spans="1:5" x14ac:dyDescent="0.25">
      <c r="A163" s="61" t="s">
        <v>120</v>
      </c>
      <c r="D163" s="61" t="s">
        <v>120</v>
      </c>
    </row>
    <row r="164" spans="1:5" x14ac:dyDescent="0.25">
      <c r="D164" s="61" t="s">
        <v>120</v>
      </c>
      <c r="E164" s="61" t="s">
        <v>120</v>
      </c>
    </row>
    <row r="165" spans="1:5" x14ac:dyDescent="0.25">
      <c r="D165" s="61" t="s">
        <v>120</v>
      </c>
      <c r="E165" s="61" t="s">
        <v>120</v>
      </c>
    </row>
    <row r="166" spans="1:5" x14ac:dyDescent="0.25">
      <c r="A166" s="61" t="s">
        <v>120</v>
      </c>
      <c r="B166" s="61" t="s">
        <v>120</v>
      </c>
      <c r="C166" s="61" t="s">
        <v>120</v>
      </c>
    </row>
    <row r="167" spans="1:5" x14ac:dyDescent="0.25">
      <c r="A167" s="61" t="s">
        <v>120</v>
      </c>
      <c r="B167" s="61" t="s">
        <v>120</v>
      </c>
      <c r="C167" s="61" t="s">
        <v>120</v>
      </c>
    </row>
    <row r="168" spans="1:5" x14ac:dyDescent="0.25">
      <c r="A168" s="61" t="s">
        <v>120</v>
      </c>
      <c r="E168" s="61" t="s">
        <v>120</v>
      </c>
    </row>
    <row r="169" spans="1:5" x14ac:dyDescent="0.25">
      <c r="A169" s="61" t="s">
        <v>120</v>
      </c>
      <c r="D169" s="61" t="s">
        <v>120</v>
      </c>
    </row>
    <row r="173" spans="1:5" x14ac:dyDescent="0.25">
      <c r="A173" s="61">
        <v>4</v>
      </c>
      <c r="B173" s="61">
        <v>1</v>
      </c>
      <c r="C173" s="61">
        <v>3</v>
      </c>
    </row>
    <row r="174" spans="1:5" x14ac:dyDescent="0.25">
      <c r="A174" s="61">
        <v>3</v>
      </c>
      <c r="D174" s="61">
        <v>4</v>
      </c>
    </row>
    <row r="175" spans="1:5" x14ac:dyDescent="0.25">
      <c r="D175" s="61">
        <v>5</v>
      </c>
      <c r="E175" s="61">
        <v>3</v>
      </c>
    </row>
    <row r="176" spans="1:5" x14ac:dyDescent="0.25">
      <c r="A176" s="61">
        <v>1</v>
      </c>
      <c r="B176" s="61">
        <v>2</v>
      </c>
      <c r="C176" s="61">
        <v>3</v>
      </c>
    </row>
    <row r="177" spans="1:5" x14ac:dyDescent="0.25">
      <c r="A177" s="61">
        <v>1</v>
      </c>
      <c r="D177" s="61">
        <v>5</v>
      </c>
    </row>
    <row r="178" spans="1:5" x14ac:dyDescent="0.25">
      <c r="B178" s="61">
        <v>2</v>
      </c>
      <c r="C178" s="61">
        <v>3</v>
      </c>
      <c r="D178" s="61">
        <v>3</v>
      </c>
    </row>
    <row r="179" spans="1:5" x14ac:dyDescent="0.25">
      <c r="B179" s="61">
        <v>1</v>
      </c>
      <c r="C179" s="61">
        <v>2</v>
      </c>
      <c r="E179" s="61">
        <v>4</v>
      </c>
    </row>
    <row r="180" spans="1:5" x14ac:dyDescent="0.25">
      <c r="D180" s="61">
        <v>4</v>
      </c>
      <c r="E180" s="61">
        <v>3</v>
      </c>
    </row>
    <row r="181" spans="1:5" x14ac:dyDescent="0.25">
      <c r="A181" s="61">
        <v>5</v>
      </c>
      <c r="B181" s="61">
        <v>2</v>
      </c>
      <c r="C181" s="61">
        <v>1</v>
      </c>
    </row>
    <row r="182" spans="1:5" x14ac:dyDescent="0.25">
      <c r="B182" s="61">
        <v>1</v>
      </c>
      <c r="C182" s="61">
        <v>2</v>
      </c>
      <c r="D182" s="61">
        <v>5</v>
      </c>
    </row>
    <row r="183" spans="1:5" x14ac:dyDescent="0.25">
      <c r="A183" s="61">
        <v>2</v>
      </c>
      <c r="D183" s="61">
        <v>4</v>
      </c>
    </row>
    <row r="184" spans="1:5" x14ac:dyDescent="0.25">
      <c r="A184" s="61">
        <v>5</v>
      </c>
      <c r="D184" s="61">
        <v>1</v>
      </c>
    </row>
    <row r="185" spans="1:5" x14ac:dyDescent="0.25">
      <c r="A185" s="61">
        <v>3</v>
      </c>
      <c r="E185" s="61">
        <v>5</v>
      </c>
    </row>
    <row r="186" spans="1:5" x14ac:dyDescent="0.25">
      <c r="D186" s="61">
        <v>4</v>
      </c>
      <c r="E186" s="61">
        <v>3</v>
      </c>
    </row>
    <row r="187" spans="1:5" x14ac:dyDescent="0.25">
      <c r="B187" s="61">
        <v>1</v>
      </c>
      <c r="C187" s="61">
        <v>2</v>
      </c>
      <c r="E187" s="61">
        <v>1</v>
      </c>
    </row>
    <row r="188" spans="1:5" x14ac:dyDescent="0.25">
      <c r="B188" s="61">
        <v>1</v>
      </c>
      <c r="C188" s="61">
        <v>2</v>
      </c>
      <c r="D188" s="61">
        <v>5</v>
      </c>
    </row>
    <row r="189" spans="1:5" x14ac:dyDescent="0.25">
      <c r="A189" s="61">
        <v>5</v>
      </c>
      <c r="D189" s="61">
        <v>5</v>
      </c>
    </row>
    <row r="190" spans="1:5" x14ac:dyDescent="0.25">
      <c r="D190" s="61">
        <v>3</v>
      </c>
      <c r="E190" s="61">
        <v>4</v>
      </c>
    </row>
    <row r="191" spans="1:5" x14ac:dyDescent="0.25">
      <c r="D191" s="61">
        <v>5</v>
      </c>
      <c r="E191" s="61">
        <v>3</v>
      </c>
    </row>
    <row r="192" spans="1:5" x14ac:dyDescent="0.25">
      <c r="A192" s="61">
        <v>5</v>
      </c>
      <c r="B192" s="61">
        <v>2</v>
      </c>
      <c r="C192" s="61">
        <v>3</v>
      </c>
    </row>
    <row r="193" spans="1:5" x14ac:dyDescent="0.25">
      <c r="A193" s="61">
        <v>5</v>
      </c>
      <c r="B193" s="61">
        <v>2</v>
      </c>
      <c r="C193" s="61">
        <v>3</v>
      </c>
    </row>
    <row r="194" spans="1:5" x14ac:dyDescent="0.25">
      <c r="A194" s="61">
        <v>2</v>
      </c>
      <c r="E194" s="61">
        <v>5</v>
      </c>
    </row>
    <row r="195" spans="1:5" x14ac:dyDescent="0.25">
      <c r="A195" s="61">
        <v>3</v>
      </c>
      <c r="D195" s="61">
        <v>5</v>
      </c>
    </row>
  </sheetData>
  <sheetProtection sheet="1" objects="1" selectLockedCells="1"/>
  <pageMargins left="0.7" right="0.7" top="0.78740157499999996" bottom="0.78740157499999996" header="0.3" footer="0.3"/>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12</vt:i4>
      </vt:variant>
      <vt:variant>
        <vt:lpstr>Benannte Bereiche</vt:lpstr>
      </vt:variant>
      <vt:variant>
        <vt:i4>7</vt:i4>
      </vt:variant>
    </vt:vector>
  </HeadingPairs>
  <TitlesOfParts>
    <vt:vector size="19" baseType="lpstr">
      <vt:lpstr>Noten</vt:lpstr>
      <vt:lpstr>Analysis A</vt:lpstr>
      <vt:lpstr>Analysis B</vt:lpstr>
      <vt:lpstr>Stochastik A</vt:lpstr>
      <vt:lpstr>Stochastik B</vt:lpstr>
      <vt:lpstr>Geometrie A</vt:lpstr>
      <vt:lpstr>Geometrie B</vt:lpstr>
      <vt:lpstr>Wahlaufgaben</vt:lpstr>
      <vt:lpstr>ConfigW</vt:lpstr>
      <vt:lpstr>Config</vt:lpstr>
      <vt:lpstr>Notenspiegel</vt:lpstr>
      <vt:lpstr>TestData</vt:lpstr>
      <vt:lpstr>'Analysis A'!PupilBlock</vt:lpstr>
      <vt:lpstr>'Analysis B'!PupilBlock</vt:lpstr>
      <vt:lpstr>'Geometrie A'!PupilBlock</vt:lpstr>
      <vt:lpstr>'Geometrie B'!PupilBlock</vt:lpstr>
      <vt:lpstr>'Stochastik A'!PupilBlock</vt:lpstr>
      <vt:lpstr>'Stochastik B'!PupilBlock</vt:lpstr>
      <vt:lpstr>Wahlaufgaben!PupilBlock</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Gesamtnote schr : mündl  = 1:1</dc:title>
  <dc:subject>Berechnung der Note</dc:subject>
  <dc:creator/>
  <cp:lastModifiedBy>Marcel Krausert</cp:lastModifiedBy>
  <cp:lastPrinted>2026-05-05T19:40:01Z</cp:lastPrinted>
  <dcterms:created xsi:type="dcterms:W3CDTF">2006-06-24T21:29:52Z</dcterms:created>
  <dcterms:modified xsi:type="dcterms:W3CDTF">2026-05-05T21:17:03Z</dcterms:modified>
</cp:coreProperties>
</file>