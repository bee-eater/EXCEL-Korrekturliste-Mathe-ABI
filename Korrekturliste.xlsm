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I:\Engineering\VBA\Korrekturliste\"/>
    </mc:Choice>
  </mc:AlternateContent>
  <bookViews>
    <workbookView xWindow="150" yWindow="0" windowWidth="15015" windowHeight="12765"/>
  </bookViews>
  <sheets>
    <sheet name="Config" sheetId="14" r:id="rId1"/>
    <sheet name="Notenspiegel" sheetId="11" r:id="rId2"/>
    <sheet name="TestData" sheetId="1707" state="hidden" r:id="rId3"/>
  </sheets>
  <functionGroups builtInGroupCount="18"/>
  <calcPr calcId="162913" concurrentCalc="0"/>
</workbook>
</file>

<file path=xl/calcChain.xml><?xml version="1.0" encoding="utf-8"?>
<calcChain xmlns="http://schemas.openxmlformats.org/spreadsheetml/2006/main">
  <c r="G21" i="14" l="1"/>
  <c r="I21" i="14"/>
  <c r="K21" i="14"/>
  <c r="M21" i="14"/>
  <c r="O21" i="14"/>
  <c r="Q21" i="14"/>
  <c r="E3" i="11"/>
  <c r="E20" i="11"/>
  <c r="E49" i="11"/>
  <c r="E58" i="11"/>
  <c r="E74" i="11"/>
  <c r="E79" i="11"/>
  <c r="E111" i="11"/>
  <c r="E11" i="11"/>
  <c r="E28" i="11"/>
  <c r="E32" i="11"/>
  <c r="E43" i="11"/>
  <c r="E51" i="11"/>
  <c r="E69" i="11"/>
  <c r="E27" i="11"/>
  <c r="E56" i="11"/>
  <c r="E65" i="11"/>
  <c r="E80" i="11"/>
  <c r="E87" i="11"/>
  <c r="E99" i="11"/>
  <c r="E25" i="11"/>
  <c r="E72" i="11"/>
  <c r="E91" i="11"/>
  <c r="E105" i="11"/>
  <c r="E137" i="11"/>
  <c r="E33" i="11"/>
  <c r="E85" i="11"/>
  <c r="E135" i="11"/>
  <c r="E153" i="11"/>
  <c r="E185" i="11"/>
  <c r="E38" i="11"/>
  <c r="E118" i="11"/>
  <c r="E138" i="11"/>
  <c r="E178" i="11"/>
  <c r="E197" i="11"/>
  <c r="E237" i="11"/>
  <c r="E37" i="11"/>
  <c r="E107" i="11"/>
  <c r="E154" i="11"/>
  <c r="E183" i="11"/>
  <c r="E84" i="11"/>
  <c r="E117" i="11"/>
  <c r="E132" i="11"/>
  <c r="E163" i="11"/>
  <c r="E34" i="11"/>
  <c r="E57" i="11"/>
  <c r="E66" i="11"/>
  <c r="E112" i="11"/>
  <c r="E143" i="11"/>
  <c r="E73" i="11"/>
  <c r="E90" i="11"/>
  <c r="E103" i="11"/>
  <c r="E127" i="11"/>
  <c r="E36" i="11"/>
  <c r="E94" i="11"/>
  <c r="E109" i="11"/>
  <c r="E140" i="11"/>
  <c r="E173" i="11"/>
  <c r="E24" i="11"/>
  <c r="E92" i="11"/>
  <c r="E31" i="11"/>
  <c r="E83" i="11"/>
  <c r="E40" i="11"/>
  <c r="E125" i="11"/>
  <c r="E165" i="11"/>
  <c r="E223" i="11"/>
  <c r="E102" i="11"/>
  <c r="E134" i="11"/>
  <c r="E151" i="11"/>
  <c r="E26" i="11"/>
  <c r="E59" i="11"/>
  <c r="E88" i="11"/>
  <c r="E98" i="11"/>
  <c r="E129" i="11"/>
  <c r="E70" i="11"/>
  <c r="E96" i="11"/>
  <c r="E133" i="11"/>
  <c r="E5" i="11"/>
  <c r="E18" i="11"/>
  <c r="E124" i="11"/>
  <c r="E106" i="11"/>
  <c r="E149" i="11"/>
  <c r="E35" i="11"/>
  <c r="E68" i="11"/>
  <c r="E75" i="11"/>
  <c r="E115" i="11"/>
  <c r="E78" i="11"/>
  <c r="E113" i="11"/>
  <c r="E100" i="11"/>
  <c r="E148" i="11"/>
  <c r="E161" i="11"/>
  <c r="E193" i="11"/>
  <c r="E293" i="11"/>
  <c r="E292" i="11"/>
  <c r="E291" i="11"/>
  <c r="E290" i="11"/>
  <c r="E289" i="11"/>
  <c r="E288" i="11"/>
  <c r="E287" i="11"/>
  <c r="E286" i="11"/>
  <c r="E285" i="11"/>
  <c r="E284" i="11"/>
  <c r="E283" i="11"/>
  <c r="E282" i="11"/>
  <c r="E281" i="11"/>
  <c r="E280" i="11"/>
  <c r="E279" i="11"/>
  <c r="E278" i="11"/>
  <c r="E277" i="11"/>
  <c r="E276" i="11"/>
  <c r="E275" i="11"/>
  <c r="E274" i="11"/>
  <c r="E273" i="11"/>
  <c r="E272" i="11"/>
  <c r="E271" i="11"/>
  <c r="E270" i="11"/>
  <c r="E269" i="11"/>
  <c r="E268" i="11"/>
  <c r="E267" i="11"/>
  <c r="E266" i="11"/>
  <c r="E265" i="11"/>
  <c r="E264" i="11"/>
  <c r="E263" i="11"/>
  <c r="E262" i="11"/>
  <c r="E261" i="11"/>
  <c r="E260" i="11"/>
  <c r="E259" i="11"/>
  <c r="E258" i="11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4" i="11"/>
  <c r="E243" i="11"/>
  <c r="E242" i="11"/>
  <c r="E241" i="11"/>
  <c r="E240" i="11"/>
  <c r="E239" i="11"/>
  <c r="E238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6" i="11"/>
  <c r="E195" i="11"/>
  <c r="E194" i="11"/>
  <c r="E192" i="11"/>
  <c r="E191" i="11"/>
  <c r="E190" i="11"/>
  <c r="E189" i="11"/>
  <c r="E188" i="11"/>
  <c r="E187" i="11"/>
  <c r="E186" i="11"/>
  <c r="E184" i="11"/>
  <c r="E182" i="11"/>
  <c r="E181" i="11"/>
  <c r="E180" i="11"/>
  <c r="E179" i="11"/>
  <c r="E177" i="11"/>
  <c r="E176" i="11"/>
  <c r="E175" i="11"/>
  <c r="E174" i="11"/>
  <c r="E172" i="11"/>
  <c r="E171" i="11"/>
  <c r="E170" i="11"/>
  <c r="E169" i="11"/>
  <c r="E168" i="11"/>
  <c r="E167" i="11"/>
  <c r="E166" i="11"/>
  <c r="E164" i="11"/>
  <c r="E162" i="11"/>
  <c r="E160" i="11"/>
  <c r="E159" i="11"/>
  <c r="E158" i="11"/>
  <c r="E157" i="11"/>
  <c r="E156" i="11"/>
  <c r="E155" i="11"/>
  <c r="E152" i="11"/>
  <c r="E150" i="11"/>
  <c r="E147" i="11"/>
  <c r="E146" i="11"/>
  <c r="E145" i="11"/>
  <c r="E144" i="11"/>
  <c r="E142" i="11"/>
  <c r="E141" i="11"/>
  <c r="E139" i="11"/>
  <c r="E136" i="11"/>
  <c r="E131" i="11"/>
  <c r="E130" i="11"/>
  <c r="E128" i="11"/>
  <c r="E126" i="11"/>
  <c r="E123" i="11"/>
  <c r="E122" i="11"/>
  <c r="E121" i="11"/>
  <c r="E120" i="11"/>
  <c r="E119" i="11"/>
  <c r="E116" i="11"/>
  <c r="E114" i="11"/>
  <c r="E110" i="11"/>
  <c r="E108" i="11"/>
  <c r="E104" i="11"/>
  <c r="E101" i="11"/>
  <c r="E97" i="11"/>
  <c r="E95" i="11"/>
  <c r="E93" i="11"/>
  <c r="E89" i="11"/>
  <c r="E86" i="11"/>
  <c r="E82" i="11"/>
  <c r="E81" i="11"/>
  <c r="E77" i="11"/>
  <c r="E76" i="11"/>
  <c r="E71" i="11"/>
  <c r="E67" i="11"/>
  <c r="E64" i="11"/>
  <c r="E63" i="11"/>
  <c r="E62" i="11"/>
  <c r="E61" i="11"/>
  <c r="E60" i="11"/>
  <c r="E55" i="11"/>
  <c r="E54" i="11"/>
  <c r="E53" i="11"/>
  <c r="E52" i="11"/>
  <c r="E50" i="11"/>
  <c r="E48" i="11"/>
  <c r="E47" i="11"/>
  <c r="E46" i="11"/>
  <c r="E45" i="11"/>
  <c r="E44" i="11"/>
  <c r="E42" i="11"/>
  <c r="E41" i="11"/>
  <c r="E39" i="11"/>
  <c r="E30" i="11"/>
  <c r="E29" i="11"/>
  <c r="E23" i="11"/>
  <c r="E22" i="11"/>
  <c r="E21" i="11"/>
  <c r="E19" i="11"/>
  <c r="E17" i="11"/>
  <c r="E16" i="11"/>
  <c r="E15" i="11"/>
  <c r="E14" i="11"/>
  <c r="E13" i="11"/>
  <c r="E12" i="11"/>
  <c r="E10" i="11"/>
  <c r="E9" i="11"/>
  <c r="E8" i="11"/>
  <c r="E7" i="11"/>
  <c r="E6" i="11"/>
  <c r="P21" i="14"/>
  <c r="N21" i="14"/>
  <c r="H21" i="14"/>
  <c r="J21" i="14"/>
  <c r="L21" i="14"/>
  <c r="C45" i="14"/>
  <c r="F21" i="14"/>
</calcChain>
</file>

<file path=xl/sharedStrings.xml><?xml version="1.0" encoding="utf-8"?>
<sst xmlns="http://schemas.openxmlformats.org/spreadsheetml/2006/main" count="249" uniqueCount="99">
  <si>
    <t>Punkte</t>
  </si>
  <si>
    <t>Note</t>
  </si>
  <si>
    <t>Abitur</t>
  </si>
  <si>
    <t>4 -</t>
  </si>
  <si>
    <t>3 -</t>
  </si>
  <si>
    <t>+ 3</t>
  </si>
  <si>
    <t>+ 4</t>
  </si>
  <si>
    <t>+ 2</t>
  </si>
  <si>
    <t>+ 5</t>
  </si>
  <si>
    <t>1a</t>
  </si>
  <si>
    <t>4a</t>
  </si>
  <si>
    <t>4b</t>
  </si>
  <si>
    <t>5a</t>
  </si>
  <si>
    <t>5b</t>
  </si>
  <si>
    <t>5c</t>
  </si>
  <si>
    <t>2a</t>
  </si>
  <si>
    <t>5 -</t>
  </si>
  <si>
    <t>2 -</t>
  </si>
  <si>
    <t>1 -</t>
  </si>
  <si>
    <t>+ 1</t>
  </si>
  <si>
    <t>Klasse</t>
  </si>
  <si>
    <t>Nachname</t>
  </si>
  <si>
    <t>Vorname</t>
  </si>
  <si>
    <t>Analysis A</t>
  </si>
  <si>
    <t>Analysis B</t>
  </si>
  <si>
    <t>Stochastik A</t>
  </si>
  <si>
    <t>Stochastik B</t>
  </si>
  <si>
    <t>Geometrie A</t>
  </si>
  <si>
    <t>Geometrie B</t>
  </si>
  <si>
    <t>Aufgabe</t>
  </si>
  <si>
    <t>1b</t>
  </si>
  <si>
    <t>2</t>
  </si>
  <si>
    <t>3</t>
  </si>
  <si>
    <t>1</t>
  </si>
  <si>
    <t>Marvin</t>
  </si>
  <si>
    <t>Kurs</t>
  </si>
  <si>
    <t>m2</t>
  </si>
  <si>
    <t>mor</t>
  </si>
  <si>
    <t>Datum</t>
  </si>
  <si>
    <t>1c</t>
  </si>
  <si>
    <t>1d</t>
  </si>
  <si>
    <t>1e</t>
  </si>
  <si>
    <t>1f</t>
  </si>
  <si>
    <t>1g</t>
  </si>
  <si>
    <t>1h</t>
  </si>
  <si>
    <t>2b</t>
  </si>
  <si>
    <t>2c</t>
  </si>
  <si>
    <t>2d</t>
  </si>
  <si>
    <t>Kursltr</t>
  </si>
  <si>
    <t>Notenpkt</t>
  </si>
  <si>
    <t xml:space="preserve">Info: Hier kann der Notenspiegel eingetragen werden. Die folgenden Werte sind in die Spalten einzutragen:
Spalte B: Erreichte Punktzahl (0-x)
Spalte C: Die Notenpunkte (0-15)
Spalte D: Die Schulnote (6-1) 
Die maximale Länge sind 300 Einträge!
Markierung auf der Notenübersicht:
Auf der Notenübersicht werden Schüler hervorgehoben, die einen bzw. zwei Punkteschritte (also 1 bzw. 2 Zeilen) von der nächst besseren oder auch nächst schlechteren Note entfernt sind. Die Farben haben dabei folgende Bedeutung:
</t>
  </si>
  <si>
    <t>Der Schüler ist zwei Schritte von der nächst besseren Note entfernt</t>
  </si>
  <si>
    <t>Der Schüler ist einen Schritt von der nächst besseren Note entfernt</t>
  </si>
  <si>
    <t>Der Schüler ist einen Schritt über der nächst schlechteren Note</t>
  </si>
  <si>
    <t>Der Schüler ist zwei Schritte über der nächst schlechteren Note</t>
  </si>
  <si>
    <t>Simon</t>
  </si>
  <si>
    <t>Lilian</t>
  </si>
  <si>
    <t>Leonie</t>
  </si>
  <si>
    <t>Cedric</t>
  </si>
  <si>
    <t>Annabell</t>
  </si>
  <si>
    <t>Stefanie</t>
  </si>
  <si>
    <t>Damian</t>
  </si>
  <si>
    <t>Meik</t>
  </si>
  <si>
    <t>Tomas</t>
  </si>
  <si>
    <t>Linn</t>
  </si>
  <si>
    <t>Amely</t>
  </si>
  <si>
    <t>Melvin</t>
  </si>
  <si>
    <t>Jean</t>
  </si>
  <si>
    <t>Leonardo</t>
  </si>
  <si>
    <t>Nicholas</t>
  </si>
  <si>
    <t>Vivienne</t>
  </si>
  <si>
    <t>Mads</t>
  </si>
  <si>
    <t>Raphael</t>
  </si>
  <si>
    <t>Emmely</t>
  </si>
  <si>
    <t>Karin</t>
  </si>
  <si>
    <t>Ingo</t>
  </si>
  <si>
    <t>Höfer</t>
  </si>
  <si>
    <t>Töpfer</t>
  </si>
  <si>
    <t>Fleischmann</t>
  </si>
  <si>
    <t>Drescher</t>
  </si>
  <si>
    <t>Baumgarten</t>
  </si>
  <si>
    <t>Traut</t>
  </si>
  <si>
    <t>Menke</t>
  </si>
  <si>
    <t>Carroll</t>
  </si>
  <si>
    <t>Hennings</t>
  </si>
  <si>
    <t>Walters</t>
  </si>
  <si>
    <t>Junker</t>
  </si>
  <si>
    <t>Stephens</t>
  </si>
  <si>
    <t>Cremer</t>
  </si>
  <si>
    <t>Nash</t>
  </si>
  <si>
    <t>Schön</t>
  </si>
  <si>
    <t>Sigl</t>
  </si>
  <si>
    <t>Kainz</t>
  </si>
  <si>
    <t>Hartmann</t>
  </si>
  <si>
    <t>Ullmann</t>
  </si>
  <si>
    <t>Hartl</t>
  </si>
  <si>
    <t>Klotz</t>
  </si>
  <si>
    <t>Ehlers</t>
  </si>
  <si>
    <t>Lindemann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</si>
</sst>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name val="Arial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theme="0" tint="-4.9989318521683403E-2"/>
      <name val="Arial"/>
      <family val="2"/>
    </font>
    <font>
      <sz val="10"/>
      <color theme="0" tint="-0.1499984740745262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DFFBD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 style="medium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4.9989318521683403E-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/>
      <bottom/>
      <diagonal/>
    </border>
    <border>
      <left style="thin">
        <color theme="2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2"/>
      </right>
      <top/>
      <bottom style="medium">
        <color indexed="64"/>
      </bottom>
      <diagonal/>
    </border>
    <border>
      <left style="thin">
        <color theme="2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2"/>
      </right>
      <top/>
      <bottom/>
      <diagonal/>
    </border>
    <border>
      <left/>
      <right style="thin">
        <color theme="2"/>
      </right>
      <top/>
      <bottom style="medium">
        <color indexed="64"/>
      </bottom>
      <diagonal/>
    </border>
    <border>
      <left style="thin">
        <color theme="2"/>
      </left>
      <right style="thin">
        <color theme="0" tint="-0.34998626667073579"/>
      </right>
      <top/>
      <bottom/>
      <diagonal/>
    </border>
    <border>
      <left style="thin">
        <color theme="2"/>
      </left>
      <right style="thin">
        <color theme="0" tint="-0.34998626667073579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thin">
        <color indexed="64"/>
      </bottom>
      <diagonal/>
    </border>
    <border>
      <left/>
      <right style="thin">
        <color theme="0" tint="-0.34998626667073579"/>
      </right>
      <top/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4" borderId="0" xfId="0" applyFill="1"/>
    <xf numFmtId="0" fontId="0" fillId="5" borderId="7" xfId="0" applyFill="1" applyBorder="1"/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2" fillId="4" borderId="0" xfId="0" applyFont="1" applyFill="1"/>
    <xf numFmtId="0" fontId="4" fillId="5" borderId="1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/>
    </xf>
    <xf numFmtId="49" fontId="2" fillId="3" borderId="19" xfId="0" applyNumberFormat="1" applyFont="1" applyFill="1" applyBorder="1" applyAlignment="1" applyProtection="1">
      <alignment horizontal="center"/>
      <protection locked="0"/>
    </xf>
    <xf numFmtId="49" fontId="2" fillId="3" borderId="23" xfId="0" applyNumberFormat="1" applyFont="1" applyFill="1" applyBorder="1" applyAlignment="1" applyProtection="1">
      <alignment horizontal="center"/>
      <protection locked="0"/>
    </xf>
    <xf numFmtId="49" fontId="2" fillId="3" borderId="21" xfId="0" applyNumberFormat="1" applyFont="1" applyFill="1" applyBorder="1" applyAlignment="1" applyProtection="1">
      <alignment horizontal="center"/>
      <protection locked="0"/>
    </xf>
    <xf numFmtId="49" fontId="2" fillId="3" borderId="24" xfId="0" applyNumberFormat="1" applyFont="1" applyFill="1" applyBorder="1" applyAlignment="1" applyProtection="1">
      <alignment horizontal="center"/>
      <protection locked="0"/>
    </xf>
    <xf numFmtId="0" fontId="2" fillId="3" borderId="13" xfId="0" applyFont="1" applyFill="1" applyBorder="1" applyProtection="1">
      <protection locked="0"/>
    </xf>
    <xf numFmtId="0" fontId="2" fillId="3" borderId="14" xfId="0" applyFont="1" applyFill="1" applyBorder="1" applyProtection="1">
      <protection locked="0"/>
    </xf>
    <xf numFmtId="0" fontId="2" fillId="3" borderId="15" xfId="0" applyFont="1" applyFill="1" applyBorder="1" applyProtection="1">
      <protection locked="0"/>
    </xf>
    <xf numFmtId="0" fontId="2" fillId="3" borderId="16" xfId="0" applyFont="1" applyFill="1" applyBorder="1" applyProtection="1">
      <protection locked="0"/>
    </xf>
    <xf numFmtId="0" fontId="2" fillId="3" borderId="17" xfId="0" applyFont="1" applyFill="1" applyBorder="1" applyProtection="1">
      <protection locked="0"/>
    </xf>
    <xf numFmtId="0" fontId="2" fillId="3" borderId="18" xfId="0" applyFont="1" applyFill="1" applyBorder="1" applyProtection="1">
      <protection locked="0"/>
    </xf>
    <xf numFmtId="14" fontId="0" fillId="4" borderId="0" xfId="0" applyNumberFormat="1" applyFill="1"/>
    <xf numFmtId="0" fontId="2" fillId="3" borderId="0" xfId="0" applyFont="1" applyFill="1" applyBorder="1" applyAlignment="1" applyProtection="1">
      <protection locked="0"/>
    </xf>
    <xf numFmtId="0" fontId="2" fillId="3" borderId="27" xfId="0" applyFont="1" applyFill="1" applyBorder="1" applyAlignment="1" applyProtection="1">
      <protection locked="0"/>
    </xf>
    <xf numFmtId="0" fontId="2" fillId="3" borderId="8" xfId="0" applyFont="1" applyFill="1" applyBorder="1" applyAlignment="1" applyProtection="1"/>
    <xf numFmtId="0" fontId="2" fillId="3" borderId="28" xfId="0" applyFont="1" applyFill="1" applyBorder="1" applyAlignment="1" applyProtection="1"/>
    <xf numFmtId="0" fontId="3" fillId="5" borderId="2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Continuous"/>
    </xf>
    <xf numFmtId="0" fontId="4" fillId="5" borderId="30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Continuous"/>
    </xf>
    <xf numFmtId="0" fontId="3" fillId="5" borderId="4" xfId="0" applyFont="1" applyFill="1" applyBorder="1" applyAlignment="1">
      <alignment horizontal="left"/>
    </xf>
    <xf numFmtId="0" fontId="3" fillId="5" borderId="7" xfId="0" applyFont="1" applyFill="1" applyBorder="1" applyAlignment="1">
      <alignment horizontal="left"/>
    </xf>
    <xf numFmtId="0" fontId="3" fillId="5" borderId="29" xfId="0" applyFont="1" applyFill="1" applyBorder="1" applyAlignment="1">
      <alignment horizontal="left"/>
    </xf>
    <xf numFmtId="0" fontId="4" fillId="4" borderId="3" xfId="0" applyNumberFormat="1" applyFont="1" applyFill="1" applyBorder="1" applyAlignment="1">
      <alignment horizontal="center"/>
    </xf>
    <xf numFmtId="1" fontId="4" fillId="4" borderId="2" xfId="0" applyNumberFormat="1" applyFont="1" applyFill="1" applyBorder="1" applyAlignment="1">
      <alignment horizontal="center"/>
    </xf>
    <xf numFmtId="0" fontId="4" fillId="4" borderId="2" xfId="0" applyNumberFormat="1" applyFont="1" applyFill="1" applyBorder="1" applyAlignment="1">
      <alignment horizontal="center"/>
    </xf>
    <xf numFmtId="1" fontId="4" fillId="4" borderId="1" xfId="0" applyNumberFormat="1" applyFont="1" applyFill="1" applyBorder="1" applyAlignment="1">
      <alignment horizontal="center"/>
    </xf>
    <xf numFmtId="0" fontId="2" fillId="3" borderId="0" xfId="0" applyFont="1" applyFill="1" applyBorder="1" applyAlignment="1" applyProtection="1">
      <alignment horizontal="left"/>
      <protection locked="0"/>
    </xf>
    <xf numFmtId="0" fontId="2" fillId="3" borderId="31" xfId="0" applyFont="1" applyFill="1" applyBorder="1" applyAlignment="1">
      <alignment horizontal="left"/>
    </xf>
    <xf numFmtId="0" fontId="2" fillId="3" borderId="7" xfId="0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>
      <alignment horizontal="center"/>
    </xf>
    <xf numFmtId="0" fontId="2" fillId="2" borderId="4" xfId="0" applyFont="1" applyFill="1" applyBorder="1" applyAlignment="1">
      <alignment horizontal="center"/>
    </xf>
    <xf numFmtId="49" fontId="2" fillId="2" borderId="5" xfId="0" applyNumberFormat="1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3" borderId="25" xfId="0" applyNumberFormat="1" applyFont="1" applyFill="1" applyBorder="1" applyAlignment="1" applyProtection="1">
      <alignment horizontal="center"/>
      <protection locked="0"/>
    </xf>
    <xf numFmtId="0" fontId="2" fillId="3" borderId="26" xfId="0" applyNumberFormat="1" applyFont="1" applyFill="1" applyBorder="1" applyAlignment="1" applyProtection="1">
      <alignment horizontal="center"/>
      <protection locked="0"/>
    </xf>
    <xf numFmtId="0" fontId="2" fillId="3" borderId="20" xfId="0" applyNumberFormat="1" applyFont="1" applyFill="1" applyBorder="1" applyAlignment="1" applyProtection="1">
      <alignment horizontal="center"/>
      <protection locked="0"/>
    </xf>
    <xf numFmtId="0" fontId="2" fillId="3" borderId="22" xfId="0" applyNumberFormat="1" applyFont="1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49" fontId="0" fillId="3" borderId="6" xfId="0" applyNumberFormat="1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49" fontId="0" fillId="3" borderId="8" xfId="0" applyNumberFormat="1" applyFill="1" applyBorder="1" applyAlignment="1" applyProtection="1">
      <alignment horizontal="center"/>
      <protection locked="0"/>
    </xf>
    <xf numFmtId="49" fontId="2" fillId="3" borderId="8" xfId="0" applyNumberFormat="1" applyFont="1" applyFill="1" applyBorder="1" applyAlignment="1" applyProtection="1">
      <alignment horizontal="center"/>
      <protection locked="0"/>
    </xf>
    <xf numFmtId="49" fontId="2" fillId="3" borderId="8" xfId="0" quotePrefix="1" applyNumberFormat="1" applyFont="1" applyFill="1" applyBorder="1" applyAlignment="1" applyProtection="1">
      <alignment horizontal="center"/>
      <protection locked="0"/>
    </xf>
    <xf numFmtId="49" fontId="0" fillId="3" borderId="0" xfId="0" applyNumberFormat="1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0" fontId="0" fillId="3" borderId="29" xfId="0" applyFill="1" applyBorder="1" applyAlignment="1" applyProtection="1">
      <alignment horizontal="center"/>
      <protection locked="0"/>
    </xf>
    <xf numFmtId="49" fontId="0" fillId="3" borderId="27" xfId="0" applyNumberFormat="1" applyFill="1" applyBorder="1" applyAlignment="1" applyProtection="1">
      <alignment horizontal="center"/>
      <protection locked="0"/>
    </xf>
    <xf numFmtId="0" fontId="0" fillId="3" borderId="28" xfId="0" applyFill="1" applyBorder="1" applyAlignment="1" applyProtection="1">
      <alignment horizontal="center"/>
      <protection locked="0"/>
    </xf>
    <xf numFmtId="0" fontId="6" fillId="4" borderId="0" xfId="0" applyFont="1" applyFill="1"/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2" fillId="5" borderId="7" xfId="0" applyFont="1" applyFill="1" applyBorder="1" applyAlignment="1">
      <alignment vertical="top" wrapText="1"/>
    </xf>
    <xf numFmtId="0" fontId="2" fillId="5" borderId="0" xfId="0" applyFont="1" applyFill="1" applyBorder="1" applyAlignment="1">
      <alignment vertical="top" wrapText="1"/>
    </xf>
    <xf numFmtId="0" fontId="2" fillId="5" borderId="8" xfId="0" applyFont="1" applyFill="1" applyBorder="1" applyAlignment="1">
      <alignment vertical="top" wrapText="1"/>
    </xf>
    <xf numFmtId="0" fontId="2" fillId="5" borderId="0" xfId="0" applyFont="1" applyFill="1" applyBorder="1" applyAlignment="1">
      <alignment vertical="top"/>
    </xf>
    <xf numFmtId="0" fontId="2" fillId="6" borderId="7" xfId="0" applyFont="1" applyFill="1" applyBorder="1" applyAlignment="1">
      <alignment vertical="top"/>
    </xf>
    <xf numFmtId="0" fontId="2" fillId="5" borderId="8" xfId="0" applyFont="1" applyFill="1" applyBorder="1" applyAlignment="1">
      <alignment vertical="top"/>
    </xf>
    <xf numFmtId="0" fontId="2" fillId="7" borderId="7" xfId="0" applyFont="1" applyFill="1" applyBorder="1" applyAlignment="1">
      <alignment vertical="top"/>
    </xf>
    <xf numFmtId="0" fontId="2" fillId="5" borderId="29" xfId="0" applyFont="1" applyFill="1" applyBorder="1" applyAlignment="1">
      <alignment vertical="top"/>
    </xf>
    <xf numFmtId="0" fontId="2" fillId="5" borderId="27" xfId="0" applyFont="1" applyFill="1" applyBorder="1" applyAlignment="1">
      <alignment vertical="top"/>
    </xf>
    <xf numFmtId="0" fontId="2" fillId="5" borderId="28" xfId="0" applyFont="1" applyFill="1" applyBorder="1" applyAlignment="1">
      <alignment vertical="top"/>
    </xf>
    <xf numFmtId="0" fontId="2" fillId="8" borderId="7" xfId="0" applyFont="1" applyFill="1" applyBorder="1" applyAlignment="1">
      <alignment vertical="top"/>
    </xf>
    <xf numFmtId="0" fontId="2" fillId="9" borderId="7" xfId="0" applyFont="1" applyFill="1" applyBorder="1" applyAlignment="1">
      <alignment vertical="top"/>
    </xf>
    <xf numFmtId="0" fontId="2" fillId="0" borderId="0" xfId="0" applyFont="1" applyFill="1" applyBorder="1" applyAlignment="1">
      <alignment vertical="top"/>
    </xf>
    <xf numFmtId="0" fontId="0" fillId="0" borderId="0" xfId="0" applyFill="1" applyBorder="1" applyAlignment="1">
      <alignment vertical="top" wrapText="1"/>
    </xf>
    <xf numFmtId="0" fontId="0" fillId="0" borderId="0" xfId="0" applyFill="1" applyBorder="1"/>
    <xf numFmtId="0" fontId="0" fillId="0" borderId="0" xfId="0" applyProtection="1"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14" fontId="2" fillId="3" borderId="5" xfId="0" applyNumberFormat="1" applyFont="1" applyFill="1" applyBorder="1" applyAlignment="1" applyProtection="1">
      <alignment horizontal="left"/>
      <protection locked="0"/>
    </xf>
    <xf numFmtId="14" fontId="2" fillId="3" borderId="6" xfId="0" applyNumberFormat="1" applyFont="1" applyFill="1" applyBorder="1" applyAlignment="1" applyProtection="1">
      <alignment horizontal="left"/>
      <protection locked="0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top" wrapText="1"/>
    </xf>
    <xf numFmtId="0" fontId="2" fillId="5" borderId="5" xfId="0" applyFont="1" applyFill="1" applyBorder="1" applyAlignment="1">
      <alignment horizontal="left" vertical="top" wrapText="1"/>
    </xf>
    <xf numFmtId="0" fontId="2" fillId="5" borderId="6" xfId="0" applyFont="1" applyFill="1" applyBorder="1" applyAlignment="1">
      <alignment horizontal="left" vertical="top" wrapText="1"/>
    </xf>
    <xf numFmtId="0" fontId="2" fillId="5" borderId="7" xfId="0" applyFont="1" applyFill="1" applyBorder="1" applyAlignment="1">
      <alignment horizontal="left" vertical="top" wrapText="1"/>
    </xf>
    <xf numFmtId="0" fontId="2" fillId="5" borderId="0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left" vertical="top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0000"/>
      <color rgb="FFFF0097"/>
      <color rgb="FFFF9797"/>
      <color rgb="FFCDFFBD"/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21</xdr:row>
          <xdr:rowOff>66675</xdr:rowOff>
        </xdr:from>
        <xdr:to>
          <xdr:col>8</xdr:col>
          <xdr:colOff>28575</xdr:colOff>
          <xdr:row>25</xdr:row>
          <xdr:rowOff>47625</xdr:rowOff>
        </xdr:to>
        <xdr:sp macro="" textlink="">
          <xdr:nvSpPr>
            <xdr:cNvPr id="10243" name="cmdCreateTables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21</xdr:row>
          <xdr:rowOff>66675</xdr:rowOff>
        </xdr:from>
        <xdr:to>
          <xdr:col>11</xdr:col>
          <xdr:colOff>142875</xdr:colOff>
          <xdr:row>25</xdr:row>
          <xdr:rowOff>47625</xdr:rowOff>
        </xdr:to>
        <xdr:sp macro="" textlink="">
          <xdr:nvSpPr>
            <xdr:cNvPr id="10244" name="cmdCreateResults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228600</xdr:colOff>
          <xdr:row>21</xdr:row>
          <xdr:rowOff>66675</xdr:rowOff>
        </xdr:from>
        <xdr:to>
          <xdr:col>14</xdr:col>
          <xdr:colOff>257175</xdr:colOff>
          <xdr:row>25</xdr:row>
          <xdr:rowOff>47625</xdr:rowOff>
        </xdr:to>
        <xdr:sp macro="" textlink="">
          <xdr:nvSpPr>
            <xdr:cNvPr id="10246" name="cmdClearAll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C000"/>
  </sheetPr>
  <dimension ref="B1:Q45"/>
  <sheetViews>
    <sheetView tabSelected="1" zoomScaleNormal="100" workbookViewId="0">
      <selection activeCell="C5" sqref="C5"/>
    </sheetView>
  </sheetViews>
  <sheetFormatPr baseColWidth="10" defaultRowHeight="12.75" x14ac:dyDescent="0.2"/>
  <cols>
    <col min="1" max="2" width="3.42578125" style="3" customWidth="1"/>
    <col min="3" max="4" width="17.5703125" style="3" customWidth="1"/>
    <col min="5" max="5" width="4.42578125" style="3" customWidth="1"/>
    <col min="6" max="17" width="6.7109375" style="3" customWidth="1"/>
    <col min="18" max="16384" width="11.42578125" style="3"/>
  </cols>
  <sheetData>
    <row r="1" spans="2:17" ht="13.5" thickBot="1" x14ac:dyDescent="0.25"/>
    <row r="2" spans="2:17" ht="12.75" customHeight="1" x14ac:dyDescent="0.2">
      <c r="B2" s="92" t="s">
        <v>20</v>
      </c>
      <c r="C2" s="93"/>
      <c r="D2" s="94"/>
      <c r="F2" s="84" t="s">
        <v>2</v>
      </c>
      <c r="G2" s="85"/>
      <c r="H2" s="85"/>
      <c r="I2" s="85"/>
      <c r="J2" s="85"/>
      <c r="K2" s="85"/>
      <c r="L2" s="85"/>
      <c r="M2" s="85"/>
      <c r="N2" s="85"/>
      <c r="O2" s="85"/>
      <c r="P2" s="85"/>
      <c r="Q2" s="86"/>
    </row>
    <row r="3" spans="2:17" ht="12.75" customHeight="1" x14ac:dyDescent="0.2">
      <c r="B3" s="95"/>
      <c r="C3" s="96"/>
      <c r="D3" s="97"/>
      <c r="F3" s="87"/>
      <c r="G3" s="88"/>
      <c r="H3" s="88"/>
      <c r="I3" s="88"/>
      <c r="J3" s="88"/>
      <c r="K3" s="88"/>
      <c r="L3" s="88"/>
      <c r="M3" s="88"/>
      <c r="N3" s="88"/>
      <c r="O3" s="88"/>
      <c r="P3" s="88"/>
      <c r="Q3" s="89"/>
    </row>
    <row r="4" spans="2:17" x14ac:dyDescent="0.2">
      <c r="B4" s="4"/>
      <c r="C4" s="27" t="s">
        <v>21</v>
      </c>
      <c r="D4" s="28" t="s">
        <v>22</v>
      </c>
      <c r="F4" s="41" t="s">
        <v>23</v>
      </c>
      <c r="G4" s="31"/>
      <c r="H4" s="39" t="s">
        <v>24</v>
      </c>
      <c r="I4" s="31"/>
      <c r="J4" s="39" t="s">
        <v>25</v>
      </c>
      <c r="K4" s="31"/>
      <c r="L4" s="39" t="s">
        <v>26</v>
      </c>
      <c r="M4" s="31"/>
      <c r="N4" s="39" t="s">
        <v>27</v>
      </c>
      <c r="O4" s="40"/>
      <c r="P4" s="39" t="s">
        <v>28</v>
      </c>
      <c r="Q4" s="29"/>
    </row>
    <row r="5" spans="2:17" x14ac:dyDescent="0.2">
      <c r="B5" s="5">
        <v>1</v>
      </c>
      <c r="C5" s="16" t="s">
        <v>76</v>
      </c>
      <c r="D5" s="17" t="s">
        <v>55</v>
      </c>
      <c r="F5" s="8" t="s">
        <v>29</v>
      </c>
      <c r="G5" s="30" t="s">
        <v>0</v>
      </c>
      <c r="H5" s="9" t="s">
        <v>29</v>
      </c>
      <c r="I5" s="30" t="s">
        <v>0</v>
      </c>
      <c r="J5" s="9" t="s">
        <v>29</v>
      </c>
      <c r="K5" s="30" t="s">
        <v>0</v>
      </c>
      <c r="L5" s="9" t="s">
        <v>29</v>
      </c>
      <c r="M5" s="30" t="s">
        <v>0</v>
      </c>
      <c r="N5" s="9" t="s">
        <v>29</v>
      </c>
      <c r="O5" s="30" t="s">
        <v>0</v>
      </c>
      <c r="P5" s="9" t="s">
        <v>29</v>
      </c>
      <c r="Q5" s="10" t="s">
        <v>0</v>
      </c>
    </row>
    <row r="6" spans="2:17" x14ac:dyDescent="0.2">
      <c r="B6" s="5">
        <v>2</v>
      </c>
      <c r="C6" s="18" t="s">
        <v>77</v>
      </c>
      <c r="D6" s="19" t="s">
        <v>56</v>
      </c>
      <c r="F6" s="12" t="s">
        <v>9</v>
      </c>
      <c r="G6" s="48">
        <v>2</v>
      </c>
      <c r="H6" s="13" t="s">
        <v>9</v>
      </c>
      <c r="I6" s="48">
        <v>2</v>
      </c>
      <c r="J6" s="13" t="s">
        <v>33</v>
      </c>
      <c r="K6" s="48">
        <v>5</v>
      </c>
      <c r="L6" s="13" t="s">
        <v>9</v>
      </c>
      <c r="M6" s="48">
        <v>2</v>
      </c>
      <c r="N6" s="13" t="s">
        <v>9</v>
      </c>
      <c r="O6" s="48">
        <v>2</v>
      </c>
      <c r="P6" s="13" t="s">
        <v>9</v>
      </c>
      <c r="Q6" s="50">
        <v>4</v>
      </c>
    </row>
    <row r="7" spans="2:17" x14ac:dyDescent="0.2">
      <c r="B7" s="5">
        <v>3</v>
      </c>
      <c r="C7" s="18" t="s">
        <v>78</v>
      </c>
      <c r="D7" s="19" t="s">
        <v>57</v>
      </c>
      <c r="F7" s="12" t="s">
        <v>30</v>
      </c>
      <c r="G7" s="48">
        <v>2</v>
      </c>
      <c r="H7" s="13" t="s">
        <v>30</v>
      </c>
      <c r="I7" s="48">
        <v>3</v>
      </c>
      <c r="J7" s="13" t="s">
        <v>15</v>
      </c>
      <c r="K7" s="48">
        <v>2</v>
      </c>
      <c r="L7" s="13" t="s">
        <v>30</v>
      </c>
      <c r="M7" s="48">
        <v>2</v>
      </c>
      <c r="N7" s="13" t="s">
        <v>30</v>
      </c>
      <c r="O7" s="48">
        <v>3</v>
      </c>
      <c r="P7" s="13" t="s">
        <v>30</v>
      </c>
      <c r="Q7" s="50">
        <v>3</v>
      </c>
    </row>
    <row r="8" spans="2:17" x14ac:dyDescent="0.2">
      <c r="B8" s="5">
        <v>4</v>
      </c>
      <c r="C8" s="18" t="s">
        <v>79</v>
      </c>
      <c r="D8" s="19" t="s">
        <v>58</v>
      </c>
      <c r="F8" s="12" t="s">
        <v>31</v>
      </c>
      <c r="G8" s="48">
        <v>3</v>
      </c>
      <c r="H8" s="13" t="s">
        <v>39</v>
      </c>
      <c r="I8" s="48">
        <v>4</v>
      </c>
      <c r="J8" s="13" t="s">
        <v>45</v>
      </c>
      <c r="K8" s="48">
        <v>3</v>
      </c>
      <c r="L8" s="13" t="s">
        <v>39</v>
      </c>
      <c r="M8" s="48">
        <v>2</v>
      </c>
      <c r="N8" s="13" t="s">
        <v>15</v>
      </c>
      <c r="O8" s="48">
        <v>2</v>
      </c>
      <c r="P8" s="13" t="s">
        <v>39</v>
      </c>
      <c r="Q8" s="50">
        <v>4</v>
      </c>
    </row>
    <row r="9" spans="2:17" x14ac:dyDescent="0.2">
      <c r="B9" s="5">
        <v>5</v>
      </c>
      <c r="C9" s="18" t="s">
        <v>80</v>
      </c>
      <c r="D9" s="19" t="s">
        <v>59</v>
      </c>
      <c r="F9" s="12" t="s">
        <v>32</v>
      </c>
      <c r="G9" s="48">
        <v>3</v>
      </c>
      <c r="H9" s="13" t="s">
        <v>40</v>
      </c>
      <c r="I9" s="48">
        <v>3</v>
      </c>
      <c r="J9" s="13"/>
      <c r="K9" s="48"/>
      <c r="L9" s="13" t="s">
        <v>40</v>
      </c>
      <c r="M9" s="48">
        <v>4</v>
      </c>
      <c r="N9" s="13" t="s">
        <v>45</v>
      </c>
      <c r="O9" s="48">
        <v>3</v>
      </c>
      <c r="P9" s="13" t="s">
        <v>40</v>
      </c>
      <c r="Q9" s="50">
        <v>2</v>
      </c>
    </row>
    <row r="10" spans="2:17" x14ac:dyDescent="0.2">
      <c r="B10" s="5">
        <v>6</v>
      </c>
      <c r="C10" s="18" t="s">
        <v>81</v>
      </c>
      <c r="D10" s="19" t="s">
        <v>60</v>
      </c>
      <c r="F10" s="12" t="s">
        <v>10</v>
      </c>
      <c r="G10" s="48">
        <v>3</v>
      </c>
      <c r="H10" s="13" t="s">
        <v>41</v>
      </c>
      <c r="I10" s="48">
        <v>3</v>
      </c>
      <c r="J10" s="13"/>
      <c r="K10" s="48"/>
      <c r="L10" s="13" t="s">
        <v>41</v>
      </c>
      <c r="M10" s="48">
        <v>3</v>
      </c>
      <c r="N10" s="13"/>
      <c r="O10" s="48"/>
      <c r="P10" s="13" t="s">
        <v>41</v>
      </c>
      <c r="Q10" s="50">
        <v>4</v>
      </c>
    </row>
    <row r="11" spans="2:17" x14ac:dyDescent="0.2">
      <c r="B11" s="5">
        <v>7</v>
      </c>
      <c r="C11" s="18" t="s">
        <v>82</v>
      </c>
      <c r="D11" s="19" t="s">
        <v>61</v>
      </c>
      <c r="F11" s="12" t="s">
        <v>11</v>
      </c>
      <c r="G11" s="48">
        <v>2</v>
      </c>
      <c r="H11" s="13" t="s">
        <v>42</v>
      </c>
      <c r="I11" s="48">
        <v>4</v>
      </c>
      <c r="J11" s="13"/>
      <c r="K11" s="48"/>
      <c r="L11" s="13" t="s">
        <v>31</v>
      </c>
      <c r="M11" s="48">
        <v>7</v>
      </c>
      <c r="N11" s="13"/>
      <c r="O11" s="48"/>
      <c r="P11" s="13" t="s">
        <v>42</v>
      </c>
      <c r="Q11" s="50">
        <v>3</v>
      </c>
    </row>
    <row r="12" spans="2:17" x14ac:dyDescent="0.2">
      <c r="B12" s="5">
        <v>8</v>
      </c>
      <c r="C12" s="18" t="s">
        <v>83</v>
      </c>
      <c r="D12" s="19" t="s">
        <v>62</v>
      </c>
      <c r="F12" s="12" t="s">
        <v>12</v>
      </c>
      <c r="G12" s="48">
        <v>2</v>
      </c>
      <c r="H12" s="13" t="s">
        <v>43</v>
      </c>
      <c r="I12" s="48">
        <v>3</v>
      </c>
      <c r="J12" s="13"/>
      <c r="K12" s="48"/>
      <c r="L12" s="13"/>
      <c r="M12" s="48"/>
      <c r="N12" s="13"/>
      <c r="O12" s="48"/>
      <c r="P12" s="13"/>
      <c r="Q12" s="50"/>
    </row>
    <row r="13" spans="2:17" x14ac:dyDescent="0.2">
      <c r="B13" s="5">
        <v>9</v>
      </c>
      <c r="C13" s="18" t="s">
        <v>84</v>
      </c>
      <c r="D13" s="19" t="s">
        <v>63</v>
      </c>
      <c r="F13" s="12" t="s">
        <v>13</v>
      </c>
      <c r="G13" s="48">
        <v>1</v>
      </c>
      <c r="H13" s="13" t="s">
        <v>44</v>
      </c>
      <c r="I13" s="48">
        <v>4</v>
      </c>
      <c r="J13" s="13"/>
      <c r="K13" s="48"/>
      <c r="L13" s="13"/>
      <c r="M13" s="48"/>
      <c r="N13" s="13"/>
      <c r="O13" s="48"/>
      <c r="P13" s="13"/>
      <c r="Q13" s="50"/>
    </row>
    <row r="14" spans="2:17" x14ac:dyDescent="0.2">
      <c r="B14" s="5">
        <v>10</v>
      </c>
      <c r="C14" s="18" t="s">
        <v>85</v>
      </c>
      <c r="D14" s="19" t="s">
        <v>64</v>
      </c>
      <c r="F14" s="12" t="s">
        <v>14</v>
      </c>
      <c r="G14" s="48">
        <v>2</v>
      </c>
      <c r="H14" s="13" t="s">
        <v>15</v>
      </c>
      <c r="I14" s="48">
        <v>2</v>
      </c>
      <c r="J14" s="13"/>
      <c r="K14" s="48"/>
      <c r="L14" s="13"/>
      <c r="M14" s="48"/>
      <c r="N14" s="13"/>
      <c r="O14" s="48"/>
      <c r="P14" s="13"/>
      <c r="Q14" s="50"/>
    </row>
    <row r="15" spans="2:17" x14ac:dyDescent="0.2">
      <c r="B15" s="5">
        <v>11</v>
      </c>
      <c r="C15" s="18" t="s">
        <v>86</v>
      </c>
      <c r="D15" s="19" t="s">
        <v>65</v>
      </c>
      <c r="F15" s="12"/>
      <c r="G15" s="48"/>
      <c r="H15" s="13" t="s">
        <v>45</v>
      </c>
      <c r="I15" s="48">
        <v>5</v>
      </c>
      <c r="J15" s="13"/>
      <c r="K15" s="48"/>
      <c r="L15" s="13"/>
      <c r="M15" s="48"/>
      <c r="N15" s="13"/>
      <c r="O15" s="48"/>
      <c r="P15" s="13"/>
      <c r="Q15" s="50"/>
    </row>
    <row r="16" spans="2:17" x14ac:dyDescent="0.2">
      <c r="B16" s="5">
        <v>12</v>
      </c>
      <c r="C16" s="18" t="s">
        <v>87</v>
      </c>
      <c r="D16" s="19" t="s">
        <v>66</v>
      </c>
      <c r="F16" s="12"/>
      <c r="G16" s="48"/>
      <c r="H16" s="13" t="s">
        <v>46</v>
      </c>
      <c r="I16" s="48">
        <v>4</v>
      </c>
      <c r="J16" s="13"/>
      <c r="K16" s="48"/>
      <c r="L16" s="13"/>
      <c r="M16" s="48"/>
      <c r="N16" s="13"/>
      <c r="O16" s="48"/>
      <c r="P16" s="13"/>
      <c r="Q16" s="50"/>
    </row>
    <row r="17" spans="2:17" x14ac:dyDescent="0.2">
      <c r="B17" s="5">
        <v>13</v>
      </c>
      <c r="C17" s="18" t="s">
        <v>88</v>
      </c>
      <c r="D17" s="19" t="s">
        <v>34</v>
      </c>
      <c r="F17" s="12"/>
      <c r="G17" s="48"/>
      <c r="H17" s="13" t="s">
        <v>47</v>
      </c>
      <c r="I17" s="48">
        <v>3</v>
      </c>
      <c r="J17" s="13"/>
      <c r="K17" s="48"/>
      <c r="L17" s="13"/>
      <c r="M17" s="48"/>
      <c r="N17" s="13"/>
      <c r="O17" s="48"/>
      <c r="P17" s="13"/>
      <c r="Q17" s="50"/>
    </row>
    <row r="18" spans="2:17" x14ac:dyDescent="0.2">
      <c r="B18" s="5">
        <v>14</v>
      </c>
      <c r="C18" s="18" t="s">
        <v>89</v>
      </c>
      <c r="D18" s="19" t="s">
        <v>67</v>
      </c>
      <c r="F18" s="12"/>
      <c r="G18" s="48"/>
      <c r="H18" s="13"/>
      <c r="I18" s="48"/>
      <c r="J18" s="13"/>
      <c r="K18" s="48"/>
      <c r="L18" s="13"/>
      <c r="M18" s="48"/>
      <c r="N18" s="13"/>
      <c r="O18" s="48"/>
      <c r="P18" s="13"/>
      <c r="Q18" s="50"/>
    </row>
    <row r="19" spans="2:17" x14ac:dyDescent="0.2">
      <c r="B19" s="5">
        <v>15</v>
      </c>
      <c r="C19" s="18" t="s">
        <v>90</v>
      </c>
      <c r="D19" s="19" t="s">
        <v>68</v>
      </c>
      <c r="F19" s="12"/>
      <c r="G19" s="48"/>
      <c r="H19" s="13"/>
      <c r="I19" s="48"/>
      <c r="J19" s="13"/>
      <c r="K19" s="48"/>
      <c r="L19" s="13"/>
      <c r="M19" s="48"/>
      <c r="N19" s="13"/>
      <c r="O19" s="48"/>
      <c r="P19" s="13"/>
      <c r="Q19" s="50"/>
    </row>
    <row r="20" spans="2:17" ht="13.5" thickBot="1" x14ac:dyDescent="0.25">
      <c r="B20" s="5">
        <v>16</v>
      </c>
      <c r="C20" s="18" t="s">
        <v>91</v>
      </c>
      <c r="D20" s="19" t="s">
        <v>69</v>
      </c>
      <c r="F20" s="14"/>
      <c r="G20" s="49"/>
      <c r="H20" s="15"/>
      <c r="I20" s="49"/>
      <c r="J20" s="15"/>
      <c r="K20" s="49"/>
      <c r="L20" s="15"/>
      <c r="M20" s="49"/>
      <c r="N20" s="15"/>
      <c r="O20" s="49"/>
      <c r="P20" s="15"/>
      <c r="Q20" s="51"/>
    </row>
    <row r="21" spans="2:17" x14ac:dyDescent="0.2">
      <c r="B21" s="5">
        <v>17</v>
      </c>
      <c r="C21" s="18" t="s">
        <v>92</v>
      </c>
      <c r="D21" s="19" t="s">
        <v>70</v>
      </c>
      <c r="F21" s="35">
        <f>COUNTA(F6:F20)</f>
        <v>9</v>
      </c>
      <c r="G21" s="36">
        <f>SUM(G6:G20)</f>
        <v>20</v>
      </c>
      <c r="H21" s="37">
        <f>COUNTA(H6:H20)</f>
        <v>12</v>
      </c>
      <c r="I21" s="36">
        <f>SUM(I6:I20)</f>
        <v>40</v>
      </c>
      <c r="J21" s="37">
        <f>COUNTA(J6:J20)</f>
        <v>3</v>
      </c>
      <c r="K21" s="36">
        <f>SUM(K6:K20)</f>
        <v>10</v>
      </c>
      <c r="L21" s="37">
        <f>COUNTA(L6:L20)</f>
        <v>6</v>
      </c>
      <c r="M21" s="36">
        <f>SUM(M6:M20)</f>
        <v>20</v>
      </c>
      <c r="N21" s="37">
        <f>COUNTA(N6:N20)</f>
        <v>4</v>
      </c>
      <c r="O21" s="36">
        <f>SUM(O6:O20)</f>
        <v>10</v>
      </c>
      <c r="P21" s="37">
        <f>COUNTA(P6:P20)</f>
        <v>6</v>
      </c>
      <c r="Q21" s="38">
        <f>SUM(Q6:Q20)</f>
        <v>20</v>
      </c>
    </row>
    <row r="22" spans="2:17" x14ac:dyDescent="0.2">
      <c r="B22" s="5">
        <v>18</v>
      </c>
      <c r="C22" s="18" t="s">
        <v>93</v>
      </c>
      <c r="D22" s="19" t="s">
        <v>71</v>
      </c>
    </row>
    <row r="23" spans="2:17" x14ac:dyDescent="0.2">
      <c r="B23" s="5">
        <v>19</v>
      </c>
      <c r="C23" s="18" t="s">
        <v>94</v>
      </c>
      <c r="D23" s="19" t="s">
        <v>72</v>
      </c>
    </row>
    <row r="24" spans="2:17" x14ac:dyDescent="0.2">
      <c r="B24" s="5">
        <v>20</v>
      </c>
      <c r="C24" s="18" t="s">
        <v>95</v>
      </c>
      <c r="D24" s="19" t="s">
        <v>73</v>
      </c>
      <c r="M24" s="65"/>
    </row>
    <row r="25" spans="2:17" x14ac:dyDescent="0.2">
      <c r="B25" s="5">
        <v>21</v>
      </c>
      <c r="C25" s="18" t="s">
        <v>96</v>
      </c>
      <c r="D25" s="19" t="s">
        <v>74</v>
      </c>
    </row>
    <row r="26" spans="2:17" ht="13.5" thickBot="1" x14ac:dyDescent="0.25">
      <c r="B26" s="5">
        <v>22</v>
      </c>
      <c r="C26" s="18" t="s">
        <v>97</v>
      </c>
      <c r="D26" s="19" t="s">
        <v>75</v>
      </c>
    </row>
    <row r="27" spans="2:17" x14ac:dyDescent="0.2">
      <c r="B27" s="5">
        <v>23</v>
      </c>
      <c r="C27" s="18" t="s">
        <v>98</v>
      </c>
      <c r="D27" s="19" t="s">
        <v>71</v>
      </c>
      <c r="F27" s="32" t="s">
        <v>38</v>
      </c>
      <c r="G27" s="90">
        <v>42537</v>
      </c>
      <c r="H27" s="91"/>
    </row>
    <row r="28" spans="2:17" x14ac:dyDescent="0.2">
      <c r="B28" s="5">
        <v>24</v>
      </c>
      <c r="C28" s="18"/>
      <c r="D28" s="19"/>
      <c r="F28" s="33" t="s">
        <v>48</v>
      </c>
      <c r="G28" s="23" t="s">
        <v>37</v>
      </c>
      <c r="H28" s="25"/>
      <c r="J28" s="22"/>
    </row>
    <row r="29" spans="2:17" ht="13.5" thickBot="1" x14ac:dyDescent="0.25">
      <c r="B29" s="5">
        <v>25</v>
      </c>
      <c r="C29" s="18"/>
      <c r="D29" s="19"/>
      <c r="F29" s="34" t="s">
        <v>35</v>
      </c>
      <c r="G29" s="24" t="s">
        <v>36</v>
      </c>
      <c r="H29" s="26"/>
    </row>
    <row r="30" spans="2:17" x14ac:dyDescent="0.2">
      <c r="B30" s="5">
        <v>26</v>
      </c>
      <c r="C30" s="18"/>
      <c r="D30" s="19"/>
    </row>
    <row r="31" spans="2:17" x14ac:dyDescent="0.2">
      <c r="B31" s="5">
        <v>27</v>
      </c>
      <c r="C31" s="18"/>
      <c r="D31" s="19"/>
      <c r="Q31" s="7"/>
    </row>
    <row r="32" spans="2:17" x14ac:dyDescent="0.2">
      <c r="B32" s="5">
        <v>28</v>
      </c>
      <c r="C32" s="18"/>
      <c r="D32" s="19"/>
    </row>
    <row r="33" spans="2:4" x14ac:dyDescent="0.2">
      <c r="B33" s="5">
        <v>29</v>
      </c>
      <c r="C33" s="18"/>
      <c r="D33" s="19"/>
    </row>
    <row r="34" spans="2:4" x14ac:dyDescent="0.2">
      <c r="B34" s="5">
        <v>30</v>
      </c>
      <c r="C34" s="18"/>
      <c r="D34" s="19"/>
    </row>
    <row r="35" spans="2:4" x14ac:dyDescent="0.2">
      <c r="B35" s="5">
        <v>31</v>
      </c>
      <c r="C35" s="18"/>
      <c r="D35" s="19"/>
    </row>
    <row r="36" spans="2:4" x14ac:dyDescent="0.2">
      <c r="B36" s="5">
        <v>32</v>
      </c>
      <c r="C36" s="18"/>
      <c r="D36" s="19"/>
    </row>
    <row r="37" spans="2:4" x14ac:dyDescent="0.2">
      <c r="B37" s="5">
        <v>33</v>
      </c>
      <c r="C37" s="18"/>
      <c r="D37" s="19"/>
    </row>
    <row r="38" spans="2:4" x14ac:dyDescent="0.2">
      <c r="B38" s="5">
        <v>34</v>
      </c>
      <c r="C38" s="18"/>
      <c r="D38" s="19"/>
    </row>
    <row r="39" spans="2:4" x14ac:dyDescent="0.2">
      <c r="B39" s="5">
        <v>35</v>
      </c>
      <c r="C39" s="18"/>
      <c r="D39" s="19"/>
    </row>
    <row r="40" spans="2:4" x14ac:dyDescent="0.2">
      <c r="B40" s="5">
        <v>36</v>
      </c>
      <c r="C40" s="18"/>
      <c r="D40" s="19"/>
    </row>
    <row r="41" spans="2:4" x14ac:dyDescent="0.2">
      <c r="B41" s="5">
        <v>37</v>
      </c>
      <c r="C41" s="18"/>
      <c r="D41" s="19"/>
    </row>
    <row r="42" spans="2:4" x14ac:dyDescent="0.2">
      <c r="B42" s="5">
        <v>38</v>
      </c>
      <c r="C42" s="18"/>
      <c r="D42" s="19"/>
    </row>
    <row r="43" spans="2:4" x14ac:dyDescent="0.2">
      <c r="B43" s="5">
        <v>39</v>
      </c>
      <c r="C43" s="18"/>
      <c r="D43" s="19"/>
    </row>
    <row r="44" spans="2:4" ht="13.5" thickBot="1" x14ac:dyDescent="0.25">
      <c r="B44" s="6">
        <v>40</v>
      </c>
      <c r="C44" s="20"/>
      <c r="D44" s="21"/>
    </row>
    <row r="45" spans="2:4" x14ac:dyDescent="0.2">
      <c r="C45" s="11">
        <f>COUNTA(C5:C44)</f>
        <v>23</v>
      </c>
    </row>
  </sheetData>
  <sheetProtection sheet="1" objects="1" scenarios="1" selectLockedCells="1"/>
  <mergeCells count="3">
    <mergeCell ref="F2:Q3"/>
    <mergeCell ref="G27:H27"/>
    <mergeCell ref="B2:D3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cmdCreateResults">
          <controlPr defaultSize="0" autoLine="0" r:id="rId5">
            <anchor>
              <from>
                <xdr:col>8</xdr:col>
                <xdr:colOff>114300</xdr:colOff>
                <xdr:row>21</xdr:row>
                <xdr:rowOff>66675</xdr:rowOff>
              </from>
              <to>
                <xdr:col>11</xdr:col>
                <xdr:colOff>142875</xdr:colOff>
                <xdr:row>25</xdr:row>
                <xdr:rowOff>47625</xdr:rowOff>
              </to>
            </anchor>
          </controlPr>
        </control>
      </mc:Choice>
      <mc:Fallback>
        <control shapeId="10244" r:id="rId4" name="cmdCreateResults"/>
      </mc:Fallback>
    </mc:AlternateContent>
    <mc:AlternateContent xmlns:mc="http://schemas.openxmlformats.org/markup-compatibility/2006">
      <mc:Choice Requires="x14">
        <control shapeId="10243" r:id="rId6" name="cmdCreateTables">
          <controlPr defaultSize="0" autoLine="0" r:id="rId7">
            <anchor>
              <from>
                <xdr:col>5</xdr:col>
                <xdr:colOff>0</xdr:colOff>
                <xdr:row>21</xdr:row>
                <xdr:rowOff>66675</xdr:rowOff>
              </from>
              <to>
                <xdr:col>8</xdr:col>
                <xdr:colOff>28575</xdr:colOff>
                <xdr:row>25</xdr:row>
                <xdr:rowOff>47625</xdr:rowOff>
              </to>
            </anchor>
          </controlPr>
        </control>
      </mc:Choice>
      <mc:Fallback>
        <control shapeId="10243" r:id="rId6" name="cmdCreateTables"/>
      </mc:Fallback>
    </mc:AlternateContent>
    <mc:AlternateContent xmlns:mc="http://schemas.openxmlformats.org/markup-compatibility/2006">
      <mc:Choice Requires="x14">
        <control shapeId="10246" r:id="rId8" name="cmdClearAll">
          <controlPr defaultSize="0" autoLine="0" r:id="rId9">
            <anchor>
              <from>
                <xdr:col>11</xdr:col>
                <xdr:colOff>228600</xdr:colOff>
                <xdr:row>21</xdr:row>
                <xdr:rowOff>66675</xdr:rowOff>
              </from>
              <to>
                <xdr:col>14</xdr:col>
                <xdr:colOff>257175</xdr:colOff>
                <xdr:row>25</xdr:row>
                <xdr:rowOff>47625</xdr:rowOff>
              </to>
            </anchor>
          </controlPr>
        </control>
      </mc:Choice>
      <mc:Fallback>
        <control shapeId="10246" r:id="rId8" name="cmdClear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0"/>
  </sheetPr>
  <dimension ref="B1:O317"/>
  <sheetViews>
    <sheetView workbookViewId="0">
      <selection activeCell="B3" sqref="B3"/>
    </sheetView>
  </sheetViews>
  <sheetFormatPr baseColWidth="10" defaultRowHeight="12.75" x14ac:dyDescent="0.2"/>
  <cols>
    <col min="1" max="1" width="2.85546875" customWidth="1"/>
    <col min="2" max="2" width="9.140625" style="1" customWidth="1"/>
    <col min="3" max="3" width="9.140625" style="2" customWidth="1"/>
    <col min="4" max="4" width="9.140625" style="1" customWidth="1"/>
    <col min="5" max="5" width="3.140625" style="2" hidden="1" customWidth="1"/>
    <col min="6" max="6" width="3.42578125" customWidth="1"/>
    <col min="7" max="8" width="11.42578125" customWidth="1"/>
  </cols>
  <sheetData>
    <row r="1" spans="2:15" ht="13.5" thickBot="1" x14ac:dyDescent="0.25"/>
    <row r="2" spans="2:15" ht="13.5" customHeight="1" thickBot="1" x14ac:dyDescent="0.25">
      <c r="B2" s="43" t="s">
        <v>0</v>
      </c>
      <c r="C2" s="44" t="s">
        <v>49</v>
      </c>
      <c r="D2" s="45" t="s">
        <v>1</v>
      </c>
      <c r="F2" s="46"/>
      <c r="G2" s="98" t="s">
        <v>50</v>
      </c>
      <c r="H2" s="99"/>
      <c r="I2" s="99"/>
      <c r="J2" s="99"/>
      <c r="K2" s="99"/>
      <c r="L2" s="100"/>
    </row>
    <row r="3" spans="2:15" x14ac:dyDescent="0.2">
      <c r="B3" s="52">
        <v>0</v>
      </c>
      <c r="C3" s="53">
        <v>0</v>
      </c>
      <c r="D3" s="54">
        <v>6</v>
      </c>
      <c r="E3" s="42" t="str">
        <f>IF(AND($C3=$C4,$C4&lt;$C5),"+",IF($C3&lt;$C4,"++",""))</f>
        <v/>
      </c>
      <c r="F3" s="46"/>
      <c r="G3" s="101"/>
      <c r="H3" s="102"/>
      <c r="I3" s="102"/>
      <c r="J3" s="102"/>
      <c r="K3" s="102"/>
      <c r="L3" s="103"/>
    </row>
    <row r="4" spans="2:15" x14ac:dyDescent="0.2">
      <c r="B4" s="55">
        <v>0.5</v>
      </c>
      <c r="C4" s="56">
        <v>0</v>
      </c>
      <c r="D4" s="57">
        <v>6</v>
      </c>
      <c r="E4" s="42" t="str">
        <f>IF(AND($C4=$C5,$C5&lt;$C6),"+",IF($C4&lt;$C5,"++",""))</f>
        <v/>
      </c>
      <c r="F4" s="46"/>
      <c r="G4" s="101"/>
      <c r="H4" s="102"/>
      <c r="I4" s="102"/>
      <c r="J4" s="102"/>
      <c r="K4" s="102"/>
      <c r="L4" s="103"/>
    </row>
    <row r="5" spans="2:15" x14ac:dyDescent="0.2">
      <c r="B5" s="55">
        <v>1</v>
      </c>
      <c r="C5" s="56">
        <v>0</v>
      </c>
      <c r="D5" s="57">
        <v>6</v>
      </c>
      <c r="E5" s="42" t="str">
        <f t="shared" ref="E5:E50" si="0">IF(AND($C5=$C6,$C6&lt;$C7),"+",IF($C5&lt;$C6,"++",IF(AND($C5=$C4,$C4&gt;$C3),"-",IF($C5&gt;$C4,"--",""))))</f>
        <v/>
      </c>
      <c r="F5" s="46"/>
      <c r="G5" s="101"/>
      <c r="H5" s="102"/>
      <c r="I5" s="102"/>
      <c r="J5" s="102"/>
      <c r="K5" s="102"/>
      <c r="L5" s="103"/>
    </row>
    <row r="6" spans="2:15" x14ac:dyDescent="0.2">
      <c r="B6" s="55">
        <v>1.5</v>
      </c>
      <c r="C6" s="56">
        <v>0</v>
      </c>
      <c r="D6" s="57">
        <v>6</v>
      </c>
      <c r="E6" s="42" t="str">
        <f t="shared" si="0"/>
        <v/>
      </c>
      <c r="F6" s="46"/>
      <c r="G6" s="101"/>
      <c r="H6" s="102"/>
      <c r="I6" s="102"/>
      <c r="J6" s="102"/>
      <c r="K6" s="102"/>
      <c r="L6" s="103"/>
    </row>
    <row r="7" spans="2:15" x14ac:dyDescent="0.2">
      <c r="B7" s="55">
        <v>2</v>
      </c>
      <c r="C7" s="56">
        <v>0</v>
      </c>
      <c r="D7" s="57">
        <v>6</v>
      </c>
      <c r="E7" s="42" t="str">
        <f t="shared" si="0"/>
        <v/>
      </c>
      <c r="F7" s="46"/>
      <c r="G7" s="101"/>
      <c r="H7" s="102"/>
      <c r="I7" s="102"/>
      <c r="J7" s="102"/>
      <c r="K7" s="102"/>
      <c r="L7" s="103"/>
    </row>
    <row r="8" spans="2:15" ht="12.75" customHeight="1" x14ac:dyDescent="0.2">
      <c r="B8" s="55">
        <v>2.5</v>
      </c>
      <c r="C8" s="56">
        <v>0</v>
      </c>
      <c r="D8" s="57">
        <v>6</v>
      </c>
      <c r="E8" s="42" t="str">
        <f t="shared" si="0"/>
        <v/>
      </c>
      <c r="F8" s="46"/>
      <c r="G8" s="101"/>
      <c r="H8" s="102"/>
      <c r="I8" s="102"/>
      <c r="J8" s="102"/>
      <c r="K8" s="102"/>
      <c r="L8" s="103"/>
      <c r="M8" s="47"/>
      <c r="N8" s="47"/>
      <c r="O8" s="47"/>
    </row>
    <row r="9" spans="2:15" x14ac:dyDescent="0.2">
      <c r="B9" s="55">
        <v>3</v>
      </c>
      <c r="C9" s="56">
        <v>0</v>
      </c>
      <c r="D9" s="57">
        <v>6</v>
      </c>
      <c r="E9" s="42" t="str">
        <f t="shared" si="0"/>
        <v/>
      </c>
      <c r="F9" s="46"/>
      <c r="G9" s="101"/>
      <c r="H9" s="102"/>
      <c r="I9" s="102"/>
      <c r="J9" s="102"/>
      <c r="K9" s="102"/>
      <c r="L9" s="103"/>
      <c r="M9" s="47"/>
      <c r="N9" s="47"/>
      <c r="O9" s="47"/>
    </row>
    <row r="10" spans="2:15" x14ac:dyDescent="0.2">
      <c r="B10" s="55">
        <v>3.5</v>
      </c>
      <c r="C10" s="56">
        <v>0</v>
      </c>
      <c r="D10" s="57">
        <v>6</v>
      </c>
      <c r="E10" s="42" t="str">
        <f t="shared" si="0"/>
        <v/>
      </c>
      <c r="F10" s="46"/>
      <c r="G10" s="101"/>
      <c r="H10" s="102"/>
      <c r="I10" s="102"/>
      <c r="J10" s="102"/>
      <c r="K10" s="102"/>
      <c r="L10" s="103"/>
      <c r="M10" s="47"/>
      <c r="N10" s="47"/>
      <c r="O10" s="47"/>
    </row>
    <row r="11" spans="2:15" x14ac:dyDescent="0.2">
      <c r="B11" s="55">
        <v>4</v>
      </c>
      <c r="C11" s="56">
        <v>0</v>
      </c>
      <c r="D11" s="57">
        <v>6</v>
      </c>
      <c r="E11" s="42" t="str">
        <f t="shared" si="0"/>
        <v/>
      </c>
      <c r="G11" s="101"/>
      <c r="H11" s="102"/>
      <c r="I11" s="102"/>
      <c r="J11" s="102"/>
      <c r="K11" s="102"/>
      <c r="L11" s="103"/>
      <c r="M11" s="47"/>
      <c r="N11" s="47"/>
      <c r="O11" s="47"/>
    </row>
    <row r="12" spans="2:15" x14ac:dyDescent="0.2">
      <c r="B12" s="55">
        <v>4.5</v>
      </c>
      <c r="C12" s="56">
        <v>0</v>
      </c>
      <c r="D12" s="57">
        <v>6</v>
      </c>
      <c r="E12" s="42" t="str">
        <f t="shared" si="0"/>
        <v/>
      </c>
      <c r="F12" s="46"/>
      <c r="G12" s="101"/>
      <c r="H12" s="102"/>
      <c r="I12" s="102"/>
      <c r="J12" s="102"/>
      <c r="K12" s="102"/>
      <c r="L12" s="103"/>
      <c r="M12" s="47"/>
      <c r="N12" s="47"/>
      <c r="O12" s="47"/>
    </row>
    <row r="13" spans="2:15" x14ac:dyDescent="0.2">
      <c r="B13" s="55">
        <v>5</v>
      </c>
      <c r="C13" s="56">
        <v>0</v>
      </c>
      <c r="D13" s="57">
        <v>6</v>
      </c>
      <c r="E13" s="42" t="str">
        <f t="shared" si="0"/>
        <v/>
      </c>
      <c r="F13" s="46"/>
      <c r="G13" s="101"/>
      <c r="H13" s="102"/>
      <c r="I13" s="102"/>
      <c r="J13" s="102"/>
      <c r="K13" s="102"/>
      <c r="L13" s="103"/>
      <c r="M13" s="47"/>
      <c r="N13" s="47"/>
      <c r="O13" s="47"/>
    </row>
    <row r="14" spans="2:15" x14ac:dyDescent="0.2">
      <c r="B14" s="55">
        <v>5.5</v>
      </c>
      <c r="C14" s="56">
        <v>0</v>
      </c>
      <c r="D14" s="57">
        <v>6</v>
      </c>
      <c r="E14" s="42" t="str">
        <f t="shared" si="0"/>
        <v/>
      </c>
      <c r="F14" s="46"/>
      <c r="G14" s="101"/>
      <c r="H14" s="102"/>
      <c r="I14" s="102"/>
      <c r="J14" s="102"/>
      <c r="K14" s="102"/>
      <c r="L14" s="103"/>
      <c r="M14" s="47"/>
      <c r="N14" s="47"/>
      <c r="O14" s="47"/>
    </row>
    <row r="15" spans="2:15" x14ac:dyDescent="0.2">
      <c r="B15" s="55">
        <v>6</v>
      </c>
      <c r="C15" s="56">
        <v>0</v>
      </c>
      <c r="D15" s="57">
        <v>6</v>
      </c>
      <c r="E15" s="42" t="str">
        <f t="shared" si="0"/>
        <v/>
      </c>
      <c r="F15" s="46"/>
      <c r="G15" s="68"/>
      <c r="H15" s="69"/>
      <c r="I15" s="69"/>
      <c r="J15" s="69"/>
      <c r="K15" s="69"/>
      <c r="L15" s="70"/>
      <c r="M15" s="47"/>
      <c r="N15" s="47"/>
      <c r="O15" s="47"/>
    </row>
    <row r="16" spans="2:15" x14ac:dyDescent="0.2">
      <c r="B16" s="55">
        <v>6.5</v>
      </c>
      <c r="C16" s="56">
        <v>0</v>
      </c>
      <c r="D16" s="57">
        <v>6</v>
      </c>
      <c r="E16" s="42" t="str">
        <f t="shared" si="0"/>
        <v/>
      </c>
      <c r="F16" s="46"/>
      <c r="G16" s="78"/>
      <c r="H16" s="71" t="s">
        <v>51</v>
      </c>
      <c r="I16" s="71"/>
      <c r="J16" s="71"/>
      <c r="K16" s="71"/>
      <c r="L16" s="73"/>
      <c r="M16" s="47"/>
      <c r="N16" s="47"/>
      <c r="O16" s="47"/>
    </row>
    <row r="17" spans="2:15" x14ac:dyDescent="0.2">
      <c r="B17" s="55">
        <v>7</v>
      </c>
      <c r="C17" s="56">
        <v>0</v>
      </c>
      <c r="D17" s="57">
        <v>6</v>
      </c>
      <c r="E17" s="42" t="str">
        <f t="shared" si="0"/>
        <v/>
      </c>
      <c r="F17" s="46"/>
      <c r="G17" s="79"/>
      <c r="H17" s="71" t="s">
        <v>52</v>
      </c>
      <c r="I17" s="71"/>
      <c r="J17" s="71"/>
      <c r="K17" s="71"/>
      <c r="L17" s="73"/>
      <c r="M17" s="47"/>
      <c r="N17" s="47"/>
      <c r="O17" s="47"/>
    </row>
    <row r="18" spans="2:15" x14ac:dyDescent="0.2">
      <c r="B18" s="55">
        <v>7.5</v>
      </c>
      <c r="C18" s="56">
        <v>0</v>
      </c>
      <c r="D18" s="57">
        <v>6</v>
      </c>
      <c r="E18" s="42" t="str">
        <f t="shared" si="0"/>
        <v/>
      </c>
      <c r="F18" s="46"/>
      <c r="G18" s="72"/>
      <c r="H18" s="71" t="s">
        <v>53</v>
      </c>
      <c r="I18" s="71"/>
      <c r="J18" s="71"/>
      <c r="K18" s="71"/>
      <c r="L18" s="73"/>
      <c r="M18" s="47"/>
      <c r="N18" s="47"/>
      <c r="O18" s="47"/>
    </row>
    <row r="19" spans="2:15" x14ac:dyDescent="0.2">
      <c r="B19" s="55">
        <v>8</v>
      </c>
      <c r="C19" s="56">
        <v>0</v>
      </c>
      <c r="D19" s="57">
        <v>6</v>
      </c>
      <c r="E19" s="42" t="str">
        <f t="shared" si="0"/>
        <v/>
      </c>
      <c r="F19" s="46"/>
      <c r="G19" s="74"/>
      <c r="H19" s="71" t="s">
        <v>54</v>
      </c>
      <c r="I19" s="71"/>
      <c r="J19" s="71"/>
      <c r="K19" s="71"/>
      <c r="L19" s="73"/>
      <c r="M19" s="47"/>
      <c r="N19" s="47"/>
      <c r="O19" s="47"/>
    </row>
    <row r="20" spans="2:15" ht="13.5" thickBot="1" x14ac:dyDescent="0.25">
      <c r="B20" s="55">
        <v>8.5</v>
      </c>
      <c r="C20" s="56">
        <v>0</v>
      </c>
      <c r="D20" s="57">
        <v>6</v>
      </c>
      <c r="E20" s="42" t="str">
        <f t="shared" si="0"/>
        <v/>
      </c>
      <c r="F20" s="46"/>
      <c r="G20" s="75"/>
      <c r="H20" s="76"/>
      <c r="I20" s="76"/>
      <c r="J20" s="76"/>
      <c r="K20" s="76"/>
      <c r="L20" s="77"/>
      <c r="M20" s="47"/>
      <c r="N20" s="47"/>
      <c r="O20" s="47"/>
    </row>
    <row r="21" spans="2:15" x14ac:dyDescent="0.2">
      <c r="B21" s="55">
        <v>9</v>
      </c>
      <c r="C21" s="56">
        <v>0</v>
      </c>
      <c r="D21" s="57">
        <v>6</v>
      </c>
      <c r="E21" s="42" t="str">
        <f t="shared" si="0"/>
        <v/>
      </c>
      <c r="G21" s="80"/>
      <c r="H21" s="80"/>
      <c r="I21" s="80"/>
      <c r="J21" s="80"/>
      <c r="K21" s="80"/>
      <c r="L21" s="80"/>
      <c r="M21" s="81"/>
      <c r="N21" s="47"/>
      <c r="O21" s="47"/>
    </row>
    <row r="22" spans="2:15" x14ac:dyDescent="0.2">
      <c r="B22" s="55">
        <v>9.5</v>
      </c>
      <c r="C22" s="56">
        <v>0</v>
      </c>
      <c r="D22" s="57">
        <v>6</v>
      </c>
      <c r="E22" s="42" t="str">
        <f t="shared" si="0"/>
        <v/>
      </c>
      <c r="G22" s="80"/>
      <c r="H22" s="80"/>
      <c r="I22" s="80"/>
      <c r="J22" s="80"/>
      <c r="K22" s="80"/>
      <c r="L22" s="80"/>
      <c r="M22" s="82"/>
    </row>
    <row r="23" spans="2:15" x14ac:dyDescent="0.2">
      <c r="B23" s="55">
        <v>10</v>
      </c>
      <c r="C23" s="56">
        <v>0</v>
      </c>
      <c r="D23" s="57">
        <v>6</v>
      </c>
      <c r="E23" s="42" t="str">
        <f t="shared" si="0"/>
        <v/>
      </c>
      <c r="G23" s="80"/>
      <c r="H23" s="80"/>
      <c r="I23" s="80"/>
      <c r="J23" s="80"/>
      <c r="K23" s="80"/>
      <c r="L23" s="80"/>
      <c r="M23" s="82"/>
    </row>
    <row r="24" spans="2:15" x14ac:dyDescent="0.2">
      <c r="B24" s="55">
        <v>10.5</v>
      </c>
      <c r="C24" s="56">
        <v>0</v>
      </c>
      <c r="D24" s="57">
        <v>6</v>
      </c>
      <c r="E24" s="42" t="str">
        <f t="shared" si="0"/>
        <v/>
      </c>
      <c r="G24" s="80"/>
      <c r="H24" s="80"/>
      <c r="I24" s="80"/>
      <c r="J24" s="80"/>
      <c r="K24" s="80"/>
      <c r="L24" s="80"/>
      <c r="M24" s="82"/>
    </row>
    <row r="25" spans="2:15" x14ac:dyDescent="0.2">
      <c r="B25" s="55">
        <v>11</v>
      </c>
      <c r="C25" s="56">
        <v>0</v>
      </c>
      <c r="D25" s="57">
        <v>6</v>
      </c>
      <c r="E25" s="42" t="str">
        <f t="shared" si="0"/>
        <v/>
      </c>
      <c r="G25" s="82"/>
      <c r="H25" s="82"/>
      <c r="I25" s="82"/>
      <c r="J25" s="82"/>
      <c r="K25" s="82"/>
      <c r="L25" s="82"/>
      <c r="M25" s="82"/>
    </row>
    <row r="26" spans="2:15" x14ac:dyDescent="0.2">
      <c r="B26" s="55">
        <v>11.5</v>
      </c>
      <c r="C26" s="56">
        <v>0</v>
      </c>
      <c r="D26" s="57">
        <v>6</v>
      </c>
      <c r="E26" s="42" t="str">
        <f t="shared" si="0"/>
        <v/>
      </c>
      <c r="G26" s="46"/>
      <c r="H26" s="46"/>
      <c r="I26" s="46"/>
      <c r="J26" s="46"/>
      <c r="K26" s="46"/>
      <c r="L26" s="46"/>
    </row>
    <row r="27" spans="2:15" x14ac:dyDescent="0.2">
      <c r="B27" s="55">
        <v>12</v>
      </c>
      <c r="C27" s="56">
        <v>0</v>
      </c>
      <c r="D27" s="57">
        <v>6</v>
      </c>
      <c r="E27" s="42" t="str">
        <f t="shared" si="0"/>
        <v/>
      </c>
      <c r="G27" s="46"/>
      <c r="H27" s="46"/>
      <c r="I27" s="46"/>
      <c r="J27" s="46"/>
      <c r="K27" s="46"/>
      <c r="L27" s="46"/>
    </row>
    <row r="28" spans="2:15" x14ac:dyDescent="0.2">
      <c r="B28" s="55">
        <v>12.5</v>
      </c>
      <c r="C28" s="56">
        <v>0</v>
      </c>
      <c r="D28" s="57">
        <v>6</v>
      </c>
      <c r="E28" s="42" t="str">
        <f t="shared" si="0"/>
        <v/>
      </c>
      <c r="G28" s="46"/>
      <c r="H28" s="46"/>
      <c r="I28" s="46"/>
      <c r="J28" s="46"/>
      <c r="K28" s="46"/>
      <c r="L28" s="46"/>
    </row>
    <row r="29" spans="2:15" x14ac:dyDescent="0.2">
      <c r="B29" s="55">
        <v>13</v>
      </c>
      <c r="C29" s="56">
        <v>0</v>
      </c>
      <c r="D29" s="57">
        <v>6</v>
      </c>
      <c r="E29" s="42" t="str">
        <f t="shared" si="0"/>
        <v/>
      </c>
      <c r="G29" s="46"/>
      <c r="H29" s="46"/>
      <c r="I29" s="46"/>
      <c r="J29" s="46"/>
      <c r="K29" s="46"/>
      <c r="L29" s="46"/>
    </row>
    <row r="30" spans="2:15" x14ac:dyDescent="0.2">
      <c r="B30" s="55">
        <v>13.5</v>
      </c>
      <c r="C30" s="56">
        <v>0</v>
      </c>
      <c r="D30" s="57">
        <v>6</v>
      </c>
      <c r="E30" s="42" t="str">
        <f t="shared" si="0"/>
        <v/>
      </c>
      <c r="G30" s="46"/>
      <c r="H30" s="46"/>
      <c r="I30" s="46"/>
      <c r="J30" s="46"/>
      <c r="K30" s="46"/>
      <c r="L30" s="46"/>
    </row>
    <row r="31" spans="2:15" x14ac:dyDescent="0.2">
      <c r="B31" s="55">
        <v>14</v>
      </c>
      <c r="C31" s="56">
        <v>0</v>
      </c>
      <c r="D31" s="57">
        <v>6</v>
      </c>
      <c r="E31" s="42" t="str">
        <f t="shared" si="0"/>
        <v/>
      </c>
      <c r="G31" s="46"/>
      <c r="H31" s="46"/>
      <c r="I31" s="46"/>
      <c r="J31" s="46"/>
      <c r="K31" s="46"/>
      <c r="L31" s="46"/>
    </row>
    <row r="32" spans="2:15" x14ac:dyDescent="0.2">
      <c r="B32" s="55">
        <v>14.5</v>
      </c>
      <c r="C32" s="56">
        <v>0</v>
      </c>
      <c r="D32" s="57">
        <v>6</v>
      </c>
      <c r="E32" s="42" t="str">
        <f t="shared" si="0"/>
        <v/>
      </c>
      <c r="G32" s="46"/>
      <c r="H32" s="46"/>
      <c r="I32" s="46"/>
      <c r="J32" s="46"/>
      <c r="K32" s="46"/>
      <c r="L32" s="46"/>
    </row>
    <row r="33" spans="2:12" x14ac:dyDescent="0.2">
      <c r="B33" s="55">
        <v>15</v>
      </c>
      <c r="C33" s="56">
        <v>0</v>
      </c>
      <c r="D33" s="57">
        <v>6</v>
      </c>
      <c r="E33" s="42" t="str">
        <f t="shared" si="0"/>
        <v/>
      </c>
      <c r="G33" s="46"/>
      <c r="H33" s="46"/>
      <c r="I33" s="46"/>
      <c r="J33" s="46"/>
      <c r="K33" s="46"/>
      <c r="L33" s="46"/>
    </row>
    <row r="34" spans="2:12" x14ac:dyDescent="0.2">
      <c r="B34" s="55">
        <v>15.5</v>
      </c>
      <c r="C34" s="56">
        <v>0</v>
      </c>
      <c r="D34" s="57">
        <v>6</v>
      </c>
      <c r="E34" s="42" t="str">
        <f t="shared" si="0"/>
        <v/>
      </c>
      <c r="G34" s="46"/>
      <c r="H34" s="46"/>
      <c r="I34" s="46"/>
      <c r="J34" s="46"/>
      <c r="K34" s="46"/>
      <c r="L34" s="46"/>
    </row>
    <row r="35" spans="2:12" x14ac:dyDescent="0.2">
      <c r="B35" s="55">
        <v>16</v>
      </c>
      <c r="C35" s="56">
        <v>0</v>
      </c>
      <c r="D35" s="57">
        <v>6</v>
      </c>
      <c r="E35" s="42" t="str">
        <f t="shared" si="0"/>
        <v/>
      </c>
    </row>
    <row r="36" spans="2:12" x14ac:dyDescent="0.2">
      <c r="B36" s="55">
        <v>16.5</v>
      </c>
      <c r="C36" s="56">
        <v>0</v>
      </c>
      <c r="D36" s="57">
        <v>6</v>
      </c>
      <c r="E36" s="42" t="str">
        <f t="shared" si="0"/>
        <v/>
      </c>
    </row>
    <row r="37" spans="2:12" x14ac:dyDescent="0.2">
      <c r="B37" s="55">
        <v>17</v>
      </c>
      <c r="C37" s="56">
        <v>0</v>
      </c>
      <c r="D37" s="57">
        <v>6</v>
      </c>
      <c r="E37" s="42" t="str">
        <f t="shared" si="0"/>
        <v/>
      </c>
    </row>
    <row r="38" spans="2:12" x14ac:dyDescent="0.2">
      <c r="B38" s="55">
        <v>17.5</v>
      </c>
      <c r="C38" s="56">
        <v>0</v>
      </c>
      <c r="D38" s="57">
        <v>6</v>
      </c>
      <c r="E38" s="42" t="str">
        <f t="shared" si="0"/>
        <v/>
      </c>
    </row>
    <row r="39" spans="2:12" x14ac:dyDescent="0.2">
      <c r="B39" s="55">
        <v>18</v>
      </c>
      <c r="C39" s="56">
        <v>0</v>
      </c>
      <c r="D39" s="57">
        <v>6</v>
      </c>
      <c r="E39" s="42" t="str">
        <f t="shared" si="0"/>
        <v/>
      </c>
    </row>
    <row r="40" spans="2:12" x14ac:dyDescent="0.2">
      <c r="B40" s="55">
        <v>18.5</v>
      </c>
      <c r="C40" s="56">
        <v>0</v>
      </c>
      <c r="D40" s="57">
        <v>6</v>
      </c>
      <c r="E40" s="42" t="str">
        <f t="shared" si="0"/>
        <v/>
      </c>
    </row>
    <row r="41" spans="2:12" x14ac:dyDescent="0.2">
      <c r="B41" s="55">
        <v>19</v>
      </c>
      <c r="C41" s="56">
        <v>0</v>
      </c>
      <c r="D41" s="57">
        <v>6</v>
      </c>
      <c r="E41" s="42" t="str">
        <f t="shared" si="0"/>
        <v/>
      </c>
    </row>
    <row r="42" spans="2:12" x14ac:dyDescent="0.2">
      <c r="B42" s="55">
        <v>19.5</v>
      </c>
      <c r="C42" s="56">
        <v>0</v>
      </c>
      <c r="D42" s="57">
        <v>6</v>
      </c>
      <c r="E42" s="42" t="str">
        <f t="shared" si="0"/>
        <v/>
      </c>
    </row>
    <row r="43" spans="2:12" x14ac:dyDescent="0.2">
      <c r="B43" s="55">
        <v>20</v>
      </c>
      <c r="C43" s="56">
        <v>0</v>
      </c>
      <c r="D43" s="57">
        <v>6</v>
      </c>
      <c r="E43" s="42" t="str">
        <f t="shared" si="0"/>
        <v/>
      </c>
    </row>
    <row r="44" spans="2:12" x14ac:dyDescent="0.2">
      <c r="B44" s="55">
        <v>20.5</v>
      </c>
      <c r="C44" s="56">
        <v>0</v>
      </c>
      <c r="D44" s="57">
        <v>6</v>
      </c>
      <c r="E44" s="42" t="str">
        <f t="shared" si="0"/>
        <v/>
      </c>
    </row>
    <row r="45" spans="2:12" x14ac:dyDescent="0.2">
      <c r="B45" s="55">
        <v>21</v>
      </c>
      <c r="C45" s="56">
        <v>0</v>
      </c>
      <c r="D45" s="57">
        <v>6</v>
      </c>
      <c r="E45" s="42" t="str">
        <f t="shared" si="0"/>
        <v/>
      </c>
    </row>
    <row r="46" spans="2:12" x14ac:dyDescent="0.2">
      <c r="B46" s="55">
        <v>21.5</v>
      </c>
      <c r="C46" s="56">
        <v>0</v>
      </c>
      <c r="D46" s="57">
        <v>6</v>
      </c>
      <c r="E46" s="42" t="str">
        <f t="shared" si="0"/>
        <v/>
      </c>
    </row>
    <row r="47" spans="2:12" x14ac:dyDescent="0.2">
      <c r="B47" s="55">
        <v>22</v>
      </c>
      <c r="C47" s="56">
        <v>0</v>
      </c>
      <c r="D47" s="57">
        <v>6</v>
      </c>
      <c r="E47" s="42" t="str">
        <f t="shared" si="0"/>
        <v/>
      </c>
    </row>
    <row r="48" spans="2:12" x14ac:dyDescent="0.2">
      <c r="B48" s="55">
        <v>22.5</v>
      </c>
      <c r="C48" s="56">
        <v>0</v>
      </c>
      <c r="D48" s="57">
        <v>6</v>
      </c>
      <c r="E48" s="42" t="str">
        <f t="shared" si="0"/>
        <v/>
      </c>
    </row>
    <row r="49" spans="2:5" x14ac:dyDescent="0.2">
      <c r="B49" s="55">
        <v>23</v>
      </c>
      <c r="C49" s="56">
        <v>0</v>
      </c>
      <c r="D49" s="57">
        <v>6</v>
      </c>
      <c r="E49" s="42" t="str">
        <f t="shared" si="0"/>
        <v/>
      </c>
    </row>
    <row r="50" spans="2:5" x14ac:dyDescent="0.2">
      <c r="B50" s="55">
        <v>23.5</v>
      </c>
      <c r="C50" s="56">
        <v>0</v>
      </c>
      <c r="D50" s="57">
        <v>6</v>
      </c>
      <c r="E50" s="42" t="str">
        <f t="shared" si="0"/>
        <v/>
      </c>
    </row>
    <row r="51" spans="2:5" x14ac:dyDescent="0.2">
      <c r="B51" s="55">
        <v>24</v>
      </c>
      <c r="C51" s="56">
        <v>0</v>
      </c>
      <c r="D51" s="57">
        <v>6</v>
      </c>
      <c r="E51" s="42" t="str">
        <f>IF(AND($C51=$C52,$C52&lt;$C53),"+",IF($C51&lt;$C52,"++",IF(AND($C51=$C50,$C50&gt;$C49),"-",IF($C51&gt;$C50,"--",""))))</f>
        <v>+</v>
      </c>
    </row>
    <row r="52" spans="2:5" x14ac:dyDescent="0.2">
      <c r="B52" s="55">
        <v>24.5</v>
      </c>
      <c r="C52" s="56">
        <v>0</v>
      </c>
      <c r="D52" s="57">
        <v>6</v>
      </c>
      <c r="E52" s="42" t="str">
        <f t="shared" ref="E52:E115" si="1">IF(AND($C52=$C53,$C53&lt;$C54),"+",IF($C52&lt;$C53,"++",IF(AND($C52=$C51,$C51&gt;$C50),"-",IF($C52&gt;$C51,"--",""))))</f>
        <v>++</v>
      </c>
    </row>
    <row r="53" spans="2:5" x14ac:dyDescent="0.2">
      <c r="B53" s="55">
        <v>25</v>
      </c>
      <c r="C53" s="56">
        <v>1</v>
      </c>
      <c r="D53" s="58" t="s">
        <v>16</v>
      </c>
      <c r="E53" s="42" t="str">
        <f t="shared" si="1"/>
        <v>--</v>
      </c>
    </row>
    <row r="54" spans="2:5" x14ac:dyDescent="0.2">
      <c r="B54" s="55">
        <v>25.5</v>
      </c>
      <c r="C54" s="56">
        <v>1</v>
      </c>
      <c r="D54" s="58" t="s">
        <v>16</v>
      </c>
      <c r="E54" s="42" t="str">
        <f t="shared" si="1"/>
        <v>-</v>
      </c>
    </row>
    <row r="55" spans="2:5" x14ac:dyDescent="0.2">
      <c r="B55" s="55">
        <v>26</v>
      </c>
      <c r="C55" s="56">
        <v>1</v>
      </c>
      <c r="D55" s="58" t="s">
        <v>16</v>
      </c>
      <c r="E55" s="42" t="str">
        <f t="shared" si="1"/>
        <v/>
      </c>
    </row>
    <row r="56" spans="2:5" x14ac:dyDescent="0.2">
      <c r="B56" s="55">
        <v>26.5</v>
      </c>
      <c r="C56" s="56">
        <v>1</v>
      </c>
      <c r="D56" s="58" t="s">
        <v>16</v>
      </c>
      <c r="E56" s="42" t="str">
        <f t="shared" si="1"/>
        <v/>
      </c>
    </row>
    <row r="57" spans="2:5" x14ac:dyDescent="0.2">
      <c r="B57" s="55">
        <v>27</v>
      </c>
      <c r="C57" s="56">
        <v>1</v>
      </c>
      <c r="D57" s="58" t="s">
        <v>16</v>
      </c>
      <c r="E57" s="42" t="str">
        <f t="shared" si="1"/>
        <v/>
      </c>
    </row>
    <row r="58" spans="2:5" x14ac:dyDescent="0.2">
      <c r="B58" s="55">
        <v>27.5</v>
      </c>
      <c r="C58" s="56">
        <v>1</v>
      </c>
      <c r="D58" s="58" t="s">
        <v>16</v>
      </c>
      <c r="E58" s="42" t="str">
        <f t="shared" si="1"/>
        <v/>
      </c>
    </row>
    <row r="59" spans="2:5" x14ac:dyDescent="0.2">
      <c r="B59" s="55">
        <v>28</v>
      </c>
      <c r="C59" s="56">
        <v>1</v>
      </c>
      <c r="D59" s="58" t="s">
        <v>16</v>
      </c>
      <c r="E59" s="42" t="str">
        <f t="shared" si="1"/>
        <v/>
      </c>
    </row>
    <row r="60" spans="2:5" x14ac:dyDescent="0.2">
      <c r="B60" s="55">
        <v>28.5</v>
      </c>
      <c r="C60" s="56">
        <v>1</v>
      </c>
      <c r="D60" s="58" t="s">
        <v>16</v>
      </c>
      <c r="E60" s="42" t="str">
        <f t="shared" si="1"/>
        <v/>
      </c>
    </row>
    <row r="61" spans="2:5" x14ac:dyDescent="0.2">
      <c r="B61" s="55">
        <v>29</v>
      </c>
      <c r="C61" s="56">
        <v>1</v>
      </c>
      <c r="D61" s="58" t="s">
        <v>16</v>
      </c>
      <c r="E61" s="42" t="str">
        <f t="shared" si="1"/>
        <v/>
      </c>
    </row>
    <row r="62" spans="2:5" x14ac:dyDescent="0.2">
      <c r="B62" s="55">
        <v>29.5</v>
      </c>
      <c r="C62" s="56">
        <v>1</v>
      </c>
      <c r="D62" s="58" t="s">
        <v>16</v>
      </c>
      <c r="E62" s="42" t="str">
        <f t="shared" si="1"/>
        <v/>
      </c>
    </row>
    <row r="63" spans="2:5" x14ac:dyDescent="0.2">
      <c r="B63" s="55">
        <v>30</v>
      </c>
      <c r="C63" s="56">
        <v>1</v>
      </c>
      <c r="D63" s="58" t="s">
        <v>16</v>
      </c>
      <c r="E63" s="42" t="str">
        <f t="shared" si="1"/>
        <v/>
      </c>
    </row>
    <row r="64" spans="2:5" x14ac:dyDescent="0.2">
      <c r="B64" s="55">
        <v>30.5</v>
      </c>
      <c r="C64" s="56">
        <v>1</v>
      </c>
      <c r="D64" s="58" t="s">
        <v>16</v>
      </c>
      <c r="E64" s="42" t="str">
        <f t="shared" si="1"/>
        <v/>
      </c>
    </row>
    <row r="65" spans="2:5" x14ac:dyDescent="0.2">
      <c r="B65" s="55">
        <v>31</v>
      </c>
      <c r="C65" s="56">
        <v>1</v>
      </c>
      <c r="D65" s="58" t="s">
        <v>16</v>
      </c>
      <c r="E65" s="42" t="str">
        <f t="shared" si="1"/>
        <v/>
      </c>
    </row>
    <row r="66" spans="2:5" x14ac:dyDescent="0.2">
      <c r="B66" s="55">
        <v>31.5</v>
      </c>
      <c r="C66" s="56">
        <v>1</v>
      </c>
      <c r="D66" s="58" t="s">
        <v>16</v>
      </c>
      <c r="E66" s="42" t="str">
        <f t="shared" si="1"/>
        <v/>
      </c>
    </row>
    <row r="67" spans="2:5" x14ac:dyDescent="0.2">
      <c r="B67" s="55">
        <v>32</v>
      </c>
      <c r="C67" s="56">
        <v>1</v>
      </c>
      <c r="D67" s="58" t="s">
        <v>16</v>
      </c>
      <c r="E67" s="42" t="str">
        <f t="shared" si="1"/>
        <v>+</v>
      </c>
    </row>
    <row r="68" spans="2:5" x14ac:dyDescent="0.2">
      <c r="B68" s="55">
        <v>32.5</v>
      </c>
      <c r="C68" s="56">
        <v>1</v>
      </c>
      <c r="D68" s="58" t="s">
        <v>16</v>
      </c>
      <c r="E68" s="42" t="str">
        <f t="shared" si="1"/>
        <v>++</v>
      </c>
    </row>
    <row r="69" spans="2:5" x14ac:dyDescent="0.2">
      <c r="B69" s="55">
        <v>33</v>
      </c>
      <c r="C69" s="56">
        <v>2</v>
      </c>
      <c r="D69" s="57">
        <v>5</v>
      </c>
      <c r="E69" s="42" t="str">
        <f t="shared" si="1"/>
        <v>--</v>
      </c>
    </row>
    <row r="70" spans="2:5" x14ac:dyDescent="0.2">
      <c r="B70" s="55">
        <v>33.5</v>
      </c>
      <c r="C70" s="56">
        <v>2</v>
      </c>
      <c r="D70" s="57">
        <v>5</v>
      </c>
      <c r="E70" s="42" t="str">
        <f t="shared" si="1"/>
        <v>-</v>
      </c>
    </row>
    <row r="71" spans="2:5" x14ac:dyDescent="0.2">
      <c r="B71" s="55">
        <v>34</v>
      </c>
      <c r="C71" s="56">
        <v>2</v>
      </c>
      <c r="D71" s="57">
        <v>5</v>
      </c>
      <c r="E71" s="42" t="str">
        <f t="shared" si="1"/>
        <v/>
      </c>
    </row>
    <row r="72" spans="2:5" x14ac:dyDescent="0.2">
      <c r="B72" s="55">
        <v>34.5</v>
      </c>
      <c r="C72" s="56">
        <v>2</v>
      </c>
      <c r="D72" s="57">
        <v>5</v>
      </c>
      <c r="E72" s="42" t="str">
        <f t="shared" si="1"/>
        <v/>
      </c>
    </row>
    <row r="73" spans="2:5" x14ac:dyDescent="0.2">
      <c r="B73" s="55">
        <v>35</v>
      </c>
      <c r="C73" s="56">
        <v>2</v>
      </c>
      <c r="D73" s="57">
        <v>5</v>
      </c>
      <c r="E73" s="42" t="str">
        <f t="shared" si="1"/>
        <v/>
      </c>
    </row>
    <row r="74" spans="2:5" x14ac:dyDescent="0.2">
      <c r="B74" s="55">
        <v>35.5</v>
      </c>
      <c r="C74" s="56">
        <v>2</v>
      </c>
      <c r="D74" s="57">
        <v>5</v>
      </c>
      <c r="E74" s="42" t="str">
        <f t="shared" si="1"/>
        <v/>
      </c>
    </row>
    <row r="75" spans="2:5" x14ac:dyDescent="0.2">
      <c r="B75" s="55">
        <v>36</v>
      </c>
      <c r="C75" s="56">
        <v>2</v>
      </c>
      <c r="D75" s="57">
        <v>5</v>
      </c>
      <c r="E75" s="42" t="str">
        <f t="shared" si="1"/>
        <v/>
      </c>
    </row>
    <row r="76" spans="2:5" x14ac:dyDescent="0.2">
      <c r="B76" s="55">
        <v>36.5</v>
      </c>
      <c r="C76" s="56">
        <v>2</v>
      </c>
      <c r="D76" s="57">
        <v>5</v>
      </c>
      <c r="E76" s="42" t="str">
        <f t="shared" si="1"/>
        <v/>
      </c>
    </row>
    <row r="77" spans="2:5" x14ac:dyDescent="0.2">
      <c r="B77" s="55">
        <v>37</v>
      </c>
      <c r="C77" s="56">
        <v>2</v>
      </c>
      <c r="D77" s="57">
        <v>5</v>
      </c>
      <c r="E77" s="42" t="str">
        <f t="shared" si="1"/>
        <v/>
      </c>
    </row>
    <row r="78" spans="2:5" x14ac:dyDescent="0.2">
      <c r="B78" s="55">
        <v>37.5</v>
      </c>
      <c r="C78" s="56">
        <v>2</v>
      </c>
      <c r="D78" s="57">
        <v>5</v>
      </c>
      <c r="E78" s="42" t="str">
        <f t="shared" si="1"/>
        <v/>
      </c>
    </row>
    <row r="79" spans="2:5" x14ac:dyDescent="0.2">
      <c r="B79" s="55">
        <v>38</v>
      </c>
      <c r="C79" s="56">
        <v>2</v>
      </c>
      <c r="D79" s="57">
        <v>5</v>
      </c>
      <c r="E79" s="42" t="str">
        <f t="shared" si="1"/>
        <v/>
      </c>
    </row>
    <row r="80" spans="2:5" x14ac:dyDescent="0.2">
      <c r="B80" s="55">
        <v>38.5</v>
      </c>
      <c r="C80" s="56">
        <v>2</v>
      </c>
      <c r="D80" s="57">
        <v>5</v>
      </c>
      <c r="E80" s="42" t="str">
        <f t="shared" si="1"/>
        <v/>
      </c>
    </row>
    <row r="81" spans="2:5" x14ac:dyDescent="0.2">
      <c r="B81" s="55">
        <v>39</v>
      </c>
      <c r="C81" s="56">
        <v>2</v>
      </c>
      <c r="D81" s="57">
        <v>5</v>
      </c>
      <c r="E81" s="42" t="str">
        <f t="shared" si="1"/>
        <v/>
      </c>
    </row>
    <row r="82" spans="2:5" x14ac:dyDescent="0.2">
      <c r="B82" s="55">
        <v>39.5</v>
      </c>
      <c r="C82" s="56">
        <v>2</v>
      </c>
      <c r="D82" s="57">
        <v>5</v>
      </c>
      <c r="E82" s="42" t="str">
        <f t="shared" si="1"/>
        <v/>
      </c>
    </row>
    <row r="83" spans="2:5" x14ac:dyDescent="0.2">
      <c r="B83" s="55">
        <v>40</v>
      </c>
      <c r="C83" s="56">
        <v>2</v>
      </c>
      <c r="D83" s="57">
        <v>5</v>
      </c>
      <c r="E83" s="42" t="str">
        <f t="shared" si="1"/>
        <v>+</v>
      </c>
    </row>
    <row r="84" spans="2:5" x14ac:dyDescent="0.2">
      <c r="B84" s="55">
        <v>40.5</v>
      </c>
      <c r="C84" s="56">
        <v>2</v>
      </c>
      <c r="D84" s="57">
        <v>5</v>
      </c>
      <c r="E84" s="42" t="str">
        <f t="shared" si="1"/>
        <v>++</v>
      </c>
    </row>
    <row r="85" spans="2:5" x14ac:dyDescent="0.2">
      <c r="B85" s="55">
        <v>41</v>
      </c>
      <c r="C85" s="56">
        <v>3</v>
      </c>
      <c r="D85" s="59" t="s">
        <v>8</v>
      </c>
      <c r="E85" s="42" t="str">
        <f t="shared" si="1"/>
        <v>--</v>
      </c>
    </row>
    <row r="86" spans="2:5" x14ac:dyDescent="0.2">
      <c r="B86" s="55">
        <v>41.5</v>
      </c>
      <c r="C86" s="56">
        <v>3</v>
      </c>
      <c r="D86" s="59" t="s">
        <v>8</v>
      </c>
      <c r="E86" s="42" t="str">
        <f t="shared" si="1"/>
        <v>-</v>
      </c>
    </row>
    <row r="87" spans="2:5" x14ac:dyDescent="0.2">
      <c r="B87" s="55">
        <v>42</v>
      </c>
      <c r="C87" s="56">
        <v>3</v>
      </c>
      <c r="D87" s="59" t="s">
        <v>8</v>
      </c>
      <c r="E87" s="42" t="str">
        <f t="shared" si="1"/>
        <v/>
      </c>
    </row>
    <row r="88" spans="2:5" x14ac:dyDescent="0.2">
      <c r="B88" s="55">
        <v>42.5</v>
      </c>
      <c r="C88" s="56">
        <v>3</v>
      </c>
      <c r="D88" s="59" t="s">
        <v>8</v>
      </c>
      <c r="E88" s="42" t="str">
        <f t="shared" si="1"/>
        <v/>
      </c>
    </row>
    <row r="89" spans="2:5" x14ac:dyDescent="0.2">
      <c r="B89" s="55">
        <v>43</v>
      </c>
      <c r="C89" s="56">
        <v>3</v>
      </c>
      <c r="D89" s="59" t="s">
        <v>8</v>
      </c>
      <c r="E89" s="42" t="str">
        <f t="shared" si="1"/>
        <v/>
      </c>
    </row>
    <row r="90" spans="2:5" x14ac:dyDescent="0.2">
      <c r="B90" s="55">
        <v>43.5</v>
      </c>
      <c r="C90" s="56">
        <v>3</v>
      </c>
      <c r="D90" s="59" t="s">
        <v>8</v>
      </c>
      <c r="E90" s="42" t="str">
        <f t="shared" si="1"/>
        <v/>
      </c>
    </row>
    <row r="91" spans="2:5" x14ac:dyDescent="0.2">
      <c r="B91" s="55">
        <v>44</v>
      </c>
      <c r="C91" s="56">
        <v>3</v>
      </c>
      <c r="D91" s="59" t="s">
        <v>8</v>
      </c>
      <c r="E91" s="42" t="str">
        <f t="shared" si="1"/>
        <v/>
      </c>
    </row>
    <row r="92" spans="2:5" x14ac:dyDescent="0.2">
      <c r="B92" s="55">
        <v>44.5</v>
      </c>
      <c r="C92" s="56">
        <v>3</v>
      </c>
      <c r="D92" s="59" t="s">
        <v>8</v>
      </c>
      <c r="E92" s="42" t="str">
        <f t="shared" si="1"/>
        <v/>
      </c>
    </row>
    <row r="93" spans="2:5" x14ac:dyDescent="0.2">
      <c r="B93" s="55">
        <v>45</v>
      </c>
      <c r="C93" s="56">
        <v>3</v>
      </c>
      <c r="D93" s="59" t="s">
        <v>8</v>
      </c>
      <c r="E93" s="42" t="str">
        <f t="shared" si="1"/>
        <v/>
      </c>
    </row>
    <row r="94" spans="2:5" x14ac:dyDescent="0.2">
      <c r="B94" s="55">
        <v>45.5</v>
      </c>
      <c r="C94" s="56">
        <v>3</v>
      </c>
      <c r="D94" s="59" t="s">
        <v>8</v>
      </c>
      <c r="E94" s="42" t="str">
        <f t="shared" si="1"/>
        <v/>
      </c>
    </row>
    <row r="95" spans="2:5" x14ac:dyDescent="0.2">
      <c r="B95" s="55">
        <v>46</v>
      </c>
      <c r="C95" s="56">
        <v>3</v>
      </c>
      <c r="D95" s="59" t="s">
        <v>8</v>
      </c>
      <c r="E95" s="42" t="str">
        <f t="shared" si="1"/>
        <v/>
      </c>
    </row>
    <row r="96" spans="2:5" x14ac:dyDescent="0.2">
      <c r="B96" s="55">
        <v>46.5</v>
      </c>
      <c r="C96" s="56">
        <v>3</v>
      </c>
      <c r="D96" s="59" t="s">
        <v>8</v>
      </c>
      <c r="E96" s="42" t="str">
        <f t="shared" si="1"/>
        <v/>
      </c>
    </row>
    <row r="97" spans="2:5" x14ac:dyDescent="0.2">
      <c r="B97" s="55">
        <v>47</v>
      </c>
      <c r="C97" s="56">
        <v>3</v>
      </c>
      <c r="D97" s="59" t="s">
        <v>8</v>
      </c>
      <c r="E97" s="42" t="str">
        <f t="shared" si="1"/>
        <v/>
      </c>
    </row>
    <row r="98" spans="2:5" x14ac:dyDescent="0.2">
      <c r="B98" s="55">
        <v>47.5</v>
      </c>
      <c r="C98" s="56">
        <v>3</v>
      </c>
      <c r="D98" s="59" t="s">
        <v>8</v>
      </c>
      <c r="E98" s="42" t="str">
        <f t="shared" si="1"/>
        <v/>
      </c>
    </row>
    <row r="99" spans="2:5" x14ac:dyDescent="0.2">
      <c r="B99" s="55">
        <v>48</v>
      </c>
      <c r="C99" s="56">
        <v>3</v>
      </c>
      <c r="D99" s="59" t="s">
        <v>8</v>
      </c>
      <c r="E99" s="42" t="str">
        <f t="shared" si="1"/>
        <v>+</v>
      </c>
    </row>
    <row r="100" spans="2:5" x14ac:dyDescent="0.2">
      <c r="B100" s="55">
        <v>48.5</v>
      </c>
      <c r="C100" s="56">
        <v>3</v>
      </c>
      <c r="D100" s="59" t="s">
        <v>8</v>
      </c>
      <c r="E100" s="42" t="str">
        <f t="shared" si="1"/>
        <v>++</v>
      </c>
    </row>
    <row r="101" spans="2:5" x14ac:dyDescent="0.2">
      <c r="B101" s="55">
        <v>49</v>
      </c>
      <c r="C101" s="56">
        <v>4</v>
      </c>
      <c r="D101" s="58" t="s">
        <v>3</v>
      </c>
      <c r="E101" s="42" t="str">
        <f t="shared" si="1"/>
        <v>--</v>
      </c>
    </row>
    <row r="102" spans="2:5" x14ac:dyDescent="0.2">
      <c r="B102" s="55">
        <v>49.5</v>
      </c>
      <c r="C102" s="56">
        <v>4</v>
      </c>
      <c r="D102" s="58" t="s">
        <v>3</v>
      </c>
      <c r="E102" s="42" t="str">
        <f t="shared" si="1"/>
        <v>-</v>
      </c>
    </row>
    <row r="103" spans="2:5" x14ac:dyDescent="0.2">
      <c r="B103" s="55">
        <v>50</v>
      </c>
      <c r="C103" s="56">
        <v>4</v>
      </c>
      <c r="D103" s="58" t="s">
        <v>3</v>
      </c>
      <c r="E103" s="42" t="str">
        <f t="shared" si="1"/>
        <v/>
      </c>
    </row>
    <row r="104" spans="2:5" x14ac:dyDescent="0.2">
      <c r="B104" s="55">
        <v>50.5</v>
      </c>
      <c r="C104" s="56">
        <v>4</v>
      </c>
      <c r="D104" s="58" t="s">
        <v>3</v>
      </c>
      <c r="E104" s="42" t="str">
        <f t="shared" si="1"/>
        <v/>
      </c>
    </row>
    <row r="105" spans="2:5" x14ac:dyDescent="0.2">
      <c r="B105" s="55">
        <v>51</v>
      </c>
      <c r="C105" s="56">
        <v>4</v>
      </c>
      <c r="D105" s="58" t="s">
        <v>3</v>
      </c>
      <c r="E105" s="42" t="str">
        <f t="shared" si="1"/>
        <v/>
      </c>
    </row>
    <row r="106" spans="2:5" x14ac:dyDescent="0.2">
      <c r="B106" s="55">
        <v>51.5</v>
      </c>
      <c r="C106" s="56">
        <v>4</v>
      </c>
      <c r="D106" s="58" t="s">
        <v>3</v>
      </c>
      <c r="E106" s="42" t="str">
        <f t="shared" si="1"/>
        <v/>
      </c>
    </row>
    <row r="107" spans="2:5" x14ac:dyDescent="0.2">
      <c r="B107" s="55">
        <v>52</v>
      </c>
      <c r="C107" s="56">
        <v>4</v>
      </c>
      <c r="D107" s="58" t="s">
        <v>3</v>
      </c>
      <c r="E107" s="42" t="str">
        <f t="shared" si="1"/>
        <v/>
      </c>
    </row>
    <row r="108" spans="2:5" x14ac:dyDescent="0.2">
      <c r="B108" s="55">
        <v>52.5</v>
      </c>
      <c r="C108" s="56">
        <v>4</v>
      </c>
      <c r="D108" s="58" t="s">
        <v>3</v>
      </c>
      <c r="E108" s="42" t="str">
        <f t="shared" si="1"/>
        <v/>
      </c>
    </row>
    <row r="109" spans="2:5" x14ac:dyDescent="0.2">
      <c r="B109" s="55">
        <v>53</v>
      </c>
      <c r="C109" s="56">
        <v>4</v>
      </c>
      <c r="D109" s="58" t="s">
        <v>3</v>
      </c>
      <c r="E109" s="42" t="str">
        <f t="shared" si="1"/>
        <v/>
      </c>
    </row>
    <row r="110" spans="2:5" x14ac:dyDescent="0.2">
      <c r="B110" s="55">
        <v>53.5</v>
      </c>
      <c r="C110" s="56">
        <v>4</v>
      </c>
      <c r="D110" s="58" t="s">
        <v>3</v>
      </c>
      <c r="E110" s="42" t="str">
        <f t="shared" si="1"/>
        <v/>
      </c>
    </row>
    <row r="111" spans="2:5" x14ac:dyDescent="0.2">
      <c r="B111" s="55">
        <v>54</v>
      </c>
      <c r="C111" s="56">
        <v>4</v>
      </c>
      <c r="D111" s="58" t="s">
        <v>3</v>
      </c>
      <c r="E111" s="42" t="str">
        <f t="shared" si="1"/>
        <v>+</v>
      </c>
    </row>
    <row r="112" spans="2:5" x14ac:dyDescent="0.2">
      <c r="B112" s="55">
        <v>54.5</v>
      </c>
      <c r="C112" s="56">
        <v>4</v>
      </c>
      <c r="D112" s="58" t="s">
        <v>3</v>
      </c>
      <c r="E112" s="42" t="str">
        <f t="shared" si="1"/>
        <v>++</v>
      </c>
    </row>
    <row r="113" spans="2:5" x14ac:dyDescent="0.2">
      <c r="B113" s="55">
        <v>55</v>
      </c>
      <c r="C113" s="56">
        <v>5</v>
      </c>
      <c r="D113" s="57">
        <v>4</v>
      </c>
      <c r="E113" s="42" t="str">
        <f t="shared" si="1"/>
        <v>--</v>
      </c>
    </row>
    <row r="114" spans="2:5" x14ac:dyDescent="0.2">
      <c r="B114" s="55">
        <v>55.5</v>
      </c>
      <c r="C114" s="56">
        <v>5</v>
      </c>
      <c r="D114" s="57">
        <v>4</v>
      </c>
      <c r="E114" s="42" t="str">
        <f t="shared" si="1"/>
        <v>-</v>
      </c>
    </row>
    <row r="115" spans="2:5" x14ac:dyDescent="0.2">
      <c r="B115" s="55">
        <v>56</v>
      </c>
      <c r="C115" s="56">
        <v>5</v>
      </c>
      <c r="D115" s="57">
        <v>4</v>
      </c>
      <c r="E115" s="42" t="str">
        <f t="shared" si="1"/>
        <v/>
      </c>
    </row>
    <row r="116" spans="2:5" x14ac:dyDescent="0.2">
      <c r="B116" s="55">
        <v>56.5</v>
      </c>
      <c r="C116" s="56">
        <v>5</v>
      </c>
      <c r="D116" s="57">
        <v>4</v>
      </c>
      <c r="E116" s="42" t="str">
        <f t="shared" ref="E116:E179" si="2">IF(AND($C116=$C117,$C117&lt;$C118),"+",IF($C116&lt;$C117,"++",IF(AND($C116=$C115,$C115&gt;$C114),"-",IF($C116&gt;$C115,"--",""))))</f>
        <v/>
      </c>
    </row>
    <row r="117" spans="2:5" x14ac:dyDescent="0.2">
      <c r="B117" s="55">
        <v>57</v>
      </c>
      <c r="C117" s="56">
        <v>5</v>
      </c>
      <c r="D117" s="57">
        <v>4</v>
      </c>
      <c r="E117" s="42" t="str">
        <f t="shared" si="2"/>
        <v/>
      </c>
    </row>
    <row r="118" spans="2:5" x14ac:dyDescent="0.2">
      <c r="B118" s="55">
        <v>57.5</v>
      </c>
      <c r="C118" s="56">
        <v>5</v>
      </c>
      <c r="D118" s="57">
        <v>4</v>
      </c>
      <c r="E118" s="42" t="str">
        <f t="shared" si="2"/>
        <v/>
      </c>
    </row>
    <row r="119" spans="2:5" x14ac:dyDescent="0.2">
      <c r="B119" s="55">
        <v>58</v>
      </c>
      <c r="C119" s="56">
        <v>5</v>
      </c>
      <c r="D119" s="57">
        <v>4</v>
      </c>
      <c r="E119" s="42" t="str">
        <f t="shared" si="2"/>
        <v/>
      </c>
    </row>
    <row r="120" spans="2:5" x14ac:dyDescent="0.2">
      <c r="B120" s="55">
        <v>58.5</v>
      </c>
      <c r="C120" s="56">
        <v>5</v>
      </c>
      <c r="D120" s="57">
        <v>4</v>
      </c>
      <c r="E120" s="42" t="str">
        <f t="shared" si="2"/>
        <v/>
      </c>
    </row>
    <row r="121" spans="2:5" x14ac:dyDescent="0.2">
      <c r="B121" s="55">
        <v>59</v>
      </c>
      <c r="C121" s="56">
        <v>5</v>
      </c>
      <c r="D121" s="57">
        <v>4</v>
      </c>
      <c r="E121" s="42" t="str">
        <f t="shared" si="2"/>
        <v/>
      </c>
    </row>
    <row r="122" spans="2:5" x14ac:dyDescent="0.2">
      <c r="B122" s="55">
        <v>59.5</v>
      </c>
      <c r="C122" s="56">
        <v>5</v>
      </c>
      <c r="D122" s="57">
        <v>4</v>
      </c>
      <c r="E122" s="42" t="str">
        <f t="shared" si="2"/>
        <v/>
      </c>
    </row>
    <row r="123" spans="2:5" x14ac:dyDescent="0.2">
      <c r="B123" s="55">
        <v>60</v>
      </c>
      <c r="C123" s="56">
        <v>5</v>
      </c>
      <c r="D123" s="57">
        <v>4</v>
      </c>
      <c r="E123" s="42" t="str">
        <f t="shared" si="2"/>
        <v>+</v>
      </c>
    </row>
    <row r="124" spans="2:5" x14ac:dyDescent="0.2">
      <c r="B124" s="55">
        <v>60.5</v>
      </c>
      <c r="C124" s="56">
        <v>5</v>
      </c>
      <c r="D124" s="57">
        <v>4</v>
      </c>
      <c r="E124" s="42" t="str">
        <f t="shared" si="2"/>
        <v>++</v>
      </c>
    </row>
    <row r="125" spans="2:5" x14ac:dyDescent="0.2">
      <c r="B125" s="55">
        <v>61</v>
      </c>
      <c r="C125" s="56">
        <v>6</v>
      </c>
      <c r="D125" s="59" t="s">
        <v>6</v>
      </c>
      <c r="E125" s="42" t="str">
        <f t="shared" si="2"/>
        <v>--</v>
      </c>
    </row>
    <row r="126" spans="2:5" x14ac:dyDescent="0.2">
      <c r="B126" s="55">
        <v>61.5</v>
      </c>
      <c r="C126" s="56">
        <v>6</v>
      </c>
      <c r="D126" s="59" t="s">
        <v>6</v>
      </c>
      <c r="E126" s="42" t="str">
        <f t="shared" si="2"/>
        <v>-</v>
      </c>
    </row>
    <row r="127" spans="2:5" x14ac:dyDescent="0.2">
      <c r="B127" s="55">
        <v>62</v>
      </c>
      <c r="C127" s="56">
        <v>6</v>
      </c>
      <c r="D127" s="59" t="s">
        <v>6</v>
      </c>
      <c r="E127" s="42" t="str">
        <f t="shared" si="2"/>
        <v/>
      </c>
    </row>
    <row r="128" spans="2:5" x14ac:dyDescent="0.2">
      <c r="B128" s="55">
        <v>62.5</v>
      </c>
      <c r="C128" s="56">
        <v>6</v>
      </c>
      <c r="D128" s="59" t="s">
        <v>6</v>
      </c>
      <c r="E128" s="42" t="str">
        <f t="shared" si="2"/>
        <v/>
      </c>
    </row>
    <row r="129" spans="2:5" x14ac:dyDescent="0.2">
      <c r="B129" s="55">
        <v>63</v>
      </c>
      <c r="C129" s="56">
        <v>6</v>
      </c>
      <c r="D129" s="59" t="s">
        <v>6</v>
      </c>
      <c r="E129" s="42" t="str">
        <f t="shared" si="2"/>
        <v/>
      </c>
    </row>
    <row r="130" spans="2:5" x14ac:dyDescent="0.2">
      <c r="B130" s="55">
        <v>63.5</v>
      </c>
      <c r="C130" s="56">
        <v>6</v>
      </c>
      <c r="D130" s="59" t="s">
        <v>6</v>
      </c>
      <c r="E130" s="42" t="str">
        <f t="shared" si="2"/>
        <v/>
      </c>
    </row>
    <row r="131" spans="2:5" x14ac:dyDescent="0.2">
      <c r="B131" s="55">
        <v>64</v>
      </c>
      <c r="C131" s="56">
        <v>6</v>
      </c>
      <c r="D131" s="59" t="s">
        <v>6</v>
      </c>
      <c r="E131" s="42" t="str">
        <f t="shared" si="2"/>
        <v/>
      </c>
    </row>
    <row r="132" spans="2:5" x14ac:dyDescent="0.2">
      <c r="B132" s="55">
        <v>64.5</v>
      </c>
      <c r="C132" s="56">
        <v>6</v>
      </c>
      <c r="D132" s="59" t="s">
        <v>6</v>
      </c>
      <c r="E132" s="42" t="str">
        <f t="shared" si="2"/>
        <v/>
      </c>
    </row>
    <row r="133" spans="2:5" x14ac:dyDescent="0.2">
      <c r="B133" s="55">
        <v>65</v>
      </c>
      <c r="C133" s="56">
        <v>6</v>
      </c>
      <c r="D133" s="59" t="s">
        <v>6</v>
      </c>
      <c r="E133" s="42" t="str">
        <f t="shared" si="2"/>
        <v/>
      </c>
    </row>
    <row r="134" spans="2:5" x14ac:dyDescent="0.2">
      <c r="B134" s="55">
        <v>65.5</v>
      </c>
      <c r="C134" s="56">
        <v>6</v>
      </c>
      <c r="D134" s="59" t="s">
        <v>6</v>
      </c>
      <c r="E134" s="42" t="str">
        <f t="shared" si="2"/>
        <v/>
      </c>
    </row>
    <row r="135" spans="2:5" x14ac:dyDescent="0.2">
      <c r="B135" s="55">
        <v>66</v>
      </c>
      <c r="C135" s="56">
        <v>6</v>
      </c>
      <c r="D135" s="59" t="s">
        <v>6</v>
      </c>
      <c r="E135" s="42" t="str">
        <f t="shared" si="2"/>
        <v>+</v>
      </c>
    </row>
    <row r="136" spans="2:5" x14ac:dyDescent="0.2">
      <c r="B136" s="55">
        <v>66.5</v>
      </c>
      <c r="C136" s="56">
        <v>6</v>
      </c>
      <c r="D136" s="59" t="s">
        <v>6</v>
      </c>
      <c r="E136" s="42" t="str">
        <f t="shared" si="2"/>
        <v>++</v>
      </c>
    </row>
    <row r="137" spans="2:5" x14ac:dyDescent="0.2">
      <c r="B137" s="55">
        <v>67</v>
      </c>
      <c r="C137" s="56">
        <v>7</v>
      </c>
      <c r="D137" s="58" t="s">
        <v>4</v>
      </c>
      <c r="E137" s="42" t="str">
        <f t="shared" si="2"/>
        <v>--</v>
      </c>
    </row>
    <row r="138" spans="2:5" x14ac:dyDescent="0.2">
      <c r="B138" s="55">
        <v>67.5</v>
      </c>
      <c r="C138" s="56">
        <v>7</v>
      </c>
      <c r="D138" s="58" t="s">
        <v>4</v>
      </c>
      <c r="E138" s="42" t="str">
        <f t="shared" si="2"/>
        <v>-</v>
      </c>
    </row>
    <row r="139" spans="2:5" x14ac:dyDescent="0.2">
      <c r="B139" s="55">
        <v>68</v>
      </c>
      <c r="C139" s="56">
        <v>7</v>
      </c>
      <c r="D139" s="58" t="s">
        <v>4</v>
      </c>
      <c r="E139" s="42" t="str">
        <f t="shared" si="2"/>
        <v/>
      </c>
    </row>
    <row r="140" spans="2:5" x14ac:dyDescent="0.2">
      <c r="B140" s="55">
        <v>68.5</v>
      </c>
      <c r="C140" s="56">
        <v>7</v>
      </c>
      <c r="D140" s="58" t="s">
        <v>4</v>
      </c>
      <c r="E140" s="42" t="str">
        <f t="shared" si="2"/>
        <v/>
      </c>
    </row>
    <row r="141" spans="2:5" x14ac:dyDescent="0.2">
      <c r="B141" s="55">
        <v>69</v>
      </c>
      <c r="C141" s="56">
        <v>7</v>
      </c>
      <c r="D141" s="58" t="s">
        <v>4</v>
      </c>
      <c r="E141" s="42" t="str">
        <f t="shared" si="2"/>
        <v/>
      </c>
    </row>
    <row r="142" spans="2:5" x14ac:dyDescent="0.2">
      <c r="B142" s="55">
        <v>69.5</v>
      </c>
      <c r="C142" s="56">
        <v>7</v>
      </c>
      <c r="D142" s="58" t="s">
        <v>4</v>
      </c>
      <c r="E142" s="42" t="str">
        <f t="shared" si="2"/>
        <v/>
      </c>
    </row>
    <row r="143" spans="2:5" x14ac:dyDescent="0.2">
      <c r="B143" s="55">
        <v>70</v>
      </c>
      <c r="C143" s="56">
        <v>7</v>
      </c>
      <c r="D143" s="58" t="s">
        <v>4</v>
      </c>
      <c r="E143" s="42" t="str">
        <f t="shared" si="2"/>
        <v/>
      </c>
    </row>
    <row r="144" spans="2:5" x14ac:dyDescent="0.2">
      <c r="B144" s="55">
        <v>70.5</v>
      </c>
      <c r="C144" s="56">
        <v>7</v>
      </c>
      <c r="D144" s="58" t="s">
        <v>4</v>
      </c>
      <c r="E144" s="42" t="str">
        <f t="shared" si="2"/>
        <v/>
      </c>
    </row>
    <row r="145" spans="2:5" x14ac:dyDescent="0.2">
      <c r="B145" s="55">
        <v>71</v>
      </c>
      <c r="C145" s="56">
        <v>7</v>
      </c>
      <c r="D145" s="58" t="s">
        <v>4</v>
      </c>
      <c r="E145" s="42" t="str">
        <f t="shared" si="2"/>
        <v/>
      </c>
    </row>
    <row r="146" spans="2:5" x14ac:dyDescent="0.2">
      <c r="B146" s="55">
        <v>71.5</v>
      </c>
      <c r="C146" s="56">
        <v>7</v>
      </c>
      <c r="D146" s="58" t="s">
        <v>4</v>
      </c>
      <c r="E146" s="42" t="str">
        <f t="shared" si="2"/>
        <v/>
      </c>
    </row>
    <row r="147" spans="2:5" x14ac:dyDescent="0.2">
      <c r="B147" s="55">
        <v>72</v>
      </c>
      <c r="C147" s="56">
        <v>7</v>
      </c>
      <c r="D147" s="58" t="s">
        <v>4</v>
      </c>
      <c r="E147" s="42" t="str">
        <f t="shared" si="2"/>
        <v>+</v>
      </c>
    </row>
    <row r="148" spans="2:5" x14ac:dyDescent="0.2">
      <c r="B148" s="55">
        <v>72.5</v>
      </c>
      <c r="C148" s="56">
        <v>7</v>
      </c>
      <c r="D148" s="58" t="s">
        <v>4</v>
      </c>
      <c r="E148" s="42" t="str">
        <f t="shared" si="2"/>
        <v>++</v>
      </c>
    </row>
    <row r="149" spans="2:5" x14ac:dyDescent="0.2">
      <c r="B149" s="55">
        <v>73</v>
      </c>
      <c r="C149" s="56">
        <v>8</v>
      </c>
      <c r="D149" s="57">
        <v>3</v>
      </c>
      <c r="E149" s="42" t="str">
        <f t="shared" si="2"/>
        <v>--</v>
      </c>
    </row>
    <row r="150" spans="2:5" x14ac:dyDescent="0.2">
      <c r="B150" s="55">
        <v>73.5</v>
      </c>
      <c r="C150" s="56">
        <v>8</v>
      </c>
      <c r="D150" s="57">
        <v>3</v>
      </c>
      <c r="E150" s="42" t="str">
        <f t="shared" si="2"/>
        <v>-</v>
      </c>
    </row>
    <row r="151" spans="2:5" x14ac:dyDescent="0.2">
      <c r="B151" s="55">
        <v>74</v>
      </c>
      <c r="C151" s="56">
        <v>8</v>
      </c>
      <c r="D151" s="57">
        <v>3</v>
      </c>
      <c r="E151" s="42" t="str">
        <f t="shared" si="2"/>
        <v/>
      </c>
    </row>
    <row r="152" spans="2:5" x14ac:dyDescent="0.2">
      <c r="B152" s="55">
        <v>74.5</v>
      </c>
      <c r="C152" s="56">
        <v>8</v>
      </c>
      <c r="D152" s="57">
        <v>3</v>
      </c>
      <c r="E152" s="42" t="str">
        <f t="shared" si="2"/>
        <v/>
      </c>
    </row>
    <row r="153" spans="2:5" x14ac:dyDescent="0.2">
      <c r="B153" s="55">
        <v>75</v>
      </c>
      <c r="C153" s="56">
        <v>8</v>
      </c>
      <c r="D153" s="57">
        <v>3</v>
      </c>
      <c r="E153" s="42" t="str">
        <f t="shared" si="2"/>
        <v/>
      </c>
    </row>
    <row r="154" spans="2:5" x14ac:dyDescent="0.2">
      <c r="B154" s="55">
        <v>75.5</v>
      </c>
      <c r="C154" s="56">
        <v>8</v>
      </c>
      <c r="D154" s="57">
        <v>3</v>
      </c>
      <c r="E154" s="42" t="str">
        <f t="shared" si="2"/>
        <v/>
      </c>
    </row>
    <row r="155" spans="2:5" x14ac:dyDescent="0.2">
      <c r="B155" s="55">
        <v>76</v>
      </c>
      <c r="C155" s="56">
        <v>8</v>
      </c>
      <c r="D155" s="57">
        <v>3</v>
      </c>
      <c r="E155" s="42" t="str">
        <f t="shared" si="2"/>
        <v/>
      </c>
    </row>
    <row r="156" spans="2:5" x14ac:dyDescent="0.2">
      <c r="B156" s="55">
        <v>76.5</v>
      </c>
      <c r="C156" s="56">
        <v>8</v>
      </c>
      <c r="D156" s="57">
        <v>3</v>
      </c>
      <c r="E156" s="42" t="str">
        <f t="shared" si="2"/>
        <v/>
      </c>
    </row>
    <row r="157" spans="2:5" x14ac:dyDescent="0.2">
      <c r="B157" s="55">
        <v>77</v>
      </c>
      <c r="C157" s="56">
        <v>8</v>
      </c>
      <c r="D157" s="57">
        <v>3</v>
      </c>
      <c r="E157" s="42" t="str">
        <f t="shared" si="2"/>
        <v/>
      </c>
    </row>
    <row r="158" spans="2:5" x14ac:dyDescent="0.2">
      <c r="B158" s="55">
        <v>77.5</v>
      </c>
      <c r="C158" s="56">
        <v>8</v>
      </c>
      <c r="D158" s="57">
        <v>3</v>
      </c>
      <c r="E158" s="42" t="str">
        <f t="shared" si="2"/>
        <v/>
      </c>
    </row>
    <row r="159" spans="2:5" x14ac:dyDescent="0.2">
      <c r="B159" s="55">
        <v>78</v>
      </c>
      <c r="C159" s="56">
        <v>8</v>
      </c>
      <c r="D159" s="57">
        <v>3</v>
      </c>
      <c r="E159" s="42" t="str">
        <f t="shared" si="2"/>
        <v>+</v>
      </c>
    </row>
    <row r="160" spans="2:5" x14ac:dyDescent="0.2">
      <c r="B160" s="55">
        <v>78.5</v>
      </c>
      <c r="C160" s="56">
        <v>8</v>
      </c>
      <c r="D160" s="57">
        <v>3</v>
      </c>
      <c r="E160" s="42" t="str">
        <f t="shared" si="2"/>
        <v>++</v>
      </c>
    </row>
    <row r="161" spans="2:5" x14ac:dyDescent="0.2">
      <c r="B161" s="55">
        <v>79</v>
      </c>
      <c r="C161" s="56">
        <v>9</v>
      </c>
      <c r="D161" s="59" t="s">
        <v>5</v>
      </c>
      <c r="E161" s="42" t="str">
        <f t="shared" si="2"/>
        <v>--</v>
      </c>
    </row>
    <row r="162" spans="2:5" x14ac:dyDescent="0.2">
      <c r="B162" s="55">
        <v>79.5</v>
      </c>
      <c r="C162" s="56">
        <v>9</v>
      </c>
      <c r="D162" s="59" t="s">
        <v>5</v>
      </c>
      <c r="E162" s="42" t="str">
        <f t="shared" si="2"/>
        <v>-</v>
      </c>
    </row>
    <row r="163" spans="2:5" x14ac:dyDescent="0.2">
      <c r="B163" s="55">
        <v>80</v>
      </c>
      <c r="C163" s="56">
        <v>9</v>
      </c>
      <c r="D163" s="59" t="s">
        <v>5</v>
      </c>
      <c r="E163" s="42" t="str">
        <f t="shared" si="2"/>
        <v/>
      </c>
    </row>
    <row r="164" spans="2:5" x14ac:dyDescent="0.2">
      <c r="B164" s="55">
        <v>80.5</v>
      </c>
      <c r="C164" s="56">
        <v>9</v>
      </c>
      <c r="D164" s="59" t="s">
        <v>5</v>
      </c>
      <c r="E164" s="42" t="str">
        <f t="shared" si="2"/>
        <v/>
      </c>
    </row>
    <row r="165" spans="2:5" x14ac:dyDescent="0.2">
      <c r="B165" s="55">
        <v>81</v>
      </c>
      <c r="C165" s="56">
        <v>9</v>
      </c>
      <c r="D165" s="59" t="s">
        <v>5</v>
      </c>
      <c r="E165" s="42" t="str">
        <f t="shared" si="2"/>
        <v/>
      </c>
    </row>
    <row r="166" spans="2:5" x14ac:dyDescent="0.2">
      <c r="B166" s="55">
        <v>81.5</v>
      </c>
      <c r="C166" s="56">
        <v>9</v>
      </c>
      <c r="D166" s="59" t="s">
        <v>5</v>
      </c>
      <c r="E166" s="42" t="str">
        <f t="shared" si="2"/>
        <v/>
      </c>
    </row>
    <row r="167" spans="2:5" x14ac:dyDescent="0.2">
      <c r="B167" s="55">
        <v>82</v>
      </c>
      <c r="C167" s="56">
        <v>9</v>
      </c>
      <c r="D167" s="59" t="s">
        <v>5</v>
      </c>
      <c r="E167" s="42" t="str">
        <f t="shared" si="2"/>
        <v/>
      </c>
    </row>
    <row r="168" spans="2:5" x14ac:dyDescent="0.2">
      <c r="B168" s="55">
        <v>82.5</v>
      </c>
      <c r="C168" s="56">
        <v>9</v>
      </c>
      <c r="D168" s="59" t="s">
        <v>5</v>
      </c>
      <c r="E168" s="42" t="str">
        <f t="shared" si="2"/>
        <v/>
      </c>
    </row>
    <row r="169" spans="2:5" x14ac:dyDescent="0.2">
      <c r="B169" s="55">
        <v>83</v>
      </c>
      <c r="C169" s="56">
        <v>9</v>
      </c>
      <c r="D169" s="59" t="s">
        <v>5</v>
      </c>
      <c r="E169" s="42" t="str">
        <f t="shared" si="2"/>
        <v/>
      </c>
    </row>
    <row r="170" spans="2:5" x14ac:dyDescent="0.2">
      <c r="B170" s="55">
        <v>83.5</v>
      </c>
      <c r="C170" s="56">
        <v>9</v>
      </c>
      <c r="D170" s="59" t="s">
        <v>5</v>
      </c>
      <c r="E170" s="42" t="str">
        <f t="shared" si="2"/>
        <v/>
      </c>
    </row>
    <row r="171" spans="2:5" x14ac:dyDescent="0.2">
      <c r="B171" s="55">
        <v>84</v>
      </c>
      <c r="C171" s="56">
        <v>9</v>
      </c>
      <c r="D171" s="59" t="s">
        <v>5</v>
      </c>
      <c r="E171" s="42" t="str">
        <f t="shared" si="2"/>
        <v>+</v>
      </c>
    </row>
    <row r="172" spans="2:5" x14ac:dyDescent="0.2">
      <c r="B172" s="55">
        <v>84.5</v>
      </c>
      <c r="C172" s="56">
        <v>9</v>
      </c>
      <c r="D172" s="59" t="s">
        <v>5</v>
      </c>
      <c r="E172" s="42" t="str">
        <f t="shared" si="2"/>
        <v>++</v>
      </c>
    </row>
    <row r="173" spans="2:5" x14ac:dyDescent="0.2">
      <c r="B173" s="55">
        <v>85</v>
      </c>
      <c r="C173" s="56">
        <v>10</v>
      </c>
      <c r="D173" s="58" t="s">
        <v>17</v>
      </c>
      <c r="E173" s="42" t="str">
        <f t="shared" si="2"/>
        <v>--</v>
      </c>
    </row>
    <row r="174" spans="2:5" x14ac:dyDescent="0.2">
      <c r="B174" s="55">
        <v>85.5</v>
      </c>
      <c r="C174" s="56">
        <v>10</v>
      </c>
      <c r="D174" s="58" t="s">
        <v>17</v>
      </c>
      <c r="E174" s="42" t="str">
        <f t="shared" si="2"/>
        <v>-</v>
      </c>
    </row>
    <row r="175" spans="2:5" x14ac:dyDescent="0.2">
      <c r="B175" s="55">
        <v>86</v>
      </c>
      <c r="C175" s="56">
        <v>10</v>
      </c>
      <c r="D175" s="58" t="s">
        <v>17</v>
      </c>
      <c r="E175" s="42" t="str">
        <f t="shared" si="2"/>
        <v/>
      </c>
    </row>
    <row r="176" spans="2:5" x14ac:dyDescent="0.2">
      <c r="B176" s="55">
        <v>86.5</v>
      </c>
      <c r="C176" s="56">
        <v>10</v>
      </c>
      <c r="D176" s="58" t="s">
        <v>17</v>
      </c>
      <c r="E176" s="42" t="str">
        <f t="shared" si="2"/>
        <v/>
      </c>
    </row>
    <row r="177" spans="2:5" x14ac:dyDescent="0.2">
      <c r="B177" s="55">
        <v>87</v>
      </c>
      <c r="C177" s="56">
        <v>10</v>
      </c>
      <c r="D177" s="58" t="s">
        <v>17</v>
      </c>
      <c r="E177" s="42" t="str">
        <f t="shared" si="2"/>
        <v/>
      </c>
    </row>
    <row r="178" spans="2:5" x14ac:dyDescent="0.2">
      <c r="B178" s="55">
        <v>87.5</v>
      </c>
      <c r="C178" s="56">
        <v>10</v>
      </c>
      <c r="D178" s="58" t="s">
        <v>17</v>
      </c>
      <c r="E178" s="42" t="str">
        <f t="shared" si="2"/>
        <v/>
      </c>
    </row>
    <row r="179" spans="2:5" x14ac:dyDescent="0.2">
      <c r="B179" s="55">
        <v>88</v>
      </c>
      <c r="C179" s="56">
        <v>10</v>
      </c>
      <c r="D179" s="58" t="s">
        <v>17</v>
      </c>
      <c r="E179" s="42" t="str">
        <f t="shared" si="2"/>
        <v/>
      </c>
    </row>
    <row r="180" spans="2:5" x14ac:dyDescent="0.2">
      <c r="B180" s="55">
        <v>88.5</v>
      </c>
      <c r="C180" s="56">
        <v>10</v>
      </c>
      <c r="D180" s="58" t="s">
        <v>17</v>
      </c>
      <c r="E180" s="42" t="str">
        <f t="shared" ref="E180:E244" si="3">IF(AND($C180=$C181,$C181&lt;$C182),"+",IF($C180&lt;$C181,"++",IF(AND($C180=$C179,$C179&gt;$C178),"-",IF($C180&gt;$C179,"--",""))))</f>
        <v/>
      </c>
    </row>
    <row r="181" spans="2:5" x14ac:dyDescent="0.2">
      <c r="B181" s="55">
        <v>89</v>
      </c>
      <c r="C181" s="56">
        <v>10</v>
      </c>
      <c r="D181" s="58" t="s">
        <v>17</v>
      </c>
      <c r="E181" s="42" t="str">
        <f t="shared" si="3"/>
        <v/>
      </c>
    </row>
    <row r="182" spans="2:5" x14ac:dyDescent="0.2">
      <c r="B182" s="55">
        <v>89.5</v>
      </c>
      <c r="C182" s="56">
        <v>10</v>
      </c>
      <c r="D182" s="58" t="s">
        <v>17</v>
      </c>
      <c r="E182" s="42" t="str">
        <f t="shared" si="3"/>
        <v/>
      </c>
    </row>
    <row r="183" spans="2:5" x14ac:dyDescent="0.2">
      <c r="B183" s="55">
        <v>90</v>
      </c>
      <c r="C183" s="56">
        <v>10</v>
      </c>
      <c r="D183" s="58" t="s">
        <v>17</v>
      </c>
      <c r="E183" s="42" t="str">
        <f t="shared" si="3"/>
        <v>+</v>
      </c>
    </row>
    <row r="184" spans="2:5" x14ac:dyDescent="0.2">
      <c r="B184" s="55">
        <v>90.5</v>
      </c>
      <c r="C184" s="56">
        <v>10</v>
      </c>
      <c r="D184" s="58" t="s">
        <v>17</v>
      </c>
      <c r="E184" s="42" t="str">
        <f t="shared" si="3"/>
        <v>++</v>
      </c>
    </row>
    <row r="185" spans="2:5" x14ac:dyDescent="0.2">
      <c r="B185" s="55">
        <v>91</v>
      </c>
      <c r="C185" s="56">
        <v>11</v>
      </c>
      <c r="D185" s="57">
        <v>2</v>
      </c>
      <c r="E185" s="42" t="str">
        <f t="shared" si="3"/>
        <v>--</v>
      </c>
    </row>
    <row r="186" spans="2:5" x14ac:dyDescent="0.2">
      <c r="B186" s="55">
        <v>91.5</v>
      </c>
      <c r="C186" s="56">
        <v>11</v>
      </c>
      <c r="D186" s="57">
        <v>2</v>
      </c>
      <c r="E186" s="42" t="str">
        <f t="shared" si="3"/>
        <v>-</v>
      </c>
    </row>
    <row r="187" spans="2:5" x14ac:dyDescent="0.2">
      <c r="B187" s="55">
        <v>92</v>
      </c>
      <c r="C187" s="56">
        <v>11</v>
      </c>
      <c r="D187" s="57">
        <v>2</v>
      </c>
      <c r="E187" s="42" t="str">
        <f t="shared" si="3"/>
        <v/>
      </c>
    </row>
    <row r="188" spans="2:5" x14ac:dyDescent="0.2">
      <c r="B188" s="55">
        <v>92.5</v>
      </c>
      <c r="C188" s="56">
        <v>11</v>
      </c>
      <c r="D188" s="57">
        <v>2</v>
      </c>
      <c r="E188" s="42" t="str">
        <f t="shared" si="3"/>
        <v/>
      </c>
    </row>
    <row r="189" spans="2:5" x14ac:dyDescent="0.2">
      <c r="B189" s="55">
        <v>93</v>
      </c>
      <c r="C189" s="56">
        <v>11</v>
      </c>
      <c r="D189" s="57">
        <v>2</v>
      </c>
      <c r="E189" s="42" t="str">
        <f t="shared" si="3"/>
        <v/>
      </c>
    </row>
    <row r="190" spans="2:5" x14ac:dyDescent="0.2">
      <c r="B190" s="55">
        <v>93.5</v>
      </c>
      <c r="C190" s="56">
        <v>11</v>
      </c>
      <c r="D190" s="57">
        <v>2</v>
      </c>
      <c r="E190" s="42" t="str">
        <f t="shared" si="3"/>
        <v/>
      </c>
    </row>
    <row r="191" spans="2:5" x14ac:dyDescent="0.2">
      <c r="B191" s="55">
        <v>94</v>
      </c>
      <c r="C191" s="56">
        <v>11</v>
      </c>
      <c r="D191" s="57">
        <v>2</v>
      </c>
      <c r="E191" s="42" t="str">
        <f t="shared" si="3"/>
        <v/>
      </c>
    </row>
    <row r="192" spans="2:5" x14ac:dyDescent="0.2">
      <c r="B192" s="55">
        <v>94.5</v>
      </c>
      <c r="C192" s="56">
        <v>11</v>
      </c>
      <c r="D192" s="57">
        <v>2</v>
      </c>
      <c r="E192" s="42" t="str">
        <f t="shared" si="3"/>
        <v/>
      </c>
    </row>
    <row r="193" spans="2:5" x14ac:dyDescent="0.2">
      <c r="B193" s="55">
        <v>95</v>
      </c>
      <c r="C193" s="56">
        <v>11</v>
      </c>
      <c r="D193" s="57">
        <v>2</v>
      </c>
      <c r="E193" s="42" t="str">
        <f t="shared" si="3"/>
        <v/>
      </c>
    </row>
    <row r="194" spans="2:5" x14ac:dyDescent="0.2">
      <c r="B194" s="55">
        <v>95.5</v>
      </c>
      <c r="C194" s="56">
        <v>11</v>
      </c>
      <c r="D194" s="57">
        <v>2</v>
      </c>
      <c r="E194" s="42" t="str">
        <f t="shared" si="3"/>
        <v>+</v>
      </c>
    </row>
    <row r="195" spans="2:5" x14ac:dyDescent="0.2">
      <c r="B195" s="55">
        <v>96</v>
      </c>
      <c r="C195" s="56">
        <v>11</v>
      </c>
      <c r="D195" s="57">
        <v>2</v>
      </c>
      <c r="E195" s="42" t="str">
        <f t="shared" si="3"/>
        <v>++</v>
      </c>
    </row>
    <row r="196" spans="2:5" x14ac:dyDescent="0.2">
      <c r="B196" s="55">
        <v>96.5</v>
      </c>
      <c r="C196" s="56">
        <v>12</v>
      </c>
      <c r="D196" s="59" t="s">
        <v>7</v>
      </c>
      <c r="E196" s="42" t="str">
        <f t="shared" si="3"/>
        <v>--</v>
      </c>
    </row>
    <row r="197" spans="2:5" x14ac:dyDescent="0.2">
      <c r="B197" s="55">
        <v>97</v>
      </c>
      <c r="C197" s="56">
        <v>12</v>
      </c>
      <c r="D197" s="59" t="s">
        <v>7</v>
      </c>
      <c r="E197" s="42" t="str">
        <f t="shared" si="3"/>
        <v>-</v>
      </c>
    </row>
    <row r="198" spans="2:5" x14ac:dyDescent="0.2">
      <c r="B198" s="55">
        <v>97.5</v>
      </c>
      <c r="C198" s="56">
        <v>12</v>
      </c>
      <c r="D198" s="59" t="s">
        <v>7</v>
      </c>
      <c r="E198" s="42" t="str">
        <f t="shared" si="3"/>
        <v/>
      </c>
    </row>
    <row r="199" spans="2:5" x14ac:dyDescent="0.2">
      <c r="B199" s="55">
        <v>98</v>
      </c>
      <c r="C199" s="56">
        <v>12</v>
      </c>
      <c r="D199" s="59" t="s">
        <v>7</v>
      </c>
      <c r="E199" s="42" t="str">
        <f t="shared" si="3"/>
        <v/>
      </c>
    </row>
    <row r="200" spans="2:5" x14ac:dyDescent="0.2">
      <c r="B200" s="55">
        <v>98.5</v>
      </c>
      <c r="C200" s="56">
        <v>12</v>
      </c>
      <c r="D200" s="59" t="s">
        <v>7</v>
      </c>
      <c r="E200" s="42" t="str">
        <f t="shared" si="3"/>
        <v/>
      </c>
    </row>
    <row r="201" spans="2:5" x14ac:dyDescent="0.2">
      <c r="B201" s="55">
        <v>99</v>
      </c>
      <c r="C201" s="56">
        <v>12</v>
      </c>
      <c r="D201" s="59" t="s">
        <v>7</v>
      </c>
      <c r="E201" s="42" t="str">
        <f t="shared" si="3"/>
        <v/>
      </c>
    </row>
    <row r="202" spans="2:5" x14ac:dyDescent="0.2">
      <c r="B202" s="55">
        <v>99.5</v>
      </c>
      <c r="C202" s="56">
        <v>12</v>
      </c>
      <c r="D202" s="59" t="s">
        <v>7</v>
      </c>
      <c r="E202" s="42" t="str">
        <f t="shared" si="3"/>
        <v/>
      </c>
    </row>
    <row r="203" spans="2:5" x14ac:dyDescent="0.2">
      <c r="B203" s="55">
        <v>100</v>
      </c>
      <c r="C203" s="56">
        <v>12</v>
      </c>
      <c r="D203" s="59" t="s">
        <v>7</v>
      </c>
      <c r="E203" s="42" t="str">
        <f t="shared" si="3"/>
        <v/>
      </c>
    </row>
    <row r="204" spans="2:5" x14ac:dyDescent="0.2">
      <c r="B204" s="55">
        <v>100.5</v>
      </c>
      <c r="C204" s="56">
        <v>12</v>
      </c>
      <c r="D204" s="59" t="s">
        <v>7</v>
      </c>
      <c r="E204" s="42" t="str">
        <f t="shared" si="3"/>
        <v/>
      </c>
    </row>
    <row r="205" spans="2:5" x14ac:dyDescent="0.2">
      <c r="B205" s="55">
        <v>101</v>
      </c>
      <c r="C205" s="56">
        <v>12</v>
      </c>
      <c r="D205" s="59" t="s">
        <v>7</v>
      </c>
      <c r="E205" s="42" t="str">
        <f t="shared" si="3"/>
        <v/>
      </c>
    </row>
    <row r="206" spans="2:5" x14ac:dyDescent="0.2">
      <c r="B206" s="55">
        <v>101.5</v>
      </c>
      <c r="C206" s="56">
        <v>12</v>
      </c>
      <c r="D206" s="59" t="s">
        <v>7</v>
      </c>
      <c r="E206" s="42" t="str">
        <f t="shared" si="3"/>
        <v/>
      </c>
    </row>
    <row r="207" spans="2:5" x14ac:dyDescent="0.2">
      <c r="B207" s="55">
        <v>102</v>
      </c>
      <c r="C207" s="56">
        <v>12</v>
      </c>
      <c r="D207" s="59" t="s">
        <v>7</v>
      </c>
      <c r="E207" s="42" t="str">
        <f t="shared" si="3"/>
        <v>+</v>
      </c>
    </row>
    <row r="208" spans="2:5" x14ac:dyDescent="0.2">
      <c r="B208" s="55">
        <v>102.5</v>
      </c>
      <c r="C208" s="56">
        <v>12</v>
      </c>
      <c r="D208" s="59" t="s">
        <v>7</v>
      </c>
      <c r="E208" s="42" t="str">
        <f t="shared" si="3"/>
        <v>++</v>
      </c>
    </row>
    <row r="209" spans="2:5" x14ac:dyDescent="0.2">
      <c r="B209" s="55">
        <v>103</v>
      </c>
      <c r="C209" s="56">
        <v>13</v>
      </c>
      <c r="D209" s="58" t="s">
        <v>18</v>
      </c>
      <c r="E209" s="42" t="str">
        <f t="shared" si="3"/>
        <v>--</v>
      </c>
    </row>
    <row r="210" spans="2:5" x14ac:dyDescent="0.2">
      <c r="B210" s="55">
        <v>103.5</v>
      </c>
      <c r="C210" s="56">
        <v>13</v>
      </c>
      <c r="D210" s="58" t="s">
        <v>18</v>
      </c>
      <c r="E210" s="42" t="str">
        <f t="shared" si="3"/>
        <v>-</v>
      </c>
    </row>
    <row r="211" spans="2:5" x14ac:dyDescent="0.2">
      <c r="B211" s="55">
        <v>104</v>
      </c>
      <c r="C211" s="56">
        <v>13</v>
      </c>
      <c r="D211" s="58" t="s">
        <v>18</v>
      </c>
      <c r="E211" s="42" t="str">
        <f t="shared" si="3"/>
        <v/>
      </c>
    </row>
    <row r="212" spans="2:5" x14ac:dyDescent="0.2">
      <c r="B212" s="55">
        <v>104.5</v>
      </c>
      <c r="C212" s="56">
        <v>13</v>
      </c>
      <c r="D212" s="58" t="s">
        <v>18</v>
      </c>
      <c r="E212" s="42" t="str">
        <f t="shared" si="3"/>
        <v/>
      </c>
    </row>
    <row r="213" spans="2:5" x14ac:dyDescent="0.2">
      <c r="B213" s="55">
        <v>105</v>
      </c>
      <c r="C213" s="56">
        <v>13</v>
      </c>
      <c r="D213" s="58" t="s">
        <v>18</v>
      </c>
      <c r="E213" s="42" t="str">
        <f t="shared" si="3"/>
        <v/>
      </c>
    </row>
    <row r="214" spans="2:5" x14ac:dyDescent="0.2">
      <c r="B214" s="55">
        <v>105.5</v>
      </c>
      <c r="C214" s="56">
        <v>13</v>
      </c>
      <c r="D214" s="58" t="s">
        <v>18</v>
      </c>
      <c r="E214" s="42" t="str">
        <f t="shared" si="3"/>
        <v/>
      </c>
    </row>
    <row r="215" spans="2:5" x14ac:dyDescent="0.2">
      <c r="B215" s="55">
        <v>106</v>
      </c>
      <c r="C215" s="56">
        <v>13</v>
      </c>
      <c r="D215" s="58" t="s">
        <v>18</v>
      </c>
      <c r="E215" s="42" t="str">
        <f t="shared" si="3"/>
        <v/>
      </c>
    </row>
    <row r="216" spans="2:5" x14ac:dyDescent="0.2">
      <c r="B216" s="55">
        <v>106.5</v>
      </c>
      <c r="C216" s="56">
        <v>13</v>
      </c>
      <c r="D216" s="58" t="s">
        <v>18</v>
      </c>
      <c r="E216" s="42" t="str">
        <f t="shared" si="3"/>
        <v/>
      </c>
    </row>
    <row r="217" spans="2:5" x14ac:dyDescent="0.2">
      <c r="B217" s="55">
        <v>107</v>
      </c>
      <c r="C217" s="56">
        <v>13</v>
      </c>
      <c r="D217" s="58" t="s">
        <v>18</v>
      </c>
      <c r="E217" s="42" t="str">
        <f t="shared" si="3"/>
        <v/>
      </c>
    </row>
    <row r="218" spans="2:5" x14ac:dyDescent="0.2">
      <c r="B218" s="55">
        <v>107.5</v>
      </c>
      <c r="C218" s="56">
        <v>13</v>
      </c>
      <c r="D218" s="58" t="s">
        <v>18</v>
      </c>
      <c r="E218" s="42" t="str">
        <f t="shared" si="3"/>
        <v/>
      </c>
    </row>
    <row r="219" spans="2:5" x14ac:dyDescent="0.2">
      <c r="B219" s="55">
        <v>108</v>
      </c>
      <c r="C219" s="56">
        <v>13</v>
      </c>
      <c r="D219" s="58" t="s">
        <v>18</v>
      </c>
      <c r="E219" s="42" t="str">
        <f t="shared" si="3"/>
        <v>+</v>
      </c>
    </row>
    <row r="220" spans="2:5" x14ac:dyDescent="0.2">
      <c r="B220" s="55">
        <v>108.5</v>
      </c>
      <c r="C220" s="56">
        <v>13</v>
      </c>
      <c r="D220" s="58" t="s">
        <v>18</v>
      </c>
      <c r="E220" s="42" t="str">
        <f t="shared" si="3"/>
        <v>++</v>
      </c>
    </row>
    <row r="221" spans="2:5" x14ac:dyDescent="0.2">
      <c r="B221" s="55">
        <v>109</v>
      </c>
      <c r="C221" s="56">
        <v>14</v>
      </c>
      <c r="D221" s="57">
        <v>1</v>
      </c>
      <c r="E221" s="42" t="str">
        <f t="shared" si="3"/>
        <v>--</v>
      </c>
    </row>
    <row r="222" spans="2:5" x14ac:dyDescent="0.2">
      <c r="B222" s="55">
        <v>109.5</v>
      </c>
      <c r="C222" s="56">
        <v>14</v>
      </c>
      <c r="D222" s="57">
        <v>1</v>
      </c>
      <c r="E222" s="42" t="str">
        <f t="shared" si="3"/>
        <v>-</v>
      </c>
    </row>
    <row r="223" spans="2:5" x14ac:dyDescent="0.2">
      <c r="B223" s="55">
        <v>110</v>
      </c>
      <c r="C223" s="56">
        <v>14</v>
      </c>
      <c r="D223" s="57">
        <v>1</v>
      </c>
      <c r="E223" s="42" t="str">
        <f t="shared" si="3"/>
        <v/>
      </c>
    </row>
    <row r="224" spans="2:5" x14ac:dyDescent="0.2">
      <c r="B224" s="55">
        <v>110.5</v>
      </c>
      <c r="C224" s="56">
        <v>14</v>
      </c>
      <c r="D224" s="57">
        <v>1</v>
      </c>
      <c r="E224" s="42" t="str">
        <f t="shared" si="3"/>
        <v/>
      </c>
    </row>
    <row r="225" spans="2:5" x14ac:dyDescent="0.2">
      <c r="B225" s="55">
        <v>111</v>
      </c>
      <c r="C225" s="56">
        <v>14</v>
      </c>
      <c r="D225" s="57">
        <v>1</v>
      </c>
      <c r="E225" s="42" t="str">
        <f t="shared" si="3"/>
        <v/>
      </c>
    </row>
    <row r="226" spans="2:5" x14ac:dyDescent="0.2">
      <c r="B226" s="55">
        <v>111.5</v>
      </c>
      <c r="C226" s="56">
        <v>14</v>
      </c>
      <c r="D226" s="57">
        <v>1</v>
      </c>
      <c r="E226" s="42" t="str">
        <f t="shared" si="3"/>
        <v/>
      </c>
    </row>
    <row r="227" spans="2:5" x14ac:dyDescent="0.2">
      <c r="B227" s="55">
        <v>112</v>
      </c>
      <c r="C227" s="56">
        <v>14</v>
      </c>
      <c r="D227" s="57">
        <v>1</v>
      </c>
      <c r="E227" s="42" t="str">
        <f t="shared" si="3"/>
        <v/>
      </c>
    </row>
    <row r="228" spans="2:5" x14ac:dyDescent="0.2">
      <c r="B228" s="55">
        <v>112.5</v>
      </c>
      <c r="C228" s="56">
        <v>14</v>
      </c>
      <c r="D228" s="57">
        <v>1</v>
      </c>
      <c r="E228" s="42" t="str">
        <f t="shared" si="3"/>
        <v/>
      </c>
    </row>
    <row r="229" spans="2:5" x14ac:dyDescent="0.2">
      <c r="B229" s="55">
        <v>113</v>
      </c>
      <c r="C229" s="56">
        <v>14</v>
      </c>
      <c r="D229" s="57">
        <v>1</v>
      </c>
      <c r="E229" s="42" t="str">
        <f t="shared" si="3"/>
        <v/>
      </c>
    </row>
    <row r="230" spans="2:5" x14ac:dyDescent="0.2">
      <c r="B230" s="55">
        <v>113.5</v>
      </c>
      <c r="C230" s="56">
        <v>14</v>
      </c>
      <c r="D230" s="57">
        <v>1</v>
      </c>
      <c r="E230" s="42" t="str">
        <f t="shared" si="3"/>
        <v/>
      </c>
    </row>
    <row r="231" spans="2:5" x14ac:dyDescent="0.2">
      <c r="B231" s="55">
        <v>114</v>
      </c>
      <c r="C231" s="56">
        <v>14</v>
      </c>
      <c r="D231" s="57">
        <v>1</v>
      </c>
      <c r="E231" s="42" t="str">
        <f t="shared" si="3"/>
        <v>+</v>
      </c>
    </row>
    <row r="232" spans="2:5" x14ac:dyDescent="0.2">
      <c r="B232" s="55">
        <v>114.5</v>
      </c>
      <c r="C232" s="56">
        <v>14</v>
      </c>
      <c r="D232" s="57">
        <v>1</v>
      </c>
      <c r="E232" s="42" t="str">
        <f t="shared" si="3"/>
        <v>++</v>
      </c>
    </row>
    <row r="233" spans="2:5" x14ac:dyDescent="0.2">
      <c r="B233" s="55">
        <v>115</v>
      </c>
      <c r="C233" s="56">
        <v>15</v>
      </c>
      <c r="D233" s="59" t="s">
        <v>19</v>
      </c>
      <c r="E233" s="42" t="str">
        <f t="shared" si="3"/>
        <v>--</v>
      </c>
    </row>
    <row r="234" spans="2:5" x14ac:dyDescent="0.2">
      <c r="B234" s="55">
        <v>115.5</v>
      </c>
      <c r="C234" s="56">
        <v>15</v>
      </c>
      <c r="D234" s="59" t="s">
        <v>19</v>
      </c>
      <c r="E234" s="42" t="str">
        <f t="shared" si="3"/>
        <v>-</v>
      </c>
    </row>
    <row r="235" spans="2:5" x14ac:dyDescent="0.2">
      <c r="B235" s="55">
        <v>116</v>
      </c>
      <c r="C235" s="56">
        <v>15</v>
      </c>
      <c r="D235" s="59" t="s">
        <v>19</v>
      </c>
      <c r="E235" s="42" t="str">
        <f t="shared" si="3"/>
        <v/>
      </c>
    </row>
    <row r="236" spans="2:5" x14ac:dyDescent="0.2">
      <c r="B236" s="55">
        <v>116.5</v>
      </c>
      <c r="C236" s="56">
        <v>15</v>
      </c>
      <c r="D236" s="59" t="s">
        <v>19</v>
      </c>
      <c r="E236" s="42" t="str">
        <f t="shared" si="3"/>
        <v/>
      </c>
    </row>
    <row r="237" spans="2:5" x14ac:dyDescent="0.2">
      <c r="B237" s="55">
        <v>117</v>
      </c>
      <c r="C237" s="56">
        <v>15</v>
      </c>
      <c r="D237" s="59" t="s">
        <v>19</v>
      </c>
      <c r="E237" s="42" t="str">
        <f t="shared" si="3"/>
        <v/>
      </c>
    </row>
    <row r="238" spans="2:5" x14ac:dyDescent="0.2">
      <c r="B238" s="55">
        <v>117.5</v>
      </c>
      <c r="C238" s="56">
        <v>15</v>
      </c>
      <c r="D238" s="59" t="s">
        <v>19</v>
      </c>
      <c r="E238" s="42" t="str">
        <f t="shared" si="3"/>
        <v/>
      </c>
    </row>
    <row r="239" spans="2:5" x14ac:dyDescent="0.2">
      <c r="B239" s="55">
        <v>118</v>
      </c>
      <c r="C239" s="56">
        <v>15</v>
      </c>
      <c r="D239" s="59" t="s">
        <v>19</v>
      </c>
      <c r="E239" s="42" t="str">
        <f t="shared" si="3"/>
        <v/>
      </c>
    </row>
    <row r="240" spans="2:5" x14ac:dyDescent="0.2">
      <c r="B240" s="55">
        <v>118.5</v>
      </c>
      <c r="C240" s="56">
        <v>15</v>
      </c>
      <c r="D240" s="59" t="s">
        <v>19</v>
      </c>
      <c r="E240" s="42" t="str">
        <f t="shared" si="3"/>
        <v/>
      </c>
    </row>
    <row r="241" spans="2:5" x14ac:dyDescent="0.2">
      <c r="B241" s="55">
        <v>119</v>
      </c>
      <c r="C241" s="56">
        <v>15</v>
      </c>
      <c r="D241" s="59" t="s">
        <v>19</v>
      </c>
      <c r="E241" s="42" t="str">
        <f t="shared" si="3"/>
        <v/>
      </c>
    </row>
    <row r="242" spans="2:5" x14ac:dyDescent="0.2">
      <c r="B242" s="55">
        <v>119.5</v>
      </c>
      <c r="C242" s="56">
        <v>15</v>
      </c>
      <c r="D242" s="59" t="s">
        <v>19</v>
      </c>
      <c r="E242" s="42" t="str">
        <f t="shared" si="3"/>
        <v/>
      </c>
    </row>
    <row r="243" spans="2:5" x14ac:dyDescent="0.2">
      <c r="B243" s="55">
        <v>120</v>
      </c>
      <c r="C243" s="56">
        <v>15</v>
      </c>
      <c r="D243" s="59" t="s">
        <v>19</v>
      </c>
      <c r="E243" s="42" t="str">
        <f t="shared" si="3"/>
        <v/>
      </c>
    </row>
    <row r="244" spans="2:5" x14ac:dyDescent="0.2">
      <c r="B244" s="55"/>
      <c r="C244" s="60"/>
      <c r="D244" s="61"/>
      <c r="E244" s="42" t="str">
        <f t="shared" si="3"/>
        <v/>
      </c>
    </row>
    <row r="245" spans="2:5" x14ac:dyDescent="0.2">
      <c r="B245" s="55"/>
      <c r="C245" s="60"/>
      <c r="D245" s="61"/>
      <c r="E245" s="42" t="str">
        <f t="shared" ref="E245:E293" si="4">IF(AND($C245=$C246,$C246&lt;$C247),"+",IF($C245&lt;$C246,"++",IF(AND($C245=$C244,$C244&gt;$C243),"-",IF($C245&gt;$C244,"--",""))))</f>
        <v/>
      </c>
    </row>
    <row r="246" spans="2:5" x14ac:dyDescent="0.2">
      <c r="B246" s="55"/>
      <c r="C246" s="60"/>
      <c r="D246" s="61"/>
      <c r="E246" s="42" t="str">
        <f t="shared" si="4"/>
        <v/>
      </c>
    </row>
    <row r="247" spans="2:5" x14ac:dyDescent="0.2">
      <c r="B247" s="55"/>
      <c r="C247" s="60"/>
      <c r="D247" s="61"/>
      <c r="E247" s="42" t="str">
        <f t="shared" si="4"/>
        <v/>
      </c>
    </row>
    <row r="248" spans="2:5" x14ac:dyDescent="0.2">
      <c r="B248" s="55"/>
      <c r="C248" s="60"/>
      <c r="D248" s="61"/>
      <c r="E248" s="42" t="str">
        <f t="shared" si="4"/>
        <v/>
      </c>
    </row>
    <row r="249" spans="2:5" x14ac:dyDescent="0.2">
      <c r="B249" s="55"/>
      <c r="C249" s="60"/>
      <c r="D249" s="61"/>
      <c r="E249" s="42" t="str">
        <f t="shared" si="4"/>
        <v/>
      </c>
    </row>
    <row r="250" spans="2:5" x14ac:dyDescent="0.2">
      <c r="B250" s="55"/>
      <c r="C250" s="60"/>
      <c r="D250" s="61"/>
      <c r="E250" s="42" t="str">
        <f t="shared" si="4"/>
        <v/>
      </c>
    </row>
    <row r="251" spans="2:5" x14ac:dyDescent="0.2">
      <c r="B251" s="55"/>
      <c r="C251" s="60"/>
      <c r="D251" s="61"/>
      <c r="E251" s="42" t="str">
        <f t="shared" si="4"/>
        <v/>
      </c>
    </row>
    <row r="252" spans="2:5" x14ac:dyDescent="0.2">
      <c r="B252" s="55"/>
      <c r="C252" s="60"/>
      <c r="D252" s="61"/>
      <c r="E252" s="42" t="str">
        <f t="shared" si="4"/>
        <v/>
      </c>
    </row>
    <row r="253" spans="2:5" x14ac:dyDescent="0.2">
      <c r="B253" s="55"/>
      <c r="C253" s="60"/>
      <c r="D253" s="61"/>
      <c r="E253" s="42" t="str">
        <f t="shared" si="4"/>
        <v/>
      </c>
    </row>
    <row r="254" spans="2:5" x14ac:dyDescent="0.2">
      <c r="B254" s="55"/>
      <c r="C254" s="60"/>
      <c r="D254" s="61"/>
      <c r="E254" s="42" t="str">
        <f t="shared" si="4"/>
        <v/>
      </c>
    </row>
    <row r="255" spans="2:5" x14ac:dyDescent="0.2">
      <c r="B255" s="55"/>
      <c r="C255" s="60"/>
      <c r="D255" s="61"/>
      <c r="E255" s="42" t="str">
        <f t="shared" si="4"/>
        <v/>
      </c>
    </row>
    <row r="256" spans="2:5" x14ac:dyDescent="0.2">
      <c r="B256" s="55"/>
      <c r="C256" s="60"/>
      <c r="D256" s="61"/>
      <c r="E256" s="42" t="str">
        <f t="shared" si="4"/>
        <v/>
      </c>
    </row>
    <row r="257" spans="2:5" x14ac:dyDescent="0.2">
      <c r="B257" s="55"/>
      <c r="C257" s="60"/>
      <c r="D257" s="61"/>
      <c r="E257" s="42" t="str">
        <f t="shared" si="4"/>
        <v/>
      </c>
    </row>
    <row r="258" spans="2:5" x14ac:dyDescent="0.2">
      <c r="B258" s="55"/>
      <c r="C258" s="60"/>
      <c r="D258" s="61"/>
      <c r="E258" s="42" t="str">
        <f t="shared" si="4"/>
        <v/>
      </c>
    </row>
    <row r="259" spans="2:5" x14ac:dyDescent="0.2">
      <c r="B259" s="55"/>
      <c r="C259" s="60"/>
      <c r="D259" s="61"/>
      <c r="E259" s="42" t="str">
        <f t="shared" si="4"/>
        <v/>
      </c>
    </row>
    <row r="260" spans="2:5" x14ac:dyDescent="0.2">
      <c r="B260" s="55"/>
      <c r="C260" s="60"/>
      <c r="D260" s="61"/>
      <c r="E260" s="42" t="str">
        <f t="shared" si="4"/>
        <v/>
      </c>
    </row>
    <row r="261" spans="2:5" x14ac:dyDescent="0.2">
      <c r="B261" s="55"/>
      <c r="C261" s="60"/>
      <c r="D261" s="61"/>
      <c r="E261" s="42" t="str">
        <f t="shared" si="4"/>
        <v/>
      </c>
    </row>
    <row r="262" spans="2:5" x14ac:dyDescent="0.2">
      <c r="B262" s="55"/>
      <c r="C262" s="60"/>
      <c r="D262" s="61"/>
      <c r="E262" s="42" t="str">
        <f t="shared" si="4"/>
        <v/>
      </c>
    </row>
    <row r="263" spans="2:5" x14ac:dyDescent="0.2">
      <c r="B263" s="55"/>
      <c r="C263" s="60"/>
      <c r="D263" s="61"/>
      <c r="E263" s="42" t="str">
        <f t="shared" si="4"/>
        <v/>
      </c>
    </row>
    <row r="264" spans="2:5" x14ac:dyDescent="0.2">
      <c r="B264" s="55"/>
      <c r="C264" s="60"/>
      <c r="D264" s="61"/>
      <c r="E264" s="42" t="str">
        <f t="shared" si="4"/>
        <v/>
      </c>
    </row>
    <row r="265" spans="2:5" x14ac:dyDescent="0.2">
      <c r="B265" s="55"/>
      <c r="C265" s="60"/>
      <c r="D265" s="61"/>
      <c r="E265" s="42" t="str">
        <f t="shared" si="4"/>
        <v/>
      </c>
    </row>
    <row r="266" spans="2:5" x14ac:dyDescent="0.2">
      <c r="B266" s="55"/>
      <c r="C266" s="60"/>
      <c r="D266" s="61"/>
      <c r="E266" s="42" t="str">
        <f t="shared" si="4"/>
        <v/>
      </c>
    </row>
    <row r="267" spans="2:5" x14ac:dyDescent="0.2">
      <c r="B267" s="55"/>
      <c r="C267" s="60"/>
      <c r="D267" s="61"/>
      <c r="E267" s="42" t="str">
        <f t="shared" si="4"/>
        <v/>
      </c>
    </row>
    <row r="268" spans="2:5" x14ac:dyDescent="0.2">
      <c r="B268" s="55"/>
      <c r="C268" s="60"/>
      <c r="D268" s="61"/>
      <c r="E268" s="42" t="str">
        <f t="shared" si="4"/>
        <v/>
      </c>
    </row>
    <row r="269" spans="2:5" x14ac:dyDescent="0.2">
      <c r="B269" s="55"/>
      <c r="C269" s="60"/>
      <c r="D269" s="61"/>
      <c r="E269" s="42" t="str">
        <f t="shared" si="4"/>
        <v/>
      </c>
    </row>
    <row r="270" spans="2:5" x14ac:dyDescent="0.2">
      <c r="B270" s="55"/>
      <c r="C270" s="60"/>
      <c r="D270" s="61"/>
      <c r="E270" s="42" t="str">
        <f t="shared" si="4"/>
        <v/>
      </c>
    </row>
    <row r="271" spans="2:5" x14ac:dyDescent="0.2">
      <c r="B271" s="55"/>
      <c r="C271" s="60"/>
      <c r="D271" s="61"/>
      <c r="E271" s="42" t="str">
        <f t="shared" si="4"/>
        <v/>
      </c>
    </row>
    <row r="272" spans="2:5" x14ac:dyDescent="0.2">
      <c r="B272" s="55"/>
      <c r="C272" s="60"/>
      <c r="D272" s="61"/>
      <c r="E272" s="42" t="str">
        <f t="shared" si="4"/>
        <v/>
      </c>
    </row>
    <row r="273" spans="2:5" x14ac:dyDescent="0.2">
      <c r="B273" s="55"/>
      <c r="C273" s="60"/>
      <c r="D273" s="61"/>
      <c r="E273" s="42" t="str">
        <f t="shared" si="4"/>
        <v/>
      </c>
    </row>
    <row r="274" spans="2:5" x14ac:dyDescent="0.2">
      <c r="B274" s="55"/>
      <c r="C274" s="60"/>
      <c r="D274" s="61"/>
      <c r="E274" s="42" t="str">
        <f t="shared" si="4"/>
        <v/>
      </c>
    </row>
    <row r="275" spans="2:5" x14ac:dyDescent="0.2">
      <c r="B275" s="55"/>
      <c r="C275" s="60"/>
      <c r="D275" s="61"/>
      <c r="E275" s="42" t="str">
        <f t="shared" si="4"/>
        <v/>
      </c>
    </row>
    <row r="276" spans="2:5" x14ac:dyDescent="0.2">
      <c r="B276" s="55"/>
      <c r="C276" s="60"/>
      <c r="D276" s="61"/>
      <c r="E276" s="42" t="str">
        <f t="shared" si="4"/>
        <v/>
      </c>
    </row>
    <row r="277" spans="2:5" x14ac:dyDescent="0.2">
      <c r="B277" s="55"/>
      <c r="C277" s="60"/>
      <c r="D277" s="61"/>
      <c r="E277" s="42" t="str">
        <f t="shared" si="4"/>
        <v/>
      </c>
    </row>
    <row r="278" spans="2:5" x14ac:dyDescent="0.2">
      <c r="B278" s="55"/>
      <c r="C278" s="60"/>
      <c r="D278" s="61"/>
      <c r="E278" s="42" t="str">
        <f t="shared" si="4"/>
        <v/>
      </c>
    </row>
    <row r="279" spans="2:5" x14ac:dyDescent="0.2">
      <c r="B279" s="55"/>
      <c r="C279" s="60"/>
      <c r="D279" s="61"/>
      <c r="E279" s="42" t="str">
        <f t="shared" si="4"/>
        <v/>
      </c>
    </row>
    <row r="280" spans="2:5" x14ac:dyDescent="0.2">
      <c r="B280" s="55"/>
      <c r="C280" s="60"/>
      <c r="D280" s="61"/>
      <c r="E280" s="42" t="str">
        <f t="shared" si="4"/>
        <v/>
      </c>
    </row>
    <row r="281" spans="2:5" x14ac:dyDescent="0.2">
      <c r="B281" s="55"/>
      <c r="C281" s="60"/>
      <c r="D281" s="61"/>
      <c r="E281" s="42" t="str">
        <f t="shared" si="4"/>
        <v/>
      </c>
    </row>
    <row r="282" spans="2:5" x14ac:dyDescent="0.2">
      <c r="B282" s="55"/>
      <c r="C282" s="60"/>
      <c r="D282" s="61"/>
      <c r="E282" s="42" t="str">
        <f t="shared" si="4"/>
        <v/>
      </c>
    </row>
    <row r="283" spans="2:5" x14ac:dyDescent="0.2">
      <c r="B283" s="55"/>
      <c r="C283" s="60"/>
      <c r="D283" s="61"/>
      <c r="E283" s="42" t="str">
        <f t="shared" si="4"/>
        <v/>
      </c>
    </row>
    <row r="284" spans="2:5" x14ac:dyDescent="0.2">
      <c r="B284" s="55"/>
      <c r="C284" s="60"/>
      <c r="D284" s="61"/>
      <c r="E284" s="42" t="str">
        <f t="shared" si="4"/>
        <v/>
      </c>
    </row>
    <row r="285" spans="2:5" x14ac:dyDescent="0.2">
      <c r="B285" s="55"/>
      <c r="C285" s="60"/>
      <c r="D285" s="61"/>
      <c r="E285" s="42" t="str">
        <f t="shared" si="4"/>
        <v/>
      </c>
    </row>
    <row r="286" spans="2:5" x14ac:dyDescent="0.2">
      <c r="B286" s="55"/>
      <c r="C286" s="60"/>
      <c r="D286" s="61"/>
      <c r="E286" s="42" t="str">
        <f t="shared" si="4"/>
        <v/>
      </c>
    </row>
    <row r="287" spans="2:5" x14ac:dyDescent="0.2">
      <c r="B287" s="55"/>
      <c r="C287" s="60"/>
      <c r="D287" s="61"/>
      <c r="E287" s="42" t="str">
        <f t="shared" si="4"/>
        <v/>
      </c>
    </row>
    <row r="288" spans="2:5" x14ac:dyDescent="0.2">
      <c r="B288" s="55"/>
      <c r="C288" s="60"/>
      <c r="D288" s="61"/>
      <c r="E288" s="42" t="str">
        <f t="shared" si="4"/>
        <v/>
      </c>
    </row>
    <row r="289" spans="2:5" x14ac:dyDescent="0.2">
      <c r="B289" s="55"/>
      <c r="C289" s="60"/>
      <c r="D289" s="61"/>
      <c r="E289" s="42" t="str">
        <f t="shared" si="4"/>
        <v/>
      </c>
    </row>
    <row r="290" spans="2:5" x14ac:dyDescent="0.2">
      <c r="B290" s="55"/>
      <c r="C290" s="60"/>
      <c r="D290" s="61"/>
      <c r="E290" s="42" t="str">
        <f t="shared" si="4"/>
        <v/>
      </c>
    </row>
    <row r="291" spans="2:5" x14ac:dyDescent="0.2">
      <c r="B291" s="55"/>
      <c r="C291" s="60"/>
      <c r="D291" s="61"/>
      <c r="E291" s="42" t="str">
        <f t="shared" si="4"/>
        <v/>
      </c>
    </row>
    <row r="292" spans="2:5" x14ac:dyDescent="0.2">
      <c r="B292" s="55"/>
      <c r="C292" s="60"/>
      <c r="D292" s="61"/>
      <c r="E292" s="42" t="str">
        <f t="shared" si="4"/>
        <v/>
      </c>
    </row>
    <row r="293" spans="2:5" x14ac:dyDescent="0.2">
      <c r="B293" s="55"/>
      <c r="C293" s="60"/>
      <c r="D293" s="61"/>
      <c r="E293" s="42" t="str">
        <f t="shared" si="4"/>
        <v/>
      </c>
    </row>
    <row r="294" spans="2:5" x14ac:dyDescent="0.2">
      <c r="B294" s="55"/>
      <c r="C294" s="60"/>
      <c r="D294" s="61"/>
    </row>
    <row r="295" spans="2:5" x14ac:dyDescent="0.2">
      <c r="B295" s="55"/>
      <c r="C295" s="60"/>
      <c r="D295" s="61"/>
    </row>
    <row r="296" spans="2:5" x14ac:dyDescent="0.2">
      <c r="B296" s="55"/>
      <c r="C296" s="60"/>
      <c r="D296" s="61"/>
    </row>
    <row r="297" spans="2:5" x14ac:dyDescent="0.2">
      <c r="B297" s="55"/>
      <c r="C297" s="60"/>
      <c r="D297" s="61"/>
    </row>
    <row r="298" spans="2:5" x14ac:dyDescent="0.2">
      <c r="B298" s="55"/>
      <c r="C298" s="60"/>
      <c r="D298" s="61"/>
    </row>
    <row r="299" spans="2:5" x14ac:dyDescent="0.2">
      <c r="B299" s="55"/>
      <c r="C299" s="60"/>
      <c r="D299" s="61"/>
    </row>
    <row r="300" spans="2:5" x14ac:dyDescent="0.2">
      <c r="B300" s="55"/>
      <c r="C300" s="60"/>
      <c r="D300" s="61"/>
    </row>
    <row r="301" spans="2:5" x14ac:dyDescent="0.2">
      <c r="B301" s="55"/>
      <c r="C301" s="60"/>
      <c r="D301" s="61"/>
    </row>
    <row r="302" spans="2:5" ht="13.5" thickBot="1" x14ac:dyDescent="0.25">
      <c r="B302" s="62"/>
      <c r="C302" s="63"/>
      <c r="D302" s="64"/>
    </row>
    <row r="303" spans="2:5" x14ac:dyDescent="0.2">
      <c r="B303" s="66"/>
      <c r="C303" s="67"/>
      <c r="D303" s="66"/>
    </row>
    <row r="304" spans="2:5" x14ac:dyDescent="0.2">
      <c r="B304" s="66"/>
      <c r="C304" s="67"/>
      <c r="D304" s="66"/>
    </row>
    <row r="305" spans="2:4" x14ac:dyDescent="0.2">
      <c r="B305" s="66"/>
      <c r="C305" s="67"/>
      <c r="D305" s="66"/>
    </row>
    <row r="306" spans="2:4" x14ac:dyDescent="0.2">
      <c r="B306" s="66"/>
      <c r="C306" s="67"/>
      <c r="D306" s="66"/>
    </row>
    <row r="307" spans="2:4" x14ac:dyDescent="0.2">
      <c r="B307" s="66"/>
      <c r="C307" s="67"/>
      <c r="D307" s="66"/>
    </row>
    <row r="308" spans="2:4" x14ac:dyDescent="0.2">
      <c r="B308" s="66"/>
      <c r="C308" s="67"/>
      <c r="D308" s="66"/>
    </row>
    <row r="309" spans="2:4" x14ac:dyDescent="0.2">
      <c r="B309" s="66"/>
      <c r="C309" s="67"/>
      <c r="D309" s="66"/>
    </row>
    <row r="310" spans="2:4" x14ac:dyDescent="0.2">
      <c r="B310" s="66"/>
      <c r="C310" s="67"/>
      <c r="D310" s="66"/>
    </row>
    <row r="311" spans="2:4" x14ac:dyDescent="0.2">
      <c r="B311" s="66"/>
      <c r="C311" s="67"/>
      <c r="D311" s="66"/>
    </row>
    <row r="312" spans="2:4" x14ac:dyDescent="0.2">
      <c r="B312" s="66"/>
      <c r="C312" s="67"/>
      <c r="D312" s="66"/>
    </row>
    <row r="313" spans="2:4" x14ac:dyDescent="0.2">
      <c r="B313" s="66"/>
      <c r="C313" s="67"/>
      <c r="D313" s="66"/>
    </row>
    <row r="314" spans="2:4" x14ac:dyDescent="0.2">
      <c r="B314" s="66"/>
      <c r="C314" s="67"/>
      <c r="D314" s="66"/>
    </row>
    <row r="315" spans="2:4" x14ac:dyDescent="0.2">
      <c r="B315" s="66"/>
      <c r="C315" s="67"/>
      <c r="D315" s="66"/>
    </row>
    <row r="316" spans="2:4" x14ac:dyDescent="0.2">
      <c r="B316" s="66"/>
      <c r="C316" s="67"/>
      <c r="D316" s="66"/>
    </row>
    <row r="317" spans="2:4" x14ac:dyDescent="0.2">
      <c r="B317" s="66"/>
      <c r="C317" s="67"/>
      <c r="D317" s="66"/>
    </row>
  </sheetData>
  <sheetProtection sheet="1" objects="1" scenarios="1" selectLockedCells="1"/>
  <mergeCells count="1">
    <mergeCell ref="G2:L1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7"/>
  <dimension ref="A1:L143"/>
  <sheetViews>
    <sheetView topLeftCell="A99" zoomScaleNormal="100" workbookViewId="0">
      <selection activeCell="A132" sqref="A132:F143"/>
    </sheetView>
  </sheetViews>
  <sheetFormatPr baseColWidth="10" defaultRowHeight="12.75" x14ac:dyDescent="0.2"/>
  <cols>
    <col min="1" max="16384" width="11.42578125" style="83"/>
  </cols>
  <sheetData>
    <row r="1" spans="1:9" x14ac:dyDescent="0.2">
      <c r="A1" s="83">
        <v>0.5</v>
      </c>
      <c r="B1" s="83">
        <v>2</v>
      </c>
      <c r="C1" s="83">
        <v>1.5</v>
      </c>
      <c r="D1" s="83">
        <v>2.5</v>
      </c>
      <c r="E1" s="83">
        <v>3</v>
      </c>
      <c r="F1" s="83">
        <v>2</v>
      </c>
      <c r="G1" s="83">
        <v>2</v>
      </c>
      <c r="H1" s="83">
        <v>1</v>
      </c>
      <c r="I1" s="83">
        <v>2</v>
      </c>
    </row>
    <row r="2" spans="1:9" x14ac:dyDescent="0.2">
      <c r="A2" s="83">
        <v>1.5</v>
      </c>
      <c r="B2" s="83">
        <v>2</v>
      </c>
      <c r="C2" s="83">
        <v>0.5</v>
      </c>
      <c r="D2" s="83">
        <v>1</v>
      </c>
      <c r="E2" s="83">
        <v>2</v>
      </c>
      <c r="F2" s="83">
        <v>2</v>
      </c>
      <c r="G2" s="83">
        <v>2</v>
      </c>
      <c r="H2" s="83">
        <v>0</v>
      </c>
      <c r="I2" s="83">
        <v>0</v>
      </c>
    </row>
    <row r="3" spans="1:9" x14ac:dyDescent="0.2">
      <c r="A3" s="83">
        <v>0.5</v>
      </c>
      <c r="B3" s="83">
        <v>1.5</v>
      </c>
      <c r="C3" s="83">
        <v>1.5</v>
      </c>
      <c r="D3" s="83">
        <v>3</v>
      </c>
      <c r="E3" s="83">
        <v>3</v>
      </c>
      <c r="F3" s="83">
        <v>1</v>
      </c>
      <c r="G3" s="83">
        <v>2</v>
      </c>
      <c r="H3" s="83">
        <v>1</v>
      </c>
      <c r="I3" s="83">
        <v>2</v>
      </c>
    </row>
    <row r="4" spans="1:9" x14ac:dyDescent="0.2">
      <c r="A4" s="83">
        <v>2</v>
      </c>
      <c r="B4" s="83">
        <v>2</v>
      </c>
      <c r="C4" s="83">
        <v>1</v>
      </c>
      <c r="D4" s="83">
        <v>3</v>
      </c>
      <c r="E4" s="83">
        <v>2.5</v>
      </c>
      <c r="F4" s="83">
        <v>2</v>
      </c>
      <c r="G4" s="83">
        <v>1</v>
      </c>
      <c r="H4" s="83">
        <v>0.5</v>
      </c>
      <c r="I4" s="83">
        <v>0.5</v>
      </c>
    </row>
    <row r="5" spans="1:9" x14ac:dyDescent="0.2">
      <c r="A5" s="83">
        <v>2</v>
      </c>
      <c r="B5" s="83">
        <v>2</v>
      </c>
      <c r="C5" s="83">
        <v>2.5</v>
      </c>
      <c r="D5" s="83">
        <v>3</v>
      </c>
      <c r="E5" s="83">
        <v>2.5</v>
      </c>
      <c r="F5" s="83">
        <v>2</v>
      </c>
      <c r="G5" s="83">
        <v>2</v>
      </c>
      <c r="H5" s="83">
        <v>1</v>
      </c>
      <c r="I5" s="83">
        <v>0</v>
      </c>
    </row>
    <row r="6" spans="1:9" x14ac:dyDescent="0.2">
      <c r="A6" s="83">
        <v>2</v>
      </c>
      <c r="B6" s="83">
        <v>2</v>
      </c>
      <c r="C6" s="83">
        <v>2</v>
      </c>
      <c r="D6" s="83">
        <v>2</v>
      </c>
      <c r="E6" s="83">
        <v>2.5</v>
      </c>
      <c r="F6" s="83">
        <v>2</v>
      </c>
      <c r="G6" s="83">
        <v>2</v>
      </c>
      <c r="H6" s="83">
        <v>1</v>
      </c>
      <c r="I6" s="83">
        <v>2</v>
      </c>
    </row>
    <row r="7" spans="1:9" x14ac:dyDescent="0.2">
      <c r="A7" s="83">
        <v>1</v>
      </c>
      <c r="B7" s="83">
        <v>1.5</v>
      </c>
      <c r="C7" s="83">
        <v>3</v>
      </c>
      <c r="D7" s="83">
        <v>3</v>
      </c>
      <c r="E7" s="83">
        <v>3</v>
      </c>
      <c r="F7" s="83">
        <v>1</v>
      </c>
      <c r="G7" s="83">
        <v>2</v>
      </c>
      <c r="H7" s="83">
        <v>0</v>
      </c>
      <c r="I7" s="83">
        <v>0.5</v>
      </c>
    </row>
    <row r="8" spans="1:9" x14ac:dyDescent="0.2">
      <c r="A8" s="83">
        <v>0.5</v>
      </c>
      <c r="B8" s="83">
        <v>2</v>
      </c>
      <c r="C8" s="83">
        <v>1.5</v>
      </c>
      <c r="D8" s="83">
        <v>1</v>
      </c>
      <c r="E8" s="83">
        <v>3</v>
      </c>
      <c r="F8" s="83">
        <v>1</v>
      </c>
      <c r="G8" s="83">
        <v>2</v>
      </c>
      <c r="H8" s="83">
        <v>0</v>
      </c>
      <c r="I8" s="83">
        <v>0</v>
      </c>
    </row>
    <row r="9" spans="1:9" x14ac:dyDescent="0.2">
      <c r="A9" s="83">
        <v>1.5</v>
      </c>
      <c r="B9" s="83">
        <v>2</v>
      </c>
      <c r="C9" s="83">
        <v>1.5</v>
      </c>
      <c r="D9" s="83">
        <v>1</v>
      </c>
      <c r="E9" s="83">
        <v>2</v>
      </c>
      <c r="F9" s="83">
        <v>2</v>
      </c>
      <c r="G9" s="83">
        <v>0</v>
      </c>
      <c r="H9" s="83">
        <v>0</v>
      </c>
      <c r="I9" s="83">
        <v>2</v>
      </c>
    </row>
    <row r="10" spans="1:9" x14ac:dyDescent="0.2">
      <c r="A10" s="83">
        <v>0.5</v>
      </c>
      <c r="B10" s="83">
        <v>1</v>
      </c>
      <c r="C10" s="83">
        <v>0</v>
      </c>
      <c r="D10" s="83">
        <v>1</v>
      </c>
      <c r="E10" s="83">
        <v>0.5</v>
      </c>
      <c r="F10" s="83">
        <v>0</v>
      </c>
      <c r="G10" s="83">
        <v>0.5</v>
      </c>
      <c r="H10" s="83">
        <v>0</v>
      </c>
      <c r="I10" s="83">
        <v>0.5</v>
      </c>
    </row>
    <row r="11" spans="1:9" x14ac:dyDescent="0.2">
      <c r="A11" s="83">
        <v>0.5</v>
      </c>
      <c r="B11" s="83">
        <v>2</v>
      </c>
      <c r="C11" s="83">
        <v>1.5</v>
      </c>
      <c r="D11" s="83">
        <v>0</v>
      </c>
      <c r="E11" s="83">
        <v>1.5</v>
      </c>
      <c r="F11" s="83">
        <v>1</v>
      </c>
      <c r="G11" s="83">
        <v>2</v>
      </c>
      <c r="H11" s="83">
        <v>0</v>
      </c>
      <c r="I11" s="83">
        <v>0</v>
      </c>
    </row>
    <row r="12" spans="1:9" x14ac:dyDescent="0.2">
      <c r="A12" s="83">
        <v>2</v>
      </c>
      <c r="B12" s="83">
        <v>2</v>
      </c>
      <c r="C12" s="83">
        <v>1</v>
      </c>
      <c r="D12" s="83">
        <v>3</v>
      </c>
      <c r="E12" s="83">
        <v>1.5</v>
      </c>
      <c r="F12" s="83">
        <v>2</v>
      </c>
      <c r="G12" s="83">
        <v>2</v>
      </c>
      <c r="H12" s="83">
        <v>1</v>
      </c>
      <c r="I12" s="83">
        <v>2</v>
      </c>
    </row>
    <row r="13" spans="1:9" x14ac:dyDescent="0.2">
      <c r="A13" s="83">
        <v>1.5</v>
      </c>
      <c r="B13" s="83">
        <v>2</v>
      </c>
      <c r="C13" s="83">
        <v>1.5</v>
      </c>
      <c r="D13" s="83">
        <v>3</v>
      </c>
      <c r="E13" s="83">
        <v>3</v>
      </c>
      <c r="F13" s="83">
        <v>1.5</v>
      </c>
      <c r="G13" s="83">
        <v>2</v>
      </c>
      <c r="H13" s="83">
        <v>1</v>
      </c>
      <c r="I13" s="83">
        <v>0</v>
      </c>
    </row>
    <row r="14" spans="1:9" x14ac:dyDescent="0.2">
      <c r="A14" s="83">
        <v>2</v>
      </c>
      <c r="B14" s="83">
        <v>2</v>
      </c>
      <c r="C14" s="83">
        <v>1.5</v>
      </c>
      <c r="D14" s="83">
        <v>3</v>
      </c>
      <c r="E14" s="83">
        <v>3</v>
      </c>
      <c r="F14" s="83">
        <v>2</v>
      </c>
      <c r="G14" s="83">
        <v>2</v>
      </c>
      <c r="H14" s="83">
        <v>0.5</v>
      </c>
      <c r="I14" s="83">
        <v>0</v>
      </c>
    </row>
    <row r="15" spans="1:9" x14ac:dyDescent="0.2">
      <c r="A15" s="83">
        <v>1</v>
      </c>
      <c r="B15" s="83">
        <v>2</v>
      </c>
      <c r="C15" s="83">
        <v>1.5</v>
      </c>
      <c r="D15" s="83">
        <v>3</v>
      </c>
      <c r="E15" s="83">
        <v>2.5</v>
      </c>
      <c r="F15" s="83">
        <v>2</v>
      </c>
      <c r="G15" s="83">
        <v>2</v>
      </c>
      <c r="H15" s="83">
        <v>1</v>
      </c>
      <c r="I15" s="83">
        <v>2</v>
      </c>
    </row>
    <row r="16" spans="1:9" x14ac:dyDescent="0.2">
      <c r="A16" s="83">
        <v>2</v>
      </c>
      <c r="B16" s="83">
        <v>0</v>
      </c>
      <c r="C16" s="83">
        <v>1</v>
      </c>
      <c r="D16" s="83">
        <v>1.5</v>
      </c>
      <c r="E16" s="83">
        <v>2</v>
      </c>
      <c r="F16" s="83">
        <v>1</v>
      </c>
      <c r="G16" s="83">
        <v>2</v>
      </c>
      <c r="H16" s="83">
        <v>1</v>
      </c>
      <c r="I16" s="83">
        <v>0.5</v>
      </c>
    </row>
    <row r="17" spans="1:12" x14ac:dyDescent="0.2">
      <c r="A17" s="83">
        <v>0.5</v>
      </c>
      <c r="B17" s="83">
        <v>0</v>
      </c>
      <c r="C17" s="83">
        <v>0</v>
      </c>
      <c r="D17" s="83">
        <v>0</v>
      </c>
      <c r="E17" s="83">
        <v>0.5</v>
      </c>
      <c r="F17" s="83">
        <v>0</v>
      </c>
      <c r="G17" s="83">
        <v>0</v>
      </c>
      <c r="H17" s="83">
        <v>0</v>
      </c>
      <c r="I17" s="83">
        <v>0</v>
      </c>
    </row>
    <row r="18" spans="1:12" x14ac:dyDescent="0.2">
      <c r="A18" s="83">
        <v>2</v>
      </c>
      <c r="B18" s="83">
        <v>2</v>
      </c>
      <c r="C18" s="83">
        <v>1</v>
      </c>
      <c r="D18" s="83">
        <v>1</v>
      </c>
      <c r="E18" s="83">
        <v>3</v>
      </c>
      <c r="F18" s="83">
        <v>1</v>
      </c>
      <c r="G18" s="83">
        <v>2</v>
      </c>
      <c r="H18" s="83">
        <v>0</v>
      </c>
      <c r="I18" s="83">
        <v>0</v>
      </c>
    </row>
    <row r="19" spans="1:12" x14ac:dyDescent="0.2">
      <c r="A19" s="83">
        <v>0.5</v>
      </c>
      <c r="B19" s="83">
        <v>2</v>
      </c>
      <c r="C19" s="83">
        <v>1</v>
      </c>
      <c r="D19" s="83">
        <v>2.5</v>
      </c>
      <c r="E19" s="83">
        <v>1.5</v>
      </c>
      <c r="F19" s="83">
        <v>2</v>
      </c>
      <c r="G19" s="83">
        <v>2</v>
      </c>
      <c r="H19" s="83">
        <v>0</v>
      </c>
      <c r="I19" s="83">
        <v>0</v>
      </c>
    </row>
    <row r="20" spans="1:12" x14ac:dyDescent="0.2">
      <c r="A20" s="83">
        <v>1</v>
      </c>
      <c r="B20" s="83">
        <v>2</v>
      </c>
      <c r="C20" s="83">
        <v>2.5</v>
      </c>
      <c r="D20" s="83">
        <v>3</v>
      </c>
      <c r="E20" s="83">
        <v>3</v>
      </c>
      <c r="F20" s="83">
        <v>2</v>
      </c>
      <c r="G20" s="83">
        <v>2</v>
      </c>
      <c r="H20" s="83">
        <v>0</v>
      </c>
      <c r="I20" s="83">
        <v>2</v>
      </c>
    </row>
    <row r="21" spans="1:12" x14ac:dyDescent="0.2">
      <c r="A21" s="83">
        <v>2</v>
      </c>
      <c r="B21" s="83">
        <v>2</v>
      </c>
      <c r="C21" s="83">
        <v>1.5</v>
      </c>
      <c r="D21" s="83">
        <v>3</v>
      </c>
      <c r="E21" s="83">
        <v>3</v>
      </c>
      <c r="F21" s="83">
        <v>2</v>
      </c>
      <c r="G21" s="83">
        <v>2</v>
      </c>
      <c r="H21" s="83">
        <v>1</v>
      </c>
      <c r="I21" s="83">
        <v>2</v>
      </c>
    </row>
    <row r="22" spans="1:12" x14ac:dyDescent="0.2">
      <c r="A22" s="83">
        <v>0.5</v>
      </c>
      <c r="B22" s="83">
        <v>1.5</v>
      </c>
      <c r="C22" s="83">
        <v>1</v>
      </c>
      <c r="D22" s="83">
        <v>3</v>
      </c>
      <c r="E22" s="83">
        <v>3</v>
      </c>
      <c r="F22" s="83">
        <v>1</v>
      </c>
      <c r="G22" s="83">
        <v>2</v>
      </c>
      <c r="H22" s="83">
        <v>0</v>
      </c>
      <c r="I22" s="83">
        <v>2</v>
      </c>
    </row>
    <row r="23" spans="1:12" x14ac:dyDescent="0.2">
      <c r="A23" s="83">
        <v>0.5</v>
      </c>
      <c r="B23" s="83">
        <v>2</v>
      </c>
      <c r="C23" s="83">
        <v>1.5</v>
      </c>
      <c r="D23" s="83">
        <v>0.5</v>
      </c>
      <c r="E23" s="83">
        <v>1.5</v>
      </c>
      <c r="F23" s="83">
        <v>1</v>
      </c>
      <c r="G23" s="83">
        <v>1</v>
      </c>
      <c r="H23" s="83">
        <v>1</v>
      </c>
      <c r="I23" s="83">
        <v>1.5</v>
      </c>
    </row>
    <row r="25" spans="1:12" x14ac:dyDescent="0.2">
      <c r="A25" s="83">
        <v>1.5</v>
      </c>
      <c r="B25" s="83">
        <v>3</v>
      </c>
      <c r="C25" s="83">
        <v>3</v>
      </c>
      <c r="D25" s="83">
        <v>3</v>
      </c>
      <c r="E25" s="83">
        <v>3</v>
      </c>
      <c r="F25" s="83">
        <v>4</v>
      </c>
      <c r="G25" s="83">
        <v>3</v>
      </c>
      <c r="H25" s="83">
        <v>0</v>
      </c>
      <c r="I25" s="83">
        <v>2</v>
      </c>
      <c r="J25" s="83">
        <v>0</v>
      </c>
      <c r="K25" s="83">
        <v>4</v>
      </c>
      <c r="L25" s="83">
        <v>2.5</v>
      </c>
    </row>
    <row r="26" spans="1:12" x14ac:dyDescent="0.2">
      <c r="A26" s="83">
        <v>0.5</v>
      </c>
      <c r="B26" s="83">
        <v>2.5</v>
      </c>
      <c r="C26" s="83">
        <v>3</v>
      </c>
      <c r="D26" s="83">
        <v>3</v>
      </c>
      <c r="E26" s="83">
        <v>3</v>
      </c>
      <c r="F26" s="83">
        <v>4</v>
      </c>
      <c r="G26" s="83">
        <v>0</v>
      </c>
      <c r="H26" s="83">
        <v>0</v>
      </c>
      <c r="I26" s="83">
        <v>1.5</v>
      </c>
      <c r="J26" s="83">
        <v>0</v>
      </c>
      <c r="K26" s="83">
        <v>1</v>
      </c>
      <c r="L26" s="83">
        <v>2</v>
      </c>
    </row>
    <row r="27" spans="1:12" x14ac:dyDescent="0.2">
      <c r="A27" s="83">
        <v>1</v>
      </c>
      <c r="B27" s="83">
        <v>2</v>
      </c>
      <c r="C27" s="83">
        <v>0</v>
      </c>
      <c r="D27" s="83">
        <v>1</v>
      </c>
      <c r="E27" s="83">
        <v>3</v>
      </c>
      <c r="F27" s="83">
        <v>2.5</v>
      </c>
      <c r="G27" s="83">
        <v>0</v>
      </c>
      <c r="H27" s="83">
        <v>0</v>
      </c>
      <c r="I27" s="83">
        <v>0</v>
      </c>
      <c r="J27" s="83">
        <v>2</v>
      </c>
      <c r="K27" s="83">
        <v>0</v>
      </c>
      <c r="L27" s="83">
        <v>0</v>
      </c>
    </row>
    <row r="28" spans="1:12" x14ac:dyDescent="0.2">
      <c r="A28" s="83">
        <v>1</v>
      </c>
      <c r="B28" s="83">
        <v>3</v>
      </c>
      <c r="C28" s="83">
        <v>3</v>
      </c>
      <c r="D28" s="83">
        <v>3</v>
      </c>
      <c r="E28" s="83">
        <v>3</v>
      </c>
      <c r="F28" s="83">
        <v>4</v>
      </c>
      <c r="G28" s="83">
        <v>1.5</v>
      </c>
      <c r="H28" s="83">
        <v>0</v>
      </c>
      <c r="I28" s="83">
        <v>1.5</v>
      </c>
      <c r="J28" s="83">
        <v>3</v>
      </c>
      <c r="K28" s="83">
        <v>3</v>
      </c>
      <c r="L28" s="83">
        <v>0</v>
      </c>
    </row>
    <row r="29" spans="1:12" x14ac:dyDescent="0.2">
      <c r="A29" s="83">
        <v>2</v>
      </c>
      <c r="B29" s="83">
        <v>2</v>
      </c>
      <c r="C29" s="83">
        <v>3.5</v>
      </c>
      <c r="D29" s="83">
        <v>2.5</v>
      </c>
      <c r="E29" s="83">
        <v>2</v>
      </c>
      <c r="F29" s="83">
        <v>1</v>
      </c>
      <c r="G29" s="83">
        <v>0.5</v>
      </c>
      <c r="H29" s="83">
        <v>2.5</v>
      </c>
      <c r="I29" s="83">
        <v>2</v>
      </c>
      <c r="J29" s="83">
        <v>3.5</v>
      </c>
      <c r="K29" s="83">
        <v>3</v>
      </c>
      <c r="L29" s="83">
        <v>2.5</v>
      </c>
    </row>
    <row r="30" spans="1:12" x14ac:dyDescent="0.2">
      <c r="A30" s="83">
        <v>2</v>
      </c>
      <c r="B30" s="83">
        <v>3</v>
      </c>
      <c r="C30" s="83">
        <v>4</v>
      </c>
      <c r="D30" s="83">
        <v>3</v>
      </c>
      <c r="E30" s="83">
        <v>3</v>
      </c>
      <c r="F30" s="83">
        <v>4</v>
      </c>
      <c r="G30" s="83">
        <v>3</v>
      </c>
      <c r="H30" s="83">
        <v>4</v>
      </c>
      <c r="I30" s="83">
        <v>2</v>
      </c>
      <c r="J30" s="83">
        <v>5</v>
      </c>
      <c r="K30" s="83">
        <v>4</v>
      </c>
      <c r="L30" s="83">
        <v>3</v>
      </c>
    </row>
    <row r="31" spans="1:12" x14ac:dyDescent="0.2">
      <c r="A31" s="83">
        <v>1.5</v>
      </c>
      <c r="B31" s="83">
        <v>2.5</v>
      </c>
      <c r="C31" s="83">
        <v>4</v>
      </c>
      <c r="D31" s="83">
        <v>2</v>
      </c>
      <c r="E31" s="83">
        <v>2</v>
      </c>
      <c r="F31" s="83">
        <v>2.5</v>
      </c>
      <c r="G31" s="83">
        <v>0.5</v>
      </c>
      <c r="H31" s="83">
        <v>3</v>
      </c>
      <c r="I31" s="83">
        <v>1</v>
      </c>
      <c r="J31" s="83">
        <v>3.5</v>
      </c>
      <c r="K31" s="83">
        <v>2</v>
      </c>
      <c r="L31" s="83">
        <v>1.5</v>
      </c>
    </row>
    <row r="32" spans="1:12" x14ac:dyDescent="0.2">
      <c r="A32" s="83">
        <v>1.5</v>
      </c>
      <c r="B32" s="83">
        <v>1</v>
      </c>
      <c r="C32" s="83">
        <v>2.5</v>
      </c>
      <c r="D32" s="83">
        <v>3</v>
      </c>
      <c r="E32" s="83">
        <v>3</v>
      </c>
      <c r="F32" s="83">
        <v>3.5</v>
      </c>
      <c r="G32" s="83">
        <v>0</v>
      </c>
      <c r="H32" s="83">
        <v>0</v>
      </c>
      <c r="I32" s="83">
        <v>2</v>
      </c>
      <c r="J32" s="83">
        <v>0</v>
      </c>
      <c r="K32" s="83">
        <v>0</v>
      </c>
      <c r="L32" s="83">
        <v>0</v>
      </c>
    </row>
    <row r="33" spans="1:12" x14ac:dyDescent="0.2">
      <c r="A33" s="83">
        <v>1.5</v>
      </c>
      <c r="B33" s="83">
        <v>3</v>
      </c>
      <c r="C33" s="83">
        <v>4</v>
      </c>
      <c r="D33" s="83">
        <v>3</v>
      </c>
      <c r="E33" s="83">
        <v>2</v>
      </c>
      <c r="F33" s="83">
        <v>1</v>
      </c>
      <c r="G33" s="83">
        <v>0</v>
      </c>
      <c r="H33" s="83">
        <v>0</v>
      </c>
      <c r="I33" s="83">
        <v>0</v>
      </c>
      <c r="J33" s="83">
        <v>0</v>
      </c>
      <c r="K33" s="83">
        <v>0</v>
      </c>
      <c r="L33" s="83">
        <v>0</v>
      </c>
    </row>
    <row r="34" spans="1:12" x14ac:dyDescent="0.2">
      <c r="A34" s="83">
        <v>0</v>
      </c>
      <c r="B34" s="83">
        <v>1.5</v>
      </c>
      <c r="C34" s="83">
        <v>2.5</v>
      </c>
      <c r="D34" s="83">
        <v>0</v>
      </c>
      <c r="E34" s="83">
        <v>1</v>
      </c>
      <c r="F34" s="83">
        <v>1</v>
      </c>
      <c r="G34" s="83">
        <v>0</v>
      </c>
      <c r="H34" s="83">
        <v>0</v>
      </c>
      <c r="I34" s="83">
        <v>1</v>
      </c>
      <c r="J34" s="83">
        <v>0</v>
      </c>
      <c r="K34" s="83">
        <v>1</v>
      </c>
      <c r="L34" s="83">
        <v>0.5</v>
      </c>
    </row>
    <row r="35" spans="1:12" x14ac:dyDescent="0.2">
      <c r="A35" s="83">
        <v>1</v>
      </c>
      <c r="B35" s="83">
        <v>1.5</v>
      </c>
      <c r="C35" s="83">
        <v>4</v>
      </c>
      <c r="D35" s="83">
        <v>1.5</v>
      </c>
      <c r="E35" s="83">
        <v>2</v>
      </c>
      <c r="F35" s="83">
        <v>3.5</v>
      </c>
      <c r="G35" s="83">
        <v>0</v>
      </c>
      <c r="H35" s="83">
        <v>0</v>
      </c>
      <c r="I35" s="83">
        <v>0</v>
      </c>
      <c r="J35" s="83">
        <v>0</v>
      </c>
      <c r="K35" s="83">
        <v>1</v>
      </c>
      <c r="L35" s="83">
        <v>0</v>
      </c>
    </row>
    <row r="36" spans="1:12" x14ac:dyDescent="0.2">
      <c r="A36" s="83">
        <v>2</v>
      </c>
      <c r="B36" s="83">
        <v>3</v>
      </c>
      <c r="C36" s="83">
        <v>4</v>
      </c>
      <c r="D36" s="83">
        <v>3</v>
      </c>
      <c r="E36" s="83">
        <v>3</v>
      </c>
      <c r="F36" s="83">
        <v>4</v>
      </c>
      <c r="G36" s="83">
        <v>3</v>
      </c>
      <c r="H36" s="83">
        <v>0</v>
      </c>
      <c r="I36" s="83">
        <v>2</v>
      </c>
      <c r="J36" s="83">
        <v>3</v>
      </c>
      <c r="K36" s="83">
        <v>3</v>
      </c>
      <c r="L36" s="83">
        <v>2</v>
      </c>
    </row>
    <row r="37" spans="1:12" x14ac:dyDescent="0.2">
      <c r="A37" s="83">
        <v>0.5</v>
      </c>
      <c r="B37" s="83">
        <v>1.5</v>
      </c>
      <c r="C37" s="83">
        <v>4</v>
      </c>
      <c r="D37" s="83">
        <v>3</v>
      </c>
      <c r="E37" s="83">
        <v>3</v>
      </c>
      <c r="F37" s="83">
        <v>3.5</v>
      </c>
      <c r="G37" s="83">
        <v>0</v>
      </c>
      <c r="H37" s="83">
        <v>0</v>
      </c>
      <c r="I37" s="83">
        <v>2</v>
      </c>
      <c r="J37" s="83">
        <v>4.5</v>
      </c>
      <c r="K37" s="83">
        <v>0</v>
      </c>
      <c r="L37" s="83">
        <v>0</v>
      </c>
    </row>
    <row r="38" spans="1:12" x14ac:dyDescent="0.2">
      <c r="A38" s="83">
        <v>1.5</v>
      </c>
      <c r="B38" s="83">
        <v>2.5</v>
      </c>
      <c r="C38" s="83">
        <v>3</v>
      </c>
      <c r="D38" s="83">
        <v>2.5</v>
      </c>
      <c r="E38" s="83">
        <v>2</v>
      </c>
      <c r="F38" s="83">
        <v>4</v>
      </c>
      <c r="G38" s="83">
        <v>0</v>
      </c>
      <c r="H38" s="83">
        <v>0</v>
      </c>
      <c r="I38" s="83">
        <v>0</v>
      </c>
      <c r="J38" s="83">
        <v>0</v>
      </c>
      <c r="K38" s="83">
        <v>1</v>
      </c>
      <c r="L38" s="83">
        <v>0</v>
      </c>
    </row>
    <row r="39" spans="1:12" x14ac:dyDescent="0.2">
      <c r="A39" s="83">
        <v>1.5</v>
      </c>
      <c r="B39" s="83">
        <v>3</v>
      </c>
      <c r="C39" s="83">
        <v>4</v>
      </c>
      <c r="D39" s="83">
        <v>3</v>
      </c>
      <c r="E39" s="83">
        <v>2.5</v>
      </c>
      <c r="F39" s="83">
        <v>3.5</v>
      </c>
      <c r="G39" s="83">
        <v>0.5</v>
      </c>
      <c r="H39" s="83">
        <v>0</v>
      </c>
      <c r="I39" s="83">
        <v>2</v>
      </c>
      <c r="J39" s="83">
        <v>3.5</v>
      </c>
      <c r="K39" s="83">
        <v>3.5</v>
      </c>
      <c r="L39" s="83">
        <v>0.5</v>
      </c>
    </row>
    <row r="40" spans="1:12" x14ac:dyDescent="0.2">
      <c r="A40" s="83">
        <v>1.5</v>
      </c>
      <c r="B40" s="83">
        <v>3</v>
      </c>
      <c r="C40" s="83">
        <v>4</v>
      </c>
      <c r="D40" s="83">
        <v>3</v>
      </c>
      <c r="E40" s="83">
        <v>3</v>
      </c>
      <c r="F40" s="83">
        <v>4</v>
      </c>
      <c r="G40" s="83">
        <v>0</v>
      </c>
      <c r="H40" s="83">
        <v>1.5</v>
      </c>
      <c r="I40" s="83">
        <v>0</v>
      </c>
      <c r="J40" s="83">
        <v>2</v>
      </c>
      <c r="K40" s="83">
        <v>0</v>
      </c>
      <c r="L40" s="83">
        <v>0</v>
      </c>
    </row>
    <row r="41" spans="1:12" x14ac:dyDescent="0.2">
      <c r="A41" s="83">
        <v>1.5</v>
      </c>
      <c r="B41" s="83">
        <v>1.5</v>
      </c>
      <c r="C41" s="83">
        <v>0</v>
      </c>
      <c r="D41" s="83">
        <v>1.5</v>
      </c>
      <c r="E41" s="83">
        <v>1</v>
      </c>
      <c r="F41" s="83">
        <v>1</v>
      </c>
      <c r="G41" s="83">
        <v>0</v>
      </c>
      <c r="H41" s="83">
        <v>0</v>
      </c>
      <c r="I41" s="83">
        <v>0</v>
      </c>
      <c r="J41" s="83">
        <v>0</v>
      </c>
      <c r="K41" s="83">
        <v>0</v>
      </c>
      <c r="L41" s="83">
        <v>0</v>
      </c>
    </row>
    <row r="42" spans="1:12" x14ac:dyDescent="0.2">
      <c r="A42" s="83">
        <v>1</v>
      </c>
      <c r="B42" s="83">
        <v>2.5</v>
      </c>
      <c r="C42" s="83">
        <v>2</v>
      </c>
      <c r="D42" s="83">
        <v>3</v>
      </c>
      <c r="E42" s="83">
        <v>2.5</v>
      </c>
      <c r="F42" s="83">
        <v>3.5</v>
      </c>
      <c r="G42" s="83">
        <v>0</v>
      </c>
      <c r="H42" s="83">
        <v>0</v>
      </c>
      <c r="I42" s="83">
        <v>1.5</v>
      </c>
      <c r="J42" s="83">
        <v>0</v>
      </c>
      <c r="K42" s="83">
        <v>0</v>
      </c>
      <c r="L42" s="83">
        <v>0</v>
      </c>
    </row>
    <row r="43" spans="1:12" x14ac:dyDescent="0.2">
      <c r="A43" s="83">
        <v>1.5</v>
      </c>
      <c r="B43" s="83">
        <v>2</v>
      </c>
      <c r="C43" s="83">
        <v>3</v>
      </c>
      <c r="D43" s="83">
        <v>0.5</v>
      </c>
      <c r="E43" s="83">
        <v>1</v>
      </c>
      <c r="F43" s="83">
        <v>4</v>
      </c>
      <c r="G43" s="83">
        <v>0.5</v>
      </c>
      <c r="H43" s="83">
        <v>0</v>
      </c>
      <c r="I43" s="83">
        <v>2</v>
      </c>
      <c r="J43" s="83">
        <v>0</v>
      </c>
      <c r="K43" s="83">
        <v>2</v>
      </c>
      <c r="L43" s="83">
        <v>0</v>
      </c>
    </row>
    <row r="44" spans="1:12" x14ac:dyDescent="0.2">
      <c r="A44" s="83">
        <v>1.5</v>
      </c>
      <c r="B44" s="83">
        <v>3</v>
      </c>
      <c r="C44" s="83">
        <v>3.5</v>
      </c>
      <c r="D44" s="83">
        <v>2.5</v>
      </c>
      <c r="E44" s="83">
        <v>2</v>
      </c>
      <c r="F44" s="83">
        <v>3.5</v>
      </c>
      <c r="G44" s="83">
        <v>2</v>
      </c>
      <c r="H44" s="83">
        <v>0</v>
      </c>
      <c r="I44" s="83">
        <v>1.5</v>
      </c>
      <c r="J44" s="83">
        <v>3.5</v>
      </c>
      <c r="K44" s="83">
        <v>3</v>
      </c>
      <c r="L44" s="83">
        <v>0</v>
      </c>
    </row>
    <row r="45" spans="1:12" x14ac:dyDescent="0.2">
      <c r="A45" s="83">
        <v>2</v>
      </c>
      <c r="B45" s="83">
        <v>2.5</v>
      </c>
      <c r="C45" s="83">
        <v>4</v>
      </c>
      <c r="D45" s="83">
        <v>3</v>
      </c>
      <c r="E45" s="83">
        <v>2.5</v>
      </c>
      <c r="F45" s="83">
        <v>3</v>
      </c>
      <c r="G45" s="83">
        <v>3</v>
      </c>
      <c r="H45" s="83">
        <v>0</v>
      </c>
      <c r="I45" s="83">
        <v>2</v>
      </c>
      <c r="J45" s="83">
        <v>4.5</v>
      </c>
      <c r="K45" s="83">
        <v>3</v>
      </c>
      <c r="L45" s="83">
        <v>3</v>
      </c>
    </row>
    <row r="46" spans="1:12" x14ac:dyDescent="0.2">
      <c r="A46" s="83">
        <v>0.5</v>
      </c>
      <c r="B46" s="83">
        <v>3</v>
      </c>
      <c r="C46" s="83">
        <v>4</v>
      </c>
      <c r="D46" s="83">
        <v>2</v>
      </c>
      <c r="E46" s="83">
        <v>2.5</v>
      </c>
      <c r="F46" s="83">
        <v>3</v>
      </c>
      <c r="G46" s="83">
        <v>1.5</v>
      </c>
      <c r="H46" s="83">
        <v>0</v>
      </c>
      <c r="I46" s="83">
        <v>2</v>
      </c>
      <c r="J46" s="83">
        <v>2.5</v>
      </c>
      <c r="K46" s="83">
        <v>2.5</v>
      </c>
      <c r="L46" s="83">
        <v>2.5</v>
      </c>
    </row>
    <row r="47" spans="1:12" x14ac:dyDescent="0.2">
      <c r="A47" s="83">
        <v>1</v>
      </c>
      <c r="B47" s="83">
        <v>2.5</v>
      </c>
      <c r="C47" s="83">
        <v>3.5</v>
      </c>
      <c r="D47" s="83">
        <v>3</v>
      </c>
      <c r="E47" s="83">
        <v>2</v>
      </c>
      <c r="F47" s="83">
        <v>4</v>
      </c>
      <c r="G47" s="83">
        <v>0</v>
      </c>
      <c r="H47" s="83">
        <v>0</v>
      </c>
      <c r="I47" s="83">
        <v>0</v>
      </c>
      <c r="J47" s="83">
        <v>0</v>
      </c>
      <c r="K47" s="83">
        <v>1</v>
      </c>
      <c r="L47" s="83">
        <v>0</v>
      </c>
    </row>
    <row r="49" spans="1:3" x14ac:dyDescent="0.2">
      <c r="A49" s="83">
        <v>2.5</v>
      </c>
      <c r="B49" s="83">
        <v>1</v>
      </c>
      <c r="C49" s="83">
        <v>0.5</v>
      </c>
    </row>
    <row r="50" spans="1:3" x14ac:dyDescent="0.2">
      <c r="A50" s="83">
        <v>5</v>
      </c>
      <c r="B50" s="83">
        <v>1.5</v>
      </c>
      <c r="C50" s="83">
        <v>1</v>
      </c>
    </row>
    <row r="51" spans="1:3" x14ac:dyDescent="0.2">
      <c r="A51" s="83">
        <v>2.5</v>
      </c>
      <c r="B51" s="83">
        <v>0</v>
      </c>
      <c r="C51" s="83">
        <v>1</v>
      </c>
    </row>
    <row r="52" spans="1:3" x14ac:dyDescent="0.2">
      <c r="A52" s="83">
        <v>2.5</v>
      </c>
      <c r="B52" s="83">
        <v>1</v>
      </c>
      <c r="C52" s="83">
        <v>1</v>
      </c>
    </row>
    <row r="53" spans="1:3" x14ac:dyDescent="0.2">
      <c r="A53" s="83">
        <v>2.5</v>
      </c>
      <c r="B53" s="83">
        <v>2</v>
      </c>
      <c r="C53" s="83">
        <v>3</v>
      </c>
    </row>
    <row r="54" spans="1:3" x14ac:dyDescent="0.2">
      <c r="A54" s="83">
        <v>3</v>
      </c>
      <c r="B54" s="83">
        <v>2</v>
      </c>
      <c r="C54" s="83">
        <v>3</v>
      </c>
    </row>
    <row r="55" spans="1:3" x14ac:dyDescent="0.2">
      <c r="A55" s="83">
        <v>5</v>
      </c>
      <c r="B55" s="83">
        <v>2</v>
      </c>
      <c r="C55" s="83">
        <v>3</v>
      </c>
    </row>
    <row r="56" spans="1:3" x14ac:dyDescent="0.2">
      <c r="A56" s="83">
        <v>5</v>
      </c>
      <c r="B56" s="83">
        <v>2</v>
      </c>
      <c r="C56" s="83">
        <v>3</v>
      </c>
    </row>
    <row r="57" spans="1:3" x14ac:dyDescent="0.2">
      <c r="A57" s="83">
        <v>4</v>
      </c>
      <c r="B57" s="83">
        <v>0</v>
      </c>
      <c r="C57" s="83">
        <v>3</v>
      </c>
    </row>
    <row r="58" spans="1:3" x14ac:dyDescent="0.2">
      <c r="A58" s="83">
        <v>2.5</v>
      </c>
      <c r="B58" s="83">
        <v>2</v>
      </c>
      <c r="C58" s="83">
        <v>0</v>
      </c>
    </row>
    <row r="59" spans="1:3" x14ac:dyDescent="0.2">
      <c r="A59" s="83">
        <v>2</v>
      </c>
      <c r="B59" s="83">
        <v>0</v>
      </c>
      <c r="C59" s="83">
        <v>0</v>
      </c>
    </row>
    <row r="60" spans="1:3" x14ac:dyDescent="0.2">
      <c r="A60" s="83">
        <v>2.5</v>
      </c>
      <c r="B60" s="83">
        <v>0</v>
      </c>
      <c r="C60" s="83">
        <v>2</v>
      </c>
    </row>
    <row r="61" spans="1:3" x14ac:dyDescent="0.2">
      <c r="A61" s="83">
        <v>5</v>
      </c>
      <c r="B61" s="83">
        <v>1</v>
      </c>
      <c r="C61" s="83">
        <v>3</v>
      </c>
    </row>
    <row r="62" spans="1:3" x14ac:dyDescent="0.2">
      <c r="A62" s="83">
        <v>5</v>
      </c>
      <c r="B62" s="83">
        <v>1.5</v>
      </c>
      <c r="C62" s="83">
        <v>0.5</v>
      </c>
    </row>
    <row r="63" spans="1:3" x14ac:dyDescent="0.2">
      <c r="A63" s="83">
        <v>2.5</v>
      </c>
      <c r="B63" s="83">
        <v>0</v>
      </c>
      <c r="C63" s="83">
        <v>1</v>
      </c>
    </row>
    <row r="64" spans="1:3" x14ac:dyDescent="0.2">
      <c r="A64" s="83">
        <v>5</v>
      </c>
      <c r="B64" s="83">
        <v>1</v>
      </c>
      <c r="C64" s="83">
        <v>1</v>
      </c>
    </row>
    <row r="65" spans="1:6" x14ac:dyDescent="0.2">
      <c r="A65" s="83">
        <v>5</v>
      </c>
      <c r="B65" s="83">
        <v>1</v>
      </c>
      <c r="C65" s="83">
        <v>3</v>
      </c>
    </row>
    <row r="66" spans="1:6" x14ac:dyDescent="0.2">
      <c r="A66" s="83">
        <v>2.5</v>
      </c>
      <c r="B66" s="83">
        <v>1</v>
      </c>
      <c r="C66" s="83">
        <v>1</v>
      </c>
    </row>
    <row r="67" spans="1:6" x14ac:dyDescent="0.2">
      <c r="A67" s="83">
        <v>5</v>
      </c>
      <c r="B67" s="83">
        <v>0</v>
      </c>
      <c r="C67" s="83">
        <v>0.5</v>
      </c>
    </row>
    <row r="68" spans="1:6" x14ac:dyDescent="0.2">
      <c r="A68" s="83">
        <v>3</v>
      </c>
      <c r="B68" s="83">
        <v>0</v>
      </c>
      <c r="C68" s="83">
        <v>0</v>
      </c>
    </row>
    <row r="69" spans="1:6" x14ac:dyDescent="0.2">
      <c r="A69" s="83">
        <v>4</v>
      </c>
      <c r="B69" s="83">
        <v>1</v>
      </c>
      <c r="C69" s="83">
        <v>1</v>
      </c>
    </row>
    <row r="70" spans="1:6" x14ac:dyDescent="0.2">
      <c r="A70" s="83">
        <v>5</v>
      </c>
      <c r="B70" s="83">
        <v>2</v>
      </c>
      <c r="C70" s="83">
        <v>3</v>
      </c>
    </row>
    <row r="71" spans="1:6" x14ac:dyDescent="0.2">
      <c r="A71" s="83">
        <v>5</v>
      </c>
      <c r="B71" s="83">
        <v>2</v>
      </c>
      <c r="C71" s="83">
        <v>1</v>
      </c>
    </row>
    <row r="73" spans="1:6" x14ac:dyDescent="0.2">
      <c r="A73" s="83">
        <v>2</v>
      </c>
      <c r="B73" s="83">
        <v>2</v>
      </c>
      <c r="C73" s="83">
        <v>2</v>
      </c>
      <c r="D73" s="83">
        <v>4</v>
      </c>
      <c r="E73" s="83">
        <v>3</v>
      </c>
      <c r="F73" s="83">
        <v>7</v>
      </c>
    </row>
    <row r="74" spans="1:6" x14ac:dyDescent="0.2">
      <c r="A74" s="83">
        <v>1</v>
      </c>
      <c r="B74" s="83">
        <v>2</v>
      </c>
      <c r="C74" s="83">
        <v>1</v>
      </c>
      <c r="D74" s="83">
        <v>2</v>
      </c>
      <c r="E74" s="83">
        <v>1</v>
      </c>
      <c r="F74" s="83">
        <v>7</v>
      </c>
    </row>
    <row r="75" spans="1:6" x14ac:dyDescent="0.2">
      <c r="A75" s="83">
        <v>2</v>
      </c>
      <c r="B75" s="83">
        <v>2</v>
      </c>
      <c r="C75" s="83">
        <v>1</v>
      </c>
      <c r="D75" s="83">
        <v>3</v>
      </c>
      <c r="E75" s="83">
        <v>0</v>
      </c>
      <c r="F75" s="83">
        <v>5</v>
      </c>
    </row>
    <row r="76" spans="1:6" x14ac:dyDescent="0.2">
      <c r="A76" s="83">
        <v>2</v>
      </c>
      <c r="B76" s="83">
        <v>2</v>
      </c>
      <c r="C76" s="83">
        <v>1</v>
      </c>
      <c r="D76" s="83">
        <v>4</v>
      </c>
      <c r="E76" s="83">
        <v>0</v>
      </c>
      <c r="F76" s="83">
        <v>6.5</v>
      </c>
    </row>
    <row r="77" spans="1:6" x14ac:dyDescent="0.2">
      <c r="A77" s="83">
        <v>1</v>
      </c>
      <c r="B77" s="83">
        <v>1</v>
      </c>
      <c r="C77" s="83">
        <v>1</v>
      </c>
      <c r="D77" s="83">
        <v>1.5</v>
      </c>
      <c r="E77" s="83">
        <v>0</v>
      </c>
      <c r="F77" s="83">
        <v>4</v>
      </c>
    </row>
    <row r="78" spans="1:6" x14ac:dyDescent="0.2">
      <c r="A78" s="83">
        <v>2</v>
      </c>
      <c r="B78" s="83">
        <v>0.5</v>
      </c>
      <c r="C78" s="83">
        <v>1</v>
      </c>
      <c r="D78" s="83">
        <v>4</v>
      </c>
      <c r="E78" s="83">
        <v>3</v>
      </c>
      <c r="F78" s="83">
        <v>6</v>
      </c>
    </row>
    <row r="79" spans="1:6" x14ac:dyDescent="0.2">
      <c r="A79" s="83">
        <v>2</v>
      </c>
      <c r="B79" s="83">
        <v>2</v>
      </c>
      <c r="C79" s="83">
        <v>2</v>
      </c>
      <c r="D79" s="83">
        <v>2.5</v>
      </c>
      <c r="E79" s="83">
        <v>0</v>
      </c>
      <c r="F79" s="83">
        <v>0.5</v>
      </c>
    </row>
    <row r="80" spans="1:6" x14ac:dyDescent="0.2">
      <c r="A80" s="83">
        <v>2</v>
      </c>
      <c r="B80" s="83">
        <v>2</v>
      </c>
      <c r="C80" s="83">
        <v>2</v>
      </c>
      <c r="D80" s="83">
        <v>2</v>
      </c>
      <c r="E80" s="83">
        <v>0.5</v>
      </c>
      <c r="F80" s="83">
        <v>7</v>
      </c>
    </row>
    <row r="81" spans="1:6" x14ac:dyDescent="0.2">
      <c r="A81" s="83">
        <v>2</v>
      </c>
      <c r="B81" s="83">
        <v>2</v>
      </c>
      <c r="C81" s="83">
        <v>2</v>
      </c>
      <c r="D81" s="83">
        <v>4</v>
      </c>
      <c r="E81" s="83">
        <v>3</v>
      </c>
      <c r="F81" s="83">
        <v>7</v>
      </c>
    </row>
    <row r="82" spans="1:6" x14ac:dyDescent="0.2">
      <c r="A82" s="83">
        <v>2</v>
      </c>
      <c r="B82" s="83">
        <v>2</v>
      </c>
      <c r="C82" s="83">
        <v>2</v>
      </c>
      <c r="D82" s="83">
        <v>2</v>
      </c>
      <c r="E82" s="83">
        <v>0</v>
      </c>
      <c r="F82" s="83">
        <v>7</v>
      </c>
    </row>
    <row r="83" spans="1:6" x14ac:dyDescent="0.2">
      <c r="A83" s="83">
        <v>1</v>
      </c>
      <c r="B83" s="83">
        <v>0</v>
      </c>
      <c r="C83" s="83">
        <v>2</v>
      </c>
      <c r="D83" s="83">
        <v>1.5</v>
      </c>
      <c r="E83" s="83">
        <v>2</v>
      </c>
      <c r="F83" s="83">
        <v>3</v>
      </c>
    </row>
    <row r="84" spans="1:6" x14ac:dyDescent="0.2">
      <c r="A84" s="83">
        <v>2</v>
      </c>
      <c r="B84" s="83">
        <v>2</v>
      </c>
      <c r="C84" s="83">
        <v>1</v>
      </c>
      <c r="D84" s="83">
        <v>0.5</v>
      </c>
      <c r="E84" s="83">
        <v>0</v>
      </c>
      <c r="F84" s="83">
        <v>2</v>
      </c>
    </row>
    <row r="85" spans="1:6" x14ac:dyDescent="0.2">
      <c r="A85" s="83">
        <v>2</v>
      </c>
      <c r="B85" s="83">
        <v>0</v>
      </c>
      <c r="C85" s="83">
        <v>1.5</v>
      </c>
      <c r="D85" s="83">
        <v>0</v>
      </c>
      <c r="E85" s="83">
        <v>2</v>
      </c>
      <c r="F85" s="83">
        <v>0</v>
      </c>
    </row>
    <row r="86" spans="1:6" x14ac:dyDescent="0.2">
      <c r="A86" s="83">
        <v>2</v>
      </c>
      <c r="B86" s="83">
        <v>0</v>
      </c>
      <c r="C86" s="83">
        <v>1</v>
      </c>
      <c r="D86" s="83">
        <v>2</v>
      </c>
      <c r="E86" s="83">
        <v>3</v>
      </c>
      <c r="F86" s="83">
        <v>0</v>
      </c>
    </row>
    <row r="87" spans="1:6" x14ac:dyDescent="0.2">
      <c r="A87" s="83">
        <v>2</v>
      </c>
      <c r="B87" s="83">
        <v>0.5</v>
      </c>
      <c r="C87" s="83">
        <v>1.5</v>
      </c>
      <c r="D87" s="83">
        <v>3</v>
      </c>
      <c r="E87" s="83">
        <v>1</v>
      </c>
      <c r="F87" s="83">
        <v>7</v>
      </c>
    </row>
    <row r="88" spans="1:6" x14ac:dyDescent="0.2">
      <c r="A88" s="83">
        <v>0</v>
      </c>
      <c r="B88" s="83">
        <v>0</v>
      </c>
      <c r="C88" s="83">
        <v>0</v>
      </c>
      <c r="D88" s="83">
        <v>0</v>
      </c>
      <c r="E88" s="83">
        <v>0</v>
      </c>
      <c r="F88" s="83">
        <v>0</v>
      </c>
    </row>
    <row r="89" spans="1:6" x14ac:dyDescent="0.2">
      <c r="A89" s="83">
        <v>1</v>
      </c>
      <c r="B89" s="83">
        <v>1</v>
      </c>
      <c r="C89" s="83">
        <v>1.5</v>
      </c>
      <c r="D89" s="83">
        <v>1</v>
      </c>
      <c r="E89" s="83">
        <v>3</v>
      </c>
      <c r="F89" s="83">
        <v>3</v>
      </c>
    </row>
    <row r="90" spans="1:6" x14ac:dyDescent="0.2">
      <c r="A90" s="83">
        <v>2</v>
      </c>
      <c r="B90" s="83">
        <v>2</v>
      </c>
      <c r="C90" s="83">
        <v>1</v>
      </c>
      <c r="D90" s="83">
        <v>2</v>
      </c>
      <c r="E90" s="83">
        <v>0</v>
      </c>
      <c r="F90" s="83">
        <v>6</v>
      </c>
    </row>
    <row r="91" spans="1:6" x14ac:dyDescent="0.2">
      <c r="A91" s="83">
        <v>2</v>
      </c>
      <c r="B91" s="83">
        <v>0.5</v>
      </c>
      <c r="C91" s="83">
        <v>1.5</v>
      </c>
      <c r="D91" s="83">
        <v>2</v>
      </c>
      <c r="E91" s="83">
        <v>1</v>
      </c>
      <c r="F91" s="83">
        <v>5</v>
      </c>
    </row>
    <row r="92" spans="1:6" x14ac:dyDescent="0.2">
      <c r="A92" s="83">
        <v>2</v>
      </c>
      <c r="B92" s="83">
        <v>0.5</v>
      </c>
      <c r="C92" s="83">
        <v>2</v>
      </c>
      <c r="D92" s="83">
        <v>0</v>
      </c>
      <c r="E92" s="83">
        <v>0</v>
      </c>
      <c r="F92" s="83">
        <v>0</v>
      </c>
    </row>
    <row r="93" spans="1:6" x14ac:dyDescent="0.2">
      <c r="A93" s="83">
        <v>1</v>
      </c>
      <c r="B93" s="83">
        <v>2</v>
      </c>
      <c r="C93" s="83">
        <v>1</v>
      </c>
      <c r="D93" s="83">
        <v>2</v>
      </c>
      <c r="E93" s="83">
        <v>0</v>
      </c>
      <c r="F93" s="83">
        <v>7</v>
      </c>
    </row>
    <row r="94" spans="1:6" x14ac:dyDescent="0.2">
      <c r="A94" s="83">
        <v>2</v>
      </c>
      <c r="B94" s="83">
        <v>0</v>
      </c>
      <c r="C94" s="83">
        <v>2</v>
      </c>
      <c r="D94" s="83">
        <v>1.5</v>
      </c>
      <c r="E94" s="83">
        <v>0</v>
      </c>
      <c r="F94" s="83">
        <v>6</v>
      </c>
    </row>
    <row r="95" spans="1:6" x14ac:dyDescent="0.2">
      <c r="A95" s="83">
        <v>2</v>
      </c>
      <c r="B95" s="83">
        <v>2</v>
      </c>
      <c r="C95" s="83">
        <v>2</v>
      </c>
      <c r="D95" s="83">
        <v>4</v>
      </c>
      <c r="E95" s="83">
        <v>0</v>
      </c>
      <c r="F95" s="83">
        <v>6</v>
      </c>
    </row>
    <row r="97" spans="1:4" x14ac:dyDescent="0.2">
      <c r="A97" s="83">
        <v>0</v>
      </c>
      <c r="B97" s="83">
        <v>0</v>
      </c>
      <c r="C97" s="83">
        <v>1</v>
      </c>
      <c r="D97" s="83">
        <v>0</v>
      </c>
    </row>
    <row r="98" spans="1:4" x14ac:dyDescent="0.2">
      <c r="A98" s="83">
        <v>1.5</v>
      </c>
      <c r="B98" s="83">
        <v>2</v>
      </c>
      <c r="C98" s="83">
        <v>1.5</v>
      </c>
      <c r="D98" s="83">
        <v>2</v>
      </c>
    </row>
    <row r="99" spans="1:4" x14ac:dyDescent="0.2">
      <c r="A99" s="83">
        <v>2</v>
      </c>
      <c r="B99" s="83">
        <v>2.5</v>
      </c>
      <c r="C99" s="83">
        <v>2</v>
      </c>
      <c r="D99" s="83">
        <v>0</v>
      </c>
    </row>
    <row r="100" spans="1:4" x14ac:dyDescent="0.2">
      <c r="A100" s="83">
        <v>2</v>
      </c>
      <c r="B100" s="83">
        <v>1.5</v>
      </c>
      <c r="C100" s="83">
        <v>2</v>
      </c>
      <c r="D100" s="83">
        <v>1</v>
      </c>
    </row>
    <row r="101" spans="1:4" x14ac:dyDescent="0.2">
      <c r="A101" s="83">
        <v>1.5</v>
      </c>
      <c r="B101" s="83">
        <v>2</v>
      </c>
      <c r="C101" s="83">
        <v>2</v>
      </c>
      <c r="D101" s="83">
        <v>2</v>
      </c>
    </row>
    <row r="102" spans="1:4" x14ac:dyDescent="0.2">
      <c r="A102" s="83">
        <v>1.5</v>
      </c>
      <c r="B102" s="83">
        <v>3</v>
      </c>
      <c r="C102" s="83">
        <v>1.5</v>
      </c>
      <c r="D102" s="83">
        <v>2</v>
      </c>
    </row>
    <row r="103" spans="1:4" x14ac:dyDescent="0.2">
      <c r="A103" s="83">
        <v>2</v>
      </c>
      <c r="B103" s="83">
        <v>2.5</v>
      </c>
      <c r="C103" s="83">
        <v>2</v>
      </c>
      <c r="D103" s="83">
        <v>3</v>
      </c>
    </row>
    <row r="104" spans="1:4" x14ac:dyDescent="0.2">
      <c r="A104" s="83">
        <v>2</v>
      </c>
      <c r="B104" s="83">
        <v>2</v>
      </c>
      <c r="C104" s="83">
        <v>2</v>
      </c>
      <c r="D104" s="83">
        <v>3</v>
      </c>
    </row>
    <row r="105" spans="1:4" x14ac:dyDescent="0.2">
      <c r="A105" s="83">
        <v>1.5</v>
      </c>
      <c r="B105" s="83">
        <v>3</v>
      </c>
      <c r="C105" s="83">
        <v>1.5</v>
      </c>
      <c r="D105" s="83">
        <v>1</v>
      </c>
    </row>
    <row r="106" spans="1:4" x14ac:dyDescent="0.2">
      <c r="A106" s="83">
        <v>1</v>
      </c>
      <c r="B106" s="83">
        <v>0</v>
      </c>
      <c r="C106" s="83">
        <v>2</v>
      </c>
      <c r="D106" s="83">
        <v>0.5</v>
      </c>
    </row>
    <row r="107" spans="1:4" x14ac:dyDescent="0.2">
      <c r="A107" s="83">
        <v>2</v>
      </c>
      <c r="B107" s="83">
        <v>0</v>
      </c>
      <c r="C107" s="83">
        <v>2</v>
      </c>
      <c r="D107" s="83">
        <v>0</v>
      </c>
    </row>
    <row r="108" spans="1:4" x14ac:dyDescent="0.2">
      <c r="A108" s="83">
        <v>0.5</v>
      </c>
      <c r="B108" s="83">
        <v>0</v>
      </c>
      <c r="C108" s="83">
        <v>2</v>
      </c>
      <c r="D108" s="83">
        <v>0</v>
      </c>
    </row>
    <row r="109" spans="1:4" x14ac:dyDescent="0.2">
      <c r="A109" s="83">
        <v>1.5</v>
      </c>
      <c r="B109" s="83">
        <v>3</v>
      </c>
      <c r="C109" s="83">
        <v>0</v>
      </c>
      <c r="D109" s="83">
        <v>2</v>
      </c>
    </row>
    <row r="110" spans="1:4" x14ac:dyDescent="0.2">
      <c r="A110" s="83">
        <v>2</v>
      </c>
      <c r="B110" s="83">
        <v>2</v>
      </c>
      <c r="C110" s="83">
        <v>1.5</v>
      </c>
      <c r="D110" s="83">
        <v>2</v>
      </c>
    </row>
    <row r="111" spans="1:4" x14ac:dyDescent="0.2">
      <c r="A111" s="83">
        <v>2</v>
      </c>
      <c r="B111" s="83">
        <v>3</v>
      </c>
      <c r="C111" s="83">
        <v>1.5</v>
      </c>
      <c r="D111" s="83">
        <v>3</v>
      </c>
    </row>
    <row r="112" spans="1:4" x14ac:dyDescent="0.2">
      <c r="A112" s="83">
        <v>2</v>
      </c>
      <c r="B112" s="83">
        <v>2.5</v>
      </c>
      <c r="C112" s="83">
        <v>2</v>
      </c>
      <c r="D112" s="83">
        <v>2</v>
      </c>
    </row>
    <row r="113" spans="1:6" x14ac:dyDescent="0.2">
      <c r="A113" s="83">
        <v>2</v>
      </c>
      <c r="B113" s="83">
        <v>3</v>
      </c>
      <c r="C113" s="83">
        <v>1.5</v>
      </c>
      <c r="D113" s="83">
        <v>0</v>
      </c>
    </row>
    <row r="114" spans="1:6" x14ac:dyDescent="0.2">
      <c r="A114" s="83">
        <v>1</v>
      </c>
      <c r="B114" s="83">
        <v>0</v>
      </c>
      <c r="C114" s="83">
        <v>1</v>
      </c>
      <c r="D114" s="83">
        <v>0</v>
      </c>
    </row>
    <row r="115" spans="1:6" x14ac:dyDescent="0.2">
      <c r="A115" s="83">
        <v>2</v>
      </c>
      <c r="B115" s="83">
        <v>0</v>
      </c>
      <c r="C115" s="83">
        <v>2</v>
      </c>
      <c r="D115" s="83">
        <v>0.5</v>
      </c>
    </row>
    <row r="116" spans="1:6" x14ac:dyDescent="0.2">
      <c r="A116" s="83">
        <v>2</v>
      </c>
      <c r="B116" s="83">
        <v>0</v>
      </c>
      <c r="C116" s="83">
        <v>2</v>
      </c>
      <c r="D116" s="83">
        <v>1</v>
      </c>
    </row>
    <row r="117" spans="1:6" x14ac:dyDescent="0.2">
      <c r="A117" s="83">
        <v>2</v>
      </c>
      <c r="B117" s="83">
        <v>3</v>
      </c>
      <c r="C117" s="83">
        <v>2</v>
      </c>
      <c r="D117" s="83">
        <v>1.5</v>
      </c>
    </row>
    <row r="118" spans="1:6" x14ac:dyDescent="0.2">
      <c r="A118" s="83">
        <v>2</v>
      </c>
      <c r="B118" s="83">
        <v>3</v>
      </c>
      <c r="C118" s="83">
        <v>2</v>
      </c>
      <c r="D118" s="83">
        <v>3</v>
      </c>
    </row>
    <row r="119" spans="1:6" x14ac:dyDescent="0.2">
      <c r="A119" s="83">
        <v>2</v>
      </c>
      <c r="B119" s="83">
        <v>1</v>
      </c>
      <c r="C119" s="83">
        <v>1</v>
      </c>
      <c r="D119" s="83">
        <v>1.5</v>
      </c>
    </row>
    <row r="121" spans="1:6" x14ac:dyDescent="0.2">
      <c r="A121" s="83">
        <v>4</v>
      </c>
      <c r="B121" s="83">
        <v>2</v>
      </c>
      <c r="C121" s="83">
        <v>2</v>
      </c>
      <c r="D121" s="83">
        <v>0.5</v>
      </c>
      <c r="E121" s="83">
        <v>0.5</v>
      </c>
      <c r="F121" s="83">
        <v>0.5</v>
      </c>
    </row>
    <row r="122" spans="1:6" x14ac:dyDescent="0.2">
      <c r="A122" s="83">
        <v>4</v>
      </c>
      <c r="B122" s="83">
        <v>0</v>
      </c>
      <c r="C122" s="83">
        <v>2.5</v>
      </c>
      <c r="D122" s="83">
        <v>0.5</v>
      </c>
      <c r="E122" s="83">
        <v>2</v>
      </c>
      <c r="F122" s="83">
        <v>3</v>
      </c>
    </row>
    <row r="123" spans="1:6" x14ac:dyDescent="0.2">
      <c r="A123" s="83">
        <v>4</v>
      </c>
      <c r="B123" s="83">
        <v>2</v>
      </c>
      <c r="C123" s="83">
        <v>3</v>
      </c>
      <c r="D123" s="83">
        <v>2</v>
      </c>
      <c r="E123" s="83">
        <v>3</v>
      </c>
      <c r="F123" s="83">
        <v>1.5</v>
      </c>
    </row>
    <row r="124" spans="1:6" x14ac:dyDescent="0.2">
      <c r="A124" s="83">
        <v>4</v>
      </c>
      <c r="B124" s="83">
        <v>2</v>
      </c>
      <c r="C124" s="83">
        <v>3.5</v>
      </c>
      <c r="D124" s="83">
        <v>0</v>
      </c>
      <c r="E124" s="83">
        <v>4</v>
      </c>
      <c r="F124" s="83">
        <v>2</v>
      </c>
    </row>
    <row r="125" spans="1:6" x14ac:dyDescent="0.2">
      <c r="A125" s="83">
        <v>4</v>
      </c>
      <c r="B125" s="83">
        <v>2</v>
      </c>
      <c r="C125" s="83">
        <v>3</v>
      </c>
      <c r="D125" s="83">
        <v>0</v>
      </c>
      <c r="E125" s="83">
        <v>3</v>
      </c>
      <c r="F125" s="83">
        <v>2.5</v>
      </c>
    </row>
    <row r="126" spans="1:6" x14ac:dyDescent="0.2">
      <c r="A126" s="83">
        <v>4</v>
      </c>
      <c r="B126" s="83">
        <v>3</v>
      </c>
      <c r="C126" s="83">
        <v>4</v>
      </c>
      <c r="D126" s="83">
        <v>2</v>
      </c>
      <c r="E126" s="83">
        <v>4</v>
      </c>
      <c r="F126" s="83">
        <v>3</v>
      </c>
    </row>
    <row r="127" spans="1:6" x14ac:dyDescent="0.2">
      <c r="A127" s="83">
        <v>4</v>
      </c>
      <c r="B127" s="83">
        <v>3</v>
      </c>
      <c r="C127" s="83">
        <v>3.5</v>
      </c>
      <c r="D127" s="83">
        <v>0.5</v>
      </c>
      <c r="E127" s="83">
        <v>4</v>
      </c>
      <c r="F127" s="83">
        <v>1</v>
      </c>
    </row>
    <row r="128" spans="1:6" x14ac:dyDescent="0.2">
      <c r="A128" s="83">
        <v>3.5</v>
      </c>
      <c r="B128" s="83">
        <v>2</v>
      </c>
      <c r="C128" s="83">
        <v>3.5</v>
      </c>
      <c r="D128" s="83">
        <v>2</v>
      </c>
      <c r="E128" s="83">
        <v>2</v>
      </c>
      <c r="F128" s="83">
        <v>3</v>
      </c>
    </row>
    <row r="129" spans="1:6" x14ac:dyDescent="0.2">
      <c r="A129" s="83">
        <v>2</v>
      </c>
      <c r="B129" s="83">
        <v>0</v>
      </c>
      <c r="C129" s="83">
        <v>1</v>
      </c>
      <c r="D129" s="83">
        <v>1</v>
      </c>
      <c r="E129" s="83">
        <v>0</v>
      </c>
      <c r="F129" s="83">
        <v>2</v>
      </c>
    </row>
    <row r="130" spans="1:6" x14ac:dyDescent="0.2">
      <c r="A130" s="83">
        <v>2.5</v>
      </c>
      <c r="B130" s="83">
        <v>1</v>
      </c>
      <c r="C130" s="83">
        <v>3</v>
      </c>
      <c r="D130" s="83">
        <v>2</v>
      </c>
      <c r="E130" s="83">
        <v>0</v>
      </c>
      <c r="F130" s="83">
        <v>0.5</v>
      </c>
    </row>
    <row r="131" spans="1:6" x14ac:dyDescent="0.2">
      <c r="A131" s="83">
        <v>4</v>
      </c>
      <c r="B131" s="83">
        <v>3</v>
      </c>
      <c r="C131" s="83">
        <v>2</v>
      </c>
      <c r="D131" s="83">
        <v>2</v>
      </c>
      <c r="E131" s="83">
        <v>2</v>
      </c>
      <c r="F131" s="83">
        <v>3</v>
      </c>
    </row>
    <row r="132" spans="1:6" x14ac:dyDescent="0.2">
      <c r="A132" s="83">
        <v>4</v>
      </c>
      <c r="B132" s="83">
        <v>2</v>
      </c>
      <c r="C132" s="83">
        <v>3</v>
      </c>
      <c r="D132" s="83">
        <v>2</v>
      </c>
      <c r="E132" s="83">
        <v>2</v>
      </c>
      <c r="F132" s="83">
        <v>3</v>
      </c>
    </row>
    <row r="133" spans="1:6" x14ac:dyDescent="0.2">
      <c r="A133" s="83">
        <v>3</v>
      </c>
      <c r="B133" s="83">
        <v>0</v>
      </c>
      <c r="C133" s="83">
        <v>0</v>
      </c>
      <c r="D133" s="83">
        <v>0</v>
      </c>
      <c r="E133" s="83">
        <v>0</v>
      </c>
      <c r="F133" s="83">
        <v>0</v>
      </c>
    </row>
    <row r="134" spans="1:6" x14ac:dyDescent="0.2">
      <c r="A134" s="83">
        <v>4</v>
      </c>
      <c r="B134" s="83">
        <v>3</v>
      </c>
      <c r="C134" s="83">
        <v>2</v>
      </c>
      <c r="D134" s="83">
        <v>2</v>
      </c>
      <c r="E134" s="83">
        <v>3.5</v>
      </c>
      <c r="F134" s="83">
        <v>2.5</v>
      </c>
    </row>
    <row r="135" spans="1:6" x14ac:dyDescent="0.2">
      <c r="A135" s="83">
        <v>4</v>
      </c>
      <c r="B135" s="83">
        <v>1</v>
      </c>
      <c r="C135" s="83">
        <v>1</v>
      </c>
      <c r="D135" s="83">
        <v>0.5</v>
      </c>
      <c r="E135" s="83">
        <v>0</v>
      </c>
      <c r="F135" s="83">
        <v>1.5</v>
      </c>
    </row>
    <row r="136" spans="1:6" x14ac:dyDescent="0.2">
      <c r="A136" s="83">
        <v>4</v>
      </c>
      <c r="B136" s="83">
        <v>0.5</v>
      </c>
      <c r="C136" s="83">
        <v>1</v>
      </c>
      <c r="D136" s="83">
        <v>0.5</v>
      </c>
      <c r="E136" s="83">
        <v>0</v>
      </c>
      <c r="F136" s="83">
        <v>0.5</v>
      </c>
    </row>
    <row r="137" spans="1:6" x14ac:dyDescent="0.2">
      <c r="A137" s="83">
        <v>2</v>
      </c>
      <c r="B137" s="83">
        <v>0</v>
      </c>
      <c r="C137" s="83">
        <v>1</v>
      </c>
      <c r="D137" s="83">
        <v>1.5</v>
      </c>
      <c r="E137" s="83">
        <v>0</v>
      </c>
      <c r="F137" s="83">
        <v>0</v>
      </c>
    </row>
    <row r="138" spans="1:6" x14ac:dyDescent="0.2">
      <c r="A138" s="83">
        <v>4</v>
      </c>
      <c r="B138" s="83">
        <v>3</v>
      </c>
      <c r="C138" s="83">
        <v>3</v>
      </c>
      <c r="D138" s="83">
        <v>0</v>
      </c>
      <c r="E138" s="83">
        <v>4</v>
      </c>
      <c r="F138" s="83">
        <v>0</v>
      </c>
    </row>
    <row r="139" spans="1:6" x14ac:dyDescent="0.2">
      <c r="A139" s="83">
        <v>4</v>
      </c>
      <c r="B139" s="83">
        <v>1</v>
      </c>
      <c r="C139" s="83">
        <v>3</v>
      </c>
      <c r="D139" s="83">
        <v>2</v>
      </c>
      <c r="E139" s="83">
        <v>3.5</v>
      </c>
      <c r="F139" s="83">
        <v>2</v>
      </c>
    </row>
    <row r="140" spans="1:6" x14ac:dyDescent="0.2">
      <c r="A140" s="83">
        <v>4</v>
      </c>
      <c r="B140" s="83">
        <v>2</v>
      </c>
      <c r="C140" s="83">
        <v>3</v>
      </c>
      <c r="D140" s="83">
        <v>2</v>
      </c>
      <c r="E140" s="83">
        <v>4</v>
      </c>
      <c r="F140" s="83">
        <v>2</v>
      </c>
    </row>
    <row r="141" spans="1:6" x14ac:dyDescent="0.2">
      <c r="A141" s="83">
        <v>4</v>
      </c>
      <c r="B141" s="83">
        <v>3</v>
      </c>
      <c r="C141" s="83">
        <v>4</v>
      </c>
      <c r="D141" s="83">
        <v>2</v>
      </c>
      <c r="E141" s="83">
        <v>3</v>
      </c>
      <c r="F141" s="83">
        <v>3</v>
      </c>
    </row>
    <row r="142" spans="1:6" x14ac:dyDescent="0.2">
      <c r="A142" s="83">
        <v>4</v>
      </c>
      <c r="B142" s="83">
        <v>2</v>
      </c>
      <c r="C142" s="83">
        <v>4</v>
      </c>
      <c r="D142" s="83">
        <v>2</v>
      </c>
      <c r="E142" s="83">
        <v>2.5</v>
      </c>
      <c r="F142" s="83">
        <v>3</v>
      </c>
    </row>
    <row r="143" spans="1:6" x14ac:dyDescent="0.2">
      <c r="A143" s="83">
        <v>4</v>
      </c>
      <c r="B143" s="83">
        <v>0</v>
      </c>
      <c r="C143" s="83">
        <v>2</v>
      </c>
      <c r="D143" s="83">
        <v>0.5</v>
      </c>
      <c r="E143" s="83">
        <v>0</v>
      </c>
      <c r="F143" s="83">
        <v>0</v>
      </c>
    </row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Config</vt:lpstr>
      <vt:lpstr>Notenspiegel</vt:lpstr>
      <vt:lpstr>TestData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Gesamtnote schr : mündl  = 1:1</dc:title>
  <dc:subject>Berechnung der Note</dc:subject>
  <dc:creator>Karlheinz Stirnkorb</dc:creator>
  <cp:lastModifiedBy>krausertm</cp:lastModifiedBy>
  <cp:lastPrinted>2016-07-22T19:21:37Z</cp:lastPrinted>
  <dcterms:created xsi:type="dcterms:W3CDTF">2006-06-24T21:29:52Z</dcterms:created>
  <dcterms:modified xsi:type="dcterms:W3CDTF">2016-07-22T19:52:35Z</dcterms:modified>
</cp:coreProperties>
</file>