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5B892ABE-F0A5-4018-8BC8-D407B43E3B4F}" xr6:coauthVersionLast="47" xr6:coauthVersionMax="47" xr10:uidLastSave="{00000000-0000-0000-0000-000000000000}"/>
  <bookViews>
    <workbookView xWindow="-120" yWindow="-120" windowWidth="29040" windowHeight="17520" activeTab="9" xr2:uid="{00000000-000D-0000-FFFF-FFFF00000000}"/>
  </bookViews>
  <sheets>
    <sheet name="Noten" sheetId="2602" r:id="rId1"/>
    <sheet name="Analysis A" sheetId="2595" r:id="rId2"/>
    <sheet name="Analysis B" sheetId="2596" r:id="rId3"/>
    <sheet name="Stochastik A" sheetId="2597" r:id="rId4"/>
    <sheet name="Stochastik B" sheetId="2598" r:id="rId5"/>
    <sheet name="Geometrie A" sheetId="2599" r:id="rId6"/>
    <sheet name="Geometrie B" sheetId="2600" r:id="rId7"/>
    <sheet name="Wahlaufgaben" sheetId="2601" r:id="rId8"/>
    <sheet name="ConfigW" sheetId="2603" r:id="rId9"/>
    <sheet name="Config" sheetId="14" r:id="rId10"/>
    <sheet name="Notenspiegel" sheetId="11" r:id="rId11"/>
    <sheet name="TestData" sheetId="1707" state="hidden" r:id="rId12"/>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2602" l="1"/>
  <c r="C7" i="2595"/>
  <c r="J7" i="2595"/>
  <c r="D7" i="2602"/>
  <c r="C7" i="2596"/>
  <c r="N7" i="2596"/>
  <c r="E7" i="2602"/>
  <c r="C7" i="2597"/>
  <c r="E7" i="2597"/>
  <c r="F7" i="2602"/>
  <c r="C7" i="2598"/>
  <c r="I7" i="2598"/>
  <c r="G7" i="2602"/>
  <c r="C7" i="2599"/>
  <c r="F7" i="2599"/>
  <c r="H7" i="2602"/>
  <c r="C7" i="2600"/>
  <c r="I7" i="2600"/>
  <c r="I7" i="2602"/>
  <c r="C7" i="2601"/>
  <c r="I7" i="2601"/>
  <c r="J7" i="2602"/>
  <c r="K7" i="2602"/>
  <c r="L7" i="2602"/>
  <c r="C8" i="2602"/>
  <c r="C8" i="2595"/>
  <c r="J8" i="2595"/>
  <c r="D8" i="2602"/>
  <c r="C8" i="2596"/>
  <c r="N8" i="2596"/>
  <c r="E8" i="2602"/>
  <c r="C8" i="2597"/>
  <c r="E8" i="2597"/>
  <c r="F8" i="2602"/>
  <c r="C8" i="2598"/>
  <c r="I8" i="2598"/>
  <c r="G8" i="2602"/>
  <c r="C8" i="2599"/>
  <c r="F8" i="2599"/>
  <c r="H8" i="2602"/>
  <c r="C8" i="2600"/>
  <c r="I8" i="2600"/>
  <c r="I8" i="2602"/>
  <c r="C8" i="2601"/>
  <c r="I8" i="2601"/>
  <c r="J8" i="2602"/>
  <c r="K8" i="2602"/>
  <c r="L8" i="2602"/>
  <c r="C9" i="2602"/>
  <c r="C9" i="2595"/>
  <c r="J9" i="2595"/>
  <c r="D9" i="2602"/>
  <c r="C9" i="2596"/>
  <c r="N9" i="2596"/>
  <c r="E9" i="2602"/>
  <c r="C9" i="2597"/>
  <c r="E9" i="2597"/>
  <c r="F9" i="2602"/>
  <c r="C9" i="2598"/>
  <c r="I9" i="2598"/>
  <c r="G9" i="2602"/>
  <c r="C9" i="2599"/>
  <c r="F9" i="2599"/>
  <c r="H9" i="2602"/>
  <c r="C9" i="2600"/>
  <c r="I9" i="2600"/>
  <c r="I9" i="2602"/>
  <c r="C9" i="2601"/>
  <c r="I9" i="2601"/>
  <c r="J9" i="2602"/>
  <c r="K9" i="2602"/>
  <c r="L9" i="2602"/>
  <c r="C10" i="2602"/>
  <c r="C10" i="2595"/>
  <c r="J10" i="2595"/>
  <c r="D10" i="2602"/>
  <c r="C10" i="2596"/>
  <c r="N10" i="2596"/>
  <c r="E10" i="2602"/>
  <c r="C10" i="2597"/>
  <c r="E10" i="2597"/>
  <c r="F10" i="2602"/>
  <c r="C10" i="2598"/>
  <c r="I10" i="2598"/>
  <c r="G10" i="2602"/>
  <c r="C10" i="2599"/>
  <c r="F10" i="2599"/>
  <c r="H10" i="2602"/>
  <c r="C10" i="2600"/>
  <c r="I10" i="2600"/>
  <c r="I10" i="2602"/>
  <c r="C10" i="2601"/>
  <c r="I10" i="2601"/>
  <c r="J10" i="2602"/>
  <c r="K10" i="2602"/>
  <c r="L10" i="2602"/>
  <c r="C11" i="2602"/>
  <c r="C11" i="2595"/>
  <c r="J11" i="2595"/>
  <c r="D11" i="2602"/>
  <c r="C11" i="2596"/>
  <c r="N11" i="2596"/>
  <c r="E11" i="2602"/>
  <c r="C11" i="2597"/>
  <c r="E11" i="2597"/>
  <c r="F11" i="2602"/>
  <c r="C11" i="2598"/>
  <c r="I11" i="2598"/>
  <c r="G11" i="2602"/>
  <c r="C11" i="2599"/>
  <c r="F11" i="2599"/>
  <c r="H11" i="2602"/>
  <c r="C11" i="2600"/>
  <c r="I11" i="2600"/>
  <c r="I11" i="2602"/>
  <c r="C11" i="2601"/>
  <c r="I11" i="2601"/>
  <c r="J11" i="2602"/>
  <c r="K11" i="2602"/>
  <c r="L11" i="2602"/>
  <c r="C12" i="2602"/>
  <c r="C12" i="2595"/>
  <c r="J12" i="2595"/>
  <c r="D12" i="2602"/>
  <c r="C12" i="2596"/>
  <c r="N12" i="2596"/>
  <c r="E12" i="2602"/>
  <c r="C12" i="2597"/>
  <c r="E12" i="2597"/>
  <c r="F12" i="2602"/>
  <c r="C12" i="2598"/>
  <c r="I12" i="2598"/>
  <c r="G12" i="2602"/>
  <c r="C12" i="2599"/>
  <c r="F12" i="2599"/>
  <c r="H12" i="2602"/>
  <c r="C12" i="2600"/>
  <c r="I12" i="2600"/>
  <c r="I12" i="2602"/>
  <c r="C12" i="2601"/>
  <c r="I12" i="2601"/>
  <c r="J12" i="2602"/>
  <c r="K12" i="2602"/>
  <c r="L12" i="2602"/>
  <c r="C13" i="2602"/>
  <c r="C13" i="2595"/>
  <c r="J13" i="2595"/>
  <c r="D13" i="2602"/>
  <c r="C13" i="2596"/>
  <c r="N13" i="2596"/>
  <c r="E13" i="2602"/>
  <c r="C13" i="2597"/>
  <c r="E13" i="2597"/>
  <c r="F13" i="2602"/>
  <c r="C13" i="2598"/>
  <c r="I13" i="2598"/>
  <c r="G13" i="2602"/>
  <c r="C13" i="2599"/>
  <c r="F13" i="2599"/>
  <c r="H13" i="2602"/>
  <c r="C13" i="2600"/>
  <c r="I13" i="2600"/>
  <c r="I13" i="2602"/>
  <c r="C13" i="2601"/>
  <c r="I13" i="2601"/>
  <c r="J13" i="2602"/>
  <c r="K13" i="2602"/>
  <c r="L13" i="2602"/>
  <c r="C14" i="2602"/>
  <c r="C14" i="2595"/>
  <c r="J14" i="2595"/>
  <c r="D14" i="2602"/>
  <c r="C14" i="2596"/>
  <c r="N14" i="2596"/>
  <c r="E14" i="2602"/>
  <c r="C14" i="2597"/>
  <c r="E14" i="2597"/>
  <c r="F14" i="2602"/>
  <c r="C14" i="2598"/>
  <c r="I14" i="2598"/>
  <c r="G14" i="2602"/>
  <c r="C14" i="2599"/>
  <c r="F14" i="2599"/>
  <c r="H14" i="2602"/>
  <c r="C14" i="2600"/>
  <c r="I14" i="2600"/>
  <c r="I14" i="2602"/>
  <c r="C14" i="2601"/>
  <c r="I14" i="2601"/>
  <c r="J14" i="2602"/>
  <c r="K14" i="2602"/>
  <c r="L14" i="2602"/>
  <c r="C15" i="2602"/>
  <c r="C15" i="2595"/>
  <c r="J15" i="2595"/>
  <c r="D15" i="2602"/>
  <c r="C15" i="2596"/>
  <c r="N15" i="2596"/>
  <c r="E15" i="2602"/>
  <c r="C15" i="2597"/>
  <c r="E15" i="2597"/>
  <c r="F15" i="2602"/>
  <c r="C15" i="2598"/>
  <c r="I15" i="2598"/>
  <c r="G15" i="2602"/>
  <c r="C15" i="2599"/>
  <c r="F15" i="2599"/>
  <c r="H15" i="2602"/>
  <c r="C15" i="2600"/>
  <c r="I15" i="2600"/>
  <c r="I15" i="2602"/>
  <c r="C15" i="2601"/>
  <c r="I15" i="2601"/>
  <c r="J15" i="2602"/>
  <c r="K15" i="2602"/>
  <c r="L15" i="2602"/>
  <c r="C16" i="2602"/>
  <c r="C16" i="2595"/>
  <c r="J16" i="2595"/>
  <c r="D16" i="2602"/>
  <c r="C16" i="2596"/>
  <c r="N16" i="2596"/>
  <c r="E16" i="2602"/>
  <c r="C16" i="2597"/>
  <c r="E16" i="2597"/>
  <c r="F16" i="2602"/>
  <c r="C16" i="2598"/>
  <c r="I16" i="2598"/>
  <c r="G16" i="2602"/>
  <c r="C16" i="2599"/>
  <c r="F16" i="2599"/>
  <c r="H16" i="2602"/>
  <c r="C16" i="2600"/>
  <c r="I16" i="2600"/>
  <c r="I16" i="2602"/>
  <c r="C16" i="2601"/>
  <c r="I16" i="2601"/>
  <c r="J16" i="2602"/>
  <c r="K16" i="2602"/>
  <c r="L16" i="2602"/>
  <c r="C17" i="2602"/>
  <c r="C17" i="2595"/>
  <c r="J17" i="2595"/>
  <c r="D17" i="2602"/>
  <c r="C17" i="2596"/>
  <c r="N17" i="2596"/>
  <c r="E17" i="2602"/>
  <c r="C17" i="2597"/>
  <c r="E17" i="2597"/>
  <c r="F17" i="2602"/>
  <c r="C17" i="2598"/>
  <c r="I17" i="2598"/>
  <c r="G17" i="2602"/>
  <c r="C17" i="2599"/>
  <c r="F17" i="2599"/>
  <c r="H17" i="2602"/>
  <c r="C17" i="2600"/>
  <c r="I17" i="2600"/>
  <c r="I17" i="2602"/>
  <c r="C17" i="2601"/>
  <c r="I17" i="2601"/>
  <c r="J17" i="2602"/>
  <c r="K17" i="2602"/>
  <c r="L17" i="2602"/>
  <c r="C18" i="2602"/>
  <c r="C18" i="2595"/>
  <c r="J18" i="2595"/>
  <c r="D18" i="2602"/>
  <c r="C18" i="2596"/>
  <c r="N18" i="2596"/>
  <c r="E18" i="2602"/>
  <c r="C18" i="2597"/>
  <c r="E18" i="2597"/>
  <c r="F18" i="2602"/>
  <c r="C18" i="2598"/>
  <c r="I18" i="2598"/>
  <c r="G18" i="2602"/>
  <c r="C18" i="2599"/>
  <c r="F18" i="2599"/>
  <c r="H18" i="2602"/>
  <c r="C18" i="2600"/>
  <c r="I18" i="2600"/>
  <c r="I18" i="2602"/>
  <c r="C18" i="2601"/>
  <c r="I18" i="2601"/>
  <c r="J18" i="2602"/>
  <c r="K18" i="2602"/>
  <c r="L18" i="2602"/>
  <c r="C19" i="2602"/>
  <c r="C19" i="2595"/>
  <c r="J19" i="2595"/>
  <c r="D19" i="2602"/>
  <c r="C19" i="2596"/>
  <c r="N19" i="2596"/>
  <c r="E19" i="2602"/>
  <c r="C19" i="2597"/>
  <c r="E19" i="2597"/>
  <c r="F19" i="2602"/>
  <c r="C19" i="2598"/>
  <c r="I19" i="2598"/>
  <c r="G19" i="2602"/>
  <c r="C19" i="2599"/>
  <c r="F19" i="2599"/>
  <c r="H19" i="2602"/>
  <c r="C19" i="2600"/>
  <c r="I19" i="2600"/>
  <c r="I19" i="2602"/>
  <c r="C19" i="2601"/>
  <c r="I19" i="2601"/>
  <c r="J19" i="2602"/>
  <c r="K19" i="2602"/>
  <c r="L19" i="2602"/>
  <c r="C20" i="2602"/>
  <c r="C20" i="2595"/>
  <c r="J20" i="2595"/>
  <c r="D20" i="2602"/>
  <c r="C20" i="2596"/>
  <c r="N20" i="2596"/>
  <c r="E20" i="2602"/>
  <c r="C20" i="2597"/>
  <c r="E20" i="2597"/>
  <c r="F20" i="2602"/>
  <c r="C20" i="2598"/>
  <c r="I20" i="2598"/>
  <c r="G20" i="2602"/>
  <c r="C20" i="2599"/>
  <c r="F20" i="2599"/>
  <c r="H20" i="2602"/>
  <c r="C20" i="2600"/>
  <c r="I20" i="2600"/>
  <c r="I20" i="2602"/>
  <c r="C20" i="2601"/>
  <c r="I20" i="2601"/>
  <c r="J20" i="2602"/>
  <c r="K20" i="2602"/>
  <c r="L20" i="2602"/>
  <c r="C21" i="2602"/>
  <c r="C21" i="2595"/>
  <c r="J21" i="2595"/>
  <c r="D21" i="2602"/>
  <c r="C21" i="2596"/>
  <c r="N21" i="2596"/>
  <c r="E21" i="2602"/>
  <c r="C21" i="2597"/>
  <c r="E21" i="2597"/>
  <c r="F21" i="2602"/>
  <c r="C21" i="2598"/>
  <c r="I21" i="2598"/>
  <c r="G21" i="2602"/>
  <c r="C21" i="2599"/>
  <c r="F21" i="2599"/>
  <c r="H21" i="2602"/>
  <c r="C21" i="2600"/>
  <c r="I21" i="2600"/>
  <c r="I21" i="2602"/>
  <c r="C21" i="2601"/>
  <c r="I21" i="2601"/>
  <c r="J21" i="2602"/>
  <c r="K21" i="2602"/>
  <c r="L21" i="2602"/>
  <c r="C22" i="2602"/>
  <c r="C22" i="2595"/>
  <c r="J22" i="2595"/>
  <c r="D22" i="2602"/>
  <c r="C22" i="2596"/>
  <c r="N22" i="2596"/>
  <c r="E22" i="2602"/>
  <c r="C22" i="2597"/>
  <c r="E22" i="2597"/>
  <c r="F22" i="2602"/>
  <c r="C22" i="2598"/>
  <c r="I22" i="2598"/>
  <c r="G22" i="2602"/>
  <c r="C22" i="2599"/>
  <c r="F22" i="2599"/>
  <c r="H22" i="2602"/>
  <c r="C22" i="2600"/>
  <c r="I22" i="2600"/>
  <c r="I22" i="2602"/>
  <c r="C22" i="2601"/>
  <c r="I22" i="2601"/>
  <c r="J22" i="2602"/>
  <c r="K22" i="2602"/>
  <c r="L22" i="2602"/>
  <c r="C23" i="2602"/>
  <c r="C23" i="2595"/>
  <c r="J23" i="2595"/>
  <c r="D23" i="2602"/>
  <c r="C23" i="2596"/>
  <c r="N23" i="2596"/>
  <c r="E23" i="2602"/>
  <c r="C23" i="2597"/>
  <c r="E23" i="2597"/>
  <c r="F23" i="2602"/>
  <c r="C23" i="2598"/>
  <c r="I23" i="2598"/>
  <c r="G23" i="2602"/>
  <c r="C23" i="2599"/>
  <c r="F23" i="2599"/>
  <c r="H23" i="2602"/>
  <c r="C23" i="2600"/>
  <c r="I23" i="2600"/>
  <c r="I23" i="2602"/>
  <c r="C23" i="2601"/>
  <c r="I23" i="2601"/>
  <c r="J23" i="2602"/>
  <c r="K23" i="2602"/>
  <c r="L23" i="2602"/>
  <c r="C24" i="2602"/>
  <c r="C24" i="2595"/>
  <c r="J24" i="2595"/>
  <c r="D24" i="2602"/>
  <c r="C24" i="2596"/>
  <c r="N24" i="2596"/>
  <c r="E24" i="2602"/>
  <c r="C24" i="2597"/>
  <c r="E24" i="2597"/>
  <c r="F24" i="2602"/>
  <c r="C24" i="2598"/>
  <c r="I24" i="2598"/>
  <c r="G24" i="2602"/>
  <c r="C24" i="2599"/>
  <c r="F24" i="2599"/>
  <c r="H24" i="2602"/>
  <c r="C24" i="2600"/>
  <c r="I24" i="2600"/>
  <c r="I24" i="2602"/>
  <c r="C24" i="2601"/>
  <c r="I24" i="2601"/>
  <c r="J24" i="2602"/>
  <c r="K24" i="2602"/>
  <c r="L24" i="2602"/>
  <c r="C25" i="2602"/>
  <c r="C25" i="2595"/>
  <c r="J25" i="2595"/>
  <c r="D25" i="2602"/>
  <c r="C25" i="2596"/>
  <c r="N25" i="2596"/>
  <c r="E25" i="2602"/>
  <c r="C25" i="2597"/>
  <c r="E25" i="2597"/>
  <c r="F25" i="2602"/>
  <c r="C25" i="2598"/>
  <c r="I25" i="2598"/>
  <c r="G25" i="2602"/>
  <c r="C25" i="2599"/>
  <c r="F25" i="2599"/>
  <c r="H25" i="2602"/>
  <c r="C25" i="2600"/>
  <c r="I25" i="2600"/>
  <c r="I25" i="2602"/>
  <c r="C25" i="2601"/>
  <c r="I25" i="2601"/>
  <c r="J25" i="2602"/>
  <c r="K25" i="2602"/>
  <c r="L25" i="2602"/>
  <c r="C26" i="2602"/>
  <c r="C26" i="2595"/>
  <c r="J26" i="2595"/>
  <c r="D26" i="2602"/>
  <c r="C26" i="2596"/>
  <c r="N26" i="2596"/>
  <c r="E26" i="2602"/>
  <c r="C26" i="2597"/>
  <c r="E26" i="2597"/>
  <c r="F26" i="2602"/>
  <c r="C26" i="2598"/>
  <c r="I26" i="2598"/>
  <c r="G26" i="2602"/>
  <c r="C26" i="2599"/>
  <c r="F26" i="2599"/>
  <c r="H26" i="2602"/>
  <c r="C26" i="2600"/>
  <c r="I26" i="2600"/>
  <c r="I26" i="2602"/>
  <c r="C26" i="2601"/>
  <c r="I26" i="2601"/>
  <c r="J26" i="2602"/>
  <c r="K26" i="2602"/>
  <c r="L26" i="2602"/>
  <c r="C27" i="2602"/>
  <c r="C27" i="2595"/>
  <c r="J27" i="2595"/>
  <c r="D27" i="2602"/>
  <c r="C27" i="2596"/>
  <c r="N27" i="2596"/>
  <c r="E27" i="2602"/>
  <c r="C27" i="2597"/>
  <c r="E27" i="2597"/>
  <c r="F27" i="2602"/>
  <c r="C27" i="2598"/>
  <c r="I27" i="2598"/>
  <c r="G27" i="2602"/>
  <c r="C27" i="2599"/>
  <c r="F27" i="2599"/>
  <c r="H27" i="2602"/>
  <c r="C27" i="2600"/>
  <c r="I27" i="2600"/>
  <c r="I27" i="2602"/>
  <c r="C27" i="2601"/>
  <c r="I27" i="2601"/>
  <c r="J27" i="2602"/>
  <c r="K27" i="2602"/>
  <c r="L27" i="2602"/>
  <c r="C28" i="2602"/>
  <c r="C28" i="2595"/>
  <c r="J28" i="2595"/>
  <c r="D28" i="2602"/>
  <c r="C28" i="2596"/>
  <c r="N28" i="2596"/>
  <c r="E28" i="2602"/>
  <c r="C28" i="2597"/>
  <c r="E28" i="2597"/>
  <c r="F28" i="2602"/>
  <c r="C28" i="2598"/>
  <c r="I28" i="2598"/>
  <c r="G28" i="2602"/>
  <c r="C28" i="2599"/>
  <c r="F28" i="2599"/>
  <c r="H28" i="2602"/>
  <c r="C28" i="2600"/>
  <c r="I28" i="2600"/>
  <c r="I28" i="2602"/>
  <c r="C28" i="2601"/>
  <c r="I28" i="2601"/>
  <c r="J28" i="2602"/>
  <c r="K28" i="2602"/>
  <c r="L28" i="2602"/>
  <c r="C29" i="2602"/>
  <c r="C29" i="2595"/>
  <c r="J29" i="2595"/>
  <c r="D29" i="2602"/>
  <c r="C29" i="2596"/>
  <c r="N29" i="2596"/>
  <c r="E29" i="2602"/>
  <c r="C29" i="2597"/>
  <c r="E29" i="2597"/>
  <c r="F29" i="2602"/>
  <c r="C29" i="2598"/>
  <c r="I29" i="2598"/>
  <c r="G29" i="2602"/>
  <c r="C29" i="2599"/>
  <c r="F29" i="2599"/>
  <c r="H29" i="2602"/>
  <c r="C29" i="2600"/>
  <c r="I29" i="2600"/>
  <c r="I29" i="2602"/>
  <c r="C29" i="2601"/>
  <c r="I29" i="2601"/>
  <c r="J29" i="2602"/>
  <c r="K29" i="2602"/>
  <c r="L29" i="2602"/>
  <c r="L30" i="2602"/>
  <c r="G21" i="14"/>
  <c r="I21" i="14"/>
  <c r="K21" i="14"/>
  <c r="M21" i="14"/>
  <c r="O21" i="14"/>
  <c r="Q21" i="14"/>
  <c r="H5" i="2603"/>
  <c r="G5" i="2603"/>
  <c r="F5" i="2603"/>
  <c r="E5" i="2603"/>
  <c r="D5" i="2603"/>
  <c r="C29" i="2603"/>
  <c r="C28" i="2603"/>
  <c r="C27" i="2603"/>
  <c r="C26" i="2603"/>
  <c r="C25" i="2603"/>
  <c r="C24" i="2603"/>
  <c r="C23" i="2603"/>
  <c r="C22" i="2603"/>
  <c r="C21" i="2603"/>
  <c r="C20" i="2603"/>
  <c r="C19" i="2603"/>
  <c r="C18" i="2603"/>
  <c r="C17" i="2603"/>
  <c r="C16" i="2603"/>
  <c r="C15" i="2603"/>
  <c r="C14" i="2603"/>
  <c r="C13" i="2603"/>
  <c r="C12" i="2603"/>
  <c r="C11" i="2603"/>
  <c r="C10" i="2603"/>
  <c r="C9" i="2603"/>
  <c r="C8" i="2603"/>
  <c r="C7" i="2603"/>
  <c r="B2" i="2603"/>
  <c r="E3" i="11"/>
  <c r="E17" i="11"/>
  <c r="E49" i="11"/>
  <c r="E59" i="11"/>
  <c r="E79" i="11"/>
  <c r="E85" i="11"/>
  <c r="E98" i="11"/>
  <c r="E114" i="11"/>
  <c r="N29" i="2602"/>
  <c r="E23" i="11"/>
  <c r="E65" i="11"/>
  <c r="E75" i="11"/>
  <c r="E86" i="11"/>
  <c r="E96" i="11"/>
  <c r="E125" i="11"/>
  <c r="E139" i="11"/>
  <c r="N28" i="2602"/>
  <c r="E30" i="11"/>
  <c r="E83" i="11"/>
  <c r="E91" i="11"/>
  <c r="E103" i="11"/>
  <c r="E113" i="11"/>
  <c r="E145" i="11"/>
  <c r="E165" i="11"/>
  <c r="N27" i="2602"/>
  <c r="E76" i="11"/>
  <c r="E82" i="11"/>
  <c r="E95" i="11"/>
  <c r="N26" i="2602"/>
  <c r="E22" i="11"/>
  <c r="E51" i="11"/>
  <c r="E61" i="11"/>
  <c r="E106" i="11"/>
  <c r="E122" i="11"/>
  <c r="N25" i="2602"/>
  <c r="E55" i="11"/>
  <c r="E60" i="11"/>
  <c r="E74" i="11"/>
  <c r="E104" i="11"/>
  <c r="E118" i="11"/>
  <c r="N24" i="2602"/>
  <c r="E5" i="11"/>
  <c r="E18" i="11"/>
  <c r="E28" i="11"/>
  <c r="E43" i="11"/>
  <c r="E53" i="11"/>
  <c r="E62" i="11"/>
  <c r="N23" i="2602"/>
  <c r="E72" i="11"/>
  <c r="E81" i="11"/>
  <c r="E93" i="11"/>
  <c r="E109" i="11"/>
  <c r="N22" i="2602"/>
  <c r="E27" i="11"/>
  <c r="E105" i="11"/>
  <c r="E126" i="11"/>
  <c r="N21" i="2602"/>
  <c r="E71" i="11"/>
  <c r="E87" i="11"/>
  <c r="E124" i="11"/>
  <c r="E138" i="11"/>
  <c r="N20" i="2602"/>
  <c r="E102" i="11"/>
  <c r="E108" i="11"/>
  <c r="N19" i="2602"/>
  <c r="E26" i="11"/>
  <c r="E80" i="11"/>
  <c r="E97" i="11"/>
  <c r="E123" i="11"/>
  <c r="E135" i="11"/>
  <c r="N18" i="2602"/>
  <c r="E16" i="11"/>
  <c r="E47" i="11"/>
  <c r="E64" i="11"/>
  <c r="E90" i="11"/>
  <c r="E100" i="11"/>
  <c r="N17" i="2602"/>
  <c r="E9" i="11"/>
  <c r="E44" i="11"/>
  <c r="E46" i="11"/>
  <c r="E63" i="11"/>
  <c r="N16" i="2602"/>
  <c r="E52" i="11"/>
  <c r="E119" i="11"/>
  <c r="N15" i="2602"/>
  <c r="E21" i="11"/>
  <c r="E54" i="11"/>
  <c r="E89" i="11"/>
  <c r="E115" i="11"/>
  <c r="E129" i="11"/>
  <c r="N14" i="2602"/>
  <c r="E73" i="11"/>
  <c r="E153" i="11"/>
  <c r="N13" i="2602"/>
  <c r="E94" i="11"/>
  <c r="E121" i="11"/>
  <c r="E130" i="11"/>
  <c r="E164" i="11"/>
  <c r="E180" i="11"/>
  <c r="N12" i="2602"/>
  <c r="E31" i="11"/>
  <c r="E88" i="11"/>
  <c r="E131" i="11"/>
  <c r="N11" i="2602"/>
  <c r="E143" i="11"/>
  <c r="N10" i="2602"/>
  <c r="E24" i="11"/>
  <c r="E68" i="11"/>
  <c r="E77" i="11"/>
  <c r="N9" i="2602"/>
  <c r="E56" i="11"/>
  <c r="E66" i="11"/>
  <c r="N8" i="2602"/>
  <c r="E120" i="11"/>
  <c r="E136" i="11"/>
  <c r="E134" i="11"/>
  <c r="N7" i="2602"/>
  <c r="J6" i="2602"/>
  <c r="J30" i="2602"/>
  <c r="I6" i="2602"/>
  <c r="I30" i="2602"/>
  <c r="H6" i="2602"/>
  <c r="H30" i="2602"/>
  <c r="G6" i="2602"/>
  <c r="G30" i="2602"/>
  <c r="F6" i="2602"/>
  <c r="F30" i="2602"/>
  <c r="E6" i="2602"/>
  <c r="E30" i="2602"/>
  <c r="D6" i="2602"/>
  <c r="D30" i="2602"/>
  <c r="M29" i="2602"/>
  <c r="M28" i="2602"/>
  <c r="M27" i="2602"/>
  <c r="M26" i="2602"/>
  <c r="M25" i="2602"/>
  <c r="M24" i="2602"/>
  <c r="M23" i="2602"/>
  <c r="M22" i="2602"/>
  <c r="M21" i="2602"/>
  <c r="M20" i="2602"/>
  <c r="M19" i="2602"/>
  <c r="M18" i="2602"/>
  <c r="M17" i="2602"/>
  <c r="M16" i="2602"/>
  <c r="M15" i="2602"/>
  <c r="M14" i="2602"/>
  <c r="M13" i="2602"/>
  <c r="M12" i="2602"/>
  <c r="M11" i="2602"/>
  <c r="M10" i="2602"/>
  <c r="M9" i="2602"/>
  <c r="M8" i="2602"/>
  <c r="M7" i="2602"/>
  <c r="K6" i="2602"/>
  <c r="M2" i="2602"/>
  <c r="B2" i="2602"/>
  <c r="H6" i="2601"/>
  <c r="H30" i="2601"/>
  <c r="G6" i="2601"/>
  <c r="G30" i="2601"/>
  <c r="F6" i="2601"/>
  <c r="F30" i="2601"/>
  <c r="E6" i="2601"/>
  <c r="E30" i="2601"/>
  <c r="D6" i="2601"/>
  <c r="D30" i="2601"/>
  <c r="I6" i="2601"/>
  <c r="H5" i="2601"/>
  <c r="G5" i="2601"/>
  <c r="F5" i="2601"/>
  <c r="E5" i="2601"/>
  <c r="D5" i="2601"/>
  <c r="I2" i="2601"/>
  <c r="B2" i="2601"/>
  <c r="H6" i="2600"/>
  <c r="H30" i="2600"/>
  <c r="G6" i="2600"/>
  <c r="G30" i="2600"/>
  <c r="F6" i="2600"/>
  <c r="F30" i="2600"/>
  <c r="E6" i="2600"/>
  <c r="E30" i="2600"/>
  <c r="D6" i="2600"/>
  <c r="D30" i="2600"/>
  <c r="I6" i="2600"/>
  <c r="H5" i="2600"/>
  <c r="G5" i="2600"/>
  <c r="F5" i="2600"/>
  <c r="E5" i="2600"/>
  <c r="D5" i="2600"/>
  <c r="I2" i="2600"/>
  <c r="B2" i="2600"/>
  <c r="E6" i="2599"/>
  <c r="E30" i="2599"/>
  <c r="D6" i="2599"/>
  <c r="D30" i="2599"/>
  <c r="F6" i="2599"/>
  <c r="E5" i="2599"/>
  <c r="D5" i="2599"/>
  <c r="F2" i="2599"/>
  <c r="B2" i="2599"/>
  <c r="H6" i="2598"/>
  <c r="H30" i="2598"/>
  <c r="G6" i="2598"/>
  <c r="G30" i="2598"/>
  <c r="F6" i="2598"/>
  <c r="F30" i="2598"/>
  <c r="E6" i="2598"/>
  <c r="E30" i="2598"/>
  <c r="D6" i="2598"/>
  <c r="D30" i="2598"/>
  <c r="I6" i="2598"/>
  <c r="H5" i="2598"/>
  <c r="G5" i="2598"/>
  <c r="F5" i="2598"/>
  <c r="E5" i="2598"/>
  <c r="D5" i="2598"/>
  <c r="I2" i="2598"/>
  <c r="B2" i="2598"/>
  <c r="D6" i="2597"/>
  <c r="D30" i="2597"/>
  <c r="E6" i="2597"/>
  <c r="D5" i="2597"/>
  <c r="E2" i="2597"/>
  <c r="B2" i="2597"/>
  <c r="M6" i="2596"/>
  <c r="M30" i="2596"/>
  <c r="L6" i="2596"/>
  <c r="L30" i="2596"/>
  <c r="K6" i="2596"/>
  <c r="K30" i="2596"/>
  <c r="J6" i="2596"/>
  <c r="J30" i="2596"/>
  <c r="I6" i="2596"/>
  <c r="I30" i="2596"/>
  <c r="H6" i="2596"/>
  <c r="H30" i="2596"/>
  <c r="G6" i="2596"/>
  <c r="G30" i="2596"/>
  <c r="F6" i="2596"/>
  <c r="F30" i="2596"/>
  <c r="E6" i="2596"/>
  <c r="E30" i="2596"/>
  <c r="D6" i="2596"/>
  <c r="D30" i="2596"/>
  <c r="N6" i="2596"/>
  <c r="M5" i="2596"/>
  <c r="L5" i="2596"/>
  <c r="K5" i="2596"/>
  <c r="J5" i="2596"/>
  <c r="I5" i="2596"/>
  <c r="H5" i="2596"/>
  <c r="G5" i="2596"/>
  <c r="F5" i="2596"/>
  <c r="E5" i="2596"/>
  <c r="D5" i="2596"/>
  <c r="N2" i="2596"/>
  <c r="B2" i="2596"/>
  <c r="I6" i="2595"/>
  <c r="I30" i="2595"/>
  <c r="H6" i="2595"/>
  <c r="H30" i="2595"/>
  <c r="G6" i="2595"/>
  <c r="G30" i="2595"/>
  <c r="F6" i="2595"/>
  <c r="F30" i="2595"/>
  <c r="E6" i="2595"/>
  <c r="E30" i="2595"/>
  <c r="D6" i="2595"/>
  <c r="D30" i="2595"/>
  <c r="J6" i="2595"/>
  <c r="I5" i="2595"/>
  <c r="H5" i="2595"/>
  <c r="G5" i="2595"/>
  <c r="F5" i="2595"/>
  <c r="E5" i="2595"/>
  <c r="D5" i="2595"/>
  <c r="J2" i="2595"/>
  <c r="B2" i="2595"/>
  <c r="E99" i="11"/>
  <c r="E112" i="11"/>
  <c r="E29" i="11"/>
  <c r="E92" i="11"/>
  <c r="E15" i="11"/>
  <c r="E42" i="11"/>
  <c r="E157" i="11"/>
  <c r="E107" i="11"/>
  <c r="E137" i="11"/>
  <c r="E57" i="11"/>
  <c r="E67" i="11"/>
  <c r="E110" i="11"/>
  <c r="E11" i="11"/>
  <c r="E34" i="11"/>
  <c r="E84" i="11"/>
  <c r="E39" i="11"/>
  <c r="E117" i="11"/>
  <c r="E36" i="11"/>
  <c r="E101" i="11"/>
  <c r="E78" i="11"/>
  <c r="E32" i="11"/>
  <c r="E70" i="11"/>
  <c r="E35" i="11"/>
  <c r="E40" i="11"/>
  <c r="E58" i="11"/>
  <c r="E151" i="11"/>
  <c r="E133" i="11"/>
  <c r="E142" i="11"/>
  <c r="E176" i="11"/>
  <c r="E37" i="11"/>
  <c r="E116" i="11"/>
  <c r="E111" i="11"/>
  <c r="E38" i="11"/>
  <c r="E132" i="11"/>
  <c r="E128" i="11"/>
  <c r="E13" i="11"/>
  <c r="R21" i="14"/>
  <c r="E7" i="11"/>
  <c r="E146" i="11"/>
  <c r="E181" i="11"/>
  <c r="E160" i="11"/>
  <c r="E198" i="11"/>
  <c r="E149" i="11"/>
  <c r="E25" i="11"/>
  <c r="E69" i="11"/>
  <c r="E148" i="11"/>
  <c r="E147" i="11"/>
  <c r="E161" i="11"/>
  <c r="E20" i="11"/>
  <c r="E127" i="11"/>
  <c r="E159" i="11"/>
  <c r="E33"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141" i="11"/>
  <c r="E50" i="11"/>
  <c r="E48" i="11"/>
  <c r="E45" i="11"/>
  <c r="E41" i="11"/>
  <c r="E19" i="11"/>
  <c r="E14" i="11"/>
  <c r="E12" i="11"/>
  <c r="E10" i="11"/>
  <c r="E8" i="11"/>
  <c r="E6" i="11"/>
  <c r="N21" i="14"/>
  <c r="J21" i="14"/>
  <c r="L21" i="14"/>
  <c r="C45" i="14"/>
  <c r="M30" i="2602" a="1"/>
  <c r="M30" i="260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List>
</comments>
</file>

<file path=xl/sharedStrings.xml><?xml version="1.0" encoding="utf-8"?>
<sst xmlns="http://schemas.openxmlformats.org/spreadsheetml/2006/main" count="457" uniqueCount="127">
  <si>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</si>
  <si>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</si>
  <si>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</si>
  <si>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</si>
  <si>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</si>
  <si>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</si>
  <si>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</si>
  <si>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</si>
  <si>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</si>
  <si>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</si>
  <si>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</si>
  <si>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</si>
  <si>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</si>
  <si>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</si>
  <si>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</si>
  <si>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</si>
  <si>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</si>
  <si>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</si>
  <si>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</si>
  <si>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</si>
  <si>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</si>
  <si>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</si>
  <si>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</si>
  <si>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</si>
  <si>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</si>
  <si>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</si>
  <si>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</si>
  <si>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</si>
  <si>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</si>
  <si>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</si>
  <si>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</si>
  <si>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</si>
  <si>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</si>
  <si>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</si>
  <si>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</si>
  <si>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</si>
  <si>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</si>
  <si>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</si>
  <si>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</si>
  <si>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</si>
  <si>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</si>
  <si>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</si>
  <si>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</si>
  <si>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</si>
  <si>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</si>
  <si>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</si>
  <si>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</si>
  <si>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</si>
  <si>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</si>
  <si>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</si>
  <si>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</si>
  <si>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</si>
  <si>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</si>
  <si>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</si>
  <si>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</si>
  <si>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</si>
  <si>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</si>
  <si>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</si>
  <si>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</si>
  <si>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</si>
  <si>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</si>
  <si>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</si>
  <si>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</si>
  <si>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</si>
  <si>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</si>
  <si>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</si>
  <si>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</si>
  <si>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</si>
  <si>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</si>
  <si>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</si>
  <si>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</si>
  <si>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</si>
  <si>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</si>
  <si>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</si>
  <si>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</si>
  <si>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</si>
  <si>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</si>
  <si>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</si>
  <si>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</si>
  <si>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</si>
  <si>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</si>
  <si>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</si>
  <si>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</si>
  <si>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</si>
  <si>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</si>
  <si>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</si>
  <si>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</si>
  <si>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</si>
  <si>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</si>
  <si>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</si>
  <si>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</si>
  <si>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</si>
  <si>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</si>
  <si>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</si>
  <si>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</si>
  <si>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</si>
  <si>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</si>
  <si>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</si>
  <si>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</si>
  <si>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</si>
  <si>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</si>
  <si>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</si>
  <si>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</si>
  <si>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</si>
  <si>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</si>
  <si>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</si>
  <si>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</si>
  <si>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</si>
  <si>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</si>
  <si>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</si>
  <si>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</si>
  <si>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</si>
  <si>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</si>
  <si>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</si>
  <si>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</si>
  <si>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</si>
  <si>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</si>
  <si>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</si>
  <si>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</si>
  <si>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</si>
  <si>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</si>
  <si>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</si>
  <si>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</si>
  <si>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</si>
  <si>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</si>
  <si>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Button anklicken!</t>
  </si>
  <si>
    <t>Pre-Release! v2.1.0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</si>
</sst>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color theme="0" tint="-0.14999847407452621"/>
      <name val="Arial"/>
      <family val="2"/>
    </font>
    <font>
      <sz val="10"/>
      <name val="Arial"/>
    </font>
    <font>
      <sz val="9"/>
      <color indexed="81"/>
      <name val="Segoe UI"/>
      <family val="2"/>
    </font>
    <font>
      <b/>
      <sz val="10"/>
      <color rgb="FFFF0000"/>
      <name val="Arial"/>
      <family val="2"/>
    </font>
    <font>
      <u/>
      <sz val="10"/>
      <color theme="10"/>
      <name val="Arial"/>
    </font>
    <font>
      <sz val="8"/>
      <name val="Arial"/>
    </font>
    <font>
      <b/>
      <sz val="8"/>
      <color rgb="FF00B0F0"/>
      <name val="Arial"/>
      <family val="2"/>
    </font>
    <font>
      <b/>
      <sz val="10"/>
      <color rgb="FFAF5000"/>
      <name val="Arial"/>
      <family val="2"/>
    </font>
  </fonts>
  <fills count="14">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s>
  <borders count="54">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s>
  <cellStyleXfs count="3">
    <xf numFmtId="0" fontId="0" fillId="0" borderId="0"/>
    <xf numFmtId="9" fontId="7" fillId="0" borderId="0" applyFont="0" applyFill="0" applyBorder="0" applyAlignment="0" applyProtection="0"/>
    <xf numFmtId="0" fontId="10" fillId="0" borderId="0" applyNumberFormat="0" applyFill="0" applyBorder="0" applyAlignment="0" applyProtection="0"/>
  </cellStyleXfs>
  <cellXfs count="212">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6" fillId="4" borderId="0" xfId="0" applyFont="1" applyFill="1"/>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0" fontId="0" fillId="13" borderId="43"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7" xfId="0" applyFont="1" applyFill="1" applyBorder="1" applyAlignment="1">
      <alignment horizontal="center"/>
    </xf>
    <xf numFmtId="1" fontId="4" fillId="4" borderId="25" xfId="0" applyNumberFormat="1" applyFont="1" applyFill="1" applyBorder="1" applyAlignment="1">
      <alignment horizontal="center"/>
    </xf>
    <xf numFmtId="49" fontId="2" fillId="3" borderId="50" xfId="0" applyNumberFormat="1" applyFont="1" applyFill="1" applyBorder="1" applyAlignment="1" applyProtection="1">
      <alignment horizontal="center"/>
      <protection locked="0"/>
    </xf>
    <xf numFmtId="0" fontId="2" fillId="3" borderId="51" xfId="0" applyFont="1" applyFill="1" applyBorder="1" applyAlignment="1" applyProtection="1">
      <alignment horizontal="center"/>
      <protection locked="0"/>
    </xf>
    <xf numFmtId="49" fontId="2" fillId="3" borderId="52" xfId="0" applyNumberFormat="1" applyFont="1" applyFill="1" applyBorder="1" applyAlignment="1" applyProtection="1">
      <alignment horizontal="center"/>
      <protection locked="0"/>
    </xf>
    <xf numFmtId="0" fontId="2" fillId="3" borderId="53" xfId="0" applyFont="1" applyFill="1" applyBorder="1" applyAlignment="1" applyProtection="1">
      <alignment horizontal="center"/>
      <protection locked="0"/>
    </xf>
    <xf numFmtId="0" fontId="0" fillId="5" borderId="23" xfId="0" applyFill="1" applyBorder="1"/>
    <xf numFmtId="1" fontId="12" fillId="3" borderId="6" xfId="0" applyNumberFormat="1" applyFont="1" applyFill="1" applyBorder="1" applyAlignment="1" applyProtection="1">
      <alignment horizontal="center"/>
      <protection locked="0"/>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0" fillId="12" borderId="30" xfId="0" applyFill="1" applyBorder="1" applyAlignment="1">
      <alignment horizontal="center" vertical="center"/>
    </xf>
    <xf numFmtId="0" fontId="0" fillId="12" borderId="37" xfId="0" applyFill="1" applyBorder="1" applyAlignment="1">
      <alignment horizontal="center" vertical="center"/>
    </xf>
    <xf numFmtId="0" fontId="0" fillId="12" borderId="38" xfId="0" applyFill="1" applyBorder="1" applyAlignment="1">
      <alignment horizontal="center" vertical="center"/>
    </xf>
    <xf numFmtId="9" fontId="0" fillId="12" borderId="38" xfId="0" applyNumberFormat="1" applyFill="1" applyBorder="1" applyAlignment="1">
      <alignment horizontal="center" vertical="center"/>
    </xf>
    <xf numFmtId="0" fontId="0" fillId="12" borderId="39" xfId="0" applyFill="1" applyBorder="1"/>
    <xf numFmtId="0" fontId="0" fillId="12" borderId="42" xfId="0" applyFill="1" applyBorder="1"/>
    <xf numFmtId="0" fontId="0" fillId="12" borderId="44" xfId="0" applyFill="1" applyBorder="1"/>
    <xf numFmtId="0" fontId="0" fillId="12" borderId="45" xfId="0" applyFill="1" applyBorder="1"/>
    <xf numFmtId="0" fontId="0" fillId="12" borderId="46" xfId="0" applyFill="1" applyBorder="1"/>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49" fontId="0" fillId="12" borderId="35" xfId="0" applyNumberFormat="1" applyFill="1" applyBorder="1" applyAlignment="1">
      <alignment horizontal="center"/>
    </xf>
    <xf numFmtId="1" fontId="0" fillId="12" borderId="35"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39" xfId="0" applyFill="1" applyBorder="1" applyAlignment="1">
      <alignment horizontal="center" vertical="center"/>
    </xf>
    <xf numFmtId="0" fontId="0" fillId="12" borderId="45" xfId="0" applyFill="1" applyBorder="1" applyAlignment="1">
      <alignment horizontal="center" vertical="center"/>
    </xf>
    <xf numFmtId="0" fontId="0" fillId="12" borderId="41" xfId="0" applyFill="1" applyBorder="1" applyAlignment="1">
      <alignment horizontal="center" vertical="center"/>
    </xf>
    <xf numFmtId="0" fontId="0" fillId="12" borderId="42" xfId="0" applyFill="1" applyBorder="1" applyAlignment="1">
      <alignment horizontal="center" vertical="center"/>
    </xf>
    <xf numFmtId="1" fontId="0" fillId="12" borderId="34" xfId="0" applyNumberFormat="1" applyFill="1" applyBorder="1" applyAlignment="1">
      <alignment horizontal="center"/>
    </xf>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0" fillId="10" borderId="36" xfId="0" applyFill="1" applyBorder="1" applyAlignment="1">
      <alignment horizontal="center" vertical="center"/>
    </xf>
    <xf numFmtId="0" fontId="0" fillId="10" borderId="42" xfId="0" applyFill="1" applyBorder="1" applyAlignment="1">
      <alignment horizontal="center" vertical="center"/>
    </xf>
    <xf numFmtId="0" fontId="0" fillId="10" borderId="39" xfId="0" applyFill="1" applyBorder="1" applyAlignment="1">
      <alignment horizontal="center" vertical="center"/>
    </xf>
    <xf numFmtId="0" fontId="0" fillId="10" borderId="40" xfId="0" applyFill="1" applyBorder="1" applyAlignment="1">
      <alignment horizontal="center" vertical="center"/>
    </xf>
    <xf numFmtId="0" fontId="0" fillId="10" borderId="41" xfId="0" applyFill="1" applyBorder="1" applyAlignment="1">
      <alignment horizontal="center" vertical="center"/>
    </xf>
    <xf numFmtId="0" fontId="0" fillId="10" borderId="43" xfId="0" applyFill="1" applyBorder="1" applyAlignment="1">
      <alignment horizontal="center" vertical="center"/>
    </xf>
    <xf numFmtId="0" fontId="0" fillId="7" borderId="44" xfId="0" applyFill="1" applyBorder="1" applyAlignment="1">
      <alignment horizontal="center" vertical="center"/>
    </xf>
    <xf numFmtId="0" fontId="0" fillId="7" borderId="40" xfId="0" applyFill="1" applyBorder="1" applyAlignment="1">
      <alignment horizontal="center" vertical="center"/>
    </xf>
    <xf numFmtId="0" fontId="0" fillId="8" borderId="45" xfId="0" applyFill="1" applyBorder="1" applyAlignment="1">
      <alignment horizontal="center" vertical="center"/>
    </xf>
    <xf numFmtId="0" fontId="0" fillId="8" borderId="41" xfId="0" applyFill="1" applyBorder="1" applyAlignment="1">
      <alignment horizontal="center" vertical="center"/>
    </xf>
    <xf numFmtId="0" fontId="0" fillId="6" borderId="45" xfId="0" applyFill="1" applyBorder="1" applyAlignment="1">
      <alignment horizontal="center" vertical="center"/>
    </xf>
    <xf numFmtId="0" fontId="0" fillId="6" borderId="41" xfId="0" applyFill="1" applyBorder="1" applyAlignment="1">
      <alignment horizontal="center" vertical="center"/>
    </xf>
    <xf numFmtId="0" fontId="0" fillId="9" borderId="45" xfId="0" applyFill="1" applyBorder="1" applyAlignment="1">
      <alignment horizontal="center" vertical="center"/>
    </xf>
    <xf numFmtId="0" fontId="0" fillId="9" borderId="41" xfId="0" applyFill="1" applyBorder="1" applyAlignment="1">
      <alignment horizontal="center" vertical="center"/>
    </xf>
    <xf numFmtId="0" fontId="0" fillId="7" borderId="45" xfId="0" applyFill="1" applyBorder="1" applyAlignment="1">
      <alignment horizontal="center" vertical="center"/>
    </xf>
    <xf numFmtId="0" fontId="0" fillId="7" borderId="41" xfId="0" applyFill="1" applyBorder="1" applyAlignment="1">
      <alignment horizontal="center" vertical="center"/>
    </xf>
    <xf numFmtId="0" fontId="0" fillId="7" borderId="46" xfId="0" applyFill="1" applyBorder="1" applyAlignment="1">
      <alignment horizontal="center" vertical="center"/>
    </xf>
    <xf numFmtId="0" fontId="0" fillId="7" borderId="43" xfId="0" applyFill="1" applyBorder="1" applyAlignment="1">
      <alignment horizontal="center" vertical="center"/>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10" fillId="5" borderId="2" xfId="2" applyFill="1" applyBorder="1" applyAlignment="1" applyProtection="1">
      <alignment horizontal="center"/>
      <protection locked="0"/>
    </xf>
    <xf numFmtId="0" fontId="10" fillId="5" borderId="3" xfId="2" applyFill="1" applyBorder="1" applyAlignment="1" applyProtection="1">
      <alignment horizontal="center"/>
      <protection locked="0"/>
    </xf>
    <xf numFmtId="0" fontId="10" fillId="5" borderId="4" xfId="2" applyFill="1" applyBorder="1" applyAlignment="1" applyProtection="1">
      <alignment horizontal="center"/>
      <protection locked="0"/>
    </xf>
    <xf numFmtId="0" fontId="10" fillId="5" borderId="5" xfId="2" applyFill="1" applyBorder="1" applyAlignment="1" applyProtection="1">
      <alignment horizontal="center"/>
      <protection locked="0"/>
    </xf>
    <xf numFmtId="0" fontId="10" fillId="5" borderId="0" xfId="2" applyFill="1" applyBorder="1" applyAlignment="1" applyProtection="1">
      <alignment horizontal="center"/>
      <protection locked="0"/>
    </xf>
    <xf numFmtId="0" fontId="10" fillId="5" borderId="6" xfId="2" applyFill="1" applyBorder="1" applyAlignment="1" applyProtection="1">
      <alignment horizontal="center"/>
      <protection locked="0"/>
    </xf>
    <xf numFmtId="0" fontId="13"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9" xfId="0" applyNumberFormat="1" applyFont="1" applyFill="1" applyBorder="1" applyAlignment="1">
      <alignment horizontal="center"/>
    </xf>
    <xf numFmtId="49" fontId="4" fillId="4" borderId="48" xfId="0" applyNumberFormat="1" applyFont="1" applyFill="1" applyBorder="1" applyAlignment="1">
      <alignment horizont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49" fontId="4" fillId="4" borderId="22" xfId="0" applyNumberFormat="1" applyFont="1" applyFill="1" applyBorder="1" applyAlignment="1">
      <alignment horizont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cellXfs>
  <cellStyles count="3">
    <cellStyle name="Link" xfId="2" builtinId="8"/>
    <cellStyle name="Prozent" xfId="1" builtinId="5"/>
    <cellStyle name="Standard" xfId="0" builtinId="0"/>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xdr:col>
      <xdr:colOff>0</xdr:colOff>
      <xdr:row>8</xdr:row>
      <xdr:rowOff>0</xdr:rowOff>
    </xdr:from>
    <xdr:to>
      <xdr:col>4</xdr:col>
      <xdr:colOff>0</xdr:colOff>
      <xdr:row>9</xdr:row>
      <xdr:rowOff>0</xdr:rowOff>
    </xdr:to>
    <xdr:grpSp>
      <xdr:nvGrpSpPr>
        <xdr:cNvPr id="4" name="Cross_D9">
          <a:extLst>
            <a:ext uri="{FF2B5EF4-FFF2-40B4-BE49-F238E27FC236}">
              <a16:creationId xmlns:a16="http://schemas.microsoft.com/office/drawing/2014/main" id="{A0B5C6B7-B823-C662-4FD6-D99D3FE0D4D5}"/>
            </a:ext>
          </a:extLst>
        </xdr:cNvPr>
        <xdr:cNvGrpSpPr/>
      </xdr:nvGrpSpPr>
      <xdr:grpSpPr>
        <a:xfrm>
          <a:off x="2171700" y="1828800"/>
          <a:ext cx="581025" cy="228600"/>
          <a:chOff x="2171700" y="1828800"/>
          <a:chExt cx="581025" cy="228600"/>
        </a:xfrm>
      </xdr:grpSpPr>
      <xdr:cxnSp macro="">
        <xdr:nvCxnSpPr>
          <xdr:cNvPr id="2" name="Gerader Verbinder 1">
            <a:extLst>
              <a:ext uri="{FF2B5EF4-FFF2-40B4-BE49-F238E27FC236}">
                <a16:creationId xmlns:a16="http://schemas.microsoft.com/office/drawing/2014/main" id="{6B86EB37-A516-5CF2-8FF0-D2504B632241}"/>
              </a:ext>
            </a:extLst>
          </xdr:cNvPr>
          <xdr:cNvCxnSpPr/>
        </xdr:nvCxnSpPr>
        <xdr:spPr>
          <a:xfrm>
            <a:off x="217170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 name="Gerader Verbinder 2">
            <a:extLst>
              <a:ext uri="{FF2B5EF4-FFF2-40B4-BE49-F238E27FC236}">
                <a16:creationId xmlns:a16="http://schemas.microsoft.com/office/drawing/2014/main" id="{EC845482-DD12-26CF-1363-3E72C7E6CCB1}"/>
              </a:ext>
            </a:extLst>
          </xdr:cNvPr>
          <xdr:cNvCxnSpPr/>
        </xdr:nvCxnSpPr>
        <xdr:spPr>
          <a:xfrm flipH="1">
            <a:off x="217170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11</xdr:row>
      <xdr:rowOff>0</xdr:rowOff>
    </xdr:from>
    <xdr:to>
      <xdr:col>4</xdr:col>
      <xdr:colOff>0</xdr:colOff>
      <xdr:row>12</xdr:row>
      <xdr:rowOff>0</xdr:rowOff>
    </xdr:to>
    <xdr:grpSp>
      <xdr:nvGrpSpPr>
        <xdr:cNvPr id="7" name="Cross_D12">
          <a:extLst>
            <a:ext uri="{FF2B5EF4-FFF2-40B4-BE49-F238E27FC236}">
              <a16:creationId xmlns:a16="http://schemas.microsoft.com/office/drawing/2014/main" id="{8836E3D3-159B-6C83-50F9-9EC6D9672FA5}"/>
            </a:ext>
          </a:extLst>
        </xdr:cNvPr>
        <xdr:cNvGrpSpPr/>
      </xdr:nvGrpSpPr>
      <xdr:grpSpPr>
        <a:xfrm>
          <a:off x="2171700" y="2514600"/>
          <a:ext cx="581025" cy="228600"/>
          <a:chOff x="2171700" y="2514600"/>
          <a:chExt cx="581025" cy="228600"/>
        </a:xfrm>
      </xdr:grpSpPr>
      <xdr:cxnSp macro="">
        <xdr:nvCxnSpPr>
          <xdr:cNvPr id="5" name="Gerader Verbinder 4">
            <a:extLst>
              <a:ext uri="{FF2B5EF4-FFF2-40B4-BE49-F238E27FC236}">
                <a16:creationId xmlns:a16="http://schemas.microsoft.com/office/drawing/2014/main" id="{11C9B87C-0081-2558-1616-62C2D6CD472B}"/>
              </a:ext>
            </a:extLst>
          </xdr:cNvPr>
          <xdr:cNvCxnSpPr/>
        </xdr:nvCxnSpPr>
        <xdr:spPr>
          <a:xfrm>
            <a:off x="21717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 name="Gerader Verbinder 5">
            <a:extLst>
              <a:ext uri="{FF2B5EF4-FFF2-40B4-BE49-F238E27FC236}">
                <a16:creationId xmlns:a16="http://schemas.microsoft.com/office/drawing/2014/main" id="{A7438408-D70C-97CA-1C09-DFE6C051647A}"/>
              </a:ext>
            </a:extLst>
          </xdr:cNvPr>
          <xdr:cNvCxnSpPr/>
        </xdr:nvCxnSpPr>
        <xdr:spPr>
          <a:xfrm flipH="1">
            <a:off x="21717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12</xdr:row>
      <xdr:rowOff>0</xdr:rowOff>
    </xdr:from>
    <xdr:to>
      <xdr:col>4</xdr:col>
      <xdr:colOff>0</xdr:colOff>
      <xdr:row>13</xdr:row>
      <xdr:rowOff>0</xdr:rowOff>
    </xdr:to>
    <xdr:grpSp>
      <xdr:nvGrpSpPr>
        <xdr:cNvPr id="10" name="Cross_D13">
          <a:extLst>
            <a:ext uri="{FF2B5EF4-FFF2-40B4-BE49-F238E27FC236}">
              <a16:creationId xmlns:a16="http://schemas.microsoft.com/office/drawing/2014/main" id="{63146078-3BB8-D4C5-33B4-CEE19A25E5B7}"/>
            </a:ext>
          </a:extLst>
        </xdr:cNvPr>
        <xdr:cNvGrpSpPr/>
      </xdr:nvGrpSpPr>
      <xdr:grpSpPr>
        <a:xfrm>
          <a:off x="2171700" y="2743200"/>
          <a:ext cx="581025" cy="228600"/>
          <a:chOff x="2171700" y="2743200"/>
          <a:chExt cx="581025" cy="228600"/>
        </a:xfrm>
      </xdr:grpSpPr>
      <xdr:cxnSp macro="">
        <xdr:nvCxnSpPr>
          <xdr:cNvPr id="8" name="Gerader Verbinder 7">
            <a:extLst>
              <a:ext uri="{FF2B5EF4-FFF2-40B4-BE49-F238E27FC236}">
                <a16:creationId xmlns:a16="http://schemas.microsoft.com/office/drawing/2014/main" id="{3C3AB0D0-367F-ED3E-58BA-A423288251F8}"/>
              </a:ext>
            </a:extLst>
          </xdr:cNvPr>
          <xdr:cNvCxnSpPr/>
        </xdr:nvCxnSpPr>
        <xdr:spPr>
          <a:xfrm>
            <a:off x="2171700"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Gerader Verbinder 8">
            <a:extLst>
              <a:ext uri="{FF2B5EF4-FFF2-40B4-BE49-F238E27FC236}">
                <a16:creationId xmlns:a16="http://schemas.microsoft.com/office/drawing/2014/main" id="{5BCA8177-59DE-5AF4-3EDB-5C0A9B05EA9B}"/>
              </a:ext>
            </a:extLst>
          </xdr:cNvPr>
          <xdr:cNvCxnSpPr/>
        </xdr:nvCxnSpPr>
        <xdr:spPr>
          <a:xfrm flipH="1">
            <a:off x="2171700"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13" name="Cross_D14">
          <a:extLst>
            <a:ext uri="{FF2B5EF4-FFF2-40B4-BE49-F238E27FC236}">
              <a16:creationId xmlns:a16="http://schemas.microsoft.com/office/drawing/2014/main" id="{6F1AF8D9-9284-F9FE-7E51-F2DDF811705C}"/>
            </a:ext>
          </a:extLst>
        </xdr:cNvPr>
        <xdr:cNvGrpSpPr/>
      </xdr:nvGrpSpPr>
      <xdr:grpSpPr>
        <a:xfrm>
          <a:off x="2171700" y="2971800"/>
          <a:ext cx="581025" cy="228600"/>
          <a:chOff x="2171700" y="2971800"/>
          <a:chExt cx="581025" cy="228600"/>
        </a:xfrm>
      </xdr:grpSpPr>
      <xdr:cxnSp macro="">
        <xdr:nvCxnSpPr>
          <xdr:cNvPr id="11" name="Gerader Verbinder 10">
            <a:extLst>
              <a:ext uri="{FF2B5EF4-FFF2-40B4-BE49-F238E27FC236}">
                <a16:creationId xmlns:a16="http://schemas.microsoft.com/office/drawing/2014/main" id="{4F064FA4-F3EC-5D64-30EC-0BFC70A435FB}"/>
              </a:ext>
            </a:extLst>
          </xdr:cNvPr>
          <xdr:cNvCxnSpPr/>
        </xdr:nvCxnSpPr>
        <xdr:spPr>
          <a:xfrm>
            <a:off x="217170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 name="Gerader Verbinder 11">
            <a:extLst>
              <a:ext uri="{FF2B5EF4-FFF2-40B4-BE49-F238E27FC236}">
                <a16:creationId xmlns:a16="http://schemas.microsoft.com/office/drawing/2014/main" id="{F6064E3E-5080-0E2D-3B6F-76C522D1B4E9}"/>
              </a:ext>
            </a:extLst>
          </xdr:cNvPr>
          <xdr:cNvCxnSpPr/>
        </xdr:nvCxnSpPr>
        <xdr:spPr>
          <a:xfrm flipH="1">
            <a:off x="217170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15</xdr:row>
      <xdr:rowOff>0</xdr:rowOff>
    </xdr:from>
    <xdr:to>
      <xdr:col>4</xdr:col>
      <xdr:colOff>0</xdr:colOff>
      <xdr:row>16</xdr:row>
      <xdr:rowOff>0</xdr:rowOff>
    </xdr:to>
    <xdr:grpSp>
      <xdr:nvGrpSpPr>
        <xdr:cNvPr id="16" name="Cross_D16">
          <a:extLst>
            <a:ext uri="{FF2B5EF4-FFF2-40B4-BE49-F238E27FC236}">
              <a16:creationId xmlns:a16="http://schemas.microsoft.com/office/drawing/2014/main" id="{27C10976-C6AC-F685-4CAD-432389886701}"/>
            </a:ext>
          </a:extLst>
        </xdr:cNvPr>
        <xdr:cNvGrpSpPr/>
      </xdr:nvGrpSpPr>
      <xdr:grpSpPr>
        <a:xfrm>
          <a:off x="2171700" y="3429000"/>
          <a:ext cx="581025" cy="228600"/>
          <a:chOff x="2171700" y="3429000"/>
          <a:chExt cx="581025" cy="228600"/>
        </a:xfrm>
      </xdr:grpSpPr>
      <xdr:cxnSp macro="">
        <xdr:nvCxnSpPr>
          <xdr:cNvPr id="14" name="Gerader Verbinder 13">
            <a:extLst>
              <a:ext uri="{FF2B5EF4-FFF2-40B4-BE49-F238E27FC236}">
                <a16:creationId xmlns:a16="http://schemas.microsoft.com/office/drawing/2014/main" id="{451507BC-0550-5D01-AF11-FFE783CFDE15}"/>
              </a:ext>
            </a:extLst>
          </xdr:cNvPr>
          <xdr:cNvCxnSpPr/>
        </xdr:nvCxnSpPr>
        <xdr:spPr>
          <a:xfrm>
            <a:off x="21717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Gerader Verbinder 14">
            <a:extLst>
              <a:ext uri="{FF2B5EF4-FFF2-40B4-BE49-F238E27FC236}">
                <a16:creationId xmlns:a16="http://schemas.microsoft.com/office/drawing/2014/main" id="{F6DE72EE-EBE5-6C9A-D614-A68E583D9802}"/>
              </a:ext>
            </a:extLst>
          </xdr:cNvPr>
          <xdr:cNvCxnSpPr/>
        </xdr:nvCxnSpPr>
        <xdr:spPr>
          <a:xfrm flipH="1">
            <a:off x="21717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19</xdr:row>
      <xdr:rowOff>0</xdr:rowOff>
    </xdr:from>
    <xdr:to>
      <xdr:col>4</xdr:col>
      <xdr:colOff>0</xdr:colOff>
      <xdr:row>20</xdr:row>
      <xdr:rowOff>0</xdr:rowOff>
    </xdr:to>
    <xdr:grpSp>
      <xdr:nvGrpSpPr>
        <xdr:cNvPr id="19" name="Cross_D20">
          <a:extLst>
            <a:ext uri="{FF2B5EF4-FFF2-40B4-BE49-F238E27FC236}">
              <a16:creationId xmlns:a16="http://schemas.microsoft.com/office/drawing/2014/main" id="{08718BA1-AD52-13C6-057F-ACDE65045554}"/>
            </a:ext>
          </a:extLst>
        </xdr:cNvPr>
        <xdr:cNvGrpSpPr/>
      </xdr:nvGrpSpPr>
      <xdr:grpSpPr>
        <a:xfrm>
          <a:off x="2171700" y="4343400"/>
          <a:ext cx="581025" cy="228600"/>
          <a:chOff x="2171700" y="4343400"/>
          <a:chExt cx="581025" cy="228600"/>
        </a:xfrm>
      </xdr:grpSpPr>
      <xdr:cxnSp macro="">
        <xdr:nvCxnSpPr>
          <xdr:cNvPr id="17" name="Gerader Verbinder 16">
            <a:extLst>
              <a:ext uri="{FF2B5EF4-FFF2-40B4-BE49-F238E27FC236}">
                <a16:creationId xmlns:a16="http://schemas.microsoft.com/office/drawing/2014/main" id="{448C6712-2F1E-0569-72E1-86919C36524E}"/>
              </a:ext>
            </a:extLst>
          </xdr:cNvPr>
          <xdr:cNvCxnSpPr/>
        </xdr:nvCxnSpPr>
        <xdr:spPr>
          <a:xfrm>
            <a:off x="217170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 name="Gerader Verbinder 17">
            <a:extLst>
              <a:ext uri="{FF2B5EF4-FFF2-40B4-BE49-F238E27FC236}">
                <a16:creationId xmlns:a16="http://schemas.microsoft.com/office/drawing/2014/main" id="{D31DC8FF-4093-F81D-9FE6-50BF8751845F}"/>
              </a:ext>
            </a:extLst>
          </xdr:cNvPr>
          <xdr:cNvCxnSpPr/>
        </xdr:nvCxnSpPr>
        <xdr:spPr>
          <a:xfrm flipH="1">
            <a:off x="217170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20</xdr:row>
      <xdr:rowOff>0</xdr:rowOff>
    </xdr:from>
    <xdr:to>
      <xdr:col>4</xdr:col>
      <xdr:colOff>0</xdr:colOff>
      <xdr:row>21</xdr:row>
      <xdr:rowOff>0</xdr:rowOff>
    </xdr:to>
    <xdr:grpSp>
      <xdr:nvGrpSpPr>
        <xdr:cNvPr id="22" name="Cross_D21">
          <a:extLst>
            <a:ext uri="{FF2B5EF4-FFF2-40B4-BE49-F238E27FC236}">
              <a16:creationId xmlns:a16="http://schemas.microsoft.com/office/drawing/2014/main" id="{2789B6C0-667D-8BFD-333F-D698ECCCB9CF}"/>
            </a:ext>
          </a:extLst>
        </xdr:cNvPr>
        <xdr:cNvGrpSpPr/>
      </xdr:nvGrpSpPr>
      <xdr:grpSpPr>
        <a:xfrm>
          <a:off x="2171700" y="4572000"/>
          <a:ext cx="581025" cy="228600"/>
          <a:chOff x="2171700" y="4572000"/>
          <a:chExt cx="581025" cy="228600"/>
        </a:xfrm>
      </xdr:grpSpPr>
      <xdr:cxnSp macro="">
        <xdr:nvCxnSpPr>
          <xdr:cNvPr id="20" name="Gerader Verbinder 19">
            <a:extLst>
              <a:ext uri="{FF2B5EF4-FFF2-40B4-BE49-F238E27FC236}">
                <a16:creationId xmlns:a16="http://schemas.microsoft.com/office/drawing/2014/main" id="{427394B9-BC23-D842-FC79-580AA72B9AFF}"/>
              </a:ext>
            </a:extLst>
          </xdr:cNvPr>
          <xdr:cNvCxnSpPr/>
        </xdr:nvCxnSpPr>
        <xdr:spPr>
          <a:xfrm>
            <a:off x="2171700"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 name="Gerader Verbinder 20">
            <a:extLst>
              <a:ext uri="{FF2B5EF4-FFF2-40B4-BE49-F238E27FC236}">
                <a16:creationId xmlns:a16="http://schemas.microsoft.com/office/drawing/2014/main" id="{EC3AE0D5-70F7-1187-B195-5851DBA59245}"/>
              </a:ext>
            </a:extLst>
          </xdr:cNvPr>
          <xdr:cNvCxnSpPr/>
        </xdr:nvCxnSpPr>
        <xdr:spPr>
          <a:xfrm flipH="1">
            <a:off x="2171700"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25" name="Cross_D22">
          <a:extLst>
            <a:ext uri="{FF2B5EF4-FFF2-40B4-BE49-F238E27FC236}">
              <a16:creationId xmlns:a16="http://schemas.microsoft.com/office/drawing/2014/main" id="{725337BB-468C-153F-B9C0-CA0C1E0A7A01}"/>
            </a:ext>
          </a:extLst>
        </xdr:cNvPr>
        <xdr:cNvGrpSpPr/>
      </xdr:nvGrpSpPr>
      <xdr:grpSpPr>
        <a:xfrm>
          <a:off x="2171700" y="4800600"/>
          <a:ext cx="581025" cy="228600"/>
          <a:chOff x="2171700" y="4800600"/>
          <a:chExt cx="581025" cy="228600"/>
        </a:xfrm>
      </xdr:grpSpPr>
      <xdr:cxnSp macro="">
        <xdr:nvCxnSpPr>
          <xdr:cNvPr id="23" name="Gerader Verbinder 22">
            <a:extLst>
              <a:ext uri="{FF2B5EF4-FFF2-40B4-BE49-F238E27FC236}">
                <a16:creationId xmlns:a16="http://schemas.microsoft.com/office/drawing/2014/main" id="{C6DA46E4-4913-0A9F-8598-850E28E11A6A}"/>
              </a:ext>
            </a:extLst>
          </xdr:cNvPr>
          <xdr:cNvCxnSpPr/>
        </xdr:nvCxnSpPr>
        <xdr:spPr>
          <a:xfrm>
            <a:off x="21717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 name="Gerader Verbinder 23">
            <a:extLst>
              <a:ext uri="{FF2B5EF4-FFF2-40B4-BE49-F238E27FC236}">
                <a16:creationId xmlns:a16="http://schemas.microsoft.com/office/drawing/2014/main" id="{9776A60D-356B-31A0-A2DE-7B923CB0C67B}"/>
              </a:ext>
            </a:extLst>
          </xdr:cNvPr>
          <xdr:cNvCxnSpPr/>
        </xdr:nvCxnSpPr>
        <xdr:spPr>
          <a:xfrm flipH="1">
            <a:off x="21717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28" name="Cross_D24">
          <a:extLst>
            <a:ext uri="{FF2B5EF4-FFF2-40B4-BE49-F238E27FC236}">
              <a16:creationId xmlns:a16="http://schemas.microsoft.com/office/drawing/2014/main" id="{8D0244C8-D67A-2869-265D-F817005D09DD}"/>
            </a:ext>
          </a:extLst>
        </xdr:cNvPr>
        <xdr:cNvGrpSpPr/>
      </xdr:nvGrpSpPr>
      <xdr:grpSpPr>
        <a:xfrm>
          <a:off x="2171700" y="5257800"/>
          <a:ext cx="581025" cy="228600"/>
          <a:chOff x="2171700" y="5257800"/>
          <a:chExt cx="581025" cy="228600"/>
        </a:xfrm>
      </xdr:grpSpPr>
      <xdr:cxnSp macro="">
        <xdr:nvCxnSpPr>
          <xdr:cNvPr id="26" name="Gerader Verbinder 25">
            <a:extLst>
              <a:ext uri="{FF2B5EF4-FFF2-40B4-BE49-F238E27FC236}">
                <a16:creationId xmlns:a16="http://schemas.microsoft.com/office/drawing/2014/main" id="{1B46E2F6-5962-FA75-33D1-26BDC6F6A5DA}"/>
              </a:ext>
            </a:extLst>
          </xdr:cNvPr>
          <xdr:cNvCxnSpPr/>
        </xdr:nvCxnSpPr>
        <xdr:spPr>
          <a:xfrm>
            <a:off x="217170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 name="Gerader Verbinder 26">
            <a:extLst>
              <a:ext uri="{FF2B5EF4-FFF2-40B4-BE49-F238E27FC236}">
                <a16:creationId xmlns:a16="http://schemas.microsoft.com/office/drawing/2014/main" id="{649B6EB6-0037-3EF9-9FB6-0EF251CCE4B8}"/>
              </a:ext>
            </a:extLst>
          </xdr:cNvPr>
          <xdr:cNvCxnSpPr/>
        </xdr:nvCxnSpPr>
        <xdr:spPr>
          <a:xfrm flipH="1">
            <a:off x="217170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31" name="Cross_D25">
          <a:extLst>
            <a:ext uri="{FF2B5EF4-FFF2-40B4-BE49-F238E27FC236}">
              <a16:creationId xmlns:a16="http://schemas.microsoft.com/office/drawing/2014/main" id="{2F5EF23B-C5D0-5448-F6EC-B4939A94A21B}"/>
            </a:ext>
          </a:extLst>
        </xdr:cNvPr>
        <xdr:cNvGrpSpPr/>
      </xdr:nvGrpSpPr>
      <xdr:grpSpPr>
        <a:xfrm>
          <a:off x="2171700" y="5486400"/>
          <a:ext cx="581025" cy="228600"/>
          <a:chOff x="2171700" y="5486400"/>
          <a:chExt cx="581025" cy="228600"/>
        </a:xfrm>
      </xdr:grpSpPr>
      <xdr:cxnSp macro="">
        <xdr:nvCxnSpPr>
          <xdr:cNvPr id="29" name="Gerader Verbinder 28">
            <a:extLst>
              <a:ext uri="{FF2B5EF4-FFF2-40B4-BE49-F238E27FC236}">
                <a16:creationId xmlns:a16="http://schemas.microsoft.com/office/drawing/2014/main" id="{72F4E5F5-858D-F115-8D82-2449D25848CB}"/>
              </a:ext>
            </a:extLst>
          </xdr:cNvPr>
          <xdr:cNvCxnSpPr/>
        </xdr:nvCxnSpPr>
        <xdr:spPr>
          <a:xfrm>
            <a:off x="217170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 name="Gerader Verbinder 29">
            <a:extLst>
              <a:ext uri="{FF2B5EF4-FFF2-40B4-BE49-F238E27FC236}">
                <a16:creationId xmlns:a16="http://schemas.microsoft.com/office/drawing/2014/main" id="{30A77154-18A0-175F-3939-F3AD0BC1A9C5}"/>
              </a:ext>
            </a:extLst>
          </xdr:cNvPr>
          <xdr:cNvCxnSpPr/>
        </xdr:nvCxnSpPr>
        <xdr:spPr>
          <a:xfrm flipH="1">
            <a:off x="217170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xdr:row>
      <xdr:rowOff>0</xdr:rowOff>
    </xdr:from>
    <xdr:to>
      <xdr:col>5</xdr:col>
      <xdr:colOff>0</xdr:colOff>
      <xdr:row>7</xdr:row>
      <xdr:rowOff>0</xdr:rowOff>
    </xdr:to>
    <xdr:grpSp>
      <xdr:nvGrpSpPr>
        <xdr:cNvPr id="34" name="Cross_E7">
          <a:extLst>
            <a:ext uri="{FF2B5EF4-FFF2-40B4-BE49-F238E27FC236}">
              <a16:creationId xmlns:a16="http://schemas.microsoft.com/office/drawing/2014/main" id="{62AA3659-0C62-74CC-EBC4-733E42557CA6}"/>
            </a:ext>
          </a:extLst>
        </xdr:cNvPr>
        <xdr:cNvGrpSpPr/>
      </xdr:nvGrpSpPr>
      <xdr:grpSpPr>
        <a:xfrm>
          <a:off x="2752725" y="1371600"/>
          <a:ext cx="581025" cy="228600"/>
          <a:chOff x="2752725" y="1371600"/>
          <a:chExt cx="581025" cy="228600"/>
        </a:xfrm>
      </xdr:grpSpPr>
      <xdr:cxnSp macro="">
        <xdr:nvCxnSpPr>
          <xdr:cNvPr id="32" name="Gerader Verbinder 31">
            <a:extLst>
              <a:ext uri="{FF2B5EF4-FFF2-40B4-BE49-F238E27FC236}">
                <a16:creationId xmlns:a16="http://schemas.microsoft.com/office/drawing/2014/main" id="{D7F8F857-DC76-9F87-2F64-A2A24A297668}"/>
              </a:ext>
            </a:extLst>
          </xdr:cNvPr>
          <xdr:cNvCxnSpPr/>
        </xdr:nvCxnSpPr>
        <xdr:spPr>
          <a:xfrm>
            <a:off x="275272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 name="Gerader Verbinder 32">
            <a:extLst>
              <a:ext uri="{FF2B5EF4-FFF2-40B4-BE49-F238E27FC236}">
                <a16:creationId xmlns:a16="http://schemas.microsoft.com/office/drawing/2014/main" id="{04E87E92-706F-EE85-AD4C-C9465B59A894}"/>
              </a:ext>
            </a:extLst>
          </xdr:cNvPr>
          <xdr:cNvCxnSpPr/>
        </xdr:nvCxnSpPr>
        <xdr:spPr>
          <a:xfrm flipH="1">
            <a:off x="275272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xdr:row>
      <xdr:rowOff>0</xdr:rowOff>
    </xdr:from>
    <xdr:to>
      <xdr:col>5</xdr:col>
      <xdr:colOff>0</xdr:colOff>
      <xdr:row>8</xdr:row>
      <xdr:rowOff>0</xdr:rowOff>
    </xdr:to>
    <xdr:grpSp>
      <xdr:nvGrpSpPr>
        <xdr:cNvPr id="37" name="Cross_E8">
          <a:extLst>
            <a:ext uri="{FF2B5EF4-FFF2-40B4-BE49-F238E27FC236}">
              <a16:creationId xmlns:a16="http://schemas.microsoft.com/office/drawing/2014/main" id="{F69E384D-DF43-67F9-BF99-B51624A51A62}"/>
            </a:ext>
          </a:extLst>
        </xdr:cNvPr>
        <xdr:cNvGrpSpPr/>
      </xdr:nvGrpSpPr>
      <xdr:grpSpPr>
        <a:xfrm>
          <a:off x="2752725" y="1600200"/>
          <a:ext cx="581025" cy="228600"/>
          <a:chOff x="2752725" y="1600200"/>
          <a:chExt cx="581025" cy="228600"/>
        </a:xfrm>
      </xdr:grpSpPr>
      <xdr:cxnSp macro="">
        <xdr:nvCxnSpPr>
          <xdr:cNvPr id="35" name="Gerader Verbinder 34">
            <a:extLst>
              <a:ext uri="{FF2B5EF4-FFF2-40B4-BE49-F238E27FC236}">
                <a16:creationId xmlns:a16="http://schemas.microsoft.com/office/drawing/2014/main" id="{A5EEA76A-CCB2-5D00-C71D-D8796566AA8C}"/>
              </a:ext>
            </a:extLst>
          </xdr:cNvPr>
          <xdr:cNvCxnSpPr/>
        </xdr:nvCxnSpPr>
        <xdr:spPr>
          <a:xfrm>
            <a:off x="2752725"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 name="Gerader Verbinder 35">
            <a:extLst>
              <a:ext uri="{FF2B5EF4-FFF2-40B4-BE49-F238E27FC236}">
                <a16:creationId xmlns:a16="http://schemas.microsoft.com/office/drawing/2014/main" id="{AD44995C-D18C-1561-4C56-D8226072862C}"/>
              </a:ext>
            </a:extLst>
          </xdr:cNvPr>
          <xdr:cNvCxnSpPr/>
        </xdr:nvCxnSpPr>
        <xdr:spPr>
          <a:xfrm flipH="1">
            <a:off x="2752725"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8</xdr:row>
      <xdr:rowOff>0</xdr:rowOff>
    </xdr:from>
    <xdr:to>
      <xdr:col>5</xdr:col>
      <xdr:colOff>0</xdr:colOff>
      <xdr:row>9</xdr:row>
      <xdr:rowOff>0</xdr:rowOff>
    </xdr:to>
    <xdr:grpSp>
      <xdr:nvGrpSpPr>
        <xdr:cNvPr id="40" name="Cross_E9">
          <a:extLst>
            <a:ext uri="{FF2B5EF4-FFF2-40B4-BE49-F238E27FC236}">
              <a16:creationId xmlns:a16="http://schemas.microsoft.com/office/drawing/2014/main" id="{7B1FCA3E-19F4-1FDB-69DE-CE26AE5D8676}"/>
            </a:ext>
          </a:extLst>
        </xdr:cNvPr>
        <xdr:cNvGrpSpPr/>
      </xdr:nvGrpSpPr>
      <xdr:grpSpPr>
        <a:xfrm>
          <a:off x="2752725" y="1828800"/>
          <a:ext cx="581025" cy="228600"/>
          <a:chOff x="2752725" y="1828800"/>
          <a:chExt cx="581025" cy="228600"/>
        </a:xfrm>
      </xdr:grpSpPr>
      <xdr:cxnSp macro="">
        <xdr:nvCxnSpPr>
          <xdr:cNvPr id="38" name="Gerader Verbinder 37">
            <a:extLst>
              <a:ext uri="{FF2B5EF4-FFF2-40B4-BE49-F238E27FC236}">
                <a16:creationId xmlns:a16="http://schemas.microsoft.com/office/drawing/2014/main" id="{F3AF22E9-F29E-7798-314A-D2CE510B2449}"/>
              </a:ext>
            </a:extLst>
          </xdr:cNvPr>
          <xdr:cNvCxnSpPr/>
        </xdr:nvCxnSpPr>
        <xdr:spPr>
          <a:xfrm>
            <a:off x="2752725"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 name="Gerader Verbinder 38">
            <a:extLst>
              <a:ext uri="{FF2B5EF4-FFF2-40B4-BE49-F238E27FC236}">
                <a16:creationId xmlns:a16="http://schemas.microsoft.com/office/drawing/2014/main" id="{79C3FF31-CF2C-2520-2F7E-3BDAAB4D6502}"/>
              </a:ext>
            </a:extLst>
          </xdr:cNvPr>
          <xdr:cNvCxnSpPr/>
        </xdr:nvCxnSpPr>
        <xdr:spPr>
          <a:xfrm flipH="1">
            <a:off x="2752725"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43" name="Cross_E11">
          <a:extLst>
            <a:ext uri="{FF2B5EF4-FFF2-40B4-BE49-F238E27FC236}">
              <a16:creationId xmlns:a16="http://schemas.microsoft.com/office/drawing/2014/main" id="{5706B2A4-050E-870D-9F5B-E5DA2F78A356}"/>
            </a:ext>
          </a:extLst>
        </xdr:cNvPr>
        <xdr:cNvGrpSpPr/>
      </xdr:nvGrpSpPr>
      <xdr:grpSpPr>
        <a:xfrm>
          <a:off x="2752725" y="2286000"/>
          <a:ext cx="581025" cy="228600"/>
          <a:chOff x="2752725" y="2286000"/>
          <a:chExt cx="581025" cy="228600"/>
        </a:xfrm>
      </xdr:grpSpPr>
      <xdr:cxnSp macro="">
        <xdr:nvCxnSpPr>
          <xdr:cNvPr id="41" name="Gerader Verbinder 40">
            <a:extLst>
              <a:ext uri="{FF2B5EF4-FFF2-40B4-BE49-F238E27FC236}">
                <a16:creationId xmlns:a16="http://schemas.microsoft.com/office/drawing/2014/main" id="{539BB977-D64F-C279-8D20-AA018B959C36}"/>
              </a:ext>
            </a:extLst>
          </xdr:cNvPr>
          <xdr:cNvCxnSpPr/>
        </xdr:nvCxnSpPr>
        <xdr:spPr>
          <a:xfrm>
            <a:off x="2752725"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 name="Gerader Verbinder 41">
            <a:extLst>
              <a:ext uri="{FF2B5EF4-FFF2-40B4-BE49-F238E27FC236}">
                <a16:creationId xmlns:a16="http://schemas.microsoft.com/office/drawing/2014/main" id="{6A6D4F07-D785-D888-63AE-1F69475F347C}"/>
              </a:ext>
            </a:extLst>
          </xdr:cNvPr>
          <xdr:cNvCxnSpPr/>
        </xdr:nvCxnSpPr>
        <xdr:spPr>
          <a:xfrm flipH="1">
            <a:off x="2752725"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46" name="Cross_E14">
          <a:extLst>
            <a:ext uri="{FF2B5EF4-FFF2-40B4-BE49-F238E27FC236}">
              <a16:creationId xmlns:a16="http://schemas.microsoft.com/office/drawing/2014/main" id="{4D7A934C-2AD3-9C8F-E467-9E9822ACFF97}"/>
            </a:ext>
          </a:extLst>
        </xdr:cNvPr>
        <xdr:cNvGrpSpPr/>
      </xdr:nvGrpSpPr>
      <xdr:grpSpPr>
        <a:xfrm>
          <a:off x="2752725" y="2971800"/>
          <a:ext cx="581025" cy="228600"/>
          <a:chOff x="2752725" y="2971800"/>
          <a:chExt cx="581025" cy="228600"/>
        </a:xfrm>
      </xdr:grpSpPr>
      <xdr:cxnSp macro="">
        <xdr:nvCxnSpPr>
          <xdr:cNvPr id="44" name="Gerader Verbinder 43">
            <a:extLst>
              <a:ext uri="{FF2B5EF4-FFF2-40B4-BE49-F238E27FC236}">
                <a16:creationId xmlns:a16="http://schemas.microsoft.com/office/drawing/2014/main" id="{17D9C5CB-CD19-76B7-E22C-0A2C51AA1FCD}"/>
              </a:ext>
            </a:extLst>
          </xdr:cNvPr>
          <xdr:cNvCxnSpPr/>
        </xdr:nvCxnSpPr>
        <xdr:spPr>
          <a:xfrm>
            <a:off x="2752725"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 name="Gerader Verbinder 44">
            <a:extLst>
              <a:ext uri="{FF2B5EF4-FFF2-40B4-BE49-F238E27FC236}">
                <a16:creationId xmlns:a16="http://schemas.microsoft.com/office/drawing/2014/main" id="{4215067F-0F91-CB1D-4750-819B62066A2D}"/>
              </a:ext>
            </a:extLst>
          </xdr:cNvPr>
          <xdr:cNvCxnSpPr/>
        </xdr:nvCxnSpPr>
        <xdr:spPr>
          <a:xfrm flipH="1">
            <a:off x="2752725"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16</xdr:row>
      <xdr:rowOff>0</xdr:rowOff>
    </xdr:from>
    <xdr:to>
      <xdr:col>5</xdr:col>
      <xdr:colOff>0</xdr:colOff>
      <xdr:row>17</xdr:row>
      <xdr:rowOff>0</xdr:rowOff>
    </xdr:to>
    <xdr:grpSp>
      <xdr:nvGrpSpPr>
        <xdr:cNvPr id="49" name="Cross_E17">
          <a:extLst>
            <a:ext uri="{FF2B5EF4-FFF2-40B4-BE49-F238E27FC236}">
              <a16:creationId xmlns:a16="http://schemas.microsoft.com/office/drawing/2014/main" id="{4E5B5E57-795B-4E4E-CE37-38D516F64FBD}"/>
            </a:ext>
          </a:extLst>
        </xdr:cNvPr>
        <xdr:cNvGrpSpPr/>
      </xdr:nvGrpSpPr>
      <xdr:grpSpPr>
        <a:xfrm>
          <a:off x="2752725" y="3657600"/>
          <a:ext cx="581025" cy="228600"/>
          <a:chOff x="2752725" y="3657600"/>
          <a:chExt cx="581025" cy="228600"/>
        </a:xfrm>
      </xdr:grpSpPr>
      <xdr:cxnSp macro="">
        <xdr:nvCxnSpPr>
          <xdr:cNvPr id="47" name="Gerader Verbinder 46">
            <a:extLst>
              <a:ext uri="{FF2B5EF4-FFF2-40B4-BE49-F238E27FC236}">
                <a16:creationId xmlns:a16="http://schemas.microsoft.com/office/drawing/2014/main" id="{58C7021E-1C55-B9D7-B627-922B5927A9FF}"/>
              </a:ext>
            </a:extLst>
          </xdr:cNvPr>
          <xdr:cNvCxnSpPr/>
        </xdr:nvCxnSpPr>
        <xdr:spPr>
          <a:xfrm>
            <a:off x="2752725"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 name="Gerader Verbinder 47">
            <a:extLst>
              <a:ext uri="{FF2B5EF4-FFF2-40B4-BE49-F238E27FC236}">
                <a16:creationId xmlns:a16="http://schemas.microsoft.com/office/drawing/2014/main" id="{42B1C20B-98DE-11C7-E5CD-CECFDED1D3BC}"/>
              </a:ext>
            </a:extLst>
          </xdr:cNvPr>
          <xdr:cNvCxnSpPr/>
        </xdr:nvCxnSpPr>
        <xdr:spPr>
          <a:xfrm flipH="1">
            <a:off x="2752725"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xdr:row>
      <xdr:rowOff>0</xdr:rowOff>
    </xdr:from>
    <xdr:to>
      <xdr:col>5</xdr:col>
      <xdr:colOff>0</xdr:colOff>
      <xdr:row>18</xdr:row>
      <xdr:rowOff>0</xdr:rowOff>
    </xdr:to>
    <xdr:grpSp>
      <xdr:nvGrpSpPr>
        <xdr:cNvPr id="52" name="Cross_E18">
          <a:extLst>
            <a:ext uri="{FF2B5EF4-FFF2-40B4-BE49-F238E27FC236}">
              <a16:creationId xmlns:a16="http://schemas.microsoft.com/office/drawing/2014/main" id="{9F86B003-7E49-6FB9-22C4-22522DF74A5F}"/>
            </a:ext>
          </a:extLst>
        </xdr:cNvPr>
        <xdr:cNvGrpSpPr/>
      </xdr:nvGrpSpPr>
      <xdr:grpSpPr>
        <a:xfrm>
          <a:off x="2752725" y="3886200"/>
          <a:ext cx="581025" cy="228600"/>
          <a:chOff x="2752725" y="3886200"/>
          <a:chExt cx="581025" cy="228600"/>
        </a:xfrm>
      </xdr:grpSpPr>
      <xdr:cxnSp macro="">
        <xdr:nvCxnSpPr>
          <xdr:cNvPr id="50" name="Gerader Verbinder 49">
            <a:extLst>
              <a:ext uri="{FF2B5EF4-FFF2-40B4-BE49-F238E27FC236}">
                <a16:creationId xmlns:a16="http://schemas.microsoft.com/office/drawing/2014/main" id="{FD98AC89-2B16-0A8C-FFF0-089291B6B34C}"/>
              </a:ext>
            </a:extLst>
          </xdr:cNvPr>
          <xdr:cNvCxnSpPr/>
        </xdr:nvCxnSpPr>
        <xdr:spPr>
          <a:xfrm>
            <a:off x="2752725"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 name="Gerader Verbinder 50">
            <a:extLst>
              <a:ext uri="{FF2B5EF4-FFF2-40B4-BE49-F238E27FC236}">
                <a16:creationId xmlns:a16="http://schemas.microsoft.com/office/drawing/2014/main" id="{2CCD4E75-5E44-7096-929F-1CA655527B4D}"/>
              </a:ext>
            </a:extLst>
          </xdr:cNvPr>
          <xdr:cNvCxnSpPr/>
        </xdr:nvCxnSpPr>
        <xdr:spPr>
          <a:xfrm flipH="1">
            <a:off x="2752725"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55" name="Cross_E19">
          <a:extLst>
            <a:ext uri="{FF2B5EF4-FFF2-40B4-BE49-F238E27FC236}">
              <a16:creationId xmlns:a16="http://schemas.microsoft.com/office/drawing/2014/main" id="{1A0DEBB3-9F68-CF5F-664E-33756CCADB2D}"/>
            </a:ext>
          </a:extLst>
        </xdr:cNvPr>
        <xdr:cNvGrpSpPr/>
      </xdr:nvGrpSpPr>
      <xdr:grpSpPr>
        <a:xfrm>
          <a:off x="2752725" y="4114800"/>
          <a:ext cx="581025" cy="228600"/>
          <a:chOff x="2752725" y="4114800"/>
          <a:chExt cx="581025" cy="228600"/>
        </a:xfrm>
      </xdr:grpSpPr>
      <xdr:cxnSp macro="">
        <xdr:nvCxnSpPr>
          <xdr:cNvPr id="53" name="Gerader Verbinder 52">
            <a:extLst>
              <a:ext uri="{FF2B5EF4-FFF2-40B4-BE49-F238E27FC236}">
                <a16:creationId xmlns:a16="http://schemas.microsoft.com/office/drawing/2014/main" id="{4B2BA26D-400B-E891-3AE2-BB9970956352}"/>
              </a:ext>
            </a:extLst>
          </xdr:cNvPr>
          <xdr:cNvCxnSpPr/>
        </xdr:nvCxnSpPr>
        <xdr:spPr>
          <a:xfrm>
            <a:off x="275272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 name="Gerader Verbinder 53">
            <a:extLst>
              <a:ext uri="{FF2B5EF4-FFF2-40B4-BE49-F238E27FC236}">
                <a16:creationId xmlns:a16="http://schemas.microsoft.com/office/drawing/2014/main" id="{8E6B903E-AFCB-E3EE-0D02-4A2B4E3EEA90}"/>
              </a:ext>
            </a:extLst>
          </xdr:cNvPr>
          <xdr:cNvCxnSpPr/>
        </xdr:nvCxnSpPr>
        <xdr:spPr>
          <a:xfrm flipH="1">
            <a:off x="275272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58" name="Cross_E20">
          <a:extLst>
            <a:ext uri="{FF2B5EF4-FFF2-40B4-BE49-F238E27FC236}">
              <a16:creationId xmlns:a16="http://schemas.microsoft.com/office/drawing/2014/main" id="{942C63E7-7AF6-F420-FE05-274005DD746D}"/>
            </a:ext>
          </a:extLst>
        </xdr:cNvPr>
        <xdr:cNvGrpSpPr/>
      </xdr:nvGrpSpPr>
      <xdr:grpSpPr>
        <a:xfrm>
          <a:off x="2752725" y="4343400"/>
          <a:ext cx="581025" cy="228600"/>
          <a:chOff x="2752725" y="4343400"/>
          <a:chExt cx="581025" cy="228600"/>
        </a:xfrm>
      </xdr:grpSpPr>
      <xdr:cxnSp macro="">
        <xdr:nvCxnSpPr>
          <xdr:cNvPr id="56" name="Gerader Verbinder 55">
            <a:extLst>
              <a:ext uri="{FF2B5EF4-FFF2-40B4-BE49-F238E27FC236}">
                <a16:creationId xmlns:a16="http://schemas.microsoft.com/office/drawing/2014/main" id="{933E0F98-E07A-0759-38B4-40B9E99E4976}"/>
              </a:ext>
            </a:extLst>
          </xdr:cNvPr>
          <xdr:cNvCxnSpPr/>
        </xdr:nvCxnSpPr>
        <xdr:spPr>
          <a:xfrm>
            <a:off x="2752725"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 name="Gerader Verbinder 56">
            <a:extLst>
              <a:ext uri="{FF2B5EF4-FFF2-40B4-BE49-F238E27FC236}">
                <a16:creationId xmlns:a16="http://schemas.microsoft.com/office/drawing/2014/main" id="{34E61324-47C1-110F-CFAE-8FB003620660}"/>
              </a:ext>
            </a:extLst>
          </xdr:cNvPr>
          <xdr:cNvCxnSpPr/>
        </xdr:nvCxnSpPr>
        <xdr:spPr>
          <a:xfrm flipH="1">
            <a:off x="2752725"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22</xdr:row>
      <xdr:rowOff>0</xdr:rowOff>
    </xdr:from>
    <xdr:to>
      <xdr:col>5</xdr:col>
      <xdr:colOff>0</xdr:colOff>
      <xdr:row>23</xdr:row>
      <xdr:rowOff>0</xdr:rowOff>
    </xdr:to>
    <xdr:grpSp>
      <xdr:nvGrpSpPr>
        <xdr:cNvPr id="61" name="Cross_E23">
          <a:extLst>
            <a:ext uri="{FF2B5EF4-FFF2-40B4-BE49-F238E27FC236}">
              <a16:creationId xmlns:a16="http://schemas.microsoft.com/office/drawing/2014/main" id="{6D6F47FA-DCB8-D71F-39B2-1F74AD3030E5}"/>
            </a:ext>
          </a:extLst>
        </xdr:cNvPr>
        <xdr:cNvGrpSpPr/>
      </xdr:nvGrpSpPr>
      <xdr:grpSpPr>
        <a:xfrm>
          <a:off x="2752725" y="5029200"/>
          <a:ext cx="581025" cy="228600"/>
          <a:chOff x="2752725" y="5029200"/>
          <a:chExt cx="581025" cy="228600"/>
        </a:xfrm>
      </xdr:grpSpPr>
      <xdr:cxnSp macro="">
        <xdr:nvCxnSpPr>
          <xdr:cNvPr id="59" name="Gerader Verbinder 58">
            <a:extLst>
              <a:ext uri="{FF2B5EF4-FFF2-40B4-BE49-F238E27FC236}">
                <a16:creationId xmlns:a16="http://schemas.microsoft.com/office/drawing/2014/main" id="{957E4844-F194-ED08-CBD7-ACD6D09CF229}"/>
              </a:ext>
            </a:extLst>
          </xdr:cNvPr>
          <xdr:cNvCxnSpPr/>
        </xdr:nvCxnSpPr>
        <xdr:spPr>
          <a:xfrm>
            <a:off x="2752725"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 name="Gerader Verbinder 59">
            <a:extLst>
              <a:ext uri="{FF2B5EF4-FFF2-40B4-BE49-F238E27FC236}">
                <a16:creationId xmlns:a16="http://schemas.microsoft.com/office/drawing/2014/main" id="{CA4897DD-154E-BF63-7259-21B285E03913}"/>
              </a:ext>
            </a:extLst>
          </xdr:cNvPr>
          <xdr:cNvCxnSpPr/>
        </xdr:nvCxnSpPr>
        <xdr:spPr>
          <a:xfrm flipH="1">
            <a:off x="2752725"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23</xdr:row>
      <xdr:rowOff>0</xdr:rowOff>
    </xdr:from>
    <xdr:to>
      <xdr:col>5</xdr:col>
      <xdr:colOff>0</xdr:colOff>
      <xdr:row>24</xdr:row>
      <xdr:rowOff>0</xdr:rowOff>
    </xdr:to>
    <xdr:grpSp>
      <xdr:nvGrpSpPr>
        <xdr:cNvPr id="64" name="Cross_E24">
          <a:extLst>
            <a:ext uri="{FF2B5EF4-FFF2-40B4-BE49-F238E27FC236}">
              <a16:creationId xmlns:a16="http://schemas.microsoft.com/office/drawing/2014/main" id="{9203C62F-76EF-676A-9B04-6F1827281E7C}"/>
            </a:ext>
          </a:extLst>
        </xdr:cNvPr>
        <xdr:cNvGrpSpPr/>
      </xdr:nvGrpSpPr>
      <xdr:grpSpPr>
        <a:xfrm>
          <a:off x="2752725" y="5257800"/>
          <a:ext cx="581025" cy="228600"/>
          <a:chOff x="2752725" y="5257800"/>
          <a:chExt cx="581025" cy="228600"/>
        </a:xfrm>
      </xdr:grpSpPr>
      <xdr:cxnSp macro="">
        <xdr:nvCxnSpPr>
          <xdr:cNvPr id="62" name="Gerader Verbinder 61">
            <a:extLst>
              <a:ext uri="{FF2B5EF4-FFF2-40B4-BE49-F238E27FC236}">
                <a16:creationId xmlns:a16="http://schemas.microsoft.com/office/drawing/2014/main" id="{AD1802F3-4B8C-0D51-449C-5ECEF0D6D0C8}"/>
              </a:ext>
            </a:extLst>
          </xdr:cNvPr>
          <xdr:cNvCxnSpPr/>
        </xdr:nvCxnSpPr>
        <xdr:spPr>
          <a:xfrm>
            <a:off x="2752725"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 name="Gerader Verbinder 62">
            <a:extLst>
              <a:ext uri="{FF2B5EF4-FFF2-40B4-BE49-F238E27FC236}">
                <a16:creationId xmlns:a16="http://schemas.microsoft.com/office/drawing/2014/main" id="{0C1DCCB1-ABF9-6677-CE87-8D31D73BD3B6}"/>
              </a:ext>
            </a:extLst>
          </xdr:cNvPr>
          <xdr:cNvCxnSpPr/>
        </xdr:nvCxnSpPr>
        <xdr:spPr>
          <a:xfrm flipH="1">
            <a:off x="2752725"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24</xdr:row>
      <xdr:rowOff>0</xdr:rowOff>
    </xdr:from>
    <xdr:to>
      <xdr:col>5</xdr:col>
      <xdr:colOff>0</xdr:colOff>
      <xdr:row>25</xdr:row>
      <xdr:rowOff>0</xdr:rowOff>
    </xdr:to>
    <xdr:grpSp>
      <xdr:nvGrpSpPr>
        <xdr:cNvPr id="67" name="Cross_E25">
          <a:extLst>
            <a:ext uri="{FF2B5EF4-FFF2-40B4-BE49-F238E27FC236}">
              <a16:creationId xmlns:a16="http://schemas.microsoft.com/office/drawing/2014/main" id="{9AAFB55D-1F16-71ED-EF8D-7621FEE64A25}"/>
            </a:ext>
          </a:extLst>
        </xdr:cNvPr>
        <xdr:cNvGrpSpPr/>
      </xdr:nvGrpSpPr>
      <xdr:grpSpPr>
        <a:xfrm>
          <a:off x="2752725" y="5486400"/>
          <a:ext cx="581025" cy="228600"/>
          <a:chOff x="2752725" y="5486400"/>
          <a:chExt cx="581025" cy="228600"/>
        </a:xfrm>
      </xdr:grpSpPr>
      <xdr:cxnSp macro="">
        <xdr:nvCxnSpPr>
          <xdr:cNvPr id="65" name="Gerader Verbinder 64">
            <a:extLst>
              <a:ext uri="{FF2B5EF4-FFF2-40B4-BE49-F238E27FC236}">
                <a16:creationId xmlns:a16="http://schemas.microsoft.com/office/drawing/2014/main" id="{7EEC0D7F-5FAD-22C2-E4A4-F5CA12DD668F}"/>
              </a:ext>
            </a:extLst>
          </xdr:cNvPr>
          <xdr:cNvCxnSpPr/>
        </xdr:nvCxnSpPr>
        <xdr:spPr>
          <a:xfrm>
            <a:off x="2752725"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 name="Gerader Verbinder 65">
            <a:extLst>
              <a:ext uri="{FF2B5EF4-FFF2-40B4-BE49-F238E27FC236}">
                <a16:creationId xmlns:a16="http://schemas.microsoft.com/office/drawing/2014/main" id="{B9F3974C-0479-1E54-DEBE-8356C91235CF}"/>
              </a:ext>
            </a:extLst>
          </xdr:cNvPr>
          <xdr:cNvCxnSpPr/>
        </xdr:nvCxnSpPr>
        <xdr:spPr>
          <a:xfrm flipH="1">
            <a:off x="2752725"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70" name="Cross_E28">
          <a:extLst>
            <a:ext uri="{FF2B5EF4-FFF2-40B4-BE49-F238E27FC236}">
              <a16:creationId xmlns:a16="http://schemas.microsoft.com/office/drawing/2014/main" id="{FD12E916-2089-A7D4-BA22-C48EFCF4DB7A}"/>
            </a:ext>
          </a:extLst>
        </xdr:cNvPr>
        <xdr:cNvGrpSpPr/>
      </xdr:nvGrpSpPr>
      <xdr:grpSpPr>
        <a:xfrm>
          <a:off x="2752725" y="6172200"/>
          <a:ext cx="581025" cy="228600"/>
          <a:chOff x="2752725" y="6172200"/>
          <a:chExt cx="581025" cy="228600"/>
        </a:xfrm>
      </xdr:grpSpPr>
      <xdr:cxnSp macro="">
        <xdr:nvCxnSpPr>
          <xdr:cNvPr id="68" name="Gerader Verbinder 67">
            <a:extLst>
              <a:ext uri="{FF2B5EF4-FFF2-40B4-BE49-F238E27FC236}">
                <a16:creationId xmlns:a16="http://schemas.microsoft.com/office/drawing/2014/main" id="{C8DDA7D2-6466-A858-D5AB-50AD0CA30550}"/>
              </a:ext>
            </a:extLst>
          </xdr:cNvPr>
          <xdr:cNvCxnSpPr/>
        </xdr:nvCxnSpPr>
        <xdr:spPr>
          <a:xfrm>
            <a:off x="275272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 name="Gerader Verbinder 68">
            <a:extLst>
              <a:ext uri="{FF2B5EF4-FFF2-40B4-BE49-F238E27FC236}">
                <a16:creationId xmlns:a16="http://schemas.microsoft.com/office/drawing/2014/main" id="{3E7E2E32-351C-3C5C-5B2F-F33BE62BA330}"/>
              </a:ext>
            </a:extLst>
          </xdr:cNvPr>
          <xdr:cNvCxnSpPr/>
        </xdr:nvCxnSpPr>
        <xdr:spPr>
          <a:xfrm flipH="1">
            <a:off x="275272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73" name="Cross_E29">
          <a:extLst>
            <a:ext uri="{FF2B5EF4-FFF2-40B4-BE49-F238E27FC236}">
              <a16:creationId xmlns:a16="http://schemas.microsoft.com/office/drawing/2014/main" id="{25E81A23-63D1-4EDB-E8CB-3E4C900DA76A}"/>
            </a:ext>
          </a:extLst>
        </xdr:cNvPr>
        <xdr:cNvGrpSpPr/>
      </xdr:nvGrpSpPr>
      <xdr:grpSpPr>
        <a:xfrm>
          <a:off x="2752725" y="6400800"/>
          <a:ext cx="581025" cy="228600"/>
          <a:chOff x="2752725" y="6400800"/>
          <a:chExt cx="581025" cy="228600"/>
        </a:xfrm>
      </xdr:grpSpPr>
      <xdr:cxnSp macro="">
        <xdr:nvCxnSpPr>
          <xdr:cNvPr id="71" name="Gerader Verbinder 70">
            <a:extLst>
              <a:ext uri="{FF2B5EF4-FFF2-40B4-BE49-F238E27FC236}">
                <a16:creationId xmlns:a16="http://schemas.microsoft.com/office/drawing/2014/main" id="{243CB971-CEB4-FE4D-928D-2591DBCA3915}"/>
              </a:ext>
            </a:extLst>
          </xdr:cNvPr>
          <xdr:cNvCxnSpPr/>
        </xdr:nvCxnSpPr>
        <xdr:spPr>
          <a:xfrm>
            <a:off x="2752725"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 name="Gerader Verbinder 71">
            <a:extLst>
              <a:ext uri="{FF2B5EF4-FFF2-40B4-BE49-F238E27FC236}">
                <a16:creationId xmlns:a16="http://schemas.microsoft.com/office/drawing/2014/main" id="{89F2336C-69AB-7619-17AE-44E4A77257F2}"/>
              </a:ext>
            </a:extLst>
          </xdr:cNvPr>
          <xdr:cNvCxnSpPr/>
        </xdr:nvCxnSpPr>
        <xdr:spPr>
          <a:xfrm flipH="1">
            <a:off x="2752725"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xdr:row>
      <xdr:rowOff>0</xdr:rowOff>
    </xdr:from>
    <xdr:to>
      <xdr:col>6</xdr:col>
      <xdr:colOff>0</xdr:colOff>
      <xdr:row>8</xdr:row>
      <xdr:rowOff>0</xdr:rowOff>
    </xdr:to>
    <xdr:grpSp>
      <xdr:nvGrpSpPr>
        <xdr:cNvPr id="76" name="Cross_F8">
          <a:extLst>
            <a:ext uri="{FF2B5EF4-FFF2-40B4-BE49-F238E27FC236}">
              <a16:creationId xmlns:a16="http://schemas.microsoft.com/office/drawing/2014/main" id="{CFA5E0EF-2E16-3263-A8E0-E6A8DF593969}"/>
            </a:ext>
          </a:extLst>
        </xdr:cNvPr>
        <xdr:cNvGrpSpPr/>
      </xdr:nvGrpSpPr>
      <xdr:grpSpPr>
        <a:xfrm>
          <a:off x="3333750" y="1600200"/>
          <a:ext cx="581025" cy="228600"/>
          <a:chOff x="3333750" y="1600200"/>
          <a:chExt cx="581025" cy="228600"/>
        </a:xfrm>
      </xdr:grpSpPr>
      <xdr:cxnSp macro="">
        <xdr:nvCxnSpPr>
          <xdr:cNvPr id="74" name="Gerader Verbinder 73">
            <a:extLst>
              <a:ext uri="{FF2B5EF4-FFF2-40B4-BE49-F238E27FC236}">
                <a16:creationId xmlns:a16="http://schemas.microsoft.com/office/drawing/2014/main" id="{B5063099-7B28-DC16-97F0-1010A2C64980}"/>
              </a:ext>
            </a:extLst>
          </xdr:cNvPr>
          <xdr:cNvCxnSpPr/>
        </xdr:nvCxnSpPr>
        <xdr:spPr>
          <a:xfrm>
            <a:off x="333375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 name="Gerader Verbinder 74">
            <a:extLst>
              <a:ext uri="{FF2B5EF4-FFF2-40B4-BE49-F238E27FC236}">
                <a16:creationId xmlns:a16="http://schemas.microsoft.com/office/drawing/2014/main" id="{8D3E3294-08FC-C569-535A-340F2ECBC5C7}"/>
              </a:ext>
            </a:extLst>
          </xdr:cNvPr>
          <xdr:cNvCxnSpPr/>
        </xdr:nvCxnSpPr>
        <xdr:spPr>
          <a:xfrm flipH="1">
            <a:off x="333375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8</xdr:row>
      <xdr:rowOff>0</xdr:rowOff>
    </xdr:from>
    <xdr:to>
      <xdr:col>6</xdr:col>
      <xdr:colOff>0</xdr:colOff>
      <xdr:row>9</xdr:row>
      <xdr:rowOff>0</xdr:rowOff>
    </xdr:to>
    <xdr:grpSp>
      <xdr:nvGrpSpPr>
        <xdr:cNvPr id="79" name="Cross_F9">
          <a:extLst>
            <a:ext uri="{FF2B5EF4-FFF2-40B4-BE49-F238E27FC236}">
              <a16:creationId xmlns:a16="http://schemas.microsoft.com/office/drawing/2014/main" id="{FDE2E60B-CADB-7ACF-1EC9-FEDA6703AC64}"/>
            </a:ext>
          </a:extLst>
        </xdr:cNvPr>
        <xdr:cNvGrpSpPr/>
      </xdr:nvGrpSpPr>
      <xdr:grpSpPr>
        <a:xfrm>
          <a:off x="3333750" y="1828800"/>
          <a:ext cx="581025" cy="228600"/>
          <a:chOff x="3333750" y="1828800"/>
          <a:chExt cx="581025" cy="228600"/>
        </a:xfrm>
      </xdr:grpSpPr>
      <xdr:cxnSp macro="">
        <xdr:nvCxnSpPr>
          <xdr:cNvPr id="77" name="Gerader Verbinder 76">
            <a:extLst>
              <a:ext uri="{FF2B5EF4-FFF2-40B4-BE49-F238E27FC236}">
                <a16:creationId xmlns:a16="http://schemas.microsoft.com/office/drawing/2014/main" id="{DFFFD5A5-7ADC-6DE9-78B7-CBB0FCABE5B0}"/>
              </a:ext>
            </a:extLst>
          </xdr:cNvPr>
          <xdr:cNvCxnSpPr/>
        </xdr:nvCxnSpPr>
        <xdr:spPr>
          <a:xfrm>
            <a:off x="333375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8" name="Gerader Verbinder 77">
            <a:extLst>
              <a:ext uri="{FF2B5EF4-FFF2-40B4-BE49-F238E27FC236}">
                <a16:creationId xmlns:a16="http://schemas.microsoft.com/office/drawing/2014/main" id="{AB7F421B-D71A-BE7E-2D42-BAD0603F73AE}"/>
              </a:ext>
            </a:extLst>
          </xdr:cNvPr>
          <xdr:cNvCxnSpPr/>
        </xdr:nvCxnSpPr>
        <xdr:spPr>
          <a:xfrm flipH="1">
            <a:off x="333375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82" name="Cross_F11">
          <a:extLst>
            <a:ext uri="{FF2B5EF4-FFF2-40B4-BE49-F238E27FC236}">
              <a16:creationId xmlns:a16="http://schemas.microsoft.com/office/drawing/2014/main" id="{896EFB58-BDF8-B37A-E389-59C8D421B400}"/>
            </a:ext>
          </a:extLst>
        </xdr:cNvPr>
        <xdr:cNvGrpSpPr/>
      </xdr:nvGrpSpPr>
      <xdr:grpSpPr>
        <a:xfrm>
          <a:off x="3333750" y="2286000"/>
          <a:ext cx="581025" cy="228600"/>
          <a:chOff x="3333750" y="2286000"/>
          <a:chExt cx="581025" cy="228600"/>
        </a:xfrm>
      </xdr:grpSpPr>
      <xdr:cxnSp macro="">
        <xdr:nvCxnSpPr>
          <xdr:cNvPr id="80" name="Gerader Verbinder 79">
            <a:extLst>
              <a:ext uri="{FF2B5EF4-FFF2-40B4-BE49-F238E27FC236}">
                <a16:creationId xmlns:a16="http://schemas.microsoft.com/office/drawing/2014/main" id="{C4A88C3C-EF1E-046B-3188-3E62880621DD}"/>
              </a:ext>
            </a:extLst>
          </xdr:cNvPr>
          <xdr:cNvCxnSpPr/>
        </xdr:nvCxnSpPr>
        <xdr:spPr>
          <a:xfrm>
            <a:off x="333375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1" name="Gerader Verbinder 80">
            <a:extLst>
              <a:ext uri="{FF2B5EF4-FFF2-40B4-BE49-F238E27FC236}">
                <a16:creationId xmlns:a16="http://schemas.microsoft.com/office/drawing/2014/main" id="{73B83DFF-D328-AE80-55AC-C319B81E2184}"/>
              </a:ext>
            </a:extLst>
          </xdr:cNvPr>
          <xdr:cNvCxnSpPr/>
        </xdr:nvCxnSpPr>
        <xdr:spPr>
          <a:xfrm flipH="1">
            <a:off x="333375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85" name="Cross_F14">
          <a:extLst>
            <a:ext uri="{FF2B5EF4-FFF2-40B4-BE49-F238E27FC236}">
              <a16:creationId xmlns:a16="http://schemas.microsoft.com/office/drawing/2014/main" id="{F943D930-70F5-B6B9-0A49-18E6ADF74DF2}"/>
            </a:ext>
          </a:extLst>
        </xdr:cNvPr>
        <xdr:cNvGrpSpPr/>
      </xdr:nvGrpSpPr>
      <xdr:grpSpPr>
        <a:xfrm>
          <a:off x="3333750" y="2971800"/>
          <a:ext cx="581025" cy="228600"/>
          <a:chOff x="3333750" y="2971800"/>
          <a:chExt cx="581025" cy="228600"/>
        </a:xfrm>
      </xdr:grpSpPr>
      <xdr:cxnSp macro="">
        <xdr:nvCxnSpPr>
          <xdr:cNvPr id="83" name="Gerader Verbinder 82">
            <a:extLst>
              <a:ext uri="{FF2B5EF4-FFF2-40B4-BE49-F238E27FC236}">
                <a16:creationId xmlns:a16="http://schemas.microsoft.com/office/drawing/2014/main" id="{9A6F88F1-90B4-938F-92C6-70A9D2850789}"/>
              </a:ext>
            </a:extLst>
          </xdr:cNvPr>
          <xdr:cNvCxnSpPr/>
        </xdr:nvCxnSpPr>
        <xdr:spPr>
          <a:xfrm>
            <a:off x="333375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4" name="Gerader Verbinder 83">
            <a:extLst>
              <a:ext uri="{FF2B5EF4-FFF2-40B4-BE49-F238E27FC236}">
                <a16:creationId xmlns:a16="http://schemas.microsoft.com/office/drawing/2014/main" id="{F51E4E7D-A3AE-DD6E-025F-3AB115BDACAA}"/>
              </a:ext>
            </a:extLst>
          </xdr:cNvPr>
          <xdr:cNvCxnSpPr/>
        </xdr:nvCxnSpPr>
        <xdr:spPr>
          <a:xfrm flipH="1">
            <a:off x="333375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16</xdr:row>
      <xdr:rowOff>0</xdr:rowOff>
    </xdr:from>
    <xdr:to>
      <xdr:col>6</xdr:col>
      <xdr:colOff>0</xdr:colOff>
      <xdr:row>17</xdr:row>
      <xdr:rowOff>0</xdr:rowOff>
    </xdr:to>
    <xdr:grpSp>
      <xdr:nvGrpSpPr>
        <xdr:cNvPr id="88" name="Cross_F17">
          <a:extLst>
            <a:ext uri="{FF2B5EF4-FFF2-40B4-BE49-F238E27FC236}">
              <a16:creationId xmlns:a16="http://schemas.microsoft.com/office/drawing/2014/main" id="{418184A0-1899-FB18-F779-25936D42013E}"/>
            </a:ext>
          </a:extLst>
        </xdr:cNvPr>
        <xdr:cNvGrpSpPr/>
      </xdr:nvGrpSpPr>
      <xdr:grpSpPr>
        <a:xfrm>
          <a:off x="3333750" y="3657600"/>
          <a:ext cx="581025" cy="228600"/>
          <a:chOff x="3333750" y="3657600"/>
          <a:chExt cx="581025" cy="228600"/>
        </a:xfrm>
      </xdr:grpSpPr>
      <xdr:cxnSp macro="">
        <xdr:nvCxnSpPr>
          <xdr:cNvPr id="86" name="Gerader Verbinder 85">
            <a:extLst>
              <a:ext uri="{FF2B5EF4-FFF2-40B4-BE49-F238E27FC236}">
                <a16:creationId xmlns:a16="http://schemas.microsoft.com/office/drawing/2014/main" id="{8CEE73AB-1C6C-B88B-1265-5D4E56E60621}"/>
              </a:ext>
            </a:extLst>
          </xdr:cNvPr>
          <xdr:cNvCxnSpPr/>
        </xdr:nvCxnSpPr>
        <xdr:spPr>
          <a:xfrm>
            <a:off x="333375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 name="Gerader Verbinder 86">
            <a:extLst>
              <a:ext uri="{FF2B5EF4-FFF2-40B4-BE49-F238E27FC236}">
                <a16:creationId xmlns:a16="http://schemas.microsoft.com/office/drawing/2014/main" id="{B45D3FBF-1BAE-DFE2-3051-83F9B2C7B11E}"/>
              </a:ext>
            </a:extLst>
          </xdr:cNvPr>
          <xdr:cNvCxnSpPr/>
        </xdr:nvCxnSpPr>
        <xdr:spPr>
          <a:xfrm flipH="1">
            <a:off x="333375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17</xdr:row>
      <xdr:rowOff>0</xdr:rowOff>
    </xdr:from>
    <xdr:to>
      <xdr:col>6</xdr:col>
      <xdr:colOff>0</xdr:colOff>
      <xdr:row>18</xdr:row>
      <xdr:rowOff>0</xdr:rowOff>
    </xdr:to>
    <xdr:grpSp>
      <xdr:nvGrpSpPr>
        <xdr:cNvPr id="91" name="Cross_F18">
          <a:extLst>
            <a:ext uri="{FF2B5EF4-FFF2-40B4-BE49-F238E27FC236}">
              <a16:creationId xmlns:a16="http://schemas.microsoft.com/office/drawing/2014/main" id="{CBCC4A27-6C7C-6928-F22C-F1A0C7CCF2F8}"/>
            </a:ext>
          </a:extLst>
        </xdr:cNvPr>
        <xdr:cNvGrpSpPr/>
      </xdr:nvGrpSpPr>
      <xdr:grpSpPr>
        <a:xfrm>
          <a:off x="3333750" y="3886200"/>
          <a:ext cx="581025" cy="228600"/>
          <a:chOff x="3333750" y="3886200"/>
          <a:chExt cx="581025" cy="228600"/>
        </a:xfrm>
      </xdr:grpSpPr>
      <xdr:cxnSp macro="">
        <xdr:nvCxnSpPr>
          <xdr:cNvPr id="89" name="Gerader Verbinder 88">
            <a:extLst>
              <a:ext uri="{FF2B5EF4-FFF2-40B4-BE49-F238E27FC236}">
                <a16:creationId xmlns:a16="http://schemas.microsoft.com/office/drawing/2014/main" id="{99F7520B-94CB-5386-4488-8BFA102F54B8}"/>
              </a:ext>
            </a:extLst>
          </xdr:cNvPr>
          <xdr:cNvCxnSpPr/>
        </xdr:nvCxnSpPr>
        <xdr:spPr>
          <a:xfrm>
            <a:off x="333375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 name="Gerader Verbinder 89">
            <a:extLst>
              <a:ext uri="{FF2B5EF4-FFF2-40B4-BE49-F238E27FC236}">
                <a16:creationId xmlns:a16="http://schemas.microsoft.com/office/drawing/2014/main" id="{EF5CA1D9-70A4-FEDE-4397-05FA1BB5E336}"/>
              </a:ext>
            </a:extLst>
          </xdr:cNvPr>
          <xdr:cNvCxnSpPr/>
        </xdr:nvCxnSpPr>
        <xdr:spPr>
          <a:xfrm flipH="1">
            <a:off x="333375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94" name="Cross_F19">
          <a:extLst>
            <a:ext uri="{FF2B5EF4-FFF2-40B4-BE49-F238E27FC236}">
              <a16:creationId xmlns:a16="http://schemas.microsoft.com/office/drawing/2014/main" id="{EB23EC42-A3D8-2200-64AF-2874DFD6CD6D}"/>
            </a:ext>
          </a:extLst>
        </xdr:cNvPr>
        <xdr:cNvGrpSpPr/>
      </xdr:nvGrpSpPr>
      <xdr:grpSpPr>
        <a:xfrm>
          <a:off x="3333750" y="4114800"/>
          <a:ext cx="581025" cy="228600"/>
          <a:chOff x="3333750" y="4114800"/>
          <a:chExt cx="581025" cy="228600"/>
        </a:xfrm>
      </xdr:grpSpPr>
      <xdr:cxnSp macro="">
        <xdr:nvCxnSpPr>
          <xdr:cNvPr id="92" name="Gerader Verbinder 91">
            <a:extLst>
              <a:ext uri="{FF2B5EF4-FFF2-40B4-BE49-F238E27FC236}">
                <a16:creationId xmlns:a16="http://schemas.microsoft.com/office/drawing/2014/main" id="{DC6AD509-03BC-0B0D-3B99-6A94A9FF4652}"/>
              </a:ext>
            </a:extLst>
          </xdr:cNvPr>
          <xdr:cNvCxnSpPr/>
        </xdr:nvCxnSpPr>
        <xdr:spPr>
          <a:xfrm>
            <a:off x="3333750"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3" name="Gerader Verbinder 92">
            <a:extLst>
              <a:ext uri="{FF2B5EF4-FFF2-40B4-BE49-F238E27FC236}">
                <a16:creationId xmlns:a16="http://schemas.microsoft.com/office/drawing/2014/main" id="{3DC9C1C7-CC1E-763C-167F-0D4A50388349}"/>
              </a:ext>
            </a:extLst>
          </xdr:cNvPr>
          <xdr:cNvCxnSpPr/>
        </xdr:nvCxnSpPr>
        <xdr:spPr>
          <a:xfrm flipH="1">
            <a:off x="3333750"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97" name="Cross_F20">
          <a:extLst>
            <a:ext uri="{FF2B5EF4-FFF2-40B4-BE49-F238E27FC236}">
              <a16:creationId xmlns:a16="http://schemas.microsoft.com/office/drawing/2014/main" id="{8CE5F24E-9624-80E3-1E44-03E8F88FDC08}"/>
            </a:ext>
          </a:extLst>
        </xdr:cNvPr>
        <xdr:cNvGrpSpPr/>
      </xdr:nvGrpSpPr>
      <xdr:grpSpPr>
        <a:xfrm>
          <a:off x="3333750" y="4343400"/>
          <a:ext cx="581025" cy="228600"/>
          <a:chOff x="3333750" y="4343400"/>
          <a:chExt cx="581025" cy="228600"/>
        </a:xfrm>
      </xdr:grpSpPr>
      <xdr:cxnSp macro="">
        <xdr:nvCxnSpPr>
          <xdr:cNvPr id="95" name="Gerader Verbinder 94">
            <a:extLst>
              <a:ext uri="{FF2B5EF4-FFF2-40B4-BE49-F238E27FC236}">
                <a16:creationId xmlns:a16="http://schemas.microsoft.com/office/drawing/2014/main" id="{E76436F0-F29D-05E8-A71A-AD0FD9AD237F}"/>
              </a:ext>
            </a:extLst>
          </xdr:cNvPr>
          <xdr:cNvCxnSpPr/>
        </xdr:nvCxnSpPr>
        <xdr:spPr>
          <a:xfrm>
            <a:off x="333375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6" name="Gerader Verbinder 95">
            <a:extLst>
              <a:ext uri="{FF2B5EF4-FFF2-40B4-BE49-F238E27FC236}">
                <a16:creationId xmlns:a16="http://schemas.microsoft.com/office/drawing/2014/main" id="{61A955ED-8BAB-6A64-7153-8208A40D41D8}"/>
              </a:ext>
            </a:extLst>
          </xdr:cNvPr>
          <xdr:cNvCxnSpPr/>
        </xdr:nvCxnSpPr>
        <xdr:spPr>
          <a:xfrm flipH="1">
            <a:off x="333375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22</xdr:row>
      <xdr:rowOff>0</xdr:rowOff>
    </xdr:from>
    <xdr:to>
      <xdr:col>6</xdr:col>
      <xdr:colOff>0</xdr:colOff>
      <xdr:row>23</xdr:row>
      <xdr:rowOff>0</xdr:rowOff>
    </xdr:to>
    <xdr:grpSp>
      <xdr:nvGrpSpPr>
        <xdr:cNvPr id="100" name="Cross_F23">
          <a:extLst>
            <a:ext uri="{FF2B5EF4-FFF2-40B4-BE49-F238E27FC236}">
              <a16:creationId xmlns:a16="http://schemas.microsoft.com/office/drawing/2014/main" id="{E6D5E5DC-359F-8297-F9B5-AD0CB8A297E0}"/>
            </a:ext>
          </a:extLst>
        </xdr:cNvPr>
        <xdr:cNvGrpSpPr/>
      </xdr:nvGrpSpPr>
      <xdr:grpSpPr>
        <a:xfrm>
          <a:off x="3333750" y="5029200"/>
          <a:ext cx="581025" cy="228600"/>
          <a:chOff x="3333750" y="5029200"/>
          <a:chExt cx="581025" cy="228600"/>
        </a:xfrm>
      </xdr:grpSpPr>
      <xdr:cxnSp macro="">
        <xdr:nvCxnSpPr>
          <xdr:cNvPr id="98" name="Gerader Verbinder 97">
            <a:extLst>
              <a:ext uri="{FF2B5EF4-FFF2-40B4-BE49-F238E27FC236}">
                <a16:creationId xmlns:a16="http://schemas.microsoft.com/office/drawing/2014/main" id="{DB1B6678-E729-C75B-9991-E582CD41FFF3}"/>
              </a:ext>
            </a:extLst>
          </xdr:cNvPr>
          <xdr:cNvCxnSpPr/>
        </xdr:nvCxnSpPr>
        <xdr:spPr>
          <a:xfrm>
            <a:off x="333375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9" name="Gerader Verbinder 98">
            <a:extLst>
              <a:ext uri="{FF2B5EF4-FFF2-40B4-BE49-F238E27FC236}">
                <a16:creationId xmlns:a16="http://schemas.microsoft.com/office/drawing/2014/main" id="{2E11C909-B031-9E34-2189-0B773E64776F}"/>
              </a:ext>
            </a:extLst>
          </xdr:cNvPr>
          <xdr:cNvCxnSpPr/>
        </xdr:nvCxnSpPr>
        <xdr:spPr>
          <a:xfrm flipH="1">
            <a:off x="333375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23</xdr:row>
      <xdr:rowOff>0</xdr:rowOff>
    </xdr:from>
    <xdr:to>
      <xdr:col>6</xdr:col>
      <xdr:colOff>0</xdr:colOff>
      <xdr:row>24</xdr:row>
      <xdr:rowOff>0</xdr:rowOff>
    </xdr:to>
    <xdr:grpSp>
      <xdr:nvGrpSpPr>
        <xdr:cNvPr id="103" name="Cross_F24">
          <a:extLst>
            <a:ext uri="{FF2B5EF4-FFF2-40B4-BE49-F238E27FC236}">
              <a16:creationId xmlns:a16="http://schemas.microsoft.com/office/drawing/2014/main" id="{C3387F65-291D-A579-F2EF-081D2D8F42BA}"/>
            </a:ext>
          </a:extLst>
        </xdr:cNvPr>
        <xdr:cNvGrpSpPr/>
      </xdr:nvGrpSpPr>
      <xdr:grpSpPr>
        <a:xfrm>
          <a:off x="3333750" y="5257800"/>
          <a:ext cx="581025" cy="228600"/>
          <a:chOff x="3333750" y="5257800"/>
          <a:chExt cx="581025" cy="228600"/>
        </a:xfrm>
      </xdr:grpSpPr>
      <xdr:cxnSp macro="">
        <xdr:nvCxnSpPr>
          <xdr:cNvPr id="101" name="Gerader Verbinder 100">
            <a:extLst>
              <a:ext uri="{FF2B5EF4-FFF2-40B4-BE49-F238E27FC236}">
                <a16:creationId xmlns:a16="http://schemas.microsoft.com/office/drawing/2014/main" id="{DD806E12-87FF-FC1D-2922-0DFC902A6473}"/>
              </a:ext>
            </a:extLst>
          </xdr:cNvPr>
          <xdr:cNvCxnSpPr/>
        </xdr:nvCxnSpPr>
        <xdr:spPr>
          <a:xfrm>
            <a:off x="333375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2" name="Gerader Verbinder 101">
            <a:extLst>
              <a:ext uri="{FF2B5EF4-FFF2-40B4-BE49-F238E27FC236}">
                <a16:creationId xmlns:a16="http://schemas.microsoft.com/office/drawing/2014/main" id="{A346B53B-049C-2D3A-3F75-FD70C6520634}"/>
              </a:ext>
            </a:extLst>
          </xdr:cNvPr>
          <xdr:cNvCxnSpPr/>
        </xdr:nvCxnSpPr>
        <xdr:spPr>
          <a:xfrm flipH="1">
            <a:off x="333375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24</xdr:row>
      <xdr:rowOff>0</xdr:rowOff>
    </xdr:from>
    <xdr:to>
      <xdr:col>6</xdr:col>
      <xdr:colOff>0</xdr:colOff>
      <xdr:row>25</xdr:row>
      <xdr:rowOff>0</xdr:rowOff>
    </xdr:to>
    <xdr:grpSp>
      <xdr:nvGrpSpPr>
        <xdr:cNvPr id="106" name="Cross_F25">
          <a:extLst>
            <a:ext uri="{FF2B5EF4-FFF2-40B4-BE49-F238E27FC236}">
              <a16:creationId xmlns:a16="http://schemas.microsoft.com/office/drawing/2014/main" id="{6D42BED6-51B1-2066-1BBB-34E1DBB748AD}"/>
            </a:ext>
          </a:extLst>
        </xdr:cNvPr>
        <xdr:cNvGrpSpPr/>
      </xdr:nvGrpSpPr>
      <xdr:grpSpPr>
        <a:xfrm>
          <a:off x="3333750" y="5486400"/>
          <a:ext cx="581025" cy="228600"/>
          <a:chOff x="3333750" y="5486400"/>
          <a:chExt cx="581025" cy="228600"/>
        </a:xfrm>
      </xdr:grpSpPr>
      <xdr:cxnSp macro="">
        <xdr:nvCxnSpPr>
          <xdr:cNvPr id="104" name="Gerader Verbinder 103">
            <a:extLst>
              <a:ext uri="{FF2B5EF4-FFF2-40B4-BE49-F238E27FC236}">
                <a16:creationId xmlns:a16="http://schemas.microsoft.com/office/drawing/2014/main" id="{CCF78B14-863E-DC94-967A-19BD9CF0EF14}"/>
              </a:ext>
            </a:extLst>
          </xdr:cNvPr>
          <xdr:cNvCxnSpPr/>
        </xdr:nvCxnSpPr>
        <xdr:spPr>
          <a:xfrm>
            <a:off x="333375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 name="Gerader Verbinder 104">
            <a:extLst>
              <a:ext uri="{FF2B5EF4-FFF2-40B4-BE49-F238E27FC236}">
                <a16:creationId xmlns:a16="http://schemas.microsoft.com/office/drawing/2014/main" id="{2FE844E4-4157-FE7D-FC49-B0E6B56BD3D8}"/>
              </a:ext>
            </a:extLst>
          </xdr:cNvPr>
          <xdr:cNvCxnSpPr/>
        </xdr:nvCxnSpPr>
        <xdr:spPr>
          <a:xfrm flipH="1">
            <a:off x="333375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109" name="Cross_F28">
          <a:extLst>
            <a:ext uri="{FF2B5EF4-FFF2-40B4-BE49-F238E27FC236}">
              <a16:creationId xmlns:a16="http://schemas.microsoft.com/office/drawing/2014/main" id="{937CA23B-6C84-1E80-3A5D-BEB625861D03}"/>
            </a:ext>
          </a:extLst>
        </xdr:cNvPr>
        <xdr:cNvGrpSpPr/>
      </xdr:nvGrpSpPr>
      <xdr:grpSpPr>
        <a:xfrm>
          <a:off x="3333750" y="6172200"/>
          <a:ext cx="581025" cy="228600"/>
          <a:chOff x="3333750" y="6172200"/>
          <a:chExt cx="581025" cy="228600"/>
        </a:xfrm>
      </xdr:grpSpPr>
      <xdr:cxnSp macro="">
        <xdr:nvCxnSpPr>
          <xdr:cNvPr id="107" name="Gerader Verbinder 106">
            <a:extLst>
              <a:ext uri="{FF2B5EF4-FFF2-40B4-BE49-F238E27FC236}">
                <a16:creationId xmlns:a16="http://schemas.microsoft.com/office/drawing/2014/main" id="{A38356B0-FB4E-A3C6-0F8A-FD313A73F8E2}"/>
              </a:ext>
            </a:extLst>
          </xdr:cNvPr>
          <xdr:cNvCxnSpPr/>
        </xdr:nvCxnSpPr>
        <xdr:spPr>
          <a:xfrm>
            <a:off x="3333750"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 name="Gerader Verbinder 107">
            <a:extLst>
              <a:ext uri="{FF2B5EF4-FFF2-40B4-BE49-F238E27FC236}">
                <a16:creationId xmlns:a16="http://schemas.microsoft.com/office/drawing/2014/main" id="{E92F3DB5-1962-9C0A-0207-9D93DA73EA83}"/>
              </a:ext>
            </a:extLst>
          </xdr:cNvPr>
          <xdr:cNvCxnSpPr/>
        </xdr:nvCxnSpPr>
        <xdr:spPr>
          <a:xfrm flipH="1">
            <a:off x="3333750"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112" name="Cross_F29">
          <a:extLst>
            <a:ext uri="{FF2B5EF4-FFF2-40B4-BE49-F238E27FC236}">
              <a16:creationId xmlns:a16="http://schemas.microsoft.com/office/drawing/2014/main" id="{B2B9E499-7A73-AF66-2534-572FF6703AEA}"/>
            </a:ext>
          </a:extLst>
        </xdr:cNvPr>
        <xdr:cNvGrpSpPr/>
      </xdr:nvGrpSpPr>
      <xdr:grpSpPr>
        <a:xfrm>
          <a:off x="3333750" y="6400800"/>
          <a:ext cx="581025" cy="228600"/>
          <a:chOff x="3333750" y="6400800"/>
          <a:chExt cx="581025" cy="228600"/>
        </a:xfrm>
      </xdr:grpSpPr>
      <xdr:cxnSp macro="">
        <xdr:nvCxnSpPr>
          <xdr:cNvPr id="110" name="Gerader Verbinder 109">
            <a:extLst>
              <a:ext uri="{FF2B5EF4-FFF2-40B4-BE49-F238E27FC236}">
                <a16:creationId xmlns:a16="http://schemas.microsoft.com/office/drawing/2014/main" id="{8E3BA284-27EE-39C7-62E7-026964ED3897}"/>
              </a:ext>
            </a:extLst>
          </xdr:cNvPr>
          <xdr:cNvCxnSpPr/>
        </xdr:nvCxnSpPr>
        <xdr:spPr>
          <a:xfrm>
            <a:off x="333375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 name="Gerader Verbinder 110">
            <a:extLst>
              <a:ext uri="{FF2B5EF4-FFF2-40B4-BE49-F238E27FC236}">
                <a16:creationId xmlns:a16="http://schemas.microsoft.com/office/drawing/2014/main" id="{D22BB5D0-3773-6DF5-B049-D7FE75A79026}"/>
              </a:ext>
            </a:extLst>
          </xdr:cNvPr>
          <xdr:cNvCxnSpPr/>
        </xdr:nvCxnSpPr>
        <xdr:spPr>
          <a:xfrm flipH="1">
            <a:off x="333375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115" name="Cross_G7">
          <a:extLst>
            <a:ext uri="{FF2B5EF4-FFF2-40B4-BE49-F238E27FC236}">
              <a16:creationId xmlns:a16="http://schemas.microsoft.com/office/drawing/2014/main" id="{E61BF27B-D0CD-8F60-59B0-D2F71DD9C508}"/>
            </a:ext>
          </a:extLst>
        </xdr:cNvPr>
        <xdr:cNvGrpSpPr/>
      </xdr:nvGrpSpPr>
      <xdr:grpSpPr>
        <a:xfrm>
          <a:off x="3914775" y="1371600"/>
          <a:ext cx="581025" cy="228600"/>
          <a:chOff x="3914775" y="1371600"/>
          <a:chExt cx="581025" cy="228600"/>
        </a:xfrm>
      </xdr:grpSpPr>
      <xdr:cxnSp macro="">
        <xdr:nvCxnSpPr>
          <xdr:cNvPr id="113" name="Gerader Verbinder 112">
            <a:extLst>
              <a:ext uri="{FF2B5EF4-FFF2-40B4-BE49-F238E27FC236}">
                <a16:creationId xmlns:a16="http://schemas.microsoft.com/office/drawing/2014/main" id="{E93F446D-6B88-C1E4-925A-5C21772A9CC7}"/>
              </a:ext>
            </a:extLst>
          </xdr:cNvPr>
          <xdr:cNvCxnSpPr/>
        </xdr:nvCxnSpPr>
        <xdr:spPr>
          <a:xfrm>
            <a:off x="391477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4" name="Gerader Verbinder 113">
            <a:extLst>
              <a:ext uri="{FF2B5EF4-FFF2-40B4-BE49-F238E27FC236}">
                <a16:creationId xmlns:a16="http://schemas.microsoft.com/office/drawing/2014/main" id="{C87068B8-122B-7F74-1127-8D7DF47178AF}"/>
              </a:ext>
            </a:extLst>
          </xdr:cNvPr>
          <xdr:cNvCxnSpPr/>
        </xdr:nvCxnSpPr>
        <xdr:spPr>
          <a:xfrm flipH="1">
            <a:off x="391477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9</xdr:row>
      <xdr:rowOff>0</xdr:rowOff>
    </xdr:from>
    <xdr:to>
      <xdr:col>7</xdr:col>
      <xdr:colOff>0</xdr:colOff>
      <xdr:row>10</xdr:row>
      <xdr:rowOff>0</xdr:rowOff>
    </xdr:to>
    <xdr:grpSp>
      <xdr:nvGrpSpPr>
        <xdr:cNvPr id="118" name="Cross_G10">
          <a:extLst>
            <a:ext uri="{FF2B5EF4-FFF2-40B4-BE49-F238E27FC236}">
              <a16:creationId xmlns:a16="http://schemas.microsoft.com/office/drawing/2014/main" id="{650B05F3-06CF-B597-8015-55331D3C3C5D}"/>
            </a:ext>
          </a:extLst>
        </xdr:cNvPr>
        <xdr:cNvGrpSpPr/>
      </xdr:nvGrpSpPr>
      <xdr:grpSpPr>
        <a:xfrm>
          <a:off x="3914775" y="2057400"/>
          <a:ext cx="581025" cy="228600"/>
          <a:chOff x="3914775" y="2057400"/>
          <a:chExt cx="581025" cy="228600"/>
        </a:xfrm>
      </xdr:grpSpPr>
      <xdr:cxnSp macro="">
        <xdr:nvCxnSpPr>
          <xdr:cNvPr id="116" name="Gerader Verbinder 115">
            <a:extLst>
              <a:ext uri="{FF2B5EF4-FFF2-40B4-BE49-F238E27FC236}">
                <a16:creationId xmlns:a16="http://schemas.microsoft.com/office/drawing/2014/main" id="{A4B58691-262B-11C2-C767-3EC9CE764230}"/>
              </a:ext>
            </a:extLst>
          </xdr:cNvPr>
          <xdr:cNvCxnSpPr/>
        </xdr:nvCxnSpPr>
        <xdr:spPr>
          <a:xfrm>
            <a:off x="3914775"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7" name="Gerader Verbinder 116">
            <a:extLst>
              <a:ext uri="{FF2B5EF4-FFF2-40B4-BE49-F238E27FC236}">
                <a16:creationId xmlns:a16="http://schemas.microsoft.com/office/drawing/2014/main" id="{C5601E2B-059A-0F1E-3386-9BD497E1AAE3}"/>
              </a:ext>
            </a:extLst>
          </xdr:cNvPr>
          <xdr:cNvCxnSpPr/>
        </xdr:nvCxnSpPr>
        <xdr:spPr>
          <a:xfrm flipH="1">
            <a:off x="3914775"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12</xdr:row>
      <xdr:rowOff>0</xdr:rowOff>
    </xdr:from>
    <xdr:to>
      <xdr:col>7</xdr:col>
      <xdr:colOff>0</xdr:colOff>
      <xdr:row>13</xdr:row>
      <xdr:rowOff>0</xdr:rowOff>
    </xdr:to>
    <xdr:grpSp>
      <xdr:nvGrpSpPr>
        <xdr:cNvPr id="121" name="Cross_G13">
          <a:extLst>
            <a:ext uri="{FF2B5EF4-FFF2-40B4-BE49-F238E27FC236}">
              <a16:creationId xmlns:a16="http://schemas.microsoft.com/office/drawing/2014/main" id="{832923F7-21B0-0AA2-FF54-2EFAA34E5957}"/>
            </a:ext>
          </a:extLst>
        </xdr:cNvPr>
        <xdr:cNvGrpSpPr/>
      </xdr:nvGrpSpPr>
      <xdr:grpSpPr>
        <a:xfrm>
          <a:off x="3914775" y="2743200"/>
          <a:ext cx="581025" cy="228600"/>
          <a:chOff x="3914775" y="2743200"/>
          <a:chExt cx="581025" cy="228600"/>
        </a:xfrm>
      </xdr:grpSpPr>
      <xdr:cxnSp macro="">
        <xdr:nvCxnSpPr>
          <xdr:cNvPr id="119" name="Gerader Verbinder 118">
            <a:extLst>
              <a:ext uri="{FF2B5EF4-FFF2-40B4-BE49-F238E27FC236}">
                <a16:creationId xmlns:a16="http://schemas.microsoft.com/office/drawing/2014/main" id="{C4C1464F-0873-262A-8C53-E6FD696BB8EF}"/>
              </a:ext>
            </a:extLst>
          </xdr:cNvPr>
          <xdr:cNvCxnSpPr/>
        </xdr:nvCxnSpPr>
        <xdr:spPr>
          <a:xfrm>
            <a:off x="3914775"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0" name="Gerader Verbinder 119">
            <a:extLst>
              <a:ext uri="{FF2B5EF4-FFF2-40B4-BE49-F238E27FC236}">
                <a16:creationId xmlns:a16="http://schemas.microsoft.com/office/drawing/2014/main" id="{1EA67606-10E6-DFE2-2015-D09CEE056C9F}"/>
              </a:ext>
            </a:extLst>
          </xdr:cNvPr>
          <xdr:cNvCxnSpPr/>
        </xdr:nvCxnSpPr>
        <xdr:spPr>
          <a:xfrm flipH="1">
            <a:off x="3914775"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14</xdr:row>
      <xdr:rowOff>0</xdr:rowOff>
    </xdr:from>
    <xdr:to>
      <xdr:col>7</xdr:col>
      <xdr:colOff>0</xdr:colOff>
      <xdr:row>15</xdr:row>
      <xdr:rowOff>0</xdr:rowOff>
    </xdr:to>
    <xdr:grpSp>
      <xdr:nvGrpSpPr>
        <xdr:cNvPr id="124" name="Cross_G15">
          <a:extLst>
            <a:ext uri="{FF2B5EF4-FFF2-40B4-BE49-F238E27FC236}">
              <a16:creationId xmlns:a16="http://schemas.microsoft.com/office/drawing/2014/main" id="{B8E8004F-FF39-982F-3C4C-46D21676E8DC}"/>
            </a:ext>
          </a:extLst>
        </xdr:cNvPr>
        <xdr:cNvGrpSpPr/>
      </xdr:nvGrpSpPr>
      <xdr:grpSpPr>
        <a:xfrm>
          <a:off x="3914775" y="3200400"/>
          <a:ext cx="581025" cy="228600"/>
          <a:chOff x="3914775" y="3200400"/>
          <a:chExt cx="581025" cy="228600"/>
        </a:xfrm>
      </xdr:grpSpPr>
      <xdr:cxnSp macro="">
        <xdr:nvCxnSpPr>
          <xdr:cNvPr id="122" name="Gerader Verbinder 121">
            <a:extLst>
              <a:ext uri="{FF2B5EF4-FFF2-40B4-BE49-F238E27FC236}">
                <a16:creationId xmlns:a16="http://schemas.microsoft.com/office/drawing/2014/main" id="{DCDE65B7-1B5C-441C-ED7C-3C090084596F}"/>
              </a:ext>
            </a:extLst>
          </xdr:cNvPr>
          <xdr:cNvCxnSpPr/>
        </xdr:nvCxnSpPr>
        <xdr:spPr>
          <a:xfrm>
            <a:off x="3914775"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3" name="Gerader Verbinder 122">
            <a:extLst>
              <a:ext uri="{FF2B5EF4-FFF2-40B4-BE49-F238E27FC236}">
                <a16:creationId xmlns:a16="http://schemas.microsoft.com/office/drawing/2014/main" id="{920A08C4-F04B-5B3B-0417-1F6F2ABD3FBE}"/>
              </a:ext>
            </a:extLst>
          </xdr:cNvPr>
          <xdr:cNvCxnSpPr/>
        </xdr:nvCxnSpPr>
        <xdr:spPr>
          <a:xfrm flipH="1">
            <a:off x="3914775"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18</xdr:row>
      <xdr:rowOff>0</xdr:rowOff>
    </xdr:from>
    <xdr:to>
      <xdr:col>7</xdr:col>
      <xdr:colOff>0</xdr:colOff>
      <xdr:row>19</xdr:row>
      <xdr:rowOff>0</xdr:rowOff>
    </xdr:to>
    <xdr:grpSp>
      <xdr:nvGrpSpPr>
        <xdr:cNvPr id="127" name="Cross_G19">
          <a:extLst>
            <a:ext uri="{FF2B5EF4-FFF2-40B4-BE49-F238E27FC236}">
              <a16:creationId xmlns:a16="http://schemas.microsoft.com/office/drawing/2014/main" id="{3CE49E26-66A3-5596-56E9-EB4BAD3ECCCE}"/>
            </a:ext>
          </a:extLst>
        </xdr:cNvPr>
        <xdr:cNvGrpSpPr/>
      </xdr:nvGrpSpPr>
      <xdr:grpSpPr>
        <a:xfrm>
          <a:off x="3914775" y="4114800"/>
          <a:ext cx="581025" cy="228600"/>
          <a:chOff x="3914775" y="4114800"/>
          <a:chExt cx="581025" cy="228600"/>
        </a:xfrm>
      </xdr:grpSpPr>
      <xdr:cxnSp macro="">
        <xdr:nvCxnSpPr>
          <xdr:cNvPr id="125" name="Gerader Verbinder 124">
            <a:extLst>
              <a:ext uri="{FF2B5EF4-FFF2-40B4-BE49-F238E27FC236}">
                <a16:creationId xmlns:a16="http://schemas.microsoft.com/office/drawing/2014/main" id="{F1B6C704-01B9-3D97-A28B-4EA7314EB032}"/>
              </a:ext>
            </a:extLst>
          </xdr:cNvPr>
          <xdr:cNvCxnSpPr/>
        </xdr:nvCxnSpPr>
        <xdr:spPr>
          <a:xfrm>
            <a:off x="391477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6" name="Gerader Verbinder 125">
            <a:extLst>
              <a:ext uri="{FF2B5EF4-FFF2-40B4-BE49-F238E27FC236}">
                <a16:creationId xmlns:a16="http://schemas.microsoft.com/office/drawing/2014/main" id="{6AB0DCD5-B4E8-B172-8AD9-826F753DB58D}"/>
              </a:ext>
            </a:extLst>
          </xdr:cNvPr>
          <xdr:cNvCxnSpPr/>
        </xdr:nvCxnSpPr>
        <xdr:spPr>
          <a:xfrm flipH="1">
            <a:off x="391477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20</xdr:row>
      <xdr:rowOff>0</xdr:rowOff>
    </xdr:from>
    <xdr:to>
      <xdr:col>7</xdr:col>
      <xdr:colOff>0</xdr:colOff>
      <xdr:row>21</xdr:row>
      <xdr:rowOff>0</xdr:rowOff>
    </xdr:to>
    <xdr:grpSp>
      <xdr:nvGrpSpPr>
        <xdr:cNvPr id="130" name="Cross_G21">
          <a:extLst>
            <a:ext uri="{FF2B5EF4-FFF2-40B4-BE49-F238E27FC236}">
              <a16:creationId xmlns:a16="http://schemas.microsoft.com/office/drawing/2014/main" id="{28E49CCE-E223-1D2B-44B0-15AEB1F5140F}"/>
            </a:ext>
          </a:extLst>
        </xdr:cNvPr>
        <xdr:cNvGrpSpPr/>
      </xdr:nvGrpSpPr>
      <xdr:grpSpPr>
        <a:xfrm>
          <a:off x="3914775" y="4572000"/>
          <a:ext cx="581025" cy="228600"/>
          <a:chOff x="3914775" y="4572000"/>
          <a:chExt cx="581025" cy="228600"/>
        </a:xfrm>
      </xdr:grpSpPr>
      <xdr:cxnSp macro="">
        <xdr:nvCxnSpPr>
          <xdr:cNvPr id="128" name="Gerader Verbinder 127">
            <a:extLst>
              <a:ext uri="{FF2B5EF4-FFF2-40B4-BE49-F238E27FC236}">
                <a16:creationId xmlns:a16="http://schemas.microsoft.com/office/drawing/2014/main" id="{D061D552-7CEB-5614-DCBC-08BC817E2CD7}"/>
              </a:ext>
            </a:extLst>
          </xdr:cNvPr>
          <xdr:cNvCxnSpPr/>
        </xdr:nvCxnSpPr>
        <xdr:spPr>
          <a:xfrm>
            <a:off x="3914775"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9" name="Gerader Verbinder 128">
            <a:extLst>
              <a:ext uri="{FF2B5EF4-FFF2-40B4-BE49-F238E27FC236}">
                <a16:creationId xmlns:a16="http://schemas.microsoft.com/office/drawing/2014/main" id="{F2EA3E6C-25FE-1DE7-1820-494F2594A386}"/>
              </a:ext>
            </a:extLst>
          </xdr:cNvPr>
          <xdr:cNvCxnSpPr/>
        </xdr:nvCxnSpPr>
        <xdr:spPr>
          <a:xfrm flipH="1">
            <a:off x="3914775"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133" name="Cross_G26">
          <a:extLst>
            <a:ext uri="{FF2B5EF4-FFF2-40B4-BE49-F238E27FC236}">
              <a16:creationId xmlns:a16="http://schemas.microsoft.com/office/drawing/2014/main" id="{ABEBF96A-ED21-7F42-C613-29FCEB7579E4}"/>
            </a:ext>
          </a:extLst>
        </xdr:cNvPr>
        <xdr:cNvGrpSpPr/>
      </xdr:nvGrpSpPr>
      <xdr:grpSpPr>
        <a:xfrm>
          <a:off x="3914775" y="5715000"/>
          <a:ext cx="581025" cy="228600"/>
          <a:chOff x="3914775" y="5715000"/>
          <a:chExt cx="581025" cy="228600"/>
        </a:xfrm>
      </xdr:grpSpPr>
      <xdr:cxnSp macro="">
        <xdr:nvCxnSpPr>
          <xdr:cNvPr id="131" name="Gerader Verbinder 130">
            <a:extLst>
              <a:ext uri="{FF2B5EF4-FFF2-40B4-BE49-F238E27FC236}">
                <a16:creationId xmlns:a16="http://schemas.microsoft.com/office/drawing/2014/main" id="{ED8AE799-49F7-E700-E1A5-C5E07CAC1AED}"/>
              </a:ext>
            </a:extLst>
          </xdr:cNvPr>
          <xdr:cNvCxnSpPr/>
        </xdr:nvCxnSpPr>
        <xdr:spPr>
          <a:xfrm>
            <a:off x="3914775"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2" name="Gerader Verbinder 131">
            <a:extLst>
              <a:ext uri="{FF2B5EF4-FFF2-40B4-BE49-F238E27FC236}">
                <a16:creationId xmlns:a16="http://schemas.microsoft.com/office/drawing/2014/main" id="{9980726F-2B53-9BA9-36BF-F874B9B2E3F3}"/>
              </a:ext>
            </a:extLst>
          </xdr:cNvPr>
          <xdr:cNvCxnSpPr/>
        </xdr:nvCxnSpPr>
        <xdr:spPr>
          <a:xfrm flipH="1">
            <a:off x="3914775"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136" name="Cross_G27">
          <a:extLst>
            <a:ext uri="{FF2B5EF4-FFF2-40B4-BE49-F238E27FC236}">
              <a16:creationId xmlns:a16="http://schemas.microsoft.com/office/drawing/2014/main" id="{DF993285-A614-880B-EB1B-151E7B82828B}"/>
            </a:ext>
          </a:extLst>
        </xdr:cNvPr>
        <xdr:cNvGrpSpPr/>
      </xdr:nvGrpSpPr>
      <xdr:grpSpPr>
        <a:xfrm>
          <a:off x="3914775" y="5943600"/>
          <a:ext cx="581025" cy="228600"/>
          <a:chOff x="3914775" y="5943600"/>
          <a:chExt cx="581025" cy="228600"/>
        </a:xfrm>
      </xdr:grpSpPr>
      <xdr:cxnSp macro="">
        <xdr:nvCxnSpPr>
          <xdr:cNvPr id="134" name="Gerader Verbinder 133">
            <a:extLst>
              <a:ext uri="{FF2B5EF4-FFF2-40B4-BE49-F238E27FC236}">
                <a16:creationId xmlns:a16="http://schemas.microsoft.com/office/drawing/2014/main" id="{414173D1-471C-630A-3D18-E4AFBB3BFF2D}"/>
              </a:ext>
            </a:extLst>
          </xdr:cNvPr>
          <xdr:cNvCxnSpPr/>
        </xdr:nvCxnSpPr>
        <xdr:spPr>
          <a:xfrm>
            <a:off x="3914775"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5" name="Gerader Verbinder 134">
            <a:extLst>
              <a:ext uri="{FF2B5EF4-FFF2-40B4-BE49-F238E27FC236}">
                <a16:creationId xmlns:a16="http://schemas.microsoft.com/office/drawing/2014/main" id="{B476AFB3-9969-4EF9-28C8-4CC080D3F1EB}"/>
              </a:ext>
            </a:extLst>
          </xdr:cNvPr>
          <xdr:cNvCxnSpPr/>
        </xdr:nvCxnSpPr>
        <xdr:spPr>
          <a:xfrm flipH="1">
            <a:off x="3914775"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27</xdr:row>
      <xdr:rowOff>0</xdr:rowOff>
    </xdr:from>
    <xdr:to>
      <xdr:col>7</xdr:col>
      <xdr:colOff>0</xdr:colOff>
      <xdr:row>28</xdr:row>
      <xdr:rowOff>0</xdr:rowOff>
    </xdr:to>
    <xdr:grpSp>
      <xdr:nvGrpSpPr>
        <xdr:cNvPr id="139" name="Cross_G28">
          <a:extLst>
            <a:ext uri="{FF2B5EF4-FFF2-40B4-BE49-F238E27FC236}">
              <a16:creationId xmlns:a16="http://schemas.microsoft.com/office/drawing/2014/main" id="{AA1E0678-D0FF-9C36-F306-64A5DF86535A}"/>
            </a:ext>
          </a:extLst>
        </xdr:cNvPr>
        <xdr:cNvGrpSpPr/>
      </xdr:nvGrpSpPr>
      <xdr:grpSpPr>
        <a:xfrm>
          <a:off x="3914775" y="6172200"/>
          <a:ext cx="581025" cy="228600"/>
          <a:chOff x="3914775" y="6172200"/>
          <a:chExt cx="581025" cy="228600"/>
        </a:xfrm>
      </xdr:grpSpPr>
      <xdr:cxnSp macro="">
        <xdr:nvCxnSpPr>
          <xdr:cNvPr id="137" name="Gerader Verbinder 136">
            <a:extLst>
              <a:ext uri="{FF2B5EF4-FFF2-40B4-BE49-F238E27FC236}">
                <a16:creationId xmlns:a16="http://schemas.microsoft.com/office/drawing/2014/main" id="{FDC7D143-3D4A-51D5-87DE-434EDA44FF55}"/>
              </a:ext>
            </a:extLst>
          </xdr:cNvPr>
          <xdr:cNvCxnSpPr/>
        </xdr:nvCxnSpPr>
        <xdr:spPr>
          <a:xfrm>
            <a:off x="391477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8" name="Gerader Verbinder 137">
            <a:extLst>
              <a:ext uri="{FF2B5EF4-FFF2-40B4-BE49-F238E27FC236}">
                <a16:creationId xmlns:a16="http://schemas.microsoft.com/office/drawing/2014/main" id="{5AE10707-1C5D-2F77-65B9-4C54180CB910}"/>
              </a:ext>
            </a:extLst>
          </xdr:cNvPr>
          <xdr:cNvCxnSpPr/>
        </xdr:nvCxnSpPr>
        <xdr:spPr>
          <a:xfrm flipH="1">
            <a:off x="391477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142" name="Cross_H7">
          <a:extLst>
            <a:ext uri="{FF2B5EF4-FFF2-40B4-BE49-F238E27FC236}">
              <a16:creationId xmlns:a16="http://schemas.microsoft.com/office/drawing/2014/main" id="{B28565AB-52BD-0E8F-4DCC-A0E35D74C1F5}"/>
            </a:ext>
          </a:extLst>
        </xdr:cNvPr>
        <xdr:cNvGrpSpPr/>
      </xdr:nvGrpSpPr>
      <xdr:grpSpPr>
        <a:xfrm>
          <a:off x="4495800" y="1371600"/>
          <a:ext cx="581025" cy="228600"/>
          <a:chOff x="4495800" y="1371600"/>
          <a:chExt cx="581025" cy="228600"/>
        </a:xfrm>
      </xdr:grpSpPr>
      <xdr:cxnSp macro="">
        <xdr:nvCxnSpPr>
          <xdr:cNvPr id="140" name="Gerader Verbinder 139">
            <a:extLst>
              <a:ext uri="{FF2B5EF4-FFF2-40B4-BE49-F238E27FC236}">
                <a16:creationId xmlns:a16="http://schemas.microsoft.com/office/drawing/2014/main" id="{08F1B8B2-706C-1F18-2A4B-D6DE72450FC8}"/>
              </a:ext>
            </a:extLst>
          </xdr:cNvPr>
          <xdr:cNvCxnSpPr/>
        </xdr:nvCxnSpPr>
        <xdr:spPr>
          <a:xfrm>
            <a:off x="4495800"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1" name="Gerader Verbinder 140">
            <a:extLst>
              <a:ext uri="{FF2B5EF4-FFF2-40B4-BE49-F238E27FC236}">
                <a16:creationId xmlns:a16="http://schemas.microsoft.com/office/drawing/2014/main" id="{5BDCF11B-DE57-7C6C-1FA6-A6850687B695}"/>
              </a:ext>
            </a:extLst>
          </xdr:cNvPr>
          <xdr:cNvCxnSpPr/>
        </xdr:nvCxnSpPr>
        <xdr:spPr>
          <a:xfrm flipH="1">
            <a:off x="4495800"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145" name="Cross_H8">
          <a:extLst>
            <a:ext uri="{FF2B5EF4-FFF2-40B4-BE49-F238E27FC236}">
              <a16:creationId xmlns:a16="http://schemas.microsoft.com/office/drawing/2014/main" id="{40FD96E1-1DFD-354F-3BC3-0B6F4BAAF719}"/>
            </a:ext>
          </a:extLst>
        </xdr:cNvPr>
        <xdr:cNvGrpSpPr/>
      </xdr:nvGrpSpPr>
      <xdr:grpSpPr>
        <a:xfrm>
          <a:off x="4495800" y="1600200"/>
          <a:ext cx="581025" cy="228600"/>
          <a:chOff x="4495800" y="1600200"/>
          <a:chExt cx="581025" cy="228600"/>
        </a:xfrm>
      </xdr:grpSpPr>
      <xdr:cxnSp macro="">
        <xdr:nvCxnSpPr>
          <xdr:cNvPr id="143" name="Gerader Verbinder 142">
            <a:extLst>
              <a:ext uri="{FF2B5EF4-FFF2-40B4-BE49-F238E27FC236}">
                <a16:creationId xmlns:a16="http://schemas.microsoft.com/office/drawing/2014/main" id="{731A0A8D-76DE-2FA3-E980-5243DE8CAC19}"/>
              </a:ext>
            </a:extLst>
          </xdr:cNvPr>
          <xdr:cNvCxnSpPr/>
        </xdr:nvCxnSpPr>
        <xdr:spPr>
          <a:xfrm>
            <a:off x="449580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4" name="Gerader Verbinder 143">
            <a:extLst>
              <a:ext uri="{FF2B5EF4-FFF2-40B4-BE49-F238E27FC236}">
                <a16:creationId xmlns:a16="http://schemas.microsoft.com/office/drawing/2014/main" id="{A78715D3-AA03-8A9B-ED88-81953CABC5C3}"/>
              </a:ext>
            </a:extLst>
          </xdr:cNvPr>
          <xdr:cNvCxnSpPr/>
        </xdr:nvCxnSpPr>
        <xdr:spPr>
          <a:xfrm flipH="1">
            <a:off x="449580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148" name="Cross_H10">
          <a:extLst>
            <a:ext uri="{FF2B5EF4-FFF2-40B4-BE49-F238E27FC236}">
              <a16:creationId xmlns:a16="http://schemas.microsoft.com/office/drawing/2014/main" id="{9423D450-F1A3-AE30-B09B-5467EA1E326E}"/>
            </a:ext>
          </a:extLst>
        </xdr:cNvPr>
        <xdr:cNvGrpSpPr/>
      </xdr:nvGrpSpPr>
      <xdr:grpSpPr>
        <a:xfrm>
          <a:off x="4495800" y="2057400"/>
          <a:ext cx="581025" cy="228600"/>
          <a:chOff x="4495800" y="2057400"/>
          <a:chExt cx="581025" cy="228600"/>
        </a:xfrm>
      </xdr:grpSpPr>
      <xdr:cxnSp macro="">
        <xdr:nvCxnSpPr>
          <xdr:cNvPr id="146" name="Gerader Verbinder 145">
            <a:extLst>
              <a:ext uri="{FF2B5EF4-FFF2-40B4-BE49-F238E27FC236}">
                <a16:creationId xmlns:a16="http://schemas.microsoft.com/office/drawing/2014/main" id="{BCD3894F-DFE5-E380-19B4-1544E5877F63}"/>
              </a:ext>
            </a:extLst>
          </xdr:cNvPr>
          <xdr:cNvCxnSpPr/>
        </xdr:nvCxnSpPr>
        <xdr:spPr>
          <a:xfrm>
            <a:off x="4495800"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7" name="Gerader Verbinder 146">
            <a:extLst>
              <a:ext uri="{FF2B5EF4-FFF2-40B4-BE49-F238E27FC236}">
                <a16:creationId xmlns:a16="http://schemas.microsoft.com/office/drawing/2014/main" id="{140A79EA-9D74-87E8-4175-1CACD1BBAA16}"/>
              </a:ext>
            </a:extLst>
          </xdr:cNvPr>
          <xdr:cNvCxnSpPr/>
        </xdr:nvCxnSpPr>
        <xdr:spPr>
          <a:xfrm flipH="1">
            <a:off x="4495800"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151" name="Cross_H11">
          <a:extLst>
            <a:ext uri="{FF2B5EF4-FFF2-40B4-BE49-F238E27FC236}">
              <a16:creationId xmlns:a16="http://schemas.microsoft.com/office/drawing/2014/main" id="{F0489765-739F-BC02-D41B-E1A154D59B2F}"/>
            </a:ext>
          </a:extLst>
        </xdr:cNvPr>
        <xdr:cNvGrpSpPr/>
      </xdr:nvGrpSpPr>
      <xdr:grpSpPr>
        <a:xfrm>
          <a:off x="4495800" y="2286000"/>
          <a:ext cx="581025" cy="228600"/>
          <a:chOff x="4495800" y="2286000"/>
          <a:chExt cx="581025" cy="228600"/>
        </a:xfrm>
      </xdr:grpSpPr>
      <xdr:cxnSp macro="">
        <xdr:nvCxnSpPr>
          <xdr:cNvPr id="149" name="Gerader Verbinder 148">
            <a:extLst>
              <a:ext uri="{FF2B5EF4-FFF2-40B4-BE49-F238E27FC236}">
                <a16:creationId xmlns:a16="http://schemas.microsoft.com/office/drawing/2014/main" id="{B1945650-74B9-EBF7-3B20-A311BAB38AE4}"/>
              </a:ext>
            </a:extLst>
          </xdr:cNvPr>
          <xdr:cNvCxnSpPr/>
        </xdr:nvCxnSpPr>
        <xdr:spPr>
          <a:xfrm>
            <a:off x="449580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0" name="Gerader Verbinder 149">
            <a:extLst>
              <a:ext uri="{FF2B5EF4-FFF2-40B4-BE49-F238E27FC236}">
                <a16:creationId xmlns:a16="http://schemas.microsoft.com/office/drawing/2014/main" id="{A4ECA527-2EE4-79F9-7DFD-CE44DD95FED7}"/>
              </a:ext>
            </a:extLst>
          </xdr:cNvPr>
          <xdr:cNvCxnSpPr/>
        </xdr:nvCxnSpPr>
        <xdr:spPr>
          <a:xfrm flipH="1">
            <a:off x="449580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154" name="Cross_H12">
          <a:extLst>
            <a:ext uri="{FF2B5EF4-FFF2-40B4-BE49-F238E27FC236}">
              <a16:creationId xmlns:a16="http://schemas.microsoft.com/office/drawing/2014/main" id="{255E705C-6F56-C79C-2A3E-B4032B808907}"/>
            </a:ext>
          </a:extLst>
        </xdr:cNvPr>
        <xdr:cNvGrpSpPr/>
      </xdr:nvGrpSpPr>
      <xdr:grpSpPr>
        <a:xfrm>
          <a:off x="4495800" y="2514600"/>
          <a:ext cx="581025" cy="228600"/>
          <a:chOff x="4495800" y="2514600"/>
          <a:chExt cx="581025" cy="228600"/>
        </a:xfrm>
      </xdr:grpSpPr>
      <xdr:cxnSp macro="">
        <xdr:nvCxnSpPr>
          <xdr:cNvPr id="152" name="Gerader Verbinder 151">
            <a:extLst>
              <a:ext uri="{FF2B5EF4-FFF2-40B4-BE49-F238E27FC236}">
                <a16:creationId xmlns:a16="http://schemas.microsoft.com/office/drawing/2014/main" id="{94A4623A-762B-20F5-44CD-ED940514BD06}"/>
              </a:ext>
            </a:extLst>
          </xdr:cNvPr>
          <xdr:cNvCxnSpPr/>
        </xdr:nvCxnSpPr>
        <xdr:spPr>
          <a:xfrm>
            <a:off x="44958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3" name="Gerader Verbinder 152">
            <a:extLst>
              <a:ext uri="{FF2B5EF4-FFF2-40B4-BE49-F238E27FC236}">
                <a16:creationId xmlns:a16="http://schemas.microsoft.com/office/drawing/2014/main" id="{0076BD84-DC9D-9089-502C-880125E45C79}"/>
              </a:ext>
            </a:extLst>
          </xdr:cNvPr>
          <xdr:cNvCxnSpPr/>
        </xdr:nvCxnSpPr>
        <xdr:spPr>
          <a:xfrm flipH="1">
            <a:off x="44958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14</xdr:row>
      <xdr:rowOff>0</xdr:rowOff>
    </xdr:from>
    <xdr:to>
      <xdr:col>8</xdr:col>
      <xdr:colOff>0</xdr:colOff>
      <xdr:row>15</xdr:row>
      <xdr:rowOff>0</xdr:rowOff>
    </xdr:to>
    <xdr:grpSp>
      <xdr:nvGrpSpPr>
        <xdr:cNvPr id="157" name="Cross_H15">
          <a:extLst>
            <a:ext uri="{FF2B5EF4-FFF2-40B4-BE49-F238E27FC236}">
              <a16:creationId xmlns:a16="http://schemas.microsoft.com/office/drawing/2014/main" id="{ADF13E91-1F29-0067-6245-82DAD98BC926}"/>
            </a:ext>
          </a:extLst>
        </xdr:cNvPr>
        <xdr:cNvGrpSpPr/>
      </xdr:nvGrpSpPr>
      <xdr:grpSpPr>
        <a:xfrm>
          <a:off x="4495800" y="3200400"/>
          <a:ext cx="581025" cy="228600"/>
          <a:chOff x="4495800" y="3200400"/>
          <a:chExt cx="581025" cy="228600"/>
        </a:xfrm>
      </xdr:grpSpPr>
      <xdr:cxnSp macro="">
        <xdr:nvCxnSpPr>
          <xdr:cNvPr id="155" name="Gerader Verbinder 154">
            <a:extLst>
              <a:ext uri="{FF2B5EF4-FFF2-40B4-BE49-F238E27FC236}">
                <a16:creationId xmlns:a16="http://schemas.microsoft.com/office/drawing/2014/main" id="{B00FD1DD-F532-48A1-463E-04154627C94A}"/>
              </a:ext>
            </a:extLst>
          </xdr:cNvPr>
          <xdr:cNvCxnSpPr/>
        </xdr:nvCxnSpPr>
        <xdr:spPr>
          <a:xfrm>
            <a:off x="4495800"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6" name="Gerader Verbinder 155">
            <a:extLst>
              <a:ext uri="{FF2B5EF4-FFF2-40B4-BE49-F238E27FC236}">
                <a16:creationId xmlns:a16="http://schemas.microsoft.com/office/drawing/2014/main" id="{42D7434F-22EC-ADCB-49E4-EDFA7EAAE797}"/>
              </a:ext>
            </a:extLst>
          </xdr:cNvPr>
          <xdr:cNvCxnSpPr/>
        </xdr:nvCxnSpPr>
        <xdr:spPr>
          <a:xfrm flipH="1">
            <a:off x="4495800"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160" name="Cross_H16">
          <a:extLst>
            <a:ext uri="{FF2B5EF4-FFF2-40B4-BE49-F238E27FC236}">
              <a16:creationId xmlns:a16="http://schemas.microsoft.com/office/drawing/2014/main" id="{AED8195C-BC2E-1E4B-7A77-0B01A08E2BD1}"/>
            </a:ext>
          </a:extLst>
        </xdr:cNvPr>
        <xdr:cNvGrpSpPr/>
      </xdr:nvGrpSpPr>
      <xdr:grpSpPr>
        <a:xfrm>
          <a:off x="4495800" y="3429000"/>
          <a:ext cx="581025" cy="228600"/>
          <a:chOff x="4495800" y="3429000"/>
          <a:chExt cx="581025" cy="228600"/>
        </a:xfrm>
      </xdr:grpSpPr>
      <xdr:cxnSp macro="">
        <xdr:nvCxnSpPr>
          <xdr:cNvPr id="158" name="Gerader Verbinder 157">
            <a:extLst>
              <a:ext uri="{FF2B5EF4-FFF2-40B4-BE49-F238E27FC236}">
                <a16:creationId xmlns:a16="http://schemas.microsoft.com/office/drawing/2014/main" id="{BCACA581-D98F-4AFB-9704-F221F70C041E}"/>
              </a:ext>
            </a:extLst>
          </xdr:cNvPr>
          <xdr:cNvCxnSpPr/>
        </xdr:nvCxnSpPr>
        <xdr:spPr>
          <a:xfrm>
            <a:off x="44958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9" name="Gerader Verbinder 158">
            <a:extLst>
              <a:ext uri="{FF2B5EF4-FFF2-40B4-BE49-F238E27FC236}">
                <a16:creationId xmlns:a16="http://schemas.microsoft.com/office/drawing/2014/main" id="{576A3EA2-BA6C-23A8-5C5E-068BCA26A3B7}"/>
              </a:ext>
            </a:extLst>
          </xdr:cNvPr>
          <xdr:cNvCxnSpPr/>
        </xdr:nvCxnSpPr>
        <xdr:spPr>
          <a:xfrm flipH="1">
            <a:off x="44958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163" name="Cross_H17">
          <a:extLst>
            <a:ext uri="{FF2B5EF4-FFF2-40B4-BE49-F238E27FC236}">
              <a16:creationId xmlns:a16="http://schemas.microsoft.com/office/drawing/2014/main" id="{43ED43C5-8861-EB1F-B8C1-788D8E6294BB}"/>
            </a:ext>
          </a:extLst>
        </xdr:cNvPr>
        <xdr:cNvGrpSpPr/>
      </xdr:nvGrpSpPr>
      <xdr:grpSpPr>
        <a:xfrm>
          <a:off x="4495800" y="3657600"/>
          <a:ext cx="581025" cy="228600"/>
          <a:chOff x="4495800" y="3657600"/>
          <a:chExt cx="581025" cy="228600"/>
        </a:xfrm>
      </xdr:grpSpPr>
      <xdr:cxnSp macro="">
        <xdr:nvCxnSpPr>
          <xdr:cNvPr id="161" name="Gerader Verbinder 160">
            <a:extLst>
              <a:ext uri="{FF2B5EF4-FFF2-40B4-BE49-F238E27FC236}">
                <a16:creationId xmlns:a16="http://schemas.microsoft.com/office/drawing/2014/main" id="{D9CAA6C7-36BB-5ED2-149B-CDD7FEFA1D84}"/>
              </a:ext>
            </a:extLst>
          </xdr:cNvPr>
          <xdr:cNvCxnSpPr/>
        </xdr:nvCxnSpPr>
        <xdr:spPr>
          <a:xfrm>
            <a:off x="449580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2" name="Gerader Verbinder 161">
            <a:extLst>
              <a:ext uri="{FF2B5EF4-FFF2-40B4-BE49-F238E27FC236}">
                <a16:creationId xmlns:a16="http://schemas.microsoft.com/office/drawing/2014/main" id="{7F847E44-C04E-153B-58FC-FD9CDA7AB2C0}"/>
              </a:ext>
            </a:extLst>
          </xdr:cNvPr>
          <xdr:cNvCxnSpPr/>
        </xdr:nvCxnSpPr>
        <xdr:spPr>
          <a:xfrm flipH="1">
            <a:off x="449580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166" name="Cross_H18">
          <a:extLst>
            <a:ext uri="{FF2B5EF4-FFF2-40B4-BE49-F238E27FC236}">
              <a16:creationId xmlns:a16="http://schemas.microsoft.com/office/drawing/2014/main" id="{25093E70-1F23-59B9-C260-B62AAB91DB95}"/>
            </a:ext>
          </a:extLst>
        </xdr:cNvPr>
        <xdr:cNvGrpSpPr/>
      </xdr:nvGrpSpPr>
      <xdr:grpSpPr>
        <a:xfrm>
          <a:off x="4495800" y="3886200"/>
          <a:ext cx="581025" cy="228600"/>
          <a:chOff x="4495800" y="3886200"/>
          <a:chExt cx="581025" cy="228600"/>
        </a:xfrm>
      </xdr:grpSpPr>
      <xdr:cxnSp macro="">
        <xdr:nvCxnSpPr>
          <xdr:cNvPr id="164" name="Gerader Verbinder 163">
            <a:extLst>
              <a:ext uri="{FF2B5EF4-FFF2-40B4-BE49-F238E27FC236}">
                <a16:creationId xmlns:a16="http://schemas.microsoft.com/office/drawing/2014/main" id="{6958D36F-1512-B8C7-A8E0-155FFFBD5B43}"/>
              </a:ext>
            </a:extLst>
          </xdr:cNvPr>
          <xdr:cNvCxnSpPr/>
        </xdr:nvCxnSpPr>
        <xdr:spPr>
          <a:xfrm>
            <a:off x="449580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5" name="Gerader Verbinder 164">
            <a:extLst>
              <a:ext uri="{FF2B5EF4-FFF2-40B4-BE49-F238E27FC236}">
                <a16:creationId xmlns:a16="http://schemas.microsoft.com/office/drawing/2014/main" id="{0017B8C1-88B8-8C40-E956-F07A455BFC15}"/>
              </a:ext>
            </a:extLst>
          </xdr:cNvPr>
          <xdr:cNvCxnSpPr/>
        </xdr:nvCxnSpPr>
        <xdr:spPr>
          <a:xfrm flipH="1">
            <a:off x="449580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169" name="Cross_H22">
          <a:extLst>
            <a:ext uri="{FF2B5EF4-FFF2-40B4-BE49-F238E27FC236}">
              <a16:creationId xmlns:a16="http://schemas.microsoft.com/office/drawing/2014/main" id="{1A34C12D-A6EA-19F2-2756-D6BCFD3FAA26}"/>
            </a:ext>
          </a:extLst>
        </xdr:cNvPr>
        <xdr:cNvGrpSpPr/>
      </xdr:nvGrpSpPr>
      <xdr:grpSpPr>
        <a:xfrm>
          <a:off x="4495800" y="4800600"/>
          <a:ext cx="581025" cy="228600"/>
          <a:chOff x="4495800" y="4800600"/>
          <a:chExt cx="581025" cy="228600"/>
        </a:xfrm>
      </xdr:grpSpPr>
      <xdr:cxnSp macro="">
        <xdr:nvCxnSpPr>
          <xdr:cNvPr id="167" name="Gerader Verbinder 166">
            <a:extLst>
              <a:ext uri="{FF2B5EF4-FFF2-40B4-BE49-F238E27FC236}">
                <a16:creationId xmlns:a16="http://schemas.microsoft.com/office/drawing/2014/main" id="{51B85E34-B744-8342-DEF6-2E5549083DEA}"/>
              </a:ext>
            </a:extLst>
          </xdr:cNvPr>
          <xdr:cNvCxnSpPr/>
        </xdr:nvCxnSpPr>
        <xdr:spPr>
          <a:xfrm>
            <a:off x="44958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8" name="Gerader Verbinder 167">
            <a:extLst>
              <a:ext uri="{FF2B5EF4-FFF2-40B4-BE49-F238E27FC236}">
                <a16:creationId xmlns:a16="http://schemas.microsoft.com/office/drawing/2014/main" id="{6E59C369-B76E-6410-6766-00173E9C1258}"/>
              </a:ext>
            </a:extLst>
          </xdr:cNvPr>
          <xdr:cNvCxnSpPr/>
        </xdr:nvCxnSpPr>
        <xdr:spPr>
          <a:xfrm flipH="1">
            <a:off x="44958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172" name="Cross_H23">
          <a:extLst>
            <a:ext uri="{FF2B5EF4-FFF2-40B4-BE49-F238E27FC236}">
              <a16:creationId xmlns:a16="http://schemas.microsoft.com/office/drawing/2014/main" id="{91BC3EEC-20FF-18C8-4A69-850BF86E194D}"/>
            </a:ext>
          </a:extLst>
        </xdr:cNvPr>
        <xdr:cNvGrpSpPr/>
      </xdr:nvGrpSpPr>
      <xdr:grpSpPr>
        <a:xfrm>
          <a:off x="4495800" y="5029200"/>
          <a:ext cx="581025" cy="228600"/>
          <a:chOff x="4495800" y="5029200"/>
          <a:chExt cx="581025" cy="228600"/>
        </a:xfrm>
      </xdr:grpSpPr>
      <xdr:cxnSp macro="">
        <xdr:nvCxnSpPr>
          <xdr:cNvPr id="170" name="Gerader Verbinder 169">
            <a:extLst>
              <a:ext uri="{FF2B5EF4-FFF2-40B4-BE49-F238E27FC236}">
                <a16:creationId xmlns:a16="http://schemas.microsoft.com/office/drawing/2014/main" id="{B2161069-9D4F-FBAA-A780-BF56242F1BAE}"/>
              </a:ext>
            </a:extLst>
          </xdr:cNvPr>
          <xdr:cNvCxnSpPr/>
        </xdr:nvCxnSpPr>
        <xdr:spPr>
          <a:xfrm>
            <a:off x="449580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1" name="Gerader Verbinder 170">
            <a:extLst>
              <a:ext uri="{FF2B5EF4-FFF2-40B4-BE49-F238E27FC236}">
                <a16:creationId xmlns:a16="http://schemas.microsoft.com/office/drawing/2014/main" id="{BB32E8C6-317B-71DA-437A-B1C82384C09D}"/>
              </a:ext>
            </a:extLst>
          </xdr:cNvPr>
          <xdr:cNvCxnSpPr/>
        </xdr:nvCxnSpPr>
        <xdr:spPr>
          <a:xfrm flipH="1">
            <a:off x="449580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25</xdr:row>
      <xdr:rowOff>0</xdr:rowOff>
    </xdr:from>
    <xdr:to>
      <xdr:col>8</xdr:col>
      <xdr:colOff>0</xdr:colOff>
      <xdr:row>26</xdr:row>
      <xdr:rowOff>0</xdr:rowOff>
    </xdr:to>
    <xdr:grpSp>
      <xdr:nvGrpSpPr>
        <xdr:cNvPr id="175" name="Cross_H26">
          <a:extLst>
            <a:ext uri="{FF2B5EF4-FFF2-40B4-BE49-F238E27FC236}">
              <a16:creationId xmlns:a16="http://schemas.microsoft.com/office/drawing/2014/main" id="{4C2599FC-DDB3-4A03-3025-C02AD6740A84}"/>
            </a:ext>
          </a:extLst>
        </xdr:cNvPr>
        <xdr:cNvGrpSpPr/>
      </xdr:nvGrpSpPr>
      <xdr:grpSpPr>
        <a:xfrm>
          <a:off x="4495800" y="5715000"/>
          <a:ext cx="581025" cy="228600"/>
          <a:chOff x="4495800" y="5715000"/>
          <a:chExt cx="581025" cy="228600"/>
        </a:xfrm>
      </xdr:grpSpPr>
      <xdr:cxnSp macro="">
        <xdr:nvCxnSpPr>
          <xdr:cNvPr id="173" name="Gerader Verbinder 172">
            <a:extLst>
              <a:ext uri="{FF2B5EF4-FFF2-40B4-BE49-F238E27FC236}">
                <a16:creationId xmlns:a16="http://schemas.microsoft.com/office/drawing/2014/main" id="{FC1281BA-214C-2A2E-4336-7938F8FB666E}"/>
              </a:ext>
            </a:extLst>
          </xdr:cNvPr>
          <xdr:cNvCxnSpPr/>
        </xdr:nvCxnSpPr>
        <xdr:spPr>
          <a:xfrm>
            <a:off x="4495800"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4" name="Gerader Verbinder 173">
            <a:extLst>
              <a:ext uri="{FF2B5EF4-FFF2-40B4-BE49-F238E27FC236}">
                <a16:creationId xmlns:a16="http://schemas.microsoft.com/office/drawing/2014/main" id="{90F8D998-3058-0D6B-80CC-7A4DAC0E1326}"/>
              </a:ext>
            </a:extLst>
          </xdr:cNvPr>
          <xdr:cNvCxnSpPr/>
        </xdr:nvCxnSpPr>
        <xdr:spPr>
          <a:xfrm flipH="1">
            <a:off x="4495800"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26</xdr:row>
      <xdr:rowOff>0</xdr:rowOff>
    </xdr:from>
    <xdr:to>
      <xdr:col>8</xdr:col>
      <xdr:colOff>0</xdr:colOff>
      <xdr:row>27</xdr:row>
      <xdr:rowOff>0</xdr:rowOff>
    </xdr:to>
    <xdr:grpSp>
      <xdr:nvGrpSpPr>
        <xdr:cNvPr id="178" name="Cross_H27">
          <a:extLst>
            <a:ext uri="{FF2B5EF4-FFF2-40B4-BE49-F238E27FC236}">
              <a16:creationId xmlns:a16="http://schemas.microsoft.com/office/drawing/2014/main" id="{4DF53F0D-C3D9-9647-469F-72FA612FACFC}"/>
            </a:ext>
          </a:extLst>
        </xdr:cNvPr>
        <xdr:cNvGrpSpPr/>
      </xdr:nvGrpSpPr>
      <xdr:grpSpPr>
        <a:xfrm>
          <a:off x="4495800" y="5943600"/>
          <a:ext cx="581025" cy="228600"/>
          <a:chOff x="4495800" y="5943600"/>
          <a:chExt cx="581025" cy="228600"/>
        </a:xfrm>
      </xdr:grpSpPr>
      <xdr:cxnSp macro="">
        <xdr:nvCxnSpPr>
          <xdr:cNvPr id="176" name="Gerader Verbinder 175">
            <a:extLst>
              <a:ext uri="{FF2B5EF4-FFF2-40B4-BE49-F238E27FC236}">
                <a16:creationId xmlns:a16="http://schemas.microsoft.com/office/drawing/2014/main" id="{4CDC1466-B667-5E98-7C68-329B34048940}"/>
              </a:ext>
            </a:extLst>
          </xdr:cNvPr>
          <xdr:cNvCxnSpPr/>
        </xdr:nvCxnSpPr>
        <xdr:spPr>
          <a:xfrm>
            <a:off x="4495800"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7" name="Gerader Verbinder 176">
            <a:extLst>
              <a:ext uri="{FF2B5EF4-FFF2-40B4-BE49-F238E27FC236}">
                <a16:creationId xmlns:a16="http://schemas.microsoft.com/office/drawing/2014/main" id="{AA62D104-C8ED-560E-71E3-4ECD9306082B}"/>
              </a:ext>
            </a:extLst>
          </xdr:cNvPr>
          <xdr:cNvCxnSpPr/>
        </xdr:nvCxnSpPr>
        <xdr:spPr>
          <a:xfrm flipH="1">
            <a:off x="4495800"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28</xdr:row>
      <xdr:rowOff>0</xdr:rowOff>
    </xdr:from>
    <xdr:to>
      <xdr:col>8</xdr:col>
      <xdr:colOff>0</xdr:colOff>
      <xdr:row>29</xdr:row>
      <xdr:rowOff>0</xdr:rowOff>
    </xdr:to>
    <xdr:grpSp>
      <xdr:nvGrpSpPr>
        <xdr:cNvPr id="181" name="Cross_H29">
          <a:extLst>
            <a:ext uri="{FF2B5EF4-FFF2-40B4-BE49-F238E27FC236}">
              <a16:creationId xmlns:a16="http://schemas.microsoft.com/office/drawing/2014/main" id="{C1EFC673-BC18-2E0D-23C5-2A102208AB3D}"/>
            </a:ext>
          </a:extLst>
        </xdr:cNvPr>
        <xdr:cNvGrpSpPr/>
      </xdr:nvGrpSpPr>
      <xdr:grpSpPr>
        <a:xfrm>
          <a:off x="4495800" y="6400800"/>
          <a:ext cx="581025" cy="228600"/>
          <a:chOff x="4495800" y="6400800"/>
          <a:chExt cx="581025" cy="228600"/>
        </a:xfrm>
      </xdr:grpSpPr>
      <xdr:cxnSp macro="">
        <xdr:nvCxnSpPr>
          <xdr:cNvPr id="179" name="Gerader Verbinder 178">
            <a:extLst>
              <a:ext uri="{FF2B5EF4-FFF2-40B4-BE49-F238E27FC236}">
                <a16:creationId xmlns:a16="http://schemas.microsoft.com/office/drawing/2014/main" id="{D5D03EF1-4F7C-9F4F-CD2D-42036306ECF3}"/>
              </a:ext>
            </a:extLst>
          </xdr:cNvPr>
          <xdr:cNvCxnSpPr/>
        </xdr:nvCxnSpPr>
        <xdr:spPr>
          <a:xfrm>
            <a:off x="449580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0" name="Gerader Verbinder 179">
            <a:extLst>
              <a:ext uri="{FF2B5EF4-FFF2-40B4-BE49-F238E27FC236}">
                <a16:creationId xmlns:a16="http://schemas.microsoft.com/office/drawing/2014/main" id="{9764AFB5-A6F5-BE64-29DB-A68A6A269AB1}"/>
              </a:ext>
            </a:extLst>
          </xdr:cNvPr>
          <xdr:cNvCxnSpPr/>
        </xdr:nvCxnSpPr>
        <xdr:spPr>
          <a:xfrm flipH="1">
            <a:off x="449580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1</xdr:row>
          <xdr:rowOff>0</xdr:rowOff>
        </xdr:from>
        <xdr:to>
          <xdr:col>10</xdr:col>
          <xdr:colOff>590550</xdr:colOff>
          <xdr:row>3</xdr:row>
          <xdr:rowOff>47625</xdr:rowOff>
        </xdr:to>
        <xdr:sp macro="" textlink="">
          <xdr:nvSpPr>
            <xdr:cNvPr id="308226" name="btnSelExUpdate" hidden="1">
              <a:extLst>
                <a:ext uri="{63B3BB69-23CF-44E3-9099-C40C66FF867C}">
                  <a14:compatExt spid="_x0000_s308226"/>
                </a:ext>
                <a:ext uri="{FF2B5EF4-FFF2-40B4-BE49-F238E27FC236}">
                  <a16:creationId xmlns:a16="http://schemas.microsoft.com/office/drawing/2014/main" id="{00000000-0008-0000-0800-000002B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0</xdr:colOff>
          <xdr:row>22</xdr:row>
          <xdr:rowOff>66675</xdr:rowOff>
        </xdr:from>
        <xdr:to>
          <xdr:col>8</xdr:col>
          <xdr:colOff>28575</xdr:colOff>
          <xdr:row>25</xdr:row>
          <xdr:rowOff>85725</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95250</xdr:colOff>
          <xdr:row>22</xdr:row>
          <xdr:rowOff>66675</xdr:rowOff>
        </xdr:from>
        <xdr:to>
          <xdr:col>11</xdr:col>
          <xdr:colOff>123825</xdr:colOff>
          <xdr:row>25</xdr:row>
          <xdr:rowOff>85725</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19050</xdr:colOff>
          <xdr:row>29</xdr:row>
          <xdr:rowOff>76200</xdr:rowOff>
        </xdr:from>
        <xdr:to>
          <xdr:col>24</xdr:col>
          <xdr:colOff>628650</xdr:colOff>
          <xdr:row>32</xdr:row>
          <xdr:rowOff>114300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4.bin"/><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hyperlink" Target="https://github.com/bee-eater/EXCEL-Korrekturliste-Mathe-ABI/blob/master/LICENSE" TargetMode="External"/><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vmlDrawing" Target="../drawings/vmlDrawing2.vml"/><Relationship Id="rId10" Type="http://schemas.openxmlformats.org/officeDocument/2006/relationships/control" Target="../activeX/activeX4.xml"/><Relationship Id="rId4" Type="http://schemas.openxmlformats.org/officeDocument/2006/relationships/drawing" Target="../drawings/drawing3.xml"/><Relationship Id="rId9" Type="http://schemas.openxmlformats.org/officeDocument/2006/relationships/image" Target="../media/image3.emf"/></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7C6D7-F962-4FFA-9801-C2F0A0FF0737}">
  <sheetPr codeName="Tabelle190">
    <tabColor rgb="FF00B0F0"/>
  </sheetPr>
  <dimension ref="B1:N100"/>
  <sheetViews>
    <sheetView workbookViewId="0">
      <selection activeCell="F2" sqref="F2:S3"/>
    </sheetView>
  </sheetViews>
  <sheetFormatPr baseColWidth="10" defaultRowHeight="12.75" x14ac:dyDescent="0.2"/>
  <cols>
    <col min="1" max="2" width="3.42578125" style="95" customWidth="1"/>
    <col min="3" max="3" width="25.7109375" style="95" customWidth="1"/>
    <col min="4" max="10" width="11.7109375" style="95" customWidth="1"/>
    <col min="11" max="13" width="8.7109375" style="95" customWidth="1"/>
    <col min="14" max="14" width="8.7109375" style="95" hidden="1" customWidth="1"/>
    <col min="15" max="16384" width="11.42578125" style="95"/>
  </cols>
  <sheetData>
    <row r="1" spans="2:14" ht="18" customHeight="1" thickBot="1" x14ac:dyDescent="0.25"/>
    <row r="2" spans="2:14" ht="18" customHeight="1" x14ac:dyDescent="0.2">
      <c r="B2" s="96" t="str">
        <f>Config!F2&amp;" "&amp;YEAR(Config!G27)</f>
        <v>Mathe Abitur 2026</v>
      </c>
      <c r="C2" s="97"/>
      <c r="D2" s="97"/>
      <c r="E2" s="97"/>
      <c r="F2" s="98"/>
      <c r="G2" s="98"/>
      <c r="H2" s="98"/>
      <c r="I2" s="98"/>
      <c r="J2" s="98"/>
      <c r="K2" s="98"/>
      <c r="L2" s="98"/>
      <c r="M2" s="99" t="str">
        <f>"Kurs "&amp;Config!G29</f>
        <v>Kurs K1</v>
      </c>
    </row>
    <row r="3" spans="2:14" ht="18" customHeight="1" x14ac:dyDescent="0.2">
      <c r="B3" s="100" t="s">
        <v>83</v>
      </c>
      <c r="C3" s="101"/>
      <c r="D3" s="101"/>
      <c r="E3" s="101"/>
      <c r="F3" s="101"/>
      <c r="G3" s="101"/>
      <c r="H3" s="101"/>
      <c r="I3" s="101"/>
      <c r="J3" s="101"/>
      <c r="K3" s="101"/>
      <c r="L3" s="101"/>
      <c r="M3" s="102"/>
    </row>
    <row r="4" spans="2:14" ht="18" customHeight="1" thickBot="1" x14ac:dyDescent="0.25">
      <c r="B4" s="100"/>
      <c r="C4" s="101"/>
      <c r="D4" s="103"/>
      <c r="E4" s="103"/>
      <c r="F4" s="103"/>
      <c r="G4" s="103"/>
      <c r="H4" s="103"/>
      <c r="I4" s="103"/>
      <c r="J4" s="103"/>
      <c r="K4" s="103"/>
      <c r="L4" s="101"/>
      <c r="M4" s="102"/>
    </row>
    <row r="5" spans="2:14" ht="18" customHeight="1" thickBot="1" x14ac:dyDescent="0.25">
      <c r="B5" s="105"/>
      <c r="C5" s="107"/>
      <c r="D5" s="111" t="s">
        <v>9</v>
      </c>
      <c r="E5" s="111" t="s">
        <v>10</v>
      </c>
      <c r="F5" s="111" t="s">
        <v>11</v>
      </c>
      <c r="G5" s="111" t="s">
        <v>12</v>
      </c>
      <c r="H5" s="111" t="s">
        <v>13</v>
      </c>
      <c r="I5" s="111" t="s">
        <v>14</v>
      </c>
      <c r="J5" s="111" t="s">
        <v>112</v>
      </c>
      <c r="K5" s="127" t="s">
        <v>82</v>
      </c>
      <c r="L5" s="126"/>
      <c r="M5" s="128"/>
    </row>
    <row r="6" spans="2:14" ht="18" customHeight="1" thickBot="1" x14ac:dyDescent="0.25">
      <c r="B6" s="106"/>
      <c r="C6" s="108" t="s">
        <v>81</v>
      </c>
      <c r="D6" s="135">
        <f>Config!G21</f>
        <v>15</v>
      </c>
      <c r="E6" s="135">
        <f>Config!I21</f>
        <v>30</v>
      </c>
      <c r="F6" s="135">
        <f>Config!K21</f>
        <v>5</v>
      </c>
      <c r="G6" s="135">
        <f>Config!M21</f>
        <v>17</v>
      </c>
      <c r="H6" s="135">
        <f>Config!O21</f>
        <v>5</v>
      </c>
      <c r="I6" s="135">
        <f>Config!Q21</f>
        <v>18</v>
      </c>
      <c r="J6" s="135">
        <f>Config!S21</f>
        <v>10</v>
      </c>
      <c r="K6" s="136">
        <f t="shared" ref="K6:K29" si="0">SUM(D6:J6)</f>
        <v>100</v>
      </c>
      <c r="L6" s="109" t="s">
        <v>0</v>
      </c>
      <c r="M6" s="129" t="s">
        <v>1</v>
      </c>
      <c r="N6" s="95" t="s">
        <v>84</v>
      </c>
    </row>
    <row r="7" spans="2:14" ht="18" customHeight="1" thickBot="1" x14ac:dyDescent="0.25">
      <c r="B7" s="119">
        <v>1</v>
      </c>
      <c r="C7" s="117" t="str">
        <f>Config!C5&amp;", "&amp;Config!D5</f>
        <v>Höfer, Simon</v>
      </c>
      <c r="D7" s="131">
        <f>VLOOKUP(C7,'Analysis A'!C$7:$J29,8,0)</f>
        <v>11.5</v>
      </c>
      <c r="E7" s="131">
        <f>VLOOKUP(C7,'Analysis B'!C$7:$N29,12,0)</f>
        <v>22.5</v>
      </c>
      <c r="F7" s="131">
        <f>VLOOKUP(C7,'Stochastik A'!C$7:$E29,3,0)</f>
        <v>2.5</v>
      </c>
      <c r="G7" s="131">
        <f>VLOOKUP(C7,'Stochastik B'!C$7:$I29,7,0)</f>
        <v>13</v>
      </c>
      <c r="H7" s="131">
        <f>VLOOKUP(C7,'Geometrie A'!C$7:$F29,4,0)</f>
        <v>0</v>
      </c>
      <c r="I7" s="131">
        <f>VLOOKUP(C7,'Geometrie B'!C$7:$I29,7,0)</f>
        <v>9</v>
      </c>
      <c r="J7" s="131">
        <f>VLOOKUP(C7,Wahlaufgaben!C$7:$I29,7,0)</f>
        <v>7</v>
      </c>
      <c r="K7" s="114">
        <f t="shared" si="0"/>
        <v>65.5</v>
      </c>
      <c r="L7" s="144">
        <f>VLOOKUP(VALUE(K7),Notenspiegel!$B$3:$C$302,2,0)</f>
        <v>9</v>
      </c>
      <c r="M7" s="145" t="str">
        <f>VLOOKUP(VALUE(K7),Notenspiegel!$B$3:$D$302,3,0)</f>
        <v>3+</v>
      </c>
      <c r="N7" s="95" t="str">
        <f>VLOOKUP(VALUE(K7),Notenspiegel!$B$3:$E$302,4,0)</f>
        <v>-</v>
      </c>
    </row>
    <row r="8" spans="2:14" ht="18" customHeight="1" thickBot="1" x14ac:dyDescent="0.25">
      <c r="B8" s="120">
        <v>2</v>
      </c>
      <c r="C8" s="112" t="str">
        <f>Config!C6&amp;", "&amp;Config!D6</f>
        <v>Töpfer, Lilian</v>
      </c>
      <c r="D8" s="130">
        <f>VLOOKUP(C8,'Analysis A'!C$7:$J29,8,0)</f>
        <v>9</v>
      </c>
      <c r="E8" s="130">
        <f>VLOOKUP(C8,'Analysis B'!C$7:$N29,12,0)</f>
        <v>17.5</v>
      </c>
      <c r="F8" s="130">
        <f>VLOOKUP(C8,'Stochastik A'!C$7:$E29,3,0)</f>
        <v>5</v>
      </c>
      <c r="G8" s="130">
        <f>VLOOKUP(C8,'Stochastik B'!C$7:$I29,7,0)</f>
        <v>7</v>
      </c>
      <c r="H8" s="130">
        <f>VLOOKUP(C8,'Geometrie A'!C$7:$F29,4,0)</f>
        <v>3.5</v>
      </c>
      <c r="I8" s="130">
        <f>VLOOKUP(C8,'Geometrie B'!C$7:$I29,7,0)</f>
        <v>9</v>
      </c>
      <c r="J8" s="130">
        <f>VLOOKUP(C8,Wahlaufgaben!C$7:$I29,7,0)</f>
        <v>7</v>
      </c>
      <c r="K8" s="114">
        <f t="shared" si="0"/>
        <v>58</v>
      </c>
      <c r="L8" s="132">
        <f>VLOOKUP(VALUE(K8),Notenspiegel!$B$3:$C$302,2,0)</f>
        <v>7</v>
      </c>
      <c r="M8" s="133" t="str">
        <f>VLOOKUP(VALUE(K8),Notenspiegel!$B$3:$D$302,3,0)</f>
        <v>3-</v>
      </c>
      <c r="N8" s="95" t="str">
        <f>VLOOKUP(VALUE(K8),Notenspiegel!$B$3:$E$302,4,0)</f>
        <v/>
      </c>
    </row>
    <row r="9" spans="2:14" ht="18" customHeight="1" thickBot="1" x14ac:dyDescent="0.25">
      <c r="B9" s="120">
        <v>3</v>
      </c>
      <c r="C9" s="112" t="str">
        <f>Config!C7&amp;", "&amp;Config!D7</f>
        <v>Fleischmann, Leonie</v>
      </c>
      <c r="D9" s="130">
        <f>VLOOKUP(C9,'Analysis A'!C$7:$J29,8,0)</f>
        <v>10.5</v>
      </c>
      <c r="E9" s="130">
        <f>VLOOKUP(C9,'Analysis B'!C$7:$N29,12,0)</f>
        <v>11.5</v>
      </c>
      <c r="F9" s="130">
        <f>VLOOKUP(C9,'Stochastik A'!C$7:$E29,3,0)</f>
        <v>2.5</v>
      </c>
      <c r="G9" s="130">
        <f>VLOOKUP(C9,'Stochastik B'!C$7:$I29,7,0)</f>
        <v>8</v>
      </c>
      <c r="H9" s="130">
        <f>VLOOKUP(C9,'Geometrie A'!C$7:$F29,4,0)</f>
        <v>4.5</v>
      </c>
      <c r="I9" s="130">
        <f>VLOOKUP(C9,'Geometrie B'!C$7:$I29,7,0)</f>
        <v>14</v>
      </c>
      <c r="J9" s="130">
        <f>VLOOKUP(C9,Wahlaufgaben!C$7:$I29,7,0)</f>
        <v>8</v>
      </c>
      <c r="K9" s="114">
        <f t="shared" si="0"/>
        <v>59</v>
      </c>
      <c r="L9" s="146">
        <f>VLOOKUP(VALUE(K9),Notenspiegel!$B$3:$C$302,2,0)</f>
        <v>7</v>
      </c>
      <c r="M9" s="147" t="str">
        <f>VLOOKUP(VALUE(K9),Notenspiegel!$B$3:$D$302,3,0)</f>
        <v>3-</v>
      </c>
      <c r="N9" s="95" t="str">
        <f>VLOOKUP(VALUE(K9),Notenspiegel!$B$3:$E$302,4,0)</f>
        <v>+</v>
      </c>
    </row>
    <row r="10" spans="2:14" ht="18" customHeight="1" thickBot="1" x14ac:dyDescent="0.25">
      <c r="B10" s="120">
        <v>4</v>
      </c>
      <c r="C10" s="112" t="str">
        <f>Config!C8&amp;", "&amp;Config!D8</f>
        <v>Drescher, Cedric</v>
      </c>
      <c r="D10" s="130">
        <f>VLOOKUP(C10,'Analysis A'!C$7:$J29,8,0)</f>
        <v>12.5</v>
      </c>
      <c r="E10" s="130">
        <f>VLOOKUP(C10,'Analysis B'!C$7:$N29,12,0)</f>
        <v>23</v>
      </c>
      <c r="F10" s="130">
        <f>VLOOKUP(C10,'Stochastik A'!C$7:$E29,3,0)</f>
        <v>2.5</v>
      </c>
      <c r="G10" s="130">
        <f>VLOOKUP(C10,'Stochastik B'!C$7:$I29,7,0)</f>
        <v>9</v>
      </c>
      <c r="H10" s="130">
        <f>VLOOKUP(C10,'Geometrie A'!C$7:$F29,4,0)</f>
        <v>3.5</v>
      </c>
      <c r="I10" s="130">
        <f>VLOOKUP(C10,'Geometrie B'!C$7:$I29,7,0)</f>
        <v>13.5</v>
      </c>
      <c r="J10" s="130">
        <f>VLOOKUP(C10,Wahlaufgaben!C$7:$I29,7,0)</f>
        <v>6</v>
      </c>
      <c r="K10" s="114">
        <f t="shared" si="0"/>
        <v>70</v>
      </c>
      <c r="L10" s="148">
        <f>VLOOKUP(VALUE(K10),Notenspiegel!$B$3:$C$302,2,0)</f>
        <v>10</v>
      </c>
      <c r="M10" s="149" t="str">
        <f>VLOOKUP(VALUE(K10),Notenspiegel!$B$3:$D$302,3,0)</f>
        <v>2-</v>
      </c>
      <c r="N10" s="95" t="str">
        <f>VLOOKUP(VALUE(K10),Notenspiegel!$B$3:$E$302,4,0)</f>
        <v>--</v>
      </c>
    </row>
    <row r="11" spans="2:14" ht="18" customHeight="1" thickBot="1" x14ac:dyDescent="0.25">
      <c r="B11" s="120">
        <v>5</v>
      </c>
      <c r="C11" s="112" t="str">
        <f>Config!C9&amp;", "&amp;Config!D9</f>
        <v>Baumgarten, Annabell</v>
      </c>
      <c r="D11" s="130">
        <f>VLOOKUP(C11,'Analysis A'!C$7:$J29,8,0)</f>
        <v>14</v>
      </c>
      <c r="E11" s="130">
        <f>VLOOKUP(C11,'Analysis B'!C$7:$N29,12,0)</f>
        <v>21.5</v>
      </c>
      <c r="F11" s="130">
        <f>VLOOKUP(C11,'Stochastik A'!C$7:$E29,3,0)</f>
        <v>2.5</v>
      </c>
      <c r="G11" s="130">
        <f>VLOOKUP(C11,'Stochastik B'!C$7:$I29,7,0)</f>
        <v>4.5</v>
      </c>
      <c r="H11" s="130">
        <f>VLOOKUP(C11,'Geometrie A'!C$7:$F29,4,0)</f>
        <v>3.5</v>
      </c>
      <c r="I11" s="130">
        <f>VLOOKUP(C11,'Geometrie B'!C$7:$I29,7,0)</f>
        <v>12</v>
      </c>
      <c r="J11" s="130">
        <f>VLOOKUP(C11,Wahlaufgaben!C$7:$I29,7,0)</f>
        <v>6</v>
      </c>
      <c r="K11" s="114">
        <f t="shared" si="0"/>
        <v>64</v>
      </c>
      <c r="L11" s="146">
        <f>VLOOKUP(VALUE(K11),Notenspiegel!$B$3:$C$302,2,0)</f>
        <v>8</v>
      </c>
      <c r="M11" s="147" t="str">
        <f>VLOOKUP(VALUE(K11),Notenspiegel!$B$3:$D$302,3,0)</f>
        <v>3</v>
      </c>
      <c r="N11" s="95" t="str">
        <f>VLOOKUP(VALUE(K11),Notenspiegel!$B$3:$E$302,4,0)</f>
        <v>+</v>
      </c>
    </row>
    <row r="12" spans="2:14" ht="18" customHeight="1" thickBot="1" x14ac:dyDescent="0.25">
      <c r="B12" s="120">
        <v>6</v>
      </c>
      <c r="C12" s="112" t="str">
        <f>Config!C10&amp;", "&amp;Config!D10</f>
        <v>Traut, Stefanie</v>
      </c>
      <c r="D12" s="130">
        <f>VLOOKUP(C12,'Analysis A'!C$7:$J29,8,0)</f>
        <v>12.5</v>
      </c>
      <c r="E12" s="130">
        <f>VLOOKUP(C12,'Analysis B'!C$7:$N29,12,0)</f>
        <v>33</v>
      </c>
      <c r="F12" s="130">
        <f>VLOOKUP(C12,'Stochastik A'!C$7:$E29,3,0)</f>
        <v>3</v>
      </c>
      <c r="G12" s="130">
        <f>VLOOKUP(C12,'Stochastik B'!C$7:$I29,7,0)</f>
        <v>10.5</v>
      </c>
      <c r="H12" s="130">
        <f>VLOOKUP(C12,'Geometrie A'!C$7:$F29,4,0)</f>
        <v>4.5</v>
      </c>
      <c r="I12" s="130">
        <f>VLOOKUP(C12,'Geometrie B'!C$7:$I29,7,0)</f>
        <v>17</v>
      </c>
      <c r="J12" s="130">
        <f>VLOOKUP(C12,Wahlaufgaben!C$7:$I29,7,0)</f>
        <v>8</v>
      </c>
      <c r="K12" s="114">
        <f t="shared" si="0"/>
        <v>88.5</v>
      </c>
      <c r="L12" s="132">
        <f>VLOOKUP(VALUE(K12),Notenspiegel!$B$3:$C$302,2,0)</f>
        <v>13</v>
      </c>
      <c r="M12" s="133" t="str">
        <f>VLOOKUP(VALUE(K12),Notenspiegel!$B$3:$D$302,3,0)</f>
        <v>1-</v>
      </c>
      <c r="N12" s="95" t="str">
        <f>VLOOKUP(VALUE(K12),Notenspiegel!$B$3:$E$302,4,0)</f>
        <v/>
      </c>
    </row>
    <row r="13" spans="2:14" ht="18" customHeight="1" thickBot="1" x14ac:dyDescent="0.25">
      <c r="B13" s="120">
        <v>7</v>
      </c>
      <c r="C13" s="112" t="str">
        <f>Config!C11&amp;", "&amp;Config!D11</f>
        <v>Menke, Damian</v>
      </c>
      <c r="D13" s="130">
        <f>VLOOKUP(C13,'Analysis A'!C$7:$J29,8,0)</f>
        <v>12.5</v>
      </c>
      <c r="E13" s="130">
        <f>VLOOKUP(C13,'Analysis B'!C$7:$N29,12,0)</f>
        <v>22.5</v>
      </c>
      <c r="F13" s="130">
        <f>VLOOKUP(C13,'Stochastik A'!C$7:$E29,3,0)</f>
        <v>5</v>
      </c>
      <c r="G13" s="130">
        <f>VLOOKUP(C13,'Stochastik B'!C$7:$I29,7,0)</f>
        <v>8.5</v>
      </c>
      <c r="H13" s="130">
        <f>VLOOKUP(C13,'Geometrie A'!C$7:$F29,4,0)</f>
        <v>4.5</v>
      </c>
      <c r="I13" s="130">
        <f>VLOOKUP(C13,'Geometrie B'!C$7:$I29,7,0)</f>
        <v>15</v>
      </c>
      <c r="J13" s="130">
        <f>VLOOKUP(C13,Wahlaufgaben!C$7:$I29,7,0)</f>
        <v>7</v>
      </c>
      <c r="K13" s="114">
        <f t="shared" si="0"/>
        <v>75</v>
      </c>
      <c r="L13" s="148">
        <f>VLOOKUP(VALUE(K13),Notenspiegel!$B$3:$C$302,2,0)</f>
        <v>11</v>
      </c>
      <c r="M13" s="149" t="str">
        <f>VLOOKUP(VALUE(K13),Notenspiegel!$B$3:$D$302,3,0)</f>
        <v>2</v>
      </c>
      <c r="N13" s="95" t="str">
        <f>VLOOKUP(VALUE(K13),Notenspiegel!$B$3:$E$302,4,0)</f>
        <v>--</v>
      </c>
    </row>
    <row r="14" spans="2:14" ht="18" customHeight="1" thickBot="1" x14ac:dyDescent="0.25">
      <c r="B14" s="120">
        <v>8</v>
      </c>
      <c r="C14" s="112" t="str">
        <f>Config!C12&amp;", "&amp;Config!D12</f>
        <v>Carroll, Meik</v>
      </c>
      <c r="D14" s="130">
        <f>VLOOKUP(C14,'Analysis A'!C$7:$J29,8,0)</f>
        <v>9</v>
      </c>
      <c r="E14" s="130">
        <f>VLOOKUP(C14,'Analysis B'!C$7:$N29,12,0)</f>
        <v>16.5</v>
      </c>
      <c r="F14" s="130">
        <f>VLOOKUP(C14,'Stochastik A'!C$7:$E29,3,0)</f>
        <v>5</v>
      </c>
      <c r="G14" s="130">
        <f>VLOOKUP(C14,'Stochastik B'!C$7:$I29,7,0)</f>
        <v>8.5</v>
      </c>
      <c r="H14" s="130">
        <f>VLOOKUP(C14,'Geometrie A'!C$7:$F29,4,0)</f>
        <v>4</v>
      </c>
      <c r="I14" s="130">
        <f>VLOOKUP(C14,'Geometrie B'!C$7:$I29,7,0)</f>
        <v>13</v>
      </c>
      <c r="J14" s="130">
        <f>VLOOKUP(C14,Wahlaufgaben!C$7:$I29,7,0)</f>
        <v>7</v>
      </c>
      <c r="K14" s="114">
        <f t="shared" si="0"/>
        <v>63</v>
      </c>
      <c r="L14" s="132">
        <f>VLOOKUP(VALUE(K14),Notenspiegel!$B$3:$C$302,2,0)</f>
        <v>8</v>
      </c>
      <c r="M14" s="133" t="str">
        <f>VLOOKUP(VALUE(K14),Notenspiegel!$B$3:$D$302,3,0)</f>
        <v>3</v>
      </c>
      <c r="N14" s="95" t="str">
        <f>VLOOKUP(VALUE(K14),Notenspiegel!$B$3:$E$302,4,0)</f>
        <v/>
      </c>
    </row>
    <row r="15" spans="2:14" ht="18" customHeight="1" thickBot="1" x14ac:dyDescent="0.25">
      <c r="B15" s="120">
        <v>9</v>
      </c>
      <c r="C15" s="112" t="str">
        <f>Config!C13&amp;", "&amp;Config!D13</f>
        <v>Hennings, Tomas</v>
      </c>
      <c r="D15" s="130">
        <f>VLOOKUP(C15,'Analysis A'!C$7:$J29,8,0)</f>
        <v>10</v>
      </c>
      <c r="E15" s="130">
        <f>VLOOKUP(C15,'Analysis B'!C$7:$N29,12,0)</f>
        <v>14.5</v>
      </c>
      <c r="F15" s="130">
        <f>VLOOKUP(C15,'Stochastik A'!C$7:$E29,3,0)</f>
        <v>4</v>
      </c>
      <c r="G15" s="130">
        <f>VLOOKUP(C15,'Stochastik B'!C$7:$I29,7,0)</f>
        <v>13</v>
      </c>
      <c r="H15" s="130">
        <f>VLOOKUP(C15,'Geometrie A'!C$7:$F29,4,0)</f>
        <v>4.5</v>
      </c>
      <c r="I15" s="130">
        <f>VLOOKUP(C15,'Geometrie B'!C$7:$I29,7,0)</f>
        <v>4</v>
      </c>
      <c r="J15" s="130">
        <f>VLOOKUP(C15,Wahlaufgaben!C$7:$I29,7,0)</f>
        <v>8</v>
      </c>
      <c r="K15" s="114">
        <f t="shared" si="0"/>
        <v>58</v>
      </c>
      <c r="L15" s="132">
        <f>VLOOKUP(VALUE(K15),Notenspiegel!$B$3:$C$302,2,0)</f>
        <v>7</v>
      </c>
      <c r="M15" s="133" t="str">
        <f>VLOOKUP(VALUE(K15),Notenspiegel!$B$3:$D$302,3,0)</f>
        <v>3-</v>
      </c>
      <c r="N15" s="95" t="str">
        <f>VLOOKUP(VALUE(K15),Notenspiegel!$B$3:$E$302,4,0)</f>
        <v/>
      </c>
    </row>
    <row r="16" spans="2:14" ht="18" customHeight="1" thickBot="1" x14ac:dyDescent="0.25">
      <c r="B16" s="120">
        <v>10</v>
      </c>
      <c r="C16" s="112" t="str">
        <f>Config!C14&amp;", "&amp;Config!D14</f>
        <v>Walters, Linn</v>
      </c>
      <c r="D16" s="130">
        <f>VLOOKUP(C16,'Analysis A'!C$7:$J29,8,0)</f>
        <v>3</v>
      </c>
      <c r="E16" s="130">
        <f>VLOOKUP(C16,'Analysis B'!C$7:$N29,12,0)</f>
        <v>7</v>
      </c>
      <c r="F16" s="130">
        <f>VLOOKUP(C16,'Stochastik A'!C$7:$E29,3,0)</f>
        <v>2.5</v>
      </c>
      <c r="G16" s="130">
        <f>VLOOKUP(C16,'Stochastik B'!C$7:$I29,7,0)</f>
        <v>8</v>
      </c>
      <c r="H16" s="130">
        <f>VLOOKUP(C16,'Geometrie A'!C$7:$F29,4,0)</f>
        <v>1</v>
      </c>
      <c r="I16" s="130">
        <f>VLOOKUP(C16,'Geometrie B'!C$7:$I29,7,0)</f>
        <v>8.5</v>
      </c>
      <c r="J16" s="130">
        <f>VLOOKUP(C16,Wahlaufgaben!C$7:$I29,7,0)</f>
        <v>8</v>
      </c>
      <c r="K16" s="114">
        <f t="shared" si="0"/>
        <v>38</v>
      </c>
      <c r="L16" s="132">
        <f>VLOOKUP(VALUE(K16),Notenspiegel!$B$3:$C$302,2,0)</f>
        <v>3</v>
      </c>
      <c r="M16" s="133" t="str">
        <f>VLOOKUP(VALUE(K16),Notenspiegel!$B$3:$D$302,3,0)</f>
        <v>5+</v>
      </c>
      <c r="N16" s="95" t="str">
        <f>VLOOKUP(VALUE(K16),Notenspiegel!$B$3:$E$302,4,0)</f>
        <v/>
      </c>
    </row>
    <row r="17" spans="2:14" ht="18" customHeight="1" thickBot="1" x14ac:dyDescent="0.25">
      <c r="B17" s="120">
        <v>11</v>
      </c>
      <c r="C17" s="112" t="str">
        <f>Config!C15&amp;", "&amp;Config!D15</f>
        <v>Junker, Amely</v>
      </c>
      <c r="D17" s="130">
        <f>VLOOKUP(C17,'Analysis A'!C$7:$J29,8,0)</f>
        <v>6.5</v>
      </c>
      <c r="E17" s="130">
        <f>VLOOKUP(C17,'Analysis B'!C$7:$N29,12,0)</f>
        <v>13.5</v>
      </c>
      <c r="F17" s="130">
        <f>VLOOKUP(C17,'Stochastik A'!C$7:$E29,3,0)</f>
        <v>2</v>
      </c>
      <c r="G17" s="130">
        <f>VLOOKUP(C17,'Stochastik B'!C$7:$I29,7,0)</f>
        <v>6.5</v>
      </c>
      <c r="H17" s="130">
        <f>VLOOKUP(C17,'Geometrie A'!C$7:$F29,4,0)</f>
        <v>2</v>
      </c>
      <c r="I17" s="130">
        <f>VLOOKUP(C17,'Geometrie B'!C$7:$I29,7,0)</f>
        <v>13</v>
      </c>
      <c r="J17" s="130">
        <f>VLOOKUP(C17,Wahlaufgaben!C$7:$I29,7,0)</f>
        <v>6</v>
      </c>
      <c r="K17" s="114">
        <f t="shared" si="0"/>
        <v>49.5</v>
      </c>
      <c r="L17" s="150">
        <f>VLOOKUP(VALUE(K17),Notenspiegel!$B$3:$C$302,2,0)</f>
        <v>5</v>
      </c>
      <c r="M17" s="151" t="str">
        <f>VLOOKUP(VALUE(K17),Notenspiegel!$B$3:$D$302,3,0)</f>
        <v>4</v>
      </c>
      <c r="N17" s="95" t="str">
        <f>VLOOKUP(VALUE(K17),Notenspiegel!$B$3:$E$302,4,0)</f>
        <v>++</v>
      </c>
    </row>
    <row r="18" spans="2:14" ht="18" customHeight="1" thickBot="1" x14ac:dyDescent="0.25">
      <c r="B18" s="120">
        <v>12</v>
      </c>
      <c r="C18" s="112" t="str">
        <f>Config!C16&amp;", "&amp;Config!D16</f>
        <v>Stephens, Melvin</v>
      </c>
      <c r="D18" s="130">
        <f>VLOOKUP(C18,'Analysis A'!C$7:$J29,8,0)</f>
        <v>11.5</v>
      </c>
      <c r="E18" s="130">
        <f>VLOOKUP(C18,'Analysis B'!C$7:$N29,12,0)</f>
        <v>27</v>
      </c>
      <c r="F18" s="130">
        <f>VLOOKUP(C18,'Stochastik A'!C$7:$E29,3,0)</f>
        <v>2.5</v>
      </c>
      <c r="G18" s="130">
        <f>VLOOKUP(C18,'Stochastik B'!C$7:$I29,7,0)</f>
        <v>5.5</v>
      </c>
      <c r="H18" s="130">
        <f>VLOOKUP(C18,'Geometrie A'!C$7:$F29,4,0)</f>
        <v>0.5</v>
      </c>
      <c r="I18" s="130">
        <f>VLOOKUP(C18,'Geometrie B'!C$7:$I29,7,0)</f>
        <v>13</v>
      </c>
      <c r="J18" s="130">
        <f>VLOOKUP(C18,Wahlaufgaben!C$7:$I29,7,0)</f>
        <v>6</v>
      </c>
      <c r="K18" s="114">
        <f t="shared" si="0"/>
        <v>66</v>
      </c>
      <c r="L18" s="132">
        <f>VLOOKUP(VALUE(K18),Notenspiegel!$B$3:$C$302,2,0)</f>
        <v>9</v>
      </c>
      <c r="M18" s="133" t="str">
        <f>VLOOKUP(VALUE(K18),Notenspiegel!$B$3:$D$302,3,0)</f>
        <v>3+</v>
      </c>
      <c r="N18" s="95" t="str">
        <f>VLOOKUP(VALUE(K18),Notenspiegel!$B$3:$E$302,4,0)</f>
        <v/>
      </c>
    </row>
    <row r="19" spans="2:14" ht="18" customHeight="1" thickBot="1" x14ac:dyDescent="0.25">
      <c r="B19" s="120">
        <v>13</v>
      </c>
      <c r="C19" s="112" t="str">
        <f>Config!C17&amp;", "&amp;Config!D17</f>
        <v>Cremer, Marvin</v>
      </c>
      <c r="D19" s="130">
        <f>VLOOKUP(C19,'Analysis A'!C$7:$J29,8,0)</f>
        <v>12.5</v>
      </c>
      <c r="E19" s="130">
        <f>VLOOKUP(C19,'Analysis B'!C$7:$N29,12,0)</f>
        <v>22</v>
      </c>
      <c r="F19" s="130">
        <f>VLOOKUP(C19,'Stochastik A'!C$7:$E29,3,0)</f>
        <v>5</v>
      </c>
      <c r="G19" s="130">
        <f>VLOOKUP(C19,'Stochastik B'!C$7:$I29,7,0)</f>
        <v>5.5</v>
      </c>
      <c r="H19" s="130">
        <f>VLOOKUP(C19,'Geometrie A'!C$7:$F29,4,0)</f>
        <v>4.5</v>
      </c>
      <c r="I19" s="130">
        <f>VLOOKUP(C19,'Geometrie B'!C$7:$I29,7,0)</f>
        <v>3</v>
      </c>
      <c r="J19" s="130">
        <f>VLOOKUP(C19,Wahlaufgaben!C$7:$I29,7,0)</f>
        <v>8</v>
      </c>
      <c r="K19" s="114">
        <f t="shared" si="0"/>
        <v>60.5</v>
      </c>
      <c r="L19" s="152">
        <f>VLOOKUP(VALUE(K19),Notenspiegel!$B$3:$C$302,2,0)</f>
        <v>8</v>
      </c>
      <c r="M19" s="153" t="str">
        <f>VLOOKUP(VALUE(K19),Notenspiegel!$B$3:$D$302,3,0)</f>
        <v>3</v>
      </c>
      <c r="N19" s="95" t="str">
        <f>VLOOKUP(VALUE(K19),Notenspiegel!$B$3:$E$302,4,0)</f>
        <v>-</v>
      </c>
    </row>
    <row r="20" spans="2:14" ht="18" customHeight="1" thickBot="1" x14ac:dyDescent="0.25">
      <c r="B20" s="120">
        <v>14</v>
      </c>
      <c r="C20" s="112" t="str">
        <f>Config!C18&amp;", "&amp;Config!D18</f>
        <v>Nash, Jean</v>
      </c>
      <c r="D20" s="130">
        <f>VLOOKUP(C20,'Analysis A'!C$7:$J29,8,0)</f>
        <v>13.5</v>
      </c>
      <c r="E20" s="130">
        <f>VLOOKUP(C20,'Analysis B'!C$7:$N29,12,0)</f>
        <v>15.5</v>
      </c>
      <c r="F20" s="130">
        <f>VLOOKUP(C20,'Stochastik A'!C$7:$E29,3,0)</f>
        <v>5</v>
      </c>
      <c r="G20" s="130">
        <f>VLOOKUP(C20,'Stochastik B'!C$7:$I29,7,0)</f>
        <v>8</v>
      </c>
      <c r="H20" s="130">
        <f>VLOOKUP(C20,'Geometrie A'!C$7:$F29,4,0)</f>
        <v>4</v>
      </c>
      <c r="I20" s="130">
        <f>VLOOKUP(C20,'Geometrie B'!C$7:$I29,7,0)</f>
        <v>14.5</v>
      </c>
      <c r="J20" s="130">
        <f>VLOOKUP(C20,Wahlaufgaben!C$7:$I29,7,0)</f>
        <v>7</v>
      </c>
      <c r="K20" s="114">
        <f t="shared" si="0"/>
        <v>67.5</v>
      </c>
      <c r="L20" s="132">
        <f>VLOOKUP(VALUE(K20),Notenspiegel!$B$3:$C$302,2,0)</f>
        <v>9</v>
      </c>
      <c r="M20" s="133" t="str">
        <f>VLOOKUP(VALUE(K20),Notenspiegel!$B$3:$D$302,3,0)</f>
        <v>3+</v>
      </c>
      <c r="N20" s="95" t="str">
        <f>VLOOKUP(VALUE(K20),Notenspiegel!$B$3:$E$302,4,0)</f>
        <v/>
      </c>
    </row>
    <row r="21" spans="2:14" ht="18" customHeight="1" thickBot="1" x14ac:dyDescent="0.25">
      <c r="B21" s="120">
        <v>15</v>
      </c>
      <c r="C21" s="112" t="str">
        <f>Config!C19&amp;", "&amp;Config!D19</f>
        <v>Schön, Leonardo</v>
      </c>
      <c r="D21" s="130">
        <f>VLOOKUP(C21,'Analysis A'!C$7:$J29,8,0)</f>
        <v>12</v>
      </c>
      <c r="E21" s="130">
        <f>VLOOKUP(C21,'Analysis B'!C$7:$N29,12,0)</f>
        <v>23.5</v>
      </c>
      <c r="F21" s="130">
        <f>VLOOKUP(C21,'Stochastik A'!C$7:$E29,3,0)</f>
        <v>2.5</v>
      </c>
      <c r="G21" s="130">
        <f>VLOOKUP(C21,'Stochastik B'!C$7:$I29,7,0)</f>
        <v>8</v>
      </c>
      <c r="H21" s="130">
        <f>VLOOKUP(C21,'Geometrie A'!C$7:$F29,4,0)</f>
        <v>5</v>
      </c>
      <c r="I21" s="130">
        <f>VLOOKUP(C21,'Geometrie B'!C$7:$I29,7,0)</f>
        <v>6.5</v>
      </c>
      <c r="J21" s="130">
        <f>VLOOKUP(C21,Wahlaufgaben!C$7:$I29,7,0)</f>
        <v>4</v>
      </c>
      <c r="K21" s="114">
        <f t="shared" si="0"/>
        <v>61.5</v>
      </c>
      <c r="L21" s="132">
        <f>VLOOKUP(VALUE(K21),Notenspiegel!$B$3:$C$302,2,0)</f>
        <v>8</v>
      </c>
      <c r="M21" s="133" t="str">
        <f>VLOOKUP(VALUE(K21),Notenspiegel!$B$3:$D$302,3,0)</f>
        <v>3</v>
      </c>
      <c r="N21" s="95" t="str">
        <f>VLOOKUP(VALUE(K21),Notenspiegel!$B$3:$E$302,4,0)</f>
        <v/>
      </c>
    </row>
    <row r="22" spans="2:14" ht="18" customHeight="1" thickBot="1" x14ac:dyDescent="0.25">
      <c r="B22" s="120">
        <v>16</v>
      </c>
      <c r="C22" s="112" t="str">
        <f>Config!C20&amp;", "&amp;Config!D20</f>
        <v>Sigl, Nicholas</v>
      </c>
      <c r="D22" s="130">
        <f>VLOOKUP(C22,'Analysis A'!C$7:$J29,8,0)</f>
        <v>7.5</v>
      </c>
      <c r="E22" s="130">
        <f>VLOOKUP(C22,'Analysis B'!C$7:$N29,12,0)</f>
        <v>22</v>
      </c>
      <c r="F22" s="130">
        <f>VLOOKUP(C22,'Stochastik A'!C$7:$E29,3,0)</f>
        <v>5</v>
      </c>
      <c r="G22" s="130">
        <f>VLOOKUP(C22,'Stochastik B'!C$7:$I29,7,0)</f>
        <v>0</v>
      </c>
      <c r="H22" s="130">
        <f>VLOOKUP(C22,'Geometrie A'!C$7:$F29,4,0)</f>
        <v>4.5</v>
      </c>
      <c r="I22" s="130">
        <f>VLOOKUP(C22,'Geometrie B'!C$7:$I29,7,0)</f>
        <v>6</v>
      </c>
      <c r="J22" s="130">
        <f>VLOOKUP(C22,Wahlaufgaben!C$7:$I29,7,0)</f>
        <v>8</v>
      </c>
      <c r="K22" s="114">
        <f t="shared" si="0"/>
        <v>53</v>
      </c>
      <c r="L22" s="132">
        <f>VLOOKUP(VALUE(K22),Notenspiegel!$B$3:$C$302,2,0)</f>
        <v>6</v>
      </c>
      <c r="M22" s="133" t="str">
        <f>VLOOKUP(VALUE(K22),Notenspiegel!$B$3:$D$302,3,0)</f>
        <v>4+</v>
      </c>
      <c r="N22" s="95" t="str">
        <f>VLOOKUP(VALUE(K22),Notenspiegel!$B$3:$E$302,4,0)</f>
        <v/>
      </c>
    </row>
    <row r="23" spans="2:14" ht="18" customHeight="1" thickBot="1" x14ac:dyDescent="0.25">
      <c r="B23" s="120">
        <v>17</v>
      </c>
      <c r="C23" s="112" t="str">
        <f>Config!C21&amp;", "&amp;Config!D21</f>
        <v>Kainz, Vivienne</v>
      </c>
      <c r="D23" s="130">
        <f>VLOOKUP(C23,'Analysis A'!C$7:$J29,8,0)</f>
        <v>1</v>
      </c>
      <c r="E23" s="130">
        <f>VLOOKUP(C23,'Analysis B'!C$7:$N29,12,0)</f>
        <v>6.5</v>
      </c>
      <c r="F23" s="130">
        <f>VLOOKUP(C23,'Stochastik A'!C$7:$E29,3,0)</f>
        <v>5</v>
      </c>
      <c r="G23" s="130">
        <f>VLOOKUP(C23,'Stochastik B'!C$7:$I29,7,0)</f>
        <v>7.5</v>
      </c>
      <c r="H23" s="130">
        <f>VLOOKUP(C23,'Geometrie A'!C$7:$F29,4,0)</f>
        <v>5</v>
      </c>
      <c r="I23" s="130">
        <f>VLOOKUP(C23,'Geometrie B'!C$7:$I29,7,0)</f>
        <v>4.5</v>
      </c>
      <c r="J23" s="130">
        <f>VLOOKUP(C23,Wahlaufgaben!C$7:$I29,7,0)</f>
        <v>10</v>
      </c>
      <c r="K23" s="114">
        <f t="shared" si="0"/>
        <v>39.5</v>
      </c>
      <c r="L23" s="150">
        <f>VLOOKUP(VALUE(K23),Notenspiegel!$B$3:$C$302,2,0)</f>
        <v>3</v>
      </c>
      <c r="M23" s="151" t="str">
        <f>VLOOKUP(VALUE(K23),Notenspiegel!$B$3:$D$302,3,0)</f>
        <v>5+</v>
      </c>
      <c r="N23" s="95" t="str">
        <f>VLOOKUP(VALUE(K23),Notenspiegel!$B$3:$E$302,4,0)</f>
        <v>++</v>
      </c>
    </row>
    <row r="24" spans="2:14" ht="18" customHeight="1" thickBot="1" x14ac:dyDescent="0.25">
      <c r="B24" s="120">
        <v>18</v>
      </c>
      <c r="C24" s="112" t="str">
        <f>Config!C22&amp;", "&amp;Config!D22</f>
        <v>Hartmann, Mads</v>
      </c>
      <c r="D24" s="130">
        <f>VLOOKUP(C24,'Analysis A'!C$7:$J29,8,0)</f>
        <v>10</v>
      </c>
      <c r="E24" s="130">
        <f>VLOOKUP(C24,'Analysis B'!C$7:$N29,12,0)</f>
        <v>16</v>
      </c>
      <c r="F24" s="130">
        <f>VLOOKUP(C24,'Stochastik A'!C$7:$E29,3,0)</f>
        <v>2.5</v>
      </c>
      <c r="G24" s="130">
        <f>VLOOKUP(C24,'Stochastik B'!C$7:$I29,7,0)</f>
        <v>7</v>
      </c>
      <c r="H24" s="130">
        <f>VLOOKUP(C24,'Geometrie A'!C$7:$F29,4,0)</f>
        <v>1</v>
      </c>
      <c r="I24" s="130">
        <f>VLOOKUP(C24,'Geometrie B'!C$7:$I29,7,0)</f>
        <v>14</v>
      </c>
      <c r="J24" s="130">
        <f>VLOOKUP(C24,Wahlaufgaben!C$7:$I29,7,0)</f>
        <v>7</v>
      </c>
      <c r="K24" s="114">
        <f t="shared" si="0"/>
        <v>57.5</v>
      </c>
      <c r="L24" s="132">
        <f>VLOOKUP(VALUE(K24),Notenspiegel!$B$3:$C$302,2,0)</f>
        <v>7</v>
      </c>
      <c r="M24" s="133" t="str">
        <f>VLOOKUP(VALUE(K24),Notenspiegel!$B$3:$D$302,3,0)</f>
        <v>3-</v>
      </c>
      <c r="N24" s="95" t="str">
        <f>VLOOKUP(VALUE(K24),Notenspiegel!$B$3:$E$302,4,0)</f>
        <v/>
      </c>
    </row>
    <row r="25" spans="2:14" ht="18" customHeight="1" thickBot="1" x14ac:dyDescent="0.25">
      <c r="B25" s="120">
        <v>19</v>
      </c>
      <c r="C25" s="112" t="str">
        <f>Config!C23&amp;", "&amp;Config!D23</f>
        <v>Ullmann, Raphael</v>
      </c>
      <c r="D25" s="130">
        <f>VLOOKUP(C25,'Analysis A'!C$7:$J29,8,0)</f>
        <v>9.5</v>
      </c>
      <c r="E25" s="130">
        <f>VLOOKUP(C25,'Analysis B'!C$7:$N29,12,0)</f>
        <v>14.5</v>
      </c>
      <c r="F25" s="130">
        <f>VLOOKUP(C25,'Stochastik A'!C$7:$E29,3,0)</f>
        <v>5</v>
      </c>
      <c r="G25" s="130">
        <f>VLOOKUP(C25,'Stochastik B'!C$7:$I29,7,0)</f>
        <v>7</v>
      </c>
      <c r="H25" s="130">
        <f>VLOOKUP(C25,'Geometrie A'!C$7:$F29,4,0)</f>
        <v>2</v>
      </c>
      <c r="I25" s="130">
        <f>VLOOKUP(C25,'Geometrie B'!C$7:$I29,7,0)</f>
        <v>13.5</v>
      </c>
      <c r="J25" s="130">
        <f>VLOOKUP(C25,Wahlaufgaben!C$7:$I29,7,0)</f>
        <v>8</v>
      </c>
      <c r="K25" s="114">
        <f t="shared" si="0"/>
        <v>59.5</v>
      </c>
      <c r="L25" s="150">
        <f>VLOOKUP(VALUE(K25),Notenspiegel!$B$3:$C$302,2,0)</f>
        <v>7</v>
      </c>
      <c r="M25" s="151" t="str">
        <f>VLOOKUP(VALUE(K25),Notenspiegel!$B$3:$D$302,3,0)</f>
        <v>3-</v>
      </c>
      <c r="N25" s="95" t="str">
        <f>VLOOKUP(VALUE(K25),Notenspiegel!$B$3:$E$302,4,0)</f>
        <v>++</v>
      </c>
    </row>
    <row r="26" spans="2:14" ht="18" customHeight="1" thickBot="1" x14ac:dyDescent="0.25">
      <c r="B26" s="120">
        <v>20</v>
      </c>
      <c r="C26" s="112" t="str">
        <f>Config!C24&amp;", "&amp;Config!D24</f>
        <v>Hartl, Emmely</v>
      </c>
      <c r="D26" s="130">
        <f>VLOOKUP(C26,'Analysis A'!C$7:$J29,8,0)</f>
        <v>13.5</v>
      </c>
      <c r="E26" s="130">
        <f>VLOOKUP(C26,'Analysis B'!C$7:$N29,12,0)</f>
        <v>23</v>
      </c>
      <c r="F26" s="130">
        <f>VLOOKUP(C26,'Stochastik A'!C$7:$E29,3,0)</f>
        <v>3</v>
      </c>
      <c r="G26" s="130">
        <f>VLOOKUP(C26,'Stochastik B'!C$7:$I29,7,0)</f>
        <v>4.5</v>
      </c>
      <c r="H26" s="130">
        <f>VLOOKUP(C26,'Geometrie A'!C$7:$F29,4,0)</f>
        <v>2</v>
      </c>
      <c r="I26" s="130">
        <f>VLOOKUP(C26,'Geometrie B'!C$7:$I29,7,0)</f>
        <v>15</v>
      </c>
      <c r="J26" s="130">
        <f>VLOOKUP(C26,Wahlaufgaben!C$7:$I29,7,0)</f>
        <v>10</v>
      </c>
      <c r="K26" s="114">
        <f t="shared" si="0"/>
        <v>71</v>
      </c>
      <c r="L26" s="132">
        <f>VLOOKUP(VALUE(K26),Notenspiegel!$B$3:$C$302,2,0)</f>
        <v>10</v>
      </c>
      <c r="M26" s="133" t="str">
        <f>VLOOKUP(VALUE(K26),Notenspiegel!$B$3:$D$302,3,0)</f>
        <v>2-</v>
      </c>
      <c r="N26" s="95" t="str">
        <f>VLOOKUP(VALUE(K26),Notenspiegel!$B$3:$E$302,4,0)</f>
        <v/>
      </c>
    </row>
    <row r="27" spans="2:14" ht="18" customHeight="1" thickBot="1" x14ac:dyDescent="0.25">
      <c r="B27" s="120">
        <v>21</v>
      </c>
      <c r="C27" s="112" t="str">
        <f>Config!C25&amp;", "&amp;Config!D25</f>
        <v>Klotz, Karin</v>
      </c>
      <c r="D27" s="130">
        <f>VLOOKUP(C27,'Analysis A'!C$7:$J29,8,0)</f>
        <v>13.5</v>
      </c>
      <c r="E27" s="130">
        <f>VLOOKUP(C27,'Analysis B'!C$7:$N29,12,0)</f>
        <v>26.5</v>
      </c>
      <c r="F27" s="130">
        <f>VLOOKUP(C27,'Stochastik A'!C$7:$E29,3,0)</f>
        <v>4</v>
      </c>
      <c r="G27" s="130">
        <f>VLOOKUP(C27,'Stochastik B'!C$7:$I29,7,0)</f>
        <v>6</v>
      </c>
      <c r="H27" s="130">
        <f>VLOOKUP(C27,'Geometrie A'!C$7:$F29,4,0)</f>
        <v>5</v>
      </c>
      <c r="I27" s="130">
        <f>VLOOKUP(C27,'Geometrie B'!C$7:$I29,7,0)</f>
        <v>16</v>
      </c>
      <c r="J27" s="130">
        <f>VLOOKUP(C27,Wahlaufgaben!C$7:$I29,7,0)</f>
        <v>10</v>
      </c>
      <c r="K27" s="114">
        <f t="shared" si="0"/>
        <v>81</v>
      </c>
      <c r="L27" s="132">
        <f>VLOOKUP(VALUE(K27),Notenspiegel!$B$3:$C$302,2,0)</f>
        <v>12</v>
      </c>
      <c r="M27" s="133" t="str">
        <f>VLOOKUP(VALUE(K27),Notenspiegel!$B$3:$D$302,3,0)</f>
        <v>2+</v>
      </c>
      <c r="N27" s="95" t="str">
        <f>VLOOKUP(VALUE(K27),Notenspiegel!$B$3:$E$302,4,0)</f>
        <v/>
      </c>
    </row>
    <row r="28" spans="2:14" ht="18" customHeight="1" thickBot="1" x14ac:dyDescent="0.25">
      <c r="B28" s="120">
        <v>22</v>
      </c>
      <c r="C28" s="112" t="str">
        <f>Config!C26&amp;", "&amp;Config!D26</f>
        <v>Ehlers, Ingo</v>
      </c>
      <c r="D28" s="130">
        <f>VLOOKUP(C28,'Analysis A'!C$7:$J29,8,0)</f>
        <v>10</v>
      </c>
      <c r="E28" s="130">
        <f>VLOOKUP(C28,'Analysis B'!C$7:$N29,12,0)</f>
        <v>21</v>
      </c>
      <c r="F28" s="130">
        <f>VLOOKUP(C28,'Stochastik A'!C$7:$E29,3,0)</f>
        <v>5</v>
      </c>
      <c r="G28" s="130">
        <f>VLOOKUP(C28,'Stochastik B'!C$7:$I29,7,0)</f>
        <v>5.5</v>
      </c>
      <c r="H28" s="130">
        <f>VLOOKUP(C28,'Geometrie A'!C$7:$F29,4,0)</f>
        <v>5</v>
      </c>
      <c r="I28" s="130">
        <f>VLOOKUP(C28,'Geometrie B'!C$7:$I29,7,0)</f>
        <v>14.5</v>
      </c>
      <c r="J28" s="130">
        <f>VLOOKUP(C28,Wahlaufgaben!C$7:$I29,7,0)</f>
        <v>7</v>
      </c>
      <c r="K28" s="114">
        <f t="shared" si="0"/>
        <v>68</v>
      </c>
      <c r="L28" s="132">
        <f>VLOOKUP(VALUE(K28),Notenspiegel!$B$3:$C$302,2,0)</f>
        <v>9</v>
      </c>
      <c r="M28" s="133" t="str">
        <f>VLOOKUP(VALUE(K28),Notenspiegel!$B$3:$D$302,3,0)</f>
        <v>3+</v>
      </c>
      <c r="N28" s="95" t="str">
        <f>VLOOKUP(VALUE(K28),Notenspiegel!$B$3:$E$302,4,0)</f>
        <v/>
      </c>
    </row>
    <row r="29" spans="2:14" ht="18" customHeight="1" thickBot="1" x14ac:dyDescent="0.25">
      <c r="B29" s="121">
        <v>23</v>
      </c>
      <c r="C29" s="118" t="str">
        <f>Config!C27&amp;", "&amp;Config!D27</f>
        <v>Lindemann, Mads</v>
      </c>
      <c r="D29" s="134">
        <f>VLOOKUP(C29,'Analysis A'!C$7:$J29,8,0)</f>
        <v>7</v>
      </c>
      <c r="E29" s="134">
        <f>VLOOKUP(C29,'Analysis B'!C$7:$N29,12,0)</f>
        <v>16</v>
      </c>
      <c r="F29" s="134">
        <f>VLOOKUP(C29,'Stochastik A'!C$7:$E29,3,0)</f>
        <v>5</v>
      </c>
      <c r="G29" s="134">
        <f>VLOOKUP(C29,'Stochastik B'!C$7:$I29,7,0)</f>
        <v>10</v>
      </c>
      <c r="H29" s="134">
        <f>VLOOKUP(C29,'Geometrie A'!C$7:$F29,4,0)</f>
        <v>3</v>
      </c>
      <c r="I29" s="134">
        <f>VLOOKUP(C29,'Geometrie B'!C$7:$I29,7,0)</f>
        <v>6.5</v>
      </c>
      <c r="J29" s="134">
        <f>VLOOKUP(C29,Wahlaufgaben!C$7:$I29,7,0)</f>
        <v>8</v>
      </c>
      <c r="K29" s="114">
        <f t="shared" si="0"/>
        <v>55.5</v>
      </c>
      <c r="L29" s="154">
        <f>VLOOKUP(VALUE(K29),Notenspiegel!$B$3:$C$302,2,0)</f>
        <v>7</v>
      </c>
      <c r="M29" s="155" t="str">
        <f>VLOOKUP(VALUE(K29),Notenspiegel!$B$3:$D$302,3,0)</f>
        <v>3-</v>
      </c>
      <c r="N29" s="95" t="str">
        <f>VLOOKUP(VALUE(K29),Notenspiegel!$B$3:$E$302,4,0)</f>
        <v>-</v>
      </c>
    </row>
    <row r="30" spans="2:14" ht="18" customHeight="1" thickBot="1" x14ac:dyDescent="0.25">
      <c r="B30" s="69"/>
      <c r="C30" s="70"/>
      <c r="D30" s="70">
        <f t="shared" ref="D30:J30" si="1">SUM(D7:D29)/(23*D6)</f>
        <v>0.67391304347826086</v>
      </c>
      <c r="E30" s="70">
        <f t="shared" si="1"/>
        <v>0.63260869565217392</v>
      </c>
      <c r="F30" s="70">
        <f t="shared" si="1"/>
        <v>0.74782608695652175</v>
      </c>
      <c r="G30" s="70">
        <f t="shared" si="1"/>
        <v>0.4373401534526854</v>
      </c>
      <c r="H30" s="70">
        <f t="shared" si="1"/>
        <v>0.66956521739130437</v>
      </c>
      <c r="I30" s="70">
        <f t="shared" si="1"/>
        <v>0.61594202898550721</v>
      </c>
      <c r="J30" s="70">
        <f t="shared" si="1"/>
        <v>0.74347826086956526</v>
      </c>
      <c r="K30" s="70" t="s">
        <v>85</v>
      </c>
      <c r="L30" s="71">
        <f>AVERAGE(L7:L29)</f>
        <v>7.9565217391304346</v>
      </c>
      <c r="M30" s="82">
        <f t="array" ref="M30">AVERAGE(SUBSTITUTE(SUBSTITUTE(M7:M29,"+",""),"-","")*1)</f>
        <v>3</v>
      </c>
    </row>
    <row r="31" spans="2:14" ht="18" customHeight="1" x14ac:dyDescent="0.2"/>
    <row r="32" spans="2:14"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selectLockedCells="1"/>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442F8-DAC2-4222-B8EE-18A4A73057BE}">
  <sheetPr codeName="Tabelle183">
    <tabColor rgb="FF92D050"/>
  </sheetPr>
  <dimension ref="B1:J100"/>
  <sheetViews>
    <sheetView workbookViewId="0">
      <selection activeCell="D7" sqref="D7"/>
    </sheetView>
  </sheetViews>
  <sheetFormatPr baseColWidth="10" defaultRowHeight="12.75" x14ac:dyDescent="0.2"/>
  <cols>
    <col min="1" max="2" width="3.42578125" style="95" customWidth="1"/>
    <col min="3" max="3" width="25.7109375" style="95" customWidth="1"/>
    <col min="4" max="10" width="8.7109375" style="95" customWidth="1"/>
    <col min="11" max="16384" width="11.42578125" style="95"/>
  </cols>
  <sheetData>
    <row r="1" spans="2:10" ht="18" customHeight="1" thickBot="1" x14ac:dyDescent="0.25"/>
    <row r="2" spans="2:10" ht="18" customHeight="1" x14ac:dyDescent="0.2">
      <c r="B2" s="96" t="str">
        <f>Config!F2&amp;" "&amp;YEAR(Config!G27)</f>
        <v>Mathe Abitur 2026</v>
      </c>
      <c r="C2" s="97"/>
      <c r="D2" s="97"/>
      <c r="E2" s="97"/>
      <c r="F2" s="97"/>
      <c r="G2" s="98"/>
      <c r="H2" s="98"/>
      <c r="I2" s="98"/>
      <c r="J2" s="99" t="str">
        <f>"Kurs "&amp;Config!G29</f>
        <v>Kurs K1</v>
      </c>
    </row>
    <row r="3" spans="2:10" ht="18" customHeight="1" x14ac:dyDescent="0.2">
      <c r="B3" s="100" t="s">
        <v>9</v>
      </c>
      <c r="C3" s="101"/>
      <c r="D3" s="101"/>
      <c r="E3" s="101"/>
      <c r="F3" s="101"/>
      <c r="G3" s="101"/>
      <c r="H3" s="101"/>
      <c r="I3" s="101"/>
      <c r="J3" s="102"/>
    </row>
    <row r="4" spans="2:10" ht="18" customHeight="1" thickBot="1" x14ac:dyDescent="0.25">
      <c r="B4" s="100"/>
      <c r="C4" s="101"/>
      <c r="D4" s="103"/>
      <c r="E4" s="103"/>
      <c r="F4" s="103"/>
      <c r="G4" s="103"/>
      <c r="H4" s="103"/>
      <c r="I4" s="103"/>
      <c r="J4" s="104"/>
    </row>
    <row r="5" spans="2:10" ht="18" customHeight="1" thickBot="1" x14ac:dyDescent="0.25">
      <c r="B5" s="105"/>
      <c r="C5" s="107"/>
      <c r="D5" s="124" t="str">
        <f>Config!F6</f>
        <v>1a</v>
      </c>
      <c r="E5" s="124" t="str">
        <f>Config!F7</f>
        <v>1b</v>
      </c>
      <c r="F5" s="124" t="str">
        <f>Config!F8</f>
        <v>2</v>
      </c>
      <c r="G5" s="124" t="str">
        <f>Config!F9</f>
        <v>3</v>
      </c>
      <c r="H5" s="124" t="str">
        <f>Config!F10</f>
        <v>4a</v>
      </c>
      <c r="I5" s="124" t="str">
        <f>Config!F11</f>
        <v>4b</v>
      </c>
      <c r="J5" s="111" t="s">
        <v>82</v>
      </c>
    </row>
    <row r="6" spans="2:10" ht="18" customHeight="1" thickBot="1" x14ac:dyDescent="0.25">
      <c r="B6" s="106"/>
      <c r="C6" s="108" t="s">
        <v>81</v>
      </c>
      <c r="D6" s="110">
        <f>Config!G6</f>
        <v>2</v>
      </c>
      <c r="E6" s="110">
        <f>Config!G7</f>
        <v>2</v>
      </c>
      <c r="F6" s="110">
        <f>Config!G8</f>
        <v>3</v>
      </c>
      <c r="G6" s="110">
        <f>Config!G9</f>
        <v>3</v>
      </c>
      <c r="H6" s="110">
        <f>Config!G10</f>
        <v>3</v>
      </c>
      <c r="I6" s="110">
        <f>Config!G11</f>
        <v>2</v>
      </c>
      <c r="J6" s="125">
        <f>Config!G21</f>
        <v>15</v>
      </c>
    </row>
    <row r="7" spans="2:10" ht="18" customHeight="1" thickBot="1" x14ac:dyDescent="0.25">
      <c r="B7" s="119">
        <v>1</v>
      </c>
      <c r="C7" s="117" t="str">
        <f>Config!C5&amp;", "&amp;Config!D5</f>
        <v>Höfer, Simon</v>
      </c>
      <c r="D7" s="64">
        <v>0.5</v>
      </c>
      <c r="E7" s="64">
        <v>2</v>
      </c>
      <c r="F7" s="64">
        <v>1.5</v>
      </c>
      <c r="G7" s="64">
        <v>2.5</v>
      </c>
      <c r="H7" s="64">
        <v>3</v>
      </c>
      <c r="I7" s="65">
        <v>2</v>
      </c>
      <c r="J7" s="115">
        <f t="shared" ref="J7:J29" si="0">SUM(D7:I7)</f>
        <v>11.5</v>
      </c>
    </row>
    <row r="8" spans="2:10" ht="18" customHeight="1" thickBot="1" x14ac:dyDescent="0.25">
      <c r="B8" s="120">
        <v>2</v>
      </c>
      <c r="C8" s="112" t="str">
        <f>Config!C6&amp;", "&amp;Config!D6</f>
        <v>Töpfer, Lilian</v>
      </c>
      <c r="D8" s="63">
        <v>1.5</v>
      </c>
      <c r="E8" s="63">
        <v>2</v>
      </c>
      <c r="F8" s="63">
        <v>0.5</v>
      </c>
      <c r="G8" s="63">
        <v>1</v>
      </c>
      <c r="H8" s="63">
        <v>2</v>
      </c>
      <c r="I8" s="66">
        <v>2</v>
      </c>
      <c r="J8" s="115">
        <f t="shared" si="0"/>
        <v>9</v>
      </c>
    </row>
    <row r="9" spans="2:10" ht="18" customHeight="1" thickBot="1" x14ac:dyDescent="0.25">
      <c r="B9" s="120">
        <v>3</v>
      </c>
      <c r="C9" s="112" t="str">
        <f>Config!C7&amp;", "&amp;Config!D7</f>
        <v>Fleischmann, Leonie</v>
      </c>
      <c r="D9" s="63">
        <v>0.5</v>
      </c>
      <c r="E9" s="63">
        <v>1.5</v>
      </c>
      <c r="F9" s="63">
        <v>1.5</v>
      </c>
      <c r="G9" s="63">
        <v>3</v>
      </c>
      <c r="H9" s="63">
        <v>3</v>
      </c>
      <c r="I9" s="66">
        <v>1</v>
      </c>
      <c r="J9" s="115">
        <f t="shared" si="0"/>
        <v>10.5</v>
      </c>
    </row>
    <row r="10" spans="2:10" ht="18" customHeight="1" thickBot="1" x14ac:dyDescent="0.25">
      <c r="B10" s="120">
        <v>4</v>
      </c>
      <c r="C10" s="112" t="str">
        <f>Config!C8&amp;", "&amp;Config!D8</f>
        <v>Drescher, Cedric</v>
      </c>
      <c r="D10" s="63">
        <v>2</v>
      </c>
      <c r="E10" s="63">
        <v>2</v>
      </c>
      <c r="F10" s="63">
        <v>1</v>
      </c>
      <c r="G10" s="63">
        <v>3</v>
      </c>
      <c r="H10" s="63">
        <v>2.5</v>
      </c>
      <c r="I10" s="66">
        <v>2</v>
      </c>
      <c r="J10" s="115">
        <f t="shared" si="0"/>
        <v>12.5</v>
      </c>
    </row>
    <row r="11" spans="2:10" ht="18" customHeight="1" thickBot="1" x14ac:dyDescent="0.25">
      <c r="B11" s="120">
        <v>5</v>
      </c>
      <c r="C11" s="112" t="str">
        <f>Config!C9&amp;", "&amp;Config!D9</f>
        <v>Baumgarten, Annabell</v>
      </c>
      <c r="D11" s="63">
        <v>2</v>
      </c>
      <c r="E11" s="63">
        <v>2</v>
      </c>
      <c r="F11" s="63">
        <v>2.5</v>
      </c>
      <c r="G11" s="63">
        <v>3</v>
      </c>
      <c r="H11" s="63">
        <v>2.5</v>
      </c>
      <c r="I11" s="66">
        <v>2</v>
      </c>
      <c r="J11" s="115">
        <f t="shared" si="0"/>
        <v>14</v>
      </c>
    </row>
    <row r="12" spans="2:10" ht="18" customHeight="1" thickBot="1" x14ac:dyDescent="0.25">
      <c r="B12" s="120">
        <v>6</v>
      </c>
      <c r="C12" s="112" t="str">
        <f>Config!C10&amp;", "&amp;Config!D10</f>
        <v>Traut, Stefanie</v>
      </c>
      <c r="D12" s="63">
        <v>2</v>
      </c>
      <c r="E12" s="63">
        <v>2</v>
      </c>
      <c r="F12" s="63">
        <v>2</v>
      </c>
      <c r="G12" s="63">
        <v>2</v>
      </c>
      <c r="H12" s="63">
        <v>2.5</v>
      </c>
      <c r="I12" s="66">
        <v>2</v>
      </c>
      <c r="J12" s="115">
        <f t="shared" si="0"/>
        <v>12.5</v>
      </c>
    </row>
    <row r="13" spans="2:10" ht="18" customHeight="1" thickBot="1" x14ac:dyDescent="0.25">
      <c r="B13" s="120">
        <v>7</v>
      </c>
      <c r="C13" s="112" t="str">
        <f>Config!C11&amp;", "&amp;Config!D11</f>
        <v>Menke, Damian</v>
      </c>
      <c r="D13" s="63">
        <v>1</v>
      </c>
      <c r="E13" s="63">
        <v>1.5</v>
      </c>
      <c r="F13" s="63">
        <v>3</v>
      </c>
      <c r="G13" s="63">
        <v>3</v>
      </c>
      <c r="H13" s="63">
        <v>3</v>
      </c>
      <c r="I13" s="66">
        <v>1</v>
      </c>
      <c r="J13" s="115">
        <f t="shared" si="0"/>
        <v>12.5</v>
      </c>
    </row>
    <row r="14" spans="2:10" ht="18" customHeight="1" thickBot="1" x14ac:dyDescent="0.25">
      <c r="B14" s="120">
        <v>8</v>
      </c>
      <c r="C14" s="112" t="str">
        <f>Config!C12&amp;", "&amp;Config!D12</f>
        <v>Carroll, Meik</v>
      </c>
      <c r="D14" s="63">
        <v>0.5</v>
      </c>
      <c r="E14" s="63">
        <v>2</v>
      </c>
      <c r="F14" s="63">
        <v>1.5</v>
      </c>
      <c r="G14" s="63">
        <v>1</v>
      </c>
      <c r="H14" s="63">
        <v>3</v>
      </c>
      <c r="I14" s="66">
        <v>1</v>
      </c>
      <c r="J14" s="115">
        <f t="shared" si="0"/>
        <v>9</v>
      </c>
    </row>
    <row r="15" spans="2:10" ht="18" customHeight="1" thickBot="1" x14ac:dyDescent="0.25">
      <c r="B15" s="120">
        <v>9</v>
      </c>
      <c r="C15" s="112" t="str">
        <f>Config!C13&amp;", "&amp;Config!D13</f>
        <v>Hennings, Tomas</v>
      </c>
      <c r="D15" s="63">
        <v>1.5</v>
      </c>
      <c r="E15" s="63">
        <v>2</v>
      </c>
      <c r="F15" s="63">
        <v>1.5</v>
      </c>
      <c r="G15" s="63">
        <v>1</v>
      </c>
      <c r="H15" s="63">
        <v>2</v>
      </c>
      <c r="I15" s="66">
        <v>2</v>
      </c>
      <c r="J15" s="115">
        <f t="shared" si="0"/>
        <v>10</v>
      </c>
    </row>
    <row r="16" spans="2:10" ht="18" customHeight="1" thickBot="1" x14ac:dyDescent="0.25">
      <c r="B16" s="120">
        <v>10</v>
      </c>
      <c r="C16" s="112" t="str">
        <f>Config!C14&amp;", "&amp;Config!D14</f>
        <v>Walters, Linn</v>
      </c>
      <c r="D16" s="63">
        <v>0.5</v>
      </c>
      <c r="E16" s="63">
        <v>1</v>
      </c>
      <c r="F16" s="63">
        <v>0</v>
      </c>
      <c r="G16" s="63">
        <v>1</v>
      </c>
      <c r="H16" s="63">
        <v>0.5</v>
      </c>
      <c r="I16" s="66">
        <v>0</v>
      </c>
      <c r="J16" s="115">
        <f t="shared" si="0"/>
        <v>3</v>
      </c>
    </row>
    <row r="17" spans="2:10" ht="18" customHeight="1" thickBot="1" x14ac:dyDescent="0.25">
      <c r="B17" s="120">
        <v>11</v>
      </c>
      <c r="C17" s="112" t="str">
        <f>Config!C15&amp;", "&amp;Config!D15</f>
        <v>Junker, Amely</v>
      </c>
      <c r="D17" s="63">
        <v>0.5</v>
      </c>
      <c r="E17" s="63">
        <v>2</v>
      </c>
      <c r="F17" s="63">
        <v>1.5</v>
      </c>
      <c r="G17" s="63">
        <v>0</v>
      </c>
      <c r="H17" s="63">
        <v>1.5</v>
      </c>
      <c r="I17" s="66">
        <v>1</v>
      </c>
      <c r="J17" s="115">
        <f t="shared" si="0"/>
        <v>6.5</v>
      </c>
    </row>
    <row r="18" spans="2:10" ht="18" customHeight="1" thickBot="1" x14ac:dyDescent="0.25">
      <c r="B18" s="120">
        <v>12</v>
      </c>
      <c r="C18" s="112" t="str">
        <f>Config!C16&amp;", "&amp;Config!D16</f>
        <v>Stephens, Melvin</v>
      </c>
      <c r="D18" s="63">
        <v>2</v>
      </c>
      <c r="E18" s="63">
        <v>2</v>
      </c>
      <c r="F18" s="63">
        <v>1</v>
      </c>
      <c r="G18" s="63">
        <v>3</v>
      </c>
      <c r="H18" s="63">
        <v>1.5</v>
      </c>
      <c r="I18" s="66">
        <v>2</v>
      </c>
      <c r="J18" s="115">
        <f t="shared" si="0"/>
        <v>11.5</v>
      </c>
    </row>
    <row r="19" spans="2:10" ht="18" customHeight="1" thickBot="1" x14ac:dyDescent="0.25">
      <c r="B19" s="120">
        <v>13</v>
      </c>
      <c r="C19" s="112" t="str">
        <f>Config!C17&amp;", "&amp;Config!D17</f>
        <v>Cremer, Marvin</v>
      </c>
      <c r="D19" s="63">
        <v>1.5</v>
      </c>
      <c r="E19" s="63">
        <v>2</v>
      </c>
      <c r="F19" s="63">
        <v>1.5</v>
      </c>
      <c r="G19" s="63">
        <v>3</v>
      </c>
      <c r="H19" s="63">
        <v>3</v>
      </c>
      <c r="I19" s="66">
        <v>1.5</v>
      </c>
      <c r="J19" s="115">
        <f t="shared" si="0"/>
        <v>12.5</v>
      </c>
    </row>
    <row r="20" spans="2:10" ht="18" customHeight="1" thickBot="1" x14ac:dyDescent="0.25">
      <c r="B20" s="120">
        <v>14</v>
      </c>
      <c r="C20" s="112" t="str">
        <f>Config!C18&amp;", "&amp;Config!D18</f>
        <v>Nash, Jean</v>
      </c>
      <c r="D20" s="63">
        <v>2</v>
      </c>
      <c r="E20" s="63">
        <v>2</v>
      </c>
      <c r="F20" s="63">
        <v>1.5</v>
      </c>
      <c r="G20" s="63">
        <v>3</v>
      </c>
      <c r="H20" s="63">
        <v>3</v>
      </c>
      <c r="I20" s="66">
        <v>2</v>
      </c>
      <c r="J20" s="115">
        <f t="shared" si="0"/>
        <v>13.5</v>
      </c>
    </row>
    <row r="21" spans="2:10" ht="18" customHeight="1" thickBot="1" x14ac:dyDescent="0.25">
      <c r="B21" s="120">
        <v>15</v>
      </c>
      <c r="C21" s="112" t="str">
        <f>Config!C19&amp;", "&amp;Config!D19</f>
        <v>Schön, Leonardo</v>
      </c>
      <c r="D21" s="63">
        <v>1</v>
      </c>
      <c r="E21" s="63">
        <v>2</v>
      </c>
      <c r="F21" s="63">
        <v>1.5</v>
      </c>
      <c r="G21" s="63">
        <v>3</v>
      </c>
      <c r="H21" s="63">
        <v>2.5</v>
      </c>
      <c r="I21" s="66">
        <v>2</v>
      </c>
      <c r="J21" s="115">
        <f t="shared" si="0"/>
        <v>12</v>
      </c>
    </row>
    <row r="22" spans="2:10" ht="18" customHeight="1" thickBot="1" x14ac:dyDescent="0.25">
      <c r="B22" s="120">
        <v>16</v>
      </c>
      <c r="C22" s="112" t="str">
        <f>Config!C20&amp;", "&amp;Config!D20</f>
        <v>Sigl, Nicholas</v>
      </c>
      <c r="D22" s="63">
        <v>2</v>
      </c>
      <c r="E22" s="63">
        <v>0</v>
      </c>
      <c r="F22" s="63">
        <v>1</v>
      </c>
      <c r="G22" s="63">
        <v>1.5</v>
      </c>
      <c r="H22" s="63">
        <v>2</v>
      </c>
      <c r="I22" s="66">
        <v>1</v>
      </c>
      <c r="J22" s="115">
        <f t="shared" si="0"/>
        <v>7.5</v>
      </c>
    </row>
    <row r="23" spans="2:10" ht="18" customHeight="1" thickBot="1" x14ac:dyDescent="0.25">
      <c r="B23" s="120">
        <v>17</v>
      </c>
      <c r="C23" s="112" t="str">
        <f>Config!C21&amp;", "&amp;Config!D21</f>
        <v>Kainz, Vivienne</v>
      </c>
      <c r="D23" s="63">
        <v>0.5</v>
      </c>
      <c r="E23" s="63">
        <v>0</v>
      </c>
      <c r="F23" s="63">
        <v>0</v>
      </c>
      <c r="G23" s="63">
        <v>0</v>
      </c>
      <c r="H23" s="63">
        <v>0.5</v>
      </c>
      <c r="I23" s="66">
        <v>0</v>
      </c>
      <c r="J23" s="115">
        <f t="shared" si="0"/>
        <v>1</v>
      </c>
    </row>
    <row r="24" spans="2:10" ht="18" customHeight="1" thickBot="1" x14ac:dyDescent="0.25">
      <c r="B24" s="120">
        <v>18</v>
      </c>
      <c r="C24" s="112" t="str">
        <f>Config!C22&amp;", "&amp;Config!D22</f>
        <v>Hartmann, Mads</v>
      </c>
      <c r="D24" s="63">
        <v>2</v>
      </c>
      <c r="E24" s="63">
        <v>2</v>
      </c>
      <c r="F24" s="63">
        <v>1</v>
      </c>
      <c r="G24" s="63">
        <v>1</v>
      </c>
      <c r="H24" s="63">
        <v>3</v>
      </c>
      <c r="I24" s="66">
        <v>1</v>
      </c>
      <c r="J24" s="115">
        <f t="shared" si="0"/>
        <v>10</v>
      </c>
    </row>
    <row r="25" spans="2:10" ht="18" customHeight="1" thickBot="1" x14ac:dyDescent="0.25">
      <c r="B25" s="120">
        <v>19</v>
      </c>
      <c r="C25" s="112" t="str">
        <f>Config!C23&amp;", "&amp;Config!D23</f>
        <v>Ullmann, Raphael</v>
      </c>
      <c r="D25" s="63">
        <v>0.5</v>
      </c>
      <c r="E25" s="63">
        <v>2</v>
      </c>
      <c r="F25" s="63">
        <v>1</v>
      </c>
      <c r="G25" s="63">
        <v>2.5</v>
      </c>
      <c r="H25" s="63">
        <v>1.5</v>
      </c>
      <c r="I25" s="66">
        <v>2</v>
      </c>
      <c r="J25" s="115">
        <f t="shared" si="0"/>
        <v>9.5</v>
      </c>
    </row>
    <row r="26" spans="2:10" ht="18" customHeight="1" thickBot="1" x14ac:dyDescent="0.25">
      <c r="B26" s="120">
        <v>20</v>
      </c>
      <c r="C26" s="112" t="str">
        <f>Config!C24&amp;", "&amp;Config!D24</f>
        <v>Hartl, Emmely</v>
      </c>
      <c r="D26" s="63">
        <v>1</v>
      </c>
      <c r="E26" s="63">
        <v>2</v>
      </c>
      <c r="F26" s="63">
        <v>2.5</v>
      </c>
      <c r="G26" s="63">
        <v>3</v>
      </c>
      <c r="H26" s="63">
        <v>3</v>
      </c>
      <c r="I26" s="66">
        <v>2</v>
      </c>
      <c r="J26" s="115">
        <f t="shared" si="0"/>
        <v>13.5</v>
      </c>
    </row>
    <row r="27" spans="2:10" ht="18" customHeight="1" thickBot="1" x14ac:dyDescent="0.25">
      <c r="B27" s="120">
        <v>21</v>
      </c>
      <c r="C27" s="112" t="str">
        <f>Config!C25&amp;", "&amp;Config!D25</f>
        <v>Klotz, Karin</v>
      </c>
      <c r="D27" s="63">
        <v>2</v>
      </c>
      <c r="E27" s="63">
        <v>2</v>
      </c>
      <c r="F27" s="63">
        <v>1.5</v>
      </c>
      <c r="G27" s="63">
        <v>3</v>
      </c>
      <c r="H27" s="63">
        <v>3</v>
      </c>
      <c r="I27" s="66">
        <v>2</v>
      </c>
      <c r="J27" s="115">
        <f t="shared" si="0"/>
        <v>13.5</v>
      </c>
    </row>
    <row r="28" spans="2:10" ht="18" customHeight="1" thickBot="1" x14ac:dyDescent="0.25">
      <c r="B28" s="120">
        <v>22</v>
      </c>
      <c r="C28" s="112" t="str">
        <f>Config!C26&amp;", "&amp;Config!D26</f>
        <v>Ehlers, Ingo</v>
      </c>
      <c r="D28" s="63">
        <v>0.5</v>
      </c>
      <c r="E28" s="63">
        <v>1.5</v>
      </c>
      <c r="F28" s="63">
        <v>1</v>
      </c>
      <c r="G28" s="63">
        <v>3</v>
      </c>
      <c r="H28" s="63">
        <v>3</v>
      </c>
      <c r="I28" s="66">
        <v>1</v>
      </c>
      <c r="J28" s="115">
        <f t="shared" si="0"/>
        <v>10</v>
      </c>
    </row>
    <row r="29" spans="2:10" ht="18" customHeight="1" thickBot="1" x14ac:dyDescent="0.25">
      <c r="B29" s="121">
        <v>23</v>
      </c>
      <c r="C29" s="118" t="str">
        <f>Config!C27&amp;", "&amp;Config!D27</f>
        <v>Lindemann, Mads</v>
      </c>
      <c r="D29" s="67">
        <v>0.5</v>
      </c>
      <c r="E29" s="67">
        <v>2</v>
      </c>
      <c r="F29" s="67">
        <v>1.5</v>
      </c>
      <c r="G29" s="67">
        <v>0.5</v>
      </c>
      <c r="H29" s="67">
        <v>1.5</v>
      </c>
      <c r="I29" s="68">
        <v>1</v>
      </c>
      <c r="J29" s="113">
        <f t="shared" si="0"/>
        <v>7</v>
      </c>
    </row>
    <row r="30" spans="2:10" ht="18" customHeight="1" thickBot="1" x14ac:dyDescent="0.25">
      <c r="B30" s="122"/>
      <c r="C30" s="123"/>
      <c r="D30" s="123">
        <f t="shared" ref="D30:I30" si="1">IF(COUNTIF(D7:D29,"&lt;&gt;")&lt;&gt;0,SUM(D7:D29)/(COUNTIF(D7:D29,"&lt;&gt;")*D6),0)</f>
        <v>0.60869565217391308</v>
      </c>
      <c r="E30" s="123">
        <f t="shared" si="1"/>
        <v>0.85869565217391308</v>
      </c>
      <c r="F30" s="123">
        <f t="shared" si="1"/>
        <v>0.45652173913043476</v>
      </c>
      <c r="G30" s="123">
        <f t="shared" si="1"/>
        <v>0.6811594202898551</v>
      </c>
      <c r="H30" s="123">
        <f t="shared" si="1"/>
        <v>0.76811594202898548</v>
      </c>
      <c r="I30" s="123">
        <f t="shared" si="1"/>
        <v>0.72826086956521741</v>
      </c>
      <c r="J30" s="116"/>
    </row>
    <row r="31" spans="2:10" ht="18" customHeight="1" x14ac:dyDescent="0.2"/>
    <row r="32" spans="2:10"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6">
    <dataValidation type="decimal" allowBlank="1" showErrorMessage="1" sqref="D7:D29" xr:uid="{8C30B035-DC33-459E-A49D-6AED33930CB9}">
      <formula1>0</formula1>
      <formula2>$D$6</formula2>
    </dataValidation>
    <dataValidation type="decimal" allowBlank="1" showErrorMessage="1" sqref="E7:E29" xr:uid="{AA7E1624-79D2-4BAA-A0FB-D22BB671067D}">
      <formula1>0</formula1>
      <formula2>$E$6</formula2>
    </dataValidation>
    <dataValidation type="decimal" allowBlank="1" showErrorMessage="1" sqref="F7:F29" xr:uid="{5E4507DA-83C0-4AD7-BC80-1818B38540DD}">
      <formula1>0</formula1>
      <formula2>$F$6</formula2>
    </dataValidation>
    <dataValidation type="decimal" allowBlank="1" showErrorMessage="1" sqref="G7:G29" xr:uid="{48FF9F8D-9542-44F7-8D9D-C71FFBDFA8DF}">
      <formula1>0</formula1>
      <formula2>$G$6</formula2>
    </dataValidation>
    <dataValidation type="decimal" allowBlank="1" showErrorMessage="1" sqref="H7:H29" xr:uid="{8D45032C-B1C2-49A3-9F87-6FBC291439E0}">
      <formula1>0</formula1>
      <formula2>$H$6</formula2>
    </dataValidation>
    <dataValidation type="decimal" allowBlank="1" showErrorMessage="1" sqref="I7:I29" xr:uid="{CB86B631-A255-4AFC-849E-69F4D5E5EFE4}">
      <formula1>0</formula1>
      <formula2>$I$6</formula2>
    </dataValidation>
  </dataValidation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3FE67-EA83-47BF-90C5-8BEB4F2887B3}">
  <sheetPr codeName="Tabelle184">
    <tabColor rgb="FF92D050"/>
  </sheetPr>
  <dimension ref="B1:N100"/>
  <sheetViews>
    <sheetView workbookViewId="0">
      <selection activeCell="D7" sqref="D7"/>
    </sheetView>
  </sheetViews>
  <sheetFormatPr baseColWidth="10" defaultRowHeight="12.75" x14ac:dyDescent="0.2"/>
  <cols>
    <col min="1" max="2" width="3.42578125" style="95" customWidth="1"/>
    <col min="3" max="3" width="25.7109375" style="95" customWidth="1"/>
    <col min="4" max="14" width="8.7109375" style="95" customWidth="1"/>
    <col min="15" max="16384" width="11.42578125" style="95"/>
  </cols>
  <sheetData>
    <row r="1" spans="2:14" ht="18" customHeight="1" thickBot="1" x14ac:dyDescent="0.25"/>
    <row r="2" spans="2:14" ht="18" customHeight="1" x14ac:dyDescent="0.2">
      <c r="B2" s="96" t="str">
        <f>Config!F2&amp;" "&amp;YEAR(Config!G27)</f>
        <v>Mathe Abitur 2026</v>
      </c>
      <c r="C2" s="97"/>
      <c r="D2" s="97"/>
      <c r="E2" s="97"/>
      <c r="F2" s="97"/>
      <c r="G2" s="97"/>
      <c r="H2" s="97"/>
      <c r="I2" s="98"/>
      <c r="J2" s="98"/>
      <c r="K2" s="98"/>
      <c r="L2" s="98"/>
      <c r="M2" s="98"/>
      <c r="N2" s="99" t="str">
        <f>"Kurs "&amp;Config!G29</f>
        <v>Kurs K1</v>
      </c>
    </row>
    <row r="3" spans="2:14" ht="18" customHeight="1" x14ac:dyDescent="0.2">
      <c r="B3" s="100" t="s">
        <v>10</v>
      </c>
      <c r="C3" s="101"/>
      <c r="D3" s="101"/>
      <c r="E3" s="101"/>
      <c r="F3" s="101"/>
      <c r="G3" s="101"/>
      <c r="H3" s="101"/>
      <c r="I3" s="101"/>
      <c r="J3" s="101"/>
      <c r="K3" s="101"/>
      <c r="L3" s="101"/>
      <c r="M3" s="101"/>
      <c r="N3" s="102"/>
    </row>
    <row r="4" spans="2:14" ht="18" customHeight="1" thickBot="1" x14ac:dyDescent="0.25">
      <c r="B4" s="100"/>
      <c r="C4" s="101"/>
      <c r="D4" s="103"/>
      <c r="E4" s="103"/>
      <c r="F4" s="103"/>
      <c r="G4" s="103"/>
      <c r="H4" s="103"/>
      <c r="I4" s="103"/>
      <c r="J4" s="103"/>
      <c r="K4" s="103"/>
      <c r="L4" s="103"/>
      <c r="M4" s="103"/>
      <c r="N4" s="104"/>
    </row>
    <row r="5" spans="2:14" ht="18" customHeight="1" thickBot="1" x14ac:dyDescent="0.25">
      <c r="B5" s="105"/>
      <c r="C5" s="107"/>
      <c r="D5" s="124" t="str">
        <f>Config!H6</f>
        <v>1a</v>
      </c>
      <c r="E5" s="124" t="str">
        <f>Config!H7</f>
        <v>1b</v>
      </c>
      <c r="F5" s="124" t="str">
        <f>Config!H8</f>
        <v>1c</v>
      </c>
      <c r="G5" s="124" t="str">
        <f>Config!H9</f>
        <v>1d</v>
      </c>
      <c r="H5" s="124" t="str">
        <f>Config!H10</f>
        <v>1e</v>
      </c>
      <c r="I5" s="124" t="str">
        <f>Config!H11</f>
        <v>1f</v>
      </c>
      <c r="J5" s="124" t="str">
        <f>Config!H12</f>
        <v>1g</v>
      </c>
      <c r="K5" s="124" t="str">
        <f>Config!H13</f>
        <v>1h</v>
      </c>
      <c r="L5" s="124" t="str">
        <f>Config!H14</f>
        <v>2a</v>
      </c>
      <c r="M5" s="124" t="str">
        <f>Config!H15</f>
        <v>2b</v>
      </c>
      <c r="N5" s="111" t="s">
        <v>82</v>
      </c>
    </row>
    <row r="6" spans="2:14" ht="18" customHeight="1" thickBot="1" x14ac:dyDescent="0.25">
      <c r="B6" s="106"/>
      <c r="C6" s="108" t="s">
        <v>81</v>
      </c>
      <c r="D6" s="110">
        <f>Config!I6</f>
        <v>2</v>
      </c>
      <c r="E6" s="110">
        <f>Config!I7</f>
        <v>3</v>
      </c>
      <c r="F6" s="110">
        <f>Config!I8</f>
        <v>4</v>
      </c>
      <c r="G6" s="110">
        <f>Config!I9</f>
        <v>3</v>
      </c>
      <c r="H6" s="110">
        <f>Config!I10</f>
        <v>3</v>
      </c>
      <c r="I6" s="110">
        <f>Config!I11</f>
        <v>4</v>
      </c>
      <c r="J6" s="110">
        <f>Config!I12</f>
        <v>3</v>
      </c>
      <c r="K6" s="110">
        <f>Config!I13</f>
        <v>4</v>
      </c>
      <c r="L6" s="110">
        <f>Config!I14</f>
        <v>2</v>
      </c>
      <c r="M6" s="110">
        <f>Config!I15</f>
        <v>2</v>
      </c>
      <c r="N6" s="125">
        <f>Config!I21</f>
        <v>30</v>
      </c>
    </row>
    <row r="7" spans="2:14" ht="18" customHeight="1" thickBot="1" x14ac:dyDescent="0.25">
      <c r="B7" s="119">
        <v>1</v>
      </c>
      <c r="C7" s="117" t="str">
        <f>Config!C5&amp;", "&amp;Config!D5</f>
        <v>Höfer, Simon</v>
      </c>
      <c r="D7" s="64">
        <v>1.5</v>
      </c>
      <c r="E7" s="64">
        <v>3</v>
      </c>
      <c r="F7" s="64">
        <v>3</v>
      </c>
      <c r="G7" s="64">
        <v>3</v>
      </c>
      <c r="H7" s="64">
        <v>3</v>
      </c>
      <c r="I7" s="64">
        <v>4</v>
      </c>
      <c r="J7" s="64">
        <v>3</v>
      </c>
      <c r="K7" s="64">
        <v>0</v>
      </c>
      <c r="L7" s="64">
        <v>2</v>
      </c>
      <c r="M7" s="65">
        <v>0</v>
      </c>
      <c r="N7" s="115">
        <f t="shared" ref="N7:N29" si="0">SUM(D7:M7)</f>
        <v>22.5</v>
      </c>
    </row>
    <row r="8" spans="2:14" ht="18" customHeight="1" thickBot="1" x14ac:dyDescent="0.25">
      <c r="B8" s="120">
        <v>2</v>
      </c>
      <c r="C8" s="112" t="str">
        <f>Config!C6&amp;", "&amp;Config!D6</f>
        <v>Töpfer, Lilian</v>
      </c>
      <c r="D8" s="63">
        <v>0.5</v>
      </c>
      <c r="E8" s="63">
        <v>2.5</v>
      </c>
      <c r="F8" s="63">
        <v>3</v>
      </c>
      <c r="G8" s="63">
        <v>3</v>
      </c>
      <c r="H8" s="63">
        <v>3</v>
      </c>
      <c r="I8" s="63">
        <v>4</v>
      </c>
      <c r="J8" s="63">
        <v>0</v>
      </c>
      <c r="K8" s="63">
        <v>0</v>
      </c>
      <c r="L8" s="63">
        <v>1.5</v>
      </c>
      <c r="M8" s="66">
        <v>0</v>
      </c>
      <c r="N8" s="115">
        <f t="shared" si="0"/>
        <v>17.5</v>
      </c>
    </row>
    <row r="9" spans="2:14" ht="18" customHeight="1" thickBot="1" x14ac:dyDescent="0.25">
      <c r="B9" s="120">
        <v>3</v>
      </c>
      <c r="C9" s="112" t="str">
        <f>Config!C7&amp;", "&amp;Config!D7</f>
        <v>Fleischmann, Leonie</v>
      </c>
      <c r="D9" s="63">
        <v>1</v>
      </c>
      <c r="E9" s="63">
        <v>2</v>
      </c>
      <c r="F9" s="63">
        <v>0</v>
      </c>
      <c r="G9" s="63">
        <v>1</v>
      </c>
      <c r="H9" s="63">
        <v>3</v>
      </c>
      <c r="I9" s="63">
        <v>2.5</v>
      </c>
      <c r="J9" s="63">
        <v>0</v>
      </c>
      <c r="K9" s="63">
        <v>0</v>
      </c>
      <c r="L9" s="63">
        <v>0</v>
      </c>
      <c r="M9" s="66">
        <v>2</v>
      </c>
      <c r="N9" s="115">
        <f t="shared" si="0"/>
        <v>11.5</v>
      </c>
    </row>
    <row r="10" spans="2:14" ht="18" customHeight="1" thickBot="1" x14ac:dyDescent="0.25">
      <c r="B10" s="120">
        <v>4</v>
      </c>
      <c r="C10" s="112" t="str">
        <f>Config!C8&amp;", "&amp;Config!D8</f>
        <v>Drescher, Cedric</v>
      </c>
      <c r="D10" s="63">
        <v>1</v>
      </c>
      <c r="E10" s="63">
        <v>3</v>
      </c>
      <c r="F10" s="63">
        <v>3</v>
      </c>
      <c r="G10" s="63">
        <v>3</v>
      </c>
      <c r="H10" s="63">
        <v>3</v>
      </c>
      <c r="I10" s="63">
        <v>4</v>
      </c>
      <c r="J10" s="63">
        <v>1.5</v>
      </c>
      <c r="K10" s="63">
        <v>0</v>
      </c>
      <c r="L10" s="63">
        <v>1.5</v>
      </c>
      <c r="M10" s="66">
        <v>3</v>
      </c>
      <c r="N10" s="115">
        <f t="shared" si="0"/>
        <v>23</v>
      </c>
    </row>
    <row r="11" spans="2:14" ht="18" customHeight="1" thickBot="1" x14ac:dyDescent="0.25">
      <c r="B11" s="120">
        <v>5</v>
      </c>
      <c r="C11" s="112" t="str">
        <f>Config!C9&amp;", "&amp;Config!D9</f>
        <v>Baumgarten, Annabell</v>
      </c>
      <c r="D11" s="63">
        <v>2</v>
      </c>
      <c r="E11" s="63">
        <v>2</v>
      </c>
      <c r="F11" s="63">
        <v>3.5</v>
      </c>
      <c r="G11" s="63">
        <v>2.5</v>
      </c>
      <c r="H11" s="63">
        <v>2</v>
      </c>
      <c r="I11" s="63">
        <v>1</v>
      </c>
      <c r="J11" s="63">
        <v>0.5</v>
      </c>
      <c r="K11" s="63">
        <v>2.5</v>
      </c>
      <c r="L11" s="63">
        <v>2</v>
      </c>
      <c r="M11" s="66">
        <v>3.5</v>
      </c>
      <c r="N11" s="115">
        <f t="shared" si="0"/>
        <v>21.5</v>
      </c>
    </row>
    <row r="12" spans="2:14" ht="18" customHeight="1" thickBot="1" x14ac:dyDescent="0.25">
      <c r="B12" s="120">
        <v>6</v>
      </c>
      <c r="C12" s="112" t="str">
        <f>Config!C10&amp;", "&amp;Config!D10</f>
        <v>Traut, Stefanie</v>
      </c>
      <c r="D12" s="63">
        <v>2</v>
      </c>
      <c r="E12" s="63">
        <v>3</v>
      </c>
      <c r="F12" s="63">
        <v>4</v>
      </c>
      <c r="G12" s="63">
        <v>3</v>
      </c>
      <c r="H12" s="63">
        <v>3</v>
      </c>
      <c r="I12" s="63">
        <v>4</v>
      </c>
      <c r="J12" s="63">
        <v>3</v>
      </c>
      <c r="K12" s="63">
        <v>4</v>
      </c>
      <c r="L12" s="63">
        <v>2</v>
      </c>
      <c r="M12" s="66">
        <v>5</v>
      </c>
      <c r="N12" s="115">
        <f t="shared" si="0"/>
        <v>33</v>
      </c>
    </row>
    <row r="13" spans="2:14" ht="18" customHeight="1" thickBot="1" x14ac:dyDescent="0.25">
      <c r="B13" s="120">
        <v>7</v>
      </c>
      <c r="C13" s="112" t="str">
        <f>Config!C11&amp;", "&amp;Config!D11</f>
        <v>Menke, Damian</v>
      </c>
      <c r="D13" s="63">
        <v>1.5</v>
      </c>
      <c r="E13" s="63">
        <v>2.5</v>
      </c>
      <c r="F13" s="63">
        <v>4</v>
      </c>
      <c r="G13" s="63">
        <v>2</v>
      </c>
      <c r="H13" s="63">
        <v>2</v>
      </c>
      <c r="I13" s="63">
        <v>2.5</v>
      </c>
      <c r="J13" s="63">
        <v>0.5</v>
      </c>
      <c r="K13" s="63">
        <v>3</v>
      </c>
      <c r="L13" s="63">
        <v>1</v>
      </c>
      <c r="M13" s="66">
        <v>3.5</v>
      </c>
      <c r="N13" s="115">
        <f t="shared" si="0"/>
        <v>22.5</v>
      </c>
    </row>
    <row r="14" spans="2:14" ht="18" customHeight="1" thickBot="1" x14ac:dyDescent="0.25">
      <c r="B14" s="120">
        <v>8</v>
      </c>
      <c r="C14" s="112" t="str">
        <f>Config!C12&amp;", "&amp;Config!D12</f>
        <v>Carroll, Meik</v>
      </c>
      <c r="D14" s="63">
        <v>1.5</v>
      </c>
      <c r="E14" s="63">
        <v>1</v>
      </c>
      <c r="F14" s="63">
        <v>2.5</v>
      </c>
      <c r="G14" s="63">
        <v>3</v>
      </c>
      <c r="H14" s="63">
        <v>3</v>
      </c>
      <c r="I14" s="63">
        <v>3.5</v>
      </c>
      <c r="J14" s="63">
        <v>0</v>
      </c>
      <c r="K14" s="63">
        <v>0</v>
      </c>
      <c r="L14" s="63">
        <v>2</v>
      </c>
      <c r="M14" s="66">
        <v>0</v>
      </c>
      <c r="N14" s="115">
        <f t="shared" si="0"/>
        <v>16.5</v>
      </c>
    </row>
    <row r="15" spans="2:14" ht="18" customHeight="1" thickBot="1" x14ac:dyDescent="0.25">
      <c r="B15" s="120">
        <v>9</v>
      </c>
      <c r="C15" s="112" t="str">
        <f>Config!C13&amp;", "&amp;Config!D13</f>
        <v>Hennings, Tomas</v>
      </c>
      <c r="D15" s="63">
        <v>1.5</v>
      </c>
      <c r="E15" s="63">
        <v>3</v>
      </c>
      <c r="F15" s="63">
        <v>4</v>
      </c>
      <c r="G15" s="63">
        <v>3</v>
      </c>
      <c r="H15" s="63">
        <v>2</v>
      </c>
      <c r="I15" s="63">
        <v>1</v>
      </c>
      <c r="J15" s="63">
        <v>0</v>
      </c>
      <c r="K15" s="63">
        <v>0</v>
      </c>
      <c r="L15" s="63">
        <v>0</v>
      </c>
      <c r="M15" s="66">
        <v>0</v>
      </c>
      <c r="N15" s="115">
        <f t="shared" si="0"/>
        <v>14.5</v>
      </c>
    </row>
    <row r="16" spans="2:14" ht="18" customHeight="1" thickBot="1" x14ac:dyDescent="0.25">
      <c r="B16" s="120">
        <v>10</v>
      </c>
      <c r="C16" s="112" t="str">
        <f>Config!C14&amp;", "&amp;Config!D14</f>
        <v>Walters, Linn</v>
      </c>
      <c r="D16" s="63">
        <v>0</v>
      </c>
      <c r="E16" s="63">
        <v>1.5</v>
      </c>
      <c r="F16" s="63">
        <v>2.5</v>
      </c>
      <c r="G16" s="63">
        <v>0</v>
      </c>
      <c r="H16" s="63">
        <v>1</v>
      </c>
      <c r="I16" s="63">
        <v>1</v>
      </c>
      <c r="J16" s="63">
        <v>0</v>
      </c>
      <c r="K16" s="63">
        <v>0</v>
      </c>
      <c r="L16" s="63">
        <v>1</v>
      </c>
      <c r="M16" s="66">
        <v>0</v>
      </c>
      <c r="N16" s="115">
        <f t="shared" si="0"/>
        <v>7</v>
      </c>
    </row>
    <row r="17" spans="2:14" ht="18" customHeight="1" thickBot="1" x14ac:dyDescent="0.25">
      <c r="B17" s="120">
        <v>11</v>
      </c>
      <c r="C17" s="112" t="str">
        <f>Config!C15&amp;", "&amp;Config!D15</f>
        <v>Junker, Amely</v>
      </c>
      <c r="D17" s="63">
        <v>1</v>
      </c>
      <c r="E17" s="63">
        <v>1.5</v>
      </c>
      <c r="F17" s="63">
        <v>4</v>
      </c>
      <c r="G17" s="63">
        <v>1.5</v>
      </c>
      <c r="H17" s="63">
        <v>2</v>
      </c>
      <c r="I17" s="63">
        <v>3.5</v>
      </c>
      <c r="J17" s="63">
        <v>0</v>
      </c>
      <c r="K17" s="63">
        <v>0</v>
      </c>
      <c r="L17" s="63">
        <v>0</v>
      </c>
      <c r="M17" s="66">
        <v>0</v>
      </c>
      <c r="N17" s="115">
        <f t="shared" si="0"/>
        <v>13.5</v>
      </c>
    </row>
    <row r="18" spans="2:14" ht="18" customHeight="1" thickBot="1" x14ac:dyDescent="0.25">
      <c r="B18" s="120">
        <v>12</v>
      </c>
      <c r="C18" s="112" t="str">
        <f>Config!C16&amp;", "&amp;Config!D16</f>
        <v>Stephens, Melvin</v>
      </c>
      <c r="D18" s="63">
        <v>2</v>
      </c>
      <c r="E18" s="63">
        <v>3</v>
      </c>
      <c r="F18" s="63">
        <v>4</v>
      </c>
      <c r="G18" s="63">
        <v>3</v>
      </c>
      <c r="H18" s="63">
        <v>3</v>
      </c>
      <c r="I18" s="63">
        <v>4</v>
      </c>
      <c r="J18" s="63">
        <v>3</v>
      </c>
      <c r="K18" s="63">
        <v>0</v>
      </c>
      <c r="L18" s="63">
        <v>2</v>
      </c>
      <c r="M18" s="66">
        <v>3</v>
      </c>
      <c r="N18" s="115">
        <f t="shared" si="0"/>
        <v>27</v>
      </c>
    </row>
    <row r="19" spans="2:14" ht="18" customHeight="1" thickBot="1" x14ac:dyDescent="0.25">
      <c r="B19" s="120">
        <v>13</v>
      </c>
      <c r="C19" s="112" t="str">
        <f>Config!C17&amp;", "&amp;Config!D17</f>
        <v>Cremer, Marvin</v>
      </c>
      <c r="D19" s="63">
        <v>0.5</v>
      </c>
      <c r="E19" s="63">
        <v>1.5</v>
      </c>
      <c r="F19" s="63">
        <v>4</v>
      </c>
      <c r="G19" s="63">
        <v>3</v>
      </c>
      <c r="H19" s="63">
        <v>3</v>
      </c>
      <c r="I19" s="63">
        <v>3.5</v>
      </c>
      <c r="J19" s="63">
        <v>0</v>
      </c>
      <c r="K19" s="63">
        <v>0</v>
      </c>
      <c r="L19" s="63">
        <v>2</v>
      </c>
      <c r="M19" s="66">
        <v>4.5</v>
      </c>
      <c r="N19" s="115">
        <f t="shared" si="0"/>
        <v>22</v>
      </c>
    </row>
    <row r="20" spans="2:14" ht="18" customHeight="1" thickBot="1" x14ac:dyDescent="0.25">
      <c r="B20" s="120">
        <v>14</v>
      </c>
      <c r="C20" s="112" t="str">
        <f>Config!C18&amp;", "&amp;Config!D18</f>
        <v>Nash, Jean</v>
      </c>
      <c r="D20" s="63">
        <v>1.5</v>
      </c>
      <c r="E20" s="63">
        <v>2.5</v>
      </c>
      <c r="F20" s="63">
        <v>3</v>
      </c>
      <c r="G20" s="63">
        <v>2.5</v>
      </c>
      <c r="H20" s="63">
        <v>2</v>
      </c>
      <c r="I20" s="63">
        <v>4</v>
      </c>
      <c r="J20" s="63">
        <v>0</v>
      </c>
      <c r="K20" s="63">
        <v>0</v>
      </c>
      <c r="L20" s="63">
        <v>0</v>
      </c>
      <c r="M20" s="66">
        <v>0</v>
      </c>
      <c r="N20" s="115">
        <f t="shared" si="0"/>
        <v>15.5</v>
      </c>
    </row>
    <row r="21" spans="2:14" ht="18" customHeight="1" thickBot="1" x14ac:dyDescent="0.25">
      <c r="B21" s="120">
        <v>15</v>
      </c>
      <c r="C21" s="112" t="str">
        <f>Config!C19&amp;", "&amp;Config!D19</f>
        <v>Schön, Leonardo</v>
      </c>
      <c r="D21" s="63">
        <v>1.5</v>
      </c>
      <c r="E21" s="63">
        <v>3</v>
      </c>
      <c r="F21" s="63">
        <v>4</v>
      </c>
      <c r="G21" s="63">
        <v>3</v>
      </c>
      <c r="H21" s="63">
        <v>2.5</v>
      </c>
      <c r="I21" s="63">
        <v>3.5</v>
      </c>
      <c r="J21" s="63">
        <v>0.5</v>
      </c>
      <c r="K21" s="63">
        <v>0</v>
      </c>
      <c r="L21" s="63">
        <v>2</v>
      </c>
      <c r="M21" s="66">
        <v>3.5</v>
      </c>
      <c r="N21" s="115">
        <f t="shared" si="0"/>
        <v>23.5</v>
      </c>
    </row>
    <row r="22" spans="2:14" ht="18" customHeight="1" thickBot="1" x14ac:dyDescent="0.25">
      <c r="B22" s="120">
        <v>16</v>
      </c>
      <c r="C22" s="112" t="str">
        <f>Config!C20&amp;", "&amp;Config!D20</f>
        <v>Sigl, Nicholas</v>
      </c>
      <c r="D22" s="63">
        <v>1.5</v>
      </c>
      <c r="E22" s="63">
        <v>3</v>
      </c>
      <c r="F22" s="63">
        <v>4</v>
      </c>
      <c r="G22" s="63">
        <v>3</v>
      </c>
      <c r="H22" s="63">
        <v>3</v>
      </c>
      <c r="I22" s="63">
        <v>4</v>
      </c>
      <c r="J22" s="63">
        <v>0</v>
      </c>
      <c r="K22" s="63">
        <v>1.5</v>
      </c>
      <c r="L22" s="63">
        <v>0</v>
      </c>
      <c r="M22" s="66">
        <v>2</v>
      </c>
      <c r="N22" s="115">
        <f t="shared" si="0"/>
        <v>22</v>
      </c>
    </row>
    <row r="23" spans="2:14" ht="18" customHeight="1" thickBot="1" x14ac:dyDescent="0.25">
      <c r="B23" s="120">
        <v>17</v>
      </c>
      <c r="C23" s="112" t="str">
        <f>Config!C21&amp;", "&amp;Config!D21</f>
        <v>Kainz, Vivienne</v>
      </c>
      <c r="D23" s="63">
        <v>1.5</v>
      </c>
      <c r="E23" s="63">
        <v>1.5</v>
      </c>
      <c r="F23" s="63">
        <v>0</v>
      </c>
      <c r="G23" s="63">
        <v>1.5</v>
      </c>
      <c r="H23" s="63">
        <v>1</v>
      </c>
      <c r="I23" s="63">
        <v>1</v>
      </c>
      <c r="J23" s="63">
        <v>0</v>
      </c>
      <c r="K23" s="63">
        <v>0</v>
      </c>
      <c r="L23" s="63">
        <v>0</v>
      </c>
      <c r="M23" s="66">
        <v>0</v>
      </c>
      <c r="N23" s="115">
        <f t="shared" si="0"/>
        <v>6.5</v>
      </c>
    </row>
    <row r="24" spans="2:14" ht="18" customHeight="1" thickBot="1" x14ac:dyDescent="0.25">
      <c r="B24" s="120">
        <v>18</v>
      </c>
      <c r="C24" s="112" t="str">
        <f>Config!C22&amp;", "&amp;Config!D22</f>
        <v>Hartmann, Mads</v>
      </c>
      <c r="D24" s="63">
        <v>1</v>
      </c>
      <c r="E24" s="63">
        <v>2.5</v>
      </c>
      <c r="F24" s="63">
        <v>2</v>
      </c>
      <c r="G24" s="63">
        <v>3</v>
      </c>
      <c r="H24" s="63">
        <v>2.5</v>
      </c>
      <c r="I24" s="63">
        <v>3.5</v>
      </c>
      <c r="J24" s="63">
        <v>0</v>
      </c>
      <c r="K24" s="63">
        <v>0</v>
      </c>
      <c r="L24" s="63">
        <v>1.5</v>
      </c>
      <c r="M24" s="66">
        <v>0</v>
      </c>
      <c r="N24" s="115">
        <f t="shared" si="0"/>
        <v>16</v>
      </c>
    </row>
    <row r="25" spans="2:14" ht="18" customHeight="1" thickBot="1" x14ac:dyDescent="0.25">
      <c r="B25" s="120">
        <v>19</v>
      </c>
      <c r="C25" s="112" t="str">
        <f>Config!C23&amp;", "&amp;Config!D23</f>
        <v>Ullmann, Raphael</v>
      </c>
      <c r="D25" s="63">
        <v>1.5</v>
      </c>
      <c r="E25" s="63">
        <v>2</v>
      </c>
      <c r="F25" s="63">
        <v>3</v>
      </c>
      <c r="G25" s="63">
        <v>0.5</v>
      </c>
      <c r="H25" s="63">
        <v>1</v>
      </c>
      <c r="I25" s="63">
        <v>4</v>
      </c>
      <c r="J25" s="63">
        <v>0.5</v>
      </c>
      <c r="K25" s="63">
        <v>0</v>
      </c>
      <c r="L25" s="63">
        <v>2</v>
      </c>
      <c r="M25" s="66">
        <v>0</v>
      </c>
      <c r="N25" s="115">
        <f t="shared" si="0"/>
        <v>14.5</v>
      </c>
    </row>
    <row r="26" spans="2:14" ht="18" customHeight="1" thickBot="1" x14ac:dyDescent="0.25">
      <c r="B26" s="120">
        <v>20</v>
      </c>
      <c r="C26" s="112" t="str">
        <f>Config!C24&amp;", "&amp;Config!D24</f>
        <v>Hartl, Emmely</v>
      </c>
      <c r="D26" s="63">
        <v>1.5</v>
      </c>
      <c r="E26" s="63">
        <v>3</v>
      </c>
      <c r="F26" s="63">
        <v>3.5</v>
      </c>
      <c r="G26" s="63">
        <v>2.5</v>
      </c>
      <c r="H26" s="63">
        <v>2</v>
      </c>
      <c r="I26" s="63">
        <v>3.5</v>
      </c>
      <c r="J26" s="63">
        <v>2</v>
      </c>
      <c r="K26" s="63">
        <v>0</v>
      </c>
      <c r="L26" s="63">
        <v>1.5</v>
      </c>
      <c r="M26" s="66">
        <v>3.5</v>
      </c>
      <c r="N26" s="115">
        <f t="shared" si="0"/>
        <v>23</v>
      </c>
    </row>
    <row r="27" spans="2:14" ht="18" customHeight="1" thickBot="1" x14ac:dyDescent="0.25">
      <c r="B27" s="120">
        <v>21</v>
      </c>
      <c r="C27" s="112" t="str">
        <f>Config!C25&amp;", "&amp;Config!D25</f>
        <v>Klotz, Karin</v>
      </c>
      <c r="D27" s="63">
        <v>2</v>
      </c>
      <c r="E27" s="63">
        <v>2.5</v>
      </c>
      <c r="F27" s="63">
        <v>4</v>
      </c>
      <c r="G27" s="63">
        <v>3</v>
      </c>
      <c r="H27" s="63">
        <v>2.5</v>
      </c>
      <c r="I27" s="63">
        <v>3</v>
      </c>
      <c r="J27" s="63">
        <v>3</v>
      </c>
      <c r="K27" s="63">
        <v>0</v>
      </c>
      <c r="L27" s="63">
        <v>2</v>
      </c>
      <c r="M27" s="66">
        <v>4.5</v>
      </c>
      <c r="N27" s="115">
        <f t="shared" si="0"/>
        <v>26.5</v>
      </c>
    </row>
    <row r="28" spans="2:14" ht="18" customHeight="1" thickBot="1" x14ac:dyDescent="0.25">
      <c r="B28" s="120">
        <v>22</v>
      </c>
      <c r="C28" s="112" t="str">
        <f>Config!C26&amp;", "&amp;Config!D26</f>
        <v>Ehlers, Ingo</v>
      </c>
      <c r="D28" s="63">
        <v>0.5</v>
      </c>
      <c r="E28" s="63">
        <v>3</v>
      </c>
      <c r="F28" s="63">
        <v>4</v>
      </c>
      <c r="G28" s="63">
        <v>2</v>
      </c>
      <c r="H28" s="63">
        <v>2.5</v>
      </c>
      <c r="I28" s="63">
        <v>3</v>
      </c>
      <c r="J28" s="63">
        <v>1.5</v>
      </c>
      <c r="K28" s="63">
        <v>0</v>
      </c>
      <c r="L28" s="63">
        <v>2</v>
      </c>
      <c r="M28" s="66">
        <v>2.5</v>
      </c>
      <c r="N28" s="115">
        <f t="shared" si="0"/>
        <v>21</v>
      </c>
    </row>
    <row r="29" spans="2:14" ht="18" customHeight="1" thickBot="1" x14ac:dyDescent="0.25">
      <c r="B29" s="121">
        <v>23</v>
      </c>
      <c r="C29" s="118" t="str">
        <f>Config!C27&amp;", "&amp;Config!D27</f>
        <v>Lindemann, Mads</v>
      </c>
      <c r="D29" s="67">
        <v>1</v>
      </c>
      <c r="E29" s="67">
        <v>2.5</v>
      </c>
      <c r="F29" s="67">
        <v>3.5</v>
      </c>
      <c r="G29" s="67">
        <v>3</v>
      </c>
      <c r="H29" s="67">
        <v>2</v>
      </c>
      <c r="I29" s="67">
        <v>4</v>
      </c>
      <c r="J29" s="67">
        <v>0</v>
      </c>
      <c r="K29" s="67">
        <v>0</v>
      </c>
      <c r="L29" s="67">
        <v>0</v>
      </c>
      <c r="M29" s="68">
        <v>0</v>
      </c>
      <c r="N29" s="113">
        <f t="shared" si="0"/>
        <v>16</v>
      </c>
    </row>
    <row r="30" spans="2:14" ht="18" customHeight="1" thickBot="1" x14ac:dyDescent="0.25">
      <c r="B30" s="122"/>
      <c r="C30" s="123"/>
      <c r="D30" s="123">
        <f t="shared" ref="D30:M30" si="1">IF(COUNTIF(D7:D29,"&lt;&gt;")&lt;&gt;0,SUM(D7:D29)/(COUNTIF(D7:D29,"&lt;&gt;")*D6),0)</f>
        <v>0.64130434782608692</v>
      </c>
      <c r="E30" s="123">
        <f t="shared" si="1"/>
        <v>0.79710144927536231</v>
      </c>
      <c r="F30" s="123">
        <f t="shared" si="1"/>
        <v>0.78804347826086951</v>
      </c>
      <c r="G30" s="123">
        <f t="shared" si="1"/>
        <v>0.79710144927536231</v>
      </c>
      <c r="H30" s="123">
        <f t="shared" si="1"/>
        <v>0.78260869565217395</v>
      </c>
      <c r="I30" s="123">
        <f t="shared" si="1"/>
        <v>0.78260869565217395</v>
      </c>
      <c r="J30" s="123">
        <f t="shared" si="1"/>
        <v>0.27536231884057971</v>
      </c>
      <c r="K30" s="123">
        <f t="shared" si="1"/>
        <v>0.11956521739130435</v>
      </c>
      <c r="L30" s="123">
        <f t="shared" si="1"/>
        <v>0.60869565217391308</v>
      </c>
      <c r="M30" s="123">
        <f t="shared" si="1"/>
        <v>0.88043478260869568</v>
      </c>
      <c r="N30" s="116"/>
    </row>
    <row r="31" spans="2:14" ht="18" customHeight="1" x14ac:dyDescent="0.2"/>
    <row r="32" spans="2:14"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10">
    <dataValidation type="decimal" allowBlank="1" showErrorMessage="1" sqref="D7:D29" xr:uid="{BF38A4AB-75E5-4FC1-A640-F0155A6F8E30}">
      <formula1>0</formula1>
      <formula2>$D$6</formula2>
    </dataValidation>
    <dataValidation type="decimal" allowBlank="1" showErrorMessage="1" sqref="E7:E29" xr:uid="{61291A7C-B31B-4F9D-A8BE-1EC5D4B1443C}">
      <formula1>0</formula1>
      <formula2>$E$6</formula2>
    </dataValidation>
    <dataValidation type="decimal" allowBlank="1" showErrorMessage="1" sqref="F7:F29" xr:uid="{3E11D0C4-66FF-4917-8BC6-8E9D73FE80AD}">
      <formula1>0</formula1>
      <formula2>$F$6</formula2>
    </dataValidation>
    <dataValidation type="decimal" allowBlank="1" showErrorMessage="1" sqref="G7:G29" xr:uid="{1C514C15-CA7E-4DB9-8B79-E2FA65B5ACB2}">
      <formula1>0</formula1>
      <formula2>$G$6</formula2>
    </dataValidation>
    <dataValidation type="decimal" allowBlank="1" showErrorMessage="1" sqref="H7:H29" xr:uid="{12381BC2-B34B-4CCE-841A-E8429306FC29}">
      <formula1>0</formula1>
      <formula2>$H$6</formula2>
    </dataValidation>
    <dataValidation type="decimal" allowBlank="1" showErrorMessage="1" sqref="I7:I29" xr:uid="{A66687D1-E437-4C7A-BCA7-E7BAE868F792}">
      <formula1>0</formula1>
      <formula2>$I$6</formula2>
    </dataValidation>
    <dataValidation type="decimal" allowBlank="1" showErrorMessage="1" sqref="J7:J29" xr:uid="{62E14037-5A07-4493-BFE4-333CFE74978C}">
      <formula1>0</formula1>
      <formula2>$J$6</formula2>
    </dataValidation>
    <dataValidation type="decimal" allowBlank="1" showErrorMessage="1" sqref="K7:K29" xr:uid="{22DF4DBD-F57C-46FF-B362-04312049D147}">
      <formula1>0</formula1>
      <formula2>$K$6</formula2>
    </dataValidation>
    <dataValidation type="decimal" allowBlank="1" showErrorMessage="1" sqref="L7:L29" xr:uid="{AF1B0791-6823-4022-9BCB-0780DE86FE6A}">
      <formula1>0</formula1>
      <formula2>$L$6</formula2>
    </dataValidation>
    <dataValidation type="decimal" allowBlank="1" showErrorMessage="1" sqref="M7:M29" xr:uid="{460F7351-94DD-49A0-9EC2-4241A4BEBA07}">
      <formula1>0</formula1>
      <formula2>$M$6</formula2>
    </dataValidation>
  </dataValidation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2AF62-3671-46A8-85E6-128EB71229EC}">
  <sheetPr codeName="Tabelle185">
    <tabColor rgb="FF92D050"/>
  </sheetPr>
  <dimension ref="B1:E100"/>
  <sheetViews>
    <sheetView workbookViewId="0">
      <selection activeCell="D7" sqref="D7"/>
    </sheetView>
  </sheetViews>
  <sheetFormatPr baseColWidth="10" defaultRowHeight="12.75" x14ac:dyDescent="0.2"/>
  <cols>
    <col min="1" max="2" width="3.42578125" style="95" customWidth="1"/>
    <col min="3" max="3" width="25.7109375" style="95" customWidth="1"/>
    <col min="4" max="5" width="8.7109375" style="95" customWidth="1"/>
    <col min="6" max="16384" width="11.42578125" style="95"/>
  </cols>
  <sheetData>
    <row r="1" spans="2:5" ht="18" customHeight="1" thickBot="1" x14ac:dyDescent="0.25"/>
    <row r="2" spans="2:5" ht="18" customHeight="1" x14ac:dyDescent="0.2">
      <c r="B2" s="96" t="str">
        <f>Config!F2&amp;" "&amp;YEAR(Config!G27)</f>
        <v>Mathe Abitur 2026</v>
      </c>
      <c r="C2" s="97"/>
      <c r="D2" s="98"/>
      <c r="E2" s="99" t="str">
        <f>"Kurs "&amp;Config!G29</f>
        <v>Kurs K1</v>
      </c>
    </row>
    <row r="3" spans="2:5" ht="18" customHeight="1" x14ac:dyDescent="0.2">
      <c r="B3" s="100" t="s">
        <v>11</v>
      </c>
      <c r="C3" s="101"/>
      <c r="D3" s="101"/>
      <c r="E3" s="102"/>
    </row>
    <row r="4" spans="2:5" ht="18" customHeight="1" thickBot="1" x14ac:dyDescent="0.25">
      <c r="B4" s="100"/>
      <c r="C4" s="101"/>
      <c r="D4" s="103"/>
      <c r="E4" s="104"/>
    </row>
    <row r="5" spans="2:5" ht="18" customHeight="1" thickBot="1" x14ac:dyDescent="0.25">
      <c r="B5" s="105"/>
      <c r="C5" s="107"/>
      <c r="D5" s="124" t="str">
        <f>Config!J6</f>
        <v>1</v>
      </c>
      <c r="E5" s="111" t="s">
        <v>82</v>
      </c>
    </row>
    <row r="6" spans="2:5" ht="18" customHeight="1" thickBot="1" x14ac:dyDescent="0.25">
      <c r="B6" s="106"/>
      <c r="C6" s="108" t="s">
        <v>81</v>
      </c>
      <c r="D6" s="110">
        <f>Config!K6</f>
        <v>5</v>
      </c>
      <c r="E6" s="125">
        <f>Config!K21</f>
        <v>5</v>
      </c>
    </row>
    <row r="7" spans="2:5" ht="18" customHeight="1" thickBot="1" x14ac:dyDescent="0.25">
      <c r="B7" s="119">
        <v>1</v>
      </c>
      <c r="C7" s="117" t="str">
        <f>Config!C5&amp;", "&amp;Config!D5</f>
        <v>Höfer, Simon</v>
      </c>
      <c r="D7" s="65">
        <v>2.5</v>
      </c>
      <c r="E7" s="115">
        <f t="shared" ref="E7:E29" si="0">SUM(D7:D7)</f>
        <v>2.5</v>
      </c>
    </row>
    <row r="8" spans="2:5" ht="18" customHeight="1" thickBot="1" x14ac:dyDescent="0.25">
      <c r="B8" s="120">
        <v>2</v>
      </c>
      <c r="C8" s="112" t="str">
        <f>Config!C6&amp;", "&amp;Config!D6</f>
        <v>Töpfer, Lilian</v>
      </c>
      <c r="D8" s="66">
        <v>5</v>
      </c>
      <c r="E8" s="115">
        <f t="shared" si="0"/>
        <v>5</v>
      </c>
    </row>
    <row r="9" spans="2:5" ht="18" customHeight="1" thickBot="1" x14ac:dyDescent="0.25">
      <c r="B9" s="120">
        <v>3</v>
      </c>
      <c r="C9" s="112" t="str">
        <f>Config!C7&amp;", "&amp;Config!D7</f>
        <v>Fleischmann, Leonie</v>
      </c>
      <c r="D9" s="66">
        <v>2.5</v>
      </c>
      <c r="E9" s="115">
        <f t="shared" si="0"/>
        <v>2.5</v>
      </c>
    </row>
    <row r="10" spans="2:5" ht="18" customHeight="1" thickBot="1" x14ac:dyDescent="0.25">
      <c r="B10" s="120">
        <v>4</v>
      </c>
      <c r="C10" s="112" t="str">
        <f>Config!C8&amp;", "&amp;Config!D8</f>
        <v>Drescher, Cedric</v>
      </c>
      <c r="D10" s="66">
        <v>2.5</v>
      </c>
      <c r="E10" s="115">
        <f t="shared" si="0"/>
        <v>2.5</v>
      </c>
    </row>
    <row r="11" spans="2:5" ht="18" customHeight="1" thickBot="1" x14ac:dyDescent="0.25">
      <c r="B11" s="120">
        <v>5</v>
      </c>
      <c r="C11" s="112" t="str">
        <f>Config!C9&amp;", "&amp;Config!D9</f>
        <v>Baumgarten, Annabell</v>
      </c>
      <c r="D11" s="66">
        <v>2.5</v>
      </c>
      <c r="E11" s="115">
        <f t="shared" si="0"/>
        <v>2.5</v>
      </c>
    </row>
    <row r="12" spans="2:5" ht="18" customHeight="1" thickBot="1" x14ac:dyDescent="0.25">
      <c r="B12" s="120">
        <v>6</v>
      </c>
      <c r="C12" s="112" t="str">
        <f>Config!C10&amp;", "&amp;Config!D10</f>
        <v>Traut, Stefanie</v>
      </c>
      <c r="D12" s="66">
        <v>3</v>
      </c>
      <c r="E12" s="115">
        <f t="shared" si="0"/>
        <v>3</v>
      </c>
    </row>
    <row r="13" spans="2:5" ht="18" customHeight="1" thickBot="1" x14ac:dyDescent="0.25">
      <c r="B13" s="120">
        <v>7</v>
      </c>
      <c r="C13" s="112" t="str">
        <f>Config!C11&amp;", "&amp;Config!D11</f>
        <v>Menke, Damian</v>
      </c>
      <c r="D13" s="66">
        <v>5</v>
      </c>
      <c r="E13" s="115">
        <f t="shared" si="0"/>
        <v>5</v>
      </c>
    </row>
    <row r="14" spans="2:5" ht="18" customHeight="1" thickBot="1" x14ac:dyDescent="0.25">
      <c r="B14" s="120">
        <v>8</v>
      </c>
      <c r="C14" s="112" t="str">
        <f>Config!C12&amp;", "&amp;Config!D12</f>
        <v>Carroll, Meik</v>
      </c>
      <c r="D14" s="66">
        <v>5</v>
      </c>
      <c r="E14" s="115">
        <f t="shared" si="0"/>
        <v>5</v>
      </c>
    </row>
    <row r="15" spans="2:5" ht="18" customHeight="1" thickBot="1" x14ac:dyDescent="0.25">
      <c r="B15" s="120">
        <v>9</v>
      </c>
      <c r="C15" s="112" t="str">
        <f>Config!C13&amp;", "&amp;Config!D13</f>
        <v>Hennings, Tomas</v>
      </c>
      <c r="D15" s="66">
        <v>4</v>
      </c>
      <c r="E15" s="115">
        <f t="shared" si="0"/>
        <v>4</v>
      </c>
    </row>
    <row r="16" spans="2:5" ht="18" customHeight="1" thickBot="1" x14ac:dyDescent="0.25">
      <c r="B16" s="120">
        <v>10</v>
      </c>
      <c r="C16" s="112" t="str">
        <f>Config!C14&amp;", "&amp;Config!D14</f>
        <v>Walters, Linn</v>
      </c>
      <c r="D16" s="66">
        <v>2.5</v>
      </c>
      <c r="E16" s="115">
        <f t="shared" si="0"/>
        <v>2.5</v>
      </c>
    </row>
    <row r="17" spans="2:5" ht="18" customHeight="1" thickBot="1" x14ac:dyDescent="0.25">
      <c r="B17" s="120">
        <v>11</v>
      </c>
      <c r="C17" s="112" t="str">
        <f>Config!C15&amp;", "&amp;Config!D15</f>
        <v>Junker, Amely</v>
      </c>
      <c r="D17" s="66">
        <v>2</v>
      </c>
      <c r="E17" s="115">
        <f t="shared" si="0"/>
        <v>2</v>
      </c>
    </row>
    <row r="18" spans="2:5" ht="18" customHeight="1" thickBot="1" x14ac:dyDescent="0.25">
      <c r="B18" s="120">
        <v>12</v>
      </c>
      <c r="C18" s="112" t="str">
        <f>Config!C16&amp;", "&amp;Config!D16</f>
        <v>Stephens, Melvin</v>
      </c>
      <c r="D18" s="66">
        <v>2.5</v>
      </c>
      <c r="E18" s="115">
        <f t="shared" si="0"/>
        <v>2.5</v>
      </c>
    </row>
    <row r="19" spans="2:5" ht="18" customHeight="1" thickBot="1" x14ac:dyDescent="0.25">
      <c r="B19" s="120">
        <v>13</v>
      </c>
      <c r="C19" s="112" t="str">
        <f>Config!C17&amp;", "&amp;Config!D17</f>
        <v>Cremer, Marvin</v>
      </c>
      <c r="D19" s="66">
        <v>5</v>
      </c>
      <c r="E19" s="115">
        <f t="shared" si="0"/>
        <v>5</v>
      </c>
    </row>
    <row r="20" spans="2:5" ht="18" customHeight="1" thickBot="1" x14ac:dyDescent="0.25">
      <c r="B20" s="120">
        <v>14</v>
      </c>
      <c r="C20" s="112" t="str">
        <f>Config!C18&amp;", "&amp;Config!D18</f>
        <v>Nash, Jean</v>
      </c>
      <c r="D20" s="66">
        <v>5</v>
      </c>
      <c r="E20" s="115">
        <f t="shared" si="0"/>
        <v>5</v>
      </c>
    </row>
    <row r="21" spans="2:5" ht="18" customHeight="1" thickBot="1" x14ac:dyDescent="0.25">
      <c r="B21" s="120">
        <v>15</v>
      </c>
      <c r="C21" s="112" t="str">
        <f>Config!C19&amp;", "&amp;Config!D19</f>
        <v>Schön, Leonardo</v>
      </c>
      <c r="D21" s="66">
        <v>2.5</v>
      </c>
      <c r="E21" s="115">
        <f t="shared" si="0"/>
        <v>2.5</v>
      </c>
    </row>
    <row r="22" spans="2:5" ht="18" customHeight="1" thickBot="1" x14ac:dyDescent="0.25">
      <c r="B22" s="120">
        <v>16</v>
      </c>
      <c r="C22" s="112" t="str">
        <f>Config!C20&amp;", "&amp;Config!D20</f>
        <v>Sigl, Nicholas</v>
      </c>
      <c r="D22" s="66">
        <v>5</v>
      </c>
      <c r="E22" s="115">
        <f t="shared" si="0"/>
        <v>5</v>
      </c>
    </row>
    <row r="23" spans="2:5" ht="18" customHeight="1" thickBot="1" x14ac:dyDescent="0.25">
      <c r="B23" s="120">
        <v>17</v>
      </c>
      <c r="C23" s="112" t="str">
        <f>Config!C21&amp;", "&amp;Config!D21</f>
        <v>Kainz, Vivienne</v>
      </c>
      <c r="D23" s="66">
        <v>5</v>
      </c>
      <c r="E23" s="115">
        <f t="shared" si="0"/>
        <v>5</v>
      </c>
    </row>
    <row r="24" spans="2:5" ht="18" customHeight="1" thickBot="1" x14ac:dyDescent="0.25">
      <c r="B24" s="120">
        <v>18</v>
      </c>
      <c r="C24" s="112" t="str">
        <f>Config!C22&amp;", "&amp;Config!D22</f>
        <v>Hartmann, Mads</v>
      </c>
      <c r="D24" s="66">
        <v>2.5</v>
      </c>
      <c r="E24" s="115">
        <f t="shared" si="0"/>
        <v>2.5</v>
      </c>
    </row>
    <row r="25" spans="2:5" ht="18" customHeight="1" thickBot="1" x14ac:dyDescent="0.25">
      <c r="B25" s="120">
        <v>19</v>
      </c>
      <c r="C25" s="112" t="str">
        <f>Config!C23&amp;", "&amp;Config!D23</f>
        <v>Ullmann, Raphael</v>
      </c>
      <c r="D25" s="66">
        <v>5</v>
      </c>
      <c r="E25" s="115">
        <f t="shared" si="0"/>
        <v>5</v>
      </c>
    </row>
    <row r="26" spans="2:5" ht="18" customHeight="1" thickBot="1" x14ac:dyDescent="0.25">
      <c r="B26" s="120">
        <v>20</v>
      </c>
      <c r="C26" s="112" t="str">
        <f>Config!C24&amp;", "&amp;Config!D24</f>
        <v>Hartl, Emmely</v>
      </c>
      <c r="D26" s="66">
        <v>3</v>
      </c>
      <c r="E26" s="115">
        <f t="shared" si="0"/>
        <v>3</v>
      </c>
    </row>
    <row r="27" spans="2:5" ht="18" customHeight="1" thickBot="1" x14ac:dyDescent="0.25">
      <c r="B27" s="120">
        <v>21</v>
      </c>
      <c r="C27" s="112" t="str">
        <f>Config!C25&amp;", "&amp;Config!D25</f>
        <v>Klotz, Karin</v>
      </c>
      <c r="D27" s="66">
        <v>4</v>
      </c>
      <c r="E27" s="115">
        <f t="shared" si="0"/>
        <v>4</v>
      </c>
    </row>
    <row r="28" spans="2:5" ht="18" customHeight="1" thickBot="1" x14ac:dyDescent="0.25">
      <c r="B28" s="120">
        <v>22</v>
      </c>
      <c r="C28" s="112" t="str">
        <f>Config!C26&amp;", "&amp;Config!D26</f>
        <v>Ehlers, Ingo</v>
      </c>
      <c r="D28" s="66">
        <v>5</v>
      </c>
      <c r="E28" s="115">
        <f t="shared" si="0"/>
        <v>5</v>
      </c>
    </row>
    <row r="29" spans="2:5" ht="18" customHeight="1" thickBot="1" x14ac:dyDescent="0.25">
      <c r="B29" s="121">
        <v>23</v>
      </c>
      <c r="C29" s="118" t="str">
        <f>Config!C27&amp;", "&amp;Config!D27</f>
        <v>Lindemann, Mads</v>
      </c>
      <c r="D29" s="68">
        <v>5</v>
      </c>
      <c r="E29" s="113">
        <f t="shared" si="0"/>
        <v>5</v>
      </c>
    </row>
    <row r="30" spans="2:5" ht="18" customHeight="1" thickBot="1" x14ac:dyDescent="0.25">
      <c r="B30" s="122"/>
      <c r="C30" s="123"/>
      <c r="D30" s="123">
        <f>IF(COUNTIF(D7:D29,"&lt;&gt;")&lt;&gt;0,SUM(D7:D29)/(COUNTIF(D7:D29,"&lt;&gt;")*D6),0)</f>
        <v>0.74782608695652175</v>
      </c>
      <c r="E30" s="116"/>
    </row>
    <row r="31" spans="2:5" ht="18" customHeight="1" x14ac:dyDescent="0.2"/>
    <row r="32" spans="2:5"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1">
    <dataValidation type="decimal" allowBlank="1" showErrorMessage="1" sqref="D7:D29" xr:uid="{C07DC7AE-D319-41A7-9AE6-CD55DA0EDF91}">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2C029-9AD9-428B-8A78-F2E548FFAD51}">
  <sheetPr codeName="Tabelle186">
    <tabColor rgb="FF92D050"/>
  </sheetPr>
  <dimension ref="B1:I100"/>
  <sheetViews>
    <sheetView workbookViewId="0">
      <selection activeCell="D7" sqref="D7"/>
    </sheetView>
  </sheetViews>
  <sheetFormatPr baseColWidth="10" defaultRowHeight="12.75" x14ac:dyDescent="0.2"/>
  <cols>
    <col min="1" max="2" width="3.42578125" style="95" customWidth="1"/>
    <col min="3" max="3" width="25.7109375" style="95" customWidth="1"/>
    <col min="4" max="9" width="8.7109375" style="95" customWidth="1"/>
    <col min="10" max="16384" width="11.42578125" style="95"/>
  </cols>
  <sheetData>
    <row r="1" spans="2:9" ht="18" customHeight="1" thickBot="1" x14ac:dyDescent="0.25"/>
    <row r="2" spans="2:9" ht="18" customHeight="1" x14ac:dyDescent="0.2">
      <c r="B2" s="96" t="str">
        <f>Config!F2&amp;" "&amp;YEAR(Config!G27)</f>
        <v>Mathe Abitur 2026</v>
      </c>
      <c r="C2" s="97"/>
      <c r="D2" s="97"/>
      <c r="E2" s="97"/>
      <c r="F2" s="98"/>
      <c r="G2" s="98"/>
      <c r="H2" s="98"/>
      <c r="I2" s="99" t="str">
        <f>"Kurs "&amp;Config!G29</f>
        <v>Kurs K1</v>
      </c>
    </row>
    <row r="3" spans="2:9" ht="18" customHeight="1" x14ac:dyDescent="0.2">
      <c r="B3" s="100" t="s">
        <v>12</v>
      </c>
      <c r="C3" s="101"/>
      <c r="D3" s="101"/>
      <c r="E3" s="101"/>
      <c r="F3" s="101"/>
      <c r="G3" s="101"/>
      <c r="H3" s="101"/>
      <c r="I3" s="102"/>
    </row>
    <row r="4" spans="2:9" ht="18" customHeight="1" thickBot="1" x14ac:dyDescent="0.25">
      <c r="B4" s="100"/>
      <c r="C4" s="101"/>
      <c r="D4" s="103"/>
      <c r="E4" s="103"/>
      <c r="F4" s="103"/>
      <c r="G4" s="103"/>
      <c r="H4" s="103"/>
      <c r="I4" s="104"/>
    </row>
    <row r="5" spans="2:9" ht="18" customHeight="1" thickBot="1" x14ac:dyDescent="0.25">
      <c r="B5" s="105"/>
      <c r="C5" s="107"/>
      <c r="D5" s="124" t="str">
        <f>Config!L6</f>
        <v>1a</v>
      </c>
      <c r="E5" s="124" t="str">
        <f>Config!L7</f>
        <v>1b</v>
      </c>
      <c r="F5" s="124" t="str">
        <f>Config!L8</f>
        <v>1c</v>
      </c>
      <c r="G5" s="124" t="str">
        <f>Config!L9</f>
        <v>1d</v>
      </c>
      <c r="H5" s="124" t="str">
        <f>Config!L10</f>
        <v>2</v>
      </c>
      <c r="I5" s="111" t="s">
        <v>82</v>
      </c>
    </row>
    <row r="6" spans="2:9" ht="18" customHeight="1" thickBot="1" x14ac:dyDescent="0.25">
      <c r="B6" s="106"/>
      <c r="C6" s="108" t="s">
        <v>81</v>
      </c>
      <c r="D6" s="110">
        <f>Config!M6</f>
        <v>2</v>
      </c>
      <c r="E6" s="110">
        <f>Config!M7</f>
        <v>2</v>
      </c>
      <c r="F6" s="110">
        <f>Config!M8</f>
        <v>2</v>
      </c>
      <c r="G6" s="110">
        <f>Config!M9</f>
        <v>4</v>
      </c>
      <c r="H6" s="110">
        <f>Config!M10</f>
        <v>7</v>
      </c>
      <c r="I6" s="125">
        <f>Config!M21</f>
        <v>17</v>
      </c>
    </row>
    <row r="7" spans="2:9" ht="18" customHeight="1" thickBot="1" x14ac:dyDescent="0.25">
      <c r="B7" s="119">
        <v>1</v>
      </c>
      <c r="C7" s="117" t="str">
        <f>Config!C5&amp;", "&amp;Config!D5</f>
        <v>Höfer, Simon</v>
      </c>
      <c r="D7" s="64">
        <v>2</v>
      </c>
      <c r="E7" s="64">
        <v>2</v>
      </c>
      <c r="F7" s="64">
        <v>2</v>
      </c>
      <c r="G7" s="64">
        <v>4</v>
      </c>
      <c r="H7" s="65">
        <v>3</v>
      </c>
      <c r="I7" s="115">
        <f t="shared" ref="I7:I29" si="0">SUM(D7:H7)</f>
        <v>13</v>
      </c>
    </row>
    <row r="8" spans="2:9" ht="18" customHeight="1" thickBot="1" x14ac:dyDescent="0.25">
      <c r="B8" s="120">
        <v>2</v>
      </c>
      <c r="C8" s="112" t="str">
        <f>Config!C6&amp;", "&amp;Config!D6</f>
        <v>Töpfer, Lilian</v>
      </c>
      <c r="D8" s="63">
        <v>1</v>
      </c>
      <c r="E8" s="63">
        <v>2</v>
      </c>
      <c r="F8" s="63">
        <v>1</v>
      </c>
      <c r="G8" s="63">
        <v>2</v>
      </c>
      <c r="H8" s="66">
        <v>1</v>
      </c>
      <c r="I8" s="115">
        <f t="shared" si="0"/>
        <v>7</v>
      </c>
    </row>
    <row r="9" spans="2:9" ht="18" customHeight="1" thickBot="1" x14ac:dyDescent="0.25">
      <c r="B9" s="120">
        <v>3</v>
      </c>
      <c r="C9" s="112" t="str">
        <f>Config!C7&amp;", "&amp;Config!D7</f>
        <v>Fleischmann, Leonie</v>
      </c>
      <c r="D9" s="63">
        <v>2</v>
      </c>
      <c r="E9" s="63">
        <v>2</v>
      </c>
      <c r="F9" s="63">
        <v>1</v>
      </c>
      <c r="G9" s="63">
        <v>3</v>
      </c>
      <c r="H9" s="66">
        <v>0</v>
      </c>
      <c r="I9" s="115">
        <f t="shared" si="0"/>
        <v>8</v>
      </c>
    </row>
    <row r="10" spans="2:9" ht="18" customHeight="1" thickBot="1" x14ac:dyDescent="0.25">
      <c r="B10" s="120">
        <v>4</v>
      </c>
      <c r="C10" s="112" t="str">
        <f>Config!C8&amp;", "&amp;Config!D8</f>
        <v>Drescher, Cedric</v>
      </c>
      <c r="D10" s="63">
        <v>2</v>
      </c>
      <c r="E10" s="63">
        <v>2</v>
      </c>
      <c r="F10" s="63">
        <v>1</v>
      </c>
      <c r="G10" s="63">
        <v>4</v>
      </c>
      <c r="H10" s="66">
        <v>0</v>
      </c>
      <c r="I10" s="115">
        <f t="shared" si="0"/>
        <v>9</v>
      </c>
    </row>
    <row r="11" spans="2:9" ht="18" customHeight="1" thickBot="1" x14ac:dyDescent="0.25">
      <c r="B11" s="120">
        <v>5</v>
      </c>
      <c r="C11" s="112" t="str">
        <f>Config!C9&amp;", "&amp;Config!D9</f>
        <v>Baumgarten, Annabell</v>
      </c>
      <c r="D11" s="63">
        <v>1</v>
      </c>
      <c r="E11" s="63">
        <v>1</v>
      </c>
      <c r="F11" s="63">
        <v>1</v>
      </c>
      <c r="G11" s="63">
        <v>1.5</v>
      </c>
      <c r="H11" s="66">
        <v>0</v>
      </c>
      <c r="I11" s="115">
        <f t="shared" si="0"/>
        <v>4.5</v>
      </c>
    </row>
    <row r="12" spans="2:9" ht="18" customHeight="1" thickBot="1" x14ac:dyDescent="0.25">
      <c r="B12" s="120">
        <v>6</v>
      </c>
      <c r="C12" s="112" t="str">
        <f>Config!C10&amp;", "&amp;Config!D10</f>
        <v>Traut, Stefanie</v>
      </c>
      <c r="D12" s="63">
        <v>2</v>
      </c>
      <c r="E12" s="63">
        <v>0.5</v>
      </c>
      <c r="F12" s="63">
        <v>1</v>
      </c>
      <c r="G12" s="63">
        <v>4</v>
      </c>
      <c r="H12" s="66">
        <v>3</v>
      </c>
      <c r="I12" s="115">
        <f t="shared" si="0"/>
        <v>10.5</v>
      </c>
    </row>
    <row r="13" spans="2:9" ht="18" customHeight="1" thickBot="1" x14ac:dyDescent="0.25">
      <c r="B13" s="120">
        <v>7</v>
      </c>
      <c r="C13" s="112" t="str">
        <f>Config!C11&amp;", "&amp;Config!D11</f>
        <v>Menke, Damian</v>
      </c>
      <c r="D13" s="63">
        <v>2</v>
      </c>
      <c r="E13" s="63">
        <v>2</v>
      </c>
      <c r="F13" s="63">
        <v>2</v>
      </c>
      <c r="G13" s="63">
        <v>2.5</v>
      </c>
      <c r="H13" s="66">
        <v>0</v>
      </c>
      <c r="I13" s="115">
        <f t="shared" si="0"/>
        <v>8.5</v>
      </c>
    </row>
    <row r="14" spans="2:9" ht="18" customHeight="1" thickBot="1" x14ac:dyDescent="0.25">
      <c r="B14" s="120">
        <v>8</v>
      </c>
      <c r="C14" s="112" t="str">
        <f>Config!C12&amp;", "&amp;Config!D12</f>
        <v>Carroll, Meik</v>
      </c>
      <c r="D14" s="63">
        <v>2</v>
      </c>
      <c r="E14" s="63">
        <v>2</v>
      </c>
      <c r="F14" s="63">
        <v>2</v>
      </c>
      <c r="G14" s="63">
        <v>2</v>
      </c>
      <c r="H14" s="66">
        <v>0.5</v>
      </c>
      <c r="I14" s="115">
        <f t="shared" si="0"/>
        <v>8.5</v>
      </c>
    </row>
    <row r="15" spans="2:9" ht="18" customHeight="1" thickBot="1" x14ac:dyDescent="0.25">
      <c r="B15" s="120">
        <v>9</v>
      </c>
      <c r="C15" s="112" t="str">
        <f>Config!C13&amp;", "&amp;Config!D13</f>
        <v>Hennings, Tomas</v>
      </c>
      <c r="D15" s="63">
        <v>2</v>
      </c>
      <c r="E15" s="63">
        <v>2</v>
      </c>
      <c r="F15" s="63">
        <v>2</v>
      </c>
      <c r="G15" s="63">
        <v>4</v>
      </c>
      <c r="H15" s="66">
        <v>3</v>
      </c>
      <c r="I15" s="115">
        <f t="shared" si="0"/>
        <v>13</v>
      </c>
    </row>
    <row r="16" spans="2:9" ht="18" customHeight="1" thickBot="1" x14ac:dyDescent="0.25">
      <c r="B16" s="120">
        <v>10</v>
      </c>
      <c r="C16" s="112" t="str">
        <f>Config!C14&amp;", "&amp;Config!D14</f>
        <v>Walters, Linn</v>
      </c>
      <c r="D16" s="63">
        <v>2</v>
      </c>
      <c r="E16" s="63">
        <v>2</v>
      </c>
      <c r="F16" s="63">
        <v>2</v>
      </c>
      <c r="G16" s="63">
        <v>2</v>
      </c>
      <c r="H16" s="66">
        <v>0</v>
      </c>
      <c r="I16" s="115">
        <f t="shared" si="0"/>
        <v>8</v>
      </c>
    </row>
    <row r="17" spans="2:9" ht="18" customHeight="1" thickBot="1" x14ac:dyDescent="0.25">
      <c r="B17" s="120">
        <v>11</v>
      </c>
      <c r="C17" s="112" t="str">
        <f>Config!C15&amp;", "&amp;Config!D15</f>
        <v>Junker, Amely</v>
      </c>
      <c r="D17" s="63">
        <v>1</v>
      </c>
      <c r="E17" s="63">
        <v>0</v>
      </c>
      <c r="F17" s="63">
        <v>2</v>
      </c>
      <c r="G17" s="63">
        <v>1.5</v>
      </c>
      <c r="H17" s="66">
        <v>2</v>
      </c>
      <c r="I17" s="115">
        <f t="shared" si="0"/>
        <v>6.5</v>
      </c>
    </row>
    <row r="18" spans="2:9" ht="18" customHeight="1" thickBot="1" x14ac:dyDescent="0.25">
      <c r="B18" s="120">
        <v>12</v>
      </c>
      <c r="C18" s="112" t="str">
        <f>Config!C16&amp;", "&amp;Config!D16</f>
        <v>Stephens, Melvin</v>
      </c>
      <c r="D18" s="63">
        <v>2</v>
      </c>
      <c r="E18" s="63">
        <v>2</v>
      </c>
      <c r="F18" s="63">
        <v>1</v>
      </c>
      <c r="G18" s="63">
        <v>0.5</v>
      </c>
      <c r="H18" s="66">
        <v>0</v>
      </c>
      <c r="I18" s="115">
        <f t="shared" si="0"/>
        <v>5.5</v>
      </c>
    </row>
    <row r="19" spans="2:9" ht="18" customHeight="1" thickBot="1" x14ac:dyDescent="0.25">
      <c r="B19" s="120">
        <v>13</v>
      </c>
      <c r="C19" s="112" t="str">
        <f>Config!C17&amp;", "&amp;Config!D17</f>
        <v>Cremer, Marvin</v>
      </c>
      <c r="D19" s="63">
        <v>2</v>
      </c>
      <c r="E19" s="63">
        <v>0</v>
      </c>
      <c r="F19" s="63">
        <v>1.5</v>
      </c>
      <c r="G19" s="63">
        <v>0</v>
      </c>
      <c r="H19" s="66">
        <v>2</v>
      </c>
      <c r="I19" s="115">
        <f t="shared" si="0"/>
        <v>5.5</v>
      </c>
    </row>
    <row r="20" spans="2:9" ht="18" customHeight="1" thickBot="1" x14ac:dyDescent="0.25">
      <c r="B20" s="120">
        <v>14</v>
      </c>
      <c r="C20" s="112" t="str">
        <f>Config!C18&amp;", "&amp;Config!D18</f>
        <v>Nash, Jean</v>
      </c>
      <c r="D20" s="63">
        <v>2</v>
      </c>
      <c r="E20" s="63">
        <v>0</v>
      </c>
      <c r="F20" s="63">
        <v>1</v>
      </c>
      <c r="G20" s="63">
        <v>2</v>
      </c>
      <c r="H20" s="66">
        <v>3</v>
      </c>
      <c r="I20" s="115">
        <f t="shared" si="0"/>
        <v>8</v>
      </c>
    </row>
    <row r="21" spans="2:9" ht="18" customHeight="1" thickBot="1" x14ac:dyDescent="0.25">
      <c r="B21" s="120">
        <v>15</v>
      </c>
      <c r="C21" s="112" t="str">
        <f>Config!C19&amp;", "&amp;Config!D19</f>
        <v>Schön, Leonardo</v>
      </c>
      <c r="D21" s="63">
        <v>2</v>
      </c>
      <c r="E21" s="63">
        <v>0.5</v>
      </c>
      <c r="F21" s="63">
        <v>1.5</v>
      </c>
      <c r="G21" s="63">
        <v>3</v>
      </c>
      <c r="H21" s="66">
        <v>1</v>
      </c>
      <c r="I21" s="115">
        <f t="shared" si="0"/>
        <v>8</v>
      </c>
    </row>
    <row r="22" spans="2:9" ht="18" customHeight="1" thickBot="1" x14ac:dyDescent="0.25">
      <c r="B22" s="120">
        <v>16</v>
      </c>
      <c r="C22" s="112" t="str">
        <f>Config!C20&amp;", "&amp;Config!D20</f>
        <v>Sigl, Nicholas</v>
      </c>
      <c r="D22" s="63">
        <v>0</v>
      </c>
      <c r="E22" s="63">
        <v>0</v>
      </c>
      <c r="F22" s="63">
        <v>0</v>
      </c>
      <c r="G22" s="63">
        <v>0</v>
      </c>
      <c r="H22" s="66">
        <v>0</v>
      </c>
      <c r="I22" s="115">
        <f t="shared" si="0"/>
        <v>0</v>
      </c>
    </row>
    <row r="23" spans="2:9" ht="18" customHeight="1" thickBot="1" x14ac:dyDescent="0.25">
      <c r="B23" s="120">
        <v>17</v>
      </c>
      <c r="C23" s="112" t="str">
        <f>Config!C21&amp;", "&amp;Config!D21</f>
        <v>Kainz, Vivienne</v>
      </c>
      <c r="D23" s="63">
        <v>1</v>
      </c>
      <c r="E23" s="63">
        <v>1</v>
      </c>
      <c r="F23" s="63">
        <v>1.5</v>
      </c>
      <c r="G23" s="63">
        <v>1</v>
      </c>
      <c r="H23" s="66">
        <v>3</v>
      </c>
      <c r="I23" s="115">
        <f t="shared" si="0"/>
        <v>7.5</v>
      </c>
    </row>
    <row r="24" spans="2:9" ht="18" customHeight="1" thickBot="1" x14ac:dyDescent="0.25">
      <c r="B24" s="120">
        <v>18</v>
      </c>
      <c r="C24" s="112" t="str">
        <f>Config!C22&amp;", "&amp;Config!D22</f>
        <v>Hartmann, Mads</v>
      </c>
      <c r="D24" s="63">
        <v>2</v>
      </c>
      <c r="E24" s="63">
        <v>2</v>
      </c>
      <c r="F24" s="63">
        <v>1</v>
      </c>
      <c r="G24" s="63">
        <v>2</v>
      </c>
      <c r="H24" s="66">
        <v>0</v>
      </c>
      <c r="I24" s="115">
        <f t="shared" si="0"/>
        <v>7</v>
      </c>
    </row>
    <row r="25" spans="2:9" ht="18" customHeight="1" thickBot="1" x14ac:dyDescent="0.25">
      <c r="B25" s="120">
        <v>19</v>
      </c>
      <c r="C25" s="112" t="str">
        <f>Config!C23&amp;", "&amp;Config!D23</f>
        <v>Ullmann, Raphael</v>
      </c>
      <c r="D25" s="63">
        <v>2</v>
      </c>
      <c r="E25" s="63">
        <v>0.5</v>
      </c>
      <c r="F25" s="63">
        <v>1.5</v>
      </c>
      <c r="G25" s="63">
        <v>2</v>
      </c>
      <c r="H25" s="66">
        <v>1</v>
      </c>
      <c r="I25" s="115">
        <f t="shared" si="0"/>
        <v>7</v>
      </c>
    </row>
    <row r="26" spans="2:9" ht="18" customHeight="1" thickBot="1" x14ac:dyDescent="0.25">
      <c r="B26" s="120">
        <v>20</v>
      </c>
      <c r="C26" s="112" t="str">
        <f>Config!C24&amp;", "&amp;Config!D24</f>
        <v>Hartl, Emmely</v>
      </c>
      <c r="D26" s="63">
        <v>2</v>
      </c>
      <c r="E26" s="63">
        <v>0.5</v>
      </c>
      <c r="F26" s="63">
        <v>2</v>
      </c>
      <c r="G26" s="63">
        <v>0</v>
      </c>
      <c r="H26" s="66">
        <v>0</v>
      </c>
      <c r="I26" s="115">
        <f t="shared" si="0"/>
        <v>4.5</v>
      </c>
    </row>
    <row r="27" spans="2:9" ht="18" customHeight="1" thickBot="1" x14ac:dyDescent="0.25">
      <c r="B27" s="120">
        <v>21</v>
      </c>
      <c r="C27" s="112" t="str">
        <f>Config!C25&amp;", "&amp;Config!D25</f>
        <v>Klotz, Karin</v>
      </c>
      <c r="D27" s="63">
        <v>1</v>
      </c>
      <c r="E27" s="63">
        <v>2</v>
      </c>
      <c r="F27" s="63">
        <v>1</v>
      </c>
      <c r="G27" s="63">
        <v>2</v>
      </c>
      <c r="H27" s="66">
        <v>0</v>
      </c>
      <c r="I27" s="115">
        <f t="shared" si="0"/>
        <v>6</v>
      </c>
    </row>
    <row r="28" spans="2:9" ht="18" customHeight="1" thickBot="1" x14ac:dyDescent="0.25">
      <c r="B28" s="120">
        <v>22</v>
      </c>
      <c r="C28" s="112" t="str">
        <f>Config!C26&amp;", "&amp;Config!D26</f>
        <v>Ehlers, Ingo</v>
      </c>
      <c r="D28" s="63">
        <v>2</v>
      </c>
      <c r="E28" s="63">
        <v>0</v>
      </c>
      <c r="F28" s="63">
        <v>2</v>
      </c>
      <c r="G28" s="63">
        <v>1.5</v>
      </c>
      <c r="H28" s="66">
        <v>0</v>
      </c>
      <c r="I28" s="115">
        <f t="shared" si="0"/>
        <v>5.5</v>
      </c>
    </row>
    <row r="29" spans="2:9" ht="18" customHeight="1" thickBot="1" x14ac:dyDescent="0.25">
      <c r="B29" s="121">
        <v>23</v>
      </c>
      <c r="C29" s="118" t="str">
        <f>Config!C27&amp;", "&amp;Config!D27</f>
        <v>Lindemann, Mads</v>
      </c>
      <c r="D29" s="67">
        <v>2</v>
      </c>
      <c r="E29" s="67">
        <v>2</v>
      </c>
      <c r="F29" s="67">
        <v>2</v>
      </c>
      <c r="G29" s="67">
        <v>4</v>
      </c>
      <c r="H29" s="68">
        <v>0</v>
      </c>
      <c r="I29" s="113">
        <f t="shared" si="0"/>
        <v>10</v>
      </c>
    </row>
    <row r="30" spans="2:9" ht="18" customHeight="1" thickBot="1" x14ac:dyDescent="0.25">
      <c r="B30" s="122"/>
      <c r="C30" s="123"/>
      <c r="D30" s="123">
        <f>IF(COUNTIF(D7:D29,"&lt;&gt;")&lt;&gt;0,SUM(D7:D29)/(COUNTIF(D7:D29,"&lt;&gt;")*D6),0)</f>
        <v>0.84782608695652173</v>
      </c>
      <c r="E30" s="123">
        <f>IF(COUNTIF(E7:E29,"&lt;&gt;")&lt;&gt;0,SUM(E7:E29)/(COUNTIF(E7:E29,"&lt;&gt;")*E6),0)</f>
        <v>0.60869565217391308</v>
      </c>
      <c r="F30" s="123">
        <f>IF(COUNTIF(F7:F29,"&lt;&gt;")&lt;&gt;0,SUM(F7:F29)/(COUNTIF(F7:F29,"&lt;&gt;")*F6),0)</f>
        <v>0.71739130434782605</v>
      </c>
      <c r="G30" s="123">
        <f>IF(COUNTIF(G7:G29,"&lt;&gt;")&lt;&gt;0,SUM(G7:G29)/(COUNTIF(G7:G29,"&lt;&gt;")*G6),0)</f>
        <v>0.52717391304347827</v>
      </c>
      <c r="H30" s="123">
        <f>IF(COUNTIF(H7:H29,"&lt;&gt;")&lt;&gt;0,SUM(H7:H29)/(COUNTIF(H7:H29,"&lt;&gt;")*H6),0)</f>
        <v>0.13975155279503104</v>
      </c>
      <c r="I30" s="116"/>
    </row>
    <row r="31" spans="2:9" ht="18" customHeight="1" x14ac:dyDescent="0.2"/>
    <row r="32" spans="2:9"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5">
    <dataValidation type="decimal" allowBlank="1" showErrorMessage="1" sqref="D7:D29" xr:uid="{ACBF7EBD-7818-4B70-A5D7-35ECEA804FC0}">
      <formula1>0</formula1>
      <formula2>$D$6</formula2>
    </dataValidation>
    <dataValidation type="decimal" allowBlank="1" showErrorMessage="1" sqref="E7:E29" xr:uid="{E8272A1B-A986-4546-A682-61D30A51A446}">
      <formula1>0</formula1>
      <formula2>$E$6</formula2>
    </dataValidation>
    <dataValidation type="decimal" allowBlank="1" showErrorMessage="1" sqref="F7:F29" xr:uid="{055F9EA8-3F80-475B-BD72-E10C97C9B9C5}">
      <formula1>0</formula1>
      <formula2>$F$6</formula2>
    </dataValidation>
    <dataValidation type="decimal" allowBlank="1" showErrorMessage="1" sqref="G7:G29" xr:uid="{55FCC126-FE00-472A-AF05-037FEF183371}">
      <formula1>0</formula1>
      <formula2>$G$6</formula2>
    </dataValidation>
    <dataValidation type="decimal" allowBlank="1" showErrorMessage="1" sqref="H7:H29" xr:uid="{061470F9-28F3-45F6-AA65-40DDDEE13AE5}">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C70D1-2E25-4E67-82F5-D58377086CE4}">
  <sheetPr codeName="Tabelle187">
    <tabColor rgb="FF92D050"/>
  </sheetPr>
  <dimension ref="B1:F100"/>
  <sheetViews>
    <sheetView workbookViewId="0">
      <selection activeCell="D7" sqref="D7"/>
    </sheetView>
  </sheetViews>
  <sheetFormatPr baseColWidth="10" defaultRowHeight="12.75" x14ac:dyDescent="0.2"/>
  <cols>
    <col min="1" max="2" width="3.42578125" style="95" customWidth="1"/>
    <col min="3" max="3" width="25.7109375" style="95" customWidth="1"/>
    <col min="4" max="6" width="8.7109375" style="95" customWidth="1"/>
    <col min="7" max="16384" width="11.42578125" style="95"/>
  </cols>
  <sheetData>
    <row r="1" spans="2:6" ht="18" customHeight="1" thickBot="1" x14ac:dyDescent="0.25"/>
    <row r="2" spans="2:6" ht="18" customHeight="1" x14ac:dyDescent="0.2">
      <c r="B2" s="96" t="str">
        <f>Config!F2&amp;" "&amp;YEAR(Config!G27)</f>
        <v>Mathe Abitur 2026</v>
      </c>
      <c r="C2" s="97"/>
      <c r="D2" s="97"/>
      <c r="E2" s="98"/>
      <c r="F2" s="99" t="str">
        <f>"Kurs "&amp;Config!G29</f>
        <v>Kurs K1</v>
      </c>
    </row>
    <row r="3" spans="2:6" ht="18" customHeight="1" x14ac:dyDescent="0.2">
      <c r="B3" s="100" t="s">
        <v>13</v>
      </c>
      <c r="C3" s="101"/>
      <c r="D3" s="101"/>
      <c r="E3" s="101"/>
      <c r="F3" s="102"/>
    </row>
    <row r="4" spans="2:6" ht="18" customHeight="1" thickBot="1" x14ac:dyDescent="0.25">
      <c r="B4" s="100"/>
      <c r="C4" s="101"/>
      <c r="D4" s="103"/>
      <c r="E4" s="103"/>
      <c r="F4" s="104"/>
    </row>
    <row r="5" spans="2:6" ht="18" customHeight="1" thickBot="1" x14ac:dyDescent="0.25">
      <c r="B5" s="105"/>
      <c r="C5" s="107"/>
      <c r="D5" s="124" t="str">
        <f>Config!N6</f>
        <v>1a</v>
      </c>
      <c r="E5" s="124" t="str">
        <f>Config!N7</f>
        <v>1b</v>
      </c>
      <c r="F5" s="111" t="s">
        <v>82</v>
      </c>
    </row>
    <row r="6" spans="2:6" ht="18" customHeight="1" thickBot="1" x14ac:dyDescent="0.25">
      <c r="B6" s="106"/>
      <c r="C6" s="108" t="s">
        <v>81</v>
      </c>
      <c r="D6" s="110">
        <f>Config!O6</f>
        <v>2</v>
      </c>
      <c r="E6" s="110">
        <f>Config!O7</f>
        <v>3</v>
      </c>
      <c r="F6" s="125">
        <f>Config!O21</f>
        <v>5</v>
      </c>
    </row>
    <row r="7" spans="2:6" ht="18" customHeight="1" thickBot="1" x14ac:dyDescent="0.25">
      <c r="B7" s="119">
        <v>1</v>
      </c>
      <c r="C7" s="117" t="str">
        <f>Config!C5&amp;", "&amp;Config!D5</f>
        <v>Höfer, Simon</v>
      </c>
      <c r="D7" s="64">
        <v>0</v>
      </c>
      <c r="E7" s="65">
        <v>0</v>
      </c>
      <c r="F7" s="115">
        <f t="shared" ref="F7:F29" si="0">SUM(D7:E7)</f>
        <v>0</v>
      </c>
    </row>
    <row r="8" spans="2:6" ht="18" customHeight="1" thickBot="1" x14ac:dyDescent="0.25">
      <c r="B8" s="120">
        <v>2</v>
      </c>
      <c r="C8" s="112" t="str">
        <f>Config!C6&amp;", "&amp;Config!D6</f>
        <v>Töpfer, Lilian</v>
      </c>
      <c r="D8" s="63">
        <v>1.5</v>
      </c>
      <c r="E8" s="66">
        <v>2</v>
      </c>
      <c r="F8" s="115">
        <f t="shared" si="0"/>
        <v>3.5</v>
      </c>
    </row>
    <row r="9" spans="2:6" ht="18" customHeight="1" thickBot="1" x14ac:dyDescent="0.25">
      <c r="B9" s="120">
        <v>3</v>
      </c>
      <c r="C9" s="112" t="str">
        <f>Config!C7&amp;", "&amp;Config!D7</f>
        <v>Fleischmann, Leonie</v>
      </c>
      <c r="D9" s="63">
        <v>2</v>
      </c>
      <c r="E9" s="66">
        <v>2.5</v>
      </c>
      <c r="F9" s="115">
        <f t="shared" si="0"/>
        <v>4.5</v>
      </c>
    </row>
    <row r="10" spans="2:6" ht="18" customHeight="1" thickBot="1" x14ac:dyDescent="0.25">
      <c r="B10" s="120">
        <v>4</v>
      </c>
      <c r="C10" s="112" t="str">
        <f>Config!C8&amp;", "&amp;Config!D8</f>
        <v>Drescher, Cedric</v>
      </c>
      <c r="D10" s="63">
        <v>2</v>
      </c>
      <c r="E10" s="66">
        <v>1.5</v>
      </c>
      <c r="F10" s="115">
        <f t="shared" si="0"/>
        <v>3.5</v>
      </c>
    </row>
    <row r="11" spans="2:6" ht="18" customHeight="1" thickBot="1" x14ac:dyDescent="0.25">
      <c r="B11" s="120">
        <v>5</v>
      </c>
      <c r="C11" s="112" t="str">
        <f>Config!C9&amp;", "&amp;Config!D9</f>
        <v>Baumgarten, Annabell</v>
      </c>
      <c r="D11" s="63">
        <v>1.5</v>
      </c>
      <c r="E11" s="66">
        <v>2</v>
      </c>
      <c r="F11" s="115">
        <f t="shared" si="0"/>
        <v>3.5</v>
      </c>
    </row>
    <row r="12" spans="2:6" ht="18" customHeight="1" thickBot="1" x14ac:dyDescent="0.25">
      <c r="B12" s="120">
        <v>6</v>
      </c>
      <c r="C12" s="112" t="str">
        <f>Config!C10&amp;", "&amp;Config!D10</f>
        <v>Traut, Stefanie</v>
      </c>
      <c r="D12" s="63">
        <v>1.5</v>
      </c>
      <c r="E12" s="66">
        <v>3</v>
      </c>
      <c r="F12" s="115">
        <f t="shared" si="0"/>
        <v>4.5</v>
      </c>
    </row>
    <row r="13" spans="2:6" ht="18" customHeight="1" thickBot="1" x14ac:dyDescent="0.25">
      <c r="B13" s="120">
        <v>7</v>
      </c>
      <c r="C13" s="112" t="str">
        <f>Config!C11&amp;", "&amp;Config!D11</f>
        <v>Menke, Damian</v>
      </c>
      <c r="D13" s="63">
        <v>2</v>
      </c>
      <c r="E13" s="66">
        <v>2.5</v>
      </c>
      <c r="F13" s="115">
        <f t="shared" si="0"/>
        <v>4.5</v>
      </c>
    </row>
    <row r="14" spans="2:6" ht="18" customHeight="1" thickBot="1" x14ac:dyDescent="0.25">
      <c r="B14" s="120">
        <v>8</v>
      </c>
      <c r="C14" s="112" t="str">
        <f>Config!C12&amp;", "&amp;Config!D12</f>
        <v>Carroll, Meik</v>
      </c>
      <c r="D14" s="63">
        <v>2</v>
      </c>
      <c r="E14" s="66">
        <v>2</v>
      </c>
      <c r="F14" s="115">
        <f t="shared" si="0"/>
        <v>4</v>
      </c>
    </row>
    <row r="15" spans="2:6" ht="18" customHeight="1" thickBot="1" x14ac:dyDescent="0.25">
      <c r="B15" s="120">
        <v>9</v>
      </c>
      <c r="C15" s="112" t="str">
        <f>Config!C13&amp;", "&amp;Config!D13</f>
        <v>Hennings, Tomas</v>
      </c>
      <c r="D15" s="63">
        <v>1.5</v>
      </c>
      <c r="E15" s="66">
        <v>3</v>
      </c>
      <c r="F15" s="115">
        <f t="shared" si="0"/>
        <v>4.5</v>
      </c>
    </row>
    <row r="16" spans="2:6" ht="18" customHeight="1" thickBot="1" x14ac:dyDescent="0.25">
      <c r="B16" s="120">
        <v>10</v>
      </c>
      <c r="C16" s="112" t="str">
        <f>Config!C14&amp;", "&amp;Config!D14</f>
        <v>Walters, Linn</v>
      </c>
      <c r="D16" s="63">
        <v>1</v>
      </c>
      <c r="E16" s="66">
        <v>0</v>
      </c>
      <c r="F16" s="115">
        <f t="shared" si="0"/>
        <v>1</v>
      </c>
    </row>
    <row r="17" spans="2:6" ht="18" customHeight="1" thickBot="1" x14ac:dyDescent="0.25">
      <c r="B17" s="120">
        <v>11</v>
      </c>
      <c r="C17" s="112" t="str">
        <f>Config!C15&amp;", "&amp;Config!D15</f>
        <v>Junker, Amely</v>
      </c>
      <c r="D17" s="63">
        <v>2</v>
      </c>
      <c r="E17" s="66">
        <v>0</v>
      </c>
      <c r="F17" s="115">
        <f t="shared" si="0"/>
        <v>2</v>
      </c>
    </row>
    <row r="18" spans="2:6" ht="18" customHeight="1" thickBot="1" x14ac:dyDescent="0.25">
      <c r="B18" s="120">
        <v>12</v>
      </c>
      <c r="C18" s="112" t="str">
        <f>Config!C16&amp;", "&amp;Config!D16</f>
        <v>Stephens, Melvin</v>
      </c>
      <c r="D18" s="63">
        <v>0.5</v>
      </c>
      <c r="E18" s="66">
        <v>0</v>
      </c>
      <c r="F18" s="115">
        <f t="shared" si="0"/>
        <v>0.5</v>
      </c>
    </row>
    <row r="19" spans="2:6" ht="18" customHeight="1" thickBot="1" x14ac:dyDescent="0.25">
      <c r="B19" s="120">
        <v>13</v>
      </c>
      <c r="C19" s="112" t="str">
        <f>Config!C17&amp;", "&amp;Config!D17</f>
        <v>Cremer, Marvin</v>
      </c>
      <c r="D19" s="63">
        <v>1.5</v>
      </c>
      <c r="E19" s="66">
        <v>3</v>
      </c>
      <c r="F19" s="115">
        <f t="shared" si="0"/>
        <v>4.5</v>
      </c>
    </row>
    <row r="20" spans="2:6" ht="18" customHeight="1" thickBot="1" x14ac:dyDescent="0.25">
      <c r="B20" s="120">
        <v>14</v>
      </c>
      <c r="C20" s="112" t="str">
        <f>Config!C18&amp;", "&amp;Config!D18</f>
        <v>Nash, Jean</v>
      </c>
      <c r="D20" s="63">
        <v>2</v>
      </c>
      <c r="E20" s="66">
        <v>2</v>
      </c>
      <c r="F20" s="115">
        <f t="shared" si="0"/>
        <v>4</v>
      </c>
    </row>
    <row r="21" spans="2:6" ht="18" customHeight="1" thickBot="1" x14ac:dyDescent="0.25">
      <c r="B21" s="120">
        <v>15</v>
      </c>
      <c r="C21" s="112" t="str">
        <f>Config!C19&amp;", "&amp;Config!D19</f>
        <v>Schön, Leonardo</v>
      </c>
      <c r="D21" s="63">
        <v>2</v>
      </c>
      <c r="E21" s="66">
        <v>3</v>
      </c>
      <c r="F21" s="115">
        <f t="shared" si="0"/>
        <v>5</v>
      </c>
    </row>
    <row r="22" spans="2:6" ht="18" customHeight="1" thickBot="1" x14ac:dyDescent="0.25">
      <c r="B22" s="120">
        <v>16</v>
      </c>
      <c r="C22" s="112" t="str">
        <f>Config!C20&amp;", "&amp;Config!D20</f>
        <v>Sigl, Nicholas</v>
      </c>
      <c r="D22" s="63">
        <v>2</v>
      </c>
      <c r="E22" s="66">
        <v>2.5</v>
      </c>
      <c r="F22" s="115">
        <f t="shared" si="0"/>
        <v>4.5</v>
      </c>
    </row>
    <row r="23" spans="2:6" ht="18" customHeight="1" thickBot="1" x14ac:dyDescent="0.25">
      <c r="B23" s="120">
        <v>17</v>
      </c>
      <c r="C23" s="112" t="str">
        <f>Config!C21&amp;", "&amp;Config!D21</f>
        <v>Kainz, Vivienne</v>
      </c>
      <c r="D23" s="63">
        <v>2</v>
      </c>
      <c r="E23" s="66">
        <v>3</v>
      </c>
      <c r="F23" s="115">
        <f t="shared" si="0"/>
        <v>5</v>
      </c>
    </row>
    <row r="24" spans="2:6" ht="18" customHeight="1" thickBot="1" x14ac:dyDescent="0.25">
      <c r="B24" s="120">
        <v>18</v>
      </c>
      <c r="C24" s="112" t="str">
        <f>Config!C22&amp;", "&amp;Config!D22</f>
        <v>Hartmann, Mads</v>
      </c>
      <c r="D24" s="63">
        <v>1</v>
      </c>
      <c r="E24" s="66">
        <v>0</v>
      </c>
      <c r="F24" s="115">
        <f t="shared" si="0"/>
        <v>1</v>
      </c>
    </row>
    <row r="25" spans="2:6" ht="18" customHeight="1" thickBot="1" x14ac:dyDescent="0.25">
      <c r="B25" s="120">
        <v>19</v>
      </c>
      <c r="C25" s="112" t="str">
        <f>Config!C23&amp;", "&amp;Config!D23</f>
        <v>Ullmann, Raphael</v>
      </c>
      <c r="D25" s="63">
        <v>2</v>
      </c>
      <c r="E25" s="66">
        <v>0</v>
      </c>
      <c r="F25" s="115">
        <f t="shared" si="0"/>
        <v>2</v>
      </c>
    </row>
    <row r="26" spans="2:6" ht="18" customHeight="1" thickBot="1" x14ac:dyDescent="0.25">
      <c r="B26" s="120">
        <v>20</v>
      </c>
      <c r="C26" s="112" t="str">
        <f>Config!C24&amp;", "&amp;Config!D24</f>
        <v>Hartl, Emmely</v>
      </c>
      <c r="D26" s="63">
        <v>2</v>
      </c>
      <c r="E26" s="66">
        <v>0</v>
      </c>
      <c r="F26" s="115">
        <f t="shared" si="0"/>
        <v>2</v>
      </c>
    </row>
    <row r="27" spans="2:6" ht="18" customHeight="1" thickBot="1" x14ac:dyDescent="0.25">
      <c r="B27" s="120">
        <v>21</v>
      </c>
      <c r="C27" s="112" t="str">
        <f>Config!C25&amp;", "&amp;Config!D25</f>
        <v>Klotz, Karin</v>
      </c>
      <c r="D27" s="63">
        <v>2</v>
      </c>
      <c r="E27" s="66">
        <v>3</v>
      </c>
      <c r="F27" s="115">
        <f t="shared" si="0"/>
        <v>5</v>
      </c>
    </row>
    <row r="28" spans="2:6" ht="18" customHeight="1" thickBot="1" x14ac:dyDescent="0.25">
      <c r="B28" s="120">
        <v>22</v>
      </c>
      <c r="C28" s="112" t="str">
        <f>Config!C26&amp;", "&amp;Config!D26</f>
        <v>Ehlers, Ingo</v>
      </c>
      <c r="D28" s="63">
        <v>2</v>
      </c>
      <c r="E28" s="66">
        <v>3</v>
      </c>
      <c r="F28" s="115">
        <f t="shared" si="0"/>
        <v>5</v>
      </c>
    </row>
    <row r="29" spans="2:6" ht="18" customHeight="1" thickBot="1" x14ac:dyDescent="0.25">
      <c r="B29" s="121">
        <v>23</v>
      </c>
      <c r="C29" s="118" t="str">
        <f>Config!C27&amp;", "&amp;Config!D27</f>
        <v>Lindemann, Mads</v>
      </c>
      <c r="D29" s="67">
        <v>2</v>
      </c>
      <c r="E29" s="68">
        <v>1</v>
      </c>
      <c r="F29" s="113">
        <f t="shared" si="0"/>
        <v>3</v>
      </c>
    </row>
    <row r="30" spans="2:6" ht="18" customHeight="1" thickBot="1" x14ac:dyDescent="0.25">
      <c r="B30" s="122"/>
      <c r="C30" s="123"/>
      <c r="D30" s="123">
        <f>IF(COUNTIF(D7:D29,"&lt;&gt;")&lt;&gt;0,SUM(D7:D29)/(COUNTIF(D7:D29,"&lt;&gt;")*D6),0)</f>
        <v>0.82608695652173914</v>
      </c>
      <c r="E30" s="123">
        <f>IF(COUNTIF(E7:E29,"&lt;&gt;")&lt;&gt;0,SUM(E7:E29)/(COUNTIF(E7:E29,"&lt;&gt;")*E6),0)</f>
        <v>0.56521739130434778</v>
      </c>
      <c r="F30" s="116"/>
    </row>
    <row r="31" spans="2:6" ht="18" customHeight="1" x14ac:dyDescent="0.2"/>
    <row r="32" spans="2:6"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2">
    <dataValidation type="decimal" allowBlank="1" showErrorMessage="1" sqref="D7:D29" xr:uid="{1BBC8075-DFD7-4EFA-B722-F9A387851915}">
      <formula1>0</formula1>
      <formula2>$D$6</formula2>
    </dataValidation>
    <dataValidation type="decimal" allowBlank="1" showErrorMessage="1" sqref="E7:E29" xr:uid="{42EAA060-7E79-4CD8-BE78-44B4700C1EA7}">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4113C-2C27-485A-BDD7-C26588314430}">
  <sheetPr codeName="Tabelle188">
    <tabColor rgb="FF92D050"/>
  </sheetPr>
  <dimension ref="B1:I100"/>
  <sheetViews>
    <sheetView workbookViewId="0">
      <selection activeCell="D7" sqref="D7"/>
    </sheetView>
  </sheetViews>
  <sheetFormatPr baseColWidth="10" defaultRowHeight="12.75" x14ac:dyDescent="0.2"/>
  <cols>
    <col min="1" max="2" width="3.42578125" style="95" customWidth="1"/>
    <col min="3" max="3" width="25.7109375" style="95" customWidth="1"/>
    <col min="4" max="9" width="8.7109375" style="95" customWidth="1"/>
    <col min="10" max="16384" width="11.42578125" style="95"/>
  </cols>
  <sheetData>
    <row r="1" spans="2:9" ht="18" customHeight="1" thickBot="1" x14ac:dyDescent="0.25"/>
    <row r="2" spans="2:9" ht="18" customHeight="1" x14ac:dyDescent="0.2">
      <c r="B2" s="96" t="str">
        <f>Config!F2&amp;" "&amp;YEAR(Config!G27)</f>
        <v>Mathe Abitur 2026</v>
      </c>
      <c r="C2" s="97"/>
      <c r="D2" s="97"/>
      <c r="E2" s="97"/>
      <c r="F2" s="98"/>
      <c r="G2" s="98"/>
      <c r="H2" s="98"/>
      <c r="I2" s="99" t="str">
        <f>"Kurs "&amp;Config!G29</f>
        <v>Kurs K1</v>
      </c>
    </row>
    <row r="3" spans="2:9" ht="18" customHeight="1" x14ac:dyDescent="0.2">
      <c r="B3" s="100" t="s">
        <v>14</v>
      </c>
      <c r="C3" s="101"/>
      <c r="D3" s="101"/>
      <c r="E3" s="101"/>
      <c r="F3" s="101"/>
      <c r="G3" s="101"/>
      <c r="H3" s="101"/>
      <c r="I3" s="102"/>
    </row>
    <row r="4" spans="2:9" ht="18" customHeight="1" thickBot="1" x14ac:dyDescent="0.25">
      <c r="B4" s="100"/>
      <c r="C4" s="101"/>
      <c r="D4" s="103"/>
      <c r="E4" s="103"/>
      <c r="F4" s="103"/>
      <c r="G4" s="103"/>
      <c r="H4" s="103"/>
      <c r="I4" s="104"/>
    </row>
    <row r="5" spans="2:9" ht="18" customHeight="1" thickBot="1" x14ac:dyDescent="0.25">
      <c r="B5" s="105"/>
      <c r="C5" s="107"/>
      <c r="D5" s="124" t="str">
        <f>Config!P6</f>
        <v>1a</v>
      </c>
      <c r="E5" s="124" t="str">
        <f>Config!P7</f>
        <v>1b</v>
      </c>
      <c r="F5" s="124" t="str">
        <f>Config!P8</f>
        <v>1c</v>
      </c>
      <c r="G5" s="124" t="str">
        <f>Config!P9</f>
        <v>1d</v>
      </c>
      <c r="H5" s="124" t="str">
        <f>Config!P10</f>
        <v>1e</v>
      </c>
      <c r="I5" s="111" t="s">
        <v>82</v>
      </c>
    </row>
    <row r="6" spans="2:9" ht="18" customHeight="1" thickBot="1" x14ac:dyDescent="0.25">
      <c r="B6" s="106"/>
      <c r="C6" s="108" t="s">
        <v>81</v>
      </c>
      <c r="D6" s="110">
        <f>Config!Q6</f>
        <v>4</v>
      </c>
      <c r="E6" s="110">
        <f>Config!Q7</f>
        <v>3</v>
      </c>
      <c r="F6" s="110">
        <f>Config!Q8</f>
        <v>4</v>
      </c>
      <c r="G6" s="110">
        <f>Config!Q9</f>
        <v>3</v>
      </c>
      <c r="H6" s="110">
        <f>Config!Q10</f>
        <v>4</v>
      </c>
      <c r="I6" s="125">
        <f>Config!Q21</f>
        <v>18</v>
      </c>
    </row>
    <row r="7" spans="2:9" ht="18" customHeight="1" thickBot="1" x14ac:dyDescent="0.25">
      <c r="B7" s="119">
        <v>1</v>
      </c>
      <c r="C7" s="117" t="str">
        <f>Config!C5&amp;", "&amp;Config!D5</f>
        <v>Höfer, Simon</v>
      </c>
      <c r="D7" s="64">
        <v>4</v>
      </c>
      <c r="E7" s="64">
        <v>2</v>
      </c>
      <c r="F7" s="64">
        <v>2</v>
      </c>
      <c r="G7" s="64">
        <v>0.5</v>
      </c>
      <c r="H7" s="65">
        <v>0.5</v>
      </c>
      <c r="I7" s="115">
        <f t="shared" ref="I7:I29" si="0">SUM(D7:H7)</f>
        <v>9</v>
      </c>
    </row>
    <row r="8" spans="2:9" ht="18" customHeight="1" thickBot="1" x14ac:dyDescent="0.25">
      <c r="B8" s="120">
        <v>2</v>
      </c>
      <c r="C8" s="112" t="str">
        <f>Config!C6&amp;", "&amp;Config!D6</f>
        <v>Töpfer, Lilian</v>
      </c>
      <c r="D8" s="63">
        <v>4</v>
      </c>
      <c r="E8" s="63">
        <v>0</v>
      </c>
      <c r="F8" s="63">
        <v>2.5</v>
      </c>
      <c r="G8" s="63">
        <v>0.5</v>
      </c>
      <c r="H8" s="66">
        <v>2</v>
      </c>
      <c r="I8" s="115">
        <f t="shared" si="0"/>
        <v>9</v>
      </c>
    </row>
    <row r="9" spans="2:9" ht="18" customHeight="1" thickBot="1" x14ac:dyDescent="0.25">
      <c r="B9" s="120">
        <v>3</v>
      </c>
      <c r="C9" s="112" t="str">
        <f>Config!C7&amp;", "&amp;Config!D7</f>
        <v>Fleischmann, Leonie</v>
      </c>
      <c r="D9" s="63">
        <v>4</v>
      </c>
      <c r="E9" s="63">
        <v>2</v>
      </c>
      <c r="F9" s="63">
        <v>3</v>
      </c>
      <c r="G9" s="63">
        <v>2</v>
      </c>
      <c r="H9" s="66">
        <v>3</v>
      </c>
      <c r="I9" s="115">
        <f t="shared" si="0"/>
        <v>14</v>
      </c>
    </row>
    <row r="10" spans="2:9" ht="18" customHeight="1" thickBot="1" x14ac:dyDescent="0.25">
      <c r="B10" s="120">
        <v>4</v>
      </c>
      <c r="C10" s="112" t="str">
        <f>Config!C8&amp;", "&amp;Config!D8</f>
        <v>Drescher, Cedric</v>
      </c>
      <c r="D10" s="63">
        <v>4</v>
      </c>
      <c r="E10" s="63">
        <v>2</v>
      </c>
      <c r="F10" s="63">
        <v>3.5</v>
      </c>
      <c r="G10" s="63">
        <v>0</v>
      </c>
      <c r="H10" s="66">
        <v>4</v>
      </c>
      <c r="I10" s="115">
        <f t="shared" si="0"/>
        <v>13.5</v>
      </c>
    </row>
    <row r="11" spans="2:9" ht="18" customHeight="1" thickBot="1" x14ac:dyDescent="0.25">
      <c r="B11" s="120">
        <v>5</v>
      </c>
      <c r="C11" s="112" t="str">
        <f>Config!C9&amp;", "&amp;Config!D9</f>
        <v>Baumgarten, Annabell</v>
      </c>
      <c r="D11" s="63">
        <v>4</v>
      </c>
      <c r="E11" s="63">
        <v>2</v>
      </c>
      <c r="F11" s="63">
        <v>3</v>
      </c>
      <c r="G11" s="63">
        <v>0</v>
      </c>
      <c r="H11" s="66">
        <v>3</v>
      </c>
      <c r="I11" s="115">
        <f t="shared" si="0"/>
        <v>12</v>
      </c>
    </row>
    <row r="12" spans="2:9" ht="18" customHeight="1" thickBot="1" x14ac:dyDescent="0.25">
      <c r="B12" s="120">
        <v>6</v>
      </c>
      <c r="C12" s="112" t="str">
        <f>Config!C10&amp;", "&amp;Config!D10</f>
        <v>Traut, Stefanie</v>
      </c>
      <c r="D12" s="63">
        <v>4</v>
      </c>
      <c r="E12" s="63">
        <v>3</v>
      </c>
      <c r="F12" s="63">
        <v>4</v>
      </c>
      <c r="G12" s="63">
        <v>2</v>
      </c>
      <c r="H12" s="66">
        <v>4</v>
      </c>
      <c r="I12" s="115">
        <f t="shared" si="0"/>
        <v>17</v>
      </c>
    </row>
    <row r="13" spans="2:9" ht="18" customHeight="1" thickBot="1" x14ac:dyDescent="0.25">
      <c r="B13" s="120">
        <v>7</v>
      </c>
      <c r="C13" s="112" t="str">
        <f>Config!C11&amp;", "&amp;Config!D11</f>
        <v>Menke, Damian</v>
      </c>
      <c r="D13" s="63">
        <v>4</v>
      </c>
      <c r="E13" s="63">
        <v>3</v>
      </c>
      <c r="F13" s="63">
        <v>3.5</v>
      </c>
      <c r="G13" s="63">
        <v>0.5</v>
      </c>
      <c r="H13" s="66">
        <v>4</v>
      </c>
      <c r="I13" s="115">
        <f t="shared" si="0"/>
        <v>15</v>
      </c>
    </row>
    <row r="14" spans="2:9" ht="18" customHeight="1" thickBot="1" x14ac:dyDescent="0.25">
      <c r="B14" s="120">
        <v>8</v>
      </c>
      <c r="C14" s="112" t="str">
        <f>Config!C12&amp;", "&amp;Config!D12</f>
        <v>Carroll, Meik</v>
      </c>
      <c r="D14" s="63">
        <v>3.5</v>
      </c>
      <c r="E14" s="63">
        <v>2</v>
      </c>
      <c r="F14" s="63">
        <v>3.5</v>
      </c>
      <c r="G14" s="63">
        <v>2</v>
      </c>
      <c r="H14" s="66">
        <v>2</v>
      </c>
      <c r="I14" s="115">
        <f t="shared" si="0"/>
        <v>13</v>
      </c>
    </row>
    <row r="15" spans="2:9" ht="18" customHeight="1" thickBot="1" x14ac:dyDescent="0.25">
      <c r="B15" s="120">
        <v>9</v>
      </c>
      <c r="C15" s="112" t="str">
        <f>Config!C13&amp;", "&amp;Config!D13</f>
        <v>Hennings, Tomas</v>
      </c>
      <c r="D15" s="63">
        <v>2</v>
      </c>
      <c r="E15" s="63">
        <v>0</v>
      </c>
      <c r="F15" s="63">
        <v>1</v>
      </c>
      <c r="G15" s="63">
        <v>1</v>
      </c>
      <c r="H15" s="66">
        <v>0</v>
      </c>
      <c r="I15" s="115">
        <f t="shared" si="0"/>
        <v>4</v>
      </c>
    </row>
    <row r="16" spans="2:9" ht="18" customHeight="1" thickBot="1" x14ac:dyDescent="0.25">
      <c r="B16" s="120">
        <v>10</v>
      </c>
      <c r="C16" s="112" t="str">
        <f>Config!C14&amp;", "&amp;Config!D14</f>
        <v>Walters, Linn</v>
      </c>
      <c r="D16" s="63">
        <v>2.5</v>
      </c>
      <c r="E16" s="63">
        <v>1</v>
      </c>
      <c r="F16" s="63">
        <v>3</v>
      </c>
      <c r="G16" s="63">
        <v>2</v>
      </c>
      <c r="H16" s="66">
        <v>0</v>
      </c>
      <c r="I16" s="115">
        <f t="shared" si="0"/>
        <v>8.5</v>
      </c>
    </row>
    <row r="17" spans="2:9" ht="18" customHeight="1" thickBot="1" x14ac:dyDescent="0.25">
      <c r="B17" s="120">
        <v>11</v>
      </c>
      <c r="C17" s="112" t="str">
        <f>Config!C15&amp;", "&amp;Config!D15</f>
        <v>Junker, Amely</v>
      </c>
      <c r="D17" s="63">
        <v>4</v>
      </c>
      <c r="E17" s="63">
        <v>3</v>
      </c>
      <c r="F17" s="63">
        <v>2</v>
      </c>
      <c r="G17" s="63">
        <v>2</v>
      </c>
      <c r="H17" s="66">
        <v>2</v>
      </c>
      <c r="I17" s="115">
        <f t="shared" si="0"/>
        <v>13</v>
      </c>
    </row>
    <row r="18" spans="2:9" ht="18" customHeight="1" thickBot="1" x14ac:dyDescent="0.25">
      <c r="B18" s="120">
        <v>12</v>
      </c>
      <c r="C18" s="112" t="str">
        <f>Config!C16&amp;", "&amp;Config!D16</f>
        <v>Stephens, Melvin</v>
      </c>
      <c r="D18" s="63">
        <v>4</v>
      </c>
      <c r="E18" s="63">
        <v>2</v>
      </c>
      <c r="F18" s="63">
        <v>3</v>
      </c>
      <c r="G18" s="63">
        <v>2</v>
      </c>
      <c r="H18" s="66">
        <v>2</v>
      </c>
      <c r="I18" s="115">
        <f t="shared" si="0"/>
        <v>13</v>
      </c>
    </row>
    <row r="19" spans="2:9" ht="18" customHeight="1" thickBot="1" x14ac:dyDescent="0.25">
      <c r="B19" s="120">
        <v>13</v>
      </c>
      <c r="C19" s="112" t="str">
        <f>Config!C17&amp;", "&amp;Config!D17</f>
        <v>Cremer, Marvin</v>
      </c>
      <c r="D19" s="63">
        <v>3</v>
      </c>
      <c r="E19" s="63">
        <v>0</v>
      </c>
      <c r="F19" s="63">
        <v>0</v>
      </c>
      <c r="G19" s="63">
        <v>0</v>
      </c>
      <c r="H19" s="66">
        <v>0</v>
      </c>
      <c r="I19" s="115">
        <f t="shared" si="0"/>
        <v>3</v>
      </c>
    </row>
    <row r="20" spans="2:9" ht="18" customHeight="1" thickBot="1" x14ac:dyDescent="0.25">
      <c r="B20" s="120">
        <v>14</v>
      </c>
      <c r="C20" s="112" t="str">
        <f>Config!C18&amp;", "&amp;Config!D18</f>
        <v>Nash, Jean</v>
      </c>
      <c r="D20" s="63">
        <v>4</v>
      </c>
      <c r="E20" s="63">
        <v>3</v>
      </c>
      <c r="F20" s="63">
        <v>2</v>
      </c>
      <c r="G20" s="63">
        <v>2</v>
      </c>
      <c r="H20" s="66">
        <v>3.5</v>
      </c>
      <c r="I20" s="115">
        <f t="shared" si="0"/>
        <v>14.5</v>
      </c>
    </row>
    <row r="21" spans="2:9" ht="18" customHeight="1" thickBot="1" x14ac:dyDescent="0.25">
      <c r="B21" s="120">
        <v>15</v>
      </c>
      <c r="C21" s="112" t="str">
        <f>Config!C19&amp;", "&amp;Config!D19</f>
        <v>Schön, Leonardo</v>
      </c>
      <c r="D21" s="63">
        <v>4</v>
      </c>
      <c r="E21" s="63">
        <v>1</v>
      </c>
      <c r="F21" s="63">
        <v>1</v>
      </c>
      <c r="G21" s="63">
        <v>0.5</v>
      </c>
      <c r="H21" s="66">
        <v>0</v>
      </c>
      <c r="I21" s="115">
        <f t="shared" si="0"/>
        <v>6.5</v>
      </c>
    </row>
    <row r="22" spans="2:9" ht="18" customHeight="1" thickBot="1" x14ac:dyDescent="0.25">
      <c r="B22" s="120">
        <v>16</v>
      </c>
      <c r="C22" s="112" t="str">
        <f>Config!C20&amp;", "&amp;Config!D20</f>
        <v>Sigl, Nicholas</v>
      </c>
      <c r="D22" s="63">
        <v>4</v>
      </c>
      <c r="E22" s="63">
        <v>0.5</v>
      </c>
      <c r="F22" s="63">
        <v>1</v>
      </c>
      <c r="G22" s="63">
        <v>0.5</v>
      </c>
      <c r="H22" s="66">
        <v>0</v>
      </c>
      <c r="I22" s="115">
        <f t="shared" si="0"/>
        <v>6</v>
      </c>
    </row>
    <row r="23" spans="2:9" ht="18" customHeight="1" thickBot="1" x14ac:dyDescent="0.25">
      <c r="B23" s="120">
        <v>17</v>
      </c>
      <c r="C23" s="112" t="str">
        <f>Config!C21&amp;", "&amp;Config!D21</f>
        <v>Kainz, Vivienne</v>
      </c>
      <c r="D23" s="63">
        <v>2</v>
      </c>
      <c r="E23" s="63">
        <v>0</v>
      </c>
      <c r="F23" s="63">
        <v>1</v>
      </c>
      <c r="G23" s="63">
        <v>1.5</v>
      </c>
      <c r="H23" s="66">
        <v>0</v>
      </c>
      <c r="I23" s="115">
        <f t="shared" si="0"/>
        <v>4.5</v>
      </c>
    </row>
    <row r="24" spans="2:9" ht="18" customHeight="1" thickBot="1" x14ac:dyDescent="0.25">
      <c r="B24" s="120">
        <v>18</v>
      </c>
      <c r="C24" s="112" t="str">
        <f>Config!C22&amp;", "&amp;Config!D22</f>
        <v>Hartmann, Mads</v>
      </c>
      <c r="D24" s="63">
        <v>4</v>
      </c>
      <c r="E24" s="63">
        <v>3</v>
      </c>
      <c r="F24" s="63">
        <v>3</v>
      </c>
      <c r="G24" s="63">
        <v>0</v>
      </c>
      <c r="H24" s="66">
        <v>4</v>
      </c>
      <c r="I24" s="115">
        <f t="shared" si="0"/>
        <v>14</v>
      </c>
    </row>
    <row r="25" spans="2:9" ht="18" customHeight="1" thickBot="1" x14ac:dyDescent="0.25">
      <c r="B25" s="120">
        <v>19</v>
      </c>
      <c r="C25" s="112" t="str">
        <f>Config!C23&amp;", "&amp;Config!D23</f>
        <v>Ullmann, Raphael</v>
      </c>
      <c r="D25" s="63">
        <v>4</v>
      </c>
      <c r="E25" s="63">
        <v>1</v>
      </c>
      <c r="F25" s="63">
        <v>3</v>
      </c>
      <c r="G25" s="63">
        <v>2</v>
      </c>
      <c r="H25" s="66">
        <v>3.5</v>
      </c>
      <c r="I25" s="115">
        <f t="shared" si="0"/>
        <v>13.5</v>
      </c>
    </row>
    <row r="26" spans="2:9" ht="18" customHeight="1" thickBot="1" x14ac:dyDescent="0.25">
      <c r="B26" s="120">
        <v>20</v>
      </c>
      <c r="C26" s="112" t="str">
        <f>Config!C24&amp;", "&amp;Config!D24</f>
        <v>Hartl, Emmely</v>
      </c>
      <c r="D26" s="63">
        <v>4</v>
      </c>
      <c r="E26" s="63">
        <v>2</v>
      </c>
      <c r="F26" s="63">
        <v>3</v>
      </c>
      <c r="G26" s="63">
        <v>2</v>
      </c>
      <c r="H26" s="66">
        <v>4</v>
      </c>
      <c r="I26" s="115">
        <f t="shared" si="0"/>
        <v>15</v>
      </c>
    </row>
    <row r="27" spans="2:9" ht="18" customHeight="1" thickBot="1" x14ac:dyDescent="0.25">
      <c r="B27" s="120">
        <v>21</v>
      </c>
      <c r="C27" s="112" t="str">
        <f>Config!C25&amp;", "&amp;Config!D25</f>
        <v>Klotz, Karin</v>
      </c>
      <c r="D27" s="63">
        <v>4</v>
      </c>
      <c r="E27" s="63">
        <v>3</v>
      </c>
      <c r="F27" s="63">
        <v>4</v>
      </c>
      <c r="G27" s="63">
        <v>2</v>
      </c>
      <c r="H27" s="66">
        <v>3</v>
      </c>
      <c r="I27" s="115">
        <f t="shared" si="0"/>
        <v>16</v>
      </c>
    </row>
    <row r="28" spans="2:9" ht="18" customHeight="1" thickBot="1" x14ac:dyDescent="0.25">
      <c r="B28" s="120">
        <v>22</v>
      </c>
      <c r="C28" s="112" t="str">
        <f>Config!C26&amp;", "&amp;Config!D26</f>
        <v>Ehlers, Ingo</v>
      </c>
      <c r="D28" s="63">
        <v>4</v>
      </c>
      <c r="E28" s="63">
        <v>2</v>
      </c>
      <c r="F28" s="63">
        <v>4</v>
      </c>
      <c r="G28" s="63">
        <v>2</v>
      </c>
      <c r="H28" s="66">
        <v>2.5</v>
      </c>
      <c r="I28" s="115">
        <f t="shared" si="0"/>
        <v>14.5</v>
      </c>
    </row>
    <row r="29" spans="2:9" ht="18" customHeight="1" thickBot="1" x14ac:dyDescent="0.25">
      <c r="B29" s="121">
        <v>23</v>
      </c>
      <c r="C29" s="118" t="str">
        <f>Config!C27&amp;", "&amp;Config!D27</f>
        <v>Lindemann, Mads</v>
      </c>
      <c r="D29" s="67">
        <v>4</v>
      </c>
      <c r="E29" s="67">
        <v>0</v>
      </c>
      <c r="F29" s="67">
        <v>2</v>
      </c>
      <c r="G29" s="67">
        <v>0.5</v>
      </c>
      <c r="H29" s="68">
        <v>0</v>
      </c>
      <c r="I29" s="113">
        <f t="shared" si="0"/>
        <v>6.5</v>
      </c>
    </row>
    <row r="30" spans="2:9" ht="18" customHeight="1" thickBot="1" x14ac:dyDescent="0.25">
      <c r="B30" s="122"/>
      <c r="C30" s="123"/>
      <c r="D30" s="123">
        <f>IF(COUNTIF(D7:D29,"&lt;&gt;")&lt;&gt;0,SUM(D7:D29)/(COUNTIF(D7:D29,"&lt;&gt;")*D6),0)</f>
        <v>0.92391304347826086</v>
      </c>
      <c r="E30" s="123">
        <f>IF(COUNTIF(E7:E29,"&lt;&gt;")&lt;&gt;0,SUM(E7:E29)/(COUNTIF(E7:E29,"&lt;&gt;")*E6),0)</f>
        <v>0.54347826086956519</v>
      </c>
      <c r="F30" s="123">
        <f>IF(COUNTIF(F7:F29,"&lt;&gt;")&lt;&gt;0,SUM(F7:F29)/(COUNTIF(F7:F29,"&lt;&gt;")*F6),0)</f>
        <v>0.63043478260869568</v>
      </c>
      <c r="G30" s="123">
        <f>IF(COUNTIF(G7:G29,"&lt;&gt;")&lt;&gt;0,SUM(G7:G29)/(COUNTIF(G7:G29,"&lt;&gt;")*G6),0)</f>
        <v>0.39855072463768115</v>
      </c>
      <c r="H30" s="123">
        <f>IF(COUNTIF(H7:H29,"&lt;&gt;")&lt;&gt;0,SUM(H7:H29)/(COUNTIF(H7:H29,"&lt;&gt;")*H6),0)</f>
        <v>0.51086956521739135</v>
      </c>
      <c r="I30" s="116"/>
    </row>
    <row r="31" spans="2:9" ht="18" customHeight="1" x14ac:dyDescent="0.2"/>
    <row r="32" spans="2:9"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5">
    <dataValidation type="decimal" allowBlank="1" showErrorMessage="1" sqref="D7:D29" xr:uid="{9DFA0330-D7B5-48CC-BE3D-B7A75AFDF5FE}">
      <formula1>0</formula1>
      <formula2>$D$6</formula2>
    </dataValidation>
    <dataValidation type="decimal" allowBlank="1" showErrorMessage="1" sqref="E7:E29" xr:uid="{E844D86A-73C2-4D29-B917-024F84D5D821}">
      <formula1>0</formula1>
      <formula2>$E$6</formula2>
    </dataValidation>
    <dataValidation type="decimal" allowBlank="1" showErrorMessage="1" sqref="F7:F29" xr:uid="{94F9C79E-48CB-4959-8220-C538451C40AE}">
      <formula1>0</formula1>
      <formula2>$F$6</formula2>
    </dataValidation>
    <dataValidation type="decimal" allowBlank="1" showErrorMessage="1" sqref="G7:G29" xr:uid="{8D07803F-9744-4B21-B988-7D02BD0CF290}">
      <formula1>0</formula1>
      <formula2>$G$6</formula2>
    </dataValidation>
    <dataValidation type="decimal" allowBlank="1" showErrorMessage="1" sqref="H7:H29" xr:uid="{10421266-676C-4C7B-8325-5C35A164CA53}">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C260F-831A-4F29-94F4-6C36FCFCE949}">
  <sheetPr codeName="Tabelle189">
    <tabColor rgb="FF92D050"/>
  </sheetPr>
  <dimension ref="B1:I100"/>
  <sheetViews>
    <sheetView workbookViewId="0">
      <selection activeCell="O24" sqref="O24"/>
    </sheetView>
  </sheetViews>
  <sheetFormatPr baseColWidth="10" defaultRowHeight="12.75" x14ac:dyDescent="0.2"/>
  <cols>
    <col min="1" max="2" width="3.42578125" style="95" customWidth="1"/>
    <col min="3" max="3" width="25.7109375" style="95" customWidth="1"/>
    <col min="4" max="9" width="8.7109375" style="95" customWidth="1"/>
    <col min="10" max="16384" width="11.42578125" style="95"/>
  </cols>
  <sheetData>
    <row r="1" spans="2:9" ht="18" customHeight="1" thickBot="1" x14ac:dyDescent="0.25"/>
    <row r="2" spans="2:9" ht="18" customHeight="1" x14ac:dyDescent="0.2">
      <c r="B2" s="96" t="str">
        <f>Config!F2&amp;" "&amp;YEAR(Config!G27)</f>
        <v>Mathe Abitur 2026</v>
      </c>
      <c r="C2" s="97"/>
      <c r="D2" s="97"/>
      <c r="E2" s="97"/>
      <c r="F2" s="98"/>
      <c r="G2" s="98"/>
      <c r="H2" s="98"/>
      <c r="I2" s="99" t="str">
        <f>"Kurs "&amp;Config!G29</f>
        <v>Kurs K1</v>
      </c>
    </row>
    <row r="3" spans="2:9" ht="18" customHeight="1" x14ac:dyDescent="0.2">
      <c r="B3" s="100" t="s">
        <v>112</v>
      </c>
      <c r="C3" s="101"/>
      <c r="D3" s="101"/>
      <c r="E3" s="101"/>
      <c r="F3" s="101"/>
      <c r="G3" s="101"/>
      <c r="H3" s="101"/>
      <c r="I3" s="102"/>
    </row>
    <row r="4" spans="2:9" ht="18" customHeight="1" thickBot="1" x14ac:dyDescent="0.25">
      <c r="B4" s="100"/>
      <c r="C4" s="101"/>
      <c r="D4" s="103"/>
      <c r="E4" s="103"/>
      <c r="F4" s="103"/>
      <c r="G4" s="103"/>
      <c r="H4" s="103"/>
      <c r="I4" s="104"/>
    </row>
    <row r="5" spans="2:9" ht="18" customHeight="1" thickBot="1" x14ac:dyDescent="0.25">
      <c r="B5" s="105"/>
      <c r="C5" s="107"/>
      <c r="D5" s="124" t="str">
        <f>Config!R6</f>
        <v>6</v>
      </c>
      <c r="E5" s="124" t="str">
        <f>Config!R7</f>
        <v>7a</v>
      </c>
      <c r="F5" s="124" t="str">
        <f>Config!R8</f>
        <v>7b</v>
      </c>
      <c r="G5" s="124" t="str">
        <f>Config!R9</f>
        <v>8</v>
      </c>
      <c r="H5" s="124" t="str">
        <f>Config!R10</f>
        <v>9</v>
      </c>
      <c r="I5" s="111" t="s">
        <v>82</v>
      </c>
    </row>
    <row r="6" spans="2:9" ht="18" customHeight="1" thickBot="1" x14ac:dyDescent="0.25">
      <c r="B6" s="106"/>
      <c r="C6" s="108" t="s">
        <v>81</v>
      </c>
      <c r="D6" s="110">
        <f>Config!S6</f>
        <v>5</v>
      </c>
      <c r="E6" s="110">
        <f>Config!S7</f>
        <v>2</v>
      </c>
      <c r="F6" s="110">
        <f>Config!S8</f>
        <v>3</v>
      </c>
      <c r="G6" s="110">
        <f>Config!S9</f>
        <v>5</v>
      </c>
      <c r="H6" s="110">
        <f>Config!S10</f>
        <v>5</v>
      </c>
      <c r="I6" s="125">
        <f>Config!S21</f>
        <v>10</v>
      </c>
    </row>
    <row r="7" spans="2:9" ht="18" customHeight="1" thickBot="1" x14ac:dyDescent="0.25">
      <c r="B7" s="119">
        <v>1</v>
      </c>
      <c r="C7" s="117" t="str">
        <f>Config!C5&amp;", "&amp;Config!D5</f>
        <v>Höfer, Simon</v>
      </c>
      <c r="D7" s="64">
        <v>4</v>
      </c>
      <c r="E7" s="140"/>
      <c r="F7" s="64">
        <v>3</v>
      </c>
      <c r="G7" s="140"/>
      <c r="H7" s="141"/>
      <c r="I7" s="115">
        <f t="shared" ref="I7:I29" si="0">SUM(D7:H7)</f>
        <v>7</v>
      </c>
    </row>
    <row r="8" spans="2:9" ht="18" customHeight="1" thickBot="1" x14ac:dyDescent="0.25">
      <c r="B8" s="120">
        <v>2</v>
      </c>
      <c r="C8" s="112" t="str">
        <f>Config!C6&amp;", "&amp;Config!D6</f>
        <v>Töpfer, Lilian</v>
      </c>
      <c r="D8" s="63">
        <v>3</v>
      </c>
      <c r="E8" s="138"/>
      <c r="F8" s="138"/>
      <c r="G8" s="63">
        <v>4</v>
      </c>
      <c r="H8" s="142"/>
      <c r="I8" s="115">
        <f t="shared" si="0"/>
        <v>7</v>
      </c>
    </row>
    <row r="9" spans="2:9" ht="18" customHeight="1" thickBot="1" x14ac:dyDescent="0.25">
      <c r="B9" s="120">
        <v>3</v>
      </c>
      <c r="C9" s="112" t="str">
        <f>Config!C7&amp;", "&amp;Config!D7</f>
        <v>Fleischmann, Leonie</v>
      </c>
      <c r="D9" s="138"/>
      <c r="E9" s="138"/>
      <c r="F9" s="138"/>
      <c r="G9" s="63">
        <v>5</v>
      </c>
      <c r="H9" s="66">
        <v>3</v>
      </c>
      <c r="I9" s="115">
        <f t="shared" si="0"/>
        <v>8</v>
      </c>
    </row>
    <row r="10" spans="2:9" ht="18" customHeight="1" thickBot="1" x14ac:dyDescent="0.25">
      <c r="B10" s="120">
        <v>4</v>
      </c>
      <c r="C10" s="112" t="str">
        <f>Config!C8&amp;", "&amp;Config!D8</f>
        <v>Drescher, Cedric</v>
      </c>
      <c r="D10" s="63">
        <v>1</v>
      </c>
      <c r="E10" s="63">
        <v>2</v>
      </c>
      <c r="F10" s="63">
        <v>3</v>
      </c>
      <c r="G10" s="138"/>
      <c r="H10" s="142"/>
      <c r="I10" s="115">
        <f t="shared" si="0"/>
        <v>6</v>
      </c>
    </row>
    <row r="11" spans="2:9" ht="18" customHeight="1" thickBot="1" x14ac:dyDescent="0.25">
      <c r="B11" s="120">
        <v>5</v>
      </c>
      <c r="C11" s="112" t="str">
        <f>Config!C9&amp;", "&amp;Config!D9</f>
        <v>Baumgarten, Annabell</v>
      </c>
      <c r="D11" s="63">
        <v>1</v>
      </c>
      <c r="E11" s="138"/>
      <c r="F11" s="138"/>
      <c r="G11" s="63">
        <v>5</v>
      </c>
      <c r="H11" s="142"/>
      <c r="I11" s="115">
        <f t="shared" si="0"/>
        <v>6</v>
      </c>
    </row>
    <row r="12" spans="2:9" ht="18" customHeight="1" thickBot="1" x14ac:dyDescent="0.25">
      <c r="B12" s="120">
        <v>6</v>
      </c>
      <c r="C12" s="112" t="str">
        <f>Config!C10&amp;", "&amp;Config!D10</f>
        <v>Traut, Stefanie</v>
      </c>
      <c r="D12" s="138"/>
      <c r="E12" s="63">
        <v>2</v>
      </c>
      <c r="F12" s="63">
        <v>3</v>
      </c>
      <c r="G12" s="63">
        <v>3</v>
      </c>
      <c r="H12" s="142"/>
      <c r="I12" s="115">
        <f t="shared" si="0"/>
        <v>8</v>
      </c>
    </row>
    <row r="13" spans="2:9" ht="18" customHeight="1" thickBot="1" x14ac:dyDescent="0.25">
      <c r="B13" s="120">
        <v>7</v>
      </c>
      <c r="C13" s="112" t="str">
        <f>Config!C11&amp;", "&amp;Config!D11</f>
        <v>Menke, Damian</v>
      </c>
      <c r="D13" s="138"/>
      <c r="E13" s="63">
        <v>1</v>
      </c>
      <c r="F13" s="63">
        <v>2</v>
      </c>
      <c r="G13" s="138"/>
      <c r="H13" s="66">
        <v>4</v>
      </c>
      <c r="I13" s="115">
        <f t="shared" si="0"/>
        <v>7</v>
      </c>
    </row>
    <row r="14" spans="2:9" ht="18" customHeight="1" thickBot="1" x14ac:dyDescent="0.25">
      <c r="B14" s="120">
        <v>8</v>
      </c>
      <c r="C14" s="112" t="str">
        <f>Config!C12&amp;", "&amp;Config!D12</f>
        <v>Carroll, Meik</v>
      </c>
      <c r="D14" s="138"/>
      <c r="E14" s="138"/>
      <c r="F14" s="138"/>
      <c r="G14" s="63">
        <v>4</v>
      </c>
      <c r="H14" s="66">
        <v>3</v>
      </c>
      <c r="I14" s="115">
        <f t="shared" si="0"/>
        <v>7</v>
      </c>
    </row>
    <row r="15" spans="2:9" ht="18" customHeight="1" thickBot="1" x14ac:dyDescent="0.25">
      <c r="B15" s="120">
        <v>9</v>
      </c>
      <c r="C15" s="112" t="str">
        <f>Config!C13&amp;", "&amp;Config!D13</f>
        <v>Hennings, Tomas</v>
      </c>
      <c r="D15" s="63">
        <v>5</v>
      </c>
      <c r="E15" s="63">
        <v>2</v>
      </c>
      <c r="F15" s="63">
        <v>1</v>
      </c>
      <c r="G15" s="138"/>
      <c r="H15" s="142"/>
      <c r="I15" s="115">
        <f t="shared" si="0"/>
        <v>8</v>
      </c>
    </row>
    <row r="16" spans="2:9" ht="18" customHeight="1" thickBot="1" x14ac:dyDescent="0.25">
      <c r="B16" s="120">
        <v>10</v>
      </c>
      <c r="C16" s="112" t="str">
        <f>Config!C14&amp;", "&amp;Config!D14</f>
        <v>Walters, Linn</v>
      </c>
      <c r="D16" s="138"/>
      <c r="E16" s="63">
        <v>1</v>
      </c>
      <c r="F16" s="63">
        <v>2</v>
      </c>
      <c r="G16" s="63">
        <v>5</v>
      </c>
      <c r="H16" s="142"/>
      <c r="I16" s="115">
        <f t="shared" si="0"/>
        <v>8</v>
      </c>
    </row>
    <row r="17" spans="2:9" ht="18" customHeight="1" thickBot="1" x14ac:dyDescent="0.25">
      <c r="B17" s="120">
        <v>11</v>
      </c>
      <c r="C17" s="112" t="str">
        <f>Config!C15&amp;", "&amp;Config!D15</f>
        <v>Junker, Amely</v>
      </c>
      <c r="D17" s="63">
        <v>2</v>
      </c>
      <c r="E17" s="138"/>
      <c r="F17" s="138"/>
      <c r="G17" s="63">
        <v>4</v>
      </c>
      <c r="H17" s="142"/>
      <c r="I17" s="115">
        <f t="shared" si="0"/>
        <v>6</v>
      </c>
    </row>
    <row r="18" spans="2:9" ht="18" customHeight="1" thickBot="1" x14ac:dyDescent="0.25">
      <c r="B18" s="120">
        <v>12</v>
      </c>
      <c r="C18" s="112" t="str">
        <f>Config!C16&amp;", "&amp;Config!D16</f>
        <v>Stephens, Melvin</v>
      </c>
      <c r="D18" s="63">
        <v>5</v>
      </c>
      <c r="E18" s="138"/>
      <c r="F18" s="138"/>
      <c r="G18" s="63">
        <v>1</v>
      </c>
      <c r="H18" s="142"/>
      <c r="I18" s="115">
        <f t="shared" si="0"/>
        <v>6</v>
      </c>
    </row>
    <row r="19" spans="2:9" ht="18" customHeight="1" thickBot="1" x14ac:dyDescent="0.25">
      <c r="B19" s="120">
        <v>13</v>
      </c>
      <c r="C19" s="112" t="str">
        <f>Config!C17&amp;", "&amp;Config!D17</f>
        <v>Cremer, Marvin</v>
      </c>
      <c r="D19" s="63">
        <v>3</v>
      </c>
      <c r="E19" s="138"/>
      <c r="F19" s="138"/>
      <c r="G19" s="138"/>
      <c r="H19" s="66">
        <v>5</v>
      </c>
      <c r="I19" s="115">
        <f t="shared" si="0"/>
        <v>8</v>
      </c>
    </row>
    <row r="20" spans="2:9" ht="18" customHeight="1" thickBot="1" x14ac:dyDescent="0.25">
      <c r="B20" s="120">
        <v>14</v>
      </c>
      <c r="C20" s="112" t="str">
        <f>Config!C18&amp;", "&amp;Config!D18</f>
        <v>Nash, Jean</v>
      </c>
      <c r="D20" s="138"/>
      <c r="E20" s="138"/>
      <c r="F20" s="138"/>
      <c r="G20" s="63">
        <v>4</v>
      </c>
      <c r="H20" s="66">
        <v>3</v>
      </c>
      <c r="I20" s="115">
        <f t="shared" si="0"/>
        <v>7</v>
      </c>
    </row>
    <row r="21" spans="2:9" ht="18" customHeight="1" thickBot="1" x14ac:dyDescent="0.25">
      <c r="B21" s="120">
        <v>15</v>
      </c>
      <c r="C21" s="112" t="str">
        <f>Config!C19&amp;", "&amp;Config!D19</f>
        <v>Schön, Leonardo</v>
      </c>
      <c r="D21" s="138"/>
      <c r="E21" s="63">
        <v>1</v>
      </c>
      <c r="F21" s="63">
        <v>2</v>
      </c>
      <c r="G21" s="138"/>
      <c r="H21" s="66">
        <v>1</v>
      </c>
      <c r="I21" s="115">
        <f t="shared" si="0"/>
        <v>4</v>
      </c>
    </row>
    <row r="22" spans="2:9" ht="18" customHeight="1" thickBot="1" x14ac:dyDescent="0.25">
      <c r="B22" s="120">
        <v>16</v>
      </c>
      <c r="C22" s="112" t="str">
        <f>Config!C20&amp;", "&amp;Config!D20</f>
        <v>Sigl, Nicholas</v>
      </c>
      <c r="D22" s="138"/>
      <c r="E22" s="63">
        <v>1</v>
      </c>
      <c r="F22" s="63">
        <v>2</v>
      </c>
      <c r="G22" s="63">
        <v>5</v>
      </c>
      <c r="H22" s="142"/>
      <c r="I22" s="115">
        <f t="shared" si="0"/>
        <v>8</v>
      </c>
    </row>
    <row r="23" spans="2:9" ht="18" customHeight="1" thickBot="1" x14ac:dyDescent="0.25">
      <c r="B23" s="120">
        <v>17</v>
      </c>
      <c r="C23" s="112" t="str">
        <f>Config!C21&amp;", "&amp;Config!D21</f>
        <v>Kainz, Vivienne</v>
      </c>
      <c r="D23" s="63">
        <v>5</v>
      </c>
      <c r="E23" s="138"/>
      <c r="F23" s="138"/>
      <c r="G23" s="63">
        <v>5</v>
      </c>
      <c r="H23" s="142"/>
      <c r="I23" s="115">
        <f t="shared" si="0"/>
        <v>10</v>
      </c>
    </row>
    <row r="24" spans="2:9" ht="18" customHeight="1" thickBot="1" x14ac:dyDescent="0.25">
      <c r="B24" s="120">
        <v>18</v>
      </c>
      <c r="C24" s="112" t="str">
        <f>Config!C22&amp;", "&amp;Config!D22</f>
        <v>Hartmann, Mads</v>
      </c>
      <c r="D24" s="138"/>
      <c r="E24" s="138"/>
      <c r="F24" s="138"/>
      <c r="G24" s="63">
        <v>3</v>
      </c>
      <c r="H24" s="66">
        <v>4</v>
      </c>
      <c r="I24" s="115">
        <f t="shared" si="0"/>
        <v>7</v>
      </c>
    </row>
    <row r="25" spans="2:9" ht="18" customHeight="1" thickBot="1" x14ac:dyDescent="0.25">
      <c r="B25" s="120">
        <v>19</v>
      </c>
      <c r="C25" s="112" t="str">
        <f>Config!C23&amp;", "&amp;Config!D23</f>
        <v>Ullmann, Raphael</v>
      </c>
      <c r="D25" s="138"/>
      <c r="E25" s="138"/>
      <c r="F25" s="138"/>
      <c r="G25" s="63">
        <v>5</v>
      </c>
      <c r="H25" s="66">
        <v>3</v>
      </c>
      <c r="I25" s="115">
        <f t="shared" si="0"/>
        <v>8</v>
      </c>
    </row>
    <row r="26" spans="2:9" ht="18" customHeight="1" thickBot="1" x14ac:dyDescent="0.25">
      <c r="B26" s="120">
        <v>20</v>
      </c>
      <c r="C26" s="112" t="str">
        <f>Config!C24&amp;", "&amp;Config!D24</f>
        <v>Hartl, Emmely</v>
      </c>
      <c r="D26" s="63">
        <v>5</v>
      </c>
      <c r="E26" s="63">
        <v>2</v>
      </c>
      <c r="F26" s="63">
        <v>3</v>
      </c>
      <c r="G26" s="138"/>
      <c r="H26" s="142"/>
      <c r="I26" s="115">
        <f t="shared" si="0"/>
        <v>10</v>
      </c>
    </row>
    <row r="27" spans="2:9" ht="18" customHeight="1" thickBot="1" x14ac:dyDescent="0.25">
      <c r="B27" s="120">
        <v>21</v>
      </c>
      <c r="C27" s="112" t="str">
        <f>Config!C25&amp;", "&amp;Config!D25</f>
        <v>Klotz, Karin</v>
      </c>
      <c r="D27" s="63">
        <v>5</v>
      </c>
      <c r="E27" s="63">
        <v>2</v>
      </c>
      <c r="F27" s="63">
        <v>3</v>
      </c>
      <c r="G27" s="138"/>
      <c r="H27" s="142"/>
      <c r="I27" s="115">
        <f t="shared" si="0"/>
        <v>10</v>
      </c>
    </row>
    <row r="28" spans="2:9" ht="18" customHeight="1" thickBot="1" x14ac:dyDescent="0.25">
      <c r="B28" s="120">
        <v>22</v>
      </c>
      <c r="C28" s="112" t="str">
        <f>Config!C26&amp;", "&amp;Config!D26</f>
        <v>Ehlers, Ingo</v>
      </c>
      <c r="D28" s="63">
        <v>2</v>
      </c>
      <c r="E28" s="138"/>
      <c r="F28" s="138"/>
      <c r="G28" s="138"/>
      <c r="H28" s="66">
        <v>5</v>
      </c>
      <c r="I28" s="115">
        <f t="shared" si="0"/>
        <v>7</v>
      </c>
    </row>
    <row r="29" spans="2:9" ht="18" customHeight="1" thickBot="1" x14ac:dyDescent="0.25">
      <c r="B29" s="121">
        <v>23</v>
      </c>
      <c r="C29" s="118" t="str">
        <f>Config!C27&amp;", "&amp;Config!D27</f>
        <v>Lindemann, Mads</v>
      </c>
      <c r="D29" s="67">
        <v>3</v>
      </c>
      <c r="E29" s="139"/>
      <c r="F29" s="139"/>
      <c r="G29" s="67">
        <v>5</v>
      </c>
      <c r="H29" s="143"/>
      <c r="I29" s="113">
        <f t="shared" si="0"/>
        <v>8</v>
      </c>
    </row>
    <row r="30" spans="2:9" ht="18" customHeight="1" thickBot="1" x14ac:dyDescent="0.25">
      <c r="B30" s="122"/>
      <c r="C30" s="123"/>
      <c r="D30" s="123">
        <f>IF(COUNTIF(D7:D29,"&lt;&gt;")&lt;&gt;0,SUM(D7:D29)/(COUNTIF(D7:D29,"&lt;&gt;")*D6),0)</f>
        <v>0.67692307692307696</v>
      </c>
      <c r="E30" s="123">
        <f>IF(COUNTIF(E7:E29,"&lt;&gt;")&lt;&gt;0,SUM(E7:E29)/(COUNTIF(E7:E29,"&lt;&gt;")*E6),0)</f>
        <v>0.77777777777777779</v>
      </c>
      <c r="F30" s="123">
        <f>IF(COUNTIF(F7:F29,"&lt;&gt;")&lt;&gt;0,SUM(F7:F29)/(COUNTIF(F7:F29,"&lt;&gt;")*F6),0)</f>
        <v>0.8</v>
      </c>
      <c r="G30" s="123">
        <f>IF(COUNTIF(G7:G29,"&lt;&gt;")&lt;&gt;0,SUM(G7:G29)/(COUNTIF(G7:G29,"&lt;&gt;")*G6),0)</f>
        <v>0.82857142857142863</v>
      </c>
      <c r="H30" s="123">
        <f>IF(COUNTIF(H7:H29,"&lt;&gt;")&lt;&gt;0,SUM(H7:H29)/(COUNTIF(H7:H29,"&lt;&gt;")*H6),0)</f>
        <v>0.68888888888888888</v>
      </c>
      <c r="I30" s="116"/>
    </row>
    <row r="31" spans="2:9" ht="18" customHeight="1" x14ac:dyDescent="0.2"/>
    <row r="32" spans="2:9"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5">
    <dataValidation type="decimal" allowBlank="1" showErrorMessage="1" sqref="D7:D29" xr:uid="{587126C2-8DFC-47C3-BF84-23C1B01B6A8B}">
      <formula1>0</formula1>
      <formula2>$D$6</formula2>
    </dataValidation>
    <dataValidation type="decimal" allowBlank="1" showErrorMessage="1" sqref="E7:E29" xr:uid="{0E49A940-7448-44B0-84FB-126EC0E75A7D}">
      <formula1>0</formula1>
      <formula2>$E$6</formula2>
    </dataValidation>
    <dataValidation type="decimal" allowBlank="1" showErrorMessage="1" sqref="F7:F29" xr:uid="{EB8EB07C-3401-46DD-93F5-C1502E17979A}">
      <formula1>0</formula1>
      <formula2>$F$6</formula2>
    </dataValidation>
    <dataValidation type="decimal" allowBlank="1" showErrorMessage="1" sqref="G7:G29" xr:uid="{8DE46B6A-8588-4E96-B50A-7C68BAB343E3}">
      <formula1>0</formula1>
      <formula2>$G$6</formula2>
    </dataValidation>
    <dataValidation type="decimal" allowBlank="1" showErrorMessage="1" sqref="H7:H29" xr:uid="{44D326B6-51AF-4AF5-8404-FCEB3E834B19}">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FCF69-4AA8-4B37-8B95-AD01E78823DF}">
  <sheetPr codeName="Tabelle191">
    <tabColor rgb="FFFFC000"/>
  </sheetPr>
  <dimension ref="B1:N100"/>
  <sheetViews>
    <sheetView workbookViewId="0">
      <selection activeCell="P29" sqref="P29"/>
    </sheetView>
  </sheetViews>
  <sheetFormatPr baseColWidth="10" defaultRowHeight="12.75" x14ac:dyDescent="0.2"/>
  <cols>
    <col min="1" max="2" width="3.42578125" style="95" customWidth="1"/>
    <col min="3" max="3" width="25.7109375" style="95" customWidth="1"/>
    <col min="4" max="8" width="4.7109375" style="95" customWidth="1"/>
    <col min="9" max="9" width="2.7109375" style="95" customWidth="1"/>
    <col min="10" max="16384" width="11.42578125" style="95"/>
  </cols>
  <sheetData>
    <row r="1" spans="2:14" ht="18" customHeight="1" thickBot="1" x14ac:dyDescent="0.25"/>
    <row r="2" spans="2:14" ht="18" customHeight="1" x14ac:dyDescent="0.2">
      <c r="B2" s="96" t="str">
        <f>"Kurs "&amp;Config!G29</f>
        <v>Kurs K1</v>
      </c>
      <c r="C2" s="97"/>
      <c r="D2" s="97"/>
      <c r="E2" s="97"/>
      <c r="F2" s="98"/>
      <c r="G2" s="98"/>
      <c r="H2" s="99"/>
    </row>
    <row r="3" spans="2:14" ht="18" customHeight="1" x14ac:dyDescent="0.2">
      <c r="B3" s="100" t="s">
        <v>124</v>
      </c>
      <c r="C3" s="101"/>
      <c r="D3" s="101"/>
      <c r="E3" s="101"/>
      <c r="F3" s="101"/>
      <c r="G3" s="101"/>
      <c r="H3" s="102"/>
    </row>
    <row r="4" spans="2:14" ht="18" customHeight="1" thickBot="1" x14ac:dyDescent="0.25">
      <c r="B4" s="100"/>
      <c r="C4" s="101"/>
      <c r="D4" s="103"/>
      <c r="E4" s="103"/>
      <c r="F4" s="103"/>
      <c r="G4" s="103"/>
      <c r="H4" s="104"/>
    </row>
    <row r="5" spans="2:14" ht="18" customHeight="1" thickBot="1" x14ac:dyDescent="0.25">
      <c r="B5" s="105"/>
      <c r="C5" s="107"/>
      <c r="D5" s="124" t="str">
        <f>Config!R6</f>
        <v>6</v>
      </c>
      <c r="E5" s="124" t="str">
        <f>Config!R7</f>
        <v>7a</v>
      </c>
      <c r="F5" s="124" t="str">
        <f>Config!R8</f>
        <v>7b</v>
      </c>
      <c r="G5" s="124" t="str">
        <f>Config!R9</f>
        <v>8</v>
      </c>
      <c r="H5" s="124" t="str">
        <f>Config!R10</f>
        <v>9</v>
      </c>
    </row>
    <row r="6" spans="2:14" ht="18" customHeight="1" thickBot="1" x14ac:dyDescent="0.25">
      <c r="B6" s="106"/>
      <c r="C6" s="108" t="s">
        <v>81</v>
      </c>
      <c r="D6" s="137" t="s">
        <v>112</v>
      </c>
      <c r="E6" s="137" t="s">
        <v>112</v>
      </c>
      <c r="F6" s="137" t="s">
        <v>112</v>
      </c>
      <c r="G6" s="137" t="s">
        <v>112</v>
      </c>
      <c r="H6" s="137" t="s">
        <v>112</v>
      </c>
      <c r="J6" s="203" t="s">
        <v>125</v>
      </c>
      <c r="K6" s="204"/>
      <c r="L6" s="204"/>
      <c r="M6" s="204"/>
      <c r="N6" s="205"/>
    </row>
    <row r="7" spans="2:14" ht="18" customHeight="1" x14ac:dyDescent="0.2">
      <c r="B7" s="119">
        <v>1</v>
      </c>
      <c r="C7" s="117" t="str">
        <f>Config!C5&amp;", "&amp;Config!D5</f>
        <v>Höfer, Simon</v>
      </c>
      <c r="D7" s="64" t="s">
        <v>120</v>
      </c>
      <c r="E7" s="64"/>
      <c r="F7" s="64" t="s">
        <v>120</v>
      </c>
      <c r="G7" s="64"/>
      <c r="H7" s="65"/>
      <c r="J7" s="206"/>
      <c r="K7" s="207"/>
      <c r="L7" s="207"/>
      <c r="M7" s="207"/>
      <c r="N7" s="208"/>
    </row>
    <row r="8" spans="2:14" ht="18" customHeight="1" thickBot="1" x14ac:dyDescent="0.25">
      <c r="B8" s="120">
        <v>2</v>
      </c>
      <c r="C8" s="112" t="str">
        <f>Config!C6&amp;", "&amp;Config!D6</f>
        <v>Töpfer, Lilian</v>
      </c>
      <c r="D8" s="63" t="s">
        <v>120</v>
      </c>
      <c r="E8" s="63"/>
      <c r="F8" s="63"/>
      <c r="G8" s="63" t="s">
        <v>120</v>
      </c>
      <c r="H8" s="66"/>
      <c r="J8" s="209"/>
      <c r="K8" s="210"/>
      <c r="L8" s="210"/>
      <c r="M8" s="210"/>
      <c r="N8" s="211"/>
    </row>
    <row r="9" spans="2:14" ht="18" customHeight="1" x14ac:dyDescent="0.2">
      <c r="B9" s="120">
        <v>3</v>
      </c>
      <c r="C9" s="112" t="str">
        <f>Config!C7&amp;", "&amp;Config!D7</f>
        <v>Fleischmann, Leonie</v>
      </c>
      <c r="D9" s="63"/>
      <c r="E9" s="63"/>
      <c r="F9" s="63"/>
      <c r="G9" s="63" t="s">
        <v>120</v>
      </c>
      <c r="H9" s="66" t="s">
        <v>120</v>
      </c>
    </row>
    <row r="10" spans="2:14" ht="18" customHeight="1" x14ac:dyDescent="0.2">
      <c r="B10" s="120">
        <v>4</v>
      </c>
      <c r="C10" s="112" t="str">
        <f>Config!C8&amp;", "&amp;Config!D8</f>
        <v>Drescher, Cedric</v>
      </c>
      <c r="D10" s="63" t="s">
        <v>120</v>
      </c>
      <c r="E10" s="63" t="s">
        <v>120</v>
      </c>
      <c r="F10" s="63" t="s">
        <v>120</v>
      </c>
      <c r="G10" s="63"/>
      <c r="H10" s="66"/>
    </row>
    <row r="11" spans="2:14" ht="18" customHeight="1" x14ac:dyDescent="0.2">
      <c r="B11" s="120">
        <v>5</v>
      </c>
      <c r="C11" s="112" t="str">
        <f>Config!C9&amp;", "&amp;Config!D9</f>
        <v>Baumgarten, Annabell</v>
      </c>
      <c r="D11" s="63" t="s">
        <v>120</v>
      </c>
      <c r="E11" s="63"/>
      <c r="F11" s="63"/>
      <c r="G11" s="63" t="s">
        <v>120</v>
      </c>
      <c r="H11" s="66"/>
    </row>
    <row r="12" spans="2:14" ht="18" customHeight="1" x14ac:dyDescent="0.2">
      <c r="B12" s="120">
        <v>6</v>
      </c>
      <c r="C12" s="112" t="str">
        <f>Config!C10&amp;", "&amp;Config!D10</f>
        <v>Traut, Stefanie</v>
      </c>
      <c r="D12" s="63"/>
      <c r="E12" s="63" t="s">
        <v>120</v>
      </c>
      <c r="F12" s="63" t="s">
        <v>120</v>
      </c>
      <c r="G12" s="63" t="s">
        <v>120</v>
      </c>
      <c r="H12" s="66"/>
    </row>
    <row r="13" spans="2:14" ht="18" customHeight="1" x14ac:dyDescent="0.2">
      <c r="B13" s="120">
        <v>7</v>
      </c>
      <c r="C13" s="112" t="str">
        <f>Config!C11&amp;", "&amp;Config!D11</f>
        <v>Menke, Damian</v>
      </c>
      <c r="D13" s="63"/>
      <c r="E13" s="63" t="s">
        <v>120</v>
      </c>
      <c r="F13" s="63" t="s">
        <v>120</v>
      </c>
      <c r="G13" s="63"/>
      <c r="H13" s="66" t="s">
        <v>120</v>
      </c>
    </row>
    <row r="14" spans="2:14" ht="18" customHeight="1" x14ac:dyDescent="0.2">
      <c r="B14" s="120">
        <v>8</v>
      </c>
      <c r="C14" s="112" t="str">
        <f>Config!C12&amp;", "&amp;Config!D12</f>
        <v>Carroll, Meik</v>
      </c>
      <c r="D14" s="63"/>
      <c r="E14" s="63"/>
      <c r="F14" s="63"/>
      <c r="G14" s="63" t="s">
        <v>120</v>
      </c>
      <c r="H14" s="66" t="s">
        <v>120</v>
      </c>
    </row>
    <row r="15" spans="2:14" ht="18" customHeight="1" x14ac:dyDescent="0.2">
      <c r="B15" s="120">
        <v>9</v>
      </c>
      <c r="C15" s="112" t="str">
        <f>Config!C13&amp;", "&amp;Config!D13</f>
        <v>Hennings, Tomas</v>
      </c>
      <c r="D15" s="63" t="s">
        <v>120</v>
      </c>
      <c r="E15" s="63" t="s">
        <v>120</v>
      </c>
      <c r="F15" s="63" t="s">
        <v>120</v>
      </c>
      <c r="G15" s="63"/>
      <c r="H15" s="66"/>
    </row>
    <row r="16" spans="2:14" ht="18" customHeight="1" x14ac:dyDescent="0.2">
      <c r="B16" s="120">
        <v>10</v>
      </c>
      <c r="C16" s="112" t="str">
        <f>Config!C14&amp;", "&amp;Config!D14</f>
        <v>Walters, Linn</v>
      </c>
      <c r="D16" s="63"/>
      <c r="E16" s="63" t="s">
        <v>120</v>
      </c>
      <c r="F16" s="63" t="s">
        <v>120</v>
      </c>
      <c r="G16" s="63" t="s">
        <v>120</v>
      </c>
      <c r="H16" s="66"/>
    </row>
    <row r="17" spans="2:8" ht="18" customHeight="1" x14ac:dyDescent="0.2">
      <c r="B17" s="120">
        <v>11</v>
      </c>
      <c r="C17" s="112" t="str">
        <f>Config!C15&amp;", "&amp;Config!D15</f>
        <v>Junker, Amely</v>
      </c>
      <c r="D17" s="63" t="s">
        <v>120</v>
      </c>
      <c r="E17" s="63"/>
      <c r="F17" s="63"/>
      <c r="G17" s="63" t="s">
        <v>120</v>
      </c>
      <c r="H17" s="66"/>
    </row>
    <row r="18" spans="2:8" ht="18" customHeight="1" x14ac:dyDescent="0.2">
      <c r="B18" s="120">
        <v>12</v>
      </c>
      <c r="C18" s="112" t="str">
        <f>Config!C16&amp;", "&amp;Config!D16</f>
        <v>Stephens, Melvin</v>
      </c>
      <c r="D18" s="63" t="s">
        <v>120</v>
      </c>
      <c r="E18" s="63"/>
      <c r="F18" s="63"/>
      <c r="G18" s="63" t="s">
        <v>120</v>
      </c>
      <c r="H18" s="66"/>
    </row>
    <row r="19" spans="2:8" ht="18" customHeight="1" x14ac:dyDescent="0.2">
      <c r="B19" s="120">
        <v>13</v>
      </c>
      <c r="C19" s="112" t="str">
        <f>Config!C17&amp;", "&amp;Config!D17</f>
        <v>Cremer, Marvin</v>
      </c>
      <c r="D19" s="63" t="s">
        <v>120</v>
      </c>
      <c r="E19" s="63"/>
      <c r="F19" s="63"/>
      <c r="G19" s="63"/>
      <c r="H19" s="66" t="s">
        <v>120</v>
      </c>
    </row>
    <row r="20" spans="2:8" ht="18" customHeight="1" x14ac:dyDescent="0.2">
      <c r="B20" s="120">
        <v>14</v>
      </c>
      <c r="C20" s="112" t="str">
        <f>Config!C18&amp;", "&amp;Config!D18</f>
        <v>Nash, Jean</v>
      </c>
      <c r="D20" s="63"/>
      <c r="E20" s="63"/>
      <c r="F20" s="63"/>
      <c r="G20" s="63" t="s">
        <v>120</v>
      </c>
      <c r="H20" s="66" t="s">
        <v>120</v>
      </c>
    </row>
    <row r="21" spans="2:8" ht="18" customHeight="1" x14ac:dyDescent="0.2">
      <c r="B21" s="120">
        <v>15</v>
      </c>
      <c r="C21" s="112" t="str">
        <f>Config!C19&amp;", "&amp;Config!D19</f>
        <v>Schön, Leonardo</v>
      </c>
      <c r="D21" s="63"/>
      <c r="E21" s="63" t="s">
        <v>120</v>
      </c>
      <c r="F21" s="63" t="s">
        <v>120</v>
      </c>
      <c r="G21" s="63"/>
      <c r="H21" s="66" t="s">
        <v>120</v>
      </c>
    </row>
    <row r="22" spans="2:8" ht="18" customHeight="1" x14ac:dyDescent="0.2">
      <c r="B22" s="120">
        <v>16</v>
      </c>
      <c r="C22" s="112" t="str">
        <f>Config!C20&amp;", "&amp;Config!D20</f>
        <v>Sigl, Nicholas</v>
      </c>
      <c r="D22" s="63"/>
      <c r="E22" s="63" t="s">
        <v>120</v>
      </c>
      <c r="F22" s="63" t="s">
        <v>120</v>
      </c>
      <c r="G22" s="63" t="s">
        <v>120</v>
      </c>
      <c r="H22" s="66"/>
    </row>
    <row r="23" spans="2:8" ht="18" customHeight="1" x14ac:dyDescent="0.2">
      <c r="B23" s="120">
        <v>17</v>
      </c>
      <c r="C23" s="112" t="str">
        <f>Config!C21&amp;", "&amp;Config!D21</f>
        <v>Kainz, Vivienne</v>
      </c>
      <c r="D23" s="63" t="s">
        <v>120</v>
      </c>
      <c r="E23" s="63"/>
      <c r="F23" s="63"/>
      <c r="G23" s="63" t="s">
        <v>120</v>
      </c>
      <c r="H23" s="66"/>
    </row>
    <row r="24" spans="2:8" ht="18" customHeight="1" x14ac:dyDescent="0.2">
      <c r="B24" s="120">
        <v>18</v>
      </c>
      <c r="C24" s="112" t="str">
        <f>Config!C22&amp;", "&amp;Config!D22</f>
        <v>Hartmann, Mads</v>
      </c>
      <c r="D24" s="63"/>
      <c r="E24" s="63"/>
      <c r="F24" s="63"/>
      <c r="G24" s="63" t="s">
        <v>120</v>
      </c>
      <c r="H24" s="66" t="s">
        <v>120</v>
      </c>
    </row>
    <row r="25" spans="2:8" ht="18" customHeight="1" x14ac:dyDescent="0.2">
      <c r="B25" s="120">
        <v>19</v>
      </c>
      <c r="C25" s="112" t="str">
        <f>Config!C23&amp;", "&amp;Config!D23</f>
        <v>Ullmann, Raphael</v>
      </c>
      <c r="D25" s="63"/>
      <c r="E25" s="63"/>
      <c r="F25" s="63"/>
      <c r="G25" s="63" t="s">
        <v>120</v>
      </c>
      <c r="H25" s="66" t="s">
        <v>120</v>
      </c>
    </row>
    <row r="26" spans="2:8" ht="18" customHeight="1" x14ac:dyDescent="0.2">
      <c r="B26" s="120">
        <v>20</v>
      </c>
      <c r="C26" s="112" t="str">
        <f>Config!C24&amp;", "&amp;Config!D24</f>
        <v>Hartl, Emmely</v>
      </c>
      <c r="D26" s="63" t="s">
        <v>120</v>
      </c>
      <c r="E26" s="63" t="s">
        <v>120</v>
      </c>
      <c r="F26" s="63" t="s">
        <v>120</v>
      </c>
      <c r="G26" s="63"/>
      <c r="H26" s="66"/>
    </row>
    <row r="27" spans="2:8" ht="18" customHeight="1" x14ac:dyDescent="0.2">
      <c r="B27" s="120">
        <v>21</v>
      </c>
      <c r="C27" s="112" t="str">
        <f>Config!C25&amp;", "&amp;Config!D25</f>
        <v>Klotz, Karin</v>
      </c>
      <c r="D27" s="63" t="s">
        <v>120</v>
      </c>
      <c r="E27" s="63" t="s">
        <v>120</v>
      </c>
      <c r="F27" s="63" t="s">
        <v>120</v>
      </c>
      <c r="G27" s="63"/>
      <c r="H27" s="66"/>
    </row>
    <row r="28" spans="2:8" ht="18" customHeight="1" x14ac:dyDescent="0.2">
      <c r="B28" s="120">
        <v>22</v>
      </c>
      <c r="C28" s="112" t="str">
        <f>Config!C26&amp;", "&amp;Config!D26</f>
        <v>Ehlers, Ingo</v>
      </c>
      <c r="D28" s="63" t="s">
        <v>120</v>
      </c>
      <c r="E28" s="63"/>
      <c r="F28" s="63"/>
      <c r="G28" s="63"/>
      <c r="H28" s="66" t="s">
        <v>120</v>
      </c>
    </row>
    <row r="29" spans="2:8" ht="18" customHeight="1" thickBot="1" x14ac:dyDescent="0.25">
      <c r="B29" s="121">
        <v>23</v>
      </c>
      <c r="C29" s="118" t="str">
        <f>Config!C27&amp;", "&amp;Config!D27</f>
        <v>Lindemann, Mads</v>
      </c>
      <c r="D29" s="67" t="s">
        <v>120</v>
      </c>
      <c r="E29" s="67"/>
      <c r="F29" s="67"/>
      <c r="G29" s="67" t="s">
        <v>120</v>
      </c>
      <c r="H29" s="68"/>
    </row>
    <row r="30" spans="2:8" ht="18" customHeight="1" x14ac:dyDescent="0.2"/>
    <row r="31" spans="2:8" ht="18" customHeight="1" x14ac:dyDescent="0.2"/>
    <row r="32" spans="2:8"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mergeCells count="1">
    <mergeCell ref="J6:N8"/>
  </mergeCells>
  <dataValidations count="1">
    <dataValidation type="list" allowBlank="1" showDropDown="1" showInputMessage="1" showErrorMessage="1" sqref="D7:H29" xr:uid="{E15CAA5A-E687-4952-A543-D4E4DAE727EF}">
      <formula1>"x,"</formula1>
    </dataValidation>
  </dataValidations>
  <pageMargins left="0.7" right="0.7" top="0.78740157499999996" bottom="0.78740157499999996" header="0.3" footer="0.3"/>
  <drawing r:id="rId1"/>
  <legacyDrawing r:id="rId2"/>
  <controls>
    <mc:AlternateContent xmlns:mc="http://schemas.openxmlformats.org/markup-compatibility/2006">
      <mc:Choice Requires="x14">
        <control shapeId="308226" r:id="rId3" name="btnSelExUpdate">
          <controlPr defaultSize="0" print="0" autoLine="0" r:id="rId4">
            <anchor>
              <from>
                <xdr:col>9</xdr:col>
                <xdr:colOff>0</xdr:colOff>
                <xdr:row>1</xdr:row>
                <xdr:rowOff>0</xdr:rowOff>
              </from>
              <to>
                <xdr:col>10</xdr:col>
                <xdr:colOff>590550</xdr:colOff>
                <xdr:row>3</xdr:row>
                <xdr:rowOff>47625</xdr:rowOff>
              </to>
            </anchor>
          </controlPr>
        </control>
      </mc:Choice>
      <mc:Fallback>
        <control shapeId="308226" r:id="rId3" name="btnSelExUp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Z45"/>
  <sheetViews>
    <sheetView tabSelected="1" zoomScaleNormal="100" workbookViewId="0">
      <selection activeCell="C5" sqref="C5"/>
    </sheetView>
  </sheetViews>
  <sheetFormatPr baseColWidth="10" defaultColWidth="11.42578125" defaultRowHeight="12.75" x14ac:dyDescent="0.2"/>
  <cols>
    <col min="1" max="2" width="3.42578125" style="3" customWidth="1"/>
    <col min="3" max="4" width="17.5703125" style="3" customWidth="1"/>
    <col min="5" max="5" width="4.42578125" style="3" customWidth="1"/>
    <col min="6" max="19" width="6.7109375" style="3" customWidth="1"/>
    <col min="20" max="20" width="2.5703125" style="3" customWidth="1"/>
    <col min="21" max="21" width="2.42578125" style="3" customWidth="1"/>
    <col min="22" max="22" width="2.5703125" style="3" customWidth="1"/>
    <col min="23" max="25" width="11.42578125" style="3"/>
    <col min="26" max="26" width="11.42578125" style="3" customWidth="1"/>
    <col min="27" max="16384" width="11.42578125" style="3"/>
  </cols>
  <sheetData>
    <row r="1" spans="2:26" ht="13.5" thickBot="1" x14ac:dyDescent="0.25"/>
    <row r="2" spans="2:26" ht="13.15" customHeight="1" x14ac:dyDescent="0.2">
      <c r="B2" s="188" t="s">
        <v>6</v>
      </c>
      <c r="C2" s="189"/>
      <c r="D2" s="190"/>
      <c r="F2" s="170" t="s">
        <v>96</v>
      </c>
      <c r="G2" s="171"/>
      <c r="H2" s="171"/>
      <c r="I2" s="171"/>
      <c r="J2" s="171"/>
      <c r="K2" s="171"/>
      <c r="L2" s="171"/>
      <c r="M2" s="171"/>
      <c r="N2" s="171"/>
      <c r="O2" s="171"/>
      <c r="P2" s="171"/>
      <c r="Q2" s="171"/>
      <c r="R2" s="171"/>
      <c r="S2" s="172"/>
      <c r="T2" s="80" t="s">
        <v>88</v>
      </c>
      <c r="V2" s="156" t="s">
        <v>89</v>
      </c>
      <c r="W2" s="157"/>
      <c r="X2" s="157"/>
      <c r="Y2" s="157"/>
      <c r="Z2" s="158"/>
    </row>
    <row r="3" spans="2:26" ht="13.15" customHeight="1" x14ac:dyDescent="0.2">
      <c r="B3" s="191"/>
      <c r="C3" s="192"/>
      <c r="D3" s="193"/>
      <c r="F3" s="173"/>
      <c r="G3" s="174"/>
      <c r="H3" s="174"/>
      <c r="I3" s="174"/>
      <c r="J3" s="174"/>
      <c r="K3" s="174"/>
      <c r="L3" s="174"/>
      <c r="M3" s="174"/>
      <c r="N3" s="174"/>
      <c r="O3" s="174"/>
      <c r="P3" s="174"/>
      <c r="Q3" s="174"/>
      <c r="R3" s="174"/>
      <c r="S3" s="175"/>
      <c r="V3" s="81" t="s">
        <v>90</v>
      </c>
      <c r="W3" s="179" t="s">
        <v>122</v>
      </c>
      <c r="X3" s="179"/>
      <c r="Y3" s="179"/>
      <c r="Z3" s="180"/>
    </row>
    <row r="4" spans="2:26" ht="13.15" customHeight="1" x14ac:dyDescent="0.2">
      <c r="B4" s="4"/>
      <c r="C4" s="17" t="s">
        <v>7</v>
      </c>
      <c r="D4" s="18" t="s">
        <v>8</v>
      </c>
      <c r="F4" s="26" t="s">
        <v>9</v>
      </c>
      <c r="G4" s="21"/>
      <c r="H4" s="84" t="s">
        <v>10</v>
      </c>
      <c r="I4" s="21"/>
      <c r="J4" s="84" t="s">
        <v>11</v>
      </c>
      <c r="K4" s="21"/>
      <c r="L4" s="84" t="s">
        <v>12</v>
      </c>
      <c r="M4" s="21"/>
      <c r="N4" s="84" t="s">
        <v>13</v>
      </c>
      <c r="O4" s="25"/>
      <c r="P4" s="84" t="s">
        <v>14</v>
      </c>
      <c r="Q4" s="25"/>
      <c r="R4" s="84" t="s">
        <v>112</v>
      </c>
      <c r="S4" s="19"/>
      <c r="T4" s="80" t="s">
        <v>88</v>
      </c>
      <c r="V4" s="81"/>
      <c r="W4" s="179"/>
      <c r="X4" s="179"/>
      <c r="Y4" s="179"/>
      <c r="Z4" s="180"/>
    </row>
    <row r="5" spans="2:26" ht="13.15" customHeight="1" x14ac:dyDescent="0.2">
      <c r="B5" s="5">
        <v>1</v>
      </c>
      <c r="C5" s="76" t="s">
        <v>58</v>
      </c>
      <c r="D5" s="77"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1"/>
      <c r="W5" s="179"/>
      <c r="X5" s="179"/>
      <c r="Y5" s="179"/>
      <c r="Z5" s="180"/>
    </row>
    <row r="6" spans="2:26" ht="13.15" customHeight="1" x14ac:dyDescent="0.2">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80" t="s">
        <v>88</v>
      </c>
      <c r="V6" s="81" t="s">
        <v>91</v>
      </c>
      <c r="W6" s="179"/>
      <c r="X6" s="179"/>
      <c r="Y6" s="179"/>
      <c r="Z6" s="180"/>
    </row>
    <row r="7" spans="2:26" ht="13.15" customHeight="1" x14ac:dyDescent="0.2">
      <c r="B7" s="5">
        <v>3</v>
      </c>
      <c r="C7" s="78" t="s">
        <v>60</v>
      </c>
      <c r="D7" s="79" t="s">
        <v>39</v>
      </c>
      <c r="F7" s="72" t="s">
        <v>16</v>
      </c>
      <c r="G7" s="73">
        <v>2</v>
      </c>
      <c r="H7" s="74" t="s">
        <v>16</v>
      </c>
      <c r="I7" s="73">
        <v>3</v>
      </c>
      <c r="J7" s="74"/>
      <c r="K7" s="73"/>
      <c r="L7" s="74" t="s">
        <v>16</v>
      </c>
      <c r="M7" s="73">
        <v>2</v>
      </c>
      <c r="N7" s="74" t="s">
        <v>16</v>
      </c>
      <c r="O7" s="73">
        <v>3</v>
      </c>
      <c r="P7" s="74" t="s">
        <v>16</v>
      </c>
      <c r="Q7" s="73">
        <v>3</v>
      </c>
      <c r="R7" s="74" t="s">
        <v>114</v>
      </c>
      <c r="S7" s="75">
        <v>2</v>
      </c>
      <c r="V7" s="81"/>
      <c r="W7" s="179"/>
      <c r="X7" s="179"/>
      <c r="Y7" s="179"/>
      <c r="Z7" s="180"/>
    </row>
    <row r="8" spans="2:26" ht="13.15" customHeight="1" x14ac:dyDescent="0.2">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1"/>
      <c r="W8" s="179"/>
      <c r="X8" s="179"/>
      <c r="Y8" s="179"/>
      <c r="Z8" s="180"/>
    </row>
    <row r="9" spans="2:26" ht="13.15" customHeight="1" x14ac:dyDescent="0.2">
      <c r="B9" s="5">
        <v>5</v>
      </c>
      <c r="C9" s="78" t="s">
        <v>62</v>
      </c>
      <c r="D9" s="79" t="s">
        <v>41</v>
      </c>
      <c r="F9" s="72" t="s">
        <v>18</v>
      </c>
      <c r="G9" s="73">
        <v>3</v>
      </c>
      <c r="H9" s="74" t="s">
        <v>24</v>
      </c>
      <c r="I9" s="73">
        <v>3</v>
      </c>
      <c r="J9" s="74"/>
      <c r="K9" s="73"/>
      <c r="L9" s="74" t="s">
        <v>24</v>
      </c>
      <c r="M9" s="73">
        <v>4</v>
      </c>
      <c r="N9" s="74"/>
      <c r="O9" s="73"/>
      <c r="P9" s="74" t="s">
        <v>24</v>
      </c>
      <c r="Q9" s="73">
        <v>3</v>
      </c>
      <c r="R9" s="74" t="s">
        <v>116</v>
      </c>
      <c r="S9" s="75">
        <v>5</v>
      </c>
      <c r="V9" s="81" t="s">
        <v>92</v>
      </c>
      <c r="W9" s="179"/>
      <c r="X9" s="179"/>
      <c r="Y9" s="179"/>
      <c r="Z9" s="180"/>
    </row>
    <row r="10" spans="2:26" ht="13.15" customHeight="1" x14ac:dyDescent="0.2">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1"/>
      <c r="W10" s="179"/>
      <c r="X10" s="179"/>
      <c r="Y10" s="179"/>
      <c r="Z10" s="180"/>
    </row>
    <row r="11" spans="2:26" ht="13.15" customHeight="1" x14ac:dyDescent="0.2">
      <c r="B11" s="5">
        <v>7</v>
      </c>
      <c r="C11" s="78" t="s">
        <v>64</v>
      </c>
      <c r="D11" s="79" t="s">
        <v>43</v>
      </c>
      <c r="F11" s="72" t="s">
        <v>4</v>
      </c>
      <c r="G11" s="73">
        <v>2</v>
      </c>
      <c r="H11" s="74" t="s">
        <v>26</v>
      </c>
      <c r="I11" s="73">
        <v>4</v>
      </c>
      <c r="J11" s="74"/>
      <c r="K11" s="73"/>
      <c r="L11" s="74"/>
      <c r="M11" s="73"/>
      <c r="N11" s="74"/>
      <c r="O11" s="73"/>
      <c r="P11" s="74"/>
      <c r="Q11" s="73"/>
      <c r="R11" s="74"/>
      <c r="S11" s="75"/>
      <c r="V11" s="81"/>
      <c r="W11" s="179"/>
      <c r="X11" s="179"/>
      <c r="Y11" s="179"/>
      <c r="Z11" s="180"/>
    </row>
    <row r="12" spans="2:26" ht="13.15" customHeight="1" x14ac:dyDescent="0.2">
      <c r="B12" s="5">
        <v>8</v>
      </c>
      <c r="C12" s="13" t="s">
        <v>65</v>
      </c>
      <c r="D12" s="14" t="s">
        <v>44</v>
      </c>
      <c r="F12" s="11"/>
      <c r="G12" s="33"/>
      <c r="H12" s="12" t="s">
        <v>27</v>
      </c>
      <c r="I12" s="33">
        <v>3</v>
      </c>
      <c r="J12" s="12"/>
      <c r="K12" s="33"/>
      <c r="L12" s="12"/>
      <c r="M12" s="33"/>
      <c r="N12" s="12"/>
      <c r="O12" s="33"/>
      <c r="P12" s="12"/>
      <c r="Q12" s="33"/>
      <c r="R12" s="12"/>
      <c r="S12" s="34"/>
      <c r="V12" s="81" t="s">
        <v>93</v>
      </c>
      <c r="W12" s="179"/>
      <c r="X12" s="179"/>
      <c r="Y12" s="179"/>
      <c r="Z12" s="180"/>
    </row>
    <row r="13" spans="2:26" ht="13.15" customHeight="1" x14ac:dyDescent="0.2">
      <c r="B13" s="5">
        <v>9</v>
      </c>
      <c r="C13" s="78" t="s">
        <v>66</v>
      </c>
      <c r="D13" s="79" t="s">
        <v>45</v>
      </c>
      <c r="F13" s="72"/>
      <c r="G13" s="73"/>
      <c r="H13" s="74" t="s">
        <v>28</v>
      </c>
      <c r="I13" s="73">
        <v>4</v>
      </c>
      <c r="J13" s="74"/>
      <c r="K13" s="73"/>
      <c r="L13" s="74"/>
      <c r="M13" s="73"/>
      <c r="N13" s="74"/>
      <c r="O13" s="73"/>
      <c r="P13" s="74"/>
      <c r="Q13" s="73"/>
      <c r="R13" s="74"/>
      <c r="S13" s="75"/>
      <c r="V13" s="81"/>
      <c r="W13" s="179"/>
      <c r="X13" s="179"/>
      <c r="Y13" s="179"/>
      <c r="Z13" s="180"/>
    </row>
    <row r="14" spans="2:26" ht="13.15" customHeight="1" x14ac:dyDescent="0.2">
      <c r="B14" s="5">
        <v>10</v>
      </c>
      <c r="C14" s="13" t="s">
        <v>67</v>
      </c>
      <c r="D14" s="14" t="s">
        <v>46</v>
      </c>
      <c r="F14" s="11"/>
      <c r="G14" s="33"/>
      <c r="H14" s="12" t="s">
        <v>5</v>
      </c>
      <c r="I14" s="33">
        <v>2</v>
      </c>
      <c r="J14" s="12"/>
      <c r="K14" s="33"/>
      <c r="L14" s="12"/>
      <c r="M14" s="33"/>
      <c r="N14" s="12"/>
      <c r="O14" s="33"/>
      <c r="P14" s="12"/>
      <c r="Q14" s="33"/>
      <c r="R14" s="12"/>
      <c r="S14" s="34"/>
      <c r="V14" s="81"/>
      <c r="W14" s="179"/>
      <c r="X14" s="179"/>
      <c r="Y14" s="179"/>
      <c r="Z14" s="180"/>
    </row>
    <row r="15" spans="2:26" ht="13.15" customHeight="1" x14ac:dyDescent="0.2">
      <c r="B15" s="5">
        <v>11</v>
      </c>
      <c r="C15" s="78" t="s">
        <v>68</v>
      </c>
      <c r="D15" s="79" t="s">
        <v>47</v>
      </c>
      <c r="F15" s="72"/>
      <c r="G15" s="73"/>
      <c r="H15" s="74" t="s">
        <v>29</v>
      </c>
      <c r="I15" s="73">
        <v>2</v>
      </c>
      <c r="J15" s="74"/>
      <c r="K15" s="73"/>
      <c r="L15" s="74"/>
      <c r="M15" s="73"/>
      <c r="N15" s="74"/>
      <c r="O15" s="73"/>
      <c r="P15" s="74"/>
      <c r="Q15" s="73"/>
      <c r="R15" s="74"/>
      <c r="S15" s="75"/>
      <c r="V15" s="81" t="s">
        <v>94</v>
      </c>
      <c r="W15" s="179"/>
      <c r="X15" s="179"/>
      <c r="Y15" s="179"/>
      <c r="Z15" s="180"/>
    </row>
    <row r="16" spans="2:26" ht="13.15" customHeight="1" x14ac:dyDescent="0.2">
      <c r="B16" s="5">
        <v>12</v>
      </c>
      <c r="C16" s="13" t="s">
        <v>69</v>
      </c>
      <c r="D16" s="14" t="s">
        <v>48</v>
      </c>
      <c r="F16" s="11"/>
      <c r="G16" s="33"/>
      <c r="H16" s="12"/>
      <c r="I16" s="33"/>
      <c r="J16" s="12"/>
      <c r="K16" s="33"/>
      <c r="L16" s="12"/>
      <c r="M16" s="33"/>
      <c r="N16" s="12"/>
      <c r="O16" s="33"/>
      <c r="P16" s="12"/>
      <c r="Q16" s="33"/>
      <c r="R16" s="12"/>
      <c r="S16" s="34"/>
      <c r="V16" s="81"/>
      <c r="W16" s="179"/>
      <c r="X16" s="179"/>
      <c r="Y16" s="179"/>
      <c r="Z16" s="180"/>
    </row>
    <row r="17" spans="2:26" ht="13.15" customHeight="1" x14ac:dyDescent="0.2">
      <c r="B17" s="5">
        <v>13</v>
      </c>
      <c r="C17" s="78" t="s">
        <v>70</v>
      </c>
      <c r="D17" s="79" t="s">
        <v>20</v>
      </c>
      <c r="F17" s="72"/>
      <c r="G17" s="73"/>
      <c r="H17" s="74"/>
      <c r="I17" s="73"/>
      <c r="J17" s="74"/>
      <c r="K17" s="73"/>
      <c r="L17" s="74"/>
      <c r="M17" s="73"/>
      <c r="N17" s="74"/>
      <c r="O17" s="73"/>
      <c r="P17" s="74"/>
      <c r="Q17" s="73"/>
      <c r="R17" s="74"/>
      <c r="S17" s="75"/>
      <c r="V17" s="81"/>
      <c r="W17" s="179"/>
      <c r="X17" s="179"/>
      <c r="Y17" s="179"/>
      <c r="Z17" s="180"/>
    </row>
    <row r="18" spans="2:26" ht="13.15" customHeight="1" x14ac:dyDescent="0.2">
      <c r="B18" s="5">
        <v>14</v>
      </c>
      <c r="C18" s="13" t="s">
        <v>71</v>
      </c>
      <c r="D18" s="14" t="s">
        <v>49</v>
      </c>
      <c r="F18" s="11"/>
      <c r="G18" s="33"/>
      <c r="H18" s="12"/>
      <c r="I18" s="33"/>
      <c r="J18" s="12"/>
      <c r="K18" s="33"/>
      <c r="L18" s="12"/>
      <c r="M18" s="33"/>
      <c r="N18" s="12"/>
      <c r="O18" s="33"/>
      <c r="P18" s="12"/>
      <c r="Q18" s="33"/>
      <c r="R18" s="12"/>
      <c r="S18" s="34"/>
      <c r="V18" s="81" t="s">
        <v>95</v>
      </c>
      <c r="W18" s="179"/>
      <c r="X18" s="179"/>
      <c r="Y18" s="179"/>
      <c r="Z18" s="180"/>
    </row>
    <row r="19" spans="2:26" ht="13.15" customHeight="1" x14ac:dyDescent="0.2">
      <c r="B19" s="5">
        <v>15</v>
      </c>
      <c r="C19" s="78" t="s">
        <v>72</v>
      </c>
      <c r="D19" s="79" t="s">
        <v>50</v>
      </c>
      <c r="F19" s="72"/>
      <c r="G19" s="73"/>
      <c r="H19" s="74"/>
      <c r="I19" s="73"/>
      <c r="J19" s="74"/>
      <c r="K19" s="73"/>
      <c r="L19" s="74"/>
      <c r="M19" s="73"/>
      <c r="N19" s="74"/>
      <c r="O19" s="73"/>
      <c r="P19" s="74"/>
      <c r="Q19" s="73"/>
      <c r="R19" s="74"/>
      <c r="S19" s="75"/>
      <c r="V19" s="81"/>
      <c r="W19" s="179"/>
      <c r="X19" s="179"/>
      <c r="Y19" s="179"/>
      <c r="Z19" s="180"/>
    </row>
    <row r="20" spans="2:26" ht="13.15" customHeight="1" x14ac:dyDescent="0.2">
      <c r="B20" s="5">
        <v>16</v>
      </c>
      <c r="C20" s="13" t="s">
        <v>73</v>
      </c>
      <c r="D20" s="14" t="s">
        <v>51</v>
      </c>
      <c r="F20" s="89"/>
      <c r="G20" s="90"/>
      <c r="H20" s="91"/>
      <c r="I20" s="90"/>
      <c r="J20" s="91"/>
      <c r="K20" s="90"/>
      <c r="L20" s="91"/>
      <c r="M20" s="90"/>
      <c r="N20" s="91"/>
      <c r="O20" s="90"/>
      <c r="P20" s="91"/>
      <c r="Q20" s="90"/>
      <c r="R20" s="91"/>
      <c r="S20" s="92"/>
      <c r="V20" s="81"/>
      <c r="W20" s="179"/>
      <c r="X20" s="179"/>
      <c r="Y20" s="179"/>
      <c r="Z20" s="180"/>
    </row>
    <row r="21" spans="2:26" ht="13.15" customHeight="1" x14ac:dyDescent="0.2">
      <c r="B21" s="5">
        <v>17</v>
      </c>
      <c r="C21" s="78" t="s">
        <v>74</v>
      </c>
      <c r="D21" s="79" t="s">
        <v>52</v>
      </c>
      <c r="F21" s="86">
        <f>COUNTA(F6:F20)</f>
        <v>6</v>
      </c>
      <c r="G21" s="83">
        <f>SUM(G6:G20)</f>
        <v>15</v>
      </c>
      <c r="H21" s="87">
        <f>COUNTA(H6:H20)</f>
        <v>10</v>
      </c>
      <c r="I21" s="88">
        <f>SUM(I6:I20)</f>
        <v>30</v>
      </c>
      <c r="J21" s="87">
        <f>COUNTA(J6:J20)</f>
        <v>1</v>
      </c>
      <c r="K21" s="88">
        <f>SUM(K6:K20)</f>
        <v>5</v>
      </c>
      <c r="L21" s="87">
        <f>COUNTA(L6:L20)</f>
        <v>5</v>
      </c>
      <c r="M21" s="88">
        <f>SUM(M6:M20)</f>
        <v>17</v>
      </c>
      <c r="N21" s="87">
        <f>COUNTA(N6:N20)</f>
        <v>2</v>
      </c>
      <c r="O21" s="88">
        <f>SUM(O6:O20)</f>
        <v>5</v>
      </c>
      <c r="P21" s="87">
        <f>COUNTA(P6:P20)</f>
        <v>5</v>
      </c>
      <c r="Q21" s="88">
        <f>SUM(Q6:Q20)</f>
        <v>18</v>
      </c>
      <c r="R21" s="85">
        <f>COUNTA(R6:R20)</f>
        <v>5</v>
      </c>
      <c r="S21" s="94">
        <v>10</v>
      </c>
      <c r="T21" s="80"/>
      <c r="V21" s="81" t="s">
        <v>121</v>
      </c>
      <c r="W21" s="179"/>
      <c r="X21" s="179"/>
      <c r="Y21" s="179"/>
      <c r="Z21" s="180"/>
    </row>
    <row r="22" spans="2:26" ht="13.5" thickBot="1" x14ac:dyDescent="0.25">
      <c r="B22" s="5">
        <v>18</v>
      </c>
      <c r="C22" s="13" t="s">
        <v>75</v>
      </c>
      <c r="D22" s="14" t="s">
        <v>53</v>
      </c>
      <c r="F22" s="176" t="s">
        <v>118</v>
      </c>
      <c r="G22" s="177"/>
      <c r="H22" s="178" t="s">
        <v>118</v>
      </c>
      <c r="I22" s="177"/>
      <c r="J22" s="178" t="s">
        <v>118</v>
      </c>
      <c r="K22" s="177"/>
      <c r="L22" s="178" t="s">
        <v>118</v>
      </c>
      <c r="M22" s="177"/>
      <c r="N22" s="178" t="s">
        <v>118</v>
      </c>
      <c r="O22" s="177"/>
      <c r="P22" s="178" t="s">
        <v>118</v>
      </c>
      <c r="Q22" s="177"/>
      <c r="R22" s="178" t="s">
        <v>119</v>
      </c>
      <c r="S22" s="187"/>
      <c r="T22" s="80" t="s">
        <v>88</v>
      </c>
      <c r="V22" s="4"/>
      <c r="W22" s="179"/>
      <c r="X22" s="179"/>
      <c r="Y22" s="179"/>
      <c r="Z22" s="180"/>
    </row>
    <row r="23" spans="2:26" ht="13.15" customHeight="1" x14ac:dyDescent="0.2">
      <c r="B23" s="5">
        <v>19</v>
      </c>
      <c r="C23" s="78" t="s">
        <v>76</v>
      </c>
      <c r="D23" s="79" t="s">
        <v>54</v>
      </c>
      <c r="V23" s="4"/>
      <c r="W23" s="179"/>
      <c r="X23" s="179"/>
      <c r="Y23" s="179"/>
      <c r="Z23" s="180"/>
    </row>
    <row r="24" spans="2:26" ht="13.15" customHeight="1" x14ac:dyDescent="0.2">
      <c r="B24" s="5">
        <v>20</v>
      </c>
      <c r="C24" s="13" t="s">
        <v>77</v>
      </c>
      <c r="D24" s="14" t="s">
        <v>55</v>
      </c>
      <c r="M24" s="48"/>
      <c r="V24" s="4" t="s">
        <v>123</v>
      </c>
      <c r="W24" s="179"/>
      <c r="X24" s="179"/>
      <c r="Y24" s="179"/>
      <c r="Z24" s="180"/>
    </row>
    <row r="25" spans="2:26" ht="13.15" customHeight="1" x14ac:dyDescent="0.2">
      <c r="B25" s="5">
        <v>21</v>
      </c>
      <c r="C25" s="78" t="s">
        <v>78</v>
      </c>
      <c r="D25" s="79" t="s">
        <v>56</v>
      </c>
      <c r="V25" s="4"/>
      <c r="W25" s="179"/>
      <c r="X25" s="179"/>
      <c r="Y25" s="179"/>
      <c r="Z25" s="180"/>
    </row>
    <row r="26" spans="2:26" ht="13.15" customHeight="1" thickBot="1" x14ac:dyDescent="0.25">
      <c r="B26" s="5">
        <v>22</v>
      </c>
      <c r="C26" s="13" t="s">
        <v>79</v>
      </c>
      <c r="D26" s="14" t="s">
        <v>57</v>
      </c>
      <c r="V26" s="4"/>
      <c r="W26" s="179"/>
      <c r="X26" s="179"/>
      <c r="Y26" s="179"/>
      <c r="Z26" s="180"/>
    </row>
    <row r="27" spans="2:26" ht="13.15" customHeight="1" x14ac:dyDescent="0.2">
      <c r="B27" s="5">
        <v>23</v>
      </c>
      <c r="C27" s="78" t="s">
        <v>80</v>
      </c>
      <c r="D27" s="79" t="s">
        <v>53</v>
      </c>
      <c r="F27" s="22" t="s">
        <v>22</v>
      </c>
      <c r="G27" s="159">
        <v>46150</v>
      </c>
      <c r="H27" s="160"/>
      <c r="J27" s="161" t="s">
        <v>99</v>
      </c>
      <c r="K27" s="162"/>
      <c r="L27" s="162"/>
      <c r="M27" s="162"/>
      <c r="N27" s="162"/>
      <c r="O27" s="162"/>
      <c r="P27" s="162"/>
      <c r="Q27" s="163"/>
      <c r="V27" s="4"/>
      <c r="W27" s="179"/>
      <c r="X27" s="179"/>
      <c r="Y27" s="179"/>
      <c r="Z27" s="180"/>
    </row>
    <row r="28" spans="2:26" ht="13.15" customHeight="1" x14ac:dyDescent="0.2">
      <c r="B28" s="5">
        <v>24</v>
      </c>
      <c r="C28" s="13"/>
      <c r="D28" s="14"/>
      <c r="F28" s="23" t="s">
        <v>30</v>
      </c>
      <c r="G28" s="183" t="s">
        <v>86</v>
      </c>
      <c r="H28" s="184"/>
      <c r="J28" s="164" t="s">
        <v>98</v>
      </c>
      <c r="K28" s="165"/>
      <c r="L28" s="165"/>
      <c r="M28" s="165"/>
      <c r="N28" s="165"/>
      <c r="O28" s="165"/>
      <c r="P28" s="165"/>
      <c r="Q28" s="166"/>
      <c r="V28" s="4"/>
      <c r="W28" s="179"/>
      <c r="X28" s="179"/>
      <c r="Y28" s="179"/>
      <c r="Z28" s="180"/>
    </row>
    <row r="29" spans="2:26" ht="13.15" customHeight="1" thickBot="1" x14ac:dyDescent="0.25">
      <c r="B29" s="5">
        <v>25</v>
      </c>
      <c r="C29" s="78"/>
      <c r="D29" s="79"/>
      <c r="F29" s="24" t="s">
        <v>21</v>
      </c>
      <c r="G29" s="185" t="s">
        <v>87</v>
      </c>
      <c r="H29" s="186"/>
      <c r="J29" s="167" t="s">
        <v>126</v>
      </c>
      <c r="K29" s="168"/>
      <c r="L29" s="168"/>
      <c r="M29" s="168"/>
      <c r="N29" s="168"/>
      <c r="O29" s="168"/>
      <c r="P29" s="168"/>
      <c r="Q29" s="169"/>
      <c r="V29" s="93"/>
      <c r="W29" s="181"/>
      <c r="X29" s="181"/>
      <c r="Y29" s="181"/>
      <c r="Z29" s="182"/>
    </row>
    <row r="30" spans="2:26" ht="13.15" customHeight="1" thickBot="1" x14ac:dyDescent="0.25">
      <c r="B30" s="5">
        <v>26</v>
      </c>
      <c r="C30" s="13"/>
      <c r="D30" s="14"/>
    </row>
    <row r="31" spans="2:26" ht="13.15" customHeight="1" x14ac:dyDescent="0.2">
      <c r="B31" s="5">
        <v>27</v>
      </c>
      <c r="C31" s="78"/>
      <c r="D31" s="79"/>
      <c r="F31" s="194" t="s">
        <v>97</v>
      </c>
      <c r="G31" s="195"/>
      <c r="H31" s="195"/>
      <c r="I31" s="195"/>
      <c r="J31" s="195"/>
      <c r="K31" s="195"/>
      <c r="L31" s="195"/>
      <c r="M31" s="195"/>
      <c r="N31" s="195"/>
      <c r="O31" s="195"/>
      <c r="P31" s="195"/>
      <c r="Q31" s="196"/>
    </row>
    <row r="32" spans="2:26" ht="13.15" customHeight="1" x14ac:dyDescent="0.2">
      <c r="B32" s="5">
        <v>28</v>
      </c>
      <c r="C32" s="13"/>
      <c r="D32" s="14"/>
      <c r="F32" s="197"/>
      <c r="G32" s="198"/>
      <c r="H32" s="198"/>
      <c r="I32" s="198"/>
      <c r="J32" s="198"/>
      <c r="K32" s="198"/>
      <c r="L32" s="198"/>
      <c r="M32" s="198"/>
      <c r="N32" s="198"/>
      <c r="O32" s="198"/>
      <c r="P32" s="198"/>
      <c r="Q32" s="199"/>
    </row>
    <row r="33" spans="2:17" ht="13.15" customHeight="1" x14ac:dyDescent="0.2">
      <c r="B33" s="5">
        <v>29</v>
      </c>
      <c r="C33" s="78"/>
      <c r="D33" s="79"/>
      <c r="F33" s="197"/>
      <c r="G33" s="198"/>
      <c r="H33" s="198"/>
      <c r="I33" s="198"/>
      <c r="J33" s="198"/>
      <c r="K33" s="198"/>
      <c r="L33" s="198"/>
      <c r="M33" s="198"/>
      <c r="N33" s="198"/>
      <c r="O33" s="198"/>
      <c r="P33" s="198"/>
      <c r="Q33" s="199"/>
    </row>
    <row r="34" spans="2:17" ht="13.15" customHeight="1" x14ac:dyDescent="0.2">
      <c r="B34" s="5">
        <v>30</v>
      </c>
      <c r="C34" s="13"/>
      <c r="D34" s="14"/>
      <c r="F34" s="197"/>
      <c r="G34" s="198"/>
      <c r="H34" s="198"/>
      <c r="I34" s="198"/>
      <c r="J34" s="198"/>
      <c r="K34" s="198"/>
      <c r="L34" s="198"/>
      <c r="M34" s="198"/>
      <c r="N34" s="198"/>
      <c r="O34" s="198"/>
      <c r="P34" s="198"/>
      <c r="Q34" s="199"/>
    </row>
    <row r="35" spans="2:17" ht="13.15" customHeight="1" x14ac:dyDescent="0.2">
      <c r="B35" s="5">
        <v>31</v>
      </c>
      <c r="C35" s="78"/>
      <c r="D35" s="79"/>
      <c r="F35" s="197"/>
      <c r="G35" s="198"/>
      <c r="H35" s="198"/>
      <c r="I35" s="198"/>
      <c r="J35" s="198"/>
      <c r="K35" s="198"/>
      <c r="L35" s="198"/>
      <c r="M35" s="198"/>
      <c r="N35" s="198"/>
      <c r="O35" s="198"/>
      <c r="P35" s="198"/>
      <c r="Q35" s="199"/>
    </row>
    <row r="36" spans="2:17" ht="13.15" customHeight="1" x14ac:dyDescent="0.2">
      <c r="B36" s="5">
        <v>32</v>
      </c>
      <c r="C36" s="13"/>
      <c r="D36" s="14"/>
      <c r="F36" s="197"/>
      <c r="G36" s="198"/>
      <c r="H36" s="198"/>
      <c r="I36" s="198"/>
      <c r="J36" s="198"/>
      <c r="K36" s="198"/>
      <c r="L36" s="198"/>
      <c r="M36" s="198"/>
      <c r="N36" s="198"/>
      <c r="O36" s="198"/>
      <c r="P36" s="198"/>
      <c r="Q36" s="199"/>
    </row>
    <row r="37" spans="2:17" ht="13.15" customHeight="1" x14ac:dyDescent="0.2">
      <c r="B37" s="5">
        <v>33</v>
      </c>
      <c r="C37" s="78"/>
      <c r="D37" s="79"/>
      <c r="F37" s="197"/>
      <c r="G37" s="198"/>
      <c r="H37" s="198"/>
      <c r="I37" s="198"/>
      <c r="J37" s="198"/>
      <c r="K37" s="198"/>
      <c r="L37" s="198"/>
      <c r="M37" s="198"/>
      <c r="N37" s="198"/>
      <c r="O37" s="198"/>
      <c r="P37" s="198"/>
      <c r="Q37" s="199"/>
    </row>
    <row r="38" spans="2:17" ht="13.15" customHeight="1" x14ac:dyDescent="0.2">
      <c r="B38" s="5">
        <v>34</v>
      </c>
      <c r="C38" s="13"/>
      <c r="D38" s="14"/>
      <c r="F38" s="197"/>
      <c r="G38" s="198"/>
      <c r="H38" s="198"/>
      <c r="I38" s="198"/>
      <c r="J38" s="198"/>
      <c r="K38" s="198"/>
      <c r="L38" s="198"/>
      <c r="M38" s="198"/>
      <c r="N38" s="198"/>
      <c r="O38" s="198"/>
      <c r="P38" s="198"/>
      <c r="Q38" s="199"/>
    </row>
    <row r="39" spans="2:17" ht="13.15" customHeight="1" x14ac:dyDescent="0.2">
      <c r="B39" s="5">
        <v>35</v>
      </c>
      <c r="C39" s="78"/>
      <c r="D39" s="79"/>
      <c r="F39" s="197"/>
      <c r="G39" s="198"/>
      <c r="H39" s="198"/>
      <c r="I39" s="198"/>
      <c r="J39" s="198"/>
      <c r="K39" s="198"/>
      <c r="L39" s="198"/>
      <c r="M39" s="198"/>
      <c r="N39" s="198"/>
      <c r="O39" s="198"/>
      <c r="P39" s="198"/>
      <c r="Q39" s="199"/>
    </row>
    <row r="40" spans="2:17" ht="13.15" customHeight="1" x14ac:dyDescent="0.2">
      <c r="B40" s="5">
        <v>36</v>
      </c>
      <c r="C40" s="13"/>
      <c r="D40" s="14"/>
      <c r="F40" s="197"/>
      <c r="G40" s="198"/>
      <c r="H40" s="198"/>
      <c r="I40" s="198"/>
      <c r="J40" s="198"/>
      <c r="K40" s="198"/>
      <c r="L40" s="198"/>
      <c r="M40" s="198"/>
      <c r="N40" s="198"/>
      <c r="O40" s="198"/>
      <c r="P40" s="198"/>
      <c r="Q40" s="199"/>
    </row>
    <row r="41" spans="2:17" ht="13.15" customHeight="1" x14ac:dyDescent="0.2">
      <c r="B41" s="5">
        <v>37</v>
      </c>
      <c r="C41" s="78"/>
      <c r="D41" s="79"/>
      <c r="F41" s="197"/>
      <c r="G41" s="198"/>
      <c r="H41" s="198"/>
      <c r="I41" s="198"/>
      <c r="J41" s="198"/>
      <c r="K41" s="198"/>
      <c r="L41" s="198"/>
      <c r="M41" s="198"/>
      <c r="N41" s="198"/>
      <c r="O41" s="198"/>
      <c r="P41" s="198"/>
      <c r="Q41" s="199"/>
    </row>
    <row r="42" spans="2:17" ht="13.15" customHeight="1" x14ac:dyDescent="0.2">
      <c r="B42" s="5">
        <v>38</v>
      </c>
      <c r="C42" s="13"/>
      <c r="D42" s="14"/>
      <c r="F42" s="197"/>
      <c r="G42" s="198"/>
      <c r="H42" s="198"/>
      <c r="I42" s="198"/>
      <c r="J42" s="198"/>
      <c r="K42" s="198"/>
      <c r="L42" s="198"/>
      <c r="M42" s="198"/>
      <c r="N42" s="198"/>
      <c r="O42" s="198"/>
      <c r="P42" s="198"/>
      <c r="Q42" s="199"/>
    </row>
    <row r="43" spans="2:17" ht="13.15" customHeight="1" x14ac:dyDescent="0.2">
      <c r="B43" s="5">
        <v>39</v>
      </c>
      <c r="C43" s="78"/>
      <c r="D43" s="79"/>
      <c r="F43" s="197"/>
      <c r="G43" s="198"/>
      <c r="H43" s="198"/>
      <c r="I43" s="198"/>
      <c r="J43" s="198"/>
      <c r="K43" s="198"/>
      <c r="L43" s="198"/>
      <c r="M43" s="198"/>
      <c r="N43" s="198"/>
      <c r="O43" s="198"/>
      <c r="P43" s="198"/>
      <c r="Q43" s="199"/>
    </row>
    <row r="44" spans="2:17" ht="13.15" customHeight="1" thickBot="1" x14ac:dyDescent="0.25">
      <c r="B44" s="6">
        <v>40</v>
      </c>
      <c r="C44" s="15"/>
      <c r="D44" s="16"/>
      <c r="F44" s="200"/>
      <c r="G44" s="201"/>
      <c r="H44" s="201"/>
      <c r="I44" s="201"/>
      <c r="J44" s="201"/>
      <c r="K44" s="201"/>
      <c r="L44" s="201"/>
      <c r="M44" s="201"/>
      <c r="N44" s="201"/>
      <c r="O44" s="201"/>
      <c r="P44" s="201"/>
      <c r="Q44" s="202"/>
    </row>
    <row r="45" spans="2:17" x14ac:dyDescent="0.2">
      <c r="C45" s="10">
        <f>COUNTA(C5:C44)</f>
        <v>23</v>
      </c>
    </row>
  </sheetData>
  <sheetProtection sheet="1" objects="1" scenarios="1" selectLockedCells="1"/>
  <mergeCells count="18">
    <mergeCell ref="B2:D3"/>
    <mergeCell ref="F31:Q44"/>
    <mergeCell ref="V2:Z2"/>
    <mergeCell ref="G27:H27"/>
    <mergeCell ref="J27:Q27"/>
    <mergeCell ref="J28:Q28"/>
    <mergeCell ref="J29:Q29"/>
    <mergeCell ref="F2:S3"/>
    <mergeCell ref="F22:G22"/>
    <mergeCell ref="H22:I22"/>
    <mergeCell ref="J22:K22"/>
    <mergeCell ref="L22:M22"/>
    <mergeCell ref="N22:O22"/>
    <mergeCell ref="P22:Q22"/>
    <mergeCell ref="W3:Z29"/>
    <mergeCell ref="G28:H28"/>
    <mergeCell ref="G29:H29"/>
    <mergeCell ref="R22:S22"/>
  </mergeCells>
  <dataValidations count="2">
    <dataValidation type="custom" showInputMessage="1" showErrorMessage="1" sqref="J27:S29" xr:uid="{C85A5DCF-A5EF-4D06-8770-728CD61BE72F}">
      <formula1>"&lt;0&gt;0"</formula1>
    </dataValidation>
    <dataValidation type="list" allowBlank="1" showInputMessage="1" showErrorMessage="1" sqref="J22:R22 F22 H22" xr:uid="{F4A9CAD1-0480-4ADA-93BE-D2D9C0DD371C}">
      <formula1>"Nein,Ja"</formula1>
    </dataValidation>
  </dataValidations>
  <hyperlinks>
    <hyperlink ref="J28:Q28" r:id="rId1" display="GitHub Link" xr:uid="{A973A2A7-B95C-4AE9-8B6C-E5EA47EE1315}"/>
    <hyperlink ref="J27:Q27"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44" r:id="rId6" name="cmdCreateResults">
          <controlPr defaultSize="0" autoLine="0" r:id="rId7">
            <anchor>
              <from>
                <xdr:col>8</xdr:col>
                <xdr:colOff>95250</xdr:colOff>
                <xdr:row>22</xdr:row>
                <xdr:rowOff>66675</xdr:rowOff>
              </from>
              <to>
                <xdr:col>11</xdr:col>
                <xdr:colOff>123825</xdr:colOff>
                <xdr:row>25</xdr:row>
                <xdr:rowOff>85725</xdr:rowOff>
              </to>
            </anchor>
          </controlPr>
        </control>
      </mc:Choice>
      <mc:Fallback>
        <control shapeId="10244" r:id="rId6" name="cmdCreateResults"/>
      </mc:Fallback>
    </mc:AlternateContent>
    <mc:AlternateContent xmlns:mc="http://schemas.openxmlformats.org/markup-compatibility/2006">
      <mc:Choice Requires="x14">
        <control shapeId="10243" r:id="rId8" name="cmdCreateTables">
          <controlPr defaultSize="0" autoLine="0" r:id="rId9">
            <anchor>
              <from>
                <xdr:col>5</xdr:col>
                <xdr:colOff>0</xdr:colOff>
                <xdr:row>22</xdr:row>
                <xdr:rowOff>66675</xdr:rowOff>
              </from>
              <to>
                <xdr:col>8</xdr:col>
                <xdr:colOff>28575</xdr:colOff>
                <xdr:row>25</xdr:row>
                <xdr:rowOff>85725</xdr:rowOff>
              </to>
            </anchor>
          </controlPr>
        </control>
      </mc:Choice>
      <mc:Fallback>
        <control shapeId="10243" r:id="rId8" name="cmdCreateTables"/>
      </mc:Fallback>
    </mc:AlternateContent>
    <mc:AlternateContent xmlns:mc="http://schemas.openxmlformats.org/markup-compatibility/2006">
      <mc:Choice Requires="x14">
        <control shapeId="10246" r:id="rId10" name="cmdClearAll">
          <controlPr defaultSize="0" autoLine="0" r:id="rId11">
            <anchor>
              <from>
                <xdr:col>23</xdr:col>
                <xdr:colOff>19050</xdr:colOff>
                <xdr:row>29</xdr:row>
                <xdr:rowOff>76200</xdr:rowOff>
              </from>
              <to>
                <xdr:col>24</xdr:col>
                <xdr:colOff>628650</xdr:colOff>
                <xdr:row>32</xdr:row>
                <xdr:rowOff>114300</xdr:rowOff>
              </to>
            </anchor>
          </controlPr>
        </control>
      </mc:Choice>
      <mc:Fallback>
        <control shapeId="10246" r:id="rId10" name="cmdClearAll"/>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workbookViewId="0">
      <selection activeCell="B3" sqref="B3"/>
    </sheetView>
  </sheetViews>
  <sheetFormatPr baseColWidth="10" defaultRowHeight="12.75" x14ac:dyDescent="0.2"/>
  <cols>
    <col min="1" max="1" width="2.85546875" customWidth="1"/>
    <col min="2" max="2" width="9.140625" style="1" customWidth="1"/>
    <col min="3" max="3" width="9.140625" style="2" customWidth="1"/>
    <col min="4" max="4" width="9.140625" style="1" customWidth="1"/>
    <col min="5" max="5" width="3.140625" style="2" hidden="1" customWidth="1"/>
    <col min="6" max="6" width="3.42578125" customWidth="1"/>
    <col min="7" max="8" width="11.42578125" customWidth="1"/>
  </cols>
  <sheetData>
    <row r="1" spans="2:15" ht="13.5" thickBot="1" x14ac:dyDescent="0.25"/>
    <row r="2" spans="2:15" ht="13.5" customHeight="1" thickBot="1" x14ac:dyDescent="0.25">
      <c r="B2" s="28" t="s">
        <v>0</v>
      </c>
      <c r="C2" s="29" t="s">
        <v>31</v>
      </c>
      <c r="D2" s="30" t="s">
        <v>1</v>
      </c>
      <c r="F2" s="31"/>
      <c r="G2" s="194" t="s">
        <v>32</v>
      </c>
      <c r="H2" s="195"/>
      <c r="I2" s="195"/>
      <c r="J2" s="195"/>
      <c r="K2" s="195"/>
      <c r="L2" s="196"/>
    </row>
    <row r="3" spans="2:15" x14ac:dyDescent="0.2">
      <c r="B3" s="35">
        <v>0</v>
      </c>
      <c r="C3" s="36">
        <v>0</v>
      </c>
      <c r="D3" s="37">
        <v>6</v>
      </c>
      <c r="E3" s="27" t="str">
        <f>IF(AND($C3=$C4,$C4&lt;$C5),"+",IF($C3&lt;$C4,"++",""))</f>
        <v/>
      </c>
      <c r="F3" s="31"/>
      <c r="G3" s="197"/>
      <c r="H3" s="198"/>
      <c r="I3" s="198"/>
      <c r="J3" s="198"/>
      <c r="K3" s="198"/>
      <c r="L3" s="199"/>
    </row>
    <row r="4" spans="2:15" x14ac:dyDescent="0.2">
      <c r="B4" s="38">
        <v>0.5</v>
      </c>
      <c r="C4" s="39">
        <v>0</v>
      </c>
      <c r="D4" s="40">
        <v>6</v>
      </c>
      <c r="E4" s="27" t="str">
        <f>IF(AND($C4=$C5,$C5&lt;$C6),"+",IF($C4&lt;$C5,"++",""))</f>
        <v/>
      </c>
      <c r="F4" s="31"/>
      <c r="G4" s="197"/>
      <c r="H4" s="198"/>
      <c r="I4" s="198"/>
      <c r="J4" s="198"/>
      <c r="K4" s="198"/>
      <c r="L4" s="199"/>
    </row>
    <row r="5" spans="2:15" x14ac:dyDescent="0.2">
      <c r="B5" s="38">
        <v>1</v>
      </c>
      <c r="C5" s="39">
        <v>0</v>
      </c>
      <c r="D5" s="40">
        <v>6</v>
      </c>
      <c r="E5" s="27" t="str">
        <f t="shared" ref="E5:E50" si="0">IF(AND($C5=$C6,$C6&lt;$C7),"+",IF($C5&lt;$C6,"++",IF(AND($C5=$C4,$C4&gt;$C3),"-",IF($C5&gt;$C4,"--",""))))</f>
        <v/>
      </c>
      <c r="F5" s="31"/>
      <c r="G5" s="197"/>
      <c r="H5" s="198"/>
      <c r="I5" s="198"/>
      <c r="J5" s="198"/>
      <c r="K5" s="198"/>
      <c r="L5" s="199"/>
    </row>
    <row r="6" spans="2:15" x14ac:dyDescent="0.2">
      <c r="B6" s="38">
        <v>1.5</v>
      </c>
      <c r="C6" s="39">
        <v>0</v>
      </c>
      <c r="D6" s="40">
        <v>6</v>
      </c>
      <c r="E6" s="27" t="str">
        <f t="shared" si="0"/>
        <v/>
      </c>
      <c r="F6" s="31"/>
      <c r="G6" s="197"/>
      <c r="H6" s="198"/>
      <c r="I6" s="198"/>
      <c r="J6" s="198"/>
      <c r="K6" s="198"/>
      <c r="L6" s="199"/>
    </row>
    <row r="7" spans="2:15" x14ac:dyDescent="0.2">
      <c r="B7" s="38">
        <v>2</v>
      </c>
      <c r="C7" s="39">
        <v>0</v>
      </c>
      <c r="D7" s="40">
        <v>6</v>
      </c>
      <c r="E7" s="27" t="str">
        <f t="shared" si="0"/>
        <v/>
      </c>
      <c r="F7" s="31"/>
      <c r="G7" s="197"/>
      <c r="H7" s="198"/>
      <c r="I7" s="198"/>
      <c r="J7" s="198"/>
      <c r="K7" s="198"/>
      <c r="L7" s="199"/>
    </row>
    <row r="8" spans="2:15" ht="12.75" customHeight="1" x14ac:dyDescent="0.2">
      <c r="B8" s="38">
        <v>2.5</v>
      </c>
      <c r="C8" s="39">
        <v>0</v>
      </c>
      <c r="D8" s="40">
        <v>6</v>
      </c>
      <c r="E8" s="27" t="str">
        <f t="shared" si="0"/>
        <v/>
      </c>
      <c r="F8" s="31"/>
      <c r="G8" s="197"/>
      <c r="H8" s="198"/>
      <c r="I8" s="198"/>
      <c r="J8" s="198"/>
      <c r="K8" s="198"/>
      <c r="L8" s="199"/>
      <c r="M8" s="32"/>
      <c r="N8" s="32"/>
      <c r="O8" s="32"/>
    </row>
    <row r="9" spans="2:15" x14ac:dyDescent="0.2">
      <c r="B9" s="38">
        <v>3</v>
      </c>
      <c r="C9" s="39">
        <v>0</v>
      </c>
      <c r="D9" s="40">
        <v>6</v>
      </c>
      <c r="E9" s="27" t="str">
        <f t="shared" si="0"/>
        <v/>
      </c>
      <c r="F9" s="31"/>
      <c r="G9" s="197"/>
      <c r="H9" s="198"/>
      <c r="I9" s="198"/>
      <c r="J9" s="198"/>
      <c r="K9" s="198"/>
      <c r="L9" s="199"/>
      <c r="M9" s="32"/>
      <c r="N9" s="32"/>
      <c r="O9" s="32"/>
    </row>
    <row r="10" spans="2:15" x14ac:dyDescent="0.2">
      <c r="B10" s="38">
        <v>3.5</v>
      </c>
      <c r="C10" s="39">
        <v>0</v>
      </c>
      <c r="D10" s="40">
        <v>6</v>
      </c>
      <c r="E10" s="27" t="str">
        <f t="shared" si="0"/>
        <v/>
      </c>
      <c r="F10" s="31"/>
      <c r="G10" s="197"/>
      <c r="H10" s="198"/>
      <c r="I10" s="198"/>
      <c r="J10" s="198"/>
      <c r="K10" s="198"/>
      <c r="L10" s="199"/>
      <c r="M10" s="32"/>
      <c r="N10" s="32"/>
      <c r="O10" s="32"/>
    </row>
    <row r="11" spans="2:15" x14ac:dyDescent="0.2">
      <c r="B11" s="38">
        <v>4</v>
      </c>
      <c r="C11" s="39">
        <v>0</v>
      </c>
      <c r="D11" s="40">
        <v>6</v>
      </c>
      <c r="E11" s="27" t="str">
        <f t="shared" si="0"/>
        <v/>
      </c>
      <c r="G11" s="197"/>
      <c r="H11" s="198"/>
      <c r="I11" s="198"/>
      <c r="J11" s="198"/>
      <c r="K11" s="198"/>
      <c r="L11" s="199"/>
      <c r="M11" s="32"/>
      <c r="N11" s="32"/>
      <c r="O11" s="32"/>
    </row>
    <row r="12" spans="2:15" x14ac:dyDescent="0.2">
      <c r="B12" s="38">
        <v>4.5</v>
      </c>
      <c r="C12" s="39">
        <v>0</v>
      </c>
      <c r="D12" s="40">
        <v>6</v>
      </c>
      <c r="E12" s="27" t="str">
        <f t="shared" si="0"/>
        <v/>
      </c>
      <c r="F12" s="31"/>
      <c r="G12" s="197"/>
      <c r="H12" s="198"/>
      <c r="I12" s="198"/>
      <c r="J12" s="198"/>
      <c r="K12" s="198"/>
      <c r="L12" s="199"/>
      <c r="M12" s="32"/>
      <c r="N12" s="32"/>
      <c r="O12" s="32"/>
    </row>
    <row r="13" spans="2:15" x14ac:dyDescent="0.2">
      <c r="B13" s="38">
        <v>5</v>
      </c>
      <c r="C13" s="39">
        <v>0</v>
      </c>
      <c r="D13" s="40">
        <v>6</v>
      </c>
      <c r="E13" s="27" t="str">
        <f t="shared" si="0"/>
        <v/>
      </c>
      <c r="F13" s="31"/>
      <c r="G13" s="197"/>
      <c r="H13" s="198"/>
      <c r="I13" s="198"/>
      <c r="J13" s="198"/>
      <c r="K13" s="198"/>
      <c r="L13" s="199"/>
      <c r="M13" s="32"/>
      <c r="N13" s="32"/>
      <c r="O13" s="32"/>
    </row>
    <row r="14" spans="2:15" x14ac:dyDescent="0.2">
      <c r="B14" s="38">
        <v>5.5</v>
      </c>
      <c r="C14" s="39">
        <v>0</v>
      </c>
      <c r="D14" s="40">
        <v>6</v>
      </c>
      <c r="E14" s="27" t="str">
        <f t="shared" si="0"/>
        <v/>
      </c>
      <c r="F14" s="31"/>
      <c r="G14" s="197"/>
      <c r="H14" s="198"/>
      <c r="I14" s="198"/>
      <c r="J14" s="198"/>
      <c r="K14" s="198"/>
      <c r="L14" s="199"/>
      <c r="M14" s="32"/>
      <c r="N14" s="32"/>
      <c r="O14" s="32"/>
    </row>
    <row r="15" spans="2:15" x14ac:dyDescent="0.2">
      <c r="B15" s="38">
        <v>6</v>
      </c>
      <c r="C15" s="39">
        <v>0</v>
      </c>
      <c r="D15" s="40">
        <v>6</v>
      </c>
      <c r="E15" s="27" t="str">
        <f t="shared" si="0"/>
        <v/>
      </c>
      <c r="F15" s="31"/>
      <c r="G15" s="49"/>
      <c r="H15" s="50"/>
      <c r="I15" s="50"/>
      <c r="J15" s="50"/>
      <c r="K15" s="50"/>
      <c r="L15" s="51"/>
      <c r="M15" s="32"/>
      <c r="N15" s="32"/>
      <c r="O15" s="32"/>
    </row>
    <row r="16" spans="2:15" x14ac:dyDescent="0.2">
      <c r="B16" s="38">
        <v>6.5</v>
      </c>
      <c r="C16" s="39">
        <v>0</v>
      </c>
      <c r="D16" s="40">
        <v>6</v>
      </c>
      <c r="E16" s="27" t="str">
        <f t="shared" si="0"/>
        <v/>
      </c>
      <c r="F16" s="31"/>
      <c r="G16" s="59"/>
      <c r="H16" s="52" t="s">
        <v>33</v>
      </c>
      <c r="I16" s="52"/>
      <c r="J16" s="52"/>
      <c r="K16" s="52"/>
      <c r="L16" s="54"/>
      <c r="M16" s="32"/>
      <c r="N16" s="32"/>
      <c r="O16" s="32"/>
    </row>
    <row r="17" spans="2:15" x14ac:dyDescent="0.2">
      <c r="B17" s="38">
        <v>7</v>
      </c>
      <c r="C17" s="39">
        <v>0</v>
      </c>
      <c r="D17" s="40">
        <v>6</v>
      </c>
      <c r="E17" s="27" t="str">
        <f t="shared" si="0"/>
        <v/>
      </c>
      <c r="F17" s="31"/>
      <c r="G17" s="60"/>
      <c r="H17" s="52" t="s">
        <v>34</v>
      </c>
      <c r="I17" s="52"/>
      <c r="J17" s="52"/>
      <c r="K17" s="52"/>
      <c r="L17" s="54"/>
      <c r="M17" s="32"/>
      <c r="N17" s="32"/>
      <c r="O17" s="32"/>
    </row>
    <row r="18" spans="2:15" x14ac:dyDescent="0.2">
      <c r="B18" s="38">
        <v>7.5</v>
      </c>
      <c r="C18" s="39">
        <v>0</v>
      </c>
      <c r="D18" s="40">
        <v>6</v>
      </c>
      <c r="E18" s="27" t="str">
        <f t="shared" si="0"/>
        <v/>
      </c>
      <c r="F18" s="31"/>
      <c r="G18" s="53"/>
      <c r="H18" s="52" t="s">
        <v>35</v>
      </c>
      <c r="I18" s="52"/>
      <c r="J18" s="52"/>
      <c r="K18" s="52"/>
      <c r="L18" s="54"/>
      <c r="M18" s="32"/>
      <c r="N18" s="32"/>
      <c r="O18" s="32"/>
    </row>
    <row r="19" spans="2:15" x14ac:dyDescent="0.2">
      <c r="B19" s="38">
        <v>8</v>
      </c>
      <c r="C19" s="39">
        <v>0</v>
      </c>
      <c r="D19" s="40">
        <v>6</v>
      </c>
      <c r="E19" s="27" t="str">
        <f t="shared" si="0"/>
        <v/>
      </c>
      <c r="F19" s="31"/>
      <c r="G19" s="55"/>
      <c r="H19" s="52" t="s">
        <v>36</v>
      </c>
      <c r="I19" s="52"/>
      <c r="J19" s="52"/>
      <c r="K19" s="52"/>
      <c r="L19" s="54"/>
      <c r="M19" s="32"/>
      <c r="N19" s="32"/>
      <c r="O19" s="32"/>
    </row>
    <row r="20" spans="2:15" ht="13.5" thickBot="1" x14ac:dyDescent="0.25">
      <c r="B20" s="38">
        <v>8.5</v>
      </c>
      <c r="C20" s="39">
        <v>0</v>
      </c>
      <c r="D20" s="40">
        <v>6</v>
      </c>
      <c r="E20" s="27" t="str">
        <f t="shared" si="0"/>
        <v/>
      </c>
      <c r="F20" s="31"/>
      <c r="G20" s="56"/>
      <c r="H20" s="57"/>
      <c r="I20" s="57"/>
      <c r="J20" s="57"/>
      <c r="K20" s="57"/>
      <c r="L20" s="58"/>
      <c r="M20" s="32"/>
      <c r="N20" s="32"/>
      <c r="O20" s="32"/>
    </row>
    <row r="21" spans="2:15" x14ac:dyDescent="0.2">
      <c r="B21" s="38">
        <v>9</v>
      </c>
      <c r="C21" s="39">
        <v>0</v>
      </c>
      <c r="D21" s="40">
        <v>6</v>
      </c>
      <c r="E21" s="27" t="str">
        <f t="shared" si="0"/>
        <v/>
      </c>
      <c r="G21" s="61"/>
      <c r="H21" s="61"/>
      <c r="I21" s="61"/>
      <c r="J21" s="61"/>
      <c r="K21" s="61"/>
      <c r="L21" s="61"/>
      <c r="M21" s="32"/>
      <c r="N21" s="32"/>
      <c r="O21" s="32"/>
    </row>
    <row r="22" spans="2:15" x14ac:dyDescent="0.2">
      <c r="B22" s="38">
        <v>9.5</v>
      </c>
      <c r="C22" s="39">
        <v>0</v>
      </c>
      <c r="D22" s="40">
        <v>6</v>
      </c>
      <c r="E22" s="27" t="str">
        <f t="shared" si="0"/>
        <v/>
      </c>
      <c r="G22" s="61"/>
      <c r="H22" s="61"/>
      <c r="I22" s="61"/>
      <c r="J22" s="61"/>
      <c r="K22" s="61"/>
      <c r="L22" s="61"/>
    </row>
    <row r="23" spans="2:15" x14ac:dyDescent="0.2">
      <c r="B23" s="38">
        <v>10</v>
      </c>
      <c r="C23" s="39">
        <v>0</v>
      </c>
      <c r="D23" s="40">
        <v>6</v>
      </c>
      <c r="E23" s="27" t="str">
        <f t="shared" si="0"/>
        <v/>
      </c>
      <c r="G23" s="61"/>
      <c r="H23" s="61"/>
      <c r="I23" s="61"/>
      <c r="J23" s="61"/>
      <c r="K23" s="61"/>
      <c r="L23" s="61"/>
    </row>
    <row r="24" spans="2:15" x14ac:dyDescent="0.2">
      <c r="B24" s="38">
        <v>10.5</v>
      </c>
      <c r="C24" s="39">
        <v>0</v>
      </c>
      <c r="D24" s="40">
        <v>6</v>
      </c>
      <c r="E24" s="27" t="str">
        <f t="shared" si="0"/>
        <v/>
      </c>
      <c r="G24" s="61"/>
      <c r="H24" s="61"/>
      <c r="I24" s="61"/>
      <c r="J24" s="61"/>
      <c r="K24" s="61"/>
      <c r="L24" s="61"/>
    </row>
    <row r="25" spans="2:15" x14ac:dyDescent="0.2">
      <c r="B25" s="38">
        <v>11</v>
      </c>
      <c r="C25" s="39">
        <v>0</v>
      </c>
      <c r="D25" s="40">
        <v>6</v>
      </c>
      <c r="E25" s="27" t="str">
        <f t="shared" si="0"/>
        <v/>
      </c>
    </row>
    <row r="26" spans="2:15" x14ac:dyDescent="0.2">
      <c r="B26" s="38">
        <v>11.5</v>
      </c>
      <c r="C26" s="39">
        <v>0</v>
      </c>
      <c r="D26" s="40">
        <v>6</v>
      </c>
      <c r="E26" s="27" t="str">
        <f t="shared" si="0"/>
        <v/>
      </c>
      <c r="G26" s="31"/>
      <c r="H26" s="31"/>
      <c r="I26" s="31"/>
      <c r="J26" s="31"/>
      <c r="K26" s="31"/>
      <c r="L26" s="31"/>
    </row>
    <row r="27" spans="2:15" x14ac:dyDescent="0.2">
      <c r="B27" s="38">
        <v>12</v>
      </c>
      <c r="C27" s="39">
        <v>0</v>
      </c>
      <c r="D27" s="40">
        <v>6</v>
      </c>
      <c r="E27" s="27" t="str">
        <f t="shared" si="0"/>
        <v/>
      </c>
      <c r="G27" s="31"/>
      <c r="H27" s="31"/>
      <c r="I27" s="31"/>
      <c r="J27" s="31"/>
      <c r="K27" s="31"/>
      <c r="L27" s="31"/>
    </row>
    <row r="28" spans="2:15" x14ac:dyDescent="0.2">
      <c r="B28" s="38">
        <v>12.5</v>
      </c>
      <c r="C28" s="39">
        <v>0</v>
      </c>
      <c r="D28" s="40">
        <v>6</v>
      </c>
      <c r="E28" s="27" t="str">
        <f t="shared" si="0"/>
        <v/>
      </c>
      <c r="G28" s="31"/>
      <c r="H28" s="31"/>
      <c r="I28" s="31"/>
      <c r="J28" s="31"/>
      <c r="K28" s="31"/>
      <c r="L28" s="31"/>
    </row>
    <row r="29" spans="2:15" x14ac:dyDescent="0.2">
      <c r="B29" s="38">
        <v>13</v>
      </c>
      <c r="C29" s="39">
        <v>0</v>
      </c>
      <c r="D29" s="40">
        <v>6</v>
      </c>
      <c r="E29" s="27" t="str">
        <f t="shared" si="0"/>
        <v/>
      </c>
      <c r="G29" s="31"/>
      <c r="H29" s="31"/>
      <c r="I29" s="31"/>
      <c r="J29" s="31"/>
      <c r="K29" s="31"/>
      <c r="L29" s="31"/>
    </row>
    <row r="30" spans="2:15" x14ac:dyDescent="0.2">
      <c r="B30" s="38">
        <v>13.5</v>
      </c>
      <c r="C30" s="39">
        <v>0</v>
      </c>
      <c r="D30" s="40">
        <v>6</v>
      </c>
      <c r="E30" s="27" t="str">
        <f t="shared" si="0"/>
        <v/>
      </c>
      <c r="G30" s="31"/>
      <c r="H30" s="31"/>
      <c r="I30" s="31"/>
      <c r="J30" s="31"/>
      <c r="K30" s="31"/>
      <c r="L30" s="31"/>
    </row>
    <row r="31" spans="2:15" x14ac:dyDescent="0.2">
      <c r="B31" s="38">
        <v>14</v>
      </c>
      <c r="C31" s="39">
        <v>0</v>
      </c>
      <c r="D31" s="40">
        <v>6</v>
      </c>
      <c r="E31" s="27" t="str">
        <f t="shared" si="0"/>
        <v/>
      </c>
      <c r="G31" s="31"/>
      <c r="H31" s="31"/>
      <c r="I31" s="31"/>
      <c r="J31" s="31"/>
      <c r="K31" s="31"/>
      <c r="L31" s="31"/>
    </row>
    <row r="32" spans="2:15" x14ac:dyDescent="0.2">
      <c r="B32" s="38">
        <v>14.5</v>
      </c>
      <c r="C32" s="39">
        <v>0</v>
      </c>
      <c r="D32" s="40">
        <v>6</v>
      </c>
      <c r="E32" s="27" t="str">
        <f t="shared" si="0"/>
        <v/>
      </c>
      <c r="G32" s="31"/>
      <c r="H32" s="31"/>
      <c r="I32" s="31"/>
      <c r="J32" s="31"/>
      <c r="K32" s="31"/>
      <c r="L32" s="31"/>
    </row>
    <row r="33" spans="2:12" x14ac:dyDescent="0.2">
      <c r="B33" s="38">
        <v>15</v>
      </c>
      <c r="C33" s="39">
        <v>0</v>
      </c>
      <c r="D33" s="40">
        <v>6</v>
      </c>
      <c r="E33" s="27" t="str">
        <f t="shared" si="0"/>
        <v/>
      </c>
      <c r="G33" s="31"/>
      <c r="H33" s="31"/>
      <c r="I33" s="31"/>
      <c r="J33" s="31"/>
      <c r="K33" s="31"/>
      <c r="L33" s="31"/>
    </row>
    <row r="34" spans="2:12" x14ac:dyDescent="0.2">
      <c r="B34" s="38">
        <v>15.5</v>
      </c>
      <c r="C34" s="39">
        <v>0</v>
      </c>
      <c r="D34" s="40">
        <v>6</v>
      </c>
      <c r="E34" s="27" t="str">
        <f t="shared" si="0"/>
        <v/>
      </c>
      <c r="G34" s="31"/>
      <c r="H34" s="31"/>
      <c r="I34" s="31"/>
      <c r="J34" s="31"/>
      <c r="K34" s="31"/>
      <c r="L34" s="31"/>
    </row>
    <row r="35" spans="2:12" x14ac:dyDescent="0.2">
      <c r="B35" s="38">
        <v>16</v>
      </c>
      <c r="C35" s="39">
        <v>0</v>
      </c>
      <c r="D35" s="40">
        <v>6</v>
      </c>
      <c r="E35" s="27" t="str">
        <f t="shared" si="0"/>
        <v/>
      </c>
    </row>
    <row r="36" spans="2:12" x14ac:dyDescent="0.2">
      <c r="B36" s="38">
        <v>16.5</v>
      </c>
      <c r="C36" s="39">
        <v>0</v>
      </c>
      <c r="D36" s="40">
        <v>6</v>
      </c>
      <c r="E36" s="27" t="str">
        <f t="shared" si="0"/>
        <v/>
      </c>
    </row>
    <row r="37" spans="2:12" x14ac:dyDescent="0.2">
      <c r="B37" s="38">
        <v>17</v>
      </c>
      <c r="C37" s="39">
        <v>0</v>
      </c>
      <c r="D37" s="40">
        <v>6</v>
      </c>
      <c r="E37" s="27" t="str">
        <f t="shared" si="0"/>
        <v/>
      </c>
    </row>
    <row r="38" spans="2:12" x14ac:dyDescent="0.2">
      <c r="B38" s="38">
        <v>17.5</v>
      </c>
      <c r="C38" s="39">
        <v>0</v>
      </c>
      <c r="D38" s="40">
        <v>6</v>
      </c>
      <c r="E38" s="27" t="str">
        <f t="shared" si="0"/>
        <v/>
      </c>
    </row>
    <row r="39" spans="2:12" x14ac:dyDescent="0.2">
      <c r="B39" s="38">
        <v>18</v>
      </c>
      <c r="C39" s="39">
        <v>0</v>
      </c>
      <c r="D39" s="40">
        <v>6</v>
      </c>
      <c r="E39" s="27" t="str">
        <f t="shared" si="0"/>
        <v/>
      </c>
    </row>
    <row r="40" spans="2:12" x14ac:dyDescent="0.2">
      <c r="B40" s="38">
        <v>18.5</v>
      </c>
      <c r="C40" s="39">
        <v>0</v>
      </c>
      <c r="D40" s="40">
        <v>6</v>
      </c>
      <c r="E40" s="27" t="str">
        <f t="shared" si="0"/>
        <v/>
      </c>
    </row>
    <row r="41" spans="2:12" x14ac:dyDescent="0.2">
      <c r="B41" s="38">
        <v>19</v>
      </c>
      <c r="C41" s="39">
        <v>0</v>
      </c>
      <c r="D41" s="40">
        <v>6</v>
      </c>
      <c r="E41" s="27" t="str">
        <f t="shared" si="0"/>
        <v>+</v>
      </c>
    </row>
    <row r="42" spans="2:12" x14ac:dyDescent="0.2">
      <c r="B42" s="38">
        <v>19.5</v>
      </c>
      <c r="C42" s="39">
        <v>0</v>
      </c>
      <c r="D42" s="40">
        <v>6</v>
      </c>
      <c r="E42" s="27" t="str">
        <f t="shared" si="0"/>
        <v>++</v>
      </c>
    </row>
    <row r="43" spans="2:12" x14ac:dyDescent="0.2">
      <c r="B43" s="38">
        <v>20</v>
      </c>
      <c r="C43" s="39">
        <v>1</v>
      </c>
      <c r="D43" s="40" t="s">
        <v>100</v>
      </c>
      <c r="E43" s="27" t="str">
        <f t="shared" si="0"/>
        <v>--</v>
      </c>
    </row>
    <row r="44" spans="2:12" x14ac:dyDescent="0.2">
      <c r="B44" s="38">
        <v>20.5</v>
      </c>
      <c r="C44" s="39">
        <v>1</v>
      </c>
      <c r="D44" s="40" t="s">
        <v>100</v>
      </c>
      <c r="E44" s="27" t="str">
        <f t="shared" si="0"/>
        <v>-</v>
      </c>
    </row>
    <row r="45" spans="2:12" x14ac:dyDescent="0.2">
      <c r="B45" s="38">
        <v>21</v>
      </c>
      <c r="C45" s="39">
        <v>1</v>
      </c>
      <c r="D45" s="40" t="s">
        <v>100</v>
      </c>
      <c r="E45" s="27" t="str">
        <f t="shared" si="0"/>
        <v/>
      </c>
    </row>
    <row r="46" spans="2:12" x14ac:dyDescent="0.2">
      <c r="B46" s="38">
        <v>21.5</v>
      </c>
      <c r="C46" s="39">
        <v>1</v>
      </c>
      <c r="D46" s="40" t="s">
        <v>100</v>
      </c>
      <c r="E46" s="27" t="str">
        <f t="shared" si="0"/>
        <v/>
      </c>
    </row>
    <row r="47" spans="2:12" x14ac:dyDescent="0.2">
      <c r="B47" s="38">
        <v>22</v>
      </c>
      <c r="C47" s="39">
        <v>1</v>
      </c>
      <c r="D47" s="40" t="s">
        <v>100</v>
      </c>
      <c r="E47" s="27" t="str">
        <f t="shared" si="0"/>
        <v/>
      </c>
    </row>
    <row r="48" spans="2:12" x14ac:dyDescent="0.2">
      <c r="B48" s="38">
        <v>22.5</v>
      </c>
      <c r="C48" s="39">
        <v>1</v>
      </c>
      <c r="D48" s="40" t="s">
        <v>100</v>
      </c>
      <c r="E48" s="27" t="str">
        <f t="shared" si="0"/>
        <v/>
      </c>
    </row>
    <row r="49" spans="2:5" x14ac:dyDescent="0.2">
      <c r="B49" s="38">
        <v>23</v>
      </c>
      <c r="C49" s="39">
        <v>1</v>
      </c>
      <c r="D49" s="40" t="s">
        <v>100</v>
      </c>
      <c r="E49" s="27" t="str">
        <f t="shared" si="0"/>
        <v/>
      </c>
    </row>
    <row r="50" spans="2:5" x14ac:dyDescent="0.2">
      <c r="B50" s="38">
        <v>23.5</v>
      </c>
      <c r="C50" s="39">
        <v>1</v>
      </c>
      <c r="D50" s="40" t="s">
        <v>100</v>
      </c>
      <c r="E50" s="27" t="str">
        <f t="shared" si="0"/>
        <v/>
      </c>
    </row>
    <row r="51" spans="2:5" x14ac:dyDescent="0.2">
      <c r="B51" s="38">
        <v>24</v>
      </c>
      <c r="C51" s="39">
        <v>1</v>
      </c>
      <c r="D51" s="40" t="s">
        <v>100</v>
      </c>
      <c r="E51" s="27" t="str">
        <f>IF(AND($C51=$C52,$C52&lt;$C53),"+",IF($C51&lt;$C52,"++",IF(AND($C51=$C50,$C50&gt;$C49),"-",IF($C51&gt;$C50,"--",""))))</f>
        <v/>
      </c>
    </row>
    <row r="52" spans="2:5" x14ac:dyDescent="0.2">
      <c r="B52" s="38">
        <v>24.5</v>
      </c>
      <c r="C52" s="39">
        <v>1</v>
      </c>
      <c r="D52" s="40" t="s">
        <v>100</v>
      </c>
      <c r="E52" s="27" t="str">
        <f t="shared" ref="E52:E115" si="1">IF(AND($C52=$C53,$C53&lt;$C54),"+",IF($C52&lt;$C53,"++",IF(AND($C52=$C51,$C51&gt;$C50),"-",IF($C52&gt;$C51,"--",""))))</f>
        <v/>
      </c>
    </row>
    <row r="53" spans="2:5" x14ac:dyDescent="0.2">
      <c r="B53" s="38">
        <v>25</v>
      </c>
      <c r="C53" s="39">
        <v>1</v>
      </c>
      <c r="D53" s="41" t="s">
        <v>100</v>
      </c>
      <c r="E53" s="27" t="str">
        <f t="shared" si="1"/>
        <v/>
      </c>
    </row>
    <row r="54" spans="2:5" x14ac:dyDescent="0.2">
      <c r="B54" s="38">
        <v>25.5</v>
      </c>
      <c r="C54" s="39">
        <v>1</v>
      </c>
      <c r="D54" s="41" t="s">
        <v>100</v>
      </c>
      <c r="E54" s="27" t="str">
        <f t="shared" si="1"/>
        <v/>
      </c>
    </row>
    <row r="55" spans="2:5" x14ac:dyDescent="0.2">
      <c r="B55" s="38">
        <v>26</v>
      </c>
      <c r="C55" s="39">
        <v>1</v>
      </c>
      <c r="D55" s="41" t="s">
        <v>100</v>
      </c>
      <c r="E55" s="27" t="str">
        <f t="shared" si="1"/>
        <v>+</v>
      </c>
    </row>
    <row r="56" spans="2:5" x14ac:dyDescent="0.2">
      <c r="B56" s="38">
        <v>26.5</v>
      </c>
      <c r="C56" s="39">
        <v>1</v>
      </c>
      <c r="D56" s="41" t="s">
        <v>100</v>
      </c>
      <c r="E56" s="27" t="str">
        <f t="shared" si="1"/>
        <v>++</v>
      </c>
    </row>
    <row r="57" spans="2:5" x14ac:dyDescent="0.2">
      <c r="B57" s="38">
        <v>27</v>
      </c>
      <c r="C57" s="39">
        <v>2</v>
      </c>
      <c r="D57" s="41" t="s">
        <v>101</v>
      </c>
      <c r="E57" s="27" t="str">
        <f t="shared" si="1"/>
        <v>--</v>
      </c>
    </row>
    <row r="58" spans="2:5" x14ac:dyDescent="0.2">
      <c r="B58" s="38">
        <v>27.5</v>
      </c>
      <c r="C58" s="39">
        <v>2</v>
      </c>
      <c r="D58" s="41" t="s">
        <v>101</v>
      </c>
      <c r="E58" s="27" t="str">
        <f t="shared" si="1"/>
        <v>-</v>
      </c>
    </row>
    <row r="59" spans="2:5" x14ac:dyDescent="0.2">
      <c r="B59" s="38">
        <v>28</v>
      </c>
      <c r="C59" s="39">
        <v>2</v>
      </c>
      <c r="D59" s="41" t="s">
        <v>101</v>
      </c>
      <c r="E59" s="27" t="str">
        <f t="shared" si="1"/>
        <v/>
      </c>
    </row>
    <row r="60" spans="2:5" x14ac:dyDescent="0.2">
      <c r="B60" s="38">
        <v>28.5</v>
      </c>
      <c r="C60" s="39">
        <v>2</v>
      </c>
      <c r="D60" s="41" t="s">
        <v>101</v>
      </c>
      <c r="E60" s="27" t="str">
        <f t="shared" si="1"/>
        <v/>
      </c>
    </row>
    <row r="61" spans="2:5" x14ac:dyDescent="0.2">
      <c r="B61" s="38">
        <v>29</v>
      </c>
      <c r="C61" s="39">
        <v>2</v>
      </c>
      <c r="D61" s="41" t="s">
        <v>101</v>
      </c>
      <c r="E61" s="27" t="str">
        <f t="shared" si="1"/>
        <v/>
      </c>
    </row>
    <row r="62" spans="2:5" x14ac:dyDescent="0.2">
      <c r="B62" s="38">
        <v>29.5</v>
      </c>
      <c r="C62" s="39">
        <v>2</v>
      </c>
      <c r="D62" s="41" t="s">
        <v>101</v>
      </c>
      <c r="E62" s="27" t="str">
        <f t="shared" si="1"/>
        <v/>
      </c>
    </row>
    <row r="63" spans="2:5" x14ac:dyDescent="0.2">
      <c r="B63" s="38">
        <v>30</v>
      </c>
      <c r="C63" s="39">
        <v>2</v>
      </c>
      <c r="D63" s="41" t="s">
        <v>101</v>
      </c>
      <c r="E63" s="27" t="str">
        <f t="shared" si="1"/>
        <v/>
      </c>
    </row>
    <row r="64" spans="2:5" x14ac:dyDescent="0.2">
      <c r="B64" s="38">
        <v>30.5</v>
      </c>
      <c r="C64" s="39">
        <v>2</v>
      </c>
      <c r="D64" s="41" t="s">
        <v>101</v>
      </c>
      <c r="E64" s="27" t="str">
        <f t="shared" si="1"/>
        <v/>
      </c>
    </row>
    <row r="65" spans="2:5" x14ac:dyDescent="0.2">
      <c r="B65" s="38">
        <v>31</v>
      </c>
      <c r="C65" s="39">
        <v>2</v>
      </c>
      <c r="D65" s="41" t="s">
        <v>101</v>
      </c>
      <c r="E65" s="27" t="str">
        <f t="shared" si="1"/>
        <v/>
      </c>
    </row>
    <row r="66" spans="2:5" x14ac:dyDescent="0.2">
      <c r="B66" s="38">
        <v>31.5</v>
      </c>
      <c r="C66" s="39">
        <v>2</v>
      </c>
      <c r="D66" s="41" t="s">
        <v>101</v>
      </c>
      <c r="E66" s="27" t="str">
        <f t="shared" si="1"/>
        <v/>
      </c>
    </row>
    <row r="67" spans="2:5" x14ac:dyDescent="0.2">
      <c r="B67" s="38">
        <v>32</v>
      </c>
      <c r="C67" s="39">
        <v>2</v>
      </c>
      <c r="D67" s="41" t="s">
        <v>101</v>
      </c>
      <c r="E67" s="27" t="str">
        <f t="shared" si="1"/>
        <v>+</v>
      </c>
    </row>
    <row r="68" spans="2:5" x14ac:dyDescent="0.2">
      <c r="B68" s="38">
        <v>32.5</v>
      </c>
      <c r="C68" s="39">
        <v>2</v>
      </c>
      <c r="D68" s="41" t="s">
        <v>101</v>
      </c>
      <c r="E68" s="27" t="str">
        <f t="shared" si="1"/>
        <v>++</v>
      </c>
    </row>
    <row r="69" spans="2:5" x14ac:dyDescent="0.2">
      <c r="B69" s="38">
        <v>33</v>
      </c>
      <c r="C69" s="39">
        <v>3</v>
      </c>
      <c r="D69" s="40" t="s">
        <v>102</v>
      </c>
      <c r="E69" s="27" t="str">
        <f t="shared" si="1"/>
        <v>--</v>
      </c>
    </row>
    <row r="70" spans="2:5" x14ac:dyDescent="0.2">
      <c r="B70" s="38">
        <v>33.5</v>
      </c>
      <c r="C70" s="39">
        <v>3</v>
      </c>
      <c r="D70" s="40" t="s">
        <v>102</v>
      </c>
      <c r="E70" s="27" t="str">
        <f t="shared" si="1"/>
        <v>-</v>
      </c>
    </row>
    <row r="71" spans="2:5" x14ac:dyDescent="0.2">
      <c r="B71" s="38">
        <v>34</v>
      </c>
      <c r="C71" s="39">
        <v>3</v>
      </c>
      <c r="D71" s="40" t="s">
        <v>102</v>
      </c>
      <c r="E71" s="27" t="str">
        <f t="shared" si="1"/>
        <v/>
      </c>
    </row>
    <row r="72" spans="2:5" x14ac:dyDescent="0.2">
      <c r="B72" s="38">
        <v>34.5</v>
      </c>
      <c r="C72" s="39">
        <v>3</v>
      </c>
      <c r="D72" s="40" t="s">
        <v>102</v>
      </c>
      <c r="E72" s="27" t="str">
        <f t="shared" si="1"/>
        <v/>
      </c>
    </row>
    <row r="73" spans="2:5" x14ac:dyDescent="0.2">
      <c r="B73" s="38">
        <v>35</v>
      </c>
      <c r="C73" s="39">
        <v>3</v>
      </c>
      <c r="D73" s="40" t="s">
        <v>102</v>
      </c>
      <c r="E73" s="27" t="str">
        <f t="shared" si="1"/>
        <v/>
      </c>
    </row>
    <row r="74" spans="2:5" x14ac:dyDescent="0.2">
      <c r="B74" s="38">
        <v>35.5</v>
      </c>
      <c r="C74" s="39">
        <v>3</v>
      </c>
      <c r="D74" s="40" t="s">
        <v>102</v>
      </c>
      <c r="E74" s="27" t="str">
        <f t="shared" si="1"/>
        <v/>
      </c>
    </row>
    <row r="75" spans="2:5" x14ac:dyDescent="0.2">
      <c r="B75" s="38">
        <v>36</v>
      </c>
      <c r="C75" s="39">
        <v>3</v>
      </c>
      <c r="D75" s="40" t="s">
        <v>102</v>
      </c>
      <c r="E75" s="27" t="str">
        <f t="shared" si="1"/>
        <v/>
      </c>
    </row>
    <row r="76" spans="2:5" x14ac:dyDescent="0.2">
      <c r="B76" s="38">
        <v>36.5</v>
      </c>
      <c r="C76" s="39">
        <v>3</v>
      </c>
      <c r="D76" s="40" t="s">
        <v>102</v>
      </c>
      <c r="E76" s="27" t="str">
        <f t="shared" si="1"/>
        <v/>
      </c>
    </row>
    <row r="77" spans="2:5" x14ac:dyDescent="0.2">
      <c r="B77" s="38">
        <v>37</v>
      </c>
      <c r="C77" s="39">
        <v>3</v>
      </c>
      <c r="D77" s="40" t="s">
        <v>102</v>
      </c>
      <c r="E77" s="27" t="str">
        <f t="shared" si="1"/>
        <v/>
      </c>
    </row>
    <row r="78" spans="2:5" x14ac:dyDescent="0.2">
      <c r="B78" s="38">
        <v>37.5</v>
      </c>
      <c r="C78" s="39">
        <v>3</v>
      </c>
      <c r="D78" s="40" t="s">
        <v>102</v>
      </c>
      <c r="E78" s="27" t="str">
        <f t="shared" si="1"/>
        <v/>
      </c>
    </row>
    <row r="79" spans="2:5" x14ac:dyDescent="0.2">
      <c r="B79" s="38">
        <v>38</v>
      </c>
      <c r="C79" s="39">
        <v>3</v>
      </c>
      <c r="D79" s="40" t="s">
        <v>102</v>
      </c>
      <c r="E79" s="27" t="str">
        <f t="shared" si="1"/>
        <v/>
      </c>
    </row>
    <row r="80" spans="2:5" x14ac:dyDescent="0.2">
      <c r="B80" s="38">
        <v>38.5</v>
      </c>
      <c r="C80" s="39">
        <v>3</v>
      </c>
      <c r="D80" s="40" t="s">
        <v>102</v>
      </c>
      <c r="E80" s="27" t="str">
        <f t="shared" si="1"/>
        <v/>
      </c>
    </row>
    <row r="81" spans="2:5" x14ac:dyDescent="0.2">
      <c r="B81" s="38">
        <v>39</v>
      </c>
      <c r="C81" s="39">
        <v>3</v>
      </c>
      <c r="D81" s="40" t="s">
        <v>102</v>
      </c>
      <c r="E81" s="27" t="str">
        <f t="shared" si="1"/>
        <v>+</v>
      </c>
    </row>
    <row r="82" spans="2:5" x14ac:dyDescent="0.2">
      <c r="B82" s="38">
        <v>39.5</v>
      </c>
      <c r="C82" s="39">
        <v>3</v>
      </c>
      <c r="D82" s="40" t="s">
        <v>102</v>
      </c>
      <c r="E82" s="27" t="str">
        <f t="shared" si="1"/>
        <v>++</v>
      </c>
    </row>
    <row r="83" spans="2:5" x14ac:dyDescent="0.2">
      <c r="B83" s="38">
        <v>40</v>
      </c>
      <c r="C83" s="39">
        <v>4</v>
      </c>
      <c r="D83" s="40" t="s">
        <v>103</v>
      </c>
      <c r="E83" s="27" t="str">
        <f t="shared" si="1"/>
        <v>--</v>
      </c>
    </row>
    <row r="84" spans="2:5" x14ac:dyDescent="0.2">
      <c r="B84" s="38">
        <v>40.5</v>
      </c>
      <c r="C84" s="39">
        <v>4</v>
      </c>
      <c r="D84" s="40" t="s">
        <v>103</v>
      </c>
      <c r="E84" s="27" t="str">
        <f t="shared" si="1"/>
        <v>-</v>
      </c>
    </row>
    <row r="85" spans="2:5" x14ac:dyDescent="0.2">
      <c r="B85" s="38">
        <v>41</v>
      </c>
      <c r="C85" s="39">
        <v>4</v>
      </c>
      <c r="D85" s="42" t="s">
        <v>103</v>
      </c>
      <c r="E85" s="27" t="str">
        <f t="shared" si="1"/>
        <v/>
      </c>
    </row>
    <row r="86" spans="2:5" x14ac:dyDescent="0.2">
      <c r="B86" s="38">
        <v>41.5</v>
      </c>
      <c r="C86" s="39">
        <v>4</v>
      </c>
      <c r="D86" s="42" t="s">
        <v>103</v>
      </c>
      <c r="E86" s="27" t="str">
        <f t="shared" si="1"/>
        <v/>
      </c>
    </row>
    <row r="87" spans="2:5" x14ac:dyDescent="0.2">
      <c r="B87" s="38">
        <v>42</v>
      </c>
      <c r="C87" s="39">
        <v>4</v>
      </c>
      <c r="D87" s="42" t="s">
        <v>103</v>
      </c>
      <c r="E87" s="27" t="str">
        <f t="shared" si="1"/>
        <v/>
      </c>
    </row>
    <row r="88" spans="2:5" x14ac:dyDescent="0.2">
      <c r="B88" s="38">
        <v>42.5</v>
      </c>
      <c r="C88" s="39">
        <v>4</v>
      </c>
      <c r="D88" s="42" t="s">
        <v>103</v>
      </c>
      <c r="E88" s="27" t="str">
        <f t="shared" si="1"/>
        <v/>
      </c>
    </row>
    <row r="89" spans="2:5" x14ac:dyDescent="0.2">
      <c r="B89" s="38">
        <v>43</v>
      </c>
      <c r="C89" s="39">
        <v>4</v>
      </c>
      <c r="D89" s="42" t="s">
        <v>103</v>
      </c>
      <c r="E89" s="27" t="str">
        <f t="shared" si="1"/>
        <v/>
      </c>
    </row>
    <row r="90" spans="2:5" x14ac:dyDescent="0.2">
      <c r="B90" s="38">
        <v>43.5</v>
      </c>
      <c r="C90" s="39">
        <v>4</v>
      </c>
      <c r="D90" s="42" t="s">
        <v>103</v>
      </c>
      <c r="E90" s="27" t="str">
        <f t="shared" si="1"/>
        <v/>
      </c>
    </row>
    <row r="91" spans="2:5" x14ac:dyDescent="0.2">
      <c r="B91" s="38">
        <v>44</v>
      </c>
      <c r="C91" s="39">
        <v>4</v>
      </c>
      <c r="D91" s="42" t="s">
        <v>103</v>
      </c>
      <c r="E91" s="27" t="str">
        <f t="shared" si="1"/>
        <v>+</v>
      </c>
    </row>
    <row r="92" spans="2:5" x14ac:dyDescent="0.2">
      <c r="B92" s="38">
        <v>44.5</v>
      </c>
      <c r="C92" s="39">
        <v>4</v>
      </c>
      <c r="D92" s="42" t="s">
        <v>103</v>
      </c>
      <c r="E92" s="27" t="str">
        <f t="shared" si="1"/>
        <v>++</v>
      </c>
    </row>
    <row r="93" spans="2:5" x14ac:dyDescent="0.2">
      <c r="B93" s="38">
        <v>45</v>
      </c>
      <c r="C93" s="39">
        <v>5</v>
      </c>
      <c r="D93" s="42" t="s">
        <v>104</v>
      </c>
      <c r="E93" s="27" t="str">
        <f t="shared" si="1"/>
        <v>--</v>
      </c>
    </row>
    <row r="94" spans="2:5" x14ac:dyDescent="0.2">
      <c r="B94" s="38">
        <v>45.5</v>
      </c>
      <c r="C94" s="39">
        <v>5</v>
      </c>
      <c r="D94" s="42" t="s">
        <v>104</v>
      </c>
      <c r="E94" s="27" t="str">
        <f t="shared" si="1"/>
        <v>-</v>
      </c>
    </row>
    <row r="95" spans="2:5" x14ac:dyDescent="0.2">
      <c r="B95" s="38">
        <v>46</v>
      </c>
      <c r="C95" s="39">
        <v>5</v>
      </c>
      <c r="D95" s="42" t="s">
        <v>104</v>
      </c>
      <c r="E95" s="27" t="str">
        <f t="shared" si="1"/>
        <v/>
      </c>
    </row>
    <row r="96" spans="2:5" x14ac:dyDescent="0.2">
      <c r="B96" s="38">
        <v>46.5</v>
      </c>
      <c r="C96" s="39">
        <v>5</v>
      </c>
      <c r="D96" s="42" t="s">
        <v>104</v>
      </c>
      <c r="E96" s="27" t="str">
        <f t="shared" si="1"/>
        <v/>
      </c>
    </row>
    <row r="97" spans="2:5" x14ac:dyDescent="0.2">
      <c r="B97" s="38">
        <v>47</v>
      </c>
      <c r="C97" s="39">
        <v>5</v>
      </c>
      <c r="D97" s="42" t="s">
        <v>104</v>
      </c>
      <c r="E97" s="27" t="str">
        <f t="shared" si="1"/>
        <v/>
      </c>
    </row>
    <row r="98" spans="2:5" x14ac:dyDescent="0.2">
      <c r="B98" s="38">
        <v>47.5</v>
      </c>
      <c r="C98" s="39">
        <v>5</v>
      </c>
      <c r="D98" s="42" t="s">
        <v>104</v>
      </c>
      <c r="E98" s="27" t="str">
        <f t="shared" si="1"/>
        <v/>
      </c>
    </row>
    <row r="99" spans="2:5" x14ac:dyDescent="0.2">
      <c r="B99" s="38">
        <v>48</v>
      </c>
      <c r="C99" s="39">
        <v>5</v>
      </c>
      <c r="D99" s="42" t="s">
        <v>104</v>
      </c>
      <c r="E99" s="27" t="str">
        <f t="shared" si="1"/>
        <v/>
      </c>
    </row>
    <row r="100" spans="2:5" x14ac:dyDescent="0.2">
      <c r="B100" s="38">
        <v>48.5</v>
      </c>
      <c r="C100" s="39">
        <v>5</v>
      </c>
      <c r="D100" s="42" t="s">
        <v>104</v>
      </c>
      <c r="E100" s="27" t="str">
        <f t="shared" si="1"/>
        <v/>
      </c>
    </row>
    <row r="101" spans="2:5" x14ac:dyDescent="0.2">
      <c r="B101" s="38">
        <v>49</v>
      </c>
      <c r="C101" s="39">
        <v>5</v>
      </c>
      <c r="D101" s="41" t="s">
        <v>104</v>
      </c>
      <c r="E101" s="27" t="str">
        <f t="shared" si="1"/>
        <v>+</v>
      </c>
    </row>
    <row r="102" spans="2:5" x14ac:dyDescent="0.2">
      <c r="B102" s="38">
        <v>49.5</v>
      </c>
      <c r="C102" s="39">
        <v>5</v>
      </c>
      <c r="D102" s="41" t="s">
        <v>104</v>
      </c>
      <c r="E102" s="27" t="str">
        <f t="shared" si="1"/>
        <v>++</v>
      </c>
    </row>
    <row r="103" spans="2:5" x14ac:dyDescent="0.2">
      <c r="B103" s="38">
        <v>50</v>
      </c>
      <c r="C103" s="39">
        <v>6</v>
      </c>
      <c r="D103" s="41" t="s">
        <v>105</v>
      </c>
      <c r="E103" s="27" t="str">
        <f t="shared" si="1"/>
        <v>--</v>
      </c>
    </row>
    <row r="104" spans="2:5" x14ac:dyDescent="0.2">
      <c r="B104" s="38">
        <v>50.5</v>
      </c>
      <c r="C104" s="39">
        <v>6</v>
      </c>
      <c r="D104" s="41" t="s">
        <v>105</v>
      </c>
      <c r="E104" s="27" t="str">
        <f t="shared" si="1"/>
        <v>-</v>
      </c>
    </row>
    <row r="105" spans="2:5" x14ac:dyDescent="0.2">
      <c r="B105" s="38">
        <v>51</v>
      </c>
      <c r="C105" s="39">
        <v>6</v>
      </c>
      <c r="D105" s="41" t="s">
        <v>105</v>
      </c>
      <c r="E105" s="27" t="str">
        <f t="shared" si="1"/>
        <v/>
      </c>
    </row>
    <row r="106" spans="2:5" x14ac:dyDescent="0.2">
      <c r="B106" s="38">
        <v>51.5</v>
      </c>
      <c r="C106" s="39">
        <v>6</v>
      </c>
      <c r="D106" s="41" t="s">
        <v>105</v>
      </c>
      <c r="E106" s="27" t="str">
        <f t="shared" si="1"/>
        <v/>
      </c>
    </row>
    <row r="107" spans="2:5" x14ac:dyDescent="0.2">
      <c r="B107" s="38">
        <v>52</v>
      </c>
      <c r="C107" s="39">
        <v>6</v>
      </c>
      <c r="D107" s="41" t="s">
        <v>105</v>
      </c>
      <c r="E107" s="27" t="str">
        <f t="shared" si="1"/>
        <v/>
      </c>
    </row>
    <row r="108" spans="2:5" x14ac:dyDescent="0.2">
      <c r="B108" s="38">
        <v>52.5</v>
      </c>
      <c r="C108" s="39">
        <v>6</v>
      </c>
      <c r="D108" s="41" t="s">
        <v>105</v>
      </c>
      <c r="E108" s="27" t="str">
        <f t="shared" si="1"/>
        <v/>
      </c>
    </row>
    <row r="109" spans="2:5" x14ac:dyDescent="0.2">
      <c r="B109" s="38">
        <v>53</v>
      </c>
      <c r="C109" s="39">
        <v>6</v>
      </c>
      <c r="D109" s="41" t="s">
        <v>105</v>
      </c>
      <c r="E109" s="27" t="str">
        <f t="shared" si="1"/>
        <v/>
      </c>
    </row>
    <row r="110" spans="2:5" x14ac:dyDescent="0.2">
      <c r="B110" s="38">
        <v>53.5</v>
      </c>
      <c r="C110" s="39">
        <v>6</v>
      </c>
      <c r="D110" s="41" t="s">
        <v>105</v>
      </c>
      <c r="E110" s="27" t="str">
        <f t="shared" si="1"/>
        <v/>
      </c>
    </row>
    <row r="111" spans="2:5" x14ac:dyDescent="0.2">
      <c r="B111" s="38">
        <v>54</v>
      </c>
      <c r="C111" s="39">
        <v>6</v>
      </c>
      <c r="D111" s="41" t="s">
        <v>105</v>
      </c>
      <c r="E111" s="27" t="str">
        <f t="shared" si="1"/>
        <v>+</v>
      </c>
    </row>
    <row r="112" spans="2:5" x14ac:dyDescent="0.2">
      <c r="B112" s="38">
        <v>54.5</v>
      </c>
      <c r="C112" s="39">
        <v>6</v>
      </c>
      <c r="D112" s="41" t="s">
        <v>105</v>
      </c>
      <c r="E112" s="27" t="str">
        <f t="shared" si="1"/>
        <v>++</v>
      </c>
    </row>
    <row r="113" spans="2:5" x14ac:dyDescent="0.2">
      <c r="B113" s="38">
        <v>55</v>
      </c>
      <c r="C113" s="39">
        <v>7</v>
      </c>
      <c r="D113" s="40" t="s">
        <v>106</v>
      </c>
      <c r="E113" s="27" t="str">
        <f t="shared" si="1"/>
        <v>--</v>
      </c>
    </row>
    <row r="114" spans="2:5" x14ac:dyDescent="0.2">
      <c r="B114" s="38">
        <v>55.5</v>
      </c>
      <c r="C114" s="39">
        <v>7</v>
      </c>
      <c r="D114" s="40" t="s">
        <v>106</v>
      </c>
      <c r="E114" s="27" t="str">
        <f t="shared" si="1"/>
        <v>-</v>
      </c>
    </row>
    <row r="115" spans="2:5" x14ac:dyDescent="0.2">
      <c r="B115" s="38">
        <v>56</v>
      </c>
      <c r="C115" s="39">
        <v>7</v>
      </c>
      <c r="D115" s="40" t="s">
        <v>106</v>
      </c>
      <c r="E115" s="27" t="str">
        <f t="shared" si="1"/>
        <v/>
      </c>
    </row>
    <row r="116" spans="2:5" x14ac:dyDescent="0.2">
      <c r="B116" s="38">
        <v>56.5</v>
      </c>
      <c r="C116" s="39">
        <v>7</v>
      </c>
      <c r="D116" s="40" t="s">
        <v>106</v>
      </c>
      <c r="E116" s="27" t="str">
        <f t="shared" ref="E116:E179" si="2">IF(AND($C116=$C117,$C117&lt;$C118),"+",IF($C116&lt;$C117,"++",IF(AND($C116=$C115,$C115&gt;$C114),"-",IF($C116&gt;$C115,"--",""))))</f>
        <v/>
      </c>
    </row>
    <row r="117" spans="2:5" x14ac:dyDescent="0.2">
      <c r="B117" s="38">
        <v>57</v>
      </c>
      <c r="C117" s="39">
        <v>7</v>
      </c>
      <c r="D117" s="40" t="s">
        <v>106</v>
      </c>
      <c r="E117" s="27" t="str">
        <f t="shared" si="2"/>
        <v/>
      </c>
    </row>
    <row r="118" spans="2:5" x14ac:dyDescent="0.2">
      <c r="B118" s="38">
        <v>57.5</v>
      </c>
      <c r="C118" s="39">
        <v>7</v>
      </c>
      <c r="D118" s="40" t="s">
        <v>106</v>
      </c>
      <c r="E118" s="27" t="str">
        <f t="shared" si="2"/>
        <v/>
      </c>
    </row>
    <row r="119" spans="2:5" x14ac:dyDescent="0.2">
      <c r="B119" s="38">
        <v>58</v>
      </c>
      <c r="C119" s="39">
        <v>7</v>
      </c>
      <c r="D119" s="40" t="s">
        <v>106</v>
      </c>
      <c r="E119" s="27" t="str">
        <f t="shared" si="2"/>
        <v/>
      </c>
    </row>
    <row r="120" spans="2:5" x14ac:dyDescent="0.2">
      <c r="B120" s="38">
        <v>58.5</v>
      </c>
      <c r="C120" s="39">
        <v>7</v>
      </c>
      <c r="D120" s="40" t="s">
        <v>106</v>
      </c>
      <c r="E120" s="27" t="str">
        <f t="shared" si="2"/>
        <v/>
      </c>
    </row>
    <row r="121" spans="2:5" x14ac:dyDescent="0.2">
      <c r="B121" s="38">
        <v>59</v>
      </c>
      <c r="C121" s="39">
        <v>7</v>
      </c>
      <c r="D121" s="40" t="s">
        <v>106</v>
      </c>
      <c r="E121" s="27" t="str">
        <f t="shared" si="2"/>
        <v>+</v>
      </c>
    </row>
    <row r="122" spans="2:5" x14ac:dyDescent="0.2">
      <c r="B122" s="38">
        <v>59.5</v>
      </c>
      <c r="C122" s="39">
        <v>7</v>
      </c>
      <c r="D122" s="40" t="s">
        <v>106</v>
      </c>
      <c r="E122" s="27" t="str">
        <f t="shared" si="2"/>
        <v>++</v>
      </c>
    </row>
    <row r="123" spans="2:5" x14ac:dyDescent="0.2">
      <c r="B123" s="38">
        <v>60</v>
      </c>
      <c r="C123" s="39">
        <v>8</v>
      </c>
      <c r="D123" s="40" t="s">
        <v>18</v>
      </c>
      <c r="E123" s="27" t="str">
        <f t="shared" si="2"/>
        <v>--</v>
      </c>
    </row>
    <row r="124" spans="2:5" x14ac:dyDescent="0.2">
      <c r="B124" s="38">
        <v>60.5</v>
      </c>
      <c r="C124" s="39">
        <v>8</v>
      </c>
      <c r="D124" s="40" t="s">
        <v>18</v>
      </c>
      <c r="E124" s="27" t="str">
        <f t="shared" si="2"/>
        <v>-</v>
      </c>
    </row>
    <row r="125" spans="2:5" x14ac:dyDescent="0.2">
      <c r="B125" s="38">
        <v>61</v>
      </c>
      <c r="C125" s="39">
        <v>8</v>
      </c>
      <c r="D125" s="42" t="s">
        <v>18</v>
      </c>
      <c r="E125" s="27" t="str">
        <f t="shared" si="2"/>
        <v/>
      </c>
    </row>
    <row r="126" spans="2:5" x14ac:dyDescent="0.2">
      <c r="B126" s="38">
        <v>61.5</v>
      </c>
      <c r="C126" s="39">
        <v>8</v>
      </c>
      <c r="D126" s="42" t="s">
        <v>18</v>
      </c>
      <c r="E126" s="27" t="str">
        <f t="shared" si="2"/>
        <v/>
      </c>
    </row>
    <row r="127" spans="2:5" x14ac:dyDescent="0.2">
      <c r="B127" s="38">
        <v>62</v>
      </c>
      <c r="C127" s="39">
        <v>8</v>
      </c>
      <c r="D127" s="42" t="s">
        <v>18</v>
      </c>
      <c r="E127" s="27" t="str">
        <f t="shared" si="2"/>
        <v/>
      </c>
    </row>
    <row r="128" spans="2:5" x14ac:dyDescent="0.2">
      <c r="B128" s="38">
        <v>62.5</v>
      </c>
      <c r="C128" s="39">
        <v>8</v>
      </c>
      <c r="D128" s="42" t="s">
        <v>18</v>
      </c>
      <c r="E128" s="27" t="str">
        <f t="shared" si="2"/>
        <v/>
      </c>
    </row>
    <row r="129" spans="2:5" x14ac:dyDescent="0.2">
      <c r="B129" s="38">
        <v>63</v>
      </c>
      <c r="C129" s="39">
        <v>8</v>
      </c>
      <c r="D129" s="42" t="s">
        <v>18</v>
      </c>
      <c r="E129" s="27" t="str">
        <f t="shared" si="2"/>
        <v/>
      </c>
    </row>
    <row r="130" spans="2:5" x14ac:dyDescent="0.2">
      <c r="B130" s="38">
        <v>63.5</v>
      </c>
      <c r="C130" s="39">
        <v>8</v>
      </c>
      <c r="D130" s="42" t="s">
        <v>18</v>
      </c>
      <c r="E130" s="27" t="str">
        <f t="shared" si="2"/>
        <v/>
      </c>
    </row>
    <row r="131" spans="2:5" x14ac:dyDescent="0.2">
      <c r="B131" s="38">
        <v>64</v>
      </c>
      <c r="C131" s="39">
        <v>8</v>
      </c>
      <c r="D131" s="42" t="s">
        <v>18</v>
      </c>
      <c r="E131" s="27" t="str">
        <f t="shared" si="2"/>
        <v>+</v>
      </c>
    </row>
    <row r="132" spans="2:5" x14ac:dyDescent="0.2">
      <c r="B132" s="38">
        <v>64.5</v>
      </c>
      <c r="C132" s="39">
        <v>8</v>
      </c>
      <c r="D132" s="42" t="s">
        <v>18</v>
      </c>
      <c r="E132" s="27" t="str">
        <f t="shared" si="2"/>
        <v>++</v>
      </c>
    </row>
    <row r="133" spans="2:5" x14ac:dyDescent="0.2">
      <c r="B133" s="38">
        <v>65</v>
      </c>
      <c r="C133" s="39">
        <v>9</v>
      </c>
      <c r="D133" s="42" t="s">
        <v>107</v>
      </c>
      <c r="E133" s="27" t="str">
        <f t="shared" si="2"/>
        <v>--</v>
      </c>
    </row>
    <row r="134" spans="2:5" x14ac:dyDescent="0.2">
      <c r="B134" s="38">
        <v>65.5</v>
      </c>
      <c r="C134" s="39">
        <v>9</v>
      </c>
      <c r="D134" s="42" t="s">
        <v>107</v>
      </c>
      <c r="E134" s="27" t="str">
        <f t="shared" si="2"/>
        <v>-</v>
      </c>
    </row>
    <row r="135" spans="2:5" x14ac:dyDescent="0.2">
      <c r="B135" s="38">
        <v>66</v>
      </c>
      <c r="C135" s="39">
        <v>9</v>
      </c>
      <c r="D135" s="42" t="s">
        <v>107</v>
      </c>
      <c r="E135" s="27" t="str">
        <f t="shared" si="2"/>
        <v/>
      </c>
    </row>
    <row r="136" spans="2:5" x14ac:dyDescent="0.2">
      <c r="B136" s="38">
        <v>66.5</v>
      </c>
      <c r="C136" s="39">
        <v>9</v>
      </c>
      <c r="D136" s="42" t="s">
        <v>107</v>
      </c>
      <c r="E136" s="27" t="str">
        <f t="shared" si="2"/>
        <v/>
      </c>
    </row>
    <row r="137" spans="2:5" x14ac:dyDescent="0.2">
      <c r="B137" s="38">
        <v>67</v>
      </c>
      <c r="C137" s="39">
        <v>9</v>
      </c>
      <c r="D137" s="41" t="s">
        <v>107</v>
      </c>
      <c r="E137" s="27" t="str">
        <f t="shared" si="2"/>
        <v/>
      </c>
    </row>
    <row r="138" spans="2:5" x14ac:dyDescent="0.2">
      <c r="B138" s="38">
        <v>67.5</v>
      </c>
      <c r="C138" s="39">
        <v>9</v>
      </c>
      <c r="D138" s="41" t="s">
        <v>107</v>
      </c>
      <c r="E138" s="27" t="str">
        <f t="shared" si="2"/>
        <v/>
      </c>
    </row>
    <row r="139" spans="2:5" x14ac:dyDescent="0.2">
      <c r="B139" s="38">
        <v>68</v>
      </c>
      <c r="C139" s="39">
        <v>9</v>
      </c>
      <c r="D139" s="41" t="s">
        <v>107</v>
      </c>
      <c r="E139" s="27" t="str">
        <f t="shared" si="2"/>
        <v/>
      </c>
    </row>
    <row r="140" spans="2:5" x14ac:dyDescent="0.2">
      <c r="B140" s="38">
        <v>68.5</v>
      </c>
      <c r="C140" s="39">
        <v>9</v>
      </c>
      <c r="D140" s="41" t="s">
        <v>107</v>
      </c>
      <c r="E140" s="27" t="str">
        <f t="shared" si="2"/>
        <v/>
      </c>
    </row>
    <row r="141" spans="2:5" x14ac:dyDescent="0.2">
      <c r="B141" s="38">
        <v>69</v>
      </c>
      <c r="C141" s="39">
        <v>9</v>
      </c>
      <c r="D141" s="41" t="s">
        <v>107</v>
      </c>
      <c r="E141" s="27" t="str">
        <f t="shared" si="2"/>
        <v>+</v>
      </c>
    </row>
    <row r="142" spans="2:5" x14ac:dyDescent="0.2">
      <c r="B142" s="38">
        <v>69.5</v>
      </c>
      <c r="C142" s="39">
        <v>9</v>
      </c>
      <c r="D142" s="41" t="s">
        <v>107</v>
      </c>
      <c r="E142" s="27" t="str">
        <f t="shared" si="2"/>
        <v>++</v>
      </c>
    </row>
    <row r="143" spans="2:5" x14ac:dyDescent="0.2">
      <c r="B143" s="38">
        <v>70</v>
      </c>
      <c r="C143" s="39">
        <v>10</v>
      </c>
      <c r="D143" s="41" t="s">
        <v>108</v>
      </c>
      <c r="E143" s="27" t="str">
        <f t="shared" si="2"/>
        <v>--</v>
      </c>
    </row>
    <row r="144" spans="2:5" x14ac:dyDescent="0.2">
      <c r="B144" s="38">
        <v>70.5</v>
      </c>
      <c r="C144" s="39">
        <v>10</v>
      </c>
      <c r="D144" s="41" t="s">
        <v>108</v>
      </c>
      <c r="E144" s="27" t="str">
        <f t="shared" si="2"/>
        <v>-</v>
      </c>
    </row>
    <row r="145" spans="2:5" x14ac:dyDescent="0.2">
      <c r="B145" s="38">
        <v>71</v>
      </c>
      <c r="C145" s="39">
        <v>10</v>
      </c>
      <c r="D145" s="41" t="s">
        <v>108</v>
      </c>
      <c r="E145" s="27" t="str">
        <f t="shared" si="2"/>
        <v/>
      </c>
    </row>
    <row r="146" spans="2:5" x14ac:dyDescent="0.2">
      <c r="B146" s="38">
        <v>71.5</v>
      </c>
      <c r="C146" s="39">
        <v>10</v>
      </c>
      <c r="D146" s="41" t="s">
        <v>108</v>
      </c>
      <c r="E146" s="27" t="str">
        <f t="shared" si="2"/>
        <v/>
      </c>
    </row>
    <row r="147" spans="2:5" x14ac:dyDescent="0.2">
      <c r="B147" s="38">
        <v>72</v>
      </c>
      <c r="C147" s="39">
        <v>10</v>
      </c>
      <c r="D147" s="41" t="s">
        <v>108</v>
      </c>
      <c r="E147" s="27" t="str">
        <f t="shared" si="2"/>
        <v/>
      </c>
    </row>
    <row r="148" spans="2:5" x14ac:dyDescent="0.2">
      <c r="B148" s="38">
        <v>72.5</v>
      </c>
      <c r="C148" s="39">
        <v>10</v>
      </c>
      <c r="D148" s="41" t="s">
        <v>108</v>
      </c>
      <c r="E148" s="27" t="str">
        <f t="shared" si="2"/>
        <v/>
      </c>
    </row>
    <row r="149" spans="2:5" x14ac:dyDescent="0.2">
      <c r="B149" s="38">
        <v>73</v>
      </c>
      <c r="C149" s="39">
        <v>10</v>
      </c>
      <c r="D149" s="40" t="s">
        <v>108</v>
      </c>
      <c r="E149" s="27" t="str">
        <f t="shared" si="2"/>
        <v/>
      </c>
    </row>
    <row r="150" spans="2:5" x14ac:dyDescent="0.2">
      <c r="B150" s="38">
        <v>73.5</v>
      </c>
      <c r="C150" s="39">
        <v>10</v>
      </c>
      <c r="D150" s="40" t="s">
        <v>108</v>
      </c>
      <c r="E150" s="27" t="str">
        <f t="shared" si="2"/>
        <v/>
      </c>
    </row>
    <row r="151" spans="2:5" x14ac:dyDescent="0.2">
      <c r="B151" s="38">
        <v>74</v>
      </c>
      <c r="C151" s="39">
        <v>10</v>
      </c>
      <c r="D151" s="40" t="s">
        <v>108</v>
      </c>
      <c r="E151" s="27" t="str">
        <f t="shared" si="2"/>
        <v>+</v>
      </c>
    </row>
    <row r="152" spans="2:5" x14ac:dyDescent="0.2">
      <c r="B152" s="38">
        <v>74.5</v>
      </c>
      <c r="C152" s="39">
        <v>10</v>
      </c>
      <c r="D152" s="40" t="s">
        <v>108</v>
      </c>
      <c r="E152" s="27" t="str">
        <f t="shared" si="2"/>
        <v>++</v>
      </c>
    </row>
    <row r="153" spans="2:5" x14ac:dyDescent="0.2">
      <c r="B153" s="38">
        <v>75</v>
      </c>
      <c r="C153" s="39">
        <v>11</v>
      </c>
      <c r="D153" s="40" t="s">
        <v>17</v>
      </c>
      <c r="E153" s="27" t="str">
        <f t="shared" si="2"/>
        <v>--</v>
      </c>
    </row>
    <row r="154" spans="2:5" x14ac:dyDescent="0.2">
      <c r="B154" s="38">
        <v>75.5</v>
      </c>
      <c r="C154" s="39">
        <v>11</v>
      </c>
      <c r="D154" s="40" t="s">
        <v>17</v>
      </c>
      <c r="E154" s="27" t="str">
        <f t="shared" si="2"/>
        <v>-</v>
      </c>
    </row>
    <row r="155" spans="2:5" x14ac:dyDescent="0.2">
      <c r="B155" s="38">
        <v>76</v>
      </c>
      <c r="C155" s="39">
        <v>11</v>
      </c>
      <c r="D155" s="40" t="s">
        <v>17</v>
      </c>
      <c r="E155" s="27" t="str">
        <f t="shared" si="2"/>
        <v/>
      </c>
    </row>
    <row r="156" spans="2:5" x14ac:dyDescent="0.2">
      <c r="B156" s="38">
        <v>76.5</v>
      </c>
      <c r="C156" s="39">
        <v>11</v>
      </c>
      <c r="D156" s="40" t="s">
        <v>17</v>
      </c>
      <c r="E156" s="27" t="str">
        <f t="shared" si="2"/>
        <v/>
      </c>
    </row>
    <row r="157" spans="2:5" x14ac:dyDescent="0.2">
      <c r="B157" s="38">
        <v>77</v>
      </c>
      <c r="C157" s="39">
        <v>11</v>
      </c>
      <c r="D157" s="40" t="s">
        <v>17</v>
      </c>
      <c r="E157" s="27" t="str">
        <f t="shared" si="2"/>
        <v/>
      </c>
    </row>
    <row r="158" spans="2:5" x14ac:dyDescent="0.2">
      <c r="B158" s="38">
        <v>77.5</v>
      </c>
      <c r="C158" s="39">
        <v>11</v>
      </c>
      <c r="D158" s="40" t="s">
        <v>17</v>
      </c>
      <c r="E158" s="27" t="str">
        <f t="shared" si="2"/>
        <v/>
      </c>
    </row>
    <row r="159" spans="2:5" x14ac:dyDescent="0.2">
      <c r="B159" s="38">
        <v>78</v>
      </c>
      <c r="C159" s="39">
        <v>11</v>
      </c>
      <c r="D159" s="40" t="s">
        <v>17</v>
      </c>
      <c r="E159" s="27" t="str">
        <f t="shared" si="2"/>
        <v/>
      </c>
    </row>
    <row r="160" spans="2:5" x14ac:dyDescent="0.2">
      <c r="B160" s="38">
        <v>78.5</v>
      </c>
      <c r="C160" s="39">
        <v>11</v>
      </c>
      <c r="D160" s="40" t="s">
        <v>17</v>
      </c>
      <c r="E160" s="27" t="str">
        <f t="shared" si="2"/>
        <v/>
      </c>
    </row>
    <row r="161" spans="2:5" x14ac:dyDescent="0.2">
      <c r="B161" s="38">
        <v>79</v>
      </c>
      <c r="C161" s="39">
        <v>11</v>
      </c>
      <c r="D161" s="42" t="s">
        <v>17</v>
      </c>
      <c r="E161" s="27" t="str">
        <f t="shared" si="2"/>
        <v>+</v>
      </c>
    </row>
    <row r="162" spans="2:5" x14ac:dyDescent="0.2">
      <c r="B162" s="38">
        <v>79.5</v>
      </c>
      <c r="C162" s="39">
        <v>11</v>
      </c>
      <c r="D162" s="42" t="s">
        <v>17</v>
      </c>
      <c r="E162" s="27" t="str">
        <f t="shared" si="2"/>
        <v>++</v>
      </c>
    </row>
    <row r="163" spans="2:5" x14ac:dyDescent="0.2">
      <c r="B163" s="38">
        <v>80</v>
      </c>
      <c r="C163" s="39">
        <v>12</v>
      </c>
      <c r="D163" s="42" t="s">
        <v>109</v>
      </c>
      <c r="E163" s="27" t="str">
        <f t="shared" si="2"/>
        <v>--</v>
      </c>
    </row>
    <row r="164" spans="2:5" x14ac:dyDescent="0.2">
      <c r="B164" s="38">
        <v>80.5</v>
      </c>
      <c r="C164" s="39">
        <v>12</v>
      </c>
      <c r="D164" s="42" t="s">
        <v>109</v>
      </c>
      <c r="E164" s="27" t="str">
        <f t="shared" si="2"/>
        <v>-</v>
      </c>
    </row>
    <row r="165" spans="2:5" x14ac:dyDescent="0.2">
      <c r="B165" s="38">
        <v>81</v>
      </c>
      <c r="C165" s="39">
        <v>12</v>
      </c>
      <c r="D165" s="42" t="s">
        <v>109</v>
      </c>
      <c r="E165" s="27" t="str">
        <f t="shared" si="2"/>
        <v/>
      </c>
    </row>
    <row r="166" spans="2:5" x14ac:dyDescent="0.2">
      <c r="B166" s="38">
        <v>81.5</v>
      </c>
      <c r="C166" s="39">
        <v>12</v>
      </c>
      <c r="D166" s="42" t="s">
        <v>109</v>
      </c>
      <c r="E166" s="27" t="str">
        <f t="shared" si="2"/>
        <v/>
      </c>
    </row>
    <row r="167" spans="2:5" x14ac:dyDescent="0.2">
      <c r="B167" s="38">
        <v>82</v>
      </c>
      <c r="C167" s="39">
        <v>12</v>
      </c>
      <c r="D167" s="42" t="s">
        <v>109</v>
      </c>
      <c r="E167" s="27" t="str">
        <f t="shared" si="2"/>
        <v/>
      </c>
    </row>
    <row r="168" spans="2:5" x14ac:dyDescent="0.2">
      <c r="B168" s="38">
        <v>82.5</v>
      </c>
      <c r="C168" s="39">
        <v>12</v>
      </c>
      <c r="D168" s="42" t="s">
        <v>109</v>
      </c>
      <c r="E168" s="27" t="str">
        <f t="shared" si="2"/>
        <v/>
      </c>
    </row>
    <row r="169" spans="2:5" x14ac:dyDescent="0.2">
      <c r="B169" s="38">
        <v>83</v>
      </c>
      <c r="C169" s="39">
        <v>12</v>
      </c>
      <c r="D169" s="42" t="s">
        <v>109</v>
      </c>
      <c r="E169" s="27" t="str">
        <f t="shared" si="2"/>
        <v/>
      </c>
    </row>
    <row r="170" spans="2:5" x14ac:dyDescent="0.2">
      <c r="B170" s="38">
        <v>83.5</v>
      </c>
      <c r="C170" s="39">
        <v>12</v>
      </c>
      <c r="D170" s="42" t="s">
        <v>109</v>
      </c>
      <c r="E170" s="27" t="str">
        <f t="shared" si="2"/>
        <v/>
      </c>
    </row>
    <row r="171" spans="2:5" x14ac:dyDescent="0.2">
      <c r="B171" s="38">
        <v>84</v>
      </c>
      <c r="C171" s="39">
        <v>12</v>
      </c>
      <c r="D171" s="42" t="s">
        <v>109</v>
      </c>
      <c r="E171" s="27" t="str">
        <f t="shared" si="2"/>
        <v>+</v>
      </c>
    </row>
    <row r="172" spans="2:5" x14ac:dyDescent="0.2">
      <c r="B172" s="38">
        <v>84.5</v>
      </c>
      <c r="C172" s="39">
        <v>12</v>
      </c>
      <c r="D172" s="42" t="s">
        <v>109</v>
      </c>
      <c r="E172" s="27" t="str">
        <f t="shared" si="2"/>
        <v>++</v>
      </c>
    </row>
    <row r="173" spans="2:5" x14ac:dyDescent="0.2">
      <c r="B173" s="38">
        <v>85</v>
      </c>
      <c r="C173" s="39">
        <v>13</v>
      </c>
      <c r="D173" s="41" t="s">
        <v>110</v>
      </c>
      <c r="E173" s="27" t="str">
        <f t="shared" si="2"/>
        <v>--</v>
      </c>
    </row>
    <row r="174" spans="2:5" x14ac:dyDescent="0.2">
      <c r="B174" s="38">
        <v>85.5</v>
      </c>
      <c r="C174" s="39">
        <v>13</v>
      </c>
      <c r="D174" s="41" t="s">
        <v>110</v>
      </c>
      <c r="E174" s="27" t="str">
        <f t="shared" si="2"/>
        <v>-</v>
      </c>
    </row>
    <row r="175" spans="2:5" x14ac:dyDescent="0.2">
      <c r="B175" s="38">
        <v>86</v>
      </c>
      <c r="C175" s="39">
        <v>13</v>
      </c>
      <c r="D175" s="41" t="s">
        <v>110</v>
      </c>
      <c r="E175" s="27" t="str">
        <f t="shared" si="2"/>
        <v/>
      </c>
    </row>
    <row r="176" spans="2:5" x14ac:dyDescent="0.2">
      <c r="B176" s="38">
        <v>86.5</v>
      </c>
      <c r="C176" s="39">
        <v>13</v>
      </c>
      <c r="D176" s="41" t="s">
        <v>110</v>
      </c>
      <c r="E176" s="27" t="str">
        <f t="shared" si="2"/>
        <v/>
      </c>
    </row>
    <row r="177" spans="2:5" x14ac:dyDescent="0.2">
      <c r="B177" s="38">
        <v>87</v>
      </c>
      <c r="C177" s="39">
        <v>13</v>
      </c>
      <c r="D177" s="41" t="s">
        <v>110</v>
      </c>
      <c r="E177" s="27" t="str">
        <f t="shared" si="2"/>
        <v/>
      </c>
    </row>
    <row r="178" spans="2:5" x14ac:dyDescent="0.2">
      <c r="B178" s="38">
        <v>87.5</v>
      </c>
      <c r="C178" s="39">
        <v>13</v>
      </c>
      <c r="D178" s="41" t="s">
        <v>110</v>
      </c>
      <c r="E178" s="27" t="str">
        <f t="shared" si="2"/>
        <v/>
      </c>
    </row>
    <row r="179" spans="2:5" x14ac:dyDescent="0.2">
      <c r="B179" s="38">
        <v>88</v>
      </c>
      <c r="C179" s="39">
        <v>13</v>
      </c>
      <c r="D179" s="41" t="s">
        <v>110</v>
      </c>
      <c r="E179" s="27" t="str">
        <f t="shared" si="2"/>
        <v/>
      </c>
    </row>
    <row r="180" spans="2:5" x14ac:dyDescent="0.2">
      <c r="B180" s="38">
        <v>88.5</v>
      </c>
      <c r="C180" s="39">
        <v>13</v>
      </c>
      <c r="D180" s="41" t="s">
        <v>110</v>
      </c>
      <c r="E180" s="27" t="str">
        <f t="shared" ref="E180:E244" si="3">IF(AND($C180=$C181,$C181&lt;$C182),"+",IF($C180&lt;$C181,"++",IF(AND($C180=$C179,$C179&gt;$C178),"-",IF($C180&gt;$C179,"--",""))))</f>
        <v/>
      </c>
    </row>
    <row r="181" spans="2:5" x14ac:dyDescent="0.2">
      <c r="B181" s="38">
        <v>89</v>
      </c>
      <c r="C181" s="39">
        <v>13</v>
      </c>
      <c r="D181" s="41" t="s">
        <v>110</v>
      </c>
      <c r="E181" s="27" t="str">
        <f t="shared" si="3"/>
        <v>+</v>
      </c>
    </row>
    <row r="182" spans="2:5" x14ac:dyDescent="0.2">
      <c r="B182" s="38">
        <v>89.5</v>
      </c>
      <c r="C182" s="39">
        <v>13</v>
      </c>
      <c r="D182" s="41" t="s">
        <v>110</v>
      </c>
      <c r="E182" s="27" t="str">
        <f t="shared" si="3"/>
        <v>++</v>
      </c>
    </row>
    <row r="183" spans="2:5" x14ac:dyDescent="0.2">
      <c r="B183" s="38">
        <v>90</v>
      </c>
      <c r="C183" s="39">
        <v>14</v>
      </c>
      <c r="D183" s="41" t="s">
        <v>19</v>
      </c>
      <c r="E183" s="27" t="str">
        <f t="shared" si="3"/>
        <v>--</v>
      </c>
    </row>
    <row r="184" spans="2:5" x14ac:dyDescent="0.2">
      <c r="B184" s="38">
        <v>90.5</v>
      </c>
      <c r="C184" s="39">
        <v>14</v>
      </c>
      <c r="D184" s="41" t="s">
        <v>19</v>
      </c>
      <c r="E184" s="27" t="str">
        <f t="shared" si="3"/>
        <v>-</v>
      </c>
    </row>
    <row r="185" spans="2:5" x14ac:dyDescent="0.2">
      <c r="B185" s="38">
        <v>91</v>
      </c>
      <c r="C185" s="39">
        <v>14</v>
      </c>
      <c r="D185" s="40" t="s">
        <v>19</v>
      </c>
      <c r="E185" s="27" t="str">
        <f t="shared" si="3"/>
        <v/>
      </c>
    </row>
    <row r="186" spans="2:5" x14ac:dyDescent="0.2">
      <c r="B186" s="38">
        <v>91.5</v>
      </c>
      <c r="C186" s="39">
        <v>14</v>
      </c>
      <c r="D186" s="40" t="s">
        <v>19</v>
      </c>
      <c r="E186" s="27" t="str">
        <f t="shared" si="3"/>
        <v/>
      </c>
    </row>
    <row r="187" spans="2:5" x14ac:dyDescent="0.2">
      <c r="B187" s="38">
        <v>92</v>
      </c>
      <c r="C187" s="39">
        <v>14</v>
      </c>
      <c r="D187" s="40" t="s">
        <v>19</v>
      </c>
      <c r="E187" s="27" t="str">
        <f t="shared" si="3"/>
        <v/>
      </c>
    </row>
    <row r="188" spans="2:5" x14ac:dyDescent="0.2">
      <c r="B188" s="38">
        <v>92.5</v>
      </c>
      <c r="C188" s="39">
        <v>14</v>
      </c>
      <c r="D188" s="40" t="s">
        <v>19</v>
      </c>
      <c r="E188" s="27" t="str">
        <f t="shared" si="3"/>
        <v/>
      </c>
    </row>
    <row r="189" spans="2:5" x14ac:dyDescent="0.2">
      <c r="B189" s="38">
        <v>93</v>
      </c>
      <c r="C189" s="39">
        <v>14</v>
      </c>
      <c r="D189" s="40" t="s">
        <v>19</v>
      </c>
      <c r="E189" s="27" t="str">
        <f t="shared" si="3"/>
        <v/>
      </c>
    </row>
    <row r="190" spans="2:5" x14ac:dyDescent="0.2">
      <c r="B190" s="38">
        <v>93.5</v>
      </c>
      <c r="C190" s="39">
        <v>14</v>
      </c>
      <c r="D190" s="40" t="s">
        <v>19</v>
      </c>
      <c r="E190" s="27" t="str">
        <f t="shared" si="3"/>
        <v/>
      </c>
    </row>
    <row r="191" spans="2:5" x14ac:dyDescent="0.2">
      <c r="B191" s="38">
        <v>94</v>
      </c>
      <c r="C191" s="39">
        <v>14</v>
      </c>
      <c r="D191" s="40" t="s">
        <v>19</v>
      </c>
      <c r="E191" s="27" t="str">
        <f t="shared" si="3"/>
        <v>+</v>
      </c>
    </row>
    <row r="192" spans="2:5" x14ac:dyDescent="0.2">
      <c r="B192" s="38">
        <v>94.5</v>
      </c>
      <c r="C192" s="39">
        <v>14</v>
      </c>
      <c r="D192" s="40" t="s">
        <v>19</v>
      </c>
      <c r="E192" s="27" t="str">
        <f t="shared" si="3"/>
        <v>++</v>
      </c>
    </row>
    <row r="193" spans="2:5" x14ac:dyDescent="0.2">
      <c r="B193" s="38">
        <v>95</v>
      </c>
      <c r="C193" s="39">
        <v>15</v>
      </c>
      <c r="D193" s="40" t="s">
        <v>111</v>
      </c>
      <c r="E193" s="27" t="str">
        <f t="shared" si="3"/>
        <v>--</v>
      </c>
    </row>
    <row r="194" spans="2:5" x14ac:dyDescent="0.2">
      <c r="B194" s="38">
        <v>95.5</v>
      </c>
      <c r="C194" s="39">
        <v>15</v>
      </c>
      <c r="D194" s="40" t="s">
        <v>111</v>
      </c>
      <c r="E194" s="27" t="str">
        <f t="shared" si="3"/>
        <v>-</v>
      </c>
    </row>
    <row r="195" spans="2:5" x14ac:dyDescent="0.2">
      <c r="B195" s="38">
        <v>96</v>
      </c>
      <c r="C195" s="39">
        <v>15</v>
      </c>
      <c r="D195" s="40" t="s">
        <v>111</v>
      </c>
      <c r="E195" s="27" t="str">
        <f t="shared" si="3"/>
        <v/>
      </c>
    </row>
    <row r="196" spans="2:5" x14ac:dyDescent="0.2">
      <c r="B196" s="38">
        <v>96.5</v>
      </c>
      <c r="C196" s="39">
        <v>15</v>
      </c>
      <c r="D196" s="42" t="s">
        <v>111</v>
      </c>
      <c r="E196" s="27" t="str">
        <f t="shared" si="3"/>
        <v/>
      </c>
    </row>
    <row r="197" spans="2:5" x14ac:dyDescent="0.2">
      <c r="B197" s="38">
        <v>97</v>
      </c>
      <c r="C197" s="39">
        <v>15</v>
      </c>
      <c r="D197" s="42" t="s">
        <v>111</v>
      </c>
      <c r="E197" s="27" t="str">
        <f t="shared" si="3"/>
        <v/>
      </c>
    </row>
    <row r="198" spans="2:5" x14ac:dyDescent="0.2">
      <c r="B198" s="38">
        <v>97.5</v>
      </c>
      <c r="C198" s="39">
        <v>15</v>
      </c>
      <c r="D198" s="42" t="s">
        <v>111</v>
      </c>
      <c r="E198" s="27" t="str">
        <f t="shared" si="3"/>
        <v/>
      </c>
    </row>
    <row r="199" spans="2:5" x14ac:dyDescent="0.2">
      <c r="B199" s="38">
        <v>98</v>
      </c>
      <c r="C199" s="39">
        <v>15</v>
      </c>
      <c r="D199" s="42" t="s">
        <v>111</v>
      </c>
      <c r="E199" s="27" t="str">
        <f t="shared" si="3"/>
        <v/>
      </c>
    </row>
    <row r="200" spans="2:5" x14ac:dyDescent="0.2">
      <c r="B200" s="38">
        <v>98.5</v>
      </c>
      <c r="C200" s="39">
        <v>15</v>
      </c>
      <c r="D200" s="42" t="s">
        <v>111</v>
      </c>
      <c r="E200" s="27" t="str">
        <f t="shared" si="3"/>
        <v/>
      </c>
    </row>
    <row r="201" spans="2:5" x14ac:dyDescent="0.2">
      <c r="B201" s="38">
        <v>99</v>
      </c>
      <c r="C201" s="39">
        <v>15</v>
      </c>
      <c r="D201" s="42" t="s">
        <v>111</v>
      </c>
      <c r="E201" s="27" t="str">
        <f t="shared" si="3"/>
        <v/>
      </c>
    </row>
    <row r="202" spans="2:5" x14ac:dyDescent="0.2">
      <c r="B202" s="38">
        <v>99.5</v>
      </c>
      <c r="C202" s="39">
        <v>15</v>
      </c>
      <c r="D202" s="42" t="s">
        <v>111</v>
      </c>
      <c r="E202" s="27" t="str">
        <f t="shared" si="3"/>
        <v/>
      </c>
    </row>
    <row r="203" spans="2:5" x14ac:dyDescent="0.2">
      <c r="B203" s="38">
        <v>100</v>
      </c>
      <c r="C203" s="39">
        <v>15</v>
      </c>
      <c r="D203" s="42" t="s">
        <v>111</v>
      </c>
      <c r="E203" s="27" t="str">
        <f t="shared" si="3"/>
        <v/>
      </c>
    </row>
    <row r="204" spans="2:5" x14ac:dyDescent="0.2">
      <c r="B204" s="38"/>
      <c r="C204" s="39"/>
      <c r="D204" s="42"/>
      <c r="E204" s="27" t="str">
        <f t="shared" si="3"/>
        <v/>
      </c>
    </row>
    <row r="205" spans="2:5" x14ac:dyDescent="0.2">
      <c r="B205" s="38"/>
      <c r="C205" s="39"/>
      <c r="D205" s="42"/>
      <c r="E205" s="27" t="str">
        <f t="shared" si="3"/>
        <v/>
      </c>
    </row>
    <row r="206" spans="2:5" x14ac:dyDescent="0.2">
      <c r="B206" s="38"/>
      <c r="C206" s="39"/>
      <c r="D206" s="42"/>
      <c r="E206" s="27" t="str">
        <f t="shared" si="3"/>
        <v/>
      </c>
    </row>
    <row r="207" spans="2:5" x14ac:dyDescent="0.2">
      <c r="B207" s="38"/>
      <c r="C207" s="39"/>
      <c r="D207" s="42"/>
      <c r="E207" s="27" t="str">
        <f t="shared" si="3"/>
        <v/>
      </c>
    </row>
    <row r="208" spans="2:5" x14ac:dyDescent="0.2">
      <c r="B208" s="38"/>
      <c r="C208" s="39"/>
      <c r="D208" s="42"/>
      <c r="E208" s="27" t="str">
        <f t="shared" si="3"/>
        <v/>
      </c>
    </row>
    <row r="209" spans="2:5" x14ac:dyDescent="0.2">
      <c r="B209" s="38"/>
      <c r="C209" s="39"/>
      <c r="D209" s="41"/>
      <c r="E209" s="27" t="str">
        <f t="shared" si="3"/>
        <v/>
      </c>
    </row>
    <row r="210" spans="2:5" x14ac:dyDescent="0.2">
      <c r="B210" s="38"/>
      <c r="C210" s="39"/>
      <c r="D210" s="41"/>
      <c r="E210" s="27" t="str">
        <f t="shared" si="3"/>
        <v/>
      </c>
    </row>
    <row r="211" spans="2:5" x14ac:dyDescent="0.2">
      <c r="B211" s="38"/>
      <c r="C211" s="39"/>
      <c r="D211" s="41"/>
      <c r="E211" s="27" t="str">
        <f t="shared" si="3"/>
        <v/>
      </c>
    </row>
    <row r="212" spans="2:5" x14ac:dyDescent="0.2">
      <c r="B212" s="38"/>
      <c r="C212" s="39"/>
      <c r="D212" s="41"/>
      <c r="E212" s="27" t="str">
        <f t="shared" si="3"/>
        <v/>
      </c>
    </row>
    <row r="213" spans="2:5" x14ac:dyDescent="0.2">
      <c r="B213" s="38"/>
      <c r="C213" s="39"/>
      <c r="D213" s="41"/>
      <c r="E213" s="27" t="str">
        <f t="shared" si="3"/>
        <v/>
      </c>
    </row>
    <row r="214" spans="2:5" x14ac:dyDescent="0.2">
      <c r="B214" s="38"/>
      <c r="C214" s="39"/>
      <c r="D214" s="41"/>
      <c r="E214" s="27" t="str">
        <f t="shared" si="3"/>
        <v/>
      </c>
    </row>
    <row r="215" spans="2:5" x14ac:dyDescent="0.2">
      <c r="B215" s="38"/>
      <c r="C215" s="39"/>
      <c r="D215" s="41"/>
      <c r="E215" s="27" t="str">
        <f t="shared" si="3"/>
        <v/>
      </c>
    </row>
    <row r="216" spans="2:5" x14ac:dyDescent="0.2">
      <c r="B216" s="38"/>
      <c r="C216" s="39"/>
      <c r="D216" s="41"/>
      <c r="E216" s="27" t="str">
        <f t="shared" si="3"/>
        <v/>
      </c>
    </row>
    <row r="217" spans="2:5" x14ac:dyDescent="0.2">
      <c r="B217" s="38"/>
      <c r="C217" s="39"/>
      <c r="D217" s="41"/>
      <c r="E217" s="27" t="str">
        <f t="shared" si="3"/>
        <v/>
      </c>
    </row>
    <row r="218" spans="2:5" x14ac:dyDescent="0.2">
      <c r="B218" s="38"/>
      <c r="C218" s="39"/>
      <c r="D218" s="41"/>
      <c r="E218" s="27" t="str">
        <f t="shared" si="3"/>
        <v/>
      </c>
    </row>
    <row r="219" spans="2:5" x14ac:dyDescent="0.2">
      <c r="B219" s="38"/>
      <c r="C219" s="39"/>
      <c r="D219" s="41"/>
      <c r="E219" s="27" t="str">
        <f t="shared" si="3"/>
        <v/>
      </c>
    </row>
    <row r="220" spans="2:5" x14ac:dyDescent="0.2">
      <c r="B220" s="38"/>
      <c r="C220" s="39"/>
      <c r="D220" s="41"/>
      <c r="E220" s="27" t="str">
        <f t="shared" si="3"/>
        <v/>
      </c>
    </row>
    <row r="221" spans="2:5" x14ac:dyDescent="0.2">
      <c r="B221" s="38"/>
      <c r="C221" s="39"/>
      <c r="D221" s="40"/>
      <c r="E221" s="27" t="str">
        <f t="shared" si="3"/>
        <v/>
      </c>
    </row>
    <row r="222" spans="2:5" x14ac:dyDescent="0.2">
      <c r="B222" s="38"/>
      <c r="C222" s="39"/>
      <c r="D222" s="40"/>
      <c r="E222" s="27" t="str">
        <f t="shared" si="3"/>
        <v/>
      </c>
    </row>
    <row r="223" spans="2:5" x14ac:dyDescent="0.2">
      <c r="B223" s="38"/>
      <c r="C223" s="39"/>
      <c r="D223" s="40"/>
      <c r="E223" s="27" t="str">
        <f t="shared" si="3"/>
        <v/>
      </c>
    </row>
    <row r="224" spans="2:5" x14ac:dyDescent="0.2">
      <c r="B224" s="38"/>
      <c r="C224" s="39"/>
      <c r="D224" s="40"/>
      <c r="E224" s="27" t="str">
        <f t="shared" si="3"/>
        <v/>
      </c>
    </row>
    <row r="225" spans="2:5" x14ac:dyDescent="0.2">
      <c r="B225" s="38"/>
      <c r="C225" s="39"/>
      <c r="D225" s="40"/>
      <c r="E225" s="27" t="str">
        <f t="shared" si="3"/>
        <v/>
      </c>
    </row>
    <row r="226" spans="2:5" x14ac:dyDescent="0.2">
      <c r="B226" s="38"/>
      <c r="C226" s="39"/>
      <c r="D226" s="40"/>
      <c r="E226" s="27" t="str">
        <f t="shared" si="3"/>
        <v/>
      </c>
    </row>
    <row r="227" spans="2:5" x14ac:dyDescent="0.2">
      <c r="B227" s="38"/>
      <c r="C227" s="39"/>
      <c r="D227" s="40"/>
      <c r="E227" s="27" t="str">
        <f t="shared" si="3"/>
        <v/>
      </c>
    </row>
    <row r="228" spans="2:5" x14ac:dyDescent="0.2">
      <c r="B228" s="38"/>
      <c r="C228" s="39"/>
      <c r="D228" s="40"/>
      <c r="E228" s="27" t="str">
        <f t="shared" si="3"/>
        <v/>
      </c>
    </row>
    <row r="229" spans="2:5" x14ac:dyDescent="0.2">
      <c r="B229" s="38"/>
      <c r="C229" s="39"/>
      <c r="D229" s="40"/>
      <c r="E229" s="27" t="str">
        <f t="shared" si="3"/>
        <v/>
      </c>
    </row>
    <row r="230" spans="2:5" x14ac:dyDescent="0.2">
      <c r="B230" s="38"/>
      <c r="C230" s="39"/>
      <c r="D230" s="40"/>
      <c r="E230" s="27" t="str">
        <f t="shared" si="3"/>
        <v/>
      </c>
    </row>
    <row r="231" spans="2:5" x14ac:dyDescent="0.2">
      <c r="B231" s="38"/>
      <c r="C231" s="39"/>
      <c r="D231" s="40"/>
      <c r="E231" s="27" t="str">
        <f t="shared" si="3"/>
        <v/>
      </c>
    </row>
    <row r="232" spans="2:5" x14ac:dyDescent="0.2">
      <c r="B232" s="38"/>
      <c r="C232" s="39"/>
      <c r="D232" s="40"/>
      <c r="E232" s="27" t="str">
        <f t="shared" si="3"/>
        <v/>
      </c>
    </row>
    <row r="233" spans="2:5" x14ac:dyDescent="0.2">
      <c r="B233" s="38"/>
      <c r="C233" s="39"/>
      <c r="D233" s="42"/>
      <c r="E233" s="27" t="str">
        <f t="shared" si="3"/>
        <v/>
      </c>
    </row>
    <row r="234" spans="2:5" x14ac:dyDescent="0.2">
      <c r="B234" s="38"/>
      <c r="C234" s="39"/>
      <c r="D234" s="42"/>
      <c r="E234" s="27" t="str">
        <f t="shared" si="3"/>
        <v/>
      </c>
    </row>
    <row r="235" spans="2:5" x14ac:dyDescent="0.2">
      <c r="B235" s="38"/>
      <c r="C235" s="39"/>
      <c r="D235" s="42"/>
      <c r="E235" s="27" t="str">
        <f t="shared" si="3"/>
        <v/>
      </c>
    </row>
    <row r="236" spans="2:5" x14ac:dyDescent="0.2">
      <c r="B236" s="38"/>
      <c r="C236" s="39"/>
      <c r="D236" s="42"/>
      <c r="E236" s="27" t="str">
        <f t="shared" si="3"/>
        <v/>
      </c>
    </row>
    <row r="237" spans="2:5" x14ac:dyDescent="0.2">
      <c r="B237" s="38"/>
      <c r="C237" s="39"/>
      <c r="D237" s="42"/>
      <c r="E237" s="27" t="str">
        <f t="shared" si="3"/>
        <v/>
      </c>
    </row>
    <row r="238" spans="2:5" x14ac:dyDescent="0.2">
      <c r="B238" s="38"/>
      <c r="C238" s="39"/>
      <c r="D238" s="42"/>
      <c r="E238" s="27" t="str">
        <f t="shared" si="3"/>
        <v/>
      </c>
    </row>
    <row r="239" spans="2:5" x14ac:dyDescent="0.2">
      <c r="B239" s="38"/>
      <c r="C239" s="39"/>
      <c r="D239" s="42"/>
      <c r="E239" s="27" t="str">
        <f t="shared" si="3"/>
        <v/>
      </c>
    </row>
    <row r="240" spans="2:5" x14ac:dyDescent="0.2">
      <c r="B240" s="38"/>
      <c r="C240" s="39"/>
      <c r="D240" s="42"/>
      <c r="E240" s="27" t="str">
        <f t="shared" si="3"/>
        <v/>
      </c>
    </row>
    <row r="241" spans="2:5" x14ac:dyDescent="0.2">
      <c r="B241" s="38"/>
      <c r="C241" s="39"/>
      <c r="D241" s="42"/>
      <c r="E241" s="27" t="str">
        <f t="shared" si="3"/>
        <v/>
      </c>
    </row>
    <row r="242" spans="2:5" x14ac:dyDescent="0.2">
      <c r="B242" s="38"/>
      <c r="C242" s="39"/>
      <c r="D242" s="42"/>
      <c r="E242" s="27" t="str">
        <f t="shared" si="3"/>
        <v/>
      </c>
    </row>
    <row r="243" spans="2:5" x14ac:dyDescent="0.2">
      <c r="B243" s="38"/>
      <c r="C243" s="39"/>
      <c r="D243" s="42"/>
      <c r="E243" s="27" t="str">
        <f t="shared" si="3"/>
        <v/>
      </c>
    </row>
    <row r="244" spans="2:5" x14ac:dyDescent="0.2">
      <c r="B244" s="38"/>
      <c r="C244" s="43"/>
      <c r="D244" s="44"/>
      <c r="E244" s="27" t="str">
        <f t="shared" si="3"/>
        <v/>
      </c>
    </row>
    <row r="245" spans="2:5" x14ac:dyDescent="0.2">
      <c r="B245" s="38"/>
      <c r="C245" s="43"/>
      <c r="D245" s="44"/>
      <c r="E245" s="27" t="str">
        <f t="shared" ref="E245:E293" si="4">IF(AND($C245=$C246,$C246&lt;$C247),"+",IF($C245&lt;$C246,"++",IF(AND($C245=$C244,$C244&gt;$C243),"-",IF($C245&gt;$C244,"--",""))))</f>
        <v/>
      </c>
    </row>
    <row r="246" spans="2:5" x14ac:dyDescent="0.2">
      <c r="B246" s="38"/>
      <c r="C246" s="43"/>
      <c r="D246" s="44"/>
      <c r="E246" s="27" t="str">
        <f t="shared" si="4"/>
        <v/>
      </c>
    </row>
    <row r="247" spans="2:5" x14ac:dyDescent="0.2">
      <c r="B247" s="38"/>
      <c r="C247" s="43"/>
      <c r="D247" s="44"/>
      <c r="E247" s="27" t="str">
        <f t="shared" si="4"/>
        <v/>
      </c>
    </row>
    <row r="248" spans="2:5" x14ac:dyDescent="0.2">
      <c r="B248" s="38"/>
      <c r="C248" s="43"/>
      <c r="D248" s="44"/>
      <c r="E248" s="27" t="str">
        <f t="shared" si="4"/>
        <v/>
      </c>
    </row>
    <row r="249" spans="2:5" x14ac:dyDescent="0.2">
      <c r="B249" s="38"/>
      <c r="C249" s="43"/>
      <c r="D249" s="44"/>
      <c r="E249" s="27" t="str">
        <f t="shared" si="4"/>
        <v/>
      </c>
    </row>
    <row r="250" spans="2:5" x14ac:dyDescent="0.2">
      <c r="B250" s="38"/>
      <c r="C250" s="43"/>
      <c r="D250" s="44"/>
      <c r="E250" s="27" t="str">
        <f t="shared" si="4"/>
        <v/>
      </c>
    </row>
    <row r="251" spans="2:5" x14ac:dyDescent="0.2">
      <c r="B251" s="38"/>
      <c r="C251" s="43"/>
      <c r="D251" s="44"/>
      <c r="E251" s="27" t="str">
        <f t="shared" si="4"/>
        <v/>
      </c>
    </row>
    <row r="252" spans="2:5" x14ac:dyDescent="0.2">
      <c r="B252" s="38"/>
      <c r="C252" s="43"/>
      <c r="D252" s="44"/>
      <c r="E252" s="27" t="str">
        <f t="shared" si="4"/>
        <v/>
      </c>
    </row>
    <row r="253" spans="2:5" x14ac:dyDescent="0.2">
      <c r="B253" s="38"/>
      <c r="C253" s="43"/>
      <c r="D253" s="44"/>
      <c r="E253" s="27" t="str">
        <f t="shared" si="4"/>
        <v/>
      </c>
    </row>
    <row r="254" spans="2:5" x14ac:dyDescent="0.2">
      <c r="B254" s="38"/>
      <c r="C254" s="43"/>
      <c r="D254" s="44"/>
      <c r="E254" s="27" t="str">
        <f t="shared" si="4"/>
        <v/>
      </c>
    </row>
    <row r="255" spans="2:5" x14ac:dyDescent="0.2">
      <c r="B255" s="38"/>
      <c r="C255" s="43"/>
      <c r="D255" s="44"/>
      <c r="E255" s="27" t="str">
        <f t="shared" si="4"/>
        <v/>
      </c>
    </row>
    <row r="256" spans="2:5" x14ac:dyDescent="0.2">
      <c r="B256" s="38"/>
      <c r="C256" s="43"/>
      <c r="D256" s="44"/>
      <c r="E256" s="27" t="str">
        <f t="shared" si="4"/>
        <v/>
      </c>
    </row>
    <row r="257" spans="2:5" x14ac:dyDescent="0.2">
      <c r="B257" s="38"/>
      <c r="C257" s="43"/>
      <c r="D257" s="44"/>
      <c r="E257" s="27" t="str">
        <f t="shared" si="4"/>
        <v/>
      </c>
    </row>
    <row r="258" spans="2:5" x14ac:dyDescent="0.2">
      <c r="B258" s="38"/>
      <c r="C258" s="43"/>
      <c r="D258" s="44"/>
      <c r="E258" s="27" t="str">
        <f t="shared" si="4"/>
        <v/>
      </c>
    </row>
    <row r="259" spans="2:5" x14ac:dyDescent="0.2">
      <c r="B259" s="38"/>
      <c r="C259" s="43"/>
      <c r="D259" s="44"/>
      <c r="E259" s="27" t="str">
        <f t="shared" si="4"/>
        <v/>
      </c>
    </row>
    <row r="260" spans="2:5" x14ac:dyDescent="0.2">
      <c r="B260" s="38"/>
      <c r="C260" s="43"/>
      <c r="D260" s="44"/>
      <c r="E260" s="27" t="str">
        <f t="shared" si="4"/>
        <v/>
      </c>
    </row>
    <row r="261" spans="2:5" x14ac:dyDescent="0.2">
      <c r="B261" s="38"/>
      <c r="C261" s="43"/>
      <c r="D261" s="44"/>
      <c r="E261" s="27" t="str">
        <f t="shared" si="4"/>
        <v/>
      </c>
    </row>
    <row r="262" spans="2:5" x14ac:dyDescent="0.2">
      <c r="B262" s="38"/>
      <c r="C262" s="43"/>
      <c r="D262" s="44"/>
      <c r="E262" s="27" t="str">
        <f t="shared" si="4"/>
        <v/>
      </c>
    </row>
    <row r="263" spans="2:5" x14ac:dyDescent="0.2">
      <c r="B263" s="38"/>
      <c r="C263" s="43"/>
      <c r="D263" s="44"/>
      <c r="E263" s="27" t="str">
        <f t="shared" si="4"/>
        <v/>
      </c>
    </row>
    <row r="264" spans="2:5" x14ac:dyDescent="0.2">
      <c r="B264" s="38"/>
      <c r="C264" s="43"/>
      <c r="D264" s="44"/>
      <c r="E264" s="27" t="str">
        <f t="shared" si="4"/>
        <v/>
      </c>
    </row>
    <row r="265" spans="2:5" x14ac:dyDescent="0.2">
      <c r="B265" s="38"/>
      <c r="C265" s="43"/>
      <c r="D265" s="44"/>
      <c r="E265" s="27" t="str">
        <f t="shared" si="4"/>
        <v/>
      </c>
    </row>
    <row r="266" spans="2:5" x14ac:dyDescent="0.2">
      <c r="B266" s="38"/>
      <c r="C266" s="43"/>
      <c r="D266" s="44"/>
      <c r="E266" s="27" t="str">
        <f t="shared" si="4"/>
        <v/>
      </c>
    </row>
    <row r="267" spans="2:5" x14ac:dyDescent="0.2">
      <c r="B267" s="38"/>
      <c r="C267" s="43"/>
      <c r="D267" s="44"/>
      <c r="E267" s="27" t="str">
        <f t="shared" si="4"/>
        <v/>
      </c>
    </row>
    <row r="268" spans="2:5" x14ac:dyDescent="0.2">
      <c r="B268" s="38"/>
      <c r="C268" s="43"/>
      <c r="D268" s="44"/>
      <c r="E268" s="27" t="str">
        <f t="shared" si="4"/>
        <v/>
      </c>
    </row>
    <row r="269" spans="2:5" x14ac:dyDescent="0.2">
      <c r="B269" s="38"/>
      <c r="C269" s="43"/>
      <c r="D269" s="44"/>
      <c r="E269" s="27" t="str">
        <f t="shared" si="4"/>
        <v/>
      </c>
    </row>
    <row r="270" spans="2:5" x14ac:dyDescent="0.2">
      <c r="B270" s="38"/>
      <c r="C270" s="43"/>
      <c r="D270" s="44"/>
      <c r="E270" s="27" t="str">
        <f t="shared" si="4"/>
        <v/>
      </c>
    </row>
    <row r="271" spans="2:5" x14ac:dyDescent="0.2">
      <c r="B271" s="38"/>
      <c r="C271" s="43"/>
      <c r="D271" s="44"/>
      <c r="E271" s="27" t="str">
        <f t="shared" si="4"/>
        <v/>
      </c>
    </row>
    <row r="272" spans="2:5" x14ac:dyDescent="0.2">
      <c r="B272" s="38"/>
      <c r="C272" s="43"/>
      <c r="D272" s="44"/>
      <c r="E272" s="27" t="str">
        <f t="shared" si="4"/>
        <v/>
      </c>
    </row>
    <row r="273" spans="2:5" x14ac:dyDescent="0.2">
      <c r="B273" s="38"/>
      <c r="C273" s="43"/>
      <c r="D273" s="44"/>
      <c r="E273" s="27" t="str">
        <f t="shared" si="4"/>
        <v/>
      </c>
    </row>
    <row r="274" spans="2:5" x14ac:dyDescent="0.2">
      <c r="B274" s="38"/>
      <c r="C274" s="43"/>
      <c r="D274" s="44"/>
      <c r="E274" s="27" t="str">
        <f t="shared" si="4"/>
        <v/>
      </c>
    </row>
    <row r="275" spans="2:5" x14ac:dyDescent="0.2">
      <c r="B275" s="38"/>
      <c r="C275" s="43"/>
      <c r="D275" s="44"/>
      <c r="E275" s="27" t="str">
        <f t="shared" si="4"/>
        <v/>
      </c>
    </row>
    <row r="276" spans="2:5" x14ac:dyDescent="0.2">
      <c r="B276" s="38"/>
      <c r="C276" s="43"/>
      <c r="D276" s="44"/>
      <c r="E276" s="27" t="str">
        <f t="shared" si="4"/>
        <v/>
      </c>
    </row>
    <row r="277" spans="2:5" x14ac:dyDescent="0.2">
      <c r="B277" s="38"/>
      <c r="C277" s="43"/>
      <c r="D277" s="44"/>
      <c r="E277" s="27" t="str">
        <f t="shared" si="4"/>
        <v/>
      </c>
    </row>
    <row r="278" spans="2:5" x14ac:dyDescent="0.2">
      <c r="B278" s="38"/>
      <c r="C278" s="43"/>
      <c r="D278" s="44"/>
      <c r="E278" s="27" t="str">
        <f t="shared" si="4"/>
        <v/>
      </c>
    </row>
    <row r="279" spans="2:5" x14ac:dyDescent="0.2">
      <c r="B279" s="38"/>
      <c r="C279" s="43"/>
      <c r="D279" s="44"/>
      <c r="E279" s="27" t="str">
        <f t="shared" si="4"/>
        <v/>
      </c>
    </row>
    <row r="280" spans="2:5" x14ac:dyDescent="0.2">
      <c r="B280" s="38"/>
      <c r="C280" s="43"/>
      <c r="D280" s="44"/>
      <c r="E280" s="27" t="str">
        <f t="shared" si="4"/>
        <v/>
      </c>
    </row>
    <row r="281" spans="2:5" x14ac:dyDescent="0.2">
      <c r="B281" s="38"/>
      <c r="C281" s="43"/>
      <c r="D281" s="44"/>
      <c r="E281" s="27" t="str">
        <f t="shared" si="4"/>
        <v/>
      </c>
    </row>
    <row r="282" spans="2:5" x14ac:dyDescent="0.2">
      <c r="B282" s="38"/>
      <c r="C282" s="43"/>
      <c r="D282" s="44"/>
      <c r="E282" s="27" t="str">
        <f t="shared" si="4"/>
        <v/>
      </c>
    </row>
    <row r="283" spans="2:5" x14ac:dyDescent="0.2">
      <c r="B283" s="38"/>
      <c r="C283" s="43"/>
      <c r="D283" s="44"/>
      <c r="E283" s="27" t="str">
        <f t="shared" si="4"/>
        <v/>
      </c>
    </row>
    <row r="284" spans="2:5" x14ac:dyDescent="0.2">
      <c r="B284" s="38"/>
      <c r="C284" s="43"/>
      <c r="D284" s="44"/>
      <c r="E284" s="27" t="str">
        <f t="shared" si="4"/>
        <v/>
      </c>
    </row>
    <row r="285" spans="2:5" x14ac:dyDescent="0.2">
      <c r="B285" s="38"/>
      <c r="C285" s="43"/>
      <c r="D285" s="44"/>
      <c r="E285" s="27" t="str">
        <f t="shared" si="4"/>
        <v/>
      </c>
    </row>
    <row r="286" spans="2:5" x14ac:dyDescent="0.2">
      <c r="B286" s="38"/>
      <c r="C286" s="43"/>
      <c r="D286" s="44"/>
      <c r="E286" s="27" t="str">
        <f t="shared" si="4"/>
        <v/>
      </c>
    </row>
    <row r="287" spans="2:5" x14ac:dyDescent="0.2">
      <c r="B287" s="38"/>
      <c r="C287" s="43"/>
      <c r="D287" s="44"/>
      <c r="E287" s="27" t="str">
        <f t="shared" si="4"/>
        <v/>
      </c>
    </row>
    <row r="288" spans="2:5" x14ac:dyDescent="0.2">
      <c r="B288" s="38"/>
      <c r="C288" s="43"/>
      <c r="D288" s="44"/>
      <c r="E288" s="27" t="str">
        <f t="shared" si="4"/>
        <v/>
      </c>
    </row>
    <row r="289" spans="2:5" x14ac:dyDescent="0.2">
      <c r="B289" s="38"/>
      <c r="C289" s="43"/>
      <c r="D289" s="44"/>
      <c r="E289" s="27" t="str">
        <f t="shared" si="4"/>
        <v/>
      </c>
    </row>
    <row r="290" spans="2:5" x14ac:dyDescent="0.2">
      <c r="B290" s="38"/>
      <c r="C290" s="43"/>
      <c r="D290" s="44"/>
      <c r="E290" s="27" t="str">
        <f t="shared" si="4"/>
        <v/>
      </c>
    </row>
    <row r="291" spans="2:5" x14ac:dyDescent="0.2">
      <c r="B291" s="38"/>
      <c r="C291" s="43"/>
      <c r="D291" s="44"/>
      <c r="E291" s="27" t="str">
        <f t="shared" si="4"/>
        <v/>
      </c>
    </row>
    <row r="292" spans="2:5" x14ac:dyDescent="0.2">
      <c r="B292" s="38"/>
      <c r="C292" s="43"/>
      <c r="D292" s="44"/>
      <c r="E292" s="27" t="str">
        <f t="shared" si="4"/>
        <v/>
      </c>
    </row>
    <row r="293" spans="2:5" x14ac:dyDescent="0.2">
      <c r="B293" s="38"/>
      <c r="C293" s="43"/>
      <c r="D293" s="44"/>
      <c r="E293" s="27" t="str">
        <f t="shared" si="4"/>
        <v/>
      </c>
    </row>
    <row r="294" spans="2:5" x14ac:dyDescent="0.2">
      <c r="B294" s="38"/>
      <c r="C294" s="43"/>
      <c r="D294" s="44"/>
    </row>
    <row r="295" spans="2:5" x14ac:dyDescent="0.2">
      <c r="B295" s="38"/>
      <c r="C295" s="43"/>
      <c r="D295" s="44"/>
    </row>
    <row r="296" spans="2:5" x14ac:dyDescent="0.2">
      <c r="B296" s="38"/>
      <c r="C296" s="43"/>
      <c r="D296" s="44"/>
    </row>
    <row r="297" spans="2:5" x14ac:dyDescent="0.2">
      <c r="B297" s="38"/>
      <c r="C297" s="43"/>
      <c r="D297" s="44"/>
    </row>
    <row r="298" spans="2:5" x14ac:dyDescent="0.2">
      <c r="B298" s="38"/>
      <c r="C298" s="43"/>
      <c r="D298" s="44"/>
    </row>
    <row r="299" spans="2:5" x14ac:dyDescent="0.2">
      <c r="B299" s="38"/>
      <c r="C299" s="43"/>
      <c r="D299" s="44"/>
    </row>
    <row r="300" spans="2:5" x14ac:dyDescent="0.2">
      <c r="B300" s="38"/>
      <c r="C300" s="43"/>
      <c r="D300" s="44"/>
    </row>
    <row r="301" spans="2:5" x14ac:dyDescent="0.2">
      <c r="B301" s="38"/>
      <c r="C301" s="43"/>
      <c r="D301" s="44"/>
    </row>
    <row r="302" spans="2:5" ht="13.5" thickBot="1" x14ac:dyDescent="0.25">
      <c r="B302" s="45"/>
      <c r="C302" s="46"/>
      <c r="D302" s="47"/>
    </row>
  </sheetData>
  <sheetProtection sheet="1" objects="1" scenarios="1" selectLockedCells="1"/>
  <mergeCells count="1">
    <mergeCell ref="G2:L14"/>
  </mergeCells>
  <phoneticPr fontId="11"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48" zoomScaleNormal="100" workbookViewId="0">
      <selection activeCell="A173" sqref="A173:E195"/>
    </sheetView>
  </sheetViews>
  <sheetFormatPr baseColWidth="10" defaultColWidth="11.42578125" defaultRowHeight="12.75" x14ac:dyDescent="0.2"/>
  <cols>
    <col min="1" max="16384" width="11.42578125" style="62"/>
  </cols>
  <sheetData>
    <row r="1" spans="1:6" x14ac:dyDescent="0.2">
      <c r="A1" s="62">
        <v>0.5</v>
      </c>
      <c r="B1" s="62">
        <v>2</v>
      </c>
      <c r="C1" s="62">
        <v>1.5</v>
      </c>
      <c r="D1" s="62">
        <v>2.5</v>
      </c>
      <c r="E1" s="62">
        <v>3</v>
      </c>
      <c r="F1" s="62">
        <v>2</v>
      </c>
    </row>
    <row r="2" spans="1:6" x14ac:dyDescent="0.2">
      <c r="A2" s="62">
        <v>1.5</v>
      </c>
      <c r="B2" s="62">
        <v>2</v>
      </c>
      <c r="C2" s="62">
        <v>0.5</v>
      </c>
      <c r="D2" s="62">
        <v>1</v>
      </c>
      <c r="E2" s="62">
        <v>2</v>
      </c>
      <c r="F2" s="62">
        <v>2</v>
      </c>
    </row>
    <row r="3" spans="1:6" x14ac:dyDescent="0.2">
      <c r="A3" s="62">
        <v>0.5</v>
      </c>
      <c r="B3" s="62">
        <v>1.5</v>
      </c>
      <c r="C3" s="62">
        <v>1.5</v>
      </c>
      <c r="D3" s="62">
        <v>3</v>
      </c>
      <c r="E3" s="62">
        <v>3</v>
      </c>
      <c r="F3" s="62">
        <v>1</v>
      </c>
    </row>
    <row r="4" spans="1:6" x14ac:dyDescent="0.2">
      <c r="A4" s="62">
        <v>2</v>
      </c>
      <c r="B4" s="62">
        <v>2</v>
      </c>
      <c r="C4" s="62">
        <v>1</v>
      </c>
      <c r="D4" s="62">
        <v>3</v>
      </c>
      <c r="E4" s="62">
        <v>2.5</v>
      </c>
      <c r="F4" s="62">
        <v>2</v>
      </c>
    </row>
    <row r="5" spans="1:6" x14ac:dyDescent="0.2">
      <c r="A5" s="62">
        <v>2</v>
      </c>
      <c r="B5" s="62">
        <v>2</v>
      </c>
      <c r="C5" s="62">
        <v>2.5</v>
      </c>
      <c r="D5" s="62">
        <v>3</v>
      </c>
      <c r="E5" s="62">
        <v>2.5</v>
      </c>
      <c r="F5" s="62">
        <v>2</v>
      </c>
    </row>
    <row r="6" spans="1:6" x14ac:dyDescent="0.2">
      <c r="A6" s="62">
        <v>2</v>
      </c>
      <c r="B6" s="62">
        <v>2</v>
      </c>
      <c r="C6" s="62">
        <v>2</v>
      </c>
      <c r="D6" s="62">
        <v>2</v>
      </c>
      <c r="E6" s="62">
        <v>2.5</v>
      </c>
      <c r="F6" s="62">
        <v>2</v>
      </c>
    </row>
    <row r="7" spans="1:6" x14ac:dyDescent="0.2">
      <c r="A7" s="62">
        <v>1</v>
      </c>
      <c r="B7" s="62">
        <v>1.5</v>
      </c>
      <c r="C7" s="62">
        <v>3</v>
      </c>
      <c r="D7" s="62">
        <v>3</v>
      </c>
      <c r="E7" s="62">
        <v>3</v>
      </c>
      <c r="F7" s="62">
        <v>1</v>
      </c>
    </row>
    <row r="8" spans="1:6" x14ac:dyDescent="0.2">
      <c r="A8" s="62">
        <v>0.5</v>
      </c>
      <c r="B8" s="62">
        <v>2</v>
      </c>
      <c r="C8" s="62">
        <v>1.5</v>
      </c>
      <c r="D8" s="62">
        <v>1</v>
      </c>
      <c r="E8" s="62">
        <v>3</v>
      </c>
      <c r="F8" s="62">
        <v>1</v>
      </c>
    </row>
    <row r="9" spans="1:6" x14ac:dyDescent="0.2">
      <c r="A9" s="62">
        <v>1.5</v>
      </c>
      <c r="B9" s="62">
        <v>2</v>
      </c>
      <c r="C9" s="62">
        <v>1.5</v>
      </c>
      <c r="D9" s="62">
        <v>1</v>
      </c>
      <c r="E9" s="62">
        <v>2</v>
      </c>
      <c r="F9" s="62">
        <v>2</v>
      </c>
    </row>
    <row r="10" spans="1:6" x14ac:dyDescent="0.2">
      <c r="A10" s="62">
        <v>0.5</v>
      </c>
      <c r="B10" s="62">
        <v>1</v>
      </c>
      <c r="C10" s="62">
        <v>0</v>
      </c>
      <c r="D10" s="62">
        <v>1</v>
      </c>
      <c r="E10" s="62">
        <v>0.5</v>
      </c>
      <c r="F10" s="62">
        <v>0</v>
      </c>
    </row>
    <row r="11" spans="1:6" x14ac:dyDescent="0.2">
      <c r="A11" s="62">
        <v>0.5</v>
      </c>
      <c r="B11" s="62">
        <v>2</v>
      </c>
      <c r="C11" s="62">
        <v>1.5</v>
      </c>
      <c r="D11" s="62">
        <v>0</v>
      </c>
      <c r="E11" s="62">
        <v>1.5</v>
      </c>
      <c r="F11" s="62">
        <v>1</v>
      </c>
    </row>
    <row r="12" spans="1:6" x14ac:dyDescent="0.2">
      <c r="A12" s="62">
        <v>2</v>
      </c>
      <c r="B12" s="62">
        <v>2</v>
      </c>
      <c r="C12" s="62">
        <v>1</v>
      </c>
      <c r="D12" s="62">
        <v>3</v>
      </c>
      <c r="E12" s="62">
        <v>1.5</v>
      </c>
      <c r="F12" s="62">
        <v>2</v>
      </c>
    </row>
    <row r="13" spans="1:6" x14ac:dyDescent="0.2">
      <c r="A13" s="62">
        <v>1.5</v>
      </c>
      <c r="B13" s="62">
        <v>2</v>
      </c>
      <c r="C13" s="62">
        <v>1.5</v>
      </c>
      <c r="D13" s="62">
        <v>3</v>
      </c>
      <c r="E13" s="62">
        <v>3</v>
      </c>
      <c r="F13" s="62">
        <v>1.5</v>
      </c>
    </row>
    <row r="14" spans="1:6" x14ac:dyDescent="0.2">
      <c r="A14" s="62">
        <v>2</v>
      </c>
      <c r="B14" s="62">
        <v>2</v>
      </c>
      <c r="C14" s="62">
        <v>1.5</v>
      </c>
      <c r="D14" s="62">
        <v>3</v>
      </c>
      <c r="E14" s="62">
        <v>3</v>
      </c>
      <c r="F14" s="62">
        <v>2</v>
      </c>
    </row>
    <row r="15" spans="1:6" x14ac:dyDescent="0.2">
      <c r="A15" s="62">
        <v>1</v>
      </c>
      <c r="B15" s="62">
        <v>2</v>
      </c>
      <c r="C15" s="62">
        <v>1.5</v>
      </c>
      <c r="D15" s="62">
        <v>3</v>
      </c>
      <c r="E15" s="62">
        <v>2.5</v>
      </c>
      <c r="F15" s="62">
        <v>2</v>
      </c>
    </row>
    <row r="16" spans="1:6" x14ac:dyDescent="0.2">
      <c r="A16" s="62">
        <v>2</v>
      </c>
      <c r="B16" s="62">
        <v>0</v>
      </c>
      <c r="C16" s="62">
        <v>1</v>
      </c>
      <c r="D16" s="62">
        <v>1.5</v>
      </c>
      <c r="E16" s="62">
        <v>2</v>
      </c>
      <c r="F16" s="62">
        <v>1</v>
      </c>
    </row>
    <row r="17" spans="1:12" x14ac:dyDescent="0.2">
      <c r="A17" s="62">
        <v>0.5</v>
      </c>
      <c r="B17" s="62">
        <v>0</v>
      </c>
      <c r="C17" s="62">
        <v>0</v>
      </c>
      <c r="D17" s="62">
        <v>0</v>
      </c>
      <c r="E17" s="62">
        <v>0.5</v>
      </c>
      <c r="F17" s="62">
        <v>0</v>
      </c>
    </row>
    <row r="18" spans="1:12" x14ac:dyDescent="0.2">
      <c r="A18" s="62">
        <v>2</v>
      </c>
      <c r="B18" s="62">
        <v>2</v>
      </c>
      <c r="C18" s="62">
        <v>1</v>
      </c>
      <c r="D18" s="62">
        <v>1</v>
      </c>
      <c r="E18" s="62">
        <v>3</v>
      </c>
      <c r="F18" s="62">
        <v>1</v>
      </c>
    </row>
    <row r="19" spans="1:12" x14ac:dyDescent="0.2">
      <c r="A19" s="62">
        <v>0.5</v>
      </c>
      <c r="B19" s="62">
        <v>2</v>
      </c>
      <c r="C19" s="62">
        <v>1</v>
      </c>
      <c r="D19" s="62">
        <v>2.5</v>
      </c>
      <c r="E19" s="62">
        <v>1.5</v>
      </c>
      <c r="F19" s="62">
        <v>2</v>
      </c>
    </row>
    <row r="20" spans="1:12" x14ac:dyDescent="0.2">
      <c r="A20" s="62">
        <v>1</v>
      </c>
      <c r="B20" s="62">
        <v>2</v>
      </c>
      <c r="C20" s="62">
        <v>2.5</v>
      </c>
      <c r="D20" s="62">
        <v>3</v>
      </c>
      <c r="E20" s="62">
        <v>3</v>
      </c>
      <c r="F20" s="62">
        <v>2</v>
      </c>
    </row>
    <row r="21" spans="1:12" x14ac:dyDescent="0.2">
      <c r="A21" s="62">
        <v>2</v>
      </c>
      <c r="B21" s="62">
        <v>2</v>
      </c>
      <c r="C21" s="62">
        <v>1.5</v>
      </c>
      <c r="D21" s="62">
        <v>3</v>
      </c>
      <c r="E21" s="62">
        <v>3</v>
      </c>
      <c r="F21" s="62">
        <v>2</v>
      </c>
    </row>
    <row r="22" spans="1:12" x14ac:dyDescent="0.2">
      <c r="A22" s="62">
        <v>0.5</v>
      </c>
      <c r="B22" s="62">
        <v>1.5</v>
      </c>
      <c r="C22" s="62">
        <v>1</v>
      </c>
      <c r="D22" s="62">
        <v>3</v>
      </c>
      <c r="E22" s="62">
        <v>3</v>
      </c>
      <c r="F22" s="62">
        <v>1</v>
      </c>
    </row>
    <row r="23" spans="1:12" x14ac:dyDescent="0.2">
      <c r="A23" s="62">
        <v>0.5</v>
      </c>
      <c r="B23" s="62">
        <v>2</v>
      </c>
      <c r="C23" s="62">
        <v>1.5</v>
      </c>
      <c r="D23" s="62">
        <v>0.5</v>
      </c>
      <c r="E23" s="62">
        <v>1.5</v>
      </c>
      <c r="F23" s="62">
        <v>1</v>
      </c>
    </row>
    <row r="25" spans="1:12" x14ac:dyDescent="0.2">
      <c r="A25" s="62">
        <v>1.5</v>
      </c>
      <c r="B25" s="62">
        <v>3</v>
      </c>
      <c r="C25" s="62">
        <v>3</v>
      </c>
      <c r="D25" s="62">
        <v>3</v>
      </c>
      <c r="E25" s="62">
        <v>3</v>
      </c>
      <c r="F25" s="62">
        <v>4</v>
      </c>
      <c r="G25" s="62">
        <v>3</v>
      </c>
      <c r="H25" s="62">
        <v>0</v>
      </c>
      <c r="I25" s="62">
        <v>2</v>
      </c>
      <c r="J25" s="62">
        <v>0</v>
      </c>
      <c r="K25" s="62">
        <v>4</v>
      </c>
      <c r="L25" s="62">
        <v>2.5</v>
      </c>
    </row>
    <row r="26" spans="1:12" x14ac:dyDescent="0.2">
      <c r="A26" s="62">
        <v>0.5</v>
      </c>
      <c r="B26" s="62">
        <v>2.5</v>
      </c>
      <c r="C26" s="62">
        <v>3</v>
      </c>
      <c r="D26" s="62">
        <v>3</v>
      </c>
      <c r="E26" s="62">
        <v>3</v>
      </c>
      <c r="F26" s="62">
        <v>4</v>
      </c>
      <c r="G26" s="62">
        <v>0</v>
      </c>
      <c r="H26" s="62">
        <v>0</v>
      </c>
      <c r="I26" s="62">
        <v>1.5</v>
      </c>
      <c r="J26" s="62">
        <v>0</v>
      </c>
      <c r="K26" s="62">
        <v>1</v>
      </c>
      <c r="L26" s="62">
        <v>2</v>
      </c>
    </row>
    <row r="27" spans="1:12" x14ac:dyDescent="0.2">
      <c r="A27" s="62">
        <v>1</v>
      </c>
      <c r="B27" s="62">
        <v>2</v>
      </c>
      <c r="C27" s="62">
        <v>0</v>
      </c>
      <c r="D27" s="62">
        <v>1</v>
      </c>
      <c r="E27" s="62">
        <v>3</v>
      </c>
      <c r="F27" s="62">
        <v>2.5</v>
      </c>
      <c r="G27" s="62">
        <v>0</v>
      </c>
      <c r="H27" s="62">
        <v>0</v>
      </c>
      <c r="I27" s="62">
        <v>0</v>
      </c>
      <c r="J27" s="62">
        <v>2</v>
      </c>
      <c r="K27" s="62">
        <v>0</v>
      </c>
      <c r="L27" s="62">
        <v>0</v>
      </c>
    </row>
    <row r="28" spans="1:12" x14ac:dyDescent="0.2">
      <c r="A28" s="62">
        <v>1</v>
      </c>
      <c r="B28" s="62">
        <v>3</v>
      </c>
      <c r="C28" s="62">
        <v>3</v>
      </c>
      <c r="D28" s="62">
        <v>3</v>
      </c>
      <c r="E28" s="62">
        <v>3</v>
      </c>
      <c r="F28" s="62">
        <v>4</v>
      </c>
      <c r="G28" s="62">
        <v>1.5</v>
      </c>
      <c r="H28" s="62">
        <v>0</v>
      </c>
      <c r="I28" s="62">
        <v>1.5</v>
      </c>
      <c r="J28" s="62">
        <v>3</v>
      </c>
      <c r="K28" s="62">
        <v>3</v>
      </c>
      <c r="L28" s="62">
        <v>0</v>
      </c>
    </row>
    <row r="29" spans="1:12" x14ac:dyDescent="0.2">
      <c r="A29" s="62">
        <v>2</v>
      </c>
      <c r="B29" s="62">
        <v>2</v>
      </c>
      <c r="C29" s="62">
        <v>3.5</v>
      </c>
      <c r="D29" s="62">
        <v>2.5</v>
      </c>
      <c r="E29" s="62">
        <v>2</v>
      </c>
      <c r="F29" s="62">
        <v>1</v>
      </c>
      <c r="G29" s="62">
        <v>0.5</v>
      </c>
      <c r="H29" s="62">
        <v>2.5</v>
      </c>
      <c r="I29" s="62">
        <v>2</v>
      </c>
      <c r="J29" s="62">
        <v>3.5</v>
      </c>
      <c r="K29" s="62">
        <v>3</v>
      </c>
      <c r="L29" s="62">
        <v>2.5</v>
      </c>
    </row>
    <row r="30" spans="1:12" x14ac:dyDescent="0.2">
      <c r="A30" s="62">
        <v>2</v>
      </c>
      <c r="B30" s="62">
        <v>3</v>
      </c>
      <c r="C30" s="62">
        <v>4</v>
      </c>
      <c r="D30" s="62">
        <v>3</v>
      </c>
      <c r="E30" s="62">
        <v>3</v>
      </c>
      <c r="F30" s="62">
        <v>4</v>
      </c>
      <c r="G30" s="62">
        <v>3</v>
      </c>
      <c r="H30" s="62">
        <v>4</v>
      </c>
      <c r="I30" s="62">
        <v>2</v>
      </c>
      <c r="J30" s="62">
        <v>5</v>
      </c>
      <c r="K30" s="62">
        <v>4</v>
      </c>
      <c r="L30" s="62">
        <v>3</v>
      </c>
    </row>
    <row r="31" spans="1:12" x14ac:dyDescent="0.2">
      <c r="A31" s="62">
        <v>1.5</v>
      </c>
      <c r="B31" s="62">
        <v>2.5</v>
      </c>
      <c r="C31" s="62">
        <v>4</v>
      </c>
      <c r="D31" s="62">
        <v>2</v>
      </c>
      <c r="E31" s="62">
        <v>2</v>
      </c>
      <c r="F31" s="62">
        <v>2.5</v>
      </c>
      <c r="G31" s="62">
        <v>0.5</v>
      </c>
      <c r="H31" s="62">
        <v>3</v>
      </c>
      <c r="I31" s="62">
        <v>1</v>
      </c>
      <c r="J31" s="62">
        <v>3.5</v>
      </c>
      <c r="K31" s="62">
        <v>2</v>
      </c>
      <c r="L31" s="62">
        <v>1.5</v>
      </c>
    </row>
    <row r="32" spans="1:12" x14ac:dyDescent="0.2">
      <c r="A32" s="62">
        <v>1.5</v>
      </c>
      <c r="B32" s="62">
        <v>1</v>
      </c>
      <c r="C32" s="62">
        <v>2.5</v>
      </c>
      <c r="D32" s="62">
        <v>3</v>
      </c>
      <c r="E32" s="62">
        <v>3</v>
      </c>
      <c r="F32" s="62">
        <v>3.5</v>
      </c>
      <c r="G32" s="62">
        <v>0</v>
      </c>
      <c r="H32" s="62">
        <v>0</v>
      </c>
      <c r="I32" s="62">
        <v>2</v>
      </c>
      <c r="J32" s="62">
        <v>0</v>
      </c>
      <c r="K32" s="62">
        <v>0</v>
      </c>
      <c r="L32" s="62">
        <v>0</v>
      </c>
    </row>
    <row r="33" spans="1:12" x14ac:dyDescent="0.2">
      <c r="A33" s="62">
        <v>1.5</v>
      </c>
      <c r="B33" s="62">
        <v>3</v>
      </c>
      <c r="C33" s="62">
        <v>4</v>
      </c>
      <c r="D33" s="62">
        <v>3</v>
      </c>
      <c r="E33" s="62">
        <v>2</v>
      </c>
      <c r="F33" s="62">
        <v>1</v>
      </c>
      <c r="G33" s="62">
        <v>0</v>
      </c>
      <c r="H33" s="62">
        <v>0</v>
      </c>
      <c r="I33" s="62">
        <v>0</v>
      </c>
      <c r="J33" s="62">
        <v>0</v>
      </c>
      <c r="K33" s="62">
        <v>0</v>
      </c>
      <c r="L33" s="62">
        <v>0</v>
      </c>
    </row>
    <row r="34" spans="1:12" x14ac:dyDescent="0.2">
      <c r="A34" s="62">
        <v>0</v>
      </c>
      <c r="B34" s="62">
        <v>1.5</v>
      </c>
      <c r="C34" s="62">
        <v>2.5</v>
      </c>
      <c r="D34" s="62">
        <v>0</v>
      </c>
      <c r="E34" s="62">
        <v>1</v>
      </c>
      <c r="F34" s="62">
        <v>1</v>
      </c>
      <c r="G34" s="62">
        <v>0</v>
      </c>
      <c r="H34" s="62">
        <v>0</v>
      </c>
      <c r="I34" s="62">
        <v>1</v>
      </c>
      <c r="J34" s="62">
        <v>0</v>
      </c>
      <c r="K34" s="62">
        <v>1</v>
      </c>
      <c r="L34" s="62">
        <v>0.5</v>
      </c>
    </row>
    <row r="35" spans="1:12" x14ac:dyDescent="0.2">
      <c r="A35" s="62">
        <v>1</v>
      </c>
      <c r="B35" s="62">
        <v>1.5</v>
      </c>
      <c r="C35" s="62">
        <v>4</v>
      </c>
      <c r="D35" s="62">
        <v>1.5</v>
      </c>
      <c r="E35" s="62">
        <v>2</v>
      </c>
      <c r="F35" s="62">
        <v>3.5</v>
      </c>
      <c r="G35" s="62">
        <v>0</v>
      </c>
      <c r="H35" s="62">
        <v>0</v>
      </c>
      <c r="I35" s="62">
        <v>0</v>
      </c>
      <c r="J35" s="62">
        <v>0</v>
      </c>
      <c r="K35" s="62">
        <v>1</v>
      </c>
      <c r="L35" s="62">
        <v>0</v>
      </c>
    </row>
    <row r="36" spans="1:12" x14ac:dyDescent="0.2">
      <c r="A36" s="62">
        <v>2</v>
      </c>
      <c r="B36" s="62">
        <v>3</v>
      </c>
      <c r="C36" s="62">
        <v>4</v>
      </c>
      <c r="D36" s="62">
        <v>3</v>
      </c>
      <c r="E36" s="62">
        <v>3</v>
      </c>
      <c r="F36" s="62">
        <v>4</v>
      </c>
      <c r="G36" s="62">
        <v>3</v>
      </c>
      <c r="H36" s="62">
        <v>0</v>
      </c>
      <c r="I36" s="62">
        <v>2</v>
      </c>
      <c r="J36" s="62">
        <v>3</v>
      </c>
      <c r="K36" s="62">
        <v>3</v>
      </c>
      <c r="L36" s="62">
        <v>2</v>
      </c>
    </row>
    <row r="37" spans="1:12" x14ac:dyDescent="0.2">
      <c r="A37" s="62">
        <v>0.5</v>
      </c>
      <c r="B37" s="62">
        <v>1.5</v>
      </c>
      <c r="C37" s="62">
        <v>4</v>
      </c>
      <c r="D37" s="62">
        <v>3</v>
      </c>
      <c r="E37" s="62">
        <v>3</v>
      </c>
      <c r="F37" s="62">
        <v>3.5</v>
      </c>
      <c r="G37" s="62">
        <v>0</v>
      </c>
      <c r="H37" s="62">
        <v>0</v>
      </c>
      <c r="I37" s="62">
        <v>2</v>
      </c>
      <c r="J37" s="62">
        <v>4.5</v>
      </c>
      <c r="K37" s="62">
        <v>0</v>
      </c>
      <c r="L37" s="62">
        <v>0</v>
      </c>
    </row>
    <row r="38" spans="1:12" x14ac:dyDescent="0.2">
      <c r="A38" s="62">
        <v>1.5</v>
      </c>
      <c r="B38" s="62">
        <v>2.5</v>
      </c>
      <c r="C38" s="62">
        <v>3</v>
      </c>
      <c r="D38" s="62">
        <v>2.5</v>
      </c>
      <c r="E38" s="62">
        <v>2</v>
      </c>
      <c r="F38" s="62">
        <v>4</v>
      </c>
      <c r="G38" s="62">
        <v>0</v>
      </c>
      <c r="H38" s="62">
        <v>0</v>
      </c>
      <c r="I38" s="62">
        <v>0</v>
      </c>
      <c r="J38" s="62">
        <v>0</v>
      </c>
      <c r="K38" s="62">
        <v>1</v>
      </c>
      <c r="L38" s="62">
        <v>0</v>
      </c>
    </row>
    <row r="39" spans="1:12" x14ac:dyDescent="0.2">
      <c r="A39" s="62">
        <v>1.5</v>
      </c>
      <c r="B39" s="62">
        <v>3</v>
      </c>
      <c r="C39" s="62">
        <v>4</v>
      </c>
      <c r="D39" s="62">
        <v>3</v>
      </c>
      <c r="E39" s="62">
        <v>2.5</v>
      </c>
      <c r="F39" s="62">
        <v>3.5</v>
      </c>
      <c r="G39" s="62">
        <v>0.5</v>
      </c>
      <c r="H39" s="62">
        <v>0</v>
      </c>
      <c r="I39" s="62">
        <v>2</v>
      </c>
      <c r="J39" s="62">
        <v>3.5</v>
      </c>
      <c r="K39" s="62">
        <v>3.5</v>
      </c>
      <c r="L39" s="62">
        <v>0.5</v>
      </c>
    </row>
    <row r="40" spans="1:12" x14ac:dyDescent="0.2">
      <c r="A40" s="62">
        <v>1.5</v>
      </c>
      <c r="B40" s="62">
        <v>3</v>
      </c>
      <c r="C40" s="62">
        <v>4</v>
      </c>
      <c r="D40" s="62">
        <v>3</v>
      </c>
      <c r="E40" s="62">
        <v>3</v>
      </c>
      <c r="F40" s="62">
        <v>4</v>
      </c>
      <c r="G40" s="62">
        <v>0</v>
      </c>
      <c r="H40" s="62">
        <v>1.5</v>
      </c>
      <c r="I40" s="62">
        <v>0</v>
      </c>
      <c r="J40" s="62">
        <v>2</v>
      </c>
      <c r="K40" s="62">
        <v>0</v>
      </c>
      <c r="L40" s="62">
        <v>0</v>
      </c>
    </row>
    <row r="41" spans="1:12" x14ac:dyDescent="0.2">
      <c r="A41" s="62">
        <v>1.5</v>
      </c>
      <c r="B41" s="62">
        <v>1.5</v>
      </c>
      <c r="C41" s="62">
        <v>0</v>
      </c>
      <c r="D41" s="62">
        <v>1.5</v>
      </c>
      <c r="E41" s="62">
        <v>1</v>
      </c>
      <c r="F41" s="62">
        <v>1</v>
      </c>
      <c r="G41" s="62">
        <v>0</v>
      </c>
      <c r="H41" s="62">
        <v>0</v>
      </c>
      <c r="I41" s="62">
        <v>0</v>
      </c>
      <c r="J41" s="62">
        <v>0</v>
      </c>
      <c r="K41" s="62">
        <v>0</v>
      </c>
      <c r="L41" s="62">
        <v>0</v>
      </c>
    </row>
    <row r="42" spans="1:12" x14ac:dyDescent="0.2">
      <c r="A42" s="62">
        <v>1</v>
      </c>
      <c r="B42" s="62">
        <v>2.5</v>
      </c>
      <c r="C42" s="62">
        <v>2</v>
      </c>
      <c r="D42" s="62">
        <v>3</v>
      </c>
      <c r="E42" s="62">
        <v>2.5</v>
      </c>
      <c r="F42" s="62">
        <v>3.5</v>
      </c>
      <c r="G42" s="62">
        <v>0</v>
      </c>
      <c r="H42" s="62">
        <v>0</v>
      </c>
      <c r="I42" s="62">
        <v>1.5</v>
      </c>
      <c r="J42" s="62">
        <v>0</v>
      </c>
      <c r="K42" s="62">
        <v>0</v>
      </c>
      <c r="L42" s="62">
        <v>0</v>
      </c>
    </row>
    <row r="43" spans="1:12" x14ac:dyDescent="0.2">
      <c r="A43" s="62">
        <v>1.5</v>
      </c>
      <c r="B43" s="62">
        <v>2</v>
      </c>
      <c r="C43" s="62">
        <v>3</v>
      </c>
      <c r="D43" s="62">
        <v>0.5</v>
      </c>
      <c r="E43" s="62">
        <v>1</v>
      </c>
      <c r="F43" s="62">
        <v>4</v>
      </c>
      <c r="G43" s="62">
        <v>0.5</v>
      </c>
      <c r="H43" s="62">
        <v>0</v>
      </c>
      <c r="I43" s="62">
        <v>2</v>
      </c>
      <c r="J43" s="62">
        <v>0</v>
      </c>
      <c r="K43" s="62">
        <v>2</v>
      </c>
      <c r="L43" s="62">
        <v>0</v>
      </c>
    </row>
    <row r="44" spans="1:12" x14ac:dyDescent="0.2">
      <c r="A44" s="62">
        <v>1.5</v>
      </c>
      <c r="B44" s="62">
        <v>3</v>
      </c>
      <c r="C44" s="62">
        <v>3.5</v>
      </c>
      <c r="D44" s="62">
        <v>2.5</v>
      </c>
      <c r="E44" s="62">
        <v>2</v>
      </c>
      <c r="F44" s="62">
        <v>3.5</v>
      </c>
      <c r="G44" s="62">
        <v>2</v>
      </c>
      <c r="H44" s="62">
        <v>0</v>
      </c>
      <c r="I44" s="62">
        <v>1.5</v>
      </c>
      <c r="J44" s="62">
        <v>3.5</v>
      </c>
      <c r="K44" s="62">
        <v>3</v>
      </c>
      <c r="L44" s="62">
        <v>0</v>
      </c>
    </row>
    <row r="45" spans="1:12" x14ac:dyDescent="0.2">
      <c r="A45" s="62">
        <v>2</v>
      </c>
      <c r="B45" s="62">
        <v>2.5</v>
      </c>
      <c r="C45" s="62">
        <v>4</v>
      </c>
      <c r="D45" s="62">
        <v>3</v>
      </c>
      <c r="E45" s="62">
        <v>2.5</v>
      </c>
      <c r="F45" s="62">
        <v>3</v>
      </c>
      <c r="G45" s="62">
        <v>3</v>
      </c>
      <c r="H45" s="62">
        <v>0</v>
      </c>
      <c r="I45" s="62">
        <v>2</v>
      </c>
      <c r="J45" s="62">
        <v>4.5</v>
      </c>
      <c r="K45" s="62">
        <v>3</v>
      </c>
      <c r="L45" s="62">
        <v>3</v>
      </c>
    </row>
    <row r="46" spans="1:12" x14ac:dyDescent="0.2">
      <c r="A46" s="62">
        <v>0.5</v>
      </c>
      <c r="B46" s="62">
        <v>3</v>
      </c>
      <c r="C46" s="62">
        <v>4</v>
      </c>
      <c r="D46" s="62">
        <v>2</v>
      </c>
      <c r="E46" s="62">
        <v>2.5</v>
      </c>
      <c r="F46" s="62">
        <v>3</v>
      </c>
      <c r="G46" s="62">
        <v>1.5</v>
      </c>
      <c r="H46" s="62">
        <v>0</v>
      </c>
      <c r="I46" s="62">
        <v>2</v>
      </c>
      <c r="J46" s="62">
        <v>2.5</v>
      </c>
      <c r="K46" s="62">
        <v>2.5</v>
      </c>
      <c r="L46" s="62">
        <v>2.5</v>
      </c>
    </row>
    <row r="47" spans="1:12" x14ac:dyDescent="0.2">
      <c r="A47" s="62">
        <v>1</v>
      </c>
      <c r="B47" s="62">
        <v>2.5</v>
      </c>
      <c r="C47" s="62">
        <v>3.5</v>
      </c>
      <c r="D47" s="62">
        <v>3</v>
      </c>
      <c r="E47" s="62">
        <v>2</v>
      </c>
      <c r="F47" s="62">
        <v>4</v>
      </c>
      <c r="G47" s="62">
        <v>0</v>
      </c>
      <c r="H47" s="62">
        <v>0</v>
      </c>
      <c r="I47" s="62">
        <v>0</v>
      </c>
      <c r="J47" s="62">
        <v>0</v>
      </c>
      <c r="K47" s="62">
        <v>1</v>
      </c>
      <c r="L47" s="62">
        <v>0</v>
      </c>
    </row>
    <row r="49" spans="1:3" x14ac:dyDescent="0.2">
      <c r="A49" s="62">
        <v>2.5</v>
      </c>
      <c r="B49" s="62">
        <v>1</v>
      </c>
      <c r="C49" s="62">
        <v>0.5</v>
      </c>
    </row>
    <row r="50" spans="1:3" x14ac:dyDescent="0.2">
      <c r="A50" s="62">
        <v>5</v>
      </c>
      <c r="B50" s="62">
        <v>1.5</v>
      </c>
      <c r="C50" s="62">
        <v>1</v>
      </c>
    </row>
    <row r="51" spans="1:3" x14ac:dyDescent="0.2">
      <c r="A51" s="62">
        <v>2.5</v>
      </c>
      <c r="B51" s="62">
        <v>0</v>
      </c>
      <c r="C51" s="62">
        <v>1</v>
      </c>
    </row>
    <row r="52" spans="1:3" x14ac:dyDescent="0.2">
      <c r="A52" s="62">
        <v>2.5</v>
      </c>
      <c r="B52" s="62">
        <v>1</v>
      </c>
      <c r="C52" s="62">
        <v>1</v>
      </c>
    </row>
    <row r="53" spans="1:3" x14ac:dyDescent="0.2">
      <c r="A53" s="62">
        <v>2.5</v>
      </c>
      <c r="B53" s="62">
        <v>2</v>
      </c>
      <c r="C53" s="62">
        <v>3</v>
      </c>
    </row>
    <row r="54" spans="1:3" x14ac:dyDescent="0.2">
      <c r="A54" s="62">
        <v>3</v>
      </c>
      <c r="B54" s="62">
        <v>2</v>
      </c>
      <c r="C54" s="62">
        <v>3</v>
      </c>
    </row>
    <row r="55" spans="1:3" x14ac:dyDescent="0.2">
      <c r="A55" s="62">
        <v>5</v>
      </c>
      <c r="B55" s="62">
        <v>2</v>
      </c>
      <c r="C55" s="62">
        <v>3</v>
      </c>
    </row>
    <row r="56" spans="1:3" x14ac:dyDescent="0.2">
      <c r="A56" s="62">
        <v>5</v>
      </c>
      <c r="B56" s="62">
        <v>2</v>
      </c>
      <c r="C56" s="62">
        <v>3</v>
      </c>
    </row>
    <row r="57" spans="1:3" x14ac:dyDescent="0.2">
      <c r="A57" s="62">
        <v>4</v>
      </c>
      <c r="B57" s="62">
        <v>0</v>
      </c>
      <c r="C57" s="62">
        <v>3</v>
      </c>
    </row>
    <row r="58" spans="1:3" x14ac:dyDescent="0.2">
      <c r="A58" s="62">
        <v>2.5</v>
      </c>
      <c r="B58" s="62">
        <v>2</v>
      </c>
      <c r="C58" s="62">
        <v>0</v>
      </c>
    </row>
    <row r="59" spans="1:3" x14ac:dyDescent="0.2">
      <c r="A59" s="62">
        <v>2</v>
      </c>
      <c r="B59" s="62">
        <v>0</v>
      </c>
      <c r="C59" s="62">
        <v>0</v>
      </c>
    </row>
    <row r="60" spans="1:3" x14ac:dyDescent="0.2">
      <c r="A60" s="62">
        <v>2.5</v>
      </c>
      <c r="B60" s="62">
        <v>0</v>
      </c>
      <c r="C60" s="62">
        <v>2</v>
      </c>
    </row>
    <row r="61" spans="1:3" x14ac:dyDescent="0.2">
      <c r="A61" s="62">
        <v>5</v>
      </c>
      <c r="B61" s="62">
        <v>1</v>
      </c>
      <c r="C61" s="62">
        <v>3</v>
      </c>
    </row>
    <row r="62" spans="1:3" x14ac:dyDescent="0.2">
      <c r="A62" s="62">
        <v>5</v>
      </c>
      <c r="B62" s="62">
        <v>1.5</v>
      </c>
      <c r="C62" s="62">
        <v>0.5</v>
      </c>
    </row>
    <row r="63" spans="1:3" x14ac:dyDescent="0.2">
      <c r="A63" s="62">
        <v>2.5</v>
      </c>
      <c r="B63" s="62">
        <v>0</v>
      </c>
      <c r="C63" s="62">
        <v>1</v>
      </c>
    </row>
    <row r="64" spans="1:3" x14ac:dyDescent="0.2">
      <c r="A64" s="62">
        <v>5</v>
      </c>
      <c r="B64" s="62">
        <v>1</v>
      </c>
      <c r="C64" s="62">
        <v>1</v>
      </c>
    </row>
    <row r="65" spans="1:6" x14ac:dyDescent="0.2">
      <c r="A65" s="62">
        <v>5</v>
      </c>
      <c r="B65" s="62">
        <v>1</v>
      </c>
      <c r="C65" s="62">
        <v>3</v>
      </c>
    </row>
    <row r="66" spans="1:6" x14ac:dyDescent="0.2">
      <c r="A66" s="62">
        <v>2.5</v>
      </c>
      <c r="B66" s="62">
        <v>1</v>
      </c>
      <c r="C66" s="62">
        <v>1</v>
      </c>
    </row>
    <row r="67" spans="1:6" x14ac:dyDescent="0.2">
      <c r="A67" s="62">
        <v>5</v>
      </c>
      <c r="B67" s="62">
        <v>0</v>
      </c>
      <c r="C67" s="62">
        <v>0.5</v>
      </c>
    </row>
    <row r="68" spans="1:6" x14ac:dyDescent="0.2">
      <c r="A68" s="62">
        <v>3</v>
      </c>
      <c r="B68" s="62">
        <v>0</v>
      </c>
      <c r="C68" s="62">
        <v>0</v>
      </c>
    </row>
    <row r="69" spans="1:6" x14ac:dyDescent="0.2">
      <c r="A69" s="62">
        <v>4</v>
      </c>
      <c r="B69" s="62">
        <v>1</v>
      </c>
      <c r="C69" s="62">
        <v>1</v>
      </c>
    </row>
    <row r="70" spans="1:6" x14ac:dyDescent="0.2">
      <c r="A70" s="62">
        <v>5</v>
      </c>
      <c r="B70" s="62">
        <v>2</v>
      </c>
      <c r="C70" s="62">
        <v>3</v>
      </c>
    </row>
    <row r="71" spans="1:6" x14ac:dyDescent="0.2">
      <c r="A71" s="62">
        <v>5</v>
      </c>
      <c r="B71" s="62">
        <v>2</v>
      </c>
      <c r="C71" s="62">
        <v>1</v>
      </c>
    </row>
    <row r="73" spans="1:6" x14ac:dyDescent="0.2">
      <c r="A73" s="62">
        <v>2</v>
      </c>
      <c r="B73" s="62">
        <v>2</v>
      </c>
      <c r="C73" s="62">
        <v>2</v>
      </c>
      <c r="D73" s="62">
        <v>4</v>
      </c>
      <c r="E73" s="62">
        <v>3</v>
      </c>
      <c r="F73" s="62">
        <v>7</v>
      </c>
    </row>
    <row r="74" spans="1:6" x14ac:dyDescent="0.2">
      <c r="A74" s="62">
        <v>1</v>
      </c>
      <c r="B74" s="62">
        <v>2</v>
      </c>
      <c r="C74" s="62">
        <v>1</v>
      </c>
      <c r="D74" s="62">
        <v>2</v>
      </c>
      <c r="E74" s="62">
        <v>1</v>
      </c>
      <c r="F74" s="62">
        <v>7</v>
      </c>
    </row>
    <row r="75" spans="1:6" x14ac:dyDescent="0.2">
      <c r="A75" s="62">
        <v>2</v>
      </c>
      <c r="B75" s="62">
        <v>2</v>
      </c>
      <c r="C75" s="62">
        <v>1</v>
      </c>
      <c r="D75" s="62">
        <v>3</v>
      </c>
      <c r="E75" s="62">
        <v>0</v>
      </c>
      <c r="F75" s="62">
        <v>5</v>
      </c>
    </row>
    <row r="76" spans="1:6" x14ac:dyDescent="0.2">
      <c r="A76" s="62">
        <v>2</v>
      </c>
      <c r="B76" s="62">
        <v>2</v>
      </c>
      <c r="C76" s="62">
        <v>1</v>
      </c>
      <c r="D76" s="62">
        <v>4</v>
      </c>
      <c r="E76" s="62">
        <v>0</v>
      </c>
      <c r="F76" s="62">
        <v>6.5</v>
      </c>
    </row>
    <row r="77" spans="1:6" x14ac:dyDescent="0.2">
      <c r="A77" s="62">
        <v>1</v>
      </c>
      <c r="B77" s="62">
        <v>1</v>
      </c>
      <c r="C77" s="62">
        <v>1</v>
      </c>
      <c r="D77" s="62">
        <v>1.5</v>
      </c>
      <c r="E77" s="62">
        <v>0</v>
      </c>
      <c r="F77" s="62">
        <v>4</v>
      </c>
    </row>
    <row r="78" spans="1:6" x14ac:dyDescent="0.2">
      <c r="A78" s="62">
        <v>2</v>
      </c>
      <c r="B78" s="62">
        <v>0.5</v>
      </c>
      <c r="C78" s="62">
        <v>1</v>
      </c>
      <c r="D78" s="62">
        <v>4</v>
      </c>
      <c r="E78" s="62">
        <v>3</v>
      </c>
      <c r="F78" s="62">
        <v>6</v>
      </c>
    </row>
    <row r="79" spans="1:6" x14ac:dyDescent="0.2">
      <c r="A79" s="62">
        <v>2</v>
      </c>
      <c r="B79" s="62">
        <v>2</v>
      </c>
      <c r="C79" s="62">
        <v>2</v>
      </c>
      <c r="D79" s="62">
        <v>2.5</v>
      </c>
      <c r="E79" s="62">
        <v>0</v>
      </c>
      <c r="F79" s="62">
        <v>0.5</v>
      </c>
    </row>
    <row r="80" spans="1:6" x14ac:dyDescent="0.2">
      <c r="A80" s="62">
        <v>2</v>
      </c>
      <c r="B80" s="62">
        <v>2</v>
      </c>
      <c r="C80" s="62">
        <v>2</v>
      </c>
      <c r="D80" s="62">
        <v>2</v>
      </c>
      <c r="E80" s="62">
        <v>0.5</v>
      </c>
      <c r="F80" s="62">
        <v>7</v>
      </c>
    </row>
    <row r="81" spans="1:6" x14ac:dyDescent="0.2">
      <c r="A81" s="62">
        <v>2</v>
      </c>
      <c r="B81" s="62">
        <v>2</v>
      </c>
      <c r="C81" s="62">
        <v>2</v>
      </c>
      <c r="D81" s="62">
        <v>4</v>
      </c>
      <c r="E81" s="62">
        <v>3</v>
      </c>
      <c r="F81" s="62">
        <v>7</v>
      </c>
    </row>
    <row r="82" spans="1:6" x14ac:dyDescent="0.2">
      <c r="A82" s="62">
        <v>2</v>
      </c>
      <c r="B82" s="62">
        <v>2</v>
      </c>
      <c r="C82" s="62">
        <v>2</v>
      </c>
      <c r="D82" s="62">
        <v>2</v>
      </c>
      <c r="E82" s="62">
        <v>0</v>
      </c>
      <c r="F82" s="62">
        <v>7</v>
      </c>
    </row>
    <row r="83" spans="1:6" x14ac:dyDescent="0.2">
      <c r="A83" s="62">
        <v>1</v>
      </c>
      <c r="B83" s="62">
        <v>0</v>
      </c>
      <c r="C83" s="62">
        <v>2</v>
      </c>
      <c r="D83" s="62">
        <v>1.5</v>
      </c>
      <c r="E83" s="62">
        <v>2</v>
      </c>
      <c r="F83" s="62">
        <v>3</v>
      </c>
    </row>
    <row r="84" spans="1:6" x14ac:dyDescent="0.2">
      <c r="A84" s="62">
        <v>2</v>
      </c>
      <c r="B84" s="62">
        <v>2</v>
      </c>
      <c r="C84" s="62">
        <v>1</v>
      </c>
      <c r="D84" s="62">
        <v>0.5</v>
      </c>
      <c r="E84" s="62">
        <v>0</v>
      </c>
      <c r="F84" s="62">
        <v>2</v>
      </c>
    </row>
    <row r="85" spans="1:6" x14ac:dyDescent="0.2">
      <c r="A85" s="62">
        <v>2</v>
      </c>
      <c r="B85" s="62">
        <v>0</v>
      </c>
      <c r="C85" s="62">
        <v>1.5</v>
      </c>
      <c r="D85" s="62">
        <v>0</v>
      </c>
      <c r="E85" s="62">
        <v>2</v>
      </c>
      <c r="F85" s="62">
        <v>0</v>
      </c>
    </row>
    <row r="86" spans="1:6" x14ac:dyDescent="0.2">
      <c r="A86" s="62">
        <v>2</v>
      </c>
      <c r="B86" s="62">
        <v>0</v>
      </c>
      <c r="C86" s="62">
        <v>1</v>
      </c>
      <c r="D86" s="62">
        <v>2</v>
      </c>
      <c r="E86" s="62">
        <v>3</v>
      </c>
      <c r="F86" s="62">
        <v>0</v>
      </c>
    </row>
    <row r="87" spans="1:6" x14ac:dyDescent="0.2">
      <c r="A87" s="62">
        <v>2</v>
      </c>
      <c r="B87" s="62">
        <v>0.5</v>
      </c>
      <c r="C87" s="62">
        <v>1.5</v>
      </c>
      <c r="D87" s="62">
        <v>3</v>
      </c>
      <c r="E87" s="62">
        <v>1</v>
      </c>
      <c r="F87" s="62">
        <v>7</v>
      </c>
    </row>
    <row r="88" spans="1:6" x14ac:dyDescent="0.2">
      <c r="A88" s="62">
        <v>0</v>
      </c>
      <c r="B88" s="62">
        <v>0</v>
      </c>
      <c r="C88" s="62">
        <v>0</v>
      </c>
      <c r="D88" s="62">
        <v>0</v>
      </c>
      <c r="E88" s="62">
        <v>0</v>
      </c>
      <c r="F88" s="62">
        <v>0</v>
      </c>
    </row>
    <row r="89" spans="1:6" x14ac:dyDescent="0.2">
      <c r="A89" s="62">
        <v>1</v>
      </c>
      <c r="B89" s="62">
        <v>1</v>
      </c>
      <c r="C89" s="62">
        <v>1.5</v>
      </c>
      <c r="D89" s="62">
        <v>1</v>
      </c>
      <c r="E89" s="62">
        <v>3</v>
      </c>
      <c r="F89" s="62">
        <v>3</v>
      </c>
    </row>
    <row r="90" spans="1:6" x14ac:dyDescent="0.2">
      <c r="A90" s="62">
        <v>2</v>
      </c>
      <c r="B90" s="62">
        <v>2</v>
      </c>
      <c r="C90" s="62">
        <v>1</v>
      </c>
      <c r="D90" s="62">
        <v>2</v>
      </c>
      <c r="E90" s="62">
        <v>0</v>
      </c>
      <c r="F90" s="62">
        <v>6</v>
      </c>
    </row>
    <row r="91" spans="1:6" x14ac:dyDescent="0.2">
      <c r="A91" s="62">
        <v>2</v>
      </c>
      <c r="B91" s="62">
        <v>0.5</v>
      </c>
      <c r="C91" s="62">
        <v>1.5</v>
      </c>
      <c r="D91" s="62">
        <v>2</v>
      </c>
      <c r="E91" s="62">
        <v>1</v>
      </c>
      <c r="F91" s="62">
        <v>5</v>
      </c>
    </row>
    <row r="92" spans="1:6" x14ac:dyDescent="0.2">
      <c r="A92" s="62">
        <v>2</v>
      </c>
      <c r="B92" s="62">
        <v>0.5</v>
      </c>
      <c r="C92" s="62">
        <v>2</v>
      </c>
      <c r="D92" s="62">
        <v>0</v>
      </c>
      <c r="E92" s="62">
        <v>0</v>
      </c>
      <c r="F92" s="62">
        <v>0</v>
      </c>
    </row>
    <row r="93" spans="1:6" x14ac:dyDescent="0.2">
      <c r="A93" s="62">
        <v>1</v>
      </c>
      <c r="B93" s="62">
        <v>2</v>
      </c>
      <c r="C93" s="62">
        <v>1</v>
      </c>
      <c r="D93" s="62">
        <v>2</v>
      </c>
      <c r="E93" s="62">
        <v>0</v>
      </c>
      <c r="F93" s="62">
        <v>7</v>
      </c>
    </row>
    <row r="94" spans="1:6" x14ac:dyDescent="0.2">
      <c r="A94" s="62">
        <v>2</v>
      </c>
      <c r="B94" s="62">
        <v>0</v>
      </c>
      <c r="C94" s="62">
        <v>2</v>
      </c>
      <c r="D94" s="62">
        <v>1.5</v>
      </c>
      <c r="E94" s="62">
        <v>0</v>
      </c>
      <c r="F94" s="62">
        <v>6</v>
      </c>
    </row>
    <row r="95" spans="1:6" x14ac:dyDescent="0.2">
      <c r="A95" s="62">
        <v>2</v>
      </c>
      <c r="B95" s="62">
        <v>2</v>
      </c>
      <c r="C95" s="62">
        <v>2</v>
      </c>
      <c r="D95" s="62">
        <v>4</v>
      </c>
      <c r="E95" s="62">
        <v>0</v>
      </c>
      <c r="F95" s="62">
        <v>6</v>
      </c>
    </row>
    <row r="97" spans="1:4" x14ac:dyDescent="0.2">
      <c r="A97" s="62">
        <v>0</v>
      </c>
      <c r="B97" s="62">
        <v>0</v>
      </c>
      <c r="C97" s="62">
        <v>1</v>
      </c>
      <c r="D97" s="62">
        <v>0</v>
      </c>
    </row>
    <row r="98" spans="1:4" x14ac:dyDescent="0.2">
      <c r="A98" s="62">
        <v>1.5</v>
      </c>
      <c r="B98" s="62">
        <v>2</v>
      </c>
      <c r="C98" s="62">
        <v>1.5</v>
      </c>
      <c r="D98" s="62">
        <v>2</v>
      </c>
    </row>
    <row r="99" spans="1:4" x14ac:dyDescent="0.2">
      <c r="A99" s="62">
        <v>2</v>
      </c>
      <c r="B99" s="62">
        <v>2.5</v>
      </c>
      <c r="C99" s="62">
        <v>2</v>
      </c>
      <c r="D99" s="62">
        <v>0</v>
      </c>
    </row>
    <row r="100" spans="1:4" x14ac:dyDescent="0.2">
      <c r="A100" s="62">
        <v>2</v>
      </c>
      <c r="B100" s="62">
        <v>1.5</v>
      </c>
      <c r="C100" s="62">
        <v>2</v>
      </c>
      <c r="D100" s="62">
        <v>1</v>
      </c>
    </row>
    <row r="101" spans="1:4" x14ac:dyDescent="0.2">
      <c r="A101" s="62">
        <v>1.5</v>
      </c>
      <c r="B101" s="62">
        <v>2</v>
      </c>
      <c r="C101" s="62">
        <v>2</v>
      </c>
      <c r="D101" s="62">
        <v>2</v>
      </c>
    </row>
    <row r="102" spans="1:4" x14ac:dyDescent="0.2">
      <c r="A102" s="62">
        <v>1.5</v>
      </c>
      <c r="B102" s="62">
        <v>3</v>
      </c>
      <c r="C102" s="62">
        <v>1.5</v>
      </c>
      <c r="D102" s="62">
        <v>2</v>
      </c>
    </row>
    <row r="103" spans="1:4" x14ac:dyDescent="0.2">
      <c r="A103" s="62">
        <v>2</v>
      </c>
      <c r="B103" s="62">
        <v>2.5</v>
      </c>
      <c r="C103" s="62">
        <v>2</v>
      </c>
      <c r="D103" s="62">
        <v>3</v>
      </c>
    </row>
    <row r="104" spans="1:4" x14ac:dyDescent="0.2">
      <c r="A104" s="62">
        <v>2</v>
      </c>
      <c r="B104" s="62">
        <v>2</v>
      </c>
      <c r="C104" s="62">
        <v>2</v>
      </c>
      <c r="D104" s="62">
        <v>3</v>
      </c>
    </row>
    <row r="105" spans="1:4" x14ac:dyDescent="0.2">
      <c r="A105" s="62">
        <v>1.5</v>
      </c>
      <c r="B105" s="62">
        <v>3</v>
      </c>
      <c r="C105" s="62">
        <v>1.5</v>
      </c>
      <c r="D105" s="62">
        <v>1</v>
      </c>
    </row>
    <row r="106" spans="1:4" x14ac:dyDescent="0.2">
      <c r="A106" s="62">
        <v>1</v>
      </c>
      <c r="B106" s="62">
        <v>0</v>
      </c>
      <c r="C106" s="62">
        <v>2</v>
      </c>
      <c r="D106" s="62">
        <v>0.5</v>
      </c>
    </row>
    <row r="107" spans="1:4" x14ac:dyDescent="0.2">
      <c r="A107" s="62">
        <v>2</v>
      </c>
      <c r="B107" s="62">
        <v>0</v>
      </c>
      <c r="C107" s="62">
        <v>2</v>
      </c>
      <c r="D107" s="62">
        <v>0</v>
      </c>
    </row>
    <row r="108" spans="1:4" x14ac:dyDescent="0.2">
      <c r="A108" s="62">
        <v>0.5</v>
      </c>
      <c r="B108" s="62">
        <v>0</v>
      </c>
      <c r="C108" s="62">
        <v>2</v>
      </c>
      <c r="D108" s="62">
        <v>0</v>
      </c>
    </row>
    <row r="109" spans="1:4" x14ac:dyDescent="0.2">
      <c r="A109" s="62">
        <v>1.5</v>
      </c>
      <c r="B109" s="62">
        <v>3</v>
      </c>
      <c r="C109" s="62">
        <v>0</v>
      </c>
      <c r="D109" s="62">
        <v>2</v>
      </c>
    </row>
    <row r="110" spans="1:4" x14ac:dyDescent="0.2">
      <c r="A110" s="62">
        <v>2</v>
      </c>
      <c r="B110" s="62">
        <v>2</v>
      </c>
      <c r="C110" s="62">
        <v>1.5</v>
      </c>
      <c r="D110" s="62">
        <v>2</v>
      </c>
    </row>
    <row r="111" spans="1:4" x14ac:dyDescent="0.2">
      <c r="A111" s="62">
        <v>2</v>
      </c>
      <c r="B111" s="62">
        <v>3</v>
      </c>
      <c r="C111" s="62">
        <v>1.5</v>
      </c>
      <c r="D111" s="62">
        <v>3</v>
      </c>
    </row>
    <row r="112" spans="1:4" x14ac:dyDescent="0.2">
      <c r="A112" s="62">
        <v>2</v>
      </c>
      <c r="B112" s="62">
        <v>2.5</v>
      </c>
      <c r="C112" s="62">
        <v>2</v>
      </c>
      <c r="D112" s="62">
        <v>2</v>
      </c>
    </row>
    <row r="113" spans="1:6" x14ac:dyDescent="0.2">
      <c r="A113" s="62">
        <v>2</v>
      </c>
      <c r="B113" s="62">
        <v>3</v>
      </c>
      <c r="C113" s="62">
        <v>1.5</v>
      </c>
      <c r="D113" s="62">
        <v>0</v>
      </c>
    </row>
    <row r="114" spans="1:6" x14ac:dyDescent="0.2">
      <c r="A114" s="62">
        <v>1</v>
      </c>
      <c r="B114" s="62">
        <v>0</v>
      </c>
      <c r="C114" s="62">
        <v>1</v>
      </c>
      <c r="D114" s="62">
        <v>0</v>
      </c>
    </row>
    <row r="115" spans="1:6" x14ac:dyDescent="0.2">
      <c r="A115" s="62">
        <v>2</v>
      </c>
      <c r="B115" s="62">
        <v>0</v>
      </c>
      <c r="C115" s="62">
        <v>2</v>
      </c>
      <c r="D115" s="62">
        <v>0.5</v>
      </c>
    </row>
    <row r="116" spans="1:6" x14ac:dyDescent="0.2">
      <c r="A116" s="62">
        <v>2</v>
      </c>
      <c r="B116" s="62">
        <v>0</v>
      </c>
      <c r="C116" s="62">
        <v>2</v>
      </c>
      <c r="D116" s="62">
        <v>1</v>
      </c>
    </row>
    <row r="117" spans="1:6" x14ac:dyDescent="0.2">
      <c r="A117" s="62">
        <v>2</v>
      </c>
      <c r="B117" s="62">
        <v>3</v>
      </c>
      <c r="C117" s="62">
        <v>2</v>
      </c>
      <c r="D117" s="62">
        <v>1.5</v>
      </c>
    </row>
    <row r="118" spans="1:6" x14ac:dyDescent="0.2">
      <c r="A118" s="62">
        <v>2</v>
      </c>
      <c r="B118" s="62">
        <v>3</v>
      </c>
      <c r="C118" s="62">
        <v>2</v>
      </c>
      <c r="D118" s="62">
        <v>3</v>
      </c>
    </row>
    <row r="119" spans="1:6" x14ac:dyDescent="0.2">
      <c r="A119" s="62">
        <v>2</v>
      </c>
      <c r="B119" s="62">
        <v>1</v>
      </c>
      <c r="C119" s="62">
        <v>1</v>
      </c>
      <c r="D119" s="62">
        <v>1.5</v>
      </c>
    </row>
    <row r="121" spans="1:6" x14ac:dyDescent="0.2">
      <c r="A121" s="62">
        <v>4</v>
      </c>
      <c r="B121" s="62">
        <v>2</v>
      </c>
      <c r="C121" s="62">
        <v>2</v>
      </c>
      <c r="D121" s="62">
        <v>0.5</v>
      </c>
      <c r="E121" s="62">
        <v>0.5</v>
      </c>
      <c r="F121" s="62">
        <v>0.5</v>
      </c>
    </row>
    <row r="122" spans="1:6" x14ac:dyDescent="0.2">
      <c r="A122" s="62">
        <v>4</v>
      </c>
      <c r="B122" s="62">
        <v>0</v>
      </c>
      <c r="C122" s="62">
        <v>2.5</v>
      </c>
      <c r="D122" s="62">
        <v>0.5</v>
      </c>
      <c r="E122" s="62">
        <v>2</v>
      </c>
      <c r="F122" s="62">
        <v>3</v>
      </c>
    </row>
    <row r="123" spans="1:6" x14ac:dyDescent="0.2">
      <c r="A123" s="62">
        <v>4</v>
      </c>
      <c r="B123" s="62">
        <v>2</v>
      </c>
      <c r="C123" s="62">
        <v>3</v>
      </c>
      <c r="D123" s="62">
        <v>2</v>
      </c>
      <c r="E123" s="62">
        <v>3</v>
      </c>
      <c r="F123" s="62">
        <v>1.5</v>
      </c>
    </row>
    <row r="124" spans="1:6" x14ac:dyDescent="0.2">
      <c r="A124" s="62">
        <v>4</v>
      </c>
      <c r="B124" s="62">
        <v>2</v>
      </c>
      <c r="C124" s="62">
        <v>3.5</v>
      </c>
      <c r="D124" s="62">
        <v>0</v>
      </c>
      <c r="E124" s="62">
        <v>4</v>
      </c>
      <c r="F124" s="62">
        <v>2</v>
      </c>
    </row>
    <row r="125" spans="1:6" x14ac:dyDescent="0.2">
      <c r="A125" s="62">
        <v>4</v>
      </c>
      <c r="B125" s="62">
        <v>2</v>
      </c>
      <c r="C125" s="62">
        <v>3</v>
      </c>
      <c r="D125" s="62">
        <v>0</v>
      </c>
      <c r="E125" s="62">
        <v>3</v>
      </c>
      <c r="F125" s="62">
        <v>2.5</v>
      </c>
    </row>
    <row r="126" spans="1:6" x14ac:dyDescent="0.2">
      <c r="A126" s="62">
        <v>4</v>
      </c>
      <c r="B126" s="62">
        <v>3</v>
      </c>
      <c r="C126" s="62">
        <v>4</v>
      </c>
      <c r="D126" s="62">
        <v>2</v>
      </c>
      <c r="E126" s="62">
        <v>4</v>
      </c>
      <c r="F126" s="62">
        <v>3</v>
      </c>
    </row>
    <row r="127" spans="1:6" x14ac:dyDescent="0.2">
      <c r="A127" s="62">
        <v>4</v>
      </c>
      <c r="B127" s="62">
        <v>3</v>
      </c>
      <c r="C127" s="62">
        <v>3.5</v>
      </c>
      <c r="D127" s="62">
        <v>0.5</v>
      </c>
      <c r="E127" s="62">
        <v>4</v>
      </c>
      <c r="F127" s="62">
        <v>1</v>
      </c>
    </row>
    <row r="128" spans="1:6" x14ac:dyDescent="0.2">
      <c r="A128" s="62">
        <v>3.5</v>
      </c>
      <c r="B128" s="62">
        <v>2</v>
      </c>
      <c r="C128" s="62">
        <v>3.5</v>
      </c>
      <c r="D128" s="62">
        <v>2</v>
      </c>
      <c r="E128" s="62">
        <v>2</v>
      </c>
      <c r="F128" s="62">
        <v>3</v>
      </c>
    </row>
    <row r="129" spans="1:6" x14ac:dyDescent="0.2">
      <c r="A129" s="62">
        <v>2</v>
      </c>
      <c r="B129" s="62">
        <v>0</v>
      </c>
      <c r="C129" s="62">
        <v>1</v>
      </c>
      <c r="D129" s="62">
        <v>1</v>
      </c>
      <c r="E129" s="62">
        <v>0</v>
      </c>
      <c r="F129" s="62">
        <v>2</v>
      </c>
    </row>
    <row r="130" spans="1:6" x14ac:dyDescent="0.2">
      <c r="A130" s="62">
        <v>2.5</v>
      </c>
      <c r="B130" s="62">
        <v>1</v>
      </c>
      <c r="C130" s="62">
        <v>3</v>
      </c>
      <c r="D130" s="62">
        <v>2</v>
      </c>
      <c r="E130" s="62">
        <v>0</v>
      </c>
      <c r="F130" s="62">
        <v>0.5</v>
      </c>
    </row>
    <row r="131" spans="1:6" x14ac:dyDescent="0.2">
      <c r="A131" s="62">
        <v>4</v>
      </c>
      <c r="B131" s="62">
        <v>3</v>
      </c>
      <c r="C131" s="62">
        <v>2</v>
      </c>
      <c r="D131" s="62">
        <v>2</v>
      </c>
      <c r="E131" s="62">
        <v>2</v>
      </c>
      <c r="F131" s="62">
        <v>3</v>
      </c>
    </row>
    <row r="132" spans="1:6" x14ac:dyDescent="0.2">
      <c r="A132" s="62">
        <v>4</v>
      </c>
      <c r="B132" s="62">
        <v>2</v>
      </c>
      <c r="C132" s="62">
        <v>3</v>
      </c>
      <c r="D132" s="62">
        <v>2</v>
      </c>
      <c r="E132" s="62">
        <v>2</v>
      </c>
      <c r="F132" s="62">
        <v>3</v>
      </c>
    </row>
    <row r="133" spans="1:6" x14ac:dyDescent="0.2">
      <c r="A133" s="62">
        <v>3</v>
      </c>
      <c r="B133" s="62">
        <v>0</v>
      </c>
      <c r="C133" s="62">
        <v>0</v>
      </c>
      <c r="D133" s="62">
        <v>0</v>
      </c>
      <c r="E133" s="62">
        <v>0</v>
      </c>
      <c r="F133" s="62">
        <v>0</v>
      </c>
    </row>
    <row r="134" spans="1:6" x14ac:dyDescent="0.2">
      <c r="A134" s="62">
        <v>4</v>
      </c>
      <c r="B134" s="62">
        <v>3</v>
      </c>
      <c r="C134" s="62">
        <v>2</v>
      </c>
      <c r="D134" s="62">
        <v>2</v>
      </c>
      <c r="E134" s="62">
        <v>3.5</v>
      </c>
      <c r="F134" s="62">
        <v>2.5</v>
      </c>
    </row>
    <row r="135" spans="1:6" x14ac:dyDescent="0.2">
      <c r="A135" s="62">
        <v>4</v>
      </c>
      <c r="B135" s="62">
        <v>1</v>
      </c>
      <c r="C135" s="62">
        <v>1</v>
      </c>
      <c r="D135" s="62">
        <v>0.5</v>
      </c>
      <c r="E135" s="62">
        <v>0</v>
      </c>
      <c r="F135" s="62">
        <v>1.5</v>
      </c>
    </row>
    <row r="136" spans="1:6" x14ac:dyDescent="0.2">
      <c r="A136" s="62">
        <v>4</v>
      </c>
      <c r="B136" s="62">
        <v>0.5</v>
      </c>
      <c r="C136" s="62">
        <v>1</v>
      </c>
      <c r="D136" s="62">
        <v>0.5</v>
      </c>
      <c r="E136" s="62">
        <v>0</v>
      </c>
      <c r="F136" s="62">
        <v>0.5</v>
      </c>
    </row>
    <row r="137" spans="1:6" x14ac:dyDescent="0.2">
      <c r="A137" s="62">
        <v>2</v>
      </c>
      <c r="B137" s="62">
        <v>0</v>
      </c>
      <c r="C137" s="62">
        <v>1</v>
      </c>
      <c r="D137" s="62">
        <v>1.5</v>
      </c>
      <c r="E137" s="62">
        <v>0</v>
      </c>
      <c r="F137" s="62">
        <v>0</v>
      </c>
    </row>
    <row r="138" spans="1:6" x14ac:dyDescent="0.2">
      <c r="A138" s="62">
        <v>4</v>
      </c>
      <c r="B138" s="62">
        <v>3</v>
      </c>
      <c r="C138" s="62">
        <v>3</v>
      </c>
      <c r="D138" s="62">
        <v>0</v>
      </c>
      <c r="E138" s="62">
        <v>4</v>
      </c>
      <c r="F138" s="62">
        <v>0</v>
      </c>
    </row>
    <row r="139" spans="1:6" x14ac:dyDescent="0.2">
      <c r="A139" s="62">
        <v>4</v>
      </c>
      <c r="B139" s="62">
        <v>1</v>
      </c>
      <c r="C139" s="62">
        <v>3</v>
      </c>
      <c r="D139" s="62">
        <v>2</v>
      </c>
      <c r="E139" s="62">
        <v>3.5</v>
      </c>
      <c r="F139" s="62">
        <v>2</v>
      </c>
    </row>
    <row r="140" spans="1:6" x14ac:dyDescent="0.2">
      <c r="A140" s="62">
        <v>4</v>
      </c>
      <c r="B140" s="62">
        <v>2</v>
      </c>
      <c r="C140" s="62">
        <v>3</v>
      </c>
      <c r="D140" s="62">
        <v>2</v>
      </c>
      <c r="E140" s="62">
        <v>4</v>
      </c>
      <c r="F140" s="62">
        <v>2</v>
      </c>
    </row>
    <row r="141" spans="1:6" x14ac:dyDescent="0.2">
      <c r="A141" s="62">
        <v>4</v>
      </c>
      <c r="B141" s="62">
        <v>3</v>
      </c>
      <c r="C141" s="62">
        <v>4</v>
      </c>
      <c r="D141" s="62">
        <v>2</v>
      </c>
      <c r="E141" s="62">
        <v>3</v>
      </c>
      <c r="F141" s="62">
        <v>3</v>
      </c>
    </row>
    <row r="142" spans="1:6" x14ac:dyDescent="0.2">
      <c r="A142" s="62">
        <v>4</v>
      </c>
      <c r="B142" s="62">
        <v>2</v>
      </c>
      <c r="C142" s="62">
        <v>4</v>
      </c>
      <c r="D142" s="62">
        <v>2</v>
      </c>
      <c r="E142" s="62">
        <v>2.5</v>
      </c>
      <c r="F142" s="62">
        <v>3</v>
      </c>
    </row>
    <row r="143" spans="1:6" x14ac:dyDescent="0.2">
      <c r="A143" s="62">
        <v>4</v>
      </c>
      <c r="B143" s="62">
        <v>0</v>
      </c>
      <c r="C143" s="62">
        <v>2</v>
      </c>
      <c r="D143" s="62">
        <v>0.5</v>
      </c>
      <c r="E143" s="62">
        <v>0</v>
      </c>
      <c r="F143" s="62">
        <v>0</v>
      </c>
    </row>
    <row r="147" spans="1:5" x14ac:dyDescent="0.2">
      <c r="A147" s="62" t="s">
        <v>120</v>
      </c>
      <c r="C147" s="62" t="s">
        <v>120</v>
      </c>
    </row>
    <row r="148" spans="1:5" x14ac:dyDescent="0.2">
      <c r="A148" s="62" t="s">
        <v>120</v>
      </c>
      <c r="D148" s="62" t="s">
        <v>120</v>
      </c>
    </row>
    <row r="149" spans="1:5" x14ac:dyDescent="0.2">
      <c r="D149" s="62" t="s">
        <v>120</v>
      </c>
      <c r="E149" s="62" t="s">
        <v>120</v>
      </c>
    </row>
    <row r="150" spans="1:5" x14ac:dyDescent="0.2">
      <c r="A150" s="62" t="s">
        <v>120</v>
      </c>
      <c r="B150" s="62" t="s">
        <v>120</v>
      </c>
      <c r="C150" s="62" t="s">
        <v>120</v>
      </c>
    </row>
    <row r="151" spans="1:5" x14ac:dyDescent="0.2">
      <c r="A151" s="62" t="s">
        <v>120</v>
      </c>
      <c r="D151" s="62" t="s">
        <v>120</v>
      </c>
    </row>
    <row r="152" spans="1:5" x14ac:dyDescent="0.2">
      <c r="B152" s="62" t="s">
        <v>120</v>
      </c>
      <c r="C152" s="62" t="s">
        <v>120</v>
      </c>
      <c r="D152" s="62" t="s">
        <v>120</v>
      </c>
    </row>
    <row r="153" spans="1:5" x14ac:dyDescent="0.2">
      <c r="B153" s="62" t="s">
        <v>120</v>
      </c>
      <c r="C153" s="62" t="s">
        <v>120</v>
      </c>
      <c r="E153" s="62" t="s">
        <v>120</v>
      </c>
    </row>
    <row r="154" spans="1:5" x14ac:dyDescent="0.2">
      <c r="D154" s="62" t="s">
        <v>120</v>
      </c>
      <c r="E154" s="62" t="s">
        <v>120</v>
      </c>
    </row>
    <row r="155" spans="1:5" x14ac:dyDescent="0.2">
      <c r="A155" s="62" t="s">
        <v>120</v>
      </c>
      <c r="B155" s="62" t="s">
        <v>120</v>
      </c>
      <c r="C155" s="62" t="s">
        <v>120</v>
      </c>
    </row>
    <row r="156" spans="1:5" x14ac:dyDescent="0.2">
      <c r="B156" s="62" t="s">
        <v>120</v>
      </c>
      <c r="C156" s="62" t="s">
        <v>120</v>
      </c>
      <c r="D156" s="62" t="s">
        <v>120</v>
      </c>
    </row>
    <row r="157" spans="1:5" x14ac:dyDescent="0.2">
      <c r="A157" s="62" t="s">
        <v>120</v>
      </c>
      <c r="D157" s="62" t="s">
        <v>120</v>
      </c>
    </row>
    <row r="158" spans="1:5" x14ac:dyDescent="0.2">
      <c r="A158" s="62" t="s">
        <v>120</v>
      </c>
      <c r="D158" s="62" t="s">
        <v>120</v>
      </c>
    </row>
    <row r="159" spans="1:5" x14ac:dyDescent="0.2">
      <c r="A159" s="62" t="s">
        <v>120</v>
      </c>
      <c r="E159" s="62" t="s">
        <v>120</v>
      </c>
    </row>
    <row r="160" spans="1:5" x14ac:dyDescent="0.2">
      <c r="D160" s="62" t="s">
        <v>120</v>
      </c>
      <c r="E160" s="62" t="s">
        <v>120</v>
      </c>
    </row>
    <row r="161" spans="1:5" x14ac:dyDescent="0.2">
      <c r="B161" s="62" t="s">
        <v>120</v>
      </c>
      <c r="C161" s="62" t="s">
        <v>120</v>
      </c>
      <c r="E161" s="62" t="s">
        <v>120</v>
      </c>
    </row>
    <row r="162" spans="1:5" x14ac:dyDescent="0.2">
      <c r="B162" s="62" t="s">
        <v>120</v>
      </c>
      <c r="C162" s="62" t="s">
        <v>120</v>
      </c>
      <c r="D162" s="62" t="s">
        <v>120</v>
      </c>
    </row>
    <row r="163" spans="1:5" x14ac:dyDescent="0.2">
      <c r="A163" s="62" t="s">
        <v>120</v>
      </c>
      <c r="D163" s="62" t="s">
        <v>120</v>
      </c>
    </row>
    <row r="164" spans="1:5" x14ac:dyDescent="0.2">
      <c r="D164" s="62" t="s">
        <v>120</v>
      </c>
      <c r="E164" s="62" t="s">
        <v>120</v>
      </c>
    </row>
    <row r="165" spans="1:5" x14ac:dyDescent="0.2">
      <c r="D165" s="62" t="s">
        <v>120</v>
      </c>
      <c r="E165" s="62" t="s">
        <v>120</v>
      </c>
    </row>
    <row r="166" spans="1:5" x14ac:dyDescent="0.2">
      <c r="A166" s="62" t="s">
        <v>120</v>
      </c>
      <c r="B166" s="62" t="s">
        <v>120</v>
      </c>
      <c r="C166" s="62" t="s">
        <v>120</v>
      </c>
    </row>
    <row r="167" spans="1:5" x14ac:dyDescent="0.2">
      <c r="A167" s="62" t="s">
        <v>120</v>
      </c>
      <c r="B167" s="62" t="s">
        <v>120</v>
      </c>
      <c r="C167" s="62" t="s">
        <v>120</v>
      </c>
    </row>
    <row r="168" spans="1:5" x14ac:dyDescent="0.2">
      <c r="A168" s="62" t="s">
        <v>120</v>
      </c>
      <c r="E168" s="62" t="s">
        <v>120</v>
      </c>
    </row>
    <row r="169" spans="1:5" x14ac:dyDescent="0.2">
      <c r="A169" s="62" t="s">
        <v>120</v>
      </c>
      <c r="D169" s="62" t="s">
        <v>120</v>
      </c>
    </row>
    <row r="173" spans="1:5" x14ac:dyDescent="0.2">
      <c r="A173" s="62">
        <v>4</v>
      </c>
      <c r="B173" s="62">
        <v>1</v>
      </c>
      <c r="C173" s="62">
        <v>3</v>
      </c>
    </row>
    <row r="174" spans="1:5" x14ac:dyDescent="0.2">
      <c r="A174" s="62">
        <v>3</v>
      </c>
      <c r="D174" s="62">
        <v>4</v>
      </c>
    </row>
    <row r="175" spans="1:5" x14ac:dyDescent="0.2">
      <c r="D175" s="62">
        <v>5</v>
      </c>
      <c r="E175" s="62">
        <v>3</v>
      </c>
    </row>
    <row r="176" spans="1:5" x14ac:dyDescent="0.2">
      <c r="A176" s="62">
        <v>1</v>
      </c>
      <c r="B176" s="62">
        <v>2</v>
      </c>
      <c r="C176" s="62">
        <v>3</v>
      </c>
    </row>
    <row r="177" spans="1:5" x14ac:dyDescent="0.2">
      <c r="A177" s="62">
        <v>1</v>
      </c>
      <c r="D177" s="62">
        <v>5</v>
      </c>
    </row>
    <row r="178" spans="1:5" x14ac:dyDescent="0.2">
      <c r="B178" s="62">
        <v>2</v>
      </c>
      <c r="C178" s="62">
        <v>3</v>
      </c>
      <c r="D178" s="62">
        <v>3</v>
      </c>
    </row>
    <row r="179" spans="1:5" x14ac:dyDescent="0.2">
      <c r="B179" s="62">
        <v>1</v>
      </c>
      <c r="C179" s="62">
        <v>2</v>
      </c>
      <c r="E179" s="62">
        <v>4</v>
      </c>
    </row>
    <row r="180" spans="1:5" x14ac:dyDescent="0.2">
      <c r="D180" s="62">
        <v>4</v>
      </c>
      <c r="E180" s="62">
        <v>3</v>
      </c>
    </row>
    <row r="181" spans="1:5" x14ac:dyDescent="0.2">
      <c r="A181" s="62">
        <v>5</v>
      </c>
      <c r="B181" s="62">
        <v>2</v>
      </c>
      <c r="C181" s="62">
        <v>1</v>
      </c>
    </row>
    <row r="182" spans="1:5" x14ac:dyDescent="0.2">
      <c r="B182" s="62">
        <v>1</v>
      </c>
      <c r="C182" s="62">
        <v>2</v>
      </c>
      <c r="D182" s="62">
        <v>5</v>
      </c>
    </row>
    <row r="183" spans="1:5" x14ac:dyDescent="0.2">
      <c r="A183" s="62">
        <v>2</v>
      </c>
      <c r="D183" s="62">
        <v>4</v>
      </c>
    </row>
    <row r="184" spans="1:5" x14ac:dyDescent="0.2">
      <c r="A184" s="62">
        <v>5</v>
      </c>
      <c r="D184" s="62">
        <v>1</v>
      </c>
    </row>
    <row r="185" spans="1:5" x14ac:dyDescent="0.2">
      <c r="A185" s="62">
        <v>3</v>
      </c>
      <c r="E185" s="62">
        <v>5</v>
      </c>
    </row>
    <row r="186" spans="1:5" x14ac:dyDescent="0.2">
      <c r="D186" s="62">
        <v>4</v>
      </c>
      <c r="E186" s="62">
        <v>3</v>
      </c>
    </row>
    <row r="187" spans="1:5" x14ac:dyDescent="0.2">
      <c r="B187" s="62">
        <v>1</v>
      </c>
      <c r="C187" s="62">
        <v>2</v>
      </c>
      <c r="E187" s="62">
        <v>1</v>
      </c>
    </row>
    <row r="188" spans="1:5" x14ac:dyDescent="0.2">
      <c r="B188" s="62">
        <v>1</v>
      </c>
      <c r="C188" s="62">
        <v>2</v>
      </c>
      <c r="D188" s="62">
        <v>5</v>
      </c>
    </row>
    <row r="189" spans="1:5" x14ac:dyDescent="0.2">
      <c r="A189" s="62">
        <v>5</v>
      </c>
      <c r="D189" s="62">
        <v>5</v>
      </c>
    </row>
    <row r="190" spans="1:5" x14ac:dyDescent="0.2">
      <c r="D190" s="62">
        <v>3</v>
      </c>
      <c r="E190" s="62">
        <v>4</v>
      </c>
    </row>
    <row r="191" spans="1:5" x14ac:dyDescent="0.2">
      <c r="D191" s="62">
        <v>5</v>
      </c>
      <c r="E191" s="62">
        <v>3</v>
      </c>
    </row>
    <row r="192" spans="1:5" x14ac:dyDescent="0.2">
      <c r="A192" s="62">
        <v>5</v>
      </c>
      <c r="B192" s="62">
        <v>2</v>
      </c>
      <c r="C192" s="62">
        <v>3</v>
      </c>
    </row>
    <row r="193" spans="1:5" x14ac:dyDescent="0.2">
      <c r="A193" s="62">
        <v>5</v>
      </c>
      <c r="B193" s="62">
        <v>2</v>
      </c>
      <c r="C193" s="62">
        <v>3</v>
      </c>
    </row>
    <row r="194" spans="1:5" x14ac:dyDescent="0.2">
      <c r="A194" s="62">
        <v>2</v>
      </c>
      <c r="E194" s="62">
        <v>5</v>
      </c>
    </row>
    <row r="195" spans="1:5" x14ac:dyDescent="0.2">
      <c r="A195" s="62">
        <v>3</v>
      </c>
      <c r="D195" s="62">
        <v>5</v>
      </c>
    </row>
  </sheetData>
  <sheetProtection sheet="1" objects="1" scenario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2026-03-29T21:52:00Z</cp:lastPrinted>
  <dcterms:created xsi:type="dcterms:W3CDTF">2006-06-24T21:29:52Z</dcterms:created>
  <dcterms:modified xsi:type="dcterms:W3CDTF">2026-03-29T22:21:40Z</dcterms:modified>
</cp:coreProperties>
</file>