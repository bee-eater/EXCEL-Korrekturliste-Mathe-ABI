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DieseArbeitsmappe" defaultThemeVersion="124226"/>
  <mc:AlternateContent xmlns:mc="http://schemas.openxmlformats.org/markup-compatibility/2006">
    <mc:Choice Requires="x15">
      <x15ac:absPath xmlns:x15ac="http://schemas.microsoft.com/office/spreadsheetml/2010/11/ac" url="D:\Projects\AUT-EX\EXCEL-Korrekturliste-Mathe-ABI\"/>
    </mc:Choice>
  </mc:AlternateContent>
  <xr:revisionPtr revIDLastSave="0" documentId="13_ncr:1_{0155C7AA-1C4B-41FD-87EF-2817A4C3543C}" xr6:coauthVersionLast="47" xr6:coauthVersionMax="47" xr10:uidLastSave="{00000000-0000-0000-0000-000000000000}"/>
  <bookViews>
    <workbookView xWindow="-120" yWindow="-120" windowWidth="29040" windowHeight="15720" firstSheet="2" activeTab="9" xr2:uid="{00000000-000D-0000-FFFF-FFFF00000000}"/>
  </bookViews>
  <sheets>
    <sheet name="Noten" sheetId="2994" r:id="rId1"/>
    <sheet name="Analysis A" sheetId="2987" r:id="rId2"/>
    <sheet name="Analysis B" sheetId="2988" r:id="rId3"/>
    <sheet name="Stochastik A" sheetId="2989" r:id="rId4"/>
    <sheet name="Stochastik B" sheetId="2990" r:id="rId5"/>
    <sheet name="Geometrie A" sheetId="2991" r:id="rId6"/>
    <sheet name="Geometrie B" sheetId="2992" r:id="rId7"/>
    <sheet name="Wahlaufgaben" sheetId="2993" r:id="rId8"/>
    <sheet name="ConfigW" sheetId="2995" r:id="rId9"/>
    <sheet name="Config" sheetId="14" r:id="rId10"/>
    <sheet name="Notenspiegel" sheetId="11" r:id="rId11"/>
    <sheet name="TestData" sheetId="1707" state="hidden" r:id="rId12"/>
  </sheets>
  <functionGroups builtInGroupCount="19"/>
  <definedNames>
    <definedName name="PupilBlock" localSheetId="1">'Analysis A'!$C$7:$J$75</definedName>
    <definedName name="PupilBlock" localSheetId="2">'Analysis B'!$C$7:$N$75</definedName>
    <definedName name="PupilBlock" localSheetId="5">'Geometrie A'!$C$7:$F$75</definedName>
    <definedName name="PupilBlock" localSheetId="6">'Geometrie B'!$C$7:$I$75</definedName>
    <definedName name="PupilBlock" localSheetId="3">'Stochastik A'!$C$7:$E$75</definedName>
    <definedName name="PupilBlock" localSheetId="4">'Stochastik B'!$C$7:$I$75</definedName>
    <definedName name="PupilBlock" localSheetId="7">Wahlaufgaben!$C$7:$I$75</definedName>
    <definedName name="PupilBlock">#REF!</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 i="2993" l="1"/>
  <c r="I9" i="2993"/>
  <c r="I11" i="2993"/>
  <c r="I12" i="2993"/>
  <c r="I14" i="2993"/>
  <c r="I15" i="2993"/>
  <c r="I17" i="2993"/>
  <c r="I18" i="2993"/>
  <c r="I20" i="2993"/>
  <c r="I21" i="2993"/>
  <c r="I23" i="2993"/>
  <c r="I24" i="2993"/>
  <c r="I26" i="2993"/>
  <c r="I27" i="2993"/>
  <c r="I29" i="2993"/>
  <c r="I30" i="2993"/>
  <c r="I32" i="2993"/>
  <c r="I33" i="2993"/>
  <c r="I35" i="2993"/>
  <c r="I36" i="2993"/>
  <c r="I38" i="2993"/>
  <c r="I39" i="2993"/>
  <c r="I41" i="2993"/>
  <c r="I42" i="2993"/>
  <c r="I44" i="2993"/>
  <c r="I45" i="2993"/>
  <c r="I47" i="2993"/>
  <c r="I48" i="2993"/>
  <c r="I50" i="2993"/>
  <c r="I51" i="2993"/>
  <c r="I53" i="2993"/>
  <c r="I54" i="2993"/>
  <c r="I56" i="2993"/>
  <c r="I57" i="2993"/>
  <c r="I59" i="2993"/>
  <c r="I60" i="2993"/>
  <c r="I62" i="2993"/>
  <c r="I63" i="2993"/>
  <c r="I65" i="2993"/>
  <c r="I66" i="2993"/>
  <c r="I68" i="2993"/>
  <c r="I69" i="2993"/>
  <c r="I71" i="2993"/>
  <c r="I72" i="2993"/>
  <c r="I74" i="2993"/>
  <c r="I75" i="2993"/>
  <c r="I8" i="2992"/>
  <c r="I9" i="2992"/>
  <c r="I11" i="2992"/>
  <c r="I12" i="2992"/>
  <c r="I14" i="2992"/>
  <c r="I15" i="2992"/>
  <c r="I17" i="2992"/>
  <c r="I18" i="2992"/>
  <c r="I20" i="2992"/>
  <c r="I21" i="2992"/>
  <c r="I23" i="2992"/>
  <c r="I24" i="2992"/>
  <c r="I26" i="2992"/>
  <c r="I27" i="2992"/>
  <c r="I29" i="2992"/>
  <c r="I30" i="2992"/>
  <c r="I32" i="2992"/>
  <c r="I33" i="2992"/>
  <c r="I35" i="2992"/>
  <c r="I36" i="2992"/>
  <c r="I38" i="2992"/>
  <c r="I39" i="2992"/>
  <c r="I41" i="2992"/>
  <c r="I42" i="2992"/>
  <c r="I44" i="2992"/>
  <c r="I45" i="2992"/>
  <c r="I47" i="2992"/>
  <c r="I48" i="2992"/>
  <c r="I50" i="2992"/>
  <c r="I51" i="2992"/>
  <c r="I53" i="2992"/>
  <c r="I54" i="2992"/>
  <c r="I56" i="2992"/>
  <c r="I57" i="2992"/>
  <c r="I59" i="2992"/>
  <c r="I60" i="2992"/>
  <c r="I62" i="2992"/>
  <c r="I63" i="2992"/>
  <c r="I65" i="2992"/>
  <c r="I66" i="2992"/>
  <c r="I68" i="2992"/>
  <c r="I69" i="2992"/>
  <c r="I71" i="2992"/>
  <c r="I72" i="2992"/>
  <c r="I74" i="2992"/>
  <c r="I75" i="2992"/>
  <c r="F8" i="2991"/>
  <c r="F9" i="2991"/>
  <c r="F11" i="2991"/>
  <c r="F12" i="2991"/>
  <c r="F14" i="2991"/>
  <c r="F15" i="2991"/>
  <c r="F17" i="2991"/>
  <c r="F18" i="2991"/>
  <c r="F20" i="2991"/>
  <c r="F21" i="2991"/>
  <c r="F23" i="2991"/>
  <c r="F24" i="2991"/>
  <c r="F26" i="2991"/>
  <c r="F27" i="2991"/>
  <c r="F29" i="2991"/>
  <c r="F30" i="2991"/>
  <c r="F32" i="2991"/>
  <c r="F33" i="2991"/>
  <c r="F35" i="2991"/>
  <c r="F36" i="2991"/>
  <c r="F38" i="2991"/>
  <c r="F39" i="2991"/>
  <c r="F41" i="2991"/>
  <c r="F42" i="2991"/>
  <c r="F44" i="2991"/>
  <c r="F45" i="2991"/>
  <c r="F47" i="2991"/>
  <c r="F48" i="2991"/>
  <c r="F50" i="2991"/>
  <c r="F51" i="2991"/>
  <c r="F53" i="2991"/>
  <c r="F54" i="2991"/>
  <c r="F56" i="2991"/>
  <c r="F57" i="2991"/>
  <c r="F59" i="2991"/>
  <c r="F60" i="2991"/>
  <c r="F62" i="2991"/>
  <c r="F63" i="2991"/>
  <c r="F65" i="2991"/>
  <c r="F66" i="2991"/>
  <c r="F68" i="2991"/>
  <c r="F69" i="2991"/>
  <c r="F71" i="2991"/>
  <c r="F72" i="2991"/>
  <c r="F74" i="2991"/>
  <c r="F75" i="2991"/>
  <c r="I8" i="2990"/>
  <c r="I9" i="2990"/>
  <c r="I11" i="2990"/>
  <c r="I12" i="2990"/>
  <c r="I14" i="2990"/>
  <c r="I15" i="2990"/>
  <c r="I17" i="2990"/>
  <c r="I18" i="2990"/>
  <c r="I20" i="2990"/>
  <c r="I21" i="2990"/>
  <c r="I23" i="2990"/>
  <c r="I24" i="2990"/>
  <c r="I26" i="2990"/>
  <c r="I27" i="2990"/>
  <c r="I29" i="2990"/>
  <c r="I30" i="2990"/>
  <c r="I32" i="2990"/>
  <c r="I33" i="2990"/>
  <c r="I35" i="2990"/>
  <c r="I36" i="2990"/>
  <c r="I38" i="2990"/>
  <c r="I39" i="2990"/>
  <c r="I41" i="2990"/>
  <c r="I42" i="2990"/>
  <c r="I44" i="2990"/>
  <c r="I45" i="2990"/>
  <c r="I47" i="2990"/>
  <c r="I48" i="2990"/>
  <c r="I50" i="2990"/>
  <c r="I51" i="2990"/>
  <c r="I53" i="2990"/>
  <c r="I54" i="2990"/>
  <c r="I56" i="2990"/>
  <c r="I57" i="2990"/>
  <c r="I59" i="2990"/>
  <c r="I60" i="2990"/>
  <c r="I62" i="2990"/>
  <c r="I63" i="2990"/>
  <c r="I65" i="2990"/>
  <c r="I66" i="2990"/>
  <c r="I68" i="2990"/>
  <c r="I69" i="2990"/>
  <c r="I71" i="2990"/>
  <c r="I72" i="2990"/>
  <c r="I74" i="2990"/>
  <c r="I75" i="2990"/>
  <c r="E8" i="2989"/>
  <c r="E9" i="2989"/>
  <c r="E11" i="2989"/>
  <c r="E12" i="2989"/>
  <c r="E14" i="2989"/>
  <c r="E15" i="2989"/>
  <c r="E17" i="2989"/>
  <c r="E18" i="2989"/>
  <c r="E20" i="2989"/>
  <c r="E21" i="2989"/>
  <c r="E23" i="2989"/>
  <c r="E24" i="2989"/>
  <c r="E26" i="2989"/>
  <c r="E27" i="2989"/>
  <c r="E29" i="2989"/>
  <c r="E30" i="2989"/>
  <c r="E32" i="2989"/>
  <c r="E33" i="2989"/>
  <c r="E35" i="2989"/>
  <c r="E36" i="2989"/>
  <c r="E38" i="2989"/>
  <c r="E39" i="2989"/>
  <c r="E41" i="2989"/>
  <c r="E42" i="2989"/>
  <c r="E44" i="2989"/>
  <c r="E45" i="2989"/>
  <c r="E47" i="2989"/>
  <c r="E48" i="2989"/>
  <c r="E50" i="2989"/>
  <c r="E51" i="2989"/>
  <c r="E53" i="2989"/>
  <c r="E54" i="2989"/>
  <c r="E56" i="2989"/>
  <c r="E57" i="2989"/>
  <c r="E59" i="2989"/>
  <c r="E60" i="2989"/>
  <c r="E62" i="2989"/>
  <c r="E63" i="2989"/>
  <c r="E65" i="2989"/>
  <c r="E66" i="2989"/>
  <c r="E68" i="2989"/>
  <c r="E69" i="2989"/>
  <c r="E71" i="2989"/>
  <c r="E72" i="2989"/>
  <c r="E74" i="2989"/>
  <c r="E75" i="2989"/>
  <c r="N8" i="2988"/>
  <c r="N9" i="2988"/>
  <c r="N11" i="2988"/>
  <c r="N12" i="2988"/>
  <c r="N14" i="2988"/>
  <c r="N15" i="2988"/>
  <c r="N17" i="2988"/>
  <c r="N18" i="2988"/>
  <c r="N20" i="2988"/>
  <c r="N21" i="2988"/>
  <c r="N23" i="2988"/>
  <c r="N24" i="2988"/>
  <c r="N26" i="2988"/>
  <c r="N27" i="2988"/>
  <c r="N29" i="2988"/>
  <c r="N30" i="2988"/>
  <c r="N32" i="2988"/>
  <c r="N33" i="2988"/>
  <c r="N35" i="2988"/>
  <c r="N36" i="2988"/>
  <c r="N38" i="2988"/>
  <c r="N39" i="2988"/>
  <c r="N41" i="2988"/>
  <c r="N42" i="2988"/>
  <c r="N44" i="2988"/>
  <c r="N45" i="2988"/>
  <c r="N47" i="2988"/>
  <c r="N48" i="2988"/>
  <c r="N50" i="2988"/>
  <c r="N51" i="2988"/>
  <c r="N53" i="2988"/>
  <c r="N54" i="2988"/>
  <c r="N56" i="2988"/>
  <c r="N57" i="2988"/>
  <c r="N59" i="2988"/>
  <c r="N60" i="2988"/>
  <c r="N62" i="2988"/>
  <c r="N63" i="2988"/>
  <c r="N65" i="2988"/>
  <c r="N66" i="2988"/>
  <c r="N68" i="2988"/>
  <c r="N69" i="2988"/>
  <c r="N71" i="2988"/>
  <c r="N72" i="2988"/>
  <c r="N74" i="2988"/>
  <c r="N75" i="2988"/>
  <c r="J8" i="2987"/>
  <c r="J9" i="2987"/>
  <c r="J11" i="2987"/>
  <c r="J12" i="2987"/>
  <c r="J14" i="2987"/>
  <c r="J15" i="2987"/>
  <c r="J17" i="2987"/>
  <c r="J18" i="2987"/>
  <c r="J20" i="2987"/>
  <c r="J21" i="2987"/>
  <c r="J23" i="2987"/>
  <c r="J24" i="2987"/>
  <c r="J26" i="2987"/>
  <c r="J27" i="2987"/>
  <c r="J29" i="2987"/>
  <c r="J30" i="2987"/>
  <c r="J32" i="2987"/>
  <c r="J33" i="2987"/>
  <c r="J35" i="2987"/>
  <c r="J36" i="2987"/>
  <c r="J38" i="2987"/>
  <c r="J39" i="2987"/>
  <c r="J41" i="2987"/>
  <c r="J42" i="2987"/>
  <c r="J44" i="2987"/>
  <c r="J45" i="2987"/>
  <c r="J47" i="2987"/>
  <c r="J48" i="2987"/>
  <c r="J50" i="2987"/>
  <c r="J51" i="2987"/>
  <c r="J53" i="2987"/>
  <c r="J54" i="2987"/>
  <c r="J56" i="2987"/>
  <c r="J57" i="2987"/>
  <c r="J59" i="2987"/>
  <c r="J60" i="2987"/>
  <c r="J62" i="2987"/>
  <c r="J63" i="2987"/>
  <c r="J65" i="2987"/>
  <c r="J66" i="2987"/>
  <c r="J68" i="2987"/>
  <c r="J69" i="2987"/>
  <c r="J71" i="2987"/>
  <c r="J72" i="2987"/>
  <c r="J74" i="2987"/>
  <c r="J75" i="2987"/>
  <c r="D5" i="2995"/>
  <c r="E5" i="2995"/>
  <c r="F5" i="2995"/>
  <c r="G5" i="2995"/>
  <c r="H5" i="2995"/>
  <c r="C7" i="2995"/>
  <c r="C8" i="2995"/>
  <c r="C9" i="2995"/>
  <c r="C10" i="2995"/>
  <c r="C11" i="2995"/>
  <c r="C12" i="2995"/>
  <c r="C13" i="2995"/>
  <c r="C14" i="2995"/>
  <c r="C15" i="2995"/>
  <c r="C16" i="2995"/>
  <c r="C17" i="2995"/>
  <c r="C18" i="2995"/>
  <c r="C19" i="2995"/>
  <c r="C20" i="2995"/>
  <c r="C21" i="2995"/>
  <c r="C22" i="2995"/>
  <c r="C23" i="2995"/>
  <c r="C24" i="2995"/>
  <c r="C25" i="2995"/>
  <c r="C26" i="2995"/>
  <c r="C27" i="2995"/>
  <c r="C28" i="2995"/>
  <c r="C29" i="2995"/>
  <c r="H2" i="2995"/>
  <c r="B2" i="2995"/>
  <c r="C7" i="2994"/>
  <c r="C7" i="2987"/>
  <c r="J7" i="2987"/>
  <c r="D7" i="2994"/>
  <c r="C7" i="2988"/>
  <c r="N7" i="2988"/>
  <c r="E7" i="2994"/>
  <c r="C7" i="2989"/>
  <c r="E7" i="2989"/>
  <c r="F7" i="2994"/>
  <c r="C7" i="2990"/>
  <c r="I7" i="2990"/>
  <c r="G7" i="2994"/>
  <c r="C7" i="2993"/>
  <c r="I7" i="2993"/>
  <c r="J7" i="2994"/>
  <c r="C7" i="2992"/>
  <c r="I7" i="2992"/>
  <c r="I7" i="2994"/>
  <c r="C7" i="2991"/>
  <c r="F7" i="2991"/>
  <c r="H7" i="2994"/>
  <c r="K7" i="2994"/>
  <c r="E3" i="11"/>
  <c r="E26" i="11"/>
  <c r="E71" i="11"/>
  <c r="E76" i="11"/>
  <c r="E102" i="11"/>
  <c r="E120" i="11"/>
  <c r="E136" i="11"/>
  <c r="E134" i="11"/>
  <c r="N7" i="2994"/>
  <c r="C8" i="2994"/>
  <c r="C10" i="2987"/>
  <c r="J10" i="2987"/>
  <c r="D8" i="2994"/>
  <c r="C10" i="2988"/>
  <c r="N10" i="2988"/>
  <c r="E8" i="2994"/>
  <c r="C10" i="2989"/>
  <c r="E10" i="2989"/>
  <c r="F8" i="2994"/>
  <c r="C10" i="2990"/>
  <c r="I10" i="2990"/>
  <c r="G8" i="2994"/>
  <c r="C10" i="2993"/>
  <c r="I10" i="2993"/>
  <c r="J8" i="2994"/>
  <c r="C10" i="2992"/>
  <c r="I10" i="2992"/>
  <c r="I8" i="2994"/>
  <c r="C10" i="2991"/>
  <c r="F10" i="2991"/>
  <c r="H8" i="2994"/>
  <c r="K8" i="2994"/>
  <c r="E21" i="11"/>
  <c r="E56" i="11"/>
  <c r="E66" i="11"/>
  <c r="E80" i="11"/>
  <c r="E87" i="11"/>
  <c r="E105" i="11"/>
  <c r="E119" i="11"/>
  <c r="N8" i="2994"/>
  <c r="C9" i="2994"/>
  <c r="C13" i="2987"/>
  <c r="J13" i="2987"/>
  <c r="D9" i="2994"/>
  <c r="C13" i="2988"/>
  <c r="N13" i="2988"/>
  <c r="E9" i="2994"/>
  <c r="C13" i="2989"/>
  <c r="E13" i="2989"/>
  <c r="F9" i="2994"/>
  <c r="C13" i="2990"/>
  <c r="I13" i="2990"/>
  <c r="G9" i="2994"/>
  <c r="C13" i="2993"/>
  <c r="I13" i="2993"/>
  <c r="J9" i="2994"/>
  <c r="C13" i="2992"/>
  <c r="I13" i="2992"/>
  <c r="I9" i="2994"/>
  <c r="C13" i="2991"/>
  <c r="F13" i="2991"/>
  <c r="H9" i="2994"/>
  <c r="K9" i="2994"/>
  <c r="E24" i="11"/>
  <c r="E47" i="11"/>
  <c r="E52" i="11"/>
  <c r="E68" i="11"/>
  <c r="E77" i="11"/>
  <c r="E121" i="11"/>
  <c r="N9" i="2994"/>
  <c r="C10" i="2994"/>
  <c r="C16" i="2987"/>
  <c r="J16" i="2987"/>
  <c r="D10" i="2994"/>
  <c r="C16" i="2988"/>
  <c r="N16" i="2988"/>
  <c r="E10" i="2994"/>
  <c r="C16" i="2989"/>
  <c r="E16" i="2989"/>
  <c r="F10" i="2994"/>
  <c r="C16" i="2990"/>
  <c r="I16" i="2990"/>
  <c r="G10" i="2994"/>
  <c r="C16" i="2993"/>
  <c r="I16" i="2993"/>
  <c r="J10" i="2994"/>
  <c r="C16" i="2992"/>
  <c r="I16" i="2992"/>
  <c r="I10" i="2994"/>
  <c r="C16" i="2991"/>
  <c r="F16" i="2991"/>
  <c r="H10" i="2994"/>
  <c r="K10" i="2994"/>
  <c r="E28" i="11"/>
  <c r="E74" i="11"/>
  <c r="E79" i="11"/>
  <c r="E97" i="11"/>
  <c r="E104" i="11"/>
  <c r="E131" i="11"/>
  <c r="E143" i="11"/>
  <c r="N10" i="2994"/>
  <c r="C11" i="2994"/>
  <c r="C19" i="2987"/>
  <c r="J19" i="2987"/>
  <c r="D11" i="2994"/>
  <c r="C19" i="2988"/>
  <c r="N19" i="2988"/>
  <c r="E11" i="2994"/>
  <c r="C19" i="2989"/>
  <c r="E19" i="2989"/>
  <c r="F11" i="2994"/>
  <c r="C19" i="2990"/>
  <c r="I19" i="2990"/>
  <c r="G11" i="2994"/>
  <c r="C19" i="2993"/>
  <c r="I19" i="2993"/>
  <c r="J11" i="2994"/>
  <c r="C19" i="2992"/>
  <c r="I19" i="2992"/>
  <c r="I11" i="2994"/>
  <c r="C19" i="2991"/>
  <c r="F19" i="2991"/>
  <c r="H11" i="2994"/>
  <c r="K11" i="2994"/>
  <c r="E31" i="11"/>
  <c r="E88" i="11"/>
  <c r="E95" i="11"/>
  <c r="N11" i="2994"/>
  <c r="C12" i="2994"/>
  <c r="C22" i="2987"/>
  <c r="J22" i="2987"/>
  <c r="D12" i="2994"/>
  <c r="C22" i="2988"/>
  <c r="N22" i="2988"/>
  <c r="E12" i="2994"/>
  <c r="C22" i="2989"/>
  <c r="E22" i="2989"/>
  <c r="F12" i="2994"/>
  <c r="C22" i="2990"/>
  <c r="I22" i="2990"/>
  <c r="G12" i="2994"/>
  <c r="C22" i="2993"/>
  <c r="I22" i="2993"/>
  <c r="J12" i="2994"/>
  <c r="C22" i="2992"/>
  <c r="I22" i="2992"/>
  <c r="I12" i="2994"/>
  <c r="C22" i="2991"/>
  <c r="F22" i="2991"/>
  <c r="H12" i="2994"/>
  <c r="K12" i="2994"/>
  <c r="E94" i="11"/>
  <c r="E100" i="11"/>
  <c r="E130" i="11"/>
  <c r="E164" i="11"/>
  <c r="E180" i="11"/>
  <c r="N12" i="2994"/>
  <c r="C13" i="2994"/>
  <c r="C25" i="2987"/>
  <c r="J25" i="2987"/>
  <c r="D13" i="2994"/>
  <c r="C25" i="2988"/>
  <c r="N25" i="2988"/>
  <c r="E13" i="2994"/>
  <c r="C25" i="2989"/>
  <c r="E25" i="2989"/>
  <c r="F13" i="2994"/>
  <c r="C25" i="2990"/>
  <c r="I25" i="2990"/>
  <c r="G13" i="2994"/>
  <c r="C25" i="2993"/>
  <c r="I25" i="2993"/>
  <c r="J13" i="2994"/>
  <c r="C25" i="2992"/>
  <c r="I25" i="2992"/>
  <c r="I13" i="2994"/>
  <c r="C25" i="2991"/>
  <c r="F25" i="2991"/>
  <c r="H13" i="2994"/>
  <c r="K13" i="2994"/>
  <c r="E73" i="11"/>
  <c r="E83" i="11"/>
  <c r="E109" i="11"/>
  <c r="E139" i="11"/>
  <c r="E153" i="11"/>
  <c r="N13" i="2994"/>
  <c r="C14" i="2994"/>
  <c r="C28" i="2987"/>
  <c r="J28" i="2987"/>
  <c r="D14" i="2994"/>
  <c r="C28" i="2988"/>
  <c r="N28" i="2988"/>
  <c r="E14" i="2994"/>
  <c r="C28" i="2989"/>
  <c r="E28" i="2989"/>
  <c r="F14" i="2994"/>
  <c r="C28" i="2990"/>
  <c r="I28" i="2990"/>
  <c r="G14" i="2994"/>
  <c r="C28" i="2993"/>
  <c r="I28" i="2993"/>
  <c r="J14" i="2994"/>
  <c r="C28" i="2992"/>
  <c r="I28" i="2992"/>
  <c r="I14" i="2994"/>
  <c r="C28" i="2991"/>
  <c r="F28" i="2991"/>
  <c r="H14" i="2994"/>
  <c r="K14" i="2994"/>
  <c r="E54" i="11"/>
  <c r="E64" i="11"/>
  <c r="E81" i="11"/>
  <c r="E89" i="11"/>
  <c r="E115" i="11"/>
  <c r="E129" i="11"/>
  <c r="N14" i="2994"/>
  <c r="C15" i="2994"/>
  <c r="C31" i="2987"/>
  <c r="J31" i="2987"/>
  <c r="D15" i="2994"/>
  <c r="C31" i="2988"/>
  <c r="N31" i="2988"/>
  <c r="E15" i="2994"/>
  <c r="C31" i="2989"/>
  <c r="E31" i="2989"/>
  <c r="F15" i="2994"/>
  <c r="C31" i="2990"/>
  <c r="I31" i="2990"/>
  <c r="G15" i="2994"/>
  <c r="C31" i="2993"/>
  <c r="I31" i="2993"/>
  <c r="J15" i="2994"/>
  <c r="C31" i="2992"/>
  <c r="I31" i="2992"/>
  <c r="I15" i="2994"/>
  <c r="C31" i="2991"/>
  <c r="F31" i="2991"/>
  <c r="H15" i="2994"/>
  <c r="K15" i="2994"/>
  <c r="E23" i="11"/>
  <c r="E60" i="11"/>
  <c r="E86" i="11"/>
  <c r="E103" i="11"/>
  <c r="N15" i="2994"/>
  <c r="C16" i="2994"/>
  <c r="C34" i="2987"/>
  <c r="J34" i="2987"/>
  <c r="D16" i="2994"/>
  <c r="C34" i="2988"/>
  <c r="N34" i="2988"/>
  <c r="E16" i="2994"/>
  <c r="C34" i="2989"/>
  <c r="E34" i="2989"/>
  <c r="F16" i="2994"/>
  <c r="C34" i="2990"/>
  <c r="I34" i="2990"/>
  <c r="G16" i="2994"/>
  <c r="C34" i="2993"/>
  <c r="I34" i="2993"/>
  <c r="J16" i="2994"/>
  <c r="C34" i="2992"/>
  <c r="I34" i="2992"/>
  <c r="I16" i="2994"/>
  <c r="C34" i="2991"/>
  <c r="F34" i="2991"/>
  <c r="H16" i="2994"/>
  <c r="K16" i="2994"/>
  <c r="E9" i="11"/>
  <c r="E44" i="11"/>
  <c r="E46" i="11"/>
  <c r="E63" i="11"/>
  <c r="N16" i="2994"/>
  <c r="C17" i="2994"/>
  <c r="C37" i="2987"/>
  <c r="J37" i="2987"/>
  <c r="D17" i="2994"/>
  <c r="C37" i="2988"/>
  <c r="N37" i="2988"/>
  <c r="E17" i="2994"/>
  <c r="C37" i="2989"/>
  <c r="E37" i="2989"/>
  <c r="F17" i="2994"/>
  <c r="C37" i="2990"/>
  <c r="I37" i="2990"/>
  <c r="G17" i="2994"/>
  <c r="C37" i="2993"/>
  <c r="I37" i="2993"/>
  <c r="J17" i="2994"/>
  <c r="C37" i="2992"/>
  <c r="I37" i="2992"/>
  <c r="I17" i="2994"/>
  <c r="C37" i="2991"/>
  <c r="F37" i="2991"/>
  <c r="H17" i="2994"/>
  <c r="K17" i="2994"/>
  <c r="E16" i="11"/>
  <c r="E43" i="11"/>
  <c r="E90" i="11"/>
  <c r="N17" i="2994"/>
  <c r="C18" i="2994"/>
  <c r="C40" i="2987"/>
  <c r="J40" i="2987"/>
  <c r="D18" i="2994"/>
  <c r="C40" i="2988"/>
  <c r="N40" i="2988"/>
  <c r="E18" i="2994"/>
  <c r="C40" i="2989"/>
  <c r="E40" i="2989"/>
  <c r="F18" i="2994"/>
  <c r="C40" i="2990"/>
  <c r="I40" i="2990"/>
  <c r="G18" i="2994"/>
  <c r="C40" i="2993"/>
  <c r="I40" i="2993"/>
  <c r="J18" i="2994"/>
  <c r="C40" i="2992"/>
  <c r="I40" i="2992"/>
  <c r="I18" i="2994"/>
  <c r="C40" i="2991"/>
  <c r="F40" i="2991"/>
  <c r="H18" i="2994"/>
  <c r="K18" i="2994"/>
  <c r="E85" i="11"/>
  <c r="E96" i="11"/>
  <c r="E123" i="11"/>
  <c r="E135" i="11"/>
  <c r="N18" i="2994"/>
  <c r="C19" i="2994"/>
  <c r="C43" i="2987"/>
  <c r="J43" i="2987"/>
  <c r="D19" i="2994"/>
  <c r="C43" i="2988"/>
  <c r="N43" i="2988"/>
  <c r="E19" i="2994"/>
  <c r="C43" i="2989"/>
  <c r="E43" i="2989"/>
  <c r="F19" i="2994"/>
  <c r="C43" i="2990"/>
  <c r="I43" i="2990"/>
  <c r="G19" i="2994"/>
  <c r="C43" i="2993"/>
  <c r="I43" i="2993"/>
  <c r="J19" i="2994"/>
  <c r="C43" i="2992"/>
  <c r="I43" i="2992"/>
  <c r="I19" i="2994"/>
  <c r="C43" i="2991"/>
  <c r="F43" i="2991"/>
  <c r="H19" i="2994"/>
  <c r="K19" i="2994"/>
  <c r="E72" i="11"/>
  <c r="E82" i="11"/>
  <c r="E93" i="11"/>
  <c r="E108" i="11"/>
  <c r="E124" i="11"/>
  <c r="N19" i="2994"/>
  <c r="C20" i="2994"/>
  <c r="C46" i="2987"/>
  <c r="J46" i="2987"/>
  <c r="D20" i="2994"/>
  <c r="C46" i="2988"/>
  <c r="N46" i="2988"/>
  <c r="E20" i="2994"/>
  <c r="C46" i="2989"/>
  <c r="E46" i="2989"/>
  <c r="F20" i="2994"/>
  <c r="C46" i="2990"/>
  <c r="I46" i="2990"/>
  <c r="G20" i="2994"/>
  <c r="C46" i="2993"/>
  <c r="I46" i="2993"/>
  <c r="J20" i="2994"/>
  <c r="C46" i="2992"/>
  <c r="I46" i="2992"/>
  <c r="I20" i="2994"/>
  <c r="C46" i="2991"/>
  <c r="F46" i="2991"/>
  <c r="H20" i="2994"/>
  <c r="K20" i="2994"/>
  <c r="E30" i="11"/>
  <c r="E61" i="11"/>
  <c r="E138" i="11"/>
  <c r="N20" i="2994"/>
  <c r="C21" i="2994"/>
  <c r="C49" i="2987"/>
  <c r="J49" i="2987"/>
  <c r="D21" i="2994"/>
  <c r="C49" i="2988"/>
  <c r="N49" i="2988"/>
  <c r="E21" i="2994"/>
  <c r="C49" i="2989"/>
  <c r="E49" i="2989"/>
  <c r="F21" i="2994"/>
  <c r="C49" i="2990"/>
  <c r="I49" i="2990"/>
  <c r="G21" i="2994"/>
  <c r="C49" i="2993"/>
  <c r="I49" i="2993"/>
  <c r="J21" i="2994"/>
  <c r="C49" i="2992"/>
  <c r="I49" i="2992"/>
  <c r="I21" i="2994"/>
  <c r="C49" i="2991"/>
  <c r="F49" i="2991"/>
  <c r="H21" i="2994"/>
  <c r="K21" i="2994"/>
  <c r="E27" i="11"/>
  <c r="E118" i="11"/>
  <c r="E126" i="11"/>
  <c r="N21" i="2994"/>
  <c r="C22" i="2994"/>
  <c r="C52" i="2987"/>
  <c r="J52" i="2987"/>
  <c r="D22" i="2994"/>
  <c r="C52" i="2988"/>
  <c r="N52" i="2988"/>
  <c r="E22" i="2994"/>
  <c r="C52" i="2989"/>
  <c r="E52" i="2989"/>
  <c r="F22" i="2994"/>
  <c r="C52" i="2990"/>
  <c r="I52" i="2990"/>
  <c r="G22" i="2994"/>
  <c r="C52" i="2993"/>
  <c r="I52" i="2993"/>
  <c r="J22" i="2994"/>
  <c r="C52" i="2992"/>
  <c r="I52" i="2992"/>
  <c r="I22" i="2994"/>
  <c r="C52" i="2991"/>
  <c r="F52" i="2991"/>
  <c r="H22" i="2994"/>
  <c r="K22" i="2994"/>
  <c r="E18" i="11"/>
  <c r="E62" i="11"/>
  <c r="N22" i="2994"/>
  <c r="C23" i="2994"/>
  <c r="C55" i="2987"/>
  <c r="J55" i="2987"/>
  <c r="D23" i="2994"/>
  <c r="C55" i="2988"/>
  <c r="N55" i="2988"/>
  <c r="E23" i="2994"/>
  <c r="C55" i="2989"/>
  <c r="E55" i="2989"/>
  <c r="F23" i="2994"/>
  <c r="C55" i="2990"/>
  <c r="I55" i="2990"/>
  <c r="G23" i="2994"/>
  <c r="C55" i="2993"/>
  <c r="I55" i="2993"/>
  <c r="J23" i="2994"/>
  <c r="C55" i="2992"/>
  <c r="I55" i="2992"/>
  <c r="I23" i="2994"/>
  <c r="C55" i="2991"/>
  <c r="F55" i="2991"/>
  <c r="H23" i="2994"/>
  <c r="K23" i="2994"/>
  <c r="E5" i="11"/>
  <c r="E53" i="11"/>
  <c r="N23" i="2994"/>
  <c r="C24" i="2994"/>
  <c r="C58" i="2987"/>
  <c r="J58" i="2987"/>
  <c r="D24" i="2994"/>
  <c r="C58" i="2988"/>
  <c r="N58" i="2988"/>
  <c r="E24" i="2994"/>
  <c r="C58" i="2989"/>
  <c r="E58" i="2989"/>
  <c r="F24" i="2994"/>
  <c r="C58" i="2990"/>
  <c r="I58" i="2990"/>
  <c r="G24" i="2994"/>
  <c r="C58" i="2993"/>
  <c r="I58" i="2993"/>
  <c r="J24" i="2994"/>
  <c r="C58" i="2992"/>
  <c r="I58" i="2992"/>
  <c r="I24" i="2994"/>
  <c r="C58" i="2991"/>
  <c r="F58" i="2991"/>
  <c r="H24" i="2994"/>
  <c r="K24" i="2994"/>
  <c r="E55" i="11"/>
  <c r="N24" i="2994"/>
  <c r="C25" i="2994"/>
  <c r="C61" i="2987"/>
  <c r="J61" i="2987"/>
  <c r="D25" i="2994"/>
  <c r="C61" i="2988"/>
  <c r="N61" i="2988"/>
  <c r="E25" i="2994"/>
  <c r="C61" i="2989"/>
  <c r="E61" i="2989"/>
  <c r="F25" i="2994"/>
  <c r="C61" i="2990"/>
  <c r="I61" i="2990"/>
  <c r="G25" i="2994"/>
  <c r="C61" i="2993"/>
  <c r="I61" i="2993"/>
  <c r="J25" i="2994"/>
  <c r="C61" i="2992"/>
  <c r="I61" i="2992"/>
  <c r="I25" i="2994"/>
  <c r="C61" i="2991"/>
  <c r="F61" i="2991"/>
  <c r="H25" i="2994"/>
  <c r="K25" i="2994"/>
  <c r="E22" i="11"/>
  <c r="E51" i="11"/>
  <c r="E75" i="11"/>
  <c r="E106" i="11"/>
  <c r="E122" i="11"/>
  <c r="N25" i="2994"/>
  <c r="C26" i="2994"/>
  <c r="C64" i="2987"/>
  <c r="J64" i="2987"/>
  <c r="D26" i="2994"/>
  <c r="C64" i="2988"/>
  <c r="N64" i="2988"/>
  <c r="E26" i="2994"/>
  <c r="C64" i="2989"/>
  <c r="E64" i="2989"/>
  <c r="F26" i="2994"/>
  <c r="C64" i="2990"/>
  <c r="I64" i="2990"/>
  <c r="G26" i="2994"/>
  <c r="C64" i="2993"/>
  <c r="I64" i="2993"/>
  <c r="J26" i="2994"/>
  <c r="C64" i="2992"/>
  <c r="I64" i="2992"/>
  <c r="I26" i="2994"/>
  <c r="C64" i="2991"/>
  <c r="F64" i="2991"/>
  <c r="H26" i="2994"/>
  <c r="K26" i="2994"/>
  <c r="E91" i="11"/>
  <c r="E125" i="11"/>
  <c r="E145" i="11"/>
  <c r="N26" i="2994"/>
  <c r="C27" i="2994"/>
  <c r="C67" i="2987"/>
  <c r="J67" i="2987"/>
  <c r="D27" i="2994"/>
  <c r="C67" i="2988"/>
  <c r="N67" i="2988"/>
  <c r="E27" i="2994"/>
  <c r="C67" i="2989"/>
  <c r="E67" i="2989"/>
  <c r="F27" i="2994"/>
  <c r="C67" i="2990"/>
  <c r="I67" i="2990"/>
  <c r="G27" i="2994"/>
  <c r="C67" i="2993"/>
  <c r="I67" i="2993"/>
  <c r="J27" i="2994"/>
  <c r="C67" i="2992"/>
  <c r="I67" i="2992"/>
  <c r="I27" i="2994"/>
  <c r="C67" i="2991"/>
  <c r="F67" i="2991"/>
  <c r="H27" i="2994"/>
  <c r="K27" i="2994"/>
  <c r="E113" i="11"/>
  <c r="E165" i="11"/>
  <c r="N27" i="2994"/>
  <c r="C28" i="2994"/>
  <c r="C70" i="2987"/>
  <c r="J70" i="2987"/>
  <c r="D28" i="2994"/>
  <c r="C70" i="2988"/>
  <c r="N70" i="2988"/>
  <c r="E28" i="2994"/>
  <c r="C70" i="2989"/>
  <c r="E70" i="2989"/>
  <c r="F28" i="2994"/>
  <c r="C70" i="2990"/>
  <c r="I70" i="2990"/>
  <c r="G28" i="2994"/>
  <c r="C70" i="2993"/>
  <c r="I70" i="2993"/>
  <c r="J28" i="2994"/>
  <c r="C70" i="2992"/>
  <c r="I70" i="2992"/>
  <c r="I28" i="2994"/>
  <c r="C70" i="2991"/>
  <c r="F70" i="2991"/>
  <c r="H28" i="2994"/>
  <c r="K28" i="2994"/>
  <c r="E65" i="11"/>
  <c r="N28" i="2994"/>
  <c r="C29" i="2994"/>
  <c r="C73" i="2987"/>
  <c r="J73" i="2987"/>
  <c r="D29" i="2994"/>
  <c r="C73" i="2988"/>
  <c r="N73" i="2988"/>
  <c r="E29" i="2994"/>
  <c r="C73" i="2989"/>
  <c r="E73" i="2989"/>
  <c r="F29" i="2994"/>
  <c r="C73" i="2990"/>
  <c r="I73" i="2990"/>
  <c r="G29" i="2994"/>
  <c r="C73" i="2993"/>
  <c r="I73" i="2993"/>
  <c r="J29" i="2994"/>
  <c r="C73" i="2992"/>
  <c r="I73" i="2992"/>
  <c r="I29" i="2994"/>
  <c r="C73" i="2991"/>
  <c r="F73" i="2991"/>
  <c r="H29" i="2994"/>
  <c r="K29" i="2994"/>
  <c r="E17" i="11"/>
  <c r="E49" i="11"/>
  <c r="E59" i="11"/>
  <c r="E98" i="11"/>
  <c r="E114" i="11"/>
  <c r="N29" i="2994"/>
  <c r="L7" i="2994"/>
  <c r="L8" i="2994"/>
  <c r="L9" i="2994"/>
  <c r="L10" i="2994"/>
  <c r="L29" i="2994"/>
  <c r="L28" i="2994"/>
  <c r="L27" i="2994"/>
  <c r="L26" i="2994"/>
  <c r="L25" i="2994"/>
  <c r="L24" i="2994"/>
  <c r="L23" i="2994"/>
  <c r="L22" i="2994"/>
  <c r="L21" i="2994"/>
  <c r="L20" i="2994"/>
  <c r="L19" i="2994"/>
  <c r="L18" i="2994"/>
  <c r="L17" i="2994"/>
  <c r="L16" i="2994"/>
  <c r="L15" i="2994"/>
  <c r="L14" i="2994"/>
  <c r="L13" i="2994"/>
  <c r="L12" i="2994"/>
  <c r="L11" i="2994"/>
  <c r="L30" i="2994"/>
  <c r="G21" i="14"/>
  <c r="D6" i="2994"/>
  <c r="D30" i="2994"/>
  <c r="I21" i="14"/>
  <c r="E6" i="2994"/>
  <c r="E30" i="2994"/>
  <c r="K21" i="14"/>
  <c r="F6" i="2994"/>
  <c r="F30" i="2994"/>
  <c r="M21" i="14"/>
  <c r="G6" i="2994"/>
  <c r="G30" i="2994"/>
  <c r="O21" i="14"/>
  <c r="H6" i="2994"/>
  <c r="H30" i="2994"/>
  <c r="Q21" i="14"/>
  <c r="I6" i="2994"/>
  <c r="I30" i="2994"/>
  <c r="J6" i="2994"/>
  <c r="J30" i="2994"/>
  <c r="M7" i="2994"/>
  <c r="M8" i="2994"/>
  <c r="M9" i="2994"/>
  <c r="M10" i="2994"/>
  <c r="M11" i="2994"/>
  <c r="M12" i="2994"/>
  <c r="M13" i="2994"/>
  <c r="M14" i="2994"/>
  <c r="M15" i="2994"/>
  <c r="M16" i="2994"/>
  <c r="M17" i="2994"/>
  <c r="M18" i="2994"/>
  <c r="M19" i="2994"/>
  <c r="M20" i="2994"/>
  <c r="M21" i="2994"/>
  <c r="M22" i="2994"/>
  <c r="M23" i="2994"/>
  <c r="M24" i="2994"/>
  <c r="M25" i="2994"/>
  <c r="M26" i="2994"/>
  <c r="M27" i="2994"/>
  <c r="M28" i="2994"/>
  <c r="M29" i="2994"/>
  <c r="K6" i="2994"/>
  <c r="M2" i="2994"/>
  <c r="B2" i="2994"/>
  <c r="D6" i="2993"/>
  <c r="D76" i="2993"/>
  <c r="E6" i="2993"/>
  <c r="E76" i="2993"/>
  <c r="F6" i="2993"/>
  <c r="F76" i="2993"/>
  <c r="G6" i="2993"/>
  <c r="G76" i="2993"/>
  <c r="H6" i="2993"/>
  <c r="H76" i="2993"/>
  <c r="I6" i="2993"/>
  <c r="D5" i="2993"/>
  <c r="E5" i="2993"/>
  <c r="F5" i="2993"/>
  <c r="G5" i="2993"/>
  <c r="H5" i="2993"/>
  <c r="I2" i="2993"/>
  <c r="B2" i="2993"/>
  <c r="D6" i="2992"/>
  <c r="D76" i="2992"/>
  <c r="E6" i="2992"/>
  <c r="E76" i="2992"/>
  <c r="F6" i="2992"/>
  <c r="F76" i="2992"/>
  <c r="G6" i="2992"/>
  <c r="G76" i="2992"/>
  <c r="H6" i="2992"/>
  <c r="H76" i="2992"/>
  <c r="I6" i="2992"/>
  <c r="D5" i="2992"/>
  <c r="E5" i="2992"/>
  <c r="F5" i="2992"/>
  <c r="G5" i="2992"/>
  <c r="H5" i="2992"/>
  <c r="I2" i="2992"/>
  <c r="B2" i="2992"/>
  <c r="D6" i="2991"/>
  <c r="D76" i="2991"/>
  <c r="E6" i="2991"/>
  <c r="E76" i="2991"/>
  <c r="F6" i="2991"/>
  <c r="D5" i="2991"/>
  <c r="E5" i="2991"/>
  <c r="F2" i="2991"/>
  <c r="B2" i="2991"/>
  <c r="D6" i="2990"/>
  <c r="D76" i="2990"/>
  <c r="E6" i="2990"/>
  <c r="E76" i="2990"/>
  <c r="F6" i="2990"/>
  <c r="F76" i="2990"/>
  <c r="G6" i="2990"/>
  <c r="G76" i="2990"/>
  <c r="H6" i="2990"/>
  <c r="H76" i="2990"/>
  <c r="I6" i="2990"/>
  <c r="D5" i="2990"/>
  <c r="E5" i="2990"/>
  <c r="F5" i="2990"/>
  <c r="G5" i="2990"/>
  <c r="H5" i="2990"/>
  <c r="I2" i="2990"/>
  <c r="B2" i="2990"/>
  <c r="D6" i="2989"/>
  <c r="D76" i="2989"/>
  <c r="E6" i="2989"/>
  <c r="D5" i="2989"/>
  <c r="E2" i="2989"/>
  <c r="B2" i="2989"/>
  <c r="D6" i="2988"/>
  <c r="D76" i="2988"/>
  <c r="E6" i="2988"/>
  <c r="E76" i="2988"/>
  <c r="F6" i="2988"/>
  <c r="F76" i="2988"/>
  <c r="G6" i="2988"/>
  <c r="G76" i="2988"/>
  <c r="H6" i="2988"/>
  <c r="H76" i="2988"/>
  <c r="I6" i="2988"/>
  <c r="I76" i="2988"/>
  <c r="J6" i="2988"/>
  <c r="J76" i="2988"/>
  <c r="K6" i="2988"/>
  <c r="K76" i="2988"/>
  <c r="L6" i="2988"/>
  <c r="L76" i="2988"/>
  <c r="M6" i="2988"/>
  <c r="M76" i="2988"/>
  <c r="N6" i="2988"/>
  <c r="D5" i="2988"/>
  <c r="E5" i="2988"/>
  <c r="F5" i="2988"/>
  <c r="G5" i="2988"/>
  <c r="H5" i="2988"/>
  <c r="I5" i="2988"/>
  <c r="J5" i="2988"/>
  <c r="K5" i="2988"/>
  <c r="L5" i="2988"/>
  <c r="M5" i="2988"/>
  <c r="N2" i="2988"/>
  <c r="B2" i="2988"/>
  <c r="D6" i="2987"/>
  <c r="D76" i="2987"/>
  <c r="E6" i="2987"/>
  <c r="E76" i="2987"/>
  <c r="F6" i="2987"/>
  <c r="F76" i="2987"/>
  <c r="G6" i="2987"/>
  <c r="G76" i="2987"/>
  <c r="H6" i="2987"/>
  <c r="H76" i="2987"/>
  <c r="I6" i="2987"/>
  <c r="I76" i="2987"/>
  <c r="J6" i="2987"/>
  <c r="D5" i="2987"/>
  <c r="E5" i="2987"/>
  <c r="F5" i="2987"/>
  <c r="G5" i="2987"/>
  <c r="H5" i="2987"/>
  <c r="I5" i="2987"/>
  <c r="J2" i="2987"/>
  <c r="B2" i="2987"/>
  <c r="E40" i="11"/>
  <c r="E116" i="11"/>
  <c r="E35" i="11"/>
  <c r="E70" i="11"/>
  <c r="E101" i="11"/>
  <c r="E111" i="11"/>
  <c r="E19" i="11"/>
  <c r="E84" i="11"/>
  <c r="E15" i="11"/>
  <c r="E141" i="11"/>
  <c r="E107" i="11"/>
  <c r="E110" i="11"/>
  <c r="E137" i="11"/>
  <c r="E146" i="11"/>
  <c r="E42" i="11"/>
  <c r="E147" i="11"/>
  <c r="E78" i="11"/>
  <c r="E39" i="11"/>
  <c r="E25" i="11"/>
  <c r="E38" i="11"/>
  <c r="E92" i="11"/>
  <c r="E11" i="11"/>
  <c r="E34" i="11"/>
  <c r="E48" i="11"/>
  <c r="E37" i="11"/>
  <c r="E69" i="11"/>
  <c r="E67" i="11"/>
  <c r="E50" i="11"/>
  <c r="E133" i="11"/>
  <c r="E33" i="11"/>
  <c r="E13" i="11"/>
  <c r="E142" i="11"/>
  <c r="E99" i="11"/>
  <c r="E112" i="11"/>
  <c r="E29" i="11"/>
  <c r="E157" i="11"/>
  <c r="E57" i="11"/>
  <c r="E117" i="11"/>
  <c r="E36" i="11"/>
  <c r="E32" i="11"/>
  <c r="E58" i="11"/>
  <c r="E151" i="11"/>
  <c r="E176" i="11"/>
  <c r="E132" i="11"/>
  <c r="E128" i="11"/>
  <c r="R21" i="14"/>
  <c r="E7" i="11"/>
  <c r="E181" i="11"/>
  <c r="E160" i="11"/>
  <c r="E198" i="11"/>
  <c r="E149" i="11"/>
  <c r="E148" i="11"/>
  <c r="E161" i="11"/>
  <c r="E20" i="11"/>
  <c r="E127" i="11"/>
  <c r="E159" i="11"/>
  <c r="E174" i="11"/>
  <c r="E167" i="11"/>
  <c r="E183" i="11"/>
  <c r="E223" i="11"/>
  <c r="E168" i="11"/>
  <c r="E144" i="11"/>
  <c r="E163" i="11"/>
  <c r="P21" i="14"/>
  <c r="H21" i="14"/>
  <c r="F21" i="14"/>
  <c r="E185" i="11"/>
  <c r="E178" i="11"/>
  <c r="E197" i="11"/>
  <c r="E237" i="11"/>
  <c r="E154" i="11"/>
  <c r="E140" i="11"/>
  <c r="E173" i="11"/>
  <c r="E193" i="11"/>
  <c r="E293" i="11"/>
  <c r="E292" i="11"/>
  <c r="E291" i="11"/>
  <c r="E290"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E245" i="11"/>
  <c r="E244" i="11"/>
  <c r="E4" i="11"/>
  <c r="E243" i="11"/>
  <c r="E242" i="11"/>
  <c r="E241" i="11"/>
  <c r="E240" i="11"/>
  <c r="E239" i="11"/>
  <c r="E238" i="11"/>
  <c r="E236" i="11"/>
  <c r="E235" i="11"/>
  <c r="E234" i="11"/>
  <c r="E233" i="11"/>
  <c r="E232" i="11"/>
  <c r="E231" i="11"/>
  <c r="E230" i="11"/>
  <c r="E229" i="11"/>
  <c r="E228" i="11"/>
  <c r="E227" i="11"/>
  <c r="E226" i="11"/>
  <c r="E225" i="11"/>
  <c r="E224"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6" i="11"/>
  <c r="E195" i="11"/>
  <c r="E194" i="11"/>
  <c r="E192" i="11"/>
  <c r="E191" i="11"/>
  <c r="E190" i="11"/>
  <c r="E189" i="11"/>
  <c r="E188" i="11"/>
  <c r="E187" i="11"/>
  <c r="E186" i="11"/>
  <c r="E184" i="11"/>
  <c r="E182" i="11"/>
  <c r="E179" i="11"/>
  <c r="E177" i="11"/>
  <c r="E175" i="11"/>
  <c r="E172" i="11"/>
  <c r="E171" i="11"/>
  <c r="E170" i="11"/>
  <c r="E169" i="11"/>
  <c r="E166" i="11"/>
  <c r="E162" i="11"/>
  <c r="E158" i="11"/>
  <c r="E156" i="11"/>
  <c r="E155" i="11"/>
  <c r="E152" i="11"/>
  <c r="E150" i="11"/>
  <c r="E45" i="11"/>
  <c r="E41" i="11"/>
  <c r="E14" i="11"/>
  <c r="E12" i="11"/>
  <c r="E10" i="11"/>
  <c r="E8" i="11"/>
  <c r="E6" i="11"/>
  <c r="N21" i="14"/>
  <c r="J21" i="14"/>
  <c r="L21" i="14"/>
  <c r="C45" i="14"/>
  <c r="M30" i="2994" a="1"/>
  <c r="M30" i="299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krausertm</author>
  </authors>
  <commentList>
    <comment ref="T2" authorId="0" shapeId="0" xr:uid="{00000000-0006-0000-0700-000001000000}">
      <text>
        <r>
          <rPr>
            <sz val="9"/>
            <color indexed="81"/>
            <rFont val="Segoe UI"/>
            <family val="2"/>
          </rPr>
          <t>Der Name des Examens kann hier eingetragen werden. Bspw. Abitur, 1. Schulaufgabe, Stehgreifaufgabe, ...</t>
        </r>
      </text>
    </comment>
    <comment ref="T4" authorId="0" shapeId="0" xr:uid="{00000000-0006-0000-0700-000002000000}">
      <text>
        <r>
          <rPr>
            <sz val="9"/>
            <color indexed="81"/>
            <rFont val="Segoe UI"/>
            <family val="2"/>
          </rPr>
          <t>In dieser Zeile können die Teilgebiete des Examens eingetragen werden. Pro Teilgebiet wird ein Notenblatt mit Spalten für die jeweiligen Aufgaben erzeugt. Es können bis zu 6 Teilgebiete angelegt werden.</t>
        </r>
      </text>
    </comment>
    <comment ref="T6" authorId="0" shapeId="0" xr:uid="{00000000-0006-0000-0700-000003000000}">
      <text>
        <r>
          <rPr>
            <sz val="9"/>
            <color indexed="81"/>
            <rFont val="Segoe UI"/>
            <family val="2"/>
          </rPr>
          <t>In diesem Bereich werden die Aufgaben der Teilgebiete (linke Spalte) sowie die dafür vergebenen Punkte (rechte Spalte) eingetragen. Es sind bis zu 15 Aufgaben pro Teilgebiet möglich.</t>
        </r>
      </text>
    </comment>
    <comment ref="S21" authorId="0" shapeId="0" xr:uid="{155C4121-3387-4718-A1EE-AD4B5FB80D79}">
      <text>
        <r>
          <rPr>
            <sz val="9"/>
            <color indexed="81"/>
            <rFont val="Segoe UI"/>
            <family val="2"/>
          </rPr>
          <t>Die anderen Blätter verwenden die Punktzahl hier als Referenz! Bspw. das Gesamtnotenblatt! Es wird also für Wahlaufgaben nicht die Summe aller wählbaren Aufgaben, sondern der maximal pro Schüler zu erreichende Wert fix hinterlegt!</t>
        </r>
      </text>
    </comment>
    <comment ref="T22" authorId="0" shapeId="0" xr:uid="{A62C7A42-5ED6-42E2-8400-1D10DD9A5A95}">
      <text>
        <r>
          <rPr>
            <sz val="9"/>
            <color indexed="81"/>
            <rFont val="Segoe UI"/>
            <family val="2"/>
          </rPr>
          <t>Wahlaufgaben? Ist hier "Ja" angewählt, können die Aufgaben pro Schüler nach dem Erstellen der Tabellen auf dem Tab "ConfigW" an- und abgewählt werden.</t>
        </r>
      </text>
    </comment>
    <comment ref="I27" authorId="0" shapeId="0" xr:uid="{607C5AC7-F126-4559-B723-0C14F53C2BCB}">
      <text>
        <r>
          <rPr>
            <sz val="8"/>
            <color indexed="81"/>
            <rFont val="Segoe UI"/>
            <family val="2"/>
          </rPr>
          <t>Wird hier ein Name eingetragen, werden beim Erzeugen der Tabellen entsprechende Zeilen für den ZK angelegt!</t>
        </r>
      </text>
    </comment>
    <comment ref="I28" authorId="0" shapeId="0" xr:uid="{DDCD2850-8F03-46F5-B1C2-E7B66D9D3C23}">
      <text>
        <r>
          <rPr>
            <sz val="8"/>
            <color indexed="81"/>
            <rFont val="Segoe UI"/>
            <family val="2"/>
          </rPr>
          <t>Wird hier ein Name eingetragen, werden beim Erzeugen der Tabellen entsprechende Zeilen für den DK angelegt!</t>
        </r>
      </text>
    </comment>
  </commentList>
</comments>
</file>

<file path=xl/sharedStrings.xml><?xml version="1.0" encoding="utf-8"?>
<sst xmlns="http://schemas.openxmlformats.org/spreadsheetml/2006/main" count="792" uniqueCount="135">
  <si>
    <t>Punkte</t>
  </si>
  <si>
    <t>Note</t>
  </si>
  <si>
    <t>1a</t>
  </si>
  <si>
    <t>4a</t>
  </si>
  <si>
    <t>4b</t>
  </si>
  <si>
    <t>2a</t>
  </si>
  <si>
    <t>Klasse</t>
  </si>
  <si>
    <t>Nachname</t>
  </si>
  <si>
    <t>Vorname</t>
  </si>
  <si>
    <t>Analysis A</t>
  </si>
  <si>
    <t>Analysis B</t>
  </si>
  <si>
    <t>Stochastik A</t>
  </si>
  <si>
    <t>Stochastik B</t>
  </si>
  <si>
    <t>Geometrie A</t>
  </si>
  <si>
    <t>Geometrie B</t>
  </si>
  <si>
    <t>Aufgabe</t>
  </si>
  <si>
    <t>1b</t>
  </si>
  <si>
    <t>2</t>
  </si>
  <si>
    <t>3</t>
  </si>
  <si>
    <t>1</t>
  </si>
  <si>
    <t>Marvin</t>
  </si>
  <si>
    <t>Kurs</t>
  </si>
  <si>
    <t>Datum</t>
  </si>
  <si>
    <t>1c</t>
  </si>
  <si>
    <t>1d</t>
  </si>
  <si>
    <t>1e</t>
  </si>
  <si>
    <t>1f</t>
  </si>
  <si>
    <t>1g</t>
  </si>
  <si>
    <t>1h</t>
  </si>
  <si>
    <t>2b</t>
  </si>
  <si>
    <t>Kursltr</t>
  </si>
  <si>
    <t>Notenpkt</t>
  </si>
  <si>
    <t xml:space="preserve">Info: Hier kann der Notenspiegel eingetragen werden. Die folgenden Werte sind in die Spalten einzutragen:
Spalte B: Erreichte Punktzahl (0-x)
Spalte C: Die Notenpunkte (0-15)
Spalte D: Die Schulnote (6-1) 
Die maximale Länge sind 300 Einträge!
Markierung auf der Notenübersicht:
Auf der Notenübersicht werden Schüler hervorgehoben, die einen bzw. zwei Punkteschritte (also 1 bzw. 2 Zeilen) von der nächst besseren oder auch nächst schlechteren Note entfernt sind. Die Farben haben dabei folgende Bedeutung:
</t>
  </si>
  <si>
    <t>Der Schüler ist zwei Schritte von der nächst besseren Note entfernt</t>
  </si>
  <si>
    <t>Der Schüler ist einen Schritt von der nächst besseren Note entfernt</t>
  </si>
  <si>
    <t>Der Schüler ist einen Schritt über der nächst schlechteren Note</t>
  </si>
  <si>
    <t>Der Schüler ist zwei Schritte über der nächst schlechteren Note</t>
  </si>
  <si>
    <t>Simon</t>
  </si>
  <si>
    <t>Lilian</t>
  </si>
  <si>
    <t>Leonie</t>
  </si>
  <si>
    <t>Cedric</t>
  </si>
  <si>
    <t>Annabell</t>
  </si>
  <si>
    <t>Stefanie</t>
  </si>
  <si>
    <t>Damian</t>
  </si>
  <si>
    <t>Meik</t>
  </si>
  <si>
    <t>Tomas</t>
  </si>
  <si>
    <t>Linn</t>
  </si>
  <si>
    <t>Amely</t>
  </si>
  <si>
    <t>Melvin</t>
  </si>
  <si>
    <t>Jean</t>
  </si>
  <si>
    <t>Leonardo</t>
  </si>
  <si>
    <t>Nicholas</t>
  </si>
  <si>
    <t>Vivienne</t>
  </si>
  <si>
    <t>Mads</t>
  </si>
  <si>
    <t>Raphael</t>
  </si>
  <si>
    <t>Emmely</t>
  </si>
  <si>
    <t>Karin</t>
  </si>
  <si>
    <t>Ingo</t>
  </si>
  <si>
    <t>Höfer</t>
  </si>
  <si>
    <t>Töpfer</t>
  </si>
  <si>
    <t>Fleischmann</t>
  </si>
  <si>
    <t>Drescher</t>
  </si>
  <si>
    <t>Baumgarten</t>
  </si>
  <si>
    <t>Traut</t>
  </si>
  <si>
    <t>Menke</t>
  </si>
  <si>
    <t>Carroll</t>
  </si>
  <si>
    <t>Hennings</t>
  </si>
  <si>
    <t>Walters</t>
  </si>
  <si>
    <t>Junker</t>
  </si>
  <si>
    <t>Stephens</t>
  </si>
  <si>
    <t>Cremer</t>
  </si>
  <si>
    <t>Nash</t>
  </si>
  <si>
    <t>Schön</t>
  </si>
  <si>
    <t>Sigl</t>
  </si>
  <si>
    <t>Kainz</t>
  </si>
  <si>
    <t>Hartmann</t>
  </si>
  <si>
    <t>Ullmann</t>
  </si>
  <si>
    <t>Hartl</t>
  </si>
  <si>
    <t>Klotz</t>
  </si>
  <si>
    <t>Ehlers</t>
  </si>
  <si>
    <t>Lindemann</t>
  </si>
  <si>
    <t>Name</t>
  </si>
  <si>
    <t>Summe</t>
  </si>
  <si>
    <t>Noten</t>
  </si>
  <si>
    <t>uiiii</t>
  </si>
  <si>
    <t>ø</t>
  </si>
  <si>
    <t>Ulrich</t>
  </si>
  <si>
    <t>K1</t>
  </si>
  <si>
    <t>?</t>
  </si>
  <si>
    <t>Anleitung:</t>
  </si>
  <si>
    <t>1.</t>
  </si>
  <si>
    <t>2.</t>
  </si>
  <si>
    <t>3.</t>
  </si>
  <si>
    <t>4.</t>
  </si>
  <si>
    <t>5.</t>
  </si>
  <si>
    <t>6.</t>
  </si>
  <si>
    <t>Mathe Abitur</t>
  </si>
  <si>
    <r>
      <rPr>
        <b/>
        <sz val="10"/>
        <rFont val="Arial"/>
        <family val="2"/>
      </rPr>
      <t xml:space="preserve">Hinweis: Nach dem erzeugen der Tabellen darf / kann </t>
    </r>
    <r>
      <rPr>
        <b/>
        <sz val="10"/>
        <color rgb="FFFF0000"/>
        <rFont val="Arial"/>
        <family val="2"/>
      </rPr>
      <t xml:space="preserve">NICHT </t>
    </r>
    <r>
      <rPr>
        <b/>
        <sz val="10"/>
        <rFont val="Arial"/>
        <family val="2"/>
      </rPr>
      <t>mehr verändert werden:</t>
    </r>
    <r>
      <rPr>
        <sz val="10"/>
        <rFont val="Arial"/>
        <family val="2"/>
      </rPr>
      <t xml:space="preserve">
- die Anzahl der Schüler
- die Anzahl der Teilaufgaben
- die Anzahl der Aufgaben der jeweiligen Teilaufgabe
- Die Bezeichnungen der Teilgebiete
Falls es doch einmal nötig sein sollte einen der o.g. nicht änderbaren Parameter anzupassen, speichern Sie bitte ihre bereits eingetragenen Punkte auf den Notenblättern in einer </t>
    </r>
    <r>
      <rPr>
        <b/>
        <sz val="10"/>
        <rFont val="Arial"/>
        <family val="2"/>
      </rPr>
      <t>neuen Excel-Datei</t>
    </r>
    <r>
      <rPr>
        <sz val="10"/>
        <rFont val="Arial"/>
        <family val="2"/>
      </rPr>
      <t xml:space="preserve"> und kopieren diese nach dem neu erstellen wieder an die richtigen Stellen zurück.
</t>
    </r>
    <r>
      <rPr>
        <b/>
        <sz val="10"/>
        <rFont val="Arial"/>
        <family val="2"/>
      </rPr>
      <t>Es kann noch geändert werden:</t>
    </r>
    <r>
      <rPr>
        <sz val="10"/>
        <rFont val="Arial"/>
        <family val="2"/>
      </rPr>
      <t xml:space="preserve">
- Die Namen der Schüler
- Die Bezeichnungen der Aufgaben und des Examens
- Die vergebenen Punkte für die Aufgaben</t>
    </r>
  </si>
  <si>
    <t>GitHub Releases (für neue Versionen)</t>
  </si>
  <si>
    <t>Lizenz: GNU GPLv3.</t>
  </si>
  <si>
    <t>5-</t>
  </si>
  <si>
    <t>5</t>
  </si>
  <si>
    <t>5+</t>
  </si>
  <si>
    <t>4-</t>
  </si>
  <si>
    <t>4</t>
  </si>
  <si>
    <t>4+</t>
  </si>
  <si>
    <t>3-</t>
  </si>
  <si>
    <t>3+</t>
  </si>
  <si>
    <t>2-</t>
  </si>
  <si>
    <t>2+</t>
  </si>
  <si>
    <t>1-</t>
  </si>
  <si>
    <t>1+</t>
  </si>
  <si>
    <t>Wahlaufgaben</t>
  </si>
  <si>
    <t>6</t>
  </si>
  <si>
    <t>7a</t>
  </si>
  <si>
    <t>7b</t>
  </si>
  <si>
    <t>8</t>
  </si>
  <si>
    <t>9</t>
  </si>
  <si>
    <t>Nein</t>
  </si>
  <si>
    <t>Ja</t>
  </si>
  <si>
    <t>x</t>
  </si>
  <si>
    <t>7.</t>
  </si>
  <si>
    <t>Über den Button "Alles löschen ... " können die Beispielinhalte entfernt werden.
Schülernamen, sowie Teilgebiete, Aufgaben und Punkte in die beiden Tabellen eintragen.
Wahlaufgaben können in der dafür vorgesehenen Spalte eingetragen werden.
Den Notenschlüssel auf dem Blatt "Notenspiegel" hinterlegen. (Beschreibung siehe dort)
Über den Button "Tabellen erzeugen" die Notenblätter generieren.
Falls Wahlaufgaben vorhanden sind, die gewählten Aufgaben pro Schüler auf  Blatt ConfigW eingeben.
Die erreichten Punkte der Schüler für die einzelnen Aufgaben auf den Notenblättern eintragen.
Über den Button "Schülerpunktzahlen-Druckseite erzeugen" die Druckansicht generieren und ausrducken, falls gewünscht.</t>
  </si>
  <si>
    <t>8.</t>
  </si>
  <si>
    <t>Wahlfachkonfiguration</t>
  </si>
  <si>
    <t>In nebenstehender Tabelle, alle gewählten Aufgaben des Schülers mit "x" selektieren. Anschließend den 'Wahlaufgaben aktualisieren' Button auf der Config-Seite anklicken!</t>
  </si>
  <si>
    <t>ZK</t>
  </si>
  <si>
    <t>DK</t>
  </si>
  <si>
    <t>Diese Buttons blenden die Zeilen für ZK/DK ein bzw. aus!</t>
  </si>
  <si>
    <t>ZK/DK:</t>
  </si>
  <si>
    <t>-</t>
  </si>
  <si>
    <t>Wird bei ZK/DK etwas eingetragen (Wert ist irrelevant!) so werden entsprechende Zeilen für ZK/DK angelegt!
Über die Buttons (EK, ZK, DK, Alle) können die jeweiligen Zeilen ein- und ausgeblendet werden. Bereits eingetragene Punktezahlen des ZK/DK bleiben so erhalten!
Über die Buttons  "ZK/DK anlegen" und "ZK/DK löschen" lassen sich die Zeilen für ZK/DK jederzeit einfügen und löschen, ohne die Hauptkorrektur zu beeinflussen.
Über die Buttons "ZK importieren" und "DK importieren" können die Korrekturwerte eines ZK/DK in die eigene Hauptkorrekturliste importiert werden. Das kann helfen wenn Teile der Arbeit während der noch laufenden Korrektur an den ZK/DK weitergegeben werden! Es sollte immer nur ZK in die Hauptliste und DK in ZK bzw. die Hauptliste übernommen werden!</t>
  </si>
  <si>
    <t>Emma</t>
  </si>
  <si>
    <t>Philipp</t>
  </si>
  <si>
    <t>Pre-Release! v2.2.0-beta1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</si>
</sst>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0"/>
      <name val="Arial"/>
    </font>
    <font>
      <b/>
      <sz val="12"/>
      <name val="Arial"/>
      <family val="2"/>
    </font>
    <font>
      <sz val="10"/>
      <name val="Arial"/>
      <family val="2"/>
    </font>
    <font>
      <b/>
      <sz val="10"/>
      <name val="Arial"/>
      <family val="2"/>
    </font>
    <font>
      <sz val="8"/>
      <name val="Arial"/>
      <family val="2"/>
    </font>
    <font>
      <sz val="10"/>
      <color theme="0" tint="-4.9989318521683403E-2"/>
      <name val="Arial"/>
      <family val="2"/>
    </font>
    <font>
      <sz val="10"/>
      <name val="Arial"/>
      <family val="2"/>
    </font>
    <font>
      <sz val="9"/>
      <color indexed="81"/>
      <name val="Segoe UI"/>
      <family val="2"/>
    </font>
    <font>
      <b/>
      <sz val="10"/>
      <color rgb="FFFF0000"/>
      <name val="Arial"/>
      <family val="2"/>
    </font>
    <font>
      <u/>
      <sz val="10"/>
      <color theme="10"/>
      <name val="Arial"/>
      <family val="2"/>
    </font>
    <font>
      <sz val="8"/>
      <name val="Arial"/>
      <family val="2"/>
    </font>
    <font>
      <b/>
      <sz val="8"/>
      <color rgb="FF00B0F0"/>
      <name val="Arial"/>
      <family val="2"/>
    </font>
    <font>
      <b/>
      <sz val="10"/>
      <color rgb="FFAF5000"/>
      <name val="Arial"/>
      <family val="2"/>
    </font>
    <font>
      <sz val="8"/>
      <color indexed="81"/>
      <name val="Segoe UI"/>
      <family val="2"/>
    </font>
  </fonts>
  <fills count="17">
    <fill>
      <patternFill patternType="none"/>
    </fill>
    <fill>
      <patternFill patternType="gray125"/>
    </fill>
    <fill>
      <patternFill patternType="solid">
        <fgColor theme="6"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92D050"/>
        <bgColor indexed="64"/>
      </patternFill>
    </fill>
    <fill>
      <patternFill patternType="solid">
        <fgColor rgb="FFCDFFBD"/>
        <bgColor indexed="64"/>
      </patternFill>
    </fill>
    <fill>
      <patternFill patternType="solid">
        <fgColor rgb="FFFF9797"/>
        <bgColor indexed="64"/>
      </patternFill>
    </fill>
    <fill>
      <patternFill patternType="solid">
        <fgColor rgb="FFFF0000"/>
        <bgColor indexed="64"/>
      </patternFill>
    </fill>
    <fill>
      <patternFill patternType="solid">
        <fgColor rgb="FFF0F0F0"/>
        <bgColor indexed="64"/>
      </patternFill>
    </fill>
    <fill>
      <patternFill patternType="solid">
        <fgColor rgb="FFC4D79B"/>
        <bgColor indexed="64"/>
      </patternFill>
    </fill>
    <fill>
      <patternFill patternType="solid">
        <fgColor rgb="FFD9D9D9"/>
        <bgColor indexed="64"/>
      </patternFill>
    </fill>
    <fill>
      <patternFill patternType="solid">
        <fgColor rgb="FFFFFFFF"/>
        <bgColor indexed="64"/>
      </patternFill>
    </fill>
    <fill>
      <patternFill patternType="solid">
        <fgColor rgb="FFE8E8E8"/>
        <bgColor indexed="64"/>
      </patternFill>
    </fill>
    <fill>
      <patternFill patternType="solid">
        <fgColor rgb="FFE6FFE6"/>
        <bgColor indexed="64"/>
      </patternFill>
    </fill>
    <fill>
      <patternFill patternType="solid">
        <fgColor rgb="FFFFDCDC"/>
        <bgColor indexed="64"/>
      </patternFill>
    </fill>
  </fills>
  <borders count="87">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top style="thin">
        <color indexed="64"/>
      </top>
      <bottom style="thin">
        <color theme="0" tint="-4.9989318521683403E-2"/>
      </bottom>
      <diagonal/>
    </border>
    <border>
      <left/>
      <right style="medium">
        <color indexed="64"/>
      </right>
      <top style="thin">
        <color indexed="64"/>
      </top>
      <bottom style="thin">
        <color theme="0" tint="-4.9989318521683403E-2"/>
      </bottom>
      <diagonal/>
    </border>
    <border>
      <left style="thin">
        <color indexed="64"/>
      </left>
      <right/>
      <top style="thin">
        <color theme="0" tint="-4.9989318521683403E-2"/>
      </top>
      <bottom style="thin">
        <color theme="0" tint="-4.9989318521683403E-2"/>
      </bottom>
      <diagonal/>
    </border>
    <border>
      <left/>
      <right style="medium">
        <color indexed="64"/>
      </right>
      <top style="thin">
        <color theme="0" tint="-4.9989318521683403E-2"/>
      </top>
      <bottom style="thin">
        <color theme="0" tint="-4.9989318521683403E-2"/>
      </bottom>
      <diagonal/>
    </border>
    <border>
      <left style="thin">
        <color indexed="64"/>
      </left>
      <right/>
      <top style="thin">
        <color theme="0" tint="-4.9989318521683403E-2"/>
      </top>
      <bottom style="medium">
        <color indexed="64"/>
      </bottom>
      <diagonal/>
    </border>
    <border>
      <left/>
      <right style="medium">
        <color indexed="64"/>
      </right>
      <top style="thin">
        <color theme="0" tint="-4.9989318521683403E-2"/>
      </top>
      <bottom style="medium">
        <color indexed="64"/>
      </bottom>
      <diagonal/>
    </border>
    <border>
      <left style="medium">
        <color indexed="64"/>
      </left>
      <right style="thin">
        <color theme="2"/>
      </right>
      <top/>
      <bottom/>
      <diagonal/>
    </border>
    <border>
      <left style="thin">
        <color theme="2"/>
      </left>
      <right style="medium">
        <color indexed="64"/>
      </right>
      <top/>
      <bottom/>
      <diagonal/>
    </border>
    <border>
      <left/>
      <right style="thin">
        <color theme="2"/>
      </right>
      <top/>
      <bottom/>
      <diagonal/>
    </border>
    <border>
      <left style="thin">
        <color theme="2"/>
      </left>
      <right style="thin">
        <color theme="0" tint="-0.34998626667073579"/>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theme="0" tint="-0.34998626667073579"/>
      </right>
      <top/>
      <bottom style="thin">
        <color indexed="64"/>
      </bottom>
      <diagonal/>
    </border>
    <border>
      <left/>
      <right style="thin">
        <color theme="0" tint="-0.34998626667073579"/>
      </right>
      <top/>
      <bottom/>
      <diagonal/>
    </border>
    <border>
      <left style="medium">
        <color indexed="8"/>
      </left>
      <right/>
      <top/>
      <bottom/>
      <diagonal/>
    </border>
    <border>
      <left style="medium">
        <color indexed="8"/>
      </left>
      <right/>
      <top style="medium">
        <color indexed="8"/>
      </top>
      <bottom/>
      <diagonal/>
    </border>
    <border>
      <left/>
      <right/>
      <top style="medium">
        <color indexed="8"/>
      </top>
      <bottom/>
      <diagonal/>
    </border>
    <border>
      <left/>
      <right style="medium">
        <color indexed="8"/>
      </right>
      <top/>
      <bottom/>
      <diagonal/>
    </border>
    <border>
      <left/>
      <right style="medium">
        <color indexed="8"/>
      </right>
      <top style="medium">
        <color indexed="8"/>
      </top>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8"/>
      </left>
      <right style="medium">
        <color indexed="8"/>
      </right>
      <top style="medium">
        <color indexed="8"/>
      </top>
      <bottom/>
      <diagonal/>
    </border>
    <border>
      <left style="medium">
        <color indexed="8"/>
      </left>
      <right style="medium">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indexed="8"/>
      </left>
      <right/>
      <top style="medium">
        <color indexed="8"/>
      </top>
      <bottom style="medium">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thin">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theme="0" tint="-0.34998626667073579"/>
      </left>
      <right/>
      <top/>
      <bottom/>
      <diagonal/>
    </border>
    <border>
      <left style="thin">
        <color theme="0" tint="-0.34998626667073579"/>
      </left>
      <right/>
      <top/>
      <bottom style="medium">
        <color indexed="64"/>
      </bottom>
      <diagonal/>
    </border>
    <border>
      <left/>
      <right style="thin">
        <color theme="0" tint="-0.34998626667073579"/>
      </right>
      <top/>
      <bottom style="medium">
        <color indexed="64"/>
      </bottom>
      <diagonal/>
    </border>
    <border>
      <left style="medium">
        <color indexed="64"/>
      </left>
      <right style="thin">
        <color theme="2"/>
      </right>
      <top/>
      <bottom style="thin">
        <color indexed="64"/>
      </bottom>
      <diagonal/>
    </border>
    <border>
      <left style="thin">
        <color theme="2"/>
      </left>
      <right style="thin">
        <color theme="0" tint="-0.34998626667073579"/>
      </right>
      <top/>
      <bottom style="thin">
        <color indexed="64"/>
      </bottom>
      <diagonal/>
    </border>
    <border>
      <left/>
      <right style="thin">
        <color theme="2"/>
      </right>
      <top/>
      <bottom style="thin">
        <color indexed="64"/>
      </bottom>
      <diagonal/>
    </border>
    <border>
      <left style="thin">
        <color theme="2"/>
      </left>
      <right style="medium">
        <color indexed="64"/>
      </right>
      <top/>
      <bottom style="thin">
        <color indexed="64"/>
      </bottom>
      <diagonal/>
    </border>
    <border>
      <left style="thin">
        <color indexed="8"/>
      </left>
      <right style="medium">
        <color indexed="8"/>
      </right>
      <top style="medium">
        <color indexed="8"/>
      </top>
      <bottom style="medium">
        <color indexed="8"/>
      </bottom>
      <diagonal/>
    </border>
    <border>
      <left style="medium">
        <color indexed="8"/>
      </left>
      <right style="thin">
        <color indexed="8"/>
      </right>
      <top style="medium">
        <color indexed="8"/>
      </top>
      <bottom style="medium">
        <color indexed="8"/>
      </bottom>
      <diagonal/>
    </border>
    <border>
      <left style="medium">
        <color indexed="8"/>
      </left>
      <right style="thin">
        <color indexed="8"/>
      </right>
      <top style="medium">
        <color indexed="8"/>
      </top>
      <bottom/>
      <diagonal/>
    </border>
    <border>
      <left style="thin">
        <color indexed="8"/>
      </left>
      <right style="medium">
        <color indexed="8"/>
      </right>
      <top style="medium">
        <color indexed="8"/>
      </top>
      <bottom/>
      <diagonal/>
    </border>
    <border>
      <left style="thin">
        <color indexed="8"/>
      </left>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medium">
        <color indexed="8"/>
      </left>
      <right style="thin">
        <color indexed="8"/>
      </right>
      <top/>
      <bottom style="medium">
        <color indexed="8"/>
      </bottom>
      <diagonal/>
    </border>
    <border>
      <left style="thin">
        <color indexed="8"/>
      </left>
      <right style="thin">
        <color indexed="8"/>
      </right>
      <top/>
      <bottom style="medium">
        <color indexed="8"/>
      </bottom>
      <diagonal/>
    </border>
    <border>
      <left style="thin">
        <color indexed="8"/>
      </left>
      <right/>
      <top/>
      <bottom style="medium">
        <color indexed="8"/>
      </bottom>
      <diagonal/>
    </border>
    <border>
      <left style="medium">
        <color indexed="8"/>
      </left>
      <right style="medium">
        <color indexed="8"/>
      </right>
      <top/>
      <bottom style="medium">
        <color indexed="8"/>
      </bottom>
      <diagonal/>
    </border>
    <border>
      <left style="medium">
        <color indexed="8"/>
      </left>
      <right style="medium">
        <color indexed="8"/>
      </right>
      <top/>
      <bottom/>
      <diagonal/>
    </border>
    <border>
      <left style="thin">
        <color indexed="8"/>
      </left>
      <right/>
      <top/>
      <bottom/>
      <diagonal/>
    </border>
    <border>
      <left style="thin">
        <color indexed="8"/>
      </left>
      <right style="thin">
        <color indexed="8"/>
      </right>
      <top/>
      <bottom/>
      <diagonal/>
    </border>
    <border>
      <left style="medium">
        <color indexed="8"/>
      </left>
      <right style="thin">
        <color indexed="8"/>
      </right>
      <top/>
      <bottom/>
      <diagonal/>
    </border>
    <border>
      <left style="medium">
        <color indexed="8"/>
      </left>
      <right style="thin">
        <color indexed="8"/>
      </right>
      <top/>
      <bottom style="hair">
        <color rgb="FFE8E8E8"/>
      </bottom>
      <diagonal/>
    </border>
    <border>
      <left style="thin">
        <color indexed="8"/>
      </left>
      <right style="thin">
        <color indexed="8"/>
      </right>
      <top/>
      <bottom style="hair">
        <color rgb="FFE8E8E8"/>
      </bottom>
      <diagonal/>
    </border>
    <border>
      <left style="medium">
        <color indexed="8"/>
      </left>
      <right style="medium">
        <color indexed="8"/>
      </right>
      <top/>
      <bottom style="hair">
        <color rgb="FFE8E8E8"/>
      </bottom>
      <diagonal/>
    </border>
    <border>
      <left style="medium">
        <color indexed="8"/>
      </left>
      <right style="thin">
        <color indexed="8"/>
      </right>
      <top/>
      <bottom style="hair">
        <color rgb="FFD9D9D9"/>
      </bottom>
      <diagonal/>
    </border>
    <border>
      <left style="thin">
        <color indexed="8"/>
      </left>
      <right style="thin">
        <color indexed="8"/>
      </right>
      <top/>
      <bottom style="hair">
        <color rgb="FFD9D9D9"/>
      </bottom>
      <diagonal/>
    </border>
    <border>
      <left style="medium">
        <color indexed="8"/>
      </left>
      <right style="medium">
        <color indexed="8"/>
      </right>
      <top/>
      <bottom style="hair">
        <color rgb="FFD9D9D9"/>
      </bottom>
      <diagonal/>
    </border>
    <border>
      <left style="medium">
        <color indexed="8"/>
      </left>
      <right style="medium">
        <color indexed="8"/>
      </right>
      <top style="medium">
        <color indexed="8"/>
      </top>
      <bottom style="hair">
        <color rgb="FFE8E8E8"/>
      </bottom>
      <diagonal/>
    </border>
    <border>
      <left style="medium">
        <color indexed="8"/>
      </left>
      <right style="thin">
        <color indexed="8"/>
      </right>
      <top style="medium">
        <color indexed="8"/>
      </top>
      <bottom style="hair">
        <color rgb="FFE8E8E8"/>
      </bottom>
      <diagonal/>
    </border>
    <border>
      <left style="thin">
        <color indexed="8"/>
      </left>
      <right style="thin">
        <color indexed="8"/>
      </right>
      <top style="medium">
        <color indexed="8"/>
      </top>
      <bottom style="hair">
        <color rgb="FFE8E8E8"/>
      </bottom>
      <diagonal/>
    </border>
    <border>
      <left style="thin">
        <color indexed="8"/>
      </left>
      <right/>
      <top style="medium">
        <color indexed="8"/>
      </top>
      <bottom style="hair">
        <color rgb="FFE8E8E8"/>
      </bottom>
      <diagonal/>
    </border>
    <border>
      <left style="thin">
        <color indexed="8"/>
      </left>
      <right/>
      <top/>
      <bottom style="hair">
        <color rgb="FFE8E8E8"/>
      </bottom>
      <diagonal/>
    </border>
    <border>
      <left style="thin">
        <color indexed="8"/>
      </left>
      <right/>
      <top/>
      <bottom style="hair">
        <color rgb="FFD9D9D9"/>
      </bottom>
      <diagonal/>
    </border>
    <border>
      <left style="medium">
        <color indexed="8"/>
      </left>
      <right style="thin">
        <color indexed="8"/>
      </right>
      <top style="thin">
        <color indexed="8"/>
      </top>
      <bottom style="hair">
        <color rgb="FFD9D9D9"/>
      </bottom>
      <diagonal/>
    </border>
    <border>
      <left style="thin">
        <color indexed="8"/>
      </left>
      <right style="thin">
        <color indexed="8"/>
      </right>
      <top style="thin">
        <color indexed="8"/>
      </top>
      <bottom style="hair">
        <color rgb="FFD9D9D9"/>
      </bottom>
      <diagonal/>
    </border>
    <border>
      <left style="thin">
        <color indexed="8"/>
      </left>
      <right/>
      <top style="thin">
        <color indexed="8"/>
      </top>
      <bottom style="hair">
        <color rgb="FFD9D9D9"/>
      </bottom>
      <diagonal/>
    </border>
    <border>
      <left style="medium">
        <color indexed="8"/>
      </left>
      <right style="medium">
        <color indexed="8"/>
      </right>
      <top style="thin">
        <color indexed="8"/>
      </top>
      <bottom style="hair">
        <color rgb="FFD9D9D9"/>
      </bottom>
      <diagonal/>
    </border>
    <border>
      <left style="medium">
        <color indexed="8"/>
      </left>
      <right style="thin">
        <color indexed="8"/>
      </right>
      <top style="thin">
        <color indexed="8"/>
      </top>
      <bottom style="hair">
        <color rgb="FFE8E8E8"/>
      </bottom>
      <diagonal/>
    </border>
    <border>
      <left style="thin">
        <color indexed="8"/>
      </left>
      <right style="thin">
        <color indexed="8"/>
      </right>
      <top style="thin">
        <color indexed="8"/>
      </top>
      <bottom style="hair">
        <color rgb="FFE8E8E8"/>
      </bottom>
      <diagonal/>
    </border>
    <border>
      <left style="thin">
        <color indexed="8"/>
      </left>
      <right/>
      <top style="thin">
        <color indexed="8"/>
      </top>
      <bottom style="hair">
        <color rgb="FFE8E8E8"/>
      </bottom>
      <diagonal/>
    </border>
    <border>
      <left style="medium">
        <color indexed="8"/>
      </left>
      <right style="medium">
        <color indexed="8"/>
      </right>
      <top style="thin">
        <color indexed="8"/>
      </top>
      <bottom style="hair">
        <color rgb="FFE8E8E8"/>
      </bottom>
      <diagonal/>
    </border>
  </borders>
  <cellStyleXfs count="5">
    <xf numFmtId="0" fontId="0" fillId="0" borderId="0"/>
    <xf numFmtId="9" fontId="6" fillId="0" borderId="0" applyFont="0" applyFill="0" applyBorder="0" applyAlignment="0" applyProtection="0"/>
    <xf numFmtId="0" fontId="9" fillId="0" borderId="0" applyNumberFormat="0" applyFill="0" applyBorder="0" applyAlignment="0" applyProtection="0"/>
    <xf numFmtId="0" fontId="2" fillId="0" borderId="0"/>
    <xf numFmtId="9" fontId="2" fillId="0" borderId="0" applyFont="0" applyFill="0" applyBorder="0" applyAlignment="0" applyProtection="0"/>
  </cellStyleXfs>
  <cellXfs count="268">
    <xf numFmtId="0" fontId="0" fillId="0" borderId="0" xfId="0"/>
    <xf numFmtId="0" fontId="0" fillId="0" borderId="0" xfId="0" applyAlignment="1">
      <alignment horizontal="center"/>
    </xf>
    <xf numFmtId="49" fontId="0" fillId="0" borderId="0" xfId="0" applyNumberFormat="1" applyAlignment="1">
      <alignment horizontal="center"/>
    </xf>
    <xf numFmtId="0" fontId="0" fillId="4" borderId="0" xfId="0" applyFill="1"/>
    <xf numFmtId="0" fontId="0" fillId="5" borderId="5" xfId="0" applyFill="1" applyBorder="1"/>
    <xf numFmtId="0" fontId="0" fillId="5" borderId="8" xfId="0" applyFill="1" applyBorder="1" applyAlignment="1">
      <alignment horizontal="center"/>
    </xf>
    <xf numFmtId="0" fontId="0" fillId="5" borderId="9" xfId="0" applyFill="1" applyBorder="1" applyAlignment="1">
      <alignment horizontal="center"/>
    </xf>
    <xf numFmtId="0" fontId="4" fillId="5" borderId="10" xfId="0" applyFont="1" applyFill="1" applyBorder="1" applyAlignment="1">
      <alignment horizontal="center" vertical="center"/>
    </xf>
    <xf numFmtId="0" fontId="4" fillId="5" borderId="1" xfId="0" applyFont="1" applyFill="1" applyBorder="1" applyAlignment="1">
      <alignment horizontal="center" vertical="center"/>
    </xf>
    <xf numFmtId="0" fontId="4" fillId="5" borderId="7" xfId="0" applyFont="1" applyFill="1" applyBorder="1" applyAlignment="1">
      <alignment horizontal="center" vertical="center"/>
    </xf>
    <xf numFmtId="0" fontId="5" fillId="4" borderId="0" xfId="0" applyFont="1" applyFill="1" applyAlignment="1">
      <alignment horizontal="center"/>
    </xf>
    <xf numFmtId="49" fontId="2" fillId="3" borderId="17" xfId="0" applyNumberFormat="1" applyFont="1" applyFill="1" applyBorder="1" applyAlignment="1" applyProtection="1">
      <alignment horizontal="center"/>
      <protection locked="0"/>
    </xf>
    <xf numFmtId="49" fontId="2" fillId="3" borderId="19" xfId="0" applyNumberFormat="1" applyFont="1" applyFill="1" applyBorder="1" applyAlignment="1" applyProtection="1">
      <alignment horizontal="center"/>
      <protection locked="0"/>
    </xf>
    <xf numFmtId="0" fontId="2" fillId="3" borderId="13" xfId="0" applyFont="1" applyFill="1" applyBorder="1" applyProtection="1">
      <protection locked="0"/>
    </xf>
    <xf numFmtId="0" fontId="2" fillId="3" borderId="14" xfId="0" applyFont="1" applyFill="1" applyBorder="1" applyProtection="1">
      <protection locked="0"/>
    </xf>
    <xf numFmtId="0" fontId="2" fillId="3" borderId="15" xfId="0" applyFont="1" applyFill="1" applyBorder="1" applyProtection="1">
      <protection locked="0"/>
    </xf>
    <xf numFmtId="0" fontId="2" fillId="3" borderId="16" xfId="0" applyFont="1" applyFill="1" applyBorder="1" applyProtection="1">
      <protection locked="0"/>
    </xf>
    <xf numFmtId="0" fontId="3" fillId="5" borderId="1" xfId="0" applyFont="1" applyFill="1" applyBorder="1" applyAlignment="1">
      <alignment horizontal="center"/>
    </xf>
    <xf numFmtId="0" fontId="3" fillId="5" borderId="7" xfId="0" applyFont="1" applyFill="1" applyBorder="1" applyAlignment="1">
      <alignment horizontal="center"/>
    </xf>
    <xf numFmtId="0" fontId="2" fillId="3" borderId="6" xfId="0" applyFont="1" applyFill="1" applyBorder="1" applyAlignment="1">
      <alignment horizontal="centerContinuous"/>
    </xf>
    <xf numFmtId="0" fontId="4" fillId="5" borderId="24" xfId="0" applyFont="1" applyFill="1" applyBorder="1" applyAlignment="1">
      <alignment horizontal="center" vertical="center"/>
    </xf>
    <xf numFmtId="0" fontId="2" fillId="3" borderId="25" xfId="0" applyFont="1" applyFill="1" applyBorder="1" applyAlignment="1">
      <alignment horizontal="centerContinuous"/>
    </xf>
    <xf numFmtId="0" fontId="3" fillId="5" borderId="2" xfId="0" applyFont="1" applyFill="1" applyBorder="1" applyAlignment="1">
      <alignment horizontal="left"/>
    </xf>
    <xf numFmtId="0" fontId="3" fillId="5" borderId="5" xfId="0" applyFont="1" applyFill="1" applyBorder="1" applyAlignment="1">
      <alignment horizontal="left"/>
    </xf>
    <xf numFmtId="0" fontId="3" fillId="5" borderId="23" xfId="0" applyFont="1" applyFill="1" applyBorder="1" applyAlignment="1">
      <alignment horizontal="left"/>
    </xf>
    <xf numFmtId="0" fontId="2" fillId="3" borderId="25" xfId="0" applyFont="1" applyFill="1" applyBorder="1" applyAlignment="1">
      <alignment horizontal="left"/>
    </xf>
    <xf numFmtId="0" fontId="2" fillId="3" borderId="5" xfId="0" applyFont="1" applyFill="1" applyBorder="1" applyAlignment="1" applyProtection="1">
      <alignment horizontal="left"/>
      <protection locked="0"/>
    </xf>
    <xf numFmtId="0" fontId="2" fillId="0" borderId="0" xfId="0" applyFont="1" applyAlignment="1">
      <alignment horizontal="center"/>
    </xf>
    <xf numFmtId="0" fontId="2" fillId="2" borderId="2" xfId="0" applyFont="1" applyFill="1" applyBorder="1" applyAlignment="1">
      <alignment horizontal="center"/>
    </xf>
    <xf numFmtId="49" fontId="2" fillId="2" borderId="3" xfId="0" applyNumberFormat="1" applyFont="1" applyFill="1" applyBorder="1" applyAlignment="1">
      <alignment horizontal="center"/>
    </xf>
    <xf numFmtId="0" fontId="2" fillId="2" borderId="4" xfId="0" applyFont="1" applyFill="1" applyBorder="1" applyAlignment="1">
      <alignment horizontal="center"/>
    </xf>
    <xf numFmtId="0" fontId="2" fillId="0" borderId="0" xfId="0" applyFont="1" applyAlignment="1">
      <alignment vertical="top" wrapText="1"/>
    </xf>
    <xf numFmtId="0" fontId="0" fillId="0" borderId="0" xfId="0" applyAlignment="1">
      <alignment vertical="top" wrapText="1"/>
    </xf>
    <xf numFmtId="0" fontId="2" fillId="3" borderId="20" xfId="0" applyFont="1" applyFill="1" applyBorder="1" applyAlignment="1" applyProtection="1">
      <alignment horizontal="center"/>
      <protection locked="0"/>
    </xf>
    <xf numFmtId="0" fontId="2" fillId="3" borderId="18" xfId="0" applyFont="1" applyFill="1" applyBorder="1" applyAlignment="1" applyProtection="1">
      <alignment horizontal="center"/>
      <protection locked="0"/>
    </xf>
    <xf numFmtId="0" fontId="0" fillId="3" borderId="2" xfId="0" applyFill="1" applyBorder="1" applyAlignment="1" applyProtection="1">
      <alignment horizontal="center"/>
      <protection locked="0"/>
    </xf>
    <xf numFmtId="0" fontId="0" fillId="3" borderId="3" xfId="0" applyFill="1" applyBorder="1" applyAlignment="1" applyProtection="1">
      <alignment horizontal="center"/>
      <protection locked="0"/>
    </xf>
    <xf numFmtId="49" fontId="0" fillId="3" borderId="4" xfId="0" applyNumberFormat="1" applyFill="1" applyBorder="1" applyAlignment="1" applyProtection="1">
      <alignment horizontal="center"/>
      <protection locked="0"/>
    </xf>
    <xf numFmtId="0" fontId="0" fillId="3" borderId="5" xfId="0" applyFill="1" applyBorder="1" applyAlignment="1" applyProtection="1">
      <alignment horizontal="center"/>
      <protection locked="0"/>
    </xf>
    <xf numFmtId="0" fontId="0" fillId="3" borderId="0" xfId="0" applyFill="1" applyAlignment="1" applyProtection="1">
      <alignment horizontal="center"/>
      <protection locked="0"/>
    </xf>
    <xf numFmtId="49" fontId="0" fillId="3" borderId="6" xfId="0" applyNumberFormat="1" applyFill="1" applyBorder="1" applyAlignment="1" applyProtection="1">
      <alignment horizontal="center"/>
      <protection locked="0"/>
    </xf>
    <xf numFmtId="49" fontId="2" fillId="3" borderId="6" xfId="0" applyNumberFormat="1" applyFont="1" applyFill="1" applyBorder="1" applyAlignment="1" applyProtection="1">
      <alignment horizontal="center"/>
      <protection locked="0"/>
    </xf>
    <xf numFmtId="49" fontId="2" fillId="3" borderId="6" xfId="0" quotePrefix="1" applyNumberFormat="1" applyFont="1" applyFill="1" applyBorder="1" applyAlignment="1" applyProtection="1">
      <alignment horizontal="center"/>
      <protection locked="0"/>
    </xf>
    <xf numFmtId="49" fontId="0" fillId="3" borderId="0" xfId="0" applyNumberFormat="1" applyFill="1" applyAlignment="1" applyProtection="1">
      <alignment horizontal="center"/>
      <protection locked="0"/>
    </xf>
    <xf numFmtId="0" fontId="0" fillId="3" borderId="6" xfId="0" applyFill="1" applyBorder="1" applyAlignment="1" applyProtection="1">
      <alignment horizontal="center"/>
      <protection locked="0"/>
    </xf>
    <xf numFmtId="0" fontId="0" fillId="3" borderId="23" xfId="0" applyFill="1" applyBorder="1" applyAlignment="1" applyProtection="1">
      <alignment horizontal="center"/>
      <protection locked="0"/>
    </xf>
    <xf numFmtId="49" fontId="0" fillId="3" borderId="21" xfId="0" applyNumberFormat="1" applyFill="1" applyBorder="1" applyAlignment="1" applyProtection="1">
      <alignment horizontal="center"/>
      <protection locked="0"/>
    </xf>
    <xf numFmtId="0" fontId="0" fillId="3" borderId="22" xfId="0" applyFill="1" applyBorder="1" applyAlignment="1" applyProtection="1">
      <alignment horizontal="center"/>
      <protection locked="0"/>
    </xf>
    <xf numFmtId="0" fontId="2" fillId="5" borderId="5" xfId="0" applyFont="1" applyFill="1" applyBorder="1" applyAlignment="1">
      <alignment vertical="top" wrapText="1"/>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0" xfId="0" applyFont="1" applyFill="1" applyAlignment="1">
      <alignment vertical="top"/>
    </xf>
    <xf numFmtId="0" fontId="2" fillId="6" borderId="5" xfId="0" applyFont="1" applyFill="1" applyBorder="1" applyAlignment="1">
      <alignment vertical="top"/>
    </xf>
    <xf numFmtId="0" fontId="2" fillId="5" borderId="6" xfId="0" applyFont="1" applyFill="1" applyBorder="1" applyAlignment="1">
      <alignment vertical="top"/>
    </xf>
    <xf numFmtId="0" fontId="2" fillId="7" borderId="5" xfId="0" applyFont="1" applyFill="1" applyBorder="1" applyAlignment="1">
      <alignment vertical="top"/>
    </xf>
    <xf numFmtId="0" fontId="2" fillId="5" borderId="23" xfId="0" applyFont="1" applyFill="1" applyBorder="1" applyAlignment="1">
      <alignment vertical="top"/>
    </xf>
    <xf numFmtId="0" fontId="2" fillId="5" borderId="21" xfId="0" applyFont="1" applyFill="1" applyBorder="1" applyAlignment="1">
      <alignment vertical="top"/>
    </xf>
    <xf numFmtId="0" fontId="2" fillId="5" borderId="22" xfId="0" applyFont="1" applyFill="1" applyBorder="1" applyAlignment="1">
      <alignment vertical="top"/>
    </xf>
    <xf numFmtId="0" fontId="2" fillId="8" borderId="5" xfId="0" applyFont="1" applyFill="1" applyBorder="1" applyAlignment="1">
      <alignment vertical="top"/>
    </xf>
    <xf numFmtId="0" fontId="2" fillId="9" borderId="5" xfId="0" applyFont="1" applyFill="1" applyBorder="1" applyAlignment="1">
      <alignment vertical="top"/>
    </xf>
    <xf numFmtId="0" fontId="2" fillId="0" borderId="0" xfId="0" applyFont="1" applyAlignment="1">
      <alignment vertical="top"/>
    </xf>
    <xf numFmtId="0" fontId="0" fillId="0" borderId="0" xfId="0" applyProtection="1">
      <protection locked="0"/>
    </xf>
    <xf numFmtId="0" fontId="0" fillId="13" borderId="36" xfId="0" applyFill="1" applyBorder="1" applyAlignment="1" applyProtection="1">
      <alignment horizontal="center" vertical="center"/>
      <protection locked="0"/>
    </xf>
    <xf numFmtId="0" fontId="0" fillId="13" borderId="38" xfId="0" applyFill="1" applyBorder="1" applyAlignment="1" applyProtection="1">
      <alignment horizontal="center" vertical="center"/>
      <protection locked="0"/>
    </xf>
    <xf numFmtId="0" fontId="0" fillId="13" borderId="39" xfId="0" applyFill="1" applyBorder="1" applyAlignment="1" applyProtection="1">
      <alignment horizontal="center" vertical="center"/>
      <protection locked="0"/>
    </xf>
    <xf numFmtId="0" fontId="0" fillId="13" borderId="40" xfId="0" applyFill="1" applyBorder="1" applyAlignment="1" applyProtection="1">
      <alignment horizontal="center" vertical="center"/>
      <protection locked="0"/>
    </xf>
    <xf numFmtId="0" fontId="0" fillId="13" borderId="41" xfId="0" applyFill="1" applyBorder="1" applyAlignment="1" applyProtection="1">
      <alignment horizontal="center" vertical="center"/>
      <protection locked="0"/>
    </xf>
    <xf numFmtId="0" fontId="0" fillId="13" borderId="42" xfId="0" applyFill="1" applyBorder="1" applyAlignment="1" applyProtection="1">
      <alignment horizontal="center" vertical="center"/>
      <protection locked="0"/>
    </xf>
    <xf numFmtId="9" fontId="0" fillId="12" borderId="31" xfId="1" applyFont="1" applyFill="1" applyBorder="1" applyAlignment="1" applyProtection="1">
      <alignment horizontal="center" vertical="center"/>
    </xf>
    <xf numFmtId="9" fontId="0" fillId="12" borderId="32" xfId="1" applyFont="1" applyFill="1" applyBorder="1" applyAlignment="1" applyProtection="1">
      <alignment horizontal="center" vertical="center"/>
    </xf>
    <xf numFmtId="2" fontId="0" fillId="12" borderId="32" xfId="1" applyNumberFormat="1" applyFont="1" applyFill="1" applyBorder="1" applyAlignment="1" applyProtection="1">
      <alignment horizontal="center" vertical="center"/>
    </xf>
    <xf numFmtId="49" fontId="2" fillId="4" borderId="17" xfId="0" applyNumberFormat="1" applyFont="1" applyFill="1" applyBorder="1" applyAlignment="1" applyProtection="1">
      <alignment horizontal="center"/>
      <protection locked="0"/>
    </xf>
    <xf numFmtId="0" fontId="2" fillId="4" borderId="20" xfId="0" applyFont="1" applyFill="1" applyBorder="1" applyAlignment="1" applyProtection="1">
      <alignment horizontal="center"/>
      <protection locked="0"/>
    </xf>
    <xf numFmtId="49" fontId="2" fillId="4" borderId="19" xfId="0" applyNumberFormat="1" applyFont="1" applyFill="1" applyBorder="1" applyAlignment="1" applyProtection="1">
      <alignment horizontal="center"/>
      <protection locked="0"/>
    </xf>
    <xf numFmtId="0" fontId="2" fillId="4" borderId="18" xfId="0" applyFont="1" applyFill="1" applyBorder="1" applyAlignment="1" applyProtection="1">
      <alignment horizontal="center"/>
      <protection locked="0"/>
    </xf>
    <xf numFmtId="0" fontId="2" fillId="4" borderId="11" xfId="0" applyFont="1" applyFill="1" applyBorder="1" applyProtection="1">
      <protection locked="0"/>
    </xf>
    <xf numFmtId="0" fontId="2" fillId="4" borderId="12" xfId="0" applyFont="1" applyFill="1" applyBorder="1" applyProtection="1">
      <protection locked="0"/>
    </xf>
    <xf numFmtId="0" fontId="2" fillId="4" borderId="13" xfId="0" applyFont="1" applyFill="1" applyBorder="1" applyProtection="1">
      <protection locked="0"/>
    </xf>
    <xf numFmtId="0" fontId="2" fillId="4" borderId="14" xfId="0" applyFont="1" applyFill="1" applyBorder="1" applyProtection="1">
      <protection locked="0"/>
    </xf>
    <xf numFmtId="0" fontId="3" fillId="4" borderId="0" xfId="0" applyFont="1" applyFill="1" applyAlignment="1">
      <alignment horizontal="center"/>
    </xf>
    <xf numFmtId="0" fontId="3" fillId="5" borderId="5" xfId="0" applyFont="1" applyFill="1" applyBorder="1" applyAlignment="1">
      <alignment vertical="top" wrapText="1"/>
    </xf>
    <xf numFmtId="2" fontId="0" fillId="12" borderId="33" xfId="1" applyNumberFormat="1" applyFont="1" applyFill="1" applyBorder="1" applyAlignment="1" applyProtection="1">
      <alignment horizontal="center" vertical="center"/>
    </xf>
    <xf numFmtId="1" fontId="4" fillId="4" borderId="0" xfId="0" applyNumberFormat="1" applyFont="1" applyFill="1" applyAlignment="1">
      <alignment horizontal="center"/>
    </xf>
    <xf numFmtId="0" fontId="2" fillId="3" borderId="0" xfId="0" applyFont="1" applyFill="1" applyAlignment="1" applyProtection="1">
      <alignment horizontal="left"/>
      <protection locked="0"/>
    </xf>
    <xf numFmtId="0" fontId="4" fillId="4" borderId="0" xfId="0" applyFont="1" applyFill="1" applyAlignment="1">
      <alignment horizontal="center"/>
    </xf>
    <xf numFmtId="0" fontId="4" fillId="4" borderId="5" xfId="0" applyFont="1" applyFill="1" applyBorder="1" applyAlignment="1">
      <alignment horizontal="center"/>
    </xf>
    <xf numFmtId="0" fontId="4" fillId="4" borderId="46" xfId="0" applyFont="1" applyFill="1" applyBorder="1" applyAlignment="1">
      <alignment horizontal="center"/>
    </xf>
    <xf numFmtId="1" fontId="4" fillId="4" borderId="25" xfId="0" applyNumberFormat="1" applyFont="1" applyFill="1" applyBorder="1" applyAlignment="1">
      <alignment horizontal="center"/>
    </xf>
    <xf numFmtId="49" fontId="2" fillId="3" borderId="49" xfId="0" applyNumberFormat="1" applyFont="1" applyFill="1" applyBorder="1" applyAlignment="1" applyProtection="1">
      <alignment horizontal="center"/>
      <protection locked="0"/>
    </xf>
    <xf numFmtId="0" fontId="2" fillId="3" borderId="50" xfId="0" applyFont="1" applyFill="1" applyBorder="1" applyAlignment="1" applyProtection="1">
      <alignment horizontal="center"/>
      <protection locked="0"/>
    </xf>
    <xf numFmtId="49" fontId="2" fillId="3" borderId="51" xfId="0" applyNumberFormat="1" applyFont="1" applyFill="1" applyBorder="1" applyAlignment="1" applyProtection="1">
      <alignment horizontal="center"/>
      <protection locked="0"/>
    </xf>
    <xf numFmtId="0" fontId="2" fillId="3" borderId="52" xfId="0" applyFont="1" applyFill="1" applyBorder="1" applyAlignment="1" applyProtection="1">
      <alignment horizontal="center"/>
      <protection locked="0"/>
    </xf>
    <xf numFmtId="0" fontId="0" fillId="5" borderId="23" xfId="0" applyFill="1" applyBorder="1"/>
    <xf numFmtId="1" fontId="11" fillId="3" borderId="6" xfId="0" applyNumberFormat="1" applyFont="1" applyFill="1" applyBorder="1" applyAlignment="1" applyProtection="1">
      <alignment horizontal="center"/>
      <protection locked="0"/>
    </xf>
    <xf numFmtId="0" fontId="3" fillId="4" borderId="0" xfId="0" applyFont="1" applyFill="1"/>
    <xf numFmtId="0" fontId="2" fillId="13" borderId="41" xfId="0" applyFont="1" applyFill="1" applyBorder="1" applyAlignment="1" applyProtection="1">
      <alignment horizontal="center" vertical="center"/>
      <protection locked="0"/>
    </xf>
    <xf numFmtId="0" fontId="2" fillId="13" borderId="57" xfId="0" applyFont="1" applyFill="1" applyBorder="1" applyAlignment="1" applyProtection="1">
      <alignment horizontal="center" vertical="center"/>
      <protection locked="0"/>
    </xf>
    <xf numFmtId="0" fontId="3" fillId="5" borderId="5" xfId="0" quotePrefix="1" applyFont="1" applyFill="1" applyBorder="1" applyAlignment="1">
      <alignment vertical="top" wrapText="1"/>
    </xf>
    <xf numFmtId="0" fontId="0" fillId="10" borderId="0" xfId="0" applyFill="1"/>
    <xf numFmtId="0" fontId="3" fillId="11" borderId="27" xfId="0" applyFont="1" applyFill="1" applyBorder="1" applyAlignment="1">
      <alignment horizontal="left" vertical="center"/>
    </xf>
    <xf numFmtId="0" fontId="3" fillId="11" borderId="28" xfId="0" applyFont="1" applyFill="1" applyBorder="1" applyAlignment="1">
      <alignment horizontal="left" vertical="center"/>
    </xf>
    <xf numFmtId="0" fontId="3" fillId="11" borderId="28" xfId="0" applyFont="1" applyFill="1" applyBorder="1" applyAlignment="1">
      <alignment horizontal="right" vertical="center"/>
    </xf>
    <xf numFmtId="0" fontId="3" fillId="11" borderId="30" xfId="0" applyFont="1" applyFill="1" applyBorder="1" applyAlignment="1">
      <alignment horizontal="right" vertical="center"/>
    </xf>
    <xf numFmtId="0" fontId="1" fillId="11" borderId="26" xfId="0" applyFont="1" applyFill="1" applyBorder="1" applyAlignment="1">
      <alignment horizontal="centerContinuous" vertical="center"/>
    </xf>
    <xf numFmtId="0" fontId="1" fillId="11" borderId="0" xfId="0" applyFont="1" applyFill="1" applyAlignment="1">
      <alignment horizontal="centerContinuous" vertical="center"/>
    </xf>
    <xf numFmtId="0" fontId="1" fillId="11" borderId="29" xfId="0" applyFont="1" applyFill="1" applyBorder="1" applyAlignment="1">
      <alignment horizontal="centerContinuous" vertical="center"/>
    </xf>
    <xf numFmtId="0" fontId="1" fillId="11" borderId="32" xfId="0" applyFont="1" applyFill="1" applyBorder="1" applyAlignment="1">
      <alignment horizontal="centerContinuous" vertical="center"/>
    </xf>
    <xf numFmtId="0" fontId="1" fillId="11" borderId="33" xfId="0" applyFont="1" applyFill="1" applyBorder="1" applyAlignment="1">
      <alignment horizontal="centerContinuous" vertical="center"/>
    </xf>
    <xf numFmtId="0" fontId="0" fillId="12" borderId="27" xfId="0" applyFill="1" applyBorder="1"/>
    <xf numFmtId="0" fontId="0" fillId="12" borderId="26" xfId="0" applyFill="1" applyBorder="1"/>
    <xf numFmtId="0" fontId="0" fillId="12" borderId="30" xfId="0" applyFill="1" applyBorder="1"/>
    <xf numFmtId="0" fontId="0" fillId="12" borderId="29" xfId="0" applyFill="1" applyBorder="1"/>
    <xf numFmtId="0" fontId="0" fillId="12" borderId="26" xfId="0" applyFill="1" applyBorder="1" applyAlignment="1">
      <alignment horizontal="center"/>
    </xf>
    <xf numFmtId="0" fontId="0" fillId="12" borderId="34" xfId="0" applyFill="1" applyBorder="1" applyAlignment="1">
      <alignment horizontal="center"/>
    </xf>
    <xf numFmtId="0" fontId="0" fillId="12" borderId="35" xfId="0" applyFill="1" applyBorder="1" applyAlignment="1">
      <alignment horizontal="center"/>
    </xf>
    <xf numFmtId="0" fontId="0" fillId="12" borderId="36" xfId="0" applyFill="1" applyBorder="1"/>
    <xf numFmtId="0" fontId="4" fillId="10" borderId="0" xfId="0" applyFont="1" applyFill="1"/>
    <xf numFmtId="0" fontId="0" fillId="14" borderId="36" xfId="0" applyFill="1" applyBorder="1"/>
    <xf numFmtId="0" fontId="0" fillId="12" borderId="37" xfId="0" applyFill="1" applyBorder="1" applyAlignment="1">
      <alignment horizontal="center" vertical="center"/>
    </xf>
    <xf numFmtId="9" fontId="0" fillId="12" borderId="31" xfId="0" applyNumberFormat="1" applyFill="1" applyBorder="1" applyAlignment="1">
      <alignment horizontal="center" vertical="center"/>
    </xf>
    <xf numFmtId="9" fontId="0" fillId="12" borderId="32" xfId="0" applyNumberFormat="1" applyFill="1" applyBorder="1" applyAlignment="1">
      <alignment horizontal="center" vertical="center"/>
    </xf>
    <xf numFmtId="9" fontId="0" fillId="12" borderId="33" xfId="0" applyNumberFormat="1" applyFill="1" applyBorder="1" applyAlignment="1">
      <alignment horizontal="center" vertical="center"/>
    </xf>
    <xf numFmtId="0" fontId="0" fillId="12" borderId="56" xfId="0" applyFill="1" applyBorder="1" applyAlignment="1">
      <alignment horizontal="center" vertical="center"/>
    </xf>
    <xf numFmtId="0" fontId="0" fillId="14" borderId="56" xfId="0" applyFill="1" applyBorder="1" applyAlignment="1">
      <alignment horizontal="center" vertical="center"/>
    </xf>
    <xf numFmtId="49" fontId="0" fillId="12" borderId="35" xfId="0" applyNumberFormat="1" applyFill="1" applyBorder="1" applyAlignment="1">
      <alignment horizontal="center"/>
    </xf>
    <xf numFmtId="1" fontId="0" fillId="12" borderId="34" xfId="0" applyNumberFormat="1" applyFill="1" applyBorder="1" applyAlignment="1">
      <alignment horizontal="center"/>
    </xf>
    <xf numFmtId="0" fontId="0" fillId="12" borderId="27" xfId="0" applyFill="1" applyBorder="1" applyAlignment="1">
      <alignment horizontal="center"/>
    </xf>
    <xf numFmtId="0" fontId="0" fillId="12" borderId="37" xfId="0" applyFill="1" applyBorder="1" applyAlignment="1">
      <alignment horizontal="center"/>
    </xf>
    <xf numFmtId="0" fontId="0" fillId="12" borderId="30" xfId="0" applyFill="1" applyBorder="1" applyAlignment="1">
      <alignment horizontal="center"/>
    </xf>
    <xf numFmtId="0" fontId="0" fillId="12" borderId="29" xfId="0" applyFill="1" applyBorder="1" applyAlignment="1">
      <alignment horizontal="center"/>
    </xf>
    <xf numFmtId="0" fontId="0" fillId="12" borderId="36" xfId="0" applyFill="1" applyBorder="1" applyAlignment="1">
      <alignment horizontal="center" vertical="center"/>
    </xf>
    <xf numFmtId="0" fontId="0" fillId="12" borderId="38" xfId="0" applyFill="1" applyBorder="1" applyAlignment="1">
      <alignment horizontal="center" vertical="center"/>
    </xf>
    <xf numFmtId="0" fontId="0" fillId="12" borderId="54" xfId="0" applyFill="1" applyBorder="1" applyAlignment="1">
      <alignment horizontal="center" vertical="center"/>
    </xf>
    <xf numFmtId="0" fontId="0" fillId="12" borderId="53" xfId="0" applyFill="1" applyBorder="1" applyAlignment="1">
      <alignment horizontal="center" vertical="center"/>
    </xf>
    <xf numFmtId="0" fontId="0" fillId="14" borderId="36" xfId="0" applyFill="1" applyBorder="1" applyAlignment="1">
      <alignment horizontal="center" vertical="center"/>
    </xf>
    <xf numFmtId="0" fontId="0" fillId="14" borderId="37" xfId="0" applyFill="1" applyBorder="1" applyAlignment="1">
      <alignment horizontal="center" vertical="center"/>
    </xf>
    <xf numFmtId="0" fontId="0" fillId="12" borderId="55" xfId="0" applyFill="1" applyBorder="1" applyAlignment="1">
      <alignment horizontal="center" vertical="center"/>
    </xf>
    <xf numFmtId="0" fontId="0" fillId="14" borderId="55" xfId="0" applyFill="1" applyBorder="1" applyAlignment="1">
      <alignment horizontal="center" vertical="center"/>
    </xf>
    <xf numFmtId="0" fontId="0" fillId="12" borderId="38" xfId="0" applyFill="1" applyBorder="1"/>
    <xf numFmtId="0" fontId="0" fillId="12" borderId="41" xfId="0" applyFill="1" applyBorder="1"/>
    <xf numFmtId="0" fontId="0" fillId="12" borderId="41" xfId="0" applyFill="1" applyBorder="1" applyAlignment="1">
      <alignment horizontal="center" vertical="center"/>
    </xf>
    <xf numFmtId="0" fontId="0" fillId="12" borderId="43" xfId="0" applyFill="1" applyBorder="1"/>
    <xf numFmtId="0" fontId="0" fillId="14" borderId="44" xfId="0" applyFill="1" applyBorder="1"/>
    <xf numFmtId="0" fontId="0" fillId="12" borderId="44" xfId="0" applyFill="1" applyBorder="1"/>
    <xf numFmtId="0" fontId="0" fillId="12" borderId="45" xfId="0" applyFill="1" applyBorder="1"/>
    <xf numFmtId="1" fontId="0" fillId="12" borderId="27" xfId="0" applyNumberFormat="1" applyFill="1" applyBorder="1" applyAlignment="1">
      <alignment horizontal="center"/>
    </xf>
    <xf numFmtId="0" fontId="0" fillId="12" borderId="34" xfId="0" applyFill="1" applyBorder="1" applyAlignment="1">
      <alignment horizontal="center" wrapText="1"/>
    </xf>
    <xf numFmtId="0" fontId="0" fillId="12" borderId="58" xfId="0" applyFill="1" applyBorder="1" applyAlignment="1">
      <alignment horizontal="center" vertical="center"/>
    </xf>
    <xf numFmtId="0" fontId="4" fillId="13" borderId="65" xfId="0" applyFont="1" applyFill="1" applyBorder="1" applyAlignment="1" applyProtection="1">
      <alignment horizontal="center" vertical="center"/>
      <protection locked="0"/>
    </xf>
    <xf numFmtId="0" fontId="4" fillId="13" borderId="64" xfId="0" applyFont="1" applyFill="1" applyBorder="1" applyAlignment="1" applyProtection="1">
      <alignment horizontal="center" vertical="center"/>
      <protection locked="0"/>
    </xf>
    <xf numFmtId="0" fontId="4" fillId="12" borderId="63" xfId="0" applyFont="1" applyFill="1" applyBorder="1" applyAlignment="1">
      <alignment horizontal="center" vertical="center"/>
    </xf>
    <xf numFmtId="0" fontId="4" fillId="12" borderId="69" xfId="0" applyFont="1" applyFill="1" applyBorder="1" applyAlignment="1">
      <alignment horizontal="center" vertical="center"/>
    </xf>
    <xf numFmtId="0" fontId="4" fillId="12" borderId="62" xfId="0" applyFont="1" applyFill="1" applyBorder="1" applyAlignment="1">
      <alignment horizontal="center" vertical="center"/>
    </xf>
    <xf numFmtId="0" fontId="4" fillId="14" borderId="63" xfId="0" applyFont="1" applyFill="1" applyBorder="1" applyAlignment="1">
      <alignment horizontal="center" vertical="center"/>
    </xf>
    <xf numFmtId="0" fontId="4" fillId="14" borderId="72" xfId="0" applyFont="1" applyFill="1" applyBorder="1" applyAlignment="1">
      <alignment horizontal="center" vertical="center"/>
    </xf>
    <xf numFmtId="0" fontId="4" fillId="12" borderId="59" xfId="0" applyFont="1" applyFill="1" applyBorder="1" applyAlignment="1">
      <alignment horizontal="right"/>
    </xf>
    <xf numFmtId="0" fontId="4" fillId="13" borderId="60" xfId="0" applyFont="1" applyFill="1" applyBorder="1" applyAlignment="1" applyProtection="1">
      <alignment horizontal="center" vertical="center"/>
      <protection locked="0"/>
    </xf>
    <xf numFmtId="0" fontId="4" fillId="13" borderId="61" xfId="0" applyFont="1" applyFill="1" applyBorder="1" applyAlignment="1" applyProtection="1">
      <alignment horizontal="center" vertical="center"/>
      <protection locked="0"/>
    </xf>
    <xf numFmtId="0" fontId="4" fillId="12" borderId="60" xfId="0" applyFont="1" applyFill="1" applyBorder="1" applyAlignment="1">
      <alignment horizontal="right"/>
    </xf>
    <xf numFmtId="0" fontId="4" fillId="12" borderId="60" xfId="0" applyFont="1" applyFill="1" applyBorder="1" applyAlignment="1">
      <alignment horizontal="center" vertical="center"/>
    </xf>
    <xf numFmtId="0" fontId="4" fillId="12" borderId="61" xfId="0" applyFont="1" applyFill="1" applyBorder="1" applyAlignment="1">
      <alignment horizontal="center" vertical="center"/>
    </xf>
    <xf numFmtId="0" fontId="0" fillId="12" borderId="74" xfId="0" applyFill="1" applyBorder="1"/>
    <xf numFmtId="0" fontId="0" fillId="12" borderId="75" xfId="0" applyFill="1" applyBorder="1"/>
    <xf numFmtId="0" fontId="0" fillId="12" borderId="73" xfId="0" applyFill="1" applyBorder="1" applyAlignment="1">
      <alignment horizontal="center" vertical="center"/>
    </xf>
    <xf numFmtId="0" fontId="4" fillId="12" borderId="67" xfId="0" applyFont="1" applyFill="1" applyBorder="1" applyAlignment="1">
      <alignment horizontal="right"/>
    </xf>
    <xf numFmtId="0" fontId="4" fillId="12" borderId="68" xfId="0" applyFont="1" applyFill="1" applyBorder="1" applyAlignment="1">
      <alignment horizontal="right"/>
    </xf>
    <xf numFmtId="0" fontId="4" fillId="13" borderId="68" xfId="0" applyFont="1" applyFill="1" applyBorder="1" applyAlignment="1" applyProtection="1">
      <alignment horizontal="center" vertical="center"/>
      <protection locked="0"/>
    </xf>
    <xf numFmtId="0" fontId="4" fillId="13" borderId="77" xfId="0" applyFont="1" applyFill="1" applyBorder="1" applyAlignment="1" applyProtection="1">
      <alignment horizontal="center" vertical="center"/>
      <protection locked="0"/>
    </xf>
    <xf numFmtId="0" fontId="4" fillId="12" borderId="66" xfId="0" applyFont="1" applyFill="1" applyBorder="1" applyAlignment="1">
      <alignment horizontal="right"/>
    </xf>
    <xf numFmtId="0" fontId="4" fillId="12" borderId="65" xfId="0" applyFont="1" applyFill="1" applyBorder="1" applyAlignment="1">
      <alignment horizontal="right"/>
    </xf>
    <xf numFmtId="0" fontId="4" fillId="14" borderId="70" xfId="0" applyFont="1" applyFill="1" applyBorder="1" applyAlignment="1">
      <alignment horizontal="right"/>
    </xf>
    <xf numFmtId="0" fontId="4" fillId="14" borderId="71" xfId="0" applyFont="1" applyFill="1" applyBorder="1" applyAlignment="1">
      <alignment horizontal="right"/>
    </xf>
    <xf numFmtId="0" fontId="4" fillId="13" borderId="71" xfId="0" applyFont="1" applyFill="1" applyBorder="1" applyAlignment="1" applyProtection="1">
      <alignment horizontal="center" vertical="center"/>
      <protection locked="0"/>
    </xf>
    <xf numFmtId="0" fontId="4" fillId="13" borderId="78" xfId="0" applyFont="1" applyFill="1" applyBorder="1" applyAlignment="1" applyProtection="1">
      <alignment horizontal="center" vertical="center"/>
      <protection locked="0"/>
    </xf>
    <xf numFmtId="0" fontId="0" fillId="14" borderId="79" xfId="0" applyFill="1" applyBorder="1"/>
    <xf numFmtId="0" fontId="0" fillId="14" borderId="80" xfId="0" applyFill="1" applyBorder="1"/>
    <xf numFmtId="0" fontId="0" fillId="14" borderId="82" xfId="0" applyFill="1" applyBorder="1" applyAlignment="1">
      <alignment horizontal="center" vertical="center"/>
    </xf>
    <xf numFmtId="0" fontId="4" fillId="14" borderId="66" xfId="0" applyFont="1" applyFill="1" applyBorder="1" applyAlignment="1">
      <alignment horizontal="right"/>
    </xf>
    <xf numFmtId="0" fontId="4" fillId="14" borderId="65" xfId="0" applyFont="1" applyFill="1" applyBorder="1" applyAlignment="1">
      <alignment horizontal="right"/>
    </xf>
    <xf numFmtId="0" fontId="0" fillId="12" borderId="83" xfId="0" applyFill="1" applyBorder="1"/>
    <xf numFmtId="0" fontId="0" fillId="12" borderId="84" xfId="0" applyFill="1" applyBorder="1"/>
    <xf numFmtId="0" fontId="0" fillId="12" borderId="86" xfId="0" applyFill="1" applyBorder="1" applyAlignment="1">
      <alignment horizontal="center" vertical="center"/>
    </xf>
    <xf numFmtId="0" fontId="2" fillId="13" borderId="75" xfId="0" applyFont="1" applyFill="1" applyBorder="1" applyAlignment="1" applyProtection="1">
      <alignment horizontal="center" vertical="center"/>
      <protection locked="0"/>
    </xf>
    <xf numFmtId="0" fontId="2" fillId="13" borderId="76" xfId="0" applyFont="1" applyFill="1" applyBorder="1" applyAlignment="1" applyProtection="1">
      <alignment horizontal="center" vertical="center"/>
      <protection locked="0"/>
    </xf>
    <xf numFmtId="0" fontId="2" fillId="13" borderId="80" xfId="0" applyFont="1" applyFill="1" applyBorder="1" applyAlignment="1" applyProtection="1">
      <alignment horizontal="center" vertical="center"/>
      <protection locked="0"/>
    </xf>
    <xf numFmtId="0" fontId="2" fillId="13" borderId="81" xfId="0" applyFont="1" applyFill="1" applyBorder="1" applyAlignment="1" applyProtection="1">
      <alignment horizontal="center" vertical="center"/>
      <protection locked="0"/>
    </xf>
    <xf numFmtId="0" fontId="2" fillId="13" borderId="84" xfId="0" applyFont="1" applyFill="1" applyBorder="1" applyAlignment="1" applyProtection="1">
      <alignment horizontal="center" vertical="center"/>
      <protection locked="0"/>
    </xf>
    <xf numFmtId="0" fontId="2" fillId="13" borderId="85" xfId="0" applyFont="1" applyFill="1" applyBorder="1" applyAlignment="1" applyProtection="1">
      <alignment horizontal="center" vertical="center"/>
      <protection locked="0"/>
    </xf>
    <xf numFmtId="0" fontId="2" fillId="12" borderId="75" xfId="0" applyFont="1" applyFill="1" applyBorder="1" applyAlignment="1" applyProtection="1">
      <alignment horizontal="center" vertical="center"/>
      <protection locked="0"/>
    </xf>
    <xf numFmtId="0" fontId="2" fillId="12" borderId="76" xfId="0" applyFont="1" applyFill="1" applyBorder="1" applyAlignment="1" applyProtection="1">
      <alignment horizontal="center" vertical="center"/>
      <protection locked="0"/>
    </xf>
    <xf numFmtId="0" fontId="2" fillId="14" borderId="80" xfId="0" applyFont="1" applyFill="1" applyBorder="1" applyAlignment="1" applyProtection="1">
      <alignment horizontal="center" vertical="center"/>
      <protection locked="0"/>
    </xf>
    <xf numFmtId="0" fontId="2" fillId="14" borderId="81" xfId="0" applyFont="1" applyFill="1" applyBorder="1" applyAlignment="1" applyProtection="1">
      <alignment horizontal="center" vertical="center"/>
      <protection locked="0"/>
    </xf>
    <xf numFmtId="0" fontId="2" fillId="12" borderId="84" xfId="0" applyFont="1" applyFill="1" applyBorder="1" applyAlignment="1" applyProtection="1">
      <alignment horizontal="center" vertical="center"/>
      <protection locked="0"/>
    </xf>
    <xf numFmtId="0" fontId="2" fillId="12" borderId="85" xfId="0" applyFont="1" applyFill="1" applyBorder="1" applyAlignment="1" applyProtection="1">
      <alignment horizontal="center" vertical="center"/>
      <protection locked="0"/>
    </xf>
    <xf numFmtId="0" fontId="2" fillId="12" borderId="41" xfId="0" applyFont="1" applyFill="1" applyBorder="1" applyAlignment="1" applyProtection="1">
      <alignment horizontal="center" vertical="center"/>
      <protection locked="0"/>
    </xf>
    <xf numFmtId="0" fontId="2" fillId="12" borderId="57" xfId="0" applyFont="1" applyFill="1" applyBorder="1" applyAlignment="1" applyProtection="1">
      <alignment horizontal="center" vertical="center"/>
      <protection locked="0"/>
    </xf>
    <xf numFmtId="0" fontId="4" fillId="12" borderId="65" xfId="0" applyFont="1" applyFill="1" applyBorder="1" applyAlignment="1">
      <alignment horizontal="center" vertical="center"/>
    </xf>
    <xf numFmtId="0" fontId="4" fillId="12" borderId="64" xfId="0" applyFont="1" applyFill="1" applyBorder="1" applyAlignment="1">
      <alignment horizontal="center" vertical="center"/>
    </xf>
    <xf numFmtId="0" fontId="4" fillId="14" borderId="65" xfId="0" applyFont="1" applyFill="1" applyBorder="1" applyAlignment="1">
      <alignment horizontal="center" vertical="center"/>
    </xf>
    <xf numFmtId="0" fontId="4" fillId="14" borderId="64" xfId="0" applyFont="1" applyFill="1" applyBorder="1" applyAlignment="1">
      <alignment horizontal="center" vertical="center"/>
    </xf>
    <xf numFmtId="0" fontId="4" fillId="12" borderId="68" xfId="0" applyFont="1" applyFill="1" applyBorder="1" applyAlignment="1">
      <alignment horizontal="center" vertical="center"/>
    </xf>
    <xf numFmtId="0" fontId="4" fillId="12" borderId="77" xfId="0" applyFont="1" applyFill="1" applyBorder="1" applyAlignment="1">
      <alignment horizontal="center" vertical="center"/>
    </xf>
    <xf numFmtId="0" fontId="4" fillId="14" borderId="71" xfId="0" applyFont="1" applyFill="1" applyBorder="1" applyAlignment="1">
      <alignment horizontal="center" vertical="center"/>
    </xf>
    <xf numFmtId="0" fontId="4" fillId="14" borderId="78" xfId="0" applyFont="1" applyFill="1" applyBorder="1" applyAlignment="1">
      <alignment horizontal="center" vertical="center"/>
    </xf>
    <xf numFmtId="0" fontId="4" fillId="15" borderId="68" xfId="0" applyFont="1" applyFill="1" applyBorder="1" applyAlignment="1" applyProtection="1">
      <alignment horizontal="center" vertical="center"/>
      <protection locked="0"/>
    </xf>
    <xf numFmtId="0" fontId="4" fillId="16" borderId="65" xfId="0" applyFont="1" applyFill="1" applyBorder="1" applyAlignment="1" applyProtection="1">
      <alignment horizontal="center" vertical="center"/>
      <protection locked="0"/>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0" xfId="0" applyFont="1" applyFill="1" applyAlignment="1">
      <alignment horizontal="center" vertical="center"/>
    </xf>
    <xf numFmtId="0" fontId="1" fillId="2" borderId="6" xfId="0" applyFont="1" applyFill="1" applyBorder="1" applyAlignment="1">
      <alignment horizontal="center" vertical="center"/>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21" xfId="0" applyFont="1" applyFill="1" applyBorder="1" applyAlignment="1">
      <alignment vertical="top" wrapText="1"/>
    </xf>
    <xf numFmtId="0" fontId="2" fillId="5" borderId="22" xfId="0" applyFont="1" applyFill="1" applyBorder="1" applyAlignment="1">
      <alignment vertical="top" wrapText="1"/>
    </xf>
    <xf numFmtId="0" fontId="2" fillId="3" borderId="0" xfId="0" applyFont="1" applyFill="1" applyAlignment="1" applyProtection="1">
      <alignment horizontal="left"/>
      <protection locked="0"/>
    </xf>
    <xf numFmtId="0" fontId="2" fillId="3" borderId="6" xfId="0" applyFont="1" applyFill="1" applyBorder="1" applyAlignment="1" applyProtection="1">
      <alignment horizontal="left"/>
      <protection locked="0"/>
    </xf>
    <xf numFmtId="49" fontId="4" fillId="4" borderId="47" xfId="0" applyNumberFormat="1" applyFont="1" applyFill="1" applyBorder="1" applyAlignment="1">
      <alignment horizontal="center"/>
    </xf>
    <xf numFmtId="49" fontId="4" fillId="4" borderId="22" xfId="0" applyNumberFormat="1" applyFont="1" applyFill="1" applyBorder="1" applyAlignment="1">
      <alignment horizontal="center"/>
    </xf>
    <xf numFmtId="0" fontId="2" fillId="3" borderId="21" xfId="0" applyFont="1" applyFill="1" applyBorder="1" applyAlignment="1" applyProtection="1">
      <alignment horizontal="left"/>
      <protection locked="0"/>
    </xf>
    <xf numFmtId="0" fontId="2" fillId="3" borderId="22" xfId="0" applyFont="1" applyFill="1" applyBorder="1" applyAlignment="1" applyProtection="1">
      <alignment horizontal="left"/>
      <protection locked="0"/>
    </xf>
    <xf numFmtId="0" fontId="4" fillId="5" borderId="2" xfId="0" applyFont="1" applyFill="1" applyBorder="1" applyAlignment="1">
      <alignment horizontal="left" vertical="center" wrapText="1"/>
    </xf>
    <xf numFmtId="0" fontId="4" fillId="5" borderId="3" xfId="0" applyFont="1" applyFill="1" applyBorder="1" applyAlignment="1">
      <alignment horizontal="left" vertical="center" wrapText="1"/>
    </xf>
    <xf numFmtId="0" fontId="4" fillId="5" borderId="4" xfId="0" applyFont="1" applyFill="1" applyBorder="1" applyAlignment="1">
      <alignment horizontal="left" vertical="center" wrapText="1"/>
    </xf>
    <xf numFmtId="0" fontId="4" fillId="5" borderId="23" xfId="0" applyFont="1" applyFill="1" applyBorder="1" applyAlignment="1">
      <alignment horizontal="left" vertical="center" wrapText="1"/>
    </xf>
    <xf numFmtId="0" fontId="4" fillId="5" borderId="21" xfId="0" applyFont="1" applyFill="1" applyBorder="1" applyAlignment="1">
      <alignment horizontal="left" vertical="center" wrapText="1"/>
    </xf>
    <xf numFmtId="0" fontId="4" fillId="5" borderId="22" xfId="0" applyFont="1" applyFill="1" applyBorder="1" applyAlignment="1">
      <alignment horizontal="left" vertical="center" wrapText="1"/>
    </xf>
    <xf numFmtId="0" fontId="3" fillId="5" borderId="2" xfId="0" applyFont="1" applyFill="1" applyBorder="1" applyAlignment="1">
      <alignment horizontal="left" vertical="top" wrapText="1"/>
    </xf>
    <xf numFmtId="0" fontId="3" fillId="5" borderId="3" xfId="0" applyFont="1" applyFill="1" applyBorder="1" applyAlignment="1">
      <alignment horizontal="left" vertical="top" wrapText="1"/>
    </xf>
    <xf numFmtId="0" fontId="3" fillId="5" borderId="4" xfId="0" applyFont="1" applyFill="1" applyBorder="1" applyAlignment="1">
      <alignment horizontal="left" vertical="top" wrapText="1"/>
    </xf>
    <xf numFmtId="0" fontId="2" fillId="5" borderId="2" xfId="0" applyFont="1" applyFill="1" applyBorder="1" applyAlignment="1">
      <alignment horizontal="left" vertical="top" wrapText="1"/>
    </xf>
    <xf numFmtId="0" fontId="2" fillId="5" borderId="3" xfId="0" applyFont="1" applyFill="1" applyBorder="1" applyAlignment="1">
      <alignment horizontal="left" vertical="top" wrapText="1"/>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5" borderId="0" xfId="0" applyFont="1" applyFill="1" applyAlignment="1">
      <alignment horizontal="left" vertical="top" wrapText="1"/>
    </xf>
    <xf numFmtId="0" fontId="2" fillId="5" borderId="6" xfId="0" applyFont="1" applyFill="1" applyBorder="1" applyAlignment="1">
      <alignment horizontal="left" vertical="top" wrapText="1"/>
    </xf>
    <xf numFmtId="0" fontId="2" fillId="5" borderId="23" xfId="0"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2" xfId="0" applyFont="1" applyFill="1" applyBorder="1" applyAlignment="1">
      <alignment horizontal="left" vertical="top" wrapText="1"/>
    </xf>
    <xf numFmtId="14" fontId="2" fillId="3" borderId="3" xfId="0" applyNumberFormat="1" applyFont="1" applyFill="1" applyBorder="1" applyAlignment="1" applyProtection="1">
      <alignment horizontal="left"/>
      <protection locked="0"/>
    </xf>
    <xf numFmtId="14" fontId="2" fillId="3" borderId="4" xfId="0" applyNumberFormat="1" applyFont="1" applyFill="1" applyBorder="1" applyAlignment="1" applyProtection="1">
      <alignment horizontal="left"/>
      <protection locked="0"/>
    </xf>
    <xf numFmtId="0" fontId="9" fillId="5" borderId="2" xfId="2" applyFill="1" applyBorder="1" applyAlignment="1" applyProtection="1">
      <alignment horizontal="center"/>
      <protection locked="0"/>
    </xf>
    <xf numFmtId="0" fontId="9" fillId="5" borderId="3" xfId="2" applyFill="1" applyBorder="1" applyAlignment="1" applyProtection="1">
      <alignment horizontal="center"/>
      <protection locked="0"/>
    </xf>
    <xf numFmtId="0" fontId="9" fillId="5" borderId="4" xfId="2" applyFill="1" applyBorder="1" applyAlignment="1" applyProtection="1">
      <alignment horizontal="center"/>
      <protection locked="0"/>
    </xf>
    <xf numFmtId="0" fontId="9" fillId="5" borderId="5" xfId="2" applyFill="1" applyBorder="1" applyAlignment="1" applyProtection="1">
      <alignment horizontal="center"/>
      <protection locked="0"/>
    </xf>
    <xf numFmtId="0" fontId="9" fillId="5" borderId="0" xfId="2" applyFill="1" applyBorder="1" applyAlignment="1" applyProtection="1">
      <alignment horizontal="center"/>
      <protection locked="0"/>
    </xf>
    <xf numFmtId="0" fontId="9" fillId="5" borderId="6" xfId="2" applyFill="1" applyBorder="1" applyAlignment="1" applyProtection="1">
      <alignment horizontal="center"/>
      <protection locked="0"/>
    </xf>
    <xf numFmtId="0" fontId="12" fillId="5" borderId="23" xfId="0" applyFont="1" applyFill="1" applyBorder="1" applyAlignment="1" applyProtection="1">
      <alignment horizontal="center"/>
      <protection locked="0"/>
    </xf>
    <xf numFmtId="0" fontId="3" fillId="5" borderId="21" xfId="0" applyFont="1" applyFill="1" applyBorder="1" applyAlignment="1" applyProtection="1">
      <alignment horizontal="center"/>
      <protection locked="0"/>
    </xf>
    <xf numFmtId="0" fontId="3" fillId="5" borderId="22" xfId="0" applyFont="1" applyFill="1" applyBorder="1" applyAlignment="1" applyProtection="1">
      <alignment horizontal="center"/>
      <protection locked="0"/>
    </xf>
    <xf numFmtId="0" fontId="1" fillId="2" borderId="2"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protection locked="0"/>
    </xf>
    <xf numFmtId="0" fontId="1" fillId="2" borderId="4"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6" xfId="0" applyFont="1" applyFill="1" applyBorder="1" applyAlignment="1" applyProtection="1">
      <alignment horizontal="center" vertical="center"/>
      <protection locked="0"/>
    </xf>
    <xf numFmtId="49" fontId="4" fillId="4" borderId="23" xfId="0" applyNumberFormat="1" applyFont="1" applyFill="1" applyBorder="1" applyAlignment="1">
      <alignment horizontal="center"/>
    </xf>
    <xf numFmtId="49" fontId="4" fillId="4" borderId="48" xfId="0" applyNumberFormat="1" applyFont="1" applyFill="1" applyBorder="1" applyAlignment="1">
      <alignment horizontal="center"/>
    </xf>
    <xf numFmtId="0" fontId="0" fillId="10" borderId="27" xfId="0" applyFill="1" applyBorder="1" applyAlignment="1">
      <alignment horizontal="left" vertical="center" wrapText="1"/>
    </xf>
    <xf numFmtId="0" fontId="0" fillId="0" borderId="28" xfId="0" applyBorder="1" applyAlignment="1">
      <alignment horizontal="left" vertical="center" wrapText="1"/>
    </xf>
    <xf numFmtId="0" fontId="0" fillId="0" borderId="30" xfId="0" applyBorder="1" applyAlignment="1">
      <alignment horizontal="left" vertical="center" wrapText="1"/>
    </xf>
    <xf numFmtId="0" fontId="0" fillId="0" borderId="26" xfId="0" applyBorder="1" applyAlignment="1">
      <alignment horizontal="left" vertical="center" wrapText="1"/>
    </xf>
    <xf numFmtId="0" fontId="0" fillId="0" borderId="0" xfId="0" applyAlignment="1">
      <alignment horizontal="left" vertical="center" wrapText="1"/>
    </xf>
    <xf numFmtId="0" fontId="0" fillId="0" borderId="29" xfId="0" applyBorder="1" applyAlignment="1">
      <alignment horizontal="left" vertical="center" wrapText="1"/>
    </xf>
    <xf numFmtId="0" fontId="0" fillId="0" borderId="31" xfId="0" applyBorder="1" applyAlignment="1">
      <alignment horizontal="left" vertical="center" wrapText="1"/>
    </xf>
    <xf numFmtId="0" fontId="0" fillId="0" borderId="32" xfId="0" applyBorder="1" applyAlignment="1">
      <alignment horizontal="left" vertical="center" wrapText="1"/>
    </xf>
    <xf numFmtId="0" fontId="0" fillId="0" borderId="33" xfId="0" applyBorder="1" applyAlignment="1">
      <alignment horizontal="left" vertical="center" wrapText="1"/>
    </xf>
  </cellXfs>
  <cellStyles count="5">
    <cellStyle name="Link" xfId="2" builtinId="8"/>
    <cellStyle name="Prozent" xfId="1" builtinId="5"/>
    <cellStyle name="Prozent 2" xfId="4" xr:uid="{1507025D-B0F1-4420-901D-8726DF6DD13E}"/>
    <cellStyle name="Standard" xfId="0" builtinId="0"/>
    <cellStyle name="Standard 2" xfId="3" xr:uid="{8A3FEE63-99CF-4E9F-A246-50C9DB79BB51}"/>
  </cellStyles>
  <dxfs count="0"/>
  <tableStyles count="0" defaultTableStyle="TableStyleMedium2" defaultPivotStyle="PivotStyleLight16"/>
  <colors>
    <mruColors>
      <color rgb="FFFFDDDD"/>
      <color rgb="FFFFD9D9"/>
      <color rgb="FFE5FFE5"/>
      <color rgb="FFFFFF99"/>
      <color rgb="FFFCFC9A"/>
      <color rgb="FFFF0000"/>
      <color rgb="FFFF0097"/>
      <color rgb="FFFF9797"/>
      <color rgb="FFCDFFBD"/>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5.emf"/><Relationship Id="rId7" Type="http://schemas.openxmlformats.org/officeDocument/2006/relationships/image" Target="../media/image11.emf"/><Relationship Id="rId12" Type="http://schemas.openxmlformats.org/officeDocument/2006/relationships/image" Target="../media/image1.emf"/><Relationship Id="rId2" Type="http://schemas.openxmlformats.org/officeDocument/2006/relationships/image" Target="../media/image7.emf"/><Relationship Id="rId1" Type="http://schemas.openxmlformats.org/officeDocument/2006/relationships/image" Target="../media/image6.emf"/><Relationship Id="rId6" Type="http://schemas.openxmlformats.org/officeDocument/2006/relationships/image" Target="../media/image10.emf"/><Relationship Id="rId11" Type="http://schemas.openxmlformats.org/officeDocument/2006/relationships/image" Target="../media/image2.emf"/><Relationship Id="rId5" Type="http://schemas.openxmlformats.org/officeDocument/2006/relationships/image" Target="../media/image9.emf"/><Relationship Id="rId10" Type="http://schemas.openxmlformats.org/officeDocument/2006/relationships/image" Target="../media/image3.emf"/><Relationship Id="rId4" Type="http://schemas.openxmlformats.org/officeDocument/2006/relationships/image" Target="../media/image8.emf"/><Relationship Id="rId9"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3</xdr:col>
      <xdr:colOff>0</xdr:colOff>
      <xdr:row>12</xdr:row>
      <xdr:rowOff>0</xdr:rowOff>
    </xdr:from>
    <xdr:to>
      <xdr:col>4</xdr:col>
      <xdr:colOff>0</xdr:colOff>
      <xdr:row>13</xdr:row>
      <xdr:rowOff>0</xdr:rowOff>
    </xdr:to>
    <xdr:grpSp>
      <xdr:nvGrpSpPr>
        <xdr:cNvPr id="1084" name="Cross_D13">
          <a:extLst>
            <a:ext uri="{FF2B5EF4-FFF2-40B4-BE49-F238E27FC236}">
              <a16:creationId xmlns:a16="http://schemas.microsoft.com/office/drawing/2014/main" id="{78FF39D7-F1D9-173C-E506-FD1203E462E4}"/>
            </a:ext>
          </a:extLst>
        </xdr:cNvPr>
        <xdr:cNvGrpSpPr/>
      </xdr:nvGrpSpPr>
      <xdr:grpSpPr>
        <a:xfrm>
          <a:off x="2171700" y="2476500"/>
          <a:ext cx="581025" cy="228600"/>
          <a:chOff x="2240280" y="2499360"/>
          <a:chExt cx="601980" cy="228600"/>
        </a:xfrm>
      </xdr:grpSpPr>
      <xdr:cxnSp macro="">
        <xdr:nvCxnSpPr>
          <xdr:cNvPr id="1082" name="Gerader Verbinder 1081">
            <a:extLst>
              <a:ext uri="{FF2B5EF4-FFF2-40B4-BE49-F238E27FC236}">
                <a16:creationId xmlns:a16="http://schemas.microsoft.com/office/drawing/2014/main" id="{BF3BAE16-04EA-BB80-23E4-0703413F4E4F}"/>
              </a:ext>
            </a:extLst>
          </xdr:cNvPr>
          <xdr:cNvCxnSpPr/>
        </xdr:nvCxnSpPr>
        <xdr:spPr>
          <a:xfrm>
            <a:off x="224028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83" name="Gerader Verbinder 1082">
            <a:extLst>
              <a:ext uri="{FF2B5EF4-FFF2-40B4-BE49-F238E27FC236}">
                <a16:creationId xmlns:a16="http://schemas.microsoft.com/office/drawing/2014/main" id="{774EBFB2-2DF3-1061-6301-3DB1700A0D4D}"/>
              </a:ext>
            </a:extLst>
          </xdr:cNvPr>
          <xdr:cNvCxnSpPr/>
        </xdr:nvCxnSpPr>
        <xdr:spPr>
          <a:xfrm flipH="1">
            <a:off x="224028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13</xdr:row>
      <xdr:rowOff>0</xdr:rowOff>
    </xdr:from>
    <xdr:to>
      <xdr:col>4</xdr:col>
      <xdr:colOff>0</xdr:colOff>
      <xdr:row>14</xdr:row>
      <xdr:rowOff>0</xdr:rowOff>
    </xdr:to>
    <xdr:grpSp>
      <xdr:nvGrpSpPr>
        <xdr:cNvPr id="1087" name="Cross_D14">
          <a:extLst>
            <a:ext uri="{FF2B5EF4-FFF2-40B4-BE49-F238E27FC236}">
              <a16:creationId xmlns:a16="http://schemas.microsoft.com/office/drawing/2014/main" id="{25D9EB5B-4449-E17A-A41E-E5516DA9D6D7}"/>
            </a:ext>
          </a:extLst>
        </xdr:cNvPr>
        <xdr:cNvGrpSpPr/>
      </xdr:nvGrpSpPr>
      <xdr:grpSpPr>
        <a:xfrm>
          <a:off x="2171700" y="2705100"/>
          <a:ext cx="581025" cy="161925"/>
          <a:chOff x="2240280" y="2727960"/>
          <a:chExt cx="601980" cy="167640"/>
        </a:xfrm>
      </xdr:grpSpPr>
      <xdr:cxnSp macro="">
        <xdr:nvCxnSpPr>
          <xdr:cNvPr id="1085" name="Gerader Verbinder 1084">
            <a:extLst>
              <a:ext uri="{FF2B5EF4-FFF2-40B4-BE49-F238E27FC236}">
                <a16:creationId xmlns:a16="http://schemas.microsoft.com/office/drawing/2014/main" id="{B2030379-577A-0626-0129-E5B13762C20A}"/>
              </a:ext>
            </a:extLst>
          </xdr:cNvPr>
          <xdr:cNvCxnSpPr/>
        </xdr:nvCxnSpPr>
        <xdr:spPr>
          <a:xfrm>
            <a:off x="2240280" y="27279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86" name="Gerader Verbinder 1085">
            <a:extLst>
              <a:ext uri="{FF2B5EF4-FFF2-40B4-BE49-F238E27FC236}">
                <a16:creationId xmlns:a16="http://schemas.microsoft.com/office/drawing/2014/main" id="{4936DC60-CDA6-CF55-6E10-837F2B3784A5}"/>
              </a:ext>
            </a:extLst>
          </xdr:cNvPr>
          <xdr:cNvCxnSpPr/>
        </xdr:nvCxnSpPr>
        <xdr:spPr>
          <a:xfrm flipH="1">
            <a:off x="2240280" y="27279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14</xdr:row>
      <xdr:rowOff>0</xdr:rowOff>
    </xdr:from>
    <xdr:to>
      <xdr:col>4</xdr:col>
      <xdr:colOff>0</xdr:colOff>
      <xdr:row>15</xdr:row>
      <xdr:rowOff>0</xdr:rowOff>
    </xdr:to>
    <xdr:grpSp>
      <xdr:nvGrpSpPr>
        <xdr:cNvPr id="1090" name="Cross_D15">
          <a:extLst>
            <a:ext uri="{FF2B5EF4-FFF2-40B4-BE49-F238E27FC236}">
              <a16:creationId xmlns:a16="http://schemas.microsoft.com/office/drawing/2014/main" id="{8ED96F38-44C9-CFA8-99FE-5F3CAD1DC9D9}"/>
            </a:ext>
          </a:extLst>
        </xdr:cNvPr>
        <xdr:cNvGrpSpPr/>
      </xdr:nvGrpSpPr>
      <xdr:grpSpPr>
        <a:xfrm>
          <a:off x="2171700" y="2867025"/>
          <a:ext cx="581025" cy="161925"/>
          <a:chOff x="2240280" y="2895600"/>
          <a:chExt cx="601980" cy="167640"/>
        </a:xfrm>
      </xdr:grpSpPr>
      <xdr:cxnSp macro="">
        <xdr:nvCxnSpPr>
          <xdr:cNvPr id="1088" name="Gerader Verbinder 1087">
            <a:extLst>
              <a:ext uri="{FF2B5EF4-FFF2-40B4-BE49-F238E27FC236}">
                <a16:creationId xmlns:a16="http://schemas.microsoft.com/office/drawing/2014/main" id="{C9534EB9-686C-190C-2213-DB1DFED52342}"/>
              </a:ext>
            </a:extLst>
          </xdr:cNvPr>
          <xdr:cNvCxnSpPr/>
        </xdr:nvCxnSpPr>
        <xdr:spPr>
          <a:xfrm>
            <a:off x="2240280" y="2895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89" name="Gerader Verbinder 1088">
            <a:extLst>
              <a:ext uri="{FF2B5EF4-FFF2-40B4-BE49-F238E27FC236}">
                <a16:creationId xmlns:a16="http://schemas.microsoft.com/office/drawing/2014/main" id="{EAC2207F-DC85-A5B6-8F40-136DFE96F66B}"/>
              </a:ext>
            </a:extLst>
          </xdr:cNvPr>
          <xdr:cNvCxnSpPr/>
        </xdr:nvCxnSpPr>
        <xdr:spPr>
          <a:xfrm flipH="1">
            <a:off x="2240280" y="2895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21</xdr:row>
      <xdr:rowOff>0</xdr:rowOff>
    </xdr:from>
    <xdr:to>
      <xdr:col>4</xdr:col>
      <xdr:colOff>0</xdr:colOff>
      <xdr:row>22</xdr:row>
      <xdr:rowOff>0</xdr:rowOff>
    </xdr:to>
    <xdr:grpSp>
      <xdr:nvGrpSpPr>
        <xdr:cNvPr id="1093" name="Cross_D22">
          <a:extLst>
            <a:ext uri="{FF2B5EF4-FFF2-40B4-BE49-F238E27FC236}">
              <a16:creationId xmlns:a16="http://schemas.microsoft.com/office/drawing/2014/main" id="{13DB764F-7833-1C1B-6B2C-1F13372E69EB}"/>
            </a:ext>
          </a:extLst>
        </xdr:cNvPr>
        <xdr:cNvGrpSpPr/>
      </xdr:nvGrpSpPr>
      <xdr:grpSpPr>
        <a:xfrm>
          <a:off x="2171700" y="4133850"/>
          <a:ext cx="581025" cy="228600"/>
          <a:chOff x="2240280" y="4191000"/>
          <a:chExt cx="601980" cy="228600"/>
        </a:xfrm>
      </xdr:grpSpPr>
      <xdr:cxnSp macro="">
        <xdr:nvCxnSpPr>
          <xdr:cNvPr id="1091" name="Gerader Verbinder 1090">
            <a:extLst>
              <a:ext uri="{FF2B5EF4-FFF2-40B4-BE49-F238E27FC236}">
                <a16:creationId xmlns:a16="http://schemas.microsoft.com/office/drawing/2014/main" id="{9E03F50B-8A27-A6C0-0C19-CE75E8FF64FC}"/>
              </a:ext>
            </a:extLst>
          </xdr:cNvPr>
          <xdr:cNvCxnSpPr/>
        </xdr:nvCxnSpPr>
        <xdr:spPr>
          <a:xfrm>
            <a:off x="2240280" y="4191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92" name="Gerader Verbinder 1091">
            <a:extLst>
              <a:ext uri="{FF2B5EF4-FFF2-40B4-BE49-F238E27FC236}">
                <a16:creationId xmlns:a16="http://schemas.microsoft.com/office/drawing/2014/main" id="{3E3A6360-8D23-E0B5-5055-976BC1CE7628}"/>
              </a:ext>
            </a:extLst>
          </xdr:cNvPr>
          <xdr:cNvCxnSpPr/>
        </xdr:nvCxnSpPr>
        <xdr:spPr>
          <a:xfrm flipH="1">
            <a:off x="2240280" y="4191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22</xdr:row>
      <xdr:rowOff>0</xdr:rowOff>
    </xdr:from>
    <xdr:to>
      <xdr:col>4</xdr:col>
      <xdr:colOff>0</xdr:colOff>
      <xdr:row>23</xdr:row>
      <xdr:rowOff>0</xdr:rowOff>
    </xdr:to>
    <xdr:grpSp>
      <xdr:nvGrpSpPr>
        <xdr:cNvPr id="1096" name="Cross_D23">
          <a:extLst>
            <a:ext uri="{FF2B5EF4-FFF2-40B4-BE49-F238E27FC236}">
              <a16:creationId xmlns:a16="http://schemas.microsoft.com/office/drawing/2014/main" id="{F6095B6A-2BAF-EA3E-0B05-05E44C6EB47C}"/>
            </a:ext>
          </a:extLst>
        </xdr:cNvPr>
        <xdr:cNvGrpSpPr/>
      </xdr:nvGrpSpPr>
      <xdr:grpSpPr>
        <a:xfrm>
          <a:off x="2171700" y="4362450"/>
          <a:ext cx="581025" cy="161925"/>
          <a:chOff x="2240280" y="4419600"/>
          <a:chExt cx="601980" cy="167640"/>
        </a:xfrm>
      </xdr:grpSpPr>
      <xdr:cxnSp macro="">
        <xdr:nvCxnSpPr>
          <xdr:cNvPr id="1094" name="Gerader Verbinder 1093">
            <a:extLst>
              <a:ext uri="{FF2B5EF4-FFF2-40B4-BE49-F238E27FC236}">
                <a16:creationId xmlns:a16="http://schemas.microsoft.com/office/drawing/2014/main" id="{0B498479-16CA-18C2-45EF-600840E4E05D}"/>
              </a:ext>
            </a:extLst>
          </xdr:cNvPr>
          <xdr:cNvCxnSpPr/>
        </xdr:nvCxnSpPr>
        <xdr:spPr>
          <a:xfrm>
            <a:off x="2240280" y="4419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95" name="Gerader Verbinder 1094">
            <a:extLst>
              <a:ext uri="{FF2B5EF4-FFF2-40B4-BE49-F238E27FC236}">
                <a16:creationId xmlns:a16="http://schemas.microsoft.com/office/drawing/2014/main" id="{A23EC893-A822-C323-D983-379CE6109736}"/>
              </a:ext>
            </a:extLst>
          </xdr:cNvPr>
          <xdr:cNvCxnSpPr/>
        </xdr:nvCxnSpPr>
        <xdr:spPr>
          <a:xfrm flipH="1">
            <a:off x="2240280" y="4419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23</xdr:row>
      <xdr:rowOff>0</xdr:rowOff>
    </xdr:from>
    <xdr:to>
      <xdr:col>4</xdr:col>
      <xdr:colOff>0</xdr:colOff>
      <xdr:row>24</xdr:row>
      <xdr:rowOff>0</xdr:rowOff>
    </xdr:to>
    <xdr:grpSp>
      <xdr:nvGrpSpPr>
        <xdr:cNvPr id="1099" name="Cross_D24">
          <a:extLst>
            <a:ext uri="{FF2B5EF4-FFF2-40B4-BE49-F238E27FC236}">
              <a16:creationId xmlns:a16="http://schemas.microsoft.com/office/drawing/2014/main" id="{5A11515C-FF84-D23B-8997-9211E239E434}"/>
            </a:ext>
          </a:extLst>
        </xdr:cNvPr>
        <xdr:cNvGrpSpPr/>
      </xdr:nvGrpSpPr>
      <xdr:grpSpPr>
        <a:xfrm>
          <a:off x="2171700" y="4524375"/>
          <a:ext cx="581025" cy="161925"/>
          <a:chOff x="2240280" y="4587240"/>
          <a:chExt cx="601980" cy="167640"/>
        </a:xfrm>
      </xdr:grpSpPr>
      <xdr:cxnSp macro="">
        <xdr:nvCxnSpPr>
          <xdr:cNvPr id="1097" name="Gerader Verbinder 1096">
            <a:extLst>
              <a:ext uri="{FF2B5EF4-FFF2-40B4-BE49-F238E27FC236}">
                <a16:creationId xmlns:a16="http://schemas.microsoft.com/office/drawing/2014/main" id="{44E7CB2E-9B46-7F7A-0232-B99738116BBF}"/>
              </a:ext>
            </a:extLst>
          </xdr:cNvPr>
          <xdr:cNvCxnSpPr/>
        </xdr:nvCxnSpPr>
        <xdr:spPr>
          <a:xfrm>
            <a:off x="2240280" y="4587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98" name="Gerader Verbinder 1097">
            <a:extLst>
              <a:ext uri="{FF2B5EF4-FFF2-40B4-BE49-F238E27FC236}">
                <a16:creationId xmlns:a16="http://schemas.microsoft.com/office/drawing/2014/main" id="{220ECCC1-3414-BD25-B3B2-772E59E41DF4}"/>
              </a:ext>
            </a:extLst>
          </xdr:cNvPr>
          <xdr:cNvCxnSpPr/>
        </xdr:nvCxnSpPr>
        <xdr:spPr>
          <a:xfrm flipH="1">
            <a:off x="2240280" y="4587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24</xdr:row>
      <xdr:rowOff>0</xdr:rowOff>
    </xdr:from>
    <xdr:to>
      <xdr:col>4</xdr:col>
      <xdr:colOff>0</xdr:colOff>
      <xdr:row>25</xdr:row>
      <xdr:rowOff>0</xdr:rowOff>
    </xdr:to>
    <xdr:grpSp>
      <xdr:nvGrpSpPr>
        <xdr:cNvPr id="1102" name="Cross_D25">
          <a:extLst>
            <a:ext uri="{FF2B5EF4-FFF2-40B4-BE49-F238E27FC236}">
              <a16:creationId xmlns:a16="http://schemas.microsoft.com/office/drawing/2014/main" id="{808A7AD9-D3B3-D251-AE88-B192FF4E710A}"/>
            </a:ext>
          </a:extLst>
        </xdr:cNvPr>
        <xdr:cNvGrpSpPr/>
      </xdr:nvGrpSpPr>
      <xdr:grpSpPr>
        <a:xfrm>
          <a:off x="2171700" y="4686300"/>
          <a:ext cx="581025" cy="228600"/>
          <a:chOff x="2240280" y="4754880"/>
          <a:chExt cx="601980" cy="228600"/>
        </a:xfrm>
      </xdr:grpSpPr>
      <xdr:cxnSp macro="">
        <xdr:nvCxnSpPr>
          <xdr:cNvPr id="1100" name="Gerader Verbinder 1099">
            <a:extLst>
              <a:ext uri="{FF2B5EF4-FFF2-40B4-BE49-F238E27FC236}">
                <a16:creationId xmlns:a16="http://schemas.microsoft.com/office/drawing/2014/main" id="{2C5AA090-B26F-CE2A-C1BF-36D2D58BC00D}"/>
              </a:ext>
            </a:extLst>
          </xdr:cNvPr>
          <xdr:cNvCxnSpPr/>
        </xdr:nvCxnSpPr>
        <xdr:spPr>
          <a:xfrm>
            <a:off x="2240280" y="47548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01" name="Gerader Verbinder 1100">
            <a:extLst>
              <a:ext uri="{FF2B5EF4-FFF2-40B4-BE49-F238E27FC236}">
                <a16:creationId xmlns:a16="http://schemas.microsoft.com/office/drawing/2014/main" id="{C26040E1-333C-99E1-EA83-A4E29E5CB49C}"/>
              </a:ext>
            </a:extLst>
          </xdr:cNvPr>
          <xdr:cNvCxnSpPr/>
        </xdr:nvCxnSpPr>
        <xdr:spPr>
          <a:xfrm flipH="1">
            <a:off x="2240280" y="47548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25</xdr:row>
      <xdr:rowOff>0</xdr:rowOff>
    </xdr:from>
    <xdr:to>
      <xdr:col>4</xdr:col>
      <xdr:colOff>0</xdr:colOff>
      <xdr:row>26</xdr:row>
      <xdr:rowOff>0</xdr:rowOff>
    </xdr:to>
    <xdr:grpSp>
      <xdr:nvGrpSpPr>
        <xdr:cNvPr id="1105" name="Cross_D26">
          <a:extLst>
            <a:ext uri="{FF2B5EF4-FFF2-40B4-BE49-F238E27FC236}">
              <a16:creationId xmlns:a16="http://schemas.microsoft.com/office/drawing/2014/main" id="{9289BA35-6101-2930-949A-F28FF48F8290}"/>
            </a:ext>
          </a:extLst>
        </xdr:cNvPr>
        <xdr:cNvGrpSpPr/>
      </xdr:nvGrpSpPr>
      <xdr:grpSpPr>
        <a:xfrm>
          <a:off x="2171700" y="4914900"/>
          <a:ext cx="581025" cy="161925"/>
          <a:chOff x="2240280" y="4983480"/>
          <a:chExt cx="601980" cy="167640"/>
        </a:xfrm>
      </xdr:grpSpPr>
      <xdr:cxnSp macro="">
        <xdr:nvCxnSpPr>
          <xdr:cNvPr id="1103" name="Gerader Verbinder 1102">
            <a:extLst>
              <a:ext uri="{FF2B5EF4-FFF2-40B4-BE49-F238E27FC236}">
                <a16:creationId xmlns:a16="http://schemas.microsoft.com/office/drawing/2014/main" id="{B43FBDAF-FA78-D1E9-2A6B-E753FAF7810F}"/>
              </a:ext>
            </a:extLst>
          </xdr:cNvPr>
          <xdr:cNvCxnSpPr/>
        </xdr:nvCxnSpPr>
        <xdr:spPr>
          <a:xfrm>
            <a:off x="2240280" y="4983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04" name="Gerader Verbinder 1103">
            <a:extLst>
              <a:ext uri="{FF2B5EF4-FFF2-40B4-BE49-F238E27FC236}">
                <a16:creationId xmlns:a16="http://schemas.microsoft.com/office/drawing/2014/main" id="{549FF036-5F2A-9AF2-8557-AC9A5C4D2BC4}"/>
              </a:ext>
            </a:extLst>
          </xdr:cNvPr>
          <xdr:cNvCxnSpPr/>
        </xdr:nvCxnSpPr>
        <xdr:spPr>
          <a:xfrm flipH="1">
            <a:off x="2240280" y="4983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26</xdr:row>
      <xdr:rowOff>0</xdr:rowOff>
    </xdr:from>
    <xdr:to>
      <xdr:col>4</xdr:col>
      <xdr:colOff>0</xdr:colOff>
      <xdr:row>27</xdr:row>
      <xdr:rowOff>0</xdr:rowOff>
    </xdr:to>
    <xdr:grpSp>
      <xdr:nvGrpSpPr>
        <xdr:cNvPr id="1108" name="Cross_D27">
          <a:extLst>
            <a:ext uri="{FF2B5EF4-FFF2-40B4-BE49-F238E27FC236}">
              <a16:creationId xmlns:a16="http://schemas.microsoft.com/office/drawing/2014/main" id="{48F90BCC-CA99-F714-1AC2-80FEB21324FE}"/>
            </a:ext>
          </a:extLst>
        </xdr:cNvPr>
        <xdr:cNvGrpSpPr/>
      </xdr:nvGrpSpPr>
      <xdr:grpSpPr>
        <a:xfrm>
          <a:off x="2171700" y="5076825"/>
          <a:ext cx="581025" cy="161925"/>
          <a:chOff x="2240280" y="5151120"/>
          <a:chExt cx="601980" cy="167640"/>
        </a:xfrm>
      </xdr:grpSpPr>
      <xdr:cxnSp macro="">
        <xdr:nvCxnSpPr>
          <xdr:cNvPr id="1106" name="Gerader Verbinder 1105">
            <a:extLst>
              <a:ext uri="{FF2B5EF4-FFF2-40B4-BE49-F238E27FC236}">
                <a16:creationId xmlns:a16="http://schemas.microsoft.com/office/drawing/2014/main" id="{3DE54D0E-E516-E75D-EDB3-0223BFE6452A}"/>
              </a:ext>
            </a:extLst>
          </xdr:cNvPr>
          <xdr:cNvCxnSpPr/>
        </xdr:nvCxnSpPr>
        <xdr:spPr>
          <a:xfrm>
            <a:off x="2240280" y="5151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07" name="Gerader Verbinder 1106">
            <a:extLst>
              <a:ext uri="{FF2B5EF4-FFF2-40B4-BE49-F238E27FC236}">
                <a16:creationId xmlns:a16="http://schemas.microsoft.com/office/drawing/2014/main" id="{B5FAD308-8943-99E0-B3EE-3DAB2AF6F522}"/>
              </a:ext>
            </a:extLst>
          </xdr:cNvPr>
          <xdr:cNvCxnSpPr/>
        </xdr:nvCxnSpPr>
        <xdr:spPr>
          <a:xfrm flipH="1">
            <a:off x="2240280" y="5151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27</xdr:row>
      <xdr:rowOff>0</xdr:rowOff>
    </xdr:from>
    <xdr:to>
      <xdr:col>4</xdr:col>
      <xdr:colOff>0</xdr:colOff>
      <xdr:row>28</xdr:row>
      <xdr:rowOff>0</xdr:rowOff>
    </xdr:to>
    <xdr:grpSp>
      <xdr:nvGrpSpPr>
        <xdr:cNvPr id="1111" name="Cross_D28">
          <a:extLst>
            <a:ext uri="{FF2B5EF4-FFF2-40B4-BE49-F238E27FC236}">
              <a16:creationId xmlns:a16="http://schemas.microsoft.com/office/drawing/2014/main" id="{A406785C-D703-FF26-3E07-04105FF0621E}"/>
            </a:ext>
          </a:extLst>
        </xdr:cNvPr>
        <xdr:cNvGrpSpPr/>
      </xdr:nvGrpSpPr>
      <xdr:grpSpPr>
        <a:xfrm>
          <a:off x="2171700" y="5238750"/>
          <a:ext cx="581025" cy="228600"/>
          <a:chOff x="2240280" y="5318760"/>
          <a:chExt cx="601980" cy="228600"/>
        </a:xfrm>
      </xdr:grpSpPr>
      <xdr:cxnSp macro="">
        <xdr:nvCxnSpPr>
          <xdr:cNvPr id="1109" name="Gerader Verbinder 1108">
            <a:extLst>
              <a:ext uri="{FF2B5EF4-FFF2-40B4-BE49-F238E27FC236}">
                <a16:creationId xmlns:a16="http://schemas.microsoft.com/office/drawing/2014/main" id="{38861FD1-131B-C37D-F884-B0373B6738DB}"/>
              </a:ext>
            </a:extLst>
          </xdr:cNvPr>
          <xdr:cNvCxnSpPr/>
        </xdr:nvCxnSpPr>
        <xdr:spPr>
          <a:xfrm>
            <a:off x="224028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10" name="Gerader Verbinder 1109">
            <a:extLst>
              <a:ext uri="{FF2B5EF4-FFF2-40B4-BE49-F238E27FC236}">
                <a16:creationId xmlns:a16="http://schemas.microsoft.com/office/drawing/2014/main" id="{F765AECF-E715-41D2-A7A9-28AA0A162409}"/>
              </a:ext>
            </a:extLst>
          </xdr:cNvPr>
          <xdr:cNvCxnSpPr/>
        </xdr:nvCxnSpPr>
        <xdr:spPr>
          <a:xfrm flipH="1">
            <a:off x="224028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28</xdr:row>
      <xdr:rowOff>0</xdr:rowOff>
    </xdr:from>
    <xdr:to>
      <xdr:col>4</xdr:col>
      <xdr:colOff>0</xdr:colOff>
      <xdr:row>29</xdr:row>
      <xdr:rowOff>0</xdr:rowOff>
    </xdr:to>
    <xdr:grpSp>
      <xdr:nvGrpSpPr>
        <xdr:cNvPr id="1114" name="Cross_D29">
          <a:extLst>
            <a:ext uri="{FF2B5EF4-FFF2-40B4-BE49-F238E27FC236}">
              <a16:creationId xmlns:a16="http://schemas.microsoft.com/office/drawing/2014/main" id="{0D2BDBED-7D80-691F-CC6E-9D7A89BDCF63}"/>
            </a:ext>
          </a:extLst>
        </xdr:cNvPr>
        <xdr:cNvGrpSpPr/>
      </xdr:nvGrpSpPr>
      <xdr:grpSpPr>
        <a:xfrm>
          <a:off x="2171700" y="5467350"/>
          <a:ext cx="581025" cy="161925"/>
          <a:chOff x="2240280" y="5547360"/>
          <a:chExt cx="601980" cy="167640"/>
        </a:xfrm>
      </xdr:grpSpPr>
      <xdr:cxnSp macro="">
        <xdr:nvCxnSpPr>
          <xdr:cNvPr id="1112" name="Gerader Verbinder 1111">
            <a:extLst>
              <a:ext uri="{FF2B5EF4-FFF2-40B4-BE49-F238E27FC236}">
                <a16:creationId xmlns:a16="http://schemas.microsoft.com/office/drawing/2014/main" id="{46B3425A-7013-8BAA-FA7B-9BE900741EC3}"/>
              </a:ext>
            </a:extLst>
          </xdr:cNvPr>
          <xdr:cNvCxnSpPr/>
        </xdr:nvCxnSpPr>
        <xdr:spPr>
          <a:xfrm>
            <a:off x="2240280" y="5547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13" name="Gerader Verbinder 1112">
            <a:extLst>
              <a:ext uri="{FF2B5EF4-FFF2-40B4-BE49-F238E27FC236}">
                <a16:creationId xmlns:a16="http://schemas.microsoft.com/office/drawing/2014/main" id="{D31A858A-71D1-5E78-3D68-E8026BC56E56}"/>
              </a:ext>
            </a:extLst>
          </xdr:cNvPr>
          <xdr:cNvCxnSpPr/>
        </xdr:nvCxnSpPr>
        <xdr:spPr>
          <a:xfrm flipH="1">
            <a:off x="2240280" y="5547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29</xdr:row>
      <xdr:rowOff>0</xdr:rowOff>
    </xdr:from>
    <xdr:to>
      <xdr:col>4</xdr:col>
      <xdr:colOff>0</xdr:colOff>
      <xdr:row>30</xdr:row>
      <xdr:rowOff>0</xdr:rowOff>
    </xdr:to>
    <xdr:grpSp>
      <xdr:nvGrpSpPr>
        <xdr:cNvPr id="1117" name="Cross_D30">
          <a:extLst>
            <a:ext uri="{FF2B5EF4-FFF2-40B4-BE49-F238E27FC236}">
              <a16:creationId xmlns:a16="http://schemas.microsoft.com/office/drawing/2014/main" id="{CFC008EF-BD73-D58B-D31A-27F35DCF8891}"/>
            </a:ext>
          </a:extLst>
        </xdr:cNvPr>
        <xdr:cNvGrpSpPr/>
      </xdr:nvGrpSpPr>
      <xdr:grpSpPr>
        <a:xfrm>
          <a:off x="2171700" y="5629275"/>
          <a:ext cx="581025" cy="161925"/>
          <a:chOff x="2240280" y="5715000"/>
          <a:chExt cx="601980" cy="167640"/>
        </a:xfrm>
      </xdr:grpSpPr>
      <xdr:cxnSp macro="">
        <xdr:nvCxnSpPr>
          <xdr:cNvPr id="1115" name="Gerader Verbinder 1114">
            <a:extLst>
              <a:ext uri="{FF2B5EF4-FFF2-40B4-BE49-F238E27FC236}">
                <a16:creationId xmlns:a16="http://schemas.microsoft.com/office/drawing/2014/main" id="{0E699A86-335A-1FEC-43FE-C75450C35466}"/>
              </a:ext>
            </a:extLst>
          </xdr:cNvPr>
          <xdr:cNvCxnSpPr/>
        </xdr:nvCxnSpPr>
        <xdr:spPr>
          <a:xfrm>
            <a:off x="2240280" y="5715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16" name="Gerader Verbinder 1115">
            <a:extLst>
              <a:ext uri="{FF2B5EF4-FFF2-40B4-BE49-F238E27FC236}">
                <a16:creationId xmlns:a16="http://schemas.microsoft.com/office/drawing/2014/main" id="{8C1B7D2C-C5C0-4BFE-AF63-ACBC751EDA32}"/>
              </a:ext>
            </a:extLst>
          </xdr:cNvPr>
          <xdr:cNvCxnSpPr/>
        </xdr:nvCxnSpPr>
        <xdr:spPr>
          <a:xfrm flipH="1">
            <a:off x="2240280" y="5715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33</xdr:row>
      <xdr:rowOff>0</xdr:rowOff>
    </xdr:from>
    <xdr:to>
      <xdr:col>4</xdr:col>
      <xdr:colOff>0</xdr:colOff>
      <xdr:row>34</xdr:row>
      <xdr:rowOff>0</xdr:rowOff>
    </xdr:to>
    <xdr:grpSp>
      <xdr:nvGrpSpPr>
        <xdr:cNvPr id="1120" name="Cross_D34">
          <a:extLst>
            <a:ext uri="{FF2B5EF4-FFF2-40B4-BE49-F238E27FC236}">
              <a16:creationId xmlns:a16="http://schemas.microsoft.com/office/drawing/2014/main" id="{6B2DC640-5815-70D6-74C1-26CEC8CFFE43}"/>
            </a:ext>
          </a:extLst>
        </xdr:cNvPr>
        <xdr:cNvGrpSpPr/>
      </xdr:nvGrpSpPr>
      <xdr:grpSpPr>
        <a:xfrm>
          <a:off x="2171700" y="6343650"/>
          <a:ext cx="581025" cy="228600"/>
          <a:chOff x="2240280" y="6446520"/>
          <a:chExt cx="601980" cy="228600"/>
        </a:xfrm>
      </xdr:grpSpPr>
      <xdr:cxnSp macro="">
        <xdr:nvCxnSpPr>
          <xdr:cNvPr id="1118" name="Gerader Verbinder 1117">
            <a:extLst>
              <a:ext uri="{FF2B5EF4-FFF2-40B4-BE49-F238E27FC236}">
                <a16:creationId xmlns:a16="http://schemas.microsoft.com/office/drawing/2014/main" id="{FF253486-FAFB-43D2-0DD5-14C5637096A9}"/>
              </a:ext>
            </a:extLst>
          </xdr:cNvPr>
          <xdr:cNvCxnSpPr/>
        </xdr:nvCxnSpPr>
        <xdr:spPr>
          <a:xfrm>
            <a:off x="2240280" y="64465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19" name="Gerader Verbinder 1118">
            <a:extLst>
              <a:ext uri="{FF2B5EF4-FFF2-40B4-BE49-F238E27FC236}">
                <a16:creationId xmlns:a16="http://schemas.microsoft.com/office/drawing/2014/main" id="{2D23942F-670C-C9B9-B4EC-622A4772B371}"/>
              </a:ext>
            </a:extLst>
          </xdr:cNvPr>
          <xdr:cNvCxnSpPr/>
        </xdr:nvCxnSpPr>
        <xdr:spPr>
          <a:xfrm flipH="1">
            <a:off x="2240280" y="64465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34</xdr:row>
      <xdr:rowOff>0</xdr:rowOff>
    </xdr:from>
    <xdr:to>
      <xdr:col>4</xdr:col>
      <xdr:colOff>0</xdr:colOff>
      <xdr:row>35</xdr:row>
      <xdr:rowOff>0</xdr:rowOff>
    </xdr:to>
    <xdr:grpSp>
      <xdr:nvGrpSpPr>
        <xdr:cNvPr id="1123" name="Cross_D35">
          <a:extLst>
            <a:ext uri="{FF2B5EF4-FFF2-40B4-BE49-F238E27FC236}">
              <a16:creationId xmlns:a16="http://schemas.microsoft.com/office/drawing/2014/main" id="{B26A27D4-250E-21B2-FFBB-554FAC2ECBB6}"/>
            </a:ext>
          </a:extLst>
        </xdr:cNvPr>
        <xdr:cNvGrpSpPr/>
      </xdr:nvGrpSpPr>
      <xdr:grpSpPr>
        <a:xfrm>
          <a:off x="2171700" y="6572250"/>
          <a:ext cx="581025" cy="161925"/>
          <a:chOff x="2240280" y="6675120"/>
          <a:chExt cx="601980" cy="167640"/>
        </a:xfrm>
      </xdr:grpSpPr>
      <xdr:cxnSp macro="">
        <xdr:nvCxnSpPr>
          <xdr:cNvPr id="1121" name="Gerader Verbinder 1120">
            <a:extLst>
              <a:ext uri="{FF2B5EF4-FFF2-40B4-BE49-F238E27FC236}">
                <a16:creationId xmlns:a16="http://schemas.microsoft.com/office/drawing/2014/main" id="{B955235D-3260-A8E3-A820-11054F28C436}"/>
              </a:ext>
            </a:extLst>
          </xdr:cNvPr>
          <xdr:cNvCxnSpPr/>
        </xdr:nvCxnSpPr>
        <xdr:spPr>
          <a:xfrm>
            <a:off x="2240280" y="6675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22" name="Gerader Verbinder 1121">
            <a:extLst>
              <a:ext uri="{FF2B5EF4-FFF2-40B4-BE49-F238E27FC236}">
                <a16:creationId xmlns:a16="http://schemas.microsoft.com/office/drawing/2014/main" id="{82337323-C73F-B7F6-5EDF-37115716CE12}"/>
              </a:ext>
            </a:extLst>
          </xdr:cNvPr>
          <xdr:cNvCxnSpPr/>
        </xdr:nvCxnSpPr>
        <xdr:spPr>
          <a:xfrm flipH="1">
            <a:off x="2240280" y="6675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35</xdr:row>
      <xdr:rowOff>0</xdr:rowOff>
    </xdr:from>
    <xdr:to>
      <xdr:col>4</xdr:col>
      <xdr:colOff>0</xdr:colOff>
      <xdr:row>36</xdr:row>
      <xdr:rowOff>0</xdr:rowOff>
    </xdr:to>
    <xdr:grpSp>
      <xdr:nvGrpSpPr>
        <xdr:cNvPr id="1126" name="Cross_D36">
          <a:extLst>
            <a:ext uri="{FF2B5EF4-FFF2-40B4-BE49-F238E27FC236}">
              <a16:creationId xmlns:a16="http://schemas.microsoft.com/office/drawing/2014/main" id="{D822D2FD-DA33-102C-3C4B-A8F13346FC09}"/>
            </a:ext>
          </a:extLst>
        </xdr:cNvPr>
        <xdr:cNvGrpSpPr/>
      </xdr:nvGrpSpPr>
      <xdr:grpSpPr>
        <a:xfrm>
          <a:off x="2171700" y="6734175"/>
          <a:ext cx="581025" cy="161925"/>
          <a:chOff x="2240280" y="6842760"/>
          <a:chExt cx="601980" cy="167640"/>
        </a:xfrm>
      </xdr:grpSpPr>
      <xdr:cxnSp macro="">
        <xdr:nvCxnSpPr>
          <xdr:cNvPr id="1124" name="Gerader Verbinder 1123">
            <a:extLst>
              <a:ext uri="{FF2B5EF4-FFF2-40B4-BE49-F238E27FC236}">
                <a16:creationId xmlns:a16="http://schemas.microsoft.com/office/drawing/2014/main" id="{194561A2-33FA-74E8-E143-EDA8E8B0D2E4}"/>
              </a:ext>
            </a:extLst>
          </xdr:cNvPr>
          <xdr:cNvCxnSpPr/>
        </xdr:nvCxnSpPr>
        <xdr:spPr>
          <a:xfrm>
            <a:off x="2240280" y="6842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25" name="Gerader Verbinder 1124">
            <a:extLst>
              <a:ext uri="{FF2B5EF4-FFF2-40B4-BE49-F238E27FC236}">
                <a16:creationId xmlns:a16="http://schemas.microsoft.com/office/drawing/2014/main" id="{27322A62-C5BA-6DA9-B8DA-68ACE77BF26C}"/>
              </a:ext>
            </a:extLst>
          </xdr:cNvPr>
          <xdr:cNvCxnSpPr/>
        </xdr:nvCxnSpPr>
        <xdr:spPr>
          <a:xfrm flipH="1">
            <a:off x="2240280" y="6842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45</xdr:row>
      <xdr:rowOff>0</xdr:rowOff>
    </xdr:from>
    <xdr:to>
      <xdr:col>4</xdr:col>
      <xdr:colOff>0</xdr:colOff>
      <xdr:row>46</xdr:row>
      <xdr:rowOff>0</xdr:rowOff>
    </xdr:to>
    <xdr:grpSp>
      <xdr:nvGrpSpPr>
        <xdr:cNvPr id="1129" name="Cross_D46">
          <a:extLst>
            <a:ext uri="{FF2B5EF4-FFF2-40B4-BE49-F238E27FC236}">
              <a16:creationId xmlns:a16="http://schemas.microsoft.com/office/drawing/2014/main" id="{1518CC19-E2A5-C1A5-1E2A-4654FF977DAC}"/>
            </a:ext>
          </a:extLst>
        </xdr:cNvPr>
        <xdr:cNvGrpSpPr/>
      </xdr:nvGrpSpPr>
      <xdr:grpSpPr>
        <a:xfrm>
          <a:off x="2171700" y="8553450"/>
          <a:ext cx="581025" cy="228600"/>
          <a:chOff x="2240280" y="8702040"/>
          <a:chExt cx="601980" cy="228600"/>
        </a:xfrm>
      </xdr:grpSpPr>
      <xdr:cxnSp macro="">
        <xdr:nvCxnSpPr>
          <xdr:cNvPr id="1127" name="Gerader Verbinder 1126">
            <a:extLst>
              <a:ext uri="{FF2B5EF4-FFF2-40B4-BE49-F238E27FC236}">
                <a16:creationId xmlns:a16="http://schemas.microsoft.com/office/drawing/2014/main" id="{BC092966-65CA-2C49-1A35-D3A6BD15551B}"/>
              </a:ext>
            </a:extLst>
          </xdr:cNvPr>
          <xdr:cNvCxnSpPr/>
        </xdr:nvCxnSpPr>
        <xdr:spPr>
          <a:xfrm>
            <a:off x="224028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28" name="Gerader Verbinder 1127">
            <a:extLst>
              <a:ext uri="{FF2B5EF4-FFF2-40B4-BE49-F238E27FC236}">
                <a16:creationId xmlns:a16="http://schemas.microsoft.com/office/drawing/2014/main" id="{98710935-BCC2-FC04-E215-1026C16769EC}"/>
              </a:ext>
            </a:extLst>
          </xdr:cNvPr>
          <xdr:cNvCxnSpPr/>
        </xdr:nvCxnSpPr>
        <xdr:spPr>
          <a:xfrm flipH="1">
            <a:off x="224028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46</xdr:row>
      <xdr:rowOff>0</xdr:rowOff>
    </xdr:from>
    <xdr:to>
      <xdr:col>4</xdr:col>
      <xdr:colOff>0</xdr:colOff>
      <xdr:row>47</xdr:row>
      <xdr:rowOff>0</xdr:rowOff>
    </xdr:to>
    <xdr:grpSp>
      <xdr:nvGrpSpPr>
        <xdr:cNvPr id="1132" name="Cross_D47">
          <a:extLst>
            <a:ext uri="{FF2B5EF4-FFF2-40B4-BE49-F238E27FC236}">
              <a16:creationId xmlns:a16="http://schemas.microsoft.com/office/drawing/2014/main" id="{9D6232EB-3004-80E3-74E5-1866D0439EB5}"/>
            </a:ext>
          </a:extLst>
        </xdr:cNvPr>
        <xdr:cNvGrpSpPr/>
      </xdr:nvGrpSpPr>
      <xdr:grpSpPr>
        <a:xfrm>
          <a:off x="2171700" y="8782050"/>
          <a:ext cx="581025" cy="161925"/>
          <a:chOff x="2240280" y="8930640"/>
          <a:chExt cx="601980" cy="167640"/>
        </a:xfrm>
      </xdr:grpSpPr>
      <xdr:cxnSp macro="">
        <xdr:nvCxnSpPr>
          <xdr:cNvPr id="1130" name="Gerader Verbinder 1129">
            <a:extLst>
              <a:ext uri="{FF2B5EF4-FFF2-40B4-BE49-F238E27FC236}">
                <a16:creationId xmlns:a16="http://schemas.microsoft.com/office/drawing/2014/main" id="{76CF40C6-A289-74C5-3D98-4C7032A1B0A5}"/>
              </a:ext>
            </a:extLst>
          </xdr:cNvPr>
          <xdr:cNvCxnSpPr/>
        </xdr:nvCxnSpPr>
        <xdr:spPr>
          <a:xfrm>
            <a:off x="2240280" y="8930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31" name="Gerader Verbinder 1130">
            <a:extLst>
              <a:ext uri="{FF2B5EF4-FFF2-40B4-BE49-F238E27FC236}">
                <a16:creationId xmlns:a16="http://schemas.microsoft.com/office/drawing/2014/main" id="{5213A35D-D1FF-F92E-B389-7E9A04D979BE}"/>
              </a:ext>
            </a:extLst>
          </xdr:cNvPr>
          <xdr:cNvCxnSpPr/>
        </xdr:nvCxnSpPr>
        <xdr:spPr>
          <a:xfrm flipH="1">
            <a:off x="2240280" y="8930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47</xdr:row>
      <xdr:rowOff>0</xdr:rowOff>
    </xdr:from>
    <xdr:to>
      <xdr:col>4</xdr:col>
      <xdr:colOff>0</xdr:colOff>
      <xdr:row>48</xdr:row>
      <xdr:rowOff>0</xdr:rowOff>
    </xdr:to>
    <xdr:grpSp>
      <xdr:nvGrpSpPr>
        <xdr:cNvPr id="1135" name="Cross_D48">
          <a:extLst>
            <a:ext uri="{FF2B5EF4-FFF2-40B4-BE49-F238E27FC236}">
              <a16:creationId xmlns:a16="http://schemas.microsoft.com/office/drawing/2014/main" id="{DC1DDEDE-E74F-6E05-53DE-9744E48D8A29}"/>
            </a:ext>
          </a:extLst>
        </xdr:cNvPr>
        <xdr:cNvGrpSpPr/>
      </xdr:nvGrpSpPr>
      <xdr:grpSpPr>
        <a:xfrm>
          <a:off x="2171700" y="8943975"/>
          <a:ext cx="581025" cy="161925"/>
          <a:chOff x="2240280" y="9098280"/>
          <a:chExt cx="601980" cy="167640"/>
        </a:xfrm>
      </xdr:grpSpPr>
      <xdr:cxnSp macro="">
        <xdr:nvCxnSpPr>
          <xdr:cNvPr id="1133" name="Gerader Verbinder 1132">
            <a:extLst>
              <a:ext uri="{FF2B5EF4-FFF2-40B4-BE49-F238E27FC236}">
                <a16:creationId xmlns:a16="http://schemas.microsoft.com/office/drawing/2014/main" id="{C4B56727-0C48-15AF-9F2C-B42A1D661841}"/>
              </a:ext>
            </a:extLst>
          </xdr:cNvPr>
          <xdr:cNvCxnSpPr/>
        </xdr:nvCxnSpPr>
        <xdr:spPr>
          <a:xfrm>
            <a:off x="2240280" y="9098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34" name="Gerader Verbinder 1133">
            <a:extLst>
              <a:ext uri="{FF2B5EF4-FFF2-40B4-BE49-F238E27FC236}">
                <a16:creationId xmlns:a16="http://schemas.microsoft.com/office/drawing/2014/main" id="{4D4D4ACE-F587-05DF-AC11-7A6FE7EF5798}"/>
              </a:ext>
            </a:extLst>
          </xdr:cNvPr>
          <xdr:cNvCxnSpPr/>
        </xdr:nvCxnSpPr>
        <xdr:spPr>
          <a:xfrm flipH="1">
            <a:off x="2240280" y="9098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48</xdr:row>
      <xdr:rowOff>0</xdr:rowOff>
    </xdr:from>
    <xdr:to>
      <xdr:col>4</xdr:col>
      <xdr:colOff>0</xdr:colOff>
      <xdr:row>49</xdr:row>
      <xdr:rowOff>0</xdr:rowOff>
    </xdr:to>
    <xdr:grpSp>
      <xdr:nvGrpSpPr>
        <xdr:cNvPr id="1138" name="Cross_D49">
          <a:extLst>
            <a:ext uri="{FF2B5EF4-FFF2-40B4-BE49-F238E27FC236}">
              <a16:creationId xmlns:a16="http://schemas.microsoft.com/office/drawing/2014/main" id="{45B26B6B-819D-4AAD-4339-2FCD07B873B5}"/>
            </a:ext>
          </a:extLst>
        </xdr:cNvPr>
        <xdr:cNvGrpSpPr/>
      </xdr:nvGrpSpPr>
      <xdr:grpSpPr>
        <a:xfrm>
          <a:off x="2171700" y="9105900"/>
          <a:ext cx="581025" cy="228600"/>
          <a:chOff x="2240280" y="9265920"/>
          <a:chExt cx="601980" cy="228600"/>
        </a:xfrm>
      </xdr:grpSpPr>
      <xdr:cxnSp macro="">
        <xdr:nvCxnSpPr>
          <xdr:cNvPr id="1136" name="Gerader Verbinder 1135">
            <a:extLst>
              <a:ext uri="{FF2B5EF4-FFF2-40B4-BE49-F238E27FC236}">
                <a16:creationId xmlns:a16="http://schemas.microsoft.com/office/drawing/2014/main" id="{80D483BC-9AF3-04DD-E39E-9787700462B2}"/>
              </a:ext>
            </a:extLst>
          </xdr:cNvPr>
          <xdr:cNvCxnSpPr/>
        </xdr:nvCxnSpPr>
        <xdr:spPr>
          <a:xfrm>
            <a:off x="2240280" y="92659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37" name="Gerader Verbinder 1136">
            <a:extLst>
              <a:ext uri="{FF2B5EF4-FFF2-40B4-BE49-F238E27FC236}">
                <a16:creationId xmlns:a16="http://schemas.microsoft.com/office/drawing/2014/main" id="{C781C7AC-6E11-CDC5-35C2-DB5721087C4B}"/>
              </a:ext>
            </a:extLst>
          </xdr:cNvPr>
          <xdr:cNvCxnSpPr/>
        </xdr:nvCxnSpPr>
        <xdr:spPr>
          <a:xfrm flipH="1">
            <a:off x="2240280" y="92659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49</xdr:row>
      <xdr:rowOff>0</xdr:rowOff>
    </xdr:from>
    <xdr:to>
      <xdr:col>4</xdr:col>
      <xdr:colOff>0</xdr:colOff>
      <xdr:row>50</xdr:row>
      <xdr:rowOff>0</xdr:rowOff>
    </xdr:to>
    <xdr:grpSp>
      <xdr:nvGrpSpPr>
        <xdr:cNvPr id="1141" name="Cross_D50">
          <a:extLst>
            <a:ext uri="{FF2B5EF4-FFF2-40B4-BE49-F238E27FC236}">
              <a16:creationId xmlns:a16="http://schemas.microsoft.com/office/drawing/2014/main" id="{F62DE191-0EC3-0B79-8DAB-880362789FA1}"/>
            </a:ext>
          </a:extLst>
        </xdr:cNvPr>
        <xdr:cNvGrpSpPr/>
      </xdr:nvGrpSpPr>
      <xdr:grpSpPr>
        <a:xfrm>
          <a:off x="2171700" y="9334500"/>
          <a:ext cx="581025" cy="161925"/>
          <a:chOff x="2240280" y="9494520"/>
          <a:chExt cx="601980" cy="167640"/>
        </a:xfrm>
      </xdr:grpSpPr>
      <xdr:cxnSp macro="">
        <xdr:nvCxnSpPr>
          <xdr:cNvPr id="1139" name="Gerader Verbinder 1138">
            <a:extLst>
              <a:ext uri="{FF2B5EF4-FFF2-40B4-BE49-F238E27FC236}">
                <a16:creationId xmlns:a16="http://schemas.microsoft.com/office/drawing/2014/main" id="{389BFD45-6176-3A1A-24B4-D7BDCEFE7DE1}"/>
              </a:ext>
            </a:extLst>
          </xdr:cNvPr>
          <xdr:cNvCxnSpPr/>
        </xdr:nvCxnSpPr>
        <xdr:spPr>
          <a:xfrm>
            <a:off x="2240280" y="9494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40" name="Gerader Verbinder 1139">
            <a:extLst>
              <a:ext uri="{FF2B5EF4-FFF2-40B4-BE49-F238E27FC236}">
                <a16:creationId xmlns:a16="http://schemas.microsoft.com/office/drawing/2014/main" id="{8ACF9214-1176-87C2-599D-2E81FD84F7DB}"/>
              </a:ext>
            </a:extLst>
          </xdr:cNvPr>
          <xdr:cNvCxnSpPr/>
        </xdr:nvCxnSpPr>
        <xdr:spPr>
          <a:xfrm flipH="1">
            <a:off x="2240280" y="9494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50</xdr:row>
      <xdr:rowOff>0</xdr:rowOff>
    </xdr:from>
    <xdr:to>
      <xdr:col>4</xdr:col>
      <xdr:colOff>0</xdr:colOff>
      <xdr:row>51</xdr:row>
      <xdr:rowOff>0</xdr:rowOff>
    </xdr:to>
    <xdr:grpSp>
      <xdr:nvGrpSpPr>
        <xdr:cNvPr id="1144" name="Cross_D51">
          <a:extLst>
            <a:ext uri="{FF2B5EF4-FFF2-40B4-BE49-F238E27FC236}">
              <a16:creationId xmlns:a16="http://schemas.microsoft.com/office/drawing/2014/main" id="{66535FD0-EA8E-2625-D6BB-630A52A9F489}"/>
            </a:ext>
          </a:extLst>
        </xdr:cNvPr>
        <xdr:cNvGrpSpPr/>
      </xdr:nvGrpSpPr>
      <xdr:grpSpPr>
        <a:xfrm>
          <a:off x="2171700" y="9496425"/>
          <a:ext cx="581025" cy="161925"/>
          <a:chOff x="2240280" y="9662160"/>
          <a:chExt cx="601980" cy="167640"/>
        </a:xfrm>
      </xdr:grpSpPr>
      <xdr:cxnSp macro="">
        <xdr:nvCxnSpPr>
          <xdr:cNvPr id="1142" name="Gerader Verbinder 1141">
            <a:extLst>
              <a:ext uri="{FF2B5EF4-FFF2-40B4-BE49-F238E27FC236}">
                <a16:creationId xmlns:a16="http://schemas.microsoft.com/office/drawing/2014/main" id="{30E701BB-F4C0-96D8-B662-A88BF87B63A1}"/>
              </a:ext>
            </a:extLst>
          </xdr:cNvPr>
          <xdr:cNvCxnSpPr/>
        </xdr:nvCxnSpPr>
        <xdr:spPr>
          <a:xfrm>
            <a:off x="2240280" y="9662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43" name="Gerader Verbinder 1142">
            <a:extLst>
              <a:ext uri="{FF2B5EF4-FFF2-40B4-BE49-F238E27FC236}">
                <a16:creationId xmlns:a16="http://schemas.microsoft.com/office/drawing/2014/main" id="{78CFFE76-FD3D-A599-B269-63159CBC0EA8}"/>
              </a:ext>
            </a:extLst>
          </xdr:cNvPr>
          <xdr:cNvCxnSpPr/>
        </xdr:nvCxnSpPr>
        <xdr:spPr>
          <a:xfrm flipH="1">
            <a:off x="2240280" y="9662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51</xdr:row>
      <xdr:rowOff>0</xdr:rowOff>
    </xdr:from>
    <xdr:to>
      <xdr:col>4</xdr:col>
      <xdr:colOff>0</xdr:colOff>
      <xdr:row>52</xdr:row>
      <xdr:rowOff>0</xdr:rowOff>
    </xdr:to>
    <xdr:grpSp>
      <xdr:nvGrpSpPr>
        <xdr:cNvPr id="1147" name="Cross_D52">
          <a:extLst>
            <a:ext uri="{FF2B5EF4-FFF2-40B4-BE49-F238E27FC236}">
              <a16:creationId xmlns:a16="http://schemas.microsoft.com/office/drawing/2014/main" id="{BD9534BD-543A-77DC-BF1E-D3C69193340B}"/>
            </a:ext>
          </a:extLst>
        </xdr:cNvPr>
        <xdr:cNvGrpSpPr/>
      </xdr:nvGrpSpPr>
      <xdr:grpSpPr>
        <a:xfrm>
          <a:off x="2171700" y="9658350"/>
          <a:ext cx="581025" cy="228600"/>
          <a:chOff x="2240280" y="9829800"/>
          <a:chExt cx="601980" cy="228600"/>
        </a:xfrm>
      </xdr:grpSpPr>
      <xdr:cxnSp macro="">
        <xdr:nvCxnSpPr>
          <xdr:cNvPr id="1145" name="Gerader Verbinder 1144">
            <a:extLst>
              <a:ext uri="{FF2B5EF4-FFF2-40B4-BE49-F238E27FC236}">
                <a16:creationId xmlns:a16="http://schemas.microsoft.com/office/drawing/2014/main" id="{A159DB5E-E1AD-F5F4-EBD2-03502A9C040D}"/>
              </a:ext>
            </a:extLst>
          </xdr:cNvPr>
          <xdr:cNvCxnSpPr/>
        </xdr:nvCxnSpPr>
        <xdr:spPr>
          <a:xfrm>
            <a:off x="2240280" y="9829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46" name="Gerader Verbinder 1145">
            <a:extLst>
              <a:ext uri="{FF2B5EF4-FFF2-40B4-BE49-F238E27FC236}">
                <a16:creationId xmlns:a16="http://schemas.microsoft.com/office/drawing/2014/main" id="{45908EB7-9257-613F-355C-2188A2361B27}"/>
              </a:ext>
            </a:extLst>
          </xdr:cNvPr>
          <xdr:cNvCxnSpPr/>
        </xdr:nvCxnSpPr>
        <xdr:spPr>
          <a:xfrm flipH="1">
            <a:off x="2240280" y="9829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52</xdr:row>
      <xdr:rowOff>0</xdr:rowOff>
    </xdr:from>
    <xdr:to>
      <xdr:col>4</xdr:col>
      <xdr:colOff>0</xdr:colOff>
      <xdr:row>53</xdr:row>
      <xdr:rowOff>0</xdr:rowOff>
    </xdr:to>
    <xdr:grpSp>
      <xdr:nvGrpSpPr>
        <xdr:cNvPr id="1150" name="Cross_D53">
          <a:extLst>
            <a:ext uri="{FF2B5EF4-FFF2-40B4-BE49-F238E27FC236}">
              <a16:creationId xmlns:a16="http://schemas.microsoft.com/office/drawing/2014/main" id="{4369ADAC-3834-3584-CDD0-50BC1502201C}"/>
            </a:ext>
          </a:extLst>
        </xdr:cNvPr>
        <xdr:cNvGrpSpPr/>
      </xdr:nvGrpSpPr>
      <xdr:grpSpPr>
        <a:xfrm>
          <a:off x="2171700" y="9886950"/>
          <a:ext cx="581025" cy="161925"/>
          <a:chOff x="2240280" y="10058400"/>
          <a:chExt cx="601980" cy="167640"/>
        </a:xfrm>
      </xdr:grpSpPr>
      <xdr:cxnSp macro="">
        <xdr:nvCxnSpPr>
          <xdr:cNvPr id="1148" name="Gerader Verbinder 1147">
            <a:extLst>
              <a:ext uri="{FF2B5EF4-FFF2-40B4-BE49-F238E27FC236}">
                <a16:creationId xmlns:a16="http://schemas.microsoft.com/office/drawing/2014/main" id="{8A8C7910-4441-85A4-877D-1EE71AC25B70}"/>
              </a:ext>
            </a:extLst>
          </xdr:cNvPr>
          <xdr:cNvCxnSpPr/>
        </xdr:nvCxnSpPr>
        <xdr:spPr>
          <a:xfrm>
            <a:off x="2240280" y="10058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49" name="Gerader Verbinder 1148">
            <a:extLst>
              <a:ext uri="{FF2B5EF4-FFF2-40B4-BE49-F238E27FC236}">
                <a16:creationId xmlns:a16="http://schemas.microsoft.com/office/drawing/2014/main" id="{817F733B-D4B4-A3E5-CB6A-CD9B12954FC2}"/>
              </a:ext>
            </a:extLst>
          </xdr:cNvPr>
          <xdr:cNvCxnSpPr/>
        </xdr:nvCxnSpPr>
        <xdr:spPr>
          <a:xfrm flipH="1">
            <a:off x="2240280" y="10058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53</xdr:row>
      <xdr:rowOff>0</xdr:rowOff>
    </xdr:from>
    <xdr:to>
      <xdr:col>4</xdr:col>
      <xdr:colOff>0</xdr:colOff>
      <xdr:row>54</xdr:row>
      <xdr:rowOff>0</xdr:rowOff>
    </xdr:to>
    <xdr:grpSp>
      <xdr:nvGrpSpPr>
        <xdr:cNvPr id="1153" name="Cross_D54">
          <a:extLst>
            <a:ext uri="{FF2B5EF4-FFF2-40B4-BE49-F238E27FC236}">
              <a16:creationId xmlns:a16="http://schemas.microsoft.com/office/drawing/2014/main" id="{C13D4E02-FB30-C16C-C1C7-593A4CA08679}"/>
            </a:ext>
          </a:extLst>
        </xdr:cNvPr>
        <xdr:cNvGrpSpPr/>
      </xdr:nvGrpSpPr>
      <xdr:grpSpPr>
        <a:xfrm>
          <a:off x="2171700" y="10048875"/>
          <a:ext cx="581025" cy="161925"/>
          <a:chOff x="2240280" y="10226040"/>
          <a:chExt cx="601980" cy="167640"/>
        </a:xfrm>
      </xdr:grpSpPr>
      <xdr:cxnSp macro="">
        <xdr:nvCxnSpPr>
          <xdr:cNvPr id="1151" name="Gerader Verbinder 1150">
            <a:extLst>
              <a:ext uri="{FF2B5EF4-FFF2-40B4-BE49-F238E27FC236}">
                <a16:creationId xmlns:a16="http://schemas.microsoft.com/office/drawing/2014/main" id="{4F60F714-B37B-6960-2526-35B3E8FF96B8}"/>
              </a:ext>
            </a:extLst>
          </xdr:cNvPr>
          <xdr:cNvCxnSpPr/>
        </xdr:nvCxnSpPr>
        <xdr:spPr>
          <a:xfrm>
            <a:off x="2240280" y="10226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52" name="Gerader Verbinder 1151">
            <a:extLst>
              <a:ext uri="{FF2B5EF4-FFF2-40B4-BE49-F238E27FC236}">
                <a16:creationId xmlns:a16="http://schemas.microsoft.com/office/drawing/2014/main" id="{8C0B50C7-D6B0-77E6-F031-BC52286D5D87}"/>
              </a:ext>
            </a:extLst>
          </xdr:cNvPr>
          <xdr:cNvCxnSpPr/>
        </xdr:nvCxnSpPr>
        <xdr:spPr>
          <a:xfrm flipH="1">
            <a:off x="2240280" y="10226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57</xdr:row>
      <xdr:rowOff>0</xdr:rowOff>
    </xdr:from>
    <xdr:to>
      <xdr:col>4</xdr:col>
      <xdr:colOff>0</xdr:colOff>
      <xdr:row>58</xdr:row>
      <xdr:rowOff>0</xdr:rowOff>
    </xdr:to>
    <xdr:grpSp>
      <xdr:nvGrpSpPr>
        <xdr:cNvPr id="1156" name="Cross_D58">
          <a:extLst>
            <a:ext uri="{FF2B5EF4-FFF2-40B4-BE49-F238E27FC236}">
              <a16:creationId xmlns:a16="http://schemas.microsoft.com/office/drawing/2014/main" id="{09356C29-1365-38E5-5E3D-B8066F18DB89}"/>
            </a:ext>
          </a:extLst>
        </xdr:cNvPr>
        <xdr:cNvGrpSpPr/>
      </xdr:nvGrpSpPr>
      <xdr:grpSpPr>
        <a:xfrm>
          <a:off x="2171700" y="10763250"/>
          <a:ext cx="581025" cy="228600"/>
          <a:chOff x="2240280" y="10957560"/>
          <a:chExt cx="601980" cy="228600"/>
        </a:xfrm>
      </xdr:grpSpPr>
      <xdr:cxnSp macro="">
        <xdr:nvCxnSpPr>
          <xdr:cNvPr id="1154" name="Gerader Verbinder 1153">
            <a:extLst>
              <a:ext uri="{FF2B5EF4-FFF2-40B4-BE49-F238E27FC236}">
                <a16:creationId xmlns:a16="http://schemas.microsoft.com/office/drawing/2014/main" id="{92AAD34B-C367-714A-AD15-3865F38B4479}"/>
              </a:ext>
            </a:extLst>
          </xdr:cNvPr>
          <xdr:cNvCxnSpPr/>
        </xdr:nvCxnSpPr>
        <xdr:spPr>
          <a:xfrm>
            <a:off x="224028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55" name="Gerader Verbinder 1154">
            <a:extLst>
              <a:ext uri="{FF2B5EF4-FFF2-40B4-BE49-F238E27FC236}">
                <a16:creationId xmlns:a16="http://schemas.microsoft.com/office/drawing/2014/main" id="{15A88B1B-F5A2-C23A-27C4-08079A62B267}"/>
              </a:ext>
            </a:extLst>
          </xdr:cNvPr>
          <xdr:cNvCxnSpPr/>
        </xdr:nvCxnSpPr>
        <xdr:spPr>
          <a:xfrm flipH="1">
            <a:off x="224028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58</xdr:row>
      <xdr:rowOff>0</xdr:rowOff>
    </xdr:from>
    <xdr:to>
      <xdr:col>4</xdr:col>
      <xdr:colOff>0</xdr:colOff>
      <xdr:row>59</xdr:row>
      <xdr:rowOff>0</xdr:rowOff>
    </xdr:to>
    <xdr:grpSp>
      <xdr:nvGrpSpPr>
        <xdr:cNvPr id="1159" name="Cross_D59">
          <a:extLst>
            <a:ext uri="{FF2B5EF4-FFF2-40B4-BE49-F238E27FC236}">
              <a16:creationId xmlns:a16="http://schemas.microsoft.com/office/drawing/2014/main" id="{79335B4F-CFD1-52C9-E751-864123110CE4}"/>
            </a:ext>
          </a:extLst>
        </xdr:cNvPr>
        <xdr:cNvGrpSpPr/>
      </xdr:nvGrpSpPr>
      <xdr:grpSpPr>
        <a:xfrm>
          <a:off x="2171700" y="10991850"/>
          <a:ext cx="581025" cy="161925"/>
          <a:chOff x="2240280" y="11186160"/>
          <a:chExt cx="601980" cy="167640"/>
        </a:xfrm>
      </xdr:grpSpPr>
      <xdr:cxnSp macro="">
        <xdr:nvCxnSpPr>
          <xdr:cNvPr id="1157" name="Gerader Verbinder 1156">
            <a:extLst>
              <a:ext uri="{FF2B5EF4-FFF2-40B4-BE49-F238E27FC236}">
                <a16:creationId xmlns:a16="http://schemas.microsoft.com/office/drawing/2014/main" id="{4BEA2696-E5C4-3854-BE2C-078CE7D088D1}"/>
              </a:ext>
            </a:extLst>
          </xdr:cNvPr>
          <xdr:cNvCxnSpPr/>
        </xdr:nvCxnSpPr>
        <xdr:spPr>
          <a:xfrm>
            <a:off x="2240280" y="11186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58" name="Gerader Verbinder 1157">
            <a:extLst>
              <a:ext uri="{FF2B5EF4-FFF2-40B4-BE49-F238E27FC236}">
                <a16:creationId xmlns:a16="http://schemas.microsoft.com/office/drawing/2014/main" id="{CD52747A-813B-57E4-4A13-875F1656A4D4}"/>
              </a:ext>
            </a:extLst>
          </xdr:cNvPr>
          <xdr:cNvCxnSpPr/>
        </xdr:nvCxnSpPr>
        <xdr:spPr>
          <a:xfrm flipH="1">
            <a:off x="2240280" y="11186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59</xdr:row>
      <xdr:rowOff>0</xdr:rowOff>
    </xdr:from>
    <xdr:to>
      <xdr:col>4</xdr:col>
      <xdr:colOff>0</xdr:colOff>
      <xdr:row>60</xdr:row>
      <xdr:rowOff>0</xdr:rowOff>
    </xdr:to>
    <xdr:grpSp>
      <xdr:nvGrpSpPr>
        <xdr:cNvPr id="1162" name="Cross_D60">
          <a:extLst>
            <a:ext uri="{FF2B5EF4-FFF2-40B4-BE49-F238E27FC236}">
              <a16:creationId xmlns:a16="http://schemas.microsoft.com/office/drawing/2014/main" id="{9B5958A0-EF38-D754-6CE4-026077914671}"/>
            </a:ext>
          </a:extLst>
        </xdr:cNvPr>
        <xdr:cNvGrpSpPr/>
      </xdr:nvGrpSpPr>
      <xdr:grpSpPr>
        <a:xfrm>
          <a:off x="2171700" y="11153775"/>
          <a:ext cx="581025" cy="161925"/>
          <a:chOff x="2240280" y="11353800"/>
          <a:chExt cx="601980" cy="167640"/>
        </a:xfrm>
      </xdr:grpSpPr>
      <xdr:cxnSp macro="">
        <xdr:nvCxnSpPr>
          <xdr:cNvPr id="1160" name="Gerader Verbinder 1159">
            <a:extLst>
              <a:ext uri="{FF2B5EF4-FFF2-40B4-BE49-F238E27FC236}">
                <a16:creationId xmlns:a16="http://schemas.microsoft.com/office/drawing/2014/main" id="{1FA1FFED-71FB-1A6D-907A-02F31BFD2537}"/>
              </a:ext>
            </a:extLst>
          </xdr:cNvPr>
          <xdr:cNvCxnSpPr/>
        </xdr:nvCxnSpPr>
        <xdr:spPr>
          <a:xfrm>
            <a:off x="2240280" y="113538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61" name="Gerader Verbinder 1160">
            <a:extLst>
              <a:ext uri="{FF2B5EF4-FFF2-40B4-BE49-F238E27FC236}">
                <a16:creationId xmlns:a16="http://schemas.microsoft.com/office/drawing/2014/main" id="{E47366E6-58B8-2D03-84A7-B43087817A71}"/>
              </a:ext>
            </a:extLst>
          </xdr:cNvPr>
          <xdr:cNvCxnSpPr/>
        </xdr:nvCxnSpPr>
        <xdr:spPr>
          <a:xfrm flipH="1">
            <a:off x="2240280" y="113538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60</xdr:row>
      <xdr:rowOff>0</xdr:rowOff>
    </xdr:from>
    <xdr:to>
      <xdr:col>4</xdr:col>
      <xdr:colOff>0</xdr:colOff>
      <xdr:row>61</xdr:row>
      <xdr:rowOff>0</xdr:rowOff>
    </xdr:to>
    <xdr:grpSp>
      <xdr:nvGrpSpPr>
        <xdr:cNvPr id="1165" name="Cross_D61">
          <a:extLst>
            <a:ext uri="{FF2B5EF4-FFF2-40B4-BE49-F238E27FC236}">
              <a16:creationId xmlns:a16="http://schemas.microsoft.com/office/drawing/2014/main" id="{9F4F663D-6A19-147A-ECA8-4A01F0C62CA0}"/>
            </a:ext>
          </a:extLst>
        </xdr:cNvPr>
        <xdr:cNvGrpSpPr/>
      </xdr:nvGrpSpPr>
      <xdr:grpSpPr>
        <a:xfrm>
          <a:off x="2171700" y="11315700"/>
          <a:ext cx="581025" cy="228600"/>
          <a:chOff x="2240280" y="11521440"/>
          <a:chExt cx="601980" cy="228600"/>
        </a:xfrm>
      </xdr:grpSpPr>
      <xdr:cxnSp macro="">
        <xdr:nvCxnSpPr>
          <xdr:cNvPr id="1163" name="Gerader Verbinder 1162">
            <a:extLst>
              <a:ext uri="{FF2B5EF4-FFF2-40B4-BE49-F238E27FC236}">
                <a16:creationId xmlns:a16="http://schemas.microsoft.com/office/drawing/2014/main" id="{C3B3587B-291E-4010-CB95-1D188282D553}"/>
              </a:ext>
            </a:extLst>
          </xdr:cNvPr>
          <xdr:cNvCxnSpPr/>
        </xdr:nvCxnSpPr>
        <xdr:spPr>
          <a:xfrm>
            <a:off x="224028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64" name="Gerader Verbinder 1163">
            <a:extLst>
              <a:ext uri="{FF2B5EF4-FFF2-40B4-BE49-F238E27FC236}">
                <a16:creationId xmlns:a16="http://schemas.microsoft.com/office/drawing/2014/main" id="{D2D54424-8B3A-006F-9A7D-914D649E5B43}"/>
              </a:ext>
            </a:extLst>
          </xdr:cNvPr>
          <xdr:cNvCxnSpPr/>
        </xdr:nvCxnSpPr>
        <xdr:spPr>
          <a:xfrm flipH="1">
            <a:off x="224028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61</xdr:row>
      <xdr:rowOff>0</xdr:rowOff>
    </xdr:from>
    <xdr:to>
      <xdr:col>4</xdr:col>
      <xdr:colOff>0</xdr:colOff>
      <xdr:row>62</xdr:row>
      <xdr:rowOff>0</xdr:rowOff>
    </xdr:to>
    <xdr:grpSp>
      <xdr:nvGrpSpPr>
        <xdr:cNvPr id="1168" name="Cross_D62">
          <a:extLst>
            <a:ext uri="{FF2B5EF4-FFF2-40B4-BE49-F238E27FC236}">
              <a16:creationId xmlns:a16="http://schemas.microsoft.com/office/drawing/2014/main" id="{EF704710-8291-C3AE-617E-95F518E8484A}"/>
            </a:ext>
          </a:extLst>
        </xdr:cNvPr>
        <xdr:cNvGrpSpPr/>
      </xdr:nvGrpSpPr>
      <xdr:grpSpPr>
        <a:xfrm>
          <a:off x="2171700" y="11544300"/>
          <a:ext cx="581025" cy="161925"/>
          <a:chOff x="2240280" y="11750040"/>
          <a:chExt cx="601980" cy="167640"/>
        </a:xfrm>
      </xdr:grpSpPr>
      <xdr:cxnSp macro="">
        <xdr:nvCxnSpPr>
          <xdr:cNvPr id="1166" name="Gerader Verbinder 1165">
            <a:extLst>
              <a:ext uri="{FF2B5EF4-FFF2-40B4-BE49-F238E27FC236}">
                <a16:creationId xmlns:a16="http://schemas.microsoft.com/office/drawing/2014/main" id="{96AEA7B7-7B40-0684-90C6-29A29B35FD98}"/>
              </a:ext>
            </a:extLst>
          </xdr:cNvPr>
          <xdr:cNvCxnSpPr/>
        </xdr:nvCxnSpPr>
        <xdr:spPr>
          <a:xfrm>
            <a:off x="2240280" y="11750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67" name="Gerader Verbinder 1166">
            <a:extLst>
              <a:ext uri="{FF2B5EF4-FFF2-40B4-BE49-F238E27FC236}">
                <a16:creationId xmlns:a16="http://schemas.microsoft.com/office/drawing/2014/main" id="{B562E6BC-F47C-60F7-232F-C3357B24FC5F}"/>
              </a:ext>
            </a:extLst>
          </xdr:cNvPr>
          <xdr:cNvCxnSpPr/>
        </xdr:nvCxnSpPr>
        <xdr:spPr>
          <a:xfrm flipH="1">
            <a:off x="2240280" y="11750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62</xdr:row>
      <xdr:rowOff>0</xdr:rowOff>
    </xdr:from>
    <xdr:to>
      <xdr:col>4</xdr:col>
      <xdr:colOff>0</xdr:colOff>
      <xdr:row>63</xdr:row>
      <xdr:rowOff>0</xdr:rowOff>
    </xdr:to>
    <xdr:grpSp>
      <xdr:nvGrpSpPr>
        <xdr:cNvPr id="1171" name="Cross_D63">
          <a:extLst>
            <a:ext uri="{FF2B5EF4-FFF2-40B4-BE49-F238E27FC236}">
              <a16:creationId xmlns:a16="http://schemas.microsoft.com/office/drawing/2014/main" id="{4613F02F-3E5E-1A52-7B34-01D7C21F8303}"/>
            </a:ext>
          </a:extLst>
        </xdr:cNvPr>
        <xdr:cNvGrpSpPr/>
      </xdr:nvGrpSpPr>
      <xdr:grpSpPr>
        <a:xfrm>
          <a:off x="2171700" y="11706225"/>
          <a:ext cx="581025" cy="161925"/>
          <a:chOff x="2240280" y="11917680"/>
          <a:chExt cx="601980" cy="167640"/>
        </a:xfrm>
      </xdr:grpSpPr>
      <xdr:cxnSp macro="">
        <xdr:nvCxnSpPr>
          <xdr:cNvPr id="1169" name="Gerader Verbinder 1168">
            <a:extLst>
              <a:ext uri="{FF2B5EF4-FFF2-40B4-BE49-F238E27FC236}">
                <a16:creationId xmlns:a16="http://schemas.microsoft.com/office/drawing/2014/main" id="{A6B20350-B043-D2A2-6B00-5433298FAE36}"/>
              </a:ext>
            </a:extLst>
          </xdr:cNvPr>
          <xdr:cNvCxnSpPr/>
        </xdr:nvCxnSpPr>
        <xdr:spPr>
          <a:xfrm>
            <a:off x="2240280" y="11917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70" name="Gerader Verbinder 1169">
            <a:extLst>
              <a:ext uri="{FF2B5EF4-FFF2-40B4-BE49-F238E27FC236}">
                <a16:creationId xmlns:a16="http://schemas.microsoft.com/office/drawing/2014/main" id="{56A83067-9E64-27F1-1FA3-7FEE28DC9B6D}"/>
              </a:ext>
            </a:extLst>
          </xdr:cNvPr>
          <xdr:cNvCxnSpPr/>
        </xdr:nvCxnSpPr>
        <xdr:spPr>
          <a:xfrm flipH="1">
            <a:off x="2240280" y="11917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xdr:row>
      <xdr:rowOff>0</xdr:rowOff>
    </xdr:from>
    <xdr:to>
      <xdr:col>5</xdr:col>
      <xdr:colOff>0</xdr:colOff>
      <xdr:row>7</xdr:row>
      <xdr:rowOff>0</xdr:rowOff>
    </xdr:to>
    <xdr:grpSp>
      <xdr:nvGrpSpPr>
        <xdr:cNvPr id="1174" name="Cross_E7">
          <a:extLst>
            <a:ext uri="{FF2B5EF4-FFF2-40B4-BE49-F238E27FC236}">
              <a16:creationId xmlns:a16="http://schemas.microsoft.com/office/drawing/2014/main" id="{4AEC994B-0790-B2AD-3612-E70B4155C754}"/>
            </a:ext>
          </a:extLst>
        </xdr:cNvPr>
        <xdr:cNvGrpSpPr/>
      </xdr:nvGrpSpPr>
      <xdr:grpSpPr>
        <a:xfrm>
          <a:off x="2752725" y="1371600"/>
          <a:ext cx="581025" cy="228600"/>
          <a:chOff x="2842260" y="1371600"/>
          <a:chExt cx="601980" cy="228600"/>
        </a:xfrm>
      </xdr:grpSpPr>
      <xdr:cxnSp macro="">
        <xdr:nvCxnSpPr>
          <xdr:cNvPr id="1172" name="Gerader Verbinder 1171">
            <a:extLst>
              <a:ext uri="{FF2B5EF4-FFF2-40B4-BE49-F238E27FC236}">
                <a16:creationId xmlns:a16="http://schemas.microsoft.com/office/drawing/2014/main" id="{732D1796-1710-EB2F-26A4-751BEE544AB9}"/>
              </a:ext>
            </a:extLst>
          </xdr:cNvPr>
          <xdr:cNvCxnSpPr/>
        </xdr:nvCxnSpPr>
        <xdr:spPr>
          <a:xfrm>
            <a:off x="284226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73" name="Gerader Verbinder 1172">
            <a:extLst>
              <a:ext uri="{FF2B5EF4-FFF2-40B4-BE49-F238E27FC236}">
                <a16:creationId xmlns:a16="http://schemas.microsoft.com/office/drawing/2014/main" id="{F5276A0F-77F8-58FE-8F02-E1B8A8B1E780}"/>
              </a:ext>
            </a:extLst>
          </xdr:cNvPr>
          <xdr:cNvCxnSpPr/>
        </xdr:nvCxnSpPr>
        <xdr:spPr>
          <a:xfrm flipH="1">
            <a:off x="284226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xdr:row>
      <xdr:rowOff>0</xdr:rowOff>
    </xdr:from>
    <xdr:to>
      <xdr:col>5</xdr:col>
      <xdr:colOff>0</xdr:colOff>
      <xdr:row>8</xdr:row>
      <xdr:rowOff>0</xdr:rowOff>
    </xdr:to>
    <xdr:grpSp>
      <xdr:nvGrpSpPr>
        <xdr:cNvPr id="1177" name="Cross_E8">
          <a:extLst>
            <a:ext uri="{FF2B5EF4-FFF2-40B4-BE49-F238E27FC236}">
              <a16:creationId xmlns:a16="http://schemas.microsoft.com/office/drawing/2014/main" id="{E5EE8F70-FD3C-847C-574D-F3412006153B}"/>
            </a:ext>
          </a:extLst>
        </xdr:cNvPr>
        <xdr:cNvGrpSpPr/>
      </xdr:nvGrpSpPr>
      <xdr:grpSpPr>
        <a:xfrm>
          <a:off x="2752725" y="1600200"/>
          <a:ext cx="581025" cy="161925"/>
          <a:chOff x="2842260" y="1600200"/>
          <a:chExt cx="601980" cy="167640"/>
        </a:xfrm>
      </xdr:grpSpPr>
      <xdr:cxnSp macro="">
        <xdr:nvCxnSpPr>
          <xdr:cNvPr id="1175" name="Gerader Verbinder 1174">
            <a:extLst>
              <a:ext uri="{FF2B5EF4-FFF2-40B4-BE49-F238E27FC236}">
                <a16:creationId xmlns:a16="http://schemas.microsoft.com/office/drawing/2014/main" id="{AAABEBF6-136D-FEC0-1BA6-9D80BEB80D0A}"/>
              </a:ext>
            </a:extLst>
          </xdr:cNvPr>
          <xdr:cNvCxnSpPr/>
        </xdr:nvCxnSpPr>
        <xdr:spPr>
          <a:xfrm>
            <a:off x="2842260" y="16002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76" name="Gerader Verbinder 1175">
            <a:extLst>
              <a:ext uri="{FF2B5EF4-FFF2-40B4-BE49-F238E27FC236}">
                <a16:creationId xmlns:a16="http://schemas.microsoft.com/office/drawing/2014/main" id="{5E9293B8-1888-04CD-513F-1FDCD06690AE}"/>
              </a:ext>
            </a:extLst>
          </xdr:cNvPr>
          <xdr:cNvCxnSpPr/>
        </xdr:nvCxnSpPr>
        <xdr:spPr>
          <a:xfrm flipH="1">
            <a:off x="2842260" y="16002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8</xdr:row>
      <xdr:rowOff>0</xdr:rowOff>
    </xdr:from>
    <xdr:to>
      <xdr:col>5</xdr:col>
      <xdr:colOff>0</xdr:colOff>
      <xdr:row>9</xdr:row>
      <xdr:rowOff>0</xdr:rowOff>
    </xdr:to>
    <xdr:grpSp>
      <xdr:nvGrpSpPr>
        <xdr:cNvPr id="1180" name="Cross_E9">
          <a:extLst>
            <a:ext uri="{FF2B5EF4-FFF2-40B4-BE49-F238E27FC236}">
              <a16:creationId xmlns:a16="http://schemas.microsoft.com/office/drawing/2014/main" id="{90B4431D-FE09-66E6-C7FA-D0A019ED7594}"/>
            </a:ext>
          </a:extLst>
        </xdr:cNvPr>
        <xdr:cNvGrpSpPr/>
      </xdr:nvGrpSpPr>
      <xdr:grpSpPr>
        <a:xfrm>
          <a:off x="2752725" y="1762125"/>
          <a:ext cx="581025" cy="161925"/>
          <a:chOff x="2842260" y="1767840"/>
          <a:chExt cx="601980" cy="167640"/>
        </a:xfrm>
      </xdr:grpSpPr>
      <xdr:cxnSp macro="">
        <xdr:nvCxnSpPr>
          <xdr:cNvPr id="1178" name="Gerader Verbinder 1177">
            <a:extLst>
              <a:ext uri="{FF2B5EF4-FFF2-40B4-BE49-F238E27FC236}">
                <a16:creationId xmlns:a16="http://schemas.microsoft.com/office/drawing/2014/main" id="{C05718FA-F101-6E2B-1108-E052C9D6C2DA}"/>
              </a:ext>
            </a:extLst>
          </xdr:cNvPr>
          <xdr:cNvCxnSpPr/>
        </xdr:nvCxnSpPr>
        <xdr:spPr>
          <a:xfrm>
            <a:off x="2842260" y="1767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79" name="Gerader Verbinder 1178">
            <a:extLst>
              <a:ext uri="{FF2B5EF4-FFF2-40B4-BE49-F238E27FC236}">
                <a16:creationId xmlns:a16="http://schemas.microsoft.com/office/drawing/2014/main" id="{C60BF207-EB6D-2C03-8EC7-805667DD4125}"/>
              </a:ext>
            </a:extLst>
          </xdr:cNvPr>
          <xdr:cNvCxnSpPr/>
        </xdr:nvCxnSpPr>
        <xdr:spPr>
          <a:xfrm flipH="1">
            <a:off x="2842260" y="1767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9</xdr:row>
      <xdr:rowOff>0</xdr:rowOff>
    </xdr:from>
    <xdr:to>
      <xdr:col>5</xdr:col>
      <xdr:colOff>0</xdr:colOff>
      <xdr:row>10</xdr:row>
      <xdr:rowOff>0</xdr:rowOff>
    </xdr:to>
    <xdr:grpSp>
      <xdr:nvGrpSpPr>
        <xdr:cNvPr id="1183" name="Cross_E10">
          <a:extLst>
            <a:ext uri="{FF2B5EF4-FFF2-40B4-BE49-F238E27FC236}">
              <a16:creationId xmlns:a16="http://schemas.microsoft.com/office/drawing/2014/main" id="{1568702D-16D7-0384-5AF4-2E55B53B990C}"/>
            </a:ext>
          </a:extLst>
        </xdr:cNvPr>
        <xdr:cNvGrpSpPr/>
      </xdr:nvGrpSpPr>
      <xdr:grpSpPr>
        <a:xfrm>
          <a:off x="2752725" y="1924050"/>
          <a:ext cx="581025" cy="228600"/>
          <a:chOff x="2842260" y="1935480"/>
          <a:chExt cx="601980" cy="228600"/>
        </a:xfrm>
      </xdr:grpSpPr>
      <xdr:cxnSp macro="">
        <xdr:nvCxnSpPr>
          <xdr:cNvPr id="1181" name="Gerader Verbinder 1180">
            <a:extLst>
              <a:ext uri="{FF2B5EF4-FFF2-40B4-BE49-F238E27FC236}">
                <a16:creationId xmlns:a16="http://schemas.microsoft.com/office/drawing/2014/main" id="{15B72709-54F5-4348-5D6A-A0CF3963478F}"/>
              </a:ext>
            </a:extLst>
          </xdr:cNvPr>
          <xdr:cNvCxnSpPr/>
        </xdr:nvCxnSpPr>
        <xdr:spPr>
          <a:xfrm>
            <a:off x="284226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82" name="Gerader Verbinder 1181">
            <a:extLst>
              <a:ext uri="{FF2B5EF4-FFF2-40B4-BE49-F238E27FC236}">
                <a16:creationId xmlns:a16="http://schemas.microsoft.com/office/drawing/2014/main" id="{D4F3E586-8549-6ED8-53F5-3C8B48408113}"/>
              </a:ext>
            </a:extLst>
          </xdr:cNvPr>
          <xdr:cNvCxnSpPr/>
        </xdr:nvCxnSpPr>
        <xdr:spPr>
          <a:xfrm flipH="1">
            <a:off x="284226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xdr:row>
      <xdr:rowOff>0</xdr:rowOff>
    </xdr:from>
    <xdr:to>
      <xdr:col>5</xdr:col>
      <xdr:colOff>0</xdr:colOff>
      <xdr:row>11</xdr:row>
      <xdr:rowOff>0</xdr:rowOff>
    </xdr:to>
    <xdr:grpSp>
      <xdr:nvGrpSpPr>
        <xdr:cNvPr id="1186" name="Cross_E11">
          <a:extLst>
            <a:ext uri="{FF2B5EF4-FFF2-40B4-BE49-F238E27FC236}">
              <a16:creationId xmlns:a16="http://schemas.microsoft.com/office/drawing/2014/main" id="{DE15F413-8CAC-C43F-53A7-4AF5E897831F}"/>
            </a:ext>
          </a:extLst>
        </xdr:cNvPr>
        <xdr:cNvGrpSpPr/>
      </xdr:nvGrpSpPr>
      <xdr:grpSpPr>
        <a:xfrm>
          <a:off x="2752725" y="2152650"/>
          <a:ext cx="581025" cy="161925"/>
          <a:chOff x="2842260" y="2164080"/>
          <a:chExt cx="601980" cy="167640"/>
        </a:xfrm>
      </xdr:grpSpPr>
      <xdr:cxnSp macro="">
        <xdr:nvCxnSpPr>
          <xdr:cNvPr id="1184" name="Gerader Verbinder 1183">
            <a:extLst>
              <a:ext uri="{FF2B5EF4-FFF2-40B4-BE49-F238E27FC236}">
                <a16:creationId xmlns:a16="http://schemas.microsoft.com/office/drawing/2014/main" id="{DE290F4D-7568-70BA-22A3-2059A2EF8274}"/>
              </a:ext>
            </a:extLst>
          </xdr:cNvPr>
          <xdr:cNvCxnSpPr/>
        </xdr:nvCxnSpPr>
        <xdr:spPr>
          <a:xfrm>
            <a:off x="2842260" y="21640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85" name="Gerader Verbinder 1184">
            <a:extLst>
              <a:ext uri="{FF2B5EF4-FFF2-40B4-BE49-F238E27FC236}">
                <a16:creationId xmlns:a16="http://schemas.microsoft.com/office/drawing/2014/main" id="{475D43BE-427C-3258-BD2D-B5346D7D032A}"/>
              </a:ext>
            </a:extLst>
          </xdr:cNvPr>
          <xdr:cNvCxnSpPr/>
        </xdr:nvCxnSpPr>
        <xdr:spPr>
          <a:xfrm flipH="1">
            <a:off x="2842260" y="21640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11</xdr:row>
      <xdr:rowOff>0</xdr:rowOff>
    </xdr:from>
    <xdr:to>
      <xdr:col>5</xdr:col>
      <xdr:colOff>0</xdr:colOff>
      <xdr:row>12</xdr:row>
      <xdr:rowOff>0</xdr:rowOff>
    </xdr:to>
    <xdr:grpSp>
      <xdr:nvGrpSpPr>
        <xdr:cNvPr id="1189" name="Cross_E12">
          <a:extLst>
            <a:ext uri="{FF2B5EF4-FFF2-40B4-BE49-F238E27FC236}">
              <a16:creationId xmlns:a16="http://schemas.microsoft.com/office/drawing/2014/main" id="{56D6BAA2-03ED-9600-818E-027212129E8F}"/>
            </a:ext>
          </a:extLst>
        </xdr:cNvPr>
        <xdr:cNvGrpSpPr/>
      </xdr:nvGrpSpPr>
      <xdr:grpSpPr>
        <a:xfrm>
          <a:off x="2752725" y="2314575"/>
          <a:ext cx="581025" cy="161925"/>
          <a:chOff x="2842260" y="2331720"/>
          <a:chExt cx="601980" cy="167640"/>
        </a:xfrm>
      </xdr:grpSpPr>
      <xdr:cxnSp macro="">
        <xdr:nvCxnSpPr>
          <xdr:cNvPr id="1187" name="Gerader Verbinder 1186">
            <a:extLst>
              <a:ext uri="{FF2B5EF4-FFF2-40B4-BE49-F238E27FC236}">
                <a16:creationId xmlns:a16="http://schemas.microsoft.com/office/drawing/2014/main" id="{80A6268D-401C-1231-44F9-94FEE199DB0D}"/>
              </a:ext>
            </a:extLst>
          </xdr:cNvPr>
          <xdr:cNvCxnSpPr/>
        </xdr:nvCxnSpPr>
        <xdr:spPr>
          <a:xfrm>
            <a:off x="2842260" y="2331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88" name="Gerader Verbinder 1187">
            <a:extLst>
              <a:ext uri="{FF2B5EF4-FFF2-40B4-BE49-F238E27FC236}">
                <a16:creationId xmlns:a16="http://schemas.microsoft.com/office/drawing/2014/main" id="{B8E2845A-24D7-77DC-6B09-FB0B5BA6DAF3}"/>
              </a:ext>
            </a:extLst>
          </xdr:cNvPr>
          <xdr:cNvCxnSpPr/>
        </xdr:nvCxnSpPr>
        <xdr:spPr>
          <a:xfrm flipH="1">
            <a:off x="2842260" y="2331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12</xdr:row>
      <xdr:rowOff>0</xdr:rowOff>
    </xdr:from>
    <xdr:to>
      <xdr:col>5</xdr:col>
      <xdr:colOff>0</xdr:colOff>
      <xdr:row>13</xdr:row>
      <xdr:rowOff>0</xdr:rowOff>
    </xdr:to>
    <xdr:grpSp>
      <xdr:nvGrpSpPr>
        <xdr:cNvPr id="1192" name="Cross_E13">
          <a:extLst>
            <a:ext uri="{FF2B5EF4-FFF2-40B4-BE49-F238E27FC236}">
              <a16:creationId xmlns:a16="http://schemas.microsoft.com/office/drawing/2014/main" id="{023D4CD1-0BF7-3493-756B-EC301BC9E972}"/>
            </a:ext>
          </a:extLst>
        </xdr:cNvPr>
        <xdr:cNvGrpSpPr/>
      </xdr:nvGrpSpPr>
      <xdr:grpSpPr>
        <a:xfrm>
          <a:off x="2752725" y="2476500"/>
          <a:ext cx="581025" cy="228600"/>
          <a:chOff x="2842260" y="2499360"/>
          <a:chExt cx="601980" cy="228600"/>
        </a:xfrm>
      </xdr:grpSpPr>
      <xdr:cxnSp macro="">
        <xdr:nvCxnSpPr>
          <xdr:cNvPr id="1190" name="Gerader Verbinder 1189">
            <a:extLst>
              <a:ext uri="{FF2B5EF4-FFF2-40B4-BE49-F238E27FC236}">
                <a16:creationId xmlns:a16="http://schemas.microsoft.com/office/drawing/2014/main" id="{D8572715-4AD9-6217-E641-8A559DAE3BD7}"/>
              </a:ext>
            </a:extLst>
          </xdr:cNvPr>
          <xdr:cNvCxnSpPr/>
        </xdr:nvCxnSpPr>
        <xdr:spPr>
          <a:xfrm>
            <a:off x="284226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91" name="Gerader Verbinder 1190">
            <a:extLst>
              <a:ext uri="{FF2B5EF4-FFF2-40B4-BE49-F238E27FC236}">
                <a16:creationId xmlns:a16="http://schemas.microsoft.com/office/drawing/2014/main" id="{8D610C51-0F12-4CED-83E6-C4BDD15DACB4}"/>
              </a:ext>
            </a:extLst>
          </xdr:cNvPr>
          <xdr:cNvCxnSpPr/>
        </xdr:nvCxnSpPr>
        <xdr:spPr>
          <a:xfrm flipH="1">
            <a:off x="284226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13</xdr:row>
      <xdr:rowOff>0</xdr:rowOff>
    </xdr:from>
    <xdr:to>
      <xdr:col>5</xdr:col>
      <xdr:colOff>0</xdr:colOff>
      <xdr:row>14</xdr:row>
      <xdr:rowOff>0</xdr:rowOff>
    </xdr:to>
    <xdr:grpSp>
      <xdr:nvGrpSpPr>
        <xdr:cNvPr id="1195" name="Cross_E14">
          <a:extLst>
            <a:ext uri="{FF2B5EF4-FFF2-40B4-BE49-F238E27FC236}">
              <a16:creationId xmlns:a16="http://schemas.microsoft.com/office/drawing/2014/main" id="{EDFE7D32-66E1-6DCD-BE5A-55B8CCFE99E2}"/>
            </a:ext>
          </a:extLst>
        </xdr:cNvPr>
        <xdr:cNvGrpSpPr/>
      </xdr:nvGrpSpPr>
      <xdr:grpSpPr>
        <a:xfrm>
          <a:off x="2752725" y="2705100"/>
          <a:ext cx="581025" cy="161925"/>
          <a:chOff x="2842260" y="2727960"/>
          <a:chExt cx="601980" cy="167640"/>
        </a:xfrm>
      </xdr:grpSpPr>
      <xdr:cxnSp macro="">
        <xdr:nvCxnSpPr>
          <xdr:cNvPr id="1193" name="Gerader Verbinder 1192">
            <a:extLst>
              <a:ext uri="{FF2B5EF4-FFF2-40B4-BE49-F238E27FC236}">
                <a16:creationId xmlns:a16="http://schemas.microsoft.com/office/drawing/2014/main" id="{429F9E2E-56C7-E6F7-5DEB-021CB30EC66B}"/>
              </a:ext>
            </a:extLst>
          </xdr:cNvPr>
          <xdr:cNvCxnSpPr/>
        </xdr:nvCxnSpPr>
        <xdr:spPr>
          <a:xfrm>
            <a:off x="2842260" y="27279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94" name="Gerader Verbinder 1193">
            <a:extLst>
              <a:ext uri="{FF2B5EF4-FFF2-40B4-BE49-F238E27FC236}">
                <a16:creationId xmlns:a16="http://schemas.microsoft.com/office/drawing/2014/main" id="{652A2C81-CA04-4594-E5CF-05F7F18C753D}"/>
              </a:ext>
            </a:extLst>
          </xdr:cNvPr>
          <xdr:cNvCxnSpPr/>
        </xdr:nvCxnSpPr>
        <xdr:spPr>
          <a:xfrm flipH="1">
            <a:off x="2842260" y="27279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14</xdr:row>
      <xdr:rowOff>0</xdr:rowOff>
    </xdr:from>
    <xdr:to>
      <xdr:col>5</xdr:col>
      <xdr:colOff>0</xdr:colOff>
      <xdr:row>15</xdr:row>
      <xdr:rowOff>0</xdr:rowOff>
    </xdr:to>
    <xdr:grpSp>
      <xdr:nvGrpSpPr>
        <xdr:cNvPr id="1198" name="Cross_E15">
          <a:extLst>
            <a:ext uri="{FF2B5EF4-FFF2-40B4-BE49-F238E27FC236}">
              <a16:creationId xmlns:a16="http://schemas.microsoft.com/office/drawing/2014/main" id="{FCD3E44F-885C-C22C-CD31-BB04EDCC3F4A}"/>
            </a:ext>
          </a:extLst>
        </xdr:cNvPr>
        <xdr:cNvGrpSpPr/>
      </xdr:nvGrpSpPr>
      <xdr:grpSpPr>
        <a:xfrm>
          <a:off x="2752725" y="2867025"/>
          <a:ext cx="581025" cy="161925"/>
          <a:chOff x="2842260" y="2895600"/>
          <a:chExt cx="601980" cy="167640"/>
        </a:xfrm>
      </xdr:grpSpPr>
      <xdr:cxnSp macro="">
        <xdr:nvCxnSpPr>
          <xdr:cNvPr id="1196" name="Gerader Verbinder 1195">
            <a:extLst>
              <a:ext uri="{FF2B5EF4-FFF2-40B4-BE49-F238E27FC236}">
                <a16:creationId xmlns:a16="http://schemas.microsoft.com/office/drawing/2014/main" id="{E54721FF-B853-94B9-3596-611DC4E4234B}"/>
              </a:ext>
            </a:extLst>
          </xdr:cNvPr>
          <xdr:cNvCxnSpPr/>
        </xdr:nvCxnSpPr>
        <xdr:spPr>
          <a:xfrm>
            <a:off x="2842260" y="2895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97" name="Gerader Verbinder 1196">
            <a:extLst>
              <a:ext uri="{FF2B5EF4-FFF2-40B4-BE49-F238E27FC236}">
                <a16:creationId xmlns:a16="http://schemas.microsoft.com/office/drawing/2014/main" id="{0D1BC054-5F3C-5A42-3A6E-F395AE6CF7C4}"/>
              </a:ext>
            </a:extLst>
          </xdr:cNvPr>
          <xdr:cNvCxnSpPr/>
        </xdr:nvCxnSpPr>
        <xdr:spPr>
          <a:xfrm flipH="1">
            <a:off x="2842260" y="2895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18</xdr:row>
      <xdr:rowOff>0</xdr:rowOff>
    </xdr:from>
    <xdr:to>
      <xdr:col>5</xdr:col>
      <xdr:colOff>0</xdr:colOff>
      <xdr:row>19</xdr:row>
      <xdr:rowOff>0</xdr:rowOff>
    </xdr:to>
    <xdr:grpSp>
      <xdr:nvGrpSpPr>
        <xdr:cNvPr id="1201" name="Cross_E19">
          <a:extLst>
            <a:ext uri="{FF2B5EF4-FFF2-40B4-BE49-F238E27FC236}">
              <a16:creationId xmlns:a16="http://schemas.microsoft.com/office/drawing/2014/main" id="{7B5E8205-C01B-EE91-155B-B7479982818F}"/>
            </a:ext>
          </a:extLst>
        </xdr:cNvPr>
        <xdr:cNvGrpSpPr/>
      </xdr:nvGrpSpPr>
      <xdr:grpSpPr>
        <a:xfrm>
          <a:off x="2752725" y="3581400"/>
          <a:ext cx="581025" cy="228600"/>
          <a:chOff x="2842260" y="3627120"/>
          <a:chExt cx="601980" cy="228600"/>
        </a:xfrm>
      </xdr:grpSpPr>
      <xdr:cxnSp macro="">
        <xdr:nvCxnSpPr>
          <xdr:cNvPr id="1199" name="Gerader Verbinder 1198">
            <a:extLst>
              <a:ext uri="{FF2B5EF4-FFF2-40B4-BE49-F238E27FC236}">
                <a16:creationId xmlns:a16="http://schemas.microsoft.com/office/drawing/2014/main" id="{33D71484-D49D-74B6-CEB8-E58B29E9D913}"/>
              </a:ext>
            </a:extLst>
          </xdr:cNvPr>
          <xdr:cNvCxnSpPr/>
        </xdr:nvCxnSpPr>
        <xdr:spPr>
          <a:xfrm>
            <a:off x="284226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00" name="Gerader Verbinder 1199">
            <a:extLst>
              <a:ext uri="{FF2B5EF4-FFF2-40B4-BE49-F238E27FC236}">
                <a16:creationId xmlns:a16="http://schemas.microsoft.com/office/drawing/2014/main" id="{C40BF6DD-AA49-2598-A670-2BCCAFF561FB}"/>
              </a:ext>
            </a:extLst>
          </xdr:cNvPr>
          <xdr:cNvCxnSpPr/>
        </xdr:nvCxnSpPr>
        <xdr:spPr>
          <a:xfrm flipH="1">
            <a:off x="284226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19</xdr:row>
      <xdr:rowOff>0</xdr:rowOff>
    </xdr:from>
    <xdr:to>
      <xdr:col>5</xdr:col>
      <xdr:colOff>0</xdr:colOff>
      <xdr:row>20</xdr:row>
      <xdr:rowOff>0</xdr:rowOff>
    </xdr:to>
    <xdr:grpSp>
      <xdr:nvGrpSpPr>
        <xdr:cNvPr id="1204" name="Cross_E20">
          <a:extLst>
            <a:ext uri="{FF2B5EF4-FFF2-40B4-BE49-F238E27FC236}">
              <a16:creationId xmlns:a16="http://schemas.microsoft.com/office/drawing/2014/main" id="{5CD75823-4411-48CB-4C6B-716A6A973357}"/>
            </a:ext>
          </a:extLst>
        </xdr:cNvPr>
        <xdr:cNvGrpSpPr/>
      </xdr:nvGrpSpPr>
      <xdr:grpSpPr>
        <a:xfrm>
          <a:off x="2752725" y="3810000"/>
          <a:ext cx="581025" cy="161925"/>
          <a:chOff x="2842260" y="3855720"/>
          <a:chExt cx="601980" cy="167640"/>
        </a:xfrm>
      </xdr:grpSpPr>
      <xdr:cxnSp macro="">
        <xdr:nvCxnSpPr>
          <xdr:cNvPr id="1202" name="Gerader Verbinder 1201">
            <a:extLst>
              <a:ext uri="{FF2B5EF4-FFF2-40B4-BE49-F238E27FC236}">
                <a16:creationId xmlns:a16="http://schemas.microsoft.com/office/drawing/2014/main" id="{4F5D74A4-8EF5-D791-E6A6-1422507FFB88}"/>
              </a:ext>
            </a:extLst>
          </xdr:cNvPr>
          <xdr:cNvCxnSpPr/>
        </xdr:nvCxnSpPr>
        <xdr:spPr>
          <a:xfrm>
            <a:off x="2842260" y="3855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03" name="Gerader Verbinder 1202">
            <a:extLst>
              <a:ext uri="{FF2B5EF4-FFF2-40B4-BE49-F238E27FC236}">
                <a16:creationId xmlns:a16="http://schemas.microsoft.com/office/drawing/2014/main" id="{3D41FD6C-942B-9F4C-10BD-45D87796E65E}"/>
              </a:ext>
            </a:extLst>
          </xdr:cNvPr>
          <xdr:cNvCxnSpPr/>
        </xdr:nvCxnSpPr>
        <xdr:spPr>
          <a:xfrm flipH="1">
            <a:off x="2842260" y="3855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20</xdr:row>
      <xdr:rowOff>0</xdr:rowOff>
    </xdr:from>
    <xdr:to>
      <xdr:col>5</xdr:col>
      <xdr:colOff>0</xdr:colOff>
      <xdr:row>21</xdr:row>
      <xdr:rowOff>0</xdr:rowOff>
    </xdr:to>
    <xdr:grpSp>
      <xdr:nvGrpSpPr>
        <xdr:cNvPr id="1207" name="Cross_E21">
          <a:extLst>
            <a:ext uri="{FF2B5EF4-FFF2-40B4-BE49-F238E27FC236}">
              <a16:creationId xmlns:a16="http://schemas.microsoft.com/office/drawing/2014/main" id="{F06DE11F-D669-CEE0-7618-B3386D7F36FC}"/>
            </a:ext>
          </a:extLst>
        </xdr:cNvPr>
        <xdr:cNvGrpSpPr/>
      </xdr:nvGrpSpPr>
      <xdr:grpSpPr>
        <a:xfrm>
          <a:off x="2752725" y="3971925"/>
          <a:ext cx="581025" cy="161925"/>
          <a:chOff x="2842260" y="4023360"/>
          <a:chExt cx="601980" cy="167640"/>
        </a:xfrm>
      </xdr:grpSpPr>
      <xdr:cxnSp macro="">
        <xdr:nvCxnSpPr>
          <xdr:cNvPr id="1205" name="Gerader Verbinder 1204">
            <a:extLst>
              <a:ext uri="{FF2B5EF4-FFF2-40B4-BE49-F238E27FC236}">
                <a16:creationId xmlns:a16="http://schemas.microsoft.com/office/drawing/2014/main" id="{03EAB41A-2536-F1BC-7432-665A3F4459E4}"/>
              </a:ext>
            </a:extLst>
          </xdr:cNvPr>
          <xdr:cNvCxnSpPr/>
        </xdr:nvCxnSpPr>
        <xdr:spPr>
          <a:xfrm>
            <a:off x="2842260" y="4023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06" name="Gerader Verbinder 1205">
            <a:extLst>
              <a:ext uri="{FF2B5EF4-FFF2-40B4-BE49-F238E27FC236}">
                <a16:creationId xmlns:a16="http://schemas.microsoft.com/office/drawing/2014/main" id="{49A1B8AF-73BA-9044-A6AD-16195977BD81}"/>
              </a:ext>
            </a:extLst>
          </xdr:cNvPr>
          <xdr:cNvCxnSpPr/>
        </xdr:nvCxnSpPr>
        <xdr:spPr>
          <a:xfrm flipH="1">
            <a:off x="2842260" y="4023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27</xdr:row>
      <xdr:rowOff>0</xdr:rowOff>
    </xdr:from>
    <xdr:to>
      <xdr:col>5</xdr:col>
      <xdr:colOff>0</xdr:colOff>
      <xdr:row>28</xdr:row>
      <xdr:rowOff>0</xdr:rowOff>
    </xdr:to>
    <xdr:grpSp>
      <xdr:nvGrpSpPr>
        <xdr:cNvPr id="1210" name="Cross_E28">
          <a:extLst>
            <a:ext uri="{FF2B5EF4-FFF2-40B4-BE49-F238E27FC236}">
              <a16:creationId xmlns:a16="http://schemas.microsoft.com/office/drawing/2014/main" id="{D0E90A86-F03F-1ACF-42F5-0A8B80F58A21}"/>
            </a:ext>
          </a:extLst>
        </xdr:cNvPr>
        <xdr:cNvGrpSpPr/>
      </xdr:nvGrpSpPr>
      <xdr:grpSpPr>
        <a:xfrm>
          <a:off x="2752725" y="5238750"/>
          <a:ext cx="581025" cy="228600"/>
          <a:chOff x="2842260" y="5318760"/>
          <a:chExt cx="601980" cy="228600"/>
        </a:xfrm>
      </xdr:grpSpPr>
      <xdr:cxnSp macro="">
        <xdr:nvCxnSpPr>
          <xdr:cNvPr id="1208" name="Gerader Verbinder 1207">
            <a:extLst>
              <a:ext uri="{FF2B5EF4-FFF2-40B4-BE49-F238E27FC236}">
                <a16:creationId xmlns:a16="http://schemas.microsoft.com/office/drawing/2014/main" id="{3C8AA876-B079-5EAD-1EFE-001DA741C0B2}"/>
              </a:ext>
            </a:extLst>
          </xdr:cNvPr>
          <xdr:cNvCxnSpPr/>
        </xdr:nvCxnSpPr>
        <xdr:spPr>
          <a:xfrm>
            <a:off x="284226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09" name="Gerader Verbinder 1208">
            <a:extLst>
              <a:ext uri="{FF2B5EF4-FFF2-40B4-BE49-F238E27FC236}">
                <a16:creationId xmlns:a16="http://schemas.microsoft.com/office/drawing/2014/main" id="{5CBA1234-F735-5643-1BDF-BFF76152A010}"/>
              </a:ext>
            </a:extLst>
          </xdr:cNvPr>
          <xdr:cNvCxnSpPr/>
        </xdr:nvCxnSpPr>
        <xdr:spPr>
          <a:xfrm flipH="1">
            <a:off x="284226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28</xdr:row>
      <xdr:rowOff>0</xdr:rowOff>
    </xdr:from>
    <xdr:to>
      <xdr:col>5</xdr:col>
      <xdr:colOff>0</xdr:colOff>
      <xdr:row>29</xdr:row>
      <xdr:rowOff>0</xdr:rowOff>
    </xdr:to>
    <xdr:grpSp>
      <xdr:nvGrpSpPr>
        <xdr:cNvPr id="1213" name="Cross_E29">
          <a:extLst>
            <a:ext uri="{FF2B5EF4-FFF2-40B4-BE49-F238E27FC236}">
              <a16:creationId xmlns:a16="http://schemas.microsoft.com/office/drawing/2014/main" id="{2F80A6F1-F9BA-CB14-5EC8-08630637D4FF}"/>
            </a:ext>
          </a:extLst>
        </xdr:cNvPr>
        <xdr:cNvGrpSpPr/>
      </xdr:nvGrpSpPr>
      <xdr:grpSpPr>
        <a:xfrm>
          <a:off x="2752725" y="5467350"/>
          <a:ext cx="581025" cy="161925"/>
          <a:chOff x="2842260" y="5547360"/>
          <a:chExt cx="601980" cy="167640"/>
        </a:xfrm>
      </xdr:grpSpPr>
      <xdr:cxnSp macro="">
        <xdr:nvCxnSpPr>
          <xdr:cNvPr id="1211" name="Gerader Verbinder 1210">
            <a:extLst>
              <a:ext uri="{FF2B5EF4-FFF2-40B4-BE49-F238E27FC236}">
                <a16:creationId xmlns:a16="http://schemas.microsoft.com/office/drawing/2014/main" id="{8844D638-6677-FBF2-FC4D-1A460D9DEF30}"/>
              </a:ext>
            </a:extLst>
          </xdr:cNvPr>
          <xdr:cNvCxnSpPr/>
        </xdr:nvCxnSpPr>
        <xdr:spPr>
          <a:xfrm>
            <a:off x="2842260" y="5547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12" name="Gerader Verbinder 1211">
            <a:extLst>
              <a:ext uri="{FF2B5EF4-FFF2-40B4-BE49-F238E27FC236}">
                <a16:creationId xmlns:a16="http://schemas.microsoft.com/office/drawing/2014/main" id="{2EB00A66-EF23-ACE9-3ACF-FED6173DA1E6}"/>
              </a:ext>
            </a:extLst>
          </xdr:cNvPr>
          <xdr:cNvCxnSpPr/>
        </xdr:nvCxnSpPr>
        <xdr:spPr>
          <a:xfrm flipH="1">
            <a:off x="2842260" y="5547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29</xdr:row>
      <xdr:rowOff>0</xdr:rowOff>
    </xdr:from>
    <xdr:to>
      <xdr:col>5</xdr:col>
      <xdr:colOff>0</xdr:colOff>
      <xdr:row>30</xdr:row>
      <xdr:rowOff>0</xdr:rowOff>
    </xdr:to>
    <xdr:grpSp>
      <xdr:nvGrpSpPr>
        <xdr:cNvPr id="1216" name="Cross_E30">
          <a:extLst>
            <a:ext uri="{FF2B5EF4-FFF2-40B4-BE49-F238E27FC236}">
              <a16:creationId xmlns:a16="http://schemas.microsoft.com/office/drawing/2014/main" id="{1F49DAA8-760B-D868-7567-C0FE6C993AC8}"/>
            </a:ext>
          </a:extLst>
        </xdr:cNvPr>
        <xdr:cNvGrpSpPr/>
      </xdr:nvGrpSpPr>
      <xdr:grpSpPr>
        <a:xfrm>
          <a:off x="2752725" y="5629275"/>
          <a:ext cx="581025" cy="161925"/>
          <a:chOff x="2842260" y="5715000"/>
          <a:chExt cx="601980" cy="167640"/>
        </a:xfrm>
      </xdr:grpSpPr>
      <xdr:cxnSp macro="">
        <xdr:nvCxnSpPr>
          <xdr:cNvPr id="1214" name="Gerader Verbinder 1213">
            <a:extLst>
              <a:ext uri="{FF2B5EF4-FFF2-40B4-BE49-F238E27FC236}">
                <a16:creationId xmlns:a16="http://schemas.microsoft.com/office/drawing/2014/main" id="{E07F5B07-63E1-A6AA-8B7C-9CBE3601F8DC}"/>
              </a:ext>
            </a:extLst>
          </xdr:cNvPr>
          <xdr:cNvCxnSpPr/>
        </xdr:nvCxnSpPr>
        <xdr:spPr>
          <a:xfrm>
            <a:off x="2842260" y="5715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15" name="Gerader Verbinder 1214">
            <a:extLst>
              <a:ext uri="{FF2B5EF4-FFF2-40B4-BE49-F238E27FC236}">
                <a16:creationId xmlns:a16="http://schemas.microsoft.com/office/drawing/2014/main" id="{7DF20B1A-844D-8C89-5A09-E088D54DF50E}"/>
              </a:ext>
            </a:extLst>
          </xdr:cNvPr>
          <xdr:cNvCxnSpPr/>
        </xdr:nvCxnSpPr>
        <xdr:spPr>
          <a:xfrm flipH="1">
            <a:off x="2842260" y="5715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36</xdr:row>
      <xdr:rowOff>0</xdr:rowOff>
    </xdr:from>
    <xdr:to>
      <xdr:col>5</xdr:col>
      <xdr:colOff>0</xdr:colOff>
      <xdr:row>37</xdr:row>
      <xdr:rowOff>0</xdr:rowOff>
    </xdr:to>
    <xdr:grpSp>
      <xdr:nvGrpSpPr>
        <xdr:cNvPr id="1219" name="Cross_E37">
          <a:extLst>
            <a:ext uri="{FF2B5EF4-FFF2-40B4-BE49-F238E27FC236}">
              <a16:creationId xmlns:a16="http://schemas.microsoft.com/office/drawing/2014/main" id="{62796790-804F-37C0-1D24-DB3355B6BE42}"/>
            </a:ext>
          </a:extLst>
        </xdr:cNvPr>
        <xdr:cNvGrpSpPr/>
      </xdr:nvGrpSpPr>
      <xdr:grpSpPr>
        <a:xfrm>
          <a:off x="2752725" y="6896100"/>
          <a:ext cx="581025" cy="228600"/>
          <a:chOff x="2842260" y="7010400"/>
          <a:chExt cx="601980" cy="228600"/>
        </a:xfrm>
      </xdr:grpSpPr>
      <xdr:cxnSp macro="">
        <xdr:nvCxnSpPr>
          <xdr:cNvPr id="1217" name="Gerader Verbinder 1216">
            <a:extLst>
              <a:ext uri="{FF2B5EF4-FFF2-40B4-BE49-F238E27FC236}">
                <a16:creationId xmlns:a16="http://schemas.microsoft.com/office/drawing/2014/main" id="{93EB1893-E351-F36B-6044-6BD939077878}"/>
              </a:ext>
            </a:extLst>
          </xdr:cNvPr>
          <xdr:cNvCxnSpPr/>
        </xdr:nvCxnSpPr>
        <xdr:spPr>
          <a:xfrm>
            <a:off x="284226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18" name="Gerader Verbinder 1217">
            <a:extLst>
              <a:ext uri="{FF2B5EF4-FFF2-40B4-BE49-F238E27FC236}">
                <a16:creationId xmlns:a16="http://schemas.microsoft.com/office/drawing/2014/main" id="{454229F7-93F4-3021-C9E0-6F120C83797E}"/>
              </a:ext>
            </a:extLst>
          </xdr:cNvPr>
          <xdr:cNvCxnSpPr/>
        </xdr:nvCxnSpPr>
        <xdr:spPr>
          <a:xfrm flipH="1">
            <a:off x="284226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37</xdr:row>
      <xdr:rowOff>0</xdr:rowOff>
    </xdr:from>
    <xdr:to>
      <xdr:col>5</xdr:col>
      <xdr:colOff>0</xdr:colOff>
      <xdr:row>38</xdr:row>
      <xdr:rowOff>0</xdr:rowOff>
    </xdr:to>
    <xdr:grpSp>
      <xdr:nvGrpSpPr>
        <xdr:cNvPr id="1222" name="Cross_E38">
          <a:extLst>
            <a:ext uri="{FF2B5EF4-FFF2-40B4-BE49-F238E27FC236}">
              <a16:creationId xmlns:a16="http://schemas.microsoft.com/office/drawing/2014/main" id="{077E24C6-4A7C-76EA-2CCD-ED85CCF156A0}"/>
            </a:ext>
          </a:extLst>
        </xdr:cNvPr>
        <xdr:cNvGrpSpPr/>
      </xdr:nvGrpSpPr>
      <xdr:grpSpPr>
        <a:xfrm>
          <a:off x="2752725" y="7124700"/>
          <a:ext cx="581025" cy="161925"/>
          <a:chOff x="2842260" y="7239000"/>
          <a:chExt cx="601980" cy="167640"/>
        </a:xfrm>
      </xdr:grpSpPr>
      <xdr:cxnSp macro="">
        <xdr:nvCxnSpPr>
          <xdr:cNvPr id="1220" name="Gerader Verbinder 1219">
            <a:extLst>
              <a:ext uri="{FF2B5EF4-FFF2-40B4-BE49-F238E27FC236}">
                <a16:creationId xmlns:a16="http://schemas.microsoft.com/office/drawing/2014/main" id="{6C8B2FAE-CCEA-DC42-D99C-A4C86D9FE80A}"/>
              </a:ext>
            </a:extLst>
          </xdr:cNvPr>
          <xdr:cNvCxnSpPr/>
        </xdr:nvCxnSpPr>
        <xdr:spPr>
          <a:xfrm>
            <a:off x="2842260" y="7239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21" name="Gerader Verbinder 1220">
            <a:extLst>
              <a:ext uri="{FF2B5EF4-FFF2-40B4-BE49-F238E27FC236}">
                <a16:creationId xmlns:a16="http://schemas.microsoft.com/office/drawing/2014/main" id="{3A8AC86C-81B1-C51D-0882-D3C426597A96}"/>
              </a:ext>
            </a:extLst>
          </xdr:cNvPr>
          <xdr:cNvCxnSpPr/>
        </xdr:nvCxnSpPr>
        <xdr:spPr>
          <a:xfrm flipH="1">
            <a:off x="2842260" y="7239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38</xdr:row>
      <xdr:rowOff>0</xdr:rowOff>
    </xdr:from>
    <xdr:to>
      <xdr:col>5</xdr:col>
      <xdr:colOff>0</xdr:colOff>
      <xdr:row>39</xdr:row>
      <xdr:rowOff>0</xdr:rowOff>
    </xdr:to>
    <xdr:grpSp>
      <xdr:nvGrpSpPr>
        <xdr:cNvPr id="1225" name="Cross_E39">
          <a:extLst>
            <a:ext uri="{FF2B5EF4-FFF2-40B4-BE49-F238E27FC236}">
              <a16:creationId xmlns:a16="http://schemas.microsoft.com/office/drawing/2014/main" id="{4498208D-024C-35D7-E412-4505636ACE15}"/>
            </a:ext>
          </a:extLst>
        </xdr:cNvPr>
        <xdr:cNvGrpSpPr/>
      </xdr:nvGrpSpPr>
      <xdr:grpSpPr>
        <a:xfrm>
          <a:off x="2752725" y="7286625"/>
          <a:ext cx="581025" cy="161925"/>
          <a:chOff x="2842260" y="7406640"/>
          <a:chExt cx="601980" cy="167640"/>
        </a:xfrm>
      </xdr:grpSpPr>
      <xdr:cxnSp macro="">
        <xdr:nvCxnSpPr>
          <xdr:cNvPr id="1223" name="Gerader Verbinder 1222">
            <a:extLst>
              <a:ext uri="{FF2B5EF4-FFF2-40B4-BE49-F238E27FC236}">
                <a16:creationId xmlns:a16="http://schemas.microsoft.com/office/drawing/2014/main" id="{28CAF648-4CF5-CA2F-6D5E-4289BEAAAFCA}"/>
              </a:ext>
            </a:extLst>
          </xdr:cNvPr>
          <xdr:cNvCxnSpPr/>
        </xdr:nvCxnSpPr>
        <xdr:spPr>
          <a:xfrm>
            <a:off x="2842260" y="7406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24" name="Gerader Verbinder 1223">
            <a:extLst>
              <a:ext uri="{FF2B5EF4-FFF2-40B4-BE49-F238E27FC236}">
                <a16:creationId xmlns:a16="http://schemas.microsoft.com/office/drawing/2014/main" id="{F0BF17BE-F1F5-F5A8-A583-CA441BFBDE3A}"/>
              </a:ext>
            </a:extLst>
          </xdr:cNvPr>
          <xdr:cNvCxnSpPr/>
        </xdr:nvCxnSpPr>
        <xdr:spPr>
          <a:xfrm flipH="1">
            <a:off x="2842260" y="7406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39</xdr:row>
      <xdr:rowOff>0</xdr:rowOff>
    </xdr:from>
    <xdr:to>
      <xdr:col>5</xdr:col>
      <xdr:colOff>0</xdr:colOff>
      <xdr:row>40</xdr:row>
      <xdr:rowOff>0</xdr:rowOff>
    </xdr:to>
    <xdr:grpSp>
      <xdr:nvGrpSpPr>
        <xdr:cNvPr id="1228" name="Cross_E40">
          <a:extLst>
            <a:ext uri="{FF2B5EF4-FFF2-40B4-BE49-F238E27FC236}">
              <a16:creationId xmlns:a16="http://schemas.microsoft.com/office/drawing/2014/main" id="{23DCB146-B0A3-E56D-4911-B55B521DE19E}"/>
            </a:ext>
          </a:extLst>
        </xdr:cNvPr>
        <xdr:cNvGrpSpPr/>
      </xdr:nvGrpSpPr>
      <xdr:grpSpPr>
        <a:xfrm>
          <a:off x="2752725" y="7448550"/>
          <a:ext cx="581025" cy="228600"/>
          <a:chOff x="2842260" y="7574280"/>
          <a:chExt cx="601980" cy="228600"/>
        </a:xfrm>
      </xdr:grpSpPr>
      <xdr:cxnSp macro="">
        <xdr:nvCxnSpPr>
          <xdr:cNvPr id="1226" name="Gerader Verbinder 1225">
            <a:extLst>
              <a:ext uri="{FF2B5EF4-FFF2-40B4-BE49-F238E27FC236}">
                <a16:creationId xmlns:a16="http://schemas.microsoft.com/office/drawing/2014/main" id="{616A70AC-D696-DFE9-9802-8140F8301EA9}"/>
              </a:ext>
            </a:extLst>
          </xdr:cNvPr>
          <xdr:cNvCxnSpPr/>
        </xdr:nvCxnSpPr>
        <xdr:spPr>
          <a:xfrm>
            <a:off x="284226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27" name="Gerader Verbinder 1226">
            <a:extLst>
              <a:ext uri="{FF2B5EF4-FFF2-40B4-BE49-F238E27FC236}">
                <a16:creationId xmlns:a16="http://schemas.microsoft.com/office/drawing/2014/main" id="{FE1BA03C-DCB5-8711-E303-693B20F9E0CF}"/>
              </a:ext>
            </a:extLst>
          </xdr:cNvPr>
          <xdr:cNvCxnSpPr/>
        </xdr:nvCxnSpPr>
        <xdr:spPr>
          <a:xfrm flipH="1">
            <a:off x="284226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40</xdr:row>
      <xdr:rowOff>0</xdr:rowOff>
    </xdr:from>
    <xdr:to>
      <xdr:col>5</xdr:col>
      <xdr:colOff>0</xdr:colOff>
      <xdr:row>41</xdr:row>
      <xdr:rowOff>0</xdr:rowOff>
    </xdr:to>
    <xdr:grpSp>
      <xdr:nvGrpSpPr>
        <xdr:cNvPr id="1231" name="Cross_E41">
          <a:extLst>
            <a:ext uri="{FF2B5EF4-FFF2-40B4-BE49-F238E27FC236}">
              <a16:creationId xmlns:a16="http://schemas.microsoft.com/office/drawing/2014/main" id="{FB383706-CBE7-7372-6891-248C4350BE8A}"/>
            </a:ext>
          </a:extLst>
        </xdr:cNvPr>
        <xdr:cNvGrpSpPr/>
      </xdr:nvGrpSpPr>
      <xdr:grpSpPr>
        <a:xfrm>
          <a:off x="2752725" y="7677150"/>
          <a:ext cx="581025" cy="161925"/>
          <a:chOff x="2842260" y="7802880"/>
          <a:chExt cx="601980" cy="167640"/>
        </a:xfrm>
      </xdr:grpSpPr>
      <xdr:cxnSp macro="">
        <xdr:nvCxnSpPr>
          <xdr:cNvPr id="1229" name="Gerader Verbinder 1228">
            <a:extLst>
              <a:ext uri="{FF2B5EF4-FFF2-40B4-BE49-F238E27FC236}">
                <a16:creationId xmlns:a16="http://schemas.microsoft.com/office/drawing/2014/main" id="{46C5EB58-5BE8-BAF5-74BE-FFF8C295B7BF}"/>
              </a:ext>
            </a:extLst>
          </xdr:cNvPr>
          <xdr:cNvCxnSpPr/>
        </xdr:nvCxnSpPr>
        <xdr:spPr>
          <a:xfrm>
            <a:off x="2842260" y="7802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30" name="Gerader Verbinder 1229">
            <a:extLst>
              <a:ext uri="{FF2B5EF4-FFF2-40B4-BE49-F238E27FC236}">
                <a16:creationId xmlns:a16="http://schemas.microsoft.com/office/drawing/2014/main" id="{6CB09DF2-6B9F-097E-52C1-7C55744AFFA5}"/>
              </a:ext>
            </a:extLst>
          </xdr:cNvPr>
          <xdr:cNvCxnSpPr/>
        </xdr:nvCxnSpPr>
        <xdr:spPr>
          <a:xfrm flipH="1">
            <a:off x="2842260" y="7802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41</xdr:row>
      <xdr:rowOff>0</xdr:rowOff>
    </xdr:from>
    <xdr:to>
      <xdr:col>5</xdr:col>
      <xdr:colOff>0</xdr:colOff>
      <xdr:row>42</xdr:row>
      <xdr:rowOff>0</xdr:rowOff>
    </xdr:to>
    <xdr:grpSp>
      <xdr:nvGrpSpPr>
        <xdr:cNvPr id="1234" name="Cross_E42">
          <a:extLst>
            <a:ext uri="{FF2B5EF4-FFF2-40B4-BE49-F238E27FC236}">
              <a16:creationId xmlns:a16="http://schemas.microsoft.com/office/drawing/2014/main" id="{EE108166-34CE-8073-1362-45D30082EA87}"/>
            </a:ext>
          </a:extLst>
        </xdr:cNvPr>
        <xdr:cNvGrpSpPr/>
      </xdr:nvGrpSpPr>
      <xdr:grpSpPr>
        <a:xfrm>
          <a:off x="2752725" y="7839075"/>
          <a:ext cx="581025" cy="161925"/>
          <a:chOff x="2842260" y="7970520"/>
          <a:chExt cx="601980" cy="167640"/>
        </a:xfrm>
      </xdr:grpSpPr>
      <xdr:cxnSp macro="">
        <xdr:nvCxnSpPr>
          <xdr:cNvPr id="1232" name="Gerader Verbinder 1231">
            <a:extLst>
              <a:ext uri="{FF2B5EF4-FFF2-40B4-BE49-F238E27FC236}">
                <a16:creationId xmlns:a16="http://schemas.microsoft.com/office/drawing/2014/main" id="{A1EB4816-8A19-13A1-89BB-81BEDC937478}"/>
              </a:ext>
            </a:extLst>
          </xdr:cNvPr>
          <xdr:cNvCxnSpPr/>
        </xdr:nvCxnSpPr>
        <xdr:spPr>
          <a:xfrm>
            <a:off x="2842260" y="7970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33" name="Gerader Verbinder 1232">
            <a:extLst>
              <a:ext uri="{FF2B5EF4-FFF2-40B4-BE49-F238E27FC236}">
                <a16:creationId xmlns:a16="http://schemas.microsoft.com/office/drawing/2014/main" id="{6EAD5EB6-0A12-2188-8617-6926B9088189}"/>
              </a:ext>
            </a:extLst>
          </xdr:cNvPr>
          <xdr:cNvCxnSpPr/>
        </xdr:nvCxnSpPr>
        <xdr:spPr>
          <a:xfrm flipH="1">
            <a:off x="2842260" y="7970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42</xdr:row>
      <xdr:rowOff>0</xdr:rowOff>
    </xdr:from>
    <xdr:to>
      <xdr:col>5</xdr:col>
      <xdr:colOff>0</xdr:colOff>
      <xdr:row>43</xdr:row>
      <xdr:rowOff>0</xdr:rowOff>
    </xdr:to>
    <xdr:grpSp>
      <xdr:nvGrpSpPr>
        <xdr:cNvPr id="1237" name="Cross_E43">
          <a:extLst>
            <a:ext uri="{FF2B5EF4-FFF2-40B4-BE49-F238E27FC236}">
              <a16:creationId xmlns:a16="http://schemas.microsoft.com/office/drawing/2014/main" id="{D23E4F1B-6ECD-0D75-1056-50B7C5F6F402}"/>
            </a:ext>
          </a:extLst>
        </xdr:cNvPr>
        <xdr:cNvGrpSpPr/>
      </xdr:nvGrpSpPr>
      <xdr:grpSpPr>
        <a:xfrm>
          <a:off x="2752725" y="8001000"/>
          <a:ext cx="581025" cy="228600"/>
          <a:chOff x="2842260" y="8138160"/>
          <a:chExt cx="601980" cy="228600"/>
        </a:xfrm>
      </xdr:grpSpPr>
      <xdr:cxnSp macro="">
        <xdr:nvCxnSpPr>
          <xdr:cNvPr id="1235" name="Gerader Verbinder 1234">
            <a:extLst>
              <a:ext uri="{FF2B5EF4-FFF2-40B4-BE49-F238E27FC236}">
                <a16:creationId xmlns:a16="http://schemas.microsoft.com/office/drawing/2014/main" id="{7BE63B83-D9B9-239D-60BD-5934B9C576F9}"/>
              </a:ext>
            </a:extLst>
          </xdr:cNvPr>
          <xdr:cNvCxnSpPr/>
        </xdr:nvCxnSpPr>
        <xdr:spPr>
          <a:xfrm>
            <a:off x="284226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36" name="Gerader Verbinder 1235">
            <a:extLst>
              <a:ext uri="{FF2B5EF4-FFF2-40B4-BE49-F238E27FC236}">
                <a16:creationId xmlns:a16="http://schemas.microsoft.com/office/drawing/2014/main" id="{B75A52A6-BC62-C8B5-089C-C245673B3140}"/>
              </a:ext>
            </a:extLst>
          </xdr:cNvPr>
          <xdr:cNvCxnSpPr/>
        </xdr:nvCxnSpPr>
        <xdr:spPr>
          <a:xfrm flipH="1">
            <a:off x="284226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43</xdr:row>
      <xdr:rowOff>0</xdr:rowOff>
    </xdr:from>
    <xdr:to>
      <xdr:col>5</xdr:col>
      <xdr:colOff>0</xdr:colOff>
      <xdr:row>44</xdr:row>
      <xdr:rowOff>0</xdr:rowOff>
    </xdr:to>
    <xdr:grpSp>
      <xdr:nvGrpSpPr>
        <xdr:cNvPr id="1240" name="Cross_E44">
          <a:extLst>
            <a:ext uri="{FF2B5EF4-FFF2-40B4-BE49-F238E27FC236}">
              <a16:creationId xmlns:a16="http://schemas.microsoft.com/office/drawing/2014/main" id="{AA0B3250-C624-DB36-2A55-5D8362CC92A2}"/>
            </a:ext>
          </a:extLst>
        </xdr:cNvPr>
        <xdr:cNvGrpSpPr/>
      </xdr:nvGrpSpPr>
      <xdr:grpSpPr>
        <a:xfrm>
          <a:off x="2752725" y="8229600"/>
          <a:ext cx="581025" cy="161925"/>
          <a:chOff x="2842260" y="8366760"/>
          <a:chExt cx="601980" cy="167640"/>
        </a:xfrm>
      </xdr:grpSpPr>
      <xdr:cxnSp macro="">
        <xdr:nvCxnSpPr>
          <xdr:cNvPr id="1238" name="Gerader Verbinder 1237">
            <a:extLst>
              <a:ext uri="{FF2B5EF4-FFF2-40B4-BE49-F238E27FC236}">
                <a16:creationId xmlns:a16="http://schemas.microsoft.com/office/drawing/2014/main" id="{C9C80DF5-BFAB-435A-B898-3F6AA18908B4}"/>
              </a:ext>
            </a:extLst>
          </xdr:cNvPr>
          <xdr:cNvCxnSpPr/>
        </xdr:nvCxnSpPr>
        <xdr:spPr>
          <a:xfrm>
            <a:off x="2842260" y="8366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39" name="Gerader Verbinder 1238">
            <a:extLst>
              <a:ext uri="{FF2B5EF4-FFF2-40B4-BE49-F238E27FC236}">
                <a16:creationId xmlns:a16="http://schemas.microsoft.com/office/drawing/2014/main" id="{7CBEF778-5B24-7BD5-19F1-8993F8AF60C5}"/>
              </a:ext>
            </a:extLst>
          </xdr:cNvPr>
          <xdr:cNvCxnSpPr/>
        </xdr:nvCxnSpPr>
        <xdr:spPr>
          <a:xfrm flipH="1">
            <a:off x="2842260" y="8366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44</xdr:row>
      <xdr:rowOff>0</xdr:rowOff>
    </xdr:from>
    <xdr:to>
      <xdr:col>5</xdr:col>
      <xdr:colOff>0</xdr:colOff>
      <xdr:row>45</xdr:row>
      <xdr:rowOff>0</xdr:rowOff>
    </xdr:to>
    <xdr:grpSp>
      <xdr:nvGrpSpPr>
        <xdr:cNvPr id="1243" name="Cross_E45">
          <a:extLst>
            <a:ext uri="{FF2B5EF4-FFF2-40B4-BE49-F238E27FC236}">
              <a16:creationId xmlns:a16="http://schemas.microsoft.com/office/drawing/2014/main" id="{699D40C1-8D20-89CA-A4B6-7BA6AF338A1B}"/>
            </a:ext>
          </a:extLst>
        </xdr:cNvPr>
        <xdr:cNvGrpSpPr/>
      </xdr:nvGrpSpPr>
      <xdr:grpSpPr>
        <a:xfrm>
          <a:off x="2752725" y="8391525"/>
          <a:ext cx="581025" cy="161925"/>
          <a:chOff x="2842260" y="8534400"/>
          <a:chExt cx="601980" cy="167640"/>
        </a:xfrm>
      </xdr:grpSpPr>
      <xdr:cxnSp macro="">
        <xdr:nvCxnSpPr>
          <xdr:cNvPr id="1241" name="Gerader Verbinder 1240">
            <a:extLst>
              <a:ext uri="{FF2B5EF4-FFF2-40B4-BE49-F238E27FC236}">
                <a16:creationId xmlns:a16="http://schemas.microsoft.com/office/drawing/2014/main" id="{BDE2977B-34B2-100C-E24F-C3ACE097EAD5}"/>
              </a:ext>
            </a:extLst>
          </xdr:cNvPr>
          <xdr:cNvCxnSpPr/>
        </xdr:nvCxnSpPr>
        <xdr:spPr>
          <a:xfrm>
            <a:off x="2842260" y="8534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42" name="Gerader Verbinder 1241">
            <a:extLst>
              <a:ext uri="{FF2B5EF4-FFF2-40B4-BE49-F238E27FC236}">
                <a16:creationId xmlns:a16="http://schemas.microsoft.com/office/drawing/2014/main" id="{D50E423A-D34B-FB04-F29E-19BE17567BC9}"/>
              </a:ext>
            </a:extLst>
          </xdr:cNvPr>
          <xdr:cNvCxnSpPr/>
        </xdr:nvCxnSpPr>
        <xdr:spPr>
          <a:xfrm flipH="1">
            <a:off x="2842260" y="8534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45</xdr:row>
      <xdr:rowOff>0</xdr:rowOff>
    </xdr:from>
    <xdr:to>
      <xdr:col>5</xdr:col>
      <xdr:colOff>0</xdr:colOff>
      <xdr:row>46</xdr:row>
      <xdr:rowOff>0</xdr:rowOff>
    </xdr:to>
    <xdr:grpSp>
      <xdr:nvGrpSpPr>
        <xdr:cNvPr id="1246" name="Cross_E46">
          <a:extLst>
            <a:ext uri="{FF2B5EF4-FFF2-40B4-BE49-F238E27FC236}">
              <a16:creationId xmlns:a16="http://schemas.microsoft.com/office/drawing/2014/main" id="{D918F96E-7E6B-3398-FA4E-76EB757679BD}"/>
            </a:ext>
          </a:extLst>
        </xdr:cNvPr>
        <xdr:cNvGrpSpPr/>
      </xdr:nvGrpSpPr>
      <xdr:grpSpPr>
        <a:xfrm>
          <a:off x="2752725" y="8553450"/>
          <a:ext cx="581025" cy="228600"/>
          <a:chOff x="2842260" y="8702040"/>
          <a:chExt cx="601980" cy="228600"/>
        </a:xfrm>
      </xdr:grpSpPr>
      <xdr:cxnSp macro="">
        <xdr:nvCxnSpPr>
          <xdr:cNvPr id="1244" name="Gerader Verbinder 1243">
            <a:extLst>
              <a:ext uri="{FF2B5EF4-FFF2-40B4-BE49-F238E27FC236}">
                <a16:creationId xmlns:a16="http://schemas.microsoft.com/office/drawing/2014/main" id="{93A40F56-131A-4BF6-DB25-CDBEFC4346B3}"/>
              </a:ext>
            </a:extLst>
          </xdr:cNvPr>
          <xdr:cNvCxnSpPr/>
        </xdr:nvCxnSpPr>
        <xdr:spPr>
          <a:xfrm>
            <a:off x="284226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45" name="Gerader Verbinder 1244">
            <a:extLst>
              <a:ext uri="{FF2B5EF4-FFF2-40B4-BE49-F238E27FC236}">
                <a16:creationId xmlns:a16="http://schemas.microsoft.com/office/drawing/2014/main" id="{1B7B48D8-4F9B-04E7-61B4-82B844727E37}"/>
              </a:ext>
            </a:extLst>
          </xdr:cNvPr>
          <xdr:cNvCxnSpPr/>
        </xdr:nvCxnSpPr>
        <xdr:spPr>
          <a:xfrm flipH="1">
            <a:off x="284226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46</xdr:row>
      <xdr:rowOff>0</xdr:rowOff>
    </xdr:from>
    <xdr:to>
      <xdr:col>5</xdr:col>
      <xdr:colOff>0</xdr:colOff>
      <xdr:row>47</xdr:row>
      <xdr:rowOff>0</xdr:rowOff>
    </xdr:to>
    <xdr:grpSp>
      <xdr:nvGrpSpPr>
        <xdr:cNvPr id="1249" name="Cross_E47">
          <a:extLst>
            <a:ext uri="{FF2B5EF4-FFF2-40B4-BE49-F238E27FC236}">
              <a16:creationId xmlns:a16="http://schemas.microsoft.com/office/drawing/2014/main" id="{40AE2E77-BEBC-D7AD-232E-2BCBCF3A99D8}"/>
            </a:ext>
          </a:extLst>
        </xdr:cNvPr>
        <xdr:cNvGrpSpPr/>
      </xdr:nvGrpSpPr>
      <xdr:grpSpPr>
        <a:xfrm>
          <a:off x="2752725" y="8782050"/>
          <a:ext cx="581025" cy="161925"/>
          <a:chOff x="2842260" y="8930640"/>
          <a:chExt cx="601980" cy="167640"/>
        </a:xfrm>
      </xdr:grpSpPr>
      <xdr:cxnSp macro="">
        <xdr:nvCxnSpPr>
          <xdr:cNvPr id="1247" name="Gerader Verbinder 1246">
            <a:extLst>
              <a:ext uri="{FF2B5EF4-FFF2-40B4-BE49-F238E27FC236}">
                <a16:creationId xmlns:a16="http://schemas.microsoft.com/office/drawing/2014/main" id="{C4B6A2E7-6444-3A85-859E-7B30CE8EFA6D}"/>
              </a:ext>
            </a:extLst>
          </xdr:cNvPr>
          <xdr:cNvCxnSpPr/>
        </xdr:nvCxnSpPr>
        <xdr:spPr>
          <a:xfrm>
            <a:off x="2842260" y="8930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48" name="Gerader Verbinder 1247">
            <a:extLst>
              <a:ext uri="{FF2B5EF4-FFF2-40B4-BE49-F238E27FC236}">
                <a16:creationId xmlns:a16="http://schemas.microsoft.com/office/drawing/2014/main" id="{47756421-A1FA-D3EC-AE95-AAA066769AE5}"/>
              </a:ext>
            </a:extLst>
          </xdr:cNvPr>
          <xdr:cNvCxnSpPr/>
        </xdr:nvCxnSpPr>
        <xdr:spPr>
          <a:xfrm flipH="1">
            <a:off x="2842260" y="8930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47</xdr:row>
      <xdr:rowOff>0</xdr:rowOff>
    </xdr:from>
    <xdr:to>
      <xdr:col>5</xdr:col>
      <xdr:colOff>0</xdr:colOff>
      <xdr:row>48</xdr:row>
      <xdr:rowOff>0</xdr:rowOff>
    </xdr:to>
    <xdr:grpSp>
      <xdr:nvGrpSpPr>
        <xdr:cNvPr id="1252" name="Cross_E48">
          <a:extLst>
            <a:ext uri="{FF2B5EF4-FFF2-40B4-BE49-F238E27FC236}">
              <a16:creationId xmlns:a16="http://schemas.microsoft.com/office/drawing/2014/main" id="{3E1638FD-8898-1687-02EF-697CA90F89D8}"/>
            </a:ext>
          </a:extLst>
        </xdr:cNvPr>
        <xdr:cNvGrpSpPr/>
      </xdr:nvGrpSpPr>
      <xdr:grpSpPr>
        <a:xfrm>
          <a:off x="2752725" y="8943975"/>
          <a:ext cx="581025" cy="161925"/>
          <a:chOff x="2842260" y="9098280"/>
          <a:chExt cx="601980" cy="167640"/>
        </a:xfrm>
      </xdr:grpSpPr>
      <xdr:cxnSp macro="">
        <xdr:nvCxnSpPr>
          <xdr:cNvPr id="1250" name="Gerader Verbinder 1249">
            <a:extLst>
              <a:ext uri="{FF2B5EF4-FFF2-40B4-BE49-F238E27FC236}">
                <a16:creationId xmlns:a16="http://schemas.microsoft.com/office/drawing/2014/main" id="{D28029EB-62CF-2890-E6B6-6FFF6A47011C}"/>
              </a:ext>
            </a:extLst>
          </xdr:cNvPr>
          <xdr:cNvCxnSpPr/>
        </xdr:nvCxnSpPr>
        <xdr:spPr>
          <a:xfrm>
            <a:off x="2842260" y="9098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51" name="Gerader Verbinder 1250">
            <a:extLst>
              <a:ext uri="{FF2B5EF4-FFF2-40B4-BE49-F238E27FC236}">
                <a16:creationId xmlns:a16="http://schemas.microsoft.com/office/drawing/2014/main" id="{ED5E21C4-CC03-148F-EE40-093C784E54C3}"/>
              </a:ext>
            </a:extLst>
          </xdr:cNvPr>
          <xdr:cNvCxnSpPr/>
        </xdr:nvCxnSpPr>
        <xdr:spPr>
          <a:xfrm flipH="1">
            <a:off x="2842260" y="9098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54</xdr:row>
      <xdr:rowOff>0</xdr:rowOff>
    </xdr:from>
    <xdr:to>
      <xdr:col>5</xdr:col>
      <xdr:colOff>0</xdr:colOff>
      <xdr:row>55</xdr:row>
      <xdr:rowOff>0</xdr:rowOff>
    </xdr:to>
    <xdr:grpSp>
      <xdr:nvGrpSpPr>
        <xdr:cNvPr id="1255" name="Cross_E55">
          <a:extLst>
            <a:ext uri="{FF2B5EF4-FFF2-40B4-BE49-F238E27FC236}">
              <a16:creationId xmlns:a16="http://schemas.microsoft.com/office/drawing/2014/main" id="{F5A5B488-5BDE-7D5A-F0BB-02D3140FAE82}"/>
            </a:ext>
          </a:extLst>
        </xdr:cNvPr>
        <xdr:cNvGrpSpPr/>
      </xdr:nvGrpSpPr>
      <xdr:grpSpPr>
        <a:xfrm>
          <a:off x="2752725" y="10210800"/>
          <a:ext cx="581025" cy="228600"/>
          <a:chOff x="2842260" y="10393680"/>
          <a:chExt cx="601980" cy="228600"/>
        </a:xfrm>
      </xdr:grpSpPr>
      <xdr:cxnSp macro="">
        <xdr:nvCxnSpPr>
          <xdr:cNvPr id="1253" name="Gerader Verbinder 1252">
            <a:extLst>
              <a:ext uri="{FF2B5EF4-FFF2-40B4-BE49-F238E27FC236}">
                <a16:creationId xmlns:a16="http://schemas.microsoft.com/office/drawing/2014/main" id="{18770EE0-B975-ED0A-08CC-EFB4B70E6353}"/>
              </a:ext>
            </a:extLst>
          </xdr:cNvPr>
          <xdr:cNvCxnSpPr/>
        </xdr:nvCxnSpPr>
        <xdr:spPr>
          <a:xfrm>
            <a:off x="284226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54" name="Gerader Verbinder 1253">
            <a:extLst>
              <a:ext uri="{FF2B5EF4-FFF2-40B4-BE49-F238E27FC236}">
                <a16:creationId xmlns:a16="http://schemas.microsoft.com/office/drawing/2014/main" id="{D363552C-531B-E0AD-2F39-0E1C3D3298F5}"/>
              </a:ext>
            </a:extLst>
          </xdr:cNvPr>
          <xdr:cNvCxnSpPr/>
        </xdr:nvCxnSpPr>
        <xdr:spPr>
          <a:xfrm flipH="1">
            <a:off x="284226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55</xdr:row>
      <xdr:rowOff>0</xdr:rowOff>
    </xdr:from>
    <xdr:to>
      <xdr:col>5</xdr:col>
      <xdr:colOff>0</xdr:colOff>
      <xdr:row>56</xdr:row>
      <xdr:rowOff>0</xdr:rowOff>
    </xdr:to>
    <xdr:grpSp>
      <xdr:nvGrpSpPr>
        <xdr:cNvPr id="1258" name="Cross_E56">
          <a:extLst>
            <a:ext uri="{FF2B5EF4-FFF2-40B4-BE49-F238E27FC236}">
              <a16:creationId xmlns:a16="http://schemas.microsoft.com/office/drawing/2014/main" id="{75E46EA2-E2E2-4314-A51F-50CAC99E48AE}"/>
            </a:ext>
          </a:extLst>
        </xdr:cNvPr>
        <xdr:cNvGrpSpPr/>
      </xdr:nvGrpSpPr>
      <xdr:grpSpPr>
        <a:xfrm>
          <a:off x="2752725" y="10439400"/>
          <a:ext cx="581025" cy="161925"/>
          <a:chOff x="2842260" y="10622280"/>
          <a:chExt cx="601980" cy="167640"/>
        </a:xfrm>
      </xdr:grpSpPr>
      <xdr:cxnSp macro="">
        <xdr:nvCxnSpPr>
          <xdr:cNvPr id="1256" name="Gerader Verbinder 1255">
            <a:extLst>
              <a:ext uri="{FF2B5EF4-FFF2-40B4-BE49-F238E27FC236}">
                <a16:creationId xmlns:a16="http://schemas.microsoft.com/office/drawing/2014/main" id="{B1634433-F8A8-44FE-8669-B1A2D3C6D181}"/>
              </a:ext>
            </a:extLst>
          </xdr:cNvPr>
          <xdr:cNvCxnSpPr/>
        </xdr:nvCxnSpPr>
        <xdr:spPr>
          <a:xfrm>
            <a:off x="2842260" y="10622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57" name="Gerader Verbinder 1256">
            <a:extLst>
              <a:ext uri="{FF2B5EF4-FFF2-40B4-BE49-F238E27FC236}">
                <a16:creationId xmlns:a16="http://schemas.microsoft.com/office/drawing/2014/main" id="{E7694813-BC55-BB88-8153-074345724B71}"/>
              </a:ext>
            </a:extLst>
          </xdr:cNvPr>
          <xdr:cNvCxnSpPr/>
        </xdr:nvCxnSpPr>
        <xdr:spPr>
          <a:xfrm flipH="1">
            <a:off x="2842260" y="10622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56</xdr:row>
      <xdr:rowOff>0</xdr:rowOff>
    </xdr:from>
    <xdr:to>
      <xdr:col>5</xdr:col>
      <xdr:colOff>0</xdr:colOff>
      <xdr:row>57</xdr:row>
      <xdr:rowOff>0</xdr:rowOff>
    </xdr:to>
    <xdr:grpSp>
      <xdr:nvGrpSpPr>
        <xdr:cNvPr id="1261" name="Cross_E57">
          <a:extLst>
            <a:ext uri="{FF2B5EF4-FFF2-40B4-BE49-F238E27FC236}">
              <a16:creationId xmlns:a16="http://schemas.microsoft.com/office/drawing/2014/main" id="{A49B8200-E24D-9446-6B9C-BA740A1C1715}"/>
            </a:ext>
          </a:extLst>
        </xdr:cNvPr>
        <xdr:cNvGrpSpPr/>
      </xdr:nvGrpSpPr>
      <xdr:grpSpPr>
        <a:xfrm>
          <a:off x="2752725" y="10601325"/>
          <a:ext cx="581025" cy="161925"/>
          <a:chOff x="2842260" y="10789920"/>
          <a:chExt cx="601980" cy="167640"/>
        </a:xfrm>
      </xdr:grpSpPr>
      <xdr:cxnSp macro="">
        <xdr:nvCxnSpPr>
          <xdr:cNvPr id="1259" name="Gerader Verbinder 1258">
            <a:extLst>
              <a:ext uri="{FF2B5EF4-FFF2-40B4-BE49-F238E27FC236}">
                <a16:creationId xmlns:a16="http://schemas.microsoft.com/office/drawing/2014/main" id="{073C38F6-E7A6-BE2B-B688-5E47C71CF561}"/>
              </a:ext>
            </a:extLst>
          </xdr:cNvPr>
          <xdr:cNvCxnSpPr/>
        </xdr:nvCxnSpPr>
        <xdr:spPr>
          <a:xfrm>
            <a:off x="2842260" y="10789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60" name="Gerader Verbinder 1259">
            <a:extLst>
              <a:ext uri="{FF2B5EF4-FFF2-40B4-BE49-F238E27FC236}">
                <a16:creationId xmlns:a16="http://schemas.microsoft.com/office/drawing/2014/main" id="{D7B40807-9339-4269-03AF-62C452B7860B}"/>
              </a:ext>
            </a:extLst>
          </xdr:cNvPr>
          <xdr:cNvCxnSpPr/>
        </xdr:nvCxnSpPr>
        <xdr:spPr>
          <a:xfrm flipH="1">
            <a:off x="2842260" y="10789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57</xdr:row>
      <xdr:rowOff>0</xdr:rowOff>
    </xdr:from>
    <xdr:to>
      <xdr:col>5</xdr:col>
      <xdr:colOff>0</xdr:colOff>
      <xdr:row>58</xdr:row>
      <xdr:rowOff>0</xdr:rowOff>
    </xdr:to>
    <xdr:grpSp>
      <xdr:nvGrpSpPr>
        <xdr:cNvPr id="1264" name="Cross_E58">
          <a:extLst>
            <a:ext uri="{FF2B5EF4-FFF2-40B4-BE49-F238E27FC236}">
              <a16:creationId xmlns:a16="http://schemas.microsoft.com/office/drawing/2014/main" id="{295510DB-0BA0-6513-804A-FB54A50C451C}"/>
            </a:ext>
          </a:extLst>
        </xdr:cNvPr>
        <xdr:cNvGrpSpPr/>
      </xdr:nvGrpSpPr>
      <xdr:grpSpPr>
        <a:xfrm>
          <a:off x="2752725" y="10763250"/>
          <a:ext cx="581025" cy="228600"/>
          <a:chOff x="2842260" y="10957560"/>
          <a:chExt cx="601980" cy="228600"/>
        </a:xfrm>
      </xdr:grpSpPr>
      <xdr:cxnSp macro="">
        <xdr:nvCxnSpPr>
          <xdr:cNvPr id="1262" name="Gerader Verbinder 1261">
            <a:extLst>
              <a:ext uri="{FF2B5EF4-FFF2-40B4-BE49-F238E27FC236}">
                <a16:creationId xmlns:a16="http://schemas.microsoft.com/office/drawing/2014/main" id="{3820CF39-A9E6-D1DE-82E8-FADB2A8CC69B}"/>
              </a:ext>
            </a:extLst>
          </xdr:cNvPr>
          <xdr:cNvCxnSpPr/>
        </xdr:nvCxnSpPr>
        <xdr:spPr>
          <a:xfrm>
            <a:off x="284226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63" name="Gerader Verbinder 1262">
            <a:extLst>
              <a:ext uri="{FF2B5EF4-FFF2-40B4-BE49-F238E27FC236}">
                <a16:creationId xmlns:a16="http://schemas.microsoft.com/office/drawing/2014/main" id="{7D1D25D3-DEFD-3ADF-5C08-98783080583F}"/>
              </a:ext>
            </a:extLst>
          </xdr:cNvPr>
          <xdr:cNvCxnSpPr/>
        </xdr:nvCxnSpPr>
        <xdr:spPr>
          <a:xfrm flipH="1">
            <a:off x="284226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58</xdr:row>
      <xdr:rowOff>0</xdr:rowOff>
    </xdr:from>
    <xdr:to>
      <xdr:col>5</xdr:col>
      <xdr:colOff>0</xdr:colOff>
      <xdr:row>59</xdr:row>
      <xdr:rowOff>0</xdr:rowOff>
    </xdr:to>
    <xdr:grpSp>
      <xdr:nvGrpSpPr>
        <xdr:cNvPr id="1267" name="Cross_E59">
          <a:extLst>
            <a:ext uri="{FF2B5EF4-FFF2-40B4-BE49-F238E27FC236}">
              <a16:creationId xmlns:a16="http://schemas.microsoft.com/office/drawing/2014/main" id="{E5C038FE-B918-5EE7-C5D1-4E92373754FB}"/>
            </a:ext>
          </a:extLst>
        </xdr:cNvPr>
        <xdr:cNvGrpSpPr/>
      </xdr:nvGrpSpPr>
      <xdr:grpSpPr>
        <a:xfrm>
          <a:off x="2752725" y="10991850"/>
          <a:ext cx="581025" cy="161925"/>
          <a:chOff x="2842260" y="11186160"/>
          <a:chExt cx="601980" cy="167640"/>
        </a:xfrm>
      </xdr:grpSpPr>
      <xdr:cxnSp macro="">
        <xdr:nvCxnSpPr>
          <xdr:cNvPr id="1265" name="Gerader Verbinder 1264">
            <a:extLst>
              <a:ext uri="{FF2B5EF4-FFF2-40B4-BE49-F238E27FC236}">
                <a16:creationId xmlns:a16="http://schemas.microsoft.com/office/drawing/2014/main" id="{25E8435E-D42A-EAAE-7D88-F2A7F4A4FDE0}"/>
              </a:ext>
            </a:extLst>
          </xdr:cNvPr>
          <xdr:cNvCxnSpPr/>
        </xdr:nvCxnSpPr>
        <xdr:spPr>
          <a:xfrm>
            <a:off x="2842260" y="11186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66" name="Gerader Verbinder 1265">
            <a:extLst>
              <a:ext uri="{FF2B5EF4-FFF2-40B4-BE49-F238E27FC236}">
                <a16:creationId xmlns:a16="http://schemas.microsoft.com/office/drawing/2014/main" id="{789B5593-7D6D-107A-CA1D-9B9DFFBAF778}"/>
              </a:ext>
            </a:extLst>
          </xdr:cNvPr>
          <xdr:cNvCxnSpPr/>
        </xdr:nvCxnSpPr>
        <xdr:spPr>
          <a:xfrm flipH="1">
            <a:off x="2842260" y="11186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59</xdr:row>
      <xdr:rowOff>0</xdr:rowOff>
    </xdr:from>
    <xdr:to>
      <xdr:col>5</xdr:col>
      <xdr:colOff>0</xdr:colOff>
      <xdr:row>60</xdr:row>
      <xdr:rowOff>0</xdr:rowOff>
    </xdr:to>
    <xdr:grpSp>
      <xdr:nvGrpSpPr>
        <xdr:cNvPr id="1270" name="Cross_E60">
          <a:extLst>
            <a:ext uri="{FF2B5EF4-FFF2-40B4-BE49-F238E27FC236}">
              <a16:creationId xmlns:a16="http://schemas.microsoft.com/office/drawing/2014/main" id="{60A5CFDF-A512-4E4D-55EA-C41289202B97}"/>
            </a:ext>
          </a:extLst>
        </xdr:cNvPr>
        <xdr:cNvGrpSpPr/>
      </xdr:nvGrpSpPr>
      <xdr:grpSpPr>
        <a:xfrm>
          <a:off x="2752725" y="11153775"/>
          <a:ext cx="581025" cy="161925"/>
          <a:chOff x="2842260" y="11353800"/>
          <a:chExt cx="601980" cy="167640"/>
        </a:xfrm>
      </xdr:grpSpPr>
      <xdr:cxnSp macro="">
        <xdr:nvCxnSpPr>
          <xdr:cNvPr id="1268" name="Gerader Verbinder 1267">
            <a:extLst>
              <a:ext uri="{FF2B5EF4-FFF2-40B4-BE49-F238E27FC236}">
                <a16:creationId xmlns:a16="http://schemas.microsoft.com/office/drawing/2014/main" id="{276CDA1A-52A2-1E55-2757-69597C506768}"/>
              </a:ext>
            </a:extLst>
          </xdr:cNvPr>
          <xdr:cNvCxnSpPr/>
        </xdr:nvCxnSpPr>
        <xdr:spPr>
          <a:xfrm>
            <a:off x="2842260" y="113538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69" name="Gerader Verbinder 1268">
            <a:extLst>
              <a:ext uri="{FF2B5EF4-FFF2-40B4-BE49-F238E27FC236}">
                <a16:creationId xmlns:a16="http://schemas.microsoft.com/office/drawing/2014/main" id="{5978F31F-7BF5-55A3-A6F2-407C24B5679E}"/>
              </a:ext>
            </a:extLst>
          </xdr:cNvPr>
          <xdr:cNvCxnSpPr/>
        </xdr:nvCxnSpPr>
        <xdr:spPr>
          <a:xfrm flipH="1">
            <a:off x="2842260" y="113538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60</xdr:row>
      <xdr:rowOff>0</xdr:rowOff>
    </xdr:from>
    <xdr:to>
      <xdr:col>5</xdr:col>
      <xdr:colOff>0</xdr:colOff>
      <xdr:row>61</xdr:row>
      <xdr:rowOff>0</xdr:rowOff>
    </xdr:to>
    <xdr:grpSp>
      <xdr:nvGrpSpPr>
        <xdr:cNvPr id="1273" name="Cross_E61">
          <a:extLst>
            <a:ext uri="{FF2B5EF4-FFF2-40B4-BE49-F238E27FC236}">
              <a16:creationId xmlns:a16="http://schemas.microsoft.com/office/drawing/2014/main" id="{D40403EF-E640-6727-1306-B0357097D295}"/>
            </a:ext>
          </a:extLst>
        </xdr:cNvPr>
        <xdr:cNvGrpSpPr/>
      </xdr:nvGrpSpPr>
      <xdr:grpSpPr>
        <a:xfrm>
          <a:off x="2752725" y="11315700"/>
          <a:ext cx="581025" cy="228600"/>
          <a:chOff x="2842260" y="11521440"/>
          <a:chExt cx="601980" cy="228600"/>
        </a:xfrm>
      </xdr:grpSpPr>
      <xdr:cxnSp macro="">
        <xdr:nvCxnSpPr>
          <xdr:cNvPr id="1271" name="Gerader Verbinder 1270">
            <a:extLst>
              <a:ext uri="{FF2B5EF4-FFF2-40B4-BE49-F238E27FC236}">
                <a16:creationId xmlns:a16="http://schemas.microsoft.com/office/drawing/2014/main" id="{24C46ECD-95DC-B839-E363-8B833A188D41}"/>
              </a:ext>
            </a:extLst>
          </xdr:cNvPr>
          <xdr:cNvCxnSpPr/>
        </xdr:nvCxnSpPr>
        <xdr:spPr>
          <a:xfrm>
            <a:off x="284226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72" name="Gerader Verbinder 1271">
            <a:extLst>
              <a:ext uri="{FF2B5EF4-FFF2-40B4-BE49-F238E27FC236}">
                <a16:creationId xmlns:a16="http://schemas.microsoft.com/office/drawing/2014/main" id="{4DD57BFF-DA18-88C6-7290-12A4F836838D}"/>
              </a:ext>
            </a:extLst>
          </xdr:cNvPr>
          <xdr:cNvCxnSpPr/>
        </xdr:nvCxnSpPr>
        <xdr:spPr>
          <a:xfrm flipH="1">
            <a:off x="284226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61</xdr:row>
      <xdr:rowOff>0</xdr:rowOff>
    </xdr:from>
    <xdr:to>
      <xdr:col>5</xdr:col>
      <xdr:colOff>0</xdr:colOff>
      <xdr:row>62</xdr:row>
      <xdr:rowOff>0</xdr:rowOff>
    </xdr:to>
    <xdr:grpSp>
      <xdr:nvGrpSpPr>
        <xdr:cNvPr id="1276" name="Cross_E62">
          <a:extLst>
            <a:ext uri="{FF2B5EF4-FFF2-40B4-BE49-F238E27FC236}">
              <a16:creationId xmlns:a16="http://schemas.microsoft.com/office/drawing/2014/main" id="{2892C15A-3F28-8C5D-7093-BBDFCAF53F60}"/>
            </a:ext>
          </a:extLst>
        </xdr:cNvPr>
        <xdr:cNvGrpSpPr/>
      </xdr:nvGrpSpPr>
      <xdr:grpSpPr>
        <a:xfrm>
          <a:off x="2752725" y="11544300"/>
          <a:ext cx="581025" cy="161925"/>
          <a:chOff x="2842260" y="11750040"/>
          <a:chExt cx="601980" cy="167640"/>
        </a:xfrm>
      </xdr:grpSpPr>
      <xdr:cxnSp macro="">
        <xdr:nvCxnSpPr>
          <xdr:cNvPr id="1274" name="Gerader Verbinder 1273">
            <a:extLst>
              <a:ext uri="{FF2B5EF4-FFF2-40B4-BE49-F238E27FC236}">
                <a16:creationId xmlns:a16="http://schemas.microsoft.com/office/drawing/2014/main" id="{19951775-A539-8496-33BB-577B75B435D2}"/>
              </a:ext>
            </a:extLst>
          </xdr:cNvPr>
          <xdr:cNvCxnSpPr/>
        </xdr:nvCxnSpPr>
        <xdr:spPr>
          <a:xfrm>
            <a:off x="2842260" y="11750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75" name="Gerader Verbinder 1274">
            <a:extLst>
              <a:ext uri="{FF2B5EF4-FFF2-40B4-BE49-F238E27FC236}">
                <a16:creationId xmlns:a16="http://schemas.microsoft.com/office/drawing/2014/main" id="{09928C16-C7E5-635B-4B05-C661530148FF}"/>
              </a:ext>
            </a:extLst>
          </xdr:cNvPr>
          <xdr:cNvCxnSpPr/>
        </xdr:nvCxnSpPr>
        <xdr:spPr>
          <a:xfrm flipH="1">
            <a:off x="2842260" y="11750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62</xdr:row>
      <xdr:rowOff>0</xdr:rowOff>
    </xdr:from>
    <xdr:to>
      <xdr:col>5</xdr:col>
      <xdr:colOff>0</xdr:colOff>
      <xdr:row>63</xdr:row>
      <xdr:rowOff>0</xdr:rowOff>
    </xdr:to>
    <xdr:grpSp>
      <xdr:nvGrpSpPr>
        <xdr:cNvPr id="1279" name="Cross_E63">
          <a:extLst>
            <a:ext uri="{FF2B5EF4-FFF2-40B4-BE49-F238E27FC236}">
              <a16:creationId xmlns:a16="http://schemas.microsoft.com/office/drawing/2014/main" id="{93612AC3-F903-7409-8512-D4A7CAB1FEF5}"/>
            </a:ext>
          </a:extLst>
        </xdr:cNvPr>
        <xdr:cNvGrpSpPr/>
      </xdr:nvGrpSpPr>
      <xdr:grpSpPr>
        <a:xfrm>
          <a:off x="2752725" y="11706225"/>
          <a:ext cx="581025" cy="161925"/>
          <a:chOff x="2842260" y="11917680"/>
          <a:chExt cx="601980" cy="167640"/>
        </a:xfrm>
      </xdr:grpSpPr>
      <xdr:cxnSp macro="">
        <xdr:nvCxnSpPr>
          <xdr:cNvPr id="1277" name="Gerader Verbinder 1276">
            <a:extLst>
              <a:ext uri="{FF2B5EF4-FFF2-40B4-BE49-F238E27FC236}">
                <a16:creationId xmlns:a16="http://schemas.microsoft.com/office/drawing/2014/main" id="{D357EBCC-BBE7-CD31-A674-6F6BDCFF479C}"/>
              </a:ext>
            </a:extLst>
          </xdr:cNvPr>
          <xdr:cNvCxnSpPr/>
        </xdr:nvCxnSpPr>
        <xdr:spPr>
          <a:xfrm>
            <a:off x="2842260" y="11917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78" name="Gerader Verbinder 1277">
            <a:extLst>
              <a:ext uri="{FF2B5EF4-FFF2-40B4-BE49-F238E27FC236}">
                <a16:creationId xmlns:a16="http://schemas.microsoft.com/office/drawing/2014/main" id="{17576E39-F320-8FF0-95E2-3BBF18183A15}"/>
              </a:ext>
            </a:extLst>
          </xdr:cNvPr>
          <xdr:cNvCxnSpPr/>
        </xdr:nvCxnSpPr>
        <xdr:spPr>
          <a:xfrm flipH="1">
            <a:off x="2842260" y="11917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69</xdr:row>
      <xdr:rowOff>0</xdr:rowOff>
    </xdr:from>
    <xdr:to>
      <xdr:col>5</xdr:col>
      <xdr:colOff>0</xdr:colOff>
      <xdr:row>70</xdr:row>
      <xdr:rowOff>0</xdr:rowOff>
    </xdr:to>
    <xdr:grpSp>
      <xdr:nvGrpSpPr>
        <xdr:cNvPr id="1282" name="Cross_E70">
          <a:extLst>
            <a:ext uri="{FF2B5EF4-FFF2-40B4-BE49-F238E27FC236}">
              <a16:creationId xmlns:a16="http://schemas.microsoft.com/office/drawing/2014/main" id="{E1259ED9-29E2-02AC-F2D2-76CD358786A7}"/>
            </a:ext>
          </a:extLst>
        </xdr:cNvPr>
        <xdr:cNvGrpSpPr/>
      </xdr:nvGrpSpPr>
      <xdr:grpSpPr>
        <a:xfrm>
          <a:off x="2752725" y="12973050"/>
          <a:ext cx="581025" cy="228600"/>
          <a:chOff x="2842260" y="13213080"/>
          <a:chExt cx="601980" cy="228600"/>
        </a:xfrm>
      </xdr:grpSpPr>
      <xdr:cxnSp macro="">
        <xdr:nvCxnSpPr>
          <xdr:cNvPr id="1280" name="Gerader Verbinder 1279">
            <a:extLst>
              <a:ext uri="{FF2B5EF4-FFF2-40B4-BE49-F238E27FC236}">
                <a16:creationId xmlns:a16="http://schemas.microsoft.com/office/drawing/2014/main" id="{B6CB2E5C-14B2-2524-D5CE-DAB39B053BEA}"/>
              </a:ext>
            </a:extLst>
          </xdr:cNvPr>
          <xdr:cNvCxnSpPr/>
        </xdr:nvCxnSpPr>
        <xdr:spPr>
          <a:xfrm>
            <a:off x="284226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81" name="Gerader Verbinder 1280">
            <a:extLst>
              <a:ext uri="{FF2B5EF4-FFF2-40B4-BE49-F238E27FC236}">
                <a16:creationId xmlns:a16="http://schemas.microsoft.com/office/drawing/2014/main" id="{ECAA9450-72D3-CCE0-3618-277D7A2A5396}"/>
              </a:ext>
            </a:extLst>
          </xdr:cNvPr>
          <xdr:cNvCxnSpPr/>
        </xdr:nvCxnSpPr>
        <xdr:spPr>
          <a:xfrm flipH="1">
            <a:off x="284226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70</xdr:row>
      <xdr:rowOff>0</xdr:rowOff>
    </xdr:from>
    <xdr:to>
      <xdr:col>5</xdr:col>
      <xdr:colOff>0</xdr:colOff>
      <xdr:row>71</xdr:row>
      <xdr:rowOff>0</xdr:rowOff>
    </xdr:to>
    <xdr:grpSp>
      <xdr:nvGrpSpPr>
        <xdr:cNvPr id="1285" name="Cross_E71">
          <a:extLst>
            <a:ext uri="{FF2B5EF4-FFF2-40B4-BE49-F238E27FC236}">
              <a16:creationId xmlns:a16="http://schemas.microsoft.com/office/drawing/2014/main" id="{FDDC388B-973C-DC93-9D59-D104B1462412}"/>
            </a:ext>
          </a:extLst>
        </xdr:cNvPr>
        <xdr:cNvGrpSpPr/>
      </xdr:nvGrpSpPr>
      <xdr:grpSpPr>
        <a:xfrm>
          <a:off x="2752725" y="13201650"/>
          <a:ext cx="581025" cy="161925"/>
          <a:chOff x="2842260" y="13441680"/>
          <a:chExt cx="601980" cy="167640"/>
        </a:xfrm>
      </xdr:grpSpPr>
      <xdr:cxnSp macro="">
        <xdr:nvCxnSpPr>
          <xdr:cNvPr id="1283" name="Gerader Verbinder 1282">
            <a:extLst>
              <a:ext uri="{FF2B5EF4-FFF2-40B4-BE49-F238E27FC236}">
                <a16:creationId xmlns:a16="http://schemas.microsoft.com/office/drawing/2014/main" id="{244CC718-A57C-AD9C-C081-D16EEBD30762}"/>
              </a:ext>
            </a:extLst>
          </xdr:cNvPr>
          <xdr:cNvCxnSpPr/>
        </xdr:nvCxnSpPr>
        <xdr:spPr>
          <a:xfrm>
            <a:off x="2842260" y="13441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84" name="Gerader Verbinder 1283">
            <a:extLst>
              <a:ext uri="{FF2B5EF4-FFF2-40B4-BE49-F238E27FC236}">
                <a16:creationId xmlns:a16="http://schemas.microsoft.com/office/drawing/2014/main" id="{A5B79187-307C-2ADE-CC8C-34934DA03C36}"/>
              </a:ext>
            </a:extLst>
          </xdr:cNvPr>
          <xdr:cNvCxnSpPr/>
        </xdr:nvCxnSpPr>
        <xdr:spPr>
          <a:xfrm flipH="1">
            <a:off x="2842260" y="13441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71</xdr:row>
      <xdr:rowOff>0</xdr:rowOff>
    </xdr:from>
    <xdr:to>
      <xdr:col>5</xdr:col>
      <xdr:colOff>0</xdr:colOff>
      <xdr:row>72</xdr:row>
      <xdr:rowOff>1</xdr:rowOff>
    </xdr:to>
    <xdr:grpSp>
      <xdr:nvGrpSpPr>
        <xdr:cNvPr id="1288" name="Cross_E72">
          <a:extLst>
            <a:ext uri="{FF2B5EF4-FFF2-40B4-BE49-F238E27FC236}">
              <a16:creationId xmlns:a16="http://schemas.microsoft.com/office/drawing/2014/main" id="{BA5D10CC-342A-ACE9-CF8E-09AC671AB9DF}"/>
            </a:ext>
          </a:extLst>
        </xdr:cNvPr>
        <xdr:cNvGrpSpPr/>
      </xdr:nvGrpSpPr>
      <xdr:grpSpPr>
        <a:xfrm>
          <a:off x="2752725" y="13363575"/>
          <a:ext cx="581025" cy="161926"/>
          <a:chOff x="2842260" y="13609320"/>
          <a:chExt cx="601980" cy="167641"/>
        </a:xfrm>
      </xdr:grpSpPr>
      <xdr:cxnSp macro="">
        <xdr:nvCxnSpPr>
          <xdr:cNvPr id="1286" name="Gerader Verbinder 1285">
            <a:extLst>
              <a:ext uri="{FF2B5EF4-FFF2-40B4-BE49-F238E27FC236}">
                <a16:creationId xmlns:a16="http://schemas.microsoft.com/office/drawing/2014/main" id="{754D15E2-40B5-2C05-7922-26FDA3C91B04}"/>
              </a:ext>
            </a:extLst>
          </xdr:cNvPr>
          <xdr:cNvCxnSpPr/>
        </xdr:nvCxnSpPr>
        <xdr:spPr>
          <a:xfrm>
            <a:off x="284226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87" name="Gerader Verbinder 1286">
            <a:extLst>
              <a:ext uri="{FF2B5EF4-FFF2-40B4-BE49-F238E27FC236}">
                <a16:creationId xmlns:a16="http://schemas.microsoft.com/office/drawing/2014/main" id="{E468B251-BED6-1E2F-2588-B1BAC03578D0}"/>
              </a:ext>
            </a:extLst>
          </xdr:cNvPr>
          <xdr:cNvCxnSpPr/>
        </xdr:nvCxnSpPr>
        <xdr:spPr>
          <a:xfrm flipH="1">
            <a:off x="284226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72</xdr:row>
      <xdr:rowOff>1</xdr:rowOff>
    </xdr:from>
    <xdr:to>
      <xdr:col>5</xdr:col>
      <xdr:colOff>0</xdr:colOff>
      <xdr:row>73</xdr:row>
      <xdr:rowOff>1</xdr:rowOff>
    </xdr:to>
    <xdr:grpSp>
      <xdr:nvGrpSpPr>
        <xdr:cNvPr id="1291" name="Cross_E73">
          <a:extLst>
            <a:ext uri="{FF2B5EF4-FFF2-40B4-BE49-F238E27FC236}">
              <a16:creationId xmlns:a16="http://schemas.microsoft.com/office/drawing/2014/main" id="{AEFE7490-AD22-6E6C-E87B-E60329C7B216}"/>
            </a:ext>
          </a:extLst>
        </xdr:cNvPr>
        <xdr:cNvGrpSpPr/>
      </xdr:nvGrpSpPr>
      <xdr:grpSpPr>
        <a:xfrm>
          <a:off x="2752725" y="13525501"/>
          <a:ext cx="581025" cy="228600"/>
          <a:chOff x="2842260" y="13776961"/>
          <a:chExt cx="601980" cy="228600"/>
        </a:xfrm>
      </xdr:grpSpPr>
      <xdr:cxnSp macro="">
        <xdr:nvCxnSpPr>
          <xdr:cNvPr id="1289" name="Gerader Verbinder 1288">
            <a:extLst>
              <a:ext uri="{FF2B5EF4-FFF2-40B4-BE49-F238E27FC236}">
                <a16:creationId xmlns:a16="http://schemas.microsoft.com/office/drawing/2014/main" id="{188BD2F6-7715-8CA1-B149-3125A795F146}"/>
              </a:ext>
            </a:extLst>
          </xdr:cNvPr>
          <xdr:cNvCxnSpPr/>
        </xdr:nvCxnSpPr>
        <xdr:spPr>
          <a:xfrm>
            <a:off x="284226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90" name="Gerader Verbinder 1289">
            <a:extLst>
              <a:ext uri="{FF2B5EF4-FFF2-40B4-BE49-F238E27FC236}">
                <a16:creationId xmlns:a16="http://schemas.microsoft.com/office/drawing/2014/main" id="{9A4DFDDF-FCCD-4C81-3C0C-8793F721D393}"/>
              </a:ext>
            </a:extLst>
          </xdr:cNvPr>
          <xdr:cNvCxnSpPr/>
        </xdr:nvCxnSpPr>
        <xdr:spPr>
          <a:xfrm flipH="1">
            <a:off x="284226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73</xdr:row>
      <xdr:rowOff>1</xdr:rowOff>
    </xdr:from>
    <xdr:to>
      <xdr:col>5</xdr:col>
      <xdr:colOff>0</xdr:colOff>
      <xdr:row>74</xdr:row>
      <xdr:rowOff>0</xdr:rowOff>
    </xdr:to>
    <xdr:grpSp>
      <xdr:nvGrpSpPr>
        <xdr:cNvPr id="1294" name="Cross_E74">
          <a:extLst>
            <a:ext uri="{FF2B5EF4-FFF2-40B4-BE49-F238E27FC236}">
              <a16:creationId xmlns:a16="http://schemas.microsoft.com/office/drawing/2014/main" id="{4CB99AF6-6DBE-B113-BB75-D9DDF663E037}"/>
            </a:ext>
          </a:extLst>
        </xdr:cNvPr>
        <xdr:cNvGrpSpPr/>
      </xdr:nvGrpSpPr>
      <xdr:grpSpPr>
        <a:xfrm>
          <a:off x="2752725" y="13754101"/>
          <a:ext cx="581025" cy="161924"/>
          <a:chOff x="2842260" y="14005561"/>
          <a:chExt cx="601980" cy="167639"/>
        </a:xfrm>
      </xdr:grpSpPr>
      <xdr:cxnSp macro="">
        <xdr:nvCxnSpPr>
          <xdr:cNvPr id="1292" name="Gerader Verbinder 1291">
            <a:extLst>
              <a:ext uri="{FF2B5EF4-FFF2-40B4-BE49-F238E27FC236}">
                <a16:creationId xmlns:a16="http://schemas.microsoft.com/office/drawing/2014/main" id="{0399ED6A-D164-B999-1F15-C1DD77CC0077}"/>
              </a:ext>
            </a:extLst>
          </xdr:cNvPr>
          <xdr:cNvCxnSpPr/>
        </xdr:nvCxnSpPr>
        <xdr:spPr>
          <a:xfrm>
            <a:off x="2842260" y="14005561"/>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93" name="Gerader Verbinder 1292">
            <a:extLst>
              <a:ext uri="{FF2B5EF4-FFF2-40B4-BE49-F238E27FC236}">
                <a16:creationId xmlns:a16="http://schemas.microsoft.com/office/drawing/2014/main" id="{3CB4DA8C-3EBB-C909-E479-459A0E10C12D}"/>
              </a:ext>
            </a:extLst>
          </xdr:cNvPr>
          <xdr:cNvCxnSpPr/>
        </xdr:nvCxnSpPr>
        <xdr:spPr>
          <a:xfrm flipH="1">
            <a:off x="2842260" y="14005561"/>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74</xdr:row>
      <xdr:rowOff>0</xdr:rowOff>
    </xdr:from>
    <xdr:to>
      <xdr:col>5</xdr:col>
      <xdr:colOff>0</xdr:colOff>
      <xdr:row>74</xdr:row>
      <xdr:rowOff>167639</xdr:rowOff>
    </xdr:to>
    <xdr:grpSp>
      <xdr:nvGrpSpPr>
        <xdr:cNvPr id="1297" name="Cross_E75">
          <a:extLst>
            <a:ext uri="{FF2B5EF4-FFF2-40B4-BE49-F238E27FC236}">
              <a16:creationId xmlns:a16="http://schemas.microsoft.com/office/drawing/2014/main" id="{E4A84A3B-029D-E9AE-BCD5-86E408C50D79}"/>
            </a:ext>
          </a:extLst>
        </xdr:cNvPr>
        <xdr:cNvGrpSpPr/>
      </xdr:nvGrpSpPr>
      <xdr:grpSpPr>
        <a:xfrm>
          <a:off x="2752725" y="13916025"/>
          <a:ext cx="581025" cy="158114"/>
          <a:chOff x="2842260" y="14173200"/>
          <a:chExt cx="601980" cy="167639"/>
        </a:xfrm>
      </xdr:grpSpPr>
      <xdr:cxnSp macro="">
        <xdr:nvCxnSpPr>
          <xdr:cNvPr id="1295" name="Gerader Verbinder 1294">
            <a:extLst>
              <a:ext uri="{FF2B5EF4-FFF2-40B4-BE49-F238E27FC236}">
                <a16:creationId xmlns:a16="http://schemas.microsoft.com/office/drawing/2014/main" id="{24683044-910F-C18A-188B-00AE89DFA491}"/>
              </a:ext>
            </a:extLst>
          </xdr:cNvPr>
          <xdr:cNvCxnSpPr/>
        </xdr:nvCxnSpPr>
        <xdr:spPr>
          <a:xfrm>
            <a:off x="2842260" y="141732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96" name="Gerader Verbinder 1295">
            <a:extLst>
              <a:ext uri="{FF2B5EF4-FFF2-40B4-BE49-F238E27FC236}">
                <a16:creationId xmlns:a16="http://schemas.microsoft.com/office/drawing/2014/main" id="{0BB80A1C-2AD3-CA6D-874B-5EE0D077617F}"/>
              </a:ext>
            </a:extLst>
          </xdr:cNvPr>
          <xdr:cNvCxnSpPr/>
        </xdr:nvCxnSpPr>
        <xdr:spPr>
          <a:xfrm flipH="1">
            <a:off x="2842260" y="141732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9</xdr:row>
      <xdr:rowOff>0</xdr:rowOff>
    </xdr:from>
    <xdr:to>
      <xdr:col>6</xdr:col>
      <xdr:colOff>0</xdr:colOff>
      <xdr:row>10</xdr:row>
      <xdr:rowOff>0</xdr:rowOff>
    </xdr:to>
    <xdr:grpSp>
      <xdr:nvGrpSpPr>
        <xdr:cNvPr id="1300" name="Cross_F10">
          <a:extLst>
            <a:ext uri="{FF2B5EF4-FFF2-40B4-BE49-F238E27FC236}">
              <a16:creationId xmlns:a16="http://schemas.microsoft.com/office/drawing/2014/main" id="{05428245-21B9-D45A-9B2B-0AE5187E580F}"/>
            </a:ext>
          </a:extLst>
        </xdr:cNvPr>
        <xdr:cNvGrpSpPr/>
      </xdr:nvGrpSpPr>
      <xdr:grpSpPr>
        <a:xfrm>
          <a:off x="3333750" y="1924050"/>
          <a:ext cx="581025" cy="228600"/>
          <a:chOff x="3444240" y="1935480"/>
          <a:chExt cx="601980" cy="228600"/>
        </a:xfrm>
      </xdr:grpSpPr>
      <xdr:cxnSp macro="">
        <xdr:nvCxnSpPr>
          <xdr:cNvPr id="1298" name="Gerader Verbinder 1297">
            <a:extLst>
              <a:ext uri="{FF2B5EF4-FFF2-40B4-BE49-F238E27FC236}">
                <a16:creationId xmlns:a16="http://schemas.microsoft.com/office/drawing/2014/main" id="{61D772EA-44D0-6BD1-B580-DA41CF8DB524}"/>
              </a:ext>
            </a:extLst>
          </xdr:cNvPr>
          <xdr:cNvCxnSpPr/>
        </xdr:nvCxnSpPr>
        <xdr:spPr>
          <a:xfrm>
            <a:off x="344424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99" name="Gerader Verbinder 1298">
            <a:extLst>
              <a:ext uri="{FF2B5EF4-FFF2-40B4-BE49-F238E27FC236}">
                <a16:creationId xmlns:a16="http://schemas.microsoft.com/office/drawing/2014/main" id="{C3BA6A2E-C0CE-EF56-B359-F334AADD0D3E}"/>
              </a:ext>
            </a:extLst>
          </xdr:cNvPr>
          <xdr:cNvCxnSpPr/>
        </xdr:nvCxnSpPr>
        <xdr:spPr>
          <a:xfrm flipH="1">
            <a:off x="344424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10</xdr:row>
      <xdr:rowOff>0</xdr:rowOff>
    </xdr:from>
    <xdr:to>
      <xdr:col>6</xdr:col>
      <xdr:colOff>0</xdr:colOff>
      <xdr:row>11</xdr:row>
      <xdr:rowOff>0</xdr:rowOff>
    </xdr:to>
    <xdr:grpSp>
      <xdr:nvGrpSpPr>
        <xdr:cNvPr id="1303" name="Cross_F11">
          <a:extLst>
            <a:ext uri="{FF2B5EF4-FFF2-40B4-BE49-F238E27FC236}">
              <a16:creationId xmlns:a16="http://schemas.microsoft.com/office/drawing/2014/main" id="{7D63DFFE-86C5-9CCF-B515-36581EBCEC13}"/>
            </a:ext>
          </a:extLst>
        </xdr:cNvPr>
        <xdr:cNvGrpSpPr/>
      </xdr:nvGrpSpPr>
      <xdr:grpSpPr>
        <a:xfrm>
          <a:off x="3333750" y="2152650"/>
          <a:ext cx="581025" cy="161925"/>
          <a:chOff x="3444240" y="2164080"/>
          <a:chExt cx="601980" cy="167640"/>
        </a:xfrm>
      </xdr:grpSpPr>
      <xdr:cxnSp macro="">
        <xdr:nvCxnSpPr>
          <xdr:cNvPr id="1301" name="Gerader Verbinder 1300">
            <a:extLst>
              <a:ext uri="{FF2B5EF4-FFF2-40B4-BE49-F238E27FC236}">
                <a16:creationId xmlns:a16="http://schemas.microsoft.com/office/drawing/2014/main" id="{5E677C92-D242-0A8E-410B-557B121630E6}"/>
              </a:ext>
            </a:extLst>
          </xdr:cNvPr>
          <xdr:cNvCxnSpPr/>
        </xdr:nvCxnSpPr>
        <xdr:spPr>
          <a:xfrm>
            <a:off x="3444240" y="21640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02" name="Gerader Verbinder 1301">
            <a:extLst>
              <a:ext uri="{FF2B5EF4-FFF2-40B4-BE49-F238E27FC236}">
                <a16:creationId xmlns:a16="http://schemas.microsoft.com/office/drawing/2014/main" id="{9F0B57FE-F38F-3B6E-3D57-0662AD5394F2}"/>
              </a:ext>
            </a:extLst>
          </xdr:cNvPr>
          <xdr:cNvCxnSpPr/>
        </xdr:nvCxnSpPr>
        <xdr:spPr>
          <a:xfrm flipH="1">
            <a:off x="3444240" y="21640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11</xdr:row>
      <xdr:rowOff>0</xdr:rowOff>
    </xdr:from>
    <xdr:to>
      <xdr:col>6</xdr:col>
      <xdr:colOff>0</xdr:colOff>
      <xdr:row>12</xdr:row>
      <xdr:rowOff>0</xdr:rowOff>
    </xdr:to>
    <xdr:grpSp>
      <xdr:nvGrpSpPr>
        <xdr:cNvPr id="1306" name="Cross_F12">
          <a:extLst>
            <a:ext uri="{FF2B5EF4-FFF2-40B4-BE49-F238E27FC236}">
              <a16:creationId xmlns:a16="http://schemas.microsoft.com/office/drawing/2014/main" id="{CB079F32-5179-4D5B-3249-4E13FF42146D}"/>
            </a:ext>
          </a:extLst>
        </xdr:cNvPr>
        <xdr:cNvGrpSpPr/>
      </xdr:nvGrpSpPr>
      <xdr:grpSpPr>
        <a:xfrm>
          <a:off x="3333750" y="2314575"/>
          <a:ext cx="581025" cy="161925"/>
          <a:chOff x="3444240" y="2331720"/>
          <a:chExt cx="601980" cy="167640"/>
        </a:xfrm>
      </xdr:grpSpPr>
      <xdr:cxnSp macro="">
        <xdr:nvCxnSpPr>
          <xdr:cNvPr id="1304" name="Gerader Verbinder 1303">
            <a:extLst>
              <a:ext uri="{FF2B5EF4-FFF2-40B4-BE49-F238E27FC236}">
                <a16:creationId xmlns:a16="http://schemas.microsoft.com/office/drawing/2014/main" id="{3687DD9B-80CC-B350-E1C3-CB6D791F757E}"/>
              </a:ext>
            </a:extLst>
          </xdr:cNvPr>
          <xdr:cNvCxnSpPr/>
        </xdr:nvCxnSpPr>
        <xdr:spPr>
          <a:xfrm>
            <a:off x="3444240" y="2331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05" name="Gerader Verbinder 1304">
            <a:extLst>
              <a:ext uri="{FF2B5EF4-FFF2-40B4-BE49-F238E27FC236}">
                <a16:creationId xmlns:a16="http://schemas.microsoft.com/office/drawing/2014/main" id="{9A9D5005-3188-3EB8-1E81-9278C9573DEA}"/>
              </a:ext>
            </a:extLst>
          </xdr:cNvPr>
          <xdr:cNvCxnSpPr/>
        </xdr:nvCxnSpPr>
        <xdr:spPr>
          <a:xfrm flipH="1">
            <a:off x="3444240" y="2331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12</xdr:row>
      <xdr:rowOff>0</xdr:rowOff>
    </xdr:from>
    <xdr:to>
      <xdr:col>6</xdr:col>
      <xdr:colOff>0</xdr:colOff>
      <xdr:row>13</xdr:row>
      <xdr:rowOff>0</xdr:rowOff>
    </xdr:to>
    <xdr:grpSp>
      <xdr:nvGrpSpPr>
        <xdr:cNvPr id="1309" name="Cross_F13">
          <a:extLst>
            <a:ext uri="{FF2B5EF4-FFF2-40B4-BE49-F238E27FC236}">
              <a16:creationId xmlns:a16="http://schemas.microsoft.com/office/drawing/2014/main" id="{E3AC3555-BBE7-C278-6FA4-C36E64611243}"/>
            </a:ext>
          </a:extLst>
        </xdr:cNvPr>
        <xdr:cNvGrpSpPr/>
      </xdr:nvGrpSpPr>
      <xdr:grpSpPr>
        <a:xfrm>
          <a:off x="3333750" y="2476500"/>
          <a:ext cx="581025" cy="228600"/>
          <a:chOff x="3444240" y="2499360"/>
          <a:chExt cx="601980" cy="228600"/>
        </a:xfrm>
      </xdr:grpSpPr>
      <xdr:cxnSp macro="">
        <xdr:nvCxnSpPr>
          <xdr:cNvPr id="1307" name="Gerader Verbinder 1306">
            <a:extLst>
              <a:ext uri="{FF2B5EF4-FFF2-40B4-BE49-F238E27FC236}">
                <a16:creationId xmlns:a16="http://schemas.microsoft.com/office/drawing/2014/main" id="{19E193DB-3C00-8DC8-4B27-0A12591F8F83}"/>
              </a:ext>
            </a:extLst>
          </xdr:cNvPr>
          <xdr:cNvCxnSpPr/>
        </xdr:nvCxnSpPr>
        <xdr:spPr>
          <a:xfrm>
            <a:off x="344424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08" name="Gerader Verbinder 1307">
            <a:extLst>
              <a:ext uri="{FF2B5EF4-FFF2-40B4-BE49-F238E27FC236}">
                <a16:creationId xmlns:a16="http://schemas.microsoft.com/office/drawing/2014/main" id="{E91D0650-A8C0-421E-6B2F-96DEA75B04E7}"/>
              </a:ext>
            </a:extLst>
          </xdr:cNvPr>
          <xdr:cNvCxnSpPr/>
        </xdr:nvCxnSpPr>
        <xdr:spPr>
          <a:xfrm flipH="1">
            <a:off x="344424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13</xdr:row>
      <xdr:rowOff>0</xdr:rowOff>
    </xdr:from>
    <xdr:to>
      <xdr:col>6</xdr:col>
      <xdr:colOff>0</xdr:colOff>
      <xdr:row>14</xdr:row>
      <xdr:rowOff>0</xdr:rowOff>
    </xdr:to>
    <xdr:grpSp>
      <xdr:nvGrpSpPr>
        <xdr:cNvPr id="1312" name="Cross_F14">
          <a:extLst>
            <a:ext uri="{FF2B5EF4-FFF2-40B4-BE49-F238E27FC236}">
              <a16:creationId xmlns:a16="http://schemas.microsoft.com/office/drawing/2014/main" id="{2BCB4ECA-6D09-AD35-8DA0-806BF0B89440}"/>
            </a:ext>
          </a:extLst>
        </xdr:cNvPr>
        <xdr:cNvGrpSpPr/>
      </xdr:nvGrpSpPr>
      <xdr:grpSpPr>
        <a:xfrm>
          <a:off x="3333750" y="2705100"/>
          <a:ext cx="581025" cy="161925"/>
          <a:chOff x="3444240" y="2727960"/>
          <a:chExt cx="601980" cy="167640"/>
        </a:xfrm>
      </xdr:grpSpPr>
      <xdr:cxnSp macro="">
        <xdr:nvCxnSpPr>
          <xdr:cNvPr id="1310" name="Gerader Verbinder 1309">
            <a:extLst>
              <a:ext uri="{FF2B5EF4-FFF2-40B4-BE49-F238E27FC236}">
                <a16:creationId xmlns:a16="http://schemas.microsoft.com/office/drawing/2014/main" id="{96595B77-B714-E5B2-EB32-8B6F42EDAA40}"/>
              </a:ext>
            </a:extLst>
          </xdr:cNvPr>
          <xdr:cNvCxnSpPr/>
        </xdr:nvCxnSpPr>
        <xdr:spPr>
          <a:xfrm>
            <a:off x="3444240" y="27279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11" name="Gerader Verbinder 1310">
            <a:extLst>
              <a:ext uri="{FF2B5EF4-FFF2-40B4-BE49-F238E27FC236}">
                <a16:creationId xmlns:a16="http://schemas.microsoft.com/office/drawing/2014/main" id="{AF90669C-F26C-8044-5A39-8552810AFC01}"/>
              </a:ext>
            </a:extLst>
          </xdr:cNvPr>
          <xdr:cNvCxnSpPr/>
        </xdr:nvCxnSpPr>
        <xdr:spPr>
          <a:xfrm flipH="1">
            <a:off x="3444240" y="27279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14</xdr:row>
      <xdr:rowOff>0</xdr:rowOff>
    </xdr:from>
    <xdr:to>
      <xdr:col>6</xdr:col>
      <xdr:colOff>0</xdr:colOff>
      <xdr:row>15</xdr:row>
      <xdr:rowOff>0</xdr:rowOff>
    </xdr:to>
    <xdr:grpSp>
      <xdr:nvGrpSpPr>
        <xdr:cNvPr id="1315" name="Cross_F15">
          <a:extLst>
            <a:ext uri="{FF2B5EF4-FFF2-40B4-BE49-F238E27FC236}">
              <a16:creationId xmlns:a16="http://schemas.microsoft.com/office/drawing/2014/main" id="{1AC6831A-B1F4-2D29-563F-30987114DD03}"/>
            </a:ext>
          </a:extLst>
        </xdr:cNvPr>
        <xdr:cNvGrpSpPr/>
      </xdr:nvGrpSpPr>
      <xdr:grpSpPr>
        <a:xfrm>
          <a:off x="3333750" y="2867025"/>
          <a:ext cx="581025" cy="161925"/>
          <a:chOff x="3444240" y="2895600"/>
          <a:chExt cx="601980" cy="167640"/>
        </a:xfrm>
      </xdr:grpSpPr>
      <xdr:cxnSp macro="">
        <xdr:nvCxnSpPr>
          <xdr:cNvPr id="1313" name="Gerader Verbinder 1312">
            <a:extLst>
              <a:ext uri="{FF2B5EF4-FFF2-40B4-BE49-F238E27FC236}">
                <a16:creationId xmlns:a16="http://schemas.microsoft.com/office/drawing/2014/main" id="{766C78EF-E37C-EC21-D9D1-EDF3AC488111}"/>
              </a:ext>
            </a:extLst>
          </xdr:cNvPr>
          <xdr:cNvCxnSpPr/>
        </xdr:nvCxnSpPr>
        <xdr:spPr>
          <a:xfrm>
            <a:off x="3444240" y="2895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14" name="Gerader Verbinder 1313">
            <a:extLst>
              <a:ext uri="{FF2B5EF4-FFF2-40B4-BE49-F238E27FC236}">
                <a16:creationId xmlns:a16="http://schemas.microsoft.com/office/drawing/2014/main" id="{50D04E2B-93CF-E65D-E3AC-83F2E1F7C576}"/>
              </a:ext>
            </a:extLst>
          </xdr:cNvPr>
          <xdr:cNvCxnSpPr/>
        </xdr:nvCxnSpPr>
        <xdr:spPr>
          <a:xfrm flipH="1">
            <a:off x="3444240" y="2895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18</xdr:row>
      <xdr:rowOff>0</xdr:rowOff>
    </xdr:from>
    <xdr:to>
      <xdr:col>6</xdr:col>
      <xdr:colOff>0</xdr:colOff>
      <xdr:row>19</xdr:row>
      <xdr:rowOff>0</xdr:rowOff>
    </xdr:to>
    <xdr:grpSp>
      <xdr:nvGrpSpPr>
        <xdr:cNvPr id="1318" name="Cross_F19">
          <a:extLst>
            <a:ext uri="{FF2B5EF4-FFF2-40B4-BE49-F238E27FC236}">
              <a16:creationId xmlns:a16="http://schemas.microsoft.com/office/drawing/2014/main" id="{8123553D-99D8-0CE1-6396-DB8B2ED402F0}"/>
            </a:ext>
          </a:extLst>
        </xdr:cNvPr>
        <xdr:cNvGrpSpPr/>
      </xdr:nvGrpSpPr>
      <xdr:grpSpPr>
        <a:xfrm>
          <a:off x="3333750" y="3581400"/>
          <a:ext cx="581025" cy="228600"/>
          <a:chOff x="3444240" y="3627120"/>
          <a:chExt cx="601980" cy="228600"/>
        </a:xfrm>
      </xdr:grpSpPr>
      <xdr:cxnSp macro="">
        <xdr:nvCxnSpPr>
          <xdr:cNvPr id="1316" name="Gerader Verbinder 1315">
            <a:extLst>
              <a:ext uri="{FF2B5EF4-FFF2-40B4-BE49-F238E27FC236}">
                <a16:creationId xmlns:a16="http://schemas.microsoft.com/office/drawing/2014/main" id="{016A5703-5BC7-AE45-B5CF-C521F1CD3EBB}"/>
              </a:ext>
            </a:extLst>
          </xdr:cNvPr>
          <xdr:cNvCxnSpPr/>
        </xdr:nvCxnSpPr>
        <xdr:spPr>
          <a:xfrm>
            <a:off x="344424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17" name="Gerader Verbinder 1316">
            <a:extLst>
              <a:ext uri="{FF2B5EF4-FFF2-40B4-BE49-F238E27FC236}">
                <a16:creationId xmlns:a16="http://schemas.microsoft.com/office/drawing/2014/main" id="{6E421E11-3554-0F8E-C65F-979CE8B7BA95}"/>
              </a:ext>
            </a:extLst>
          </xdr:cNvPr>
          <xdr:cNvCxnSpPr/>
        </xdr:nvCxnSpPr>
        <xdr:spPr>
          <a:xfrm flipH="1">
            <a:off x="344424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19</xdr:row>
      <xdr:rowOff>0</xdr:rowOff>
    </xdr:from>
    <xdr:to>
      <xdr:col>6</xdr:col>
      <xdr:colOff>0</xdr:colOff>
      <xdr:row>20</xdr:row>
      <xdr:rowOff>0</xdr:rowOff>
    </xdr:to>
    <xdr:grpSp>
      <xdr:nvGrpSpPr>
        <xdr:cNvPr id="1321" name="Cross_F20">
          <a:extLst>
            <a:ext uri="{FF2B5EF4-FFF2-40B4-BE49-F238E27FC236}">
              <a16:creationId xmlns:a16="http://schemas.microsoft.com/office/drawing/2014/main" id="{BB930499-9242-CEAE-40E9-7BB391269FB2}"/>
            </a:ext>
          </a:extLst>
        </xdr:cNvPr>
        <xdr:cNvGrpSpPr/>
      </xdr:nvGrpSpPr>
      <xdr:grpSpPr>
        <a:xfrm>
          <a:off x="3333750" y="3810000"/>
          <a:ext cx="581025" cy="161925"/>
          <a:chOff x="3444240" y="3855720"/>
          <a:chExt cx="601980" cy="167640"/>
        </a:xfrm>
      </xdr:grpSpPr>
      <xdr:cxnSp macro="">
        <xdr:nvCxnSpPr>
          <xdr:cNvPr id="1319" name="Gerader Verbinder 1318">
            <a:extLst>
              <a:ext uri="{FF2B5EF4-FFF2-40B4-BE49-F238E27FC236}">
                <a16:creationId xmlns:a16="http://schemas.microsoft.com/office/drawing/2014/main" id="{F084BF55-12AD-BEAB-D872-AB605E711113}"/>
              </a:ext>
            </a:extLst>
          </xdr:cNvPr>
          <xdr:cNvCxnSpPr/>
        </xdr:nvCxnSpPr>
        <xdr:spPr>
          <a:xfrm>
            <a:off x="3444240" y="3855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20" name="Gerader Verbinder 1319">
            <a:extLst>
              <a:ext uri="{FF2B5EF4-FFF2-40B4-BE49-F238E27FC236}">
                <a16:creationId xmlns:a16="http://schemas.microsoft.com/office/drawing/2014/main" id="{952D593C-D89B-CBF2-050D-1044E0843EAF}"/>
              </a:ext>
            </a:extLst>
          </xdr:cNvPr>
          <xdr:cNvCxnSpPr/>
        </xdr:nvCxnSpPr>
        <xdr:spPr>
          <a:xfrm flipH="1">
            <a:off x="3444240" y="3855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20</xdr:row>
      <xdr:rowOff>0</xdr:rowOff>
    </xdr:from>
    <xdr:to>
      <xdr:col>6</xdr:col>
      <xdr:colOff>0</xdr:colOff>
      <xdr:row>21</xdr:row>
      <xdr:rowOff>0</xdr:rowOff>
    </xdr:to>
    <xdr:grpSp>
      <xdr:nvGrpSpPr>
        <xdr:cNvPr id="1324" name="Cross_F21">
          <a:extLst>
            <a:ext uri="{FF2B5EF4-FFF2-40B4-BE49-F238E27FC236}">
              <a16:creationId xmlns:a16="http://schemas.microsoft.com/office/drawing/2014/main" id="{1057EB23-657E-0AF4-64F4-59356F58BCB3}"/>
            </a:ext>
          </a:extLst>
        </xdr:cNvPr>
        <xdr:cNvGrpSpPr/>
      </xdr:nvGrpSpPr>
      <xdr:grpSpPr>
        <a:xfrm>
          <a:off x="3333750" y="3971925"/>
          <a:ext cx="581025" cy="161925"/>
          <a:chOff x="3444240" y="4023360"/>
          <a:chExt cx="601980" cy="167640"/>
        </a:xfrm>
      </xdr:grpSpPr>
      <xdr:cxnSp macro="">
        <xdr:nvCxnSpPr>
          <xdr:cNvPr id="1322" name="Gerader Verbinder 1321">
            <a:extLst>
              <a:ext uri="{FF2B5EF4-FFF2-40B4-BE49-F238E27FC236}">
                <a16:creationId xmlns:a16="http://schemas.microsoft.com/office/drawing/2014/main" id="{12E17F05-8B67-BC23-F967-E029E54E5C59}"/>
              </a:ext>
            </a:extLst>
          </xdr:cNvPr>
          <xdr:cNvCxnSpPr/>
        </xdr:nvCxnSpPr>
        <xdr:spPr>
          <a:xfrm>
            <a:off x="3444240" y="4023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23" name="Gerader Verbinder 1322">
            <a:extLst>
              <a:ext uri="{FF2B5EF4-FFF2-40B4-BE49-F238E27FC236}">
                <a16:creationId xmlns:a16="http://schemas.microsoft.com/office/drawing/2014/main" id="{27F9FD7B-3EB8-04D6-09A8-AED61404A4B6}"/>
              </a:ext>
            </a:extLst>
          </xdr:cNvPr>
          <xdr:cNvCxnSpPr/>
        </xdr:nvCxnSpPr>
        <xdr:spPr>
          <a:xfrm flipH="1">
            <a:off x="3444240" y="4023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27</xdr:row>
      <xdr:rowOff>0</xdr:rowOff>
    </xdr:from>
    <xdr:to>
      <xdr:col>6</xdr:col>
      <xdr:colOff>0</xdr:colOff>
      <xdr:row>28</xdr:row>
      <xdr:rowOff>0</xdr:rowOff>
    </xdr:to>
    <xdr:grpSp>
      <xdr:nvGrpSpPr>
        <xdr:cNvPr id="1327" name="Cross_F28">
          <a:extLst>
            <a:ext uri="{FF2B5EF4-FFF2-40B4-BE49-F238E27FC236}">
              <a16:creationId xmlns:a16="http://schemas.microsoft.com/office/drawing/2014/main" id="{4C994635-E4B7-8034-E5D7-CC0908108250}"/>
            </a:ext>
          </a:extLst>
        </xdr:cNvPr>
        <xdr:cNvGrpSpPr/>
      </xdr:nvGrpSpPr>
      <xdr:grpSpPr>
        <a:xfrm>
          <a:off x="3333750" y="5238750"/>
          <a:ext cx="581025" cy="228600"/>
          <a:chOff x="3444240" y="5318760"/>
          <a:chExt cx="601980" cy="228600"/>
        </a:xfrm>
      </xdr:grpSpPr>
      <xdr:cxnSp macro="">
        <xdr:nvCxnSpPr>
          <xdr:cNvPr id="1325" name="Gerader Verbinder 1324">
            <a:extLst>
              <a:ext uri="{FF2B5EF4-FFF2-40B4-BE49-F238E27FC236}">
                <a16:creationId xmlns:a16="http://schemas.microsoft.com/office/drawing/2014/main" id="{3BC8A132-D5C1-BDC9-F464-B1501ECBE687}"/>
              </a:ext>
            </a:extLst>
          </xdr:cNvPr>
          <xdr:cNvCxnSpPr/>
        </xdr:nvCxnSpPr>
        <xdr:spPr>
          <a:xfrm>
            <a:off x="344424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26" name="Gerader Verbinder 1325">
            <a:extLst>
              <a:ext uri="{FF2B5EF4-FFF2-40B4-BE49-F238E27FC236}">
                <a16:creationId xmlns:a16="http://schemas.microsoft.com/office/drawing/2014/main" id="{CB48E26F-3C9D-FEA3-C558-0F77DE22D4B4}"/>
              </a:ext>
            </a:extLst>
          </xdr:cNvPr>
          <xdr:cNvCxnSpPr/>
        </xdr:nvCxnSpPr>
        <xdr:spPr>
          <a:xfrm flipH="1">
            <a:off x="344424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28</xdr:row>
      <xdr:rowOff>0</xdr:rowOff>
    </xdr:from>
    <xdr:to>
      <xdr:col>6</xdr:col>
      <xdr:colOff>0</xdr:colOff>
      <xdr:row>29</xdr:row>
      <xdr:rowOff>0</xdr:rowOff>
    </xdr:to>
    <xdr:grpSp>
      <xdr:nvGrpSpPr>
        <xdr:cNvPr id="1330" name="Cross_F29">
          <a:extLst>
            <a:ext uri="{FF2B5EF4-FFF2-40B4-BE49-F238E27FC236}">
              <a16:creationId xmlns:a16="http://schemas.microsoft.com/office/drawing/2014/main" id="{A60CE651-48B2-4E93-CD1E-D8624D8F9346}"/>
            </a:ext>
          </a:extLst>
        </xdr:cNvPr>
        <xdr:cNvGrpSpPr/>
      </xdr:nvGrpSpPr>
      <xdr:grpSpPr>
        <a:xfrm>
          <a:off x="3333750" y="5467350"/>
          <a:ext cx="581025" cy="161925"/>
          <a:chOff x="3444240" y="5547360"/>
          <a:chExt cx="601980" cy="167640"/>
        </a:xfrm>
      </xdr:grpSpPr>
      <xdr:cxnSp macro="">
        <xdr:nvCxnSpPr>
          <xdr:cNvPr id="1328" name="Gerader Verbinder 1327">
            <a:extLst>
              <a:ext uri="{FF2B5EF4-FFF2-40B4-BE49-F238E27FC236}">
                <a16:creationId xmlns:a16="http://schemas.microsoft.com/office/drawing/2014/main" id="{13BAF3A6-10DB-6029-A383-2AD76EF8E8B7}"/>
              </a:ext>
            </a:extLst>
          </xdr:cNvPr>
          <xdr:cNvCxnSpPr/>
        </xdr:nvCxnSpPr>
        <xdr:spPr>
          <a:xfrm>
            <a:off x="3444240" y="5547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29" name="Gerader Verbinder 1328">
            <a:extLst>
              <a:ext uri="{FF2B5EF4-FFF2-40B4-BE49-F238E27FC236}">
                <a16:creationId xmlns:a16="http://schemas.microsoft.com/office/drawing/2014/main" id="{8CB26C2F-92F8-4755-89EB-896983655BD2}"/>
              </a:ext>
            </a:extLst>
          </xdr:cNvPr>
          <xdr:cNvCxnSpPr/>
        </xdr:nvCxnSpPr>
        <xdr:spPr>
          <a:xfrm flipH="1">
            <a:off x="3444240" y="5547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29</xdr:row>
      <xdr:rowOff>0</xdr:rowOff>
    </xdr:from>
    <xdr:to>
      <xdr:col>6</xdr:col>
      <xdr:colOff>0</xdr:colOff>
      <xdr:row>30</xdr:row>
      <xdr:rowOff>0</xdr:rowOff>
    </xdr:to>
    <xdr:grpSp>
      <xdr:nvGrpSpPr>
        <xdr:cNvPr id="1333" name="Cross_F30">
          <a:extLst>
            <a:ext uri="{FF2B5EF4-FFF2-40B4-BE49-F238E27FC236}">
              <a16:creationId xmlns:a16="http://schemas.microsoft.com/office/drawing/2014/main" id="{655DE6BC-CD09-60CC-511E-ECBCB3E9AE00}"/>
            </a:ext>
          </a:extLst>
        </xdr:cNvPr>
        <xdr:cNvGrpSpPr/>
      </xdr:nvGrpSpPr>
      <xdr:grpSpPr>
        <a:xfrm>
          <a:off x="3333750" y="5629275"/>
          <a:ext cx="581025" cy="161925"/>
          <a:chOff x="3444240" y="5715000"/>
          <a:chExt cx="601980" cy="167640"/>
        </a:xfrm>
      </xdr:grpSpPr>
      <xdr:cxnSp macro="">
        <xdr:nvCxnSpPr>
          <xdr:cNvPr id="1331" name="Gerader Verbinder 1330">
            <a:extLst>
              <a:ext uri="{FF2B5EF4-FFF2-40B4-BE49-F238E27FC236}">
                <a16:creationId xmlns:a16="http://schemas.microsoft.com/office/drawing/2014/main" id="{5DE40C82-63FC-0A5D-CE4D-E28387CFC6AA}"/>
              </a:ext>
            </a:extLst>
          </xdr:cNvPr>
          <xdr:cNvCxnSpPr/>
        </xdr:nvCxnSpPr>
        <xdr:spPr>
          <a:xfrm>
            <a:off x="3444240" y="5715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32" name="Gerader Verbinder 1331">
            <a:extLst>
              <a:ext uri="{FF2B5EF4-FFF2-40B4-BE49-F238E27FC236}">
                <a16:creationId xmlns:a16="http://schemas.microsoft.com/office/drawing/2014/main" id="{B3B10D20-7CC8-CB0F-217C-2AAA3CEBCFFC}"/>
              </a:ext>
            </a:extLst>
          </xdr:cNvPr>
          <xdr:cNvCxnSpPr/>
        </xdr:nvCxnSpPr>
        <xdr:spPr>
          <a:xfrm flipH="1">
            <a:off x="3444240" y="5715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36</xdr:row>
      <xdr:rowOff>0</xdr:rowOff>
    </xdr:from>
    <xdr:to>
      <xdr:col>6</xdr:col>
      <xdr:colOff>0</xdr:colOff>
      <xdr:row>37</xdr:row>
      <xdr:rowOff>0</xdr:rowOff>
    </xdr:to>
    <xdr:grpSp>
      <xdr:nvGrpSpPr>
        <xdr:cNvPr id="1336" name="Cross_F37">
          <a:extLst>
            <a:ext uri="{FF2B5EF4-FFF2-40B4-BE49-F238E27FC236}">
              <a16:creationId xmlns:a16="http://schemas.microsoft.com/office/drawing/2014/main" id="{43CC5BFC-0AC7-7F1C-717A-E3721E42920C}"/>
            </a:ext>
          </a:extLst>
        </xdr:cNvPr>
        <xdr:cNvGrpSpPr/>
      </xdr:nvGrpSpPr>
      <xdr:grpSpPr>
        <a:xfrm>
          <a:off x="3333750" y="6896100"/>
          <a:ext cx="581025" cy="228600"/>
          <a:chOff x="3444240" y="7010400"/>
          <a:chExt cx="601980" cy="228600"/>
        </a:xfrm>
      </xdr:grpSpPr>
      <xdr:cxnSp macro="">
        <xdr:nvCxnSpPr>
          <xdr:cNvPr id="1334" name="Gerader Verbinder 1333">
            <a:extLst>
              <a:ext uri="{FF2B5EF4-FFF2-40B4-BE49-F238E27FC236}">
                <a16:creationId xmlns:a16="http://schemas.microsoft.com/office/drawing/2014/main" id="{F12FDEB1-4747-DC65-DA77-1467A3C0CAA3}"/>
              </a:ext>
            </a:extLst>
          </xdr:cNvPr>
          <xdr:cNvCxnSpPr/>
        </xdr:nvCxnSpPr>
        <xdr:spPr>
          <a:xfrm>
            <a:off x="344424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35" name="Gerader Verbinder 1334">
            <a:extLst>
              <a:ext uri="{FF2B5EF4-FFF2-40B4-BE49-F238E27FC236}">
                <a16:creationId xmlns:a16="http://schemas.microsoft.com/office/drawing/2014/main" id="{C21553FF-CF94-703B-C0AA-259F9469DF84}"/>
              </a:ext>
            </a:extLst>
          </xdr:cNvPr>
          <xdr:cNvCxnSpPr/>
        </xdr:nvCxnSpPr>
        <xdr:spPr>
          <a:xfrm flipH="1">
            <a:off x="344424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37</xdr:row>
      <xdr:rowOff>0</xdr:rowOff>
    </xdr:from>
    <xdr:to>
      <xdr:col>6</xdr:col>
      <xdr:colOff>0</xdr:colOff>
      <xdr:row>38</xdr:row>
      <xdr:rowOff>0</xdr:rowOff>
    </xdr:to>
    <xdr:grpSp>
      <xdr:nvGrpSpPr>
        <xdr:cNvPr id="1339" name="Cross_F38">
          <a:extLst>
            <a:ext uri="{FF2B5EF4-FFF2-40B4-BE49-F238E27FC236}">
              <a16:creationId xmlns:a16="http://schemas.microsoft.com/office/drawing/2014/main" id="{044D782D-E95A-D457-2201-58DF9C421295}"/>
            </a:ext>
          </a:extLst>
        </xdr:cNvPr>
        <xdr:cNvGrpSpPr/>
      </xdr:nvGrpSpPr>
      <xdr:grpSpPr>
        <a:xfrm>
          <a:off x="3333750" y="7124700"/>
          <a:ext cx="581025" cy="161925"/>
          <a:chOff x="3444240" y="7239000"/>
          <a:chExt cx="601980" cy="167640"/>
        </a:xfrm>
      </xdr:grpSpPr>
      <xdr:cxnSp macro="">
        <xdr:nvCxnSpPr>
          <xdr:cNvPr id="1337" name="Gerader Verbinder 1336">
            <a:extLst>
              <a:ext uri="{FF2B5EF4-FFF2-40B4-BE49-F238E27FC236}">
                <a16:creationId xmlns:a16="http://schemas.microsoft.com/office/drawing/2014/main" id="{0B805BF7-3684-4DCF-77F1-F69BBEBD8E36}"/>
              </a:ext>
            </a:extLst>
          </xdr:cNvPr>
          <xdr:cNvCxnSpPr/>
        </xdr:nvCxnSpPr>
        <xdr:spPr>
          <a:xfrm>
            <a:off x="3444240" y="7239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38" name="Gerader Verbinder 1337">
            <a:extLst>
              <a:ext uri="{FF2B5EF4-FFF2-40B4-BE49-F238E27FC236}">
                <a16:creationId xmlns:a16="http://schemas.microsoft.com/office/drawing/2014/main" id="{3EE99245-03A0-5D45-CC66-217C8B954C68}"/>
              </a:ext>
            </a:extLst>
          </xdr:cNvPr>
          <xdr:cNvCxnSpPr/>
        </xdr:nvCxnSpPr>
        <xdr:spPr>
          <a:xfrm flipH="1">
            <a:off x="3444240" y="7239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38</xdr:row>
      <xdr:rowOff>0</xdr:rowOff>
    </xdr:from>
    <xdr:to>
      <xdr:col>6</xdr:col>
      <xdr:colOff>0</xdr:colOff>
      <xdr:row>39</xdr:row>
      <xdr:rowOff>0</xdr:rowOff>
    </xdr:to>
    <xdr:grpSp>
      <xdr:nvGrpSpPr>
        <xdr:cNvPr id="1342" name="Cross_F39">
          <a:extLst>
            <a:ext uri="{FF2B5EF4-FFF2-40B4-BE49-F238E27FC236}">
              <a16:creationId xmlns:a16="http://schemas.microsoft.com/office/drawing/2014/main" id="{B0BE6CA9-EB51-2C1F-9043-4B224FD243EA}"/>
            </a:ext>
          </a:extLst>
        </xdr:cNvPr>
        <xdr:cNvGrpSpPr/>
      </xdr:nvGrpSpPr>
      <xdr:grpSpPr>
        <a:xfrm>
          <a:off x="3333750" y="7286625"/>
          <a:ext cx="581025" cy="161925"/>
          <a:chOff x="3444240" y="7406640"/>
          <a:chExt cx="601980" cy="167640"/>
        </a:xfrm>
      </xdr:grpSpPr>
      <xdr:cxnSp macro="">
        <xdr:nvCxnSpPr>
          <xdr:cNvPr id="1340" name="Gerader Verbinder 1339">
            <a:extLst>
              <a:ext uri="{FF2B5EF4-FFF2-40B4-BE49-F238E27FC236}">
                <a16:creationId xmlns:a16="http://schemas.microsoft.com/office/drawing/2014/main" id="{B865B472-FCA5-C4FC-E197-27641033D109}"/>
              </a:ext>
            </a:extLst>
          </xdr:cNvPr>
          <xdr:cNvCxnSpPr/>
        </xdr:nvCxnSpPr>
        <xdr:spPr>
          <a:xfrm>
            <a:off x="3444240" y="7406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41" name="Gerader Verbinder 1340">
            <a:extLst>
              <a:ext uri="{FF2B5EF4-FFF2-40B4-BE49-F238E27FC236}">
                <a16:creationId xmlns:a16="http://schemas.microsoft.com/office/drawing/2014/main" id="{89AC552A-47A9-225C-7781-D9C8D072DE26}"/>
              </a:ext>
            </a:extLst>
          </xdr:cNvPr>
          <xdr:cNvCxnSpPr/>
        </xdr:nvCxnSpPr>
        <xdr:spPr>
          <a:xfrm flipH="1">
            <a:off x="3444240" y="7406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39</xdr:row>
      <xdr:rowOff>0</xdr:rowOff>
    </xdr:from>
    <xdr:to>
      <xdr:col>6</xdr:col>
      <xdr:colOff>0</xdr:colOff>
      <xdr:row>40</xdr:row>
      <xdr:rowOff>0</xdr:rowOff>
    </xdr:to>
    <xdr:grpSp>
      <xdr:nvGrpSpPr>
        <xdr:cNvPr id="1345" name="Cross_F40">
          <a:extLst>
            <a:ext uri="{FF2B5EF4-FFF2-40B4-BE49-F238E27FC236}">
              <a16:creationId xmlns:a16="http://schemas.microsoft.com/office/drawing/2014/main" id="{3546AF84-44B3-A1AA-82B0-D9901E9CF5BF}"/>
            </a:ext>
          </a:extLst>
        </xdr:cNvPr>
        <xdr:cNvGrpSpPr/>
      </xdr:nvGrpSpPr>
      <xdr:grpSpPr>
        <a:xfrm>
          <a:off x="3333750" y="7448550"/>
          <a:ext cx="581025" cy="228600"/>
          <a:chOff x="3444240" y="7574280"/>
          <a:chExt cx="601980" cy="228600"/>
        </a:xfrm>
      </xdr:grpSpPr>
      <xdr:cxnSp macro="">
        <xdr:nvCxnSpPr>
          <xdr:cNvPr id="1343" name="Gerader Verbinder 1342">
            <a:extLst>
              <a:ext uri="{FF2B5EF4-FFF2-40B4-BE49-F238E27FC236}">
                <a16:creationId xmlns:a16="http://schemas.microsoft.com/office/drawing/2014/main" id="{1672E5F6-0800-5AA9-4586-EB6F6ED753B1}"/>
              </a:ext>
            </a:extLst>
          </xdr:cNvPr>
          <xdr:cNvCxnSpPr/>
        </xdr:nvCxnSpPr>
        <xdr:spPr>
          <a:xfrm>
            <a:off x="344424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44" name="Gerader Verbinder 1343">
            <a:extLst>
              <a:ext uri="{FF2B5EF4-FFF2-40B4-BE49-F238E27FC236}">
                <a16:creationId xmlns:a16="http://schemas.microsoft.com/office/drawing/2014/main" id="{65D066EB-49C2-219E-1D38-44CD80B674F1}"/>
              </a:ext>
            </a:extLst>
          </xdr:cNvPr>
          <xdr:cNvCxnSpPr/>
        </xdr:nvCxnSpPr>
        <xdr:spPr>
          <a:xfrm flipH="1">
            <a:off x="344424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40</xdr:row>
      <xdr:rowOff>0</xdr:rowOff>
    </xdr:from>
    <xdr:to>
      <xdr:col>6</xdr:col>
      <xdr:colOff>0</xdr:colOff>
      <xdr:row>41</xdr:row>
      <xdr:rowOff>0</xdr:rowOff>
    </xdr:to>
    <xdr:grpSp>
      <xdr:nvGrpSpPr>
        <xdr:cNvPr id="1348" name="Cross_F41">
          <a:extLst>
            <a:ext uri="{FF2B5EF4-FFF2-40B4-BE49-F238E27FC236}">
              <a16:creationId xmlns:a16="http://schemas.microsoft.com/office/drawing/2014/main" id="{3BB8FF53-2D2C-DA30-4487-0267ED62B799}"/>
            </a:ext>
          </a:extLst>
        </xdr:cNvPr>
        <xdr:cNvGrpSpPr/>
      </xdr:nvGrpSpPr>
      <xdr:grpSpPr>
        <a:xfrm>
          <a:off x="3333750" y="7677150"/>
          <a:ext cx="581025" cy="161925"/>
          <a:chOff x="3444240" y="7802880"/>
          <a:chExt cx="601980" cy="167640"/>
        </a:xfrm>
      </xdr:grpSpPr>
      <xdr:cxnSp macro="">
        <xdr:nvCxnSpPr>
          <xdr:cNvPr id="1346" name="Gerader Verbinder 1345">
            <a:extLst>
              <a:ext uri="{FF2B5EF4-FFF2-40B4-BE49-F238E27FC236}">
                <a16:creationId xmlns:a16="http://schemas.microsoft.com/office/drawing/2014/main" id="{7B2F3F91-2C2C-4613-B9F1-EB76644F92CA}"/>
              </a:ext>
            </a:extLst>
          </xdr:cNvPr>
          <xdr:cNvCxnSpPr/>
        </xdr:nvCxnSpPr>
        <xdr:spPr>
          <a:xfrm>
            <a:off x="3444240" y="7802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47" name="Gerader Verbinder 1346">
            <a:extLst>
              <a:ext uri="{FF2B5EF4-FFF2-40B4-BE49-F238E27FC236}">
                <a16:creationId xmlns:a16="http://schemas.microsoft.com/office/drawing/2014/main" id="{6ABACBFF-9576-E5C9-9015-AD4B98E2EE75}"/>
              </a:ext>
            </a:extLst>
          </xdr:cNvPr>
          <xdr:cNvCxnSpPr/>
        </xdr:nvCxnSpPr>
        <xdr:spPr>
          <a:xfrm flipH="1">
            <a:off x="3444240" y="7802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41</xdr:row>
      <xdr:rowOff>0</xdr:rowOff>
    </xdr:from>
    <xdr:to>
      <xdr:col>6</xdr:col>
      <xdr:colOff>0</xdr:colOff>
      <xdr:row>42</xdr:row>
      <xdr:rowOff>0</xdr:rowOff>
    </xdr:to>
    <xdr:grpSp>
      <xdr:nvGrpSpPr>
        <xdr:cNvPr id="1351" name="Cross_F42">
          <a:extLst>
            <a:ext uri="{FF2B5EF4-FFF2-40B4-BE49-F238E27FC236}">
              <a16:creationId xmlns:a16="http://schemas.microsoft.com/office/drawing/2014/main" id="{572D853A-99F3-E391-E413-97216F69555A}"/>
            </a:ext>
          </a:extLst>
        </xdr:cNvPr>
        <xdr:cNvGrpSpPr/>
      </xdr:nvGrpSpPr>
      <xdr:grpSpPr>
        <a:xfrm>
          <a:off x="3333750" y="7839075"/>
          <a:ext cx="581025" cy="161925"/>
          <a:chOff x="3444240" y="7970520"/>
          <a:chExt cx="601980" cy="167640"/>
        </a:xfrm>
      </xdr:grpSpPr>
      <xdr:cxnSp macro="">
        <xdr:nvCxnSpPr>
          <xdr:cNvPr id="1349" name="Gerader Verbinder 1348">
            <a:extLst>
              <a:ext uri="{FF2B5EF4-FFF2-40B4-BE49-F238E27FC236}">
                <a16:creationId xmlns:a16="http://schemas.microsoft.com/office/drawing/2014/main" id="{EBF6722D-098B-6CA0-D399-09D2E65B2A15}"/>
              </a:ext>
            </a:extLst>
          </xdr:cNvPr>
          <xdr:cNvCxnSpPr/>
        </xdr:nvCxnSpPr>
        <xdr:spPr>
          <a:xfrm>
            <a:off x="3444240" y="7970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50" name="Gerader Verbinder 1349">
            <a:extLst>
              <a:ext uri="{FF2B5EF4-FFF2-40B4-BE49-F238E27FC236}">
                <a16:creationId xmlns:a16="http://schemas.microsoft.com/office/drawing/2014/main" id="{CB6B5988-1501-12F6-1F1A-7734A12A4419}"/>
              </a:ext>
            </a:extLst>
          </xdr:cNvPr>
          <xdr:cNvCxnSpPr/>
        </xdr:nvCxnSpPr>
        <xdr:spPr>
          <a:xfrm flipH="1">
            <a:off x="3444240" y="7970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42</xdr:row>
      <xdr:rowOff>0</xdr:rowOff>
    </xdr:from>
    <xdr:to>
      <xdr:col>6</xdr:col>
      <xdr:colOff>0</xdr:colOff>
      <xdr:row>43</xdr:row>
      <xdr:rowOff>0</xdr:rowOff>
    </xdr:to>
    <xdr:grpSp>
      <xdr:nvGrpSpPr>
        <xdr:cNvPr id="1354" name="Cross_F43">
          <a:extLst>
            <a:ext uri="{FF2B5EF4-FFF2-40B4-BE49-F238E27FC236}">
              <a16:creationId xmlns:a16="http://schemas.microsoft.com/office/drawing/2014/main" id="{6D7656C0-2A24-390C-A43E-01488FE0926D}"/>
            </a:ext>
          </a:extLst>
        </xdr:cNvPr>
        <xdr:cNvGrpSpPr/>
      </xdr:nvGrpSpPr>
      <xdr:grpSpPr>
        <a:xfrm>
          <a:off x="3333750" y="8001000"/>
          <a:ext cx="581025" cy="228600"/>
          <a:chOff x="3444240" y="8138160"/>
          <a:chExt cx="601980" cy="228600"/>
        </a:xfrm>
      </xdr:grpSpPr>
      <xdr:cxnSp macro="">
        <xdr:nvCxnSpPr>
          <xdr:cNvPr id="1352" name="Gerader Verbinder 1351">
            <a:extLst>
              <a:ext uri="{FF2B5EF4-FFF2-40B4-BE49-F238E27FC236}">
                <a16:creationId xmlns:a16="http://schemas.microsoft.com/office/drawing/2014/main" id="{DAB1429E-747B-EC2D-5013-6C58C9AF91BF}"/>
              </a:ext>
            </a:extLst>
          </xdr:cNvPr>
          <xdr:cNvCxnSpPr/>
        </xdr:nvCxnSpPr>
        <xdr:spPr>
          <a:xfrm>
            <a:off x="344424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53" name="Gerader Verbinder 1352">
            <a:extLst>
              <a:ext uri="{FF2B5EF4-FFF2-40B4-BE49-F238E27FC236}">
                <a16:creationId xmlns:a16="http://schemas.microsoft.com/office/drawing/2014/main" id="{390C5982-6B34-BDE6-71F3-887E1D31CC9E}"/>
              </a:ext>
            </a:extLst>
          </xdr:cNvPr>
          <xdr:cNvCxnSpPr/>
        </xdr:nvCxnSpPr>
        <xdr:spPr>
          <a:xfrm flipH="1">
            <a:off x="344424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43</xdr:row>
      <xdr:rowOff>0</xdr:rowOff>
    </xdr:from>
    <xdr:to>
      <xdr:col>6</xdr:col>
      <xdr:colOff>0</xdr:colOff>
      <xdr:row>44</xdr:row>
      <xdr:rowOff>0</xdr:rowOff>
    </xdr:to>
    <xdr:grpSp>
      <xdr:nvGrpSpPr>
        <xdr:cNvPr id="1357" name="Cross_F44">
          <a:extLst>
            <a:ext uri="{FF2B5EF4-FFF2-40B4-BE49-F238E27FC236}">
              <a16:creationId xmlns:a16="http://schemas.microsoft.com/office/drawing/2014/main" id="{B57A3740-B926-4A02-E6C1-CB7DCB646A58}"/>
            </a:ext>
          </a:extLst>
        </xdr:cNvPr>
        <xdr:cNvGrpSpPr/>
      </xdr:nvGrpSpPr>
      <xdr:grpSpPr>
        <a:xfrm>
          <a:off x="3333750" y="8229600"/>
          <a:ext cx="581025" cy="161925"/>
          <a:chOff x="3444240" y="8366760"/>
          <a:chExt cx="601980" cy="167640"/>
        </a:xfrm>
      </xdr:grpSpPr>
      <xdr:cxnSp macro="">
        <xdr:nvCxnSpPr>
          <xdr:cNvPr id="1355" name="Gerader Verbinder 1354">
            <a:extLst>
              <a:ext uri="{FF2B5EF4-FFF2-40B4-BE49-F238E27FC236}">
                <a16:creationId xmlns:a16="http://schemas.microsoft.com/office/drawing/2014/main" id="{6D792279-6FBA-68AE-E04A-459E9B6652CC}"/>
              </a:ext>
            </a:extLst>
          </xdr:cNvPr>
          <xdr:cNvCxnSpPr/>
        </xdr:nvCxnSpPr>
        <xdr:spPr>
          <a:xfrm>
            <a:off x="3444240" y="8366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56" name="Gerader Verbinder 1355">
            <a:extLst>
              <a:ext uri="{FF2B5EF4-FFF2-40B4-BE49-F238E27FC236}">
                <a16:creationId xmlns:a16="http://schemas.microsoft.com/office/drawing/2014/main" id="{9AE3ED5E-BEEC-39A5-82F1-18671B84E15B}"/>
              </a:ext>
            </a:extLst>
          </xdr:cNvPr>
          <xdr:cNvCxnSpPr/>
        </xdr:nvCxnSpPr>
        <xdr:spPr>
          <a:xfrm flipH="1">
            <a:off x="3444240" y="8366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44</xdr:row>
      <xdr:rowOff>0</xdr:rowOff>
    </xdr:from>
    <xdr:to>
      <xdr:col>6</xdr:col>
      <xdr:colOff>0</xdr:colOff>
      <xdr:row>45</xdr:row>
      <xdr:rowOff>0</xdr:rowOff>
    </xdr:to>
    <xdr:grpSp>
      <xdr:nvGrpSpPr>
        <xdr:cNvPr id="1360" name="Cross_F45">
          <a:extLst>
            <a:ext uri="{FF2B5EF4-FFF2-40B4-BE49-F238E27FC236}">
              <a16:creationId xmlns:a16="http://schemas.microsoft.com/office/drawing/2014/main" id="{D90F56C7-87A0-28A3-8F9A-82286F062C35}"/>
            </a:ext>
          </a:extLst>
        </xdr:cNvPr>
        <xdr:cNvGrpSpPr/>
      </xdr:nvGrpSpPr>
      <xdr:grpSpPr>
        <a:xfrm>
          <a:off x="3333750" y="8391525"/>
          <a:ext cx="581025" cy="161925"/>
          <a:chOff x="3444240" y="8534400"/>
          <a:chExt cx="601980" cy="167640"/>
        </a:xfrm>
      </xdr:grpSpPr>
      <xdr:cxnSp macro="">
        <xdr:nvCxnSpPr>
          <xdr:cNvPr id="1358" name="Gerader Verbinder 1357">
            <a:extLst>
              <a:ext uri="{FF2B5EF4-FFF2-40B4-BE49-F238E27FC236}">
                <a16:creationId xmlns:a16="http://schemas.microsoft.com/office/drawing/2014/main" id="{15DAD492-F393-70F0-2723-55ECDB69B607}"/>
              </a:ext>
            </a:extLst>
          </xdr:cNvPr>
          <xdr:cNvCxnSpPr/>
        </xdr:nvCxnSpPr>
        <xdr:spPr>
          <a:xfrm>
            <a:off x="3444240" y="8534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59" name="Gerader Verbinder 1358">
            <a:extLst>
              <a:ext uri="{FF2B5EF4-FFF2-40B4-BE49-F238E27FC236}">
                <a16:creationId xmlns:a16="http://schemas.microsoft.com/office/drawing/2014/main" id="{E6F33866-7E62-4CCE-20CE-4031C38C9261}"/>
              </a:ext>
            </a:extLst>
          </xdr:cNvPr>
          <xdr:cNvCxnSpPr/>
        </xdr:nvCxnSpPr>
        <xdr:spPr>
          <a:xfrm flipH="1">
            <a:off x="3444240" y="8534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45</xdr:row>
      <xdr:rowOff>0</xdr:rowOff>
    </xdr:from>
    <xdr:to>
      <xdr:col>6</xdr:col>
      <xdr:colOff>0</xdr:colOff>
      <xdr:row>46</xdr:row>
      <xdr:rowOff>0</xdr:rowOff>
    </xdr:to>
    <xdr:grpSp>
      <xdr:nvGrpSpPr>
        <xdr:cNvPr id="1363" name="Cross_F46">
          <a:extLst>
            <a:ext uri="{FF2B5EF4-FFF2-40B4-BE49-F238E27FC236}">
              <a16:creationId xmlns:a16="http://schemas.microsoft.com/office/drawing/2014/main" id="{0423C7C4-4DB4-C50C-0F2C-F216A5B129B2}"/>
            </a:ext>
          </a:extLst>
        </xdr:cNvPr>
        <xdr:cNvGrpSpPr/>
      </xdr:nvGrpSpPr>
      <xdr:grpSpPr>
        <a:xfrm>
          <a:off x="3333750" y="8553450"/>
          <a:ext cx="581025" cy="228600"/>
          <a:chOff x="3444240" y="8702040"/>
          <a:chExt cx="601980" cy="228600"/>
        </a:xfrm>
      </xdr:grpSpPr>
      <xdr:cxnSp macro="">
        <xdr:nvCxnSpPr>
          <xdr:cNvPr id="1361" name="Gerader Verbinder 1360">
            <a:extLst>
              <a:ext uri="{FF2B5EF4-FFF2-40B4-BE49-F238E27FC236}">
                <a16:creationId xmlns:a16="http://schemas.microsoft.com/office/drawing/2014/main" id="{34BABB0D-FD47-4018-9AF9-AD119298D03A}"/>
              </a:ext>
            </a:extLst>
          </xdr:cNvPr>
          <xdr:cNvCxnSpPr/>
        </xdr:nvCxnSpPr>
        <xdr:spPr>
          <a:xfrm>
            <a:off x="344424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62" name="Gerader Verbinder 1361">
            <a:extLst>
              <a:ext uri="{FF2B5EF4-FFF2-40B4-BE49-F238E27FC236}">
                <a16:creationId xmlns:a16="http://schemas.microsoft.com/office/drawing/2014/main" id="{52740EF5-5247-012C-747E-660E33F16F06}"/>
              </a:ext>
            </a:extLst>
          </xdr:cNvPr>
          <xdr:cNvCxnSpPr/>
        </xdr:nvCxnSpPr>
        <xdr:spPr>
          <a:xfrm flipH="1">
            <a:off x="344424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46</xdr:row>
      <xdr:rowOff>0</xdr:rowOff>
    </xdr:from>
    <xdr:to>
      <xdr:col>6</xdr:col>
      <xdr:colOff>0</xdr:colOff>
      <xdr:row>47</xdr:row>
      <xdr:rowOff>0</xdr:rowOff>
    </xdr:to>
    <xdr:grpSp>
      <xdr:nvGrpSpPr>
        <xdr:cNvPr id="1366" name="Cross_F47">
          <a:extLst>
            <a:ext uri="{FF2B5EF4-FFF2-40B4-BE49-F238E27FC236}">
              <a16:creationId xmlns:a16="http://schemas.microsoft.com/office/drawing/2014/main" id="{8EEE2B8B-577B-0C19-BB8F-1394334A8CB7}"/>
            </a:ext>
          </a:extLst>
        </xdr:cNvPr>
        <xdr:cNvGrpSpPr/>
      </xdr:nvGrpSpPr>
      <xdr:grpSpPr>
        <a:xfrm>
          <a:off x="3333750" y="8782050"/>
          <a:ext cx="581025" cy="161925"/>
          <a:chOff x="3444240" y="8930640"/>
          <a:chExt cx="601980" cy="167640"/>
        </a:xfrm>
      </xdr:grpSpPr>
      <xdr:cxnSp macro="">
        <xdr:nvCxnSpPr>
          <xdr:cNvPr id="1364" name="Gerader Verbinder 1363">
            <a:extLst>
              <a:ext uri="{FF2B5EF4-FFF2-40B4-BE49-F238E27FC236}">
                <a16:creationId xmlns:a16="http://schemas.microsoft.com/office/drawing/2014/main" id="{EE9CC495-B384-9DFF-3E06-6E9B4A8ACFA0}"/>
              </a:ext>
            </a:extLst>
          </xdr:cNvPr>
          <xdr:cNvCxnSpPr/>
        </xdr:nvCxnSpPr>
        <xdr:spPr>
          <a:xfrm>
            <a:off x="3444240" y="8930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65" name="Gerader Verbinder 1364">
            <a:extLst>
              <a:ext uri="{FF2B5EF4-FFF2-40B4-BE49-F238E27FC236}">
                <a16:creationId xmlns:a16="http://schemas.microsoft.com/office/drawing/2014/main" id="{4EB8AD06-A031-9006-375B-44EFD4D0ED3A}"/>
              </a:ext>
            </a:extLst>
          </xdr:cNvPr>
          <xdr:cNvCxnSpPr/>
        </xdr:nvCxnSpPr>
        <xdr:spPr>
          <a:xfrm flipH="1">
            <a:off x="3444240" y="8930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47</xdr:row>
      <xdr:rowOff>0</xdr:rowOff>
    </xdr:from>
    <xdr:to>
      <xdr:col>6</xdr:col>
      <xdr:colOff>0</xdr:colOff>
      <xdr:row>48</xdr:row>
      <xdr:rowOff>0</xdr:rowOff>
    </xdr:to>
    <xdr:grpSp>
      <xdr:nvGrpSpPr>
        <xdr:cNvPr id="1369" name="Cross_F48">
          <a:extLst>
            <a:ext uri="{FF2B5EF4-FFF2-40B4-BE49-F238E27FC236}">
              <a16:creationId xmlns:a16="http://schemas.microsoft.com/office/drawing/2014/main" id="{35AA2023-1744-3556-8F73-A8E3F773AA90}"/>
            </a:ext>
          </a:extLst>
        </xdr:cNvPr>
        <xdr:cNvGrpSpPr/>
      </xdr:nvGrpSpPr>
      <xdr:grpSpPr>
        <a:xfrm>
          <a:off x="3333750" y="8943975"/>
          <a:ext cx="581025" cy="161925"/>
          <a:chOff x="3444240" y="9098280"/>
          <a:chExt cx="601980" cy="167640"/>
        </a:xfrm>
      </xdr:grpSpPr>
      <xdr:cxnSp macro="">
        <xdr:nvCxnSpPr>
          <xdr:cNvPr id="1367" name="Gerader Verbinder 1366">
            <a:extLst>
              <a:ext uri="{FF2B5EF4-FFF2-40B4-BE49-F238E27FC236}">
                <a16:creationId xmlns:a16="http://schemas.microsoft.com/office/drawing/2014/main" id="{2B26301B-62E1-0433-83C1-6456F025BDC9}"/>
              </a:ext>
            </a:extLst>
          </xdr:cNvPr>
          <xdr:cNvCxnSpPr/>
        </xdr:nvCxnSpPr>
        <xdr:spPr>
          <a:xfrm>
            <a:off x="3444240" y="9098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68" name="Gerader Verbinder 1367">
            <a:extLst>
              <a:ext uri="{FF2B5EF4-FFF2-40B4-BE49-F238E27FC236}">
                <a16:creationId xmlns:a16="http://schemas.microsoft.com/office/drawing/2014/main" id="{C332DE07-1DB5-1409-EEEB-F16EC6D53959}"/>
              </a:ext>
            </a:extLst>
          </xdr:cNvPr>
          <xdr:cNvCxnSpPr/>
        </xdr:nvCxnSpPr>
        <xdr:spPr>
          <a:xfrm flipH="1">
            <a:off x="3444240" y="9098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54</xdr:row>
      <xdr:rowOff>0</xdr:rowOff>
    </xdr:from>
    <xdr:to>
      <xdr:col>6</xdr:col>
      <xdr:colOff>0</xdr:colOff>
      <xdr:row>55</xdr:row>
      <xdr:rowOff>0</xdr:rowOff>
    </xdr:to>
    <xdr:grpSp>
      <xdr:nvGrpSpPr>
        <xdr:cNvPr id="1372" name="Cross_F55">
          <a:extLst>
            <a:ext uri="{FF2B5EF4-FFF2-40B4-BE49-F238E27FC236}">
              <a16:creationId xmlns:a16="http://schemas.microsoft.com/office/drawing/2014/main" id="{1611530E-435A-966E-A3E8-79680AD4C072}"/>
            </a:ext>
          </a:extLst>
        </xdr:cNvPr>
        <xdr:cNvGrpSpPr/>
      </xdr:nvGrpSpPr>
      <xdr:grpSpPr>
        <a:xfrm>
          <a:off x="3333750" y="10210800"/>
          <a:ext cx="581025" cy="228600"/>
          <a:chOff x="3444240" y="10393680"/>
          <a:chExt cx="601980" cy="228600"/>
        </a:xfrm>
      </xdr:grpSpPr>
      <xdr:cxnSp macro="">
        <xdr:nvCxnSpPr>
          <xdr:cNvPr id="1370" name="Gerader Verbinder 1369">
            <a:extLst>
              <a:ext uri="{FF2B5EF4-FFF2-40B4-BE49-F238E27FC236}">
                <a16:creationId xmlns:a16="http://schemas.microsoft.com/office/drawing/2014/main" id="{59C237BA-936B-1549-C528-70F422956414}"/>
              </a:ext>
            </a:extLst>
          </xdr:cNvPr>
          <xdr:cNvCxnSpPr/>
        </xdr:nvCxnSpPr>
        <xdr:spPr>
          <a:xfrm>
            <a:off x="344424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71" name="Gerader Verbinder 1370">
            <a:extLst>
              <a:ext uri="{FF2B5EF4-FFF2-40B4-BE49-F238E27FC236}">
                <a16:creationId xmlns:a16="http://schemas.microsoft.com/office/drawing/2014/main" id="{A3DFE0FA-833F-5956-5AE2-602EBB74546F}"/>
              </a:ext>
            </a:extLst>
          </xdr:cNvPr>
          <xdr:cNvCxnSpPr/>
        </xdr:nvCxnSpPr>
        <xdr:spPr>
          <a:xfrm flipH="1">
            <a:off x="344424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55</xdr:row>
      <xdr:rowOff>0</xdr:rowOff>
    </xdr:from>
    <xdr:to>
      <xdr:col>6</xdr:col>
      <xdr:colOff>0</xdr:colOff>
      <xdr:row>56</xdr:row>
      <xdr:rowOff>0</xdr:rowOff>
    </xdr:to>
    <xdr:grpSp>
      <xdr:nvGrpSpPr>
        <xdr:cNvPr id="1375" name="Cross_F56">
          <a:extLst>
            <a:ext uri="{FF2B5EF4-FFF2-40B4-BE49-F238E27FC236}">
              <a16:creationId xmlns:a16="http://schemas.microsoft.com/office/drawing/2014/main" id="{32A251C1-CB8E-F8AD-ABB7-0874E86ADA69}"/>
            </a:ext>
          </a:extLst>
        </xdr:cNvPr>
        <xdr:cNvGrpSpPr/>
      </xdr:nvGrpSpPr>
      <xdr:grpSpPr>
        <a:xfrm>
          <a:off x="3333750" y="10439400"/>
          <a:ext cx="581025" cy="161925"/>
          <a:chOff x="3444240" y="10622280"/>
          <a:chExt cx="601980" cy="167640"/>
        </a:xfrm>
      </xdr:grpSpPr>
      <xdr:cxnSp macro="">
        <xdr:nvCxnSpPr>
          <xdr:cNvPr id="1373" name="Gerader Verbinder 1372">
            <a:extLst>
              <a:ext uri="{FF2B5EF4-FFF2-40B4-BE49-F238E27FC236}">
                <a16:creationId xmlns:a16="http://schemas.microsoft.com/office/drawing/2014/main" id="{FC8D1018-6028-607D-E307-33F0BEBF8931}"/>
              </a:ext>
            </a:extLst>
          </xdr:cNvPr>
          <xdr:cNvCxnSpPr/>
        </xdr:nvCxnSpPr>
        <xdr:spPr>
          <a:xfrm>
            <a:off x="3444240" y="10622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74" name="Gerader Verbinder 1373">
            <a:extLst>
              <a:ext uri="{FF2B5EF4-FFF2-40B4-BE49-F238E27FC236}">
                <a16:creationId xmlns:a16="http://schemas.microsoft.com/office/drawing/2014/main" id="{F99A9950-1014-0413-397D-BE5E0A45CEE9}"/>
              </a:ext>
            </a:extLst>
          </xdr:cNvPr>
          <xdr:cNvCxnSpPr/>
        </xdr:nvCxnSpPr>
        <xdr:spPr>
          <a:xfrm flipH="1">
            <a:off x="3444240" y="10622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56</xdr:row>
      <xdr:rowOff>0</xdr:rowOff>
    </xdr:from>
    <xdr:to>
      <xdr:col>6</xdr:col>
      <xdr:colOff>0</xdr:colOff>
      <xdr:row>57</xdr:row>
      <xdr:rowOff>0</xdr:rowOff>
    </xdr:to>
    <xdr:grpSp>
      <xdr:nvGrpSpPr>
        <xdr:cNvPr id="1378" name="Cross_F57">
          <a:extLst>
            <a:ext uri="{FF2B5EF4-FFF2-40B4-BE49-F238E27FC236}">
              <a16:creationId xmlns:a16="http://schemas.microsoft.com/office/drawing/2014/main" id="{4AD603FF-F9F1-F0FF-F344-FE602C357F33}"/>
            </a:ext>
          </a:extLst>
        </xdr:cNvPr>
        <xdr:cNvGrpSpPr/>
      </xdr:nvGrpSpPr>
      <xdr:grpSpPr>
        <a:xfrm>
          <a:off x="3333750" y="10601325"/>
          <a:ext cx="581025" cy="161925"/>
          <a:chOff x="3444240" y="10789920"/>
          <a:chExt cx="601980" cy="167640"/>
        </a:xfrm>
      </xdr:grpSpPr>
      <xdr:cxnSp macro="">
        <xdr:nvCxnSpPr>
          <xdr:cNvPr id="1376" name="Gerader Verbinder 1375">
            <a:extLst>
              <a:ext uri="{FF2B5EF4-FFF2-40B4-BE49-F238E27FC236}">
                <a16:creationId xmlns:a16="http://schemas.microsoft.com/office/drawing/2014/main" id="{127F1D63-0C60-8DD4-BC21-040D82F16F2A}"/>
              </a:ext>
            </a:extLst>
          </xdr:cNvPr>
          <xdr:cNvCxnSpPr/>
        </xdr:nvCxnSpPr>
        <xdr:spPr>
          <a:xfrm>
            <a:off x="3444240" y="10789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77" name="Gerader Verbinder 1376">
            <a:extLst>
              <a:ext uri="{FF2B5EF4-FFF2-40B4-BE49-F238E27FC236}">
                <a16:creationId xmlns:a16="http://schemas.microsoft.com/office/drawing/2014/main" id="{185E4751-351F-476C-88FA-219710FE28CF}"/>
              </a:ext>
            </a:extLst>
          </xdr:cNvPr>
          <xdr:cNvCxnSpPr/>
        </xdr:nvCxnSpPr>
        <xdr:spPr>
          <a:xfrm flipH="1">
            <a:off x="3444240" y="10789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57</xdr:row>
      <xdr:rowOff>0</xdr:rowOff>
    </xdr:from>
    <xdr:to>
      <xdr:col>6</xdr:col>
      <xdr:colOff>0</xdr:colOff>
      <xdr:row>58</xdr:row>
      <xdr:rowOff>0</xdr:rowOff>
    </xdr:to>
    <xdr:grpSp>
      <xdr:nvGrpSpPr>
        <xdr:cNvPr id="1381" name="Cross_F58">
          <a:extLst>
            <a:ext uri="{FF2B5EF4-FFF2-40B4-BE49-F238E27FC236}">
              <a16:creationId xmlns:a16="http://schemas.microsoft.com/office/drawing/2014/main" id="{544732C8-F89A-1E05-6C5C-0C201575C4C1}"/>
            </a:ext>
          </a:extLst>
        </xdr:cNvPr>
        <xdr:cNvGrpSpPr/>
      </xdr:nvGrpSpPr>
      <xdr:grpSpPr>
        <a:xfrm>
          <a:off x="3333750" y="10763250"/>
          <a:ext cx="581025" cy="228600"/>
          <a:chOff x="3444240" y="10957560"/>
          <a:chExt cx="601980" cy="228600"/>
        </a:xfrm>
      </xdr:grpSpPr>
      <xdr:cxnSp macro="">
        <xdr:nvCxnSpPr>
          <xdr:cNvPr id="1379" name="Gerader Verbinder 1378">
            <a:extLst>
              <a:ext uri="{FF2B5EF4-FFF2-40B4-BE49-F238E27FC236}">
                <a16:creationId xmlns:a16="http://schemas.microsoft.com/office/drawing/2014/main" id="{2A5CCCD3-0CC8-8592-97A4-876F25A9B0F1}"/>
              </a:ext>
            </a:extLst>
          </xdr:cNvPr>
          <xdr:cNvCxnSpPr/>
        </xdr:nvCxnSpPr>
        <xdr:spPr>
          <a:xfrm>
            <a:off x="344424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80" name="Gerader Verbinder 1379">
            <a:extLst>
              <a:ext uri="{FF2B5EF4-FFF2-40B4-BE49-F238E27FC236}">
                <a16:creationId xmlns:a16="http://schemas.microsoft.com/office/drawing/2014/main" id="{9DFC07CE-40BF-420C-730E-1917BBB5C275}"/>
              </a:ext>
            </a:extLst>
          </xdr:cNvPr>
          <xdr:cNvCxnSpPr/>
        </xdr:nvCxnSpPr>
        <xdr:spPr>
          <a:xfrm flipH="1">
            <a:off x="344424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58</xdr:row>
      <xdr:rowOff>0</xdr:rowOff>
    </xdr:from>
    <xdr:to>
      <xdr:col>6</xdr:col>
      <xdr:colOff>0</xdr:colOff>
      <xdr:row>59</xdr:row>
      <xdr:rowOff>0</xdr:rowOff>
    </xdr:to>
    <xdr:grpSp>
      <xdr:nvGrpSpPr>
        <xdr:cNvPr id="1384" name="Cross_F59">
          <a:extLst>
            <a:ext uri="{FF2B5EF4-FFF2-40B4-BE49-F238E27FC236}">
              <a16:creationId xmlns:a16="http://schemas.microsoft.com/office/drawing/2014/main" id="{A1CFA5FD-334D-1D22-E737-C43004EAA1DE}"/>
            </a:ext>
          </a:extLst>
        </xdr:cNvPr>
        <xdr:cNvGrpSpPr/>
      </xdr:nvGrpSpPr>
      <xdr:grpSpPr>
        <a:xfrm>
          <a:off x="3333750" y="10991850"/>
          <a:ext cx="581025" cy="161925"/>
          <a:chOff x="3444240" y="11186160"/>
          <a:chExt cx="601980" cy="167640"/>
        </a:xfrm>
      </xdr:grpSpPr>
      <xdr:cxnSp macro="">
        <xdr:nvCxnSpPr>
          <xdr:cNvPr id="1382" name="Gerader Verbinder 1381">
            <a:extLst>
              <a:ext uri="{FF2B5EF4-FFF2-40B4-BE49-F238E27FC236}">
                <a16:creationId xmlns:a16="http://schemas.microsoft.com/office/drawing/2014/main" id="{054C3A9F-8D39-A09F-C207-92371AF5740F}"/>
              </a:ext>
            </a:extLst>
          </xdr:cNvPr>
          <xdr:cNvCxnSpPr/>
        </xdr:nvCxnSpPr>
        <xdr:spPr>
          <a:xfrm>
            <a:off x="3444240" y="11186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83" name="Gerader Verbinder 1382">
            <a:extLst>
              <a:ext uri="{FF2B5EF4-FFF2-40B4-BE49-F238E27FC236}">
                <a16:creationId xmlns:a16="http://schemas.microsoft.com/office/drawing/2014/main" id="{2FB4A338-46D0-6BEE-3231-D3A2520BB8FB}"/>
              </a:ext>
            </a:extLst>
          </xdr:cNvPr>
          <xdr:cNvCxnSpPr/>
        </xdr:nvCxnSpPr>
        <xdr:spPr>
          <a:xfrm flipH="1">
            <a:off x="3444240" y="11186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59</xdr:row>
      <xdr:rowOff>0</xdr:rowOff>
    </xdr:from>
    <xdr:to>
      <xdr:col>6</xdr:col>
      <xdr:colOff>0</xdr:colOff>
      <xdr:row>60</xdr:row>
      <xdr:rowOff>0</xdr:rowOff>
    </xdr:to>
    <xdr:grpSp>
      <xdr:nvGrpSpPr>
        <xdr:cNvPr id="1387" name="Cross_F60">
          <a:extLst>
            <a:ext uri="{FF2B5EF4-FFF2-40B4-BE49-F238E27FC236}">
              <a16:creationId xmlns:a16="http://schemas.microsoft.com/office/drawing/2014/main" id="{7F1AD9C7-1C7E-A876-A322-EFD458DEFB18}"/>
            </a:ext>
          </a:extLst>
        </xdr:cNvPr>
        <xdr:cNvGrpSpPr/>
      </xdr:nvGrpSpPr>
      <xdr:grpSpPr>
        <a:xfrm>
          <a:off x="3333750" y="11153775"/>
          <a:ext cx="581025" cy="161925"/>
          <a:chOff x="3444240" y="11353800"/>
          <a:chExt cx="601980" cy="167640"/>
        </a:xfrm>
      </xdr:grpSpPr>
      <xdr:cxnSp macro="">
        <xdr:nvCxnSpPr>
          <xdr:cNvPr id="1385" name="Gerader Verbinder 1384">
            <a:extLst>
              <a:ext uri="{FF2B5EF4-FFF2-40B4-BE49-F238E27FC236}">
                <a16:creationId xmlns:a16="http://schemas.microsoft.com/office/drawing/2014/main" id="{C98BF46C-9AAA-C051-898D-7FA7839BADA6}"/>
              </a:ext>
            </a:extLst>
          </xdr:cNvPr>
          <xdr:cNvCxnSpPr/>
        </xdr:nvCxnSpPr>
        <xdr:spPr>
          <a:xfrm>
            <a:off x="3444240" y="113538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86" name="Gerader Verbinder 1385">
            <a:extLst>
              <a:ext uri="{FF2B5EF4-FFF2-40B4-BE49-F238E27FC236}">
                <a16:creationId xmlns:a16="http://schemas.microsoft.com/office/drawing/2014/main" id="{138A5DDA-F338-EFB7-2466-E70332C60DD7}"/>
              </a:ext>
            </a:extLst>
          </xdr:cNvPr>
          <xdr:cNvCxnSpPr/>
        </xdr:nvCxnSpPr>
        <xdr:spPr>
          <a:xfrm flipH="1">
            <a:off x="3444240" y="113538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60</xdr:row>
      <xdr:rowOff>0</xdr:rowOff>
    </xdr:from>
    <xdr:to>
      <xdr:col>6</xdr:col>
      <xdr:colOff>0</xdr:colOff>
      <xdr:row>61</xdr:row>
      <xdr:rowOff>0</xdr:rowOff>
    </xdr:to>
    <xdr:grpSp>
      <xdr:nvGrpSpPr>
        <xdr:cNvPr id="1390" name="Cross_F61">
          <a:extLst>
            <a:ext uri="{FF2B5EF4-FFF2-40B4-BE49-F238E27FC236}">
              <a16:creationId xmlns:a16="http://schemas.microsoft.com/office/drawing/2014/main" id="{8595DFED-6FA0-6CD0-D829-9E6317BB8AC0}"/>
            </a:ext>
          </a:extLst>
        </xdr:cNvPr>
        <xdr:cNvGrpSpPr/>
      </xdr:nvGrpSpPr>
      <xdr:grpSpPr>
        <a:xfrm>
          <a:off x="3333750" y="11315700"/>
          <a:ext cx="581025" cy="228600"/>
          <a:chOff x="3444240" y="11521440"/>
          <a:chExt cx="601980" cy="228600"/>
        </a:xfrm>
      </xdr:grpSpPr>
      <xdr:cxnSp macro="">
        <xdr:nvCxnSpPr>
          <xdr:cNvPr id="1388" name="Gerader Verbinder 1387">
            <a:extLst>
              <a:ext uri="{FF2B5EF4-FFF2-40B4-BE49-F238E27FC236}">
                <a16:creationId xmlns:a16="http://schemas.microsoft.com/office/drawing/2014/main" id="{08D018D5-7314-5B78-4CA9-EFD7D4BF0D44}"/>
              </a:ext>
            </a:extLst>
          </xdr:cNvPr>
          <xdr:cNvCxnSpPr/>
        </xdr:nvCxnSpPr>
        <xdr:spPr>
          <a:xfrm>
            <a:off x="344424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89" name="Gerader Verbinder 1388">
            <a:extLst>
              <a:ext uri="{FF2B5EF4-FFF2-40B4-BE49-F238E27FC236}">
                <a16:creationId xmlns:a16="http://schemas.microsoft.com/office/drawing/2014/main" id="{5C6F77BA-E435-B516-58D8-4CF3C6BC2ECC}"/>
              </a:ext>
            </a:extLst>
          </xdr:cNvPr>
          <xdr:cNvCxnSpPr/>
        </xdr:nvCxnSpPr>
        <xdr:spPr>
          <a:xfrm flipH="1">
            <a:off x="344424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61</xdr:row>
      <xdr:rowOff>0</xdr:rowOff>
    </xdr:from>
    <xdr:to>
      <xdr:col>6</xdr:col>
      <xdr:colOff>0</xdr:colOff>
      <xdr:row>62</xdr:row>
      <xdr:rowOff>0</xdr:rowOff>
    </xdr:to>
    <xdr:grpSp>
      <xdr:nvGrpSpPr>
        <xdr:cNvPr id="1393" name="Cross_F62">
          <a:extLst>
            <a:ext uri="{FF2B5EF4-FFF2-40B4-BE49-F238E27FC236}">
              <a16:creationId xmlns:a16="http://schemas.microsoft.com/office/drawing/2014/main" id="{57C79782-BB9C-C24D-7458-570535AD4339}"/>
            </a:ext>
          </a:extLst>
        </xdr:cNvPr>
        <xdr:cNvGrpSpPr/>
      </xdr:nvGrpSpPr>
      <xdr:grpSpPr>
        <a:xfrm>
          <a:off x="3333750" y="11544300"/>
          <a:ext cx="581025" cy="161925"/>
          <a:chOff x="3444240" y="11750040"/>
          <a:chExt cx="601980" cy="167640"/>
        </a:xfrm>
      </xdr:grpSpPr>
      <xdr:cxnSp macro="">
        <xdr:nvCxnSpPr>
          <xdr:cNvPr id="1391" name="Gerader Verbinder 1390">
            <a:extLst>
              <a:ext uri="{FF2B5EF4-FFF2-40B4-BE49-F238E27FC236}">
                <a16:creationId xmlns:a16="http://schemas.microsoft.com/office/drawing/2014/main" id="{5427114D-DC3F-D302-1B71-BFF086D77734}"/>
              </a:ext>
            </a:extLst>
          </xdr:cNvPr>
          <xdr:cNvCxnSpPr/>
        </xdr:nvCxnSpPr>
        <xdr:spPr>
          <a:xfrm>
            <a:off x="3444240" y="11750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92" name="Gerader Verbinder 1391">
            <a:extLst>
              <a:ext uri="{FF2B5EF4-FFF2-40B4-BE49-F238E27FC236}">
                <a16:creationId xmlns:a16="http://schemas.microsoft.com/office/drawing/2014/main" id="{F0E4F999-5D25-5892-1472-DD05EFB220E6}"/>
              </a:ext>
            </a:extLst>
          </xdr:cNvPr>
          <xdr:cNvCxnSpPr/>
        </xdr:nvCxnSpPr>
        <xdr:spPr>
          <a:xfrm flipH="1">
            <a:off x="3444240" y="11750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62</xdr:row>
      <xdr:rowOff>0</xdr:rowOff>
    </xdr:from>
    <xdr:to>
      <xdr:col>6</xdr:col>
      <xdr:colOff>0</xdr:colOff>
      <xdr:row>63</xdr:row>
      <xdr:rowOff>0</xdr:rowOff>
    </xdr:to>
    <xdr:grpSp>
      <xdr:nvGrpSpPr>
        <xdr:cNvPr id="1396" name="Cross_F63">
          <a:extLst>
            <a:ext uri="{FF2B5EF4-FFF2-40B4-BE49-F238E27FC236}">
              <a16:creationId xmlns:a16="http://schemas.microsoft.com/office/drawing/2014/main" id="{F40A614F-A4DB-7D4C-9DB2-A3A1979DC86C}"/>
            </a:ext>
          </a:extLst>
        </xdr:cNvPr>
        <xdr:cNvGrpSpPr/>
      </xdr:nvGrpSpPr>
      <xdr:grpSpPr>
        <a:xfrm>
          <a:off x="3333750" y="11706225"/>
          <a:ext cx="581025" cy="161925"/>
          <a:chOff x="3444240" y="11917680"/>
          <a:chExt cx="601980" cy="167640"/>
        </a:xfrm>
      </xdr:grpSpPr>
      <xdr:cxnSp macro="">
        <xdr:nvCxnSpPr>
          <xdr:cNvPr id="1394" name="Gerader Verbinder 1393">
            <a:extLst>
              <a:ext uri="{FF2B5EF4-FFF2-40B4-BE49-F238E27FC236}">
                <a16:creationId xmlns:a16="http://schemas.microsoft.com/office/drawing/2014/main" id="{85B92307-4D96-80F6-1E8B-23DE41AED709}"/>
              </a:ext>
            </a:extLst>
          </xdr:cNvPr>
          <xdr:cNvCxnSpPr/>
        </xdr:nvCxnSpPr>
        <xdr:spPr>
          <a:xfrm>
            <a:off x="3444240" y="11917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95" name="Gerader Verbinder 1394">
            <a:extLst>
              <a:ext uri="{FF2B5EF4-FFF2-40B4-BE49-F238E27FC236}">
                <a16:creationId xmlns:a16="http://schemas.microsoft.com/office/drawing/2014/main" id="{1AF377F9-D801-16DE-30D4-28D2652748E2}"/>
              </a:ext>
            </a:extLst>
          </xdr:cNvPr>
          <xdr:cNvCxnSpPr/>
        </xdr:nvCxnSpPr>
        <xdr:spPr>
          <a:xfrm flipH="1">
            <a:off x="3444240" y="11917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69</xdr:row>
      <xdr:rowOff>0</xdr:rowOff>
    </xdr:from>
    <xdr:to>
      <xdr:col>6</xdr:col>
      <xdr:colOff>0</xdr:colOff>
      <xdr:row>70</xdr:row>
      <xdr:rowOff>0</xdr:rowOff>
    </xdr:to>
    <xdr:grpSp>
      <xdr:nvGrpSpPr>
        <xdr:cNvPr id="1399" name="Cross_F70">
          <a:extLst>
            <a:ext uri="{FF2B5EF4-FFF2-40B4-BE49-F238E27FC236}">
              <a16:creationId xmlns:a16="http://schemas.microsoft.com/office/drawing/2014/main" id="{488370E9-18D9-137D-C689-9E17776D638A}"/>
            </a:ext>
          </a:extLst>
        </xdr:cNvPr>
        <xdr:cNvGrpSpPr/>
      </xdr:nvGrpSpPr>
      <xdr:grpSpPr>
        <a:xfrm>
          <a:off x="3333750" y="12973050"/>
          <a:ext cx="581025" cy="228600"/>
          <a:chOff x="3444240" y="13213080"/>
          <a:chExt cx="601980" cy="228600"/>
        </a:xfrm>
      </xdr:grpSpPr>
      <xdr:cxnSp macro="">
        <xdr:nvCxnSpPr>
          <xdr:cNvPr id="1397" name="Gerader Verbinder 1396">
            <a:extLst>
              <a:ext uri="{FF2B5EF4-FFF2-40B4-BE49-F238E27FC236}">
                <a16:creationId xmlns:a16="http://schemas.microsoft.com/office/drawing/2014/main" id="{632359B5-E549-35D8-251D-973053B4EE89}"/>
              </a:ext>
            </a:extLst>
          </xdr:cNvPr>
          <xdr:cNvCxnSpPr/>
        </xdr:nvCxnSpPr>
        <xdr:spPr>
          <a:xfrm>
            <a:off x="344424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98" name="Gerader Verbinder 1397">
            <a:extLst>
              <a:ext uri="{FF2B5EF4-FFF2-40B4-BE49-F238E27FC236}">
                <a16:creationId xmlns:a16="http://schemas.microsoft.com/office/drawing/2014/main" id="{1470EB84-7281-F9E2-AAF6-6C097D6FBE41}"/>
              </a:ext>
            </a:extLst>
          </xdr:cNvPr>
          <xdr:cNvCxnSpPr/>
        </xdr:nvCxnSpPr>
        <xdr:spPr>
          <a:xfrm flipH="1">
            <a:off x="344424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70</xdr:row>
      <xdr:rowOff>0</xdr:rowOff>
    </xdr:from>
    <xdr:to>
      <xdr:col>6</xdr:col>
      <xdr:colOff>0</xdr:colOff>
      <xdr:row>71</xdr:row>
      <xdr:rowOff>0</xdr:rowOff>
    </xdr:to>
    <xdr:grpSp>
      <xdr:nvGrpSpPr>
        <xdr:cNvPr id="1402" name="Cross_F71">
          <a:extLst>
            <a:ext uri="{FF2B5EF4-FFF2-40B4-BE49-F238E27FC236}">
              <a16:creationId xmlns:a16="http://schemas.microsoft.com/office/drawing/2014/main" id="{E9C73C4B-C907-C86E-56B7-00D14711422D}"/>
            </a:ext>
          </a:extLst>
        </xdr:cNvPr>
        <xdr:cNvGrpSpPr/>
      </xdr:nvGrpSpPr>
      <xdr:grpSpPr>
        <a:xfrm>
          <a:off x="3333750" y="13201650"/>
          <a:ext cx="581025" cy="161925"/>
          <a:chOff x="3444240" y="13441680"/>
          <a:chExt cx="601980" cy="167640"/>
        </a:xfrm>
      </xdr:grpSpPr>
      <xdr:cxnSp macro="">
        <xdr:nvCxnSpPr>
          <xdr:cNvPr id="1400" name="Gerader Verbinder 1399">
            <a:extLst>
              <a:ext uri="{FF2B5EF4-FFF2-40B4-BE49-F238E27FC236}">
                <a16:creationId xmlns:a16="http://schemas.microsoft.com/office/drawing/2014/main" id="{F6D0A81F-DFAE-A5AD-B8C1-343BBA0CA261}"/>
              </a:ext>
            </a:extLst>
          </xdr:cNvPr>
          <xdr:cNvCxnSpPr/>
        </xdr:nvCxnSpPr>
        <xdr:spPr>
          <a:xfrm>
            <a:off x="3444240" y="13441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01" name="Gerader Verbinder 1400">
            <a:extLst>
              <a:ext uri="{FF2B5EF4-FFF2-40B4-BE49-F238E27FC236}">
                <a16:creationId xmlns:a16="http://schemas.microsoft.com/office/drawing/2014/main" id="{7AE852FC-7C5D-9F58-2FE3-62AF32AF0191}"/>
              </a:ext>
            </a:extLst>
          </xdr:cNvPr>
          <xdr:cNvCxnSpPr/>
        </xdr:nvCxnSpPr>
        <xdr:spPr>
          <a:xfrm flipH="1">
            <a:off x="3444240" y="13441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71</xdr:row>
      <xdr:rowOff>0</xdr:rowOff>
    </xdr:from>
    <xdr:to>
      <xdr:col>6</xdr:col>
      <xdr:colOff>0</xdr:colOff>
      <xdr:row>72</xdr:row>
      <xdr:rowOff>1</xdr:rowOff>
    </xdr:to>
    <xdr:grpSp>
      <xdr:nvGrpSpPr>
        <xdr:cNvPr id="1405" name="Cross_F72">
          <a:extLst>
            <a:ext uri="{FF2B5EF4-FFF2-40B4-BE49-F238E27FC236}">
              <a16:creationId xmlns:a16="http://schemas.microsoft.com/office/drawing/2014/main" id="{B3FD8231-3044-69D8-5AD5-D05816E890EA}"/>
            </a:ext>
          </a:extLst>
        </xdr:cNvPr>
        <xdr:cNvGrpSpPr/>
      </xdr:nvGrpSpPr>
      <xdr:grpSpPr>
        <a:xfrm>
          <a:off x="3333750" y="13363575"/>
          <a:ext cx="581025" cy="161926"/>
          <a:chOff x="3444240" y="13609320"/>
          <a:chExt cx="601980" cy="167641"/>
        </a:xfrm>
      </xdr:grpSpPr>
      <xdr:cxnSp macro="">
        <xdr:nvCxnSpPr>
          <xdr:cNvPr id="1403" name="Gerader Verbinder 1402">
            <a:extLst>
              <a:ext uri="{FF2B5EF4-FFF2-40B4-BE49-F238E27FC236}">
                <a16:creationId xmlns:a16="http://schemas.microsoft.com/office/drawing/2014/main" id="{0474809D-66D6-7273-8374-FCEBD3203E4A}"/>
              </a:ext>
            </a:extLst>
          </xdr:cNvPr>
          <xdr:cNvCxnSpPr/>
        </xdr:nvCxnSpPr>
        <xdr:spPr>
          <a:xfrm>
            <a:off x="344424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04" name="Gerader Verbinder 1403">
            <a:extLst>
              <a:ext uri="{FF2B5EF4-FFF2-40B4-BE49-F238E27FC236}">
                <a16:creationId xmlns:a16="http://schemas.microsoft.com/office/drawing/2014/main" id="{FCA3B9B7-2CDF-6A9A-AC3A-E48A674D7265}"/>
              </a:ext>
            </a:extLst>
          </xdr:cNvPr>
          <xdr:cNvCxnSpPr/>
        </xdr:nvCxnSpPr>
        <xdr:spPr>
          <a:xfrm flipH="1">
            <a:off x="344424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72</xdr:row>
      <xdr:rowOff>1</xdr:rowOff>
    </xdr:from>
    <xdr:to>
      <xdr:col>6</xdr:col>
      <xdr:colOff>0</xdr:colOff>
      <xdr:row>73</xdr:row>
      <xdr:rowOff>1</xdr:rowOff>
    </xdr:to>
    <xdr:grpSp>
      <xdr:nvGrpSpPr>
        <xdr:cNvPr id="1408" name="Cross_F73">
          <a:extLst>
            <a:ext uri="{FF2B5EF4-FFF2-40B4-BE49-F238E27FC236}">
              <a16:creationId xmlns:a16="http://schemas.microsoft.com/office/drawing/2014/main" id="{2C95E668-4AAB-41B3-7C7C-83997BAF9685}"/>
            </a:ext>
          </a:extLst>
        </xdr:cNvPr>
        <xdr:cNvGrpSpPr/>
      </xdr:nvGrpSpPr>
      <xdr:grpSpPr>
        <a:xfrm>
          <a:off x="3333750" y="13525501"/>
          <a:ext cx="581025" cy="228600"/>
          <a:chOff x="3444240" y="13776961"/>
          <a:chExt cx="601980" cy="228600"/>
        </a:xfrm>
      </xdr:grpSpPr>
      <xdr:cxnSp macro="">
        <xdr:nvCxnSpPr>
          <xdr:cNvPr id="1406" name="Gerader Verbinder 1405">
            <a:extLst>
              <a:ext uri="{FF2B5EF4-FFF2-40B4-BE49-F238E27FC236}">
                <a16:creationId xmlns:a16="http://schemas.microsoft.com/office/drawing/2014/main" id="{0EBA81DD-D357-11B4-69AC-B0072E35D893}"/>
              </a:ext>
            </a:extLst>
          </xdr:cNvPr>
          <xdr:cNvCxnSpPr/>
        </xdr:nvCxnSpPr>
        <xdr:spPr>
          <a:xfrm>
            <a:off x="344424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07" name="Gerader Verbinder 1406">
            <a:extLst>
              <a:ext uri="{FF2B5EF4-FFF2-40B4-BE49-F238E27FC236}">
                <a16:creationId xmlns:a16="http://schemas.microsoft.com/office/drawing/2014/main" id="{1FD1546B-86ED-C636-CFAC-EC5CDD7CDFBC}"/>
              </a:ext>
            </a:extLst>
          </xdr:cNvPr>
          <xdr:cNvCxnSpPr/>
        </xdr:nvCxnSpPr>
        <xdr:spPr>
          <a:xfrm flipH="1">
            <a:off x="344424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73</xdr:row>
      <xdr:rowOff>1</xdr:rowOff>
    </xdr:from>
    <xdr:to>
      <xdr:col>6</xdr:col>
      <xdr:colOff>0</xdr:colOff>
      <xdr:row>74</xdr:row>
      <xdr:rowOff>0</xdr:rowOff>
    </xdr:to>
    <xdr:grpSp>
      <xdr:nvGrpSpPr>
        <xdr:cNvPr id="1411" name="Cross_F74">
          <a:extLst>
            <a:ext uri="{FF2B5EF4-FFF2-40B4-BE49-F238E27FC236}">
              <a16:creationId xmlns:a16="http://schemas.microsoft.com/office/drawing/2014/main" id="{034FC315-69FB-C31F-7A3E-73E2BEF01484}"/>
            </a:ext>
          </a:extLst>
        </xdr:cNvPr>
        <xdr:cNvGrpSpPr/>
      </xdr:nvGrpSpPr>
      <xdr:grpSpPr>
        <a:xfrm>
          <a:off x="3333750" y="13754101"/>
          <a:ext cx="581025" cy="161924"/>
          <a:chOff x="3444240" y="14005561"/>
          <a:chExt cx="601980" cy="167639"/>
        </a:xfrm>
      </xdr:grpSpPr>
      <xdr:cxnSp macro="">
        <xdr:nvCxnSpPr>
          <xdr:cNvPr id="1409" name="Gerader Verbinder 1408">
            <a:extLst>
              <a:ext uri="{FF2B5EF4-FFF2-40B4-BE49-F238E27FC236}">
                <a16:creationId xmlns:a16="http://schemas.microsoft.com/office/drawing/2014/main" id="{98CF741E-6C24-5904-7D12-D6D1F7B0DB59}"/>
              </a:ext>
            </a:extLst>
          </xdr:cNvPr>
          <xdr:cNvCxnSpPr/>
        </xdr:nvCxnSpPr>
        <xdr:spPr>
          <a:xfrm>
            <a:off x="3444240" y="14005561"/>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10" name="Gerader Verbinder 1409">
            <a:extLst>
              <a:ext uri="{FF2B5EF4-FFF2-40B4-BE49-F238E27FC236}">
                <a16:creationId xmlns:a16="http://schemas.microsoft.com/office/drawing/2014/main" id="{E62F662D-BA0D-C9B9-0465-93AB24A1F314}"/>
              </a:ext>
            </a:extLst>
          </xdr:cNvPr>
          <xdr:cNvCxnSpPr/>
        </xdr:nvCxnSpPr>
        <xdr:spPr>
          <a:xfrm flipH="1">
            <a:off x="3444240" y="14005561"/>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74</xdr:row>
      <xdr:rowOff>0</xdr:rowOff>
    </xdr:from>
    <xdr:to>
      <xdr:col>6</xdr:col>
      <xdr:colOff>0</xdr:colOff>
      <xdr:row>74</xdr:row>
      <xdr:rowOff>167639</xdr:rowOff>
    </xdr:to>
    <xdr:grpSp>
      <xdr:nvGrpSpPr>
        <xdr:cNvPr id="1414" name="Cross_F75">
          <a:extLst>
            <a:ext uri="{FF2B5EF4-FFF2-40B4-BE49-F238E27FC236}">
              <a16:creationId xmlns:a16="http://schemas.microsoft.com/office/drawing/2014/main" id="{4CEEC8A8-21D8-2934-E1AE-BD899F2DF820}"/>
            </a:ext>
          </a:extLst>
        </xdr:cNvPr>
        <xdr:cNvGrpSpPr/>
      </xdr:nvGrpSpPr>
      <xdr:grpSpPr>
        <a:xfrm>
          <a:off x="3333750" y="13916025"/>
          <a:ext cx="581025" cy="158114"/>
          <a:chOff x="3444240" y="14173200"/>
          <a:chExt cx="601980" cy="167639"/>
        </a:xfrm>
      </xdr:grpSpPr>
      <xdr:cxnSp macro="">
        <xdr:nvCxnSpPr>
          <xdr:cNvPr id="1412" name="Gerader Verbinder 1411">
            <a:extLst>
              <a:ext uri="{FF2B5EF4-FFF2-40B4-BE49-F238E27FC236}">
                <a16:creationId xmlns:a16="http://schemas.microsoft.com/office/drawing/2014/main" id="{213DB21B-2ABB-7028-0E67-32C2CD3F8F29}"/>
              </a:ext>
            </a:extLst>
          </xdr:cNvPr>
          <xdr:cNvCxnSpPr/>
        </xdr:nvCxnSpPr>
        <xdr:spPr>
          <a:xfrm>
            <a:off x="3444240" y="141732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13" name="Gerader Verbinder 1412">
            <a:extLst>
              <a:ext uri="{FF2B5EF4-FFF2-40B4-BE49-F238E27FC236}">
                <a16:creationId xmlns:a16="http://schemas.microsoft.com/office/drawing/2014/main" id="{E9F94561-AF09-23DE-F579-E3BDEE92F9E2}"/>
              </a:ext>
            </a:extLst>
          </xdr:cNvPr>
          <xdr:cNvCxnSpPr/>
        </xdr:nvCxnSpPr>
        <xdr:spPr>
          <a:xfrm flipH="1">
            <a:off x="3444240" y="141732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xdr:row>
      <xdr:rowOff>0</xdr:rowOff>
    </xdr:from>
    <xdr:to>
      <xdr:col>7</xdr:col>
      <xdr:colOff>0</xdr:colOff>
      <xdr:row>7</xdr:row>
      <xdr:rowOff>0</xdr:rowOff>
    </xdr:to>
    <xdr:grpSp>
      <xdr:nvGrpSpPr>
        <xdr:cNvPr id="1417" name="Cross_G7">
          <a:extLst>
            <a:ext uri="{FF2B5EF4-FFF2-40B4-BE49-F238E27FC236}">
              <a16:creationId xmlns:a16="http://schemas.microsoft.com/office/drawing/2014/main" id="{A1762C01-57BB-6641-F7CB-72E8B0A4F424}"/>
            </a:ext>
          </a:extLst>
        </xdr:cNvPr>
        <xdr:cNvGrpSpPr/>
      </xdr:nvGrpSpPr>
      <xdr:grpSpPr>
        <a:xfrm>
          <a:off x="3914775" y="1371600"/>
          <a:ext cx="581025" cy="228600"/>
          <a:chOff x="4046220" y="1371600"/>
          <a:chExt cx="601980" cy="228600"/>
        </a:xfrm>
      </xdr:grpSpPr>
      <xdr:cxnSp macro="">
        <xdr:nvCxnSpPr>
          <xdr:cNvPr id="1415" name="Gerader Verbinder 1414">
            <a:extLst>
              <a:ext uri="{FF2B5EF4-FFF2-40B4-BE49-F238E27FC236}">
                <a16:creationId xmlns:a16="http://schemas.microsoft.com/office/drawing/2014/main" id="{22A102F4-BF54-77C3-9C29-E9F22C61A673}"/>
              </a:ext>
            </a:extLst>
          </xdr:cNvPr>
          <xdr:cNvCxnSpPr/>
        </xdr:nvCxnSpPr>
        <xdr:spPr>
          <a:xfrm>
            <a:off x="404622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16" name="Gerader Verbinder 1415">
            <a:extLst>
              <a:ext uri="{FF2B5EF4-FFF2-40B4-BE49-F238E27FC236}">
                <a16:creationId xmlns:a16="http://schemas.microsoft.com/office/drawing/2014/main" id="{467D520A-8C8C-3C5A-3715-65C8E33E0710}"/>
              </a:ext>
            </a:extLst>
          </xdr:cNvPr>
          <xdr:cNvCxnSpPr/>
        </xdr:nvCxnSpPr>
        <xdr:spPr>
          <a:xfrm flipH="1">
            <a:off x="404622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7</xdr:row>
      <xdr:rowOff>0</xdr:rowOff>
    </xdr:from>
    <xdr:to>
      <xdr:col>7</xdr:col>
      <xdr:colOff>0</xdr:colOff>
      <xdr:row>8</xdr:row>
      <xdr:rowOff>0</xdr:rowOff>
    </xdr:to>
    <xdr:grpSp>
      <xdr:nvGrpSpPr>
        <xdr:cNvPr id="1420" name="Cross_G8">
          <a:extLst>
            <a:ext uri="{FF2B5EF4-FFF2-40B4-BE49-F238E27FC236}">
              <a16:creationId xmlns:a16="http://schemas.microsoft.com/office/drawing/2014/main" id="{6311DC82-34B7-8B16-4692-7A1F5A6766C3}"/>
            </a:ext>
          </a:extLst>
        </xdr:cNvPr>
        <xdr:cNvGrpSpPr/>
      </xdr:nvGrpSpPr>
      <xdr:grpSpPr>
        <a:xfrm>
          <a:off x="3914775" y="1600200"/>
          <a:ext cx="581025" cy="161925"/>
          <a:chOff x="4046220" y="1600200"/>
          <a:chExt cx="601980" cy="167640"/>
        </a:xfrm>
      </xdr:grpSpPr>
      <xdr:cxnSp macro="">
        <xdr:nvCxnSpPr>
          <xdr:cNvPr id="1418" name="Gerader Verbinder 1417">
            <a:extLst>
              <a:ext uri="{FF2B5EF4-FFF2-40B4-BE49-F238E27FC236}">
                <a16:creationId xmlns:a16="http://schemas.microsoft.com/office/drawing/2014/main" id="{B63C65E8-3343-4AC5-99A0-E03A67F94608}"/>
              </a:ext>
            </a:extLst>
          </xdr:cNvPr>
          <xdr:cNvCxnSpPr/>
        </xdr:nvCxnSpPr>
        <xdr:spPr>
          <a:xfrm>
            <a:off x="4046220" y="16002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19" name="Gerader Verbinder 1418">
            <a:extLst>
              <a:ext uri="{FF2B5EF4-FFF2-40B4-BE49-F238E27FC236}">
                <a16:creationId xmlns:a16="http://schemas.microsoft.com/office/drawing/2014/main" id="{81C27847-BECD-C556-60D0-2D6D743A200F}"/>
              </a:ext>
            </a:extLst>
          </xdr:cNvPr>
          <xdr:cNvCxnSpPr/>
        </xdr:nvCxnSpPr>
        <xdr:spPr>
          <a:xfrm flipH="1">
            <a:off x="4046220" y="16002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8</xdr:row>
      <xdr:rowOff>0</xdr:rowOff>
    </xdr:from>
    <xdr:to>
      <xdr:col>7</xdr:col>
      <xdr:colOff>0</xdr:colOff>
      <xdr:row>9</xdr:row>
      <xdr:rowOff>0</xdr:rowOff>
    </xdr:to>
    <xdr:grpSp>
      <xdr:nvGrpSpPr>
        <xdr:cNvPr id="1423" name="Cross_G9">
          <a:extLst>
            <a:ext uri="{FF2B5EF4-FFF2-40B4-BE49-F238E27FC236}">
              <a16:creationId xmlns:a16="http://schemas.microsoft.com/office/drawing/2014/main" id="{43774A10-8A5E-9FC8-340B-2C52E94B3ED2}"/>
            </a:ext>
          </a:extLst>
        </xdr:cNvPr>
        <xdr:cNvGrpSpPr/>
      </xdr:nvGrpSpPr>
      <xdr:grpSpPr>
        <a:xfrm>
          <a:off x="3914775" y="1762125"/>
          <a:ext cx="581025" cy="161925"/>
          <a:chOff x="4046220" y="1767840"/>
          <a:chExt cx="601980" cy="167640"/>
        </a:xfrm>
      </xdr:grpSpPr>
      <xdr:cxnSp macro="">
        <xdr:nvCxnSpPr>
          <xdr:cNvPr id="1421" name="Gerader Verbinder 1420">
            <a:extLst>
              <a:ext uri="{FF2B5EF4-FFF2-40B4-BE49-F238E27FC236}">
                <a16:creationId xmlns:a16="http://schemas.microsoft.com/office/drawing/2014/main" id="{7F095D7E-29E2-D127-C431-35E1E2E13EFA}"/>
              </a:ext>
            </a:extLst>
          </xdr:cNvPr>
          <xdr:cNvCxnSpPr/>
        </xdr:nvCxnSpPr>
        <xdr:spPr>
          <a:xfrm>
            <a:off x="4046220" y="1767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22" name="Gerader Verbinder 1421">
            <a:extLst>
              <a:ext uri="{FF2B5EF4-FFF2-40B4-BE49-F238E27FC236}">
                <a16:creationId xmlns:a16="http://schemas.microsoft.com/office/drawing/2014/main" id="{5249D755-5DF5-3D95-3F20-BA34D88107EB}"/>
              </a:ext>
            </a:extLst>
          </xdr:cNvPr>
          <xdr:cNvCxnSpPr/>
        </xdr:nvCxnSpPr>
        <xdr:spPr>
          <a:xfrm flipH="1">
            <a:off x="4046220" y="1767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15</xdr:row>
      <xdr:rowOff>0</xdr:rowOff>
    </xdr:from>
    <xdr:to>
      <xdr:col>7</xdr:col>
      <xdr:colOff>0</xdr:colOff>
      <xdr:row>16</xdr:row>
      <xdr:rowOff>0</xdr:rowOff>
    </xdr:to>
    <xdr:grpSp>
      <xdr:nvGrpSpPr>
        <xdr:cNvPr id="1426" name="Cross_G16">
          <a:extLst>
            <a:ext uri="{FF2B5EF4-FFF2-40B4-BE49-F238E27FC236}">
              <a16:creationId xmlns:a16="http://schemas.microsoft.com/office/drawing/2014/main" id="{864EB28B-D1AE-46DD-D845-428CA93A726F}"/>
            </a:ext>
          </a:extLst>
        </xdr:cNvPr>
        <xdr:cNvGrpSpPr/>
      </xdr:nvGrpSpPr>
      <xdr:grpSpPr>
        <a:xfrm>
          <a:off x="3914775" y="3028950"/>
          <a:ext cx="581025" cy="228600"/>
          <a:chOff x="4046220" y="3063240"/>
          <a:chExt cx="601980" cy="228600"/>
        </a:xfrm>
      </xdr:grpSpPr>
      <xdr:cxnSp macro="">
        <xdr:nvCxnSpPr>
          <xdr:cNvPr id="1424" name="Gerader Verbinder 1423">
            <a:extLst>
              <a:ext uri="{FF2B5EF4-FFF2-40B4-BE49-F238E27FC236}">
                <a16:creationId xmlns:a16="http://schemas.microsoft.com/office/drawing/2014/main" id="{1C5BBC3A-7E38-74AA-08B1-78331BADDAAF}"/>
              </a:ext>
            </a:extLst>
          </xdr:cNvPr>
          <xdr:cNvCxnSpPr/>
        </xdr:nvCxnSpPr>
        <xdr:spPr>
          <a:xfrm>
            <a:off x="4046220" y="30632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25" name="Gerader Verbinder 1424">
            <a:extLst>
              <a:ext uri="{FF2B5EF4-FFF2-40B4-BE49-F238E27FC236}">
                <a16:creationId xmlns:a16="http://schemas.microsoft.com/office/drawing/2014/main" id="{BEBDDA58-CAC9-8716-637E-54CBD400D8A9}"/>
              </a:ext>
            </a:extLst>
          </xdr:cNvPr>
          <xdr:cNvCxnSpPr/>
        </xdr:nvCxnSpPr>
        <xdr:spPr>
          <a:xfrm flipH="1">
            <a:off x="4046220" y="30632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16</xdr:row>
      <xdr:rowOff>0</xdr:rowOff>
    </xdr:from>
    <xdr:to>
      <xdr:col>7</xdr:col>
      <xdr:colOff>0</xdr:colOff>
      <xdr:row>17</xdr:row>
      <xdr:rowOff>0</xdr:rowOff>
    </xdr:to>
    <xdr:grpSp>
      <xdr:nvGrpSpPr>
        <xdr:cNvPr id="1429" name="Cross_G17">
          <a:extLst>
            <a:ext uri="{FF2B5EF4-FFF2-40B4-BE49-F238E27FC236}">
              <a16:creationId xmlns:a16="http://schemas.microsoft.com/office/drawing/2014/main" id="{F0BD2300-1F73-B08B-5D10-8FFA1E426C09}"/>
            </a:ext>
          </a:extLst>
        </xdr:cNvPr>
        <xdr:cNvGrpSpPr/>
      </xdr:nvGrpSpPr>
      <xdr:grpSpPr>
        <a:xfrm>
          <a:off x="3914775" y="3257550"/>
          <a:ext cx="581025" cy="161925"/>
          <a:chOff x="4046220" y="3291840"/>
          <a:chExt cx="601980" cy="167640"/>
        </a:xfrm>
      </xdr:grpSpPr>
      <xdr:cxnSp macro="">
        <xdr:nvCxnSpPr>
          <xdr:cNvPr id="1427" name="Gerader Verbinder 1426">
            <a:extLst>
              <a:ext uri="{FF2B5EF4-FFF2-40B4-BE49-F238E27FC236}">
                <a16:creationId xmlns:a16="http://schemas.microsoft.com/office/drawing/2014/main" id="{389B884F-9584-9E61-CC0B-D30F81319F08}"/>
              </a:ext>
            </a:extLst>
          </xdr:cNvPr>
          <xdr:cNvCxnSpPr/>
        </xdr:nvCxnSpPr>
        <xdr:spPr>
          <a:xfrm>
            <a:off x="4046220" y="3291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28" name="Gerader Verbinder 1427">
            <a:extLst>
              <a:ext uri="{FF2B5EF4-FFF2-40B4-BE49-F238E27FC236}">
                <a16:creationId xmlns:a16="http://schemas.microsoft.com/office/drawing/2014/main" id="{B6FF5C74-F597-42AF-9F83-9D54D678BBB1}"/>
              </a:ext>
            </a:extLst>
          </xdr:cNvPr>
          <xdr:cNvCxnSpPr/>
        </xdr:nvCxnSpPr>
        <xdr:spPr>
          <a:xfrm flipH="1">
            <a:off x="4046220" y="3291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17</xdr:row>
      <xdr:rowOff>0</xdr:rowOff>
    </xdr:from>
    <xdr:to>
      <xdr:col>7</xdr:col>
      <xdr:colOff>0</xdr:colOff>
      <xdr:row>18</xdr:row>
      <xdr:rowOff>0</xdr:rowOff>
    </xdr:to>
    <xdr:grpSp>
      <xdr:nvGrpSpPr>
        <xdr:cNvPr id="1432" name="Cross_G18">
          <a:extLst>
            <a:ext uri="{FF2B5EF4-FFF2-40B4-BE49-F238E27FC236}">
              <a16:creationId xmlns:a16="http://schemas.microsoft.com/office/drawing/2014/main" id="{A12FAC70-1CCE-ED4E-44F5-8C8CD9F30554}"/>
            </a:ext>
          </a:extLst>
        </xdr:cNvPr>
        <xdr:cNvGrpSpPr/>
      </xdr:nvGrpSpPr>
      <xdr:grpSpPr>
        <a:xfrm>
          <a:off x="3914775" y="3419475"/>
          <a:ext cx="581025" cy="161925"/>
          <a:chOff x="4046220" y="3459480"/>
          <a:chExt cx="601980" cy="167640"/>
        </a:xfrm>
      </xdr:grpSpPr>
      <xdr:cxnSp macro="">
        <xdr:nvCxnSpPr>
          <xdr:cNvPr id="1430" name="Gerader Verbinder 1429">
            <a:extLst>
              <a:ext uri="{FF2B5EF4-FFF2-40B4-BE49-F238E27FC236}">
                <a16:creationId xmlns:a16="http://schemas.microsoft.com/office/drawing/2014/main" id="{270ED301-089E-5AEA-EAD0-068C5F6ECFB3}"/>
              </a:ext>
            </a:extLst>
          </xdr:cNvPr>
          <xdr:cNvCxnSpPr/>
        </xdr:nvCxnSpPr>
        <xdr:spPr>
          <a:xfrm>
            <a:off x="4046220" y="3459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31" name="Gerader Verbinder 1430">
            <a:extLst>
              <a:ext uri="{FF2B5EF4-FFF2-40B4-BE49-F238E27FC236}">
                <a16:creationId xmlns:a16="http://schemas.microsoft.com/office/drawing/2014/main" id="{D6244C97-0E10-DF80-267F-BF2E4B3B7767}"/>
              </a:ext>
            </a:extLst>
          </xdr:cNvPr>
          <xdr:cNvCxnSpPr/>
        </xdr:nvCxnSpPr>
        <xdr:spPr>
          <a:xfrm flipH="1">
            <a:off x="4046220" y="3459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24</xdr:row>
      <xdr:rowOff>0</xdr:rowOff>
    </xdr:from>
    <xdr:to>
      <xdr:col>7</xdr:col>
      <xdr:colOff>0</xdr:colOff>
      <xdr:row>25</xdr:row>
      <xdr:rowOff>0</xdr:rowOff>
    </xdr:to>
    <xdr:grpSp>
      <xdr:nvGrpSpPr>
        <xdr:cNvPr id="1435" name="Cross_G25">
          <a:extLst>
            <a:ext uri="{FF2B5EF4-FFF2-40B4-BE49-F238E27FC236}">
              <a16:creationId xmlns:a16="http://schemas.microsoft.com/office/drawing/2014/main" id="{09B88A5D-D81F-9564-014A-16CEA5872C11}"/>
            </a:ext>
          </a:extLst>
        </xdr:cNvPr>
        <xdr:cNvGrpSpPr/>
      </xdr:nvGrpSpPr>
      <xdr:grpSpPr>
        <a:xfrm>
          <a:off x="3914775" y="4686300"/>
          <a:ext cx="581025" cy="228600"/>
          <a:chOff x="4046220" y="4754880"/>
          <a:chExt cx="601980" cy="228600"/>
        </a:xfrm>
      </xdr:grpSpPr>
      <xdr:cxnSp macro="">
        <xdr:nvCxnSpPr>
          <xdr:cNvPr id="1433" name="Gerader Verbinder 1432">
            <a:extLst>
              <a:ext uri="{FF2B5EF4-FFF2-40B4-BE49-F238E27FC236}">
                <a16:creationId xmlns:a16="http://schemas.microsoft.com/office/drawing/2014/main" id="{9E73E340-D8A7-BF95-B3AD-90E7412B13AC}"/>
              </a:ext>
            </a:extLst>
          </xdr:cNvPr>
          <xdr:cNvCxnSpPr/>
        </xdr:nvCxnSpPr>
        <xdr:spPr>
          <a:xfrm>
            <a:off x="4046220" y="47548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34" name="Gerader Verbinder 1433">
            <a:extLst>
              <a:ext uri="{FF2B5EF4-FFF2-40B4-BE49-F238E27FC236}">
                <a16:creationId xmlns:a16="http://schemas.microsoft.com/office/drawing/2014/main" id="{77AD7E3E-6C28-4EFE-AF08-69CDF6EDE41F}"/>
              </a:ext>
            </a:extLst>
          </xdr:cNvPr>
          <xdr:cNvCxnSpPr/>
        </xdr:nvCxnSpPr>
        <xdr:spPr>
          <a:xfrm flipH="1">
            <a:off x="4046220" y="47548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25</xdr:row>
      <xdr:rowOff>0</xdr:rowOff>
    </xdr:from>
    <xdr:to>
      <xdr:col>7</xdr:col>
      <xdr:colOff>0</xdr:colOff>
      <xdr:row>26</xdr:row>
      <xdr:rowOff>0</xdr:rowOff>
    </xdr:to>
    <xdr:grpSp>
      <xdr:nvGrpSpPr>
        <xdr:cNvPr id="1438" name="Cross_G26">
          <a:extLst>
            <a:ext uri="{FF2B5EF4-FFF2-40B4-BE49-F238E27FC236}">
              <a16:creationId xmlns:a16="http://schemas.microsoft.com/office/drawing/2014/main" id="{6FFA1C91-755E-1579-42E7-4A5C89D55EBD}"/>
            </a:ext>
          </a:extLst>
        </xdr:cNvPr>
        <xdr:cNvGrpSpPr/>
      </xdr:nvGrpSpPr>
      <xdr:grpSpPr>
        <a:xfrm>
          <a:off x="3914775" y="4914900"/>
          <a:ext cx="581025" cy="161925"/>
          <a:chOff x="4046220" y="4983480"/>
          <a:chExt cx="601980" cy="167640"/>
        </a:xfrm>
      </xdr:grpSpPr>
      <xdr:cxnSp macro="">
        <xdr:nvCxnSpPr>
          <xdr:cNvPr id="1436" name="Gerader Verbinder 1435">
            <a:extLst>
              <a:ext uri="{FF2B5EF4-FFF2-40B4-BE49-F238E27FC236}">
                <a16:creationId xmlns:a16="http://schemas.microsoft.com/office/drawing/2014/main" id="{951CEA29-8996-8816-4D7F-F990F773E17D}"/>
              </a:ext>
            </a:extLst>
          </xdr:cNvPr>
          <xdr:cNvCxnSpPr/>
        </xdr:nvCxnSpPr>
        <xdr:spPr>
          <a:xfrm>
            <a:off x="4046220" y="4983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37" name="Gerader Verbinder 1436">
            <a:extLst>
              <a:ext uri="{FF2B5EF4-FFF2-40B4-BE49-F238E27FC236}">
                <a16:creationId xmlns:a16="http://schemas.microsoft.com/office/drawing/2014/main" id="{61A99506-6440-09F1-73ED-7FCDC152DD3F}"/>
              </a:ext>
            </a:extLst>
          </xdr:cNvPr>
          <xdr:cNvCxnSpPr/>
        </xdr:nvCxnSpPr>
        <xdr:spPr>
          <a:xfrm flipH="1">
            <a:off x="4046220" y="4983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26</xdr:row>
      <xdr:rowOff>0</xdr:rowOff>
    </xdr:from>
    <xdr:to>
      <xdr:col>7</xdr:col>
      <xdr:colOff>0</xdr:colOff>
      <xdr:row>27</xdr:row>
      <xdr:rowOff>0</xdr:rowOff>
    </xdr:to>
    <xdr:grpSp>
      <xdr:nvGrpSpPr>
        <xdr:cNvPr id="1441" name="Cross_G27">
          <a:extLst>
            <a:ext uri="{FF2B5EF4-FFF2-40B4-BE49-F238E27FC236}">
              <a16:creationId xmlns:a16="http://schemas.microsoft.com/office/drawing/2014/main" id="{B29D9672-7523-0911-152A-B020505B8EF3}"/>
            </a:ext>
          </a:extLst>
        </xdr:cNvPr>
        <xdr:cNvGrpSpPr/>
      </xdr:nvGrpSpPr>
      <xdr:grpSpPr>
        <a:xfrm>
          <a:off x="3914775" y="5076825"/>
          <a:ext cx="581025" cy="161925"/>
          <a:chOff x="4046220" y="5151120"/>
          <a:chExt cx="601980" cy="167640"/>
        </a:xfrm>
      </xdr:grpSpPr>
      <xdr:cxnSp macro="">
        <xdr:nvCxnSpPr>
          <xdr:cNvPr id="1439" name="Gerader Verbinder 1438">
            <a:extLst>
              <a:ext uri="{FF2B5EF4-FFF2-40B4-BE49-F238E27FC236}">
                <a16:creationId xmlns:a16="http://schemas.microsoft.com/office/drawing/2014/main" id="{7520E655-E790-77D4-C184-4DB6DD50D225}"/>
              </a:ext>
            </a:extLst>
          </xdr:cNvPr>
          <xdr:cNvCxnSpPr/>
        </xdr:nvCxnSpPr>
        <xdr:spPr>
          <a:xfrm>
            <a:off x="4046220" y="5151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40" name="Gerader Verbinder 1439">
            <a:extLst>
              <a:ext uri="{FF2B5EF4-FFF2-40B4-BE49-F238E27FC236}">
                <a16:creationId xmlns:a16="http://schemas.microsoft.com/office/drawing/2014/main" id="{6D4704BB-4722-B1AA-0F5F-FDA5B8313350}"/>
              </a:ext>
            </a:extLst>
          </xdr:cNvPr>
          <xdr:cNvCxnSpPr/>
        </xdr:nvCxnSpPr>
        <xdr:spPr>
          <a:xfrm flipH="1">
            <a:off x="4046220" y="5151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30</xdr:row>
      <xdr:rowOff>0</xdr:rowOff>
    </xdr:from>
    <xdr:to>
      <xdr:col>7</xdr:col>
      <xdr:colOff>0</xdr:colOff>
      <xdr:row>31</xdr:row>
      <xdr:rowOff>0</xdr:rowOff>
    </xdr:to>
    <xdr:grpSp>
      <xdr:nvGrpSpPr>
        <xdr:cNvPr id="1444" name="Cross_G31">
          <a:extLst>
            <a:ext uri="{FF2B5EF4-FFF2-40B4-BE49-F238E27FC236}">
              <a16:creationId xmlns:a16="http://schemas.microsoft.com/office/drawing/2014/main" id="{54947E45-8EBC-3C74-9764-8879AA3086A5}"/>
            </a:ext>
          </a:extLst>
        </xdr:cNvPr>
        <xdr:cNvGrpSpPr/>
      </xdr:nvGrpSpPr>
      <xdr:grpSpPr>
        <a:xfrm>
          <a:off x="3914775" y="5791200"/>
          <a:ext cx="581025" cy="228600"/>
          <a:chOff x="4046220" y="5882640"/>
          <a:chExt cx="601980" cy="228600"/>
        </a:xfrm>
      </xdr:grpSpPr>
      <xdr:cxnSp macro="">
        <xdr:nvCxnSpPr>
          <xdr:cNvPr id="1442" name="Gerader Verbinder 1441">
            <a:extLst>
              <a:ext uri="{FF2B5EF4-FFF2-40B4-BE49-F238E27FC236}">
                <a16:creationId xmlns:a16="http://schemas.microsoft.com/office/drawing/2014/main" id="{34CC8F6E-BB8F-A900-9C10-07B4E2C7ED0F}"/>
              </a:ext>
            </a:extLst>
          </xdr:cNvPr>
          <xdr:cNvCxnSpPr/>
        </xdr:nvCxnSpPr>
        <xdr:spPr>
          <a:xfrm>
            <a:off x="4046220" y="58826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43" name="Gerader Verbinder 1442">
            <a:extLst>
              <a:ext uri="{FF2B5EF4-FFF2-40B4-BE49-F238E27FC236}">
                <a16:creationId xmlns:a16="http://schemas.microsoft.com/office/drawing/2014/main" id="{34CEA5E0-29CA-627D-7B10-9DA8A6F85F0F}"/>
              </a:ext>
            </a:extLst>
          </xdr:cNvPr>
          <xdr:cNvCxnSpPr/>
        </xdr:nvCxnSpPr>
        <xdr:spPr>
          <a:xfrm flipH="1">
            <a:off x="4046220" y="58826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31</xdr:row>
      <xdr:rowOff>0</xdr:rowOff>
    </xdr:from>
    <xdr:to>
      <xdr:col>7</xdr:col>
      <xdr:colOff>0</xdr:colOff>
      <xdr:row>32</xdr:row>
      <xdr:rowOff>0</xdr:rowOff>
    </xdr:to>
    <xdr:grpSp>
      <xdr:nvGrpSpPr>
        <xdr:cNvPr id="1447" name="Cross_G32">
          <a:extLst>
            <a:ext uri="{FF2B5EF4-FFF2-40B4-BE49-F238E27FC236}">
              <a16:creationId xmlns:a16="http://schemas.microsoft.com/office/drawing/2014/main" id="{6F9B96E3-B864-E6C3-A807-2D3174F65962}"/>
            </a:ext>
          </a:extLst>
        </xdr:cNvPr>
        <xdr:cNvGrpSpPr/>
      </xdr:nvGrpSpPr>
      <xdr:grpSpPr>
        <a:xfrm>
          <a:off x="3914775" y="6019800"/>
          <a:ext cx="581025" cy="161925"/>
          <a:chOff x="4046220" y="6111240"/>
          <a:chExt cx="601980" cy="167640"/>
        </a:xfrm>
      </xdr:grpSpPr>
      <xdr:cxnSp macro="">
        <xdr:nvCxnSpPr>
          <xdr:cNvPr id="1445" name="Gerader Verbinder 1444">
            <a:extLst>
              <a:ext uri="{FF2B5EF4-FFF2-40B4-BE49-F238E27FC236}">
                <a16:creationId xmlns:a16="http://schemas.microsoft.com/office/drawing/2014/main" id="{4C8EEAC1-3DCF-7C14-A00F-052A735BA022}"/>
              </a:ext>
            </a:extLst>
          </xdr:cNvPr>
          <xdr:cNvCxnSpPr/>
        </xdr:nvCxnSpPr>
        <xdr:spPr>
          <a:xfrm>
            <a:off x="4046220" y="6111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46" name="Gerader Verbinder 1445">
            <a:extLst>
              <a:ext uri="{FF2B5EF4-FFF2-40B4-BE49-F238E27FC236}">
                <a16:creationId xmlns:a16="http://schemas.microsoft.com/office/drawing/2014/main" id="{F76D67E2-8D09-96E1-BB90-AFB9BA1E3849}"/>
              </a:ext>
            </a:extLst>
          </xdr:cNvPr>
          <xdr:cNvCxnSpPr/>
        </xdr:nvCxnSpPr>
        <xdr:spPr>
          <a:xfrm flipH="1">
            <a:off x="4046220" y="6111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32</xdr:row>
      <xdr:rowOff>0</xdr:rowOff>
    </xdr:from>
    <xdr:to>
      <xdr:col>7</xdr:col>
      <xdr:colOff>0</xdr:colOff>
      <xdr:row>33</xdr:row>
      <xdr:rowOff>0</xdr:rowOff>
    </xdr:to>
    <xdr:grpSp>
      <xdr:nvGrpSpPr>
        <xdr:cNvPr id="1450" name="Cross_G33">
          <a:extLst>
            <a:ext uri="{FF2B5EF4-FFF2-40B4-BE49-F238E27FC236}">
              <a16:creationId xmlns:a16="http://schemas.microsoft.com/office/drawing/2014/main" id="{763480C9-E2F1-3638-7502-89772EF537C2}"/>
            </a:ext>
          </a:extLst>
        </xdr:cNvPr>
        <xdr:cNvGrpSpPr/>
      </xdr:nvGrpSpPr>
      <xdr:grpSpPr>
        <a:xfrm>
          <a:off x="3914775" y="6181725"/>
          <a:ext cx="581025" cy="161925"/>
          <a:chOff x="4046220" y="6278880"/>
          <a:chExt cx="601980" cy="167640"/>
        </a:xfrm>
      </xdr:grpSpPr>
      <xdr:cxnSp macro="">
        <xdr:nvCxnSpPr>
          <xdr:cNvPr id="1448" name="Gerader Verbinder 1447">
            <a:extLst>
              <a:ext uri="{FF2B5EF4-FFF2-40B4-BE49-F238E27FC236}">
                <a16:creationId xmlns:a16="http://schemas.microsoft.com/office/drawing/2014/main" id="{7B7D345B-63F3-BB05-4B45-FF82310C0FDA}"/>
              </a:ext>
            </a:extLst>
          </xdr:cNvPr>
          <xdr:cNvCxnSpPr/>
        </xdr:nvCxnSpPr>
        <xdr:spPr>
          <a:xfrm>
            <a:off x="4046220" y="6278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49" name="Gerader Verbinder 1448">
            <a:extLst>
              <a:ext uri="{FF2B5EF4-FFF2-40B4-BE49-F238E27FC236}">
                <a16:creationId xmlns:a16="http://schemas.microsoft.com/office/drawing/2014/main" id="{038E3BA3-6512-6980-D5D5-348DD5119E87}"/>
              </a:ext>
            </a:extLst>
          </xdr:cNvPr>
          <xdr:cNvCxnSpPr/>
        </xdr:nvCxnSpPr>
        <xdr:spPr>
          <a:xfrm flipH="1">
            <a:off x="4046220" y="6278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42</xdr:row>
      <xdr:rowOff>0</xdr:rowOff>
    </xdr:from>
    <xdr:to>
      <xdr:col>7</xdr:col>
      <xdr:colOff>0</xdr:colOff>
      <xdr:row>43</xdr:row>
      <xdr:rowOff>0</xdr:rowOff>
    </xdr:to>
    <xdr:grpSp>
      <xdr:nvGrpSpPr>
        <xdr:cNvPr id="1453" name="Cross_G43">
          <a:extLst>
            <a:ext uri="{FF2B5EF4-FFF2-40B4-BE49-F238E27FC236}">
              <a16:creationId xmlns:a16="http://schemas.microsoft.com/office/drawing/2014/main" id="{C8E44F5D-561B-C1D9-0B4B-D217A13A188E}"/>
            </a:ext>
          </a:extLst>
        </xdr:cNvPr>
        <xdr:cNvGrpSpPr/>
      </xdr:nvGrpSpPr>
      <xdr:grpSpPr>
        <a:xfrm>
          <a:off x="3914775" y="8001000"/>
          <a:ext cx="581025" cy="228600"/>
          <a:chOff x="4046220" y="8138160"/>
          <a:chExt cx="601980" cy="228600"/>
        </a:xfrm>
      </xdr:grpSpPr>
      <xdr:cxnSp macro="">
        <xdr:nvCxnSpPr>
          <xdr:cNvPr id="1451" name="Gerader Verbinder 1450">
            <a:extLst>
              <a:ext uri="{FF2B5EF4-FFF2-40B4-BE49-F238E27FC236}">
                <a16:creationId xmlns:a16="http://schemas.microsoft.com/office/drawing/2014/main" id="{DE24701A-8E06-23D2-FD13-942BF6745999}"/>
              </a:ext>
            </a:extLst>
          </xdr:cNvPr>
          <xdr:cNvCxnSpPr/>
        </xdr:nvCxnSpPr>
        <xdr:spPr>
          <a:xfrm>
            <a:off x="404622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52" name="Gerader Verbinder 1451">
            <a:extLst>
              <a:ext uri="{FF2B5EF4-FFF2-40B4-BE49-F238E27FC236}">
                <a16:creationId xmlns:a16="http://schemas.microsoft.com/office/drawing/2014/main" id="{9DDD88D4-E68F-2A6A-645B-9A126B593601}"/>
              </a:ext>
            </a:extLst>
          </xdr:cNvPr>
          <xdr:cNvCxnSpPr/>
        </xdr:nvCxnSpPr>
        <xdr:spPr>
          <a:xfrm flipH="1">
            <a:off x="404622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43</xdr:row>
      <xdr:rowOff>0</xdr:rowOff>
    </xdr:from>
    <xdr:to>
      <xdr:col>7</xdr:col>
      <xdr:colOff>0</xdr:colOff>
      <xdr:row>44</xdr:row>
      <xdr:rowOff>0</xdr:rowOff>
    </xdr:to>
    <xdr:grpSp>
      <xdr:nvGrpSpPr>
        <xdr:cNvPr id="1456" name="Cross_G44">
          <a:extLst>
            <a:ext uri="{FF2B5EF4-FFF2-40B4-BE49-F238E27FC236}">
              <a16:creationId xmlns:a16="http://schemas.microsoft.com/office/drawing/2014/main" id="{4A177034-DBF4-56CD-004F-F8B7C6C00EF6}"/>
            </a:ext>
          </a:extLst>
        </xdr:cNvPr>
        <xdr:cNvGrpSpPr/>
      </xdr:nvGrpSpPr>
      <xdr:grpSpPr>
        <a:xfrm>
          <a:off x="3914775" y="8229600"/>
          <a:ext cx="581025" cy="161925"/>
          <a:chOff x="4046220" y="8366760"/>
          <a:chExt cx="601980" cy="167640"/>
        </a:xfrm>
      </xdr:grpSpPr>
      <xdr:cxnSp macro="">
        <xdr:nvCxnSpPr>
          <xdr:cNvPr id="1454" name="Gerader Verbinder 1453">
            <a:extLst>
              <a:ext uri="{FF2B5EF4-FFF2-40B4-BE49-F238E27FC236}">
                <a16:creationId xmlns:a16="http://schemas.microsoft.com/office/drawing/2014/main" id="{15E3F18D-C571-E599-84F5-BE9C9345FF79}"/>
              </a:ext>
            </a:extLst>
          </xdr:cNvPr>
          <xdr:cNvCxnSpPr/>
        </xdr:nvCxnSpPr>
        <xdr:spPr>
          <a:xfrm>
            <a:off x="4046220" y="8366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55" name="Gerader Verbinder 1454">
            <a:extLst>
              <a:ext uri="{FF2B5EF4-FFF2-40B4-BE49-F238E27FC236}">
                <a16:creationId xmlns:a16="http://schemas.microsoft.com/office/drawing/2014/main" id="{430ABEFF-CCA5-A1BE-AD10-360B120B293A}"/>
              </a:ext>
            </a:extLst>
          </xdr:cNvPr>
          <xdr:cNvCxnSpPr/>
        </xdr:nvCxnSpPr>
        <xdr:spPr>
          <a:xfrm flipH="1">
            <a:off x="4046220" y="8366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44</xdr:row>
      <xdr:rowOff>0</xdr:rowOff>
    </xdr:from>
    <xdr:to>
      <xdr:col>7</xdr:col>
      <xdr:colOff>0</xdr:colOff>
      <xdr:row>45</xdr:row>
      <xdr:rowOff>0</xdr:rowOff>
    </xdr:to>
    <xdr:grpSp>
      <xdr:nvGrpSpPr>
        <xdr:cNvPr id="1459" name="Cross_G45">
          <a:extLst>
            <a:ext uri="{FF2B5EF4-FFF2-40B4-BE49-F238E27FC236}">
              <a16:creationId xmlns:a16="http://schemas.microsoft.com/office/drawing/2014/main" id="{DC48EE9C-1EC8-061A-0651-E7CA895A9C2A}"/>
            </a:ext>
          </a:extLst>
        </xdr:cNvPr>
        <xdr:cNvGrpSpPr/>
      </xdr:nvGrpSpPr>
      <xdr:grpSpPr>
        <a:xfrm>
          <a:off x="3914775" y="8391525"/>
          <a:ext cx="581025" cy="161925"/>
          <a:chOff x="4046220" y="8534400"/>
          <a:chExt cx="601980" cy="167640"/>
        </a:xfrm>
      </xdr:grpSpPr>
      <xdr:cxnSp macro="">
        <xdr:nvCxnSpPr>
          <xdr:cNvPr id="1457" name="Gerader Verbinder 1456">
            <a:extLst>
              <a:ext uri="{FF2B5EF4-FFF2-40B4-BE49-F238E27FC236}">
                <a16:creationId xmlns:a16="http://schemas.microsoft.com/office/drawing/2014/main" id="{82FE4A5D-24F9-0122-DA0E-42BD60FA5A21}"/>
              </a:ext>
            </a:extLst>
          </xdr:cNvPr>
          <xdr:cNvCxnSpPr/>
        </xdr:nvCxnSpPr>
        <xdr:spPr>
          <a:xfrm>
            <a:off x="4046220" y="8534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58" name="Gerader Verbinder 1457">
            <a:extLst>
              <a:ext uri="{FF2B5EF4-FFF2-40B4-BE49-F238E27FC236}">
                <a16:creationId xmlns:a16="http://schemas.microsoft.com/office/drawing/2014/main" id="{E2DE7A95-5EE9-1892-F70D-33AE8E7950E6}"/>
              </a:ext>
            </a:extLst>
          </xdr:cNvPr>
          <xdr:cNvCxnSpPr/>
        </xdr:nvCxnSpPr>
        <xdr:spPr>
          <a:xfrm flipH="1">
            <a:off x="4046220" y="8534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48</xdr:row>
      <xdr:rowOff>0</xdr:rowOff>
    </xdr:from>
    <xdr:to>
      <xdr:col>7</xdr:col>
      <xdr:colOff>0</xdr:colOff>
      <xdr:row>49</xdr:row>
      <xdr:rowOff>0</xdr:rowOff>
    </xdr:to>
    <xdr:grpSp>
      <xdr:nvGrpSpPr>
        <xdr:cNvPr id="1462" name="Cross_G49">
          <a:extLst>
            <a:ext uri="{FF2B5EF4-FFF2-40B4-BE49-F238E27FC236}">
              <a16:creationId xmlns:a16="http://schemas.microsoft.com/office/drawing/2014/main" id="{DE8697CC-47F4-8B0F-41F0-50E7DC798951}"/>
            </a:ext>
          </a:extLst>
        </xdr:cNvPr>
        <xdr:cNvGrpSpPr/>
      </xdr:nvGrpSpPr>
      <xdr:grpSpPr>
        <a:xfrm>
          <a:off x="3914775" y="9105900"/>
          <a:ext cx="581025" cy="228600"/>
          <a:chOff x="4046220" y="9265920"/>
          <a:chExt cx="601980" cy="228600"/>
        </a:xfrm>
      </xdr:grpSpPr>
      <xdr:cxnSp macro="">
        <xdr:nvCxnSpPr>
          <xdr:cNvPr id="1460" name="Gerader Verbinder 1459">
            <a:extLst>
              <a:ext uri="{FF2B5EF4-FFF2-40B4-BE49-F238E27FC236}">
                <a16:creationId xmlns:a16="http://schemas.microsoft.com/office/drawing/2014/main" id="{35E9D396-BB3A-1ABC-D596-6F2C7BE69D9A}"/>
              </a:ext>
            </a:extLst>
          </xdr:cNvPr>
          <xdr:cNvCxnSpPr/>
        </xdr:nvCxnSpPr>
        <xdr:spPr>
          <a:xfrm>
            <a:off x="4046220" y="92659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61" name="Gerader Verbinder 1460">
            <a:extLst>
              <a:ext uri="{FF2B5EF4-FFF2-40B4-BE49-F238E27FC236}">
                <a16:creationId xmlns:a16="http://schemas.microsoft.com/office/drawing/2014/main" id="{8ED842A6-92D4-1D44-461E-D4E670D46E37}"/>
              </a:ext>
            </a:extLst>
          </xdr:cNvPr>
          <xdr:cNvCxnSpPr/>
        </xdr:nvCxnSpPr>
        <xdr:spPr>
          <a:xfrm flipH="1">
            <a:off x="4046220" y="92659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49</xdr:row>
      <xdr:rowOff>0</xdr:rowOff>
    </xdr:from>
    <xdr:to>
      <xdr:col>7</xdr:col>
      <xdr:colOff>0</xdr:colOff>
      <xdr:row>50</xdr:row>
      <xdr:rowOff>0</xdr:rowOff>
    </xdr:to>
    <xdr:grpSp>
      <xdr:nvGrpSpPr>
        <xdr:cNvPr id="1465" name="Cross_G50">
          <a:extLst>
            <a:ext uri="{FF2B5EF4-FFF2-40B4-BE49-F238E27FC236}">
              <a16:creationId xmlns:a16="http://schemas.microsoft.com/office/drawing/2014/main" id="{C3AF4BC4-E041-7AF9-5A61-610C49BB9FD6}"/>
            </a:ext>
          </a:extLst>
        </xdr:cNvPr>
        <xdr:cNvGrpSpPr/>
      </xdr:nvGrpSpPr>
      <xdr:grpSpPr>
        <a:xfrm>
          <a:off x="3914775" y="9334500"/>
          <a:ext cx="581025" cy="161925"/>
          <a:chOff x="4046220" y="9494520"/>
          <a:chExt cx="601980" cy="167640"/>
        </a:xfrm>
      </xdr:grpSpPr>
      <xdr:cxnSp macro="">
        <xdr:nvCxnSpPr>
          <xdr:cNvPr id="1463" name="Gerader Verbinder 1462">
            <a:extLst>
              <a:ext uri="{FF2B5EF4-FFF2-40B4-BE49-F238E27FC236}">
                <a16:creationId xmlns:a16="http://schemas.microsoft.com/office/drawing/2014/main" id="{6D8825AB-B05C-9630-F04D-03FDD400198F}"/>
              </a:ext>
            </a:extLst>
          </xdr:cNvPr>
          <xdr:cNvCxnSpPr/>
        </xdr:nvCxnSpPr>
        <xdr:spPr>
          <a:xfrm>
            <a:off x="4046220" y="9494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64" name="Gerader Verbinder 1463">
            <a:extLst>
              <a:ext uri="{FF2B5EF4-FFF2-40B4-BE49-F238E27FC236}">
                <a16:creationId xmlns:a16="http://schemas.microsoft.com/office/drawing/2014/main" id="{BCC9D30A-2B38-EC93-5142-E79D88ED7BF3}"/>
              </a:ext>
            </a:extLst>
          </xdr:cNvPr>
          <xdr:cNvCxnSpPr/>
        </xdr:nvCxnSpPr>
        <xdr:spPr>
          <a:xfrm flipH="1">
            <a:off x="4046220" y="9494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50</xdr:row>
      <xdr:rowOff>0</xdr:rowOff>
    </xdr:from>
    <xdr:to>
      <xdr:col>7</xdr:col>
      <xdr:colOff>0</xdr:colOff>
      <xdr:row>51</xdr:row>
      <xdr:rowOff>0</xdr:rowOff>
    </xdr:to>
    <xdr:grpSp>
      <xdr:nvGrpSpPr>
        <xdr:cNvPr id="1468" name="Cross_G51">
          <a:extLst>
            <a:ext uri="{FF2B5EF4-FFF2-40B4-BE49-F238E27FC236}">
              <a16:creationId xmlns:a16="http://schemas.microsoft.com/office/drawing/2014/main" id="{F0B0370C-8217-0C30-3B72-F947C0365AE2}"/>
            </a:ext>
          </a:extLst>
        </xdr:cNvPr>
        <xdr:cNvGrpSpPr/>
      </xdr:nvGrpSpPr>
      <xdr:grpSpPr>
        <a:xfrm>
          <a:off x="3914775" y="9496425"/>
          <a:ext cx="581025" cy="161925"/>
          <a:chOff x="4046220" y="9662160"/>
          <a:chExt cx="601980" cy="167640"/>
        </a:xfrm>
      </xdr:grpSpPr>
      <xdr:cxnSp macro="">
        <xdr:nvCxnSpPr>
          <xdr:cNvPr id="1466" name="Gerader Verbinder 1465">
            <a:extLst>
              <a:ext uri="{FF2B5EF4-FFF2-40B4-BE49-F238E27FC236}">
                <a16:creationId xmlns:a16="http://schemas.microsoft.com/office/drawing/2014/main" id="{C1BDD03D-7C48-98B2-C956-C55E7ED3A6AB}"/>
              </a:ext>
            </a:extLst>
          </xdr:cNvPr>
          <xdr:cNvCxnSpPr/>
        </xdr:nvCxnSpPr>
        <xdr:spPr>
          <a:xfrm>
            <a:off x="4046220" y="9662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67" name="Gerader Verbinder 1466">
            <a:extLst>
              <a:ext uri="{FF2B5EF4-FFF2-40B4-BE49-F238E27FC236}">
                <a16:creationId xmlns:a16="http://schemas.microsoft.com/office/drawing/2014/main" id="{426AE191-C6E7-F804-F40D-32F12B2A0D99}"/>
              </a:ext>
            </a:extLst>
          </xdr:cNvPr>
          <xdr:cNvCxnSpPr/>
        </xdr:nvCxnSpPr>
        <xdr:spPr>
          <a:xfrm flipH="1">
            <a:off x="4046220" y="9662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63</xdr:row>
      <xdr:rowOff>0</xdr:rowOff>
    </xdr:from>
    <xdr:to>
      <xdr:col>7</xdr:col>
      <xdr:colOff>0</xdr:colOff>
      <xdr:row>64</xdr:row>
      <xdr:rowOff>0</xdr:rowOff>
    </xdr:to>
    <xdr:grpSp>
      <xdr:nvGrpSpPr>
        <xdr:cNvPr id="1471" name="Cross_G64">
          <a:extLst>
            <a:ext uri="{FF2B5EF4-FFF2-40B4-BE49-F238E27FC236}">
              <a16:creationId xmlns:a16="http://schemas.microsoft.com/office/drawing/2014/main" id="{D3EEE565-BA7E-E811-9406-80A4D747B395}"/>
            </a:ext>
          </a:extLst>
        </xdr:cNvPr>
        <xdr:cNvGrpSpPr/>
      </xdr:nvGrpSpPr>
      <xdr:grpSpPr>
        <a:xfrm>
          <a:off x="3914775" y="11868150"/>
          <a:ext cx="581025" cy="228600"/>
          <a:chOff x="4046220" y="12085320"/>
          <a:chExt cx="601980" cy="228600"/>
        </a:xfrm>
      </xdr:grpSpPr>
      <xdr:cxnSp macro="">
        <xdr:nvCxnSpPr>
          <xdr:cNvPr id="1469" name="Gerader Verbinder 1468">
            <a:extLst>
              <a:ext uri="{FF2B5EF4-FFF2-40B4-BE49-F238E27FC236}">
                <a16:creationId xmlns:a16="http://schemas.microsoft.com/office/drawing/2014/main" id="{27EDE266-A906-A695-7EBA-56D218E6C8E0}"/>
              </a:ext>
            </a:extLst>
          </xdr:cNvPr>
          <xdr:cNvCxnSpPr/>
        </xdr:nvCxnSpPr>
        <xdr:spPr>
          <a:xfrm>
            <a:off x="4046220" y="120853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70" name="Gerader Verbinder 1469">
            <a:extLst>
              <a:ext uri="{FF2B5EF4-FFF2-40B4-BE49-F238E27FC236}">
                <a16:creationId xmlns:a16="http://schemas.microsoft.com/office/drawing/2014/main" id="{668EB201-EB33-F48F-1CA8-86C160ABDB2D}"/>
              </a:ext>
            </a:extLst>
          </xdr:cNvPr>
          <xdr:cNvCxnSpPr/>
        </xdr:nvCxnSpPr>
        <xdr:spPr>
          <a:xfrm flipH="1">
            <a:off x="4046220" y="120853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64</xdr:row>
      <xdr:rowOff>0</xdr:rowOff>
    </xdr:from>
    <xdr:to>
      <xdr:col>7</xdr:col>
      <xdr:colOff>0</xdr:colOff>
      <xdr:row>65</xdr:row>
      <xdr:rowOff>0</xdr:rowOff>
    </xdr:to>
    <xdr:grpSp>
      <xdr:nvGrpSpPr>
        <xdr:cNvPr id="1474" name="Cross_G65">
          <a:extLst>
            <a:ext uri="{FF2B5EF4-FFF2-40B4-BE49-F238E27FC236}">
              <a16:creationId xmlns:a16="http://schemas.microsoft.com/office/drawing/2014/main" id="{6487D84E-BB56-277F-9BA5-381C8C9E4746}"/>
            </a:ext>
          </a:extLst>
        </xdr:cNvPr>
        <xdr:cNvGrpSpPr/>
      </xdr:nvGrpSpPr>
      <xdr:grpSpPr>
        <a:xfrm>
          <a:off x="3914775" y="12096750"/>
          <a:ext cx="581025" cy="161925"/>
          <a:chOff x="4046220" y="12313920"/>
          <a:chExt cx="601980" cy="167640"/>
        </a:xfrm>
      </xdr:grpSpPr>
      <xdr:cxnSp macro="">
        <xdr:nvCxnSpPr>
          <xdr:cNvPr id="1472" name="Gerader Verbinder 1471">
            <a:extLst>
              <a:ext uri="{FF2B5EF4-FFF2-40B4-BE49-F238E27FC236}">
                <a16:creationId xmlns:a16="http://schemas.microsoft.com/office/drawing/2014/main" id="{FDD43556-E2CB-8B75-F39B-AFB58F6FA311}"/>
              </a:ext>
            </a:extLst>
          </xdr:cNvPr>
          <xdr:cNvCxnSpPr/>
        </xdr:nvCxnSpPr>
        <xdr:spPr>
          <a:xfrm>
            <a:off x="4046220" y="12313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73" name="Gerader Verbinder 1472">
            <a:extLst>
              <a:ext uri="{FF2B5EF4-FFF2-40B4-BE49-F238E27FC236}">
                <a16:creationId xmlns:a16="http://schemas.microsoft.com/office/drawing/2014/main" id="{FD3B90A1-EAA0-918A-9482-B457D8FC8582}"/>
              </a:ext>
            </a:extLst>
          </xdr:cNvPr>
          <xdr:cNvCxnSpPr/>
        </xdr:nvCxnSpPr>
        <xdr:spPr>
          <a:xfrm flipH="1">
            <a:off x="4046220" y="12313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65</xdr:row>
      <xdr:rowOff>0</xdr:rowOff>
    </xdr:from>
    <xdr:to>
      <xdr:col>7</xdr:col>
      <xdr:colOff>0</xdr:colOff>
      <xdr:row>66</xdr:row>
      <xdr:rowOff>0</xdr:rowOff>
    </xdr:to>
    <xdr:grpSp>
      <xdr:nvGrpSpPr>
        <xdr:cNvPr id="1477" name="Cross_G66">
          <a:extLst>
            <a:ext uri="{FF2B5EF4-FFF2-40B4-BE49-F238E27FC236}">
              <a16:creationId xmlns:a16="http://schemas.microsoft.com/office/drawing/2014/main" id="{146A574B-F33D-8A12-4496-ADD8E154A373}"/>
            </a:ext>
          </a:extLst>
        </xdr:cNvPr>
        <xdr:cNvGrpSpPr/>
      </xdr:nvGrpSpPr>
      <xdr:grpSpPr>
        <a:xfrm>
          <a:off x="3914775" y="12258675"/>
          <a:ext cx="581025" cy="161925"/>
          <a:chOff x="4046220" y="12481560"/>
          <a:chExt cx="601980" cy="167640"/>
        </a:xfrm>
      </xdr:grpSpPr>
      <xdr:cxnSp macro="">
        <xdr:nvCxnSpPr>
          <xdr:cNvPr id="1475" name="Gerader Verbinder 1474">
            <a:extLst>
              <a:ext uri="{FF2B5EF4-FFF2-40B4-BE49-F238E27FC236}">
                <a16:creationId xmlns:a16="http://schemas.microsoft.com/office/drawing/2014/main" id="{51A4E576-7E66-6C6F-0361-EB8C967CCE9A}"/>
              </a:ext>
            </a:extLst>
          </xdr:cNvPr>
          <xdr:cNvCxnSpPr/>
        </xdr:nvCxnSpPr>
        <xdr:spPr>
          <a:xfrm>
            <a:off x="4046220" y="124815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76" name="Gerader Verbinder 1475">
            <a:extLst>
              <a:ext uri="{FF2B5EF4-FFF2-40B4-BE49-F238E27FC236}">
                <a16:creationId xmlns:a16="http://schemas.microsoft.com/office/drawing/2014/main" id="{5E5C66E5-B35E-CE5F-A166-0CF364C0E94E}"/>
              </a:ext>
            </a:extLst>
          </xdr:cNvPr>
          <xdr:cNvCxnSpPr/>
        </xdr:nvCxnSpPr>
        <xdr:spPr>
          <a:xfrm flipH="1">
            <a:off x="4046220" y="124815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66</xdr:row>
      <xdr:rowOff>0</xdr:rowOff>
    </xdr:from>
    <xdr:to>
      <xdr:col>7</xdr:col>
      <xdr:colOff>0</xdr:colOff>
      <xdr:row>67</xdr:row>
      <xdr:rowOff>0</xdr:rowOff>
    </xdr:to>
    <xdr:grpSp>
      <xdr:nvGrpSpPr>
        <xdr:cNvPr id="1480" name="Cross_G67">
          <a:extLst>
            <a:ext uri="{FF2B5EF4-FFF2-40B4-BE49-F238E27FC236}">
              <a16:creationId xmlns:a16="http://schemas.microsoft.com/office/drawing/2014/main" id="{0C988F54-7259-10CB-8BC4-BF1179C53E3D}"/>
            </a:ext>
          </a:extLst>
        </xdr:cNvPr>
        <xdr:cNvGrpSpPr/>
      </xdr:nvGrpSpPr>
      <xdr:grpSpPr>
        <a:xfrm>
          <a:off x="3914775" y="12420600"/>
          <a:ext cx="581025" cy="228600"/>
          <a:chOff x="4046220" y="12649200"/>
          <a:chExt cx="601980" cy="228600"/>
        </a:xfrm>
      </xdr:grpSpPr>
      <xdr:cxnSp macro="">
        <xdr:nvCxnSpPr>
          <xdr:cNvPr id="1478" name="Gerader Verbinder 1477">
            <a:extLst>
              <a:ext uri="{FF2B5EF4-FFF2-40B4-BE49-F238E27FC236}">
                <a16:creationId xmlns:a16="http://schemas.microsoft.com/office/drawing/2014/main" id="{9A0E6F99-220A-F9DF-6A29-8E8D8CA6A8A4}"/>
              </a:ext>
            </a:extLst>
          </xdr:cNvPr>
          <xdr:cNvCxnSpPr/>
        </xdr:nvCxnSpPr>
        <xdr:spPr>
          <a:xfrm>
            <a:off x="4046220" y="1264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79" name="Gerader Verbinder 1478">
            <a:extLst>
              <a:ext uri="{FF2B5EF4-FFF2-40B4-BE49-F238E27FC236}">
                <a16:creationId xmlns:a16="http://schemas.microsoft.com/office/drawing/2014/main" id="{12AFEC4F-FB99-0A15-7876-FE4E8B69C173}"/>
              </a:ext>
            </a:extLst>
          </xdr:cNvPr>
          <xdr:cNvCxnSpPr/>
        </xdr:nvCxnSpPr>
        <xdr:spPr>
          <a:xfrm flipH="1">
            <a:off x="4046220" y="1264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67</xdr:row>
      <xdr:rowOff>0</xdr:rowOff>
    </xdr:from>
    <xdr:to>
      <xdr:col>7</xdr:col>
      <xdr:colOff>0</xdr:colOff>
      <xdr:row>67</xdr:row>
      <xdr:rowOff>167639</xdr:rowOff>
    </xdr:to>
    <xdr:grpSp>
      <xdr:nvGrpSpPr>
        <xdr:cNvPr id="1483" name="Cross_G68">
          <a:extLst>
            <a:ext uri="{FF2B5EF4-FFF2-40B4-BE49-F238E27FC236}">
              <a16:creationId xmlns:a16="http://schemas.microsoft.com/office/drawing/2014/main" id="{01FCBFCD-3762-7BB4-D6FE-5D6CB3A2000C}"/>
            </a:ext>
          </a:extLst>
        </xdr:cNvPr>
        <xdr:cNvGrpSpPr/>
      </xdr:nvGrpSpPr>
      <xdr:grpSpPr>
        <a:xfrm>
          <a:off x="3914775" y="12649200"/>
          <a:ext cx="581025" cy="158114"/>
          <a:chOff x="4046220" y="12877800"/>
          <a:chExt cx="601980" cy="167639"/>
        </a:xfrm>
      </xdr:grpSpPr>
      <xdr:cxnSp macro="">
        <xdr:nvCxnSpPr>
          <xdr:cNvPr id="1481" name="Gerader Verbinder 1480">
            <a:extLst>
              <a:ext uri="{FF2B5EF4-FFF2-40B4-BE49-F238E27FC236}">
                <a16:creationId xmlns:a16="http://schemas.microsoft.com/office/drawing/2014/main" id="{F0DA86EC-DF98-6A44-9412-07017444F28C}"/>
              </a:ext>
            </a:extLst>
          </xdr:cNvPr>
          <xdr:cNvCxnSpPr/>
        </xdr:nvCxnSpPr>
        <xdr:spPr>
          <a:xfrm>
            <a:off x="4046220" y="128778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82" name="Gerader Verbinder 1481">
            <a:extLst>
              <a:ext uri="{FF2B5EF4-FFF2-40B4-BE49-F238E27FC236}">
                <a16:creationId xmlns:a16="http://schemas.microsoft.com/office/drawing/2014/main" id="{6EAB4B64-393B-1DB5-DA43-330E38258DA8}"/>
              </a:ext>
            </a:extLst>
          </xdr:cNvPr>
          <xdr:cNvCxnSpPr/>
        </xdr:nvCxnSpPr>
        <xdr:spPr>
          <a:xfrm flipH="1">
            <a:off x="4046220" y="128778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67</xdr:row>
      <xdr:rowOff>167639</xdr:rowOff>
    </xdr:from>
    <xdr:to>
      <xdr:col>7</xdr:col>
      <xdr:colOff>0</xdr:colOff>
      <xdr:row>69</xdr:row>
      <xdr:rowOff>0</xdr:rowOff>
    </xdr:to>
    <xdr:grpSp>
      <xdr:nvGrpSpPr>
        <xdr:cNvPr id="1486" name="Cross_G69">
          <a:extLst>
            <a:ext uri="{FF2B5EF4-FFF2-40B4-BE49-F238E27FC236}">
              <a16:creationId xmlns:a16="http://schemas.microsoft.com/office/drawing/2014/main" id="{0C703EF1-2128-90F0-FBC6-7E092B94B2E4}"/>
            </a:ext>
          </a:extLst>
        </xdr:cNvPr>
        <xdr:cNvGrpSpPr/>
      </xdr:nvGrpSpPr>
      <xdr:grpSpPr>
        <a:xfrm>
          <a:off x="3914775" y="12807314"/>
          <a:ext cx="581025" cy="165736"/>
          <a:chOff x="4046220" y="13045439"/>
          <a:chExt cx="601980" cy="167641"/>
        </a:xfrm>
      </xdr:grpSpPr>
      <xdr:cxnSp macro="">
        <xdr:nvCxnSpPr>
          <xdr:cNvPr id="1484" name="Gerader Verbinder 1483">
            <a:extLst>
              <a:ext uri="{FF2B5EF4-FFF2-40B4-BE49-F238E27FC236}">
                <a16:creationId xmlns:a16="http://schemas.microsoft.com/office/drawing/2014/main" id="{F09A410E-6CF6-BC1F-6DCE-E795C09BAB9B}"/>
              </a:ext>
            </a:extLst>
          </xdr:cNvPr>
          <xdr:cNvCxnSpPr/>
        </xdr:nvCxnSpPr>
        <xdr:spPr>
          <a:xfrm>
            <a:off x="4046220" y="13045439"/>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85" name="Gerader Verbinder 1484">
            <a:extLst>
              <a:ext uri="{FF2B5EF4-FFF2-40B4-BE49-F238E27FC236}">
                <a16:creationId xmlns:a16="http://schemas.microsoft.com/office/drawing/2014/main" id="{87DF602D-85CB-A863-365B-E18B50DF7A30}"/>
              </a:ext>
            </a:extLst>
          </xdr:cNvPr>
          <xdr:cNvCxnSpPr/>
        </xdr:nvCxnSpPr>
        <xdr:spPr>
          <a:xfrm flipH="1">
            <a:off x="4046220" y="13045439"/>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69</xdr:row>
      <xdr:rowOff>0</xdr:rowOff>
    </xdr:from>
    <xdr:to>
      <xdr:col>7</xdr:col>
      <xdr:colOff>0</xdr:colOff>
      <xdr:row>70</xdr:row>
      <xdr:rowOff>0</xdr:rowOff>
    </xdr:to>
    <xdr:grpSp>
      <xdr:nvGrpSpPr>
        <xdr:cNvPr id="1489" name="Cross_G70">
          <a:extLst>
            <a:ext uri="{FF2B5EF4-FFF2-40B4-BE49-F238E27FC236}">
              <a16:creationId xmlns:a16="http://schemas.microsoft.com/office/drawing/2014/main" id="{740E52E4-541D-43DE-7121-F0020A69BF31}"/>
            </a:ext>
          </a:extLst>
        </xdr:cNvPr>
        <xdr:cNvGrpSpPr/>
      </xdr:nvGrpSpPr>
      <xdr:grpSpPr>
        <a:xfrm>
          <a:off x="3914775" y="12973050"/>
          <a:ext cx="581025" cy="228600"/>
          <a:chOff x="4046220" y="13213080"/>
          <a:chExt cx="601980" cy="228600"/>
        </a:xfrm>
      </xdr:grpSpPr>
      <xdr:cxnSp macro="">
        <xdr:nvCxnSpPr>
          <xdr:cNvPr id="1487" name="Gerader Verbinder 1486">
            <a:extLst>
              <a:ext uri="{FF2B5EF4-FFF2-40B4-BE49-F238E27FC236}">
                <a16:creationId xmlns:a16="http://schemas.microsoft.com/office/drawing/2014/main" id="{CF077B53-CAF5-786D-24FD-5F90D4AEC50B}"/>
              </a:ext>
            </a:extLst>
          </xdr:cNvPr>
          <xdr:cNvCxnSpPr/>
        </xdr:nvCxnSpPr>
        <xdr:spPr>
          <a:xfrm>
            <a:off x="404622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88" name="Gerader Verbinder 1487">
            <a:extLst>
              <a:ext uri="{FF2B5EF4-FFF2-40B4-BE49-F238E27FC236}">
                <a16:creationId xmlns:a16="http://schemas.microsoft.com/office/drawing/2014/main" id="{EDD7A840-1E65-DA1A-ACE3-AFF9D7195EE3}"/>
              </a:ext>
            </a:extLst>
          </xdr:cNvPr>
          <xdr:cNvCxnSpPr/>
        </xdr:nvCxnSpPr>
        <xdr:spPr>
          <a:xfrm flipH="1">
            <a:off x="404622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70</xdr:row>
      <xdr:rowOff>0</xdr:rowOff>
    </xdr:from>
    <xdr:to>
      <xdr:col>7</xdr:col>
      <xdr:colOff>0</xdr:colOff>
      <xdr:row>71</xdr:row>
      <xdr:rowOff>0</xdr:rowOff>
    </xdr:to>
    <xdr:grpSp>
      <xdr:nvGrpSpPr>
        <xdr:cNvPr id="1492" name="Cross_G71">
          <a:extLst>
            <a:ext uri="{FF2B5EF4-FFF2-40B4-BE49-F238E27FC236}">
              <a16:creationId xmlns:a16="http://schemas.microsoft.com/office/drawing/2014/main" id="{336EF8DB-5B48-DBDA-8D78-5410ED0F9449}"/>
            </a:ext>
          </a:extLst>
        </xdr:cNvPr>
        <xdr:cNvGrpSpPr/>
      </xdr:nvGrpSpPr>
      <xdr:grpSpPr>
        <a:xfrm>
          <a:off x="3914775" y="13201650"/>
          <a:ext cx="581025" cy="161925"/>
          <a:chOff x="4046220" y="13441680"/>
          <a:chExt cx="601980" cy="167640"/>
        </a:xfrm>
      </xdr:grpSpPr>
      <xdr:cxnSp macro="">
        <xdr:nvCxnSpPr>
          <xdr:cNvPr id="1490" name="Gerader Verbinder 1489">
            <a:extLst>
              <a:ext uri="{FF2B5EF4-FFF2-40B4-BE49-F238E27FC236}">
                <a16:creationId xmlns:a16="http://schemas.microsoft.com/office/drawing/2014/main" id="{35DA3440-2B42-293E-ADAF-FD02A14D115A}"/>
              </a:ext>
            </a:extLst>
          </xdr:cNvPr>
          <xdr:cNvCxnSpPr/>
        </xdr:nvCxnSpPr>
        <xdr:spPr>
          <a:xfrm>
            <a:off x="4046220" y="13441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91" name="Gerader Verbinder 1490">
            <a:extLst>
              <a:ext uri="{FF2B5EF4-FFF2-40B4-BE49-F238E27FC236}">
                <a16:creationId xmlns:a16="http://schemas.microsoft.com/office/drawing/2014/main" id="{BA666E0E-73F0-27AD-A065-1FB52F78F70B}"/>
              </a:ext>
            </a:extLst>
          </xdr:cNvPr>
          <xdr:cNvCxnSpPr/>
        </xdr:nvCxnSpPr>
        <xdr:spPr>
          <a:xfrm flipH="1">
            <a:off x="4046220" y="13441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71</xdr:row>
      <xdr:rowOff>0</xdr:rowOff>
    </xdr:from>
    <xdr:to>
      <xdr:col>7</xdr:col>
      <xdr:colOff>0</xdr:colOff>
      <xdr:row>72</xdr:row>
      <xdr:rowOff>1</xdr:rowOff>
    </xdr:to>
    <xdr:grpSp>
      <xdr:nvGrpSpPr>
        <xdr:cNvPr id="1495" name="Cross_G72">
          <a:extLst>
            <a:ext uri="{FF2B5EF4-FFF2-40B4-BE49-F238E27FC236}">
              <a16:creationId xmlns:a16="http://schemas.microsoft.com/office/drawing/2014/main" id="{58213910-9491-3D68-0927-DEBA760645FF}"/>
            </a:ext>
          </a:extLst>
        </xdr:cNvPr>
        <xdr:cNvGrpSpPr/>
      </xdr:nvGrpSpPr>
      <xdr:grpSpPr>
        <a:xfrm>
          <a:off x="3914775" y="13363575"/>
          <a:ext cx="581025" cy="161926"/>
          <a:chOff x="4046220" y="13609320"/>
          <a:chExt cx="601980" cy="167641"/>
        </a:xfrm>
      </xdr:grpSpPr>
      <xdr:cxnSp macro="">
        <xdr:nvCxnSpPr>
          <xdr:cNvPr id="1493" name="Gerader Verbinder 1492">
            <a:extLst>
              <a:ext uri="{FF2B5EF4-FFF2-40B4-BE49-F238E27FC236}">
                <a16:creationId xmlns:a16="http://schemas.microsoft.com/office/drawing/2014/main" id="{E7ACE108-A8E6-F350-D58E-78FAB29EAD6F}"/>
              </a:ext>
            </a:extLst>
          </xdr:cNvPr>
          <xdr:cNvCxnSpPr/>
        </xdr:nvCxnSpPr>
        <xdr:spPr>
          <a:xfrm>
            <a:off x="404622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94" name="Gerader Verbinder 1493">
            <a:extLst>
              <a:ext uri="{FF2B5EF4-FFF2-40B4-BE49-F238E27FC236}">
                <a16:creationId xmlns:a16="http://schemas.microsoft.com/office/drawing/2014/main" id="{4AE0EEB5-7D17-1032-3F81-B2FD7E0E4ACE}"/>
              </a:ext>
            </a:extLst>
          </xdr:cNvPr>
          <xdr:cNvCxnSpPr/>
        </xdr:nvCxnSpPr>
        <xdr:spPr>
          <a:xfrm flipH="1">
            <a:off x="404622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xdr:row>
      <xdr:rowOff>0</xdr:rowOff>
    </xdr:from>
    <xdr:to>
      <xdr:col>8</xdr:col>
      <xdr:colOff>0</xdr:colOff>
      <xdr:row>7</xdr:row>
      <xdr:rowOff>0</xdr:rowOff>
    </xdr:to>
    <xdr:grpSp>
      <xdr:nvGrpSpPr>
        <xdr:cNvPr id="1498" name="Cross_H7">
          <a:extLst>
            <a:ext uri="{FF2B5EF4-FFF2-40B4-BE49-F238E27FC236}">
              <a16:creationId xmlns:a16="http://schemas.microsoft.com/office/drawing/2014/main" id="{23611297-BC78-EA96-53E4-44F754B298C8}"/>
            </a:ext>
          </a:extLst>
        </xdr:cNvPr>
        <xdr:cNvGrpSpPr/>
      </xdr:nvGrpSpPr>
      <xdr:grpSpPr>
        <a:xfrm>
          <a:off x="4495800" y="1371600"/>
          <a:ext cx="581025" cy="228600"/>
          <a:chOff x="4648200" y="1371600"/>
          <a:chExt cx="601980" cy="228600"/>
        </a:xfrm>
      </xdr:grpSpPr>
      <xdr:cxnSp macro="">
        <xdr:nvCxnSpPr>
          <xdr:cNvPr id="1496" name="Gerader Verbinder 1495">
            <a:extLst>
              <a:ext uri="{FF2B5EF4-FFF2-40B4-BE49-F238E27FC236}">
                <a16:creationId xmlns:a16="http://schemas.microsoft.com/office/drawing/2014/main" id="{4810E937-C60C-7B42-0826-74114FA98353}"/>
              </a:ext>
            </a:extLst>
          </xdr:cNvPr>
          <xdr:cNvCxnSpPr/>
        </xdr:nvCxnSpPr>
        <xdr:spPr>
          <a:xfrm>
            <a:off x="464820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97" name="Gerader Verbinder 1496">
            <a:extLst>
              <a:ext uri="{FF2B5EF4-FFF2-40B4-BE49-F238E27FC236}">
                <a16:creationId xmlns:a16="http://schemas.microsoft.com/office/drawing/2014/main" id="{C26AF278-6911-EB09-D09F-F22A9E741A65}"/>
              </a:ext>
            </a:extLst>
          </xdr:cNvPr>
          <xdr:cNvCxnSpPr/>
        </xdr:nvCxnSpPr>
        <xdr:spPr>
          <a:xfrm flipH="1">
            <a:off x="464820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xdr:row>
      <xdr:rowOff>0</xdr:rowOff>
    </xdr:from>
    <xdr:to>
      <xdr:col>8</xdr:col>
      <xdr:colOff>0</xdr:colOff>
      <xdr:row>8</xdr:row>
      <xdr:rowOff>0</xdr:rowOff>
    </xdr:to>
    <xdr:grpSp>
      <xdr:nvGrpSpPr>
        <xdr:cNvPr id="1501" name="Cross_H8">
          <a:extLst>
            <a:ext uri="{FF2B5EF4-FFF2-40B4-BE49-F238E27FC236}">
              <a16:creationId xmlns:a16="http://schemas.microsoft.com/office/drawing/2014/main" id="{530483B9-1856-ADEB-CADA-672BA2763B37}"/>
            </a:ext>
          </a:extLst>
        </xdr:cNvPr>
        <xdr:cNvGrpSpPr/>
      </xdr:nvGrpSpPr>
      <xdr:grpSpPr>
        <a:xfrm>
          <a:off x="4495800" y="1600200"/>
          <a:ext cx="581025" cy="161925"/>
          <a:chOff x="4648200" y="1600200"/>
          <a:chExt cx="601980" cy="167640"/>
        </a:xfrm>
      </xdr:grpSpPr>
      <xdr:cxnSp macro="">
        <xdr:nvCxnSpPr>
          <xdr:cNvPr id="1499" name="Gerader Verbinder 1498">
            <a:extLst>
              <a:ext uri="{FF2B5EF4-FFF2-40B4-BE49-F238E27FC236}">
                <a16:creationId xmlns:a16="http://schemas.microsoft.com/office/drawing/2014/main" id="{569E3238-B7D9-4C63-4D1A-1F4721E6390D}"/>
              </a:ext>
            </a:extLst>
          </xdr:cNvPr>
          <xdr:cNvCxnSpPr/>
        </xdr:nvCxnSpPr>
        <xdr:spPr>
          <a:xfrm>
            <a:off x="4648200" y="16002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00" name="Gerader Verbinder 1499">
            <a:extLst>
              <a:ext uri="{FF2B5EF4-FFF2-40B4-BE49-F238E27FC236}">
                <a16:creationId xmlns:a16="http://schemas.microsoft.com/office/drawing/2014/main" id="{9A84506F-DCAA-E3D1-4E09-F966C48E268D}"/>
              </a:ext>
            </a:extLst>
          </xdr:cNvPr>
          <xdr:cNvCxnSpPr/>
        </xdr:nvCxnSpPr>
        <xdr:spPr>
          <a:xfrm flipH="1">
            <a:off x="4648200" y="16002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8</xdr:row>
      <xdr:rowOff>0</xdr:rowOff>
    </xdr:from>
    <xdr:to>
      <xdr:col>8</xdr:col>
      <xdr:colOff>0</xdr:colOff>
      <xdr:row>9</xdr:row>
      <xdr:rowOff>0</xdr:rowOff>
    </xdr:to>
    <xdr:grpSp>
      <xdr:nvGrpSpPr>
        <xdr:cNvPr id="1504" name="Cross_H9">
          <a:extLst>
            <a:ext uri="{FF2B5EF4-FFF2-40B4-BE49-F238E27FC236}">
              <a16:creationId xmlns:a16="http://schemas.microsoft.com/office/drawing/2014/main" id="{87ECFB6C-B76A-76C1-7702-FC69B34088EF}"/>
            </a:ext>
          </a:extLst>
        </xdr:cNvPr>
        <xdr:cNvGrpSpPr/>
      </xdr:nvGrpSpPr>
      <xdr:grpSpPr>
        <a:xfrm>
          <a:off x="4495800" y="1762125"/>
          <a:ext cx="581025" cy="161925"/>
          <a:chOff x="4648200" y="1767840"/>
          <a:chExt cx="601980" cy="167640"/>
        </a:xfrm>
      </xdr:grpSpPr>
      <xdr:cxnSp macro="">
        <xdr:nvCxnSpPr>
          <xdr:cNvPr id="1502" name="Gerader Verbinder 1501">
            <a:extLst>
              <a:ext uri="{FF2B5EF4-FFF2-40B4-BE49-F238E27FC236}">
                <a16:creationId xmlns:a16="http://schemas.microsoft.com/office/drawing/2014/main" id="{173B2EAB-3D9D-4809-26E9-7A6A74392EA8}"/>
              </a:ext>
            </a:extLst>
          </xdr:cNvPr>
          <xdr:cNvCxnSpPr/>
        </xdr:nvCxnSpPr>
        <xdr:spPr>
          <a:xfrm>
            <a:off x="4648200" y="1767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03" name="Gerader Verbinder 1502">
            <a:extLst>
              <a:ext uri="{FF2B5EF4-FFF2-40B4-BE49-F238E27FC236}">
                <a16:creationId xmlns:a16="http://schemas.microsoft.com/office/drawing/2014/main" id="{75BF4BF9-C7AC-ECF0-52CD-E081EEA58769}"/>
              </a:ext>
            </a:extLst>
          </xdr:cNvPr>
          <xdr:cNvCxnSpPr/>
        </xdr:nvCxnSpPr>
        <xdr:spPr>
          <a:xfrm flipH="1">
            <a:off x="4648200" y="1767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9</xdr:row>
      <xdr:rowOff>0</xdr:rowOff>
    </xdr:from>
    <xdr:to>
      <xdr:col>8</xdr:col>
      <xdr:colOff>0</xdr:colOff>
      <xdr:row>10</xdr:row>
      <xdr:rowOff>0</xdr:rowOff>
    </xdr:to>
    <xdr:grpSp>
      <xdr:nvGrpSpPr>
        <xdr:cNvPr id="1507" name="Cross_H10">
          <a:extLst>
            <a:ext uri="{FF2B5EF4-FFF2-40B4-BE49-F238E27FC236}">
              <a16:creationId xmlns:a16="http://schemas.microsoft.com/office/drawing/2014/main" id="{8037349C-0F15-DA94-522A-A9F95FF716EC}"/>
            </a:ext>
          </a:extLst>
        </xdr:cNvPr>
        <xdr:cNvGrpSpPr/>
      </xdr:nvGrpSpPr>
      <xdr:grpSpPr>
        <a:xfrm>
          <a:off x="4495800" y="1924050"/>
          <a:ext cx="581025" cy="228600"/>
          <a:chOff x="4648200" y="1935480"/>
          <a:chExt cx="601980" cy="228600"/>
        </a:xfrm>
      </xdr:grpSpPr>
      <xdr:cxnSp macro="">
        <xdr:nvCxnSpPr>
          <xdr:cNvPr id="1505" name="Gerader Verbinder 1504">
            <a:extLst>
              <a:ext uri="{FF2B5EF4-FFF2-40B4-BE49-F238E27FC236}">
                <a16:creationId xmlns:a16="http://schemas.microsoft.com/office/drawing/2014/main" id="{4ADE199B-D386-5D97-33F8-B8EC02EFC88C}"/>
              </a:ext>
            </a:extLst>
          </xdr:cNvPr>
          <xdr:cNvCxnSpPr/>
        </xdr:nvCxnSpPr>
        <xdr:spPr>
          <a:xfrm>
            <a:off x="464820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06" name="Gerader Verbinder 1505">
            <a:extLst>
              <a:ext uri="{FF2B5EF4-FFF2-40B4-BE49-F238E27FC236}">
                <a16:creationId xmlns:a16="http://schemas.microsoft.com/office/drawing/2014/main" id="{219509A7-3119-5300-7FE4-26A0BB127C35}"/>
              </a:ext>
            </a:extLst>
          </xdr:cNvPr>
          <xdr:cNvCxnSpPr/>
        </xdr:nvCxnSpPr>
        <xdr:spPr>
          <a:xfrm flipH="1">
            <a:off x="464820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10</xdr:row>
      <xdr:rowOff>0</xdr:rowOff>
    </xdr:from>
    <xdr:to>
      <xdr:col>8</xdr:col>
      <xdr:colOff>0</xdr:colOff>
      <xdr:row>11</xdr:row>
      <xdr:rowOff>0</xdr:rowOff>
    </xdr:to>
    <xdr:grpSp>
      <xdr:nvGrpSpPr>
        <xdr:cNvPr id="1510" name="Cross_H11">
          <a:extLst>
            <a:ext uri="{FF2B5EF4-FFF2-40B4-BE49-F238E27FC236}">
              <a16:creationId xmlns:a16="http://schemas.microsoft.com/office/drawing/2014/main" id="{6D45A561-71FD-204E-2A58-E54447C0B3A8}"/>
            </a:ext>
          </a:extLst>
        </xdr:cNvPr>
        <xdr:cNvGrpSpPr/>
      </xdr:nvGrpSpPr>
      <xdr:grpSpPr>
        <a:xfrm>
          <a:off x="4495800" y="2152650"/>
          <a:ext cx="581025" cy="161925"/>
          <a:chOff x="4648200" y="2164080"/>
          <a:chExt cx="601980" cy="167640"/>
        </a:xfrm>
      </xdr:grpSpPr>
      <xdr:cxnSp macro="">
        <xdr:nvCxnSpPr>
          <xdr:cNvPr id="1508" name="Gerader Verbinder 1507">
            <a:extLst>
              <a:ext uri="{FF2B5EF4-FFF2-40B4-BE49-F238E27FC236}">
                <a16:creationId xmlns:a16="http://schemas.microsoft.com/office/drawing/2014/main" id="{D4D937C6-8678-06B1-11C8-8E1533E20384}"/>
              </a:ext>
            </a:extLst>
          </xdr:cNvPr>
          <xdr:cNvCxnSpPr/>
        </xdr:nvCxnSpPr>
        <xdr:spPr>
          <a:xfrm>
            <a:off x="4648200" y="21640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09" name="Gerader Verbinder 1508">
            <a:extLst>
              <a:ext uri="{FF2B5EF4-FFF2-40B4-BE49-F238E27FC236}">
                <a16:creationId xmlns:a16="http://schemas.microsoft.com/office/drawing/2014/main" id="{DEFC18C2-1389-B7B8-5659-38B2A9DEEFBA}"/>
              </a:ext>
            </a:extLst>
          </xdr:cNvPr>
          <xdr:cNvCxnSpPr/>
        </xdr:nvCxnSpPr>
        <xdr:spPr>
          <a:xfrm flipH="1">
            <a:off x="4648200" y="21640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11</xdr:row>
      <xdr:rowOff>0</xdr:rowOff>
    </xdr:from>
    <xdr:to>
      <xdr:col>8</xdr:col>
      <xdr:colOff>0</xdr:colOff>
      <xdr:row>12</xdr:row>
      <xdr:rowOff>0</xdr:rowOff>
    </xdr:to>
    <xdr:grpSp>
      <xdr:nvGrpSpPr>
        <xdr:cNvPr id="1513" name="Cross_H12">
          <a:extLst>
            <a:ext uri="{FF2B5EF4-FFF2-40B4-BE49-F238E27FC236}">
              <a16:creationId xmlns:a16="http://schemas.microsoft.com/office/drawing/2014/main" id="{88C17F8E-82B0-C960-C958-42C75073EAAD}"/>
            </a:ext>
          </a:extLst>
        </xdr:cNvPr>
        <xdr:cNvGrpSpPr/>
      </xdr:nvGrpSpPr>
      <xdr:grpSpPr>
        <a:xfrm>
          <a:off x="4495800" y="2314575"/>
          <a:ext cx="581025" cy="161925"/>
          <a:chOff x="4648200" y="2331720"/>
          <a:chExt cx="601980" cy="167640"/>
        </a:xfrm>
      </xdr:grpSpPr>
      <xdr:cxnSp macro="">
        <xdr:nvCxnSpPr>
          <xdr:cNvPr id="1511" name="Gerader Verbinder 1510">
            <a:extLst>
              <a:ext uri="{FF2B5EF4-FFF2-40B4-BE49-F238E27FC236}">
                <a16:creationId xmlns:a16="http://schemas.microsoft.com/office/drawing/2014/main" id="{B8157A8C-3EB4-81E4-F03F-6A518EBDFE63}"/>
              </a:ext>
            </a:extLst>
          </xdr:cNvPr>
          <xdr:cNvCxnSpPr/>
        </xdr:nvCxnSpPr>
        <xdr:spPr>
          <a:xfrm>
            <a:off x="4648200" y="2331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12" name="Gerader Verbinder 1511">
            <a:extLst>
              <a:ext uri="{FF2B5EF4-FFF2-40B4-BE49-F238E27FC236}">
                <a16:creationId xmlns:a16="http://schemas.microsoft.com/office/drawing/2014/main" id="{2D1BB709-C9E9-AAC1-7D6B-51467469623A}"/>
              </a:ext>
            </a:extLst>
          </xdr:cNvPr>
          <xdr:cNvCxnSpPr/>
        </xdr:nvCxnSpPr>
        <xdr:spPr>
          <a:xfrm flipH="1">
            <a:off x="4648200" y="2331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15</xdr:row>
      <xdr:rowOff>0</xdr:rowOff>
    </xdr:from>
    <xdr:to>
      <xdr:col>8</xdr:col>
      <xdr:colOff>0</xdr:colOff>
      <xdr:row>16</xdr:row>
      <xdr:rowOff>0</xdr:rowOff>
    </xdr:to>
    <xdr:grpSp>
      <xdr:nvGrpSpPr>
        <xdr:cNvPr id="1516" name="Cross_H16">
          <a:extLst>
            <a:ext uri="{FF2B5EF4-FFF2-40B4-BE49-F238E27FC236}">
              <a16:creationId xmlns:a16="http://schemas.microsoft.com/office/drawing/2014/main" id="{CA9BE968-A607-382A-C8EF-F43BC3BA2F3E}"/>
            </a:ext>
          </a:extLst>
        </xdr:cNvPr>
        <xdr:cNvGrpSpPr/>
      </xdr:nvGrpSpPr>
      <xdr:grpSpPr>
        <a:xfrm>
          <a:off x="4495800" y="3028950"/>
          <a:ext cx="581025" cy="228600"/>
          <a:chOff x="4648200" y="3063240"/>
          <a:chExt cx="601980" cy="228600"/>
        </a:xfrm>
      </xdr:grpSpPr>
      <xdr:cxnSp macro="">
        <xdr:nvCxnSpPr>
          <xdr:cNvPr id="1514" name="Gerader Verbinder 1513">
            <a:extLst>
              <a:ext uri="{FF2B5EF4-FFF2-40B4-BE49-F238E27FC236}">
                <a16:creationId xmlns:a16="http://schemas.microsoft.com/office/drawing/2014/main" id="{394B8D31-9E75-BA2F-7E95-15415C83AFA2}"/>
              </a:ext>
            </a:extLst>
          </xdr:cNvPr>
          <xdr:cNvCxnSpPr/>
        </xdr:nvCxnSpPr>
        <xdr:spPr>
          <a:xfrm>
            <a:off x="4648200" y="30632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15" name="Gerader Verbinder 1514">
            <a:extLst>
              <a:ext uri="{FF2B5EF4-FFF2-40B4-BE49-F238E27FC236}">
                <a16:creationId xmlns:a16="http://schemas.microsoft.com/office/drawing/2014/main" id="{5B8F7132-33C2-BA93-BECE-F0D8F5AF7D12}"/>
              </a:ext>
            </a:extLst>
          </xdr:cNvPr>
          <xdr:cNvCxnSpPr/>
        </xdr:nvCxnSpPr>
        <xdr:spPr>
          <a:xfrm flipH="1">
            <a:off x="4648200" y="30632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16</xdr:row>
      <xdr:rowOff>0</xdr:rowOff>
    </xdr:from>
    <xdr:to>
      <xdr:col>8</xdr:col>
      <xdr:colOff>0</xdr:colOff>
      <xdr:row>17</xdr:row>
      <xdr:rowOff>0</xdr:rowOff>
    </xdr:to>
    <xdr:grpSp>
      <xdr:nvGrpSpPr>
        <xdr:cNvPr id="1519" name="Cross_H17">
          <a:extLst>
            <a:ext uri="{FF2B5EF4-FFF2-40B4-BE49-F238E27FC236}">
              <a16:creationId xmlns:a16="http://schemas.microsoft.com/office/drawing/2014/main" id="{35D6D9E8-3CDA-6B6A-9756-AC8528F2A106}"/>
            </a:ext>
          </a:extLst>
        </xdr:cNvPr>
        <xdr:cNvGrpSpPr/>
      </xdr:nvGrpSpPr>
      <xdr:grpSpPr>
        <a:xfrm>
          <a:off x="4495800" y="3257550"/>
          <a:ext cx="581025" cy="161925"/>
          <a:chOff x="4648200" y="3291840"/>
          <a:chExt cx="601980" cy="167640"/>
        </a:xfrm>
      </xdr:grpSpPr>
      <xdr:cxnSp macro="">
        <xdr:nvCxnSpPr>
          <xdr:cNvPr id="1517" name="Gerader Verbinder 1516">
            <a:extLst>
              <a:ext uri="{FF2B5EF4-FFF2-40B4-BE49-F238E27FC236}">
                <a16:creationId xmlns:a16="http://schemas.microsoft.com/office/drawing/2014/main" id="{6AE2F01B-8E3E-7CF5-DF06-02EA21D4BC56}"/>
              </a:ext>
            </a:extLst>
          </xdr:cNvPr>
          <xdr:cNvCxnSpPr/>
        </xdr:nvCxnSpPr>
        <xdr:spPr>
          <a:xfrm>
            <a:off x="4648200" y="3291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18" name="Gerader Verbinder 1517">
            <a:extLst>
              <a:ext uri="{FF2B5EF4-FFF2-40B4-BE49-F238E27FC236}">
                <a16:creationId xmlns:a16="http://schemas.microsoft.com/office/drawing/2014/main" id="{A44FFD5E-8EDC-1DE4-83B9-E6BE2EEE13D0}"/>
              </a:ext>
            </a:extLst>
          </xdr:cNvPr>
          <xdr:cNvCxnSpPr/>
        </xdr:nvCxnSpPr>
        <xdr:spPr>
          <a:xfrm flipH="1">
            <a:off x="4648200" y="3291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17</xdr:row>
      <xdr:rowOff>0</xdr:rowOff>
    </xdr:from>
    <xdr:to>
      <xdr:col>8</xdr:col>
      <xdr:colOff>0</xdr:colOff>
      <xdr:row>18</xdr:row>
      <xdr:rowOff>0</xdr:rowOff>
    </xdr:to>
    <xdr:grpSp>
      <xdr:nvGrpSpPr>
        <xdr:cNvPr id="1522" name="Cross_H18">
          <a:extLst>
            <a:ext uri="{FF2B5EF4-FFF2-40B4-BE49-F238E27FC236}">
              <a16:creationId xmlns:a16="http://schemas.microsoft.com/office/drawing/2014/main" id="{4A1F546F-74A7-8569-5F51-F6E820D47EBE}"/>
            </a:ext>
          </a:extLst>
        </xdr:cNvPr>
        <xdr:cNvGrpSpPr/>
      </xdr:nvGrpSpPr>
      <xdr:grpSpPr>
        <a:xfrm>
          <a:off x="4495800" y="3419475"/>
          <a:ext cx="581025" cy="161925"/>
          <a:chOff x="4648200" y="3459480"/>
          <a:chExt cx="601980" cy="167640"/>
        </a:xfrm>
      </xdr:grpSpPr>
      <xdr:cxnSp macro="">
        <xdr:nvCxnSpPr>
          <xdr:cNvPr id="1520" name="Gerader Verbinder 1519">
            <a:extLst>
              <a:ext uri="{FF2B5EF4-FFF2-40B4-BE49-F238E27FC236}">
                <a16:creationId xmlns:a16="http://schemas.microsoft.com/office/drawing/2014/main" id="{DBA13227-FDAE-04FC-2B08-7B2D33DE51F4}"/>
              </a:ext>
            </a:extLst>
          </xdr:cNvPr>
          <xdr:cNvCxnSpPr/>
        </xdr:nvCxnSpPr>
        <xdr:spPr>
          <a:xfrm>
            <a:off x="4648200" y="3459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21" name="Gerader Verbinder 1520">
            <a:extLst>
              <a:ext uri="{FF2B5EF4-FFF2-40B4-BE49-F238E27FC236}">
                <a16:creationId xmlns:a16="http://schemas.microsoft.com/office/drawing/2014/main" id="{44A0704D-CA37-3659-C136-FC2E1E6D634D}"/>
              </a:ext>
            </a:extLst>
          </xdr:cNvPr>
          <xdr:cNvCxnSpPr/>
        </xdr:nvCxnSpPr>
        <xdr:spPr>
          <a:xfrm flipH="1">
            <a:off x="4648200" y="3459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18</xdr:row>
      <xdr:rowOff>0</xdr:rowOff>
    </xdr:from>
    <xdr:to>
      <xdr:col>8</xdr:col>
      <xdr:colOff>0</xdr:colOff>
      <xdr:row>19</xdr:row>
      <xdr:rowOff>0</xdr:rowOff>
    </xdr:to>
    <xdr:grpSp>
      <xdr:nvGrpSpPr>
        <xdr:cNvPr id="1525" name="Cross_H19">
          <a:extLst>
            <a:ext uri="{FF2B5EF4-FFF2-40B4-BE49-F238E27FC236}">
              <a16:creationId xmlns:a16="http://schemas.microsoft.com/office/drawing/2014/main" id="{68590531-29D8-670F-1623-72377C7DAFE0}"/>
            </a:ext>
          </a:extLst>
        </xdr:cNvPr>
        <xdr:cNvGrpSpPr/>
      </xdr:nvGrpSpPr>
      <xdr:grpSpPr>
        <a:xfrm>
          <a:off x="4495800" y="3581400"/>
          <a:ext cx="581025" cy="228600"/>
          <a:chOff x="4648200" y="3627120"/>
          <a:chExt cx="601980" cy="228600"/>
        </a:xfrm>
      </xdr:grpSpPr>
      <xdr:cxnSp macro="">
        <xdr:nvCxnSpPr>
          <xdr:cNvPr id="1523" name="Gerader Verbinder 1522">
            <a:extLst>
              <a:ext uri="{FF2B5EF4-FFF2-40B4-BE49-F238E27FC236}">
                <a16:creationId xmlns:a16="http://schemas.microsoft.com/office/drawing/2014/main" id="{2A906130-DDE9-8FB6-29C7-B7BE5D92F925}"/>
              </a:ext>
            </a:extLst>
          </xdr:cNvPr>
          <xdr:cNvCxnSpPr/>
        </xdr:nvCxnSpPr>
        <xdr:spPr>
          <a:xfrm>
            <a:off x="464820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24" name="Gerader Verbinder 1523">
            <a:extLst>
              <a:ext uri="{FF2B5EF4-FFF2-40B4-BE49-F238E27FC236}">
                <a16:creationId xmlns:a16="http://schemas.microsoft.com/office/drawing/2014/main" id="{2CCAFB95-37AB-FE6B-6456-E1B9BF023722}"/>
              </a:ext>
            </a:extLst>
          </xdr:cNvPr>
          <xdr:cNvCxnSpPr/>
        </xdr:nvCxnSpPr>
        <xdr:spPr>
          <a:xfrm flipH="1">
            <a:off x="464820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19</xdr:row>
      <xdr:rowOff>0</xdr:rowOff>
    </xdr:from>
    <xdr:to>
      <xdr:col>8</xdr:col>
      <xdr:colOff>0</xdr:colOff>
      <xdr:row>20</xdr:row>
      <xdr:rowOff>0</xdr:rowOff>
    </xdr:to>
    <xdr:grpSp>
      <xdr:nvGrpSpPr>
        <xdr:cNvPr id="1528" name="Cross_H20">
          <a:extLst>
            <a:ext uri="{FF2B5EF4-FFF2-40B4-BE49-F238E27FC236}">
              <a16:creationId xmlns:a16="http://schemas.microsoft.com/office/drawing/2014/main" id="{F079EB64-92F8-7BC9-CFC5-C22437CFBB77}"/>
            </a:ext>
          </a:extLst>
        </xdr:cNvPr>
        <xdr:cNvGrpSpPr/>
      </xdr:nvGrpSpPr>
      <xdr:grpSpPr>
        <a:xfrm>
          <a:off x="4495800" y="3810000"/>
          <a:ext cx="581025" cy="161925"/>
          <a:chOff x="4648200" y="3855720"/>
          <a:chExt cx="601980" cy="167640"/>
        </a:xfrm>
      </xdr:grpSpPr>
      <xdr:cxnSp macro="">
        <xdr:nvCxnSpPr>
          <xdr:cNvPr id="1526" name="Gerader Verbinder 1525">
            <a:extLst>
              <a:ext uri="{FF2B5EF4-FFF2-40B4-BE49-F238E27FC236}">
                <a16:creationId xmlns:a16="http://schemas.microsoft.com/office/drawing/2014/main" id="{7075706A-FD05-6D0D-3C05-748E37D311C8}"/>
              </a:ext>
            </a:extLst>
          </xdr:cNvPr>
          <xdr:cNvCxnSpPr/>
        </xdr:nvCxnSpPr>
        <xdr:spPr>
          <a:xfrm>
            <a:off x="4648200" y="3855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27" name="Gerader Verbinder 1526">
            <a:extLst>
              <a:ext uri="{FF2B5EF4-FFF2-40B4-BE49-F238E27FC236}">
                <a16:creationId xmlns:a16="http://schemas.microsoft.com/office/drawing/2014/main" id="{20C8B64C-F0A7-7675-38F4-376AEE581340}"/>
              </a:ext>
            </a:extLst>
          </xdr:cNvPr>
          <xdr:cNvCxnSpPr/>
        </xdr:nvCxnSpPr>
        <xdr:spPr>
          <a:xfrm flipH="1">
            <a:off x="4648200" y="3855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20</xdr:row>
      <xdr:rowOff>0</xdr:rowOff>
    </xdr:from>
    <xdr:to>
      <xdr:col>8</xdr:col>
      <xdr:colOff>0</xdr:colOff>
      <xdr:row>21</xdr:row>
      <xdr:rowOff>0</xdr:rowOff>
    </xdr:to>
    <xdr:grpSp>
      <xdr:nvGrpSpPr>
        <xdr:cNvPr id="1531" name="Cross_H21">
          <a:extLst>
            <a:ext uri="{FF2B5EF4-FFF2-40B4-BE49-F238E27FC236}">
              <a16:creationId xmlns:a16="http://schemas.microsoft.com/office/drawing/2014/main" id="{35AE6B82-995F-913E-EA33-7A4C1BEF92C6}"/>
            </a:ext>
          </a:extLst>
        </xdr:cNvPr>
        <xdr:cNvGrpSpPr/>
      </xdr:nvGrpSpPr>
      <xdr:grpSpPr>
        <a:xfrm>
          <a:off x="4495800" y="3971925"/>
          <a:ext cx="581025" cy="161925"/>
          <a:chOff x="4648200" y="4023360"/>
          <a:chExt cx="601980" cy="167640"/>
        </a:xfrm>
      </xdr:grpSpPr>
      <xdr:cxnSp macro="">
        <xdr:nvCxnSpPr>
          <xdr:cNvPr id="1529" name="Gerader Verbinder 1528">
            <a:extLst>
              <a:ext uri="{FF2B5EF4-FFF2-40B4-BE49-F238E27FC236}">
                <a16:creationId xmlns:a16="http://schemas.microsoft.com/office/drawing/2014/main" id="{B426042B-D5C6-F004-6725-2A92F229F9AF}"/>
              </a:ext>
            </a:extLst>
          </xdr:cNvPr>
          <xdr:cNvCxnSpPr/>
        </xdr:nvCxnSpPr>
        <xdr:spPr>
          <a:xfrm>
            <a:off x="4648200" y="4023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30" name="Gerader Verbinder 1529">
            <a:extLst>
              <a:ext uri="{FF2B5EF4-FFF2-40B4-BE49-F238E27FC236}">
                <a16:creationId xmlns:a16="http://schemas.microsoft.com/office/drawing/2014/main" id="{85DDE71D-2A27-A1F1-301E-72FB44F0FDDB}"/>
              </a:ext>
            </a:extLst>
          </xdr:cNvPr>
          <xdr:cNvCxnSpPr/>
        </xdr:nvCxnSpPr>
        <xdr:spPr>
          <a:xfrm flipH="1">
            <a:off x="4648200" y="4023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21</xdr:row>
      <xdr:rowOff>0</xdr:rowOff>
    </xdr:from>
    <xdr:to>
      <xdr:col>8</xdr:col>
      <xdr:colOff>0</xdr:colOff>
      <xdr:row>22</xdr:row>
      <xdr:rowOff>0</xdr:rowOff>
    </xdr:to>
    <xdr:grpSp>
      <xdr:nvGrpSpPr>
        <xdr:cNvPr id="1534" name="Cross_H22">
          <a:extLst>
            <a:ext uri="{FF2B5EF4-FFF2-40B4-BE49-F238E27FC236}">
              <a16:creationId xmlns:a16="http://schemas.microsoft.com/office/drawing/2014/main" id="{A7A3D302-7620-FE5E-8491-2FD9A2887734}"/>
            </a:ext>
          </a:extLst>
        </xdr:cNvPr>
        <xdr:cNvGrpSpPr/>
      </xdr:nvGrpSpPr>
      <xdr:grpSpPr>
        <a:xfrm>
          <a:off x="4495800" y="4133850"/>
          <a:ext cx="581025" cy="228600"/>
          <a:chOff x="4648200" y="4191000"/>
          <a:chExt cx="601980" cy="228600"/>
        </a:xfrm>
      </xdr:grpSpPr>
      <xdr:cxnSp macro="">
        <xdr:nvCxnSpPr>
          <xdr:cNvPr id="1532" name="Gerader Verbinder 1531">
            <a:extLst>
              <a:ext uri="{FF2B5EF4-FFF2-40B4-BE49-F238E27FC236}">
                <a16:creationId xmlns:a16="http://schemas.microsoft.com/office/drawing/2014/main" id="{DE523923-99E6-6A24-A591-88EC4E10D599}"/>
              </a:ext>
            </a:extLst>
          </xdr:cNvPr>
          <xdr:cNvCxnSpPr/>
        </xdr:nvCxnSpPr>
        <xdr:spPr>
          <a:xfrm>
            <a:off x="4648200" y="4191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33" name="Gerader Verbinder 1532">
            <a:extLst>
              <a:ext uri="{FF2B5EF4-FFF2-40B4-BE49-F238E27FC236}">
                <a16:creationId xmlns:a16="http://schemas.microsoft.com/office/drawing/2014/main" id="{787D8F96-4587-5670-284F-E2CE97FBBB90}"/>
              </a:ext>
            </a:extLst>
          </xdr:cNvPr>
          <xdr:cNvCxnSpPr/>
        </xdr:nvCxnSpPr>
        <xdr:spPr>
          <a:xfrm flipH="1">
            <a:off x="4648200" y="4191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22</xdr:row>
      <xdr:rowOff>0</xdr:rowOff>
    </xdr:from>
    <xdr:to>
      <xdr:col>8</xdr:col>
      <xdr:colOff>0</xdr:colOff>
      <xdr:row>23</xdr:row>
      <xdr:rowOff>0</xdr:rowOff>
    </xdr:to>
    <xdr:grpSp>
      <xdr:nvGrpSpPr>
        <xdr:cNvPr id="1537" name="Cross_H23">
          <a:extLst>
            <a:ext uri="{FF2B5EF4-FFF2-40B4-BE49-F238E27FC236}">
              <a16:creationId xmlns:a16="http://schemas.microsoft.com/office/drawing/2014/main" id="{373262B3-F570-1849-6F1E-BF4C4EC40020}"/>
            </a:ext>
          </a:extLst>
        </xdr:cNvPr>
        <xdr:cNvGrpSpPr/>
      </xdr:nvGrpSpPr>
      <xdr:grpSpPr>
        <a:xfrm>
          <a:off x="4495800" y="4362450"/>
          <a:ext cx="581025" cy="161925"/>
          <a:chOff x="4648200" y="4419600"/>
          <a:chExt cx="601980" cy="167640"/>
        </a:xfrm>
      </xdr:grpSpPr>
      <xdr:cxnSp macro="">
        <xdr:nvCxnSpPr>
          <xdr:cNvPr id="1535" name="Gerader Verbinder 1534">
            <a:extLst>
              <a:ext uri="{FF2B5EF4-FFF2-40B4-BE49-F238E27FC236}">
                <a16:creationId xmlns:a16="http://schemas.microsoft.com/office/drawing/2014/main" id="{113CB287-2F19-3981-4210-AF89332DA3D3}"/>
              </a:ext>
            </a:extLst>
          </xdr:cNvPr>
          <xdr:cNvCxnSpPr/>
        </xdr:nvCxnSpPr>
        <xdr:spPr>
          <a:xfrm>
            <a:off x="4648200" y="4419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36" name="Gerader Verbinder 1535">
            <a:extLst>
              <a:ext uri="{FF2B5EF4-FFF2-40B4-BE49-F238E27FC236}">
                <a16:creationId xmlns:a16="http://schemas.microsoft.com/office/drawing/2014/main" id="{8075556E-49AD-C99E-2417-1DE95BCB9BF3}"/>
              </a:ext>
            </a:extLst>
          </xdr:cNvPr>
          <xdr:cNvCxnSpPr/>
        </xdr:nvCxnSpPr>
        <xdr:spPr>
          <a:xfrm flipH="1">
            <a:off x="4648200" y="4419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23</xdr:row>
      <xdr:rowOff>0</xdr:rowOff>
    </xdr:from>
    <xdr:to>
      <xdr:col>8</xdr:col>
      <xdr:colOff>0</xdr:colOff>
      <xdr:row>24</xdr:row>
      <xdr:rowOff>0</xdr:rowOff>
    </xdr:to>
    <xdr:grpSp>
      <xdr:nvGrpSpPr>
        <xdr:cNvPr id="1540" name="Cross_H24">
          <a:extLst>
            <a:ext uri="{FF2B5EF4-FFF2-40B4-BE49-F238E27FC236}">
              <a16:creationId xmlns:a16="http://schemas.microsoft.com/office/drawing/2014/main" id="{6C90D6B5-D55E-065F-48AE-2C7C446A5A97}"/>
            </a:ext>
          </a:extLst>
        </xdr:cNvPr>
        <xdr:cNvGrpSpPr/>
      </xdr:nvGrpSpPr>
      <xdr:grpSpPr>
        <a:xfrm>
          <a:off x="4495800" y="4524375"/>
          <a:ext cx="581025" cy="161925"/>
          <a:chOff x="4648200" y="4587240"/>
          <a:chExt cx="601980" cy="167640"/>
        </a:xfrm>
      </xdr:grpSpPr>
      <xdr:cxnSp macro="">
        <xdr:nvCxnSpPr>
          <xdr:cNvPr id="1538" name="Gerader Verbinder 1537">
            <a:extLst>
              <a:ext uri="{FF2B5EF4-FFF2-40B4-BE49-F238E27FC236}">
                <a16:creationId xmlns:a16="http://schemas.microsoft.com/office/drawing/2014/main" id="{33474D03-1674-5DF6-15DD-80EB34F73F57}"/>
              </a:ext>
            </a:extLst>
          </xdr:cNvPr>
          <xdr:cNvCxnSpPr/>
        </xdr:nvCxnSpPr>
        <xdr:spPr>
          <a:xfrm>
            <a:off x="4648200" y="4587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39" name="Gerader Verbinder 1538">
            <a:extLst>
              <a:ext uri="{FF2B5EF4-FFF2-40B4-BE49-F238E27FC236}">
                <a16:creationId xmlns:a16="http://schemas.microsoft.com/office/drawing/2014/main" id="{2223F9F2-910F-9693-1967-B6E7E8361110}"/>
              </a:ext>
            </a:extLst>
          </xdr:cNvPr>
          <xdr:cNvCxnSpPr/>
        </xdr:nvCxnSpPr>
        <xdr:spPr>
          <a:xfrm flipH="1">
            <a:off x="4648200" y="4587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30</xdr:row>
      <xdr:rowOff>0</xdr:rowOff>
    </xdr:from>
    <xdr:to>
      <xdr:col>8</xdr:col>
      <xdr:colOff>0</xdr:colOff>
      <xdr:row>31</xdr:row>
      <xdr:rowOff>0</xdr:rowOff>
    </xdr:to>
    <xdr:grpSp>
      <xdr:nvGrpSpPr>
        <xdr:cNvPr id="1543" name="Cross_H31">
          <a:extLst>
            <a:ext uri="{FF2B5EF4-FFF2-40B4-BE49-F238E27FC236}">
              <a16:creationId xmlns:a16="http://schemas.microsoft.com/office/drawing/2014/main" id="{73B902AB-FB42-0503-EC0A-F71963B90BD3}"/>
            </a:ext>
          </a:extLst>
        </xdr:cNvPr>
        <xdr:cNvGrpSpPr/>
      </xdr:nvGrpSpPr>
      <xdr:grpSpPr>
        <a:xfrm>
          <a:off x="4495800" y="5791200"/>
          <a:ext cx="581025" cy="228600"/>
          <a:chOff x="4648200" y="5882640"/>
          <a:chExt cx="601980" cy="228600"/>
        </a:xfrm>
      </xdr:grpSpPr>
      <xdr:cxnSp macro="">
        <xdr:nvCxnSpPr>
          <xdr:cNvPr id="1541" name="Gerader Verbinder 1540">
            <a:extLst>
              <a:ext uri="{FF2B5EF4-FFF2-40B4-BE49-F238E27FC236}">
                <a16:creationId xmlns:a16="http://schemas.microsoft.com/office/drawing/2014/main" id="{A2200F7A-1221-B4DF-84E3-D1D8188ED00D}"/>
              </a:ext>
            </a:extLst>
          </xdr:cNvPr>
          <xdr:cNvCxnSpPr/>
        </xdr:nvCxnSpPr>
        <xdr:spPr>
          <a:xfrm>
            <a:off x="4648200" y="58826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42" name="Gerader Verbinder 1541">
            <a:extLst>
              <a:ext uri="{FF2B5EF4-FFF2-40B4-BE49-F238E27FC236}">
                <a16:creationId xmlns:a16="http://schemas.microsoft.com/office/drawing/2014/main" id="{2DB06424-8147-3528-A17F-55DE5FEE74D8}"/>
              </a:ext>
            </a:extLst>
          </xdr:cNvPr>
          <xdr:cNvCxnSpPr/>
        </xdr:nvCxnSpPr>
        <xdr:spPr>
          <a:xfrm flipH="1">
            <a:off x="4648200" y="58826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31</xdr:row>
      <xdr:rowOff>0</xdr:rowOff>
    </xdr:from>
    <xdr:to>
      <xdr:col>8</xdr:col>
      <xdr:colOff>0</xdr:colOff>
      <xdr:row>32</xdr:row>
      <xdr:rowOff>0</xdr:rowOff>
    </xdr:to>
    <xdr:grpSp>
      <xdr:nvGrpSpPr>
        <xdr:cNvPr id="1546" name="Cross_H32">
          <a:extLst>
            <a:ext uri="{FF2B5EF4-FFF2-40B4-BE49-F238E27FC236}">
              <a16:creationId xmlns:a16="http://schemas.microsoft.com/office/drawing/2014/main" id="{DF0F1EF3-22F5-7A34-0003-CA86B2CF8469}"/>
            </a:ext>
          </a:extLst>
        </xdr:cNvPr>
        <xdr:cNvGrpSpPr/>
      </xdr:nvGrpSpPr>
      <xdr:grpSpPr>
        <a:xfrm>
          <a:off x="4495800" y="6019800"/>
          <a:ext cx="581025" cy="161925"/>
          <a:chOff x="4648200" y="6111240"/>
          <a:chExt cx="601980" cy="167640"/>
        </a:xfrm>
      </xdr:grpSpPr>
      <xdr:cxnSp macro="">
        <xdr:nvCxnSpPr>
          <xdr:cNvPr id="1544" name="Gerader Verbinder 1543">
            <a:extLst>
              <a:ext uri="{FF2B5EF4-FFF2-40B4-BE49-F238E27FC236}">
                <a16:creationId xmlns:a16="http://schemas.microsoft.com/office/drawing/2014/main" id="{7DA15BF0-BADC-3EE4-2D48-7A6BAD0D2B6F}"/>
              </a:ext>
            </a:extLst>
          </xdr:cNvPr>
          <xdr:cNvCxnSpPr/>
        </xdr:nvCxnSpPr>
        <xdr:spPr>
          <a:xfrm>
            <a:off x="4648200" y="6111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45" name="Gerader Verbinder 1544">
            <a:extLst>
              <a:ext uri="{FF2B5EF4-FFF2-40B4-BE49-F238E27FC236}">
                <a16:creationId xmlns:a16="http://schemas.microsoft.com/office/drawing/2014/main" id="{37BE0946-D496-4C85-0039-ACDE58F674C5}"/>
              </a:ext>
            </a:extLst>
          </xdr:cNvPr>
          <xdr:cNvCxnSpPr/>
        </xdr:nvCxnSpPr>
        <xdr:spPr>
          <a:xfrm flipH="1">
            <a:off x="4648200" y="6111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32</xdr:row>
      <xdr:rowOff>0</xdr:rowOff>
    </xdr:from>
    <xdr:to>
      <xdr:col>8</xdr:col>
      <xdr:colOff>0</xdr:colOff>
      <xdr:row>33</xdr:row>
      <xdr:rowOff>0</xdr:rowOff>
    </xdr:to>
    <xdr:grpSp>
      <xdr:nvGrpSpPr>
        <xdr:cNvPr id="1549" name="Cross_H33">
          <a:extLst>
            <a:ext uri="{FF2B5EF4-FFF2-40B4-BE49-F238E27FC236}">
              <a16:creationId xmlns:a16="http://schemas.microsoft.com/office/drawing/2014/main" id="{5DB5CA81-99FE-2042-3943-51B4DE64C9A5}"/>
            </a:ext>
          </a:extLst>
        </xdr:cNvPr>
        <xdr:cNvGrpSpPr/>
      </xdr:nvGrpSpPr>
      <xdr:grpSpPr>
        <a:xfrm>
          <a:off x="4495800" y="6181725"/>
          <a:ext cx="581025" cy="161925"/>
          <a:chOff x="4648200" y="6278880"/>
          <a:chExt cx="601980" cy="167640"/>
        </a:xfrm>
      </xdr:grpSpPr>
      <xdr:cxnSp macro="">
        <xdr:nvCxnSpPr>
          <xdr:cNvPr id="1547" name="Gerader Verbinder 1546">
            <a:extLst>
              <a:ext uri="{FF2B5EF4-FFF2-40B4-BE49-F238E27FC236}">
                <a16:creationId xmlns:a16="http://schemas.microsoft.com/office/drawing/2014/main" id="{FDCF4A75-5665-C4C3-A651-EF2A0A5CEE2C}"/>
              </a:ext>
            </a:extLst>
          </xdr:cNvPr>
          <xdr:cNvCxnSpPr/>
        </xdr:nvCxnSpPr>
        <xdr:spPr>
          <a:xfrm>
            <a:off x="4648200" y="6278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48" name="Gerader Verbinder 1547">
            <a:extLst>
              <a:ext uri="{FF2B5EF4-FFF2-40B4-BE49-F238E27FC236}">
                <a16:creationId xmlns:a16="http://schemas.microsoft.com/office/drawing/2014/main" id="{3A862372-653A-F349-6E23-CC3F6309ADFD}"/>
              </a:ext>
            </a:extLst>
          </xdr:cNvPr>
          <xdr:cNvCxnSpPr/>
        </xdr:nvCxnSpPr>
        <xdr:spPr>
          <a:xfrm flipH="1">
            <a:off x="4648200" y="6278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33</xdr:row>
      <xdr:rowOff>0</xdr:rowOff>
    </xdr:from>
    <xdr:to>
      <xdr:col>8</xdr:col>
      <xdr:colOff>0</xdr:colOff>
      <xdr:row>34</xdr:row>
      <xdr:rowOff>0</xdr:rowOff>
    </xdr:to>
    <xdr:grpSp>
      <xdr:nvGrpSpPr>
        <xdr:cNvPr id="1552" name="Cross_H34">
          <a:extLst>
            <a:ext uri="{FF2B5EF4-FFF2-40B4-BE49-F238E27FC236}">
              <a16:creationId xmlns:a16="http://schemas.microsoft.com/office/drawing/2014/main" id="{A0D7D431-AAB2-FA82-5A4B-C61D0EB5C010}"/>
            </a:ext>
          </a:extLst>
        </xdr:cNvPr>
        <xdr:cNvGrpSpPr/>
      </xdr:nvGrpSpPr>
      <xdr:grpSpPr>
        <a:xfrm>
          <a:off x="4495800" y="6343650"/>
          <a:ext cx="581025" cy="228600"/>
          <a:chOff x="4648200" y="6446520"/>
          <a:chExt cx="601980" cy="228600"/>
        </a:xfrm>
      </xdr:grpSpPr>
      <xdr:cxnSp macro="">
        <xdr:nvCxnSpPr>
          <xdr:cNvPr id="1550" name="Gerader Verbinder 1549">
            <a:extLst>
              <a:ext uri="{FF2B5EF4-FFF2-40B4-BE49-F238E27FC236}">
                <a16:creationId xmlns:a16="http://schemas.microsoft.com/office/drawing/2014/main" id="{3E900C44-9C36-8DCB-FC98-1BE0DF1C5E49}"/>
              </a:ext>
            </a:extLst>
          </xdr:cNvPr>
          <xdr:cNvCxnSpPr/>
        </xdr:nvCxnSpPr>
        <xdr:spPr>
          <a:xfrm>
            <a:off x="4648200" y="64465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51" name="Gerader Verbinder 1550">
            <a:extLst>
              <a:ext uri="{FF2B5EF4-FFF2-40B4-BE49-F238E27FC236}">
                <a16:creationId xmlns:a16="http://schemas.microsoft.com/office/drawing/2014/main" id="{459FF7AD-D9CE-A409-E2F5-0BE6759EDF53}"/>
              </a:ext>
            </a:extLst>
          </xdr:cNvPr>
          <xdr:cNvCxnSpPr/>
        </xdr:nvCxnSpPr>
        <xdr:spPr>
          <a:xfrm flipH="1">
            <a:off x="4648200" y="64465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34</xdr:row>
      <xdr:rowOff>0</xdr:rowOff>
    </xdr:from>
    <xdr:to>
      <xdr:col>8</xdr:col>
      <xdr:colOff>0</xdr:colOff>
      <xdr:row>35</xdr:row>
      <xdr:rowOff>0</xdr:rowOff>
    </xdr:to>
    <xdr:grpSp>
      <xdr:nvGrpSpPr>
        <xdr:cNvPr id="1555" name="Cross_H35">
          <a:extLst>
            <a:ext uri="{FF2B5EF4-FFF2-40B4-BE49-F238E27FC236}">
              <a16:creationId xmlns:a16="http://schemas.microsoft.com/office/drawing/2014/main" id="{7952BEE5-4D06-222A-BD0E-B2F27AFBD9C8}"/>
            </a:ext>
          </a:extLst>
        </xdr:cNvPr>
        <xdr:cNvGrpSpPr/>
      </xdr:nvGrpSpPr>
      <xdr:grpSpPr>
        <a:xfrm>
          <a:off x="4495800" y="6572250"/>
          <a:ext cx="581025" cy="161925"/>
          <a:chOff x="4648200" y="6675120"/>
          <a:chExt cx="601980" cy="167640"/>
        </a:xfrm>
      </xdr:grpSpPr>
      <xdr:cxnSp macro="">
        <xdr:nvCxnSpPr>
          <xdr:cNvPr id="1553" name="Gerader Verbinder 1552">
            <a:extLst>
              <a:ext uri="{FF2B5EF4-FFF2-40B4-BE49-F238E27FC236}">
                <a16:creationId xmlns:a16="http://schemas.microsoft.com/office/drawing/2014/main" id="{6A8D8CA2-C324-5E7B-8B39-AD9099FC55A6}"/>
              </a:ext>
            </a:extLst>
          </xdr:cNvPr>
          <xdr:cNvCxnSpPr/>
        </xdr:nvCxnSpPr>
        <xdr:spPr>
          <a:xfrm>
            <a:off x="4648200" y="6675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54" name="Gerader Verbinder 1553">
            <a:extLst>
              <a:ext uri="{FF2B5EF4-FFF2-40B4-BE49-F238E27FC236}">
                <a16:creationId xmlns:a16="http://schemas.microsoft.com/office/drawing/2014/main" id="{52A5269E-92D5-4E52-0E7F-BFAF7058BEBF}"/>
              </a:ext>
            </a:extLst>
          </xdr:cNvPr>
          <xdr:cNvCxnSpPr/>
        </xdr:nvCxnSpPr>
        <xdr:spPr>
          <a:xfrm flipH="1">
            <a:off x="4648200" y="6675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35</xdr:row>
      <xdr:rowOff>0</xdr:rowOff>
    </xdr:from>
    <xdr:to>
      <xdr:col>8</xdr:col>
      <xdr:colOff>0</xdr:colOff>
      <xdr:row>36</xdr:row>
      <xdr:rowOff>0</xdr:rowOff>
    </xdr:to>
    <xdr:grpSp>
      <xdr:nvGrpSpPr>
        <xdr:cNvPr id="1558" name="Cross_H36">
          <a:extLst>
            <a:ext uri="{FF2B5EF4-FFF2-40B4-BE49-F238E27FC236}">
              <a16:creationId xmlns:a16="http://schemas.microsoft.com/office/drawing/2014/main" id="{E318D593-12D6-CEE9-E4EE-FD1029612D2D}"/>
            </a:ext>
          </a:extLst>
        </xdr:cNvPr>
        <xdr:cNvGrpSpPr/>
      </xdr:nvGrpSpPr>
      <xdr:grpSpPr>
        <a:xfrm>
          <a:off x="4495800" y="6734175"/>
          <a:ext cx="581025" cy="161925"/>
          <a:chOff x="4648200" y="6842760"/>
          <a:chExt cx="601980" cy="167640"/>
        </a:xfrm>
      </xdr:grpSpPr>
      <xdr:cxnSp macro="">
        <xdr:nvCxnSpPr>
          <xdr:cNvPr id="1556" name="Gerader Verbinder 1555">
            <a:extLst>
              <a:ext uri="{FF2B5EF4-FFF2-40B4-BE49-F238E27FC236}">
                <a16:creationId xmlns:a16="http://schemas.microsoft.com/office/drawing/2014/main" id="{03A2FB81-6A8F-C75A-0571-7D734557E41B}"/>
              </a:ext>
            </a:extLst>
          </xdr:cNvPr>
          <xdr:cNvCxnSpPr/>
        </xdr:nvCxnSpPr>
        <xdr:spPr>
          <a:xfrm>
            <a:off x="4648200" y="6842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57" name="Gerader Verbinder 1556">
            <a:extLst>
              <a:ext uri="{FF2B5EF4-FFF2-40B4-BE49-F238E27FC236}">
                <a16:creationId xmlns:a16="http://schemas.microsoft.com/office/drawing/2014/main" id="{11D5056A-A959-6331-04FB-1ACC7F6DDA48}"/>
              </a:ext>
            </a:extLst>
          </xdr:cNvPr>
          <xdr:cNvCxnSpPr/>
        </xdr:nvCxnSpPr>
        <xdr:spPr>
          <a:xfrm flipH="1">
            <a:off x="4648200" y="6842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36</xdr:row>
      <xdr:rowOff>0</xdr:rowOff>
    </xdr:from>
    <xdr:to>
      <xdr:col>8</xdr:col>
      <xdr:colOff>0</xdr:colOff>
      <xdr:row>37</xdr:row>
      <xdr:rowOff>0</xdr:rowOff>
    </xdr:to>
    <xdr:grpSp>
      <xdr:nvGrpSpPr>
        <xdr:cNvPr id="1561" name="Cross_H37">
          <a:extLst>
            <a:ext uri="{FF2B5EF4-FFF2-40B4-BE49-F238E27FC236}">
              <a16:creationId xmlns:a16="http://schemas.microsoft.com/office/drawing/2014/main" id="{F73D0844-6BE6-45CB-7AB8-752E65807B40}"/>
            </a:ext>
          </a:extLst>
        </xdr:cNvPr>
        <xdr:cNvGrpSpPr/>
      </xdr:nvGrpSpPr>
      <xdr:grpSpPr>
        <a:xfrm>
          <a:off x="4495800" y="6896100"/>
          <a:ext cx="581025" cy="228600"/>
          <a:chOff x="4648200" y="7010400"/>
          <a:chExt cx="601980" cy="228600"/>
        </a:xfrm>
      </xdr:grpSpPr>
      <xdr:cxnSp macro="">
        <xdr:nvCxnSpPr>
          <xdr:cNvPr id="1559" name="Gerader Verbinder 1558">
            <a:extLst>
              <a:ext uri="{FF2B5EF4-FFF2-40B4-BE49-F238E27FC236}">
                <a16:creationId xmlns:a16="http://schemas.microsoft.com/office/drawing/2014/main" id="{DE63058B-0EB4-E2D1-DD02-84EB3D663FF2}"/>
              </a:ext>
            </a:extLst>
          </xdr:cNvPr>
          <xdr:cNvCxnSpPr/>
        </xdr:nvCxnSpPr>
        <xdr:spPr>
          <a:xfrm>
            <a:off x="464820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60" name="Gerader Verbinder 1559">
            <a:extLst>
              <a:ext uri="{FF2B5EF4-FFF2-40B4-BE49-F238E27FC236}">
                <a16:creationId xmlns:a16="http://schemas.microsoft.com/office/drawing/2014/main" id="{AEF9920C-EB43-B51B-CD58-F70E0F210895}"/>
              </a:ext>
            </a:extLst>
          </xdr:cNvPr>
          <xdr:cNvCxnSpPr/>
        </xdr:nvCxnSpPr>
        <xdr:spPr>
          <a:xfrm flipH="1">
            <a:off x="464820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37</xdr:row>
      <xdr:rowOff>0</xdr:rowOff>
    </xdr:from>
    <xdr:to>
      <xdr:col>8</xdr:col>
      <xdr:colOff>0</xdr:colOff>
      <xdr:row>38</xdr:row>
      <xdr:rowOff>0</xdr:rowOff>
    </xdr:to>
    <xdr:grpSp>
      <xdr:nvGrpSpPr>
        <xdr:cNvPr id="1564" name="Cross_H38">
          <a:extLst>
            <a:ext uri="{FF2B5EF4-FFF2-40B4-BE49-F238E27FC236}">
              <a16:creationId xmlns:a16="http://schemas.microsoft.com/office/drawing/2014/main" id="{9199F760-F42B-4E7A-CE47-026893C6F85C}"/>
            </a:ext>
          </a:extLst>
        </xdr:cNvPr>
        <xdr:cNvGrpSpPr/>
      </xdr:nvGrpSpPr>
      <xdr:grpSpPr>
        <a:xfrm>
          <a:off x="4495800" y="7124700"/>
          <a:ext cx="581025" cy="161925"/>
          <a:chOff x="4648200" y="7239000"/>
          <a:chExt cx="601980" cy="167640"/>
        </a:xfrm>
      </xdr:grpSpPr>
      <xdr:cxnSp macro="">
        <xdr:nvCxnSpPr>
          <xdr:cNvPr id="1562" name="Gerader Verbinder 1561">
            <a:extLst>
              <a:ext uri="{FF2B5EF4-FFF2-40B4-BE49-F238E27FC236}">
                <a16:creationId xmlns:a16="http://schemas.microsoft.com/office/drawing/2014/main" id="{75D9D7A4-3BBF-F1C3-5551-0955B3A288EE}"/>
              </a:ext>
            </a:extLst>
          </xdr:cNvPr>
          <xdr:cNvCxnSpPr/>
        </xdr:nvCxnSpPr>
        <xdr:spPr>
          <a:xfrm>
            <a:off x="4648200" y="7239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63" name="Gerader Verbinder 1562">
            <a:extLst>
              <a:ext uri="{FF2B5EF4-FFF2-40B4-BE49-F238E27FC236}">
                <a16:creationId xmlns:a16="http://schemas.microsoft.com/office/drawing/2014/main" id="{E74DA6EB-9453-5878-B883-60645D19DD7E}"/>
              </a:ext>
            </a:extLst>
          </xdr:cNvPr>
          <xdr:cNvCxnSpPr/>
        </xdr:nvCxnSpPr>
        <xdr:spPr>
          <a:xfrm flipH="1">
            <a:off x="4648200" y="7239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38</xdr:row>
      <xdr:rowOff>0</xdr:rowOff>
    </xdr:from>
    <xdr:to>
      <xdr:col>8</xdr:col>
      <xdr:colOff>0</xdr:colOff>
      <xdr:row>39</xdr:row>
      <xdr:rowOff>0</xdr:rowOff>
    </xdr:to>
    <xdr:grpSp>
      <xdr:nvGrpSpPr>
        <xdr:cNvPr id="1567" name="Cross_H39">
          <a:extLst>
            <a:ext uri="{FF2B5EF4-FFF2-40B4-BE49-F238E27FC236}">
              <a16:creationId xmlns:a16="http://schemas.microsoft.com/office/drawing/2014/main" id="{89168E28-AFA1-9F8E-BB37-EB34B7000680}"/>
            </a:ext>
          </a:extLst>
        </xdr:cNvPr>
        <xdr:cNvGrpSpPr/>
      </xdr:nvGrpSpPr>
      <xdr:grpSpPr>
        <a:xfrm>
          <a:off x="4495800" y="7286625"/>
          <a:ext cx="581025" cy="161925"/>
          <a:chOff x="4648200" y="7406640"/>
          <a:chExt cx="601980" cy="167640"/>
        </a:xfrm>
      </xdr:grpSpPr>
      <xdr:cxnSp macro="">
        <xdr:nvCxnSpPr>
          <xdr:cNvPr id="1565" name="Gerader Verbinder 1564">
            <a:extLst>
              <a:ext uri="{FF2B5EF4-FFF2-40B4-BE49-F238E27FC236}">
                <a16:creationId xmlns:a16="http://schemas.microsoft.com/office/drawing/2014/main" id="{3D22F3E6-029B-68DB-7371-B4DF3F17B555}"/>
              </a:ext>
            </a:extLst>
          </xdr:cNvPr>
          <xdr:cNvCxnSpPr/>
        </xdr:nvCxnSpPr>
        <xdr:spPr>
          <a:xfrm>
            <a:off x="4648200" y="7406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66" name="Gerader Verbinder 1565">
            <a:extLst>
              <a:ext uri="{FF2B5EF4-FFF2-40B4-BE49-F238E27FC236}">
                <a16:creationId xmlns:a16="http://schemas.microsoft.com/office/drawing/2014/main" id="{C46CA1C3-44BF-D2D1-9ACD-0177CE5C6134}"/>
              </a:ext>
            </a:extLst>
          </xdr:cNvPr>
          <xdr:cNvCxnSpPr/>
        </xdr:nvCxnSpPr>
        <xdr:spPr>
          <a:xfrm flipH="1">
            <a:off x="4648200" y="7406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39</xdr:row>
      <xdr:rowOff>0</xdr:rowOff>
    </xdr:from>
    <xdr:to>
      <xdr:col>8</xdr:col>
      <xdr:colOff>0</xdr:colOff>
      <xdr:row>40</xdr:row>
      <xdr:rowOff>0</xdr:rowOff>
    </xdr:to>
    <xdr:grpSp>
      <xdr:nvGrpSpPr>
        <xdr:cNvPr id="1570" name="Cross_H40">
          <a:extLst>
            <a:ext uri="{FF2B5EF4-FFF2-40B4-BE49-F238E27FC236}">
              <a16:creationId xmlns:a16="http://schemas.microsoft.com/office/drawing/2014/main" id="{A6DC1CB8-BCC9-2361-5A5E-9FB25B9F8A19}"/>
            </a:ext>
          </a:extLst>
        </xdr:cNvPr>
        <xdr:cNvGrpSpPr/>
      </xdr:nvGrpSpPr>
      <xdr:grpSpPr>
        <a:xfrm>
          <a:off x="4495800" y="7448550"/>
          <a:ext cx="581025" cy="228600"/>
          <a:chOff x="4648200" y="7574280"/>
          <a:chExt cx="601980" cy="228600"/>
        </a:xfrm>
      </xdr:grpSpPr>
      <xdr:cxnSp macro="">
        <xdr:nvCxnSpPr>
          <xdr:cNvPr id="1568" name="Gerader Verbinder 1567">
            <a:extLst>
              <a:ext uri="{FF2B5EF4-FFF2-40B4-BE49-F238E27FC236}">
                <a16:creationId xmlns:a16="http://schemas.microsoft.com/office/drawing/2014/main" id="{0E26EBB8-1067-5412-AEAE-55012C701E3A}"/>
              </a:ext>
            </a:extLst>
          </xdr:cNvPr>
          <xdr:cNvCxnSpPr/>
        </xdr:nvCxnSpPr>
        <xdr:spPr>
          <a:xfrm>
            <a:off x="464820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69" name="Gerader Verbinder 1568">
            <a:extLst>
              <a:ext uri="{FF2B5EF4-FFF2-40B4-BE49-F238E27FC236}">
                <a16:creationId xmlns:a16="http://schemas.microsoft.com/office/drawing/2014/main" id="{F92772CC-6EEE-386C-801B-90B0AD3AE8AD}"/>
              </a:ext>
            </a:extLst>
          </xdr:cNvPr>
          <xdr:cNvCxnSpPr/>
        </xdr:nvCxnSpPr>
        <xdr:spPr>
          <a:xfrm flipH="1">
            <a:off x="464820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40</xdr:row>
      <xdr:rowOff>0</xdr:rowOff>
    </xdr:from>
    <xdr:to>
      <xdr:col>8</xdr:col>
      <xdr:colOff>0</xdr:colOff>
      <xdr:row>41</xdr:row>
      <xdr:rowOff>0</xdr:rowOff>
    </xdr:to>
    <xdr:grpSp>
      <xdr:nvGrpSpPr>
        <xdr:cNvPr id="1573" name="Cross_H41">
          <a:extLst>
            <a:ext uri="{FF2B5EF4-FFF2-40B4-BE49-F238E27FC236}">
              <a16:creationId xmlns:a16="http://schemas.microsoft.com/office/drawing/2014/main" id="{5BB7C635-675B-D5F0-14E4-C7B7CA7CC2F3}"/>
            </a:ext>
          </a:extLst>
        </xdr:cNvPr>
        <xdr:cNvGrpSpPr/>
      </xdr:nvGrpSpPr>
      <xdr:grpSpPr>
        <a:xfrm>
          <a:off x="4495800" y="7677150"/>
          <a:ext cx="581025" cy="161925"/>
          <a:chOff x="4648200" y="7802880"/>
          <a:chExt cx="601980" cy="167640"/>
        </a:xfrm>
      </xdr:grpSpPr>
      <xdr:cxnSp macro="">
        <xdr:nvCxnSpPr>
          <xdr:cNvPr id="1571" name="Gerader Verbinder 1570">
            <a:extLst>
              <a:ext uri="{FF2B5EF4-FFF2-40B4-BE49-F238E27FC236}">
                <a16:creationId xmlns:a16="http://schemas.microsoft.com/office/drawing/2014/main" id="{B58272A7-2624-68C9-F7A3-A1C56A0C3A8F}"/>
              </a:ext>
            </a:extLst>
          </xdr:cNvPr>
          <xdr:cNvCxnSpPr/>
        </xdr:nvCxnSpPr>
        <xdr:spPr>
          <a:xfrm>
            <a:off x="4648200" y="7802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72" name="Gerader Verbinder 1571">
            <a:extLst>
              <a:ext uri="{FF2B5EF4-FFF2-40B4-BE49-F238E27FC236}">
                <a16:creationId xmlns:a16="http://schemas.microsoft.com/office/drawing/2014/main" id="{99D29D54-98E3-D40C-A8C2-05BB0840F85E}"/>
              </a:ext>
            </a:extLst>
          </xdr:cNvPr>
          <xdr:cNvCxnSpPr/>
        </xdr:nvCxnSpPr>
        <xdr:spPr>
          <a:xfrm flipH="1">
            <a:off x="4648200" y="7802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41</xdr:row>
      <xdr:rowOff>0</xdr:rowOff>
    </xdr:from>
    <xdr:to>
      <xdr:col>8</xdr:col>
      <xdr:colOff>0</xdr:colOff>
      <xdr:row>42</xdr:row>
      <xdr:rowOff>0</xdr:rowOff>
    </xdr:to>
    <xdr:grpSp>
      <xdr:nvGrpSpPr>
        <xdr:cNvPr id="1576" name="Cross_H42">
          <a:extLst>
            <a:ext uri="{FF2B5EF4-FFF2-40B4-BE49-F238E27FC236}">
              <a16:creationId xmlns:a16="http://schemas.microsoft.com/office/drawing/2014/main" id="{6681C769-FCA4-2B38-7E14-A09F0FC3CFF2}"/>
            </a:ext>
          </a:extLst>
        </xdr:cNvPr>
        <xdr:cNvGrpSpPr/>
      </xdr:nvGrpSpPr>
      <xdr:grpSpPr>
        <a:xfrm>
          <a:off x="4495800" y="7839075"/>
          <a:ext cx="581025" cy="161925"/>
          <a:chOff x="4648200" y="7970520"/>
          <a:chExt cx="601980" cy="167640"/>
        </a:xfrm>
      </xdr:grpSpPr>
      <xdr:cxnSp macro="">
        <xdr:nvCxnSpPr>
          <xdr:cNvPr id="1574" name="Gerader Verbinder 1573">
            <a:extLst>
              <a:ext uri="{FF2B5EF4-FFF2-40B4-BE49-F238E27FC236}">
                <a16:creationId xmlns:a16="http://schemas.microsoft.com/office/drawing/2014/main" id="{33F7A947-CF61-90B9-51E2-9EF8B4A9AC83}"/>
              </a:ext>
            </a:extLst>
          </xdr:cNvPr>
          <xdr:cNvCxnSpPr/>
        </xdr:nvCxnSpPr>
        <xdr:spPr>
          <a:xfrm>
            <a:off x="4648200" y="7970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75" name="Gerader Verbinder 1574">
            <a:extLst>
              <a:ext uri="{FF2B5EF4-FFF2-40B4-BE49-F238E27FC236}">
                <a16:creationId xmlns:a16="http://schemas.microsoft.com/office/drawing/2014/main" id="{E2F7C5F8-ADAC-C680-FE2B-BDB698E23BD2}"/>
              </a:ext>
            </a:extLst>
          </xdr:cNvPr>
          <xdr:cNvCxnSpPr/>
        </xdr:nvCxnSpPr>
        <xdr:spPr>
          <a:xfrm flipH="1">
            <a:off x="4648200" y="7970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51</xdr:row>
      <xdr:rowOff>0</xdr:rowOff>
    </xdr:from>
    <xdr:to>
      <xdr:col>8</xdr:col>
      <xdr:colOff>0</xdr:colOff>
      <xdr:row>52</xdr:row>
      <xdr:rowOff>0</xdr:rowOff>
    </xdr:to>
    <xdr:grpSp>
      <xdr:nvGrpSpPr>
        <xdr:cNvPr id="1579" name="Cross_H52">
          <a:extLst>
            <a:ext uri="{FF2B5EF4-FFF2-40B4-BE49-F238E27FC236}">
              <a16:creationId xmlns:a16="http://schemas.microsoft.com/office/drawing/2014/main" id="{470D1B3D-8679-C03D-E96E-D3C396D169ED}"/>
            </a:ext>
          </a:extLst>
        </xdr:cNvPr>
        <xdr:cNvGrpSpPr/>
      </xdr:nvGrpSpPr>
      <xdr:grpSpPr>
        <a:xfrm>
          <a:off x="4495800" y="9658350"/>
          <a:ext cx="581025" cy="228600"/>
          <a:chOff x="4648200" y="9829800"/>
          <a:chExt cx="601980" cy="228600"/>
        </a:xfrm>
      </xdr:grpSpPr>
      <xdr:cxnSp macro="">
        <xdr:nvCxnSpPr>
          <xdr:cNvPr id="1577" name="Gerader Verbinder 1576">
            <a:extLst>
              <a:ext uri="{FF2B5EF4-FFF2-40B4-BE49-F238E27FC236}">
                <a16:creationId xmlns:a16="http://schemas.microsoft.com/office/drawing/2014/main" id="{A82A1239-E788-4A5C-80E8-3B0C2894CF6E}"/>
              </a:ext>
            </a:extLst>
          </xdr:cNvPr>
          <xdr:cNvCxnSpPr/>
        </xdr:nvCxnSpPr>
        <xdr:spPr>
          <a:xfrm>
            <a:off x="4648200" y="9829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78" name="Gerader Verbinder 1577">
            <a:extLst>
              <a:ext uri="{FF2B5EF4-FFF2-40B4-BE49-F238E27FC236}">
                <a16:creationId xmlns:a16="http://schemas.microsoft.com/office/drawing/2014/main" id="{30FA2490-7F80-BFDF-0FC4-A0D3CA6AF6A3}"/>
              </a:ext>
            </a:extLst>
          </xdr:cNvPr>
          <xdr:cNvCxnSpPr/>
        </xdr:nvCxnSpPr>
        <xdr:spPr>
          <a:xfrm flipH="1">
            <a:off x="4648200" y="9829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52</xdr:row>
      <xdr:rowOff>0</xdr:rowOff>
    </xdr:from>
    <xdr:to>
      <xdr:col>8</xdr:col>
      <xdr:colOff>0</xdr:colOff>
      <xdr:row>53</xdr:row>
      <xdr:rowOff>0</xdr:rowOff>
    </xdr:to>
    <xdr:grpSp>
      <xdr:nvGrpSpPr>
        <xdr:cNvPr id="1582" name="Cross_H53">
          <a:extLst>
            <a:ext uri="{FF2B5EF4-FFF2-40B4-BE49-F238E27FC236}">
              <a16:creationId xmlns:a16="http://schemas.microsoft.com/office/drawing/2014/main" id="{5270FAE8-5384-7446-0998-849C869D85E2}"/>
            </a:ext>
          </a:extLst>
        </xdr:cNvPr>
        <xdr:cNvGrpSpPr/>
      </xdr:nvGrpSpPr>
      <xdr:grpSpPr>
        <a:xfrm>
          <a:off x="4495800" y="9886950"/>
          <a:ext cx="581025" cy="161925"/>
          <a:chOff x="4648200" y="10058400"/>
          <a:chExt cx="601980" cy="167640"/>
        </a:xfrm>
      </xdr:grpSpPr>
      <xdr:cxnSp macro="">
        <xdr:nvCxnSpPr>
          <xdr:cNvPr id="1580" name="Gerader Verbinder 1579">
            <a:extLst>
              <a:ext uri="{FF2B5EF4-FFF2-40B4-BE49-F238E27FC236}">
                <a16:creationId xmlns:a16="http://schemas.microsoft.com/office/drawing/2014/main" id="{4E44D15A-3AB4-B266-6136-53DEF669A685}"/>
              </a:ext>
            </a:extLst>
          </xdr:cNvPr>
          <xdr:cNvCxnSpPr/>
        </xdr:nvCxnSpPr>
        <xdr:spPr>
          <a:xfrm>
            <a:off x="4648200" y="10058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81" name="Gerader Verbinder 1580">
            <a:extLst>
              <a:ext uri="{FF2B5EF4-FFF2-40B4-BE49-F238E27FC236}">
                <a16:creationId xmlns:a16="http://schemas.microsoft.com/office/drawing/2014/main" id="{A4A9B269-0B1B-9D3D-B979-892A338CCF5A}"/>
              </a:ext>
            </a:extLst>
          </xdr:cNvPr>
          <xdr:cNvCxnSpPr/>
        </xdr:nvCxnSpPr>
        <xdr:spPr>
          <a:xfrm flipH="1">
            <a:off x="4648200" y="10058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53</xdr:row>
      <xdr:rowOff>0</xdr:rowOff>
    </xdr:from>
    <xdr:to>
      <xdr:col>8</xdr:col>
      <xdr:colOff>0</xdr:colOff>
      <xdr:row>54</xdr:row>
      <xdr:rowOff>0</xdr:rowOff>
    </xdr:to>
    <xdr:grpSp>
      <xdr:nvGrpSpPr>
        <xdr:cNvPr id="1585" name="Cross_H54">
          <a:extLst>
            <a:ext uri="{FF2B5EF4-FFF2-40B4-BE49-F238E27FC236}">
              <a16:creationId xmlns:a16="http://schemas.microsoft.com/office/drawing/2014/main" id="{724E4A9C-1633-9A96-F0EA-528BBBD75F8C}"/>
            </a:ext>
          </a:extLst>
        </xdr:cNvPr>
        <xdr:cNvGrpSpPr/>
      </xdr:nvGrpSpPr>
      <xdr:grpSpPr>
        <a:xfrm>
          <a:off x="4495800" y="10048875"/>
          <a:ext cx="581025" cy="161925"/>
          <a:chOff x="4648200" y="10226040"/>
          <a:chExt cx="601980" cy="167640"/>
        </a:xfrm>
      </xdr:grpSpPr>
      <xdr:cxnSp macro="">
        <xdr:nvCxnSpPr>
          <xdr:cNvPr id="1583" name="Gerader Verbinder 1582">
            <a:extLst>
              <a:ext uri="{FF2B5EF4-FFF2-40B4-BE49-F238E27FC236}">
                <a16:creationId xmlns:a16="http://schemas.microsoft.com/office/drawing/2014/main" id="{53CCB3B8-9398-5CEE-826A-A9ADFF99F0D2}"/>
              </a:ext>
            </a:extLst>
          </xdr:cNvPr>
          <xdr:cNvCxnSpPr/>
        </xdr:nvCxnSpPr>
        <xdr:spPr>
          <a:xfrm>
            <a:off x="4648200" y="10226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84" name="Gerader Verbinder 1583">
            <a:extLst>
              <a:ext uri="{FF2B5EF4-FFF2-40B4-BE49-F238E27FC236}">
                <a16:creationId xmlns:a16="http://schemas.microsoft.com/office/drawing/2014/main" id="{5E4406DE-9D2B-D1B7-1B8E-F262696CC817}"/>
              </a:ext>
            </a:extLst>
          </xdr:cNvPr>
          <xdr:cNvCxnSpPr/>
        </xdr:nvCxnSpPr>
        <xdr:spPr>
          <a:xfrm flipH="1">
            <a:off x="4648200" y="10226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54</xdr:row>
      <xdr:rowOff>0</xdr:rowOff>
    </xdr:from>
    <xdr:to>
      <xdr:col>8</xdr:col>
      <xdr:colOff>0</xdr:colOff>
      <xdr:row>55</xdr:row>
      <xdr:rowOff>0</xdr:rowOff>
    </xdr:to>
    <xdr:grpSp>
      <xdr:nvGrpSpPr>
        <xdr:cNvPr id="1588" name="Cross_H55">
          <a:extLst>
            <a:ext uri="{FF2B5EF4-FFF2-40B4-BE49-F238E27FC236}">
              <a16:creationId xmlns:a16="http://schemas.microsoft.com/office/drawing/2014/main" id="{A772B43C-4CA6-5C74-2B50-2BA62F744321}"/>
            </a:ext>
          </a:extLst>
        </xdr:cNvPr>
        <xdr:cNvGrpSpPr/>
      </xdr:nvGrpSpPr>
      <xdr:grpSpPr>
        <a:xfrm>
          <a:off x="4495800" y="10210800"/>
          <a:ext cx="581025" cy="228600"/>
          <a:chOff x="4648200" y="10393680"/>
          <a:chExt cx="601980" cy="228600"/>
        </a:xfrm>
      </xdr:grpSpPr>
      <xdr:cxnSp macro="">
        <xdr:nvCxnSpPr>
          <xdr:cNvPr id="1586" name="Gerader Verbinder 1585">
            <a:extLst>
              <a:ext uri="{FF2B5EF4-FFF2-40B4-BE49-F238E27FC236}">
                <a16:creationId xmlns:a16="http://schemas.microsoft.com/office/drawing/2014/main" id="{E2D57C0F-85EB-1E0A-64FD-EAC4A111BCB1}"/>
              </a:ext>
            </a:extLst>
          </xdr:cNvPr>
          <xdr:cNvCxnSpPr/>
        </xdr:nvCxnSpPr>
        <xdr:spPr>
          <a:xfrm>
            <a:off x="464820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87" name="Gerader Verbinder 1586">
            <a:extLst>
              <a:ext uri="{FF2B5EF4-FFF2-40B4-BE49-F238E27FC236}">
                <a16:creationId xmlns:a16="http://schemas.microsoft.com/office/drawing/2014/main" id="{9B2E7DDE-32D6-659A-93BA-C9B4698DB84F}"/>
              </a:ext>
            </a:extLst>
          </xdr:cNvPr>
          <xdr:cNvCxnSpPr/>
        </xdr:nvCxnSpPr>
        <xdr:spPr>
          <a:xfrm flipH="1">
            <a:off x="464820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55</xdr:row>
      <xdr:rowOff>0</xdr:rowOff>
    </xdr:from>
    <xdr:to>
      <xdr:col>8</xdr:col>
      <xdr:colOff>0</xdr:colOff>
      <xdr:row>56</xdr:row>
      <xdr:rowOff>0</xdr:rowOff>
    </xdr:to>
    <xdr:grpSp>
      <xdr:nvGrpSpPr>
        <xdr:cNvPr id="1591" name="Cross_H56">
          <a:extLst>
            <a:ext uri="{FF2B5EF4-FFF2-40B4-BE49-F238E27FC236}">
              <a16:creationId xmlns:a16="http://schemas.microsoft.com/office/drawing/2014/main" id="{C2E75B7A-3E23-C52D-D972-DBD04690BFA8}"/>
            </a:ext>
          </a:extLst>
        </xdr:cNvPr>
        <xdr:cNvGrpSpPr/>
      </xdr:nvGrpSpPr>
      <xdr:grpSpPr>
        <a:xfrm>
          <a:off x="4495800" y="10439400"/>
          <a:ext cx="581025" cy="161925"/>
          <a:chOff x="4648200" y="10622280"/>
          <a:chExt cx="601980" cy="167640"/>
        </a:xfrm>
      </xdr:grpSpPr>
      <xdr:cxnSp macro="">
        <xdr:nvCxnSpPr>
          <xdr:cNvPr id="1589" name="Gerader Verbinder 1588">
            <a:extLst>
              <a:ext uri="{FF2B5EF4-FFF2-40B4-BE49-F238E27FC236}">
                <a16:creationId xmlns:a16="http://schemas.microsoft.com/office/drawing/2014/main" id="{FBA12028-E4D1-FA1A-3327-4D1DF35D0B98}"/>
              </a:ext>
            </a:extLst>
          </xdr:cNvPr>
          <xdr:cNvCxnSpPr/>
        </xdr:nvCxnSpPr>
        <xdr:spPr>
          <a:xfrm>
            <a:off x="4648200" y="10622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90" name="Gerader Verbinder 1589">
            <a:extLst>
              <a:ext uri="{FF2B5EF4-FFF2-40B4-BE49-F238E27FC236}">
                <a16:creationId xmlns:a16="http://schemas.microsoft.com/office/drawing/2014/main" id="{39A52437-C227-27DA-D8FE-E8AE2E247E2C}"/>
              </a:ext>
            </a:extLst>
          </xdr:cNvPr>
          <xdr:cNvCxnSpPr/>
        </xdr:nvCxnSpPr>
        <xdr:spPr>
          <a:xfrm flipH="1">
            <a:off x="4648200" y="10622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56</xdr:row>
      <xdr:rowOff>0</xdr:rowOff>
    </xdr:from>
    <xdr:to>
      <xdr:col>8</xdr:col>
      <xdr:colOff>0</xdr:colOff>
      <xdr:row>57</xdr:row>
      <xdr:rowOff>0</xdr:rowOff>
    </xdr:to>
    <xdr:grpSp>
      <xdr:nvGrpSpPr>
        <xdr:cNvPr id="1594" name="Cross_H57">
          <a:extLst>
            <a:ext uri="{FF2B5EF4-FFF2-40B4-BE49-F238E27FC236}">
              <a16:creationId xmlns:a16="http://schemas.microsoft.com/office/drawing/2014/main" id="{CE22FBF4-8C3E-9C06-3BA9-F2A567574516}"/>
            </a:ext>
          </a:extLst>
        </xdr:cNvPr>
        <xdr:cNvGrpSpPr/>
      </xdr:nvGrpSpPr>
      <xdr:grpSpPr>
        <a:xfrm>
          <a:off x="4495800" y="10601325"/>
          <a:ext cx="581025" cy="161925"/>
          <a:chOff x="4648200" y="10789920"/>
          <a:chExt cx="601980" cy="167640"/>
        </a:xfrm>
      </xdr:grpSpPr>
      <xdr:cxnSp macro="">
        <xdr:nvCxnSpPr>
          <xdr:cNvPr id="1592" name="Gerader Verbinder 1591">
            <a:extLst>
              <a:ext uri="{FF2B5EF4-FFF2-40B4-BE49-F238E27FC236}">
                <a16:creationId xmlns:a16="http://schemas.microsoft.com/office/drawing/2014/main" id="{554D80FE-73CF-9E3E-34AD-1D3A4D28A410}"/>
              </a:ext>
            </a:extLst>
          </xdr:cNvPr>
          <xdr:cNvCxnSpPr/>
        </xdr:nvCxnSpPr>
        <xdr:spPr>
          <a:xfrm>
            <a:off x="4648200" y="10789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93" name="Gerader Verbinder 1592">
            <a:extLst>
              <a:ext uri="{FF2B5EF4-FFF2-40B4-BE49-F238E27FC236}">
                <a16:creationId xmlns:a16="http://schemas.microsoft.com/office/drawing/2014/main" id="{A775C5C6-5673-9EE5-84E5-777FCF43C4EA}"/>
              </a:ext>
            </a:extLst>
          </xdr:cNvPr>
          <xdr:cNvCxnSpPr/>
        </xdr:nvCxnSpPr>
        <xdr:spPr>
          <a:xfrm flipH="1">
            <a:off x="4648200" y="10789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63</xdr:row>
      <xdr:rowOff>0</xdr:rowOff>
    </xdr:from>
    <xdr:to>
      <xdr:col>8</xdr:col>
      <xdr:colOff>0</xdr:colOff>
      <xdr:row>64</xdr:row>
      <xdr:rowOff>0</xdr:rowOff>
    </xdr:to>
    <xdr:grpSp>
      <xdr:nvGrpSpPr>
        <xdr:cNvPr id="1597" name="Cross_H64">
          <a:extLst>
            <a:ext uri="{FF2B5EF4-FFF2-40B4-BE49-F238E27FC236}">
              <a16:creationId xmlns:a16="http://schemas.microsoft.com/office/drawing/2014/main" id="{CEF8615A-0ABD-21FC-8D72-2375C34FE9D4}"/>
            </a:ext>
          </a:extLst>
        </xdr:cNvPr>
        <xdr:cNvGrpSpPr/>
      </xdr:nvGrpSpPr>
      <xdr:grpSpPr>
        <a:xfrm>
          <a:off x="4495800" y="11868150"/>
          <a:ext cx="581025" cy="228600"/>
          <a:chOff x="4648200" y="12085320"/>
          <a:chExt cx="601980" cy="228600"/>
        </a:xfrm>
      </xdr:grpSpPr>
      <xdr:cxnSp macro="">
        <xdr:nvCxnSpPr>
          <xdr:cNvPr id="1595" name="Gerader Verbinder 1594">
            <a:extLst>
              <a:ext uri="{FF2B5EF4-FFF2-40B4-BE49-F238E27FC236}">
                <a16:creationId xmlns:a16="http://schemas.microsoft.com/office/drawing/2014/main" id="{7D70B5A5-3915-7B46-F584-83B99A982C7E}"/>
              </a:ext>
            </a:extLst>
          </xdr:cNvPr>
          <xdr:cNvCxnSpPr/>
        </xdr:nvCxnSpPr>
        <xdr:spPr>
          <a:xfrm>
            <a:off x="4648200" y="120853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96" name="Gerader Verbinder 1595">
            <a:extLst>
              <a:ext uri="{FF2B5EF4-FFF2-40B4-BE49-F238E27FC236}">
                <a16:creationId xmlns:a16="http://schemas.microsoft.com/office/drawing/2014/main" id="{1EFDA64B-EC34-4CBD-4872-05005FEC91A8}"/>
              </a:ext>
            </a:extLst>
          </xdr:cNvPr>
          <xdr:cNvCxnSpPr/>
        </xdr:nvCxnSpPr>
        <xdr:spPr>
          <a:xfrm flipH="1">
            <a:off x="4648200" y="120853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64</xdr:row>
      <xdr:rowOff>0</xdr:rowOff>
    </xdr:from>
    <xdr:to>
      <xdr:col>8</xdr:col>
      <xdr:colOff>0</xdr:colOff>
      <xdr:row>65</xdr:row>
      <xdr:rowOff>0</xdr:rowOff>
    </xdr:to>
    <xdr:grpSp>
      <xdr:nvGrpSpPr>
        <xdr:cNvPr id="1600" name="Cross_H65">
          <a:extLst>
            <a:ext uri="{FF2B5EF4-FFF2-40B4-BE49-F238E27FC236}">
              <a16:creationId xmlns:a16="http://schemas.microsoft.com/office/drawing/2014/main" id="{C65E8DE7-6C71-D582-59ED-A6AB94FA951E}"/>
            </a:ext>
          </a:extLst>
        </xdr:cNvPr>
        <xdr:cNvGrpSpPr/>
      </xdr:nvGrpSpPr>
      <xdr:grpSpPr>
        <a:xfrm>
          <a:off x="4495800" y="12096750"/>
          <a:ext cx="581025" cy="161925"/>
          <a:chOff x="4648200" y="12313920"/>
          <a:chExt cx="601980" cy="167640"/>
        </a:xfrm>
      </xdr:grpSpPr>
      <xdr:cxnSp macro="">
        <xdr:nvCxnSpPr>
          <xdr:cNvPr id="1598" name="Gerader Verbinder 1597">
            <a:extLst>
              <a:ext uri="{FF2B5EF4-FFF2-40B4-BE49-F238E27FC236}">
                <a16:creationId xmlns:a16="http://schemas.microsoft.com/office/drawing/2014/main" id="{5621AB70-2AA4-3371-0C0F-F17549B7AD99}"/>
              </a:ext>
            </a:extLst>
          </xdr:cNvPr>
          <xdr:cNvCxnSpPr/>
        </xdr:nvCxnSpPr>
        <xdr:spPr>
          <a:xfrm>
            <a:off x="4648200" y="12313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99" name="Gerader Verbinder 1598">
            <a:extLst>
              <a:ext uri="{FF2B5EF4-FFF2-40B4-BE49-F238E27FC236}">
                <a16:creationId xmlns:a16="http://schemas.microsoft.com/office/drawing/2014/main" id="{0DD0BBBD-C549-D838-ABE0-9775009F7A7A}"/>
              </a:ext>
            </a:extLst>
          </xdr:cNvPr>
          <xdr:cNvCxnSpPr/>
        </xdr:nvCxnSpPr>
        <xdr:spPr>
          <a:xfrm flipH="1">
            <a:off x="4648200" y="12313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65</xdr:row>
      <xdr:rowOff>0</xdr:rowOff>
    </xdr:from>
    <xdr:to>
      <xdr:col>8</xdr:col>
      <xdr:colOff>0</xdr:colOff>
      <xdr:row>66</xdr:row>
      <xdr:rowOff>0</xdr:rowOff>
    </xdr:to>
    <xdr:grpSp>
      <xdr:nvGrpSpPr>
        <xdr:cNvPr id="1603" name="Cross_H66">
          <a:extLst>
            <a:ext uri="{FF2B5EF4-FFF2-40B4-BE49-F238E27FC236}">
              <a16:creationId xmlns:a16="http://schemas.microsoft.com/office/drawing/2014/main" id="{FB969FB1-B3DB-3390-E4B2-C1ADB246C811}"/>
            </a:ext>
          </a:extLst>
        </xdr:cNvPr>
        <xdr:cNvGrpSpPr/>
      </xdr:nvGrpSpPr>
      <xdr:grpSpPr>
        <a:xfrm>
          <a:off x="4495800" y="12258675"/>
          <a:ext cx="581025" cy="161925"/>
          <a:chOff x="4648200" y="12481560"/>
          <a:chExt cx="601980" cy="167640"/>
        </a:xfrm>
      </xdr:grpSpPr>
      <xdr:cxnSp macro="">
        <xdr:nvCxnSpPr>
          <xdr:cNvPr id="1601" name="Gerader Verbinder 1600">
            <a:extLst>
              <a:ext uri="{FF2B5EF4-FFF2-40B4-BE49-F238E27FC236}">
                <a16:creationId xmlns:a16="http://schemas.microsoft.com/office/drawing/2014/main" id="{9190A268-10AB-9FBF-160D-2472B2A07A39}"/>
              </a:ext>
            </a:extLst>
          </xdr:cNvPr>
          <xdr:cNvCxnSpPr/>
        </xdr:nvCxnSpPr>
        <xdr:spPr>
          <a:xfrm>
            <a:off x="4648200" y="124815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02" name="Gerader Verbinder 1601">
            <a:extLst>
              <a:ext uri="{FF2B5EF4-FFF2-40B4-BE49-F238E27FC236}">
                <a16:creationId xmlns:a16="http://schemas.microsoft.com/office/drawing/2014/main" id="{CC01AEFB-A690-8EDE-1BC0-A50766FD68D9}"/>
              </a:ext>
            </a:extLst>
          </xdr:cNvPr>
          <xdr:cNvCxnSpPr/>
        </xdr:nvCxnSpPr>
        <xdr:spPr>
          <a:xfrm flipH="1">
            <a:off x="4648200" y="124815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66</xdr:row>
      <xdr:rowOff>0</xdr:rowOff>
    </xdr:from>
    <xdr:to>
      <xdr:col>8</xdr:col>
      <xdr:colOff>0</xdr:colOff>
      <xdr:row>67</xdr:row>
      <xdr:rowOff>0</xdr:rowOff>
    </xdr:to>
    <xdr:grpSp>
      <xdr:nvGrpSpPr>
        <xdr:cNvPr id="1606" name="Cross_H67">
          <a:extLst>
            <a:ext uri="{FF2B5EF4-FFF2-40B4-BE49-F238E27FC236}">
              <a16:creationId xmlns:a16="http://schemas.microsoft.com/office/drawing/2014/main" id="{5B38FE25-D6E9-16E7-E63B-F673FA0C4172}"/>
            </a:ext>
          </a:extLst>
        </xdr:cNvPr>
        <xdr:cNvGrpSpPr/>
      </xdr:nvGrpSpPr>
      <xdr:grpSpPr>
        <a:xfrm>
          <a:off x="4495800" y="12420600"/>
          <a:ext cx="581025" cy="228600"/>
          <a:chOff x="4648200" y="12649200"/>
          <a:chExt cx="601980" cy="228600"/>
        </a:xfrm>
      </xdr:grpSpPr>
      <xdr:cxnSp macro="">
        <xdr:nvCxnSpPr>
          <xdr:cNvPr id="1604" name="Gerader Verbinder 1603">
            <a:extLst>
              <a:ext uri="{FF2B5EF4-FFF2-40B4-BE49-F238E27FC236}">
                <a16:creationId xmlns:a16="http://schemas.microsoft.com/office/drawing/2014/main" id="{0B4B082A-A8A6-57C1-800C-76A8C2B30EC8}"/>
              </a:ext>
            </a:extLst>
          </xdr:cNvPr>
          <xdr:cNvCxnSpPr/>
        </xdr:nvCxnSpPr>
        <xdr:spPr>
          <a:xfrm>
            <a:off x="4648200" y="1264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05" name="Gerader Verbinder 1604">
            <a:extLst>
              <a:ext uri="{FF2B5EF4-FFF2-40B4-BE49-F238E27FC236}">
                <a16:creationId xmlns:a16="http://schemas.microsoft.com/office/drawing/2014/main" id="{3DDE22D9-BD79-152F-E799-B3E54102D9F1}"/>
              </a:ext>
            </a:extLst>
          </xdr:cNvPr>
          <xdr:cNvCxnSpPr/>
        </xdr:nvCxnSpPr>
        <xdr:spPr>
          <a:xfrm flipH="1">
            <a:off x="4648200" y="1264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67</xdr:row>
      <xdr:rowOff>0</xdr:rowOff>
    </xdr:from>
    <xdr:to>
      <xdr:col>8</xdr:col>
      <xdr:colOff>0</xdr:colOff>
      <xdr:row>67</xdr:row>
      <xdr:rowOff>167639</xdr:rowOff>
    </xdr:to>
    <xdr:grpSp>
      <xdr:nvGrpSpPr>
        <xdr:cNvPr id="1609" name="Cross_H68">
          <a:extLst>
            <a:ext uri="{FF2B5EF4-FFF2-40B4-BE49-F238E27FC236}">
              <a16:creationId xmlns:a16="http://schemas.microsoft.com/office/drawing/2014/main" id="{D04F782F-9F05-0DF6-8862-13C8E78B1272}"/>
            </a:ext>
          </a:extLst>
        </xdr:cNvPr>
        <xdr:cNvGrpSpPr/>
      </xdr:nvGrpSpPr>
      <xdr:grpSpPr>
        <a:xfrm>
          <a:off x="4495800" y="12649200"/>
          <a:ext cx="581025" cy="158114"/>
          <a:chOff x="4648200" y="12877800"/>
          <a:chExt cx="601980" cy="167639"/>
        </a:xfrm>
      </xdr:grpSpPr>
      <xdr:cxnSp macro="">
        <xdr:nvCxnSpPr>
          <xdr:cNvPr id="1607" name="Gerader Verbinder 1606">
            <a:extLst>
              <a:ext uri="{FF2B5EF4-FFF2-40B4-BE49-F238E27FC236}">
                <a16:creationId xmlns:a16="http://schemas.microsoft.com/office/drawing/2014/main" id="{846A61F6-1F5F-640B-A368-CEA587B1E375}"/>
              </a:ext>
            </a:extLst>
          </xdr:cNvPr>
          <xdr:cNvCxnSpPr/>
        </xdr:nvCxnSpPr>
        <xdr:spPr>
          <a:xfrm>
            <a:off x="4648200" y="128778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08" name="Gerader Verbinder 1607">
            <a:extLst>
              <a:ext uri="{FF2B5EF4-FFF2-40B4-BE49-F238E27FC236}">
                <a16:creationId xmlns:a16="http://schemas.microsoft.com/office/drawing/2014/main" id="{8C705AC5-7B06-D172-A554-8F6BC23BAD43}"/>
              </a:ext>
            </a:extLst>
          </xdr:cNvPr>
          <xdr:cNvCxnSpPr/>
        </xdr:nvCxnSpPr>
        <xdr:spPr>
          <a:xfrm flipH="1">
            <a:off x="4648200" y="128778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67</xdr:row>
      <xdr:rowOff>167639</xdr:rowOff>
    </xdr:from>
    <xdr:to>
      <xdr:col>8</xdr:col>
      <xdr:colOff>0</xdr:colOff>
      <xdr:row>69</xdr:row>
      <xdr:rowOff>0</xdr:rowOff>
    </xdr:to>
    <xdr:grpSp>
      <xdr:nvGrpSpPr>
        <xdr:cNvPr id="1612" name="Cross_H69">
          <a:extLst>
            <a:ext uri="{FF2B5EF4-FFF2-40B4-BE49-F238E27FC236}">
              <a16:creationId xmlns:a16="http://schemas.microsoft.com/office/drawing/2014/main" id="{8C5C0AB2-395C-DDF4-0E2B-858607D99872}"/>
            </a:ext>
          </a:extLst>
        </xdr:cNvPr>
        <xdr:cNvGrpSpPr/>
      </xdr:nvGrpSpPr>
      <xdr:grpSpPr>
        <a:xfrm>
          <a:off x="4495800" y="12807314"/>
          <a:ext cx="581025" cy="165736"/>
          <a:chOff x="4648200" y="13045439"/>
          <a:chExt cx="601980" cy="167641"/>
        </a:xfrm>
      </xdr:grpSpPr>
      <xdr:cxnSp macro="">
        <xdr:nvCxnSpPr>
          <xdr:cNvPr id="1610" name="Gerader Verbinder 1609">
            <a:extLst>
              <a:ext uri="{FF2B5EF4-FFF2-40B4-BE49-F238E27FC236}">
                <a16:creationId xmlns:a16="http://schemas.microsoft.com/office/drawing/2014/main" id="{BA840E77-66E3-816A-83A5-C964235CFC99}"/>
              </a:ext>
            </a:extLst>
          </xdr:cNvPr>
          <xdr:cNvCxnSpPr/>
        </xdr:nvCxnSpPr>
        <xdr:spPr>
          <a:xfrm>
            <a:off x="4648200" y="13045439"/>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11" name="Gerader Verbinder 1610">
            <a:extLst>
              <a:ext uri="{FF2B5EF4-FFF2-40B4-BE49-F238E27FC236}">
                <a16:creationId xmlns:a16="http://schemas.microsoft.com/office/drawing/2014/main" id="{C4892EC2-2B26-E544-39CD-79B4CAC3BDB4}"/>
              </a:ext>
            </a:extLst>
          </xdr:cNvPr>
          <xdr:cNvCxnSpPr/>
        </xdr:nvCxnSpPr>
        <xdr:spPr>
          <a:xfrm flipH="1">
            <a:off x="4648200" y="13045439"/>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72</xdr:row>
      <xdr:rowOff>1</xdr:rowOff>
    </xdr:from>
    <xdr:to>
      <xdr:col>8</xdr:col>
      <xdr:colOff>0</xdr:colOff>
      <xdr:row>73</xdr:row>
      <xdr:rowOff>1</xdr:rowOff>
    </xdr:to>
    <xdr:grpSp>
      <xdr:nvGrpSpPr>
        <xdr:cNvPr id="1615" name="Cross_H73">
          <a:extLst>
            <a:ext uri="{FF2B5EF4-FFF2-40B4-BE49-F238E27FC236}">
              <a16:creationId xmlns:a16="http://schemas.microsoft.com/office/drawing/2014/main" id="{C37592B6-C551-3775-3EF8-2F0C58625868}"/>
            </a:ext>
          </a:extLst>
        </xdr:cNvPr>
        <xdr:cNvGrpSpPr/>
      </xdr:nvGrpSpPr>
      <xdr:grpSpPr>
        <a:xfrm>
          <a:off x="4495800" y="13525501"/>
          <a:ext cx="581025" cy="228600"/>
          <a:chOff x="4648200" y="13776961"/>
          <a:chExt cx="601980" cy="228600"/>
        </a:xfrm>
      </xdr:grpSpPr>
      <xdr:cxnSp macro="">
        <xdr:nvCxnSpPr>
          <xdr:cNvPr id="1613" name="Gerader Verbinder 1612">
            <a:extLst>
              <a:ext uri="{FF2B5EF4-FFF2-40B4-BE49-F238E27FC236}">
                <a16:creationId xmlns:a16="http://schemas.microsoft.com/office/drawing/2014/main" id="{C0C3C231-D867-0D0D-05C3-DFC702AC73FA}"/>
              </a:ext>
            </a:extLst>
          </xdr:cNvPr>
          <xdr:cNvCxnSpPr/>
        </xdr:nvCxnSpPr>
        <xdr:spPr>
          <a:xfrm>
            <a:off x="464820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14" name="Gerader Verbinder 1613">
            <a:extLst>
              <a:ext uri="{FF2B5EF4-FFF2-40B4-BE49-F238E27FC236}">
                <a16:creationId xmlns:a16="http://schemas.microsoft.com/office/drawing/2014/main" id="{8AAB65C8-12E5-A78C-FF7B-35E81241453B}"/>
              </a:ext>
            </a:extLst>
          </xdr:cNvPr>
          <xdr:cNvCxnSpPr/>
        </xdr:nvCxnSpPr>
        <xdr:spPr>
          <a:xfrm flipH="1">
            <a:off x="464820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73</xdr:row>
      <xdr:rowOff>1</xdr:rowOff>
    </xdr:from>
    <xdr:to>
      <xdr:col>8</xdr:col>
      <xdr:colOff>0</xdr:colOff>
      <xdr:row>74</xdr:row>
      <xdr:rowOff>0</xdr:rowOff>
    </xdr:to>
    <xdr:grpSp>
      <xdr:nvGrpSpPr>
        <xdr:cNvPr id="1618" name="Cross_H74">
          <a:extLst>
            <a:ext uri="{FF2B5EF4-FFF2-40B4-BE49-F238E27FC236}">
              <a16:creationId xmlns:a16="http://schemas.microsoft.com/office/drawing/2014/main" id="{25C2E50D-D4E9-0E96-CC88-467C330C4AE6}"/>
            </a:ext>
          </a:extLst>
        </xdr:cNvPr>
        <xdr:cNvGrpSpPr/>
      </xdr:nvGrpSpPr>
      <xdr:grpSpPr>
        <a:xfrm>
          <a:off x="4495800" y="13754101"/>
          <a:ext cx="581025" cy="161924"/>
          <a:chOff x="4648200" y="14005561"/>
          <a:chExt cx="601980" cy="167639"/>
        </a:xfrm>
      </xdr:grpSpPr>
      <xdr:cxnSp macro="">
        <xdr:nvCxnSpPr>
          <xdr:cNvPr id="1616" name="Gerader Verbinder 1615">
            <a:extLst>
              <a:ext uri="{FF2B5EF4-FFF2-40B4-BE49-F238E27FC236}">
                <a16:creationId xmlns:a16="http://schemas.microsoft.com/office/drawing/2014/main" id="{F7E06A0B-5A9C-ABBF-C5DB-D085D6C9E31B}"/>
              </a:ext>
            </a:extLst>
          </xdr:cNvPr>
          <xdr:cNvCxnSpPr/>
        </xdr:nvCxnSpPr>
        <xdr:spPr>
          <a:xfrm>
            <a:off x="4648200" y="14005561"/>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17" name="Gerader Verbinder 1616">
            <a:extLst>
              <a:ext uri="{FF2B5EF4-FFF2-40B4-BE49-F238E27FC236}">
                <a16:creationId xmlns:a16="http://schemas.microsoft.com/office/drawing/2014/main" id="{84807E66-E320-7390-1397-6678D7CEF88C}"/>
              </a:ext>
            </a:extLst>
          </xdr:cNvPr>
          <xdr:cNvCxnSpPr/>
        </xdr:nvCxnSpPr>
        <xdr:spPr>
          <a:xfrm flipH="1">
            <a:off x="4648200" y="14005561"/>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74</xdr:row>
      <xdr:rowOff>0</xdr:rowOff>
    </xdr:from>
    <xdr:to>
      <xdr:col>8</xdr:col>
      <xdr:colOff>0</xdr:colOff>
      <xdr:row>74</xdr:row>
      <xdr:rowOff>167639</xdr:rowOff>
    </xdr:to>
    <xdr:grpSp>
      <xdr:nvGrpSpPr>
        <xdr:cNvPr id="1621" name="Cross_H75">
          <a:extLst>
            <a:ext uri="{FF2B5EF4-FFF2-40B4-BE49-F238E27FC236}">
              <a16:creationId xmlns:a16="http://schemas.microsoft.com/office/drawing/2014/main" id="{6D517AC4-EE58-16EC-30A6-5B542CE50C5B}"/>
            </a:ext>
          </a:extLst>
        </xdr:cNvPr>
        <xdr:cNvGrpSpPr/>
      </xdr:nvGrpSpPr>
      <xdr:grpSpPr>
        <a:xfrm>
          <a:off x="4495800" y="13916025"/>
          <a:ext cx="581025" cy="158114"/>
          <a:chOff x="4648200" y="14173200"/>
          <a:chExt cx="601980" cy="167639"/>
        </a:xfrm>
      </xdr:grpSpPr>
      <xdr:cxnSp macro="">
        <xdr:nvCxnSpPr>
          <xdr:cNvPr id="1619" name="Gerader Verbinder 1618">
            <a:extLst>
              <a:ext uri="{FF2B5EF4-FFF2-40B4-BE49-F238E27FC236}">
                <a16:creationId xmlns:a16="http://schemas.microsoft.com/office/drawing/2014/main" id="{BAD6EAB9-D34C-3773-A8E0-DD6F02C7D244}"/>
              </a:ext>
            </a:extLst>
          </xdr:cNvPr>
          <xdr:cNvCxnSpPr/>
        </xdr:nvCxnSpPr>
        <xdr:spPr>
          <a:xfrm>
            <a:off x="4648200" y="141732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20" name="Gerader Verbinder 1619">
            <a:extLst>
              <a:ext uri="{FF2B5EF4-FFF2-40B4-BE49-F238E27FC236}">
                <a16:creationId xmlns:a16="http://schemas.microsoft.com/office/drawing/2014/main" id="{1616346E-D78D-88E7-0D1B-EA02BAE33595}"/>
              </a:ext>
            </a:extLst>
          </xdr:cNvPr>
          <xdr:cNvCxnSpPr/>
        </xdr:nvCxnSpPr>
        <xdr:spPr>
          <a:xfrm flipH="1">
            <a:off x="4648200" y="141732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0</xdr:colOff>
          <xdr:row>29</xdr:row>
          <xdr:rowOff>66675</xdr:rowOff>
        </xdr:from>
        <xdr:to>
          <xdr:col>23</xdr:col>
          <xdr:colOff>457200</xdr:colOff>
          <xdr:row>32</xdr:row>
          <xdr:rowOff>123825</xdr:rowOff>
        </xdr:to>
        <xdr:sp macro="" textlink="">
          <xdr:nvSpPr>
            <xdr:cNvPr id="10243" name="cmdCreateTables" hidden="1">
              <a:extLst>
                <a:ext uri="{63B3BB69-23CF-44E3-9099-C40C66FF867C}">
                  <a14:compatExt spid="_x0000_s10243"/>
                </a:ext>
                <a:ext uri="{FF2B5EF4-FFF2-40B4-BE49-F238E27FC236}">
                  <a16:creationId xmlns:a16="http://schemas.microsoft.com/office/drawing/2014/main" id="{00000000-0008-0000-09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20</xdr:col>
          <xdr:colOff>152400</xdr:colOff>
          <xdr:row>36</xdr:row>
          <xdr:rowOff>57150</xdr:rowOff>
        </xdr:from>
        <xdr:to>
          <xdr:col>23</xdr:col>
          <xdr:colOff>457200</xdr:colOff>
          <xdr:row>39</xdr:row>
          <xdr:rowOff>114300</xdr:rowOff>
        </xdr:to>
        <xdr:sp macro="" textlink="">
          <xdr:nvSpPr>
            <xdr:cNvPr id="10244" name="cmdCreateResults" hidden="1">
              <a:extLst>
                <a:ext uri="{63B3BB69-23CF-44E3-9099-C40C66FF867C}">
                  <a14:compatExt spid="_x0000_s10244"/>
                </a:ext>
                <a:ext uri="{FF2B5EF4-FFF2-40B4-BE49-F238E27FC236}">
                  <a16:creationId xmlns:a16="http://schemas.microsoft.com/office/drawing/2014/main" id="{00000000-0008-0000-09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29</xdr:row>
          <xdr:rowOff>66675</xdr:rowOff>
        </xdr:from>
        <xdr:to>
          <xdr:col>25</xdr:col>
          <xdr:colOff>400050</xdr:colOff>
          <xdr:row>32</xdr:row>
          <xdr:rowOff>114300</xdr:rowOff>
        </xdr:to>
        <xdr:sp macro="" textlink="">
          <xdr:nvSpPr>
            <xdr:cNvPr id="10246" name="cmdClearAll" hidden="1">
              <a:extLst>
                <a:ext uri="{63B3BB69-23CF-44E3-9099-C40C66FF867C}">
                  <a14:compatExt spid="_x0000_s10246"/>
                </a:ext>
                <a:ext uri="{FF2B5EF4-FFF2-40B4-BE49-F238E27FC236}">
                  <a16:creationId xmlns:a16="http://schemas.microsoft.com/office/drawing/2014/main" id="{00000000-0008-0000-09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0</xdr:colOff>
          <xdr:row>33</xdr:row>
          <xdr:rowOff>0</xdr:rowOff>
        </xdr:from>
        <xdr:to>
          <xdr:col>23</xdr:col>
          <xdr:colOff>457200</xdr:colOff>
          <xdr:row>36</xdr:row>
          <xdr:rowOff>9525</xdr:rowOff>
        </xdr:to>
        <xdr:sp macro="" textlink="">
          <xdr:nvSpPr>
            <xdr:cNvPr id="10276" name="btnSelExUpdate" hidden="1">
              <a:extLst>
                <a:ext uri="{63B3BB69-23CF-44E3-9099-C40C66FF867C}">
                  <a14:compatExt spid="_x0000_s10276"/>
                </a:ext>
                <a:ext uri="{FF2B5EF4-FFF2-40B4-BE49-F238E27FC236}">
                  <a16:creationId xmlns:a16="http://schemas.microsoft.com/office/drawing/2014/main" id="{00000000-0008-0000-0900-0000242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438150</xdr:colOff>
          <xdr:row>27</xdr:row>
          <xdr:rowOff>0</xdr:rowOff>
        </xdr:from>
        <xdr:to>
          <xdr:col>9</xdr:col>
          <xdr:colOff>390525</xdr:colOff>
          <xdr:row>29</xdr:row>
          <xdr:rowOff>0</xdr:rowOff>
        </xdr:to>
        <xdr:sp macro="" textlink="">
          <xdr:nvSpPr>
            <xdr:cNvPr id="10277" name="cmdEK" hidden="1">
              <a:extLst>
                <a:ext uri="{63B3BB69-23CF-44E3-9099-C40C66FF867C}">
                  <a14:compatExt spid="_x0000_s10277"/>
                </a:ext>
                <a:ext uri="{FF2B5EF4-FFF2-40B4-BE49-F238E27FC236}">
                  <a16:creationId xmlns:a16="http://schemas.microsoft.com/office/drawing/2014/main" id="{00000000-0008-0000-0900-00002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438150</xdr:colOff>
          <xdr:row>27</xdr:row>
          <xdr:rowOff>0</xdr:rowOff>
        </xdr:from>
        <xdr:to>
          <xdr:col>10</xdr:col>
          <xdr:colOff>390525</xdr:colOff>
          <xdr:row>29</xdr:row>
          <xdr:rowOff>0</xdr:rowOff>
        </xdr:to>
        <xdr:sp macro="" textlink="">
          <xdr:nvSpPr>
            <xdr:cNvPr id="10278" name="cmdZK" hidden="1">
              <a:extLst>
                <a:ext uri="{63B3BB69-23CF-44E3-9099-C40C66FF867C}">
                  <a14:compatExt spid="_x0000_s10278"/>
                </a:ext>
                <a:ext uri="{FF2B5EF4-FFF2-40B4-BE49-F238E27FC236}">
                  <a16:creationId xmlns:a16="http://schemas.microsoft.com/office/drawing/2014/main" id="{00000000-0008-0000-0900-00002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0</xdr:colOff>
          <xdr:row>27</xdr:row>
          <xdr:rowOff>0</xdr:rowOff>
        </xdr:from>
        <xdr:to>
          <xdr:col>11</xdr:col>
          <xdr:colOff>400050</xdr:colOff>
          <xdr:row>29</xdr:row>
          <xdr:rowOff>0</xdr:rowOff>
        </xdr:to>
        <xdr:sp macro="" textlink="">
          <xdr:nvSpPr>
            <xdr:cNvPr id="10279" name="cmdDK" hidden="1">
              <a:extLst>
                <a:ext uri="{63B3BB69-23CF-44E3-9099-C40C66FF867C}">
                  <a14:compatExt spid="_x0000_s10279"/>
                </a:ext>
                <a:ext uri="{FF2B5EF4-FFF2-40B4-BE49-F238E27FC236}">
                  <a16:creationId xmlns:a16="http://schemas.microsoft.com/office/drawing/2014/main" id="{00000000-0008-0000-0900-00002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0</xdr:colOff>
          <xdr:row>27</xdr:row>
          <xdr:rowOff>0</xdr:rowOff>
        </xdr:from>
        <xdr:to>
          <xdr:col>12</xdr:col>
          <xdr:colOff>400050</xdr:colOff>
          <xdr:row>29</xdr:row>
          <xdr:rowOff>0</xdr:rowOff>
        </xdr:to>
        <xdr:sp macro="" textlink="">
          <xdr:nvSpPr>
            <xdr:cNvPr id="10280" name="cmdAK" hidden="1">
              <a:extLst>
                <a:ext uri="{63B3BB69-23CF-44E3-9099-C40C66FF867C}">
                  <a14:compatExt spid="_x0000_s10280"/>
                </a:ext>
                <a:ext uri="{FF2B5EF4-FFF2-40B4-BE49-F238E27FC236}">
                  <a16:creationId xmlns:a16="http://schemas.microsoft.com/office/drawing/2014/main" id="{00000000-0008-0000-0900-00002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29</xdr:row>
          <xdr:rowOff>66675</xdr:rowOff>
        </xdr:from>
        <xdr:to>
          <xdr:col>29</xdr:col>
          <xdr:colOff>466725</xdr:colOff>
          <xdr:row>32</xdr:row>
          <xdr:rowOff>123825</xdr:rowOff>
        </xdr:to>
        <xdr:sp macro="" textlink="">
          <xdr:nvSpPr>
            <xdr:cNvPr id="10285" name="cmdAddZKDK" hidden="1">
              <a:extLst>
                <a:ext uri="{63B3BB69-23CF-44E3-9099-C40C66FF867C}">
                  <a14:compatExt spid="_x0000_s10285"/>
                </a:ext>
                <a:ext uri="{FF2B5EF4-FFF2-40B4-BE49-F238E27FC236}">
                  <a16:creationId xmlns:a16="http://schemas.microsoft.com/office/drawing/2014/main" id="{00000000-0008-0000-0900-00002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514350</xdr:colOff>
          <xdr:row>29</xdr:row>
          <xdr:rowOff>66675</xdr:rowOff>
        </xdr:from>
        <xdr:to>
          <xdr:col>31</xdr:col>
          <xdr:colOff>381000</xdr:colOff>
          <xdr:row>32</xdr:row>
          <xdr:rowOff>123825</xdr:rowOff>
        </xdr:to>
        <xdr:sp macro="" textlink="">
          <xdr:nvSpPr>
            <xdr:cNvPr id="10287" name="cmdDelZKDK" hidden="1">
              <a:extLst>
                <a:ext uri="{63B3BB69-23CF-44E3-9099-C40C66FF867C}">
                  <a14:compatExt spid="_x0000_s10287"/>
                </a:ext>
                <a:ext uri="{FF2B5EF4-FFF2-40B4-BE49-F238E27FC236}">
                  <a16:creationId xmlns:a16="http://schemas.microsoft.com/office/drawing/2014/main" id="{00000000-0008-0000-0900-00002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33</xdr:row>
          <xdr:rowOff>0</xdr:rowOff>
        </xdr:from>
        <xdr:to>
          <xdr:col>29</xdr:col>
          <xdr:colOff>466725</xdr:colOff>
          <xdr:row>36</xdr:row>
          <xdr:rowOff>57150</xdr:rowOff>
        </xdr:to>
        <xdr:sp macro="" textlink="">
          <xdr:nvSpPr>
            <xdr:cNvPr id="10288" name="cmdImportZK" hidden="1">
              <a:extLst>
                <a:ext uri="{63B3BB69-23CF-44E3-9099-C40C66FF867C}">
                  <a14:compatExt spid="_x0000_s10288"/>
                </a:ext>
                <a:ext uri="{FF2B5EF4-FFF2-40B4-BE49-F238E27FC236}">
                  <a16:creationId xmlns:a16="http://schemas.microsoft.com/office/drawing/2014/main" id="{00000000-0008-0000-0900-000030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514350</xdr:colOff>
          <xdr:row>33</xdr:row>
          <xdr:rowOff>0</xdr:rowOff>
        </xdr:from>
        <xdr:to>
          <xdr:col>31</xdr:col>
          <xdr:colOff>381000</xdr:colOff>
          <xdr:row>36</xdr:row>
          <xdr:rowOff>57150</xdr:rowOff>
        </xdr:to>
        <xdr:sp macro="" textlink="">
          <xdr:nvSpPr>
            <xdr:cNvPr id="10289" name="cmdImportDK" hidden="1">
              <a:extLst>
                <a:ext uri="{63B3BB69-23CF-44E3-9099-C40C66FF867C}">
                  <a14:compatExt spid="_x0000_s10289"/>
                </a:ext>
                <a:ext uri="{FF2B5EF4-FFF2-40B4-BE49-F238E27FC236}">
                  <a16:creationId xmlns:a16="http://schemas.microsoft.com/office/drawing/2014/main" id="{00000000-0008-0000-0900-00003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xml"/><Relationship Id="rId13" Type="http://schemas.openxmlformats.org/officeDocument/2006/relationships/image" Target="../media/image4.emf"/><Relationship Id="rId18" Type="http://schemas.openxmlformats.org/officeDocument/2006/relationships/control" Target="../activeX/activeX7.xml"/><Relationship Id="rId26" Type="http://schemas.openxmlformats.org/officeDocument/2006/relationships/control" Target="../activeX/activeX11.xml"/><Relationship Id="rId3" Type="http://schemas.openxmlformats.org/officeDocument/2006/relationships/printerSettings" Target="../printerSettings/printerSettings1.bin"/><Relationship Id="rId21" Type="http://schemas.openxmlformats.org/officeDocument/2006/relationships/image" Target="../media/image8.emf"/><Relationship Id="rId7" Type="http://schemas.openxmlformats.org/officeDocument/2006/relationships/image" Target="../media/image1.emf"/><Relationship Id="rId12" Type="http://schemas.openxmlformats.org/officeDocument/2006/relationships/control" Target="../activeX/activeX4.xml"/><Relationship Id="rId17" Type="http://schemas.openxmlformats.org/officeDocument/2006/relationships/image" Target="../media/image6.emf"/><Relationship Id="rId25" Type="http://schemas.openxmlformats.org/officeDocument/2006/relationships/image" Target="../media/image10.emf"/><Relationship Id="rId2" Type="http://schemas.openxmlformats.org/officeDocument/2006/relationships/hyperlink" Target="https://github.com/bee-eater/EXCEL-Korrekturliste-Mathe-ABI/blob/master/LICENSE" TargetMode="External"/><Relationship Id="rId16" Type="http://schemas.openxmlformats.org/officeDocument/2006/relationships/control" Target="../activeX/activeX6.xml"/><Relationship Id="rId20" Type="http://schemas.openxmlformats.org/officeDocument/2006/relationships/control" Target="../activeX/activeX8.xml"/><Relationship Id="rId29" Type="http://schemas.openxmlformats.org/officeDocument/2006/relationships/image" Target="../media/image12.emf"/><Relationship Id="rId1" Type="http://schemas.openxmlformats.org/officeDocument/2006/relationships/hyperlink" Target="https://github.com/bee-eater/EXCEL-Korrekturliste-Mathe-ABI/releases" TargetMode="External"/><Relationship Id="rId6" Type="http://schemas.openxmlformats.org/officeDocument/2006/relationships/control" Target="../activeX/activeX1.xml"/><Relationship Id="rId11" Type="http://schemas.openxmlformats.org/officeDocument/2006/relationships/image" Target="../media/image3.emf"/><Relationship Id="rId24" Type="http://schemas.openxmlformats.org/officeDocument/2006/relationships/control" Target="../activeX/activeX10.xml"/><Relationship Id="rId5" Type="http://schemas.openxmlformats.org/officeDocument/2006/relationships/vmlDrawing" Target="../drawings/vmlDrawing1.vml"/><Relationship Id="rId15" Type="http://schemas.openxmlformats.org/officeDocument/2006/relationships/image" Target="../media/image5.emf"/><Relationship Id="rId23" Type="http://schemas.openxmlformats.org/officeDocument/2006/relationships/image" Target="../media/image9.emf"/><Relationship Id="rId28" Type="http://schemas.openxmlformats.org/officeDocument/2006/relationships/control" Target="../activeX/activeX12.xml"/><Relationship Id="rId10" Type="http://schemas.openxmlformats.org/officeDocument/2006/relationships/control" Target="../activeX/activeX3.xml"/><Relationship Id="rId19" Type="http://schemas.openxmlformats.org/officeDocument/2006/relationships/image" Target="../media/image7.emf"/><Relationship Id="rId4" Type="http://schemas.openxmlformats.org/officeDocument/2006/relationships/drawing" Target="../drawings/drawing2.xml"/><Relationship Id="rId9" Type="http://schemas.openxmlformats.org/officeDocument/2006/relationships/image" Target="../media/image2.emf"/><Relationship Id="rId14" Type="http://schemas.openxmlformats.org/officeDocument/2006/relationships/control" Target="../activeX/activeX5.xml"/><Relationship Id="rId22" Type="http://schemas.openxmlformats.org/officeDocument/2006/relationships/control" Target="../activeX/activeX9.xml"/><Relationship Id="rId27" Type="http://schemas.openxmlformats.org/officeDocument/2006/relationships/image" Target="../media/image11.emf"/><Relationship Id="rId30"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3733E-84D4-42D1-A35A-83197C7A7B66}">
  <sheetPr codeName="Tabelle8">
    <tabColor rgb="FF00B0F0"/>
  </sheetPr>
  <dimension ref="B1:N100"/>
  <sheetViews>
    <sheetView workbookViewId="0"/>
  </sheetViews>
  <sheetFormatPr baseColWidth="10" defaultColWidth="11.5703125" defaultRowHeight="12.75" x14ac:dyDescent="0.2"/>
  <cols>
    <col min="1" max="2" width="3.42578125" style="98" customWidth="1"/>
    <col min="3" max="3" width="25.7109375" style="98" customWidth="1"/>
    <col min="4" max="10" width="11.7109375" style="98" customWidth="1"/>
    <col min="11" max="13" width="8.7109375" style="98" customWidth="1"/>
    <col min="14" max="14" width="8.7109375" style="98" hidden="1" customWidth="1"/>
    <col min="15" max="16384" width="11.5703125" style="98"/>
  </cols>
  <sheetData>
    <row r="1" spans="2:14" ht="18" customHeight="1" thickBot="1" x14ac:dyDescent="0.25"/>
    <row r="2" spans="2:14" ht="18" customHeight="1" x14ac:dyDescent="0.2">
      <c r="B2" s="99" t="str">
        <f>Config!F2&amp;" "&amp;YEAR(Config!G24)</f>
        <v>Mathe Abitur 2026</v>
      </c>
      <c r="C2" s="100"/>
      <c r="D2" s="100"/>
      <c r="E2" s="100"/>
      <c r="F2" s="101"/>
      <c r="G2" s="101"/>
      <c r="H2" s="101"/>
      <c r="I2" s="101"/>
      <c r="J2" s="101"/>
      <c r="K2" s="101"/>
      <c r="L2" s="101"/>
      <c r="M2" s="102" t="str">
        <f>"Kurs "&amp;Config!G26</f>
        <v>Kurs K1</v>
      </c>
    </row>
    <row r="3" spans="2:14" ht="18" customHeight="1" x14ac:dyDescent="0.2">
      <c r="B3" s="103" t="s">
        <v>83</v>
      </c>
      <c r="C3" s="104"/>
      <c r="D3" s="104"/>
      <c r="E3" s="104"/>
      <c r="F3" s="104"/>
      <c r="G3" s="104"/>
      <c r="H3" s="104"/>
      <c r="I3" s="104"/>
      <c r="J3" s="104"/>
      <c r="K3" s="104"/>
      <c r="L3" s="104"/>
      <c r="M3" s="105"/>
    </row>
    <row r="4" spans="2:14" ht="18" customHeight="1" thickBot="1" x14ac:dyDescent="0.25">
      <c r="B4" s="103"/>
      <c r="C4" s="104"/>
      <c r="D4" s="106"/>
      <c r="E4" s="106"/>
      <c r="F4" s="106"/>
      <c r="G4" s="106"/>
      <c r="H4" s="106"/>
      <c r="I4" s="106"/>
      <c r="J4" s="106"/>
      <c r="K4" s="106"/>
      <c r="L4" s="104"/>
      <c r="M4" s="105"/>
    </row>
    <row r="5" spans="2:14" ht="18" customHeight="1" thickBot="1" x14ac:dyDescent="0.25">
      <c r="B5" s="108"/>
      <c r="C5" s="110"/>
      <c r="D5" s="114" t="s">
        <v>9</v>
      </c>
      <c r="E5" s="114" t="s">
        <v>10</v>
      </c>
      <c r="F5" s="114" t="s">
        <v>11</v>
      </c>
      <c r="G5" s="114" t="s">
        <v>12</v>
      </c>
      <c r="H5" s="114" t="s">
        <v>13</v>
      </c>
      <c r="I5" s="114" t="s">
        <v>14</v>
      </c>
      <c r="J5" s="114" t="s">
        <v>112</v>
      </c>
      <c r="K5" s="127" t="s">
        <v>82</v>
      </c>
      <c r="L5" s="126"/>
      <c r="M5" s="128"/>
    </row>
    <row r="6" spans="2:14" ht="18" customHeight="1" thickBot="1" x14ac:dyDescent="0.25">
      <c r="B6" s="109"/>
      <c r="C6" s="111" t="s">
        <v>81</v>
      </c>
      <c r="D6" s="125">
        <f>Config!G21</f>
        <v>15</v>
      </c>
      <c r="E6" s="125">
        <f>Config!I21</f>
        <v>30</v>
      </c>
      <c r="F6" s="125">
        <f>Config!K21</f>
        <v>5</v>
      </c>
      <c r="G6" s="125">
        <f>Config!M21</f>
        <v>17</v>
      </c>
      <c r="H6" s="125">
        <f>Config!O21</f>
        <v>5</v>
      </c>
      <c r="I6" s="125">
        <f>Config!Q21</f>
        <v>18</v>
      </c>
      <c r="J6" s="125">
        <f>Config!S21</f>
        <v>10</v>
      </c>
      <c r="K6" s="145">
        <f t="shared" ref="K6:K29" si="0">SUM(D6:J6)</f>
        <v>100</v>
      </c>
      <c r="L6" s="112" t="s">
        <v>0</v>
      </c>
      <c r="M6" s="129" t="s">
        <v>1</v>
      </c>
      <c r="N6" s="98" t="s">
        <v>84</v>
      </c>
    </row>
    <row r="7" spans="2:14" ht="18" customHeight="1" thickBot="1" x14ac:dyDescent="0.25">
      <c r="B7" s="141">
        <v>1</v>
      </c>
      <c r="C7" s="138" t="str">
        <f>Config!C5&amp;", "&amp;Config!D5</f>
        <v>Höfer, Simon</v>
      </c>
      <c r="D7" s="131">
        <f>VLOOKUP(C7,'Analysis A'!PupilBlock,8,0)</f>
        <v>12.5</v>
      </c>
      <c r="E7" s="131">
        <f>VLOOKUP(C7,'Analysis B'!PupilBlock,12,0)</f>
        <v>22.5</v>
      </c>
      <c r="F7" s="131">
        <f>VLOOKUP(C7,'Stochastik A'!PupilBlock,3,0)</f>
        <v>2.5</v>
      </c>
      <c r="G7" s="131">
        <f>VLOOKUP(C7,'Stochastik B'!PupilBlock,7,0)</f>
        <v>13</v>
      </c>
      <c r="H7" s="131">
        <f>VLOOKUP(C7,'Geometrie A'!PupilBlock,4,0)</f>
        <v>0</v>
      </c>
      <c r="I7" s="131">
        <f>VLOOKUP(C7,'Geometrie B'!PupilBlock,7,0)</f>
        <v>9</v>
      </c>
      <c r="J7" s="131">
        <f>VLOOKUP(C7,Wahlaufgaben!PupilBlock,7,0)</f>
        <v>7</v>
      </c>
      <c r="K7" s="118">
        <f t="shared" si="0"/>
        <v>66.5</v>
      </c>
      <c r="L7" s="136">
        <f>VLOOKUP(VALUE(K7),Notenspiegel!$B$3:$C$302,2,0)</f>
        <v>9</v>
      </c>
      <c r="M7" s="122" t="str">
        <f>VLOOKUP(VALUE(K7),Notenspiegel!$B$3:$D$302,3,0)</f>
        <v>3+</v>
      </c>
      <c r="N7" s="98" t="str">
        <f>VLOOKUP(VALUE(K7),Notenspiegel!$B$3:$E$302,4,0)</f>
        <v/>
      </c>
    </row>
    <row r="8" spans="2:14" ht="18" customHeight="1" thickBot="1" x14ac:dyDescent="0.25">
      <c r="B8" s="142">
        <v>2</v>
      </c>
      <c r="C8" s="117" t="str">
        <f>Config!C6&amp;", "&amp;Config!D6</f>
        <v>Töpfer, Lilian</v>
      </c>
      <c r="D8" s="134">
        <f>VLOOKUP(C8,'Analysis A'!PupilBlock,8,0)</f>
        <v>9</v>
      </c>
      <c r="E8" s="134">
        <f>VLOOKUP(C8,'Analysis B'!PupilBlock,12,0)</f>
        <v>17.5</v>
      </c>
      <c r="F8" s="134">
        <f>VLOOKUP(C8,'Stochastik A'!PupilBlock,3,0)</f>
        <v>5</v>
      </c>
      <c r="G8" s="134">
        <f>VLOOKUP(C8,'Stochastik B'!PupilBlock,7,0)</f>
        <v>7</v>
      </c>
      <c r="H8" s="134">
        <f>VLOOKUP(C8,'Geometrie A'!PupilBlock,4,0)</f>
        <v>3.5</v>
      </c>
      <c r="I8" s="134">
        <f>VLOOKUP(C8,'Geometrie B'!PupilBlock,7,0)</f>
        <v>9</v>
      </c>
      <c r="J8" s="134">
        <f>VLOOKUP(C8,Wahlaufgaben!PupilBlock,7,0)</f>
        <v>7</v>
      </c>
      <c r="K8" s="135">
        <f t="shared" si="0"/>
        <v>58</v>
      </c>
      <c r="L8" s="137">
        <f>VLOOKUP(VALUE(K8),Notenspiegel!$B$3:$C$302,2,0)</f>
        <v>7</v>
      </c>
      <c r="M8" s="123" t="str">
        <f>VLOOKUP(VALUE(K8),Notenspiegel!$B$3:$D$302,3,0)</f>
        <v>3-</v>
      </c>
      <c r="N8" s="98" t="str">
        <f>VLOOKUP(VALUE(K8),Notenspiegel!$B$3:$E$302,4,0)</f>
        <v/>
      </c>
    </row>
    <row r="9" spans="2:14" ht="18" customHeight="1" thickBot="1" x14ac:dyDescent="0.25">
      <c r="B9" s="143">
        <v>3</v>
      </c>
      <c r="C9" s="115" t="str">
        <f>Config!C7&amp;", "&amp;Config!D7</f>
        <v>Fleischmann, Leonie</v>
      </c>
      <c r="D9" s="130">
        <f>VLOOKUP(C9,'Analysis A'!PupilBlock,8,0)</f>
        <v>10.5</v>
      </c>
      <c r="E9" s="130">
        <f>VLOOKUP(C9,'Analysis B'!PupilBlock,12,0)</f>
        <v>11.5</v>
      </c>
      <c r="F9" s="130">
        <f>VLOOKUP(C9,'Stochastik A'!PupilBlock,3,0)</f>
        <v>2.5</v>
      </c>
      <c r="G9" s="130">
        <f>VLOOKUP(C9,'Stochastik B'!PupilBlock,7,0)</f>
        <v>8</v>
      </c>
      <c r="H9" s="130">
        <f>VLOOKUP(C9,'Geometrie A'!PupilBlock,4,0)</f>
        <v>4.5</v>
      </c>
      <c r="I9" s="130">
        <f>VLOOKUP(C9,'Geometrie B'!PupilBlock,7,0)</f>
        <v>14</v>
      </c>
      <c r="J9" s="130">
        <f>VLOOKUP(C9,Wahlaufgaben!PupilBlock,7,0)</f>
        <v>8</v>
      </c>
      <c r="K9" s="118">
        <f t="shared" si="0"/>
        <v>59</v>
      </c>
      <c r="L9" s="136">
        <f>VLOOKUP(VALUE(K9),Notenspiegel!$B$3:$C$302,2,0)</f>
        <v>7</v>
      </c>
      <c r="M9" s="122" t="str">
        <f>VLOOKUP(VALUE(K9),Notenspiegel!$B$3:$D$302,3,0)</f>
        <v>3-</v>
      </c>
      <c r="N9" s="98" t="str">
        <f>VLOOKUP(VALUE(K9),Notenspiegel!$B$3:$E$302,4,0)</f>
        <v>+</v>
      </c>
    </row>
    <row r="10" spans="2:14" ht="18" customHeight="1" thickBot="1" x14ac:dyDescent="0.25">
      <c r="B10" s="142">
        <v>4</v>
      </c>
      <c r="C10" s="117" t="str">
        <f>Config!C8&amp;", "&amp;Config!D8</f>
        <v>Drescher, Cedric</v>
      </c>
      <c r="D10" s="134">
        <f>VLOOKUP(C10,'Analysis A'!PupilBlock,8,0)</f>
        <v>12.5</v>
      </c>
      <c r="E10" s="134">
        <f>VLOOKUP(C10,'Analysis B'!PupilBlock,12,0)</f>
        <v>23</v>
      </c>
      <c r="F10" s="134">
        <f>VLOOKUP(C10,'Stochastik A'!PupilBlock,3,0)</f>
        <v>2.5</v>
      </c>
      <c r="G10" s="134">
        <f>VLOOKUP(C10,'Stochastik B'!PupilBlock,7,0)</f>
        <v>9</v>
      </c>
      <c r="H10" s="134">
        <f>VLOOKUP(C10,'Geometrie A'!PupilBlock,4,0)</f>
        <v>3.5</v>
      </c>
      <c r="I10" s="134">
        <f>VLOOKUP(C10,'Geometrie B'!PupilBlock,7,0)</f>
        <v>13.5</v>
      </c>
      <c r="J10" s="134">
        <f>VLOOKUP(C10,Wahlaufgaben!PupilBlock,7,0)</f>
        <v>6</v>
      </c>
      <c r="K10" s="135">
        <f t="shared" si="0"/>
        <v>70</v>
      </c>
      <c r="L10" s="137">
        <f>VLOOKUP(VALUE(K10),Notenspiegel!$B$3:$C$302,2,0)</f>
        <v>10</v>
      </c>
      <c r="M10" s="123" t="str">
        <f>VLOOKUP(VALUE(K10),Notenspiegel!$B$3:$D$302,3,0)</f>
        <v>2-</v>
      </c>
      <c r="N10" s="98" t="str">
        <f>VLOOKUP(VALUE(K10),Notenspiegel!$B$3:$E$302,4,0)</f>
        <v>--</v>
      </c>
    </row>
    <row r="11" spans="2:14" ht="18" customHeight="1" thickBot="1" x14ac:dyDescent="0.25">
      <c r="B11" s="143">
        <v>5</v>
      </c>
      <c r="C11" s="115" t="str">
        <f>Config!C9&amp;", "&amp;Config!D9</f>
        <v>Baumgarten, Annabell</v>
      </c>
      <c r="D11" s="130">
        <f>VLOOKUP(C11,'Analysis A'!PupilBlock,8,0)</f>
        <v>14</v>
      </c>
      <c r="E11" s="130">
        <f>VLOOKUP(C11,'Analysis B'!PupilBlock,12,0)</f>
        <v>21.5</v>
      </c>
      <c r="F11" s="130">
        <f>VLOOKUP(C11,'Stochastik A'!PupilBlock,3,0)</f>
        <v>2.5</v>
      </c>
      <c r="G11" s="130">
        <f>VLOOKUP(C11,'Stochastik B'!PupilBlock,7,0)</f>
        <v>4.5</v>
      </c>
      <c r="H11" s="130">
        <f>VLOOKUP(C11,'Geometrie A'!PupilBlock,4,0)</f>
        <v>3.5</v>
      </c>
      <c r="I11" s="130">
        <f>VLOOKUP(C11,'Geometrie B'!PupilBlock,7,0)</f>
        <v>12</v>
      </c>
      <c r="J11" s="130">
        <f>VLOOKUP(C11,Wahlaufgaben!PupilBlock,7,0)</f>
        <v>6</v>
      </c>
      <c r="K11" s="118">
        <f t="shared" si="0"/>
        <v>64</v>
      </c>
      <c r="L11" s="136">
        <f>VLOOKUP(VALUE(K11),Notenspiegel!$B$3:$C$302,2,0)</f>
        <v>8</v>
      </c>
      <c r="M11" s="122" t="str">
        <f>VLOOKUP(VALUE(K11),Notenspiegel!$B$3:$D$302,3,0)</f>
        <v>3</v>
      </c>
      <c r="N11" s="98" t="str">
        <f>VLOOKUP(VALUE(K11),Notenspiegel!$B$3:$E$302,4,0)</f>
        <v>+</v>
      </c>
    </row>
    <row r="12" spans="2:14" ht="18" customHeight="1" thickBot="1" x14ac:dyDescent="0.25">
      <c r="B12" s="142">
        <v>6</v>
      </c>
      <c r="C12" s="117" t="str">
        <f>Config!C10&amp;", "&amp;Config!D10</f>
        <v>Traut, Stefanie</v>
      </c>
      <c r="D12" s="134">
        <f>VLOOKUP(C12,'Analysis A'!PupilBlock,8,0)</f>
        <v>12.5</v>
      </c>
      <c r="E12" s="134">
        <f>VLOOKUP(C12,'Analysis B'!PupilBlock,12,0)</f>
        <v>33</v>
      </c>
      <c r="F12" s="134">
        <f>VLOOKUP(C12,'Stochastik A'!PupilBlock,3,0)</f>
        <v>3</v>
      </c>
      <c r="G12" s="134">
        <f>VLOOKUP(C12,'Stochastik B'!PupilBlock,7,0)</f>
        <v>10.5</v>
      </c>
      <c r="H12" s="134">
        <f>VLOOKUP(C12,'Geometrie A'!PupilBlock,4,0)</f>
        <v>4.5</v>
      </c>
      <c r="I12" s="134">
        <f>VLOOKUP(C12,'Geometrie B'!PupilBlock,7,0)</f>
        <v>17</v>
      </c>
      <c r="J12" s="134">
        <f>VLOOKUP(C12,Wahlaufgaben!PupilBlock,7,0)</f>
        <v>8</v>
      </c>
      <c r="K12" s="135">
        <f t="shared" si="0"/>
        <v>88.5</v>
      </c>
      <c r="L12" s="137">
        <f>VLOOKUP(VALUE(K12),Notenspiegel!$B$3:$C$302,2,0)</f>
        <v>13</v>
      </c>
      <c r="M12" s="123" t="str">
        <f>VLOOKUP(VALUE(K12),Notenspiegel!$B$3:$D$302,3,0)</f>
        <v>1-</v>
      </c>
      <c r="N12" s="98" t="str">
        <f>VLOOKUP(VALUE(K12),Notenspiegel!$B$3:$E$302,4,0)</f>
        <v/>
      </c>
    </row>
    <row r="13" spans="2:14" ht="18" customHeight="1" thickBot="1" x14ac:dyDescent="0.25">
      <c r="B13" s="143">
        <v>7</v>
      </c>
      <c r="C13" s="115" t="str">
        <f>Config!C11&amp;", "&amp;Config!D11</f>
        <v>Menke, Damian</v>
      </c>
      <c r="D13" s="130">
        <f>VLOOKUP(C13,'Analysis A'!PupilBlock,8,0)</f>
        <v>12.5</v>
      </c>
      <c r="E13" s="130">
        <f>VLOOKUP(C13,'Analysis B'!PupilBlock,12,0)</f>
        <v>22.5</v>
      </c>
      <c r="F13" s="130">
        <f>VLOOKUP(C13,'Stochastik A'!PupilBlock,3,0)</f>
        <v>5</v>
      </c>
      <c r="G13" s="130">
        <f>VLOOKUP(C13,'Stochastik B'!PupilBlock,7,0)</f>
        <v>8.5</v>
      </c>
      <c r="H13" s="130">
        <f>VLOOKUP(C13,'Geometrie A'!PupilBlock,4,0)</f>
        <v>4.5</v>
      </c>
      <c r="I13" s="130">
        <f>VLOOKUP(C13,'Geometrie B'!PupilBlock,7,0)</f>
        <v>15</v>
      </c>
      <c r="J13" s="130">
        <f>VLOOKUP(C13,Wahlaufgaben!PupilBlock,7,0)</f>
        <v>7</v>
      </c>
      <c r="K13" s="118">
        <f t="shared" si="0"/>
        <v>75</v>
      </c>
      <c r="L13" s="136">
        <f>VLOOKUP(VALUE(K13),Notenspiegel!$B$3:$C$302,2,0)</f>
        <v>11</v>
      </c>
      <c r="M13" s="122" t="str">
        <f>VLOOKUP(VALUE(K13),Notenspiegel!$B$3:$D$302,3,0)</f>
        <v>2</v>
      </c>
      <c r="N13" s="98" t="str">
        <f>VLOOKUP(VALUE(K13),Notenspiegel!$B$3:$E$302,4,0)</f>
        <v>--</v>
      </c>
    </row>
    <row r="14" spans="2:14" ht="18" customHeight="1" thickBot="1" x14ac:dyDescent="0.25">
      <c r="B14" s="142">
        <v>8</v>
      </c>
      <c r="C14" s="117" t="str">
        <f>Config!C12&amp;", "&amp;Config!D12</f>
        <v>Carroll, Meik</v>
      </c>
      <c r="D14" s="134">
        <f>VLOOKUP(C14,'Analysis A'!PupilBlock,8,0)</f>
        <v>9</v>
      </c>
      <c r="E14" s="134">
        <f>VLOOKUP(C14,'Analysis B'!PupilBlock,12,0)</f>
        <v>16.5</v>
      </c>
      <c r="F14" s="134">
        <f>VLOOKUP(C14,'Stochastik A'!PupilBlock,3,0)</f>
        <v>5</v>
      </c>
      <c r="G14" s="134">
        <f>VLOOKUP(C14,'Stochastik B'!PupilBlock,7,0)</f>
        <v>8.5</v>
      </c>
      <c r="H14" s="134">
        <f>VLOOKUP(C14,'Geometrie A'!PupilBlock,4,0)</f>
        <v>4</v>
      </c>
      <c r="I14" s="134">
        <f>VLOOKUP(C14,'Geometrie B'!PupilBlock,7,0)</f>
        <v>13</v>
      </c>
      <c r="J14" s="134">
        <f>VLOOKUP(C14,Wahlaufgaben!PupilBlock,7,0)</f>
        <v>7</v>
      </c>
      <c r="K14" s="135">
        <f t="shared" si="0"/>
        <v>63</v>
      </c>
      <c r="L14" s="137">
        <f>VLOOKUP(VALUE(K14),Notenspiegel!$B$3:$C$302,2,0)</f>
        <v>8</v>
      </c>
      <c r="M14" s="123" t="str">
        <f>VLOOKUP(VALUE(K14),Notenspiegel!$B$3:$D$302,3,0)</f>
        <v>3</v>
      </c>
      <c r="N14" s="98" t="str">
        <f>VLOOKUP(VALUE(K14),Notenspiegel!$B$3:$E$302,4,0)</f>
        <v/>
      </c>
    </row>
    <row r="15" spans="2:14" ht="18" customHeight="1" thickBot="1" x14ac:dyDescent="0.25">
      <c r="B15" s="143">
        <v>9</v>
      </c>
      <c r="C15" s="115" t="str">
        <f>Config!C13&amp;", "&amp;Config!D13</f>
        <v>Hennings, Tomas</v>
      </c>
      <c r="D15" s="130">
        <f>VLOOKUP(C15,'Analysis A'!PupilBlock,8,0)</f>
        <v>10</v>
      </c>
      <c r="E15" s="130">
        <f>VLOOKUP(C15,'Analysis B'!PupilBlock,12,0)</f>
        <v>14.5</v>
      </c>
      <c r="F15" s="130">
        <f>VLOOKUP(C15,'Stochastik A'!PupilBlock,3,0)</f>
        <v>4</v>
      </c>
      <c r="G15" s="130">
        <f>VLOOKUP(C15,'Stochastik B'!PupilBlock,7,0)</f>
        <v>13</v>
      </c>
      <c r="H15" s="130">
        <f>VLOOKUP(C15,'Geometrie A'!PupilBlock,4,0)</f>
        <v>4.5</v>
      </c>
      <c r="I15" s="130">
        <f>VLOOKUP(C15,'Geometrie B'!PupilBlock,7,0)</f>
        <v>4</v>
      </c>
      <c r="J15" s="130">
        <f>VLOOKUP(C15,Wahlaufgaben!PupilBlock,7,0)</f>
        <v>8</v>
      </c>
      <c r="K15" s="118">
        <f t="shared" si="0"/>
        <v>58</v>
      </c>
      <c r="L15" s="136">
        <f>VLOOKUP(VALUE(K15),Notenspiegel!$B$3:$C$302,2,0)</f>
        <v>7</v>
      </c>
      <c r="M15" s="122" t="str">
        <f>VLOOKUP(VALUE(K15),Notenspiegel!$B$3:$D$302,3,0)</f>
        <v>3-</v>
      </c>
      <c r="N15" s="98" t="str">
        <f>VLOOKUP(VALUE(K15),Notenspiegel!$B$3:$E$302,4,0)</f>
        <v/>
      </c>
    </row>
    <row r="16" spans="2:14" ht="18" customHeight="1" thickBot="1" x14ac:dyDescent="0.25">
      <c r="B16" s="142">
        <v>10</v>
      </c>
      <c r="C16" s="117" t="str">
        <f>Config!C14&amp;", "&amp;Config!D14</f>
        <v>Walters, Linn</v>
      </c>
      <c r="D16" s="134">
        <f>VLOOKUP(C16,'Analysis A'!PupilBlock,8,0)</f>
        <v>3</v>
      </c>
      <c r="E16" s="134">
        <f>VLOOKUP(C16,'Analysis B'!PupilBlock,12,0)</f>
        <v>7</v>
      </c>
      <c r="F16" s="134">
        <f>VLOOKUP(C16,'Stochastik A'!PupilBlock,3,0)</f>
        <v>2.5</v>
      </c>
      <c r="G16" s="134">
        <f>VLOOKUP(C16,'Stochastik B'!PupilBlock,7,0)</f>
        <v>8</v>
      </c>
      <c r="H16" s="134">
        <f>VLOOKUP(C16,'Geometrie A'!PupilBlock,4,0)</f>
        <v>1</v>
      </c>
      <c r="I16" s="134">
        <f>VLOOKUP(C16,'Geometrie B'!PupilBlock,7,0)</f>
        <v>8.5</v>
      </c>
      <c r="J16" s="134">
        <f>VLOOKUP(C16,Wahlaufgaben!PupilBlock,7,0)</f>
        <v>8</v>
      </c>
      <c r="K16" s="135">
        <f t="shared" si="0"/>
        <v>38</v>
      </c>
      <c r="L16" s="137">
        <f>VLOOKUP(VALUE(K16),Notenspiegel!$B$3:$C$302,2,0)</f>
        <v>3</v>
      </c>
      <c r="M16" s="123" t="str">
        <f>VLOOKUP(VALUE(K16),Notenspiegel!$B$3:$D$302,3,0)</f>
        <v>5+</v>
      </c>
      <c r="N16" s="98" t="str">
        <f>VLOOKUP(VALUE(K16),Notenspiegel!$B$3:$E$302,4,0)</f>
        <v/>
      </c>
    </row>
    <row r="17" spans="2:14" ht="18" customHeight="1" thickBot="1" x14ac:dyDescent="0.25">
      <c r="B17" s="143">
        <v>11</v>
      </c>
      <c r="C17" s="115" t="str">
        <f>Config!C15&amp;", "&amp;Config!D15</f>
        <v>Junker, Amely</v>
      </c>
      <c r="D17" s="130">
        <f>VLOOKUP(C17,'Analysis A'!PupilBlock,8,0)</f>
        <v>6.5</v>
      </c>
      <c r="E17" s="130">
        <f>VLOOKUP(C17,'Analysis B'!PupilBlock,12,0)</f>
        <v>13.5</v>
      </c>
      <c r="F17" s="130">
        <f>VLOOKUP(C17,'Stochastik A'!PupilBlock,3,0)</f>
        <v>2</v>
      </c>
      <c r="G17" s="130">
        <f>VLOOKUP(C17,'Stochastik B'!PupilBlock,7,0)</f>
        <v>6.5</v>
      </c>
      <c r="H17" s="130">
        <f>VLOOKUP(C17,'Geometrie A'!PupilBlock,4,0)</f>
        <v>2</v>
      </c>
      <c r="I17" s="130">
        <f>VLOOKUP(C17,'Geometrie B'!PupilBlock,7,0)</f>
        <v>13</v>
      </c>
      <c r="J17" s="130">
        <f>VLOOKUP(C17,Wahlaufgaben!PupilBlock,7,0)</f>
        <v>6</v>
      </c>
      <c r="K17" s="118">
        <f t="shared" si="0"/>
        <v>49.5</v>
      </c>
      <c r="L17" s="136">
        <f>VLOOKUP(VALUE(K17),Notenspiegel!$B$3:$C$302,2,0)</f>
        <v>5</v>
      </c>
      <c r="M17" s="122" t="str">
        <f>VLOOKUP(VALUE(K17),Notenspiegel!$B$3:$D$302,3,0)</f>
        <v>4</v>
      </c>
      <c r="N17" s="98" t="str">
        <f>VLOOKUP(VALUE(K17),Notenspiegel!$B$3:$E$302,4,0)</f>
        <v>++</v>
      </c>
    </row>
    <row r="18" spans="2:14" ht="18" customHeight="1" thickBot="1" x14ac:dyDescent="0.25">
      <c r="B18" s="142">
        <v>12</v>
      </c>
      <c r="C18" s="117" t="str">
        <f>Config!C16&amp;", "&amp;Config!D16</f>
        <v>Stephens, Melvin</v>
      </c>
      <c r="D18" s="134">
        <f>VLOOKUP(C18,'Analysis A'!PupilBlock,8,0)</f>
        <v>11.5</v>
      </c>
      <c r="E18" s="134">
        <f>VLOOKUP(C18,'Analysis B'!PupilBlock,12,0)</f>
        <v>27</v>
      </c>
      <c r="F18" s="134">
        <f>VLOOKUP(C18,'Stochastik A'!PupilBlock,3,0)</f>
        <v>2.5</v>
      </c>
      <c r="G18" s="134">
        <f>VLOOKUP(C18,'Stochastik B'!PupilBlock,7,0)</f>
        <v>5.5</v>
      </c>
      <c r="H18" s="134">
        <f>VLOOKUP(C18,'Geometrie A'!PupilBlock,4,0)</f>
        <v>0.5</v>
      </c>
      <c r="I18" s="134">
        <f>VLOOKUP(C18,'Geometrie B'!PupilBlock,7,0)</f>
        <v>13</v>
      </c>
      <c r="J18" s="134">
        <f>VLOOKUP(C18,Wahlaufgaben!PupilBlock,7,0)</f>
        <v>6</v>
      </c>
      <c r="K18" s="135">
        <f t="shared" si="0"/>
        <v>66</v>
      </c>
      <c r="L18" s="137">
        <f>VLOOKUP(VALUE(K18),Notenspiegel!$B$3:$C$302,2,0)</f>
        <v>9</v>
      </c>
      <c r="M18" s="123" t="str">
        <f>VLOOKUP(VALUE(K18),Notenspiegel!$B$3:$D$302,3,0)</f>
        <v>3+</v>
      </c>
      <c r="N18" s="98" t="str">
        <f>VLOOKUP(VALUE(K18),Notenspiegel!$B$3:$E$302,4,0)</f>
        <v/>
      </c>
    </row>
    <row r="19" spans="2:14" ht="18" customHeight="1" thickBot="1" x14ac:dyDescent="0.25">
      <c r="B19" s="143">
        <v>13</v>
      </c>
      <c r="C19" s="115" t="str">
        <f>Config!C17&amp;", "&amp;Config!D17</f>
        <v>Cremer, Marvin</v>
      </c>
      <c r="D19" s="130">
        <f>VLOOKUP(C19,'Analysis A'!PupilBlock,8,0)</f>
        <v>12.5</v>
      </c>
      <c r="E19" s="130">
        <f>VLOOKUP(C19,'Analysis B'!PupilBlock,12,0)</f>
        <v>22</v>
      </c>
      <c r="F19" s="130">
        <f>VLOOKUP(C19,'Stochastik A'!PupilBlock,3,0)</f>
        <v>5</v>
      </c>
      <c r="G19" s="130">
        <f>VLOOKUP(C19,'Stochastik B'!PupilBlock,7,0)</f>
        <v>5.5</v>
      </c>
      <c r="H19" s="130">
        <f>VLOOKUP(C19,'Geometrie A'!PupilBlock,4,0)</f>
        <v>4.5</v>
      </c>
      <c r="I19" s="130">
        <f>VLOOKUP(C19,'Geometrie B'!PupilBlock,7,0)</f>
        <v>3</v>
      </c>
      <c r="J19" s="130">
        <f>VLOOKUP(C19,Wahlaufgaben!PupilBlock,7,0)</f>
        <v>8</v>
      </c>
      <c r="K19" s="118">
        <f t="shared" si="0"/>
        <v>60.5</v>
      </c>
      <c r="L19" s="136">
        <f>VLOOKUP(VALUE(K19),Notenspiegel!$B$3:$C$302,2,0)</f>
        <v>8</v>
      </c>
      <c r="M19" s="122" t="str">
        <f>VLOOKUP(VALUE(K19),Notenspiegel!$B$3:$D$302,3,0)</f>
        <v>3</v>
      </c>
      <c r="N19" s="98" t="str">
        <f>VLOOKUP(VALUE(K19),Notenspiegel!$B$3:$E$302,4,0)</f>
        <v>-</v>
      </c>
    </row>
    <row r="20" spans="2:14" ht="18" customHeight="1" thickBot="1" x14ac:dyDescent="0.25">
      <c r="B20" s="142">
        <v>14</v>
      </c>
      <c r="C20" s="117" t="str">
        <f>Config!C18&amp;", "&amp;Config!D18</f>
        <v>Nash, Jean</v>
      </c>
      <c r="D20" s="134">
        <f>VLOOKUP(C20,'Analysis A'!PupilBlock,8,0)</f>
        <v>13.5</v>
      </c>
      <c r="E20" s="134">
        <f>VLOOKUP(C20,'Analysis B'!PupilBlock,12,0)</f>
        <v>15.5</v>
      </c>
      <c r="F20" s="134">
        <f>VLOOKUP(C20,'Stochastik A'!PupilBlock,3,0)</f>
        <v>5</v>
      </c>
      <c r="G20" s="134">
        <f>VLOOKUP(C20,'Stochastik B'!PupilBlock,7,0)</f>
        <v>8</v>
      </c>
      <c r="H20" s="134">
        <f>VLOOKUP(C20,'Geometrie A'!PupilBlock,4,0)</f>
        <v>4</v>
      </c>
      <c r="I20" s="134">
        <f>VLOOKUP(C20,'Geometrie B'!PupilBlock,7,0)</f>
        <v>14.5</v>
      </c>
      <c r="J20" s="134">
        <f>VLOOKUP(C20,Wahlaufgaben!PupilBlock,7,0)</f>
        <v>7</v>
      </c>
      <c r="K20" s="135">
        <f t="shared" si="0"/>
        <v>67.5</v>
      </c>
      <c r="L20" s="137">
        <f>VLOOKUP(VALUE(K20),Notenspiegel!$B$3:$C$302,2,0)</f>
        <v>9</v>
      </c>
      <c r="M20" s="123" t="str">
        <f>VLOOKUP(VALUE(K20),Notenspiegel!$B$3:$D$302,3,0)</f>
        <v>3+</v>
      </c>
      <c r="N20" s="98" t="str">
        <f>VLOOKUP(VALUE(K20),Notenspiegel!$B$3:$E$302,4,0)</f>
        <v/>
      </c>
    </row>
    <row r="21" spans="2:14" ht="18" customHeight="1" thickBot="1" x14ac:dyDescent="0.25">
      <c r="B21" s="143">
        <v>15</v>
      </c>
      <c r="C21" s="115" t="str">
        <f>Config!C19&amp;", "&amp;Config!D19</f>
        <v>Schön, Leonardo</v>
      </c>
      <c r="D21" s="130">
        <f>VLOOKUP(C21,'Analysis A'!PupilBlock,8,0)</f>
        <v>12</v>
      </c>
      <c r="E21" s="130">
        <f>VLOOKUP(C21,'Analysis B'!PupilBlock,12,0)</f>
        <v>23.5</v>
      </c>
      <c r="F21" s="130">
        <f>VLOOKUP(C21,'Stochastik A'!PupilBlock,3,0)</f>
        <v>2.5</v>
      </c>
      <c r="G21" s="130">
        <f>VLOOKUP(C21,'Stochastik B'!PupilBlock,7,0)</f>
        <v>8</v>
      </c>
      <c r="H21" s="130">
        <f>VLOOKUP(C21,'Geometrie A'!PupilBlock,4,0)</f>
        <v>5</v>
      </c>
      <c r="I21" s="130">
        <f>VLOOKUP(C21,'Geometrie B'!PupilBlock,7,0)</f>
        <v>6.5</v>
      </c>
      <c r="J21" s="130">
        <f>VLOOKUP(C21,Wahlaufgaben!PupilBlock,7,0)</f>
        <v>4</v>
      </c>
      <c r="K21" s="118">
        <f t="shared" si="0"/>
        <v>61.5</v>
      </c>
      <c r="L21" s="136">
        <f>VLOOKUP(VALUE(K21),Notenspiegel!$B$3:$C$302,2,0)</f>
        <v>8</v>
      </c>
      <c r="M21" s="122" t="str">
        <f>VLOOKUP(VALUE(K21),Notenspiegel!$B$3:$D$302,3,0)</f>
        <v>3</v>
      </c>
      <c r="N21" s="98" t="str">
        <f>VLOOKUP(VALUE(K21),Notenspiegel!$B$3:$E$302,4,0)</f>
        <v/>
      </c>
    </row>
    <row r="22" spans="2:14" ht="18" customHeight="1" thickBot="1" x14ac:dyDescent="0.25">
      <c r="B22" s="142">
        <v>16</v>
      </c>
      <c r="C22" s="117" t="str">
        <f>Config!C20&amp;", "&amp;Config!D20</f>
        <v>Sigl, Nicholas</v>
      </c>
      <c r="D22" s="134">
        <f>VLOOKUP(C22,'Analysis A'!PupilBlock,8,0)</f>
        <v>7.5</v>
      </c>
      <c r="E22" s="134">
        <f>VLOOKUP(C22,'Analysis B'!PupilBlock,12,0)</f>
        <v>22</v>
      </c>
      <c r="F22" s="134">
        <f>VLOOKUP(C22,'Stochastik A'!PupilBlock,3,0)</f>
        <v>5</v>
      </c>
      <c r="G22" s="134">
        <f>VLOOKUP(C22,'Stochastik B'!PupilBlock,7,0)</f>
        <v>0</v>
      </c>
      <c r="H22" s="134">
        <f>VLOOKUP(C22,'Geometrie A'!PupilBlock,4,0)</f>
        <v>4.5</v>
      </c>
      <c r="I22" s="134">
        <f>VLOOKUP(C22,'Geometrie B'!PupilBlock,7,0)</f>
        <v>6</v>
      </c>
      <c r="J22" s="134">
        <f>VLOOKUP(C22,Wahlaufgaben!PupilBlock,7,0)</f>
        <v>8</v>
      </c>
      <c r="K22" s="135">
        <f t="shared" si="0"/>
        <v>53</v>
      </c>
      <c r="L22" s="137">
        <f>VLOOKUP(VALUE(K22),Notenspiegel!$B$3:$C$302,2,0)</f>
        <v>6</v>
      </c>
      <c r="M22" s="123" t="str">
        <f>VLOOKUP(VALUE(K22),Notenspiegel!$B$3:$D$302,3,0)</f>
        <v>4+</v>
      </c>
      <c r="N22" s="98" t="str">
        <f>VLOOKUP(VALUE(K22),Notenspiegel!$B$3:$E$302,4,0)</f>
        <v/>
      </c>
    </row>
    <row r="23" spans="2:14" ht="18" customHeight="1" thickBot="1" x14ac:dyDescent="0.25">
      <c r="B23" s="143">
        <v>17</v>
      </c>
      <c r="C23" s="115" t="str">
        <f>Config!C21&amp;", "&amp;Config!D21</f>
        <v>Kainz, Vivienne</v>
      </c>
      <c r="D23" s="130">
        <f>VLOOKUP(C23,'Analysis A'!PupilBlock,8,0)</f>
        <v>1</v>
      </c>
      <c r="E23" s="130">
        <f>VLOOKUP(C23,'Analysis B'!PupilBlock,12,0)</f>
        <v>6.5</v>
      </c>
      <c r="F23" s="130">
        <f>VLOOKUP(C23,'Stochastik A'!PupilBlock,3,0)</f>
        <v>5</v>
      </c>
      <c r="G23" s="130">
        <f>VLOOKUP(C23,'Stochastik B'!PupilBlock,7,0)</f>
        <v>7.5</v>
      </c>
      <c r="H23" s="130">
        <f>VLOOKUP(C23,'Geometrie A'!PupilBlock,4,0)</f>
        <v>5</v>
      </c>
      <c r="I23" s="130">
        <f>VLOOKUP(C23,'Geometrie B'!PupilBlock,7,0)</f>
        <v>4.5</v>
      </c>
      <c r="J23" s="130">
        <f>VLOOKUP(C23,Wahlaufgaben!PupilBlock,7,0)</f>
        <v>10</v>
      </c>
      <c r="K23" s="118">
        <f t="shared" si="0"/>
        <v>39.5</v>
      </c>
      <c r="L23" s="136">
        <f>VLOOKUP(VALUE(K23),Notenspiegel!$B$3:$C$302,2,0)</f>
        <v>3</v>
      </c>
      <c r="M23" s="122" t="str">
        <f>VLOOKUP(VALUE(K23),Notenspiegel!$B$3:$D$302,3,0)</f>
        <v>5+</v>
      </c>
      <c r="N23" s="98" t="str">
        <f>VLOOKUP(VALUE(K23),Notenspiegel!$B$3:$E$302,4,0)</f>
        <v>++</v>
      </c>
    </row>
    <row r="24" spans="2:14" ht="18" customHeight="1" thickBot="1" x14ac:dyDescent="0.25">
      <c r="B24" s="142">
        <v>18</v>
      </c>
      <c r="C24" s="117" t="str">
        <f>Config!C22&amp;", "&amp;Config!D22</f>
        <v>Hartmann, Mads</v>
      </c>
      <c r="D24" s="134">
        <f>VLOOKUP(C24,'Analysis A'!PupilBlock,8,0)</f>
        <v>10</v>
      </c>
      <c r="E24" s="134">
        <f>VLOOKUP(C24,'Analysis B'!PupilBlock,12,0)</f>
        <v>16</v>
      </c>
      <c r="F24" s="134">
        <f>VLOOKUP(C24,'Stochastik A'!PupilBlock,3,0)</f>
        <v>2.5</v>
      </c>
      <c r="G24" s="134">
        <f>VLOOKUP(C24,'Stochastik B'!PupilBlock,7,0)</f>
        <v>7</v>
      </c>
      <c r="H24" s="134">
        <f>VLOOKUP(C24,'Geometrie A'!PupilBlock,4,0)</f>
        <v>1</v>
      </c>
      <c r="I24" s="134">
        <f>VLOOKUP(C24,'Geometrie B'!PupilBlock,7,0)</f>
        <v>14</v>
      </c>
      <c r="J24" s="134">
        <f>VLOOKUP(C24,Wahlaufgaben!PupilBlock,7,0)</f>
        <v>7</v>
      </c>
      <c r="K24" s="135">
        <f t="shared" si="0"/>
        <v>57.5</v>
      </c>
      <c r="L24" s="137">
        <f>VLOOKUP(VALUE(K24),Notenspiegel!$B$3:$C$302,2,0)</f>
        <v>7</v>
      </c>
      <c r="M24" s="123" t="str">
        <f>VLOOKUP(VALUE(K24),Notenspiegel!$B$3:$D$302,3,0)</f>
        <v>3-</v>
      </c>
      <c r="N24" s="98" t="str">
        <f>VLOOKUP(VALUE(K24),Notenspiegel!$B$3:$E$302,4,0)</f>
        <v/>
      </c>
    </row>
    <row r="25" spans="2:14" ht="18" customHeight="1" thickBot="1" x14ac:dyDescent="0.25">
      <c r="B25" s="143">
        <v>19</v>
      </c>
      <c r="C25" s="115" t="str">
        <f>Config!C23&amp;", "&amp;Config!D23</f>
        <v>Ullmann, Raphael</v>
      </c>
      <c r="D25" s="130">
        <f>VLOOKUP(C25,'Analysis A'!PupilBlock,8,0)</f>
        <v>9.5</v>
      </c>
      <c r="E25" s="130">
        <f>VLOOKUP(C25,'Analysis B'!PupilBlock,12,0)</f>
        <v>14.5</v>
      </c>
      <c r="F25" s="130">
        <f>VLOOKUP(C25,'Stochastik A'!PupilBlock,3,0)</f>
        <v>5</v>
      </c>
      <c r="G25" s="130">
        <f>VLOOKUP(C25,'Stochastik B'!PupilBlock,7,0)</f>
        <v>7</v>
      </c>
      <c r="H25" s="130">
        <f>VLOOKUP(C25,'Geometrie A'!PupilBlock,4,0)</f>
        <v>2</v>
      </c>
      <c r="I25" s="130">
        <f>VLOOKUP(C25,'Geometrie B'!PupilBlock,7,0)</f>
        <v>13.5</v>
      </c>
      <c r="J25" s="130">
        <f>VLOOKUP(C25,Wahlaufgaben!PupilBlock,7,0)</f>
        <v>8</v>
      </c>
      <c r="K25" s="118">
        <f t="shared" si="0"/>
        <v>59.5</v>
      </c>
      <c r="L25" s="136">
        <f>VLOOKUP(VALUE(K25),Notenspiegel!$B$3:$C$302,2,0)</f>
        <v>7</v>
      </c>
      <c r="M25" s="122" t="str">
        <f>VLOOKUP(VALUE(K25),Notenspiegel!$B$3:$D$302,3,0)</f>
        <v>3-</v>
      </c>
      <c r="N25" s="98" t="str">
        <f>VLOOKUP(VALUE(K25),Notenspiegel!$B$3:$E$302,4,0)</f>
        <v>++</v>
      </c>
    </row>
    <row r="26" spans="2:14" ht="18" customHeight="1" thickBot="1" x14ac:dyDescent="0.25">
      <c r="B26" s="142">
        <v>20</v>
      </c>
      <c r="C26" s="117" t="str">
        <f>Config!C24&amp;", "&amp;Config!D24</f>
        <v>Hartl, Emmely</v>
      </c>
      <c r="D26" s="134">
        <f>VLOOKUP(C26,'Analysis A'!PupilBlock,8,0)</f>
        <v>13.5</v>
      </c>
      <c r="E26" s="134">
        <f>VLOOKUP(C26,'Analysis B'!PupilBlock,12,0)</f>
        <v>23</v>
      </c>
      <c r="F26" s="134">
        <f>VLOOKUP(C26,'Stochastik A'!PupilBlock,3,0)</f>
        <v>3</v>
      </c>
      <c r="G26" s="134">
        <f>VLOOKUP(C26,'Stochastik B'!PupilBlock,7,0)</f>
        <v>4.5</v>
      </c>
      <c r="H26" s="134">
        <f>VLOOKUP(C26,'Geometrie A'!PupilBlock,4,0)</f>
        <v>2</v>
      </c>
      <c r="I26" s="134">
        <f>VLOOKUP(C26,'Geometrie B'!PupilBlock,7,0)</f>
        <v>15</v>
      </c>
      <c r="J26" s="134">
        <f>VLOOKUP(C26,Wahlaufgaben!PupilBlock,7,0)</f>
        <v>10</v>
      </c>
      <c r="K26" s="135">
        <f t="shared" si="0"/>
        <v>71</v>
      </c>
      <c r="L26" s="137">
        <f>VLOOKUP(VALUE(K26),Notenspiegel!$B$3:$C$302,2,0)</f>
        <v>10</v>
      </c>
      <c r="M26" s="123" t="str">
        <f>VLOOKUP(VALUE(K26),Notenspiegel!$B$3:$D$302,3,0)</f>
        <v>2-</v>
      </c>
      <c r="N26" s="98" t="str">
        <f>VLOOKUP(VALUE(K26),Notenspiegel!$B$3:$E$302,4,0)</f>
        <v/>
      </c>
    </row>
    <row r="27" spans="2:14" ht="18" customHeight="1" thickBot="1" x14ac:dyDescent="0.25">
      <c r="B27" s="143">
        <v>21</v>
      </c>
      <c r="C27" s="115" t="str">
        <f>Config!C25&amp;", "&amp;Config!D25</f>
        <v>Klotz, Karin</v>
      </c>
      <c r="D27" s="130">
        <f>VLOOKUP(C27,'Analysis A'!PupilBlock,8,0)</f>
        <v>13.5</v>
      </c>
      <c r="E27" s="130">
        <f>VLOOKUP(C27,'Analysis B'!PupilBlock,12,0)</f>
        <v>26.5</v>
      </c>
      <c r="F27" s="130">
        <f>VLOOKUP(C27,'Stochastik A'!PupilBlock,3,0)</f>
        <v>4</v>
      </c>
      <c r="G27" s="130">
        <f>VLOOKUP(C27,'Stochastik B'!PupilBlock,7,0)</f>
        <v>6</v>
      </c>
      <c r="H27" s="130">
        <f>VLOOKUP(C27,'Geometrie A'!PupilBlock,4,0)</f>
        <v>5</v>
      </c>
      <c r="I27" s="130">
        <f>VLOOKUP(C27,'Geometrie B'!PupilBlock,7,0)</f>
        <v>16</v>
      </c>
      <c r="J27" s="130">
        <f>VLOOKUP(C27,Wahlaufgaben!PupilBlock,7,0)</f>
        <v>10</v>
      </c>
      <c r="K27" s="118">
        <f t="shared" si="0"/>
        <v>81</v>
      </c>
      <c r="L27" s="136">
        <f>VLOOKUP(VALUE(K27),Notenspiegel!$B$3:$C$302,2,0)</f>
        <v>12</v>
      </c>
      <c r="M27" s="122" t="str">
        <f>VLOOKUP(VALUE(K27),Notenspiegel!$B$3:$D$302,3,0)</f>
        <v>2+</v>
      </c>
      <c r="N27" s="98" t="str">
        <f>VLOOKUP(VALUE(K27),Notenspiegel!$B$3:$E$302,4,0)</f>
        <v/>
      </c>
    </row>
    <row r="28" spans="2:14" ht="18" customHeight="1" thickBot="1" x14ac:dyDescent="0.25">
      <c r="B28" s="142">
        <v>22</v>
      </c>
      <c r="C28" s="117" t="str">
        <f>Config!C26&amp;", "&amp;Config!D26</f>
        <v>Ehlers, Ingo</v>
      </c>
      <c r="D28" s="134">
        <f>VLOOKUP(C28,'Analysis A'!PupilBlock,8,0)</f>
        <v>10</v>
      </c>
      <c r="E28" s="134">
        <f>VLOOKUP(C28,'Analysis B'!PupilBlock,12,0)</f>
        <v>21</v>
      </c>
      <c r="F28" s="134">
        <f>VLOOKUP(C28,'Stochastik A'!PupilBlock,3,0)</f>
        <v>5</v>
      </c>
      <c r="G28" s="134">
        <f>VLOOKUP(C28,'Stochastik B'!PupilBlock,7,0)</f>
        <v>5.5</v>
      </c>
      <c r="H28" s="134">
        <f>VLOOKUP(C28,'Geometrie A'!PupilBlock,4,0)</f>
        <v>5</v>
      </c>
      <c r="I28" s="134">
        <f>VLOOKUP(C28,'Geometrie B'!PupilBlock,7,0)</f>
        <v>14.5</v>
      </c>
      <c r="J28" s="134">
        <f>VLOOKUP(C28,Wahlaufgaben!PupilBlock,7,0)</f>
        <v>7</v>
      </c>
      <c r="K28" s="135">
        <f t="shared" si="0"/>
        <v>68</v>
      </c>
      <c r="L28" s="137">
        <f>VLOOKUP(VALUE(K28),Notenspiegel!$B$3:$C$302,2,0)</f>
        <v>9</v>
      </c>
      <c r="M28" s="123" t="str">
        <f>VLOOKUP(VALUE(K28),Notenspiegel!$B$3:$D$302,3,0)</f>
        <v>3+</v>
      </c>
      <c r="N28" s="98" t="str">
        <f>VLOOKUP(VALUE(K28),Notenspiegel!$B$3:$E$302,4,0)</f>
        <v/>
      </c>
    </row>
    <row r="29" spans="2:14" ht="18" customHeight="1" thickBot="1" x14ac:dyDescent="0.25">
      <c r="B29" s="144">
        <v>23</v>
      </c>
      <c r="C29" s="139" t="str">
        <f>Config!C27&amp;", "&amp;Config!D27</f>
        <v>Lindemann, Mads</v>
      </c>
      <c r="D29" s="140">
        <f>VLOOKUP(C29,'Analysis A'!PupilBlock,8,0)</f>
        <v>7</v>
      </c>
      <c r="E29" s="140">
        <f>VLOOKUP(C29,'Analysis B'!PupilBlock,12,0)</f>
        <v>16</v>
      </c>
      <c r="F29" s="140">
        <f>VLOOKUP(C29,'Stochastik A'!PupilBlock,3,0)</f>
        <v>5</v>
      </c>
      <c r="G29" s="140">
        <f>VLOOKUP(C29,'Stochastik B'!PupilBlock,7,0)</f>
        <v>10</v>
      </c>
      <c r="H29" s="140">
        <f>VLOOKUP(C29,'Geometrie A'!PupilBlock,4,0)</f>
        <v>3</v>
      </c>
      <c r="I29" s="140">
        <f>VLOOKUP(C29,'Geometrie B'!PupilBlock,7,0)</f>
        <v>6.5</v>
      </c>
      <c r="J29" s="140">
        <f>VLOOKUP(C29,Wahlaufgaben!PupilBlock,7,0)</f>
        <v>8</v>
      </c>
      <c r="K29" s="118">
        <f t="shared" si="0"/>
        <v>55.5</v>
      </c>
      <c r="L29" s="132">
        <f>VLOOKUP(VALUE(K29),Notenspiegel!$B$3:$C$302,2,0)</f>
        <v>7</v>
      </c>
      <c r="M29" s="133" t="str">
        <f>VLOOKUP(VALUE(K29),Notenspiegel!$B$3:$D$302,3,0)</f>
        <v>3-</v>
      </c>
      <c r="N29" s="98" t="str">
        <f>VLOOKUP(VALUE(K29),Notenspiegel!$B$3:$E$302,4,0)</f>
        <v>-</v>
      </c>
    </row>
    <row r="30" spans="2:14" ht="18" customHeight="1" thickBot="1" x14ac:dyDescent="0.25">
      <c r="B30" s="68"/>
      <c r="C30" s="69"/>
      <c r="D30" s="69">
        <f t="shared" ref="D30:J30" si="1">SUM(D7:D29)/(23*D6)</f>
        <v>0.6768115942028986</v>
      </c>
      <c r="E30" s="69">
        <f t="shared" si="1"/>
        <v>0.63260869565217392</v>
      </c>
      <c r="F30" s="69">
        <f t="shared" si="1"/>
        <v>0.74782608695652175</v>
      </c>
      <c r="G30" s="69">
        <f t="shared" si="1"/>
        <v>0.4373401534526854</v>
      </c>
      <c r="H30" s="69">
        <f t="shared" si="1"/>
        <v>0.66956521739130437</v>
      </c>
      <c r="I30" s="69">
        <f t="shared" si="1"/>
        <v>0.61594202898550721</v>
      </c>
      <c r="J30" s="69">
        <f t="shared" si="1"/>
        <v>0.74347826086956526</v>
      </c>
      <c r="K30" s="69" t="s">
        <v>85</v>
      </c>
      <c r="L30" s="70">
        <f>AVERAGE(L7:L29)</f>
        <v>7.9565217391304346</v>
      </c>
      <c r="M30" s="81">
        <f t="array" ref="M30">AVERAGE(SUBSTITUTE(SUBSTITUTE(M7:M29,"+",""),"-","")*1)</f>
        <v>3</v>
      </c>
    </row>
    <row r="31" spans="2:14" ht="18" customHeight="1" x14ac:dyDescent="0.2"/>
    <row r="32" spans="2:14" ht="18" customHeight="1" x14ac:dyDescent="0.2"/>
    <row r="33" ht="18" customHeight="1" x14ac:dyDescent="0.2"/>
    <row r="34" ht="18" customHeight="1" x14ac:dyDescent="0.2"/>
    <row r="35" ht="18" customHeight="1" x14ac:dyDescent="0.2"/>
    <row r="36" ht="18" customHeight="1" x14ac:dyDescent="0.2"/>
    <row r="37" ht="18" customHeight="1" x14ac:dyDescent="0.2"/>
    <row r="38" ht="18" customHeight="1" x14ac:dyDescent="0.2"/>
    <row r="39" ht="18" customHeight="1" x14ac:dyDescent="0.2"/>
    <row r="40" ht="18" customHeight="1" x14ac:dyDescent="0.2"/>
    <row r="41" ht="18" customHeight="1" x14ac:dyDescent="0.2"/>
    <row r="42" ht="18" customHeight="1" x14ac:dyDescent="0.2"/>
    <row r="43" ht="18" customHeight="1" x14ac:dyDescent="0.2"/>
    <row r="44" ht="18" customHeight="1" x14ac:dyDescent="0.2"/>
    <row r="45" ht="18" customHeight="1" x14ac:dyDescent="0.2"/>
    <row r="46" ht="18" customHeight="1" x14ac:dyDescent="0.2"/>
    <row r="47" ht="18" customHeight="1" x14ac:dyDescent="0.2"/>
    <row r="48" ht="18" customHeight="1" x14ac:dyDescent="0.2"/>
    <row r="49" ht="18" customHeight="1" x14ac:dyDescent="0.2"/>
    <row r="50" ht="18" customHeight="1" x14ac:dyDescent="0.2"/>
    <row r="51" ht="18" customHeight="1" x14ac:dyDescent="0.2"/>
    <row r="52" ht="18" customHeight="1" x14ac:dyDescent="0.2"/>
    <row r="53" ht="18" customHeight="1" x14ac:dyDescent="0.2"/>
    <row r="54" ht="18" customHeight="1" x14ac:dyDescent="0.2"/>
    <row r="55" ht="18" customHeight="1" x14ac:dyDescent="0.2"/>
    <row r="56" ht="18" customHeight="1" x14ac:dyDescent="0.2"/>
    <row r="57" ht="18" customHeight="1" x14ac:dyDescent="0.2"/>
    <row r="58" ht="18" customHeight="1" x14ac:dyDescent="0.2"/>
    <row r="59" ht="18" customHeight="1" x14ac:dyDescent="0.2"/>
    <row r="60" ht="18" customHeight="1" x14ac:dyDescent="0.2"/>
    <row r="61" ht="18" customHeight="1" x14ac:dyDescent="0.2"/>
    <row r="62" ht="18" customHeight="1" x14ac:dyDescent="0.2"/>
    <row r="63" ht="18" customHeight="1" x14ac:dyDescent="0.2"/>
    <row r="64" ht="18" customHeight="1" x14ac:dyDescent="0.2"/>
    <row r="65" ht="18" customHeight="1" x14ac:dyDescent="0.2"/>
    <row r="66" ht="18" customHeight="1" x14ac:dyDescent="0.2"/>
    <row r="67" ht="18" customHeight="1" x14ac:dyDescent="0.2"/>
    <row r="68" ht="18" customHeight="1" x14ac:dyDescent="0.2"/>
    <row r="69" ht="18" customHeight="1" x14ac:dyDescent="0.2"/>
    <row r="70" ht="18" customHeight="1" x14ac:dyDescent="0.2"/>
    <row r="71" ht="18" customHeight="1" x14ac:dyDescent="0.2"/>
    <row r="72" ht="18" customHeight="1" x14ac:dyDescent="0.2"/>
    <row r="73" ht="18" customHeight="1" x14ac:dyDescent="0.2"/>
    <row r="74" ht="18" customHeight="1" x14ac:dyDescent="0.2"/>
    <row r="75" ht="18" customHeight="1" x14ac:dyDescent="0.2"/>
    <row r="76" ht="18" customHeight="1" x14ac:dyDescent="0.2"/>
    <row r="77" ht="18" customHeight="1" x14ac:dyDescent="0.2"/>
    <row r="78" ht="18" customHeight="1" x14ac:dyDescent="0.2"/>
    <row r="79" ht="18" customHeight="1" x14ac:dyDescent="0.2"/>
    <row r="80"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electLockedCells="1"/>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AECF4-7034-4B57-821E-4373E7AEB826}">
  <sheetPr codeName="Tabelle1">
    <tabColor rgb="FF92D050"/>
  </sheetPr>
  <dimension ref="B1:J100"/>
  <sheetViews>
    <sheetView workbookViewId="0">
      <selection activeCell="D7" sqref="D7"/>
    </sheetView>
  </sheetViews>
  <sheetFormatPr baseColWidth="10" defaultColWidth="11.5703125" defaultRowHeight="12.75" x14ac:dyDescent="0.2"/>
  <cols>
    <col min="1" max="2" width="3.42578125" style="98" customWidth="1"/>
    <col min="3" max="3" width="25.7109375" style="98" customWidth="1"/>
    <col min="4" max="10" width="8.7109375" style="98" customWidth="1"/>
    <col min="11" max="16384" width="11.5703125" style="98"/>
  </cols>
  <sheetData>
    <row r="1" spans="2:10" ht="18" customHeight="1" thickBot="1" x14ac:dyDescent="0.25"/>
    <row r="2" spans="2:10" ht="18" customHeight="1" x14ac:dyDescent="0.2">
      <c r="B2" s="99" t="str">
        <f>Config!F2&amp;" "&amp;YEAR(Config!G24)</f>
        <v>Mathe Abitur 2026</v>
      </c>
      <c r="C2" s="100"/>
      <c r="D2" s="100"/>
      <c r="E2" s="100"/>
      <c r="F2" s="100"/>
      <c r="G2" s="101"/>
      <c r="H2" s="101"/>
      <c r="I2" s="101"/>
      <c r="J2" s="102" t="str">
        <f>"Kurs "&amp;Config!G26</f>
        <v>Kurs K1</v>
      </c>
    </row>
    <row r="3" spans="2:10" ht="18" customHeight="1" x14ac:dyDescent="0.2">
      <c r="B3" s="103" t="s">
        <v>9</v>
      </c>
      <c r="C3" s="104"/>
      <c r="D3" s="104"/>
      <c r="E3" s="104"/>
      <c r="F3" s="104"/>
      <c r="G3" s="104"/>
      <c r="H3" s="104"/>
      <c r="I3" s="104"/>
      <c r="J3" s="105"/>
    </row>
    <row r="4" spans="2:10" ht="18" customHeight="1" thickBot="1" x14ac:dyDescent="0.25">
      <c r="B4" s="103"/>
      <c r="C4" s="104"/>
      <c r="D4" s="106"/>
      <c r="E4" s="106"/>
      <c r="F4" s="106"/>
      <c r="G4" s="106"/>
      <c r="H4" s="106"/>
      <c r="I4" s="106"/>
      <c r="J4" s="107"/>
    </row>
    <row r="5" spans="2:10" ht="18" customHeight="1" thickBot="1" x14ac:dyDescent="0.25">
      <c r="B5" s="108"/>
      <c r="C5" s="110"/>
      <c r="D5" s="124" t="str">
        <f>Config!F6</f>
        <v>1a</v>
      </c>
      <c r="E5" s="124" t="str">
        <f>Config!F7</f>
        <v>1b</v>
      </c>
      <c r="F5" s="124" t="str">
        <f>Config!F8</f>
        <v>2</v>
      </c>
      <c r="G5" s="124" t="str">
        <f>Config!F9</f>
        <v>3</v>
      </c>
      <c r="H5" s="124" t="str">
        <f>Config!F10</f>
        <v>4a</v>
      </c>
      <c r="I5" s="124" t="str">
        <f>Config!F11</f>
        <v>4b</v>
      </c>
      <c r="J5" s="114" t="s">
        <v>82</v>
      </c>
    </row>
    <row r="6" spans="2:10" ht="18" customHeight="1" thickBot="1" x14ac:dyDescent="0.25">
      <c r="B6" s="109"/>
      <c r="C6" s="111" t="s">
        <v>81</v>
      </c>
      <c r="D6" s="113">
        <f>Config!G6</f>
        <v>2</v>
      </c>
      <c r="E6" s="113">
        <f>Config!G7</f>
        <v>2</v>
      </c>
      <c r="F6" s="113">
        <f>Config!G8</f>
        <v>3</v>
      </c>
      <c r="G6" s="113">
        <f>Config!G9</f>
        <v>3</v>
      </c>
      <c r="H6" s="113">
        <f>Config!G10</f>
        <v>3</v>
      </c>
      <c r="I6" s="113">
        <f>Config!G11</f>
        <v>2</v>
      </c>
      <c r="J6" s="125">
        <f>Config!G21</f>
        <v>15</v>
      </c>
    </row>
    <row r="7" spans="2:10" ht="18" customHeight="1" x14ac:dyDescent="0.2">
      <c r="B7" s="161">
        <v>1</v>
      </c>
      <c r="C7" s="162" t="str">
        <f>Config!C5&amp;", "&amp;Config!D5</f>
        <v>Höfer, Simon</v>
      </c>
      <c r="D7" s="182">
        <v>1.5</v>
      </c>
      <c r="E7" s="182">
        <v>2</v>
      </c>
      <c r="F7" s="182">
        <v>1.5</v>
      </c>
      <c r="G7" s="182">
        <v>2.5</v>
      </c>
      <c r="H7" s="182">
        <v>3</v>
      </c>
      <c r="I7" s="183">
        <v>2</v>
      </c>
      <c r="J7" s="163">
        <f t="shared" ref="J7:J38" si="0">SUM(D7:I7)</f>
        <v>12.5</v>
      </c>
    </row>
    <row r="8" spans="2:10" s="116" customFormat="1" ht="13.15" customHeight="1" x14ac:dyDescent="0.2">
      <c r="B8" s="164"/>
      <c r="C8" s="165" t="s">
        <v>126</v>
      </c>
      <c r="D8" s="204">
        <v>2</v>
      </c>
      <c r="E8" s="166">
        <v>2</v>
      </c>
      <c r="F8" s="166"/>
      <c r="G8" s="166"/>
      <c r="H8" s="166"/>
      <c r="I8" s="167"/>
      <c r="J8" s="151">
        <f t="shared" si="0"/>
        <v>4</v>
      </c>
    </row>
    <row r="9" spans="2:10" s="116" customFormat="1" ht="13.15" customHeight="1" x14ac:dyDescent="0.2">
      <c r="B9" s="168"/>
      <c r="C9" s="169" t="s">
        <v>127</v>
      </c>
      <c r="D9" s="205">
        <v>1</v>
      </c>
      <c r="E9" s="205">
        <v>1.5</v>
      </c>
      <c r="F9" s="148"/>
      <c r="G9" s="148"/>
      <c r="H9" s="148"/>
      <c r="I9" s="149"/>
      <c r="J9" s="150">
        <f t="shared" si="0"/>
        <v>2.5</v>
      </c>
    </row>
    <row r="10" spans="2:10" ht="18" customHeight="1" x14ac:dyDescent="0.2">
      <c r="B10" s="174">
        <v>2</v>
      </c>
      <c r="C10" s="175" t="str">
        <f>Config!C6&amp;", "&amp;Config!D6</f>
        <v>Töpfer, Lilian</v>
      </c>
      <c r="D10" s="184">
        <v>1.5</v>
      </c>
      <c r="E10" s="184">
        <v>2</v>
      </c>
      <c r="F10" s="184">
        <v>0.5</v>
      </c>
      <c r="G10" s="184">
        <v>1</v>
      </c>
      <c r="H10" s="184">
        <v>2</v>
      </c>
      <c r="I10" s="185">
        <v>2</v>
      </c>
      <c r="J10" s="176">
        <f t="shared" si="0"/>
        <v>9</v>
      </c>
    </row>
    <row r="11" spans="2:10" s="116" customFormat="1" ht="13.15" customHeight="1" x14ac:dyDescent="0.2">
      <c r="B11" s="170"/>
      <c r="C11" s="171" t="s">
        <v>126</v>
      </c>
      <c r="D11" s="172"/>
      <c r="E11" s="172"/>
      <c r="F11" s="172"/>
      <c r="G11" s="172"/>
      <c r="H11" s="172"/>
      <c r="I11" s="173"/>
      <c r="J11" s="154">
        <f t="shared" si="0"/>
        <v>0</v>
      </c>
    </row>
    <row r="12" spans="2:10" s="116" customFormat="1" ht="13.15" customHeight="1" x14ac:dyDescent="0.2">
      <c r="B12" s="177"/>
      <c r="C12" s="178" t="s">
        <v>127</v>
      </c>
      <c r="D12" s="148"/>
      <c r="E12" s="148"/>
      <c r="F12" s="148"/>
      <c r="G12" s="148"/>
      <c r="H12" s="148"/>
      <c r="I12" s="149"/>
      <c r="J12" s="153">
        <f t="shared" si="0"/>
        <v>0</v>
      </c>
    </row>
    <row r="13" spans="2:10" ht="18" customHeight="1" x14ac:dyDescent="0.2">
      <c r="B13" s="179">
        <v>3</v>
      </c>
      <c r="C13" s="180" t="str">
        <f>Config!C7&amp;", "&amp;Config!D7</f>
        <v>Fleischmann, Leonie</v>
      </c>
      <c r="D13" s="186">
        <v>0.5</v>
      </c>
      <c r="E13" s="186">
        <v>1.5</v>
      </c>
      <c r="F13" s="186">
        <v>1.5</v>
      </c>
      <c r="G13" s="186">
        <v>3</v>
      </c>
      <c r="H13" s="186">
        <v>3</v>
      </c>
      <c r="I13" s="187">
        <v>1</v>
      </c>
      <c r="J13" s="181">
        <f t="shared" si="0"/>
        <v>10.5</v>
      </c>
    </row>
    <row r="14" spans="2:10" s="116" customFormat="1" ht="13.15" customHeight="1" x14ac:dyDescent="0.2">
      <c r="B14" s="164"/>
      <c r="C14" s="165" t="s">
        <v>126</v>
      </c>
      <c r="D14" s="166"/>
      <c r="E14" s="166"/>
      <c r="F14" s="166"/>
      <c r="G14" s="166"/>
      <c r="H14" s="166"/>
      <c r="I14" s="167"/>
      <c r="J14" s="151">
        <f t="shared" si="0"/>
        <v>0</v>
      </c>
    </row>
    <row r="15" spans="2:10" s="116" customFormat="1" ht="13.15" customHeight="1" x14ac:dyDescent="0.2">
      <c r="B15" s="168"/>
      <c r="C15" s="169" t="s">
        <v>127</v>
      </c>
      <c r="D15" s="148"/>
      <c r="E15" s="148"/>
      <c r="F15" s="148"/>
      <c r="G15" s="148"/>
      <c r="H15" s="148"/>
      <c r="I15" s="149"/>
      <c r="J15" s="150">
        <f t="shared" si="0"/>
        <v>0</v>
      </c>
    </row>
    <row r="16" spans="2:10" ht="18" customHeight="1" x14ac:dyDescent="0.2">
      <c r="B16" s="174">
        <v>4</v>
      </c>
      <c r="C16" s="175" t="str">
        <f>Config!C8&amp;", "&amp;Config!D8</f>
        <v>Drescher, Cedric</v>
      </c>
      <c r="D16" s="184">
        <v>2</v>
      </c>
      <c r="E16" s="184">
        <v>2</v>
      </c>
      <c r="F16" s="184">
        <v>1</v>
      </c>
      <c r="G16" s="184">
        <v>3</v>
      </c>
      <c r="H16" s="184">
        <v>2.5</v>
      </c>
      <c r="I16" s="185">
        <v>2</v>
      </c>
      <c r="J16" s="176">
        <f t="shared" si="0"/>
        <v>12.5</v>
      </c>
    </row>
    <row r="17" spans="2:10" s="116" customFormat="1" ht="13.15" customHeight="1" x14ac:dyDescent="0.2">
      <c r="B17" s="170"/>
      <c r="C17" s="171" t="s">
        <v>126</v>
      </c>
      <c r="D17" s="172"/>
      <c r="E17" s="172"/>
      <c r="F17" s="172"/>
      <c r="G17" s="172"/>
      <c r="H17" s="172"/>
      <c r="I17" s="173"/>
      <c r="J17" s="154">
        <f t="shared" si="0"/>
        <v>0</v>
      </c>
    </row>
    <row r="18" spans="2:10" s="116" customFormat="1" ht="13.15" customHeight="1" x14ac:dyDescent="0.2">
      <c r="B18" s="177"/>
      <c r="C18" s="178" t="s">
        <v>127</v>
      </c>
      <c r="D18" s="148"/>
      <c r="E18" s="148"/>
      <c r="F18" s="148"/>
      <c r="G18" s="148"/>
      <c r="H18" s="148"/>
      <c r="I18" s="149"/>
      <c r="J18" s="153">
        <f t="shared" si="0"/>
        <v>0</v>
      </c>
    </row>
    <row r="19" spans="2:10" ht="18" customHeight="1" x14ac:dyDescent="0.2">
      <c r="B19" s="179">
        <v>5</v>
      </c>
      <c r="C19" s="180" t="str">
        <f>Config!C9&amp;", "&amp;Config!D9</f>
        <v>Baumgarten, Annabell</v>
      </c>
      <c r="D19" s="186">
        <v>2</v>
      </c>
      <c r="E19" s="186">
        <v>2</v>
      </c>
      <c r="F19" s="186">
        <v>2.5</v>
      </c>
      <c r="G19" s="186">
        <v>3</v>
      </c>
      <c r="H19" s="186">
        <v>2.5</v>
      </c>
      <c r="I19" s="187">
        <v>2</v>
      </c>
      <c r="J19" s="181">
        <f t="shared" si="0"/>
        <v>14</v>
      </c>
    </row>
    <row r="20" spans="2:10" s="116" customFormat="1" ht="13.15" customHeight="1" x14ac:dyDescent="0.2">
      <c r="B20" s="164"/>
      <c r="C20" s="165" t="s">
        <v>126</v>
      </c>
      <c r="D20" s="166"/>
      <c r="E20" s="166"/>
      <c r="F20" s="166"/>
      <c r="G20" s="166"/>
      <c r="H20" s="166"/>
      <c r="I20" s="167"/>
      <c r="J20" s="151">
        <f t="shared" si="0"/>
        <v>0</v>
      </c>
    </row>
    <row r="21" spans="2:10" s="116" customFormat="1" ht="13.15" customHeight="1" x14ac:dyDescent="0.2">
      <c r="B21" s="168"/>
      <c r="C21" s="169" t="s">
        <v>127</v>
      </c>
      <c r="D21" s="148"/>
      <c r="E21" s="148"/>
      <c r="F21" s="148"/>
      <c r="G21" s="148"/>
      <c r="H21" s="148"/>
      <c r="I21" s="149"/>
      <c r="J21" s="150">
        <f t="shared" si="0"/>
        <v>0</v>
      </c>
    </row>
    <row r="22" spans="2:10" ht="18" customHeight="1" x14ac:dyDescent="0.2">
      <c r="B22" s="174">
        <v>6</v>
      </c>
      <c r="C22" s="175" t="str">
        <f>Config!C10&amp;", "&amp;Config!D10</f>
        <v>Traut, Stefanie</v>
      </c>
      <c r="D22" s="184">
        <v>2</v>
      </c>
      <c r="E22" s="184">
        <v>2</v>
      </c>
      <c r="F22" s="184">
        <v>2</v>
      </c>
      <c r="G22" s="184">
        <v>2</v>
      </c>
      <c r="H22" s="184">
        <v>2.5</v>
      </c>
      <c r="I22" s="185">
        <v>2</v>
      </c>
      <c r="J22" s="176">
        <f t="shared" si="0"/>
        <v>12.5</v>
      </c>
    </row>
    <row r="23" spans="2:10" s="116" customFormat="1" ht="13.15" customHeight="1" x14ac:dyDescent="0.2">
      <c r="B23" s="170"/>
      <c r="C23" s="171" t="s">
        <v>126</v>
      </c>
      <c r="D23" s="172"/>
      <c r="E23" s="172"/>
      <c r="F23" s="172"/>
      <c r="G23" s="172"/>
      <c r="H23" s="172"/>
      <c r="I23" s="173"/>
      <c r="J23" s="154">
        <f t="shared" si="0"/>
        <v>0</v>
      </c>
    </row>
    <row r="24" spans="2:10" s="116" customFormat="1" ht="13.15" customHeight="1" x14ac:dyDescent="0.2">
      <c r="B24" s="177"/>
      <c r="C24" s="178" t="s">
        <v>127</v>
      </c>
      <c r="D24" s="148"/>
      <c r="E24" s="148"/>
      <c r="F24" s="148"/>
      <c r="G24" s="148"/>
      <c r="H24" s="148"/>
      <c r="I24" s="149"/>
      <c r="J24" s="153">
        <f t="shared" si="0"/>
        <v>0</v>
      </c>
    </row>
    <row r="25" spans="2:10" ht="18" customHeight="1" x14ac:dyDescent="0.2">
      <c r="B25" s="179">
        <v>7</v>
      </c>
      <c r="C25" s="180" t="str">
        <f>Config!C11&amp;", "&amp;Config!D11</f>
        <v>Menke, Damian</v>
      </c>
      <c r="D25" s="186">
        <v>1</v>
      </c>
      <c r="E25" s="186">
        <v>1.5</v>
      </c>
      <c r="F25" s="186">
        <v>3</v>
      </c>
      <c r="G25" s="186">
        <v>3</v>
      </c>
      <c r="H25" s="186">
        <v>3</v>
      </c>
      <c r="I25" s="187">
        <v>1</v>
      </c>
      <c r="J25" s="181">
        <f t="shared" si="0"/>
        <v>12.5</v>
      </c>
    </row>
    <row r="26" spans="2:10" s="116" customFormat="1" ht="13.15" customHeight="1" x14ac:dyDescent="0.2">
      <c r="B26" s="164"/>
      <c r="C26" s="165" t="s">
        <v>126</v>
      </c>
      <c r="D26" s="166"/>
      <c r="E26" s="166"/>
      <c r="F26" s="166"/>
      <c r="G26" s="166"/>
      <c r="H26" s="166"/>
      <c r="I26" s="167"/>
      <c r="J26" s="151">
        <f t="shared" si="0"/>
        <v>0</v>
      </c>
    </row>
    <row r="27" spans="2:10" s="116" customFormat="1" ht="13.15" customHeight="1" x14ac:dyDescent="0.2">
      <c r="B27" s="168"/>
      <c r="C27" s="169" t="s">
        <v>127</v>
      </c>
      <c r="D27" s="148"/>
      <c r="E27" s="148"/>
      <c r="F27" s="148"/>
      <c r="G27" s="148"/>
      <c r="H27" s="148"/>
      <c r="I27" s="149"/>
      <c r="J27" s="150">
        <f t="shared" si="0"/>
        <v>0</v>
      </c>
    </row>
    <row r="28" spans="2:10" ht="18" customHeight="1" x14ac:dyDescent="0.2">
      <c r="B28" s="174">
        <v>8</v>
      </c>
      <c r="C28" s="175" t="str">
        <f>Config!C12&amp;", "&amp;Config!D12</f>
        <v>Carroll, Meik</v>
      </c>
      <c r="D28" s="184">
        <v>0.5</v>
      </c>
      <c r="E28" s="184">
        <v>2</v>
      </c>
      <c r="F28" s="184">
        <v>1.5</v>
      </c>
      <c r="G28" s="184">
        <v>1</v>
      </c>
      <c r="H28" s="184">
        <v>3</v>
      </c>
      <c r="I28" s="185">
        <v>1</v>
      </c>
      <c r="J28" s="176">
        <f t="shared" si="0"/>
        <v>9</v>
      </c>
    </row>
    <row r="29" spans="2:10" s="116" customFormat="1" ht="13.15" customHeight="1" x14ac:dyDescent="0.2">
      <c r="B29" s="170"/>
      <c r="C29" s="171" t="s">
        <v>126</v>
      </c>
      <c r="D29" s="172"/>
      <c r="E29" s="172"/>
      <c r="F29" s="172"/>
      <c r="G29" s="172"/>
      <c r="H29" s="172"/>
      <c r="I29" s="173"/>
      <c r="J29" s="154">
        <f t="shared" si="0"/>
        <v>0</v>
      </c>
    </row>
    <row r="30" spans="2:10" s="116" customFormat="1" ht="13.15" customHeight="1" x14ac:dyDescent="0.2">
      <c r="B30" s="177"/>
      <c r="C30" s="178" t="s">
        <v>127</v>
      </c>
      <c r="D30" s="148"/>
      <c r="E30" s="148"/>
      <c r="F30" s="148"/>
      <c r="G30" s="148"/>
      <c r="H30" s="148"/>
      <c r="I30" s="149"/>
      <c r="J30" s="153">
        <f t="shared" si="0"/>
        <v>0</v>
      </c>
    </row>
    <row r="31" spans="2:10" ht="18" customHeight="1" x14ac:dyDescent="0.2">
      <c r="B31" s="179">
        <v>9</v>
      </c>
      <c r="C31" s="180" t="str">
        <f>Config!C13&amp;", "&amp;Config!D13</f>
        <v>Hennings, Tomas</v>
      </c>
      <c r="D31" s="186">
        <v>1.5</v>
      </c>
      <c r="E31" s="186">
        <v>2</v>
      </c>
      <c r="F31" s="186">
        <v>1.5</v>
      </c>
      <c r="G31" s="186">
        <v>1</v>
      </c>
      <c r="H31" s="186">
        <v>2</v>
      </c>
      <c r="I31" s="187">
        <v>2</v>
      </c>
      <c r="J31" s="181">
        <f t="shared" si="0"/>
        <v>10</v>
      </c>
    </row>
    <row r="32" spans="2:10" s="116" customFormat="1" ht="13.15" customHeight="1" x14ac:dyDescent="0.2">
      <c r="B32" s="164"/>
      <c r="C32" s="165" t="s">
        <v>126</v>
      </c>
      <c r="D32" s="166"/>
      <c r="E32" s="166"/>
      <c r="F32" s="166"/>
      <c r="G32" s="166"/>
      <c r="H32" s="166"/>
      <c r="I32" s="167"/>
      <c r="J32" s="151">
        <f t="shared" si="0"/>
        <v>0</v>
      </c>
    </row>
    <row r="33" spans="2:10" s="116" customFormat="1" ht="13.15" customHeight="1" x14ac:dyDescent="0.2">
      <c r="B33" s="168"/>
      <c r="C33" s="169" t="s">
        <v>127</v>
      </c>
      <c r="D33" s="148"/>
      <c r="E33" s="148"/>
      <c r="F33" s="148"/>
      <c r="G33" s="148"/>
      <c r="H33" s="148"/>
      <c r="I33" s="149"/>
      <c r="J33" s="150">
        <f t="shared" si="0"/>
        <v>0</v>
      </c>
    </row>
    <row r="34" spans="2:10" ht="18" customHeight="1" x14ac:dyDescent="0.2">
      <c r="B34" s="174">
        <v>10</v>
      </c>
      <c r="C34" s="175" t="str">
        <f>Config!C14&amp;", "&amp;Config!D14</f>
        <v>Walters, Linn</v>
      </c>
      <c r="D34" s="184">
        <v>0.5</v>
      </c>
      <c r="E34" s="184">
        <v>1</v>
      </c>
      <c r="F34" s="184">
        <v>0</v>
      </c>
      <c r="G34" s="184">
        <v>1</v>
      </c>
      <c r="H34" s="184">
        <v>0.5</v>
      </c>
      <c r="I34" s="185">
        <v>0</v>
      </c>
      <c r="J34" s="176">
        <f t="shared" si="0"/>
        <v>3</v>
      </c>
    </row>
    <row r="35" spans="2:10" s="116" customFormat="1" ht="13.15" customHeight="1" x14ac:dyDescent="0.2">
      <c r="B35" s="170"/>
      <c r="C35" s="171" t="s">
        <v>126</v>
      </c>
      <c r="D35" s="172"/>
      <c r="E35" s="172"/>
      <c r="F35" s="172"/>
      <c r="G35" s="172"/>
      <c r="H35" s="172"/>
      <c r="I35" s="173"/>
      <c r="J35" s="154">
        <f t="shared" si="0"/>
        <v>0</v>
      </c>
    </row>
    <row r="36" spans="2:10" s="116" customFormat="1" ht="13.15" customHeight="1" x14ac:dyDescent="0.2">
      <c r="B36" s="177"/>
      <c r="C36" s="178" t="s">
        <v>127</v>
      </c>
      <c r="D36" s="148"/>
      <c r="E36" s="148"/>
      <c r="F36" s="148"/>
      <c r="G36" s="148"/>
      <c r="H36" s="148"/>
      <c r="I36" s="149"/>
      <c r="J36" s="153">
        <f t="shared" si="0"/>
        <v>0</v>
      </c>
    </row>
    <row r="37" spans="2:10" ht="18" customHeight="1" x14ac:dyDescent="0.2">
      <c r="B37" s="179">
        <v>11</v>
      </c>
      <c r="C37" s="180" t="str">
        <f>Config!C15&amp;", "&amp;Config!D15</f>
        <v>Junker, Amely</v>
      </c>
      <c r="D37" s="186">
        <v>0.5</v>
      </c>
      <c r="E37" s="186">
        <v>2</v>
      </c>
      <c r="F37" s="186">
        <v>1.5</v>
      </c>
      <c r="G37" s="186">
        <v>0</v>
      </c>
      <c r="H37" s="186">
        <v>1.5</v>
      </c>
      <c r="I37" s="187">
        <v>1</v>
      </c>
      <c r="J37" s="181">
        <f t="shared" si="0"/>
        <v>6.5</v>
      </c>
    </row>
    <row r="38" spans="2:10" s="116" customFormat="1" ht="13.15" customHeight="1" x14ac:dyDescent="0.2">
      <c r="B38" s="164"/>
      <c r="C38" s="165" t="s">
        <v>126</v>
      </c>
      <c r="D38" s="166"/>
      <c r="E38" s="166"/>
      <c r="F38" s="166"/>
      <c r="G38" s="166"/>
      <c r="H38" s="166"/>
      <c r="I38" s="167"/>
      <c r="J38" s="151">
        <f t="shared" si="0"/>
        <v>0</v>
      </c>
    </row>
    <row r="39" spans="2:10" s="116" customFormat="1" ht="13.15" customHeight="1" x14ac:dyDescent="0.2">
      <c r="B39" s="168"/>
      <c r="C39" s="169" t="s">
        <v>127</v>
      </c>
      <c r="D39" s="148"/>
      <c r="E39" s="148"/>
      <c r="F39" s="148"/>
      <c r="G39" s="148"/>
      <c r="H39" s="148"/>
      <c r="I39" s="149"/>
      <c r="J39" s="150">
        <f t="shared" ref="J39:J70" si="1">SUM(D39:I39)</f>
        <v>0</v>
      </c>
    </row>
    <row r="40" spans="2:10" ht="18" customHeight="1" x14ac:dyDescent="0.2">
      <c r="B40" s="174">
        <v>12</v>
      </c>
      <c r="C40" s="175" t="str">
        <f>Config!C16&amp;", "&amp;Config!D16</f>
        <v>Stephens, Melvin</v>
      </c>
      <c r="D40" s="184">
        <v>2</v>
      </c>
      <c r="E40" s="184">
        <v>2</v>
      </c>
      <c r="F40" s="184">
        <v>1</v>
      </c>
      <c r="G40" s="184">
        <v>3</v>
      </c>
      <c r="H40" s="184">
        <v>1.5</v>
      </c>
      <c r="I40" s="185">
        <v>2</v>
      </c>
      <c r="J40" s="176">
        <f t="shared" si="1"/>
        <v>11.5</v>
      </c>
    </row>
    <row r="41" spans="2:10" s="116" customFormat="1" ht="13.15" customHeight="1" x14ac:dyDescent="0.2">
      <c r="B41" s="170"/>
      <c r="C41" s="171" t="s">
        <v>126</v>
      </c>
      <c r="D41" s="172"/>
      <c r="E41" s="172"/>
      <c r="F41" s="172"/>
      <c r="G41" s="172"/>
      <c r="H41" s="172"/>
      <c r="I41" s="173"/>
      <c r="J41" s="154">
        <f t="shared" si="1"/>
        <v>0</v>
      </c>
    </row>
    <row r="42" spans="2:10" s="116" customFormat="1" ht="13.15" customHeight="1" x14ac:dyDescent="0.2">
      <c r="B42" s="177"/>
      <c r="C42" s="178" t="s">
        <v>127</v>
      </c>
      <c r="D42" s="148"/>
      <c r="E42" s="148"/>
      <c r="F42" s="148"/>
      <c r="G42" s="148"/>
      <c r="H42" s="148"/>
      <c r="I42" s="149"/>
      <c r="J42" s="153">
        <f t="shared" si="1"/>
        <v>0</v>
      </c>
    </row>
    <row r="43" spans="2:10" ht="18" customHeight="1" x14ac:dyDescent="0.2">
      <c r="B43" s="179">
        <v>13</v>
      </c>
      <c r="C43" s="180" t="str">
        <f>Config!C17&amp;", "&amp;Config!D17</f>
        <v>Cremer, Marvin</v>
      </c>
      <c r="D43" s="186">
        <v>1.5</v>
      </c>
      <c r="E43" s="186">
        <v>2</v>
      </c>
      <c r="F43" s="186">
        <v>1.5</v>
      </c>
      <c r="G43" s="186">
        <v>3</v>
      </c>
      <c r="H43" s="186">
        <v>3</v>
      </c>
      <c r="I43" s="187">
        <v>1.5</v>
      </c>
      <c r="J43" s="181">
        <f t="shared" si="1"/>
        <v>12.5</v>
      </c>
    </row>
    <row r="44" spans="2:10" s="116" customFormat="1" ht="13.15" customHeight="1" x14ac:dyDescent="0.2">
      <c r="B44" s="164"/>
      <c r="C44" s="165" t="s">
        <v>126</v>
      </c>
      <c r="D44" s="166"/>
      <c r="E44" s="166"/>
      <c r="F44" s="166"/>
      <c r="G44" s="166"/>
      <c r="H44" s="166"/>
      <c r="I44" s="167"/>
      <c r="J44" s="151">
        <f t="shared" si="1"/>
        <v>0</v>
      </c>
    </row>
    <row r="45" spans="2:10" s="116" customFormat="1" ht="13.15" customHeight="1" x14ac:dyDescent="0.2">
      <c r="B45" s="168"/>
      <c r="C45" s="169" t="s">
        <v>127</v>
      </c>
      <c r="D45" s="148"/>
      <c r="E45" s="148"/>
      <c r="F45" s="148"/>
      <c r="G45" s="148"/>
      <c r="H45" s="148"/>
      <c r="I45" s="149"/>
      <c r="J45" s="150">
        <f t="shared" si="1"/>
        <v>0</v>
      </c>
    </row>
    <row r="46" spans="2:10" ht="18" customHeight="1" x14ac:dyDescent="0.2">
      <c r="B46" s="174">
        <v>14</v>
      </c>
      <c r="C46" s="175" t="str">
        <f>Config!C18&amp;", "&amp;Config!D18</f>
        <v>Nash, Jean</v>
      </c>
      <c r="D46" s="184">
        <v>2</v>
      </c>
      <c r="E46" s="184">
        <v>2</v>
      </c>
      <c r="F46" s="184">
        <v>1.5</v>
      </c>
      <c r="G46" s="184">
        <v>3</v>
      </c>
      <c r="H46" s="184">
        <v>3</v>
      </c>
      <c r="I46" s="185">
        <v>2</v>
      </c>
      <c r="J46" s="176">
        <f t="shared" si="1"/>
        <v>13.5</v>
      </c>
    </row>
    <row r="47" spans="2:10" s="116" customFormat="1" ht="13.15" customHeight="1" x14ac:dyDescent="0.2">
      <c r="B47" s="170"/>
      <c r="C47" s="171" t="s">
        <v>126</v>
      </c>
      <c r="D47" s="172"/>
      <c r="E47" s="172"/>
      <c r="F47" s="172"/>
      <c r="G47" s="172"/>
      <c r="H47" s="172"/>
      <c r="I47" s="173"/>
      <c r="J47" s="154">
        <f t="shared" si="1"/>
        <v>0</v>
      </c>
    </row>
    <row r="48" spans="2:10" s="116" customFormat="1" ht="13.15" customHeight="1" x14ac:dyDescent="0.2">
      <c r="B48" s="177"/>
      <c r="C48" s="178" t="s">
        <v>127</v>
      </c>
      <c r="D48" s="148"/>
      <c r="E48" s="148"/>
      <c r="F48" s="148"/>
      <c r="G48" s="148"/>
      <c r="H48" s="148"/>
      <c r="I48" s="149"/>
      <c r="J48" s="153">
        <f t="shared" si="1"/>
        <v>0</v>
      </c>
    </row>
    <row r="49" spans="2:10" ht="18" customHeight="1" x14ac:dyDescent="0.2">
      <c r="B49" s="179">
        <v>15</v>
      </c>
      <c r="C49" s="180" t="str">
        <f>Config!C19&amp;", "&amp;Config!D19</f>
        <v>Schön, Leonardo</v>
      </c>
      <c r="D49" s="186">
        <v>1</v>
      </c>
      <c r="E49" s="186">
        <v>2</v>
      </c>
      <c r="F49" s="186">
        <v>1.5</v>
      </c>
      <c r="G49" s="186">
        <v>3</v>
      </c>
      <c r="H49" s="186">
        <v>2.5</v>
      </c>
      <c r="I49" s="187">
        <v>2</v>
      </c>
      <c r="J49" s="181">
        <f t="shared" si="1"/>
        <v>12</v>
      </c>
    </row>
    <row r="50" spans="2:10" s="116" customFormat="1" ht="13.15" customHeight="1" x14ac:dyDescent="0.2">
      <c r="B50" s="164"/>
      <c r="C50" s="165" t="s">
        <v>126</v>
      </c>
      <c r="D50" s="166"/>
      <c r="E50" s="166"/>
      <c r="F50" s="166"/>
      <c r="G50" s="166"/>
      <c r="H50" s="166"/>
      <c r="I50" s="167"/>
      <c r="J50" s="151">
        <f t="shared" si="1"/>
        <v>0</v>
      </c>
    </row>
    <row r="51" spans="2:10" s="116" customFormat="1" ht="13.15" customHeight="1" x14ac:dyDescent="0.2">
      <c r="B51" s="168"/>
      <c r="C51" s="169" t="s">
        <v>127</v>
      </c>
      <c r="D51" s="148"/>
      <c r="E51" s="148"/>
      <c r="F51" s="148"/>
      <c r="G51" s="148"/>
      <c r="H51" s="148"/>
      <c r="I51" s="149"/>
      <c r="J51" s="150">
        <f t="shared" si="1"/>
        <v>0</v>
      </c>
    </row>
    <row r="52" spans="2:10" ht="18" customHeight="1" x14ac:dyDescent="0.2">
      <c r="B52" s="174">
        <v>16</v>
      </c>
      <c r="C52" s="175" t="str">
        <f>Config!C20&amp;", "&amp;Config!D20</f>
        <v>Sigl, Nicholas</v>
      </c>
      <c r="D52" s="184">
        <v>2</v>
      </c>
      <c r="E52" s="184">
        <v>0</v>
      </c>
      <c r="F52" s="184">
        <v>1</v>
      </c>
      <c r="G52" s="184">
        <v>1.5</v>
      </c>
      <c r="H52" s="184">
        <v>2</v>
      </c>
      <c r="I52" s="185">
        <v>1</v>
      </c>
      <c r="J52" s="176">
        <f t="shared" si="1"/>
        <v>7.5</v>
      </c>
    </row>
    <row r="53" spans="2:10" s="116" customFormat="1" ht="13.15" customHeight="1" x14ac:dyDescent="0.2">
      <c r="B53" s="170"/>
      <c r="C53" s="171" t="s">
        <v>126</v>
      </c>
      <c r="D53" s="172"/>
      <c r="E53" s="172"/>
      <c r="F53" s="172"/>
      <c r="G53" s="172"/>
      <c r="H53" s="172"/>
      <c r="I53" s="173"/>
      <c r="J53" s="154">
        <f t="shared" si="1"/>
        <v>0</v>
      </c>
    </row>
    <row r="54" spans="2:10" s="116" customFormat="1" ht="13.15" customHeight="1" x14ac:dyDescent="0.2">
      <c r="B54" s="177"/>
      <c r="C54" s="178" t="s">
        <v>127</v>
      </c>
      <c r="D54" s="148"/>
      <c r="E54" s="148"/>
      <c r="F54" s="148"/>
      <c r="G54" s="148"/>
      <c r="H54" s="148"/>
      <c r="I54" s="149"/>
      <c r="J54" s="153">
        <f t="shared" si="1"/>
        <v>0</v>
      </c>
    </row>
    <row r="55" spans="2:10" ht="18" customHeight="1" x14ac:dyDescent="0.2">
      <c r="B55" s="179">
        <v>17</v>
      </c>
      <c r="C55" s="180" t="str">
        <f>Config!C21&amp;", "&amp;Config!D21</f>
        <v>Kainz, Vivienne</v>
      </c>
      <c r="D55" s="186">
        <v>0.5</v>
      </c>
      <c r="E55" s="186">
        <v>0</v>
      </c>
      <c r="F55" s="186">
        <v>0</v>
      </c>
      <c r="G55" s="186">
        <v>0</v>
      </c>
      <c r="H55" s="186">
        <v>0.5</v>
      </c>
      <c r="I55" s="187">
        <v>0</v>
      </c>
      <c r="J55" s="181">
        <f t="shared" si="1"/>
        <v>1</v>
      </c>
    </row>
    <row r="56" spans="2:10" s="116" customFormat="1" ht="13.15" customHeight="1" x14ac:dyDescent="0.2">
      <c r="B56" s="164"/>
      <c r="C56" s="165" t="s">
        <v>126</v>
      </c>
      <c r="D56" s="166"/>
      <c r="E56" s="166"/>
      <c r="F56" s="166"/>
      <c r="G56" s="166"/>
      <c r="H56" s="166"/>
      <c r="I56" s="167"/>
      <c r="J56" s="151">
        <f t="shared" si="1"/>
        <v>0</v>
      </c>
    </row>
    <row r="57" spans="2:10" s="116" customFormat="1" ht="13.15" customHeight="1" x14ac:dyDescent="0.2">
      <c r="B57" s="168"/>
      <c r="C57" s="169" t="s">
        <v>127</v>
      </c>
      <c r="D57" s="148"/>
      <c r="E57" s="148"/>
      <c r="F57" s="148"/>
      <c r="G57" s="148"/>
      <c r="H57" s="148"/>
      <c r="I57" s="149"/>
      <c r="J57" s="150">
        <f t="shared" si="1"/>
        <v>0</v>
      </c>
    </row>
    <row r="58" spans="2:10" ht="18" customHeight="1" x14ac:dyDescent="0.2">
      <c r="B58" s="174">
        <v>18</v>
      </c>
      <c r="C58" s="175" t="str">
        <f>Config!C22&amp;", "&amp;Config!D22</f>
        <v>Hartmann, Mads</v>
      </c>
      <c r="D58" s="184">
        <v>2</v>
      </c>
      <c r="E58" s="184">
        <v>2</v>
      </c>
      <c r="F58" s="184">
        <v>1</v>
      </c>
      <c r="G58" s="184">
        <v>1</v>
      </c>
      <c r="H58" s="184">
        <v>3</v>
      </c>
      <c r="I58" s="185">
        <v>1</v>
      </c>
      <c r="J58" s="176">
        <f t="shared" si="1"/>
        <v>10</v>
      </c>
    </row>
    <row r="59" spans="2:10" s="116" customFormat="1" ht="13.15" customHeight="1" x14ac:dyDescent="0.2">
      <c r="B59" s="170"/>
      <c r="C59" s="171" t="s">
        <v>126</v>
      </c>
      <c r="D59" s="172"/>
      <c r="E59" s="172"/>
      <c r="F59" s="172"/>
      <c r="G59" s="172"/>
      <c r="H59" s="172"/>
      <c r="I59" s="173"/>
      <c r="J59" s="154">
        <f t="shared" si="1"/>
        <v>0</v>
      </c>
    </row>
    <row r="60" spans="2:10" s="116" customFormat="1" ht="13.15" customHeight="1" x14ac:dyDescent="0.2">
      <c r="B60" s="177"/>
      <c r="C60" s="178" t="s">
        <v>127</v>
      </c>
      <c r="D60" s="148"/>
      <c r="E60" s="148"/>
      <c r="F60" s="148"/>
      <c r="G60" s="148"/>
      <c r="H60" s="148"/>
      <c r="I60" s="149"/>
      <c r="J60" s="153">
        <f t="shared" si="1"/>
        <v>0</v>
      </c>
    </row>
    <row r="61" spans="2:10" ht="18" customHeight="1" x14ac:dyDescent="0.2">
      <c r="B61" s="179">
        <v>19</v>
      </c>
      <c r="C61" s="180" t="str">
        <f>Config!C23&amp;", "&amp;Config!D23</f>
        <v>Ullmann, Raphael</v>
      </c>
      <c r="D61" s="186">
        <v>0.5</v>
      </c>
      <c r="E61" s="186">
        <v>2</v>
      </c>
      <c r="F61" s="186">
        <v>1</v>
      </c>
      <c r="G61" s="186">
        <v>2.5</v>
      </c>
      <c r="H61" s="186">
        <v>1.5</v>
      </c>
      <c r="I61" s="187">
        <v>2</v>
      </c>
      <c r="J61" s="181">
        <f t="shared" si="1"/>
        <v>9.5</v>
      </c>
    </row>
    <row r="62" spans="2:10" s="116" customFormat="1" ht="13.15" customHeight="1" x14ac:dyDescent="0.2">
      <c r="B62" s="164"/>
      <c r="C62" s="165" t="s">
        <v>126</v>
      </c>
      <c r="D62" s="166"/>
      <c r="E62" s="166"/>
      <c r="F62" s="166"/>
      <c r="G62" s="166"/>
      <c r="H62" s="166"/>
      <c r="I62" s="167"/>
      <c r="J62" s="151">
        <f t="shared" si="1"/>
        <v>0</v>
      </c>
    </row>
    <row r="63" spans="2:10" s="116" customFormat="1" ht="13.15" customHeight="1" x14ac:dyDescent="0.2">
      <c r="B63" s="168"/>
      <c r="C63" s="169" t="s">
        <v>127</v>
      </c>
      <c r="D63" s="148"/>
      <c r="E63" s="148"/>
      <c r="F63" s="148"/>
      <c r="G63" s="148"/>
      <c r="H63" s="148"/>
      <c r="I63" s="149"/>
      <c r="J63" s="150">
        <f t="shared" si="1"/>
        <v>0</v>
      </c>
    </row>
    <row r="64" spans="2:10" ht="18" customHeight="1" x14ac:dyDescent="0.2">
      <c r="B64" s="174">
        <v>20</v>
      </c>
      <c r="C64" s="175" t="str">
        <f>Config!C24&amp;", "&amp;Config!D24</f>
        <v>Hartl, Emmely</v>
      </c>
      <c r="D64" s="184">
        <v>1</v>
      </c>
      <c r="E64" s="184">
        <v>2</v>
      </c>
      <c r="F64" s="184">
        <v>2.5</v>
      </c>
      <c r="G64" s="184">
        <v>3</v>
      </c>
      <c r="H64" s="184">
        <v>3</v>
      </c>
      <c r="I64" s="185">
        <v>2</v>
      </c>
      <c r="J64" s="176">
        <f t="shared" si="1"/>
        <v>13.5</v>
      </c>
    </row>
    <row r="65" spans="2:10" s="116" customFormat="1" ht="13.15" customHeight="1" x14ac:dyDescent="0.2">
      <c r="B65" s="170"/>
      <c r="C65" s="171" t="s">
        <v>126</v>
      </c>
      <c r="D65" s="172"/>
      <c r="E65" s="172"/>
      <c r="F65" s="172"/>
      <c r="G65" s="172"/>
      <c r="H65" s="172"/>
      <c r="I65" s="173"/>
      <c r="J65" s="154">
        <f t="shared" si="1"/>
        <v>0</v>
      </c>
    </row>
    <row r="66" spans="2:10" s="116" customFormat="1" ht="13.15" customHeight="1" x14ac:dyDescent="0.2">
      <c r="B66" s="177"/>
      <c r="C66" s="178" t="s">
        <v>127</v>
      </c>
      <c r="D66" s="148"/>
      <c r="E66" s="148"/>
      <c r="F66" s="148"/>
      <c r="G66" s="148"/>
      <c r="H66" s="148"/>
      <c r="I66" s="149"/>
      <c r="J66" s="153">
        <f t="shared" si="1"/>
        <v>0</v>
      </c>
    </row>
    <row r="67" spans="2:10" ht="18" customHeight="1" x14ac:dyDescent="0.2">
      <c r="B67" s="179">
        <v>21</v>
      </c>
      <c r="C67" s="180" t="str">
        <f>Config!C25&amp;", "&amp;Config!D25</f>
        <v>Klotz, Karin</v>
      </c>
      <c r="D67" s="186">
        <v>2</v>
      </c>
      <c r="E67" s="186">
        <v>2</v>
      </c>
      <c r="F67" s="186">
        <v>1.5</v>
      </c>
      <c r="G67" s="186">
        <v>3</v>
      </c>
      <c r="H67" s="186">
        <v>3</v>
      </c>
      <c r="I67" s="187">
        <v>2</v>
      </c>
      <c r="J67" s="181">
        <f t="shared" si="1"/>
        <v>13.5</v>
      </c>
    </row>
    <row r="68" spans="2:10" s="116" customFormat="1" ht="13.15" customHeight="1" x14ac:dyDescent="0.2">
      <c r="B68" s="164"/>
      <c r="C68" s="165" t="s">
        <v>126</v>
      </c>
      <c r="D68" s="166"/>
      <c r="E68" s="166"/>
      <c r="F68" s="166"/>
      <c r="G68" s="166"/>
      <c r="H68" s="166"/>
      <c r="I68" s="167"/>
      <c r="J68" s="151">
        <f t="shared" si="1"/>
        <v>0</v>
      </c>
    </row>
    <row r="69" spans="2:10" s="116" customFormat="1" ht="13.15" customHeight="1" x14ac:dyDescent="0.2">
      <c r="B69" s="168"/>
      <c r="C69" s="169" t="s">
        <v>127</v>
      </c>
      <c r="D69" s="148"/>
      <c r="E69" s="148"/>
      <c r="F69" s="148"/>
      <c r="G69" s="148"/>
      <c r="H69" s="148"/>
      <c r="I69" s="149"/>
      <c r="J69" s="150">
        <f t="shared" si="1"/>
        <v>0</v>
      </c>
    </row>
    <row r="70" spans="2:10" ht="18" customHeight="1" x14ac:dyDescent="0.2">
      <c r="B70" s="174">
        <v>22</v>
      </c>
      <c r="C70" s="175" t="str">
        <f>Config!C26&amp;", "&amp;Config!D26</f>
        <v>Ehlers, Ingo</v>
      </c>
      <c r="D70" s="184">
        <v>0.5</v>
      </c>
      <c r="E70" s="184">
        <v>1.5</v>
      </c>
      <c r="F70" s="184">
        <v>1</v>
      </c>
      <c r="G70" s="184">
        <v>3</v>
      </c>
      <c r="H70" s="184">
        <v>3</v>
      </c>
      <c r="I70" s="185">
        <v>1</v>
      </c>
      <c r="J70" s="176">
        <f t="shared" si="1"/>
        <v>10</v>
      </c>
    </row>
    <row r="71" spans="2:10" s="116" customFormat="1" ht="13.15" customHeight="1" x14ac:dyDescent="0.2">
      <c r="B71" s="170"/>
      <c r="C71" s="171" t="s">
        <v>126</v>
      </c>
      <c r="D71" s="172"/>
      <c r="E71" s="172"/>
      <c r="F71" s="172"/>
      <c r="G71" s="172"/>
      <c r="H71" s="172"/>
      <c r="I71" s="173"/>
      <c r="J71" s="154">
        <f t="shared" ref="J71:J75" si="2">SUM(D71:I71)</f>
        <v>0</v>
      </c>
    </row>
    <row r="72" spans="2:10" s="116" customFormat="1" ht="13.15" customHeight="1" x14ac:dyDescent="0.2">
      <c r="B72" s="177"/>
      <c r="C72" s="178" t="s">
        <v>127</v>
      </c>
      <c r="D72" s="148"/>
      <c r="E72" s="148"/>
      <c r="F72" s="148"/>
      <c r="G72" s="148"/>
      <c r="H72" s="148"/>
      <c r="I72" s="149"/>
      <c r="J72" s="153">
        <f t="shared" si="2"/>
        <v>0</v>
      </c>
    </row>
    <row r="73" spans="2:10" ht="18" customHeight="1" thickBot="1" x14ac:dyDescent="0.25">
      <c r="B73" s="144">
        <v>23</v>
      </c>
      <c r="C73" s="139" t="str">
        <f>Config!C27&amp;", "&amp;Config!D27</f>
        <v>Lindemann, Mads</v>
      </c>
      <c r="D73" s="95">
        <v>0.5</v>
      </c>
      <c r="E73" s="95">
        <v>2</v>
      </c>
      <c r="F73" s="95">
        <v>1.5</v>
      </c>
      <c r="G73" s="95">
        <v>0.5</v>
      </c>
      <c r="H73" s="95">
        <v>1.5</v>
      </c>
      <c r="I73" s="96">
        <v>1</v>
      </c>
      <c r="J73" s="147">
        <f t="shared" si="2"/>
        <v>7</v>
      </c>
    </row>
    <row r="74" spans="2:10" s="116" customFormat="1" ht="13.15" customHeight="1" x14ac:dyDescent="0.2">
      <c r="B74" s="164"/>
      <c r="C74" s="165" t="s">
        <v>126</v>
      </c>
      <c r="D74" s="166"/>
      <c r="E74" s="166"/>
      <c r="F74" s="166"/>
      <c r="G74" s="166"/>
      <c r="H74" s="166"/>
      <c r="I74" s="167"/>
      <c r="J74" s="151">
        <f t="shared" si="2"/>
        <v>0</v>
      </c>
    </row>
    <row r="75" spans="2:10" s="116" customFormat="1" ht="13.15" customHeight="1" thickBot="1" x14ac:dyDescent="0.25">
      <c r="B75" s="155"/>
      <c r="C75" s="158" t="s">
        <v>127</v>
      </c>
      <c r="D75" s="156"/>
      <c r="E75" s="156"/>
      <c r="F75" s="156"/>
      <c r="G75" s="156"/>
      <c r="H75" s="156"/>
      <c r="I75" s="157"/>
      <c r="J75" s="152">
        <f t="shared" si="2"/>
        <v>0</v>
      </c>
    </row>
    <row r="76" spans="2:10" ht="18" customHeight="1" thickBot="1" x14ac:dyDescent="0.25">
      <c r="B76" s="119"/>
      <c r="C76" s="120"/>
      <c r="D76" s="120">
        <f>IF(COUNTIFS(D7:D73,"&lt;&gt;",C7:C73,"&lt;&gt;ZK",C7:C73,"&lt;&gt;DK")&lt;&gt;0,SUMIFS(D7:D73,C7:C73,"&lt;&gt;ZK",C7:C73,"&lt;&gt;DK")/(COUNTIFS(D7:D73,"&lt;&gt;",C7:C73,"&lt;&gt;ZK",C7:C73,"&lt;&gt;DK")*D6),0)</f>
        <v>0.63043478260869568</v>
      </c>
      <c r="E76" s="120">
        <f>IF(COUNTIFS(E7:E73,"&lt;&gt;",C7:C73,"&lt;&gt;ZK",C7:C73,"&lt;&gt;DK")&lt;&gt;0,SUMIFS(E7:E73,C7:C73,"&lt;&gt;ZK",C7:C73,"&lt;&gt;DK")/(COUNTIFS(E7:E73,"&lt;&gt;",C7:C73,"&lt;&gt;ZK",C7:C73,"&lt;&gt;DK")*E6),0)</f>
        <v>0.85869565217391308</v>
      </c>
      <c r="F76" s="120">
        <f>IF(COUNTIFS(F7:F73,"&lt;&gt;",C7:C73,"&lt;&gt;ZK",C7:C73,"&lt;&gt;DK")&lt;&gt;0,SUMIFS(F7:F73,C7:C73,"&lt;&gt;ZK",C7:C73,"&lt;&gt;DK")/(COUNTIFS(F7:F73,"&lt;&gt;",C7:C73,"&lt;&gt;ZK",C7:C73,"&lt;&gt;DK")*F6),0)</f>
        <v>0.45652173913043476</v>
      </c>
      <c r="G76" s="120">
        <f>IF(COUNTIFS(G7:G73,"&lt;&gt;",C7:C73,"&lt;&gt;ZK",C7:C73,"&lt;&gt;DK")&lt;&gt;0,SUMIFS(G7:G73,C7:C73,"&lt;&gt;ZK",C7:C73,"&lt;&gt;DK")/(COUNTIFS(G7:G73,"&lt;&gt;",C7:C73,"&lt;&gt;ZK",C7:C73,"&lt;&gt;DK")*G6),0)</f>
        <v>0.6811594202898551</v>
      </c>
      <c r="H76" s="120">
        <f>IF(COUNTIFS(H7:H73,"&lt;&gt;",C7:C73,"&lt;&gt;ZK",C7:C73,"&lt;&gt;DK")&lt;&gt;0,SUMIFS(H7:H73,C7:C73,"&lt;&gt;ZK",C7:C73,"&lt;&gt;DK")/(COUNTIFS(H7:H73,"&lt;&gt;",C7:C73,"&lt;&gt;ZK",C7:C73,"&lt;&gt;DK")*H6),0)</f>
        <v>0.76811594202898548</v>
      </c>
      <c r="I76" s="120">
        <f>IF(COUNTIFS(I7:I73,"&lt;&gt;",C7:C73,"&lt;&gt;ZK",C7:C73,"&lt;&gt;DK")&lt;&gt;0,SUMIFS(I7:I73,C7:C73,"&lt;&gt;ZK",C7:C73,"&lt;&gt;DK")/(COUNTIFS(I7:I73,"&lt;&gt;",C7:C73,"&lt;&gt;ZK",C7:C73,"&lt;&gt;DK")*I6),0)</f>
        <v>0.72826086956521741</v>
      </c>
      <c r="J76" s="121"/>
    </row>
    <row r="77" spans="2:10" ht="18" customHeight="1" x14ac:dyDescent="0.2"/>
    <row r="78" spans="2:10" ht="18" customHeight="1" x14ac:dyDescent="0.2"/>
    <row r="79" spans="2:10" ht="18" customHeight="1" x14ac:dyDescent="0.2"/>
    <row r="80" spans="2:10"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electLockedCells="1"/>
  <dataValidations count="6">
    <dataValidation type="decimal" allowBlank="1" showErrorMessage="1" sqref="D7:D75" xr:uid="{C1050670-11B5-440D-85F9-03995A0882AE}">
      <formula1>0</formula1>
      <formula2>$D$6</formula2>
    </dataValidation>
    <dataValidation type="decimal" allowBlank="1" showErrorMessage="1" sqref="E7:E75" xr:uid="{6C2145EB-03D1-4ABC-9492-C8342DA4D4F1}">
      <formula1>0</formula1>
      <formula2>$E$6</formula2>
    </dataValidation>
    <dataValidation type="decimal" allowBlank="1" showErrorMessage="1" sqref="F7:F75" xr:uid="{EBD5F72F-109F-4169-9680-7F883DF8B1B9}">
      <formula1>0</formula1>
      <formula2>$F$6</formula2>
    </dataValidation>
    <dataValidation type="decimal" allowBlank="1" showErrorMessage="1" sqref="G7:G75" xr:uid="{60DA7E16-8BBF-4602-BD4A-414CBABACFBE}">
      <formula1>0</formula1>
      <formula2>$G$6</formula2>
    </dataValidation>
    <dataValidation type="decimal" allowBlank="1" showErrorMessage="1" sqref="H7:H75" xr:uid="{B1D7B81D-DD83-410A-8966-7545066D183D}">
      <formula1>0</formula1>
      <formula2>$H$6</formula2>
    </dataValidation>
    <dataValidation type="decimal" allowBlank="1" showErrorMessage="1" sqref="I7:I75" xr:uid="{AD9C44C9-50F7-4857-93DD-0E15B54A72D1}">
      <formula1>0</formula1>
      <formula2>$I$6</formula2>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63FA2-655C-4303-933D-66B3DE21F376}">
  <sheetPr codeName="Tabelle2">
    <tabColor rgb="FF92D050"/>
  </sheetPr>
  <dimension ref="B1:N100"/>
  <sheetViews>
    <sheetView workbookViewId="0">
      <selection activeCell="D7" sqref="D7"/>
    </sheetView>
  </sheetViews>
  <sheetFormatPr baseColWidth="10" defaultColWidth="11.5703125" defaultRowHeight="12.75" x14ac:dyDescent="0.2"/>
  <cols>
    <col min="1" max="2" width="3.42578125" style="98" customWidth="1"/>
    <col min="3" max="3" width="25.7109375" style="98" customWidth="1"/>
    <col min="4" max="14" width="8.7109375" style="98" customWidth="1"/>
    <col min="15" max="16384" width="11.5703125" style="98"/>
  </cols>
  <sheetData>
    <row r="1" spans="2:14" ht="18" customHeight="1" thickBot="1" x14ac:dyDescent="0.25"/>
    <row r="2" spans="2:14" ht="18" customHeight="1" x14ac:dyDescent="0.2">
      <c r="B2" s="99" t="str">
        <f>Config!F2&amp;" "&amp;YEAR(Config!G24)</f>
        <v>Mathe Abitur 2026</v>
      </c>
      <c r="C2" s="100"/>
      <c r="D2" s="100"/>
      <c r="E2" s="100"/>
      <c r="F2" s="100"/>
      <c r="G2" s="100"/>
      <c r="H2" s="100"/>
      <c r="I2" s="101"/>
      <c r="J2" s="101"/>
      <c r="K2" s="101"/>
      <c r="L2" s="101"/>
      <c r="M2" s="101"/>
      <c r="N2" s="102" t="str">
        <f>"Kurs "&amp;Config!G26</f>
        <v>Kurs K1</v>
      </c>
    </row>
    <row r="3" spans="2:14" ht="18" customHeight="1" x14ac:dyDescent="0.2">
      <c r="B3" s="103" t="s">
        <v>10</v>
      </c>
      <c r="C3" s="104"/>
      <c r="D3" s="104"/>
      <c r="E3" s="104"/>
      <c r="F3" s="104"/>
      <c r="G3" s="104"/>
      <c r="H3" s="104"/>
      <c r="I3" s="104"/>
      <c r="J3" s="104"/>
      <c r="K3" s="104"/>
      <c r="L3" s="104"/>
      <c r="M3" s="104"/>
      <c r="N3" s="105"/>
    </row>
    <row r="4" spans="2:14" ht="18" customHeight="1" thickBot="1" x14ac:dyDescent="0.25">
      <c r="B4" s="103"/>
      <c r="C4" s="104"/>
      <c r="D4" s="106"/>
      <c r="E4" s="106"/>
      <c r="F4" s="106"/>
      <c r="G4" s="106"/>
      <c r="H4" s="106"/>
      <c r="I4" s="106"/>
      <c r="J4" s="106"/>
      <c r="K4" s="106"/>
      <c r="L4" s="106"/>
      <c r="M4" s="106"/>
      <c r="N4" s="107"/>
    </row>
    <row r="5" spans="2:14" ht="18" customHeight="1" thickBot="1" x14ac:dyDescent="0.25">
      <c r="B5" s="108"/>
      <c r="C5" s="110"/>
      <c r="D5" s="124" t="str">
        <f>Config!H6</f>
        <v>1a</v>
      </c>
      <c r="E5" s="124" t="str">
        <f>Config!H7</f>
        <v>1b</v>
      </c>
      <c r="F5" s="124" t="str">
        <f>Config!H8</f>
        <v>1c</v>
      </c>
      <c r="G5" s="124" t="str">
        <f>Config!H9</f>
        <v>1d</v>
      </c>
      <c r="H5" s="124" t="str">
        <f>Config!H10</f>
        <v>1e</v>
      </c>
      <c r="I5" s="124" t="str">
        <f>Config!H11</f>
        <v>1f</v>
      </c>
      <c r="J5" s="124" t="str">
        <f>Config!H12</f>
        <v>1g</v>
      </c>
      <c r="K5" s="124" t="str">
        <f>Config!H13</f>
        <v>1h</v>
      </c>
      <c r="L5" s="124" t="str">
        <f>Config!H14</f>
        <v>2a</v>
      </c>
      <c r="M5" s="124" t="str">
        <f>Config!H15</f>
        <v>2b</v>
      </c>
      <c r="N5" s="114" t="s">
        <v>82</v>
      </c>
    </row>
    <row r="6" spans="2:14" ht="18" customHeight="1" thickBot="1" x14ac:dyDescent="0.25">
      <c r="B6" s="109"/>
      <c r="C6" s="111" t="s">
        <v>81</v>
      </c>
      <c r="D6" s="113">
        <f>Config!I6</f>
        <v>2</v>
      </c>
      <c r="E6" s="113">
        <f>Config!I7</f>
        <v>3</v>
      </c>
      <c r="F6" s="113">
        <f>Config!I8</f>
        <v>4</v>
      </c>
      <c r="G6" s="113">
        <f>Config!I9</f>
        <v>3</v>
      </c>
      <c r="H6" s="113">
        <f>Config!I10</f>
        <v>3</v>
      </c>
      <c r="I6" s="113">
        <f>Config!I11</f>
        <v>4</v>
      </c>
      <c r="J6" s="113">
        <f>Config!I12</f>
        <v>3</v>
      </c>
      <c r="K6" s="113">
        <f>Config!I13</f>
        <v>4</v>
      </c>
      <c r="L6" s="113">
        <f>Config!I14</f>
        <v>2</v>
      </c>
      <c r="M6" s="113">
        <f>Config!I15</f>
        <v>2</v>
      </c>
      <c r="N6" s="125">
        <f>Config!I21</f>
        <v>30</v>
      </c>
    </row>
    <row r="7" spans="2:14" ht="18" customHeight="1" x14ac:dyDescent="0.2">
      <c r="B7" s="161">
        <v>1</v>
      </c>
      <c r="C7" s="162" t="str">
        <f>Config!C5&amp;", "&amp;Config!D5</f>
        <v>Höfer, Simon</v>
      </c>
      <c r="D7" s="182">
        <v>1.5</v>
      </c>
      <c r="E7" s="182">
        <v>3</v>
      </c>
      <c r="F7" s="182">
        <v>3</v>
      </c>
      <c r="G7" s="182">
        <v>3</v>
      </c>
      <c r="H7" s="182">
        <v>3</v>
      </c>
      <c r="I7" s="182">
        <v>4</v>
      </c>
      <c r="J7" s="182">
        <v>3</v>
      </c>
      <c r="K7" s="182">
        <v>0</v>
      </c>
      <c r="L7" s="182">
        <v>2</v>
      </c>
      <c r="M7" s="183">
        <v>0</v>
      </c>
      <c r="N7" s="163">
        <f t="shared" ref="N7:N38" si="0">SUM(D7:M7)</f>
        <v>22.5</v>
      </c>
    </row>
    <row r="8" spans="2:14" s="116" customFormat="1" ht="13.15" customHeight="1" x14ac:dyDescent="0.2">
      <c r="B8" s="164"/>
      <c r="C8" s="165" t="s">
        <v>126</v>
      </c>
      <c r="D8" s="166"/>
      <c r="E8" s="166"/>
      <c r="F8" s="166"/>
      <c r="G8" s="166"/>
      <c r="H8" s="166"/>
      <c r="I8" s="166"/>
      <c r="J8" s="166"/>
      <c r="K8" s="166"/>
      <c r="L8" s="166"/>
      <c r="M8" s="167"/>
      <c r="N8" s="151">
        <f t="shared" si="0"/>
        <v>0</v>
      </c>
    </row>
    <row r="9" spans="2:14" s="116" customFormat="1" ht="13.15" customHeight="1" x14ac:dyDescent="0.2">
      <c r="B9" s="168"/>
      <c r="C9" s="169" t="s">
        <v>127</v>
      </c>
      <c r="D9" s="148"/>
      <c r="E9" s="148"/>
      <c r="F9" s="148"/>
      <c r="G9" s="148"/>
      <c r="H9" s="148"/>
      <c r="I9" s="148"/>
      <c r="J9" s="148"/>
      <c r="K9" s="148"/>
      <c r="L9" s="148"/>
      <c r="M9" s="149"/>
      <c r="N9" s="150">
        <f t="shared" si="0"/>
        <v>0</v>
      </c>
    </row>
    <row r="10" spans="2:14" ht="18" customHeight="1" x14ac:dyDescent="0.2">
      <c r="B10" s="174">
        <v>2</v>
      </c>
      <c r="C10" s="175" t="str">
        <f>Config!C6&amp;", "&amp;Config!D6</f>
        <v>Töpfer, Lilian</v>
      </c>
      <c r="D10" s="184">
        <v>0.5</v>
      </c>
      <c r="E10" s="184">
        <v>2.5</v>
      </c>
      <c r="F10" s="184">
        <v>3</v>
      </c>
      <c r="G10" s="184">
        <v>3</v>
      </c>
      <c r="H10" s="184">
        <v>3</v>
      </c>
      <c r="I10" s="184">
        <v>4</v>
      </c>
      <c r="J10" s="184">
        <v>0</v>
      </c>
      <c r="K10" s="184">
        <v>0</v>
      </c>
      <c r="L10" s="184">
        <v>1.5</v>
      </c>
      <c r="M10" s="185">
        <v>0</v>
      </c>
      <c r="N10" s="176">
        <f t="shared" si="0"/>
        <v>17.5</v>
      </c>
    </row>
    <row r="11" spans="2:14" s="116" customFormat="1" ht="13.15" customHeight="1" x14ac:dyDescent="0.2">
      <c r="B11" s="170"/>
      <c r="C11" s="171" t="s">
        <v>126</v>
      </c>
      <c r="D11" s="172"/>
      <c r="E11" s="172"/>
      <c r="F11" s="172"/>
      <c r="G11" s="172"/>
      <c r="H11" s="172"/>
      <c r="I11" s="172"/>
      <c r="J11" s="172"/>
      <c r="K11" s="172"/>
      <c r="L11" s="172"/>
      <c r="M11" s="173"/>
      <c r="N11" s="154">
        <f t="shared" si="0"/>
        <v>0</v>
      </c>
    </row>
    <row r="12" spans="2:14" s="116" customFormat="1" ht="13.15" customHeight="1" x14ac:dyDescent="0.2">
      <c r="B12" s="177"/>
      <c r="C12" s="178" t="s">
        <v>127</v>
      </c>
      <c r="D12" s="148"/>
      <c r="E12" s="148"/>
      <c r="F12" s="148"/>
      <c r="G12" s="148"/>
      <c r="H12" s="148"/>
      <c r="I12" s="148"/>
      <c r="J12" s="148"/>
      <c r="K12" s="148"/>
      <c r="L12" s="148"/>
      <c r="M12" s="149"/>
      <c r="N12" s="153">
        <f t="shared" si="0"/>
        <v>0</v>
      </c>
    </row>
    <row r="13" spans="2:14" ht="18" customHeight="1" x14ac:dyDescent="0.2">
      <c r="B13" s="179">
        <v>3</v>
      </c>
      <c r="C13" s="180" t="str">
        <f>Config!C7&amp;", "&amp;Config!D7</f>
        <v>Fleischmann, Leonie</v>
      </c>
      <c r="D13" s="186">
        <v>1</v>
      </c>
      <c r="E13" s="186">
        <v>2</v>
      </c>
      <c r="F13" s="186">
        <v>0</v>
      </c>
      <c r="G13" s="186">
        <v>1</v>
      </c>
      <c r="H13" s="186">
        <v>3</v>
      </c>
      <c r="I13" s="186">
        <v>2.5</v>
      </c>
      <c r="J13" s="186">
        <v>0</v>
      </c>
      <c r="K13" s="186">
        <v>0</v>
      </c>
      <c r="L13" s="186">
        <v>0</v>
      </c>
      <c r="M13" s="187">
        <v>2</v>
      </c>
      <c r="N13" s="181">
        <f t="shared" si="0"/>
        <v>11.5</v>
      </c>
    </row>
    <row r="14" spans="2:14" s="116" customFormat="1" ht="13.15" customHeight="1" x14ac:dyDescent="0.2">
      <c r="B14" s="164"/>
      <c r="C14" s="165" t="s">
        <v>126</v>
      </c>
      <c r="D14" s="166"/>
      <c r="E14" s="166"/>
      <c r="F14" s="166"/>
      <c r="G14" s="166"/>
      <c r="H14" s="166"/>
      <c r="I14" s="166"/>
      <c r="J14" s="166"/>
      <c r="K14" s="166"/>
      <c r="L14" s="166"/>
      <c r="M14" s="167"/>
      <c r="N14" s="151">
        <f t="shared" si="0"/>
        <v>0</v>
      </c>
    </row>
    <row r="15" spans="2:14" s="116" customFormat="1" ht="13.15" customHeight="1" x14ac:dyDescent="0.2">
      <c r="B15" s="168"/>
      <c r="C15" s="169" t="s">
        <v>127</v>
      </c>
      <c r="D15" s="148"/>
      <c r="E15" s="148"/>
      <c r="F15" s="148"/>
      <c r="G15" s="148"/>
      <c r="H15" s="148"/>
      <c r="I15" s="148"/>
      <c r="J15" s="148"/>
      <c r="K15" s="148"/>
      <c r="L15" s="148"/>
      <c r="M15" s="149"/>
      <c r="N15" s="150">
        <f t="shared" si="0"/>
        <v>0</v>
      </c>
    </row>
    <row r="16" spans="2:14" ht="18" customHeight="1" x14ac:dyDescent="0.2">
      <c r="B16" s="174">
        <v>4</v>
      </c>
      <c r="C16" s="175" t="str">
        <f>Config!C8&amp;", "&amp;Config!D8</f>
        <v>Drescher, Cedric</v>
      </c>
      <c r="D16" s="184">
        <v>1</v>
      </c>
      <c r="E16" s="184">
        <v>3</v>
      </c>
      <c r="F16" s="184">
        <v>3</v>
      </c>
      <c r="G16" s="184">
        <v>3</v>
      </c>
      <c r="H16" s="184">
        <v>3</v>
      </c>
      <c r="I16" s="184">
        <v>4</v>
      </c>
      <c r="J16" s="184">
        <v>1.5</v>
      </c>
      <c r="K16" s="184">
        <v>0</v>
      </c>
      <c r="L16" s="184">
        <v>1.5</v>
      </c>
      <c r="M16" s="185">
        <v>3</v>
      </c>
      <c r="N16" s="176">
        <f t="shared" si="0"/>
        <v>23</v>
      </c>
    </row>
    <row r="17" spans="2:14" s="116" customFormat="1" ht="13.15" customHeight="1" x14ac:dyDescent="0.2">
      <c r="B17" s="170"/>
      <c r="C17" s="171" t="s">
        <v>126</v>
      </c>
      <c r="D17" s="172"/>
      <c r="E17" s="172"/>
      <c r="F17" s="172"/>
      <c r="G17" s="172"/>
      <c r="H17" s="172"/>
      <c r="I17" s="172"/>
      <c r="J17" s="172"/>
      <c r="K17" s="172"/>
      <c r="L17" s="172"/>
      <c r="M17" s="173"/>
      <c r="N17" s="154">
        <f t="shared" si="0"/>
        <v>0</v>
      </c>
    </row>
    <row r="18" spans="2:14" s="116" customFormat="1" ht="13.15" customHeight="1" x14ac:dyDescent="0.2">
      <c r="B18" s="177"/>
      <c r="C18" s="178" t="s">
        <v>127</v>
      </c>
      <c r="D18" s="148"/>
      <c r="E18" s="148"/>
      <c r="F18" s="148"/>
      <c r="G18" s="148"/>
      <c r="H18" s="148"/>
      <c r="I18" s="148"/>
      <c r="J18" s="148"/>
      <c r="K18" s="148"/>
      <c r="L18" s="148"/>
      <c r="M18" s="149"/>
      <c r="N18" s="153">
        <f t="shared" si="0"/>
        <v>0</v>
      </c>
    </row>
    <row r="19" spans="2:14" ht="18" customHeight="1" x14ac:dyDescent="0.2">
      <c r="B19" s="179">
        <v>5</v>
      </c>
      <c r="C19" s="180" t="str">
        <f>Config!C9&amp;", "&amp;Config!D9</f>
        <v>Baumgarten, Annabell</v>
      </c>
      <c r="D19" s="186">
        <v>2</v>
      </c>
      <c r="E19" s="186">
        <v>2</v>
      </c>
      <c r="F19" s="186">
        <v>3.5</v>
      </c>
      <c r="G19" s="186">
        <v>2.5</v>
      </c>
      <c r="H19" s="186">
        <v>2</v>
      </c>
      <c r="I19" s="186">
        <v>1</v>
      </c>
      <c r="J19" s="186">
        <v>0.5</v>
      </c>
      <c r="K19" s="186">
        <v>2.5</v>
      </c>
      <c r="L19" s="186">
        <v>2</v>
      </c>
      <c r="M19" s="187">
        <v>3.5</v>
      </c>
      <c r="N19" s="181">
        <f t="shared" si="0"/>
        <v>21.5</v>
      </c>
    </row>
    <row r="20" spans="2:14" s="116" customFormat="1" ht="13.15" customHeight="1" x14ac:dyDescent="0.2">
      <c r="B20" s="164"/>
      <c r="C20" s="165" t="s">
        <v>126</v>
      </c>
      <c r="D20" s="166"/>
      <c r="E20" s="166"/>
      <c r="F20" s="166"/>
      <c r="G20" s="166"/>
      <c r="H20" s="166"/>
      <c r="I20" s="166"/>
      <c r="J20" s="166"/>
      <c r="K20" s="166"/>
      <c r="L20" s="166"/>
      <c r="M20" s="167"/>
      <c r="N20" s="151">
        <f t="shared" si="0"/>
        <v>0</v>
      </c>
    </row>
    <row r="21" spans="2:14" s="116" customFormat="1" ht="13.15" customHeight="1" x14ac:dyDescent="0.2">
      <c r="B21" s="168"/>
      <c r="C21" s="169" t="s">
        <v>127</v>
      </c>
      <c r="D21" s="148"/>
      <c r="E21" s="148"/>
      <c r="F21" s="148"/>
      <c r="G21" s="148"/>
      <c r="H21" s="148"/>
      <c r="I21" s="148"/>
      <c r="J21" s="148"/>
      <c r="K21" s="148"/>
      <c r="L21" s="148"/>
      <c r="M21" s="149"/>
      <c r="N21" s="150">
        <f t="shared" si="0"/>
        <v>0</v>
      </c>
    </row>
    <row r="22" spans="2:14" ht="18" customHeight="1" x14ac:dyDescent="0.2">
      <c r="B22" s="174">
        <v>6</v>
      </c>
      <c r="C22" s="175" t="str">
        <f>Config!C10&amp;", "&amp;Config!D10</f>
        <v>Traut, Stefanie</v>
      </c>
      <c r="D22" s="184">
        <v>2</v>
      </c>
      <c r="E22" s="184">
        <v>3</v>
      </c>
      <c r="F22" s="184">
        <v>4</v>
      </c>
      <c r="G22" s="184">
        <v>3</v>
      </c>
      <c r="H22" s="184">
        <v>3</v>
      </c>
      <c r="I22" s="184">
        <v>4</v>
      </c>
      <c r="J22" s="184">
        <v>3</v>
      </c>
      <c r="K22" s="184">
        <v>4</v>
      </c>
      <c r="L22" s="184">
        <v>2</v>
      </c>
      <c r="M22" s="185">
        <v>5</v>
      </c>
      <c r="N22" s="176">
        <f t="shared" si="0"/>
        <v>33</v>
      </c>
    </row>
    <row r="23" spans="2:14" s="116" customFormat="1" ht="13.15" customHeight="1" x14ac:dyDescent="0.2">
      <c r="B23" s="170"/>
      <c r="C23" s="171" t="s">
        <v>126</v>
      </c>
      <c r="D23" s="172"/>
      <c r="E23" s="172"/>
      <c r="F23" s="172"/>
      <c r="G23" s="172"/>
      <c r="H23" s="172"/>
      <c r="I23" s="172"/>
      <c r="J23" s="172"/>
      <c r="K23" s="172"/>
      <c r="L23" s="172"/>
      <c r="M23" s="173"/>
      <c r="N23" s="154">
        <f t="shared" si="0"/>
        <v>0</v>
      </c>
    </row>
    <row r="24" spans="2:14" s="116" customFormat="1" ht="13.15" customHeight="1" x14ac:dyDescent="0.2">
      <c r="B24" s="177"/>
      <c r="C24" s="178" t="s">
        <v>127</v>
      </c>
      <c r="D24" s="148"/>
      <c r="E24" s="148"/>
      <c r="F24" s="148"/>
      <c r="G24" s="148"/>
      <c r="H24" s="148"/>
      <c r="I24" s="148"/>
      <c r="J24" s="148"/>
      <c r="K24" s="148"/>
      <c r="L24" s="148"/>
      <c r="M24" s="149"/>
      <c r="N24" s="153">
        <f t="shared" si="0"/>
        <v>0</v>
      </c>
    </row>
    <row r="25" spans="2:14" ht="18" customHeight="1" x14ac:dyDescent="0.2">
      <c r="B25" s="179">
        <v>7</v>
      </c>
      <c r="C25" s="180" t="str">
        <f>Config!C11&amp;", "&amp;Config!D11</f>
        <v>Menke, Damian</v>
      </c>
      <c r="D25" s="186">
        <v>1.5</v>
      </c>
      <c r="E25" s="186">
        <v>2.5</v>
      </c>
      <c r="F25" s="186">
        <v>4</v>
      </c>
      <c r="G25" s="186">
        <v>2</v>
      </c>
      <c r="H25" s="186">
        <v>2</v>
      </c>
      <c r="I25" s="186">
        <v>2.5</v>
      </c>
      <c r="J25" s="186">
        <v>0.5</v>
      </c>
      <c r="K25" s="186">
        <v>3</v>
      </c>
      <c r="L25" s="186">
        <v>1</v>
      </c>
      <c r="M25" s="187">
        <v>3.5</v>
      </c>
      <c r="N25" s="181">
        <f t="shared" si="0"/>
        <v>22.5</v>
      </c>
    </row>
    <row r="26" spans="2:14" s="116" customFormat="1" ht="13.15" customHeight="1" x14ac:dyDescent="0.2">
      <c r="B26" s="164"/>
      <c r="C26" s="165" t="s">
        <v>126</v>
      </c>
      <c r="D26" s="166"/>
      <c r="E26" s="166"/>
      <c r="F26" s="166"/>
      <c r="G26" s="166"/>
      <c r="H26" s="166"/>
      <c r="I26" s="166"/>
      <c r="J26" s="166"/>
      <c r="K26" s="166"/>
      <c r="L26" s="166"/>
      <c r="M26" s="167"/>
      <c r="N26" s="151">
        <f t="shared" si="0"/>
        <v>0</v>
      </c>
    </row>
    <row r="27" spans="2:14" s="116" customFormat="1" ht="13.15" customHeight="1" x14ac:dyDescent="0.2">
      <c r="B27" s="168"/>
      <c r="C27" s="169" t="s">
        <v>127</v>
      </c>
      <c r="D27" s="148"/>
      <c r="E27" s="148"/>
      <c r="F27" s="148"/>
      <c r="G27" s="148"/>
      <c r="H27" s="148"/>
      <c r="I27" s="148"/>
      <c r="J27" s="148"/>
      <c r="K27" s="148"/>
      <c r="L27" s="148"/>
      <c r="M27" s="149"/>
      <c r="N27" s="150">
        <f t="shared" si="0"/>
        <v>0</v>
      </c>
    </row>
    <row r="28" spans="2:14" ht="18" customHeight="1" x14ac:dyDescent="0.2">
      <c r="B28" s="174">
        <v>8</v>
      </c>
      <c r="C28" s="175" t="str">
        <f>Config!C12&amp;", "&amp;Config!D12</f>
        <v>Carroll, Meik</v>
      </c>
      <c r="D28" s="184">
        <v>1.5</v>
      </c>
      <c r="E28" s="184">
        <v>1</v>
      </c>
      <c r="F28" s="184">
        <v>2.5</v>
      </c>
      <c r="G28" s="184">
        <v>3</v>
      </c>
      <c r="H28" s="184">
        <v>3</v>
      </c>
      <c r="I28" s="184">
        <v>3.5</v>
      </c>
      <c r="J28" s="184">
        <v>0</v>
      </c>
      <c r="K28" s="184">
        <v>0</v>
      </c>
      <c r="L28" s="184">
        <v>2</v>
      </c>
      <c r="M28" s="185">
        <v>0</v>
      </c>
      <c r="N28" s="176">
        <f t="shared" si="0"/>
        <v>16.5</v>
      </c>
    </row>
    <row r="29" spans="2:14" s="116" customFormat="1" ht="13.15" customHeight="1" x14ac:dyDescent="0.2">
      <c r="B29" s="170"/>
      <c r="C29" s="171" t="s">
        <v>126</v>
      </c>
      <c r="D29" s="172"/>
      <c r="E29" s="172"/>
      <c r="F29" s="172"/>
      <c r="G29" s="172"/>
      <c r="H29" s="172"/>
      <c r="I29" s="172"/>
      <c r="J29" s="172"/>
      <c r="K29" s="172"/>
      <c r="L29" s="172"/>
      <c r="M29" s="173"/>
      <c r="N29" s="154">
        <f t="shared" si="0"/>
        <v>0</v>
      </c>
    </row>
    <row r="30" spans="2:14" s="116" customFormat="1" ht="13.15" customHeight="1" x14ac:dyDescent="0.2">
      <c r="B30" s="177"/>
      <c r="C30" s="178" t="s">
        <v>127</v>
      </c>
      <c r="D30" s="148"/>
      <c r="E30" s="148"/>
      <c r="F30" s="148"/>
      <c r="G30" s="148"/>
      <c r="H30" s="148"/>
      <c r="I30" s="148"/>
      <c r="J30" s="148"/>
      <c r="K30" s="148"/>
      <c r="L30" s="148"/>
      <c r="M30" s="149"/>
      <c r="N30" s="153">
        <f t="shared" si="0"/>
        <v>0</v>
      </c>
    </row>
    <row r="31" spans="2:14" ht="18" customHeight="1" x14ac:dyDescent="0.2">
      <c r="B31" s="179">
        <v>9</v>
      </c>
      <c r="C31" s="180" t="str">
        <f>Config!C13&amp;", "&amp;Config!D13</f>
        <v>Hennings, Tomas</v>
      </c>
      <c r="D31" s="186">
        <v>1.5</v>
      </c>
      <c r="E31" s="186">
        <v>3</v>
      </c>
      <c r="F31" s="186">
        <v>4</v>
      </c>
      <c r="G31" s="186">
        <v>3</v>
      </c>
      <c r="H31" s="186">
        <v>2</v>
      </c>
      <c r="I31" s="186">
        <v>1</v>
      </c>
      <c r="J31" s="186">
        <v>0</v>
      </c>
      <c r="K31" s="186">
        <v>0</v>
      </c>
      <c r="L31" s="186">
        <v>0</v>
      </c>
      <c r="M31" s="187">
        <v>0</v>
      </c>
      <c r="N31" s="181">
        <f t="shared" si="0"/>
        <v>14.5</v>
      </c>
    </row>
    <row r="32" spans="2:14" s="116" customFormat="1" ht="13.15" customHeight="1" x14ac:dyDescent="0.2">
      <c r="B32" s="164"/>
      <c r="C32" s="165" t="s">
        <v>126</v>
      </c>
      <c r="D32" s="166"/>
      <c r="E32" s="166"/>
      <c r="F32" s="166"/>
      <c r="G32" s="166"/>
      <c r="H32" s="166"/>
      <c r="I32" s="166"/>
      <c r="J32" s="166"/>
      <c r="K32" s="166"/>
      <c r="L32" s="166"/>
      <c r="M32" s="167"/>
      <c r="N32" s="151">
        <f t="shared" si="0"/>
        <v>0</v>
      </c>
    </row>
    <row r="33" spans="2:14" s="116" customFormat="1" ht="13.15" customHeight="1" x14ac:dyDescent="0.2">
      <c r="B33" s="168"/>
      <c r="C33" s="169" t="s">
        <v>127</v>
      </c>
      <c r="D33" s="148"/>
      <c r="E33" s="148"/>
      <c r="F33" s="148"/>
      <c r="G33" s="148"/>
      <c r="H33" s="148"/>
      <c r="I33" s="148"/>
      <c r="J33" s="148"/>
      <c r="K33" s="148"/>
      <c r="L33" s="148"/>
      <c r="M33" s="149"/>
      <c r="N33" s="150">
        <f t="shared" si="0"/>
        <v>0</v>
      </c>
    </row>
    <row r="34" spans="2:14" ht="18" customHeight="1" x14ac:dyDescent="0.2">
      <c r="B34" s="174">
        <v>10</v>
      </c>
      <c r="C34" s="175" t="str">
        <f>Config!C14&amp;", "&amp;Config!D14</f>
        <v>Walters, Linn</v>
      </c>
      <c r="D34" s="184">
        <v>0</v>
      </c>
      <c r="E34" s="184">
        <v>1.5</v>
      </c>
      <c r="F34" s="184">
        <v>2.5</v>
      </c>
      <c r="G34" s="184">
        <v>0</v>
      </c>
      <c r="H34" s="184">
        <v>1</v>
      </c>
      <c r="I34" s="184">
        <v>1</v>
      </c>
      <c r="J34" s="184">
        <v>0</v>
      </c>
      <c r="K34" s="184">
        <v>0</v>
      </c>
      <c r="L34" s="184">
        <v>1</v>
      </c>
      <c r="M34" s="185">
        <v>0</v>
      </c>
      <c r="N34" s="176">
        <f t="shared" si="0"/>
        <v>7</v>
      </c>
    </row>
    <row r="35" spans="2:14" s="116" customFormat="1" ht="13.15" customHeight="1" x14ac:dyDescent="0.2">
      <c r="B35" s="170"/>
      <c r="C35" s="171" t="s">
        <v>126</v>
      </c>
      <c r="D35" s="172"/>
      <c r="E35" s="172"/>
      <c r="F35" s="172"/>
      <c r="G35" s="172"/>
      <c r="H35" s="172"/>
      <c r="I35" s="172"/>
      <c r="J35" s="172"/>
      <c r="K35" s="172"/>
      <c r="L35" s="172"/>
      <c r="M35" s="173"/>
      <c r="N35" s="154">
        <f t="shared" si="0"/>
        <v>0</v>
      </c>
    </row>
    <row r="36" spans="2:14" s="116" customFormat="1" ht="13.15" customHeight="1" x14ac:dyDescent="0.2">
      <c r="B36" s="177"/>
      <c r="C36" s="178" t="s">
        <v>127</v>
      </c>
      <c r="D36" s="148"/>
      <c r="E36" s="148"/>
      <c r="F36" s="148"/>
      <c r="G36" s="148"/>
      <c r="H36" s="148"/>
      <c r="I36" s="148"/>
      <c r="J36" s="148"/>
      <c r="K36" s="148"/>
      <c r="L36" s="148"/>
      <c r="M36" s="149"/>
      <c r="N36" s="153">
        <f t="shared" si="0"/>
        <v>0</v>
      </c>
    </row>
    <row r="37" spans="2:14" ht="18" customHeight="1" x14ac:dyDescent="0.2">
      <c r="B37" s="179">
        <v>11</v>
      </c>
      <c r="C37" s="180" t="str">
        <f>Config!C15&amp;", "&amp;Config!D15</f>
        <v>Junker, Amely</v>
      </c>
      <c r="D37" s="186">
        <v>1</v>
      </c>
      <c r="E37" s="186">
        <v>1.5</v>
      </c>
      <c r="F37" s="186">
        <v>4</v>
      </c>
      <c r="G37" s="186">
        <v>1.5</v>
      </c>
      <c r="H37" s="186">
        <v>2</v>
      </c>
      <c r="I37" s="186">
        <v>3.5</v>
      </c>
      <c r="J37" s="186">
        <v>0</v>
      </c>
      <c r="K37" s="186">
        <v>0</v>
      </c>
      <c r="L37" s="186">
        <v>0</v>
      </c>
      <c r="M37" s="187">
        <v>0</v>
      </c>
      <c r="N37" s="181">
        <f t="shared" si="0"/>
        <v>13.5</v>
      </c>
    </row>
    <row r="38" spans="2:14" s="116" customFormat="1" ht="13.15" customHeight="1" x14ac:dyDescent="0.2">
      <c r="B38" s="164"/>
      <c r="C38" s="165" t="s">
        <v>126</v>
      </c>
      <c r="D38" s="166"/>
      <c r="E38" s="166"/>
      <c r="F38" s="166"/>
      <c r="G38" s="166"/>
      <c r="H38" s="166"/>
      <c r="I38" s="166"/>
      <c r="J38" s="166"/>
      <c r="K38" s="166"/>
      <c r="L38" s="166"/>
      <c r="M38" s="167"/>
      <c r="N38" s="151">
        <f t="shared" si="0"/>
        <v>0</v>
      </c>
    </row>
    <row r="39" spans="2:14" s="116" customFormat="1" ht="13.15" customHeight="1" x14ac:dyDescent="0.2">
      <c r="B39" s="168"/>
      <c r="C39" s="169" t="s">
        <v>127</v>
      </c>
      <c r="D39" s="148"/>
      <c r="E39" s="148"/>
      <c r="F39" s="148"/>
      <c r="G39" s="148"/>
      <c r="H39" s="148"/>
      <c r="I39" s="148"/>
      <c r="J39" s="148"/>
      <c r="K39" s="148"/>
      <c r="L39" s="148"/>
      <c r="M39" s="149"/>
      <c r="N39" s="150">
        <f t="shared" ref="N39:N70" si="1">SUM(D39:M39)</f>
        <v>0</v>
      </c>
    </row>
    <row r="40" spans="2:14" ht="18" customHeight="1" x14ac:dyDescent="0.2">
      <c r="B40" s="174">
        <v>12</v>
      </c>
      <c r="C40" s="175" t="str">
        <f>Config!C16&amp;", "&amp;Config!D16</f>
        <v>Stephens, Melvin</v>
      </c>
      <c r="D40" s="184">
        <v>2</v>
      </c>
      <c r="E40" s="184">
        <v>3</v>
      </c>
      <c r="F40" s="184">
        <v>4</v>
      </c>
      <c r="G40" s="184">
        <v>3</v>
      </c>
      <c r="H40" s="184">
        <v>3</v>
      </c>
      <c r="I40" s="184">
        <v>4</v>
      </c>
      <c r="J40" s="184">
        <v>3</v>
      </c>
      <c r="K40" s="184">
        <v>0</v>
      </c>
      <c r="L40" s="184">
        <v>2</v>
      </c>
      <c r="M40" s="185">
        <v>3</v>
      </c>
      <c r="N40" s="176">
        <f t="shared" si="1"/>
        <v>27</v>
      </c>
    </row>
    <row r="41" spans="2:14" s="116" customFormat="1" ht="13.15" customHeight="1" x14ac:dyDescent="0.2">
      <c r="B41" s="170"/>
      <c r="C41" s="171" t="s">
        <v>126</v>
      </c>
      <c r="D41" s="172"/>
      <c r="E41" s="172"/>
      <c r="F41" s="172"/>
      <c r="G41" s="172"/>
      <c r="H41" s="172"/>
      <c r="I41" s="172"/>
      <c r="J41" s="172"/>
      <c r="K41" s="172"/>
      <c r="L41" s="172"/>
      <c r="M41" s="173"/>
      <c r="N41" s="154">
        <f t="shared" si="1"/>
        <v>0</v>
      </c>
    </row>
    <row r="42" spans="2:14" s="116" customFormat="1" ht="13.15" customHeight="1" x14ac:dyDescent="0.2">
      <c r="B42" s="177"/>
      <c r="C42" s="178" t="s">
        <v>127</v>
      </c>
      <c r="D42" s="148"/>
      <c r="E42" s="148"/>
      <c r="F42" s="148"/>
      <c r="G42" s="148"/>
      <c r="H42" s="148"/>
      <c r="I42" s="148"/>
      <c r="J42" s="148"/>
      <c r="K42" s="148"/>
      <c r="L42" s="148"/>
      <c r="M42" s="149"/>
      <c r="N42" s="153">
        <f t="shared" si="1"/>
        <v>0</v>
      </c>
    </row>
    <row r="43" spans="2:14" ht="18" customHeight="1" x14ac:dyDescent="0.2">
      <c r="B43" s="179">
        <v>13</v>
      </c>
      <c r="C43" s="180" t="str">
        <f>Config!C17&amp;", "&amp;Config!D17</f>
        <v>Cremer, Marvin</v>
      </c>
      <c r="D43" s="186">
        <v>0.5</v>
      </c>
      <c r="E43" s="186">
        <v>1.5</v>
      </c>
      <c r="F43" s="186">
        <v>4</v>
      </c>
      <c r="G43" s="186">
        <v>3</v>
      </c>
      <c r="H43" s="186">
        <v>3</v>
      </c>
      <c r="I43" s="186">
        <v>3.5</v>
      </c>
      <c r="J43" s="186">
        <v>0</v>
      </c>
      <c r="K43" s="186">
        <v>0</v>
      </c>
      <c r="L43" s="186">
        <v>2</v>
      </c>
      <c r="M43" s="187">
        <v>4.5</v>
      </c>
      <c r="N43" s="181">
        <f t="shared" si="1"/>
        <v>22</v>
      </c>
    </row>
    <row r="44" spans="2:14" s="116" customFormat="1" ht="13.15" customHeight="1" x14ac:dyDescent="0.2">
      <c r="B44" s="164"/>
      <c r="C44" s="165" t="s">
        <v>126</v>
      </c>
      <c r="D44" s="166"/>
      <c r="E44" s="166"/>
      <c r="F44" s="166"/>
      <c r="G44" s="166"/>
      <c r="H44" s="166"/>
      <c r="I44" s="166"/>
      <c r="J44" s="166"/>
      <c r="K44" s="166"/>
      <c r="L44" s="166"/>
      <c r="M44" s="167"/>
      <c r="N44" s="151">
        <f t="shared" si="1"/>
        <v>0</v>
      </c>
    </row>
    <row r="45" spans="2:14" s="116" customFormat="1" ht="13.15" customHeight="1" x14ac:dyDescent="0.2">
      <c r="B45" s="168"/>
      <c r="C45" s="169" t="s">
        <v>127</v>
      </c>
      <c r="D45" s="148"/>
      <c r="E45" s="148"/>
      <c r="F45" s="148"/>
      <c r="G45" s="148"/>
      <c r="H45" s="148"/>
      <c r="I45" s="148"/>
      <c r="J45" s="148"/>
      <c r="K45" s="148"/>
      <c r="L45" s="148"/>
      <c r="M45" s="149"/>
      <c r="N45" s="150">
        <f t="shared" si="1"/>
        <v>0</v>
      </c>
    </row>
    <row r="46" spans="2:14" ht="18" customHeight="1" x14ac:dyDescent="0.2">
      <c r="B46" s="174">
        <v>14</v>
      </c>
      <c r="C46" s="175" t="str">
        <f>Config!C18&amp;", "&amp;Config!D18</f>
        <v>Nash, Jean</v>
      </c>
      <c r="D46" s="184">
        <v>1.5</v>
      </c>
      <c r="E46" s="184">
        <v>2.5</v>
      </c>
      <c r="F46" s="184">
        <v>3</v>
      </c>
      <c r="G46" s="184">
        <v>2.5</v>
      </c>
      <c r="H46" s="184">
        <v>2</v>
      </c>
      <c r="I46" s="184">
        <v>4</v>
      </c>
      <c r="J46" s="184">
        <v>0</v>
      </c>
      <c r="K46" s="184">
        <v>0</v>
      </c>
      <c r="L46" s="184">
        <v>0</v>
      </c>
      <c r="M46" s="185">
        <v>0</v>
      </c>
      <c r="N46" s="176">
        <f t="shared" si="1"/>
        <v>15.5</v>
      </c>
    </row>
    <row r="47" spans="2:14" s="116" customFormat="1" ht="13.15" customHeight="1" x14ac:dyDescent="0.2">
      <c r="B47" s="170"/>
      <c r="C47" s="171" t="s">
        <v>126</v>
      </c>
      <c r="D47" s="172"/>
      <c r="E47" s="172"/>
      <c r="F47" s="172"/>
      <c r="G47" s="172"/>
      <c r="H47" s="172"/>
      <c r="I47" s="172"/>
      <c r="J47" s="172"/>
      <c r="K47" s="172"/>
      <c r="L47" s="172"/>
      <c r="M47" s="173"/>
      <c r="N47" s="154">
        <f t="shared" si="1"/>
        <v>0</v>
      </c>
    </row>
    <row r="48" spans="2:14" s="116" customFormat="1" ht="13.15" customHeight="1" x14ac:dyDescent="0.2">
      <c r="B48" s="177"/>
      <c r="C48" s="178" t="s">
        <v>127</v>
      </c>
      <c r="D48" s="148"/>
      <c r="E48" s="148"/>
      <c r="F48" s="148"/>
      <c r="G48" s="148"/>
      <c r="H48" s="148"/>
      <c r="I48" s="148"/>
      <c r="J48" s="148"/>
      <c r="K48" s="148"/>
      <c r="L48" s="148"/>
      <c r="M48" s="149"/>
      <c r="N48" s="153">
        <f t="shared" si="1"/>
        <v>0</v>
      </c>
    </row>
    <row r="49" spans="2:14" ht="18" customHeight="1" x14ac:dyDescent="0.2">
      <c r="B49" s="179">
        <v>15</v>
      </c>
      <c r="C49" s="180" t="str">
        <f>Config!C19&amp;", "&amp;Config!D19</f>
        <v>Schön, Leonardo</v>
      </c>
      <c r="D49" s="186">
        <v>1.5</v>
      </c>
      <c r="E49" s="186">
        <v>3</v>
      </c>
      <c r="F49" s="186">
        <v>4</v>
      </c>
      <c r="G49" s="186">
        <v>3</v>
      </c>
      <c r="H49" s="186">
        <v>2.5</v>
      </c>
      <c r="I49" s="186">
        <v>3.5</v>
      </c>
      <c r="J49" s="186">
        <v>0.5</v>
      </c>
      <c r="K49" s="186">
        <v>0</v>
      </c>
      <c r="L49" s="186">
        <v>2</v>
      </c>
      <c r="M49" s="187">
        <v>3.5</v>
      </c>
      <c r="N49" s="181">
        <f t="shared" si="1"/>
        <v>23.5</v>
      </c>
    </row>
    <row r="50" spans="2:14" s="116" customFormat="1" ht="13.15" customHeight="1" x14ac:dyDescent="0.2">
      <c r="B50" s="164"/>
      <c r="C50" s="165" t="s">
        <v>126</v>
      </c>
      <c r="D50" s="166"/>
      <c r="E50" s="166"/>
      <c r="F50" s="166"/>
      <c r="G50" s="166"/>
      <c r="H50" s="166"/>
      <c r="I50" s="166"/>
      <c r="J50" s="166"/>
      <c r="K50" s="166"/>
      <c r="L50" s="166"/>
      <c r="M50" s="167"/>
      <c r="N50" s="151">
        <f t="shared" si="1"/>
        <v>0</v>
      </c>
    </row>
    <row r="51" spans="2:14" s="116" customFormat="1" ht="13.15" customHeight="1" x14ac:dyDescent="0.2">
      <c r="B51" s="168"/>
      <c r="C51" s="169" t="s">
        <v>127</v>
      </c>
      <c r="D51" s="148"/>
      <c r="E51" s="148"/>
      <c r="F51" s="148"/>
      <c r="G51" s="148"/>
      <c r="H51" s="148"/>
      <c r="I51" s="148"/>
      <c r="J51" s="148"/>
      <c r="K51" s="148"/>
      <c r="L51" s="148"/>
      <c r="M51" s="149"/>
      <c r="N51" s="150">
        <f t="shared" si="1"/>
        <v>0</v>
      </c>
    </row>
    <row r="52" spans="2:14" ht="18" customHeight="1" x14ac:dyDescent="0.2">
      <c r="B52" s="174">
        <v>16</v>
      </c>
      <c r="C52" s="175" t="str">
        <f>Config!C20&amp;", "&amp;Config!D20</f>
        <v>Sigl, Nicholas</v>
      </c>
      <c r="D52" s="184">
        <v>1.5</v>
      </c>
      <c r="E52" s="184">
        <v>3</v>
      </c>
      <c r="F52" s="184">
        <v>4</v>
      </c>
      <c r="G52" s="184">
        <v>3</v>
      </c>
      <c r="H52" s="184">
        <v>3</v>
      </c>
      <c r="I52" s="184">
        <v>4</v>
      </c>
      <c r="J52" s="184">
        <v>0</v>
      </c>
      <c r="K52" s="184">
        <v>1.5</v>
      </c>
      <c r="L52" s="184">
        <v>0</v>
      </c>
      <c r="M52" s="185">
        <v>2</v>
      </c>
      <c r="N52" s="176">
        <f t="shared" si="1"/>
        <v>22</v>
      </c>
    </row>
    <row r="53" spans="2:14" s="116" customFormat="1" ht="13.15" customHeight="1" x14ac:dyDescent="0.2">
      <c r="B53" s="170"/>
      <c r="C53" s="171" t="s">
        <v>126</v>
      </c>
      <c r="D53" s="172"/>
      <c r="E53" s="172"/>
      <c r="F53" s="172"/>
      <c r="G53" s="172"/>
      <c r="H53" s="172"/>
      <c r="I53" s="172"/>
      <c r="J53" s="172"/>
      <c r="K53" s="172"/>
      <c r="L53" s="172"/>
      <c r="M53" s="173"/>
      <c r="N53" s="154">
        <f t="shared" si="1"/>
        <v>0</v>
      </c>
    </row>
    <row r="54" spans="2:14" s="116" customFormat="1" ht="13.15" customHeight="1" x14ac:dyDescent="0.2">
      <c r="B54" s="177"/>
      <c r="C54" s="178" t="s">
        <v>127</v>
      </c>
      <c r="D54" s="148"/>
      <c r="E54" s="148"/>
      <c r="F54" s="148"/>
      <c r="G54" s="148"/>
      <c r="H54" s="148"/>
      <c r="I54" s="148"/>
      <c r="J54" s="148"/>
      <c r="K54" s="148"/>
      <c r="L54" s="148"/>
      <c r="M54" s="149"/>
      <c r="N54" s="153">
        <f t="shared" si="1"/>
        <v>0</v>
      </c>
    </row>
    <row r="55" spans="2:14" ht="18" customHeight="1" x14ac:dyDescent="0.2">
      <c r="B55" s="179">
        <v>17</v>
      </c>
      <c r="C55" s="180" t="str">
        <f>Config!C21&amp;", "&amp;Config!D21</f>
        <v>Kainz, Vivienne</v>
      </c>
      <c r="D55" s="186">
        <v>1.5</v>
      </c>
      <c r="E55" s="186">
        <v>1.5</v>
      </c>
      <c r="F55" s="186">
        <v>0</v>
      </c>
      <c r="G55" s="186">
        <v>1.5</v>
      </c>
      <c r="H55" s="186">
        <v>1</v>
      </c>
      <c r="I55" s="186">
        <v>1</v>
      </c>
      <c r="J55" s="186">
        <v>0</v>
      </c>
      <c r="K55" s="186">
        <v>0</v>
      </c>
      <c r="L55" s="186">
        <v>0</v>
      </c>
      <c r="M55" s="187">
        <v>0</v>
      </c>
      <c r="N55" s="181">
        <f t="shared" si="1"/>
        <v>6.5</v>
      </c>
    </row>
    <row r="56" spans="2:14" s="116" customFormat="1" ht="13.15" customHeight="1" x14ac:dyDescent="0.2">
      <c r="B56" s="164"/>
      <c r="C56" s="165" t="s">
        <v>126</v>
      </c>
      <c r="D56" s="166"/>
      <c r="E56" s="166"/>
      <c r="F56" s="166"/>
      <c r="G56" s="166"/>
      <c r="H56" s="166"/>
      <c r="I56" s="166"/>
      <c r="J56" s="166"/>
      <c r="K56" s="166"/>
      <c r="L56" s="166"/>
      <c r="M56" s="167"/>
      <c r="N56" s="151">
        <f t="shared" si="1"/>
        <v>0</v>
      </c>
    </row>
    <row r="57" spans="2:14" s="116" customFormat="1" ht="13.15" customHeight="1" x14ac:dyDescent="0.2">
      <c r="B57" s="168"/>
      <c r="C57" s="169" t="s">
        <v>127</v>
      </c>
      <c r="D57" s="148"/>
      <c r="E57" s="148"/>
      <c r="F57" s="148"/>
      <c r="G57" s="148"/>
      <c r="H57" s="148"/>
      <c r="I57" s="148"/>
      <c r="J57" s="148"/>
      <c r="K57" s="148"/>
      <c r="L57" s="148"/>
      <c r="M57" s="149"/>
      <c r="N57" s="150">
        <f t="shared" si="1"/>
        <v>0</v>
      </c>
    </row>
    <row r="58" spans="2:14" ht="18" customHeight="1" x14ac:dyDescent="0.2">
      <c r="B58" s="174">
        <v>18</v>
      </c>
      <c r="C58" s="175" t="str">
        <f>Config!C22&amp;", "&amp;Config!D22</f>
        <v>Hartmann, Mads</v>
      </c>
      <c r="D58" s="184">
        <v>1</v>
      </c>
      <c r="E58" s="184">
        <v>2.5</v>
      </c>
      <c r="F58" s="184">
        <v>2</v>
      </c>
      <c r="G58" s="184">
        <v>3</v>
      </c>
      <c r="H58" s="184">
        <v>2.5</v>
      </c>
      <c r="I58" s="184">
        <v>3.5</v>
      </c>
      <c r="J58" s="184">
        <v>0</v>
      </c>
      <c r="K58" s="184">
        <v>0</v>
      </c>
      <c r="L58" s="184">
        <v>1.5</v>
      </c>
      <c r="M58" s="185">
        <v>0</v>
      </c>
      <c r="N58" s="176">
        <f t="shared" si="1"/>
        <v>16</v>
      </c>
    </row>
    <row r="59" spans="2:14" s="116" customFormat="1" ht="13.15" customHeight="1" x14ac:dyDescent="0.2">
      <c r="B59" s="170"/>
      <c r="C59" s="171" t="s">
        <v>126</v>
      </c>
      <c r="D59" s="172"/>
      <c r="E59" s="172"/>
      <c r="F59" s="172"/>
      <c r="G59" s="172"/>
      <c r="H59" s="172"/>
      <c r="I59" s="172"/>
      <c r="J59" s="172"/>
      <c r="K59" s="172"/>
      <c r="L59" s="172"/>
      <c r="M59" s="173"/>
      <c r="N59" s="154">
        <f t="shared" si="1"/>
        <v>0</v>
      </c>
    </row>
    <row r="60" spans="2:14" s="116" customFormat="1" ht="13.15" customHeight="1" x14ac:dyDescent="0.2">
      <c r="B60" s="177"/>
      <c r="C60" s="178" t="s">
        <v>127</v>
      </c>
      <c r="D60" s="148"/>
      <c r="E60" s="148"/>
      <c r="F60" s="148"/>
      <c r="G60" s="148"/>
      <c r="H60" s="148"/>
      <c r="I60" s="148"/>
      <c r="J60" s="148"/>
      <c r="K60" s="148"/>
      <c r="L60" s="148"/>
      <c r="M60" s="149"/>
      <c r="N60" s="153">
        <f t="shared" si="1"/>
        <v>0</v>
      </c>
    </row>
    <row r="61" spans="2:14" ht="18" customHeight="1" x14ac:dyDescent="0.2">
      <c r="B61" s="179">
        <v>19</v>
      </c>
      <c r="C61" s="180" t="str">
        <f>Config!C23&amp;", "&amp;Config!D23</f>
        <v>Ullmann, Raphael</v>
      </c>
      <c r="D61" s="186">
        <v>1.5</v>
      </c>
      <c r="E61" s="186">
        <v>2</v>
      </c>
      <c r="F61" s="186">
        <v>3</v>
      </c>
      <c r="G61" s="186">
        <v>0.5</v>
      </c>
      <c r="H61" s="186">
        <v>1</v>
      </c>
      <c r="I61" s="186">
        <v>4</v>
      </c>
      <c r="J61" s="186">
        <v>0.5</v>
      </c>
      <c r="K61" s="186">
        <v>0</v>
      </c>
      <c r="L61" s="186">
        <v>2</v>
      </c>
      <c r="M61" s="187">
        <v>0</v>
      </c>
      <c r="N61" s="181">
        <f t="shared" si="1"/>
        <v>14.5</v>
      </c>
    </row>
    <row r="62" spans="2:14" s="116" customFormat="1" ht="13.15" customHeight="1" x14ac:dyDescent="0.2">
      <c r="B62" s="164"/>
      <c r="C62" s="165" t="s">
        <v>126</v>
      </c>
      <c r="D62" s="166"/>
      <c r="E62" s="166"/>
      <c r="F62" s="166"/>
      <c r="G62" s="166"/>
      <c r="H62" s="166"/>
      <c r="I62" s="166"/>
      <c r="J62" s="166"/>
      <c r="K62" s="166"/>
      <c r="L62" s="166"/>
      <c r="M62" s="167"/>
      <c r="N62" s="151">
        <f t="shared" si="1"/>
        <v>0</v>
      </c>
    </row>
    <row r="63" spans="2:14" s="116" customFormat="1" ht="13.15" customHeight="1" x14ac:dyDescent="0.2">
      <c r="B63" s="168"/>
      <c r="C63" s="169" t="s">
        <v>127</v>
      </c>
      <c r="D63" s="148"/>
      <c r="E63" s="148"/>
      <c r="F63" s="148"/>
      <c r="G63" s="148"/>
      <c r="H63" s="148"/>
      <c r="I63" s="148"/>
      <c r="J63" s="148"/>
      <c r="K63" s="148"/>
      <c r="L63" s="148"/>
      <c r="M63" s="149"/>
      <c r="N63" s="150">
        <f t="shared" si="1"/>
        <v>0</v>
      </c>
    </row>
    <row r="64" spans="2:14" ht="18" customHeight="1" x14ac:dyDescent="0.2">
      <c r="B64" s="174">
        <v>20</v>
      </c>
      <c r="C64" s="175" t="str">
        <f>Config!C24&amp;", "&amp;Config!D24</f>
        <v>Hartl, Emmely</v>
      </c>
      <c r="D64" s="184">
        <v>1.5</v>
      </c>
      <c r="E64" s="184">
        <v>3</v>
      </c>
      <c r="F64" s="184">
        <v>3.5</v>
      </c>
      <c r="G64" s="184">
        <v>2.5</v>
      </c>
      <c r="H64" s="184">
        <v>2</v>
      </c>
      <c r="I64" s="184">
        <v>3.5</v>
      </c>
      <c r="J64" s="184">
        <v>2</v>
      </c>
      <c r="K64" s="184">
        <v>0</v>
      </c>
      <c r="L64" s="184">
        <v>1.5</v>
      </c>
      <c r="M64" s="185">
        <v>3.5</v>
      </c>
      <c r="N64" s="176">
        <f t="shared" si="1"/>
        <v>23</v>
      </c>
    </row>
    <row r="65" spans="2:14" s="116" customFormat="1" ht="13.15" customHeight="1" x14ac:dyDescent="0.2">
      <c r="B65" s="170"/>
      <c r="C65" s="171" t="s">
        <v>126</v>
      </c>
      <c r="D65" s="172"/>
      <c r="E65" s="172"/>
      <c r="F65" s="172"/>
      <c r="G65" s="172"/>
      <c r="H65" s="172"/>
      <c r="I65" s="172"/>
      <c r="J65" s="172"/>
      <c r="K65" s="172"/>
      <c r="L65" s="172"/>
      <c r="M65" s="173"/>
      <c r="N65" s="154">
        <f t="shared" si="1"/>
        <v>0</v>
      </c>
    </row>
    <row r="66" spans="2:14" s="116" customFormat="1" ht="13.15" customHeight="1" x14ac:dyDescent="0.2">
      <c r="B66" s="177"/>
      <c r="C66" s="178" t="s">
        <v>127</v>
      </c>
      <c r="D66" s="148"/>
      <c r="E66" s="148"/>
      <c r="F66" s="148"/>
      <c r="G66" s="148"/>
      <c r="H66" s="148"/>
      <c r="I66" s="148"/>
      <c r="J66" s="148"/>
      <c r="K66" s="148"/>
      <c r="L66" s="148"/>
      <c r="M66" s="149"/>
      <c r="N66" s="153">
        <f t="shared" si="1"/>
        <v>0</v>
      </c>
    </row>
    <row r="67" spans="2:14" ht="18" customHeight="1" x14ac:dyDescent="0.2">
      <c r="B67" s="179">
        <v>21</v>
      </c>
      <c r="C67" s="180" t="str">
        <f>Config!C25&amp;", "&amp;Config!D25</f>
        <v>Klotz, Karin</v>
      </c>
      <c r="D67" s="186">
        <v>2</v>
      </c>
      <c r="E67" s="186">
        <v>2.5</v>
      </c>
      <c r="F67" s="186">
        <v>4</v>
      </c>
      <c r="G67" s="186">
        <v>3</v>
      </c>
      <c r="H67" s="186">
        <v>2.5</v>
      </c>
      <c r="I67" s="186">
        <v>3</v>
      </c>
      <c r="J67" s="186">
        <v>3</v>
      </c>
      <c r="K67" s="186">
        <v>0</v>
      </c>
      <c r="L67" s="186">
        <v>2</v>
      </c>
      <c r="M67" s="187">
        <v>4.5</v>
      </c>
      <c r="N67" s="181">
        <f t="shared" si="1"/>
        <v>26.5</v>
      </c>
    </row>
    <row r="68" spans="2:14" s="116" customFormat="1" ht="13.15" customHeight="1" x14ac:dyDescent="0.2">
      <c r="B68" s="164"/>
      <c r="C68" s="165" t="s">
        <v>126</v>
      </c>
      <c r="D68" s="166"/>
      <c r="E68" s="166"/>
      <c r="F68" s="166"/>
      <c r="G68" s="166"/>
      <c r="H68" s="166"/>
      <c r="I68" s="166"/>
      <c r="J68" s="166"/>
      <c r="K68" s="166"/>
      <c r="L68" s="166"/>
      <c r="M68" s="167"/>
      <c r="N68" s="151">
        <f t="shared" si="1"/>
        <v>0</v>
      </c>
    </row>
    <row r="69" spans="2:14" s="116" customFormat="1" ht="13.15" customHeight="1" x14ac:dyDescent="0.2">
      <c r="B69" s="168"/>
      <c r="C69" s="169" t="s">
        <v>127</v>
      </c>
      <c r="D69" s="148"/>
      <c r="E69" s="148"/>
      <c r="F69" s="148"/>
      <c r="G69" s="148"/>
      <c r="H69" s="148"/>
      <c r="I69" s="148"/>
      <c r="J69" s="148"/>
      <c r="K69" s="148"/>
      <c r="L69" s="148"/>
      <c r="M69" s="149"/>
      <c r="N69" s="150">
        <f t="shared" si="1"/>
        <v>0</v>
      </c>
    </row>
    <row r="70" spans="2:14" ht="18" customHeight="1" x14ac:dyDescent="0.2">
      <c r="B70" s="174">
        <v>22</v>
      </c>
      <c r="C70" s="175" t="str">
        <f>Config!C26&amp;", "&amp;Config!D26</f>
        <v>Ehlers, Ingo</v>
      </c>
      <c r="D70" s="184">
        <v>0.5</v>
      </c>
      <c r="E70" s="184">
        <v>3</v>
      </c>
      <c r="F70" s="184">
        <v>4</v>
      </c>
      <c r="G70" s="184">
        <v>2</v>
      </c>
      <c r="H70" s="184">
        <v>2.5</v>
      </c>
      <c r="I70" s="184">
        <v>3</v>
      </c>
      <c r="J70" s="184">
        <v>1.5</v>
      </c>
      <c r="K70" s="184">
        <v>0</v>
      </c>
      <c r="L70" s="184">
        <v>2</v>
      </c>
      <c r="M70" s="185">
        <v>2.5</v>
      </c>
      <c r="N70" s="176">
        <f t="shared" si="1"/>
        <v>21</v>
      </c>
    </row>
    <row r="71" spans="2:14" s="116" customFormat="1" ht="13.15" customHeight="1" x14ac:dyDescent="0.2">
      <c r="B71" s="170"/>
      <c r="C71" s="171" t="s">
        <v>126</v>
      </c>
      <c r="D71" s="172"/>
      <c r="E71" s="172"/>
      <c r="F71" s="172"/>
      <c r="G71" s="172"/>
      <c r="H71" s="172"/>
      <c r="I71" s="172"/>
      <c r="J71" s="172"/>
      <c r="K71" s="172"/>
      <c r="L71" s="172"/>
      <c r="M71" s="173"/>
      <c r="N71" s="154">
        <f t="shared" ref="N71:N75" si="2">SUM(D71:M71)</f>
        <v>0</v>
      </c>
    </row>
    <row r="72" spans="2:14" s="116" customFormat="1" ht="13.15" customHeight="1" x14ac:dyDescent="0.2">
      <c r="B72" s="177"/>
      <c r="C72" s="178" t="s">
        <v>127</v>
      </c>
      <c r="D72" s="148"/>
      <c r="E72" s="148"/>
      <c r="F72" s="148"/>
      <c r="G72" s="148"/>
      <c r="H72" s="148"/>
      <c r="I72" s="148"/>
      <c r="J72" s="148"/>
      <c r="K72" s="148"/>
      <c r="L72" s="148"/>
      <c r="M72" s="149"/>
      <c r="N72" s="153">
        <f t="shared" si="2"/>
        <v>0</v>
      </c>
    </row>
    <row r="73" spans="2:14" ht="18" customHeight="1" thickBot="1" x14ac:dyDescent="0.25">
      <c r="B73" s="144">
        <v>23</v>
      </c>
      <c r="C73" s="139" t="str">
        <f>Config!C27&amp;", "&amp;Config!D27</f>
        <v>Lindemann, Mads</v>
      </c>
      <c r="D73" s="95">
        <v>1</v>
      </c>
      <c r="E73" s="95">
        <v>2.5</v>
      </c>
      <c r="F73" s="95">
        <v>3.5</v>
      </c>
      <c r="G73" s="95">
        <v>3</v>
      </c>
      <c r="H73" s="95">
        <v>2</v>
      </c>
      <c r="I73" s="95">
        <v>4</v>
      </c>
      <c r="J73" s="95">
        <v>0</v>
      </c>
      <c r="K73" s="95">
        <v>0</v>
      </c>
      <c r="L73" s="95">
        <v>0</v>
      </c>
      <c r="M73" s="96">
        <v>0</v>
      </c>
      <c r="N73" s="147">
        <f t="shared" si="2"/>
        <v>16</v>
      </c>
    </row>
    <row r="74" spans="2:14" s="116" customFormat="1" ht="13.15" customHeight="1" x14ac:dyDescent="0.2">
      <c r="B74" s="164"/>
      <c r="C74" s="165" t="s">
        <v>126</v>
      </c>
      <c r="D74" s="166"/>
      <c r="E74" s="166"/>
      <c r="F74" s="166"/>
      <c r="G74" s="166"/>
      <c r="H74" s="166"/>
      <c r="I74" s="166"/>
      <c r="J74" s="166"/>
      <c r="K74" s="166"/>
      <c r="L74" s="166"/>
      <c r="M74" s="167"/>
      <c r="N74" s="151">
        <f t="shared" si="2"/>
        <v>0</v>
      </c>
    </row>
    <row r="75" spans="2:14" s="116" customFormat="1" ht="13.15" customHeight="1" thickBot="1" x14ac:dyDescent="0.25">
      <c r="B75" s="155"/>
      <c r="C75" s="158" t="s">
        <v>127</v>
      </c>
      <c r="D75" s="156"/>
      <c r="E75" s="156"/>
      <c r="F75" s="156"/>
      <c r="G75" s="156"/>
      <c r="H75" s="156"/>
      <c r="I75" s="156"/>
      <c r="J75" s="156"/>
      <c r="K75" s="156"/>
      <c r="L75" s="156"/>
      <c r="M75" s="157"/>
      <c r="N75" s="152">
        <f t="shared" si="2"/>
        <v>0</v>
      </c>
    </row>
    <row r="76" spans="2:14" ht="18" customHeight="1" thickBot="1" x14ac:dyDescent="0.25">
      <c r="B76" s="119"/>
      <c r="C76" s="120"/>
      <c r="D76" s="120">
        <f>IF(COUNTIFS(D7:D73,"&lt;&gt;",C7:C73,"&lt;&gt;ZK",C7:C73,"&lt;&gt;DK")&lt;&gt;0,SUMIFS(D7:D73,C7:C73,"&lt;&gt;ZK",C7:C73,"&lt;&gt;DK")/(COUNTIFS(D7:D73,"&lt;&gt;",C7:C73,"&lt;&gt;ZK",C7:C73,"&lt;&gt;DK")*D6),0)</f>
        <v>0.64130434782608692</v>
      </c>
      <c r="E76" s="120">
        <f>IF(COUNTIFS(E7:E73,"&lt;&gt;",C7:C73,"&lt;&gt;ZK",C7:C73,"&lt;&gt;DK")&lt;&gt;0,SUMIFS(E7:E73,C7:C73,"&lt;&gt;ZK",C7:C73,"&lt;&gt;DK")/(COUNTIFS(E7:E73,"&lt;&gt;",C7:C73,"&lt;&gt;ZK",C7:C73,"&lt;&gt;DK")*E6),0)</f>
        <v>0.79710144927536231</v>
      </c>
      <c r="F76" s="120">
        <f>IF(COUNTIFS(F7:F73,"&lt;&gt;",C7:C73,"&lt;&gt;ZK",C7:C73,"&lt;&gt;DK")&lt;&gt;0,SUMIFS(F7:F73,C7:C73,"&lt;&gt;ZK",C7:C73,"&lt;&gt;DK")/(COUNTIFS(F7:F73,"&lt;&gt;",C7:C73,"&lt;&gt;ZK",C7:C73,"&lt;&gt;DK")*F6),0)</f>
        <v>0.78804347826086951</v>
      </c>
      <c r="G76" s="120">
        <f>IF(COUNTIFS(G7:G73,"&lt;&gt;",C7:C73,"&lt;&gt;ZK",C7:C73,"&lt;&gt;DK")&lt;&gt;0,SUMIFS(G7:G73,C7:C73,"&lt;&gt;ZK",C7:C73,"&lt;&gt;DK")/(COUNTIFS(G7:G73,"&lt;&gt;",C7:C73,"&lt;&gt;ZK",C7:C73,"&lt;&gt;DK")*G6),0)</f>
        <v>0.79710144927536231</v>
      </c>
      <c r="H76" s="120">
        <f>IF(COUNTIFS(H7:H73,"&lt;&gt;",C7:C73,"&lt;&gt;ZK",C7:C73,"&lt;&gt;DK")&lt;&gt;0,SUMIFS(H7:H73,C7:C73,"&lt;&gt;ZK",C7:C73,"&lt;&gt;DK")/(COUNTIFS(H7:H73,"&lt;&gt;",C7:C73,"&lt;&gt;ZK",C7:C73,"&lt;&gt;DK")*H6),0)</f>
        <v>0.78260869565217395</v>
      </c>
      <c r="I76" s="120">
        <f>IF(COUNTIFS(I7:I73,"&lt;&gt;",C7:C73,"&lt;&gt;ZK",C7:C73,"&lt;&gt;DK")&lt;&gt;0,SUMIFS(I7:I73,C7:C73,"&lt;&gt;ZK",C7:C73,"&lt;&gt;DK")/(COUNTIFS(I7:I73,"&lt;&gt;",C7:C73,"&lt;&gt;ZK",C7:C73,"&lt;&gt;DK")*I6),0)</f>
        <v>0.78260869565217395</v>
      </c>
      <c r="J76" s="120">
        <f>IF(COUNTIFS(J7:J73,"&lt;&gt;",C7:C73,"&lt;&gt;ZK",C7:C73,"&lt;&gt;DK")&lt;&gt;0,SUMIFS(J7:J73,C7:C73,"&lt;&gt;ZK",C7:C73,"&lt;&gt;DK")/(COUNTIFS(J7:J73,"&lt;&gt;",C7:C73,"&lt;&gt;ZK",C7:C73,"&lt;&gt;DK")*J6),0)</f>
        <v>0.27536231884057971</v>
      </c>
      <c r="K76" s="120">
        <f>IF(COUNTIFS(K7:K73,"&lt;&gt;",C7:C73,"&lt;&gt;ZK",C7:C73,"&lt;&gt;DK")&lt;&gt;0,SUMIFS(K7:K73,C7:C73,"&lt;&gt;ZK",C7:C73,"&lt;&gt;DK")/(COUNTIFS(K7:K73,"&lt;&gt;",C7:C73,"&lt;&gt;ZK",C7:C73,"&lt;&gt;DK")*K6),0)</f>
        <v>0.11956521739130435</v>
      </c>
      <c r="L76" s="120">
        <f>IF(COUNTIFS(L7:L73,"&lt;&gt;",C7:C73,"&lt;&gt;ZK",C7:C73,"&lt;&gt;DK")&lt;&gt;0,SUMIFS(L7:L73,C7:C73,"&lt;&gt;ZK",C7:C73,"&lt;&gt;DK")/(COUNTIFS(L7:L73,"&lt;&gt;",C7:C73,"&lt;&gt;ZK",C7:C73,"&lt;&gt;DK")*L6),0)</f>
        <v>0.60869565217391308</v>
      </c>
      <c r="M76" s="120">
        <f>IF(COUNTIFS(M7:M73,"&lt;&gt;",C7:C73,"&lt;&gt;ZK",C7:C73,"&lt;&gt;DK")&lt;&gt;0,SUMIFS(M7:M73,C7:C73,"&lt;&gt;ZK",C7:C73,"&lt;&gt;DK")/(COUNTIFS(M7:M73,"&lt;&gt;",C7:C73,"&lt;&gt;ZK",C7:C73,"&lt;&gt;DK")*M6),0)</f>
        <v>0.88043478260869568</v>
      </c>
      <c r="N76" s="121"/>
    </row>
    <row r="77" spans="2:14" ht="18" customHeight="1" x14ac:dyDescent="0.2"/>
    <row r="78" spans="2:14" ht="18" customHeight="1" x14ac:dyDescent="0.2"/>
    <row r="79" spans="2:14" ht="18" customHeight="1" x14ac:dyDescent="0.2"/>
    <row r="80" spans="2:14"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electLockedCells="1"/>
  <dataValidations count="10">
    <dataValidation type="decimal" allowBlank="1" showErrorMessage="1" sqref="D7:D75" xr:uid="{874FF4F8-71DB-4466-9E1A-83C9EA8DDFEB}">
      <formula1>0</formula1>
      <formula2>$D$6</formula2>
    </dataValidation>
    <dataValidation type="decimal" allowBlank="1" showErrorMessage="1" sqref="E7:E75" xr:uid="{F3A0D915-4705-4ABA-BD91-B132DBCE0A61}">
      <formula1>0</formula1>
      <formula2>$E$6</formula2>
    </dataValidation>
    <dataValidation type="decimal" allowBlank="1" showErrorMessage="1" sqref="F7:F75" xr:uid="{7B036392-1682-4521-825A-07496D5B3ADB}">
      <formula1>0</formula1>
      <formula2>$F$6</formula2>
    </dataValidation>
    <dataValidation type="decimal" allowBlank="1" showErrorMessage="1" sqref="G7:G75" xr:uid="{CD0793F8-0346-43AF-8C03-704DE4DCBA03}">
      <formula1>0</formula1>
      <formula2>$G$6</formula2>
    </dataValidation>
    <dataValidation type="decimal" allowBlank="1" showErrorMessage="1" sqref="H7:H75" xr:uid="{C704A20F-A292-403F-BAD9-64981909BDB3}">
      <formula1>0</formula1>
      <formula2>$H$6</formula2>
    </dataValidation>
    <dataValidation type="decimal" allowBlank="1" showErrorMessage="1" sqref="I7:I75" xr:uid="{3A6793CA-2AF9-46E1-83FD-FC313595831C}">
      <formula1>0</formula1>
      <formula2>$I$6</formula2>
    </dataValidation>
    <dataValidation type="decimal" allowBlank="1" showErrorMessage="1" sqref="J7:J75" xr:uid="{BC54545C-D409-4C6C-A4E8-E9AFA70F1020}">
      <formula1>0</formula1>
      <formula2>$J$6</formula2>
    </dataValidation>
    <dataValidation type="decimal" allowBlank="1" showErrorMessage="1" sqref="K7:K75" xr:uid="{3BD50FA4-C62D-474F-B0F2-1C40E9384FD9}">
      <formula1>0</formula1>
      <formula2>$K$6</formula2>
    </dataValidation>
    <dataValidation type="decimal" allowBlank="1" showErrorMessage="1" sqref="L7:L75" xr:uid="{8A0F86E8-ED57-4817-952B-FFCC43664586}">
      <formula1>0</formula1>
      <formula2>$L$6</formula2>
    </dataValidation>
    <dataValidation type="decimal" allowBlank="1" showErrorMessage="1" sqref="M7:M75" xr:uid="{8B0B83C4-26DC-4AD0-95D4-60EC74F155B0}">
      <formula1>0</formula1>
      <formula2>$M$6</formula2>
    </dataValidation>
  </dataValidation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8A0D4E-59C7-46CE-8401-67A00F367F2A}">
  <sheetPr codeName="Tabelle3">
    <tabColor rgb="FF92D050"/>
  </sheetPr>
  <dimension ref="B1:E100"/>
  <sheetViews>
    <sheetView workbookViewId="0">
      <selection activeCell="D7" sqref="D7"/>
    </sheetView>
  </sheetViews>
  <sheetFormatPr baseColWidth="10" defaultColWidth="11.5703125" defaultRowHeight="12.75" x14ac:dyDescent="0.2"/>
  <cols>
    <col min="1" max="2" width="3.42578125" style="98" customWidth="1"/>
    <col min="3" max="3" width="25.7109375" style="98" customWidth="1"/>
    <col min="4" max="5" width="8.7109375" style="98" customWidth="1"/>
    <col min="6" max="16384" width="11.5703125" style="98"/>
  </cols>
  <sheetData>
    <row r="1" spans="2:5" ht="18" customHeight="1" thickBot="1" x14ac:dyDescent="0.25"/>
    <row r="2" spans="2:5" ht="18" customHeight="1" x14ac:dyDescent="0.2">
      <c r="B2" s="99" t="str">
        <f>Config!F2&amp;" "&amp;YEAR(Config!G24)</f>
        <v>Mathe Abitur 2026</v>
      </c>
      <c r="C2" s="100"/>
      <c r="D2" s="101"/>
      <c r="E2" s="102" t="str">
        <f>"Kurs "&amp;Config!G26</f>
        <v>Kurs K1</v>
      </c>
    </row>
    <row r="3" spans="2:5" ht="18" customHeight="1" x14ac:dyDescent="0.2">
      <c r="B3" s="103" t="s">
        <v>11</v>
      </c>
      <c r="C3" s="104"/>
      <c r="D3" s="104"/>
      <c r="E3" s="105"/>
    </row>
    <row r="4" spans="2:5" ht="18" customHeight="1" thickBot="1" x14ac:dyDescent="0.25">
      <c r="B4" s="103"/>
      <c r="C4" s="104"/>
      <c r="D4" s="106"/>
      <c r="E4" s="107"/>
    </row>
    <row r="5" spans="2:5" ht="18" customHeight="1" thickBot="1" x14ac:dyDescent="0.25">
      <c r="B5" s="108"/>
      <c r="C5" s="110"/>
      <c r="D5" s="124" t="str">
        <f>Config!J6</f>
        <v>1</v>
      </c>
      <c r="E5" s="114" t="s">
        <v>82</v>
      </c>
    </row>
    <row r="6" spans="2:5" ht="18" customHeight="1" thickBot="1" x14ac:dyDescent="0.25">
      <c r="B6" s="109"/>
      <c r="C6" s="111" t="s">
        <v>81</v>
      </c>
      <c r="D6" s="113">
        <f>Config!K6</f>
        <v>5</v>
      </c>
      <c r="E6" s="125">
        <f>Config!K21</f>
        <v>5</v>
      </c>
    </row>
    <row r="7" spans="2:5" ht="18" customHeight="1" x14ac:dyDescent="0.2">
      <c r="B7" s="161">
        <v>1</v>
      </c>
      <c r="C7" s="162" t="str">
        <f>Config!C5&amp;", "&amp;Config!D5</f>
        <v>Höfer, Simon</v>
      </c>
      <c r="D7" s="183">
        <v>2.5</v>
      </c>
      <c r="E7" s="163">
        <f t="shared" ref="E7:E38" si="0">SUM(D7:D7)</f>
        <v>2.5</v>
      </c>
    </row>
    <row r="8" spans="2:5" s="116" customFormat="1" ht="13.15" customHeight="1" x14ac:dyDescent="0.2">
      <c r="B8" s="164"/>
      <c r="C8" s="165" t="s">
        <v>126</v>
      </c>
      <c r="D8" s="167"/>
      <c r="E8" s="151">
        <f t="shared" si="0"/>
        <v>0</v>
      </c>
    </row>
    <row r="9" spans="2:5" s="116" customFormat="1" ht="13.15" customHeight="1" x14ac:dyDescent="0.2">
      <c r="B9" s="168"/>
      <c r="C9" s="169" t="s">
        <v>127</v>
      </c>
      <c r="D9" s="149"/>
      <c r="E9" s="150">
        <f t="shared" si="0"/>
        <v>0</v>
      </c>
    </row>
    <row r="10" spans="2:5" ht="18" customHeight="1" x14ac:dyDescent="0.2">
      <c r="B10" s="174">
        <v>2</v>
      </c>
      <c r="C10" s="175" t="str">
        <f>Config!C6&amp;", "&amp;Config!D6</f>
        <v>Töpfer, Lilian</v>
      </c>
      <c r="D10" s="185">
        <v>5</v>
      </c>
      <c r="E10" s="176">
        <f t="shared" si="0"/>
        <v>5</v>
      </c>
    </row>
    <row r="11" spans="2:5" s="116" customFormat="1" ht="13.15" customHeight="1" x14ac:dyDescent="0.2">
      <c r="B11" s="170"/>
      <c r="C11" s="171" t="s">
        <v>126</v>
      </c>
      <c r="D11" s="173"/>
      <c r="E11" s="154">
        <f t="shared" si="0"/>
        <v>0</v>
      </c>
    </row>
    <row r="12" spans="2:5" s="116" customFormat="1" ht="13.15" customHeight="1" x14ac:dyDescent="0.2">
      <c r="B12" s="177"/>
      <c r="C12" s="178" t="s">
        <v>127</v>
      </c>
      <c r="D12" s="149"/>
      <c r="E12" s="153">
        <f t="shared" si="0"/>
        <v>0</v>
      </c>
    </row>
    <row r="13" spans="2:5" ht="18" customHeight="1" x14ac:dyDescent="0.2">
      <c r="B13" s="179">
        <v>3</v>
      </c>
      <c r="C13" s="180" t="str">
        <f>Config!C7&amp;", "&amp;Config!D7</f>
        <v>Fleischmann, Leonie</v>
      </c>
      <c r="D13" s="187">
        <v>2.5</v>
      </c>
      <c r="E13" s="181">
        <f t="shared" si="0"/>
        <v>2.5</v>
      </c>
    </row>
    <row r="14" spans="2:5" s="116" customFormat="1" ht="13.15" customHeight="1" x14ac:dyDescent="0.2">
      <c r="B14" s="164"/>
      <c r="C14" s="165" t="s">
        <v>126</v>
      </c>
      <c r="D14" s="167"/>
      <c r="E14" s="151">
        <f t="shared" si="0"/>
        <v>0</v>
      </c>
    </row>
    <row r="15" spans="2:5" s="116" customFormat="1" ht="13.15" customHeight="1" x14ac:dyDescent="0.2">
      <c r="B15" s="168"/>
      <c r="C15" s="169" t="s">
        <v>127</v>
      </c>
      <c r="D15" s="149"/>
      <c r="E15" s="150">
        <f t="shared" si="0"/>
        <v>0</v>
      </c>
    </row>
    <row r="16" spans="2:5" ht="18" customHeight="1" x14ac:dyDescent="0.2">
      <c r="B16" s="174">
        <v>4</v>
      </c>
      <c r="C16" s="175" t="str">
        <f>Config!C8&amp;", "&amp;Config!D8</f>
        <v>Drescher, Cedric</v>
      </c>
      <c r="D16" s="185">
        <v>2.5</v>
      </c>
      <c r="E16" s="176">
        <f t="shared" si="0"/>
        <v>2.5</v>
      </c>
    </row>
    <row r="17" spans="2:5" s="116" customFormat="1" ht="13.15" customHeight="1" x14ac:dyDescent="0.2">
      <c r="B17" s="170"/>
      <c r="C17" s="171" t="s">
        <v>126</v>
      </c>
      <c r="D17" s="173"/>
      <c r="E17" s="154">
        <f t="shared" si="0"/>
        <v>0</v>
      </c>
    </row>
    <row r="18" spans="2:5" s="116" customFormat="1" ht="13.15" customHeight="1" x14ac:dyDescent="0.2">
      <c r="B18" s="177"/>
      <c r="C18" s="178" t="s">
        <v>127</v>
      </c>
      <c r="D18" s="149"/>
      <c r="E18" s="153">
        <f t="shared" si="0"/>
        <v>0</v>
      </c>
    </row>
    <row r="19" spans="2:5" ht="18" customHeight="1" x14ac:dyDescent="0.2">
      <c r="B19" s="179">
        <v>5</v>
      </c>
      <c r="C19" s="180" t="str">
        <f>Config!C9&amp;", "&amp;Config!D9</f>
        <v>Baumgarten, Annabell</v>
      </c>
      <c r="D19" s="187">
        <v>2.5</v>
      </c>
      <c r="E19" s="181">
        <f t="shared" si="0"/>
        <v>2.5</v>
      </c>
    </row>
    <row r="20" spans="2:5" s="116" customFormat="1" ht="13.15" customHeight="1" x14ac:dyDescent="0.2">
      <c r="B20" s="164"/>
      <c r="C20" s="165" t="s">
        <v>126</v>
      </c>
      <c r="D20" s="167"/>
      <c r="E20" s="151">
        <f t="shared" si="0"/>
        <v>0</v>
      </c>
    </row>
    <row r="21" spans="2:5" s="116" customFormat="1" ht="13.15" customHeight="1" x14ac:dyDescent="0.2">
      <c r="B21" s="168"/>
      <c r="C21" s="169" t="s">
        <v>127</v>
      </c>
      <c r="D21" s="149"/>
      <c r="E21" s="150">
        <f t="shared" si="0"/>
        <v>0</v>
      </c>
    </row>
    <row r="22" spans="2:5" ht="18" customHeight="1" x14ac:dyDescent="0.2">
      <c r="B22" s="174">
        <v>6</v>
      </c>
      <c r="C22" s="175" t="str">
        <f>Config!C10&amp;", "&amp;Config!D10</f>
        <v>Traut, Stefanie</v>
      </c>
      <c r="D22" s="185">
        <v>3</v>
      </c>
      <c r="E22" s="176">
        <f t="shared" si="0"/>
        <v>3</v>
      </c>
    </row>
    <row r="23" spans="2:5" s="116" customFormat="1" ht="13.15" customHeight="1" x14ac:dyDescent="0.2">
      <c r="B23" s="170"/>
      <c r="C23" s="171" t="s">
        <v>126</v>
      </c>
      <c r="D23" s="173"/>
      <c r="E23" s="154">
        <f t="shared" si="0"/>
        <v>0</v>
      </c>
    </row>
    <row r="24" spans="2:5" s="116" customFormat="1" ht="13.15" customHeight="1" x14ac:dyDescent="0.2">
      <c r="B24" s="177"/>
      <c r="C24" s="178" t="s">
        <v>127</v>
      </c>
      <c r="D24" s="149"/>
      <c r="E24" s="153">
        <f t="shared" si="0"/>
        <v>0</v>
      </c>
    </row>
    <row r="25" spans="2:5" ht="18" customHeight="1" x14ac:dyDescent="0.2">
      <c r="B25" s="179">
        <v>7</v>
      </c>
      <c r="C25" s="180" t="str">
        <f>Config!C11&amp;", "&amp;Config!D11</f>
        <v>Menke, Damian</v>
      </c>
      <c r="D25" s="187">
        <v>5</v>
      </c>
      <c r="E25" s="181">
        <f t="shared" si="0"/>
        <v>5</v>
      </c>
    </row>
    <row r="26" spans="2:5" s="116" customFormat="1" ht="13.15" customHeight="1" x14ac:dyDescent="0.2">
      <c r="B26" s="164"/>
      <c r="C26" s="165" t="s">
        <v>126</v>
      </c>
      <c r="D26" s="167"/>
      <c r="E26" s="151">
        <f t="shared" si="0"/>
        <v>0</v>
      </c>
    </row>
    <row r="27" spans="2:5" s="116" customFormat="1" ht="13.15" customHeight="1" x14ac:dyDescent="0.2">
      <c r="B27" s="168"/>
      <c r="C27" s="169" t="s">
        <v>127</v>
      </c>
      <c r="D27" s="149"/>
      <c r="E27" s="150">
        <f t="shared" si="0"/>
        <v>0</v>
      </c>
    </row>
    <row r="28" spans="2:5" ht="18" customHeight="1" x14ac:dyDescent="0.2">
      <c r="B28" s="174">
        <v>8</v>
      </c>
      <c r="C28" s="175" t="str">
        <f>Config!C12&amp;", "&amp;Config!D12</f>
        <v>Carroll, Meik</v>
      </c>
      <c r="D28" s="185">
        <v>5</v>
      </c>
      <c r="E28" s="176">
        <f t="shared" si="0"/>
        <v>5</v>
      </c>
    </row>
    <row r="29" spans="2:5" s="116" customFormat="1" ht="13.15" customHeight="1" x14ac:dyDescent="0.2">
      <c r="B29" s="170"/>
      <c r="C29" s="171" t="s">
        <v>126</v>
      </c>
      <c r="D29" s="173"/>
      <c r="E29" s="154">
        <f t="shared" si="0"/>
        <v>0</v>
      </c>
    </row>
    <row r="30" spans="2:5" s="116" customFormat="1" ht="13.15" customHeight="1" x14ac:dyDescent="0.2">
      <c r="B30" s="177"/>
      <c r="C30" s="178" t="s">
        <v>127</v>
      </c>
      <c r="D30" s="149"/>
      <c r="E30" s="153">
        <f t="shared" si="0"/>
        <v>0</v>
      </c>
    </row>
    <row r="31" spans="2:5" ht="18" customHeight="1" x14ac:dyDescent="0.2">
      <c r="B31" s="179">
        <v>9</v>
      </c>
      <c r="C31" s="180" t="str">
        <f>Config!C13&amp;", "&amp;Config!D13</f>
        <v>Hennings, Tomas</v>
      </c>
      <c r="D31" s="187">
        <v>4</v>
      </c>
      <c r="E31" s="181">
        <f t="shared" si="0"/>
        <v>4</v>
      </c>
    </row>
    <row r="32" spans="2:5" s="116" customFormat="1" ht="13.15" customHeight="1" x14ac:dyDescent="0.2">
      <c r="B32" s="164"/>
      <c r="C32" s="165" t="s">
        <v>126</v>
      </c>
      <c r="D32" s="167"/>
      <c r="E32" s="151">
        <f t="shared" si="0"/>
        <v>0</v>
      </c>
    </row>
    <row r="33" spans="2:5" s="116" customFormat="1" ht="13.15" customHeight="1" x14ac:dyDescent="0.2">
      <c r="B33" s="168"/>
      <c r="C33" s="169" t="s">
        <v>127</v>
      </c>
      <c r="D33" s="149"/>
      <c r="E33" s="150">
        <f t="shared" si="0"/>
        <v>0</v>
      </c>
    </row>
    <row r="34" spans="2:5" ht="18" customHeight="1" x14ac:dyDescent="0.2">
      <c r="B34" s="174">
        <v>10</v>
      </c>
      <c r="C34" s="175" t="str">
        <f>Config!C14&amp;", "&amp;Config!D14</f>
        <v>Walters, Linn</v>
      </c>
      <c r="D34" s="185">
        <v>2.5</v>
      </c>
      <c r="E34" s="176">
        <f t="shared" si="0"/>
        <v>2.5</v>
      </c>
    </row>
    <row r="35" spans="2:5" s="116" customFormat="1" ht="13.15" customHeight="1" x14ac:dyDescent="0.2">
      <c r="B35" s="170"/>
      <c r="C35" s="171" t="s">
        <v>126</v>
      </c>
      <c r="D35" s="173"/>
      <c r="E35" s="154">
        <f t="shared" si="0"/>
        <v>0</v>
      </c>
    </row>
    <row r="36" spans="2:5" s="116" customFormat="1" ht="13.15" customHeight="1" x14ac:dyDescent="0.2">
      <c r="B36" s="177"/>
      <c r="C36" s="178" t="s">
        <v>127</v>
      </c>
      <c r="D36" s="149"/>
      <c r="E36" s="153">
        <f t="shared" si="0"/>
        <v>0</v>
      </c>
    </row>
    <row r="37" spans="2:5" ht="18" customHeight="1" x14ac:dyDescent="0.2">
      <c r="B37" s="179">
        <v>11</v>
      </c>
      <c r="C37" s="180" t="str">
        <f>Config!C15&amp;", "&amp;Config!D15</f>
        <v>Junker, Amely</v>
      </c>
      <c r="D37" s="187">
        <v>2</v>
      </c>
      <c r="E37" s="181">
        <f t="shared" si="0"/>
        <v>2</v>
      </c>
    </row>
    <row r="38" spans="2:5" s="116" customFormat="1" ht="13.15" customHeight="1" x14ac:dyDescent="0.2">
      <c r="B38" s="164"/>
      <c r="C38" s="165" t="s">
        <v>126</v>
      </c>
      <c r="D38" s="167"/>
      <c r="E38" s="151">
        <f t="shared" si="0"/>
        <v>0</v>
      </c>
    </row>
    <row r="39" spans="2:5" s="116" customFormat="1" ht="13.15" customHeight="1" x14ac:dyDescent="0.2">
      <c r="B39" s="168"/>
      <c r="C39" s="169" t="s">
        <v>127</v>
      </c>
      <c r="D39" s="149"/>
      <c r="E39" s="150">
        <f t="shared" ref="E39:E70" si="1">SUM(D39:D39)</f>
        <v>0</v>
      </c>
    </row>
    <row r="40" spans="2:5" ht="18" customHeight="1" x14ac:dyDescent="0.2">
      <c r="B40" s="174">
        <v>12</v>
      </c>
      <c r="C40" s="175" t="str">
        <f>Config!C16&amp;", "&amp;Config!D16</f>
        <v>Stephens, Melvin</v>
      </c>
      <c r="D40" s="185">
        <v>2.5</v>
      </c>
      <c r="E40" s="176">
        <f t="shared" si="1"/>
        <v>2.5</v>
      </c>
    </row>
    <row r="41" spans="2:5" s="116" customFormat="1" ht="13.15" customHeight="1" x14ac:dyDescent="0.2">
      <c r="B41" s="170"/>
      <c r="C41" s="171" t="s">
        <v>126</v>
      </c>
      <c r="D41" s="173"/>
      <c r="E41" s="154">
        <f t="shared" si="1"/>
        <v>0</v>
      </c>
    </row>
    <row r="42" spans="2:5" s="116" customFormat="1" ht="13.15" customHeight="1" x14ac:dyDescent="0.2">
      <c r="B42" s="177"/>
      <c r="C42" s="178" t="s">
        <v>127</v>
      </c>
      <c r="D42" s="149"/>
      <c r="E42" s="153">
        <f t="shared" si="1"/>
        <v>0</v>
      </c>
    </row>
    <row r="43" spans="2:5" ht="18" customHeight="1" x14ac:dyDescent="0.2">
      <c r="B43" s="179">
        <v>13</v>
      </c>
      <c r="C43" s="180" t="str">
        <f>Config!C17&amp;", "&amp;Config!D17</f>
        <v>Cremer, Marvin</v>
      </c>
      <c r="D43" s="187">
        <v>5</v>
      </c>
      <c r="E43" s="181">
        <f t="shared" si="1"/>
        <v>5</v>
      </c>
    </row>
    <row r="44" spans="2:5" s="116" customFormat="1" ht="13.15" customHeight="1" x14ac:dyDescent="0.2">
      <c r="B44" s="164"/>
      <c r="C44" s="165" t="s">
        <v>126</v>
      </c>
      <c r="D44" s="167"/>
      <c r="E44" s="151">
        <f t="shared" si="1"/>
        <v>0</v>
      </c>
    </row>
    <row r="45" spans="2:5" s="116" customFormat="1" ht="13.15" customHeight="1" x14ac:dyDescent="0.2">
      <c r="B45" s="168"/>
      <c r="C45" s="169" t="s">
        <v>127</v>
      </c>
      <c r="D45" s="149"/>
      <c r="E45" s="150">
        <f t="shared" si="1"/>
        <v>0</v>
      </c>
    </row>
    <row r="46" spans="2:5" ht="18" customHeight="1" x14ac:dyDescent="0.2">
      <c r="B46" s="174">
        <v>14</v>
      </c>
      <c r="C46" s="175" t="str">
        <f>Config!C18&amp;", "&amp;Config!D18</f>
        <v>Nash, Jean</v>
      </c>
      <c r="D46" s="185">
        <v>5</v>
      </c>
      <c r="E46" s="176">
        <f t="shared" si="1"/>
        <v>5</v>
      </c>
    </row>
    <row r="47" spans="2:5" s="116" customFormat="1" ht="13.15" customHeight="1" x14ac:dyDescent="0.2">
      <c r="B47" s="170"/>
      <c r="C47" s="171" t="s">
        <v>126</v>
      </c>
      <c r="D47" s="173"/>
      <c r="E47" s="154">
        <f t="shared" si="1"/>
        <v>0</v>
      </c>
    </row>
    <row r="48" spans="2:5" s="116" customFormat="1" ht="13.15" customHeight="1" x14ac:dyDescent="0.2">
      <c r="B48" s="177"/>
      <c r="C48" s="178" t="s">
        <v>127</v>
      </c>
      <c r="D48" s="149"/>
      <c r="E48" s="153">
        <f t="shared" si="1"/>
        <v>0</v>
      </c>
    </row>
    <row r="49" spans="2:5" ht="18" customHeight="1" x14ac:dyDescent="0.2">
      <c r="B49" s="179">
        <v>15</v>
      </c>
      <c r="C49" s="180" t="str">
        <f>Config!C19&amp;", "&amp;Config!D19</f>
        <v>Schön, Leonardo</v>
      </c>
      <c r="D49" s="187">
        <v>2.5</v>
      </c>
      <c r="E49" s="181">
        <f t="shared" si="1"/>
        <v>2.5</v>
      </c>
    </row>
    <row r="50" spans="2:5" s="116" customFormat="1" ht="13.15" customHeight="1" x14ac:dyDescent="0.2">
      <c r="B50" s="164"/>
      <c r="C50" s="165" t="s">
        <v>126</v>
      </c>
      <c r="D50" s="167"/>
      <c r="E50" s="151">
        <f t="shared" si="1"/>
        <v>0</v>
      </c>
    </row>
    <row r="51" spans="2:5" s="116" customFormat="1" ht="13.15" customHeight="1" x14ac:dyDescent="0.2">
      <c r="B51" s="168"/>
      <c r="C51" s="169" t="s">
        <v>127</v>
      </c>
      <c r="D51" s="149"/>
      <c r="E51" s="150">
        <f t="shared" si="1"/>
        <v>0</v>
      </c>
    </row>
    <row r="52" spans="2:5" ht="18" customHeight="1" x14ac:dyDescent="0.2">
      <c r="B52" s="174">
        <v>16</v>
      </c>
      <c r="C52" s="175" t="str">
        <f>Config!C20&amp;", "&amp;Config!D20</f>
        <v>Sigl, Nicholas</v>
      </c>
      <c r="D52" s="185">
        <v>5</v>
      </c>
      <c r="E52" s="176">
        <f t="shared" si="1"/>
        <v>5</v>
      </c>
    </row>
    <row r="53" spans="2:5" s="116" customFormat="1" ht="13.15" customHeight="1" x14ac:dyDescent="0.2">
      <c r="B53" s="170"/>
      <c r="C53" s="171" t="s">
        <v>126</v>
      </c>
      <c r="D53" s="173"/>
      <c r="E53" s="154">
        <f t="shared" si="1"/>
        <v>0</v>
      </c>
    </row>
    <row r="54" spans="2:5" s="116" customFormat="1" ht="13.15" customHeight="1" x14ac:dyDescent="0.2">
      <c r="B54" s="177"/>
      <c r="C54" s="178" t="s">
        <v>127</v>
      </c>
      <c r="D54" s="149"/>
      <c r="E54" s="153">
        <f t="shared" si="1"/>
        <v>0</v>
      </c>
    </row>
    <row r="55" spans="2:5" ht="18" customHeight="1" x14ac:dyDescent="0.2">
      <c r="B55" s="179">
        <v>17</v>
      </c>
      <c r="C55" s="180" t="str">
        <f>Config!C21&amp;", "&amp;Config!D21</f>
        <v>Kainz, Vivienne</v>
      </c>
      <c r="D55" s="187">
        <v>5</v>
      </c>
      <c r="E55" s="181">
        <f t="shared" si="1"/>
        <v>5</v>
      </c>
    </row>
    <row r="56" spans="2:5" s="116" customFormat="1" ht="13.15" customHeight="1" x14ac:dyDescent="0.2">
      <c r="B56" s="164"/>
      <c r="C56" s="165" t="s">
        <v>126</v>
      </c>
      <c r="D56" s="167"/>
      <c r="E56" s="151">
        <f t="shared" si="1"/>
        <v>0</v>
      </c>
    </row>
    <row r="57" spans="2:5" s="116" customFormat="1" ht="13.15" customHeight="1" x14ac:dyDescent="0.2">
      <c r="B57" s="168"/>
      <c r="C57" s="169" t="s">
        <v>127</v>
      </c>
      <c r="D57" s="149"/>
      <c r="E57" s="150">
        <f t="shared" si="1"/>
        <v>0</v>
      </c>
    </row>
    <row r="58" spans="2:5" ht="18" customHeight="1" x14ac:dyDescent="0.2">
      <c r="B58" s="174">
        <v>18</v>
      </c>
      <c r="C58" s="175" t="str">
        <f>Config!C22&amp;", "&amp;Config!D22</f>
        <v>Hartmann, Mads</v>
      </c>
      <c r="D58" s="185">
        <v>2.5</v>
      </c>
      <c r="E58" s="176">
        <f t="shared" si="1"/>
        <v>2.5</v>
      </c>
    </row>
    <row r="59" spans="2:5" s="116" customFormat="1" ht="13.15" customHeight="1" x14ac:dyDescent="0.2">
      <c r="B59" s="170"/>
      <c r="C59" s="171" t="s">
        <v>126</v>
      </c>
      <c r="D59" s="173"/>
      <c r="E59" s="154">
        <f t="shared" si="1"/>
        <v>0</v>
      </c>
    </row>
    <row r="60" spans="2:5" s="116" customFormat="1" ht="13.15" customHeight="1" x14ac:dyDescent="0.2">
      <c r="B60" s="177"/>
      <c r="C60" s="178" t="s">
        <v>127</v>
      </c>
      <c r="D60" s="149"/>
      <c r="E60" s="153">
        <f t="shared" si="1"/>
        <v>0</v>
      </c>
    </row>
    <row r="61" spans="2:5" ht="18" customHeight="1" x14ac:dyDescent="0.2">
      <c r="B61" s="179">
        <v>19</v>
      </c>
      <c r="C61" s="180" t="str">
        <f>Config!C23&amp;", "&amp;Config!D23</f>
        <v>Ullmann, Raphael</v>
      </c>
      <c r="D61" s="187">
        <v>5</v>
      </c>
      <c r="E61" s="181">
        <f t="shared" si="1"/>
        <v>5</v>
      </c>
    </row>
    <row r="62" spans="2:5" s="116" customFormat="1" ht="13.15" customHeight="1" x14ac:dyDescent="0.2">
      <c r="B62" s="164"/>
      <c r="C62" s="165" t="s">
        <v>126</v>
      </c>
      <c r="D62" s="167"/>
      <c r="E62" s="151">
        <f t="shared" si="1"/>
        <v>0</v>
      </c>
    </row>
    <row r="63" spans="2:5" s="116" customFormat="1" ht="13.15" customHeight="1" x14ac:dyDescent="0.2">
      <c r="B63" s="168"/>
      <c r="C63" s="169" t="s">
        <v>127</v>
      </c>
      <c r="D63" s="149"/>
      <c r="E63" s="150">
        <f t="shared" si="1"/>
        <v>0</v>
      </c>
    </row>
    <row r="64" spans="2:5" ht="18" customHeight="1" x14ac:dyDescent="0.2">
      <c r="B64" s="174">
        <v>20</v>
      </c>
      <c r="C64" s="175" t="str">
        <f>Config!C24&amp;", "&amp;Config!D24</f>
        <v>Hartl, Emmely</v>
      </c>
      <c r="D64" s="185">
        <v>3</v>
      </c>
      <c r="E64" s="176">
        <f t="shared" si="1"/>
        <v>3</v>
      </c>
    </row>
    <row r="65" spans="2:5" s="116" customFormat="1" ht="13.15" customHeight="1" x14ac:dyDescent="0.2">
      <c r="B65" s="170"/>
      <c r="C65" s="171" t="s">
        <v>126</v>
      </c>
      <c r="D65" s="173"/>
      <c r="E65" s="154">
        <f t="shared" si="1"/>
        <v>0</v>
      </c>
    </row>
    <row r="66" spans="2:5" s="116" customFormat="1" ht="13.15" customHeight="1" x14ac:dyDescent="0.2">
      <c r="B66" s="177"/>
      <c r="C66" s="178" t="s">
        <v>127</v>
      </c>
      <c r="D66" s="149"/>
      <c r="E66" s="153">
        <f t="shared" si="1"/>
        <v>0</v>
      </c>
    </row>
    <row r="67" spans="2:5" ht="18" customHeight="1" x14ac:dyDescent="0.2">
      <c r="B67" s="179">
        <v>21</v>
      </c>
      <c r="C67" s="180" t="str">
        <f>Config!C25&amp;", "&amp;Config!D25</f>
        <v>Klotz, Karin</v>
      </c>
      <c r="D67" s="187">
        <v>4</v>
      </c>
      <c r="E67" s="181">
        <f t="shared" si="1"/>
        <v>4</v>
      </c>
    </row>
    <row r="68" spans="2:5" s="116" customFormat="1" ht="13.15" customHeight="1" x14ac:dyDescent="0.2">
      <c r="B68" s="164"/>
      <c r="C68" s="165" t="s">
        <v>126</v>
      </c>
      <c r="D68" s="167"/>
      <c r="E68" s="151">
        <f t="shared" si="1"/>
        <v>0</v>
      </c>
    </row>
    <row r="69" spans="2:5" s="116" customFormat="1" ht="13.15" customHeight="1" x14ac:dyDescent="0.2">
      <c r="B69" s="168"/>
      <c r="C69" s="169" t="s">
        <v>127</v>
      </c>
      <c r="D69" s="149"/>
      <c r="E69" s="150">
        <f t="shared" si="1"/>
        <v>0</v>
      </c>
    </row>
    <row r="70" spans="2:5" ht="18" customHeight="1" x14ac:dyDescent="0.2">
      <c r="B70" s="174">
        <v>22</v>
      </c>
      <c r="C70" s="175" t="str">
        <f>Config!C26&amp;", "&amp;Config!D26</f>
        <v>Ehlers, Ingo</v>
      </c>
      <c r="D70" s="185">
        <v>5</v>
      </c>
      <c r="E70" s="176">
        <f t="shared" si="1"/>
        <v>5</v>
      </c>
    </row>
    <row r="71" spans="2:5" s="116" customFormat="1" ht="13.15" customHeight="1" x14ac:dyDescent="0.2">
      <c r="B71" s="170"/>
      <c r="C71" s="171" t="s">
        <v>126</v>
      </c>
      <c r="D71" s="173"/>
      <c r="E71" s="154">
        <f t="shared" ref="E71:E75" si="2">SUM(D71:D71)</f>
        <v>0</v>
      </c>
    </row>
    <row r="72" spans="2:5" s="116" customFormat="1" ht="13.15" customHeight="1" x14ac:dyDescent="0.2">
      <c r="B72" s="177"/>
      <c r="C72" s="178" t="s">
        <v>127</v>
      </c>
      <c r="D72" s="149"/>
      <c r="E72" s="153">
        <f t="shared" si="2"/>
        <v>0</v>
      </c>
    </row>
    <row r="73" spans="2:5" ht="18" customHeight="1" thickBot="1" x14ac:dyDescent="0.25">
      <c r="B73" s="144">
        <v>23</v>
      </c>
      <c r="C73" s="139" t="str">
        <f>Config!C27&amp;", "&amp;Config!D27</f>
        <v>Lindemann, Mads</v>
      </c>
      <c r="D73" s="96">
        <v>5</v>
      </c>
      <c r="E73" s="147">
        <f t="shared" si="2"/>
        <v>5</v>
      </c>
    </row>
    <row r="74" spans="2:5" s="116" customFormat="1" ht="13.15" customHeight="1" x14ac:dyDescent="0.2">
      <c r="B74" s="164"/>
      <c r="C74" s="165" t="s">
        <v>126</v>
      </c>
      <c r="D74" s="167"/>
      <c r="E74" s="151">
        <f t="shared" si="2"/>
        <v>0</v>
      </c>
    </row>
    <row r="75" spans="2:5" s="116" customFormat="1" ht="13.15" customHeight="1" thickBot="1" x14ac:dyDescent="0.25">
      <c r="B75" s="155"/>
      <c r="C75" s="158" t="s">
        <v>127</v>
      </c>
      <c r="D75" s="157"/>
      <c r="E75" s="152">
        <f t="shared" si="2"/>
        <v>0</v>
      </c>
    </row>
    <row r="76" spans="2:5" ht="18" customHeight="1" thickBot="1" x14ac:dyDescent="0.25">
      <c r="B76" s="119"/>
      <c r="C76" s="120"/>
      <c r="D76" s="120">
        <f>IF(COUNTIFS(D7:D73,"&lt;&gt;",C7:C73,"&lt;&gt;ZK",C7:C73,"&lt;&gt;DK")&lt;&gt;0,SUMIFS(D7:D73,C7:C73,"&lt;&gt;ZK",C7:C73,"&lt;&gt;DK")/(COUNTIFS(D7:D73,"&lt;&gt;",C7:C73,"&lt;&gt;ZK",C7:C73,"&lt;&gt;DK")*D6),0)</f>
        <v>0.74782608695652175</v>
      </c>
      <c r="E76" s="121"/>
    </row>
    <row r="77" spans="2:5" ht="18" customHeight="1" x14ac:dyDescent="0.2"/>
    <row r="78" spans="2:5" ht="18" customHeight="1" x14ac:dyDescent="0.2"/>
    <row r="79" spans="2:5" ht="18" customHeight="1" x14ac:dyDescent="0.2"/>
    <row r="80" spans="2:5"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electLockedCells="1"/>
  <dataValidations count="1">
    <dataValidation type="decimal" allowBlank="1" showErrorMessage="1" sqref="D7:D75" xr:uid="{4118106A-3701-44F6-BA20-381781B9B05E}">
      <formula1>0</formula1>
      <formula2>$D$6</formula2>
    </dataValidation>
  </dataValidation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42AE-3981-4F5D-87C6-840F8FD2DADF}">
  <sheetPr codeName="Tabelle4">
    <tabColor rgb="FF92D050"/>
  </sheetPr>
  <dimension ref="B1:I100"/>
  <sheetViews>
    <sheetView workbookViewId="0">
      <selection activeCell="D7" sqref="D7"/>
    </sheetView>
  </sheetViews>
  <sheetFormatPr baseColWidth="10" defaultColWidth="11.5703125" defaultRowHeight="12.75" x14ac:dyDescent="0.2"/>
  <cols>
    <col min="1" max="2" width="3.42578125" style="98" customWidth="1"/>
    <col min="3" max="3" width="25.7109375" style="98" customWidth="1"/>
    <col min="4" max="9" width="8.7109375" style="98" customWidth="1"/>
    <col min="10" max="16384" width="11.5703125" style="98"/>
  </cols>
  <sheetData>
    <row r="1" spans="2:9" ht="18" customHeight="1" thickBot="1" x14ac:dyDescent="0.25"/>
    <row r="2" spans="2:9" ht="18" customHeight="1" x14ac:dyDescent="0.2">
      <c r="B2" s="99" t="str">
        <f>Config!F2&amp;" "&amp;YEAR(Config!G24)</f>
        <v>Mathe Abitur 2026</v>
      </c>
      <c r="C2" s="100"/>
      <c r="D2" s="100"/>
      <c r="E2" s="100"/>
      <c r="F2" s="101"/>
      <c r="G2" s="101"/>
      <c r="H2" s="101"/>
      <c r="I2" s="102" t="str">
        <f>"Kurs "&amp;Config!G26</f>
        <v>Kurs K1</v>
      </c>
    </row>
    <row r="3" spans="2:9" ht="18" customHeight="1" x14ac:dyDescent="0.2">
      <c r="B3" s="103" t="s">
        <v>12</v>
      </c>
      <c r="C3" s="104"/>
      <c r="D3" s="104"/>
      <c r="E3" s="104"/>
      <c r="F3" s="104"/>
      <c r="G3" s="104"/>
      <c r="H3" s="104"/>
      <c r="I3" s="105"/>
    </row>
    <row r="4" spans="2:9" ht="18" customHeight="1" thickBot="1" x14ac:dyDescent="0.25">
      <c r="B4" s="103"/>
      <c r="C4" s="104"/>
      <c r="D4" s="106"/>
      <c r="E4" s="106"/>
      <c r="F4" s="106"/>
      <c r="G4" s="106"/>
      <c r="H4" s="106"/>
      <c r="I4" s="107"/>
    </row>
    <row r="5" spans="2:9" ht="18" customHeight="1" thickBot="1" x14ac:dyDescent="0.25">
      <c r="B5" s="108"/>
      <c r="C5" s="110"/>
      <c r="D5" s="124" t="str">
        <f>Config!L6</f>
        <v>1a</v>
      </c>
      <c r="E5" s="124" t="str">
        <f>Config!L7</f>
        <v>1b</v>
      </c>
      <c r="F5" s="124" t="str">
        <f>Config!L8</f>
        <v>1c</v>
      </c>
      <c r="G5" s="124" t="str">
        <f>Config!L9</f>
        <v>1d</v>
      </c>
      <c r="H5" s="124" t="str">
        <f>Config!L10</f>
        <v>2</v>
      </c>
      <c r="I5" s="114" t="s">
        <v>82</v>
      </c>
    </row>
    <row r="6" spans="2:9" ht="18" customHeight="1" thickBot="1" x14ac:dyDescent="0.25">
      <c r="B6" s="109"/>
      <c r="C6" s="111" t="s">
        <v>81</v>
      </c>
      <c r="D6" s="113">
        <f>Config!M6</f>
        <v>2</v>
      </c>
      <c r="E6" s="113">
        <f>Config!M7</f>
        <v>2</v>
      </c>
      <c r="F6" s="113">
        <f>Config!M8</f>
        <v>2</v>
      </c>
      <c r="G6" s="113">
        <f>Config!M9</f>
        <v>4</v>
      </c>
      <c r="H6" s="113">
        <f>Config!M10</f>
        <v>7</v>
      </c>
      <c r="I6" s="125">
        <f>Config!M21</f>
        <v>17</v>
      </c>
    </row>
    <row r="7" spans="2:9" ht="18" customHeight="1" x14ac:dyDescent="0.2">
      <c r="B7" s="161">
        <v>1</v>
      </c>
      <c r="C7" s="162" t="str">
        <f>Config!C5&amp;", "&amp;Config!D5</f>
        <v>Höfer, Simon</v>
      </c>
      <c r="D7" s="182">
        <v>2</v>
      </c>
      <c r="E7" s="182">
        <v>2</v>
      </c>
      <c r="F7" s="182">
        <v>2</v>
      </c>
      <c r="G7" s="182">
        <v>4</v>
      </c>
      <c r="H7" s="183">
        <v>3</v>
      </c>
      <c r="I7" s="163">
        <f t="shared" ref="I7:I38" si="0">SUM(D7:H7)</f>
        <v>13</v>
      </c>
    </row>
    <row r="8" spans="2:9" s="116" customFormat="1" ht="13.15" customHeight="1" x14ac:dyDescent="0.2">
      <c r="B8" s="164"/>
      <c r="C8" s="165" t="s">
        <v>126</v>
      </c>
      <c r="D8" s="166"/>
      <c r="E8" s="166"/>
      <c r="F8" s="166"/>
      <c r="G8" s="166"/>
      <c r="H8" s="167"/>
      <c r="I8" s="151">
        <f t="shared" si="0"/>
        <v>0</v>
      </c>
    </row>
    <row r="9" spans="2:9" s="116" customFormat="1" ht="13.15" customHeight="1" x14ac:dyDescent="0.2">
      <c r="B9" s="168"/>
      <c r="C9" s="169" t="s">
        <v>127</v>
      </c>
      <c r="D9" s="148"/>
      <c r="E9" s="148"/>
      <c r="F9" s="148"/>
      <c r="G9" s="148"/>
      <c r="H9" s="149"/>
      <c r="I9" s="150">
        <f t="shared" si="0"/>
        <v>0</v>
      </c>
    </row>
    <row r="10" spans="2:9" ht="18" customHeight="1" x14ac:dyDescent="0.2">
      <c r="B10" s="174">
        <v>2</v>
      </c>
      <c r="C10" s="175" t="str">
        <f>Config!C6&amp;", "&amp;Config!D6</f>
        <v>Töpfer, Lilian</v>
      </c>
      <c r="D10" s="184">
        <v>1</v>
      </c>
      <c r="E10" s="184">
        <v>2</v>
      </c>
      <c r="F10" s="184">
        <v>1</v>
      </c>
      <c r="G10" s="184">
        <v>2</v>
      </c>
      <c r="H10" s="185">
        <v>1</v>
      </c>
      <c r="I10" s="176">
        <f t="shared" si="0"/>
        <v>7</v>
      </c>
    </row>
    <row r="11" spans="2:9" s="116" customFormat="1" ht="13.15" customHeight="1" x14ac:dyDescent="0.2">
      <c r="B11" s="170"/>
      <c r="C11" s="171" t="s">
        <v>126</v>
      </c>
      <c r="D11" s="172"/>
      <c r="E11" s="172"/>
      <c r="F11" s="172"/>
      <c r="G11" s="172"/>
      <c r="H11" s="173"/>
      <c r="I11" s="154">
        <f t="shared" si="0"/>
        <v>0</v>
      </c>
    </row>
    <row r="12" spans="2:9" s="116" customFormat="1" ht="13.15" customHeight="1" x14ac:dyDescent="0.2">
      <c r="B12" s="177"/>
      <c r="C12" s="178" t="s">
        <v>127</v>
      </c>
      <c r="D12" s="148"/>
      <c r="E12" s="148"/>
      <c r="F12" s="148"/>
      <c r="G12" s="148"/>
      <c r="H12" s="149"/>
      <c r="I12" s="153">
        <f t="shared" si="0"/>
        <v>0</v>
      </c>
    </row>
    <row r="13" spans="2:9" ht="18" customHeight="1" x14ac:dyDescent="0.2">
      <c r="B13" s="179">
        <v>3</v>
      </c>
      <c r="C13" s="180" t="str">
        <f>Config!C7&amp;", "&amp;Config!D7</f>
        <v>Fleischmann, Leonie</v>
      </c>
      <c r="D13" s="186">
        <v>2</v>
      </c>
      <c r="E13" s="186">
        <v>2</v>
      </c>
      <c r="F13" s="186">
        <v>1</v>
      </c>
      <c r="G13" s="186">
        <v>3</v>
      </c>
      <c r="H13" s="187">
        <v>0</v>
      </c>
      <c r="I13" s="181">
        <f t="shared" si="0"/>
        <v>8</v>
      </c>
    </row>
    <row r="14" spans="2:9" s="116" customFormat="1" ht="13.15" customHeight="1" x14ac:dyDescent="0.2">
      <c r="B14" s="164"/>
      <c r="C14" s="165" t="s">
        <v>126</v>
      </c>
      <c r="D14" s="166"/>
      <c r="E14" s="166"/>
      <c r="F14" s="166"/>
      <c r="G14" s="166"/>
      <c r="H14" s="167"/>
      <c r="I14" s="151">
        <f t="shared" si="0"/>
        <v>0</v>
      </c>
    </row>
    <row r="15" spans="2:9" s="116" customFormat="1" ht="13.15" customHeight="1" x14ac:dyDescent="0.2">
      <c r="B15" s="168"/>
      <c r="C15" s="169" t="s">
        <v>127</v>
      </c>
      <c r="D15" s="148"/>
      <c r="E15" s="148"/>
      <c r="F15" s="148"/>
      <c r="G15" s="148"/>
      <c r="H15" s="149"/>
      <c r="I15" s="150">
        <f t="shared" si="0"/>
        <v>0</v>
      </c>
    </row>
    <row r="16" spans="2:9" ht="18" customHeight="1" x14ac:dyDescent="0.2">
      <c r="B16" s="174">
        <v>4</v>
      </c>
      <c r="C16" s="175" t="str">
        <f>Config!C8&amp;", "&amp;Config!D8</f>
        <v>Drescher, Cedric</v>
      </c>
      <c r="D16" s="184">
        <v>2</v>
      </c>
      <c r="E16" s="184">
        <v>2</v>
      </c>
      <c r="F16" s="184">
        <v>1</v>
      </c>
      <c r="G16" s="184">
        <v>4</v>
      </c>
      <c r="H16" s="185">
        <v>0</v>
      </c>
      <c r="I16" s="176">
        <f t="shared" si="0"/>
        <v>9</v>
      </c>
    </row>
    <row r="17" spans="2:9" s="116" customFormat="1" ht="13.15" customHeight="1" x14ac:dyDescent="0.2">
      <c r="B17" s="170"/>
      <c r="C17" s="171" t="s">
        <v>126</v>
      </c>
      <c r="D17" s="172"/>
      <c r="E17" s="172"/>
      <c r="F17" s="172"/>
      <c r="G17" s="172"/>
      <c r="H17" s="173"/>
      <c r="I17" s="154">
        <f t="shared" si="0"/>
        <v>0</v>
      </c>
    </row>
    <row r="18" spans="2:9" s="116" customFormat="1" ht="13.15" customHeight="1" x14ac:dyDescent="0.2">
      <c r="B18" s="177"/>
      <c r="C18" s="178" t="s">
        <v>127</v>
      </c>
      <c r="D18" s="148"/>
      <c r="E18" s="148"/>
      <c r="F18" s="148"/>
      <c r="G18" s="148"/>
      <c r="H18" s="149"/>
      <c r="I18" s="153">
        <f t="shared" si="0"/>
        <v>0</v>
      </c>
    </row>
    <row r="19" spans="2:9" ht="18" customHeight="1" x14ac:dyDescent="0.2">
      <c r="B19" s="179">
        <v>5</v>
      </c>
      <c r="C19" s="180" t="str">
        <f>Config!C9&amp;", "&amp;Config!D9</f>
        <v>Baumgarten, Annabell</v>
      </c>
      <c r="D19" s="186">
        <v>1</v>
      </c>
      <c r="E19" s="186">
        <v>1</v>
      </c>
      <c r="F19" s="186">
        <v>1</v>
      </c>
      <c r="G19" s="186">
        <v>1.5</v>
      </c>
      <c r="H19" s="187">
        <v>0</v>
      </c>
      <c r="I19" s="181">
        <f t="shared" si="0"/>
        <v>4.5</v>
      </c>
    </row>
    <row r="20" spans="2:9" s="116" customFormat="1" ht="13.15" customHeight="1" x14ac:dyDescent="0.2">
      <c r="B20" s="164"/>
      <c r="C20" s="165" t="s">
        <v>126</v>
      </c>
      <c r="D20" s="166"/>
      <c r="E20" s="166"/>
      <c r="F20" s="166"/>
      <c r="G20" s="166"/>
      <c r="H20" s="167"/>
      <c r="I20" s="151">
        <f t="shared" si="0"/>
        <v>0</v>
      </c>
    </row>
    <row r="21" spans="2:9" s="116" customFormat="1" ht="13.15" customHeight="1" x14ac:dyDescent="0.2">
      <c r="B21" s="168"/>
      <c r="C21" s="169" t="s">
        <v>127</v>
      </c>
      <c r="D21" s="148"/>
      <c r="E21" s="148"/>
      <c r="F21" s="148"/>
      <c r="G21" s="148"/>
      <c r="H21" s="149"/>
      <c r="I21" s="150">
        <f t="shared" si="0"/>
        <v>0</v>
      </c>
    </row>
    <row r="22" spans="2:9" ht="18" customHeight="1" x14ac:dyDescent="0.2">
      <c r="B22" s="174">
        <v>6</v>
      </c>
      <c r="C22" s="175" t="str">
        <f>Config!C10&amp;", "&amp;Config!D10</f>
        <v>Traut, Stefanie</v>
      </c>
      <c r="D22" s="184">
        <v>2</v>
      </c>
      <c r="E22" s="184">
        <v>0.5</v>
      </c>
      <c r="F22" s="184">
        <v>1</v>
      </c>
      <c r="G22" s="184">
        <v>4</v>
      </c>
      <c r="H22" s="185">
        <v>3</v>
      </c>
      <c r="I22" s="176">
        <f t="shared" si="0"/>
        <v>10.5</v>
      </c>
    </row>
    <row r="23" spans="2:9" s="116" customFormat="1" ht="13.15" customHeight="1" x14ac:dyDescent="0.2">
      <c r="B23" s="170"/>
      <c r="C23" s="171" t="s">
        <v>126</v>
      </c>
      <c r="D23" s="172"/>
      <c r="E23" s="172"/>
      <c r="F23" s="172"/>
      <c r="G23" s="172"/>
      <c r="H23" s="173"/>
      <c r="I23" s="154">
        <f t="shared" si="0"/>
        <v>0</v>
      </c>
    </row>
    <row r="24" spans="2:9" s="116" customFormat="1" ht="13.15" customHeight="1" x14ac:dyDescent="0.2">
      <c r="B24" s="177"/>
      <c r="C24" s="178" t="s">
        <v>127</v>
      </c>
      <c r="D24" s="148"/>
      <c r="E24" s="148"/>
      <c r="F24" s="148"/>
      <c r="G24" s="148"/>
      <c r="H24" s="149"/>
      <c r="I24" s="153">
        <f t="shared" si="0"/>
        <v>0</v>
      </c>
    </row>
    <row r="25" spans="2:9" ht="18" customHeight="1" x14ac:dyDescent="0.2">
      <c r="B25" s="179">
        <v>7</v>
      </c>
      <c r="C25" s="180" t="str">
        <f>Config!C11&amp;", "&amp;Config!D11</f>
        <v>Menke, Damian</v>
      </c>
      <c r="D25" s="186">
        <v>2</v>
      </c>
      <c r="E25" s="186">
        <v>2</v>
      </c>
      <c r="F25" s="186">
        <v>2</v>
      </c>
      <c r="G25" s="186">
        <v>2.5</v>
      </c>
      <c r="H25" s="187">
        <v>0</v>
      </c>
      <c r="I25" s="181">
        <f t="shared" si="0"/>
        <v>8.5</v>
      </c>
    </row>
    <row r="26" spans="2:9" s="116" customFormat="1" ht="13.15" customHeight="1" x14ac:dyDescent="0.2">
      <c r="B26" s="164"/>
      <c r="C26" s="165" t="s">
        <v>126</v>
      </c>
      <c r="D26" s="166"/>
      <c r="E26" s="166"/>
      <c r="F26" s="166"/>
      <c r="G26" s="166"/>
      <c r="H26" s="167"/>
      <c r="I26" s="151">
        <f t="shared" si="0"/>
        <v>0</v>
      </c>
    </row>
    <row r="27" spans="2:9" s="116" customFormat="1" ht="13.15" customHeight="1" x14ac:dyDescent="0.2">
      <c r="B27" s="168"/>
      <c r="C27" s="169" t="s">
        <v>127</v>
      </c>
      <c r="D27" s="148"/>
      <c r="E27" s="148"/>
      <c r="F27" s="148"/>
      <c r="G27" s="148"/>
      <c r="H27" s="149"/>
      <c r="I27" s="150">
        <f t="shared" si="0"/>
        <v>0</v>
      </c>
    </row>
    <row r="28" spans="2:9" ht="18" customHeight="1" x14ac:dyDescent="0.2">
      <c r="B28" s="174">
        <v>8</v>
      </c>
      <c r="C28" s="175" t="str">
        <f>Config!C12&amp;", "&amp;Config!D12</f>
        <v>Carroll, Meik</v>
      </c>
      <c r="D28" s="184">
        <v>2</v>
      </c>
      <c r="E28" s="184">
        <v>2</v>
      </c>
      <c r="F28" s="184">
        <v>2</v>
      </c>
      <c r="G28" s="184">
        <v>2</v>
      </c>
      <c r="H28" s="185">
        <v>0.5</v>
      </c>
      <c r="I28" s="176">
        <f t="shared" si="0"/>
        <v>8.5</v>
      </c>
    </row>
    <row r="29" spans="2:9" s="116" customFormat="1" ht="13.15" customHeight="1" x14ac:dyDescent="0.2">
      <c r="B29" s="170"/>
      <c r="C29" s="171" t="s">
        <v>126</v>
      </c>
      <c r="D29" s="172"/>
      <c r="E29" s="172"/>
      <c r="F29" s="172"/>
      <c r="G29" s="172"/>
      <c r="H29" s="173"/>
      <c r="I29" s="154">
        <f t="shared" si="0"/>
        <v>0</v>
      </c>
    </row>
    <row r="30" spans="2:9" s="116" customFormat="1" ht="13.15" customHeight="1" x14ac:dyDescent="0.2">
      <c r="B30" s="177"/>
      <c r="C30" s="178" t="s">
        <v>127</v>
      </c>
      <c r="D30" s="148"/>
      <c r="E30" s="148"/>
      <c r="F30" s="148"/>
      <c r="G30" s="148"/>
      <c r="H30" s="149"/>
      <c r="I30" s="153">
        <f t="shared" si="0"/>
        <v>0</v>
      </c>
    </row>
    <row r="31" spans="2:9" ht="18" customHeight="1" x14ac:dyDescent="0.2">
      <c r="B31" s="179">
        <v>9</v>
      </c>
      <c r="C31" s="180" t="str">
        <f>Config!C13&amp;", "&amp;Config!D13</f>
        <v>Hennings, Tomas</v>
      </c>
      <c r="D31" s="186">
        <v>2</v>
      </c>
      <c r="E31" s="186">
        <v>2</v>
      </c>
      <c r="F31" s="186">
        <v>2</v>
      </c>
      <c r="G31" s="186">
        <v>4</v>
      </c>
      <c r="H31" s="187">
        <v>3</v>
      </c>
      <c r="I31" s="181">
        <f t="shared" si="0"/>
        <v>13</v>
      </c>
    </row>
    <row r="32" spans="2:9" s="116" customFormat="1" ht="13.15" customHeight="1" x14ac:dyDescent="0.2">
      <c r="B32" s="164"/>
      <c r="C32" s="165" t="s">
        <v>126</v>
      </c>
      <c r="D32" s="166"/>
      <c r="E32" s="166"/>
      <c r="F32" s="166"/>
      <c r="G32" s="166"/>
      <c r="H32" s="167"/>
      <c r="I32" s="151">
        <f t="shared" si="0"/>
        <v>0</v>
      </c>
    </row>
    <row r="33" spans="2:9" s="116" customFormat="1" ht="13.15" customHeight="1" x14ac:dyDescent="0.2">
      <c r="B33" s="168"/>
      <c r="C33" s="169" t="s">
        <v>127</v>
      </c>
      <c r="D33" s="148"/>
      <c r="E33" s="148"/>
      <c r="F33" s="148"/>
      <c r="G33" s="148"/>
      <c r="H33" s="149"/>
      <c r="I33" s="150">
        <f t="shared" si="0"/>
        <v>0</v>
      </c>
    </row>
    <row r="34" spans="2:9" ht="18" customHeight="1" x14ac:dyDescent="0.2">
      <c r="B34" s="174">
        <v>10</v>
      </c>
      <c r="C34" s="175" t="str">
        <f>Config!C14&amp;", "&amp;Config!D14</f>
        <v>Walters, Linn</v>
      </c>
      <c r="D34" s="184">
        <v>2</v>
      </c>
      <c r="E34" s="184">
        <v>2</v>
      </c>
      <c r="F34" s="184">
        <v>2</v>
      </c>
      <c r="G34" s="184">
        <v>2</v>
      </c>
      <c r="H34" s="185">
        <v>0</v>
      </c>
      <c r="I34" s="176">
        <f t="shared" si="0"/>
        <v>8</v>
      </c>
    </row>
    <row r="35" spans="2:9" s="116" customFormat="1" ht="13.15" customHeight="1" x14ac:dyDescent="0.2">
      <c r="B35" s="170"/>
      <c r="C35" s="171" t="s">
        <v>126</v>
      </c>
      <c r="D35" s="172"/>
      <c r="E35" s="172"/>
      <c r="F35" s="172"/>
      <c r="G35" s="172"/>
      <c r="H35" s="173"/>
      <c r="I35" s="154">
        <f t="shared" si="0"/>
        <v>0</v>
      </c>
    </row>
    <row r="36" spans="2:9" s="116" customFormat="1" ht="13.15" customHeight="1" x14ac:dyDescent="0.2">
      <c r="B36" s="177"/>
      <c r="C36" s="178" t="s">
        <v>127</v>
      </c>
      <c r="D36" s="148"/>
      <c r="E36" s="148"/>
      <c r="F36" s="148"/>
      <c r="G36" s="148"/>
      <c r="H36" s="149"/>
      <c r="I36" s="153">
        <f t="shared" si="0"/>
        <v>0</v>
      </c>
    </row>
    <row r="37" spans="2:9" ht="18" customHeight="1" x14ac:dyDescent="0.2">
      <c r="B37" s="179">
        <v>11</v>
      </c>
      <c r="C37" s="180" t="str">
        <f>Config!C15&amp;", "&amp;Config!D15</f>
        <v>Junker, Amely</v>
      </c>
      <c r="D37" s="186">
        <v>1</v>
      </c>
      <c r="E37" s="186">
        <v>0</v>
      </c>
      <c r="F37" s="186">
        <v>2</v>
      </c>
      <c r="G37" s="186">
        <v>1.5</v>
      </c>
      <c r="H37" s="187">
        <v>2</v>
      </c>
      <c r="I37" s="181">
        <f t="shared" si="0"/>
        <v>6.5</v>
      </c>
    </row>
    <row r="38" spans="2:9" s="116" customFormat="1" ht="13.15" customHeight="1" x14ac:dyDescent="0.2">
      <c r="B38" s="164"/>
      <c r="C38" s="165" t="s">
        <v>126</v>
      </c>
      <c r="D38" s="166"/>
      <c r="E38" s="166"/>
      <c r="F38" s="166"/>
      <c r="G38" s="166"/>
      <c r="H38" s="167"/>
      <c r="I38" s="151">
        <f t="shared" si="0"/>
        <v>0</v>
      </c>
    </row>
    <row r="39" spans="2:9" s="116" customFormat="1" ht="13.15" customHeight="1" x14ac:dyDescent="0.2">
      <c r="B39" s="168"/>
      <c r="C39" s="169" t="s">
        <v>127</v>
      </c>
      <c r="D39" s="148"/>
      <c r="E39" s="148"/>
      <c r="F39" s="148"/>
      <c r="G39" s="148"/>
      <c r="H39" s="149"/>
      <c r="I39" s="150">
        <f t="shared" ref="I39:I70" si="1">SUM(D39:H39)</f>
        <v>0</v>
      </c>
    </row>
    <row r="40" spans="2:9" ht="18" customHeight="1" x14ac:dyDescent="0.2">
      <c r="B40" s="174">
        <v>12</v>
      </c>
      <c r="C40" s="175" t="str">
        <f>Config!C16&amp;", "&amp;Config!D16</f>
        <v>Stephens, Melvin</v>
      </c>
      <c r="D40" s="184">
        <v>2</v>
      </c>
      <c r="E40" s="184">
        <v>2</v>
      </c>
      <c r="F40" s="184">
        <v>1</v>
      </c>
      <c r="G40" s="184">
        <v>0.5</v>
      </c>
      <c r="H40" s="185">
        <v>0</v>
      </c>
      <c r="I40" s="176">
        <f t="shared" si="1"/>
        <v>5.5</v>
      </c>
    </row>
    <row r="41" spans="2:9" s="116" customFormat="1" ht="13.15" customHeight="1" x14ac:dyDescent="0.2">
      <c r="B41" s="170"/>
      <c r="C41" s="171" t="s">
        <v>126</v>
      </c>
      <c r="D41" s="172"/>
      <c r="E41" s="172"/>
      <c r="F41" s="172"/>
      <c r="G41" s="172"/>
      <c r="H41" s="173"/>
      <c r="I41" s="154">
        <f t="shared" si="1"/>
        <v>0</v>
      </c>
    </row>
    <row r="42" spans="2:9" s="116" customFormat="1" ht="13.15" customHeight="1" x14ac:dyDescent="0.2">
      <c r="B42" s="177"/>
      <c r="C42" s="178" t="s">
        <v>127</v>
      </c>
      <c r="D42" s="148"/>
      <c r="E42" s="148"/>
      <c r="F42" s="148"/>
      <c r="G42" s="148"/>
      <c r="H42" s="149"/>
      <c r="I42" s="153">
        <f t="shared" si="1"/>
        <v>0</v>
      </c>
    </row>
    <row r="43" spans="2:9" ht="18" customHeight="1" x14ac:dyDescent="0.2">
      <c r="B43" s="179">
        <v>13</v>
      </c>
      <c r="C43" s="180" t="str">
        <f>Config!C17&amp;", "&amp;Config!D17</f>
        <v>Cremer, Marvin</v>
      </c>
      <c r="D43" s="186">
        <v>2</v>
      </c>
      <c r="E43" s="186">
        <v>0</v>
      </c>
      <c r="F43" s="186">
        <v>1.5</v>
      </c>
      <c r="G43" s="186">
        <v>0</v>
      </c>
      <c r="H43" s="187">
        <v>2</v>
      </c>
      <c r="I43" s="181">
        <f t="shared" si="1"/>
        <v>5.5</v>
      </c>
    </row>
    <row r="44" spans="2:9" s="116" customFormat="1" ht="13.15" customHeight="1" x14ac:dyDescent="0.2">
      <c r="B44" s="164"/>
      <c r="C44" s="165" t="s">
        <v>126</v>
      </c>
      <c r="D44" s="166"/>
      <c r="E44" s="166"/>
      <c r="F44" s="166"/>
      <c r="G44" s="166"/>
      <c r="H44" s="167"/>
      <c r="I44" s="151">
        <f t="shared" si="1"/>
        <v>0</v>
      </c>
    </row>
    <row r="45" spans="2:9" s="116" customFormat="1" ht="13.15" customHeight="1" x14ac:dyDescent="0.2">
      <c r="B45" s="168"/>
      <c r="C45" s="169" t="s">
        <v>127</v>
      </c>
      <c r="D45" s="148"/>
      <c r="E45" s="148"/>
      <c r="F45" s="148"/>
      <c r="G45" s="148"/>
      <c r="H45" s="149"/>
      <c r="I45" s="150">
        <f t="shared" si="1"/>
        <v>0</v>
      </c>
    </row>
    <row r="46" spans="2:9" ht="18" customHeight="1" x14ac:dyDescent="0.2">
      <c r="B46" s="174">
        <v>14</v>
      </c>
      <c r="C46" s="175" t="str">
        <f>Config!C18&amp;", "&amp;Config!D18</f>
        <v>Nash, Jean</v>
      </c>
      <c r="D46" s="184">
        <v>2</v>
      </c>
      <c r="E46" s="184">
        <v>0</v>
      </c>
      <c r="F46" s="184">
        <v>1</v>
      </c>
      <c r="G46" s="184">
        <v>2</v>
      </c>
      <c r="H46" s="185">
        <v>3</v>
      </c>
      <c r="I46" s="176">
        <f t="shared" si="1"/>
        <v>8</v>
      </c>
    </row>
    <row r="47" spans="2:9" s="116" customFormat="1" ht="13.15" customHeight="1" x14ac:dyDescent="0.2">
      <c r="B47" s="170"/>
      <c r="C47" s="171" t="s">
        <v>126</v>
      </c>
      <c r="D47" s="172"/>
      <c r="E47" s="172"/>
      <c r="F47" s="172"/>
      <c r="G47" s="172"/>
      <c r="H47" s="173"/>
      <c r="I47" s="154">
        <f t="shared" si="1"/>
        <v>0</v>
      </c>
    </row>
    <row r="48" spans="2:9" s="116" customFormat="1" ht="13.15" customHeight="1" x14ac:dyDescent="0.2">
      <c r="B48" s="177"/>
      <c r="C48" s="178" t="s">
        <v>127</v>
      </c>
      <c r="D48" s="148"/>
      <c r="E48" s="148"/>
      <c r="F48" s="148"/>
      <c r="G48" s="148"/>
      <c r="H48" s="149"/>
      <c r="I48" s="153">
        <f t="shared" si="1"/>
        <v>0</v>
      </c>
    </row>
    <row r="49" spans="2:9" ht="18" customHeight="1" x14ac:dyDescent="0.2">
      <c r="B49" s="179">
        <v>15</v>
      </c>
      <c r="C49" s="180" t="str">
        <f>Config!C19&amp;", "&amp;Config!D19</f>
        <v>Schön, Leonardo</v>
      </c>
      <c r="D49" s="186">
        <v>2</v>
      </c>
      <c r="E49" s="186">
        <v>0.5</v>
      </c>
      <c r="F49" s="186">
        <v>1.5</v>
      </c>
      <c r="G49" s="186">
        <v>3</v>
      </c>
      <c r="H49" s="187">
        <v>1</v>
      </c>
      <c r="I49" s="181">
        <f t="shared" si="1"/>
        <v>8</v>
      </c>
    </row>
    <row r="50" spans="2:9" s="116" customFormat="1" ht="13.15" customHeight="1" x14ac:dyDescent="0.2">
      <c r="B50" s="164"/>
      <c r="C50" s="165" t="s">
        <v>126</v>
      </c>
      <c r="D50" s="166"/>
      <c r="E50" s="166"/>
      <c r="F50" s="166"/>
      <c r="G50" s="166"/>
      <c r="H50" s="167"/>
      <c r="I50" s="151">
        <f t="shared" si="1"/>
        <v>0</v>
      </c>
    </row>
    <row r="51" spans="2:9" s="116" customFormat="1" ht="13.15" customHeight="1" x14ac:dyDescent="0.2">
      <c r="B51" s="168"/>
      <c r="C51" s="169" t="s">
        <v>127</v>
      </c>
      <c r="D51" s="148"/>
      <c r="E51" s="148"/>
      <c r="F51" s="148"/>
      <c r="G51" s="148"/>
      <c r="H51" s="149"/>
      <c r="I51" s="150">
        <f t="shared" si="1"/>
        <v>0</v>
      </c>
    </row>
    <row r="52" spans="2:9" ht="18" customHeight="1" x14ac:dyDescent="0.2">
      <c r="B52" s="174">
        <v>16</v>
      </c>
      <c r="C52" s="175" t="str">
        <f>Config!C20&amp;", "&amp;Config!D20</f>
        <v>Sigl, Nicholas</v>
      </c>
      <c r="D52" s="184">
        <v>0</v>
      </c>
      <c r="E52" s="184">
        <v>0</v>
      </c>
      <c r="F52" s="184">
        <v>0</v>
      </c>
      <c r="G52" s="184">
        <v>0</v>
      </c>
      <c r="H52" s="185">
        <v>0</v>
      </c>
      <c r="I52" s="176">
        <f t="shared" si="1"/>
        <v>0</v>
      </c>
    </row>
    <row r="53" spans="2:9" s="116" customFormat="1" ht="13.15" customHeight="1" x14ac:dyDescent="0.2">
      <c r="B53" s="170"/>
      <c r="C53" s="171" t="s">
        <v>126</v>
      </c>
      <c r="D53" s="172"/>
      <c r="E53" s="172"/>
      <c r="F53" s="172"/>
      <c r="G53" s="172"/>
      <c r="H53" s="173"/>
      <c r="I53" s="154">
        <f t="shared" si="1"/>
        <v>0</v>
      </c>
    </row>
    <row r="54" spans="2:9" s="116" customFormat="1" ht="13.15" customHeight="1" x14ac:dyDescent="0.2">
      <c r="B54" s="177"/>
      <c r="C54" s="178" t="s">
        <v>127</v>
      </c>
      <c r="D54" s="148"/>
      <c r="E54" s="148"/>
      <c r="F54" s="148"/>
      <c r="G54" s="148"/>
      <c r="H54" s="149"/>
      <c r="I54" s="153">
        <f t="shared" si="1"/>
        <v>0</v>
      </c>
    </row>
    <row r="55" spans="2:9" ht="18" customHeight="1" x14ac:dyDescent="0.2">
      <c r="B55" s="179">
        <v>17</v>
      </c>
      <c r="C55" s="180" t="str">
        <f>Config!C21&amp;", "&amp;Config!D21</f>
        <v>Kainz, Vivienne</v>
      </c>
      <c r="D55" s="186">
        <v>1</v>
      </c>
      <c r="E55" s="186">
        <v>1</v>
      </c>
      <c r="F55" s="186">
        <v>1.5</v>
      </c>
      <c r="G55" s="186">
        <v>1</v>
      </c>
      <c r="H55" s="187">
        <v>3</v>
      </c>
      <c r="I55" s="181">
        <f t="shared" si="1"/>
        <v>7.5</v>
      </c>
    </row>
    <row r="56" spans="2:9" s="116" customFormat="1" ht="13.15" customHeight="1" x14ac:dyDescent="0.2">
      <c r="B56" s="164"/>
      <c r="C56" s="165" t="s">
        <v>126</v>
      </c>
      <c r="D56" s="166"/>
      <c r="E56" s="166"/>
      <c r="F56" s="166"/>
      <c r="G56" s="166"/>
      <c r="H56" s="167"/>
      <c r="I56" s="151">
        <f t="shared" si="1"/>
        <v>0</v>
      </c>
    </row>
    <row r="57" spans="2:9" s="116" customFormat="1" ht="13.15" customHeight="1" x14ac:dyDescent="0.2">
      <c r="B57" s="168"/>
      <c r="C57" s="169" t="s">
        <v>127</v>
      </c>
      <c r="D57" s="148"/>
      <c r="E57" s="148"/>
      <c r="F57" s="148"/>
      <c r="G57" s="148"/>
      <c r="H57" s="149"/>
      <c r="I57" s="150">
        <f t="shared" si="1"/>
        <v>0</v>
      </c>
    </row>
    <row r="58" spans="2:9" ht="18" customHeight="1" x14ac:dyDescent="0.2">
      <c r="B58" s="174">
        <v>18</v>
      </c>
      <c r="C58" s="175" t="str">
        <f>Config!C22&amp;", "&amp;Config!D22</f>
        <v>Hartmann, Mads</v>
      </c>
      <c r="D58" s="184">
        <v>2</v>
      </c>
      <c r="E58" s="184">
        <v>2</v>
      </c>
      <c r="F58" s="184">
        <v>1</v>
      </c>
      <c r="G58" s="184">
        <v>2</v>
      </c>
      <c r="H58" s="185">
        <v>0</v>
      </c>
      <c r="I58" s="176">
        <f t="shared" si="1"/>
        <v>7</v>
      </c>
    </row>
    <row r="59" spans="2:9" s="116" customFormat="1" ht="13.15" customHeight="1" x14ac:dyDescent="0.2">
      <c r="B59" s="170"/>
      <c r="C59" s="171" t="s">
        <v>126</v>
      </c>
      <c r="D59" s="172"/>
      <c r="E59" s="172"/>
      <c r="F59" s="172"/>
      <c r="G59" s="172"/>
      <c r="H59" s="173"/>
      <c r="I59" s="154">
        <f t="shared" si="1"/>
        <v>0</v>
      </c>
    </row>
    <row r="60" spans="2:9" s="116" customFormat="1" ht="13.15" customHeight="1" x14ac:dyDescent="0.2">
      <c r="B60" s="177"/>
      <c r="C60" s="178" t="s">
        <v>127</v>
      </c>
      <c r="D60" s="148"/>
      <c r="E60" s="148"/>
      <c r="F60" s="148"/>
      <c r="G60" s="148"/>
      <c r="H60" s="149"/>
      <c r="I60" s="153">
        <f t="shared" si="1"/>
        <v>0</v>
      </c>
    </row>
    <row r="61" spans="2:9" ht="18" customHeight="1" x14ac:dyDescent="0.2">
      <c r="B61" s="179">
        <v>19</v>
      </c>
      <c r="C61" s="180" t="str">
        <f>Config!C23&amp;", "&amp;Config!D23</f>
        <v>Ullmann, Raphael</v>
      </c>
      <c r="D61" s="186">
        <v>2</v>
      </c>
      <c r="E61" s="186">
        <v>0.5</v>
      </c>
      <c r="F61" s="186">
        <v>1.5</v>
      </c>
      <c r="G61" s="186">
        <v>2</v>
      </c>
      <c r="H61" s="187">
        <v>1</v>
      </c>
      <c r="I61" s="181">
        <f t="shared" si="1"/>
        <v>7</v>
      </c>
    </row>
    <row r="62" spans="2:9" s="116" customFormat="1" ht="13.15" customHeight="1" x14ac:dyDescent="0.2">
      <c r="B62" s="164"/>
      <c r="C62" s="165" t="s">
        <v>126</v>
      </c>
      <c r="D62" s="166"/>
      <c r="E62" s="166"/>
      <c r="F62" s="166"/>
      <c r="G62" s="166"/>
      <c r="H62" s="167"/>
      <c r="I62" s="151">
        <f t="shared" si="1"/>
        <v>0</v>
      </c>
    </row>
    <row r="63" spans="2:9" s="116" customFormat="1" ht="13.15" customHeight="1" x14ac:dyDescent="0.2">
      <c r="B63" s="168"/>
      <c r="C63" s="169" t="s">
        <v>127</v>
      </c>
      <c r="D63" s="148"/>
      <c r="E63" s="148"/>
      <c r="F63" s="148"/>
      <c r="G63" s="148"/>
      <c r="H63" s="149"/>
      <c r="I63" s="150">
        <f t="shared" si="1"/>
        <v>0</v>
      </c>
    </row>
    <row r="64" spans="2:9" ht="18" customHeight="1" x14ac:dyDescent="0.2">
      <c r="B64" s="174">
        <v>20</v>
      </c>
      <c r="C64" s="175" t="str">
        <f>Config!C24&amp;", "&amp;Config!D24</f>
        <v>Hartl, Emmely</v>
      </c>
      <c r="D64" s="184">
        <v>2</v>
      </c>
      <c r="E64" s="184">
        <v>0.5</v>
      </c>
      <c r="F64" s="184">
        <v>2</v>
      </c>
      <c r="G64" s="184">
        <v>0</v>
      </c>
      <c r="H64" s="185">
        <v>0</v>
      </c>
      <c r="I64" s="176">
        <f t="shared" si="1"/>
        <v>4.5</v>
      </c>
    </row>
    <row r="65" spans="2:9" s="116" customFormat="1" ht="13.15" customHeight="1" x14ac:dyDescent="0.2">
      <c r="B65" s="170"/>
      <c r="C65" s="171" t="s">
        <v>126</v>
      </c>
      <c r="D65" s="172"/>
      <c r="E65" s="172"/>
      <c r="F65" s="172"/>
      <c r="G65" s="172"/>
      <c r="H65" s="173"/>
      <c r="I65" s="154">
        <f t="shared" si="1"/>
        <v>0</v>
      </c>
    </row>
    <row r="66" spans="2:9" s="116" customFormat="1" ht="13.15" customHeight="1" x14ac:dyDescent="0.2">
      <c r="B66" s="177"/>
      <c r="C66" s="178" t="s">
        <v>127</v>
      </c>
      <c r="D66" s="148"/>
      <c r="E66" s="148"/>
      <c r="F66" s="148"/>
      <c r="G66" s="148"/>
      <c r="H66" s="149"/>
      <c r="I66" s="153">
        <f t="shared" si="1"/>
        <v>0</v>
      </c>
    </row>
    <row r="67" spans="2:9" ht="18" customHeight="1" x14ac:dyDescent="0.2">
      <c r="B67" s="179">
        <v>21</v>
      </c>
      <c r="C67" s="180" t="str">
        <f>Config!C25&amp;", "&amp;Config!D25</f>
        <v>Klotz, Karin</v>
      </c>
      <c r="D67" s="186">
        <v>1</v>
      </c>
      <c r="E67" s="186">
        <v>2</v>
      </c>
      <c r="F67" s="186">
        <v>1</v>
      </c>
      <c r="G67" s="186">
        <v>2</v>
      </c>
      <c r="H67" s="187">
        <v>0</v>
      </c>
      <c r="I67" s="181">
        <f t="shared" si="1"/>
        <v>6</v>
      </c>
    </row>
    <row r="68" spans="2:9" s="116" customFormat="1" ht="13.15" customHeight="1" x14ac:dyDescent="0.2">
      <c r="B68" s="164"/>
      <c r="C68" s="165" t="s">
        <v>126</v>
      </c>
      <c r="D68" s="166"/>
      <c r="E68" s="166"/>
      <c r="F68" s="166"/>
      <c r="G68" s="166"/>
      <c r="H68" s="167"/>
      <c r="I68" s="151">
        <f t="shared" si="1"/>
        <v>0</v>
      </c>
    </row>
    <row r="69" spans="2:9" s="116" customFormat="1" ht="13.15" customHeight="1" x14ac:dyDescent="0.2">
      <c r="B69" s="168"/>
      <c r="C69" s="169" t="s">
        <v>127</v>
      </c>
      <c r="D69" s="148"/>
      <c r="E69" s="148"/>
      <c r="F69" s="148"/>
      <c r="G69" s="148"/>
      <c r="H69" s="149"/>
      <c r="I69" s="150">
        <f t="shared" si="1"/>
        <v>0</v>
      </c>
    </row>
    <row r="70" spans="2:9" ht="18" customHeight="1" x14ac:dyDescent="0.2">
      <c r="B70" s="174">
        <v>22</v>
      </c>
      <c r="C70" s="175" t="str">
        <f>Config!C26&amp;", "&amp;Config!D26</f>
        <v>Ehlers, Ingo</v>
      </c>
      <c r="D70" s="184">
        <v>2</v>
      </c>
      <c r="E70" s="184">
        <v>0</v>
      </c>
      <c r="F70" s="184">
        <v>2</v>
      </c>
      <c r="G70" s="184">
        <v>1.5</v>
      </c>
      <c r="H70" s="185">
        <v>0</v>
      </c>
      <c r="I70" s="176">
        <f t="shared" si="1"/>
        <v>5.5</v>
      </c>
    </row>
    <row r="71" spans="2:9" s="116" customFormat="1" ht="13.15" customHeight="1" x14ac:dyDescent="0.2">
      <c r="B71" s="170"/>
      <c r="C71" s="171" t="s">
        <v>126</v>
      </c>
      <c r="D71" s="172"/>
      <c r="E71" s="172"/>
      <c r="F71" s="172"/>
      <c r="G71" s="172"/>
      <c r="H71" s="173"/>
      <c r="I71" s="154">
        <f t="shared" ref="I71:I75" si="2">SUM(D71:H71)</f>
        <v>0</v>
      </c>
    </row>
    <row r="72" spans="2:9" s="116" customFormat="1" ht="13.15" customHeight="1" x14ac:dyDescent="0.2">
      <c r="B72" s="177"/>
      <c r="C72" s="178" t="s">
        <v>127</v>
      </c>
      <c r="D72" s="148"/>
      <c r="E72" s="148"/>
      <c r="F72" s="148"/>
      <c r="G72" s="148"/>
      <c r="H72" s="149"/>
      <c r="I72" s="153">
        <f t="shared" si="2"/>
        <v>0</v>
      </c>
    </row>
    <row r="73" spans="2:9" ht="18" customHeight="1" thickBot="1" x14ac:dyDescent="0.25">
      <c r="B73" s="144">
        <v>23</v>
      </c>
      <c r="C73" s="139" t="str">
        <f>Config!C27&amp;", "&amp;Config!D27</f>
        <v>Lindemann, Mads</v>
      </c>
      <c r="D73" s="95">
        <v>2</v>
      </c>
      <c r="E73" s="95">
        <v>2</v>
      </c>
      <c r="F73" s="95">
        <v>2</v>
      </c>
      <c r="G73" s="95">
        <v>4</v>
      </c>
      <c r="H73" s="96">
        <v>0</v>
      </c>
      <c r="I73" s="147">
        <f t="shared" si="2"/>
        <v>10</v>
      </c>
    </row>
    <row r="74" spans="2:9" s="116" customFormat="1" ht="13.15" customHeight="1" x14ac:dyDescent="0.2">
      <c r="B74" s="164"/>
      <c r="C74" s="165" t="s">
        <v>126</v>
      </c>
      <c r="D74" s="166"/>
      <c r="E74" s="166"/>
      <c r="F74" s="166"/>
      <c r="G74" s="166"/>
      <c r="H74" s="167"/>
      <c r="I74" s="151">
        <f t="shared" si="2"/>
        <v>0</v>
      </c>
    </row>
    <row r="75" spans="2:9" s="116" customFormat="1" ht="13.15" customHeight="1" thickBot="1" x14ac:dyDescent="0.25">
      <c r="B75" s="155"/>
      <c r="C75" s="158" t="s">
        <v>127</v>
      </c>
      <c r="D75" s="156"/>
      <c r="E75" s="156"/>
      <c r="F75" s="156"/>
      <c r="G75" s="156"/>
      <c r="H75" s="157"/>
      <c r="I75" s="152">
        <f t="shared" si="2"/>
        <v>0</v>
      </c>
    </row>
    <row r="76" spans="2:9" ht="18" customHeight="1" thickBot="1" x14ac:dyDescent="0.25">
      <c r="B76" s="119"/>
      <c r="C76" s="120"/>
      <c r="D76" s="120">
        <f>IF(COUNTIFS(D7:D73,"&lt;&gt;",C7:C73,"&lt;&gt;ZK",C7:C73,"&lt;&gt;DK")&lt;&gt;0,SUMIFS(D7:D73,C7:C73,"&lt;&gt;ZK",C7:C73,"&lt;&gt;DK")/(COUNTIFS(D7:D73,"&lt;&gt;",C7:C73,"&lt;&gt;ZK",C7:C73,"&lt;&gt;DK")*D6),0)</f>
        <v>0.84782608695652173</v>
      </c>
      <c r="E76" s="120">
        <f>IF(COUNTIFS(E7:E73,"&lt;&gt;",C7:C73,"&lt;&gt;ZK",C7:C73,"&lt;&gt;DK")&lt;&gt;0,SUMIFS(E7:E73,C7:C73,"&lt;&gt;ZK",C7:C73,"&lt;&gt;DK")/(COUNTIFS(E7:E73,"&lt;&gt;",C7:C73,"&lt;&gt;ZK",C7:C73,"&lt;&gt;DK")*E6),0)</f>
        <v>0.60869565217391308</v>
      </c>
      <c r="F76" s="120">
        <f>IF(COUNTIFS(F7:F73,"&lt;&gt;",C7:C73,"&lt;&gt;ZK",C7:C73,"&lt;&gt;DK")&lt;&gt;0,SUMIFS(F7:F73,C7:C73,"&lt;&gt;ZK",C7:C73,"&lt;&gt;DK")/(COUNTIFS(F7:F73,"&lt;&gt;",C7:C73,"&lt;&gt;ZK",C7:C73,"&lt;&gt;DK")*F6),0)</f>
        <v>0.71739130434782605</v>
      </c>
      <c r="G76" s="120">
        <f>IF(COUNTIFS(G7:G73,"&lt;&gt;",C7:C73,"&lt;&gt;ZK",C7:C73,"&lt;&gt;DK")&lt;&gt;0,SUMIFS(G7:G73,C7:C73,"&lt;&gt;ZK",C7:C73,"&lt;&gt;DK")/(COUNTIFS(G7:G73,"&lt;&gt;",C7:C73,"&lt;&gt;ZK",C7:C73,"&lt;&gt;DK")*G6),0)</f>
        <v>0.52717391304347827</v>
      </c>
      <c r="H76" s="120">
        <f>IF(COUNTIFS(H7:H73,"&lt;&gt;",C7:C73,"&lt;&gt;ZK",C7:C73,"&lt;&gt;DK")&lt;&gt;0,SUMIFS(H7:H73,C7:C73,"&lt;&gt;ZK",C7:C73,"&lt;&gt;DK")/(COUNTIFS(H7:H73,"&lt;&gt;",C7:C73,"&lt;&gt;ZK",C7:C73,"&lt;&gt;DK")*H6),0)</f>
        <v>0.13975155279503104</v>
      </c>
      <c r="I76" s="121"/>
    </row>
    <row r="77" spans="2:9" ht="18" customHeight="1" x14ac:dyDescent="0.2"/>
    <row r="78" spans="2:9" ht="18" customHeight="1" x14ac:dyDescent="0.2"/>
    <row r="79" spans="2:9" ht="18" customHeight="1" x14ac:dyDescent="0.2"/>
    <row r="80" spans="2:9"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electLockedCells="1"/>
  <dataValidations count="5">
    <dataValidation type="decimal" allowBlank="1" showErrorMessage="1" sqref="D7:D75" xr:uid="{227C5B74-5567-4EEF-81FC-93E5F19A9E41}">
      <formula1>0</formula1>
      <formula2>$D$6</formula2>
    </dataValidation>
    <dataValidation type="decimal" allowBlank="1" showErrorMessage="1" sqref="E7:E75" xr:uid="{C9262354-9CD1-4D00-86A2-C8802C99F699}">
      <formula1>0</formula1>
      <formula2>$E$6</formula2>
    </dataValidation>
    <dataValidation type="decimal" allowBlank="1" showErrorMessage="1" sqref="F7:F75" xr:uid="{F7DF0CBE-F581-4B85-B01B-A59C3A238E73}">
      <formula1>0</formula1>
      <formula2>$F$6</formula2>
    </dataValidation>
    <dataValidation type="decimal" allowBlank="1" showErrorMessage="1" sqref="G7:G75" xr:uid="{0D5D8469-C246-44F8-8445-32FFB3C92F51}">
      <formula1>0</formula1>
      <formula2>$G$6</formula2>
    </dataValidation>
    <dataValidation type="decimal" allowBlank="1" showErrorMessage="1" sqref="H7:H75" xr:uid="{7356ED7F-7F80-4D0C-8034-CF4D3DD9A798}">
      <formula1>0</formula1>
      <formula2>$H$6</formula2>
    </dataValidation>
  </dataValidation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B05A1-78EE-4CE0-9910-1D738BBE7362}">
  <sheetPr codeName="Tabelle5">
    <tabColor rgb="FF92D050"/>
  </sheetPr>
  <dimension ref="B1:F100"/>
  <sheetViews>
    <sheetView workbookViewId="0">
      <selection activeCell="D7" sqref="D7"/>
    </sheetView>
  </sheetViews>
  <sheetFormatPr baseColWidth="10" defaultColWidth="11.5703125" defaultRowHeight="12.75" x14ac:dyDescent="0.2"/>
  <cols>
    <col min="1" max="2" width="3.42578125" style="98" customWidth="1"/>
    <col min="3" max="3" width="25.7109375" style="98" customWidth="1"/>
    <col min="4" max="6" width="8.7109375" style="98" customWidth="1"/>
    <col min="7" max="16384" width="11.5703125" style="98"/>
  </cols>
  <sheetData>
    <row r="1" spans="2:6" ht="18" customHeight="1" thickBot="1" x14ac:dyDescent="0.25"/>
    <row r="2" spans="2:6" ht="18" customHeight="1" x14ac:dyDescent="0.2">
      <c r="B2" s="99" t="str">
        <f>Config!F2&amp;" "&amp;YEAR(Config!G24)</f>
        <v>Mathe Abitur 2026</v>
      </c>
      <c r="C2" s="100"/>
      <c r="D2" s="100"/>
      <c r="E2" s="101"/>
      <c r="F2" s="102" t="str">
        <f>"Kurs "&amp;Config!G26</f>
        <v>Kurs K1</v>
      </c>
    </row>
    <row r="3" spans="2:6" ht="18" customHeight="1" x14ac:dyDescent="0.2">
      <c r="B3" s="103" t="s">
        <v>13</v>
      </c>
      <c r="C3" s="104"/>
      <c r="D3" s="104"/>
      <c r="E3" s="104"/>
      <c r="F3" s="105"/>
    </row>
    <row r="4" spans="2:6" ht="18" customHeight="1" thickBot="1" x14ac:dyDescent="0.25">
      <c r="B4" s="103"/>
      <c r="C4" s="104"/>
      <c r="D4" s="106"/>
      <c r="E4" s="106"/>
      <c r="F4" s="107"/>
    </row>
    <row r="5" spans="2:6" ht="18" customHeight="1" thickBot="1" x14ac:dyDescent="0.25">
      <c r="B5" s="108"/>
      <c r="C5" s="110"/>
      <c r="D5" s="124" t="str">
        <f>Config!N6</f>
        <v>1a</v>
      </c>
      <c r="E5" s="124" t="str">
        <f>Config!N7</f>
        <v>1b</v>
      </c>
      <c r="F5" s="114" t="s">
        <v>82</v>
      </c>
    </row>
    <row r="6" spans="2:6" ht="18" customHeight="1" thickBot="1" x14ac:dyDescent="0.25">
      <c r="B6" s="109"/>
      <c r="C6" s="111" t="s">
        <v>81</v>
      </c>
      <c r="D6" s="113">
        <f>Config!O6</f>
        <v>2</v>
      </c>
      <c r="E6" s="113">
        <f>Config!O7</f>
        <v>3</v>
      </c>
      <c r="F6" s="125">
        <f>Config!O21</f>
        <v>5</v>
      </c>
    </row>
    <row r="7" spans="2:6" ht="18" customHeight="1" x14ac:dyDescent="0.2">
      <c r="B7" s="161">
        <v>1</v>
      </c>
      <c r="C7" s="162" t="str">
        <f>Config!C5&amp;", "&amp;Config!D5</f>
        <v>Höfer, Simon</v>
      </c>
      <c r="D7" s="182">
        <v>0</v>
      </c>
      <c r="E7" s="183">
        <v>0</v>
      </c>
      <c r="F7" s="163">
        <f t="shared" ref="F7:F38" si="0">SUM(D7:E7)</f>
        <v>0</v>
      </c>
    </row>
    <row r="8" spans="2:6" s="116" customFormat="1" ht="13.15" customHeight="1" x14ac:dyDescent="0.2">
      <c r="B8" s="164"/>
      <c r="C8" s="165" t="s">
        <v>126</v>
      </c>
      <c r="D8" s="166"/>
      <c r="E8" s="167"/>
      <c r="F8" s="151">
        <f t="shared" si="0"/>
        <v>0</v>
      </c>
    </row>
    <row r="9" spans="2:6" s="116" customFormat="1" ht="13.15" customHeight="1" x14ac:dyDescent="0.2">
      <c r="B9" s="168"/>
      <c r="C9" s="169" t="s">
        <v>127</v>
      </c>
      <c r="D9" s="148"/>
      <c r="E9" s="149"/>
      <c r="F9" s="150">
        <f t="shared" si="0"/>
        <v>0</v>
      </c>
    </row>
    <row r="10" spans="2:6" ht="18" customHeight="1" x14ac:dyDescent="0.2">
      <c r="B10" s="174">
        <v>2</v>
      </c>
      <c r="C10" s="175" t="str">
        <f>Config!C6&amp;", "&amp;Config!D6</f>
        <v>Töpfer, Lilian</v>
      </c>
      <c r="D10" s="184">
        <v>1.5</v>
      </c>
      <c r="E10" s="185">
        <v>2</v>
      </c>
      <c r="F10" s="176">
        <f t="shared" si="0"/>
        <v>3.5</v>
      </c>
    </row>
    <row r="11" spans="2:6" s="116" customFormat="1" ht="13.15" customHeight="1" x14ac:dyDescent="0.2">
      <c r="B11" s="170"/>
      <c r="C11" s="171" t="s">
        <v>126</v>
      </c>
      <c r="D11" s="172"/>
      <c r="E11" s="173"/>
      <c r="F11" s="154">
        <f t="shared" si="0"/>
        <v>0</v>
      </c>
    </row>
    <row r="12" spans="2:6" s="116" customFormat="1" ht="13.15" customHeight="1" x14ac:dyDescent="0.2">
      <c r="B12" s="177"/>
      <c r="C12" s="178" t="s">
        <v>127</v>
      </c>
      <c r="D12" s="148"/>
      <c r="E12" s="149"/>
      <c r="F12" s="153">
        <f t="shared" si="0"/>
        <v>0</v>
      </c>
    </row>
    <row r="13" spans="2:6" ht="18" customHeight="1" x14ac:dyDescent="0.2">
      <c r="B13" s="179">
        <v>3</v>
      </c>
      <c r="C13" s="180" t="str">
        <f>Config!C7&amp;", "&amp;Config!D7</f>
        <v>Fleischmann, Leonie</v>
      </c>
      <c r="D13" s="186">
        <v>2</v>
      </c>
      <c r="E13" s="187">
        <v>2.5</v>
      </c>
      <c r="F13" s="181">
        <f t="shared" si="0"/>
        <v>4.5</v>
      </c>
    </row>
    <row r="14" spans="2:6" s="116" customFormat="1" ht="13.15" customHeight="1" x14ac:dyDescent="0.2">
      <c r="B14" s="164"/>
      <c r="C14" s="165" t="s">
        <v>126</v>
      </c>
      <c r="D14" s="166"/>
      <c r="E14" s="167"/>
      <c r="F14" s="151">
        <f t="shared" si="0"/>
        <v>0</v>
      </c>
    </row>
    <row r="15" spans="2:6" s="116" customFormat="1" ht="13.15" customHeight="1" x14ac:dyDescent="0.2">
      <c r="B15" s="168"/>
      <c r="C15" s="169" t="s">
        <v>127</v>
      </c>
      <c r="D15" s="148"/>
      <c r="E15" s="149"/>
      <c r="F15" s="150">
        <f t="shared" si="0"/>
        <v>0</v>
      </c>
    </row>
    <row r="16" spans="2:6" ht="18" customHeight="1" x14ac:dyDescent="0.2">
      <c r="B16" s="174">
        <v>4</v>
      </c>
      <c r="C16" s="175" t="str">
        <f>Config!C8&amp;", "&amp;Config!D8</f>
        <v>Drescher, Cedric</v>
      </c>
      <c r="D16" s="184">
        <v>2</v>
      </c>
      <c r="E16" s="185">
        <v>1.5</v>
      </c>
      <c r="F16" s="176">
        <f t="shared" si="0"/>
        <v>3.5</v>
      </c>
    </row>
    <row r="17" spans="2:6" s="116" customFormat="1" ht="13.15" customHeight="1" x14ac:dyDescent="0.2">
      <c r="B17" s="170"/>
      <c r="C17" s="171" t="s">
        <v>126</v>
      </c>
      <c r="D17" s="172"/>
      <c r="E17" s="173"/>
      <c r="F17" s="154">
        <f t="shared" si="0"/>
        <v>0</v>
      </c>
    </row>
    <row r="18" spans="2:6" s="116" customFormat="1" ht="13.15" customHeight="1" x14ac:dyDescent="0.2">
      <c r="B18" s="177"/>
      <c r="C18" s="178" t="s">
        <v>127</v>
      </c>
      <c r="D18" s="148"/>
      <c r="E18" s="149"/>
      <c r="F18" s="153">
        <f t="shared" si="0"/>
        <v>0</v>
      </c>
    </row>
    <row r="19" spans="2:6" ht="18" customHeight="1" x14ac:dyDescent="0.2">
      <c r="B19" s="179">
        <v>5</v>
      </c>
      <c r="C19" s="180" t="str">
        <f>Config!C9&amp;", "&amp;Config!D9</f>
        <v>Baumgarten, Annabell</v>
      </c>
      <c r="D19" s="186">
        <v>1.5</v>
      </c>
      <c r="E19" s="187">
        <v>2</v>
      </c>
      <c r="F19" s="181">
        <f t="shared" si="0"/>
        <v>3.5</v>
      </c>
    </row>
    <row r="20" spans="2:6" s="116" customFormat="1" ht="13.15" customHeight="1" x14ac:dyDescent="0.2">
      <c r="B20" s="164"/>
      <c r="C20" s="165" t="s">
        <v>126</v>
      </c>
      <c r="D20" s="166"/>
      <c r="E20" s="167"/>
      <c r="F20" s="151">
        <f t="shared" si="0"/>
        <v>0</v>
      </c>
    </row>
    <row r="21" spans="2:6" s="116" customFormat="1" ht="13.15" customHeight="1" x14ac:dyDescent="0.2">
      <c r="B21" s="168"/>
      <c r="C21" s="169" t="s">
        <v>127</v>
      </c>
      <c r="D21" s="148"/>
      <c r="E21" s="149"/>
      <c r="F21" s="150">
        <f t="shared" si="0"/>
        <v>0</v>
      </c>
    </row>
    <row r="22" spans="2:6" ht="18" customHeight="1" x14ac:dyDescent="0.2">
      <c r="B22" s="174">
        <v>6</v>
      </c>
      <c r="C22" s="175" t="str">
        <f>Config!C10&amp;", "&amp;Config!D10</f>
        <v>Traut, Stefanie</v>
      </c>
      <c r="D22" s="184">
        <v>1.5</v>
      </c>
      <c r="E22" s="185">
        <v>3</v>
      </c>
      <c r="F22" s="176">
        <f t="shared" si="0"/>
        <v>4.5</v>
      </c>
    </row>
    <row r="23" spans="2:6" s="116" customFormat="1" ht="13.15" customHeight="1" x14ac:dyDescent="0.2">
      <c r="B23" s="170"/>
      <c r="C23" s="171" t="s">
        <v>126</v>
      </c>
      <c r="D23" s="172"/>
      <c r="E23" s="173"/>
      <c r="F23" s="154">
        <f t="shared" si="0"/>
        <v>0</v>
      </c>
    </row>
    <row r="24" spans="2:6" s="116" customFormat="1" ht="13.15" customHeight="1" x14ac:dyDescent="0.2">
      <c r="B24" s="177"/>
      <c r="C24" s="178" t="s">
        <v>127</v>
      </c>
      <c r="D24" s="148"/>
      <c r="E24" s="149"/>
      <c r="F24" s="153">
        <f t="shared" si="0"/>
        <v>0</v>
      </c>
    </row>
    <row r="25" spans="2:6" ht="18" customHeight="1" x14ac:dyDescent="0.2">
      <c r="B25" s="179">
        <v>7</v>
      </c>
      <c r="C25" s="180" t="str">
        <f>Config!C11&amp;", "&amp;Config!D11</f>
        <v>Menke, Damian</v>
      </c>
      <c r="D25" s="186">
        <v>2</v>
      </c>
      <c r="E25" s="187">
        <v>2.5</v>
      </c>
      <c r="F25" s="181">
        <f t="shared" si="0"/>
        <v>4.5</v>
      </c>
    </row>
    <row r="26" spans="2:6" s="116" customFormat="1" ht="13.15" customHeight="1" x14ac:dyDescent="0.2">
      <c r="B26" s="164"/>
      <c r="C26" s="165" t="s">
        <v>126</v>
      </c>
      <c r="D26" s="166"/>
      <c r="E26" s="167"/>
      <c r="F26" s="151">
        <f t="shared" si="0"/>
        <v>0</v>
      </c>
    </row>
    <row r="27" spans="2:6" s="116" customFormat="1" ht="13.15" customHeight="1" x14ac:dyDescent="0.2">
      <c r="B27" s="168"/>
      <c r="C27" s="169" t="s">
        <v>127</v>
      </c>
      <c r="D27" s="148"/>
      <c r="E27" s="149"/>
      <c r="F27" s="150">
        <f t="shared" si="0"/>
        <v>0</v>
      </c>
    </row>
    <row r="28" spans="2:6" ht="18" customHeight="1" x14ac:dyDescent="0.2">
      <c r="B28" s="174">
        <v>8</v>
      </c>
      <c r="C28" s="175" t="str">
        <f>Config!C12&amp;", "&amp;Config!D12</f>
        <v>Carroll, Meik</v>
      </c>
      <c r="D28" s="184">
        <v>2</v>
      </c>
      <c r="E28" s="185">
        <v>2</v>
      </c>
      <c r="F28" s="176">
        <f t="shared" si="0"/>
        <v>4</v>
      </c>
    </row>
    <row r="29" spans="2:6" s="116" customFormat="1" ht="13.15" customHeight="1" x14ac:dyDescent="0.2">
      <c r="B29" s="170"/>
      <c r="C29" s="171" t="s">
        <v>126</v>
      </c>
      <c r="D29" s="172"/>
      <c r="E29" s="173"/>
      <c r="F29" s="154">
        <f t="shared" si="0"/>
        <v>0</v>
      </c>
    </row>
    <row r="30" spans="2:6" s="116" customFormat="1" ht="13.15" customHeight="1" x14ac:dyDescent="0.2">
      <c r="B30" s="177"/>
      <c r="C30" s="178" t="s">
        <v>127</v>
      </c>
      <c r="D30" s="148"/>
      <c r="E30" s="149"/>
      <c r="F30" s="153">
        <f t="shared" si="0"/>
        <v>0</v>
      </c>
    </row>
    <row r="31" spans="2:6" ht="18" customHeight="1" x14ac:dyDescent="0.2">
      <c r="B31" s="179">
        <v>9</v>
      </c>
      <c r="C31" s="180" t="str">
        <f>Config!C13&amp;", "&amp;Config!D13</f>
        <v>Hennings, Tomas</v>
      </c>
      <c r="D31" s="186">
        <v>1.5</v>
      </c>
      <c r="E31" s="187">
        <v>3</v>
      </c>
      <c r="F31" s="181">
        <f t="shared" si="0"/>
        <v>4.5</v>
      </c>
    </row>
    <row r="32" spans="2:6" s="116" customFormat="1" ht="13.15" customHeight="1" x14ac:dyDescent="0.2">
      <c r="B32" s="164"/>
      <c r="C32" s="165" t="s">
        <v>126</v>
      </c>
      <c r="D32" s="166"/>
      <c r="E32" s="167"/>
      <c r="F32" s="151">
        <f t="shared" si="0"/>
        <v>0</v>
      </c>
    </row>
    <row r="33" spans="2:6" s="116" customFormat="1" ht="13.15" customHeight="1" x14ac:dyDescent="0.2">
      <c r="B33" s="168"/>
      <c r="C33" s="169" t="s">
        <v>127</v>
      </c>
      <c r="D33" s="148"/>
      <c r="E33" s="149"/>
      <c r="F33" s="150">
        <f t="shared" si="0"/>
        <v>0</v>
      </c>
    </row>
    <row r="34" spans="2:6" ht="18" customHeight="1" x14ac:dyDescent="0.2">
      <c r="B34" s="174">
        <v>10</v>
      </c>
      <c r="C34" s="175" t="str">
        <f>Config!C14&amp;", "&amp;Config!D14</f>
        <v>Walters, Linn</v>
      </c>
      <c r="D34" s="184">
        <v>1</v>
      </c>
      <c r="E34" s="185">
        <v>0</v>
      </c>
      <c r="F34" s="176">
        <f t="shared" si="0"/>
        <v>1</v>
      </c>
    </row>
    <row r="35" spans="2:6" s="116" customFormat="1" ht="13.15" customHeight="1" x14ac:dyDescent="0.2">
      <c r="B35" s="170"/>
      <c r="C35" s="171" t="s">
        <v>126</v>
      </c>
      <c r="D35" s="172"/>
      <c r="E35" s="173"/>
      <c r="F35" s="154">
        <f t="shared" si="0"/>
        <v>0</v>
      </c>
    </row>
    <row r="36" spans="2:6" s="116" customFormat="1" ht="13.15" customHeight="1" x14ac:dyDescent="0.2">
      <c r="B36" s="177"/>
      <c r="C36" s="178" t="s">
        <v>127</v>
      </c>
      <c r="D36" s="148"/>
      <c r="E36" s="149"/>
      <c r="F36" s="153">
        <f t="shared" si="0"/>
        <v>0</v>
      </c>
    </row>
    <row r="37" spans="2:6" ht="18" customHeight="1" x14ac:dyDescent="0.2">
      <c r="B37" s="179">
        <v>11</v>
      </c>
      <c r="C37" s="180" t="str">
        <f>Config!C15&amp;", "&amp;Config!D15</f>
        <v>Junker, Amely</v>
      </c>
      <c r="D37" s="186">
        <v>2</v>
      </c>
      <c r="E37" s="187">
        <v>0</v>
      </c>
      <c r="F37" s="181">
        <f t="shared" si="0"/>
        <v>2</v>
      </c>
    </row>
    <row r="38" spans="2:6" s="116" customFormat="1" ht="13.15" customHeight="1" x14ac:dyDescent="0.2">
      <c r="B38" s="164"/>
      <c r="C38" s="165" t="s">
        <v>126</v>
      </c>
      <c r="D38" s="166"/>
      <c r="E38" s="167"/>
      <c r="F38" s="151">
        <f t="shared" si="0"/>
        <v>0</v>
      </c>
    </row>
    <row r="39" spans="2:6" s="116" customFormat="1" ht="13.15" customHeight="1" x14ac:dyDescent="0.2">
      <c r="B39" s="168"/>
      <c r="C39" s="169" t="s">
        <v>127</v>
      </c>
      <c r="D39" s="148"/>
      <c r="E39" s="149"/>
      <c r="F39" s="150">
        <f t="shared" ref="F39:F70" si="1">SUM(D39:E39)</f>
        <v>0</v>
      </c>
    </row>
    <row r="40" spans="2:6" ht="18" customHeight="1" x14ac:dyDescent="0.2">
      <c r="B40" s="174">
        <v>12</v>
      </c>
      <c r="C40" s="175" t="str">
        <f>Config!C16&amp;", "&amp;Config!D16</f>
        <v>Stephens, Melvin</v>
      </c>
      <c r="D40" s="184">
        <v>0.5</v>
      </c>
      <c r="E40" s="185">
        <v>0</v>
      </c>
      <c r="F40" s="176">
        <f t="shared" si="1"/>
        <v>0.5</v>
      </c>
    </row>
    <row r="41" spans="2:6" s="116" customFormat="1" ht="13.15" customHeight="1" x14ac:dyDescent="0.2">
      <c r="B41" s="170"/>
      <c r="C41" s="171" t="s">
        <v>126</v>
      </c>
      <c r="D41" s="172"/>
      <c r="E41" s="173"/>
      <c r="F41" s="154">
        <f t="shared" si="1"/>
        <v>0</v>
      </c>
    </row>
    <row r="42" spans="2:6" s="116" customFormat="1" ht="13.15" customHeight="1" x14ac:dyDescent="0.2">
      <c r="B42" s="177"/>
      <c r="C42" s="178" t="s">
        <v>127</v>
      </c>
      <c r="D42" s="148"/>
      <c r="E42" s="149"/>
      <c r="F42" s="153">
        <f t="shared" si="1"/>
        <v>0</v>
      </c>
    </row>
    <row r="43" spans="2:6" ht="18" customHeight="1" x14ac:dyDescent="0.2">
      <c r="B43" s="179">
        <v>13</v>
      </c>
      <c r="C43" s="180" t="str">
        <f>Config!C17&amp;", "&amp;Config!D17</f>
        <v>Cremer, Marvin</v>
      </c>
      <c r="D43" s="186">
        <v>1.5</v>
      </c>
      <c r="E43" s="187">
        <v>3</v>
      </c>
      <c r="F43" s="181">
        <f t="shared" si="1"/>
        <v>4.5</v>
      </c>
    </row>
    <row r="44" spans="2:6" s="116" customFormat="1" ht="13.15" customHeight="1" x14ac:dyDescent="0.2">
      <c r="B44" s="164"/>
      <c r="C44" s="165" t="s">
        <v>126</v>
      </c>
      <c r="D44" s="166"/>
      <c r="E44" s="167"/>
      <c r="F44" s="151">
        <f t="shared" si="1"/>
        <v>0</v>
      </c>
    </row>
    <row r="45" spans="2:6" s="116" customFormat="1" ht="13.15" customHeight="1" x14ac:dyDescent="0.2">
      <c r="B45" s="168"/>
      <c r="C45" s="169" t="s">
        <v>127</v>
      </c>
      <c r="D45" s="148"/>
      <c r="E45" s="149"/>
      <c r="F45" s="150">
        <f t="shared" si="1"/>
        <v>0</v>
      </c>
    </row>
    <row r="46" spans="2:6" ht="18" customHeight="1" x14ac:dyDescent="0.2">
      <c r="B46" s="174">
        <v>14</v>
      </c>
      <c r="C46" s="175" t="str">
        <f>Config!C18&amp;", "&amp;Config!D18</f>
        <v>Nash, Jean</v>
      </c>
      <c r="D46" s="184">
        <v>2</v>
      </c>
      <c r="E46" s="185">
        <v>2</v>
      </c>
      <c r="F46" s="176">
        <f t="shared" si="1"/>
        <v>4</v>
      </c>
    </row>
    <row r="47" spans="2:6" s="116" customFormat="1" ht="13.15" customHeight="1" x14ac:dyDescent="0.2">
      <c r="B47" s="170"/>
      <c r="C47" s="171" t="s">
        <v>126</v>
      </c>
      <c r="D47" s="172"/>
      <c r="E47" s="173"/>
      <c r="F47" s="154">
        <f t="shared" si="1"/>
        <v>0</v>
      </c>
    </row>
    <row r="48" spans="2:6" s="116" customFormat="1" ht="13.15" customHeight="1" x14ac:dyDescent="0.2">
      <c r="B48" s="177"/>
      <c r="C48" s="178" t="s">
        <v>127</v>
      </c>
      <c r="D48" s="148"/>
      <c r="E48" s="149"/>
      <c r="F48" s="153">
        <f t="shared" si="1"/>
        <v>0</v>
      </c>
    </row>
    <row r="49" spans="2:6" ht="18" customHeight="1" x14ac:dyDescent="0.2">
      <c r="B49" s="179">
        <v>15</v>
      </c>
      <c r="C49" s="180" t="str">
        <f>Config!C19&amp;", "&amp;Config!D19</f>
        <v>Schön, Leonardo</v>
      </c>
      <c r="D49" s="186">
        <v>2</v>
      </c>
      <c r="E49" s="187">
        <v>3</v>
      </c>
      <c r="F49" s="181">
        <f t="shared" si="1"/>
        <v>5</v>
      </c>
    </row>
    <row r="50" spans="2:6" s="116" customFormat="1" ht="13.15" customHeight="1" x14ac:dyDescent="0.2">
      <c r="B50" s="164"/>
      <c r="C50" s="165" t="s">
        <v>126</v>
      </c>
      <c r="D50" s="166"/>
      <c r="E50" s="167"/>
      <c r="F50" s="151">
        <f t="shared" si="1"/>
        <v>0</v>
      </c>
    </row>
    <row r="51" spans="2:6" s="116" customFormat="1" ht="13.15" customHeight="1" x14ac:dyDescent="0.2">
      <c r="B51" s="168"/>
      <c r="C51" s="169" t="s">
        <v>127</v>
      </c>
      <c r="D51" s="148"/>
      <c r="E51" s="149"/>
      <c r="F51" s="150">
        <f t="shared" si="1"/>
        <v>0</v>
      </c>
    </row>
    <row r="52" spans="2:6" ht="18" customHeight="1" x14ac:dyDescent="0.2">
      <c r="B52" s="174">
        <v>16</v>
      </c>
      <c r="C52" s="175" t="str">
        <f>Config!C20&amp;", "&amp;Config!D20</f>
        <v>Sigl, Nicholas</v>
      </c>
      <c r="D52" s="184">
        <v>2</v>
      </c>
      <c r="E52" s="185">
        <v>2.5</v>
      </c>
      <c r="F52" s="176">
        <f t="shared" si="1"/>
        <v>4.5</v>
      </c>
    </row>
    <row r="53" spans="2:6" s="116" customFormat="1" ht="13.15" customHeight="1" x14ac:dyDescent="0.2">
      <c r="B53" s="170"/>
      <c r="C53" s="171" t="s">
        <v>126</v>
      </c>
      <c r="D53" s="172"/>
      <c r="E53" s="173"/>
      <c r="F53" s="154">
        <f t="shared" si="1"/>
        <v>0</v>
      </c>
    </row>
    <row r="54" spans="2:6" s="116" customFormat="1" ht="13.15" customHeight="1" x14ac:dyDescent="0.2">
      <c r="B54" s="177"/>
      <c r="C54" s="178" t="s">
        <v>127</v>
      </c>
      <c r="D54" s="148"/>
      <c r="E54" s="149"/>
      <c r="F54" s="153">
        <f t="shared" si="1"/>
        <v>0</v>
      </c>
    </row>
    <row r="55" spans="2:6" ht="18" customHeight="1" x14ac:dyDescent="0.2">
      <c r="B55" s="179">
        <v>17</v>
      </c>
      <c r="C55" s="180" t="str">
        <f>Config!C21&amp;", "&amp;Config!D21</f>
        <v>Kainz, Vivienne</v>
      </c>
      <c r="D55" s="186">
        <v>2</v>
      </c>
      <c r="E55" s="187">
        <v>3</v>
      </c>
      <c r="F55" s="181">
        <f t="shared" si="1"/>
        <v>5</v>
      </c>
    </row>
    <row r="56" spans="2:6" s="116" customFormat="1" ht="13.15" customHeight="1" x14ac:dyDescent="0.2">
      <c r="B56" s="164"/>
      <c r="C56" s="165" t="s">
        <v>126</v>
      </c>
      <c r="D56" s="166"/>
      <c r="E56" s="167"/>
      <c r="F56" s="151">
        <f t="shared" si="1"/>
        <v>0</v>
      </c>
    </row>
    <row r="57" spans="2:6" s="116" customFormat="1" ht="13.15" customHeight="1" x14ac:dyDescent="0.2">
      <c r="B57" s="168"/>
      <c r="C57" s="169" t="s">
        <v>127</v>
      </c>
      <c r="D57" s="148"/>
      <c r="E57" s="149"/>
      <c r="F57" s="150">
        <f t="shared" si="1"/>
        <v>0</v>
      </c>
    </row>
    <row r="58" spans="2:6" ht="18" customHeight="1" x14ac:dyDescent="0.2">
      <c r="B58" s="174">
        <v>18</v>
      </c>
      <c r="C58" s="175" t="str">
        <f>Config!C22&amp;", "&amp;Config!D22</f>
        <v>Hartmann, Mads</v>
      </c>
      <c r="D58" s="184">
        <v>1</v>
      </c>
      <c r="E58" s="185">
        <v>0</v>
      </c>
      <c r="F58" s="176">
        <f t="shared" si="1"/>
        <v>1</v>
      </c>
    </row>
    <row r="59" spans="2:6" s="116" customFormat="1" ht="13.15" customHeight="1" x14ac:dyDescent="0.2">
      <c r="B59" s="170"/>
      <c r="C59" s="171" t="s">
        <v>126</v>
      </c>
      <c r="D59" s="172"/>
      <c r="E59" s="173"/>
      <c r="F59" s="154">
        <f t="shared" si="1"/>
        <v>0</v>
      </c>
    </row>
    <row r="60" spans="2:6" s="116" customFormat="1" ht="13.15" customHeight="1" x14ac:dyDescent="0.2">
      <c r="B60" s="177"/>
      <c r="C60" s="178" t="s">
        <v>127</v>
      </c>
      <c r="D60" s="148"/>
      <c r="E60" s="149"/>
      <c r="F60" s="153">
        <f t="shared" si="1"/>
        <v>0</v>
      </c>
    </row>
    <row r="61" spans="2:6" ht="18" customHeight="1" x14ac:dyDescent="0.2">
      <c r="B61" s="179">
        <v>19</v>
      </c>
      <c r="C61" s="180" t="str">
        <f>Config!C23&amp;", "&amp;Config!D23</f>
        <v>Ullmann, Raphael</v>
      </c>
      <c r="D61" s="186">
        <v>2</v>
      </c>
      <c r="E61" s="187">
        <v>0</v>
      </c>
      <c r="F61" s="181">
        <f t="shared" si="1"/>
        <v>2</v>
      </c>
    </row>
    <row r="62" spans="2:6" s="116" customFormat="1" ht="13.15" customHeight="1" x14ac:dyDescent="0.2">
      <c r="B62" s="164"/>
      <c r="C62" s="165" t="s">
        <v>126</v>
      </c>
      <c r="D62" s="166"/>
      <c r="E62" s="167"/>
      <c r="F62" s="151">
        <f t="shared" si="1"/>
        <v>0</v>
      </c>
    </row>
    <row r="63" spans="2:6" s="116" customFormat="1" ht="13.15" customHeight="1" x14ac:dyDescent="0.2">
      <c r="B63" s="168"/>
      <c r="C63" s="169" t="s">
        <v>127</v>
      </c>
      <c r="D63" s="148"/>
      <c r="E63" s="149"/>
      <c r="F63" s="150">
        <f t="shared" si="1"/>
        <v>0</v>
      </c>
    </row>
    <row r="64" spans="2:6" ht="18" customHeight="1" x14ac:dyDescent="0.2">
      <c r="B64" s="174">
        <v>20</v>
      </c>
      <c r="C64" s="175" t="str">
        <f>Config!C24&amp;", "&amp;Config!D24</f>
        <v>Hartl, Emmely</v>
      </c>
      <c r="D64" s="184">
        <v>2</v>
      </c>
      <c r="E64" s="185">
        <v>0</v>
      </c>
      <c r="F64" s="176">
        <f t="shared" si="1"/>
        <v>2</v>
      </c>
    </row>
    <row r="65" spans="2:6" s="116" customFormat="1" ht="13.15" customHeight="1" x14ac:dyDescent="0.2">
      <c r="B65" s="170"/>
      <c r="C65" s="171" t="s">
        <v>126</v>
      </c>
      <c r="D65" s="172"/>
      <c r="E65" s="173"/>
      <c r="F65" s="154">
        <f t="shared" si="1"/>
        <v>0</v>
      </c>
    </row>
    <row r="66" spans="2:6" s="116" customFormat="1" ht="13.15" customHeight="1" x14ac:dyDescent="0.2">
      <c r="B66" s="177"/>
      <c r="C66" s="178" t="s">
        <v>127</v>
      </c>
      <c r="D66" s="148"/>
      <c r="E66" s="149"/>
      <c r="F66" s="153">
        <f t="shared" si="1"/>
        <v>0</v>
      </c>
    </row>
    <row r="67" spans="2:6" ht="18" customHeight="1" x14ac:dyDescent="0.2">
      <c r="B67" s="179">
        <v>21</v>
      </c>
      <c r="C67" s="180" t="str">
        <f>Config!C25&amp;", "&amp;Config!D25</f>
        <v>Klotz, Karin</v>
      </c>
      <c r="D67" s="186">
        <v>2</v>
      </c>
      <c r="E67" s="187">
        <v>3</v>
      </c>
      <c r="F67" s="181">
        <f t="shared" si="1"/>
        <v>5</v>
      </c>
    </row>
    <row r="68" spans="2:6" s="116" customFormat="1" ht="13.15" customHeight="1" x14ac:dyDescent="0.2">
      <c r="B68" s="164"/>
      <c r="C68" s="165" t="s">
        <v>126</v>
      </c>
      <c r="D68" s="166"/>
      <c r="E68" s="167"/>
      <c r="F68" s="151">
        <f t="shared" si="1"/>
        <v>0</v>
      </c>
    </row>
    <row r="69" spans="2:6" s="116" customFormat="1" ht="13.15" customHeight="1" x14ac:dyDescent="0.2">
      <c r="B69" s="168"/>
      <c r="C69" s="169" t="s">
        <v>127</v>
      </c>
      <c r="D69" s="148"/>
      <c r="E69" s="149"/>
      <c r="F69" s="150">
        <f t="shared" si="1"/>
        <v>0</v>
      </c>
    </row>
    <row r="70" spans="2:6" ht="18" customHeight="1" x14ac:dyDescent="0.2">
      <c r="B70" s="174">
        <v>22</v>
      </c>
      <c r="C70" s="175" t="str">
        <f>Config!C26&amp;", "&amp;Config!D26</f>
        <v>Ehlers, Ingo</v>
      </c>
      <c r="D70" s="184">
        <v>2</v>
      </c>
      <c r="E70" s="185">
        <v>3</v>
      </c>
      <c r="F70" s="176">
        <f t="shared" si="1"/>
        <v>5</v>
      </c>
    </row>
    <row r="71" spans="2:6" s="116" customFormat="1" ht="13.15" customHeight="1" x14ac:dyDescent="0.2">
      <c r="B71" s="170"/>
      <c r="C71" s="171" t="s">
        <v>126</v>
      </c>
      <c r="D71" s="172"/>
      <c r="E71" s="173"/>
      <c r="F71" s="154">
        <f t="shared" ref="F71:F75" si="2">SUM(D71:E71)</f>
        <v>0</v>
      </c>
    </row>
    <row r="72" spans="2:6" s="116" customFormat="1" ht="13.15" customHeight="1" x14ac:dyDescent="0.2">
      <c r="B72" s="177"/>
      <c r="C72" s="178" t="s">
        <v>127</v>
      </c>
      <c r="D72" s="148"/>
      <c r="E72" s="149"/>
      <c r="F72" s="153">
        <f t="shared" si="2"/>
        <v>0</v>
      </c>
    </row>
    <row r="73" spans="2:6" ht="18" customHeight="1" thickBot="1" x14ac:dyDescent="0.25">
      <c r="B73" s="144">
        <v>23</v>
      </c>
      <c r="C73" s="139" t="str">
        <f>Config!C27&amp;", "&amp;Config!D27</f>
        <v>Lindemann, Mads</v>
      </c>
      <c r="D73" s="95">
        <v>2</v>
      </c>
      <c r="E73" s="96">
        <v>1</v>
      </c>
      <c r="F73" s="147">
        <f t="shared" si="2"/>
        <v>3</v>
      </c>
    </row>
    <row r="74" spans="2:6" s="116" customFormat="1" ht="13.15" customHeight="1" x14ac:dyDescent="0.2">
      <c r="B74" s="164"/>
      <c r="C74" s="165" t="s">
        <v>126</v>
      </c>
      <c r="D74" s="166"/>
      <c r="E74" s="167"/>
      <c r="F74" s="151">
        <f t="shared" si="2"/>
        <v>0</v>
      </c>
    </row>
    <row r="75" spans="2:6" s="116" customFormat="1" ht="13.15" customHeight="1" thickBot="1" x14ac:dyDescent="0.25">
      <c r="B75" s="155"/>
      <c r="C75" s="158" t="s">
        <v>127</v>
      </c>
      <c r="D75" s="156"/>
      <c r="E75" s="157"/>
      <c r="F75" s="152">
        <f t="shared" si="2"/>
        <v>0</v>
      </c>
    </row>
    <row r="76" spans="2:6" ht="18" customHeight="1" thickBot="1" x14ac:dyDescent="0.25">
      <c r="B76" s="119"/>
      <c r="C76" s="120"/>
      <c r="D76" s="120">
        <f>IF(COUNTIFS(D7:D73,"&lt;&gt;",C7:C73,"&lt;&gt;ZK",C7:C73,"&lt;&gt;DK")&lt;&gt;0,SUMIFS(D7:D73,C7:C73,"&lt;&gt;ZK",C7:C73,"&lt;&gt;DK")/(COUNTIFS(D7:D73,"&lt;&gt;",C7:C73,"&lt;&gt;ZK",C7:C73,"&lt;&gt;DK")*D6),0)</f>
        <v>0.82608695652173914</v>
      </c>
      <c r="E76" s="120">
        <f>IF(COUNTIFS(E7:E73,"&lt;&gt;",C7:C73,"&lt;&gt;ZK",C7:C73,"&lt;&gt;DK")&lt;&gt;0,SUMIFS(E7:E73,C7:C73,"&lt;&gt;ZK",C7:C73,"&lt;&gt;DK")/(COUNTIFS(E7:E73,"&lt;&gt;",C7:C73,"&lt;&gt;ZK",C7:C73,"&lt;&gt;DK")*E6),0)</f>
        <v>0.56521739130434778</v>
      </c>
      <c r="F76" s="121"/>
    </row>
    <row r="77" spans="2:6" ht="18" customHeight="1" x14ac:dyDescent="0.2"/>
    <row r="78" spans="2:6" ht="18" customHeight="1" x14ac:dyDescent="0.2"/>
    <row r="79" spans="2:6" ht="18" customHeight="1" x14ac:dyDescent="0.2"/>
    <row r="80" spans="2:6"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electLockedCells="1"/>
  <dataValidations count="2">
    <dataValidation type="decimal" allowBlank="1" showErrorMessage="1" sqref="D7:D75" xr:uid="{175966EB-922B-4F8F-BFB8-2A65D8B0B098}">
      <formula1>0</formula1>
      <formula2>$D$6</formula2>
    </dataValidation>
    <dataValidation type="decimal" allowBlank="1" showErrorMessage="1" sqref="E7:E75" xr:uid="{8DF27EE0-5EB9-4A8B-948A-C8DAE9D847E4}">
      <formula1>0</formula1>
      <formula2>$E$6</formula2>
    </dataValidation>
  </dataValidation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B4F5D1-D302-488E-8362-C6BD3D966EE4}">
  <sheetPr codeName="Tabelle6">
    <tabColor rgb="FF92D050"/>
  </sheetPr>
  <dimension ref="B1:I100"/>
  <sheetViews>
    <sheetView workbookViewId="0">
      <selection activeCell="D7" sqref="D7"/>
    </sheetView>
  </sheetViews>
  <sheetFormatPr baseColWidth="10" defaultColWidth="11.5703125" defaultRowHeight="12.75" x14ac:dyDescent="0.2"/>
  <cols>
    <col min="1" max="2" width="3.42578125" style="98" customWidth="1"/>
    <col min="3" max="3" width="25.7109375" style="98" customWidth="1"/>
    <col min="4" max="9" width="8.7109375" style="98" customWidth="1"/>
    <col min="10" max="16384" width="11.5703125" style="98"/>
  </cols>
  <sheetData>
    <row r="1" spans="2:9" ht="18" customHeight="1" thickBot="1" x14ac:dyDescent="0.25"/>
    <row r="2" spans="2:9" ht="18" customHeight="1" x14ac:dyDescent="0.2">
      <c r="B2" s="99" t="str">
        <f>Config!F2&amp;" "&amp;YEAR(Config!G24)</f>
        <v>Mathe Abitur 2026</v>
      </c>
      <c r="C2" s="100"/>
      <c r="D2" s="100"/>
      <c r="E2" s="100"/>
      <c r="F2" s="101"/>
      <c r="G2" s="101"/>
      <c r="H2" s="101"/>
      <c r="I2" s="102" t="str">
        <f>"Kurs "&amp;Config!G26</f>
        <v>Kurs K1</v>
      </c>
    </row>
    <row r="3" spans="2:9" ht="18" customHeight="1" x14ac:dyDescent="0.2">
      <c r="B3" s="103" t="s">
        <v>14</v>
      </c>
      <c r="C3" s="104"/>
      <c r="D3" s="104"/>
      <c r="E3" s="104"/>
      <c r="F3" s="104"/>
      <c r="G3" s="104"/>
      <c r="H3" s="104"/>
      <c r="I3" s="105"/>
    </row>
    <row r="4" spans="2:9" ht="18" customHeight="1" thickBot="1" x14ac:dyDescent="0.25">
      <c r="B4" s="103"/>
      <c r="C4" s="104"/>
      <c r="D4" s="106"/>
      <c r="E4" s="106"/>
      <c r="F4" s="106"/>
      <c r="G4" s="106"/>
      <c r="H4" s="106"/>
      <c r="I4" s="107"/>
    </row>
    <row r="5" spans="2:9" ht="18" customHeight="1" thickBot="1" x14ac:dyDescent="0.25">
      <c r="B5" s="108"/>
      <c r="C5" s="110"/>
      <c r="D5" s="124" t="str">
        <f>Config!P6</f>
        <v>1a</v>
      </c>
      <c r="E5" s="124" t="str">
        <f>Config!P7</f>
        <v>1b</v>
      </c>
      <c r="F5" s="124" t="str">
        <f>Config!P8</f>
        <v>1c</v>
      </c>
      <c r="G5" s="124" t="str">
        <f>Config!P9</f>
        <v>1d</v>
      </c>
      <c r="H5" s="124" t="str">
        <f>Config!P10</f>
        <v>1e</v>
      </c>
      <c r="I5" s="114" t="s">
        <v>82</v>
      </c>
    </row>
    <row r="6" spans="2:9" ht="18" customHeight="1" thickBot="1" x14ac:dyDescent="0.25">
      <c r="B6" s="109"/>
      <c r="C6" s="111" t="s">
        <v>81</v>
      </c>
      <c r="D6" s="113">
        <f>Config!Q6</f>
        <v>4</v>
      </c>
      <c r="E6" s="113">
        <f>Config!Q7</f>
        <v>3</v>
      </c>
      <c r="F6" s="113">
        <f>Config!Q8</f>
        <v>4</v>
      </c>
      <c r="G6" s="113">
        <f>Config!Q9</f>
        <v>3</v>
      </c>
      <c r="H6" s="113">
        <f>Config!Q10</f>
        <v>4</v>
      </c>
      <c r="I6" s="125">
        <f>Config!Q21</f>
        <v>18</v>
      </c>
    </row>
    <row r="7" spans="2:9" ht="18" customHeight="1" x14ac:dyDescent="0.2">
      <c r="B7" s="161">
        <v>1</v>
      </c>
      <c r="C7" s="162" t="str">
        <f>Config!C5&amp;", "&amp;Config!D5</f>
        <v>Höfer, Simon</v>
      </c>
      <c r="D7" s="182">
        <v>4</v>
      </c>
      <c r="E7" s="182">
        <v>2</v>
      </c>
      <c r="F7" s="182">
        <v>2</v>
      </c>
      <c r="G7" s="182">
        <v>0.5</v>
      </c>
      <c r="H7" s="183">
        <v>0.5</v>
      </c>
      <c r="I7" s="163">
        <f t="shared" ref="I7:I38" si="0">SUM(D7:H7)</f>
        <v>9</v>
      </c>
    </row>
    <row r="8" spans="2:9" s="116" customFormat="1" ht="13.15" customHeight="1" x14ac:dyDescent="0.2">
      <c r="B8" s="164"/>
      <c r="C8" s="165" t="s">
        <v>126</v>
      </c>
      <c r="D8" s="166"/>
      <c r="E8" s="166"/>
      <c r="F8" s="166"/>
      <c r="G8" s="166"/>
      <c r="H8" s="167"/>
      <c r="I8" s="151">
        <f t="shared" si="0"/>
        <v>0</v>
      </c>
    </row>
    <row r="9" spans="2:9" s="116" customFormat="1" ht="13.15" customHeight="1" x14ac:dyDescent="0.2">
      <c r="B9" s="168"/>
      <c r="C9" s="169" t="s">
        <v>127</v>
      </c>
      <c r="D9" s="148"/>
      <c r="E9" s="148"/>
      <c r="F9" s="148"/>
      <c r="G9" s="148"/>
      <c r="H9" s="149"/>
      <c r="I9" s="150">
        <f t="shared" si="0"/>
        <v>0</v>
      </c>
    </row>
    <row r="10" spans="2:9" ht="18" customHeight="1" x14ac:dyDescent="0.2">
      <c r="B10" s="174">
        <v>2</v>
      </c>
      <c r="C10" s="175" t="str">
        <f>Config!C6&amp;", "&amp;Config!D6</f>
        <v>Töpfer, Lilian</v>
      </c>
      <c r="D10" s="184">
        <v>4</v>
      </c>
      <c r="E10" s="184">
        <v>0</v>
      </c>
      <c r="F10" s="184">
        <v>2.5</v>
      </c>
      <c r="G10" s="184">
        <v>0.5</v>
      </c>
      <c r="H10" s="185">
        <v>2</v>
      </c>
      <c r="I10" s="176">
        <f t="shared" si="0"/>
        <v>9</v>
      </c>
    </row>
    <row r="11" spans="2:9" s="116" customFormat="1" ht="13.15" customHeight="1" x14ac:dyDescent="0.2">
      <c r="B11" s="170"/>
      <c r="C11" s="171" t="s">
        <v>126</v>
      </c>
      <c r="D11" s="172"/>
      <c r="E11" s="172"/>
      <c r="F11" s="172"/>
      <c r="G11" s="172"/>
      <c r="H11" s="173"/>
      <c r="I11" s="154">
        <f t="shared" si="0"/>
        <v>0</v>
      </c>
    </row>
    <row r="12" spans="2:9" s="116" customFormat="1" ht="13.15" customHeight="1" x14ac:dyDescent="0.2">
      <c r="B12" s="177"/>
      <c r="C12" s="178" t="s">
        <v>127</v>
      </c>
      <c r="D12" s="148"/>
      <c r="E12" s="148"/>
      <c r="F12" s="148"/>
      <c r="G12" s="148"/>
      <c r="H12" s="149"/>
      <c r="I12" s="153">
        <f t="shared" si="0"/>
        <v>0</v>
      </c>
    </row>
    <row r="13" spans="2:9" ht="18" customHeight="1" x14ac:dyDescent="0.2">
      <c r="B13" s="179">
        <v>3</v>
      </c>
      <c r="C13" s="180" t="str">
        <f>Config!C7&amp;", "&amp;Config!D7</f>
        <v>Fleischmann, Leonie</v>
      </c>
      <c r="D13" s="186">
        <v>4</v>
      </c>
      <c r="E13" s="186">
        <v>2</v>
      </c>
      <c r="F13" s="186">
        <v>3</v>
      </c>
      <c r="G13" s="186">
        <v>2</v>
      </c>
      <c r="H13" s="187">
        <v>3</v>
      </c>
      <c r="I13" s="181">
        <f t="shared" si="0"/>
        <v>14</v>
      </c>
    </row>
    <row r="14" spans="2:9" s="116" customFormat="1" ht="13.15" customHeight="1" x14ac:dyDescent="0.2">
      <c r="B14" s="164"/>
      <c r="C14" s="165" t="s">
        <v>126</v>
      </c>
      <c r="D14" s="166"/>
      <c r="E14" s="166"/>
      <c r="F14" s="166"/>
      <c r="G14" s="166"/>
      <c r="H14" s="167"/>
      <c r="I14" s="151">
        <f t="shared" si="0"/>
        <v>0</v>
      </c>
    </row>
    <row r="15" spans="2:9" s="116" customFormat="1" ht="13.15" customHeight="1" x14ac:dyDescent="0.2">
      <c r="B15" s="168"/>
      <c r="C15" s="169" t="s">
        <v>127</v>
      </c>
      <c r="D15" s="148"/>
      <c r="E15" s="148"/>
      <c r="F15" s="148"/>
      <c r="G15" s="148"/>
      <c r="H15" s="149"/>
      <c r="I15" s="150">
        <f t="shared" si="0"/>
        <v>0</v>
      </c>
    </row>
    <row r="16" spans="2:9" ht="18" customHeight="1" x14ac:dyDescent="0.2">
      <c r="B16" s="174">
        <v>4</v>
      </c>
      <c r="C16" s="175" t="str">
        <f>Config!C8&amp;", "&amp;Config!D8</f>
        <v>Drescher, Cedric</v>
      </c>
      <c r="D16" s="184">
        <v>4</v>
      </c>
      <c r="E16" s="184">
        <v>2</v>
      </c>
      <c r="F16" s="184">
        <v>3.5</v>
      </c>
      <c r="G16" s="184">
        <v>0</v>
      </c>
      <c r="H16" s="185">
        <v>4</v>
      </c>
      <c r="I16" s="176">
        <f t="shared" si="0"/>
        <v>13.5</v>
      </c>
    </row>
    <row r="17" spans="2:9" s="116" customFormat="1" ht="13.15" customHeight="1" x14ac:dyDescent="0.2">
      <c r="B17" s="170"/>
      <c r="C17" s="171" t="s">
        <v>126</v>
      </c>
      <c r="D17" s="172"/>
      <c r="E17" s="172"/>
      <c r="F17" s="172"/>
      <c r="G17" s="172"/>
      <c r="H17" s="173"/>
      <c r="I17" s="154">
        <f t="shared" si="0"/>
        <v>0</v>
      </c>
    </row>
    <row r="18" spans="2:9" s="116" customFormat="1" ht="13.15" customHeight="1" x14ac:dyDescent="0.2">
      <c r="B18" s="177"/>
      <c r="C18" s="178" t="s">
        <v>127</v>
      </c>
      <c r="D18" s="148"/>
      <c r="E18" s="148"/>
      <c r="F18" s="148"/>
      <c r="G18" s="148"/>
      <c r="H18" s="149"/>
      <c r="I18" s="153">
        <f t="shared" si="0"/>
        <v>0</v>
      </c>
    </row>
    <row r="19" spans="2:9" ht="18" customHeight="1" x14ac:dyDescent="0.2">
      <c r="B19" s="179">
        <v>5</v>
      </c>
      <c r="C19" s="180" t="str">
        <f>Config!C9&amp;", "&amp;Config!D9</f>
        <v>Baumgarten, Annabell</v>
      </c>
      <c r="D19" s="186">
        <v>4</v>
      </c>
      <c r="E19" s="186">
        <v>2</v>
      </c>
      <c r="F19" s="186">
        <v>3</v>
      </c>
      <c r="G19" s="186">
        <v>0</v>
      </c>
      <c r="H19" s="187">
        <v>3</v>
      </c>
      <c r="I19" s="181">
        <f t="shared" si="0"/>
        <v>12</v>
      </c>
    </row>
    <row r="20" spans="2:9" s="116" customFormat="1" ht="13.15" customHeight="1" x14ac:dyDescent="0.2">
      <c r="B20" s="164"/>
      <c r="C20" s="165" t="s">
        <v>126</v>
      </c>
      <c r="D20" s="166"/>
      <c r="E20" s="166"/>
      <c r="F20" s="166"/>
      <c r="G20" s="166"/>
      <c r="H20" s="167"/>
      <c r="I20" s="151">
        <f t="shared" si="0"/>
        <v>0</v>
      </c>
    </row>
    <row r="21" spans="2:9" s="116" customFormat="1" ht="13.15" customHeight="1" x14ac:dyDescent="0.2">
      <c r="B21" s="168"/>
      <c r="C21" s="169" t="s">
        <v>127</v>
      </c>
      <c r="D21" s="148"/>
      <c r="E21" s="148"/>
      <c r="F21" s="148"/>
      <c r="G21" s="148"/>
      <c r="H21" s="149"/>
      <c r="I21" s="150">
        <f t="shared" si="0"/>
        <v>0</v>
      </c>
    </row>
    <row r="22" spans="2:9" ht="18" customHeight="1" x14ac:dyDescent="0.2">
      <c r="B22" s="174">
        <v>6</v>
      </c>
      <c r="C22" s="175" t="str">
        <f>Config!C10&amp;", "&amp;Config!D10</f>
        <v>Traut, Stefanie</v>
      </c>
      <c r="D22" s="184">
        <v>4</v>
      </c>
      <c r="E22" s="184">
        <v>3</v>
      </c>
      <c r="F22" s="184">
        <v>4</v>
      </c>
      <c r="G22" s="184">
        <v>2</v>
      </c>
      <c r="H22" s="185">
        <v>4</v>
      </c>
      <c r="I22" s="176">
        <f t="shared" si="0"/>
        <v>17</v>
      </c>
    </row>
    <row r="23" spans="2:9" s="116" customFormat="1" ht="13.15" customHeight="1" x14ac:dyDescent="0.2">
      <c r="B23" s="170"/>
      <c r="C23" s="171" t="s">
        <v>126</v>
      </c>
      <c r="D23" s="172"/>
      <c r="E23" s="172"/>
      <c r="F23" s="172"/>
      <c r="G23" s="172"/>
      <c r="H23" s="173"/>
      <c r="I23" s="154">
        <f t="shared" si="0"/>
        <v>0</v>
      </c>
    </row>
    <row r="24" spans="2:9" s="116" customFormat="1" ht="13.15" customHeight="1" x14ac:dyDescent="0.2">
      <c r="B24" s="177"/>
      <c r="C24" s="178" t="s">
        <v>127</v>
      </c>
      <c r="D24" s="148"/>
      <c r="E24" s="148"/>
      <c r="F24" s="148"/>
      <c r="G24" s="148"/>
      <c r="H24" s="149"/>
      <c r="I24" s="153">
        <f t="shared" si="0"/>
        <v>0</v>
      </c>
    </row>
    <row r="25" spans="2:9" ht="18" customHeight="1" x14ac:dyDescent="0.2">
      <c r="B25" s="179">
        <v>7</v>
      </c>
      <c r="C25" s="180" t="str">
        <f>Config!C11&amp;", "&amp;Config!D11</f>
        <v>Menke, Damian</v>
      </c>
      <c r="D25" s="186">
        <v>4</v>
      </c>
      <c r="E25" s="186">
        <v>3</v>
      </c>
      <c r="F25" s="186">
        <v>3.5</v>
      </c>
      <c r="G25" s="186">
        <v>0.5</v>
      </c>
      <c r="H25" s="187">
        <v>4</v>
      </c>
      <c r="I25" s="181">
        <f t="shared" si="0"/>
        <v>15</v>
      </c>
    </row>
    <row r="26" spans="2:9" s="116" customFormat="1" ht="13.15" customHeight="1" x14ac:dyDescent="0.2">
      <c r="B26" s="164"/>
      <c r="C26" s="165" t="s">
        <v>126</v>
      </c>
      <c r="D26" s="166"/>
      <c r="E26" s="166"/>
      <c r="F26" s="166"/>
      <c r="G26" s="166"/>
      <c r="H26" s="167"/>
      <c r="I26" s="151">
        <f t="shared" si="0"/>
        <v>0</v>
      </c>
    </row>
    <row r="27" spans="2:9" s="116" customFormat="1" ht="13.15" customHeight="1" x14ac:dyDescent="0.2">
      <c r="B27" s="168"/>
      <c r="C27" s="169" t="s">
        <v>127</v>
      </c>
      <c r="D27" s="148"/>
      <c r="E27" s="148"/>
      <c r="F27" s="148"/>
      <c r="G27" s="148"/>
      <c r="H27" s="149"/>
      <c r="I27" s="150">
        <f t="shared" si="0"/>
        <v>0</v>
      </c>
    </row>
    <row r="28" spans="2:9" ht="18" customHeight="1" x14ac:dyDescent="0.2">
      <c r="B28" s="174">
        <v>8</v>
      </c>
      <c r="C28" s="175" t="str">
        <f>Config!C12&amp;", "&amp;Config!D12</f>
        <v>Carroll, Meik</v>
      </c>
      <c r="D28" s="184">
        <v>3.5</v>
      </c>
      <c r="E28" s="184">
        <v>2</v>
      </c>
      <c r="F28" s="184">
        <v>3.5</v>
      </c>
      <c r="G28" s="184">
        <v>2</v>
      </c>
      <c r="H28" s="185">
        <v>2</v>
      </c>
      <c r="I28" s="176">
        <f t="shared" si="0"/>
        <v>13</v>
      </c>
    </row>
    <row r="29" spans="2:9" s="116" customFormat="1" ht="13.15" customHeight="1" x14ac:dyDescent="0.2">
      <c r="B29" s="170"/>
      <c r="C29" s="171" t="s">
        <v>126</v>
      </c>
      <c r="D29" s="172"/>
      <c r="E29" s="172"/>
      <c r="F29" s="172"/>
      <c r="G29" s="172"/>
      <c r="H29" s="173"/>
      <c r="I29" s="154">
        <f t="shared" si="0"/>
        <v>0</v>
      </c>
    </row>
    <row r="30" spans="2:9" s="116" customFormat="1" ht="13.15" customHeight="1" x14ac:dyDescent="0.2">
      <c r="B30" s="177"/>
      <c r="C30" s="178" t="s">
        <v>127</v>
      </c>
      <c r="D30" s="148"/>
      <c r="E30" s="148"/>
      <c r="F30" s="148"/>
      <c r="G30" s="148"/>
      <c r="H30" s="149"/>
      <c r="I30" s="153">
        <f t="shared" si="0"/>
        <v>0</v>
      </c>
    </row>
    <row r="31" spans="2:9" ht="18" customHeight="1" x14ac:dyDescent="0.2">
      <c r="B31" s="179">
        <v>9</v>
      </c>
      <c r="C31" s="180" t="str">
        <f>Config!C13&amp;", "&amp;Config!D13</f>
        <v>Hennings, Tomas</v>
      </c>
      <c r="D31" s="186">
        <v>2</v>
      </c>
      <c r="E31" s="186">
        <v>0</v>
      </c>
      <c r="F31" s="186">
        <v>1</v>
      </c>
      <c r="G31" s="186">
        <v>1</v>
      </c>
      <c r="H31" s="187">
        <v>0</v>
      </c>
      <c r="I31" s="181">
        <f t="shared" si="0"/>
        <v>4</v>
      </c>
    </row>
    <row r="32" spans="2:9" s="116" customFormat="1" ht="13.15" customHeight="1" x14ac:dyDescent="0.2">
      <c r="B32" s="164"/>
      <c r="C32" s="165" t="s">
        <v>126</v>
      </c>
      <c r="D32" s="166"/>
      <c r="E32" s="166"/>
      <c r="F32" s="166"/>
      <c r="G32" s="166"/>
      <c r="H32" s="167"/>
      <c r="I32" s="151">
        <f t="shared" si="0"/>
        <v>0</v>
      </c>
    </row>
    <row r="33" spans="2:9" s="116" customFormat="1" ht="13.15" customHeight="1" x14ac:dyDescent="0.2">
      <c r="B33" s="168"/>
      <c r="C33" s="169" t="s">
        <v>127</v>
      </c>
      <c r="D33" s="148"/>
      <c r="E33" s="148"/>
      <c r="F33" s="148"/>
      <c r="G33" s="148"/>
      <c r="H33" s="149"/>
      <c r="I33" s="150">
        <f t="shared" si="0"/>
        <v>0</v>
      </c>
    </row>
    <row r="34" spans="2:9" ht="18" customHeight="1" x14ac:dyDescent="0.2">
      <c r="B34" s="174">
        <v>10</v>
      </c>
      <c r="C34" s="175" t="str">
        <f>Config!C14&amp;", "&amp;Config!D14</f>
        <v>Walters, Linn</v>
      </c>
      <c r="D34" s="184">
        <v>2.5</v>
      </c>
      <c r="E34" s="184">
        <v>1</v>
      </c>
      <c r="F34" s="184">
        <v>3</v>
      </c>
      <c r="G34" s="184">
        <v>2</v>
      </c>
      <c r="H34" s="185">
        <v>0</v>
      </c>
      <c r="I34" s="176">
        <f t="shared" si="0"/>
        <v>8.5</v>
      </c>
    </row>
    <row r="35" spans="2:9" s="116" customFormat="1" ht="13.15" customHeight="1" x14ac:dyDescent="0.2">
      <c r="B35" s="170"/>
      <c r="C35" s="171" t="s">
        <v>126</v>
      </c>
      <c r="D35" s="172"/>
      <c r="E35" s="172"/>
      <c r="F35" s="172"/>
      <c r="G35" s="172"/>
      <c r="H35" s="173"/>
      <c r="I35" s="154">
        <f t="shared" si="0"/>
        <v>0</v>
      </c>
    </row>
    <row r="36" spans="2:9" s="116" customFormat="1" ht="13.15" customHeight="1" x14ac:dyDescent="0.2">
      <c r="B36" s="177"/>
      <c r="C36" s="178" t="s">
        <v>127</v>
      </c>
      <c r="D36" s="148"/>
      <c r="E36" s="148"/>
      <c r="F36" s="148"/>
      <c r="G36" s="148"/>
      <c r="H36" s="149"/>
      <c r="I36" s="153">
        <f t="shared" si="0"/>
        <v>0</v>
      </c>
    </row>
    <row r="37" spans="2:9" ht="18" customHeight="1" x14ac:dyDescent="0.2">
      <c r="B37" s="179">
        <v>11</v>
      </c>
      <c r="C37" s="180" t="str">
        <f>Config!C15&amp;", "&amp;Config!D15</f>
        <v>Junker, Amely</v>
      </c>
      <c r="D37" s="186">
        <v>4</v>
      </c>
      <c r="E37" s="186">
        <v>3</v>
      </c>
      <c r="F37" s="186">
        <v>2</v>
      </c>
      <c r="G37" s="186">
        <v>2</v>
      </c>
      <c r="H37" s="187">
        <v>2</v>
      </c>
      <c r="I37" s="181">
        <f t="shared" si="0"/>
        <v>13</v>
      </c>
    </row>
    <row r="38" spans="2:9" s="116" customFormat="1" ht="13.15" customHeight="1" x14ac:dyDescent="0.2">
      <c r="B38" s="164"/>
      <c r="C38" s="165" t="s">
        <v>126</v>
      </c>
      <c r="D38" s="166"/>
      <c r="E38" s="166"/>
      <c r="F38" s="166"/>
      <c r="G38" s="166"/>
      <c r="H38" s="167"/>
      <c r="I38" s="151">
        <f t="shared" si="0"/>
        <v>0</v>
      </c>
    </row>
    <row r="39" spans="2:9" s="116" customFormat="1" ht="13.15" customHeight="1" x14ac:dyDescent="0.2">
      <c r="B39" s="168"/>
      <c r="C39" s="169" t="s">
        <v>127</v>
      </c>
      <c r="D39" s="148"/>
      <c r="E39" s="148"/>
      <c r="F39" s="148"/>
      <c r="G39" s="148"/>
      <c r="H39" s="149"/>
      <c r="I39" s="150">
        <f t="shared" ref="I39:I70" si="1">SUM(D39:H39)</f>
        <v>0</v>
      </c>
    </row>
    <row r="40" spans="2:9" ht="18" customHeight="1" x14ac:dyDescent="0.2">
      <c r="B40" s="174">
        <v>12</v>
      </c>
      <c r="C40" s="175" t="str">
        <f>Config!C16&amp;", "&amp;Config!D16</f>
        <v>Stephens, Melvin</v>
      </c>
      <c r="D40" s="184">
        <v>4</v>
      </c>
      <c r="E40" s="184">
        <v>2</v>
      </c>
      <c r="F40" s="184">
        <v>3</v>
      </c>
      <c r="G40" s="184">
        <v>2</v>
      </c>
      <c r="H40" s="185">
        <v>2</v>
      </c>
      <c r="I40" s="176">
        <f t="shared" si="1"/>
        <v>13</v>
      </c>
    </row>
    <row r="41" spans="2:9" s="116" customFormat="1" ht="13.15" customHeight="1" x14ac:dyDescent="0.2">
      <c r="B41" s="170"/>
      <c r="C41" s="171" t="s">
        <v>126</v>
      </c>
      <c r="D41" s="172"/>
      <c r="E41" s="172"/>
      <c r="F41" s="172"/>
      <c r="G41" s="172"/>
      <c r="H41" s="173"/>
      <c r="I41" s="154">
        <f t="shared" si="1"/>
        <v>0</v>
      </c>
    </row>
    <row r="42" spans="2:9" s="116" customFormat="1" ht="13.15" customHeight="1" x14ac:dyDescent="0.2">
      <c r="B42" s="177"/>
      <c r="C42" s="178" t="s">
        <v>127</v>
      </c>
      <c r="D42" s="148"/>
      <c r="E42" s="148"/>
      <c r="F42" s="148"/>
      <c r="G42" s="148"/>
      <c r="H42" s="149"/>
      <c r="I42" s="153">
        <f t="shared" si="1"/>
        <v>0</v>
      </c>
    </row>
    <row r="43" spans="2:9" ht="18" customHeight="1" x14ac:dyDescent="0.2">
      <c r="B43" s="179">
        <v>13</v>
      </c>
      <c r="C43" s="180" t="str">
        <f>Config!C17&amp;", "&amp;Config!D17</f>
        <v>Cremer, Marvin</v>
      </c>
      <c r="D43" s="186">
        <v>3</v>
      </c>
      <c r="E43" s="186">
        <v>0</v>
      </c>
      <c r="F43" s="186">
        <v>0</v>
      </c>
      <c r="G43" s="186">
        <v>0</v>
      </c>
      <c r="H43" s="187">
        <v>0</v>
      </c>
      <c r="I43" s="181">
        <f t="shared" si="1"/>
        <v>3</v>
      </c>
    </row>
    <row r="44" spans="2:9" s="116" customFormat="1" ht="13.15" customHeight="1" x14ac:dyDescent="0.2">
      <c r="B44" s="164"/>
      <c r="C44" s="165" t="s">
        <v>126</v>
      </c>
      <c r="D44" s="166"/>
      <c r="E44" s="166"/>
      <c r="F44" s="166"/>
      <c r="G44" s="166"/>
      <c r="H44" s="167"/>
      <c r="I44" s="151">
        <f t="shared" si="1"/>
        <v>0</v>
      </c>
    </row>
    <row r="45" spans="2:9" s="116" customFormat="1" ht="13.15" customHeight="1" x14ac:dyDescent="0.2">
      <c r="B45" s="168"/>
      <c r="C45" s="169" t="s">
        <v>127</v>
      </c>
      <c r="D45" s="148"/>
      <c r="E45" s="148"/>
      <c r="F45" s="148"/>
      <c r="G45" s="148"/>
      <c r="H45" s="149"/>
      <c r="I45" s="150">
        <f t="shared" si="1"/>
        <v>0</v>
      </c>
    </row>
    <row r="46" spans="2:9" ht="18" customHeight="1" x14ac:dyDescent="0.2">
      <c r="B46" s="174">
        <v>14</v>
      </c>
      <c r="C46" s="175" t="str">
        <f>Config!C18&amp;", "&amp;Config!D18</f>
        <v>Nash, Jean</v>
      </c>
      <c r="D46" s="184">
        <v>4</v>
      </c>
      <c r="E46" s="184">
        <v>3</v>
      </c>
      <c r="F46" s="184">
        <v>2</v>
      </c>
      <c r="G46" s="184">
        <v>2</v>
      </c>
      <c r="H46" s="185">
        <v>3.5</v>
      </c>
      <c r="I46" s="176">
        <f t="shared" si="1"/>
        <v>14.5</v>
      </c>
    </row>
    <row r="47" spans="2:9" s="116" customFormat="1" ht="13.15" customHeight="1" x14ac:dyDescent="0.2">
      <c r="B47" s="170"/>
      <c r="C47" s="171" t="s">
        <v>126</v>
      </c>
      <c r="D47" s="172"/>
      <c r="E47" s="172"/>
      <c r="F47" s="172"/>
      <c r="G47" s="172"/>
      <c r="H47" s="173"/>
      <c r="I47" s="154">
        <f t="shared" si="1"/>
        <v>0</v>
      </c>
    </row>
    <row r="48" spans="2:9" s="116" customFormat="1" ht="13.15" customHeight="1" x14ac:dyDescent="0.2">
      <c r="B48" s="177"/>
      <c r="C48" s="178" t="s">
        <v>127</v>
      </c>
      <c r="D48" s="148"/>
      <c r="E48" s="148"/>
      <c r="F48" s="148"/>
      <c r="G48" s="148"/>
      <c r="H48" s="149"/>
      <c r="I48" s="153">
        <f t="shared" si="1"/>
        <v>0</v>
      </c>
    </row>
    <row r="49" spans="2:9" ht="18" customHeight="1" x14ac:dyDescent="0.2">
      <c r="B49" s="179">
        <v>15</v>
      </c>
      <c r="C49" s="180" t="str">
        <f>Config!C19&amp;", "&amp;Config!D19</f>
        <v>Schön, Leonardo</v>
      </c>
      <c r="D49" s="186">
        <v>4</v>
      </c>
      <c r="E49" s="186">
        <v>1</v>
      </c>
      <c r="F49" s="186">
        <v>1</v>
      </c>
      <c r="G49" s="186">
        <v>0.5</v>
      </c>
      <c r="H49" s="187">
        <v>0</v>
      </c>
      <c r="I49" s="181">
        <f t="shared" si="1"/>
        <v>6.5</v>
      </c>
    </row>
    <row r="50" spans="2:9" s="116" customFormat="1" ht="13.15" customHeight="1" x14ac:dyDescent="0.2">
      <c r="B50" s="164"/>
      <c r="C50" s="165" t="s">
        <v>126</v>
      </c>
      <c r="D50" s="166"/>
      <c r="E50" s="166"/>
      <c r="F50" s="166"/>
      <c r="G50" s="166"/>
      <c r="H50" s="167"/>
      <c r="I50" s="151">
        <f t="shared" si="1"/>
        <v>0</v>
      </c>
    </row>
    <row r="51" spans="2:9" s="116" customFormat="1" ht="13.15" customHeight="1" x14ac:dyDescent="0.2">
      <c r="B51" s="168"/>
      <c r="C51" s="169" t="s">
        <v>127</v>
      </c>
      <c r="D51" s="148"/>
      <c r="E51" s="148"/>
      <c r="F51" s="148"/>
      <c r="G51" s="148"/>
      <c r="H51" s="149"/>
      <c r="I51" s="150">
        <f t="shared" si="1"/>
        <v>0</v>
      </c>
    </row>
    <row r="52" spans="2:9" ht="18" customHeight="1" x14ac:dyDescent="0.2">
      <c r="B52" s="174">
        <v>16</v>
      </c>
      <c r="C52" s="175" t="str">
        <f>Config!C20&amp;", "&amp;Config!D20</f>
        <v>Sigl, Nicholas</v>
      </c>
      <c r="D52" s="184">
        <v>4</v>
      </c>
      <c r="E52" s="184">
        <v>0.5</v>
      </c>
      <c r="F52" s="184">
        <v>1</v>
      </c>
      <c r="G52" s="184">
        <v>0.5</v>
      </c>
      <c r="H52" s="185">
        <v>0</v>
      </c>
      <c r="I52" s="176">
        <f t="shared" si="1"/>
        <v>6</v>
      </c>
    </row>
    <row r="53" spans="2:9" s="116" customFormat="1" ht="13.15" customHeight="1" x14ac:dyDescent="0.2">
      <c r="B53" s="170"/>
      <c r="C53" s="171" t="s">
        <v>126</v>
      </c>
      <c r="D53" s="172"/>
      <c r="E53" s="172"/>
      <c r="F53" s="172"/>
      <c r="G53" s="172"/>
      <c r="H53" s="173"/>
      <c r="I53" s="154">
        <f t="shared" si="1"/>
        <v>0</v>
      </c>
    </row>
    <row r="54" spans="2:9" s="116" customFormat="1" ht="13.15" customHeight="1" x14ac:dyDescent="0.2">
      <c r="B54" s="177"/>
      <c r="C54" s="178" t="s">
        <v>127</v>
      </c>
      <c r="D54" s="148"/>
      <c r="E54" s="148"/>
      <c r="F54" s="148"/>
      <c r="G54" s="148"/>
      <c r="H54" s="149"/>
      <c r="I54" s="153">
        <f t="shared" si="1"/>
        <v>0</v>
      </c>
    </row>
    <row r="55" spans="2:9" ht="18" customHeight="1" x14ac:dyDescent="0.2">
      <c r="B55" s="179">
        <v>17</v>
      </c>
      <c r="C55" s="180" t="str">
        <f>Config!C21&amp;", "&amp;Config!D21</f>
        <v>Kainz, Vivienne</v>
      </c>
      <c r="D55" s="186">
        <v>2</v>
      </c>
      <c r="E55" s="186">
        <v>0</v>
      </c>
      <c r="F55" s="186">
        <v>1</v>
      </c>
      <c r="G55" s="186">
        <v>1.5</v>
      </c>
      <c r="H55" s="187">
        <v>0</v>
      </c>
      <c r="I55" s="181">
        <f t="shared" si="1"/>
        <v>4.5</v>
      </c>
    </row>
    <row r="56" spans="2:9" s="116" customFormat="1" ht="13.15" customHeight="1" x14ac:dyDescent="0.2">
      <c r="B56" s="164"/>
      <c r="C56" s="165" t="s">
        <v>126</v>
      </c>
      <c r="D56" s="166"/>
      <c r="E56" s="166"/>
      <c r="F56" s="166"/>
      <c r="G56" s="166"/>
      <c r="H56" s="167"/>
      <c r="I56" s="151">
        <f t="shared" si="1"/>
        <v>0</v>
      </c>
    </row>
    <row r="57" spans="2:9" s="116" customFormat="1" ht="13.15" customHeight="1" x14ac:dyDescent="0.2">
      <c r="B57" s="168"/>
      <c r="C57" s="169" t="s">
        <v>127</v>
      </c>
      <c r="D57" s="148"/>
      <c r="E57" s="148"/>
      <c r="F57" s="148"/>
      <c r="G57" s="148"/>
      <c r="H57" s="149"/>
      <c r="I57" s="150">
        <f t="shared" si="1"/>
        <v>0</v>
      </c>
    </row>
    <row r="58" spans="2:9" ht="18" customHeight="1" x14ac:dyDescent="0.2">
      <c r="B58" s="174">
        <v>18</v>
      </c>
      <c r="C58" s="175" t="str">
        <f>Config!C22&amp;", "&amp;Config!D22</f>
        <v>Hartmann, Mads</v>
      </c>
      <c r="D58" s="184">
        <v>4</v>
      </c>
      <c r="E58" s="184">
        <v>3</v>
      </c>
      <c r="F58" s="184">
        <v>3</v>
      </c>
      <c r="G58" s="184">
        <v>0</v>
      </c>
      <c r="H58" s="185">
        <v>4</v>
      </c>
      <c r="I58" s="176">
        <f t="shared" si="1"/>
        <v>14</v>
      </c>
    </row>
    <row r="59" spans="2:9" s="116" customFormat="1" ht="13.15" customHeight="1" x14ac:dyDescent="0.2">
      <c r="B59" s="170"/>
      <c r="C59" s="171" t="s">
        <v>126</v>
      </c>
      <c r="D59" s="172"/>
      <c r="E59" s="172"/>
      <c r="F59" s="172"/>
      <c r="G59" s="172"/>
      <c r="H59" s="173"/>
      <c r="I59" s="154">
        <f t="shared" si="1"/>
        <v>0</v>
      </c>
    </row>
    <row r="60" spans="2:9" s="116" customFormat="1" ht="13.15" customHeight="1" x14ac:dyDescent="0.2">
      <c r="B60" s="177"/>
      <c r="C60" s="178" t="s">
        <v>127</v>
      </c>
      <c r="D60" s="148"/>
      <c r="E60" s="148"/>
      <c r="F60" s="148"/>
      <c r="G60" s="148"/>
      <c r="H60" s="149"/>
      <c r="I60" s="153">
        <f t="shared" si="1"/>
        <v>0</v>
      </c>
    </row>
    <row r="61" spans="2:9" ht="18" customHeight="1" x14ac:dyDescent="0.2">
      <c r="B61" s="179">
        <v>19</v>
      </c>
      <c r="C61" s="180" t="str">
        <f>Config!C23&amp;", "&amp;Config!D23</f>
        <v>Ullmann, Raphael</v>
      </c>
      <c r="D61" s="186">
        <v>4</v>
      </c>
      <c r="E61" s="186">
        <v>1</v>
      </c>
      <c r="F61" s="186">
        <v>3</v>
      </c>
      <c r="G61" s="186">
        <v>2</v>
      </c>
      <c r="H61" s="187">
        <v>3.5</v>
      </c>
      <c r="I61" s="181">
        <f t="shared" si="1"/>
        <v>13.5</v>
      </c>
    </row>
    <row r="62" spans="2:9" s="116" customFormat="1" ht="13.15" customHeight="1" x14ac:dyDescent="0.2">
      <c r="B62" s="164"/>
      <c r="C62" s="165" t="s">
        <v>126</v>
      </c>
      <c r="D62" s="166"/>
      <c r="E62" s="166"/>
      <c r="F62" s="166"/>
      <c r="G62" s="166"/>
      <c r="H62" s="167"/>
      <c r="I62" s="151">
        <f t="shared" si="1"/>
        <v>0</v>
      </c>
    </row>
    <row r="63" spans="2:9" s="116" customFormat="1" ht="13.15" customHeight="1" x14ac:dyDescent="0.2">
      <c r="B63" s="168"/>
      <c r="C63" s="169" t="s">
        <v>127</v>
      </c>
      <c r="D63" s="148"/>
      <c r="E63" s="148"/>
      <c r="F63" s="148"/>
      <c r="G63" s="148"/>
      <c r="H63" s="149"/>
      <c r="I63" s="150">
        <f t="shared" si="1"/>
        <v>0</v>
      </c>
    </row>
    <row r="64" spans="2:9" ht="18" customHeight="1" x14ac:dyDescent="0.2">
      <c r="B64" s="174">
        <v>20</v>
      </c>
      <c r="C64" s="175" t="str">
        <f>Config!C24&amp;", "&amp;Config!D24</f>
        <v>Hartl, Emmely</v>
      </c>
      <c r="D64" s="184">
        <v>4</v>
      </c>
      <c r="E64" s="184">
        <v>2</v>
      </c>
      <c r="F64" s="184">
        <v>3</v>
      </c>
      <c r="G64" s="184">
        <v>2</v>
      </c>
      <c r="H64" s="185">
        <v>4</v>
      </c>
      <c r="I64" s="176">
        <f t="shared" si="1"/>
        <v>15</v>
      </c>
    </row>
    <row r="65" spans="2:9" s="116" customFormat="1" ht="13.15" customHeight="1" x14ac:dyDescent="0.2">
      <c r="B65" s="170"/>
      <c r="C65" s="171" t="s">
        <v>126</v>
      </c>
      <c r="D65" s="172"/>
      <c r="E65" s="172"/>
      <c r="F65" s="172"/>
      <c r="G65" s="172"/>
      <c r="H65" s="173"/>
      <c r="I65" s="154">
        <f t="shared" si="1"/>
        <v>0</v>
      </c>
    </row>
    <row r="66" spans="2:9" s="116" customFormat="1" ht="13.15" customHeight="1" x14ac:dyDescent="0.2">
      <c r="B66" s="177"/>
      <c r="C66" s="178" t="s">
        <v>127</v>
      </c>
      <c r="D66" s="148"/>
      <c r="E66" s="148"/>
      <c r="F66" s="148"/>
      <c r="G66" s="148"/>
      <c r="H66" s="149"/>
      <c r="I66" s="153">
        <f t="shared" si="1"/>
        <v>0</v>
      </c>
    </row>
    <row r="67" spans="2:9" ht="18" customHeight="1" x14ac:dyDescent="0.2">
      <c r="B67" s="179">
        <v>21</v>
      </c>
      <c r="C67" s="180" t="str">
        <f>Config!C25&amp;", "&amp;Config!D25</f>
        <v>Klotz, Karin</v>
      </c>
      <c r="D67" s="186">
        <v>4</v>
      </c>
      <c r="E67" s="186">
        <v>3</v>
      </c>
      <c r="F67" s="186">
        <v>4</v>
      </c>
      <c r="G67" s="186">
        <v>2</v>
      </c>
      <c r="H67" s="187">
        <v>3</v>
      </c>
      <c r="I67" s="181">
        <f t="shared" si="1"/>
        <v>16</v>
      </c>
    </row>
    <row r="68" spans="2:9" s="116" customFormat="1" ht="13.15" customHeight="1" x14ac:dyDescent="0.2">
      <c r="B68" s="164"/>
      <c r="C68" s="165" t="s">
        <v>126</v>
      </c>
      <c r="D68" s="166"/>
      <c r="E68" s="166"/>
      <c r="F68" s="166"/>
      <c r="G68" s="166"/>
      <c r="H68" s="167"/>
      <c r="I68" s="151">
        <f t="shared" si="1"/>
        <v>0</v>
      </c>
    </row>
    <row r="69" spans="2:9" s="116" customFormat="1" ht="13.15" customHeight="1" x14ac:dyDescent="0.2">
      <c r="B69" s="168"/>
      <c r="C69" s="169" t="s">
        <v>127</v>
      </c>
      <c r="D69" s="148"/>
      <c r="E69" s="148"/>
      <c r="F69" s="148"/>
      <c r="G69" s="148"/>
      <c r="H69" s="149"/>
      <c r="I69" s="150">
        <f t="shared" si="1"/>
        <v>0</v>
      </c>
    </row>
    <row r="70" spans="2:9" ht="18" customHeight="1" x14ac:dyDescent="0.2">
      <c r="B70" s="174">
        <v>22</v>
      </c>
      <c r="C70" s="175" t="str">
        <f>Config!C26&amp;", "&amp;Config!D26</f>
        <v>Ehlers, Ingo</v>
      </c>
      <c r="D70" s="184">
        <v>4</v>
      </c>
      <c r="E70" s="184">
        <v>2</v>
      </c>
      <c r="F70" s="184">
        <v>4</v>
      </c>
      <c r="G70" s="184">
        <v>2</v>
      </c>
      <c r="H70" s="185">
        <v>2.5</v>
      </c>
      <c r="I70" s="176">
        <f t="shared" si="1"/>
        <v>14.5</v>
      </c>
    </row>
    <row r="71" spans="2:9" s="116" customFormat="1" ht="13.15" customHeight="1" x14ac:dyDescent="0.2">
      <c r="B71" s="170"/>
      <c r="C71" s="171" t="s">
        <v>126</v>
      </c>
      <c r="D71" s="172"/>
      <c r="E71" s="172"/>
      <c r="F71" s="172"/>
      <c r="G71" s="172"/>
      <c r="H71" s="173"/>
      <c r="I71" s="154">
        <f t="shared" ref="I71:I75" si="2">SUM(D71:H71)</f>
        <v>0</v>
      </c>
    </row>
    <row r="72" spans="2:9" s="116" customFormat="1" ht="13.15" customHeight="1" x14ac:dyDescent="0.2">
      <c r="B72" s="177"/>
      <c r="C72" s="178" t="s">
        <v>127</v>
      </c>
      <c r="D72" s="148"/>
      <c r="E72" s="148"/>
      <c r="F72" s="148"/>
      <c r="G72" s="148"/>
      <c r="H72" s="149"/>
      <c r="I72" s="153">
        <f t="shared" si="2"/>
        <v>0</v>
      </c>
    </row>
    <row r="73" spans="2:9" ht="18" customHeight="1" thickBot="1" x14ac:dyDescent="0.25">
      <c r="B73" s="144">
        <v>23</v>
      </c>
      <c r="C73" s="139" t="str">
        <f>Config!C27&amp;", "&amp;Config!D27</f>
        <v>Lindemann, Mads</v>
      </c>
      <c r="D73" s="95">
        <v>4</v>
      </c>
      <c r="E73" s="95">
        <v>0</v>
      </c>
      <c r="F73" s="95">
        <v>2</v>
      </c>
      <c r="G73" s="95">
        <v>0.5</v>
      </c>
      <c r="H73" s="96">
        <v>0</v>
      </c>
      <c r="I73" s="147">
        <f t="shared" si="2"/>
        <v>6.5</v>
      </c>
    </row>
    <row r="74" spans="2:9" s="116" customFormat="1" ht="13.15" customHeight="1" x14ac:dyDescent="0.2">
      <c r="B74" s="164"/>
      <c r="C74" s="165" t="s">
        <v>126</v>
      </c>
      <c r="D74" s="166"/>
      <c r="E74" s="166"/>
      <c r="F74" s="166"/>
      <c r="G74" s="166"/>
      <c r="H74" s="167"/>
      <c r="I74" s="151">
        <f t="shared" si="2"/>
        <v>0</v>
      </c>
    </row>
    <row r="75" spans="2:9" s="116" customFormat="1" ht="13.15" customHeight="1" thickBot="1" x14ac:dyDescent="0.25">
      <c r="B75" s="155"/>
      <c r="C75" s="158" t="s">
        <v>127</v>
      </c>
      <c r="D75" s="156"/>
      <c r="E75" s="156"/>
      <c r="F75" s="156"/>
      <c r="G75" s="156"/>
      <c r="H75" s="157"/>
      <c r="I75" s="152">
        <f t="shared" si="2"/>
        <v>0</v>
      </c>
    </row>
    <row r="76" spans="2:9" ht="18" customHeight="1" thickBot="1" x14ac:dyDescent="0.25">
      <c r="B76" s="119"/>
      <c r="C76" s="120"/>
      <c r="D76" s="120">
        <f>IF(COUNTIFS(D7:D73,"&lt;&gt;",C7:C73,"&lt;&gt;ZK",C7:C73,"&lt;&gt;DK")&lt;&gt;0,SUMIFS(D7:D73,C7:C73,"&lt;&gt;ZK",C7:C73,"&lt;&gt;DK")/(COUNTIFS(D7:D73,"&lt;&gt;",C7:C73,"&lt;&gt;ZK",C7:C73,"&lt;&gt;DK")*D6),0)</f>
        <v>0.92391304347826086</v>
      </c>
      <c r="E76" s="120">
        <f>IF(COUNTIFS(E7:E73,"&lt;&gt;",C7:C73,"&lt;&gt;ZK",C7:C73,"&lt;&gt;DK")&lt;&gt;0,SUMIFS(E7:E73,C7:C73,"&lt;&gt;ZK",C7:C73,"&lt;&gt;DK")/(COUNTIFS(E7:E73,"&lt;&gt;",C7:C73,"&lt;&gt;ZK",C7:C73,"&lt;&gt;DK")*E6),0)</f>
        <v>0.54347826086956519</v>
      </c>
      <c r="F76" s="120">
        <f>IF(COUNTIFS(F7:F73,"&lt;&gt;",C7:C73,"&lt;&gt;ZK",C7:C73,"&lt;&gt;DK")&lt;&gt;0,SUMIFS(F7:F73,C7:C73,"&lt;&gt;ZK",C7:C73,"&lt;&gt;DK")/(COUNTIFS(F7:F73,"&lt;&gt;",C7:C73,"&lt;&gt;ZK",C7:C73,"&lt;&gt;DK")*F6),0)</f>
        <v>0.63043478260869568</v>
      </c>
      <c r="G76" s="120">
        <f>IF(COUNTIFS(G7:G73,"&lt;&gt;",C7:C73,"&lt;&gt;ZK",C7:C73,"&lt;&gt;DK")&lt;&gt;0,SUMIFS(G7:G73,C7:C73,"&lt;&gt;ZK",C7:C73,"&lt;&gt;DK")/(COUNTIFS(G7:G73,"&lt;&gt;",C7:C73,"&lt;&gt;ZK",C7:C73,"&lt;&gt;DK")*G6),0)</f>
        <v>0.39855072463768115</v>
      </c>
      <c r="H76" s="120">
        <f>IF(COUNTIFS(H7:H73,"&lt;&gt;",C7:C73,"&lt;&gt;ZK",C7:C73,"&lt;&gt;DK")&lt;&gt;0,SUMIFS(H7:H73,C7:C73,"&lt;&gt;ZK",C7:C73,"&lt;&gt;DK")/(COUNTIFS(H7:H73,"&lt;&gt;",C7:C73,"&lt;&gt;ZK",C7:C73,"&lt;&gt;DK")*H6),0)</f>
        <v>0.51086956521739135</v>
      </c>
      <c r="I76" s="121"/>
    </row>
    <row r="77" spans="2:9" ht="18" customHeight="1" x14ac:dyDescent="0.2"/>
    <row r="78" spans="2:9" ht="18" customHeight="1" x14ac:dyDescent="0.2"/>
    <row r="79" spans="2:9" ht="18" customHeight="1" x14ac:dyDescent="0.2"/>
    <row r="80" spans="2:9"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electLockedCells="1"/>
  <dataValidations count="5">
    <dataValidation type="decimal" allowBlank="1" showErrorMessage="1" sqref="D7:D75" xr:uid="{7539F855-6E01-4600-B5E2-33D2E0346948}">
      <formula1>0</formula1>
      <formula2>$D$6</formula2>
    </dataValidation>
    <dataValidation type="decimal" allowBlank="1" showErrorMessage="1" sqref="E7:E75" xr:uid="{38B35D7C-C11B-4394-AFAE-2ED2E6F8C8D6}">
      <formula1>0</formula1>
      <formula2>$E$6</formula2>
    </dataValidation>
    <dataValidation type="decimal" allowBlank="1" showErrorMessage="1" sqref="F7:F75" xr:uid="{C1CD3525-9CC7-4225-9DA9-ECB9F9CFD959}">
      <formula1>0</formula1>
      <formula2>$F$6</formula2>
    </dataValidation>
    <dataValidation type="decimal" allowBlank="1" showErrorMessage="1" sqref="G7:G75" xr:uid="{02447C01-EE5D-437A-AA75-2A8BD4B0DF58}">
      <formula1>0</formula1>
      <formula2>$G$6</formula2>
    </dataValidation>
    <dataValidation type="decimal" allowBlank="1" showErrorMessage="1" sqref="H7:H75" xr:uid="{296A63BE-03AE-4D7D-A18C-94B27708607F}">
      <formula1>0</formula1>
      <formula2>$H$6</formula2>
    </dataValidation>
  </dataValidation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B3D3B-2B32-4058-AC6A-E4CEA67A1656}">
  <sheetPr codeName="Tabelle7">
    <tabColor rgb="FF92D050"/>
  </sheetPr>
  <dimension ref="B1:I100"/>
  <sheetViews>
    <sheetView workbookViewId="0">
      <selection activeCell="D8" sqref="D8"/>
    </sheetView>
  </sheetViews>
  <sheetFormatPr baseColWidth="10" defaultColWidth="11.5703125" defaultRowHeight="12.75" x14ac:dyDescent="0.2"/>
  <cols>
    <col min="1" max="2" width="3.42578125" style="98" customWidth="1"/>
    <col min="3" max="3" width="25.7109375" style="98" customWidth="1"/>
    <col min="4" max="9" width="8.7109375" style="98" customWidth="1"/>
    <col min="10" max="16384" width="11.5703125" style="98"/>
  </cols>
  <sheetData>
    <row r="1" spans="2:9" ht="18" customHeight="1" thickBot="1" x14ac:dyDescent="0.25"/>
    <row r="2" spans="2:9" ht="18" customHeight="1" x14ac:dyDescent="0.2">
      <c r="B2" s="99" t="str">
        <f>Config!F2&amp;" "&amp;YEAR(Config!G24)</f>
        <v>Mathe Abitur 2026</v>
      </c>
      <c r="C2" s="100"/>
      <c r="D2" s="100"/>
      <c r="E2" s="100"/>
      <c r="F2" s="101"/>
      <c r="G2" s="101"/>
      <c r="H2" s="101"/>
      <c r="I2" s="102" t="str">
        <f>"Kurs "&amp;Config!G26</f>
        <v>Kurs K1</v>
      </c>
    </row>
    <row r="3" spans="2:9" ht="18" customHeight="1" x14ac:dyDescent="0.2">
      <c r="B3" s="103" t="s">
        <v>112</v>
      </c>
      <c r="C3" s="104"/>
      <c r="D3" s="104"/>
      <c r="E3" s="104"/>
      <c r="F3" s="104"/>
      <c r="G3" s="104"/>
      <c r="H3" s="104"/>
      <c r="I3" s="105"/>
    </row>
    <row r="4" spans="2:9" ht="18" customHeight="1" thickBot="1" x14ac:dyDescent="0.25">
      <c r="B4" s="103"/>
      <c r="C4" s="104"/>
      <c r="D4" s="106"/>
      <c r="E4" s="106"/>
      <c r="F4" s="106"/>
      <c r="G4" s="106"/>
      <c r="H4" s="106"/>
      <c r="I4" s="107"/>
    </row>
    <row r="5" spans="2:9" ht="18" customHeight="1" thickBot="1" x14ac:dyDescent="0.25">
      <c r="B5" s="108"/>
      <c r="C5" s="110"/>
      <c r="D5" s="124" t="str">
        <f>Config!R6</f>
        <v>6</v>
      </c>
      <c r="E5" s="124" t="str">
        <f>Config!R7</f>
        <v>7a</v>
      </c>
      <c r="F5" s="124" t="str">
        <f>Config!R8</f>
        <v>7b</v>
      </c>
      <c r="G5" s="124" t="str">
        <f>Config!R9</f>
        <v>8</v>
      </c>
      <c r="H5" s="124" t="str">
        <f>Config!R10</f>
        <v>9</v>
      </c>
      <c r="I5" s="114" t="s">
        <v>82</v>
      </c>
    </row>
    <row r="6" spans="2:9" ht="18" customHeight="1" thickBot="1" x14ac:dyDescent="0.25">
      <c r="B6" s="109"/>
      <c r="C6" s="111" t="s">
        <v>81</v>
      </c>
      <c r="D6" s="113">
        <f>Config!S6</f>
        <v>5</v>
      </c>
      <c r="E6" s="113">
        <f>Config!S7</f>
        <v>2</v>
      </c>
      <c r="F6" s="113">
        <f>Config!S8</f>
        <v>3</v>
      </c>
      <c r="G6" s="113">
        <f>Config!S9</f>
        <v>5</v>
      </c>
      <c r="H6" s="113">
        <f>Config!S10</f>
        <v>5</v>
      </c>
      <c r="I6" s="125">
        <f>Config!S21</f>
        <v>10</v>
      </c>
    </row>
    <row r="7" spans="2:9" ht="18" customHeight="1" x14ac:dyDescent="0.2">
      <c r="B7" s="161">
        <v>1</v>
      </c>
      <c r="C7" s="162" t="str">
        <f>Config!C5&amp;", "&amp;Config!D5</f>
        <v>Höfer, Simon</v>
      </c>
      <c r="D7" s="182">
        <v>4</v>
      </c>
      <c r="E7" s="188"/>
      <c r="F7" s="182">
        <v>3</v>
      </c>
      <c r="G7" s="188"/>
      <c r="H7" s="189"/>
      <c r="I7" s="163">
        <f t="shared" ref="I7:I38" si="0">SUM(D7:H7)</f>
        <v>7</v>
      </c>
    </row>
    <row r="8" spans="2:9" s="116" customFormat="1" ht="13.15" customHeight="1" x14ac:dyDescent="0.2">
      <c r="B8" s="164"/>
      <c r="C8" s="165" t="s">
        <v>126</v>
      </c>
      <c r="D8" s="166"/>
      <c r="E8" s="200"/>
      <c r="F8" s="166"/>
      <c r="G8" s="200"/>
      <c r="H8" s="201"/>
      <c r="I8" s="151">
        <f t="shared" si="0"/>
        <v>0</v>
      </c>
    </row>
    <row r="9" spans="2:9" s="116" customFormat="1" ht="13.15" customHeight="1" x14ac:dyDescent="0.2">
      <c r="B9" s="168"/>
      <c r="C9" s="169" t="s">
        <v>127</v>
      </c>
      <c r="D9" s="148"/>
      <c r="E9" s="196"/>
      <c r="F9" s="148"/>
      <c r="G9" s="196"/>
      <c r="H9" s="197"/>
      <c r="I9" s="150">
        <f t="shared" si="0"/>
        <v>0</v>
      </c>
    </row>
    <row r="10" spans="2:9" ht="18" customHeight="1" x14ac:dyDescent="0.2">
      <c r="B10" s="174">
        <v>2</v>
      </c>
      <c r="C10" s="175" t="str">
        <f>Config!C6&amp;", "&amp;Config!D6</f>
        <v>Töpfer, Lilian</v>
      </c>
      <c r="D10" s="184">
        <v>3</v>
      </c>
      <c r="E10" s="190"/>
      <c r="F10" s="190"/>
      <c r="G10" s="184">
        <v>4</v>
      </c>
      <c r="H10" s="191"/>
      <c r="I10" s="176">
        <f t="shared" si="0"/>
        <v>7</v>
      </c>
    </row>
    <row r="11" spans="2:9" s="116" customFormat="1" ht="13.15" customHeight="1" x14ac:dyDescent="0.2">
      <c r="B11" s="170"/>
      <c r="C11" s="171" t="s">
        <v>126</v>
      </c>
      <c r="D11" s="172"/>
      <c r="E11" s="202"/>
      <c r="F11" s="202"/>
      <c r="G11" s="172"/>
      <c r="H11" s="203"/>
      <c r="I11" s="154">
        <f t="shared" si="0"/>
        <v>0</v>
      </c>
    </row>
    <row r="12" spans="2:9" s="116" customFormat="1" ht="13.15" customHeight="1" x14ac:dyDescent="0.2">
      <c r="B12" s="177"/>
      <c r="C12" s="178" t="s">
        <v>127</v>
      </c>
      <c r="D12" s="148"/>
      <c r="E12" s="198"/>
      <c r="F12" s="198"/>
      <c r="G12" s="148"/>
      <c r="H12" s="199"/>
      <c r="I12" s="153">
        <f t="shared" si="0"/>
        <v>0</v>
      </c>
    </row>
    <row r="13" spans="2:9" ht="18" customHeight="1" x14ac:dyDescent="0.2">
      <c r="B13" s="179">
        <v>3</v>
      </c>
      <c r="C13" s="180" t="str">
        <f>Config!C7&amp;", "&amp;Config!D7</f>
        <v>Fleischmann, Leonie</v>
      </c>
      <c r="D13" s="192"/>
      <c r="E13" s="192"/>
      <c r="F13" s="192"/>
      <c r="G13" s="186">
        <v>5</v>
      </c>
      <c r="H13" s="187">
        <v>3</v>
      </c>
      <c r="I13" s="181">
        <f t="shared" si="0"/>
        <v>8</v>
      </c>
    </row>
    <row r="14" spans="2:9" s="116" customFormat="1" ht="13.15" customHeight="1" x14ac:dyDescent="0.2">
      <c r="B14" s="164"/>
      <c r="C14" s="165" t="s">
        <v>126</v>
      </c>
      <c r="D14" s="200"/>
      <c r="E14" s="200"/>
      <c r="F14" s="200"/>
      <c r="G14" s="166"/>
      <c r="H14" s="167"/>
      <c r="I14" s="151">
        <f t="shared" si="0"/>
        <v>0</v>
      </c>
    </row>
    <row r="15" spans="2:9" s="116" customFormat="1" ht="13.15" customHeight="1" x14ac:dyDescent="0.2">
      <c r="B15" s="168"/>
      <c r="C15" s="169" t="s">
        <v>127</v>
      </c>
      <c r="D15" s="196"/>
      <c r="E15" s="196"/>
      <c r="F15" s="196"/>
      <c r="G15" s="148"/>
      <c r="H15" s="149"/>
      <c r="I15" s="150">
        <f t="shared" si="0"/>
        <v>0</v>
      </c>
    </row>
    <row r="16" spans="2:9" ht="18" customHeight="1" x14ac:dyDescent="0.2">
      <c r="B16" s="174">
        <v>4</v>
      </c>
      <c r="C16" s="175" t="str">
        <f>Config!C8&amp;", "&amp;Config!D8</f>
        <v>Drescher, Cedric</v>
      </c>
      <c r="D16" s="184">
        <v>1</v>
      </c>
      <c r="E16" s="184">
        <v>2</v>
      </c>
      <c r="F16" s="184">
        <v>3</v>
      </c>
      <c r="G16" s="190"/>
      <c r="H16" s="191"/>
      <c r="I16" s="176">
        <f t="shared" si="0"/>
        <v>6</v>
      </c>
    </row>
    <row r="17" spans="2:9" s="116" customFormat="1" ht="13.15" customHeight="1" x14ac:dyDescent="0.2">
      <c r="B17" s="170"/>
      <c r="C17" s="171" t="s">
        <v>126</v>
      </c>
      <c r="D17" s="172"/>
      <c r="E17" s="172"/>
      <c r="F17" s="172"/>
      <c r="G17" s="202"/>
      <c r="H17" s="203"/>
      <c r="I17" s="154">
        <f t="shared" si="0"/>
        <v>0</v>
      </c>
    </row>
    <row r="18" spans="2:9" s="116" customFormat="1" ht="13.15" customHeight="1" x14ac:dyDescent="0.2">
      <c r="B18" s="177"/>
      <c r="C18" s="178" t="s">
        <v>127</v>
      </c>
      <c r="D18" s="148"/>
      <c r="E18" s="148"/>
      <c r="F18" s="148"/>
      <c r="G18" s="198"/>
      <c r="H18" s="199"/>
      <c r="I18" s="153">
        <f t="shared" si="0"/>
        <v>0</v>
      </c>
    </row>
    <row r="19" spans="2:9" ht="18" customHeight="1" x14ac:dyDescent="0.2">
      <c r="B19" s="179">
        <v>5</v>
      </c>
      <c r="C19" s="180" t="str">
        <f>Config!C9&amp;", "&amp;Config!D9</f>
        <v>Baumgarten, Annabell</v>
      </c>
      <c r="D19" s="186">
        <v>1</v>
      </c>
      <c r="E19" s="192"/>
      <c r="F19" s="192"/>
      <c r="G19" s="186">
        <v>5</v>
      </c>
      <c r="H19" s="193"/>
      <c r="I19" s="181">
        <f t="shared" si="0"/>
        <v>6</v>
      </c>
    </row>
    <row r="20" spans="2:9" s="116" customFormat="1" ht="13.15" customHeight="1" x14ac:dyDescent="0.2">
      <c r="B20" s="164"/>
      <c r="C20" s="165" t="s">
        <v>126</v>
      </c>
      <c r="D20" s="166"/>
      <c r="E20" s="200"/>
      <c r="F20" s="200"/>
      <c r="G20" s="166"/>
      <c r="H20" s="201"/>
      <c r="I20" s="151">
        <f t="shared" si="0"/>
        <v>0</v>
      </c>
    </row>
    <row r="21" spans="2:9" s="116" customFormat="1" ht="13.15" customHeight="1" x14ac:dyDescent="0.2">
      <c r="B21" s="168"/>
      <c r="C21" s="169" t="s">
        <v>127</v>
      </c>
      <c r="D21" s="148"/>
      <c r="E21" s="196"/>
      <c r="F21" s="196"/>
      <c r="G21" s="148"/>
      <c r="H21" s="197"/>
      <c r="I21" s="150">
        <f t="shared" si="0"/>
        <v>0</v>
      </c>
    </row>
    <row r="22" spans="2:9" ht="18" customHeight="1" x14ac:dyDescent="0.2">
      <c r="B22" s="174">
        <v>6</v>
      </c>
      <c r="C22" s="175" t="str">
        <f>Config!C10&amp;", "&amp;Config!D10</f>
        <v>Traut, Stefanie</v>
      </c>
      <c r="D22" s="190"/>
      <c r="E22" s="184">
        <v>2</v>
      </c>
      <c r="F22" s="184">
        <v>3</v>
      </c>
      <c r="G22" s="184">
        <v>3</v>
      </c>
      <c r="H22" s="191"/>
      <c r="I22" s="176">
        <f t="shared" si="0"/>
        <v>8</v>
      </c>
    </row>
    <row r="23" spans="2:9" s="116" customFormat="1" ht="13.15" customHeight="1" x14ac:dyDescent="0.2">
      <c r="B23" s="170"/>
      <c r="C23" s="171" t="s">
        <v>126</v>
      </c>
      <c r="D23" s="202"/>
      <c r="E23" s="172"/>
      <c r="F23" s="172"/>
      <c r="G23" s="172"/>
      <c r="H23" s="203"/>
      <c r="I23" s="154">
        <f t="shared" si="0"/>
        <v>0</v>
      </c>
    </row>
    <row r="24" spans="2:9" s="116" customFormat="1" ht="13.15" customHeight="1" x14ac:dyDescent="0.2">
      <c r="B24" s="177"/>
      <c r="C24" s="178" t="s">
        <v>127</v>
      </c>
      <c r="D24" s="198"/>
      <c r="E24" s="148"/>
      <c r="F24" s="148"/>
      <c r="G24" s="148"/>
      <c r="H24" s="199"/>
      <c r="I24" s="153">
        <f t="shared" si="0"/>
        <v>0</v>
      </c>
    </row>
    <row r="25" spans="2:9" ht="18" customHeight="1" x14ac:dyDescent="0.2">
      <c r="B25" s="179">
        <v>7</v>
      </c>
      <c r="C25" s="180" t="str">
        <f>Config!C11&amp;", "&amp;Config!D11</f>
        <v>Menke, Damian</v>
      </c>
      <c r="D25" s="192"/>
      <c r="E25" s="186">
        <v>1</v>
      </c>
      <c r="F25" s="186">
        <v>2</v>
      </c>
      <c r="G25" s="192"/>
      <c r="H25" s="187">
        <v>4</v>
      </c>
      <c r="I25" s="181">
        <f t="shared" si="0"/>
        <v>7</v>
      </c>
    </row>
    <row r="26" spans="2:9" s="116" customFormat="1" ht="13.15" customHeight="1" x14ac:dyDescent="0.2">
      <c r="B26" s="164"/>
      <c r="C26" s="165" t="s">
        <v>126</v>
      </c>
      <c r="D26" s="200"/>
      <c r="E26" s="166"/>
      <c r="F26" s="166"/>
      <c r="G26" s="200"/>
      <c r="H26" s="167"/>
      <c r="I26" s="151">
        <f t="shared" si="0"/>
        <v>0</v>
      </c>
    </row>
    <row r="27" spans="2:9" s="116" customFormat="1" ht="13.15" customHeight="1" x14ac:dyDescent="0.2">
      <c r="B27" s="168"/>
      <c r="C27" s="169" t="s">
        <v>127</v>
      </c>
      <c r="D27" s="196"/>
      <c r="E27" s="148"/>
      <c r="F27" s="148"/>
      <c r="G27" s="196"/>
      <c r="H27" s="149"/>
      <c r="I27" s="150">
        <f t="shared" si="0"/>
        <v>0</v>
      </c>
    </row>
    <row r="28" spans="2:9" ht="18" customHeight="1" x14ac:dyDescent="0.2">
      <c r="B28" s="174">
        <v>8</v>
      </c>
      <c r="C28" s="175" t="str">
        <f>Config!C12&amp;", "&amp;Config!D12</f>
        <v>Carroll, Meik</v>
      </c>
      <c r="D28" s="190"/>
      <c r="E28" s="190"/>
      <c r="F28" s="190"/>
      <c r="G28" s="184">
        <v>4</v>
      </c>
      <c r="H28" s="185">
        <v>3</v>
      </c>
      <c r="I28" s="176">
        <f t="shared" si="0"/>
        <v>7</v>
      </c>
    </row>
    <row r="29" spans="2:9" s="116" customFormat="1" ht="13.15" customHeight="1" x14ac:dyDescent="0.2">
      <c r="B29" s="170"/>
      <c r="C29" s="171" t="s">
        <v>126</v>
      </c>
      <c r="D29" s="202"/>
      <c r="E29" s="202"/>
      <c r="F29" s="202"/>
      <c r="G29" s="172"/>
      <c r="H29" s="173"/>
      <c r="I29" s="154">
        <f t="shared" si="0"/>
        <v>0</v>
      </c>
    </row>
    <row r="30" spans="2:9" s="116" customFormat="1" ht="13.15" customHeight="1" x14ac:dyDescent="0.2">
      <c r="B30" s="177"/>
      <c r="C30" s="178" t="s">
        <v>127</v>
      </c>
      <c r="D30" s="198"/>
      <c r="E30" s="198"/>
      <c r="F30" s="198"/>
      <c r="G30" s="148"/>
      <c r="H30" s="149"/>
      <c r="I30" s="153">
        <f t="shared" si="0"/>
        <v>0</v>
      </c>
    </row>
    <row r="31" spans="2:9" ht="18" customHeight="1" x14ac:dyDescent="0.2">
      <c r="B31" s="179">
        <v>9</v>
      </c>
      <c r="C31" s="180" t="str">
        <f>Config!C13&amp;", "&amp;Config!D13</f>
        <v>Hennings, Tomas</v>
      </c>
      <c r="D31" s="186">
        <v>5</v>
      </c>
      <c r="E31" s="186">
        <v>2</v>
      </c>
      <c r="F31" s="186">
        <v>1</v>
      </c>
      <c r="G31" s="192"/>
      <c r="H31" s="193"/>
      <c r="I31" s="181">
        <f t="shared" si="0"/>
        <v>8</v>
      </c>
    </row>
    <row r="32" spans="2:9" s="116" customFormat="1" ht="13.15" customHeight="1" x14ac:dyDescent="0.2">
      <c r="B32" s="164"/>
      <c r="C32" s="165" t="s">
        <v>126</v>
      </c>
      <c r="D32" s="166"/>
      <c r="E32" s="166"/>
      <c r="F32" s="166"/>
      <c r="G32" s="200"/>
      <c r="H32" s="201"/>
      <c r="I32" s="151">
        <f t="shared" si="0"/>
        <v>0</v>
      </c>
    </row>
    <row r="33" spans="2:9" s="116" customFormat="1" ht="13.15" customHeight="1" x14ac:dyDescent="0.2">
      <c r="B33" s="168"/>
      <c r="C33" s="169" t="s">
        <v>127</v>
      </c>
      <c r="D33" s="148"/>
      <c r="E33" s="148"/>
      <c r="F33" s="148"/>
      <c r="G33" s="196"/>
      <c r="H33" s="197"/>
      <c r="I33" s="150">
        <f t="shared" si="0"/>
        <v>0</v>
      </c>
    </row>
    <row r="34" spans="2:9" ht="18" customHeight="1" x14ac:dyDescent="0.2">
      <c r="B34" s="174">
        <v>10</v>
      </c>
      <c r="C34" s="175" t="str">
        <f>Config!C14&amp;", "&amp;Config!D14</f>
        <v>Walters, Linn</v>
      </c>
      <c r="D34" s="190"/>
      <c r="E34" s="184">
        <v>1</v>
      </c>
      <c r="F34" s="184">
        <v>2</v>
      </c>
      <c r="G34" s="184">
        <v>5</v>
      </c>
      <c r="H34" s="191"/>
      <c r="I34" s="176">
        <f t="shared" si="0"/>
        <v>8</v>
      </c>
    </row>
    <row r="35" spans="2:9" s="116" customFormat="1" ht="13.15" customHeight="1" x14ac:dyDescent="0.2">
      <c r="B35" s="170"/>
      <c r="C35" s="171" t="s">
        <v>126</v>
      </c>
      <c r="D35" s="202"/>
      <c r="E35" s="172"/>
      <c r="F35" s="172"/>
      <c r="G35" s="172"/>
      <c r="H35" s="203"/>
      <c r="I35" s="154">
        <f t="shared" si="0"/>
        <v>0</v>
      </c>
    </row>
    <row r="36" spans="2:9" s="116" customFormat="1" ht="13.15" customHeight="1" x14ac:dyDescent="0.2">
      <c r="B36" s="177"/>
      <c r="C36" s="178" t="s">
        <v>127</v>
      </c>
      <c r="D36" s="198"/>
      <c r="E36" s="148"/>
      <c r="F36" s="148"/>
      <c r="G36" s="148"/>
      <c r="H36" s="199"/>
      <c r="I36" s="153">
        <f t="shared" si="0"/>
        <v>0</v>
      </c>
    </row>
    <row r="37" spans="2:9" ht="18" customHeight="1" x14ac:dyDescent="0.2">
      <c r="B37" s="179">
        <v>11</v>
      </c>
      <c r="C37" s="180" t="str">
        <f>Config!C15&amp;", "&amp;Config!D15</f>
        <v>Junker, Amely</v>
      </c>
      <c r="D37" s="186">
        <v>2</v>
      </c>
      <c r="E37" s="192"/>
      <c r="F37" s="192"/>
      <c r="G37" s="186">
        <v>4</v>
      </c>
      <c r="H37" s="193"/>
      <c r="I37" s="181">
        <f t="shared" si="0"/>
        <v>6</v>
      </c>
    </row>
    <row r="38" spans="2:9" s="116" customFormat="1" ht="13.15" customHeight="1" x14ac:dyDescent="0.2">
      <c r="B38" s="164"/>
      <c r="C38" s="165" t="s">
        <v>126</v>
      </c>
      <c r="D38" s="166"/>
      <c r="E38" s="200"/>
      <c r="F38" s="200"/>
      <c r="G38" s="166"/>
      <c r="H38" s="201"/>
      <c r="I38" s="151">
        <f t="shared" si="0"/>
        <v>0</v>
      </c>
    </row>
    <row r="39" spans="2:9" s="116" customFormat="1" ht="13.15" customHeight="1" x14ac:dyDescent="0.2">
      <c r="B39" s="168"/>
      <c r="C39" s="169" t="s">
        <v>127</v>
      </c>
      <c r="D39" s="148"/>
      <c r="E39" s="196"/>
      <c r="F39" s="196"/>
      <c r="G39" s="148"/>
      <c r="H39" s="197"/>
      <c r="I39" s="150">
        <f t="shared" ref="I39:I70" si="1">SUM(D39:H39)</f>
        <v>0</v>
      </c>
    </row>
    <row r="40" spans="2:9" ht="18" customHeight="1" x14ac:dyDescent="0.2">
      <c r="B40" s="174">
        <v>12</v>
      </c>
      <c r="C40" s="175" t="str">
        <f>Config!C16&amp;", "&amp;Config!D16</f>
        <v>Stephens, Melvin</v>
      </c>
      <c r="D40" s="184">
        <v>5</v>
      </c>
      <c r="E40" s="190"/>
      <c r="F40" s="190"/>
      <c r="G40" s="184">
        <v>1</v>
      </c>
      <c r="H40" s="191"/>
      <c r="I40" s="176">
        <f t="shared" si="1"/>
        <v>6</v>
      </c>
    </row>
    <row r="41" spans="2:9" s="116" customFormat="1" ht="13.15" customHeight="1" x14ac:dyDescent="0.2">
      <c r="B41" s="170"/>
      <c r="C41" s="171" t="s">
        <v>126</v>
      </c>
      <c r="D41" s="172"/>
      <c r="E41" s="202"/>
      <c r="F41" s="202"/>
      <c r="G41" s="172"/>
      <c r="H41" s="203"/>
      <c r="I41" s="154">
        <f t="shared" si="1"/>
        <v>0</v>
      </c>
    </row>
    <row r="42" spans="2:9" s="116" customFormat="1" ht="13.15" customHeight="1" x14ac:dyDescent="0.2">
      <c r="B42" s="177"/>
      <c r="C42" s="178" t="s">
        <v>127</v>
      </c>
      <c r="D42" s="148"/>
      <c r="E42" s="198"/>
      <c r="F42" s="198"/>
      <c r="G42" s="148"/>
      <c r="H42" s="199"/>
      <c r="I42" s="153">
        <f t="shared" si="1"/>
        <v>0</v>
      </c>
    </row>
    <row r="43" spans="2:9" ht="18" customHeight="1" x14ac:dyDescent="0.2">
      <c r="B43" s="179">
        <v>13</v>
      </c>
      <c r="C43" s="180" t="str">
        <f>Config!C17&amp;", "&amp;Config!D17</f>
        <v>Cremer, Marvin</v>
      </c>
      <c r="D43" s="186">
        <v>3</v>
      </c>
      <c r="E43" s="192"/>
      <c r="F43" s="192"/>
      <c r="G43" s="192"/>
      <c r="H43" s="187">
        <v>5</v>
      </c>
      <c r="I43" s="181">
        <f t="shared" si="1"/>
        <v>8</v>
      </c>
    </row>
    <row r="44" spans="2:9" s="116" customFormat="1" ht="13.15" customHeight="1" x14ac:dyDescent="0.2">
      <c r="B44" s="164"/>
      <c r="C44" s="165" t="s">
        <v>126</v>
      </c>
      <c r="D44" s="166"/>
      <c r="E44" s="200"/>
      <c r="F44" s="200"/>
      <c r="G44" s="200"/>
      <c r="H44" s="167"/>
      <c r="I44" s="151">
        <f t="shared" si="1"/>
        <v>0</v>
      </c>
    </row>
    <row r="45" spans="2:9" s="116" customFormat="1" ht="13.15" customHeight="1" x14ac:dyDescent="0.2">
      <c r="B45" s="168"/>
      <c r="C45" s="169" t="s">
        <v>127</v>
      </c>
      <c r="D45" s="148"/>
      <c r="E45" s="196"/>
      <c r="F45" s="196"/>
      <c r="G45" s="196"/>
      <c r="H45" s="149"/>
      <c r="I45" s="150">
        <f t="shared" si="1"/>
        <v>0</v>
      </c>
    </row>
    <row r="46" spans="2:9" ht="18" customHeight="1" x14ac:dyDescent="0.2">
      <c r="B46" s="174">
        <v>14</v>
      </c>
      <c r="C46" s="175" t="str">
        <f>Config!C18&amp;", "&amp;Config!D18</f>
        <v>Nash, Jean</v>
      </c>
      <c r="D46" s="190"/>
      <c r="E46" s="190"/>
      <c r="F46" s="190"/>
      <c r="G46" s="184">
        <v>4</v>
      </c>
      <c r="H46" s="185">
        <v>3</v>
      </c>
      <c r="I46" s="176">
        <f t="shared" si="1"/>
        <v>7</v>
      </c>
    </row>
    <row r="47" spans="2:9" s="116" customFormat="1" ht="13.15" customHeight="1" x14ac:dyDescent="0.2">
      <c r="B47" s="170"/>
      <c r="C47" s="171" t="s">
        <v>126</v>
      </c>
      <c r="D47" s="202"/>
      <c r="E47" s="202"/>
      <c r="F47" s="202"/>
      <c r="G47" s="172"/>
      <c r="H47" s="173"/>
      <c r="I47" s="154">
        <f t="shared" si="1"/>
        <v>0</v>
      </c>
    </row>
    <row r="48" spans="2:9" s="116" customFormat="1" ht="13.15" customHeight="1" x14ac:dyDescent="0.2">
      <c r="B48" s="177"/>
      <c r="C48" s="178" t="s">
        <v>127</v>
      </c>
      <c r="D48" s="198"/>
      <c r="E48" s="198"/>
      <c r="F48" s="198"/>
      <c r="G48" s="148"/>
      <c r="H48" s="149"/>
      <c r="I48" s="153">
        <f t="shared" si="1"/>
        <v>0</v>
      </c>
    </row>
    <row r="49" spans="2:9" ht="18" customHeight="1" x14ac:dyDescent="0.2">
      <c r="B49" s="179">
        <v>15</v>
      </c>
      <c r="C49" s="180" t="str">
        <f>Config!C19&amp;", "&amp;Config!D19</f>
        <v>Schön, Leonardo</v>
      </c>
      <c r="D49" s="192"/>
      <c r="E49" s="186">
        <v>1</v>
      </c>
      <c r="F49" s="186">
        <v>2</v>
      </c>
      <c r="G49" s="192"/>
      <c r="H49" s="187">
        <v>1</v>
      </c>
      <c r="I49" s="181">
        <f t="shared" si="1"/>
        <v>4</v>
      </c>
    </row>
    <row r="50" spans="2:9" s="116" customFormat="1" ht="13.15" customHeight="1" x14ac:dyDescent="0.2">
      <c r="B50" s="164"/>
      <c r="C50" s="165" t="s">
        <v>126</v>
      </c>
      <c r="D50" s="200"/>
      <c r="E50" s="166"/>
      <c r="F50" s="166"/>
      <c r="G50" s="200"/>
      <c r="H50" s="167"/>
      <c r="I50" s="151">
        <f t="shared" si="1"/>
        <v>0</v>
      </c>
    </row>
    <row r="51" spans="2:9" s="116" customFormat="1" ht="13.15" customHeight="1" x14ac:dyDescent="0.2">
      <c r="B51" s="168"/>
      <c r="C51" s="169" t="s">
        <v>127</v>
      </c>
      <c r="D51" s="196"/>
      <c r="E51" s="148"/>
      <c r="F51" s="148"/>
      <c r="G51" s="196"/>
      <c r="H51" s="149"/>
      <c r="I51" s="150">
        <f t="shared" si="1"/>
        <v>0</v>
      </c>
    </row>
    <row r="52" spans="2:9" ht="18" customHeight="1" x14ac:dyDescent="0.2">
      <c r="B52" s="174">
        <v>16</v>
      </c>
      <c r="C52" s="175" t="str">
        <f>Config!C20&amp;", "&amp;Config!D20</f>
        <v>Sigl, Nicholas</v>
      </c>
      <c r="D52" s="190"/>
      <c r="E52" s="184">
        <v>1</v>
      </c>
      <c r="F52" s="184">
        <v>2</v>
      </c>
      <c r="G52" s="184">
        <v>5</v>
      </c>
      <c r="H52" s="191"/>
      <c r="I52" s="176">
        <f t="shared" si="1"/>
        <v>8</v>
      </c>
    </row>
    <row r="53" spans="2:9" s="116" customFormat="1" ht="13.15" customHeight="1" x14ac:dyDescent="0.2">
      <c r="B53" s="170"/>
      <c r="C53" s="171" t="s">
        <v>126</v>
      </c>
      <c r="D53" s="202"/>
      <c r="E53" s="172"/>
      <c r="F53" s="172"/>
      <c r="G53" s="172"/>
      <c r="H53" s="203"/>
      <c r="I53" s="154">
        <f t="shared" si="1"/>
        <v>0</v>
      </c>
    </row>
    <row r="54" spans="2:9" s="116" customFormat="1" ht="13.15" customHeight="1" x14ac:dyDescent="0.2">
      <c r="B54" s="177"/>
      <c r="C54" s="178" t="s">
        <v>127</v>
      </c>
      <c r="D54" s="198"/>
      <c r="E54" s="148"/>
      <c r="F54" s="148"/>
      <c r="G54" s="148"/>
      <c r="H54" s="199"/>
      <c r="I54" s="153">
        <f t="shared" si="1"/>
        <v>0</v>
      </c>
    </row>
    <row r="55" spans="2:9" ht="18" customHeight="1" x14ac:dyDescent="0.2">
      <c r="B55" s="179">
        <v>17</v>
      </c>
      <c r="C55" s="180" t="str">
        <f>Config!C21&amp;", "&amp;Config!D21</f>
        <v>Kainz, Vivienne</v>
      </c>
      <c r="D55" s="186">
        <v>5</v>
      </c>
      <c r="E55" s="192"/>
      <c r="F55" s="192"/>
      <c r="G55" s="186">
        <v>5</v>
      </c>
      <c r="H55" s="193"/>
      <c r="I55" s="181">
        <f t="shared" si="1"/>
        <v>10</v>
      </c>
    </row>
    <row r="56" spans="2:9" s="116" customFormat="1" ht="13.15" customHeight="1" x14ac:dyDescent="0.2">
      <c r="B56" s="164"/>
      <c r="C56" s="165" t="s">
        <v>126</v>
      </c>
      <c r="D56" s="166"/>
      <c r="E56" s="200"/>
      <c r="F56" s="200"/>
      <c r="G56" s="166"/>
      <c r="H56" s="201"/>
      <c r="I56" s="151">
        <f t="shared" si="1"/>
        <v>0</v>
      </c>
    </row>
    <row r="57" spans="2:9" s="116" customFormat="1" ht="13.15" customHeight="1" x14ac:dyDescent="0.2">
      <c r="B57" s="168"/>
      <c r="C57" s="169" t="s">
        <v>127</v>
      </c>
      <c r="D57" s="148"/>
      <c r="E57" s="196"/>
      <c r="F57" s="196"/>
      <c r="G57" s="148"/>
      <c r="H57" s="197"/>
      <c r="I57" s="150">
        <f t="shared" si="1"/>
        <v>0</v>
      </c>
    </row>
    <row r="58" spans="2:9" ht="18" customHeight="1" x14ac:dyDescent="0.2">
      <c r="B58" s="174">
        <v>18</v>
      </c>
      <c r="C58" s="175" t="str">
        <f>Config!C22&amp;", "&amp;Config!D22</f>
        <v>Hartmann, Mads</v>
      </c>
      <c r="D58" s="190"/>
      <c r="E58" s="190"/>
      <c r="F58" s="190"/>
      <c r="G58" s="184">
        <v>3</v>
      </c>
      <c r="H58" s="185">
        <v>4</v>
      </c>
      <c r="I58" s="176">
        <f t="shared" si="1"/>
        <v>7</v>
      </c>
    </row>
    <row r="59" spans="2:9" s="116" customFormat="1" ht="13.15" customHeight="1" x14ac:dyDescent="0.2">
      <c r="B59" s="170"/>
      <c r="C59" s="171" t="s">
        <v>126</v>
      </c>
      <c r="D59" s="202"/>
      <c r="E59" s="202"/>
      <c r="F59" s="202"/>
      <c r="G59" s="172"/>
      <c r="H59" s="173"/>
      <c r="I59" s="154">
        <f t="shared" si="1"/>
        <v>0</v>
      </c>
    </row>
    <row r="60" spans="2:9" s="116" customFormat="1" ht="13.15" customHeight="1" x14ac:dyDescent="0.2">
      <c r="B60" s="177"/>
      <c r="C60" s="178" t="s">
        <v>127</v>
      </c>
      <c r="D60" s="198"/>
      <c r="E60" s="198"/>
      <c r="F60" s="198"/>
      <c r="G60" s="148"/>
      <c r="H60" s="149"/>
      <c r="I60" s="153">
        <f t="shared" si="1"/>
        <v>0</v>
      </c>
    </row>
    <row r="61" spans="2:9" ht="18" customHeight="1" x14ac:dyDescent="0.2">
      <c r="B61" s="179">
        <v>19</v>
      </c>
      <c r="C61" s="180" t="str">
        <f>Config!C23&amp;", "&amp;Config!D23</f>
        <v>Ullmann, Raphael</v>
      </c>
      <c r="D61" s="192"/>
      <c r="E61" s="192"/>
      <c r="F61" s="192"/>
      <c r="G61" s="186">
        <v>5</v>
      </c>
      <c r="H61" s="187">
        <v>3</v>
      </c>
      <c r="I61" s="181">
        <f t="shared" si="1"/>
        <v>8</v>
      </c>
    </row>
    <row r="62" spans="2:9" s="116" customFormat="1" ht="13.15" customHeight="1" x14ac:dyDescent="0.2">
      <c r="B62" s="164"/>
      <c r="C62" s="165" t="s">
        <v>126</v>
      </c>
      <c r="D62" s="200"/>
      <c r="E62" s="200"/>
      <c r="F62" s="200"/>
      <c r="G62" s="166"/>
      <c r="H62" s="167"/>
      <c r="I62" s="151">
        <f t="shared" si="1"/>
        <v>0</v>
      </c>
    </row>
    <row r="63" spans="2:9" s="116" customFormat="1" ht="13.15" customHeight="1" x14ac:dyDescent="0.2">
      <c r="B63" s="168"/>
      <c r="C63" s="169" t="s">
        <v>127</v>
      </c>
      <c r="D63" s="196"/>
      <c r="E63" s="196"/>
      <c r="F63" s="196"/>
      <c r="G63" s="148"/>
      <c r="H63" s="149"/>
      <c r="I63" s="150">
        <f t="shared" si="1"/>
        <v>0</v>
      </c>
    </row>
    <row r="64" spans="2:9" ht="18" customHeight="1" x14ac:dyDescent="0.2">
      <c r="B64" s="174">
        <v>20</v>
      </c>
      <c r="C64" s="175" t="str">
        <f>Config!C24&amp;", "&amp;Config!D24</f>
        <v>Hartl, Emmely</v>
      </c>
      <c r="D64" s="184">
        <v>5</v>
      </c>
      <c r="E64" s="184">
        <v>2</v>
      </c>
      <c r="F64" s="184">
        <v>3</v>
      </c>
      <c r="G64" s="190"/>
      <c r="H64" s="191"/>
      <c r="I64" s="176">
        <f t="shared" si="1"/>
        <v>10</v>
      </c>
    </row>
    <row r="65" spans="2:9" s="116" customFormat="1" ht="13.15" customHeight="1" x14ac:dyDescent="0.2">
      <c r="B65" s="170"/>
      <c r="C65" s="171" t="s">
        <v>126</v>
      </c>
      <c r="D65" s="172"/>
      <c r="E65" s="172"/>
      <c r="F65" s="172"/>
      <c r="G65" s="202"/>
      <c r="H65" s="203"/>
      <c r="I65" s="154">
        <f t="shared" si="1"/>
        <v>0</v>
      </c>
    </row>
    <row r="66" spans="2:9" s="116" customFormat="1" ht="13.15" customHeight="1" x14ac:dyDescent="0.2">
      <c r="B66" s="177"/>
      <c r="C66" s="178" t="s">
        <v>127</v>
      </c>
      <c r="D66" s="148"/>
      <c r="E66" s="148"/>
      <c r="F66" s="148"/>
      <c r="G66" s="198"/>
      <c r="H66" s="199"/>
      <c r="I66" s="153">
        <f t="shared" si="1"/>
        <v>0</v>
      </c>
    </row>
    <row r="67" spans="2:9" ht="18" customHeight="1" x14ac:dyDescent="0.2">
      <c r="B67" s="179">
        <v>21</v>
      </c>
      <c r="C67" s="180" t="str">
        <f>Config!C25&amp;", "&amp;Config!D25</f>
        <v>Klotz, Karin</v>
      </c>
      <c r="D67" s="186">
        <v>5</v>
      </c>
      <c r="E67" s="186">
        <v>2</v>
      </c>
      <c r="F67" s="186">
        <v>3</v>
      </c>
      <c r="G67" s="192"/>
      <c r="H67" s="193"/>
      <c r="I67" s="181">
        <f t="shared" si="1"/>
        <v>10</v>
      </c>
    </row>
    <row r="68" spans="2:9" s="116" customFormat="1" ht="13.15" customHeight="1" x14ac:dyDescent="0.2">
      <c r="B68" s="164"/>
      <c r="C68" s="165" t="s">
        <v>126</v>
      </c>
      <c r="D68" s="166"/>
      <c r="E68" s="166"/>
      <c r="F68" s="166"/>
      <c r="G68" s="200"/>
      <c r="H68" s="201"/>
      <c r="I68" s="151">
        <f t="shared" si="1"/>
        <v>0</v>
      </c>
    </row>
    <row r="69" spans="2:9" s="116" customFormat="1" ht="13.15" customHeight="1" x14ac:dyDescent="0.2">
      <c r="B69" s="168"/>
      <c r="C69" s="169" t="s">
        <v>127</v>
      </c>
      <c r="D69" s="148"/>
      <c r="E69" s="148"/>
      <c r="F69" s="148"/>
      <c r="G69" s="196"/>
      <c r="H69" s="197"/>
      <c r="I69" s="150">
        <f t="shared" si="1"/>
        <v>0</v>
      </c>
    </row>
    <row r="70" spans="2:9" ht="18" customHeight="1" x14ac:dyDescent="0.2">
      <c r="B70" s="174">
        <v>22</v>
      </c>
      <c r="C70" s="175" t="str">
        <f>Config!C26&amp;", "&amp;Config!D26</f>
        <v>Ehlers, Ingo</v>
      </c>
      <c r="D70" s="184">
        <v>2</v>
      </c>
      <c r="E70" s="190"/>
      <c r="F70" s="190"/>
      <c r="G70" s="190"/>
      <c r="H70" s="185">
        <v>5</v>
      </c>
      <c r="I70" s="176">
        <f t="shared" si="1"/>
        <v>7</v>
      </c>
    </row>
    <row r="71" spans="2:9" s="116" customFormat="1" ht="13.15" customHeight="1" x14ac:dyDescent="0.2">
      <c r="B71" s="170"/>
      <c r="C71" s="171" t="s">
        <v>126</v>
      </c>
      <c r="D71" s="172"/>
      <c r="E71" s="202"/>
      <c r="F71" s="202"/>
      <c r="G71" s="202"/>
      <c r="H71" s="173"/>
      <c r="I71" s="154">
        <f t="shared" ref="I71:I75" si="2">SUM(D71:H71)</f>
        <v>0</v>
      </c>
    </row>
    <row r="72" spans="2:9" s="116" customFormat="1" ht="13.15" customHeight="1" x14ac:dyDescent="0.2">
      <c r="B72" s="177"/>
      <c r="C72" s="178" t="s">
        <v>127</v>
      </c>
      <c r="D72" s="148"/>
      <c r="E72" s="198"/>
      <c r="F72" s="198"/>
      <c r="G72" s="198"/>
      <c r="H72" s="149"/>
      <c r="I72" s="153">
        <f t="shared" si="2"/>
        <v>0</v>
      </c>
    </row>
    <row r="73" spans="2:9" ht="18" customHeight="1" thickBot="1" x14ac:dyDescent="0.25">
      <c r="B73" s="144">
        <v>23</v>
      </c>
      <c r="C73" s="139" t="str">
        <f>Config!C27&amp;", "&amp;Config!D27</f>
        <v>Lindemann, Mads</v>
      </c>
      <c r="D73" s="95">
        <v>3</v>
      </c>
      <c r="E73" s="194"/>
      <c r="F73" s="194"/>
      <c r="G73" s="95">
        <v>5</v>
      </c>
      <c r="H73" s="195"/>
      <c r="I73" s="147">
        <f t="shared" si="2"/>
        <v>8</v>
      </c>
    </row>
    <row r="74" spans="2:9" s="116" customFormat="1" ht="13.15" customHeight="1" x14ac:dyDescent="0.2">
      <c r="B74" s="164"/>
      <c r="C74" s="165" t="s">
        <v>126</v>
      </c>
      <c r="D74" s="166"/>
      <c r="E74" s="200"/>
      <c r="F74" s="200"/>
      <c r="G74" s="166"/>
      <c r="H74" s="201"/>
      <c r="I74" s="151">
        <f t="shared" si="2"/>
        <v>0</v>
      </c>
    </row>
    <row r="75" spans="2:9" s="116" customFormat="1" ht="13.15" customHeight="1" thickBot="1" x14ac:dyDescent="0.25">
      <c r="B75" s="155"/>
      <c r="C75" s="158" t="s">
        <v>127</v>
      </c>
      <c r="D75" s="156"/>
      <c r="E75" s="159"/>
      <c r="F75" s="159"/>
      <c r="G75" s="156"/>
      <c r="H75" s="160"/>
      <c r="I75" s="152">
        <f t="shared" si="2"/>
        <v>0</v>
      </c>
    </row>
    <row r="76" spans="2:9" ht="18" customHeight="1" thickBot="1" x14ac:dyDescent="0.25">
      <c r="B76" s="119"/>
      <c r="C76" s="120"/>
      <c r="D76" s="120">
        <f>IF(COUNTIFS(D7:D73,"&lt;&gt;",C7:C73,"&lt;&gt;ZK",C7:C73,"&lt;&gt;DK")&lt;&gt;0,SUMIFS(D7:D73,C7:C73,"&lt;&gt;ZK",C7:C73,"&lt;&gt;DK")/(COUNTIFS(D7:D73,"&lt;&gt;",C7:C73,"&lt;&gt;ZK",C7:C73,"&lt;&gt;DK")*D6),0)</f>
        <v>0.67692307692307696</v>
      </c>
      <c r="E76" s="120">
        <f>IF(COUNTIFS(E7:E73,"&lt;&gt;",C7:C73,"&lt;&gt;ZK",C7:C73,"&lt;&gt;DK")&lt;&gt;0,SUMIFS(E7:E73,C7:C73,"&lt;&gt;ZK",C7:C73,"&lt;&gt;DK")/(COUNTIFS(E7:E73,"&lt;&gt;",C7:C73,"&lt;&gt;ZK",C7:C73,"&lt;&gt;DK")*E6),0)</f>
        <v>0.77777777777777779</v>
      </c>
      <c r="F76" s="120">
        <f>IF(COUNTIFS(F7:F73,"&lt;&gt;",C7:C73,"&lt;&gt;ZK",C7:C73,"&lt;&gt;DK")&lt;&gt;0,SUMIFS(F7:F73,C7:C73,"&lt;&gt;ZK",C7:C73,"&lt;&gt;DK")/(COUNTIFS(F7:F73,"&lt;&gt;",C7:C73,"&lt;&gt;ZK",C7:C73,"&lt;&gt;DK")*F6),0)</f>
        <v>0.8</v>
      </c>
      <c r="G76" s="120">
        <f>IF(COUNTIFS(G7:G73,"&lt;&gt;",C7:C73,"&lt;&gt;ZK",C7:C73,"&lt;&gt;DK")&lt;&gt;0,SUMIFS(G7:G73,C7:C73,"&lt;&gt;ZK",C7:C73,"&lt;&gt;DK")/(COUNTIFS(G7:G73,"&lt;&gt;",C7:C73,"&lt;&gt;ZK",C7:C73,"&lt;&gt;DK")*G6),0)</f>
        <v>0.82857142857142863</v>
      </c>
      <c r="H76" s="120">
        <f>IF(COUNTIFS(H7:H73,"&lt;&gt;",C7:C73,"&lt;&gt;ZK",C7:C73,"&lt;&gt;DK")&lt;&gt;0,SUMIFS(H7:H73,C7:C73,"&lt;&gt;ZK",C7:C73,"&lt;&gt;DK")/(COUNTIFS(H7:H73,"&lt;&gt;",C7:C73,"&lt;&gt;ZK",C7:C73,"&lt;&gt;DK")*H6),0)</f>
        <v>0.68888888888888888</v>
      </c>
      <c r="I76" s="121"/>
    </row>
    <row r="77" spans="2:9" ht="18" customHeight="1" x14ac:dyDescent="0.2"/>
    <row r="78" spans="2:9" ht="18" customHeight="1" x14ac:dyDescent="0.2"/>
    <row r="79" spans="2:9" ht="18" customHeight="1" x14ac:dyDescent="0.2"/>
    <row r="80" spans="2:9"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electLockedCells="1"/>
  <dataValidations count="5">
    <dataValidation type="decimal" allowBlank="1" showErrorMessage="1" sqref="D7:D75" xr:uid="{4F62F5DB-D8C2-481B-A265-48E8D8602C1E}">
      <formula1>0</formula1>
      <formula2>$D$6</formula2>
    </dataValidation>
    <dataValidation type="decimal" allowBlank="1" showErrorMessage="1" sqref="E7:E75" xr:uid="{8FD7501C-FD13-40B7-93A1-58A41815F2D5}">
      <formula1>0</formula1>
      <formula2>$E$6</formula2>
    </dataValidation>
    <dataValidation type="decimal" allowBlank="1" showErrorMessage="1" sqref="F7:F75" xr:uid="{BBB6BDAD-2BE3-44B3-A851-53771BC6FFF7}">
      <formula1>0</formula1>
      <formula2>$F$6</formula2>
    </dataValidation>
    <dataValidation type="decimal" allowBlank="1" showErrorMessage="1" sqref="G7:G75" xr:uid="{3AE333DF-6560-459A-847B-F6AD2F7DDA55}">
      <formula1>0</formula1>
      <formula2>$G$6</formula2>
    </dataValidation>
    <dataValidation type="decimal" allowBlank="1" showErrorMessage="1" sqref="H7:H75" xr:uid="{F3DE39C4-F935-4727-8260-53E3050D961E}">
      <formula1>0</formula1>
      <formula2>$H$6</formula2>
    </dataValidation>
  </dataValidations>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6DE1D-D471-4E1B-958E-B8B36DDFF646}">
  <sheetPr codeName="Tabelle11">
    <tabColor rgb="FFFFC000"/>
  </sheetPr>
  <dimension ref="B1:N100"/>
  <sheetViews>
    <sheetView workbookViewId="0">
      <selection activeCell="F9" sqref="F9"/>
    </sheetView>
  </sheetViews>
  <sheetFormatPr baseColWidth="10" defaultColWidth="11.5703125" defaultRowHeight="12.75" x14ac:dyDescent="0.2"/>
  <cols>
    <col min="1" max="2" width="3.42578125" style="98" customWidth="1"/>
    <col min="3" max="3" width="25.7109375" style="98" customWidth="1"/>
    <col min="4" max="8" width="4.7109375" style="98" customWidth="1"/>
    <col min="9" max="9" width="2.7109375" style="98" customWidth="1"/>
    <col min="10" max="16384" width="11.5703125" style="98"/>
  </cols>
  <sheetData>
    <row r="1" spans="2:14" ht="18" customHeight="1" thickBot="1" x14ac:dyDescent="0.25"/>
    <row r="2" spans="2:14" ht="18" customHeight="1" x14ac:dyDescent="0.2">
      <c r="B2" s="99" t="str">
        <f>Config!F2&amp;" "&amp;YEAR(Config!G24)</f>
        <v>Mathe Abitur 2026</v>
      </c>
      <c r="C2" s="100"/>
      <c r="D2" s="100"/>
      <c r="E2" s="100"/>
      <c r="F2" s="101"/>
      <c r="G2" s="101"/>
      <c r="H2" s="102" t="str">
        <f>"Kurs "&amp;Config!G26</f>
        <v>Kurs K1</v>
      </c>
    </row>
    <row r="3" spans="2:14" ht="18" customHeight="1" x14ac:dyDescent="0.2">
      <c r="B3" s="103" t="s">
        <v>124</v>
      </c>
      <c r="C3" s="104"/>
      <c r="D3" s="104"/>
      <c r="E3" s="104"/>
      <c r="F3" s="104"/>
      <c r="G3" s="104"/>
      <c r="H3" s="105"/>
    </row>
    <row r="4" spans="2:14" ht="18" customHeight="1" thickBot="1" x14ac:dyDescent="0.25">
      <c r="B4" s="103"/>
      <c r="C4" s="104"/>
      <c r="D4" s="106"/>
      <c r="E4" s="106"/>
      <c r="F4" s="106"/>
      <c r="G4" s="106"/>
      <c r="H4" s="107"/>
    </row>
    <row r="5" spans="2:14" ht="18" customHeight="1" thickBot="1" x14ac:dyDescent="0.25">
      <c r="B5" s="108"/>
      <c r="C5" s="110"/>
      <c r="D5" s="124" t="str">
        <f>Config!R6</f>
        <v>6</v>
      </c>
      <c r="E5" s="124" t="str">
        <f>Config!R7</f>
        <v>7a</v>
      </c>
      <c r="F5" s="124" t="str">
        <f>Config!R8</f>
        <v>7b</v>
      </c>
      <c r="G5" s="124" t="str">
        <f>Config!R9</f>
        <v>8</v>
      </c>
      <c r="H5" s="124" t="str">
        <f>Config!R10</f>
        <v>9</v>
      </c>
    </row>
    <row r="6" spans="2:14" ht="18" customHeight="1" thickBot="1" x14ac:dyDescent="0.25">
      <c r="B6" s="109"/>
      <c r="C6" s="111" t="s">
        <v>81</v>
      </c>
      <c r="D6" s="146" t="s">
        <v>112</v>
      </c>
      <c r="E6" s="146" t="s">
        <v>112</v>
      </c>
      <c r="F6" s="146" t="s">
        <v>112</v>
      </c>
      <c r="G6" s="146" t="s">
        <v>112</v>
      </c>
      <c r="H6" s="146" t="s">
        <v>112</v>
      </c>
      <c r="J6" s="259" t="s">
        <v>125</v>
      </c>
      <c r="K6" s="260"/>
      <c r="L6" s="260"/>
      <c r="M6" s="260"/>
      <c r="N6" s="261"/>
    </row>
    <row r="7" spans="2:14" ht="18" customHeight="1" x14ac:dyDescent="0.2">
      <c r="B7" s="141">
        <v>1</v>
      </c>
      <c r="C7" s="138" t="str">
        <f>Config!C5&amp;", "&amp;Config!D5</f>
        <v>Höfer, Simon</v>
      </c>
      <c r="D7" s="63" t="s">
        <v>120</v>
      </c>
      <c r="E7" s="63"/>
      <c r="F7" s="63" t="s">
        <v>120</v>
      </c>
      <c r="G7" s="63"/>
      <c r="H7" s="64"/>
      <c r="J7" s="262"/>
      <c r="K7" s="263"/>
      <c r="L7" s="263"/>
      <c r="M7" s="263"/>
      <c r="N7" s="264"/>
    </row>
    <row r="8" spans="2:14" ht="18" customHeight="1" thickBot="1" x14ac:dyDescent="0.25">
      <c r="B8" s="143">
        <v>2</v>
      </c>
      <c r="C8" s="115" t="str">
        <f>Config!C6&amp;", "&amp;Config!D6</f>
        <v>Töpfer, Lilian</v>
      </c>
      <c r="D8" s="62" t="s">
        <v>120</v>
      </c>
      <c r="E8" s="62"/>
      <c r="F8" s="62"/>
      <c r="G8" s="62" t="s">
        <v>120</v>
      </c>
      <c r="H8" s="65"/>
      <c r="J8" s="265"/>
      <c r="K8" s="266"/>
      <c r="L8" s="266"/>
      <c r="M8" s="266"/>
      <c r="N8" s="267"/>
    </row>
    <row r="9" spans="2:14" ht="18" customHeight="1" x14ac:dyDescent="0.2">
      <c r="B9" s="143">
        <v>3</v>
      </c>
      <c r="C9" s="115" t="str">
        <f>Config!C7&amp;", "&amp;Config!D7</f>
        <v>Fleischmann, Leonie</v>
      </c>
      <c r="D9" s="62"/>
      <c r="E9" s="62"/>
      <c r="F9" s="62"/>
      <c r="G9" s="62" t="s">
        <v>120</v>
      </c>
      <c r="H9" s="65" t="s">
        <v>120</v>
      </c>
    </row>
    <row r="10" spans="2:14" ht="18" customHeight="1" x14ac:dyDescent="0.2">
      <c r="B10" s="143">
        <v>4</v>
      </c>
      <c r="C10" s="115" t="str">
        <f>Config!C8&amp;", "&amp;Config!D8</f>
        <v>Drescher, Cedric</v>
      </c>
      <c r="D10" s="62" t="s">
        <v>120</v>
      </c>
      <c r="E10" s="62" t="s">
        <v>120</v>
      </c>
      <c r="F10" s="62" t="s">
        <v>120</v>
      </c>
      <c r="G10" s="62"/>
      <c r="H10" s="65"/>
    </row>
    <row r="11" spans="2:14" ht="18" customHeight="1" x14ac:dyDescent="0.2">
      <c r="B11" s="143">
        <v>5</v>
      </c>
      <c r="C11" s="115" t="str">
        <f>Config!C9&amp;", "&amp;Config!D9</f>
        <v>Baumgarten, Annabell</v>
      </c>
      <c r="D11" s="62" t="s">
        <v>120</v>
      </c>
      <c r="E11" s="62"/>
      <c r="F11" s="62"/>
      <c r="G11" s="62" t="s">
        <v>120</v>
      </c>
      <c r="H11" s="65"/>
    </row>
    <row r="12" spans="2:14" ht="18" customHeight="1" x14ac:dyDescent="0.2">
      <c r="B12" s="143">
        <v>6</v>
      </c>
      <c r="C12" s="115" t="str">
        <f>Config!C10&amp;", "&amp;Config!D10</f>
        <v>Traut, Stefanie</v>
      </c>
      <c r="D12" s="62"/>
      <c r="E12" s="62" t="s">
        <v>120</v>
      </c>
      <c r="F12" s="62" t="s">
        <v>120</v>
      </c>
      <c r="G12" s="62" t="s">
        <v>120</v>
      </c>
      <c r="H12" s="65"/>
    </row>
    <row r="13" spans="2:14" ht="18" customHeight="1" x14ac:dyDescent="0.2">
      <c r="B13" s="143">
        <v>7</v>
      </c>
      <c r="C13" s="115" t="str">
        <f>Config!C11&amp;", "&amp;Config!D11</f>
        <v>Menke, Damian</v>
      </c>
      <c r="D13" s="62"/>
      <c r="E13" s="62" t="s">
        <v>120</v>
      </c>
      <c r="F13" s="62" t="s">
        <v>120</v>
      </c>
      <c r="G13" s="62"/>
      <c r="H13" s="65" t="s">
        <v>120</v>
      </c>
    </row>
    <row r="14" spans="2:14" ht="18" customHeight="1" x14ac:dyDescent="0.2">
      <c r="B14" s="143">
        <v>8</v>
      </c>
      <c r="C14" s="115" t="str">
        <f>Config!C12&amp;", "&amp;Config!D12</f>
        <v>Carroll, Meik</v>
      </c>
      <c r="D14" s="62"/>
      <c r="E14" s="62"/>
      <c r="F14" s="62"/>
      <c r="G14" s="62" t="s">
        <v>120</v>
      </c>
      <c r="H14" s="65" t="s">
        <v>120</v>
      </c>
    </row>
    <row r="15" spans="2:14" ht="18" customHeight="1" x14ac:dyDescent="0.2">
      <c r="B15" s="143">
        <v>9</v>
      </c>
      <c r="C15" s="115" t="str">
        <f>Config!C13&amp;", "&amp;Config!D13</f>
        <v>Hennings, Tomas</v>
      </c>
      <c r="D15" s="62" t="s">
        <v>120</v>
      </c>
      <c r="E15" s="62" t="s">
        <v>120</v>
      </c>
      <c r="F15" s="62" t="s">
        <v>120</v>
      </c>
      <c r="G15" s="62"/>
      <c r="H15" s="65"/>
    </row>
    <row r="16" spans="2:14" ht="18" customHeight="1" x14ac:dyDescent="0.2">
      <c r="B16" s="143">
        <v>10</v>
      </c>
      <c r="C16" s="115" t="str">
        <f>Config!C14&amp;", "&amp;Config!D14</f>
        <v>Walters, Linn</v>
      </c>
      <c r="D16" s="62"/>
      <c r="E16" s="62" t="s">
        <v>120</v>
      </c>
      <c r="F16" s="62" t="s">
        <v>120</v>
      </c>
      <c r="G16" s="62" t="s">
        <v>120</v>
      </c>
      <c r="H16" s="65"/>
    </row>
    <row r="17" spans="2:8" ht="18" customHeight="1" x14ac:dyDescent="0.2">
      <c r="B17" s="143">
        <v>11</v>
      </c>
      <c r="C17" s="115" t="str">
        <f>Config!C15&amp;", "&amp;Config!D15</f>
        <v>Junker, Amely</v>
      </c>
      <c r="D17" s="62" t="s">
        <v>120</v>
      </c>
      <c r="E17" s="62"/>
      <c r="F17" s="62"/>
      <c r="G17" s="62" t="s">
        <v>120</v>
      </c>
      <c r="H17" s="65"/>
    </row>
    <row r="18" spans="2:8" ht="18" customHeight="1" x14ac:dyDescent="0.2">
      <c r="B18" s="143">
        <v>12</v>
      </c>
      <c r="C18" s="115" t="str">
        <f>Config!C16&amp;", "&amp;Config!D16</f>
        <v>Stephens, Melvin</v>
      </c>
      <c r="D18" s="62" t="s">
        <v>120</v>
      </c>
      <c r="E18" s="62"/>
      <c r="F18" s="62"/>
      <c r="G18" s="62" t="s">
        <v>120</v>
      </c>
      <c r="H18" s="65"/>
    </row>
    <row r="19" spans="2:8" ht="18" customHeight="1" x14ac:dyDescent="0.2">
      <c r="B19" s="143">
        <v>13</v>
      </c>
      <c r="C19" s="115" t="str">
        <f>Config!C17&amp;", "&amp;Config!D17</f>
        <v>Cremer, Marvin</v>
      </c>
      <c r="D19" s="62" t="s">
        <v>120</v>
      </c>
      <c r="E19" s="62"/>
      <c r="F19" s="62"/>
      <c r="G19" s="62"/>
      <c r="H19" s="65" t="s">
        <v>120</v>
      </c>
    </row>
    <row r="20" spans="2:8" ht="18" customHeight="1" x14ac:dyDescent="0.2">
      <c r="B20" s="143">
        <v>14</v>
      </c>
      <c r="C20" s="115" t="str">
        <f>Config!C18&amp;", "&amp;Config!D18</f>
        <v>Nash, Jean</v>
      </c>
      <c r="D20" s="62"/>
      <c r="E20" s="62"/>
      <c r="F20" s="62"/>
      <c r="G20" s="62" t="s">
        <v>120</v>
      </c>
      <c r="H20" s="65" t="s">
        <v>120</v>
      </c>
    </row>
    <row r="21" spans="2:8" ht="18" customHeight="1" x14ac:dyDescent="0.2">
      <c r="B21" s="143">
        <v>15</v>
      </c>
      <c r="C21" s="115" t="str">
        <f>Config!C19&amp;", "&amp;Config!D19</f>
        <v>Schön, Leonardo</v>
      </c>
      <c r="D21" s="62"/>
      <c r="E21" s="62" t="s">
        <v>120</v>
      </c>
      <c r="F21" s="62" t="s">
        <v>120</v>
      </c>
      <c r="G21" s="62"/>
      <c r="H21" s="65" t="s">
        <v>120</v>
      </c>
    </row>
    <row r="22" spans="2:8" ht="18" customHeight="1" x14ac:dyDescent="0.2">
      <c r="B22" s="143">
        <v>16</v>
      </c>
      <c r="C22" s="115" t="str">
        <f>Config!C20&amp;", "&amp;Config!D20</f>
        <v>Sigl, Nicholas</v>
      </c>
      <c r="D22" s="62"/>
      <c r="E22" s="62" t="s">
        <v>120</v>
      </c>
      <c r="F22" s="62" t="s">
        <v>120</v>
      </c>
      <c r="G22" s="62" t="s">
        <v>120</v>
      </c>
      <c r="H22" s="65"/>
    </row>
    <row r="23" spans="2:8" ht="18" customHeight="1" x14ac:dyDescent="0.2">
      <c r="B23" s="143">
        <v>17</v>
      </c>
      <c r="C23" s="115" t="str">
        <f>Config!C21&amp;", "&amp;Config!D21</f>
        <v>Kainz, Vivienne</v>
      </c>
      <c r="D23" s="62" t="s">
        <v>120</v>
      </c>
      <c r="E23" s="62"/>
      <c r="F23" s="62"/>
      <c r="G23" s="62" t="s">
        <v>120</v>
      </c>
      <c r="H23" s="65"/>
    </row>
    <row r="24" spans="2:8" ht="18" customHeight="1" x14ac:dyDescent="0.2">
      <c r="B24" s="143">
        <v>18</v>
      </c>
      <c r="C24" s="115" t="str">
        <f>Config!C22&amp;", "&amp;Config!D22</f>
        <v>Hartmann, Mads</v>
      </c>
      <c r="D24" s="62"/>
      <c r="E24" s="62"/>
      <c r="F24" s="62"/>
      <c r="G24" s="62" t="s">
        <v>120</v>
      </c>
      <c r="H24" s="65" t="s">
        <v>120</v>
      </c>
    </row>
    <row r="25" spans="2:8" ht="18" customHeight="1" x14ac:dyDescent="0.2">
      <c r="B25" s="143">
        <v>19</v>
      </c>
      <c r="C25" s="115" t="str">
        <f>Config!C23&amp;", "&amp;Config!D23</f>
        <v>Ullmann, Raphael</v>
      </c>
      <c r="D25" s="62"/>
      <c r="E25" s="62"/>
      <c r="F25" s="62"/>
      <c r="G25" s="62" t="s">
        <v>120</v>
      </c>
      <c r="H25" s="65" t="s">
        <v>120</v>
      </c>
    </row>
    <row r="26" spans="2:8" ht="18" customHeight="1" x14ac:dyDescent="0.2">
      <c r="B26" s="143">
        <v>20</v>
      </c>
      <c r="C26" s="115" t="str">
        <f>Config!C24&amp;", "&amp;Config!D24</f>
        <v>Hartl, Emmely</v>
      </c>
      <c r="D26" s="62" t="s">
        <v>120</v>
      </c>
      <c r="E26" s="62" t="s">
        <v>120</v>
      </c>
      <c r="F26" s="62" t="s">
        <v>120</v>
      </c>
      <c r="G26" s="62"/>
      <c r="H26" s="65"/>
    </row>
    <row r="27" spans="2:8" ht="18" customHeight="1" x14ac:dyDescent="0.2">
      <c r="B27" s="143">
        <v>21</v>
      </c>
      <c r="C27" s="115" t="str">
        <f>Config!C25&amp;", "&amp;Config!D25</f>
        <v>Klotz, Karin</v>
      </c>
      <c r="D27" s="62" t="s">
        <v>120</v>
      </c>
      <c r="E27" s="62" t="s">
        <v>120</v>
      </c>
      <c r="F27" s="62" t="s">
        <v>120</v>
      </c>
      <c r="G27" s="62"/>
      <c r="H27" s="65"/>
    </row>
    <row r="28" spans="2:8" ht="18" customHeight="1" x14ac:dyDescent="0.2">
      <c r="B28" s="143">
        <v>22</v>
      </c>
      <c r="C28" s="115" t="str">
        <f>Config!C26&amp;", "&amp;Config!D26</f>
        <v>Ehlers, Ingo</v>
      </c>
      <c r="D28" s="62" t="s">
        <v>120</v>
      </c>
      <c r="E28" s="62"/>
      <c r="F28" s="62"/>
      <c r="G28" s="62"/>
      <c r="H28" s="65" t="s">
        <v>120</v>
      </c>
    </row>
    <row r="29" spans="2:8" ht="18" customHeight="1" thickBot="1" x14ac:dyDescent="0.25">
      <c r="B29" s="144">
        <v>23</v>
      </c>
      <c r="C29" s="139" t="str">
        <f>Config!C27&amp;", "&amp;Config!D27</f>
        <v>Lindemann, Mads</v>
      </c>
      <c r="D29" s="66" t="s">
        <v>120</v>
      </c>
      <c r="E29" s="66"/>
      <c r="F29" s="66"/>
      <c r="G29" s="66" t="s">
        <v>120</v>
      </c>
      <c r="H29" s="67"/>
    </row>
    <row r="30" spans="2:8" ht="18" customHeight="1" x14ac:dyDescent="0.2"/>
    <row r="31" spans="2:8" ht="18" customHeight="1" x14ac:dyDescent="0.2"/>
    <row r="32" spans="2:8" ht="18" customHeight="1" x14ac:dyDescent="0.2"/>
    <row r="33" ht="18" customHeight="1" x14ac:dyDescent="0.2"/>
    <row r="34" ht="18" customHeight="1" x14ac:dyDescent="0.2"/>
    <row r="35" ht="18" customHeight="1" x14ac:dyDescent="0.2"/>
    <row r="36" ht="18" customHeight="1" x14ac:dyDescent="0.2"/>
    <row r="37" ht="18" customHeight="1" x14ac:dyDescent="0.2"/>
    <row r="38" ht="18" customHeight="1" x14ac:dyDescent="0.2"/>
    <row r="39" ht="18" customHeight="1" x14ac:dyDescent="0.2"/>
    <row r="40" ht="18" customHeight="1" x14ac:dyDescent="0.2"/>
    <row r="41" ht="18" customHeight="1" x14ac:dyDescent="0.2"/>
    <row r="42" ht="18" customHeight="1" x14ac:dyDescent="0.2"/>
    <row r="43" ht="18" customHeight="1" x14ac:dyDescent="0.2"/>
    <row r="44" ht="18" customHeight="1" x14ac:dyDescent="0.2"/>
    <row r="45" ht="18" customHeight="1" x14ac:dyDescent="0.2"/>
    <row r="46" ht="18" customHeight="1" x14ac:dyDescent="0.2"/>
    <row r="47" ht="18" customHeight="1" x14ac:dyDescent="0.2"/>
    <row r="48" ht="18" customHeight="1" x14ac:dyDescent="0.2"/>
    <row r="49" ht="18" customHeight="1" x14ac:dyDescent="0.2"/>
    <row r="50" ht="18" customHeight="1" x14ac:dyDescent="0.2"/>
    <row r="51" ht="18" customHeight="1" x14ac:dyDescent="0.2"/>
    <row r="52" ht="18" customHeight="1" x14ac:dyDescent="0.2"/>
    <row r="53" ht="18" customHeight="1" x14ac:dyDescent="0.2"/>
    <row r="54" ht="18" customHeight="1" x14ac:dyDescent="0.2"/>
    <row r="55" ht="18" customHeight="1" x14ac:dyDescent="0.2"/>
    <row r="56" ht="18" customHeight="1" x14ac:dyDescent="0.2"/>
    <row r="57" ht="18" customHeight="1" x14ac:dyDescent="0.2"/>
    <row r="58" ht="18" customHeight="1" x14ac:dyDescent="0.2"/>
    <row r="59" ht="18" customHeight="1" x14ac:dyDescent="0.2"/>
    <row r="60" ht="18" customHeight="1" x14ac:dyDescent="0.2"/>
    <row r="61" ht="18" customHeight="1" x14ac:dyDescent="0.2"/>
    <row r="62" ht="18" customHeight="1" x14ac:dyDescent="0.2"/>
    <row r="63" ht="18" customHeight="1" x14ac:dyDescent="0.2"/>
    <row r="64" ht="18" customHeight="1" x14ac:dyDescent="0.2"/>
    <row r="65" ht="18" customHeight="1" x14ac:dyDescent="0.2"/>
    <row r="66" ht="18" customHeight="1" x14ac:dyDescent="0.2"/>
    <row r="67" ht="18" customHeight="1" x14ac:dyDescent="0.2"/>
    <row r="68" ht="18" customHeight="1" x14ac:dyDescent="0.2"/>
    <row r="69" ht="18" customHeight="1" x14ac:dyDescent="0.2"/>
    <row r="70" ht="18" customHeight="1" x14ac:dyDescent="0.2"/>
    <row r="71" ht="18" customHeight="1" x14ac:dyDescent="0.2"/>
    <row r="72" ht="18" customHeight="1" x14ac:dyDescent="0.2"/>
    <row r="73" ht="18" customHeight="1" x14ac:dyDescent="0.2"/>
    <row r="74" ht="18" customHeight="1" x14ac:dyDescent="0.2"/>
    <row r="75" ht="18" customHeight="1" x14ac:dyDescent="0.2"/>
    <row r="76" ht="18" customHeight="1" x14ac:dyDescent="0.2"/>
    <row r="77" ht="18" customHeight="1" x14ac:dyDescent="0.2"/>
    <row r="78" ht="18" customHeight="1" x14ac:dyDescent="0.2"/>
    <row r="79" ht="18" customHeight="1" x14ac:dyDescent="0.2"/>
    <row r="80"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mergeCells count="1">
    <mergeCell ref="J6:N8"/>
  </mergeCells>
  <dataValidations count="1">
    <dataValidation type="list" allowBlank="1" showDropDown="1" showInputMessage="1" showErrorMessage="1" sqref="D7:H29" xr:uid="{C268995B-66E9-4C5B-9ABC-5B215B023E1B}">
      <formula1>"x,"</formula1>
    </dataValidation>
  </dataValidation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0">
    <tabColor rgb="FFFFC000"/>
  </sheetPr>
  <dimension ref="B1:AF45"/>
  <sheetViews>
    <sheetView tabSelected="1" zoomScaleNormal="100" workbookViewId="0">
      <selection activeCell="G27" sqref="G27:H27"/>
    </sheetView>
  </sheetViews>
  <sheetFormatPr baseColWidth="10" defaultColWidth="11.42578125" defaultRowHeight="12.75" x14ac:dyDescent="0.2"/>
  <cols>
    <col min="1" max="2" width="3.42578125" style="3" customWidth="1"/>
    <col min="3" max="4" width="17.5703125" style="3" customWidth="1"/>
    <col min="5" max="5" width="4.42578125" style="3" customWidth="1"/>
    <col min="6" max="19" width="6.7109375" style="3" customWidth="1"/>
    <col min="20" max="20" width="2.5703125" style="3" customWidth="1"/>
    <col min="21" max="21" width="2.42578125" style="3" customWidth="1"/>
    <col min="22" max="22" width="2.5703125" style="3" customWidth="1"/>
    <col min="23" max="25" width="11.42578125" style="3"/>
    <col min="26" max="26" width="11.42578125" style="3" customWidth="1"/>
    <col min="27" max="28" width="2.42578125" style="3" customWidth="1"/>
    <col min="29" max="16384" width="11.42578125" style="3"/>
  </cols>
  <sheetData>
    <row r="1" spans="2:32" ht="13.5" thickBot="1" x14ac:dyDescent="0.25"/>
    <row r="2" spans="2:32" ht="13.15" customHeight="1" x14ac:dyDescent="0.2">
      <c r="B2" s="206" t="s">
        <v>6</v>
      </c>
      <c r="C2" s="207"/>
      <c r="D2" s="208"/>
      <c r="F2" s="251" t="s">
        <v>96</v>
      </c>
      <c r="G2" s="252"/>
      <c r="H2" s="252"/>
      <c r="I2" s="252"/>
      <c r="J2" s="252"/>
      <c r="K2" s="252"/>
      <c r="L2" s="252"/>
      <c r="M2" s="252"/>
      <c r="N2" s="252"/>
      <c r="O2" s="252"/>
      <c r="P2" s="252"/>
      <c r="Q2" s="252"/>
      <c r="R2" s="252"/>
      <c r="S2" s="253"/>
      <c r="T2" s="79" t="s">
        <v>88</v>
      </c>
      <c r="V2" s="228" t="s">
        <v>89</v>
      </c>
      <c r="W2" s="229"/>
      <c r="X2" s="229"/>
      <c r="Y2" s="229"/>
      <c r="Z2" s="230"/>
      <c r="AB2" s="228" t="s">
        <v>129</v>
      </c>
      <c r="AC2" s="229"/>
      <c r="AD2" s="229"/>
      <c r="AE2" s="229"/>
      <c r="AF2" s="230"/>
    </row>
    <row r="3" spans="2:32" ht="13.15" customHeight="1" x14ac:dyDescent="0.2">
      <c r="B3" s="209"/>
      <c r="C3" s="210"/>
      <c r="D3" s="211"/>
      <c r="F3" s="254"/>
      <c r="G3" s="255"/>
      <c r="H3" s="255"/>
      <c r="I3" s="255"/>
      <c r="J3" s="255"/>
      <c r="K3" s="255"/>
      <c r="L3" s="255"/>
      <c r="M3" s="255"/>
      <c r="N3" s="255"/>
      <c r="O3" s="255"/>
      <c r="P3" s="255"/>
      <c r="Q3" s="255"/>
      <c r="R3" s="255"/>
      <c r="S3" s="256"/>
      <c r="V3" s="80" t="s">
        <v>90</v>
      </c>
      <c r="W3" s="212" t="s">
        <v>122</v>
      </c>
      <c r="X3" s="212"/>
      <c r="Y3" s="212"/>
      <c r="Z3" s="213"/>
      <c r="AB3" s="97" t="s">
        <v>130</v>
      </c>
      <c r="AC3" s="212" t="s">
        <v>131</v>
      </c>
      <c r="AD3" s="212"/>
      <c r="AE3" s="212"/>
      <c r="AF3" s="213"/>
    </row>
    <row r="4" spans="2:32" ht="13.15" customHeight="1" x14ac:dyDescent="0.2">
      <c r="B4" s="4"/>
      <c r="C4" s="17" t="s">
        <v>7</v>
      </c>
      <c r="D4" s="18" t="s">
        <v>8</v>
      </c>
      <c r="F4" s="26" t="s">
        <v>9</v>
      </c>
      <c r="G4" s="21"/>
      <c r="H4" s="83" t="s">
        <v>10</v>
      </c>
      <c r="I4" s="21"/>
      <c r="J4" s="83" t="s">
        <v>11</v>
      </c>
      <c r="K4" s="21"/>
      <c r="L4" s="83" t="s">
        <v>12</v>
      </c>
      <c r="M4" s="21"/>
      <c r="N4" s="83" t="s">
        <v>13</v>
      </c>
      <c r="O4" s="25"/>
      <c r="P4" s="83" t="s">
        <v>14</v>
      </c>
      <c r="Q4" s="25"/>
      <c r="R4" s="83" t="s">
        <v>112</v>
      </c>
      <c r="S4" s="19"/>
      <c r="T4" s="79" t="s">
        <v>88</v>
      </c>
      <c r="V4" s="80"/>
      <c r="W4" s="212"/>
      <c r="X4" s="212"/>
      <c r="Y4" s="212"/>
      <c r="Z4" s="213"/>
      <c r="AB4" s="80"/>
      <c r="AC4" s="212"/>
      <c r="AD4" s="212"/>
      <c r="AE4" s="212"/>
      <c r="AF4" s="213"/>
    </row>
    <row r="5" spans="2:32" ht="13.15" customHeight="1" x14ac:dyDescent="0.2">
      <c r="B5" s="5">
        <v>1</v>
      </c>
      <c r="C5" s="75" t="s">
        <v>58</v>
      </c>
      <c r="D5" s="76" t="s">
        <v>37</v>
      </c>
      <c r="F5" s="7" t="s">
        <v>15</v>
      </c>
      <c r="G5" s="20" t="s">
        <v>0</v>
      </c>
      <c r="H5" s="8" t="s">
        <v>15</v>
      </c>
      <c r="I5" s="20" t="s">
        <v>0</v>
      </c>
      <c r="J5" s="8" t="s">
        <v>15</v>
      </c>
      <c r="K5" s="20" t="s">
        <v>0</v>
      </c>
      <c r="L5" s="8" t="s">
        <v>15</v>
      </c>
      <c r="M5" s="20" t="s">
        <v>0</v>
      </c>
      <c r="N5" s="8" t="s">
        <v>15</v>
      </c>
      <c r="O5" s="20" t="s">
        <v>0</v>
      </c>
      <c r="P5" s="8" t="s">
        <v>15</v>
      </c>
      <c r="Q5" s="20" t="s">
        <v>0</v>
      </c>
      <c r="R5" s="8" t="s">
        <v>15</v>
      </c>
      <c r="S5" s="9" t="s">
        <v>0</v>
      </c>
      <c r="V5" s="80"/>
      <c r="W5" s="212"/>
      <c r="X5" s="212"/>
      <c r="Y5" s="212"/>
      <c r="Z5" s="213"/>
      <c r="AB5" s="80"/>
      <c r="AC5" s="212"/>
      <c r="AD5" s="212"/>
      <c r="AE5" s="212"/>
      <c r="AF5" s="213"/>
    </row>
    <row r="6" spans="2:32" ht="13.15" customHeight="1" x14ac:dyDescent="0.2">
      <c r="B6" s="5">
        <v>2</v>
      </c>
      <c r="C6" s="13" t="s">
        <v>59</v>
      </c>
      <c r="D6" s="14" t="s">
        <v>38</v>
      </c>
      <c r="F6" s="11" t="s">
        <v>2</v>
      </c>
      <c r="G6" s="33">
        <v>2</v>
      </c>
      <c r="H6" s="12" t="s">
        <v>2</v>
      </c>
      <c r="I6" s="33">
        <v>2</v>
      </c>
      <c r="J6" s="12" t="s">
        <v>19</v>
      </c>
      <c r="K6" s="33">
        <v>5</v>
      </c>
      <c r="L6" s="12" t="s">
        <v>2</v>
      </c>
      <c r="M6" s="33">
        <v>2</v>
      </c>
      <c r="N6" s="12" t="s">
        <v>2</v>
      </c>
      <c r="O6" s="33">
        <v>2</v>
      </c>
      <c r="P6" s="12" t="s">
        <v>2</v>
      </c>
      <c r="Q6" s="33">
        <v>4</v>
      </c>
      <c r="R6" s="12" t="s">
        <v>113</v>
      </c>
      <c r="S6" s="34">
        <v>5</v>
      </c>
      <c r="T6" s="79" t="s">
        <v>88</v>
      </c>
      <c r="V6" s="80" t="s">
        <v>91</v>
      </c>
      <c r="W6" s="212"/>
      <c r="X6" s="212"/>
      <c r="Y6" s="212"/>
      <c r="Z6" s="213"/>
      <c r="AB6" s="97" t="s">
        <v>130</v>
      </c>
      <c r="AC6" s="212"/>
      <c r="AD6" s="212"/>
      <c r="AE6" s="212"/>
      <c r="AF6" s="213"/>
    </row>
    <row r="7" spans="2:32" ht="13.15" customHeight="1" x14ac:dyDescent="0.2">
      <c r="B7" s="5">
        <v>3</v>
      </c>
      <c r="C7" s="77" t="s">
        <v>60</v>
      </c>
      <c r="D7" s="78" t="s">
        <v>39</v>
      </c>
      <c r="F7" s="71" t="s">
        <v>16</v>
      </c>
      <c r="G7" s="72">
        <v>2</v>
      </c>
      <c r="H7" s="73" t="s">
        <v>16</v>
      </c>
      <c r="I7" s="72">
        <v>3</v>
      </c>
      <c r="J7" s="73"/>
      <c r="K7" s="72"/>
      <c r="L7" s="73" t="s">
        <v>16</v>
      </c>
      <c r="M7" s="72">
        <v>2</v>
      </c>
      <c r="N7" s="73" t="s">
        <v>16</v>
      </c>
      <c r="O7" s="72">
        <v>3</v>
      </c>
      <c r="P7" s="73" t="s">
        <v>16</v>
      </c>
      <c r="Q7" s="72">
        <v>3</v>
      </c>
      <c r="R7" s="73" t="s">
        <v>114</v>
      </c>
      <c r="S7" s="74">
        <v>2</v>
      </c>
      <c r="V7" s="80"/>
      <c r="W7" s="212"/>
      <c r="X7" s="212"/>
      <c r="Y7" s="212"/>
      <c r="Z7" s="213"/>
      <c r="AB7" s="80"/>
      <c r="AC7" s="212"/>
      <c r="AD7" s="212"/>
      <c r="AE7" s="212"/>
      <c r="AF7" s="213"/>
    </row>
    <row r="8" spans="2:32" ht="13.15" customHeight="1" x14ac:dyDescent="0.2">
      <c r="B8" s="5">
        <v>4</v>
      </c>
      <c r="C8" s="13" t="s">
        <v>61</v>
      </c>
      <c r="D8" s="14" t="s">
        <v>40</v>
      </c>
      <c r="F8" s="11" t="s">
        <v>17</v>
      </c>
      <c r="G8" s="33">
        <v>3</v>
      </c>
      <c r="H8" s="12" t="s">
        <v>23</v>
      </c>
      <c r="I8" s="33">
        <v>4</v>
      </c>
      <c r="J8" s="12"/>
      <c r="K8" s="33"/>
      <c r="L8" s="12" t="s">
        <v>23</v>
      </c>
      <c r="M8" s="33">
        <v>2</v>
      </c>
      <c r="N8" s="12"/>
      <c r="O8" s="33"/>
      <c r="P8" s="12" t="s">
        <v>23</v>
      </c>
      <c r="Q8" s="33">
        <v>4</v>
      </c>
      <c r="R8" s="12" t="s">
        <v>115</v>
      </c>
      <c r="S8" s="34">
        <v>3</v>
      </c>
      <c r="V8" s="80"/>
      <c r="W8" s="212"/>
      <c r="X8" s="212"/>
      <c r="Y8" s="212"/>
      <c r="Z8" s="213"/>
      <c r="AB8" s="80"/>
      <c r="AC8" s="212"/>
      <c r="AD8" s="212"/>
      <c r="AE8" s="212"/>
      <c r="AF8" s="213"/>
    </row>
    <row r="9" spans="2:32" ht="13.15" customHeight="1" x14ac:dyDescent="0.2">
      <c r="B9" s="5">
        <v>5</v>
      </c>
      <c r="C9" s="77" t="s">
        <v>62</v>
      </c>
      <c r="D9" s="78" t="s">
        <v>41</v>
      </c>
      <c r="F9" s="71" t="s">
        <v>18</v>
      </c>
      <c r="G9" s="72">
        <v>3</v>
      </c>
      <c r="H9" s="73" t="s">
        <v>24</v>
      </c>
      <c r="I9" s="72">
        <v>3</v>
      </c>
      <c r="J9" s="73"/>
      <c r="K9" s="72"/>
      <c r="L9" s="73" t="s">
        <v>24</v>
      </c>
      <c r="M9" s="72">
        <v>4</v>
      </c>
      <c r="N9" s="73"/>
      <c r="O9" s="72"/>
      <c r="P9" s="73" t="s">
        <v>24</v>
      </c>
      <c r="Q9" s="72">
        <v>3</v>
      </c>
      <c r="R9" s="73" t="s">
        <v>116</v>
      </c>
      <c r="S9" s="74">
        <v>5</v>
      </c>
      <c r="V9" s="80" t="s">
        <v>92</v>
      </c>
      <c r="W9" s="212"/>
      <c r="X9" s="212"/>
      <c r="Y9" s="212"/>
      <c r="Z9" s="213"/>
      <c r="AB9" s="97"/>
      <c r="AC9" s="212"/>
      <c r="AD9" s="212"/>
      <c r="AE9" s="212"/>
      <c r="AF9" s="213"/>
    </row>
    <row r="10" spans="2:32" ht="13.15" customHeight="1" x14ac:dyDescent="0.2">
      <c r="B10" s="5">
        <v>6</v>
      </c>
      <c r="C10" s="13" t="s">
        <v>63</v>
      </c>
      <c r="D10" s="14" t="s">
        <v>42</v>
      </c>
      <c r="F10" s="11" t="s">
        <v>3</v>
      </c>
      <c r="G10" s="33">
        <v>3</v>
      </c>
      <c r="H10" s="12" t="s">
        <v>25</v>
      </c>
      <c r="I10" s="33">
        <v>3</v>
      </c>
      <c r="J10" s="12"/>
      <c r="K10" s="33"/>
      <c r="L10" s="12" t="s">
        <v>17</v>
      </c>
      <c r="M10" s="33">
        <v>7</v>
      </c>
      <c r="N10" s="12"/>
      <c r="O10" s="33"/>
      <c r="P10" s="12" t="s">
        <v>25</v>
      </c>
      <c r="Q10" s="33">
        <v>4</v>
      </c>
      <c r="R10" s="12" t="s">
        <v>117</v>
      </c>
      <c r="S10" s="34">
        <v>5</v>
      </c>
      <c r="V10" s="80"/>
      <c r="W10" s="212"/>
      <c r="X10" s="212"/>
      <c r="Y10" s="212"/>
      <c r="Z10" s="213"/>
      <c r="AB10" s="80"/>
      <c r="AC10" s="212"/>
      <c r="AD10" s="212"/>
      <c r="AE10" s="212"/>
      <c r="AF10" s="213"/>
    </row>
    <row r="11" spans="2:32" ht="13.15" customHeight="1" x14ac:dyDescent="0.2">
      <c r="B11" s="5">
        <v>7</v>
      </c>
      <c r="C11" s="77" t="s">
        <v>64</v>
      </c>
      <c r="D11" s="78" t="s">
        <v>43</v>
      </c>
      <c r="F11" s="71" t="s">
        <v>4</v>
      </c>
      <c r="G11" s="72">
        <v>2</v>
      </c>
      <c r="H11" s="73" t="s">
        <v>26</v>
      </c>
      <c r="I11" s="72">
        <v>4</v>
      </c>
      <c r="J11" s="73"/>
      <c r="K11" s="72"/>
      <c r="L11" s="73"/>
      <c r="M11" s="72"/>
      <c r="N11" s="73"/>
      <c r="O11" s="72"/>
      <c r="P11" s="73"/>
      <c r="Q11" s="72"/>
      <c r="R11" s="73"/>
      <c r="S11" s="74"/>
      <c r="V11" s="80"/>
      <c r="W11" s="212"/>
      <c r="X11" s="212"/>
      <c r="Y11" s="212"/>
      <c r="Z11" s="213"/>
      <c r="AB11" s="97" t="s">
        <v>130</v>
      </c>
      <c r="AC11" s="212"/>
      <c r="AD11" s="212"/>
      <c r="AE11" s="212"/>
      <c r="AF11" s="213"/>
    </row>
    <row r="12" spans="2:32" ht="13.15" customHeight="1" x14ac:dyDescent="0.2">
      <c r="B12" s="5">
        <v>8</v>
      </c>
      <c r="C12" s="13" t="s">
        <v>65</v>
      </c>
      <c r="D12" s="14" t="s">
        <v>44</v>
      </c>
      <c r="F12" s="11"/>
      <c r="G12" s="33"/>
      <c r="H12" s="12" t="s">
        <v>27</v>
      </c>
      <c r="I12" s="33">
        <v>3</v>
      </c>
      <c r="J12" s="12"/>
      <c r="K12" s="33"/>
      <c r="L12" s="12"/>
      <c r="M12" s="33"/>
      <c r="N12" s="12"/>
      <c r="O12" s="33"/>
      <c r="P12" s="12"/>
      <c r="Q12" s="33"/>
      <c r="R12" s="12"/>
      <c r="S12" s="34"/>
      <c r="V12" s="80" t="s">
        <v>93</v>
      </c>
      <c r="W12" s="212"/>
      <c r="X12" s="212"/>
      <c r="Y12" s="212"/>
      <c r="Z12" s="213"/>
      <c r="AB12" s="97"/>
      <c r="AC12" s="212"/>
      <c r="AD12" s="212"/>
      <c r="AE12" s="212"/>
      <c r="AF12" s="213"/>
    </row>
    <row r="13" spans="2:32" ht="13.15" customHeight="1" x14ac:dyDescent="0.2">
      <c r="B13" s="5">
        <v>9</v>
      </c>
      <c r="C13" s="77" t="s">
        <v>66</v>
      </c>
      <c r="D13" s="78" t="s">
        <v>45</v>
      </c>
      <c r="F13" s="71"/>
      <c r="G13" s="72"/>
      <c r="H13" s="73" t="s">
        <v>28</v>
      </c>
      <c r="I13" s="72">
        <v>4</v>
      </c>
      <c r="J13" s="73"/>
      <c r="K13" s="72"/>
      <c r="L13" s="73"/>
      <c r="M13" s="72"/>
      <c r="N13" s="73"/>
      <c r="O13" s="72"/>
      <c r="P13" s="73"/>
      <c r="Q13" s="72"/>
      <c r="R13" s="73"/>
      <c r="S13" s="74"/>
      <c r="V13" s="80"/>
      <c r="W13" s="212"/>
      <c r="X13" s="212"/>
      <c r="Y13" s="212"/>
      <c r="Z13" s="213"/>
      <c r="AB13" s="80"/>
      <c r="AC13" s="212"/>
      <c r="AD13" s="212"/>
      <c r="AE13" s="212"/>
      <c r="AF13" s="213"/>
    </row>
    <row r="14" spans="2:32" ht="13.15" customHeight="1" x14ac:dyDescent="0.2">
      <c r="B14" s="5">
        <v>10</v>
      </c>
      <c r="C14" s="13" t="s">
        <v>67</v>
      </c>
      <c r="D14" s="14" t="s">
        <v>46</v>
      </c>
      <c r="F14" s="11"/>
      <c r="G14" s="33"/>
      <c r="H14" s="12" t="s">
        <v>5</v>
      </c>
      <c r="I14" s="33">
        <v>2</v>
      </c>
      <c r="J14" s="12"/>
      <c r="K14" s="33"/>
      <c r="L14" s="12"/>
      <c r="M14" s="33"/>
      <c r="N14" s="12"/>
      <c r="O14" s="33"/>
      <c r="P14" s="12"/>
      <c r="Q14" s="33"/>
      <c r="R14" s="12"/>
      <c r="S14" s="34"/>
      <c r="V14" s="80"/>
      <c r="W14" s="212"/>
      <c r="X14" s="212"/>
      <c r="Y14" s="212"/>
      <c r="Z14" s="213"/>
      <c r="AB14" s="80"/>
      <c r="AC14" s="212"/>
      <c r="AD14" s="212"/>
      <c r="AE14" s="212"/>
      <c r="AF14" s="213"/>
    </row>
    <row r="15" spans="2:32" ht="13.15" customHeight="1" x14ac:dyDescent="0.2">
      <c r="B15" s="5">
        <v>11</v>
      </c>
      <c r="C15" s="77" t="s">
        <v>68</v>
      </c>
      <c r="D15" s="78" t="s">
        <v>47</v>
      </c>
      <c r="F15" s="71"/>
      <c r="G15" s="72"/>
      <c r="H15" s="73" t="s">
        <v>29</v>
      </c>
      <c r="I15" s="72">
        <v>2</v>
      </c>
      <c r="J15" s="73"/>
      <c r="K15" s="72"/>
      <c r="L15" s="73"/>
      <c r="M15" s="72"/>
      <c r="N15" s="73"/>
      <c r="O15" s="72"/>
      <c r="P15" s="73"/>
      <c r="Q15" s="72"/>
      <c r="R15" s="73"/>
      <c r="S15" s="74"/>
      <c r="V15" s="80" t="s">
        <v>94</v>
      </c>
      <c r="W15" s="212"/>
      <c r="X15" s="212"/>
      <c r="Y15" s="212"/>
      <c r="Z15" s="213"/>
      <c r="AB15" s="97"/>
      <c r="AC15" s="212"/>
      <c r="AD15" s="212"/>
      <c r="AE15" s="212"/>
      <c r="AF15" s="213"/>
    </row>
    <row r="16" spans="2:32" ht="13.15" customHeight="1" x14ac:dyDescent="0.2">
      <c r="B16" s="5">
        <v>12</v>
      </c>
      <c r="C16" s="13" t="s">
        <v>69</v>
      </c>
      <c r="D16" s="14" t="s">
        <v>48</v>
      </c>
      <c r="F16" s="11"/>
      <c r="G16" s="33"/>
      <c r="H16" s="12"/>
      <c r="I16" s="33"/>
      <c r="J16" s="12"/>
      <c r="K16" s="33"/>
      <c r="L16" s="12"/>
      <c r="M16" s="33"/>
      <c r="N16" s="12"/>
      <c r="O16" s="33"/>
      <c r="P16" s="12"/>
      <c r="Q16" s="33"/>
      <c r="R16" s="12"/>
      <c r="S16" s="34"/>
      <c r="V16" s="80"/>
      <c r="W16" s="212"/>
      <c r="X16" s="212"/>
      <c r="Y16" s="212"/>
      <c r="Z16" s="213"/>
      <c r="AB16" s="97" t="s">
        <v>130</v>
      </c>
      <c r="AC16" s="212"/>
      <c r="AD16" s="212"/>
      <c r="AE16" s="212"/>
      <c r="AF16" s="213"/>
    </row>
    <row r="17" spans="2:32" ht="13.15" customHeight="1" x14ac:dyDescent="0.2">
      <c r="B17" s="5">
        <v>13</v>
      </c>
      <c r="C17" s="77" t="s">
        <v>70</v>
      </c>
      <c r="D17" s="78" t="s">
        <v>20</v>
      </c>
      <c r="F17" s="71"/>
      <c r="G17" s="72"/>
      <c r="H17" s="73"/>
      <c r="I17" s="72"/>
      <c r="J17" s="73"/>
      <c r="K17" s="72"/>
      <c r="L17" s="73"/>
      <c r="M17" s="72"/>
      <c r="N17" s="73"/>
      <c r="O17" s="72"/>
      <c r="P17" s="73"/>
      <c r="Q17" s="72"/>
      <c r="R17" s="73"/>
      <c r="S17" s="74"/>
      <c r="V17" s="80"/>
      <c r="W17" s="212"/>
      <c r="X17" s="212"/>
      <c r="Y17" s="212"/>
      <c r="Z17" s="213"/>
      <c r="AB17" s="80"/>
      <c r="AC17" s="212"/>
      <c r="AD17" s="212"/>
      <c r="AE17" s="212"/>
      <c r="AF17" s="213"/>
    </row>
    <row r="18" spans="2:32" ht="13.15" customHeight="1" x14ac:dyDescent="0.2">
      <c r="B18" s="5">
        <v>14</v>
      </c>
      <c r="C18" s="13" t="s">
        <v>71</v>
      </c>
      <c r="D18" s="14" t="s">
        <v>49</v>
      </c>
      <c r="F18" s="11"/>
      <c r="G18" s="33"/>
      <c r="H18" s="12"/>
      <c r="I18" s="33"/>
      <c r="J18" s="12"/>
      <c r="K18" s="33"/>
      <c r="L18" s="12"/>
      <c r="M18" s="33"/>
      <c r="N18" s="12"/>
      <c r="O18" s="33"/>
      <c r="P18" s="12"/>
      <c r="Q18" s="33"/>
      <c r="R18" s="12"/>
      <c r="S18" s="34"/>
      <c r="V18" s="80" t="s">
        <v>95</v>
      </c>
      <c r="W18" s="212"/>
      <c r="X18" s="212"/>
      <c r="Y18" s="212"/>
      <c r="Z18" s="213"/>
      <c r="AB18" s="97"/>
      <c r="AC18" s="212"/>
      <c r="AD18" s="212"/>
      <c r="AE18" s="212"/>
      <c r="AF18" s="213"/>
    </row>
    <row r="19" spans="2:32" ht="13.15" customHeight="1" x14ac:dyDescent="0.2">
      <c r="B19" s="5">
        <v>15</v>
      </c>
      <c r="C19" s="77" t="s">
        <v>72</v>
      </c>
      <c r="D19" s="78" t="s">
        <v>50</v>
      </c>
      <c r="F19" s="71"/>
      <c r="G19" s="72"/>
      <c r="H19" s="73"/>
      <c r="I19" s="72"/>
      <c r="J19" s="73"/>
      <c r="K19" s="72"/>
      <c r="L19" s="73"/>
      <c r="M19" s="72"/>
      <c r="N19" s="73"/>
      <c r="O19" s="72"/>
      <c r="P19" s="73"/>
      <c r="Q19" s="72"/>
      <c r="R19" s="73"/>
      <c r="S19" s="74"/>
      <c r="V19" s="80"/>
      <c r="W19" s="212"/>
      <c r="X19" s="212"/>
      <c r="Y19" s="212"/>
      <c r="Z19" s="213"/>
      <c r="AB19" s="80"/>
      <c r="AC19" s="212"/>
      <c r="AD19" s="212"/>
      <c r="AE19" s="212"/>
      <c r="AF19" s="213"/>
    </row>
    <row r="20" spans="2:32" ht="13.15" customHeight="1" x14ac:dyDescent="0.2">
      <c r="B20" s="5">
        <v>16</v>
      </c>
      <c r="C20" s="13" t="s">
        <v>73</v>
      </c>
      <c r="D20" s="14" t="s">
        <v>51</v>
      </c>
      <c r="F20" s="88"/>
      <c r="G20" s="89"/>
      <c r="H20" s="90"/>
      <c r="I20" s="89"/>
      <c r="J20" s="90"/>
      <c r="K20" s="89"/>
      <c r="L20" s="90"/>
      <c r="M20" s="89"/>
      <c r="N20" s="90"/>
      <c r="O20" s="89"/>
      <c r="P20" s="90"/>
      <c r="Q20" s="89"/>
      <c r="R20" s="90"/>
      <c r="S20" s="91"/>
      <c r="V20" s="80"/>
      <c r="W20" s="212"/>
      <c r="X20" s="212"/>
      <c r="Y20" s="212"/>
      <c r="Z20" s="213"/>
      <c r="AB20" s="80"/>
      <c r="AC20" s="212"/>
      <c r="AD20" s="212"/>
      <c r="AE20" s="212"/>
      <c r="AF20" s="213"/>
    </row>
    <row r="21" spans="2:32" ht="13.15" customHeight="1" x14ac:dyDescent="0.2">
      <c r="B21" s="5">
        <v>17</v>
      </c>
      <c r="C21" s="77" t="s">
        <v>74</v>
      </c>
      <c r="D21" s="78" t="s">
        <v>52</v>
      </c>
      <c r="F21" s="85">
        <f>COUNTA(F6:F20)</f>
        <v>6</v>
      </c>
      <c r="G21" s="82">
        <f>SUM(G6:G20)</f>
        <v>15</v>
      </c>
      <c r="H21" s="86">
        <f>COUNTA(H6:H20)</f>
        <v>10</v>
      </c>
      <c r="I21" s="87">
        <f>SUM(I6:I20)</f>
        <v>30</v>
      </c>
      <c r="J21" s="86">
        <f>COUNTA(J6:J20)</f>
        <v>1</v>
      </c>
      <c r="K21" s="87">
        <f>SUM(K6:K20)</f>
        <v>5</v>
      </c>
      <c r="L21" s="86">
        <f>COUNTA(L6:L20)</f>
        <v>5</v>
      </c>
      <c r="M21" s="87">
        <f>SUM(M6:M20)</f>
        <v>17</v>
      </c>
      <c r="N21" s="86">
        <f>COUNTA(N6:N20)</f>
        <v>2</v>
      </c>
      <c r="O21" s="87">
        <f>SUM(O6:O20)</f>
        <v>5</v>
      </c>
      <c r="P21" s="86">
        <f>COUNTA(P6:P20)</f>
        <v>5</v>
      </c>
      <c r="Q21" s="87">
        <f>SUM(Q6:Q20)</f>
        <v>18</v>
      </c>
      <c r="R21" s="84">
        <f>COUNTA(R6:R20)</f>
        <v>5</v>
      </c>
      <c r="S21" s="93">
        <v>10</v>
      </c>
      <c r="T21" s="79"/>
      <c r="V21" s="80" t="s">
        <v>121</v>
      </c>
      <c r="W21" s="212"/>
      <c r="X21" s="212"/>
      <c r="Y21" s="212"/>
      <c r="Z21" s="213"/>
      <c r="AB21" s="97"/>
      <c r="AC21" s="212"/>
      <c r="AD21" s="212"/>
      <c r="AE21" s="212"/>
      <c r="AF21" s="213"/>
    </row>
    <row r="22" spans="2:32" ht="13.5" thickBot="1" x14ac:dyDescent="0.25">
      <c r="B22" s="5">
        <v>18</v>
      </c>
      <c r="C22" s="13" t="s">
        <v>75</v>
      </c>
      <c r="D22" s="14" t="s">
        <v>53</v>
      </c>
      <c r="F22" s="257" t="s">
        <v>118</v>
      </c>
      <c r="G22" s="258"/>
      <c r="H22" s="218" t="s">
        <v>118</v>
      </c>
      <c r="I22" s="258"/>
      <c r="J22" s="218" t="s">
        <v>118</v>
      </c>
      <c r="K22" s="258"/>
      <c r="L22" s="218" t="s">
        <v>118</v>
      </c>
      <c r="M22" s="258"/>
      <c r="N22" s="218" t="s">
        <v>118</v>
      </c>
      <c r="O22" s="258"/>
      <c r="P22" s="218" t="s">
        <v>118</v>
      </c>
      <c r="Q22" s="258"/>
      <c r="R22" s="218" t="s">
        <v>119</v>
      </c>
      <c r="S22" s="219"/>
      <c r="T22" s="79" t="s">
        <v>88</v>
      </c>
      <c r="V22" s="4"/>
      <c r="W22" s="212"/>
      <c r="X22" s="212"/>
      <c r="Y22" s="212"/>
      <c r="Z22" s="213"/>
      <c r="AB22" s="4"/>
      <c r="AC22" s="212"/>
      <c r="AD22" s="212"/>
      <c r="AE22" s="212"/>
      <c r="AF22" s="213"/>
    </row>
    <row r="23" spans="2:32" ht="13.15" customHeight="1" thickBot="1" x14ac:dyDescent="0.25">
      <c r="B23" s="5">
        <v>19</v>
      </c>
      <c r="C23" s="77" t="s">
        <v>76</v>
      </c>
      <c r="D23" s="78" t="s">
        <v>54</v>
      </c>
      <c r="V23" s="4"/>
      <c r="W23" s="212"/>
      <c r="X23" s="212"/>
      <c r="Y23" s="212"/>
      <c r="Z23" s="213"/>
      <c r="AB23" s="4"/>
      <c r="AC23" s="212"/>
      <c r="AD23" s="212"/>
      <c r="AE23" s="212"/>
      <c r="AF23" s="213"/>
    </row>
    <row r="24" spans="2:32" ht="13.15" customHeight="1" x14ac:dyDescent="0.2">
      <c r="B24" s="5">
        <v>20</v>
      </c>
      <c r="C24" s="13" t="s">
        <v>77</v>
      </c>
      <c r="D24" s="14" t="s">
        <v>55</v>
      </c>
      <c r="F24" s="22" t="s">
        <v>22</v>
      </c>
      <c r="G24" s="240">
        <v>46150</v>
      </c>
      <c r="H24" s="241"/>
      <c r="J24" s="242" t="s">
        <v>99</v>
      </c>
      <c r="K24" s="243"/>
      <c r="L24" s="243"/>
      <c r="M24" s="243"/>
      <c r="N24" s="243"/>
      <c r="O24" s="243"/>
      <c r="P24" s="243"/>
      <c r="Q24" s="244"/>
      <c r="V24" s="4" t="s">
        <v>123</v>
      </c>
      <c r="W24" s="212"/>
      <c r="X24" s="212"/>
      <c r="Y24" s="212"/>
      <c r="Z24" s="213"/>
      <c r="AB24" s="97"/>
      <c r="AC24" s="212"/>
      <c r="AD24" s="212"/>
      <c r="AE24" s="212"/>
      <c r="AF24" s="213"/>
    </row>
    <row r="25" spans="2:32" ht="13.15" customHeight="1" x14ac:dyDescent="0.2">
      <c r="B25" s="5">
        <v>21</v>
      </c>
      <c r="C25" s="77" t="s">
        <v>78</v>
      </c>
      <c r="D25" s="78" t="s">
        <v>56</v>
      </c>
      <c r="F25" s="23" t="s">
        <v>30</v>
      </c>
      <c r="G25" s="216" t="s">
        <v>86</v>
      </c>
      <c r="H25" s="217"/>
      <c r="J25" s="245" t="s">
        <v>98</v>
      </c>
      <c r="K25" s="246"/>
      <c r="L25" s="246"/>
      <c r="M25" s="246"/>
      <c r="N25" s="246"/>
      <c r="O25" s="246"/>
      <c r="P25" s="246"/>
      <c r="Q25" s="247"/>
      <c r="V25" s="4"/>
      <c r="W25" s="212"/>
      <c r="X25" s="212"/>
      <c r="Y25" s="212"/>
      <c r="Z25" s="213"/>
      <c r="AB25" s="4"/>
      <c r="AC25" s="212"/>
      <c r="AD25" s="212"/>
      <c r="AE25" s="212"/>
      <c r="AF25" s="213"/>
    </row>
    <row r="26" spans="2:32" ht="13.15" customHeight="1" thickBot="1" x14ac:dyDescent="0.25">
      <c r="B26" s="5">
        <v>22</v>
      </c>
      <c r="C26" s="13" t="s">
        <v>79</v>
      </c>
      <c r="D26" s="14" t="s">
        <v>57</v>
      </c>
      <c r="F26" s="23" t="s">
        <v>21</v>
      </c>
      <c r="G26" s="216" t="s">
        <v>87</v>
      </c>
      <c r="H26" s="217"/>
      <c r="J26" s="248" t="s">
        <v>134</v>
      </c>
      <c r="K26" s="249"/>
      <c r="L26" s="249"/>
      <c r="M26" s="249"/>
      <c r="N26" s="249"/>
      <c r="O26" s="249"/>
      <c r="P26" s="249"/>
      <c r="Q26" s="250"/>
      <c r="V26" s="4"/>
      <c r="W26" s="212"/>
      <c r="X26" s="212"/>
      <c r="Y26" s="212"/>
      <c r="Z26" s="213"/>
      <c r="AB26" s="4"/>
      <c r="AC26" s="212"/>
      <c r="AD26" s="212"/>
      <c r="AE26" s="212"/>
      <c r="AF26" s="213"/>
    </row>
    <row r="27" spans="2:32" ht="13.15" customHeight="1" thickBot="1" x14ac:dyDescent="0.25">
      <c r="B27" s="5">
        <v>23</v>
      </c>
      <c r="C27" s="77" t="s">
        <v>80</v>
      </c>
      <c r="D27" s="78" t="s">
        <v>53</v>
      </c>
      <c r="F27" s="23" t="s">
        <v>126</v>
      </c>
      <c r="G27" s="216" t="s">
        <v>132</v>
      </c>
      <c r="H27" s="217"/>
      <c r="I27" s="94" t="s">
        <v>88</v>
      </c>
      <c r="V27" s="4"/>
      <c r="W27" s="212"/>
      <c r="X27" s="212"/>
      <c r="Y27" s="212"/>
      <c r="Z27" s="213"/>
      <c r="AB27" s="4"/>
      <c r="AC27" s="212"/>
      <c r="AD27" s="212"/>
      <c r="AE27" s="212"/>
      <c r="AF27" s="213"/>
    </row>
    <row r="28" spans="2:32" ht="13.15" customHeight="1" thickBot="1" x14ac:dyDescent="0.25">
      <c r="B28" s="5">
        <v>24</v>
      </c>
      <c r="C28" s="13"/>
      <c r="D28" s="14"/>
      <c r="F28" s="24" t="s">
        <v>127</v>
      </c>
      <c r="G28" s="220" t="s">
        <v>133</v>
      </c>
      <c r="H28" s="221"/>
      <c r="I28" s="94" t="s">
        <v>88</v>
      </c>
      <c r="N28" s="222" t="s">
        <v>128</v>
      </c>
      <c r="O28" s="223"/>
      <c r="P28" s="223"/>
      <c r="Q28" s="224"/>
      <c r="V28" s="4"/>
      <c r="W28" s="212"/>
      <c r="X28" s="212"/>
      <c r="Y28" s="212"/>
      <c r="Z28" s="213"/>
      <c r="AB28" s="4"/>
      <c r="AC28" s="212"/>
      <c r="AD28" s="212"/>
      <c r="AE28" s="212"/>
      <c r="AF28" s="213"/>
    </row>
    <row r="29" spans="2:32" ht="13.15" customHeight="1" thickBot="1" x14ac:dyDescent="0.25">
      <c r="B29" s="5">
        <v>25</v>
      </c>
      <c r="C29" s="77"/>
      <c r="D29" s="78"/>
      <c r="N29" s="225"/>
      <c r="O29" s="226"/>
      <c r="P29" s="226"/>
      <c r="Q29" s="227"/>
      <c r="V29" s="92"/>
      <c r="W29" s="214"/>
      <c r="X29" s="214"/>
      <c r="Y29" s="214"/>
      <c r="Z29" s="215"/>
      <c r="AB29" s="92"/>
      <c r="AC29" s="214"/>
      <c r="AD29" s="214"/>
      <c r="AE29" s="214"/>
      <c r="AF29" s="215"/>
    </row>
    <row r="30" spans="2:32" ht="13.15" customHeight="1" thickBot="1" x14ac:dyDescent="0.25">
      <c r="B30" s="5">
        <v>26</v>
      </c>
      <c r="C30" s="13"/>
      <c r="D30" s="14"/>
    </row>
    <row r="31" spans="2:32" ht="13.15" customHeight="1" x14ac:dyDescent="0.2">
      <c r="B31" s="5">
        <v>27</v>
      </c>
      <c r="C31" s="77"/>
      <c r="D31" s="78"/>
      <c r="F31" s="231" t="s">
        <v>97</v>
      </c>
      <c r="G31" s="232"/>
      <c r="H31" s="232"/>
      <c r="I31" s="232"/>
      <c r="J31" s="232"/>
      <c r="K31" s="232"/>
      <c r="L31" s="232"/>
      <c r="M31" s="232"/>
      <c r="N31" s="232"/>
      <c r="O31" s="232"/>
      <c r="P31" s="232"/>
      <c r="Q31" s="233"/>
    </row>
    <row r="32" spans="2:32" ht="13.15" customHeight="1" x14ac:dyDescent="0.2">
      <c r="B32" s="5">
        <v>28</v>
      </c>
      <c r="C32" s="13"/>
      <c r="D32" s="14"/>
      <c r="F32" s="234"/>
      <c r="G32" s="235"/>
      <c r="H32" s="235"/>
      <c r="I32" s="235"/>
      <c r="J32" s="235"/>
      <c r="K32" s="235"/>
      <c r="L32" s="235"/>
      <c r="M32" s="235"/>
      <c r="N32" s="235"/>
      <c r="O32" s="235"/>
      <c r="P32" s="235"/>
      <c r="Q32" s="236"/>
    </row>
    <row r="33" spans="2:17" ht="13.15" customHeight="1" x14ac:dyDescent="0.2">
      <c r="B33" s="5">
        <v>29</v>
      </c>
      <c r="C33" s="77"/>
      <c r="D33" s="78"/>
      <c r="F33" s="234"/>
      <c r="G33" s="235"/>
      <c r="H33" s="235"/>
      <c r="I33" s="235"/>
      <c r="J33" s="235"/>
      <c r="K33" s="235"/>
      <c r="L33" s="235"/>
      <c r="M33" s="235"/>
      <c r="N33" s="235"/>
      <c r="O33" s="235"/>
      <c r="P33" s="235"/>
      <c r="Q33" s="236"/>
    </row>
    <row r="34" spans="2:17" ht="13.15" customHeight="1" x14ac:dyDescent="0.2">
      <c r="B34" s="5">
        <v>30</v>
      </c>
      <c r="C34" s="13"/>
      <c r="D34" s="14"/>
      <c r="F34" s="234"/>
      <c r="G34" s="235"/>
      <c r="H34" s="235"/>
      <c r="I34" s="235"/>
      <c r="J34" s="235"/>
      <c r="K34" s="235"/>
      <c r="L34" s="235"/>
      <c r="M34" s="235"/>
      <c r="N34" s="235"/>
      <c r="O34" s="235"/>
      <c r="P34" s="235"/>
      <c r="Q34" s="236"/>
    </row>
    <row r="35" spans="2:17" ht="13.15" customHeight="1" x14ac:dyDescent="0.2">
      <c r="B35" s="5">
        <v>31</v>
      </c>
      <c r="C35" s="77"/>
      <c r="D35" s="78"/>
      <c r="F35" s="234"/>
      <c r="G35" s="235"/>
      <c r="H35" s="235"/>
      <c r="I35" s="235"/>
      <c r="J35" s="235"/>
      <c r="K35" s="235"/>
      <c r="L35" s="235"/>
      <c r="M35" s="235"/>
      <c r="N35" s="235"/>
      <c r="O35" s="235"/>
      <c r="P35" s="235"/>
      <c r="Q35" s="236"/>
    </row>
    <row r="36" spans="2:17" ht="13.15" customHeight="1" x14ac:dyDescent="0.2">
      <c r="B36" s="5">
        <v>32</v>
      </c>
      <c r="C36" s="13"/>
      <c r="D36" s="14"/>
      <c r="F36" s="234"/>
      <c r="G36" s="235"/>
      <c r="H36" s="235"/>
      <c r="I36" s="235"/>
      <c r="J36" s="235"/>
      <c r="K36" s="235"/>
      <c r="L36" s="235"/>
      <c r="M36" s="235"/>
      <c r="N36" s="235"/>
      <c r="O36" s="235"/>
      <c r="P36" s="235"/>
      <c r="Q36" s="236"/>
    </row>
    <row r="37" spans="2:17" ht="13.15" customHeight="1" x14ac:dyDescent="0.2">
      <c r="B37" s="5">
        <v>33</v>
      </c>
      <c r="C37" s="77"/>
      <c r="D37" s="78"/>
      <c r="F37" s="234"/>
      <c r="G37" s="235"/>
      <c r="H37" s="235"/>
      <c r="I37" s="235"/>
      <c r="J37" s="235"/>
      <c r="K37" s="235"/>
      <c r="L37" s="235"/>
      <c r="M37" s="235"/>
      <c r="N37" s="235"/>
      <c r="O37" s="235"/>
      <c r="P37" s="235"/>
      <c r="Q37" s="236"/>
    </row>
    <row r="38" spans="2:17" ht="13.15" customHeight="1" x14ac:dyDescent="0.2">
      <c r="B38" s="5">
        <v>34</v>
      </c>
      <c r="C38" s="13"/>
      <c r="D38" s="14"/>
      <c r="F38" s="234"/>
      <c r="G38" s="235"/>
      <c r="H38" s="235"/>
      <c r="I38" s="235"/>
      <c r="J38" s="235"/>
      <c r="K38" s="235"/>
      <c r="L38" s="235"/>
      <c r="M38" s="235"/>
      <c r="N38" s="235"/>
      <c r="O38" s="235"/>
      <c r="P38" s="235"/>
      <c r="Q38" s="236"/>
    </row>
    <row r="39" spans="2:17" ht="13.15" customHeight="1" x14ac:dyDescent="0.2">
      <c r="B39" s="5">
        <v>35</v>
      </c>
      <c r="C39" s="77"/>
      <c r="D39" s="78"/>
      <c r="F39" s="234"/>
      <c r="G39" s="235"/>
      <c r="H39" s="235"/>
      <c r="I39" s="235"/>
      <c r="J39" s="235"/>
      <c r="K39" s="235"/>
      <c r="L39" s="235"/>
      <c r="M39" s="235"/>
      <c r="N39" s="235"/>
      <c r="O39" s="235"/>
      <c r="P39" s="235"/>
      <c r="Q39" s="236"/>
    </row>
    <row r="40" spans="2:17" ht="13.15" customHeight="1" x14ac:dyDescent="0.2">
      <c r="B40" s="5">
        <v>36</v>
      </c>
      <c r="C40" s="13"/>
      <c r="D40" s="14"/>
      <c r="F40" s="234"/>
      <c r="G40" s="235"/>
      <c r="H40" s="235"/>
      <c r="I40" s="235"/>
      <c r="J40" s="235"/>
      <c r="K40" s="235"/>
      <c r="L40" s="235"/>
      <c r="M40" s="235"/>
      <c r="N40" s="235"/>
      <c r="O40" s="235"/>
      <c r="P40" s="235"/>
      <c r="Q40" s="236"/>
    </row>
    <row r="41" spans="2:17" ht="13.15" customHeight="1" x14ac:dyDescent="0.2">
      <c r="B41" s="5">
        <v>37</v>
      </c>
      <c r="C41" s="77"/>
      <c r="D41" s="78"/>
      <c r="F41" s="234"/>
      <c r="G41" s="235"/>
      <c r="H41" s="235"/>
      <c r="I41" s="235"/>
      <c r="J41" s="235"/>
      <c r="K41" s="235"/>
      <c r="L41" s="235"/>
      <c r="M41" s="235"/>
      <c r="N41" s="235"/>
      <c r="O41" s="235"/>
      <c r="P41" s="235"/>
      <c r="Q41" s="236"/>
    </row>
    <row r="42" spans="2:17" ht="13.15" customHeight="1" x14ac:dyDescent="0.2">
      <c r="B42" s="5">
        <v>38</v>
      </c>
      <c r="C42" s="13"/>
      <c r="D42" s="14"/>
      <c r="F42" s="234"/>
      <c r="G42" s="235"/>
      <c r="H42" s="235"/>
      <c r="I42" s="235"/>
      <c r="J42" s="235"/>
      <c r="K42" s="235"/>
      <c r="L42" s="235"/>
      <c r="M42" s="235"/>
      <c r="N42" s="235"/>
      <c r="O42" s="235"/>
      <c r="P42" s="235"/>
      <c r="Q42" s="236"/>
    </row>
    <row r="43" spans="2:17" ht="13.15" customHeight="1" x14ac:dyDescent="0.2">
      <c r="B43" s="5">
        <v>39</v>
      </c>
      <c r="C43" s="77"/>
      <c r="D43" s="78"/>
      <c r="F43" s="234"/>
      <c r="G43" s="235"/>
      <c r="H43" s="235"/>
      <c r="I43" s="235"/>
      <c r="J43" s="235"/>
      <c r="K43" s="235"/>
      <c r="L43" s="235"/>
      <c r="M43" s="235"/>
      <c r="N43" s="235"/>
      <c r="O43" s="235"/>
      <c r="P43" s="235"/>
      <c r="Q43" s="236"/>
    </row>
    <row r="44" spans="2:17" ht="13.15" customHeight="1" thickBot="1" x14ac:dyDescent="0.25">
      <c r="B44" s="6">
        <v>40</v>
      </c>
      <c r="C44" s="15"/>
      <c r="D44" s="16"/>
      <c r="F44" s="237"/>
      <c r="G44" s="238"/>
      <c r="H44" s="238"/>
      <c r="I44" s="238"/>
      <c r="J44" s="238"/>
      <c r="K44" s="238"/>
      <c r="L44" s="238"/>
      <c r="M44" s="238"/>
      <c r="N44" s="238"/>
      <c r="O44" s="238"/>
      <c r="P44" s="238"/>
      <c r="Q44" s="239"/>
    </row>
    <row r="45" spans="2:17" x14ac:dyDescent="0.2">
      <c r="C45" s="10">
        <f>COUNTA(C5:C44)</f>
        <v>23</v>
      </c>
    </row>
  </sheetData>
  <sheetProtection sheet="1" objects="1" scenarios="1" selectLockedCells="1"/>
  <mergeCells count="23">
    <mergeCell ref="AB2:AF2"/>
    <mergeCell ref="AC3:AF29"/>
    <mergeCell ref="F31:Q44"/>
    <mergeCell ref="V2:Z2"/>
    <mergeCell ref="G24:H24"/>
    <mergeCell ref="J24:Q24"/>
    <mergeCell ref="J25:Q25"/>
    <mergeCell ref="J26:Q26"/>
    <mergeCell ref="F2:S3"/>
    <mergeCell ref="F22:G22"/>
    <mergeCell ref="H22:I22"/>
    <mergeCell ref="J22:K22"/>
    <mergeCell ref="L22:M22"/>
    <mergeCell ref="N22:O22"/>
    <mergeCell ref="P22:Q22"/>
    <mergeCell ref="B2:D3"/>
    <mergeCell ref="W3:Z29"/>
    <mergeCell ref="G25:H25"/>
    <mergeCell ref="G26:H26"/>
    <mergeCell ref="R22:S22"/>
    <mergeCell ref="G27:H27"/>
    <mergeCell ref="G28:H28"/>
    <mergeCell ref="N28:Q29"/>
  </mergeCells>
  <dataValidations count="2">
    <dataValidation type="list" allowBlank="1" showInputMessage="1" showErrorMessage="1" sqref="J22:R22 F22 H22" xr:uid="{F4A9CAD1-0480-4ADA-93BE-D2D9C0DD371C}">
      <formula1>"Nein,Ja"</formula1>
    </dataValidation>
    <dataValidation type="custom" showInputMessage="1" showErrorMessage="1" sqref="R27:S29 J24:Q26" xr:uid="{C85A5DCF-A5EF-4D06-8770-728CD61BE72F}">
      <formula1>"&lt;0&gt;0"</formula1>
    </dataValidation>
  </dataValidations>
  <hyperlinks>
    <hyperlink ref="J25:Q25" r:id="rId1" display="GitHub Link" xr:uid="{A973A2A7-B95C-4AE9-8B6C-E5EA47EE1315}"/>
    <hyperlink ref="J24:Q24" r:id="rId2" display="Dies ist ein OpenSource Projekt lizensiert unter der GNU GPLv3." xr:uid="{C8FBEF54-C8DE-441C-8DDB-974F2A593A75}"/>
  </hyperlinks>
  <pageMargins left="0.7" right="0.7" top="0.78740157499999996" bottom="0.78740157499999996" header="0.3" footer="0.3"/>
  <pageSetup paperSize="9" orientation="portrait" r:id="rId3"/>
  <ignoredErrors>
    <ignoredError sqref="J21 L21 N21" formula="1"/>
  </ignoredErrors>
  <drawing r:id="rId4"/>
  <legacyDrawing r:id="rId5"/>
  <controls>
    <mc:AlternateContent xmlns:mc="http://schemas.openxmlformats.org/markup-compatibility/2006">
      <mc:Choice Requires="x14">
        <control shapeId="10289" r:id="rId6" name="cmdImportDK">
          <controlPr defaultSize="0" autoLine="0" r:id="rId7">
            <anchor>
              <from>
                <xdr:col>29</xdr:col>
                <xdr:colOff>514350</xdr:colOff>
                <xdr:row>33</xdr:row>
                <xdr:rowOff>0</xdr:rowOff>
              </from>
              <to>
                <xdr:col>31</xdr:col>
                <xdr:colOff>381000</xdr:colOff>
                <xdr:row>36</xdr:row>
                <xdr:rowOff>57150</xdr:rowOff>
              </to>
            </anchor>
          </controlPr>
        </control>
      </mc:Choice>
      <mc:Fallback>
        <control shapeId="10289" r:id="rId6" name="cmdImportDK"/>
      </mc:Fallback>
    </mc:AlternateContent>
    <mc:AlternateContent xmlns:mc="http://schemas.openxmlformats.org/markup-compatibility/2006">
      <mc:Choice Requires="x14">
        <control shapeId="10288" r:id="rId8" name="cmdImportZK">
          <controlPr defaultSize="0" autoLine="0" r:id="rId9">
            <anchor>
              <from>
                <xdr:col>27</xdr:col>
                <xdr:colOff>0</xdr:colOff>
                <xdr:row>33</xdr:row>
                <xdr:rowOff>0</xdr:rowOff>
              </from>
              <to>
                <xdr:col>29</xdr:col>
                <xdr:colOff>466725</xdr:colOff>
                <xdr:row>36</xdr:row>
                <xdr:rowOff>57150</xdr:rowOff>
              </to>
            </anchor>
          </controlPr>
        </control>
      </mc:Choice>
      <mc:Fallback>
        <control shapeId="10288" r:id="rId8" name="cmdImportZK"/>
      </mc:Fallback>
    </mc:AlternateContent>
    <mc:AlternateContent xmlns:mc="http://schemas.openxmlformats.org/markup-compatibility/2006">
      <mc:Choice Requires="x14">
        <control shapeId="10287" r:id="rId10" name="cmdDelZKDK">
          <controlPr defaultSize="0" autoLine="0" r:id="rId11">
            <anchor>
              <from>
                <xdr:col>29</xdr:col>
                <xdr:colOff>514350</xdr:colOff>
                <xdr:row>29</xdr:row>
                <xdr:rowOff>66675</xdr:rowOff>
              </from>
              <to>
                <xdr:col>31</xdr:col>
                <xdr:colOff>381000</xdr:colOff>
                <xdr:row>32</xdr:row>
                <xdr:rowOff>123825</xdr:rowOff>
              </to>
            </anchor>
          </controlPr>
        </control>
      </mc:Choice>
      <mc:Fallback>
        <control shapeId="10287" r:id="rId10" name="cmdDelZKDK"/>
      </mc:Fallback>
    </mc:AlternateContent>
    <mc:AlternateContent xmlns:mc="http://schemas.openxmlformats.org/markup-compatibility/2006">
      <mc:Choice Requires="x14">
        <control shapeId="10285" r:id="rId12" name="cmdAddZKDK">
          <controlPr defaultSize="0" autoLine="0" r:id="rId13">
            <anchor>
              <from>
                <xdr:col>27</xdr:col>
                <xdr:colOff>0</xdr:colOff>
                <xdr:row>29</xdr:row>
                <xdr:rowOff>66675</xdr:rowOff>
              </from>
              <to>
                <xdr:col>29</xdr:col>
                <xdr:colOff>466725</xdr:colOff>
                <xdr:row>32</xdr:row>
                <xdr:rowOff>123825</xdr:rowOff>
              </to>
            </anchor>
          </controlPr>
        </control>
      </mc:Choice>
      <mc:Fallback>
        <control shapeId="10285" r:id="rId12" name="cmdAddZKDK"/>
      </mc:Fallback>
    </mc:AlternateContent>
    <mc:AlternateContent xmlns:mc="http://schemas.openxmlformats.org/markup-compatibility/2006">
      <mc:Choice Requires="x14">
        <control shapeId="10246" r:id="rId14" name="cmdClearAll">
          <controlPr defaultSize="0" autoLine="0" r:id="rId15">
            <anchor>
              <from>
                <xdr:col>23</xdr:col>
                <xdr:colOff>533400</xdr:colOff>
                <xdr:row>29</xdr:row>
                <xdr:rowOff>66675</xdr:rowOff>
              </from>
              <to>
                <xdr:col>25</xdr:col>
                <xdr:colOff>400050</xdr:colOff>
                <xdr:row>32</xdr:row>
                <xdr:rowOff>114300</xdr:rowOff>
              </to>
            </anchor>
          </controlPr>
        </control>
      </mc:Choice>
      <mc:Fallback>
        <control shapeId="10246" r:id="rId14" name="cmdClearAll"/>
      </mc:Fallback>
    </mc:AlternateContent>
    <mc:AlternateContent xmlns:mc="http://schemas.openxmlformats.org/markup-compatibility/2006">
      <mc:Choice Requires="x14">
        <control shapeId="10243" r:id="rId16" name="cmdCreateTables">
          <controlPr defaultSize="0" autoLine="0" r:id="rId17">
            <anchor>
              <from>
                <xdr:col>21</xdr:col>
                <xdr:colOff>0</xdr:colOff>
                <xdr:row>29</xdr:row>
                <xdr:rowOff>66675</xdr:rowOff>
              </from>
              <to>
                <xdr:col>23</xdr:col>
                <xdr:colOff>457200</xdr:colOff>
                <xdr:row>32</xdr:row>
                <xdr:rowOff>123825</xdr:rowOff>
              </to>
            </anchor>
          </controlPr>
        </control>
      </mc:Choice>
      <mc:Fallback>
        <control shapeId="10243" r:id="rId16" name="cmdCreateTables"/>
      </mc:Fallback>
    </mc:AlternateContent>
    <mc:AlternateContent xmlns:mc="http://schemas.openxmlformats.org/markup-compatibility/2006">
      <mc:Choice Requires="x14">
        <control shapeId="10244" r:id="rId18" name="cmdCreateResults">
          <controlPr defaultSize="0" autoLine="0" r:id="rId19">
            <anchor>
              <from>
                <xdr:col>20</xdr:col>
                <xdr:colOff>152400</xdr:colOff>
                <xdr:row>36</xdr:row>
                <xdr:rowOff>57150</xdr:rowOff>
              </from>
              <to>
                <xdr:col>23</xdr:col>
                <xdr:colOff>457200</xdr:colOff>
                <xdr:row>39</xdr:row>
                <xdr:rowOff>114300</xdr:rowOff>
              </to>
            </anchor>
          </controlPr>
        </control>
      </mc:Choice>
      <mc:Fallback>
        <control shapeId="10244" r:id="rId18" name="cmdCreateResults"/>
      </mc:Fallback>
    </mc:AlternateContent>
    <mc:AlternateContent xmlns:mc="http://schemas.openxmlformats.org/markup-compatibility/2006">
      <mc:Choice Requires="x14">
        <control shapeId="10276" r:id="rId20" name="btnSelExUpdate">
          <controlPr defaultSize="0" print="0" autoLine="0" r:id="rId21">
            <anchor>
              <from>
                <xdr:col>21</xdr:col>
                <xdr:colOff>0</xdr:colOff>
                <xdr:row>33</xdr:row>
                <xdr:rowOff>0</xdr:rowOff>
              </from>
              <to>
                <xdr:col>23</xdr:col>
                <xdr:colOff>457200</xdr:colOff>
                <xdr:row>36</xdr:row>
                <xdr:rowOff>9525</xdr:rowOff>
              </to>
            </anchor>
          </controlPr>
        </control>
      </mc:Choice>
      <mc:Fallback>
        <control shapeId="10276" r:id="rId20" name="btnSelExUpdate"/>
      </mc:Fallback>
    </mc:AlternateContent>
    <mc:AlternateContent xmlns:mc="http://schemas.openxmlformats.org/markup-compatibility/2006">
      <mc:Choice Requires="x14">
        <control shapeId="10277" r:id="rId22" name="cmdEK">
          <controlPr defaultSize="0" autoLine="0" r:id="rId23">
            <anchor>
              <from>
                <xdr:col>8</xdr:col>
                <xdr:colOff>438150</xdr:colOff>
                <xdr:row>27</xdr:row>
                <xdr:rowOff>0</xdr:rowOff>
              </from>
              <to>
                <xdr:col>9</xdr:col>
                <xdr:colOff>390525</xdr:colOff>
                <xdr:row>29</xdr:row>
                <xdr:rowOff>0</xdr:rowOff>
              </to>
            </anchor>
          </controlPr>
        </control>
      </mc:Choice>
      <mc:Fallback>
        <control shapeId="10277" r:id="rId22" name="cmdEK"/>
      </mc:Fallback>
    </mc:AlternateContent>
    <mc:AlternateContent xmlns:mc="http://schemas.openxmlformats.org/markup-compatibility/2006">
      <mc:Choice Requires="x14">
        <control shapeId="10278" r:id="rId24" name="cmdZK">
          <controlPr defaultSize="0" autoLine="0" r:id="rId25">
            <anchor>
              <from>
                <xdr:col>9</xdr:col>
                <xdr:colOff>438150</xdr:colOff>
                <xdr:row>27</xdr:row>
                <xdr:rowOff>0</xdr:rowOff>
              </from>
              <to>
                <xdr:col>10</xdr:col>
                <xdr:colOff>390525</xdr:colOff>
                <xdr:row>29</xdr:row>
                <xdr:rowOff>0</xdr:rowOff>
              </to>
            </anchor>
          </controlPr>
        </control>
      </mc:Choice>
      <mc:Fallback>
        <control shapeId="10278" r:id="rId24" name="cmdZK"/>
      </mc:Fallback>
    </mc:AlternateContent>
    <mc:AlternateContent xmlns:mc="http://schemas.openxmlformats.org/markup-compatibility/2006">
      <mc:Choice Requires="x14">
        <control shapeId="10279" r:id="rId26" name="cmdDK">
          <controlPr defaultSize="0" autoLine="0" r:id="rId27">
            <anchor>
              <from>
                <xdr:col>11</xdr:col>
                <xdr:colOff>0</xdr:colOff>
                <xdr:row>27</xdr:row>
                <xdr:rowOff>0</xdr:rowOff>
              </from>
              <to>
                <xdr:col>11</xdr:col>
                <xdr:colOff>400050</xdr:colOff>
                <xdr:row>29</xdr:row>
                <xdr:rowOff>0</xdr:rowOff>
              </to>
            </anchor>
          </controlPr>
        </control>
      </mc:Choice>
      <mc:Fallback>
        <control shapeId="10279" r:id="rId26" name="cmdDK"/>
      </mc:Fallback>
    </mc:AlternateContent>
    <mc:AlternateContent xmlns:mc="http://schemas.openxmlformats.org/markup-compatibility/2006">
      <mc:Choice Requires="x14">
        <control shapeId="10280" r:id="rId28" name="cmdAK">
          <controlPr defaultSize="0" autoLine="0" r:id="rId29">
            <anchor>
              <from>
                <xdr:col>12</xdr:col>
                <xdr:colOff>0</xdr:colOff>
                <xdr:row>27</xdr:row>
                <xdr:rowOff>0</xdr:rowOff>
              </from>
              <to>
                <xdr:col>12</xdr:col>
                <xdr:colOff>400050</xdr:colOff>
                <xdr:row>29</xdr:row>
                <xdr:rowOff>0</xdr:rowOff>
              </to>
            </anchor>
          </controlPr>
        </control>
      </mc:Choice>
      <mc:Fallback>
        <control shapeId="10280" r:id="rId28" name="cmdAK"/>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9">
    <tabColor theme="0"/>
  </sheetPr>
  <dimension ref="B1:O302"/>
  <sheetViews>
    <sheetView workbookViewId="0">
      <selection activeCell="D7" sqref="D7"/>
    </sheetView>
  </sheetViews>
  <sheetFormatPr baseColWidth="10" defaultRowHeight="12.75" x14ac:dyDescent="0.2"/>
  <cols>
    <col min="1" max="1" width="2.85546875" customWidth="1"/>
    <col min="2" max="2" width="9.140625" style="1" customWidth="1"/>
    <col min="3" max="3" width="9.140625" style="2" customWidth="1"/>
    <col min="4" max="4" width="9.140625" style="1" customWidth="1"/>
    <col min="5" max="5" width="3.140625" style="2" hidden="1" customWidth="1"/>
    <col min="6" max="6" width="3.42578125" customWidth="1"/>
    <col min="7" max="8" width="11.42578125" customWidth="1"/>
  </cols>
  <sheetData>
    <row r="1" spans="2:15" ht="13.5" thickBot="1" x14ac:dyDescent="0.25"/>
    <row r="2" spans="2:15" ht="13.5" customHeight="1" thickBot="1" x14ac:dyDescent="0.25">
      <c r="B2" s="28" t="s">
        <v>0</v>
      </c>
      <c r="C2" s="29" t="s">
        <v>31</v>
      </c>
      <c r="D2" s="30" t="s">
        <v>1</v>
      </c>
      <c r="F2" s="31"/>
      <c r="G2" s="231" t="s">
        <v>32</v>
      </c>
      <c r="H2" s="232"/>
      <c r="I2" s="232"/>
      <c r="J2" s="232"/>
      <c r="K2" s="232"/>
      <c r="L2" s="233"/>
    </row>
    <row r="3" spans="2:15" x14ac:dyDescent="0.2">
      <c r="B3" s="35">
        <v>0</v>
      </c>
      <c r="C3" s="36">
        <v>0</v>
      </c>
      <c r="D3" s="37">
        <v>6</v>
      </c>
      <c r="E3" s="27" t="str">
        <f>IF(AND($C3=$C4,$C4&lt;$C5),"+",IF($C3&lt;$C4,"++",""))</f>
        <v/>
      </c>
      <c r="F3" s="31"/>
      <c r="G3" s="234"/>
      <c r="H3" s="235"/>
      <c r="I3" s="235"/>
      <c r="J3" s="235"/>
      <c r="K3" s="235"/>
      <c r="L3" s="236"/>
    </row>
    <row r="4" spans="2:15" x14ac:dyDescent="0.2">
      <c r="B4" s="38">
        <v>0.5</v>
      </c>
      <c r="C4" s="39">
        <v>0</v>
      </c>
      <c r="D4" s="40">
        <v>6</v>
      </c>
      <c r="E4" s="27" t="str">
        <f>IF(AND($C4=$C5,$C5&lt;$C6),"+",IF($C4&lt;$C5,"++",""))</f>
        <v/>
      </c>
      <c r="F4" s="31"/>
      <c r="G4" s="234"/>
      <c r="H4" s="235"/>
      <c r="I4" s="235"/>
      <c r="J4" s="235"/>
      <c r="K4" s="235"/>
      <c r="L4" s="236"/>
    </row>
    <row r="5" spans="2:15" x14ac:dyDescent="0.2">
      <c r="B5" s="38">
        <v>1</v>
      </c>
      <c r="C5" s="39">
        <v>0</v>
      </c>
      <c r="D5" s="40">
        <v>6</v>
      </c>
      <c r="E5" s="27" t="str">
        <f t="shared" ref="E5:E50" si="0">IF(AND($C5=$C6,$C6&lt;$C7),"+",IF($C5&lt;$C6,"++",IF(AND($C5=$C4,$C4&gt;$C3),"-",IF($C5&gt;$C4,"--",""))))</f>
        <v/>
      </c>
      <c r="F5" s="31"/>
      <c r="G5" s="234"/>
      <c r="H5" s="235"/>
      <c r="I5" s="235"/>
      <c r="J5" s="235"/>
      <c r="K5" s="235"/>
      <c r="L5" s="236"/>
    </row>
    <row r="6" spans="2:15" x14ac:dyDescent="0.2">
      <c r="B6" s="38">
        <v>1.5</v>
      </c>
      <c r="C6" s="39">
        <v>0</v>
      </c>
      <c r="D6" s="40">
        <v>6</v>
      </c>
      <c r="E6" s="27" t="str">
        <f t="shared" si="0"/>
        <v/>
      </c>
      <c r="F6" s="31"/>
      <c r="G6" s="234"/>
      <c r="H6" s="235"/>
      <c r="I6" s="235"/>
      <c r="J6" s="235"/>
      <c r="K6" s="235"/>
      <c r="L6" s="236"/>
    </row>
    <row r="7" spans="2:15" x14ac:dyDescent="0.2">
      <c r="B7" s="38">
        <v>2</v>
      </c>
      <c r="C7" s="39">
        <v>0</v>
      </c>
      <c r="D7" s="40">
        <v>6</v>
      </c>
      <c r="E7" s="27" t="str">
        <f t="shared" si="0"/>
        <v/>
      </c>
      <c r="F7" s="31"/>
      <c r="G7" s="234"/>
      <c r="H7" s="235"/>
      <c r="I7" s="235"/>
      <c r="J7" s="235"/>
      <c r="K7" s="235"/>
      <c r="L7" s="236"/>
    </row>
    <row r="8" spans="2:15" ht="12.75" customHeight="1" x14ac:dyDescent="0.2">
      <c r="B8" s="38">
        <v>2.5</v>
      </c>
      <c r="C8" s="39">
        <v>0</v>
      </c>
      <c r="D8" s="40">
        <v>6</v>
      </c>
      <c r="E8" s="27" t="str">
        <f t="shared" si="0"/>
        <v/>
      </c>
      <c r="F8" s="31"/>
      <c r="G8" s="234"/>
      <c r="H8" s="235"/>
      <c r="I8" s="235"/>
      <c r="J8" s="235"/>
      <c r="K8" s="235"/>
      <c r="L8" s="236"/>
      <c r="M8" s="32"/>
      <c r="N8" s="32"/>
      <c r="O8" s="32"/>
    </row>
    <row r="9" spans="2:15" x14ac:dyDescent="0.2">
      <c r="B9" s="38">
        <v>3</v>
      </c>
      <c r="C9" s="39">
        <v>0</v>
      </c>
      <c r="D9" s="40">
        <v>6</v>
      </c>
      <c r="E9" s="27" t="str">
        <f t="shared" si="0"/>
        <v/>
      </c>
      <c r="F9" s="31"/>
      <c r="G9" s="234"/>
      <c r="H9" s="235"/>
      <c r="I9" s="235"/>
      <c r="J9" s="235"/>
      <c r="K9" s="235"/>
      <c r="L9" s="236"/>
      <c r="M9" s="32"/>
      <c r="N9" s="32"/>
      <c r="O9" s="32"/>
    </row>
    <row r="10" spans="2:15" x14ac:dyDescent="0.2">
      <c r="B10" s="38">
        <v>3.5</v>
      </c>
      <c r="C10" s="39">
        <v>0</v>
      </c>
      <c r="D10" s="40">
        <v>6</v>
      </c>
      <c r="E10" s="27" t="str">
        <f t="shared" si="0"/>
        <v/>
      </c>
      <c r="F10" s="31"/>
      <c r="G10" s="234"/>
      <c r="H10" s="235"/>
      <c r="I10" s="235"/>
      <c r="J10" s="235"/>
      <c r="K10" s="235"/>
      <c r="L10" s="236"/>
      <c r="M10" s="32"/>
      <c r="N10" s="32"/>
      <c r="O10" s="32"/>
    </row>
    <row r="11" spans="2:15" x14ac:dyDescent="0.2">
      <c r="B11" s="38">
        <v>4</v>
      </c>
      <c r="C11" s="39">
        <v>0</v>
      </c>
      <c r="D11" s="40">
        <v>6</v>
      </c>
      <c r="E11" s="27" t="str">
        <f t="shared" si="0"/>
        <v/>
      </c>
      <c r="G11" s="234"/>
      <c r="H11" s="235"/>
      <c r="I11" s="235"/>
      <c r="J11" s="235"/>
      <c r="K11" s="235"/>
      <c r="L11" s="236"/>
      <c r="M11" s="32"/>
      <c r="N11" s="32"/>
      <c r="O11" s="32"/>
    </row>
    <row r="12" spans="2:15" x14ac:dyDescent="0.2">
      <c r="B12" s="38">
        <v>4.5</v>
      </c>
      <c r="C12" s="39">
        <v>0</v>
      </c>
      <c r="D12" s="40">
        <v>6</v>
      </c>
      <c r="E12" s="27" t="str">
        <f t="shared" si="0"/>
        <v/>
      </c>
      <c r="F12" s="31"/>
      <c r="G12" s="234"/>
      <c r="H12" s="235"/>
      <c r="I12" s="235"/>
      <c r="J12" s="235"/>
      <c r="K12" s="235"/>
      <c r="L12" s="236"/>
      <c r="M12" s="32"/>
      <c r="N12" s="32"/>
      <c r="O12" s="32"/>
    </row>
    <row r="13" spans="2:15" x14ac:dyDescent="0.2">
      <c r="B13" s="38">
        <v>5</v>
      </c>
      <c r="C13" s="39">
        <v>0</v>
      </c>
      <c r="D13" s="40">
        <v>6</v>
      </c>
      <c r="E13" s="27" t="str">
        <f t="shared" si="0"/>
        <v/>
      </c>
      <c r="F13" s="31"/>
      <c r="G13" s="234"/>
      <c r="H13" s="235"/>
      <c r="I13" s="235"/>
      <c r="J13" s="235"/>
      <c r="K13" s="235"/>
      <c r="L13" s="236"/>
      <c r="M13" s="32"/>
      <c r="N13" s="32"/>
      <c r="O13" s="32"/>
    </row>
    <row r="14" spans="2:15" x14ac:dyDescent="0.2">
      <c r="B14" s="38">
        <v>5.5</v>
      </c>
      <c r="C14" s="39">
        <v>0</v>
      </c>
      <c r="D14" s="40">
        <v>6</v>
      </c>
      <c r="E14" s="27" t="str">
        <f t="shared" si="0"/>
        <v/>
      </c>
      <c r="F14" s="31"/>
      <c r="G14" s="234"/>
      <c r="H14" s="235"/>
      <c r="I14" s="235"/>
      <c r="J14" s="235"/>
      <c r="K14" s="235"/>
      <c r="L14" s="236"/>
      <c r="M14" s="32"/>
      <c r="N14" s="32"/>
      <c r="O14" s="32"/>
    </row>
    <row r="15" spans="2:15" x14ac:dyDescent="0.2">
      <c r="B15" s="38">
        <v>6</v>
      </c>
      <c r="C15" s="39">
        <v>0</v>
      </c>
      <c r="D15" s="40">
        <v>6</v>
      </c>
      <c r="E15" s="27" t="str">
        <f t="shared" si="0"/>
        <v/>
      </c>
      <c r="F15" s="31"/>
      <c r="G15" s="48"/>
      <c r="H15" s="49"/>
      <c r="I15" s="49"/>
      <c r="J15" s="49"/>
      <c r="K15" s="49"/>
      <c r="L15" s="50"/>
      <c r="M15" s="32"/>
      <c r="N15" s="32"/>
      <c r="O15" s="32"/>
    </row>
    <row r="16" spans="2:15" x14ac:dyDescent="0.2">
      <c r="B16" s="38">
        <v>6.5</v>
      </c>
      <c r="C16" s="39">
        <v>0</v>
      </c>
      <c r="D16" s="40">
        <v>6</v>
      </c>
      <c r="E16" s="27" t="str">
        <f t="shared" si="0"/>
        <v/>
      </c>
      <c r="F16" s="31"/>
      <c r="G16" s="58"/>
      <c r="H16" s="51" t="s">
        <v>33</v>
      </c>
      <c r="I16" s="51"/>
      <c r="J16" s="51"/>
      <c r="K16" s="51"/>
      <c r="L16" s="53"/>
      <c r="M16" s="32"/>
      <c r="N16" s="32"/>
      <c r="O16" s="32"/>
    </row>
    <row r="17" spans="2:15" x14ac:dyDescent="0.2">
      <c r="B17" s="38">
        <v>7</v>
      </c>
      <c r="C17" s="39">
        <v>0</v>
      </c>
      <c r="D17" s="40">
        <v>6</v>
      </c>
      <c r="E17" s="27" t="str">
        <f t="shared" si="0"/>
        <v/>
      </c>
      <c r="F17" s="31"/>
      <c r="G17" s="59"/>
      <c r="H17" s="51" t="s">
        <v>34</v>
      </c>
      <c r="I17" s="51"/>
      <c r="J17" s="51"/>
      <c r="K17" s="51"/>
      <c r="L17" s="53"/>
      <c r="M17" s="32"/>
      <c r="N17" s="32"/>
      <c r="O17" s="32"/>
    </row>
    <row r="18" spans="2:15" x14ac:dyDescent="0.2">
      <c r="B18" s="38">
        <v>7.5</v>
      </c>
      <c r="C18" s="39">
        <v>0</v>
      </c>
      <c r="D18" s="40">
        <v>6</v>
      </c>
      <c r="E18" s="27" t="str">
        <f t="shared" si="0"/>
        <v/>
      </c>
      <c r="F18" s="31"/>
      <c r="G18" s="52"/>
      <c r="H18" s="51" t="s">
        <v>35</v>
      </c>
      <c r="I18" s="51"/>
      <c r="J18" s="51"/>
      <c r="K18" s="51"/>
      <c r="L18" s="53"/>
      <c r="M18" s="32"/>
      <c r="N18" s="32"/>
      <c r="O18" s="32"/>
    </row>
    <row r="19" spans="2:15" x14ac:dyDescent="0.2">
      <c r="B19" s="38">
        <v>8</v>
      </c>
      <c r="C19" s="39">
        <v>0</v>
      </c>
      <c r="D19" s="40">
        <v>6</v>
      </c>
      <c r="E19" s="27" t="str">
        <f t="shared" si="0"/>
        <v/>
      </c>
      <c r="F19" s="31"/>
      <c r="G19" s="54"/>
      <c r="H19" s="51" t="s">
        <v>36</v>
      </c>
      <c r="I19" s="51"/>
      <c r="J19" s="51"/>
      <c r="K19" s="51"/>
      <c r="L19" s="53"/>
      <c r="M19" s="32"/>
      <c r="N19" s="32"/>
      <c r="O19" s="32"/>
    </row>
    <row r="20" spans="2:15" ht="13.5" thickBot="1" x14ac:dyDescent="0.25">
      <c r="B20" s="38">
        <v>8.5</v>
      </c>
      <c r="C20" s="39">
        <v>0</v>
      </c>
      <c r="D20" s="40">
        <v>6</v>
      </c>
      <c r="E20" s="27" t="str">
        <f t="shared" si="0"/>
        <v/>
      </c>
      <c r="F20" s="31"/>
      <c r="G20" s="55"/>
      <c r="H20" s="56"/>
      <c r="I20" s="56"/>
      <c r="J20" s="56"/>
      <c r="K20" s="56"/>
      <c r="L20" s="57"/>
      <c r="M20" s="32"/>
      <c r="N20" s="32"/>
      <c r="O20" s="32"/>
    </row>
    <row r="21" spans="2:15" x14ac:dyDescent="0.2">
      <c r="B21" s="38">
        <v>9</v>
      </c>
      <c r="C21" s="39">
        <v>0</v>
      </c>
      <c r="D21" s="40">
        <v>6</v>
      </c>
      <c r="E21" s="27" t="str">
        <f t="shared" si="0"/>
        <v/>
      </c>
      <c r="G21" s="60"/>
      <c r="H21" s="60"/>
      <c r="I21" s="60"/>
      <c r="J21" s="60"/>
      <c r="K21" s="60"/>
      <c r="L21" s="60"/>
      <c r="M21" s="32"/>
      <c r="N21" s="32"/>
      <c r="O21" s="32"/>
    </row>
    <row r="22" spans="2:15" x14ac:dyDescent="0.2">
      <c r="B22" s="38">
        <v>9.5</v>
      </c>
      <c r="C22" s="39">
        <v>0</v>
      </c>
      <c r="D22" s="40">
        <v>6</v>
      </c>
      <c r="E22" s="27" t="str">
        <f t="shared" si="0"/>
        <v/>
      </c>
      <c r="G22" s="60"/>
      <c r="H22" s="60"/>
      <c r="I22" s="60"/>
      <c r="J22" s="60"/>
      <c r="K22" s="60"/>
      <c r="L22" s="60"/>
    </row>
    <row r="23" spans="2:15" x14ac:dyDescent="0.2">
      <c r="B23" s="38">
        <v>10</v>
      </c>
      <c r="C23" s="39">
        <v>0</v>
      </c>
      <c r="D23" s="40">
        <v>6</v>
      </c>
      <c r="E23" s="27" t="str">
        <f t="shared" si="0"/>
        <v/>
      </c>
      <c r="G23" s="60"/>
      <c r="H23" s="60"/>
      <c r="I23" s="60"/>
      <c r="J23" s="60"/>
      <c r="K23" s="60"/>
      <c r="L23" s="60"/>
    </row>
    <row r="24" spans="2:15" x14ac:dyDescent="0.2">
      <c r="B24" s="38">
        <v>10.5</v>
      </c>
      <c r="C24" s="39">
        <v>0</v>
      </c>
      <c r="D24" s="40">
        <v>6</v>
      </c>
      <c r="E24" s="27" t="str">
        <f t="shared" si="0"/>
        <v/>
      </c>
      <c r="G24" s="60"/>
      <c r="H24" s="60"/>
      <c r="I24" s="60"/>
      <c r="J24" s="60"/>
      <c r="K24" s="60"/>
      <c r="L24" s="60"/>
    </row>
    <row r="25" spans="2:15" x14ac:dyDescent="0.2">
      <c r="B25" s="38">
        <v>11</v>
      </c>
      <c r="C25" s="39">
        <v>0</v>
      </c>
      <c r="D25" s="40">
        <v>6</v>
      </c>
      <c r="E25" s="27" t="str">
        <f t="shared" si="0"/>
        <v/>
      </c>
    </row>
    <row r="26" spans="2:15" x14ac:dyDescent="0.2">
      <c r="B26" s="38">
        <v>11.5</v>
      </c>
      <c r="C26" s="39">
        <v>0</v>
      </c>
      <c r="D26" s="40">
        <v>6</v>
      </c>
      <c r="E26" s="27" t="str">
        <f t="shared" si="0"/>
        <v/>
      </c>
      <c r="G26" s="31"/>
      <c r="H26" s="31"/>
      <c r="I26" s="31"/>
      <c r="J26" s="31"/>
      <c r="K26" s="31"/>
      <c r="L26" s="31"/>
    </row>
    <row r="27" spans="2:15" x14ac:dyDescent="0.2">
      <c r="B27" s="38">
        <v>12</v>
      </c>
      <c r="C27" s="39">
        <v>0</v>
      </c>
      <c r="D27" s="40">
        <v>6</v>
      </c>
      <c r="E27" s="27" t="str">
        <f t="shared" si="0"/>
        <v/>
      </c>
      <c r="G27" s="31"/>
      <c r="H27" s="31"/>
      <c r="I27" s="31"/>
      <c r="J27" s="31"/>
      <c r="K27" s="31"/>
      <c r="L27" s="31"/>
    </row>
    <row r="28" spans="2:15" x14ac:dyDescent="0.2">
      <c r="B28" s="38">
        <v>12.5</v>
      </c>
      <c r="C28" s="39">
        <v>0</v>
      </c>
      <c r="D28" s="40">
        <v>6</v>
      </c>
      <c r="E28" s="27" t="str">
        <f t="shared" si="0"/>
        <v/>
      </c>
      <c r="G28" s="31"/>
      <c r="H28" s="31"/>
      <c r="I28" s="31"/>
      <c r="J28" s="31"/>
      <c r="K28" s="31"/>
      <c r="L28" s="31"/>
    </row>
    <row r="29" spans="2:15" x14ac:dyDescent="0.2">
      <c r="B29" s="38">
        <v>13</v>
      </c>
      <c r="C29" s="39">
        <v>0</v>
      </c>
      <c r="D29" s="40">
        <v>6</v>
      </c>
      <c r="E29" s="27" t="str">
        <f t="shared" si="0"/>
        <v/>
      </c>
      <c r="G29" s="31"/>
      <c r="H29" s="31"/>
      <c r="I29" s="31"/>
      <c r="J29" s="31"/>
      <c r="K29" s="31"/>
      <c r="L29" s="31"/>
    </row>
    <row r="30" spans="2:15" x14ac:dyDescent="0.2">
      <c r="B30" s="38">
        <v>13.5</v>
      </c>
      <c r="C30" s="39">
        <v>0</v>
      </c>
      <c r="D30" s="40">
        <v>6</v>
      </c>
      <c r="E30" s="27" t="str">
        <f t="shared" si="0"/>
        <v/>
      </c>
      <c r="G30" s="31"/>
      <c r="H30" s="31"/>
      <c r="I30" s="31"/>
      <c r="J30" s="31"/>
      <c r="K30" s="31"/>
      <c r="L30" s="31"/>
    </row>
    <row r="31" spans="2:15" x14ac:dyDescent="0.2">
      <c r="B31" s="38">
        <v>14</v>
      </c>
      <c r="C31" s="39">
        <v>0</v>
      </c>
      <c r="D31" s="40">
        <v>6</v>
      </c>
      <c r="E31" s="27" t="str">
        <f t="shared" si="0"/>
        <v/>
      </c>
      <c r="G31" s="31"/>
      <c r="H31" s="31"/>
      <c r="I31" s="31"/>
      <c r="J31" s="31"/>
      <c r="K31" s="31"/>
      <c r="L31" s="31"/>
    </row>
    <row r="32" spans="2:15" x14ac:dyDescent="0.2">
      <c r="B32" s="38">
        <v>14.5</v>
      </c>
      <c r="C32" s="39">
        <v>0</v>
      </c>
      <c r="D32" s="40">
        <v>6</v>
      </c>
      <c r="E32" s="27" t="str">
        <f t="shared" si="0"/>
        <v/>
      </c>
      <c r="G32" s="31"/>
      <c r="H32" s="31"/>
      <c r="I32" s="31"/>
      <c r="J32" s="31"/>
      <c r="K32" s="31"/>
      <c r="L32" s="31"/>
    </row>
    <row r="33" spans="2:12" x14ac:dyDescent="0.2">
      <c r="B33" s="38">
        <v>15</v>
      </c>
      <c r="C33" s="39">
        <v>0</v>
      </c>
      <c r="D33" s="40">
        <v>6</v>
      </c>
      <c r="E33" s="27" t="str">
        <f t="shared" si="0"/>
        <v/>
      </c>
      <c r="G33" s="31"/>
      <c r="H33" s="31"/>
      <c r="I33" s="31"/>
      <c r="J33" s="31"/>
      <c r="K33" s="31"/>
      <c r="L33" s="31"/>
    </row>
    <row r="34" spans="2:12" x14ac:dyDescent="0.2">
      <c r="B34" s="38">
        <v>15.5</v>
      </c>
      <c r="C34" s="39">
        <v>0</v>
      </c>
      <c r="D34" s="40">
        <v>6</v>
      </c>
      <c r="E34" s="27" t="str">
        <f t="shared" si="0"/>
        <v/>
      </c>
      <c r="G34" s="31"/>
      <c r="H34" s="31"/>
      <c r="I34" s="31"/>
      <c r="J34" s="31"/>
      <c r="K34" s="31"/>
      <c r="L34" s="31"/>
    </row>
    <row r="35" spans="2:12" x14ac:dyDescent="0.2">
      <c r="B35" s="38">
        <v>16</v>
      </c>
      <c r="C35" s="39">
        <v>0</v>
      </c>
      <c r="D35" s="40">
        <v>6</v>
      </c>
      <c r="E35" s="27" t="str">
        <f t="shared" si="0"/>
        <v/>
      </c>
    </row>
    <row r="36" spans="2:12" x14ac:dyDescent="0.2">
      <c r="B36" s="38">
        <v>16.5</v>
      </c>
      <c r="C36" s="39">
        <v>0</v>
      </c>
      <c r="D36" s="40">
        <v>6</v>
      </c>
      <c r="E36" s="27" t="str">
        <f t="shared" si="0"/>
        <v/>
      </c>
    </row>
    <row r="37" spans="2:12" x14ac:dyDescent="0.2">
      <c r="B37" s="38">
        <v>17</v>
      </c>
      <c r="C37" s="39">
        <v>0</v>
      </c>
      <c r="D37" s="40">
        <v>6</v>
      </c>
      <c r="E37" s="27" t="str">
        <f t="shared" si="0"/>
        <v/>
      </c>
    </row>
    <row r="38" spans="2:12" x14ac:dyDescent="0.2">
      <c r="B38" s="38">
        <v>17.5</v>
      </c>
      <c r="C38" s="39">
        <v>0</v>
      </c>
      <c r="D38" s="40">
        <v>6</v>
      </c>
      <c r="E38" s="27" t="str">
        <f t="shared" si="0"/>
        <v/>
      </c>
    </row>
    <row r="39" spans="2:12" x14ac:dyDescent="0.2">
      <c r="B39" s="38">
        <v>18</v>
      </c>
      <c r="C39" s="39">
        <v>0</v>
      </c>
      <c r="D39" s="40">
        <v>6</v>
      </c>
      <c r="E39" s="27" t="str">
        <f t="shared" si="0"/>
        <v/>
      </c>
    </row>
    <row r="40" spans="2:12" x14ac:dyDescent="0.2">
      <c r="B40" s="38">
        <v>18.5</v>
      </c>
      <c r="C40" s="39">
        <v>0</v>
      </c>
      <c r="D40" s="40">
        <v>6</v>
      </c>
      <c r="E40" s="27" t="str">
        <f t="shared" si="0"/>
        <v/>
      </c>
    </row>
    <row r="41" spans="2:12" x14ac:dyDescent="0.2">
      <c r="B41" s="38">
        <v>19</v>
      </c>
      <c r="C41" s="39">
        <v>0</v>
      </c>
      <c r="D41" s="40">
        <v>6</v>
      </c>
      <c r="E41" s="27" t="str">
        <f t="shared" si="0"/>
        <v>+</v>
      </c>
    </row>
    <row r="42" spans="2:12" x14ac:dyDescent="0.2">
      <c r="B42" s="38">
        <v>19.5</v>
      </c>
      <c r="C42" s="39">
        <v>0</v>
      </c>
      <c r="D42" s="40">
        <v>6</v>
      </c>
      <c r="E42" s="27" t="str">
        <f t="shared" si="0"/>
        <v>++</v>
      </c>
    </row>
    <row r="43" spans="2:12" x14ac:dyDescent="0.2">
      <c r="B43" s="38">
        <v>20</v>
      </c>
      <c r="C43" s="39">
        <v>1</v>
      </c>
      <c r="D43" s="40" t="s">
        <v>100</v>
      </c>
      <c r="E43" s="27" t="str">
        <f t="shared" si="0"/>
        <v>--</v>
      </c>
    </row>
    <row r="44" spans="2:12" x14ac:dyDescent="0.2">
      <c r="B44" s="38">
        <v>20.5</v>
      </c>
      <c r="C44" s="39">
        <v>1</v>
      </c>
      <c r="D44" s="40" t="s">
        <v>100</v>
      </c>
      <c r="E44" s="27" t="str">
        <f t="shared" si="0"/>
        <v>-</v>
      </c>
    </row>
    <row r="45" spans="2:12" x14ac:dyDescent="0.2">
      <c r="B45" s="38">
        <v>21</v>
      </c>
      <c r="C45" s="39">
        <v>1</v>
      </c>
      <c r="D45" s="40" t="s">
        <v>100</v>
      </c>
      <c r="E45" s="27" t="str">
        <f t="shared" si="0"/>
        <v/>
      </c>
    </row>
    <row r="46" spans="2:12" x14ac:dyDescent="0.2">
      <c r="B46" s="38">
        <v>21.5</v>
      </c>
      <c r="C46" s="39">
        <v>1</v>
      </c>
      <c r="D46" s="40" t="s">
        <v>100</v>
      </c>
      <c r="E46" s="27" t="str">
        <f t="shared" si="0"/>
        <v/>
      </c>
    </row>
    <row r="47" spans="2:12" x14ac:dyDescent="0.2">
      <c r="B47" s="38">
        <v>22</v>
      </c>
      <c r="C47" s="39">
        <v>1</v>
      </c>
      <c r="D47" s="40" t="s">
        <v>100</v>
      </c>
      <c r="E47" s="27" t="str">
        <f t="shared" si="0"/>
        <v/>
      </c>
    </row>
    <row r="48" spans="2:12" x14ac:dyDescent="0.2">
      <c r="B48" s="38">
        <v>22.5</v>
      </c>
      <c r="C48" s="39">
        <v>1</v>
      </c>
      <c r="D48" s="40" t="s">
        <v>100</v>
      </c>
      <c r="E48" s="27" t="str">
        <f t="shared" si="0"/>
        <v/>
      </c>
    </row>
    <row r="49" spans="2:5" x14ac:dyDescent="0.2">
      <c r="B49" s="38">
        <v>23</v>
      </c>
      <c r="C49" s="39">
        <v>1</v>
      </c>
      <c r="D49" s="40" t="s">
        <v>100</v>
      </c>
      <c r="E49" s="27" t="str">
        <f t="shared" si="0"/>
        <v/>
      </c>
    </row>
    <row r="50" spans="2:5" x14ac:dyDescent="0.2">
      <c r="B50" s="38">
        <v>23.5</v>
      </c>
      <c r="C50" s="39">
        <v>1</v>
      </c>
      <c r="D50" s="40" t="s">
        <v>100</v>
      </c>
      <c r="E50" s="27" t="str">
        <f t="shared" si="0"/>
        <v/>
      </c>
    </row>
    <row r="51" spans="2:5" x14ac:dyDescent="0.2">
      <c r="B51" s="38">
        <v>24</v>
      </c>
      <c r="C51" s="39">
        <v>1</v>
      </c>
      <c r="D51" s="40" t="s">
        <v>100</v>
      </c>
      <c r="E51" s="27" t="str">
        <f>IF(AND($C51=$C52,$C52&lt;$C53),"+",IF($C51&lt;$C52,"++",IF(AND($C51=$C50,$C50&gt;$C49),"-",IF($C51&gt;$C50,"--",""))))</f>
        <v/>
      </c>
    </row>
    <row r="52" spans="2:5" x14ac:dyDescent="0.2">
      <c r="B52" s="38">
        <v>24.5</v>
      </c>
      <c r="C52" s="39">
        <v>1</v>
      </c>
      <c r="D52" s="40" t="s">
        <v>100</v>
      </c>
      <c r="E52" s="27" t="str">
        <f t="shared" ref="E52:E115" si="1">IF(AND($C52=$C53,$C53&lt;$C54),"+",IF($C52&lt;$C53,"++",IF(AND($C52=$C51,$C51&gt;$C50),"-",IF($C52&gt;$C51,"--",""))))</f>
        <v/>
      </c>
    </row>
    <row r="53" spans="2:5" x14ac:dyDescent="0.2">
      <c r="B53" s="38">
        <v>25</v>
      </c>
      <c r="C53" s="39">
        <v>1</v>
      </c>
      <c r="D53" s="41" t="s">
        <v>100</v>
      </c>
      <c r="E53" s="27" t="str">
        <f t="shared" si="1"/>
        <v/>
      </c>
    </row>
    <row r="54" spans="2:5" x14ac:dyDescent="0.2">
      <c r="B54" s="38">
        <v>25.5</v>
      </c>
      <c r="C54" s="39">
        <v>1</v>
      </c>
      <c r="D54" s="41" t="s">
        <v>100</v>
      </c>
      <c r="E54" s="27" t="str">
        <f t="shared" si="1"/>
        <v/>
      </c>
    </row>
    <row r="55" spans="2:5" x14ac:dyDescent="0.2">
      <c r="B55" s="38">
        <v>26</v>
      </c>
      <c r="C55" s="39">
        <v>1</v>
      </c>
      <c r="D55" s="41" t="s">
        <v>100</v>
      </c>
      <c r="E55" s="27" t="str">
        <f t="shared" si="1"/>
        <v>+</v>
      </c>
    </row>
    <row r="56" spans="2:5" x14ac:dyDescent="0.2">
      <c r="B56" s="38">
        <v>26.5</v>
      </c>
      <c r="C56" s="39">
        <v>1</v>
      </c>
      <c r="D56" s="41" t="s">
        <v>100</v>
      </c>
      <c r="E56" s="27" t="str">
        <f t="shared" si="1"/>
        <v>++</v>
      </c>
    </row>
    <row r="57" spans="2:5" x14ac:dyDescent="0.2">
      <c r="B57" s="38">
        <v>27</v>
      </c>
      <c r="C57" s="39">
        <v>2</v>
      </c>
      <c r="D57" s="41" t="s">
        <v>101</v>
      </c>
      <c r="E57" s="27" t="str">
        <f t="shared" si="1"/>
        <v>--</v>
      </c>
    </row>
    <row r="58" spans="2:5" x14ac:dyDescent="0.2">
      <c r="B58" s="38">
        <v>27.5</v>
      </c>
      <c r="C58" s="39">
        <v>2</v>
      </c>
      <c r="D58" s="41" t="s">
        <v>101</v>
      </c>
      <c r="E58" s="27" t="str">
        <f t="shared" si="1"/>
        <v>-</v>
      </c>
    </row>
    <row r="59" spans="2:5" x14ac:dyDescent="0.2">
      <c r="B59" s="38">
        <v>28</v>
      </c>
      <c r="C59" s="39">
        <v>2</v>
      </c>
      <c r="D59" s="41" t="s">
        <v>101</v>
      </c>
      <c r="E59" s="27" t="str">
        <f t="shared" si="1"/>
        <v/>
      </c>
    </row>
    <row r="60" spans="2:5" x14ac:dyDescent="0.2">
      <c r="B60" s="38">
        <v>28.5</v>
      </c>
      <c r="C60" s="39">
        <v>2</v>
      </c>
      <c r="D60" s="41" t="s">
        <v>101</v>
      </c>
      <c r="E60" s="27" t="str">
        <f t="shared" si="1"/>
        <v/>
      </c>
    </row>
    <row r="61" spans="2:5" x14ac:dyDescent="0.2">
      <c r="B61" s="38">
        <v>29</v>
      </c>
      <c r="C61" s="39">
        <v>2</v>
      </c>
      <c r="D61" s="41" t="s">
        <v>101</v>
      </c>
      <c r="E61" s="27" t="str">
        <f t="shared" si="1"/>
        <v/>
      </c>
    </row>
    <row r="62" spans="2:5" x14ac:dyDescent="0.2">
      <c r="B62" s="38">
        <v>29.5</v>
      </c>
      <c r="C62" s="39">
        <v>2</v>
      </c>
      <c r="D62" s="41" t="s">
        <v>101</v>
      </c>
      <c r="E62" s="27" t="str">
        <f t="shared" si="1"/>
        <v/>
      </c>
    </row>
    <row r="63" spans="2:5" x14ac:dyDescent="0.2">
      <c r="B63" s="38">
        <v>30</v>
      </c>
      <c r="C63" s="39">
        <v>2</v>
      </c>
      <c r="D63" s="41" t="s">
        <v>101</v>
      </c>
      <c r="E63" s="27" t="str">
        <f t="shared" si="1"/>
        <v/>
      </c>
    </row>
    <row r="64" spans="2:5" x14ac:dyDescent="0.2">
      <c r="B64" s="38">
        <v>30.5</v>
      </c>
      <c r="C64" s="39">
        <v>2</v>
      </c>
      <c r="D64" s="41" t="s">
        <v>101</v>
      </c>
      <c r="E64" s="27" t="str">
        <f t="shared" si="1"/>
        <v/>
      </c>
    </row>
    <row r="65" spans="2:5" x14ac:dyDescent="0.2">
      <c r="B65" s="38">
        <v>31</v>
      </c>
      <c r="C65" s="39">
        <v>2</v>
      </c>
      <c r="D65" s="41" t="s">
        <v>101</v>
      </c>
      <c r="E65" s="27" t="str">
        <f t="shared" si="1"/>
        <v/>
      </c>
    </row>
    <row r="66" spans="2:5" x14ac:dyDescent="0.2">
      <c r="B66" s="38">
        <v>31.5</v>
      </c>
      <c r="C66" s="39">
        <v>2</v>
      </c>
      <c r="D66" s="41" t="s">
        <v>101</v>
      </c>
      <c r="E66" s="27" t="str">
        <f t="shared" si="1"/>
        <v/>
      </c>
    </row>
    <row r="67" spans="2:5" x14ac:dyDescent="0.2">
      <c r="B67" s="38">
        <v>32</v>
      </c>
      <c r="C67" s="39">
        <v>2</v>
      </c>
      <c r="D67" s="41" t="s">
        <v>101</v>
      </c>
      <c r="E67" s="27" t="str">
        <f t="shared" si="1"/>
        <v>+</v>
      </c>
    </row>
    <row r="68" spans="2:5" x14ac:dyDescent="0.2">
      <c r="B68" s="38">
        <v>32.5</v>
      </c>
      <c r="C68" s="39">
        <v>2</v>
      </c>
      <c r="D68" s="41" t="s">
        <v>101</v>
      </c>
      <c r="E68" s="27" t="str">
        <f t="shared" si="1"/>
        <v>++</v>
      </c>
    </row>
    <row r="69" spans="2:5" x14ac:dyDescent="0.2">
      <c r="B69" s="38">
        <v>33</v>
      </c>
      <c r="C69" s="39">
        <v>3</v>
      </c>
      <c r="D69" s="40" t="s">
        <v>102</v>
      </c>
      <c r="E69" s="27" t="str">
        <f t="shared" si="1"/>
        <v>--</v>
      </c>
    </row>
    <row r="70" spans="2:5" x14ac:dyDescent="0.2">
      <c r="B70" s="38">
        <v>33.5</v>
      </c>
      <c r="C70" s="39">
        <v>3</v>
      </c>
      <c r="D70" s="40" t="s">
        <v>102</v>
      </c>
      <c r="E70" s="27" t="str">
        <f t="shared" si="1"/>
        <v>-</v>
      </c>
    </row>
    <row r="71" spans="2:5" x14ac:dyDescent="0.2">
      <c r="B71" s="38">
        <v>34</v>
      </c>
      <c r="C71" s="39">
        <v>3</v>
      </c>
      <c r="D71" s="40" t="s">
        <v>102</v>
      </c>
      <c r="E71" s="27" t="str">
        <f t="shared" si="1"/>
        <v/>
      </c>
    </row>
    <row r="72" spans="2:5" x14ac:dyDescent="0.2">
      <c r="B72" s="38">
        <v>34.5</v>
      </c>
      <c r="C72" s="39">
        <v>3</v>
      </c>
      <c r="D72" s="40" t="s">
        <v>102</v>
      </c>
      <c r="E72" s="27" t="str">
        <f t="shared" si="1"/>
        <v/>
      </c>
    </row>
    <row r="73" spans="2:5" x14ac:dyDescent="0.2">
      <c r="B73" s="38">
        <v>35</v>
      </c>
      <c r="C73" s="39">
        <v>3</v>
      </c>
      <c r="D73" s="40" t="s">
        <v>102</v>
      </c>
      <c r="E73" s="27" t="str">
        <f t="shared" si="1"/>
        <v/>
      </c>
    </row>
    <row r="74" spans="2:5" x14ac:dyDescent="0.2">
      <c r="B74" s="38">
        <v>35.5</v>
      </c>
      <c r="C74" s="39">
        <v>3</v>
      </c>
      <c r="D74" s="40" t="s">
        <v>102</v>
      </c>
      <c r="E74" s="27" t="str">
        <f t="shared" si="1"/>
        <v/>
      </c>
    </row>
    <row r="75" spans="2:5" x14ac:dyDescent="0.2">
      <c r="B75" s="38">
        <v>36</v>
      </c>
      <c r="C75" s="39">
        <v>3</v>
      </c>
      <c r="D75" s="40" t="s">
        <v>102</v>
      </c>
      <c r="E75" s="27" t="str">
        <f t="shared" si="1"/>
        <v/>
      </c>
    </row>
    <row r="76" spans="2:5" x14ac:dyDescent="0.2">
      <c r="B76" s="38">
        <v>36.5</v>
      </c>
      <c r="C76" s="39">
        <v>3</v>
      </c>
      <c r="D76" s="40" t="s">
        <v>102</v>
      </c>
      <c r="E76" s="27" t="str">
        <f t="shared" si="1"/>
        <v/>
      </c>
    </row>
    <row r="77" spans="2:5" x14ac:dyDescent="0.2">
      <c r="B77" s="38">
        <v>37</v>
      </c>
      <c r="C77" s="39">
        <v>3</v>
      </c>
      <c r="D77" s="40" t="s">
        <v>102</v>
      </c>
      <c r="E77" s="27" t="str">
        <f t="shared" si="1"/>
        <v/>
      </c>
    </row>
    <row r="78" spans="2:5" x14ac:dyDescent="0.2">
      <c r="B78" s="38">
        <v>37.5</v>
      </c>
      <c r="C78" s="39">
        <v>3</v>
      </c>
      <c r="D78" s="40" t="s">
        <v>102</v>
      </c>
      <c r="E78" s="27" t="str">
        <f t="shared" si="1"/>
        <v/>
      </c>
    </row>
    <row r="79" spans="2:5" x14ac:dyDescent="0.2">
      <c r="B79" s="38">
        <v>38</v>
      </c>
      <c r="C79" s="39">
        <v>3</v>
      </c>
      <c r="D79" s="40" t="s">
        <v>102</v>
      </c>
      <c r="E79" s="27" t="str">
        <f t="shared" si="1"/>
        <v/>
      </c>
    </row>
    <row r="80" spans="2:5" x14ac:dyDescent="0.2">
      <c r="B80" s="38">
        <v>38.5</v>
      </c>
      <c r="C80" s="39">
        <v>3</v>
      </c>
      <c r="D80" s="40" t="s">
        <v>102</v>
      </c>
      <c r="E80" s="27" t="str">
        <f t="shared" si="1"/>
        <v/>
      </c>
    </row>
    <row r="81" spans="2:5" x14ac:dyDescent="0.2">
      <c r="B81" s="38">
        <v>39</v>
      </c>
      <c r="C81" s="39">
        <v>3</v>
      </c>
      <c r="D81" s="40" t="s">
        <v>102</v>
      </c>
      <c r="E81" s="27" t="str">
        <f t="shared" si="1"/>
        <v>+</v>
      </c>
    </row>
    <row r="82" spans="2:5" x14ac:dyDescent="0.2">
      <c r="B82" s="38">
        <v>39.5</v>
      </c>
      <c r="C82" s="39">
        <v>3</v>
      </c>
      <c r="D82" s="40" t="s">
        <v>102</v>
      </c>
      <c r="E82" s="27" t="str">
        <f t="shared" si="1"/>
        <v>++</v>
      </c>
    </row>
    <row r="83" spans="2:5" x14ac:dyDescent="0.2">
      <c r="B83" s="38">
        <v>40</v>
      </c>
      <c r="C83" s="39">
        <v>4</v>
      </c>
      <c r="D83" s="40" t="s">
        <v>103</v>
      </c>
      <c r="E83" s="27" t="str">
        <f t="shared" si="1"/>
        <v>--</v>
      </c>
    </row>
    <row r="84" spans="2:5" x14ac:dyDescent="0.2">
      <c r="B84" s="38">
        <v>40.5</v>
      </c>
      <c r="C84" s="39">
        <v>4</v>
      </c>
      <c r="D84" s="40" t="s">
        <v>103</v>
      </c>
      <c r="E84" s="27" t="str">
        <f t="shared" si="1"/>
        <v>-</v>
      </c>
    </row>
    <row r="85" spans="2:5" x14ac:dyDescent="0.2">
      <c r="B85" s="38">
        <v>41</v>
      </c>
      <c r="C85" s="39">
        <v>4</v>
      </c>
      <c r="D85" s="42" t="s">
        <v>103</v>
      </c>
      <c r="E85" s="27" t="str">
        <f t="shared" si="1"/>
        <v/>
      </c>
    </row>
    <row r="86" spans="2:5" x14ac:dyDescent="0.2">
      <c r="B86" s="38">
        <v>41.5</v>
      </c>
      <c r="C86" s="39">
        <v>4</v>
      </c>
      <c r="D86" s="42" t="s">
        <v>103</v>
      </c>
      <c r="E86" s="27" t="str">
        <f t="shared" si="1"/>
        <v/>
      </c>
    </row>
    <row r="87" spans="2:5" x14ac:dyDescent="0.2">
      <c r="B87" s="38">
        <v>42</v>
      </c>
      <c r="C87" s="39">
        <v>4</v>
      </c>
      <c r="D87" s="42" t="s">
        <v>103</v>
      </c>
      <c r="E87" s="27" t="str">
        <f t="shared" si="1"/>
        <v/>
      </c>
    </row>
    <row r="88" spans="2:5" x14ac:dyDescent="0.2">
      <c r="B88" s="38">
        <v>42.5</v>
      </c>
      <c r="C88" s="39">
        <v>4</v>
      </c>
      <c r="D88" s="42" t="s">
        <v>103</v>
      </c>
      <c r="E88" s="27" t="str">
        <f t="shared" si="1"/>
        <v/>
      </c>
    </row>
    <row r="89" spans="2:5" x14ac:dyDescent="0.2">
      <c r="B89" s="38">
        <v>43</v>
      </c>
      <c r="C89" s="39">
        <v>4</v>
      </c>
      <c r="D89" s="42" t="s">
        <v>103</v>
      </c>
      <c r="E89" s="27" t="str">
        <f t="shared" si="1"/>
        <v/>
      </c>
    </row>
    <row r="90" spans="2:5" x14ac:dyDescent="0.2">
      <c r="B90" s="38">
        <v>43.5</v>
      </c>
      <c r="C90" s="39">
        <v>4</v>
      </c>
      <c r="D90" s="42" t="s">
        <v>103</v>
      </c>
      <c r="E90" s="27" t="str">
        <f t="shared" si="1"/>
        <v/>
      </c>
    </row>
    <row r="91" spans="2:5" x14ac:dyDescent="0.2">
      <c r="B91" s="38">
        <v>44</v>
      </c>
      <c r="C91" s="39">
        <v>4</v>
      </c>
      <c r="D91" s="42" t="s">
        <v>103</v>
      </c>
      <c r="E91" s="27" t="str">
        <f t="shared" si="1"/>
        <v>+</v>
      </c>
    </row>
    <row r="92" spans="2:5" x14ac:dyDescent="0.2">
      <c r="B92" s="38">
        <v>44.5</v>
      </c>
      <c r="C92" s="39">
        <v>4</v>
      </c>
      <c r="D92" s="42" t="s">
        <v>103</v>
      </c>
      <c r="E92" s="27" t="str">
        <f t="shared" si="1"/>
        <v>++</v>
      </c>
    </row>
    <row r="93" spans="2:5" x14ac:dyDescent="0.2">
      <c r="B93" s="38">
        <v>45</v>
      </c>
      <c r="C93" s="39">
        <v>5</v>
      </c>
      <c r="D93" s="42" t="s">
        <v>104</v>
      </c>
      <c r="E93" s="27" t="str">
        <f t="shared" si="1"/>
        <v>--</v>
      </c>
    </row>
    <row r="94" spans="2:5" x14ac:dyDescent="0.2">
      <c r="B94" s="38">
        <v>45.5</v>
      </c>
      <c r="C94" s="39">
        <v>5</v>
      </c>
      <c r="D94" s="42" t="s">
        <v>104</v>
      </c>
      <c r="E94" s="27" t="str">
        <f t="shared" si="1"/>
        <v>-</v>
      </c>
    </row>
    <row r="95" spans="2:5" x14ac:dyDescent="0.2">
      <c r="B95" s="38">
        <v>46</v>
      </c>
      <c r="C95" s="39">
        <v>5</v>
      </c>
      <c r="D95" s="42" t="s">
        <v>104</v>
      </c>
      <c r="E95" s="27" t="str">
        <f t="shared" si="1"/>
        <v/>
      </c>
    </row>
    <row r="96" spans="2:5" x14ac:dyDescent="0.2">
      <c r="B96" s="38">
        <v>46.5</v>
      </c>
      <c r="C96" s="39">
        <v>5</v>
      </c>
      <c r="D96" s="42" t="s">
        <v>104</v>
      </c>
      <c r="E96" s="27" t="str">
        <f t="shared" si="1"/>
        <v/>
      </c>
    </row>
    <row r="97" spans="2:5" x14ac:dyDescent="0.2">
      <c r="B97" s="38">
        <v>47</v>
      </c>
      <c r="C97" s="39">
        <v>5</v>
      </c>
      <c r="D97" s="42" t="s">
        <v>104</v>
      </c>
      <c r="E97" s="27" t="str">
        <f t="shared" si="1"/>
        <v/>
      </c>
    </row>
    <row r="98" spans="2:5" x14ac:dyDescent="0.2">
      <c r="B98" s="38">
        <v>47.5</v>
      </c>
      <c r="C98" s="39">
        <v>5</v>
      </c>
      <c r="D98" s="42" t="s">
        <v>104</v>
      </c>
      <c r="E98" s="27" t="str">
        <f t="shared" si="1"/>
        <v/>
      </c>
    </row>
    <row r="99" spans="2:5" x14ac:dyDescent="0.2">
      <c r="B99" s="38">
        <v>48</v>
      </c>
      <c r="C99" s="39">
        <v>5</v>
      </c>
      <c r="D99" s="42" t="s">
        <v>104</v>
      </c>
      <c r="E99" s="27" t="str">
        <f t="shared" si="1"/>
        <v/>
      </c>
    </row>
    <row r="100" spans="2:5" x14ac:dyDescent="0.2">
      <c r="B100" s="38">
        <v>48.5</v>
      </c>
      <c r="C100" s="39">
        <v>5</v>
      </c>
      <c r="D100" s="42" t="s">
        <v>104</v>
      </c>
      <c r="E100" s="27" t="str">
        <f t="shared" si="1"/>
        <v/>
      </c>
    </row>
    <row r="101" spans="2:5" x14ac:dyDescent="0.2">
      <c r="B101" s="38">
        <v>49</v>
      </c>
      <c r="C101" s="39">
        <v>5</v>
      </c>
      <c r="D101" s="41" t="s">
        <v>104</v>
      </c>
      <c r="E101" s="27" t="str">
        <f t="shared" si="1"/>
        <v>+</v>
      </c>
    </row>
    <row r="102" spans="2:5" x14ac:dyDescent="0.2">
      <c r="B102" s="38">
        <v>49.5</v>
      </c>
      <c r="C102" s="39">
        <v>5</v>
      </c>
      <c r="D102" s="41" t="s">
        <v>104</v>
      </c>
      <c r="E102" s="27" t="str">
        <f t="shared" si="1"/>
        <v>++</v>
      </c>
    </row>
    <row r="103" spans="2:5" x14ac:dyDescent="0.2">
      <c r="B103" s="38">
        <v>50</v>
      </c>
      <c r="C103" s="39">
        <v>6</v>
      </c>
      <c r="D103" s="41" t="s">
        <v>105</v>
      </c>
      <c r="E103" s="27" t="str">
        <f t="shared" si="1"/>
        <v>--</v>
      </c>
    </row>
    <row r="104" spans="2:5" x14ac:dyDescent="0.2">
      <c r="B104" s="38">
        <v>50.5</v>
      </c>
      <c r="C104" s="39">
        <v>6</v>
      </c>
      <c r="D104" s="41" t="s">
        <v>105</v>
      </c>
      <c r="E104" s="27" t="str">
        <f t="shared" si="1"/>
        <v>-</v>
      </c>
    </row>
    <row r="105" spans="2:5" x14ac:dyDescent="0.2">
      <c r="B105" s="38">
        <v>51</v>
      </c>
      <c r="C105" s="39">
        <v>6</v>
      </c>
      <c r="D105" s="41" t="s">
        <v>105</v>
      </c>
      <c r="E105" s="27" t="str">
        <f t="shared" si="1"/>
        <v/>
      </c>
    </row>
    <row r="106" spans="2:5" x14ac:dyDescent="0.2">
      <c r="B106" s="38">
        <v>51.5</v>
      </c>
      <c r="C106" s="39">
        <v>6</v>
      </c>
      <c r="D106" s="41" t="s">
        <v>105</v>
      </c>
      <c r="E106" s="27" t="str">
        <f t="shared" si="1"/>
        <v/>
      </c>
    </row>
    <row r="107" spans="2:5" x14ac:dyDescent="0.2">
      <c r="B107" s="38">
        <v>52</v>
      </c>
      <c r="C107" s="39">
        <v>6</v>
      </c>
      <c r="D107" s="41" t="s">
        <v>105</v>
      </c>
      <c r="E107" s="27" t="str">
        <f t="shared" si="1"/>
        <v/>
      </c>
    </row>
    <row r="108" spans="2:5" x14ac:dyDescent="0.2">
      <c r="B108" s="38">
        <v>52.5</v>
      </c>
      <c r="C108" s="39">
        <v>6</v>
      </c>
      <c r="D108" s="41" t="s">
        <v>105</v>
      </c>
      <c r="E108" s="27" t="str">
        <f t="shared" si="1"/>
        <v/>
      </c>
    </row>
    <row r="109" spans="2:5" x14ac:dyDescent="0.2">
      <c r="B109" s="38">
        <v>53</v>
      </c>
      <c r="C109" s="39">
        <v>6</v>
      </c>
      <c r="D109" s="41" t="s">
        <v>105</v>
      </c>
      <c r="E109" s="27" t="str">
        <f t="shared" si="1"/>
        <v/>
      </c>
    </row>
    <row r="110" spans="2:5" x14ac:dyDescent="0.2">
      <c r="B110" s="38">
        <v>53.5</v>
      </c>
      <c r="C110" s="39">
        <v>6</v>
      </c>
      <c r="D110" s="41" t="s">
        <v>105</v>
      </c>
      <c r="E110" s="27" t="str">
        <f t="shared" si="1"/>
        <v/>
      </c>
    </row>
    <row r="111" spans="2:5" x14ac:dyDescent="0.2">
      <c r="B111" s="38">
        <v>54</v>
      </c>
      <c r="C111" s="39">
        <v>6</v>
      </c>
      <c r="D111" s="41" t="s">
        <v>105</v>
      </c>
      <c r="E111" s="27" t="str">
        <f t="shared" si="1"/>
        <v>+</v>
      </c>
    </row>
    <row r="112" spans="2:5" x14ac:dyDescent="0.2">
      <c r="B112" s="38">
        <v>54.5</v>
      </c>
      <c r="C112" s="39">
        <v>6</v>
      </c>
      <c r="D112" s="41" t="s">
        <v>105</v>
      </c>
      <c r="E112" s="27" t="str">
        <f t="shared" si="1"/>
        <v>++</v>
      </c>
    </row>
    <row r="113" spans="2:5" x14ac:dyDescent="0.2">
      <c r="B113" s="38">
        <v>55</v>
      </c>
      <c r="C113" s="39">
        <v>7</v>
      </c>
      <c r="D113" s="40" t="s">
        <v>106</v>
      </c>
      <c r="E113" s="27" t="str">
        <f t="shared" si="1"/>
        <v>--</v>
      </c>
    </row>
    <row r="114" spans="2:5" x14ac:dyDescent="0.2">
      <c r="B114" s="38">
        <v>55.5</v>
      </c>
      <c r="C114" s="39">
        <v>7</v>
      </c>
      <c r="D114" s="40" t="s">
        <v>106</v>
      </c>
      <c r="E114" s="27" t="str">
        <f t="shared" si="1"/>
        <v>-</v>
      </c>
    </row>
    <row r="115" spans="2:5" x14ac:dyDescent="0.2">
      <c r="B115" s="38">
        <v>56</v>
      </c>
      <c r="C115" s="39">
        <v>7</v>
      </c>
      <c r="D115" s="40" t="s">
        <v>106</v>
      </c>
      <c r="E115" s="27" t="str">
        <f t="shared" si="1"/>
        <v/>
      </c>
    </row>
    <row r="116" spans="2:5" x14ac:dyDescent="0.2">
      <c r="B116" s="38">
        <v>56.5</v>
      </c>
      <c r="C116" s="39">
        <v>7</v>
      </c>
      <c r="D116" s="40" t="s">
        <v>106</v>
      </c>
      <c r="E116" s="27" t="str">
        <f t="shared" ref="E116:E179" si="2">IF(AND($C116=$C117,$C117&lt;$C118),"+",IF($C116&lt;$C117,"++",IF(AND($C116=$C115,$C115&gt;$C114),"-",IF($C116&gt;$C115,"--",""))))</f>
        <v/>
      </c>
    </row>
    <row r="117" spans="2:5" x14ac:dyDescent="0.2">
      <c r="B117" s="38">
        <v>57</v>
      </c>
      <c r="C117" s="39">
        <v>7</v>
      </c>
      <c r="D117" s="40" t="s">
        <v>106</v>
      </c>
      <c r="E117" s="27" t="str">
        <f t="shared" si="2"/>
        <v/>
      </c>
    </row>
    <row r="118" spans="2:5" x14ac:dyDescent="0.2">
      <c r="B118" s="38">
        <v>57.5</v>
      </c>
      <c r="C118" s="39">
        <v>7</v>
      </c>
      <c r="D118" s="40" t="s">
        <v>106</v>
      </c>
      <c r="E118" s="27" t="str">
        <f t="shared" si="2"/>
        <v/>
      </c>
    </row>
    <row r="119" spans="2:5" x14ac:dyDescent="0.2">
      <c r="B119" s="38">
        <v>58</v>
      </c>
      <c r="C119" s="39">
        <v>7</v>
      </c>
      <c r="D119" s="40" t="s">
        <v>106</v>
      </c>
      <c r="E119" s="27" t="str">
        <f t="shared" si="2"/>
        <v/>
      </c>
    </row>
    <row r="120" spans="2:5" x14ac:dyDescent="0.2">
      <c r="B120" s="38">
        <v>58.5</v>
      </c>
      <c r="C120" s="39">
        <v>7</v>
      </c>
      <c r="D120" s="40" t="s">
        <v>106</v>
      </c>
      <c r="E120" s="27" t="str">
        <f t="shared" si="2"/>
        <v/>
      </c>
    </row>
    <row r="121" spans="2:5" x14ac:dyDescent="0.2">
      <c r="B121" s="38">
        <v>59</v>
      </c>
      <c r="C121" s="39">
        <v>7</v>
      </c>
      <c r="D121" s="40" t="s">
        <v>106</v>
      </c>
      <c r="E121" s="27" t="str">
        <f t="shared" si="2"/>
        <v>+</v>
      </c>
    </row>
    <row r="122" spans="2:5" x14ac:dyDescent="0.2">
      <c r="B122" s="38">
        <v>59.5</v>
      </c>
      <c r="C122" s="39">
        <v>7</v>
      </c>
      <c r="D122" s="40" t="s">
        <v>106</v>
      </c>
      <c r="E122" s="27" t="str">
        <f t="shared" si="2"/>
        <v>++</v>
      </c>
    </row>
    <row r="123" spans="2:5" x14ac:dyDescent="0.2">
      <c r="B123" s="38">
        <v>60</v>
      </c>
      <c r="C123" s="39">
        <v>8</v>
      </c>
      <c r="D123" s="40" t="s">
        <v>18</v>
      </c>
      <c r="E123" s="27" t="str">
        <f t="shared" si="2"/>
        <v>--</v>
      </c>
    </row>
    <row r="124" spans="2:5" x14ac:dyDescent="0.2">
      <c r="B124" s="38">
        <v>60.5</v>
      </c>
      <c r="C124" s="39">
        <v>8</v>
      </c>
      <c r="D124" s="40" t="s">
        <v>18</v>
      </c>
      <c r="E124" s="27" t="str">
        <f t="shared" si="2"/>
        <v>-</v>
      </c>
    </row>
    <row r="125" spans="2:5" x14ac:dyDescent="0.2">
      <c r="B125" s="38">
        <v>61</v>
      </c>
      <c r="C125" s="39">
        <v>8</v>
      </c>
      <c r="D125" s="42" t="s">
        <v>18</v>
      </c>
      <c r="E125" s="27" t="str">
        <f t="shared" si="2"/>
        <v/>
      </c>
    </row>
    <row r="126" spans="2:5" x14ac:dyDescent="0.2">
      <c r="B126" s="38">
        <v>61.5</v>
      </c>
      <c r="C126" s="39">
        <v>8</v>
      </c>
      <c r="D126" s="42" t="s">
        <v>18</v>
      </c>
      <c r="E126" s="27" t="str">
        <f t="shared" si="2"/>
        <v/>
      </c>
    </row>
    <row r="127" spans="2:5" x14ac:dyDescent="0.2">
      <c r="B127" s="38">
        <v>62</v>
      </c>
      <c r="C127" s="39">
        <v>8</v>
      </c>
      <c r="D127" s="42" t="s">
        <v>18</v>
      </c>
      <c r="E127" s="27" t="str">
        <f t="shared" si="2"/>
        <v/>
      </c>
    </row>
    <row r="128" spans="2:5" x14ac:dyDescent="0.2">
      <c r="B128" s="38">
        <v>62.5</v>
      </c>
      <c r="C128" s="39">
        <v>8</v>
      </c>
      <c r="D128" s="42" t="s">
        <v>18</v>
      </c>
      <c r="E128" s="27" t="str">
        <f t="shared" si="2"/>
        <v/>
      </c>
    </row>
    <row r="129" spans="2:5" x14ac:dyDescent="0.2">
      <c r="B129" s="38">
        <v>63</v>
      </c>
      <c r="C129" s="39">
        <v>8</v>
      </c>
      <c r="D129" s="42" t="s">
        <v>18</v>
      </c>
      <c r="E129" s="27" t="str">
        <f t="shared" si="2"/>
        <v/>
      </c>
    </row>
    <row r="130" spans="2:5" x14ac:dyDescent="0.2">
      <c r="B130" s="38">
        <v>63.5</v>
      </c>
      <c r="C130" s="39">
        <v>8</v>
      </c>
      <c r="D130" s="42" t="s">
        <v>18</v>
      </c>
      <c r="E130" s="27" t="str">
        <f t="shared" si="2"/>
        <v/>
      </c>
    </row>
    <row r="131" spans="2:5" x14ac:dyDescent="0.2">
      <c r="B131" s="38">
        <v>64</v>
      </c>
      <c r="C131" s="39">
        <v>8</v>
      </c>
      <c r="D131" s="42" t="s">
        <v>18</v>
      </c>
      <c r="E131" s="27" t="str">
        <f t="shared" si="2"/>
        <v>+</v>
      </c>
    </row>
    <row r="132" spans="2:5" x14ac:dyDescent="0.2">
      <c r="B132" s="38">
        <v>64.5</v>
      </c>
      <c r="C132" s="39">
        <v>8</v>
      </c>
      <c r="D132" s="42" t="s">
        <v>18</v>
      </c>
      <c r="E132" s="27" t="str">
        <f t="shared" si="2"/>
        <v>++</v>
      </c>
    </row>
    <row r="133" spans="2:5" x14ac:dyDescent="0.2">
      <c r="B133" s="38">
        <v>65</v>
      </c>
      <c r="C133" s="39">
        <v>9</v>
      </c>
      <c r="D133" s="42" t="s">
        <v>107</v>
      </c>
      <c r="E133" s="27" t="str">
        <f t="shared" si="2"/>
        <v>--</v>
      </c>
    </row>
    <row r="134" spans="2:5" x14ac:dyDescent="0.2">
      <c r="B134" s="38">
        <v>65.5</v>
      </c>
      <c r="C134" s="39">
        <v>9</v>
      </c>
      <c r="D134" s="42" t="s">
        <v>107</v>
      </c>
      <c r="E134" s="27" t="str">
        <f t="shared" si="2"/>
        <v>-</v>
      </c>
    </row>
    <row r="135" spans="2:5" x14ac:dyDescent="0.2">
      <c r="B135" s="38">
        <v>66</v>
      </c>
      <c r="C135" s="39">
        <v>9</v>
      </c>
      <c r="D135" s="42" t="s">
        <v>107</v>
      </c>
      <c r="E135" s="27" t="str">
        <f t="shared" si="2"/>
        <v/>
      </c>
    </row>
    <row r="136" spans="2:5" x14ac:dyDescent="0.2">
      <c r="B136" s="38">
        <v>66.5</v>
      </c>
      <c r="C136" s="39">
        <v>9</v>
      </c>
      <c r="D136" s="42" t="s">
        <v>107</v>
      </c>
      <c r="E136" s="27" t="str">
        <f t="shared" si="2"/>
        <v/>
      </c>
    </row>
    <row r="137" spans="2:5" x14ac:dyDescent="0.2">
      <c r="B137" s="38">
        <v>67</v>
      </c>
      <c r="C137" s="39">
        <v>9</v>
      </c>
      <c r="D137" s="41" t="s">
        <v>107</v>
      </c>
      <c r="E137" s="27" t="str">
        <f t="shared" si="2"/>
        <v/>
      </c>
    </row>
    <row r="138" spans="2:5" x14ac:dyDescent="0.2">
      <c r="B138" s="38">
        <v>67.5</v>
      </c>
      <c r="C138" s="39">
        <v>9</v>
      </c>
      <c r="D138" s="41" t="s">
        <v>107</v>
      </c>
      <c r="E138" s="27" t="str">
        <f t="shared" si="2"/>
        <v/>
      </c>
    </row>
    <row r="139" spans="2:5" x14ac:dyDescent="0.2">
      <c r="B139" s="38">
        <v>68</v>
      </c>
      <c r="C139" s="39">
        <v>9</v>
      </c>
      <c r="D139" s="41" t="s">
        <v>107</v>
      </c>
      <c r="E139" s="27" t="str">
        <f t="shared" si="2"/>
        <v/>
      </c>
    </row>
    <row r="140" spans="2:5" x14ac:dyDescent="0.2">
      <c r="B140" s="38">
        <v>68.5</v>
      </c>
      <c r="C140" s="39">
        <v>9</v>
      </c>
      <c r="D140" s="41" t="s">
        <v>107</v>
      </c>
      <c r="E140" s="27" t="str">
        <f t="shared" si="2"/>
        <v/>
      </c>
    </row>
    <row r="141" spans="2:5" x14ac:dyDescent="0.2">
      <c r="B141" s="38">
        <v>69</v>
      </c>
      <c r="C141" s="39">
        <v>9</v>
      </c>
      <c r="D141" s="41" t="s">
        <v>107</v>
      </c>
      <c r="E141" s="27" t="str">
        <f t="shared" si="2"/>
        <v>+</v>
      </c>
    </row>
    <row r="142" spans="2:5" x14ac:dyDescent="0.2">
      <c r="B142" s="38">
        <v>69.5</v>
      </c>
      <c r="C142" s="39">
        <v>9</v>
      </c>
      <c r="D142" s="41" t="s">
        <v>107</v>
      </c>
      <c r="E142" s="27" t="str">
        <f t="shared" si="2"/>
        <v>++</v>
      </c>
    </row>
    <row r="143" spans="2:5" x14ac:dyDescent="0.2">
      <c r="B143" s="38">
        <v>70</v>
      </c>
      <c r="C143" s="39">
        <v>10</v>
      </c>
      <c r="D143" s="41" t="s">
        <v>108</v>
      </c>
      <c r="E143" s="27" t="str">
        <f t="shared" si="2"/>
        <v>--</v>
      </c>
    </row>
    <row r="144" spans="2:5" x14ac:dyDescent="0.2">
      <c r="B144" s="38">
        <v>70.5</v>
      </c>
      <c r="C144" s="39">
        <v>10</v>
      </c>
      <c r="D144" s="41" t="s">
        <v>108</v>
      </c>
      <c r="E144" s="27" t="str">
        <f t="shared" si="2"/>
        <v>-</v>
      </c>
    </row>
    <row r="145" spans="2:5" x14ac:dyDescent="0.2">
      <c r="B145" s="38">
        <v>71</v>
      </c>
      <c r="C145" s="39">
        <v>10</v>
      </c>
      <c r="D145" s="41" t="s">
        <v>108</v>
      </c>
      <c r="E145" s="27" t="str">
        <f t="shared" si="2"/>
        <v/>
      </c>
    </row>
    <row r="146" spans="2:5" x14ac:dyDescent="0.2">
      <c r="B146" s="38">
        <v>71.5</v>
      </c>
      <c r="C146" s="39">
        <v>10</v>
      </c>
      <c r="D146" s="41" t="s">
        <v>108</v>
      </c>
      <c r="E146" s="27" t="str">
        <f t="shared" si="2"/>
        <v/>
      </c>
    </row>
    <row r="147" spans="2:5" x14ac:dyDescent="0.2">
      <c r="B147" s="38">
        <v>72</v>
      </c>
      <c r="C147" s="39">
        <v>10</v>
      </c>
      <c r="D147" s="41" t="s">
        <v>108</v>
      </c>
      <c r="E147" s="27" t="str">
        <f t="shared" si="2"/>
        <v/>
      </c>
    </row>
    <row r="148" spans="2:5" x14ac:dyDescent="0.2">
      <c r="B148" s="38">
        <v>72.5</v>
      </c>
      <c r="C148" s="39">
        <v>10</v>
      </c>
      <c r="D148" s="41" t="s">
        <v>108</v>
      </c>
      <c r="E148" s="27" t="str">
        <f t="shared" si="2"/>
        <v/>
      </c>
    </row>
    <row r="149" spans="2:5" x14ac:dyDescent="0.2">
      <c r="B149" s="38">
        <v>73</v>
      </c>
      <c r="C149" s="39">
        <v>10</v>
      </c>
      <c r="D149" s="40" t="s">
        <v>108</v>
      </c>
      <c r="E149" s="27" t="str">
        <f t="shared" si="2"/>
        <v/>
      </c>
    </row>
    <row r="150" spans="2:5" x14ac:dyDescent="0.2">
      <c r="B150" s="38">
        <v>73.5</v>
      </c>
      <c r="C150" s="39">
        <v>10</v>
      </c>
      <c r="D150" s="40" t="s">
        <v>108</v>
      </c>
      <c r="E150" s="27" t="str">
        <f t="shared" si="2"/>
        <v/>
      </c>
    </row>
    <row r="151" spans="2:5" x14ac:dyDescent="0.2">
      <c r="B151" s="38">
        <v>74</v>
      </c>
      <c r="C151" s="39">
        <v>10</v>
      </c>
      <c r="D151" s="40" t="s">
        <v>108</v>
      </c>
      <c r="E151" s="27" t="str">
        <f t="shared" si="2"/>
        <v>+</v>
      </c>
    </row>
    <row r="152" spans="2:5" x14ac:dyDescent="0.2">
      <c r="B152" s="38">
        <v>74.5</v>
      </c>
      <c r="C152" s="39">
        <v>10</v>
      </c>
      <c r="D152" s="40" t="s">
        <v>108</v>
      </c>
      <c r="E152" s="27" t="str">
        <f t="shared" si="2"/>
        <v>++</v>
      </c>
    </row>
    <row r="153" spans="2:5" x14ac:dyDescent="0.2">
      <c r="B153" s="38">
        <v>75</v>
      </c>
      <c r="C153" s="39">
        <v>11</v>
      </c>
      <c r="D153" s="40" t="s">
        <v>17</v>
      </c>
      <c r="E153" s="27" t="str">
        <f t="shared" si="2"/>
        <v>--</v>
      </c>
    </row>
    <row r="154" spans="2:5" x14ac:dyDescent="0.2">
      <c r="B154" s="38">
        <v>75.5</v>
      </c>
      <c r="C154" s="39">
        <v>11</v>
      </c>
      <c r="D154" s="40" t="s">
        <v>17</v>
      </c>
      <c r="E154" s="27" t="str">
        <f t="shared" si="2"/>
        <v>-</v>
      </c>
    </row>
    <row r="155" spans="2:5" x14ac:dyDescent="0.2">
      <c r="B155" s="38">
        <v>76</v>
      </c>
      <c r="C155" s="39">
        <v>11</v>
      </c>
      <c r="D155" s="40" t="s">
        <v>17</v>
      </c>
      <c r="E155" s="27" t="str">
        <f t="shared" si="2"/>
        <v/>
      </c>
    </row>
    <row r="156" spans="2:5" x14ac:dyDescent="0.2">
      <c r="B156" s="38">
        <v>76.5</v>
      </c>
      <c r="C156" s="39">
        <v>11</v>
      </c>
      <c r="D156" s="40" t="s">
        <v>17</v>
      </c>
      <c r="E156" s="27" t="str">
        <f t="shared" si="2"/>
        <v/>
      </c>
    </row>
    <row r="157" spans="2:5" x14ac:dyDescent="0.2">
      <c r="B157" s="38">
        <v>77</v>
      </c>
      <c r="C157" s="39">
        <v>11</v>
      </c>
      <c r="D157" s="40" t="s">
        <v>17</v>
      </c>
      <c r="E157" s="27" t="str">
        <f t="shared" si="2"/>
        <v/>
      </c>
    </row>
    <row r="158" spans="2:5" x14ac:dyDescent="0.2">
      <c r="B158" s="38">
        <v>77.5</v>
      </c>
      <c r="C158" s="39">
        <v>11</v>
      </c>
      <c r="D158" s="40" t="s">
        <v>17</v>
      </c>
      <c r="E158" s="27" t="str">
        <f t="shared" si="2"/>
        <v/>
      </c>
    </row>
    <row r="159" spans="2:5" x14ac:dyDescent="0.2">
      <c r="B159" s="38">
        <v>78</v>
      </c>
      <c r="C159" s="39">
        <v>11</v>
      </c>
      <c r="D159" s="40" t="s">
        <v>17</v>
      </c>
      <c r="E159" s="27" t="str">
        <f t="shared" si="2"/>
        <v/>
      </c>
    </row>
    <row r="160" spans="2:5" x14ac:dyDescent="0.2">
      <c r="B160" s="38">
        <v>78.5</v>
      </c>
      <c r="C160" s="39">
        <v>11</v>
      </c>
      <c r="D160" s="40" t="s">
        <v>17</v>
      </c>
      <c r="E160" s="27" t="str">
        <f t="shared" si="2"/>
        <v/>
      </c>
    </row>
    <row r="161" spans="2:5" x14ac:dyDescent="0.2">
      <c r="B161" s="38">
        <v>79</v>
      </c>
      <c r="C161" s="39">
        <v>11</v>
      </c>
      <c r="D161" s="42" t="s">
        <v>17</v>
      </c>
      <c r="E161" s="27" t="str">
        <f t="shared" si="2"/>
        <v>+</v>
      </c>
    </row>
    <row r="162" spans="2:5" x14ac:dyDescent="0.2">
      <c r="B162" s="38">
        <v>79.5</v>
      </c>
      <c r="C162" s="39">
        <v>11</v>
      </c>
      <c r="D162" s="42" t="s">
        <v>17</v>
      </c>
      <c r="E162" s="27" t="str">
        <f t="shared" si="2"/>
        <v>++</v>
      </c>
    </row>
    <row r="163" spans="2:5" x14ac:dyDescent="0.2">
      <c r="B163" s="38">
        <v>80</v>
      </c>
      <c r="C163" s="39">
        <v>12</v>
      </c>
      <c r="D163" s="42" t="s">
        <v>109</v>
      </c>
      <c r="E163" s="27" t="str">
        <f t="shared" si="2"/>
        <v>--</v>
      </c>
    </row>
    <row r="164" spans="2:5" x14ac:dyDescent="0.2">
      <c r="B164" s="38">
        <v>80.5</v>
      </c>
      <c r="C164" s="39">
        <v>12</v>
      </c>
      <c r="D164" s="42" t="s">
        <v>109</v>
      </c>
      <c r="E164" s="27" t="str">
        <f t="shared" si="2"/>
        <v>-</v>
      </c>
    </row>
    <row r="165" spans="2:5" x14ac:dyDescent="0.2">
      <c r="B165" s="38">
        <v>81</v>
      </c>
      <c r="C165" s="39">
        <v>12</v>
      </c>
      <c r="D165" s="42" t="s">
        <v>109</v>
      </c>
      <c r="E165" s="27" t="str">
        <f t="shared" si="2"/>
        <v/>
      </c>
    </row>
    <row r="166" spans="2:5" x14ac:dyDescent="0.2">
      <c r="B166" s="38">
        <v>81.5</v>
      </c>
      <c r="C166" s="39">
        <v>12</v>
      </c>
      <c r="D166" s="42" t="s">
        <v>109</v>
      </c>
      <c r="E166" s="27" t="str">
        <f t="shared" si="2"/>
        <v/>
      </c>
    </row>
    <row r="167" spans="2:5" x14ac:dyDescent="0.2">
      <c r="B167" s="38">
        <v>82</v>
      </c>
      <c r="C167" s="39">
        <v>12</v>
      </c>
      <c r="D167" s="42" t="s">
        <v>109</v>
      </c>
      <c r="E167" s="27" t="str">
        <f t="shared" si="2"/>
        <v/>
      </c>
    </row>
    <row r="168" spans="2:5" x14ac:dyDescent="0.2">
      <c r="B168" s="38">
        <v>82.5</v>
      </c>
      <c r="C168" s="39">
        <v>12</v>
      </c>
      <c r="D168" s="42" t="s">
        <v>109</v>
      </c>
      <c r="E168" s="27" t="str">
        <f t="shared" si="2"/>
        <v/>
      </c>
    </row>
    <row r="169" spans="2:5" x14ac:dyDescent="0.2">
      <c r="B169" s="38">
        <v>83</v>
      </c>
      <c r="C169" s="39">
        <v>12</v>
      </c>
      <c r="D169" s="42" t="s">
        <v>109</v>
      </c>
      <c r="E169" s="27" t="str">
        <f t="shared" si="2"/>
        <v/>
      </c>
    </row>
    <row r="170" spans="2:5" x14ac:dyDescent="0.2">
      <c r="B170" s="38">
        <v>83.5</v>
      </c>
      <c r="C170" s="39">
        <v>12</v>
      </c>
      <c r="D170" s="42" t="s">
        <v>109</v>
      </c>
      <c r="E170" s="27" t="str">
        <f t="shared" si="2"/>
        <v/>
      </c>
    </row>
    <row r="171" spans="2:5" x14ac:dyDescent="0.2">
      <c r="B171" s="38">
        <v>84</v>
      </c>
      <c r="C171" s="39">
        <v>12</v>
      </c>
      <c r="D171" s="42" t="s">
        <v>109</v>
      </c>
      <c r="E171" s="27" t="str">
        <f t="shared" si="2"/>
        <v>+</v>
      </c>
    </row>
    <row r="172" spans="2:5" x14ac:dyDescent="0.2">
      <c r="B172" s="38">
        <v>84.5</v>
      </c>
      <c r="C172" s="39">
        <v>12</v>
      </c>
      <c r="D172" s="42" t="s">
        <v>109</v>
      </c>
      <c r="E172" s="27" t="str">
        <f t="shared" si="2"/>
        <v>++</v>
      </c>
    </row>
    <row r="173" spans="2:5" x14ac:dyDescent="0.2">
      <c r="B173" s="38">
        <v>85</v>
      </c>
      <c r="C173" s="39">
        <v>13</v>
      </c>
      <c r="D173" s="41" t="s">
        <v>110</v>
      </c>
      <c r="E173" s="27" t="str">
        <f t="shared" si="2"/>
        <v>--</v>
      </c>
    </row>
    <row r="174" spans="2:5" x14ac:dyDescent="0.2">
      <c r="B174" s="38">
        <v>85.5</v>
      </c>
      <c r="C174" s="39">
        <v>13</v>
      </c>
      <c r="D174" s="41" t="s">
        <v>110</v>
      </c>
      <c r="E174" s="27" t="str">
        <f t="shared" si="2"/>
        <v>-</v>
      </c>
    </row>
    <row r="175" spans="2:5" x14ac:dyDescent="0.2">
      <c r="B175" s="38">
        <v>86</v>
      </c>
      <c r="C175" s="39">
        <v>13</v>
      </c>
      <c r="D175" s="41" t="s">
        <v>110</v>
      </c>
      <c r="E175" s="27" t="str">
        <f t="shared" si="2"/>
        <v/>
      </c>
    </row>
    <row r="176" spans="2:5" x14ac:dyDescent="0.2">
      <c r="B176" s="38">
        <v>86.5</v>
      </c>
      <c r="C176" s="39">
        <v>13</v>
      </c>
      <c r="D176" s="41" t="s">
        <v>110</v>
      </c>
      <c r="E176" s="27" t="str">
        <f t="shared" si="2"/>
        <v/>
      </c>
    </row>
    <row r="177" spans="2:5" x14ac:dyDescent="0.2">
      <c r="B177" s="38">
        <v>87</v>
      </c>
      <c r="C177" s="39">
        <v>13</v>
      </c>
      <c r="D177" s="41" t="s">
        <v>110</v>
      </c>
      <c r="E177" s="27" t="str">
        <f t="shared" si="2"/>
        <v/>
      </c>
    </row>
    <row r="178" spans="2:5" x14ac:dyDescent="0.2">
      <c r="B178" s="38">
        <v>87.5</v>
      </c>
      <c r="C178" s="39">
        <v>13</v>
      </c>
      <c r="D178" s="41" t="s">
        <v>110</v>
      </c>
      <c r="E178" s="27" t="str">
        <f t="shared" si="2"/>
        <v/>
      </c>
    </row>
    <row r="179" spans="2:5" x14ac:dyDescent="0.2">
      <c r="B179" s="38">
        <v>88</v>
      </c>
      <c r="C179" s="39">
        <v>13</v>
      </c>
      <c r="D179" s="41" t="s">
        <v>110</v>
      </c>
      <c r="E179" s="27" t="str">
        <f t="shared" si="2"/>
        <v/>
      </c>
    </row>
    <row r="180" spans="2:5" x14ac:dyDescent="0.2">
      <c r="B180" s="38">
        <v>88.5</v>
      </c>
      <c r="C180" s="39">
        <v>13</v>
      </c>
      <c r="D180" s="41" t="s">
        <v>110</v>
      </c>
      <c r="E180" s="27" t="str">
        <f t="shared" ref="E180:E244" si="3">IF(AND($C180=$C181,$C181&lt;$C182),"+",IF($C180&lt;$C181,"++",IF(AND($C180=$C179,$C179&gt;$C178),"-",IF($C180&gt;$C179,"--",""))))</f>
        <v/>
      </c>
    </row>
    <row r="181" spans="2:5" x14ac:dyDescent="0.2">
      <c r="B181" s="38">
        <v>89</v>
      </c>
      <c r="C181" s="39">
        <v>13</v>
      </c>
      <c r="D181" s="41" t="s">
        <v>110</v>
      </c>
      <c r="E181" s="27" t="str">
        <f t="shared" si="3"/>
        <v>+</v>
      </c>
    </row>
    <row r="182" spans="2:5" x14ac:dyDescent="0.2">
      <c r="B182" s="38">
        <v>89.5</v>
      </c>
      <c r="C182" s="39">
        <v>13</v>
      </c>
      <c r="D182" s="41" t="s">
        <v>110</v>
      </c>
      <c r="E182" s="27" t="str">
        <f t="shared" si="3"/>
        <v>++</v>
      </c>
    </row>
    <row r="183" spans="2:5" x14ac:dyDescent="0.2">
      <c r="B183" s="38">
        <v>90</v>
      </c>
      <c r="C183" s="39">
        <v>14</v>
      </c>
      <c r="D183" s="41" t="s">
        <v>19</v>
      </c>
      <c r="E183" s="27" t="str">
        <f t="shared" si="3"/>
        <v>--</v>
      </c>
    </row>
    <row r="184" spans="2:5" x14ac:dyDescent="0.2">
      <c r="B184" s="38">
        <v>90.5</v>
      </c>
      <c r="C184" s="39">
        <v>14</v>
      </c>
      <c r="D184" s="41" t="s">
        <v>19</v>
      </c>
      <c r="E184" s="27" t="str">
        <f t="shared" si="3"/>
        <v>-</v>
      </c>
    </row>
    <row r="185" spans="2:5" x14ac:dyDescent="0.2">
      <c r="B185" s="38">
        <v>91</v>
      </c>
      <c r="C185" s="39">
        <v>14</v>
      </c>
      <c r="D185" s="40" t="s">
        <v>19</v>
      </c>
      <c r="E185" s="27" t="str">
        <f t="shared" si="3"/>
        <v/>
      </c>
    </row>
    <row r="186" spans="2:5" x14ac:dyDescent="0.2">
      <c r="B186" s="38">
        <v>91.5</v>
      </c>
      <c r="C186" s="39">
        <v>14</v>
      </c>
      <c r="D186" s="40" t="s">
        <v>19</v>
      </c>
      <c r="E186" s="27" t="str">
        <f t="shared" si="3"/>
        <v/>
      </c>
    </row>
    <row r="187" spans="2:5" x14ac:dyDescent="0.2">
      <c r="B187" s="38">
        <v>92</v>
      </c>
      <c r="C187" s="39">
        <v>14</v>
      </c>
      <c r="D187" s="40" t="s">
        <v>19</v>
      </c>
      <c r="E187" s="27" t="str">
        <f t="shared" si="3"/>
        <v/>
      </c>
    </row>
    <row r="188" spans="2:5" x14ac:dyDescent="0.2">
      <c r="B188" s="38">
        <v>92.5</v>
      </c>
      <c r="C188" s="39">
        <v>14</v>
      </c>
      <c r="D188" s="40" t="s">
        <v>19</v>
      </c>
      <c r="E188" s="27" t="str">
        <f t="shared" si="3"/>
        <v/>
      </c>
    </row>
    <row r="189" spans="2:5" x14ac:dyDescent="0.2">
      <c r="B189" s="38">
        <v>93</v>
      </c>
      <c r="C189" s="39">
        <v>14</v>
      </c>
      <c r="D189" s="40" t="s">
        <v>19</v>
      </c>
      <c r="E189" s="27" t="str">
        <f t="shared" si="3"/>
        <v/>
      </c>
    </row>
    <row r="190" spans="2:5" x14ac:dyDescent="0.2">
      <c r="B190" s="38">
        <v>93.5</v>
      </c>
      <c r="C190" s="39">
        <v>14</v>
      </c>
      <c r="D190" s="40" t="s">
        <v>19</v>
      </c>
      <c r="E190" s="27" t="str">
        <f t="shared" si="3"/>
        <v/>
      </c>
    </row>
    <row r="191" spans="2:5" x14ac:dyDescent="0.2">
      <c r="B191" s="38">
        <v>94</v>
      </c>
      <c r="C191" s="39">
        <v>14</v>
      </c>
      <c r="D191" s="40" t="s">
        <v>19</v>
      </c>
      <c r="E191" s="27" t="str">
        <f t="shared" si="3"/>
        <v>+</v>
      </c>
    </row>
    <row r="192" spans="2:5" x14ac:dyDescent="0.2">
      <c r="B192" s="38">
        <v>94.5</v>
      </c>
      <c r="C192" s="39">
        <v>14</v>
      </c>
      <c r="D192" s="40" t="s">
        <v>19</v>
      </c>
      <c r="E192" s="27" t="str">
        <f t="shared" si="3"/>
        <v>++</v>
      </c>
    </row>
    <row r="193" spans="2:5" x14ac:dyDescent="0.2">
      <c r="B193" s="38">
        <v>95</v>
      </c>
      <c r="C193" s="39">
        <v>15</v>
      </c>
      <c r="D193" s="40" t="s">
        <v>111</v>
      </c>
      <c r="E193" s="27" t="str">
        <f t="shared" si="3"/>
        <v>--</v>
      </c>
    </row>
    <row r="194" spans="2:5" x14ac:dyDescent="0.2">
      <c r="B194" s="38">
        <v>95.5</v>
      </c>
      <c r="C194" s="39">
        <v>15</v>
      </c>
      <c r="D194" s="40" t="s">
        <v>111</v>
      </c>
      <c r="E194" s="27" t="str">
        <f t="shared" si="3"/>
        <v>-</v>
      </c>
    </row>
    <row r="195" spans="2:5" x14ac:dyDescent="0.2">
      <c r="B195" s="38">
        <v>96</v>
      </c>
      <c r="C195" s="39">
        <v>15</v>
      </c>
      <c r="D195" s="40" t="s">
        <v>111</v>
      </c>
      <c r="E195" s="27" t="str">
        <f t="shared" si="3"/>
        <v/>
      </c>
    </row>
    <row r="196" spans="2:5" x14ac:dyDescent="0.2">
      <c r="B196" s="38">
        <v>96.5</v>
      </c>
      <c r="C196" s="39">
        <v>15</v>
      </c>
      <c r="D196" s="42" t="s">
        <v>111</v>
      </c>
      <c r="E196" s="27" t="str">
        <f t="shared" si="3"/>
        <v/>
      </c>
    </row>
    <row r="197" spans="2:5" x14ac:dyDescent="0.2">
      <c r="B197" s="38">
        <v>97</v>
      </c>
      <c r="C197" s="39">
        <v>15</v>
      </c>
      <c r="D197" s="42" t="s">
        <v>111</v>
      </c>
      <c r="E197" s="27" t="str">
        <f t="shared" si="3"/>
        <v/>
      </c>
    </row>
    <row r="198" spans="2:5" x14ac:dyDescent="0.2">
      <c r="B198" s="38">
        <v>97.5</v>
      </c>
      <c r="C198" s="39">
        <v>15</v>
      </c>
      <c r="D198" s="42" t="s">
        <v>111</v>
      </c>
      <c r="E198" s="27" t="str">
        <f t="shared" si="3"/>
        <v/>
      </c>
    </row>
    <row r="199" spans="2:5" x14ac:dyDescent="0.2">
      <c r="B199" s="38">
        <v>98</v>
      </c>
      <c r="C199" s="39">
        <v>15</v>
      </c>
      <c r="D199" s="42" t="s">
        <v>111</v>
      </c>
      <c r="E199" s="27" t="str">
        <f t="shared" si="3"/>
        <v/>
      </c>
    </row>
    <row r="200" spans="2:5" x14ac:dyDescent="0.2">
      <c r="B200" s="38">
        <v>98.5</v>
      </c>
      <c r="C200" s="39">
        <v>15</v>
      </c>
      <c r="D200" s="42" t="s">
        <v>111</v>
      </c>
      <c r="E200" s="27" t="str">
        <f t="shared" si="3"/>
        <v/>
      </c>
    </row>
    <row r="201" spans="2:5" x14ac:dyDescent="0.2">
      <c r="B201" s="38">
        <v>99</v>
      </c>
      <c r="C201" s="39">
        <v>15</v>
      </c>
      <c r="D201" s="42" t="s">
        <v>111</v>
      </c>
      <c r="E201" s="27" t="str">
        <f t="shared" si="3"/>
        <v/>
      </c>
    </row>
    <row r="202" spans="2:5" x14ac:dyDescent="0.2">
      <c r="B202" s="38">
        <v>99.5</v>
      </c>
      <c r="C202" s="39">
        <v>15</v>
      </c>
      <c r="D202" s="42" t="s">
        <v>111</v>
      </c>
      <c r="E202" s="27" t="str">
        <f t="shared" si="3"/>
        <v/>
      </c>
    </row>
    <row r="203" spans="2:5" x14ac:dyDescent="0.2">
      <c r="B203" s="38">
        <v>100</v>
      </c>
      <c r="C203" s="39">
        <v>15</v>
      </c>
      <c r="D203" s="42" t="s">
        <v>111</v>
      </c>
      <c r="E203" s="27" t="str">
        <f t="shared" si="3"/>
        <v/>
      </c>
    </row>
    <row r="204" spans="2:5" x14ac:dyDescent="0.2">
      <c r="B204" s="38"/>
      <c r="C204" s="39"/>
      <c r="D204" s="42"/>
      <c r="E204" s="27" t="str">
        <f t="shared" si="3"/>
        <v/>
      </c>
    </row>
    <row r="205" spans="2:5" x14ac:dyDescent="0.2">
      <c r="B205" s="38"/>
      <c r="C205" s="39"/>
      <c r="D205" s="42"/>
      <c r="E205" s="27" t="str">
        <f t="shared" si="3"/>
        <v/>
      </c>
    </row>
    <row r="206" spans="2:5" x14ac:dyDescent="0.2">
      <c r="B206" s="38"/>
      <c r="C206" s="39"/>
      <c r="D206" s="42"/>
      <c r="E206" s="27" t="str">
        <f t="shared" si="3"/>
        <v/>
      </c>
    </row>
    <row r="207" spans="2:5" x14ac:dyDescent="0.2">
      <c r="B207" s="38"/>
      <c r="C207" s="39"/>
      <c r="D207" s="42"/>
      <c r="E207" s="27" t="str">
        <f t="shared" si="3"/>
        <v/>
      </c>
    </row>
    <row r="208" spans="2:5" x14ac:dyDescent="0.2">
      <c r="B208" s="38"/>
      <c r="C208" s="39"/>
      <c r="D208" s="42"/>
      <c r="E208" s="27" t="str">
        <f t="shared" si="3"/>
        <v/>
      </c>
    </row>
    <row r="209" spans="2:5" x14ac:dyDescent="0.2">
      <c r="B209" s="38"/>
      <c r="C209" s="39"/>
      <c r="D209" s="41"/>
      <c r="E209" s="27" t="str">
        <f t="shared" si="3"/>
        <v/>
      </c>
    </row>
    <row r="210" spans="2:5" x14ac:dyDescent="0.2">
      <c r="B210" s="38"/>
      <c r="C210" s="39"/>
      <c r="D210" s="41"/>
      <c r="E210" s="27" t="str">
        <f t="shared" si="3"/>
        <v/>
      </c>
    </row>
    <row r="211" spans="2:5" x14ac:dyDescent="0.2">
      <c r="B211" s="38"/>
      <c r="C211" s="39"/>
      <c r="D211" s="41"/>
      <c r="E211" s="27" t="str">
        <f t="shared" si="3"/>
        <v/>
      </c>
    </row>
    <row r="212" spans="2:5" x14ac:dyDescent="0.2">
      <c r="B212" s="38"/>
      <c r="C212" s="39"/>
      <c r="D212" s="41"/>
      <c r="E212" s="27" t="str">
        <f t="shared" si="3"/>
        <v/>
      </c>
    </row>
    <row r="213" spans="2:5" x14ac:dyDescent="0.2">
      <c r="B213" s="38"/>
      <c r="C213" s="39"/>
      <c r="D213" s="41"/>
      <c r="E213" s="27" t="str">
        <f t="shared" si="3"/>
        <v/>
      </c>
    </row>
    <row r="214" spans="2:5" x14ac:dyDescent="0.2">
      <c r="B214" s="38"/>
      <c r="C214" s="39"/>
      <c r="D214" s="41"/>
      <c r="E214" s="27" t="str">
        <f t="shared" si="3"/>
        <v/>
      </c>
    </row>
    <row r="215" spans="2:5" x14ac:dyDescent="0.2">
      <c r="B215" s="38"/>
      <c r="C215" s="39"/>
      <c r="D215" s="41"/>
      <c r="E215" s="27" t="str">
        <f t="shared" si="3"/>
        <v/>
      </c>
    </row>
    <row r="216" spans="2:5" x14ac:dyDescent="0.2">
      <c r="B216" s="38"/>
      <c r="C216" s="39"/>
      <c r="D216" s="41"/>
      <c r="E216" s="27" t="str">
        <f t="shared" si="3"/>
        <v/>
      </c>
    </row>
    <row r="217" spans="2:5" x14ac:dyDescent="0.2">
      <c r="B217" s="38"/>
      <c r="C217" s="39"/>
      <c r="D217" s="41"/>
      <c r="E217" s="27" t="str">
        <f t="shared" si="3"/>
        <v/>
      </c>
    </row>
    <row r="218" spans="2:5" x14ac:dyDescent="0.2">
      <c r="B218" s="38"/>
      <c r="C218" s="39"/>
      <c r="D218" s="41"/>
      <c r="E218" s="27" t="str">
        <f t="shared" si="3"/>
        <v/>
      </c>
    </row>
    <row r="219" spans="2:5" x14ac:dyDescent="0.2">
      <c r="B219" s="38"/>
      <c r="C219" s="39"/>
      <c r="D219" s="41"/>
      <c r="E219" s="27" t="str">
        <f t="shared" si="3"/>
        <v/>
      </c>
    </row>
    <row r="220" spans="2:5" x14ac:dyDescent="0.2">
      <c r="B220" s="38"/>
      <c r="C220" s="39"/>
      <c r="D220" s="41"/>
      <c r="E220" s="27" t="str">
        <f t="shared" si="3"/>
        <v/>
      </c>
    </row>
    <row r="221" spans="2:5" x14ac:dyDescent="0.2">
      <c r="B221" s="38"/>
      <c r="C221" s="39"/>
      <c r="D221" s="40"/>
      <c r="E221" s="27" t="str">
        <f t="shared" si="3"/>
        <v/>
      </c>
    </row>
    <row r="222" spans="2:5" x14ac:dyDescent="0.2">
      <c r="B222" s="38"/>
      <c r="C222" s="39"/>
      <c r="D222" s="40"/>
      <c r="E222" s="27" t="str">
        <f t="shared" si="3"/>
        <v/>
      </c>
    </row>
    <row r="223" spans="2:5" x14ac:dyDescent="0.2">
      <c r="B223" s="38"/>
      <c r="C223" s="39"/>
      <c r="D223" s="40"/>
      <c r="E223" s="27" t="str">
        <f t="shared" si="3"/>
        <v/>
      </c>
    </row>
    <row r="224" spans="2:5" x14ac:dyDescent="0.2">
      <c r="B224" s="38"/>
      <c r="C224" s="39"/>
      <c r="D224" s="40"/>
      <c r="E224" s="27" t="str">
        <f t="shared" si="3"/>
        <v/>
      </c>
    </row>
    <row r="225" spans="2:5" x14ac:dyDescent="0.2">
      <c r="B225" s="38"/>
      <c r="C225" s="39"/>
      <c r="D225" s="40"/>
      <c r="E225" s="27" t="str">
        <f t="shared" si="3"/>
        <v/>
      </c>
    </row>
    <row r="226" spans="2:5" x14ac:dyDescent="0.2">
      <c r="B226" s="38"/>
      <c r="C226" s="39"/>
      <c r="D226" s="40"/>
      <c r="E226" s="27" t="str">
        <f t="shared" si="3"/>
        <v/>
      </c>
    </row>
    <row r="227" spans="2:5" x14ac:dyDescent="0.2">
      <c r="B227" s="38"/>
      <c r="C227" s="39"/>
      <c r="D227" s="40"/>
      <c r="E227" s="27" t="str">
        <f t="shared" si="3"/>
        <v/>
      </c>
    </row>
    <row r="228" spans="2:5" x14ac:dyDescent="0.2">
      <c r="B228" s="38"/>
      <c r="C228" s="39"/>
      <c r="D228" s="40"/>
      <c r="E228" s="27" t="str">
        <f t="shared" si="3"/>
        <v/>
      </c>
    </row>
    <row r="229" spans="2:5" x14ac:dyDescent="0.2">
      <c r="B229" s="38"/>
      <c r="C229" s="39"/>
      <c r="D229" s="40"/>
      <c r="E229" s="27" t="str">
        <f t="shared" si="3"/>
        <v/>
      </c>
    </row>
    <row r="230" spans="2:5" x14ac:dyDescent="0.2">
      <c r="B230" s="38"/>
      <c r="C230" s="39"/>
      <c r="D230" s="40"/>
      <c r="E230" s="27" t="str">
        <f t="shared" si="3"/>
        <v/>
      </c>
    </row>
    <row r="231" spans="2:5" x14ac:dyDescent="0.2">
      <c r="B231" s="38"/>
      <c r="C231" s="39"/>
      <c r="D231" s="40"/>
      <c r="E231" s="27" t="str">
        <f t="shared" si="3"/>
        <v/>
      </c>
    </row>
    <row r="232" spans="2:5" x14ac:dyDescent="0.2">
      <c r="B232" s="38"/>
      <c r="C232" s="39"/>
      <c r="D232" s="40"/>
      <c r="E232" s="27" t="str">
        <f t="shared" si="3"/>
        <v/>
      </c>
    </row>
    <row r="233" spans="2:5" x14ac:dyDescent="0.2">
      <c r="B233" s="38"/>
      <c r="C233" s="39"/>
      <c r="D233" s="42"/>
      <c r="E233" s="27" t="str">
        <f t="shared" si="3"/>
        <v/>
      </c>
    </row>
    <row r="234" spans="2:5" x14ac:dyDescent="0.2">
      <c r="B234" s="38"/>
      <c r="C234" s="39"/>
      <c r="D234" s="42"/>
      <c r="E234" s="27" t="str">
        <f t="shared" si="3"/>
        <v/>
      </c>
    </row>
    <row r="235" spans="2:5" x14ac:dyDescent="0.2">
      <c r="B235" s="38"/>
      <c r="C235" s="39"/>
      <c r="D235" s="42"/>
      <c r="E235" s="27" t="str">
        <f t="shared" si="3"/>
        <v/>
      </c>
    </row>
    <row r="236" spans="2:5" x14ac:dyDescent="0.2">
      <c r="B236" s="38"/>
      <c r="C236" s="39"/>
      <c r="D236" s="42"/>
      <c r="E236" s="27" t="str">
        <f t="shared" si="3"/>
        <v/>
      </c>
    </row>
    <row r="237" spans="2:5" x14ac:dyDescent="0.2">
      <c r="B237" s="38"/>
      <c r="C237" s="39"/>
      <c r="D237" s="42"/>
      <c r="E237" s="27" t="str">
        <f t="shared" si="3"/>
        <v/>
      </c>
    </row>
    <row r="238" spans="2:5" x14ac:dyDescent="0.2">
      <c r="B238" s="38"/>
      <c r="C238" s="39"/>
      <c r="D238" s="42"/>
      <c r="E238" s="27" t="str">
        <f t="shared" si="3"/>
        <v/>
      </c>
    </row>
    <row r="239" spans="2:5" x14ac:dyDescent="0.2">
      <c r="B239" s="38"/>
      <c r="C239" s="39"/>
      <c r="D239" s="42"/>
      <c r="E239" s="27" t="str">
        <f t="shared" si="3"/>
        <v/>
      </c>
    </row>
    <row r="240" spans="2:5" x14ac:dyDescent="0.2">
      <c r="B240" s="38"/>
      <c r="C240" s="39"/>
      <c r="D240" s="42"/>
      <c r="E240" s="27" t="str">
        <f t="shared" si="3"/>
        <v/>
      </c>
    </row>
    <row r="241" spans="2:5" x14ac:dyDescent="0.2">
      <c r="B241" s="38"/>
      <c r="C241" s="39"/>
      <c r="D241" s="42"/>
      <c r="E241" s="27" t="str">
        <f t="shared" si="3"/>
        <v/>
      </c>
    </row>
    <row r="242" spans="2:5" x14ac:dyDescent="0.2">
      <c r="B242" s="38"/>
      <c r="C242" s="39"/>
      <c r="D242" s="42"/>
      <c r="E242" s="27" t="str">
        <f t="shared" si="3"/>
        <v/>
      </c>
    </row>
    <row r="243" spans="2:5" x14ac:dyDescent="0.2">
      <c r="B243" s="38"/>
      <c r="C243" s="39"/>
      <c r="D243" s="42"/>
      <c r="E243" s="27" t="str">
        <f t="shared" si="3"/>
        <v/>
      </c>
    </row>
    <row r="244" spans="2:5" x14ac:dyDescent="0.2">
      <c r="B244" s="38"/>
      <c r="C244" s="43"/>
      <c r="D244" s="44"/>
      <c r="E244" s="27" t="str">
        <f t="shared" si="3"/>
        <v/>
      </c>
    </row>
    <row r="245" spans="2:5" x14ac:dyDescent="0.2">
      <c r="B245" s="38"/>
      <c r="C245" s="43"/>
      <c r="D245" s="44"/>
      <c r="E245" s="27" t="str">
        <f t="shared" ref="E245:E293" si="4">IF(AND($C245=$C246,$C246&lt;$C247),"+",IF($C245&lt;$C246,"++",IF(AND($C245=$C244,$C244&gt;$C243),"-",IF($C245&gt;$C244,"--",""))))</f>
        <v/>
      </c>
    </row>
    <row r="246" spans="2:5" x14ac:dyDescent="0.2">
      <c r="B246" s="38"/>
      <c r="C246" s="43"/>
      <c r="D246" s="44"/>
      <c r="E246" s="27" t="str">
        <f t="shared" si="4"/>
        <v/>
      </c>
    </row>
    <row r="247" spans="2:5" x14ac:dyDescent="0.2">
      <c r="B247" s="38"/>
      <c r="C247" s="43"/>
      <c r="D247" s="44"/>
      <c r="E247" s="27" t="str">
        <f t="shared" si="4"/>
        <v/>
      </c>
    </row>
    <row r="248" spans="2:5" x14ac:dyDescent="0.2">
      <c r="B248" s="38"/>
      <c r="C248" s="43"/>
      <c r="D248" s="44"/>
      <c r="E248" s="27" t="str">
        <f t="shared" si="4"/>
        <v/>
      </c>
    </row>
    <row r="249" spans="2:5" x14ac:dyDescent="0.2">
      <c r="B249" s="38"/>
      <c r="C249" s="43"/>
      <c r="D249" s="44"/>
      <c r="E249" s="27" t="str">
        <f t="shared" si="4"/>
        <v/>
      </c>
    </row>
    <row r="250" spans="2:5" x14ac:dyDescent="0.2">
      <c r="B250" s="38"/>
      <c r="C250" s="43"/>
      <c r="D250" s="44"/>
      <c r="E250" s="27" t="str">
        <f t="shared" si="4"/>
        <v/>
      </c>
    </row>
    <row r="251" spans="2:5" x14ac:dyDescent="0.2">
      <c r="B251" s="38"/>
      <c r="C251" s="43"/>
      <c r="D251" s="44"/>
      <c r="E251" s="27" t="str">
        <f t="shared" si="4"/>
        <v/>
      </c>
    </row>
    <row r="252" spans="2:5" x14ac:dyDescent="0.2">
      <c r="B252" s="38"/>
      <c r="C252" s="43"/>
      <c r="D252" s="44"/>
      <c r="E252" s="27" t="str">
        <f t="shared" si="4"/>
        <v/>
      </c>
    </row>
    <row r="253" spans="2:5" x14ac:dyDescent="0.2">
      <c r="B253" s="38"/>
      <c r="C253" s="43"/>
      <c r="D253" s="44"/>
      <c r="E253" s="27" t="str">
        <f t="shared" si="4"/>
        <v/>
      </c>
    </row>
    <row r="254" spans="2:5" x14ac:dyDescent="0.2">
      <c r="B254" s="38"/>
      <c r="C254" s="43"/>
      <c r="D254" s="44"/>
      <c r="E254" s="27" t="str">
        <f t="shared" si="4"/>
        <v/>
      </c>
    </row>
    <row r="255" spans="2:5" x14ac:dyDescent="0.2">
      <c r="B255" s="38"/>
      <c r="C255" s="43"/>
      <c r="D255" s="44"/>
      <c r="E255" s="27" t="str">
        <f t="shared" si="4"/>
        <v/>
      </c>
    </row>
    <row r="256" spans="2:5" x14ac:dyDescent="0.2">
      <c r="B256" s="38"/>
      <c r="C256" s="43"/>
      <c r="D256" s="44"/>
      <c r="E256" s="27" t="str">
        <f t="shared" si="4"/>
        <v/>
      </c>
    </row>
    <row r="257" spans="2:5" x14ac:dyDescent="0.2">
      <c r="B257" s="38"/>
      <c r="C257" s="43"/>
      <c r="D257" s="44"/>
      <c r="E257" s="27" t="str">
        <f t="shared" si="4"/>
        <v/>
      </c>
    </row>
    <row r="258" spans="2:5" x14ac:dyDescent="0.2">
      <c r="B258" s="38"/>
      <c r="C258" s="43"/>
      <c r="D258" s="44"/>
      <c r="E258" s="27" t="str">
        <f t="shared" si="4"/>
        <v/>
      </c>
    </row>
    <row r="259" spans="2:5" x14ac:dyDescent="0.2">
      <c r="B259" s="38"/>
      <c r="C259" s="43"/>
      <c r="D259" s="44"/>
      <c r="E259" s="27" t="str">
        <f t="shared" si="4"/>
        <v/>
      </c>
    </row>
    <row r="260" spans="2:5" x14ac:dyDescent="0.2">
      <c r="B260" s="38"/>
      <c r="C260" s="43"/>
      <c r="D260" s="44"/>
      <c r="E260" s="27" t="str">
        <f t="shared" si="4"/>
        <v/>
      </c>
    </row>
    <row r="261" spans="2:5" x14ac:dyDescent="0.2">
      <c r="B261" s="38"/>
      <c r="C261" s="43"/>
      <c r="D261" s="44"/>
      <c r="E261" s="27" t="str">
        <f t="shared" si="4"/>
        <v/>
      </c>
    </row>
    <row r="262" spans="2:5" x14ac:dyDescent="0.2">
      <c r="B262" s="38"/>
      <c r="C262" s="43"/>
      <c r="D262" s="44"/>
      <c r="E262" s="27" t="str">
        <f t="shared" si="4"/>
        <v/>
      </c>
    </row>
    <row r="263" spans="2:5" x14ac:dyDescent="0.2">
      <c r="B263" s="38"/>
      <c r="C263" s="43"/>
      <c r="D263" s="44"/>
      <c r="E263" s="27" t="str">
        <f t="shared" si="4"/>
        <v/>
      </c>
    </row>
    <row r="264" spans="2:5" x14ac:dyDescent="0.2">
      <c r="B264" s="38"/>
      <c r="C264" s="43"/>
      <c r="D264" s="44"/>
      <c r="E264" s="27" t="str">
        <f t="shared" si="4"/>
        <v/>
      </c>
    </row>
    <row r="265" spans="2:5" x14ac:dyDescent="0.2">
      <c r="B265" s="38"/>
      <c r="C265" s="43"/>
      <c r="D265" s="44"/>
      <c r="E265" s="27" t="str">
        <f t="shared" si="4"/>
        <v/>
      </c>
    </row>
    <row r="266" spans="2:5" x14ac:dyDescent="0.2">
      <c r="B266" s="38"/>
      <c r="C266" s="43"/>
      <c r="D266" s="44"/>
      <c r="E266" s="27" t="str">
        <f t="shared" si="4"/>
        <v/>
      </c>
    </row>
    <row r="267" spans="2:5" x14ac:dyDescent="0.2">
      <c r="B267" s="38"/>
      <c r="C267" s="43"/>
      <c r="D267" s="44"/>
      <c r="E267" s="27" t="str">
        <f t="shared" si="4"/>
        <v/>
      </c>
    </row>
    <row r="268" spans="2:5" x14ac:dyDescent="0.2">
      <c r="B268" s="38"/>
      <c r="C268" s="43"/>
      <c r="D268" s="44"/>
      <c r="E268" s="27" t="str">
        <f t="shared" si="4"/>
        <v/>
      </c>
    </row>
    <row r="269" spans="2:5" x14ac:dyDescent="0.2">
      <c r="B269" s="38"/>
      <c r="C269" s="43"/>
      <c r="D269" s="44"/>
      <c r="E269" s="27" t="str">
        <f t="shared" si="4"/>
        <v/>
      </c>
    </row>
    <row r="270" spans="2:5" x14ac:dyDescent="0.2">
      <c r="B270" s="38"/>
      <c r="C270" s="43"/>
      <c r="D270" s="44"/>
      <c r="E270" s="27" t="str">
        <f t="shared" si="4"/>
        <v/>
      </c>
    </row>
    <row r="271" spans="2:5" x14ac:dyDescent="0.2">
      <c r="B271" s="38"/>
      <c r="C271" s="43"/>
      <c r="D271" s="44"/>
      <c r="E271" s="27" t="str">
        <f t="shared" si="4"/>
        <v/>
      </c>
    </row>
    <row r="272" spans="2:5" x14ac:dyDescent="0.2">
      <c r="B272" s="38"/>
      <c r="C272" s="43"/>
      <c r="D272" s="44"/>
      <c r="E272" s="27" t="str">
        <f t="shared" si="4"/>
        <v/>
      </c>
    </row>
    <row r="273" spans="2:5" x14ac:dyDescent="0.2">
      <c r="B273" s="38"/>
      <c r="C273" s="43"/>
      <c r="D273" s="44"/>
      <c r="E273" s="27" t="str">
        <f t="shared" si="4"/>
        <v/>
      </c>
    </row>
    <row r="274" spans="2:5" x14ac:dyDescent="0.2">
      <c r="B274" s="38"/>
      <c r="C274" s="43"/>
      <c r="D274" s="44"/>
      <c r="E274" s="27" t="str">
        <f t="shared" si="4"/>
        <v/>
      </c>
    </row>
    <row r="275" spans="2:5" x14ac:dyDescent="0.2">
      <c r="B275" s="38"/>
      <c r="C275" s="43"/>
      <c r="D275" s="44"/>
      <c r="E275" s="27" t="str">
        <f t="shared" si="4"/>
        <v/>
      </c>
    </row>
    <row r="276" spans="2:5" x14ac:dyDescent="0.2">
      <c r="B276" s="38"/>
      <c r="C276" s="43"/>
      <c r="D276" s="44"/>
      <c r="E276" s="27" t="str">
        <f t="shared" si="4"/>
        <v/>
      </c>
    </row>
    <row r="277" spans="2:5" x14ac:dyDescent="0.2">
      <c r="B277" s="38"/>
      <c r="C277" s="43"/>
      <c r="D277" s="44"/>
      <c r="E277" s="27" t="str">
        <f t="shared" si="4"/>
        <v/>
      </c>
    </row>
    <row r="278" spans="2:5" x14ac:dyDescent="0.2">
      <c r="B278" s="38"/>
      <c r="C278" s="43"/>
      <c r="D278" s="44"/>
      <c r="E278" s="27" t="str">
        <f t="shared" si="4"/>
        <v/>
      </c>
    </row>
    <row r="279" spans="2:5" x14ac:dyDescent="0.2">
      <c r="B279" s="38"/>
      <c r="C279" s="43"/>
      <c r="D279" s="44"/>
      <c r="E279" s="27" t="str">
        <f t="shared" si="4"/>
        <v/>
      </c>
    </row>
    <row r="280" spans="2:5" x14ac:dyDescent="0.2">
      <c r="B280" s="38"/>
      <c r="C280" s="43"/>
      <c r="D280" s="44"/>
      <c r="E280" s="27" t="str">
        <f t="shared" si="4"/>
        <v/>
      </c>
    </row>
    <row r="281" spans="2:5" x14ac:dyDescent="0.2">
      <c r="B281" s="38"/>
      <c r="C281" s="43"/>
      <c r="D281" s="44"/>
      <c r="E281" s="27" t="str">
        <f t="shared" si="4"/>
        <v/>
      </c>
    </row>
    <row r="282" spans="2:5" x14ac:dyDescent="0.2">
      <c r="B282" s="38"/>
      <c r="C282" s="43"/>
      <c r="D282" s="44"/>
      <c r="E282" s="27" t="str">
        <f t="shared" si="4"/>
        <v/>
      </c>
    </row>
    <row r="283" spans="2:5" x14ac:dyDescent="0.2">
      <c r="B283" s="38"/>
      <c r="C283" s="43"/>
      <c r="D283" s="44"/>
      <c r="E283" s="27" t="str">
        <f t="shared" si="4"/>
        <v/>
      </c>
    </row>
    <row r="284" spans="2:5" x14ac:dyDescent="0.2">
      <c r="B284" s="38"/>
      <c r="C284" s="43"/>
      <c r="D284" s="44"/>
      <c r="E284" s="27" t="str">
        <f t="shared" si="4"/>
        <v/>
      </c>
    </row>
    <row r="285" spans="2:5" x14ac:dyDescent="0.2">
      <c r="B285" s="38"/>
      <c r="C285" s="43"/>
      <c r="D285" s="44"/>
      <c r="E285" s="27" t="str">
        <f t="shared" si="4"/>
        <v/>
      </c>
    </row>
    <row r="286" spans="2:5" x14ac:dyDescent="0.2">
      <c r="B286" s="38"/>
      <c r="C286" s="43"/>
      <c r="D286" s="44"/>
      <c r="E286" s="27" t="str">
        <f t="shared" si="4"/>
        <v/>
      </c>
    </row>
    <row r="287" spans="2:5" x14ac:dyDescent="0.2">
      <c r="B287" s="38"/>
      <c r="C287" s="43"/>
      <c r="D287" s="44"/>
      <c r="E287" s="27" t="str">
        <f t="shared" si="4"/>
        <v/>
      </c>
    </row>
    <row r="288" spans="2:5" x14ac:dyDescent="0.2">
      <c r="B288" s="38"/>
      <c r="C288" s="43"/>
      <c r="D288" s="44"/>
      <c r="E288" s="27" t="str">
        <f t="shared" si="4"/>
        <v/>
      </c>
    </row>
    <row r="289" spans="2:5" x14ac:dyDescent="0.2">
      <c r="B289" s="38"/>
      <c r="C289" s="43"/>
      <c r="D289" s="44"/>
      <c r="E289" s="27" t="str">
        <f t="shared" si="4"/>
        <v/>
      </c>
    </row>
    <row r="290" spans="2:5" x14ac:dyDescent="0.2">
      <c r="B290" s="38"/>
      <c r="C290" s="43"/>
      <c r="D290" s="44"/>
      <c r="E290" s="27" t="str">
        <f t="shared" si="4"/>
        <v/>
      </c>
    </row>
    <row r="291" spans="2:5" x14ac:dyDescent="0.2">
      <c r="B291" s="38"/>
      <c r="C291" s="43"/>
      <c r="D291" s="44"/>
      <c r="E291" s="27" t="str">
        <f t="shared" si="4"/>
        <v/>
      </c>
    </row>
    <row r="292" spans="2:5" x14ac:dyDescent="0.2">
      <c r="B292" s="38"/>
      <c r="C292" s="43"/>
      <c r="D292" s="44"/>
      <c r="E292" s="27" t="str">
        <f t="shared" si="4"/>
        <v/>
      </c>
    </row>
    <row r="293" spans="2:5" x14ac:dyDescent="0.2">
      <c r="B293" s="38"/>
      <c r="C293" s="43"/>
      <c r="D293" s="44"/>
      <c r="E293" s="27" t="str">
        <f t="shared" si="4"/>
        <v/>
      </c>
    </row>
    <row r="294" spans="2:5" x14ac:dyDescent="0.2">
      <c r="B294" s="38"/>
      <c r="C294" s="43"/>
      <c r="D294" s="44"/>
    </row>
    <row r="295" spans="2:5" x14ac:dyDescent="0.2">
      <c r="B295" s="38"/>
      <c r="C295" s="43"/>
      <c r="D295" s="44"/>
    </row>
    <row r="296" spans="2:5" x14ac:dyDescent="0.2">
      <c r="B296" s="38"/>
      <c r="C296" s="43"/>
      <c r="D296" s="44"/>
    </row>
    <row r="297" spans="2:5" x14ac:dyDescent="0.2">
      <c r="B297" s="38"/>
      <c r="C297" s="43"/>
      <c r="D297" s="44"/>
    </row>
    <row r="298" spans="2:5" x14ac:dyDescent="0.2">
      <c r="B298" s="38"/>
      <c r="C298" s="43"/>
      <c r="D298" s="44"/>
    </row>
    <row r="299" spans="2:5" x14ac:dyDescent="0.2">
      <c r="B299" s="38"/>
      <c r="C299" s="43"/>
      <c r="D299" s="44"/>
    </row>
    <row r="300" spans="2:5" x14ac:dyDescent="0.2">
      <c r="B300" s="38"/>
      <c r="C300" s="43"/>
      <c r="D300" s="44"/>
    </row>
    <row r="301" spans="2:5" x14ac:dyDescent="0.2">
      <c r="B301" s="38"/>
      <c r="C301" s="43"/>
      <c r="D301" s="44"/>
    </row>
    <row r="302" spans="2:5" ht="13.5" thickBot="1" x14ac:dyDescent="0.25">
      <c r="B302" s="45"/>
      <c r="C302" s="46"/>
      <c r="D302" s="47"/>
    </row>
  </sheetData>
  <sheetProtection selectLockedCells="1"/>
  <mergeCells count="1">
    <mergeCell ref="G2:L14"/>
  </mergeCells>
  <phoneticPr fontId="10" type="noConversion"/>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267"/>
  <dimension ref="A1:L195"/>
  <sheetViews>
    <sheetView topLeftCell="A154" zoomScaleNormal="100" workbookViewId="0">
      <selection activeCell="A173" sqref="A173:E195"/>
    </sheetView>
  </sheetViews>
  <sheetFormatPr baseColWidth="10" defaultColWidth="11.42578125" defaultRowHeight="12.75" x14ac:dyDescent="0.2"/>
  <cols>
    <col min="1" max="16384" width="11.42578125" style="61"/>
  </cols>
  <sheetData>
    <row r="1" spans="1:6" x14ac:dyDescent="0.2">
      <c r="A1" s="61">
        <v>0.5</v>
      </c>
      <c r="B1" s="61">
        <v>2</v>
      </c>
      <c r="C1" s="61">
        <v>1.5</v>
      </c>
      <c r="D1" s="61">
        <v>2.5</v>
      </c>
      <c r="E1" s="61">
        <v>3</v>
      </c>
      <c r="F1" s="61">
        <v>2</v>
      </c>
    </row>
    <row r="2" spans="1:6" x14ac:dyDescent="0.2">
      <c r="A2" s="61">
        <v>1.5</v>
      </c>
      <c r="B2" s="61">
        <v>2</v>
      </c>
      <c r="C2" s="61">
        <v>0.5</v>
      </c>
      <c r="D2" s="61">
        <v>1</v>
      </c>
      <c r="E2" s="61">
        <v>2</v>
      </c>
      <c r="F2" s="61">
        <v>2</v>
      </c>
    </row>
    <row r="3" spans="1:6" x14ac:dyDescent="0.2">
      <c r="A3" s="61">
        <v>0.5</v>
      </c>
      <c r="B3" s="61">
        <v>1.5</v>
      </c>
      <c r="C3" s="61">
        <v>1.5</v>
      </c>
      <c r="D3" s="61">
        <v>3</v>
      </c>
      <c r="E3" s="61">
        <v>3</v>
      </c>
      <c r="F3" s="61">
        <v>1</v>
      </c>
    </row>
    <row r="4" spans="1:6" x14ac:dyDescent="0.2">
      <c r="A4" s="61">
        <v>2</v>
      </c>
      <c r="B4" s="61">
        <v>2</v>
      </c>
      <c r="C4" s="61">
        <v>1</v>
      </c>
      <c r="D4" s="61">
        <v>3</v>
      </c>
      <c r="E4" s="61">
        <v>2.5</v>
      </c>
      <c r="F4" s="61">
        <v>2</v>
      </c>
    </row>
    <row r="5" spans="1:6" x14ac:dyDescent="0.2">
      <c r="A5" s="61">
        <v>2</v>
      </c>
      <c r="B5" s="61">
        <v>2</v>
      </c>
      <c r="C5" s="61">
        <v>2.5</v>
      </c>
      <c r="D5" s="61">
        <v>3</v>
      </c>
      <c r="E5" s="61">
        <v>2.5</v>
      </c>
      <c r="F5" s="61">
        <v>2</v>
      </c>
    </row>
    <row r="6" spans="1:6" x14ac:dyDescent="0.2">
      <c r="A6" s="61">
        <v>2</v>
      </c>
      <c r="B6" s="61">
        <v>2</v>
      </c>
      <c r="C6" s="61">
        <v>2</v>
      </c>
      <c r="D6" s="61">
        <v>2</v>
      </c>
      <c r="E6" s="61">
        <v>2.5</v>
      </c>
      <c r="F6" s="61">
        <v>2</v>
      </c>
    </row>
    <row r="7" spans="1:6" x14ac:dyDescent="0.2">
      <c r="A7" s="61">
        <v>1</v>
      </c>
      <c r="B7" s="61">
        <v>1.5</v>
      </c>
      <c r="C7" s="61">
        <v>3</v>
      </c>
      <c r="D7" s="61">
        <v>3</v>
      </c>
      <c r="E7" s="61">
        <v>3</v>
      </c>
      <c r="F7" s="61">
        <v>1</v>
      </c>
    </row>
    <row r="8" spans="1:6" x14ac:dyDescent="0.2">
      <c r="A8" s="61">
        <v>0.5</v>
      </c>
      <c r="B8" s="61">
        <v>2</v>
      </c>
      <c r="C8" s="61">
        <v>1.5</v>
      </c>
      <c r="D8" s="61">
        <v>1</v>
      </c>
      <c r="E8" s="61">
        <v>3</v>
      </c>
      <c r="F8" s="61">
        <v>1</v>
      </c>
    </row>
    <row r="9" spans="1:6" x14ac:dyDescent="0.2">
      <c r="A9" s="61">
        <v>1.5</v>
      </c>
      <c r="B9" s="61">
        <v>2</v>
      </c>
      <c r="C9" s="61">
        <v>1.5</v>
      </c>
      <c r="D9" s="61">
        <v>1</v>
      </c>
      <c r="E9" s="61">
        <v>2</v>
      </c>
      <c r="F9" s="61">
        <v>2</v>
      </c>
    </row>
    <row r="10" spans="1:6" x14ac:dyDescent="0.2">
      <c r="A10" s="61">
        <v>0.5</v>
      </c>
      <c r="B10" s="61">
        <v>1</v>
      </c>
      <c r="C10" s="61">
        <v>0</v>
      </c>
      <c r="D10" s="61">
        <v>1</v>
      </c>
      <c r="E10" s="61">
        <v>0.5</v>
      </c>
      <c r="F10" s="61">
        <v>0</v>
      </c>
    </row>
    <row r="11" spans="1:6" x14ac:dyDescent="0.2">
      <c r="A11" s="61">
        <v>0.5</v>
      </c>
      <c r="B11" s="61">
        <v>2</v>
      </c>
      <c r="C11" s="61">
        <v>1.5</v>
      </c>
      <c r="D11" s="61">
        <v>0</v>
      </c>
      <c r="E11" s="61">
        <v>1.5</v>
      </c>
      <c r="F11" s="61">
        <v>1</v>
      </c>
    </row>
    <row r="12" spans="1:6" x14ac:dyDescent="0.2">
      <c r="A12" s="61">
        <v>2</v>
      </c>
      <c r="B12" s="61">
        <v>2</v>
      </c>
      <c r="C12" s="61">
        <v>1</v>
      </c>
      <c r="D12" s="61">
        <v>3</v>
      </c>
      <c r="E12" s="61">
        <v>1.5</v>
      </c>
      <c r="F12" s="61">
        <v>2</v>
      </c>
    </row>
    <row r="13" spans="1:6" x14ac:dyDescent="0.2">
      <c r="A13" s="61">
        <v>1.5</v>
      </c>
      <c r="B13" s="61">
        <v>2</v>
      </c>
      <c r="C13" s="61">
        <v>1.5</v>
      </c>
      <c r="D13" s="61">
        <v>3</v>
      </c>
      <c r="E13" s="61">
        <v>3</v>
      </c>
      <c r="F13" s="61">
        <v>1.5</v>
      </c>
    </row>
    <row r="14" spans="1:6" x14ac:dyDescent="0.2">
      <c r="A14" s="61">
        <v>2</v>
      </c>
      <c r="B14" s="61">
        <v>2</v>
      </c>
      <c r="C14" s="61">
        <v>1.5</v>
      </c>
      <c r="D14" s="61">
        <v>3</v>
      </c>
      <c r="E14" s="61">
        <v>3</v>
      </c>
      <c r="F14" s="61">
        <v>2</v>
      </c>
    </row>
    <row r="15" spans="1:6" x14ac:dyDescent="0.2">
      <c r="A15" s="61">
        <v>1</v>
      </c>
      <c r="B15" s="61">
        <v>2</v>
      </c>
      <c r="C15" s="61">
        <v>1.5</v>
      </c>
      <c r="D15" s="61">
        <v>3</v>
      </c>
      <c r="E15" s="61">
        <v>2.5</v>
      </c>
      <c r="F15" s="61">
        <v>2</v>
      </c>
    </row>
    <row r="16" spans="1:6" x14ac:dyDescent="0.2">
      <c r="A16" s="61">
        <v>2</v>
      </c>
      <c r="B16" s="61">
        <v>0</v>
      </c>
      <c r="C16" s="61">
        <v>1</v>
      </c>
      <c r="D16" s="61">
        <v>1.5</v>
      </c>
      <c r="E16" s="61">
        <v>2</v>
      </c>
      <c r="F16" s="61">
        <v>1</v>
      </c>
    </row>
    <row r="17" spans="1:12" x14ac:dyDescent="0.2">
      <c r="A17" s="61">
        <v>0.5</v>
      </c>
      <c r="B17" s="61">
        <v>0</v>
      </c>
      <c r="C17" s="61">
        <v>0</v>
      </c>
      <c r="D17" s="61">
        <v>0</v>
      </c>
      <c r="E17" s="61">
        <v>0.5</v>
      </c>
      <c r="F17" s="61">
        <v>0</v>
      </c>
    </row>
    <row r="18" spans="1:12" x14ac:dyDescent="0.2">
      <c r="A18" s="61">
        <v>2</v>
      </c>
      <c r="B18" s="61">
        <v>2</v>
      </c>
      <c r="C18" s="61">
        <v>1</v>
      </c>
      <c r="D18" s="61">
        <v>1</v>
      </c>
      <c r="E18" s="61">
        <v>3</v>
      </c>
      <c r="F18" s="61">
        <v>1</v>
      </c>
    </row>
    <row r="19" spans="1:12" x14ac:dyDescent="0.2">
      <c r="A19" s="61">
        <v>0.5</v>
      </c>
      <c r="B19" s="61">
        <v>2</v>
      </c>
      <c r="C19" s="61">
        <v>1</v>
      </c>
      <c r="D19" s="61">
        <v>2.5</v>
      </c>
      <c r="E19" s="61">
        <v>1.5</v>
      </c>
      <c r="F19" s="61">
        <v>2</v>
      </c>
    </row>
    <row r="20" spans="1:12" x14ac:dyDescent="0.2">
      <c r="A20" s="61">
        <v>1</v>
      </c>
      <c r="B20" s="61">
        <v>2</v>
      </c>
      <c r="C20" s="61">
        <v>2.5</v>
      </c>
      <c r="D20" s="61">
        <v>3</v>
      </c>
      <c r="E20" s="61">
        <v>3</v>
      </c>
      <c r="F20" s="61">
        <v>2</v>
      </c>
    </row>
    <row r="21" spans="1:12" x14ac:dyDescent="0.2">
      <c r="A21" s="61">
        <v>2</v>
      </c>
      <c r="B21" s="61">
        <v>2</v>
      </c>
      <c r="C21" s="61">
        <v>1.5</v>
      </c>
      <c r="D21" s="61">
        <v>3</v>
      </c>
      <c r="E21" s="61">
        <v>3</v>
      </c>
      <c r="F21" s="61">
        <v>2</v>
      </c>
    </row>
    <row r="22" spans="1:12" x14ac:dyDescent="0.2">
      <c r="A22" s="61">
        <v>0.5</v>
      </c>
      <c r="B22" s="61">
        <v>1.5</v>
      </c>
      <c r="C22" s="61">
        <v>1</v>
      </c>
      <c r="D22" s="61">
        <v>3</v>
      </c>
      <c r="E22" s="61">
        <v>3</v>
      </c>
      <c r="F22" s="61">
        <v>1</v>
      </c>
    </row>
    <row r="23" spans="1:12" x14ac:dyDescent="0.2">
      <c r="A23" s="61">
        <v>0.5</v>
      </c>
      <c r="B23" s="61">
        <v>2</v>
      </c>
      <c r="C23" s="61">
        <v>1.5</v>
      </c>
      <c r="D23" s="61">
        <v>0.5</v>
      </c>
      <c r="E23" s="61">
        <v>1.5</v>
      </c>
      <c r="F23" s="61">
        <v>1</v>
      </c>
    </row>
    <row r="25" spans="1:12" x14ac:dyDescent="0.2">
      <c r="A25" s="61">
        <v>1.5</v>
      </c>
      <c r="B25" s="61">
        <v>3</v>
      </c>
      <c r="C25" s="61">
        <v>3</v>
      </c>
      <c r="D25" s="61">
        <v>3</v>
      </c>
      <c r="E25" s="61">
        <v>3</v>
      </c>
      <c r="F25" s="61">
        <v>4</v>
      </c>
      <c r="G25" s="61">
        <v>3</v>
      </c>
      <c r="H25" s="61">
        <v>0</v>
      </c>
      <c r="I25" s="61">
        <v>2</v>
      </c>
      <c r="J25" s="61">
        <v>0</v>
      </c>
      <c r="K25" s="61">
        <v>4</v>
      </c>
      <c r="L25" s="61">
        <v>2.5</v>
      </c>
    </row>
    <row r="26" spans="1:12" x14ac:dyDescent="0.2">
      <c r="A26" s="61">
        <v>0.5</v>
      </c>
      <c r="B26" s="61">
        <v>2.5</v>
      </c>
      <c r="C26" s="61">
        <v>3</v>
      </c>
      <c r="D26" s="61">
        <v>3</v>
      </c>
      <c r="E26" s="61">
        <v>3</v>
      </c>
      <c r="F26" s="61">
        <v>4</v>
      </c>
      <c r="G26" s="61">
        <v>0</v>
      </c>
      <c r="H26" s="61">
        <v>0</v>
      </c>
      <c r="I26" s="61">
        <v>1.5</v>
      </c>
      <c r="J26" s="61">
        <v>0</v>
      </c>
      <c r="K26" s="61">
        <v>1</v>
      </c>
      <c r="L26" s="61">
        <v>2</v>
      </c>
    </row>
    <row r="27" spans="1:12" x14ac:dyDescent="0.2">
      <c r="A27" s="61">
        <v>1</v>
      </c>
      <c r="B27" s="61">
        <v>2</v>
      </c>
      <c r="C27" s="61">
        <v>0</v>
      </c>
      <c r="D27" s="61">
        <v>1</v>
      </c>
      <c r="E27" s="61">
        <v>3</v>
      </c>
      <c r="F27" s="61">
        <v>2.5</v>
      </c>
      <c r="G27" s="61">
        <v>0</v>
      </c>
      <c r="H27" s="61">
        <v>0</v>
      </c>
      <c r="I27" s="61">
        <v>0</v>
      </c>
      <c r="J27" s="61">
        <v>2</v>
      </c>
      <c r="K27" s="61">
        <v>0</v>
      </c>
      <c r="L27" s="61">
        <v>0</v>
      </c>
    </row>
    <row r="28" spans="1:12" x14ac:dyDescent="0.2">
      <c r="A28" s="61">
        <v>1</v>
      </c>
      <c r="B28" s="61">
        <v>3</v>
      </c>
      <c r="C28" s="61">
        <v>3</v>
      </c>
      <c r="D28" s="61">
        <v>3</v>
      </c>
      <c r="E28" s="61">
        <v>3</v>
      </c>
      <c r="F28" s="61">
        <v>4</v>
      </c>
      <c r="G28" s="61">
        <v>1.5</v>
      </c>
      <c r="H28" s="61">
        <v>0</v>
      </c>
      <c r="I28" s="61">
        <v>1.5</v>
      </c>
      <c r="J28" s="61">
        <v>3</v>
      </c>
      <c r="K28" s="61">
        <v>3</v>
      </c>
      <c r="L28" s="61">
        <v>0</v>
      </c>
    </row>
    <row r="29" spans="1:12" x14ac:dyDescent="0.2">
      <c r="A29" s="61">
        <v>2</v>
      </c>
      <c r="B29" s="61">
        <v>2</v>
      </c>
      <c r="C29" s="61">
        <v>3.5</v>
      </c>
      <c r="D29" s="61">
        <v>2.5</v>
      </c>
      <c r="E29" s="61">
        <v>2</v>
      </c>
      <c r="F29" s="61">
        <v>1</v>
      </c>
      <c r="G29" s="61">
        <v>0.5</v>
      </c>
      <c r="H29" s="61">
        <v>2.5</v>
      </c>
      <c r="I29" s="61">
        <v>2</v>
      </c>
      <c r="J29" s="61">
        <v>3.5</v>
      </c>
      <c r="K29" s="61">
        <v>3</v>
      </c>
      <c r="L29" s="61">
        <v>2.5</v>
      </c>
    </row>
    <row r="30" spans="1:12" x14ac:dyDescent="0.2">
      <c r="A30" s="61">
        <v>2</v>
      </c>
      <c r="B30" s="61">
        <v>3</v>
      </c>
      <c r="C30" s="61">
        <v>4</v>
      </c>
      <c r="D30" s="61">
        <v>3</v>
      </c>
      <c r="E30" s="61">
        <v>3</v>
      </c>
      <c r="F30" s="61">
        <v>4</v>
      </c>
      <c r="G30" s="61">
        <v>3</v>
      </c>
      <c r="H30" s="61">
        <v>4</v>
      </c>
      <c r="I30" s="61">
        <v>2</v>
      </c>
      <c r="J30" s="61">
        <v>5</v>
      </c>
      <c r="K30" s="61">
        <v>4</v>
      </c>
      <c r="L30" s="61">
        <v>3</v>
      </c>
    </row>
    <row r="31" spans="1:12" x14ac:dyDescent="0.2">
      <c r="A31" s="61">
        <v>1.5</v>
      </c>
      <c r="B31" s="61">
        <v>2.5</v>
      </c>
      <c r="C31" s="61">
        <v>4</v>
      </c>
      <c r="D31" s="61">
        <v>2</v>
      </c>
      <c r="E31" s="61">
        <v>2</v>
      </c>
      <c r="F31" s="61">
        <v>2.5</v>
      </c>
      <c r="G31" s="61">
        <v>0.5</v>
      </c>
      <c r="H31" s="61">
        <v>3</v>
      </c>
      <c r="I31" s="61">
        <v>1</v>
      </c>
      <c r="J31" s="61">
        <v>3.5</v>
      </c>
      <c r="K31" s="61">
        <v>2</v>
      </c>
      <c r="L31" s="61">
        <v>1.5</v>
      </c>
    </row>
    <row r="32" spans="1:12" x14ac:dyDescent="0.2">
      <c r="A32" s="61">
        <v>1.5</v>
      </c>
      <c r="B32" s="61">
        <v>1</v>
      </c>
      <c r="C32" s="61">
        <v>2.5</v>
      </c>
      <c r="D32" s="61">
        <v>3</v>
      </c>
      <c r="E32" s="61">
        <v>3</v>
      </c>
      <c r="F32" s="61">
        <v>3.5</v>
      </c>
      <c r="G32" s="61">
        <v>0</v>
      </c>
      <c r="H32" s="61">
        <v>0</v>
      </c>
      <c r="I32" s="61">
        <v>2</v>
      </c>
      <c r="J32" s="61">
        <v>0</v>
      </c>
      <c r="K32" s="61">
        <v>0</v>
      </c>
      <c r="L32" s="61">
        <v>0</v>
      </c>
    </row>
    <row r="33" spans="1:12" x14ac:dyDescent="0.2">
      <c r="A33" s="61">
        <v>1.5</v>
      </c>
      <c r="B33" s="61">
        <v>3</v>
      </c>
      <c r="C33" s="61">
        <v>4</v>
      </c>
      <c r="D33" s="61">
        <v>3</v>
      </c>
      <c r="E33" s="61">
        <v>2</v>
      </c>
      <c r="F33" s="61">
        <v>1</v>
      </c>
      <c r="G33" s="61">
        <v>0</v>
      </c>
      <c r="H33" s="61">
        <v>0</v>
      </c>
      <c r="I33" s="61">
        <v>0</v>
      </c>
      <c r="J33" s="61">
        <v>0</v>
      </c>
      <c r="K33" s="61">
        <v>0</v>
      </c>
      <c r="L33" s="61">
        <v>0</v>
      </c>
    </row>
    <row r="34" spans="1:12" x14ac:dyDescent="0.2">
      <c r="A34" s="61">
        <v>0</v>
      </c>
      <c r="B34" s="61">
        <v>1.5</v>
      </c>
      <c r="C34" s="61">
        <v>2.5</v>
      </c>
      <c r="D34" s="61">
        <v>0</v>
      </c>
      <c r="E34" s="61">
        <v>1</v>
      </c>
      <c r="F34" s="61">
        <v>1</v>
      </c>
      <c r="G34" s="61">
        <v>0</v>
      </c>
      <c r="H34" s="61">
        <v>0</v>
      </c>
      <c r="I34" s="61">
        <v>1</v>
      </c>
      <c r="J34" s="61">
        <v>0</v>
      </c>
      <c r="K34" s="61">
        <v>1</v>
      </c>
      <c r="L34" s="61">
        <v>0.5</v>
      </c>
    </row>
    <row r="35" spans="1:12" x14ac:dyDescent="0.2">
      <c r="A35" s="61">
        <v>1</v>
      </c>
      <c r="B35" s="61">
        <v>1.5</v>
      </c>
      <c r="C35" s="61">
        <v>4</v>
      </c>
      <c r="D35" s="61">
        <v>1.5</v>
      </c>
      <c r="E35" s="61">
        <v>2</v>
      </c>
      <c r="F35" s="61">
        <v>3.5</v>
      </c>
      <c r="G35" s="61">
        <v>0</v>
      </c>
      <c r="H35" s="61">
        <v>0</v>
      </c>
      <c r="I35" s="61">
        <v>0</v>
      </c>
      <c r="J35" s="61">
        <v>0</v>
      </c>
      <c r="K35" s="61">
        <v>1</v>
      </c>
      <c r="L35" s="61">
        <v>0</v>
      </c>
    </row>
    <row r="36" spans="1:12" x14ac:dyDescent="0.2">
      <c r="A36" s="61">
        <v>2</v>
      </c>
      <c r="B36" s="61">
        <v>3</v>
      </c>
      <c r="C36" s="61">
        <v>4</v>
      </c>
      <c r="D36" s="61">
        <v>3</v>
      </c>
      <c r="E36" s="61">
        <v>3</v>
      </c>
      <c r="F36" s="61">
        <v>4</v>
      </c>
      <c r="G36" s="61">
        <v>3</v>
      </c>
      <c r="H36" s="61">
        <v>0</v>
      </c>
      <c r="I36" s="61">
        <v>2</v>
      </c>
      <c r="J36" s="61">
        <v>3</v>
      </c>
      <c r="K36" s="61">
        <v>3</v>
      </c>
      <c r="L36" s="61">
        <v>2</v>
      </c>
    </row>
    <row r="37" spans="1:12" x14ac:dyDescent="0.2">
      <c r="A37" s="61">
        <v>0.5</v>
      </c>
      <c r="B37" s="61">
        <v>1.5</v>
      </c>
      <c r="C37" s="61">
        <v>4</v>
      </c>
      <c r="D37" s="61">
        <v>3</v>
      </c>
      <c r="E37" s="61">
        <v>3</v>
      </c>
      <c r="F37" s="61">
        <v>3.5</v>
      </c>
      <c r="G37" s="61">
        <v>0</v>
      </c>
      <c r="H37" s="61">
        <v>0</v>
      </c>
      <c r="I37" s="61">
        <v>2</v>
      </c>
      <c r="J37" s="61">
        <v>4.5</v>
      </c>
      <c r="K37" s="61">
        <v>0</v>
      </c>
      <c r="L37" s="61">
        <v>0</v>
      </c>
    </row>
    <row r="38" spans="1:12" x14ac:dyDescent="0.2">
      <c r="A38" s="61">
        <v>1.5</v>
      </c>
      <c r="B38" s="61">
        <v>2.5</v>
      </c>
      <c r="C38" s="61">
        <v>3</v>
      </c>
      <c r="D38" s="61">
        <v>2.5</v>
      </c>
      <c r="E38" s="61">
        <v>2</v>
      </c>
      <c r="F38" s="61">
        <v>4</v>
      </c>
      <c r="G38" s="61">
        <v>0</v>
      </c>
      <c r="H38" s="61">
        <v>0</v>
      </c>
      <c r="I38" s="61">
        <v>0</v>
      </c>
      <c r="J38" s="61">
        <v>0</v>
      </c>
      <c r="K38" s="61">
        <v>1</v>
      </c>
      <c r="L38" s="61">
        <v>0</v>
      </c>
    </row>
    <row r="39" spans="1:12" x14ac:dyDescent="0.2">
      <c r="A39" s="61">
        <v>1.5</v>
      </c>
      <c r="B39" s="61">
        <v>3</v>
      </c>
      <c r="C39" s="61">
        <v>4</v>
      </c>
      <c r="D39" s="61">
        <v>3</v>
      </c>
      <c r="E39" s="61">
        <v>2.5</v>
      </c>
      <c r="F39" s="61">
        <v>3.5</v>
      </c>
      <c r="G39" s="61">
        <v>0.5</v>
      </c>
      <c r="H39" s="61">
        <v>0</v>
      </c>
      <c r="I39" s="61">
        <v>2</v>
      </c>
      <c r="J39" s="61">
        <v>3.5</v>
      </c>
      <c r="K39" s="61">
        <v>3.5</v>
      </c>
      <c r="L39" s="61">
        <v>0.5</v>
      </c>
    </row>
    <row r="40" spans="1:12" x14ac:dyDescent="0.2">
      <c r="A40" s="61">
        <v>1.5</v>
      </c>
      <c r="B40" s="61">
        <v>3</v>
      </c>
      <c r="C40" s="61">
        <v>4</v>
      </c>
      <c r="D40" s="61">
        <v>3</v>
      </c>
      <c r="E40" s="61">
        <v>3</v>
      </c>
      <c r="F40" s="61">
        <v>4</v>
      </c>
      <c r="G40" s="61">
        <v>0</v>
      </c>
      <c r="H40" s="61">
        <v>1.5</v>
      </c>
      <c r="I40" s="61">
        <v>0</v>
      </c>
      <c r="J40" s="61">
        <v>2</v>
      </c>
      <c r="K40" s="61">
        <v>0</v>
      </c>
      <c r="L40" s="61">
        <v>0</v>
      </c>
    </row>
    <row r="41" spans="1:12" x14ac:dyDescent="0.2">
      <c r="A41" s="61">
        <v>1.5</v>
      </c>
      <c r="B41" s="61">
        <v>1.5</v>
      </c>
      <c r="C41" s="61">
        <v>0</v>
      </c>
      <c r="D41" s="61">
        <v>1.5</v>
      </c>
      <c r="E41" s="61">
        <v>1</v>
      </c>
      <c r="F41" s="61">
        <v>1</v>
      </c>
      <c r="G41" s="61">
        <v>0</v>
      </c>
      <c r="H41" s="61">
        <v>0</v>
      </c>
      <c r="I41" s="61">
        <v>0</v>
      </c>
      <c r="J41" s="61">
        <v>0</v>
      </c>
      <c r="K41" s="61">
        <v>0</v>
      </c>
      <c r="L41" s="61">
        <v>0</v>
      </c>
    </row>
    <row r="42" spans="1:12" x14ac:dyDescent="0.2">
      <c r="A42" s="61">
        <v>1</v>
      </c>
      <c r="B42" s="61">
        <v>2.5</v>
      </c>
      <c r="C42" s="61">
        <v>2</v>
      </c>
      <c r="D42" s="61">
        <v>3</v>
      </c>
      <c r="E42" s="61">
        <v>2.5</v>
      </c>
      <c r="F42" s="61">
        <v>3.5</v>
      </c>
      <c r="G42" s="61">
        <v>0</v>
      </c>
      <c r="H42" s="61">
        <v>0</v>
      </c>
      <c r="I42" s="61">
        <v>1.5</v>
      </c>
      <c r="J42" s="61">
        <v>0</v>
      </c>
      <c r="K42" s="61">
        <v>0</v>
      </c>
      <c r="L42" s="61">
        <v>0</v>
      </c>
    </row>
    <row r="43" spans="1:12" x14ac:dyDescent="0.2">
      <c r="A43" s="61">
        <v>1.5</v>
      </c>
      <c r="B43" s="61">
        <v>2</v>
      </c>
      <c r="C43" s="61">
        <v>3</v>
      </c>
      <c r="D43" s="61">
        <v>0.5</v>
      </c>
      <c r="E43" s="61">
        <v>1</v>
      </c>
      <c r="F43" s="61">
        <v>4</v>
      </c>
      <c r="G43" s="61">
        <v>0.5</v>
      </c>
      <c r="H43" s="61">
        <v>0</v>
      </c>
      <c r="I43" s="61">
        <v>2</v>
      </c>
      <c r="J43" s="61">
        <v>0</v>
      </c>
      <c r="K43" s="61">
        <v>2</v>
      </c>
      <c r="L43" s="61">
        <v>0</v>
      </c>
    </row>
    <row r="44" spans="1:12" x14ac:dyDescent="0.2">
      <c r="A44" s="61">
        <v>1.5</v>
      </c>
      <c r="B44" s="61">
        <v>3</v>
      </c>
      <c r="C44" s="61">
        <v>3.5</v>
      </c>
      <c r="D44" s="61">
        <v>2.5</v>
      </c>
      <c r="E44" s="61">
        <v>2</v>
      </c>
      <c r="F44" s="61">
        <v>3.5</v>
      </c>
      <c r="G44" s="61">
        <v>2</v>
      </c>
      <c r="H44" s="61">
        <v>0</v>
      </c>
      <c r="I44" s="61">
        <v>1.5</v>
      </c>
      <c r="J44" s="61">
        <v>3.5</v>
      </c>
      <c r="K44" s="61">
        <v>3</v>
      </c>
      <c r="L44" s="61">
        <v>0</v>
      </c>
    </row>
    <row r="45" spans="1:12" x14ac:dyDescent="0.2">
      <c r="A45" s="61">
        <v>2</v>
      </c>
      <c r="B45" s="61">
        <v>2.5</v>
      </c>
      <c r="C45" s="61">
        <v>4</v>
      </c>
      <c r="D45" s="61">
        <v>3</v>
      </c>
      <c r="E45" s="61">
        <v>2.5</v>
      </c>
      <c r="F45" s="61">
        <v>3</v>
      </c>
      <c r="G45" s="61">
        <v>3</v>
      </c>
      <c r="H45" s="61">
        <v>0</v>
      </c>
      <c r="I45" s="61">
        <v>2</v>
      </c>
      <c r="J45" s="61">
        <v>4.5</v>
      </c>
      <c r="K45" s="61">
        <v>3</v>
      </c>
      <c r="L45" s="61">
        <v>3</v>
      </c>
    </row>
    <row r="46" spans="1:12" x14ac:dyDescent="0.2">
      <c r="A46" s="61">
        <v>0.5</v>
      </c>
      <c r="B46" s="61">
        <v>3</v>
      </c>
      <c r="C46" s="61">
        <v>4</v>
      </c>
      <c r="D46" s="61">
        <v>2</v>
      </c>
      <c r="E46" s="61">
        <v>2.5</v>
      </c>
      <c r="F46" s="61">
        <v>3</v>
      </c>
      <c r="G46" s="61">
        <v>1.5</v>
      </c>
      <c r="H46" s="61">
        <v>0</v>
      </c>
      <c r="I46" s="61">
        <v>2</v>
      </c>
      <c r="J46" s="61">
        <v>2.5</v>
      </c>
      <c r="K46" s="61">
        <v>2.5</v>
      </c>
      <c r="L46" s="61">
        <v>2.5</v>
      </c>
    </row>
    <row r="47" spans="1:12" x14ac:dyDescent="0.2">
      <c r="A47" s="61">
        <v>1</v>
      </c>
      <c r="B47" s="61">
        <v>2.5</v>
      </c>
      <c r="C47" s="61">
        <v>3.5</v>
      </c>
      <c r="D47" s="61">
        <v>3</v>
      </c>
      <c r="E47" s="61">
        <v>2</v>
      </c>
      <c r="F47" s="61">
        <v>4</v>
      </c>
      <c r="G47" s="61">
        <v>0</v>
      </c>
      <c r="H47" s="61">
        <v>0</v>
      </c>
      <c r="I47" s="61">
        <v>0</v>
      </c>
      <c r="J47" s="61">
        <v>0</v>
      </c>
      <c r="K47" s="61">
        <v>1</v>
      </c>
      <c r="L47" s="61">
        <v>0</v>
      </c>
    </row>
    <row r="49" spans="1:3" x14ac:dyDescent="0.2">
      <c r="A49" s="61">
        <v>2.5</v>
      </c>
      <c r="B49" s="61">
        <v>1</v>
      </c>
      <c r="C49" s="61">
        <v>0.5</v>
      </c>
    </row>
    <row r="50" spans="1:3" x14ac:dyDescent="0.2">
      <c r="A50" s="61">
        <v>5</v>
      </c>
      <c r="B50" s="61">
        <v>1.5</v>
      </c>
      <c r="C50" s="61">
        <v>1</v>
      </c>
    </row>
    <row r="51" spans="1:3" x14ac:dyDescent="0.2">
      <c r="A51" s="61">
        <v>2.5</v>
      </c>
      <c r="B51" s="61">
        <v>0</v>
      </c>
      <c r="C51" s="61">
        <v>1</v>
      </c>
    </row>
    <row r="52" spans="1:3" x14ac:dyDescent="0.2">
      <c r="A52" s="61">
        <v>2.5</v>
      </c>
      <c r="B52" s="61">
        <v>1</v>
      </c>
      <c r="C52" s="61">
        <v>1</v>
      </c>
    </row>
    <row r="53" spans="1:3" x14ac:dyDescent="0.2">
      <c r="A53" s="61">
        <v>2.5</v>
      </c>
      <c r="B53" s="61">
        <v>2</v>
      </c>
      <c r="C53" s="61">
        <v>3</v>
      </c>
    </row>
    <row r="54" spans="1:3" x14ac:dyDescent="0.2">
      <c r="A54" s="61">
        <v>3</v>
      </c>
      <c r="B54" s="61">
        <v>2</v>
      </c>
      <c r="C54" s="61">
        <v>3</v>
      </c>
    </row>
    <row r="55" spans="1:3" x14ac:dyDescent="0.2">
      <c r="A55" s="61">
        <v>5</v>
      </c>
      <c r="B55" s="61">
        <v>2</v>
      </c>
      <c r="C55" s="61">
        <v>3</v>
      </c>
    </row>
    <row r="56" spans="1:3" x14ac:dyDescent="0.2">
      <c r="A56" s="61">
        <v>5</v>
      </c>
      <c r="B56" s="61">
        <v>2</v>
      </c>
      <c r="C56" s="61">
        <v>3</v>
      </c>
    </row>
    <row r="57" spans="1:3" x14ac:dyDescent="0.2">
      <c r="A57" s="61">
        <v>4</v>
      </c>
      <c r="B57" s="61">
        <v>0</v>
      </c>
      <c r="C57" s="61">
        <v>3</v>
      </c>
    </row>
    <row r="58" spans="1:3" x14ac:dyDescent="0.2">
      <c r="A58" s="61">
        <v>2.5</v>
      </c>
      <c r="B58" s="61">
        <v>2</v>
      </c>
      <c r="C58" s="61">
        <v>0</v>
      </c>
    </row>
    <row r="59" spans="1:3" x14ac:dyDescent="0.2">
      <c r="A59" s="61">
        <v>2</v>
      </c>
      <c r="B59" s="61">
        <v>0</v>
      </c>
      <c r="C59" s="61">
        <v>0</v>
      </c>
    </row>
    <row r="60" spans="1:3" x14ac:dyDescent="0.2">
      <c r="A60" s="61">
        <v>2.5</v>
      </c>
      <c r="B60" s="61">
        <v>0</v>
      </c>
      <c r="C60" s="61">
        <v>2</v>
      </c>
    </row>
    <row r="61" spans="1:3" x14ac:dyDescent="0.2">
      <c r="A61" s="61">
        <v>5</v>
      </c>
      <c r="B61" s="61">
        <v>1</v>
      </c>
      <c r="C61" s="61">
        <v>3</v>
      </c>
    </row>
    <row r="62" spans="1:3" x14ac:dyDescent="0.2">
      <c r="A62" s="61">
        <v>5</v>
      </c>
      <c r="B62" s="61">
        <v>1.5</v>
      </c>
      <c r="C62" s="61">
        <v>0.5</v>
      </c>
    </row>
    <row r="63" spans="1:3" x14ac:dyDescent="0.2">
      <c r="A63" s="61">
        <v>2.5</v>
      </c>
      <c r="B63" s="61">
        <v>0</v>
      </c>
      <c r="C63" s="61">
        <v>1</v>
      </c>
    </row>
    <row r="64" spans="1:3" x14ac:dyDescent="0.2">
      <c r="A64" s="61">
        <v>5</v>
      </c>
      <c r="B64" s="61">
        <v>1</v>
      </c>
      <c r="C64" s="61">
        <v>1</v>
      </c>
    </row>
    <row r="65" spans="1:6" x14ac:dyDescent="0.2">
      <c r="A65" s="61">
        <v>5</v>
      </c>
      <c r="B65" s="61">
        <v>1</v>
      </c>
      <c r="C65" s="61">
        <v>3</v>
      </c>
    </row>
    <row r="66" spans="1:6" x14ac:dyDescent="0.2">
      <c r="A66" s="61">
        <v>2.5</v>
      </c>
      <c r="B66" s="61">
        <v>1</v>
      </c>
      <c r="C66" s="61">
        <v>1</v>
      </c>
    </row>
    <row r="67" spans="1:6" x14ac:dyDescent="0.2">
      <c r="A67" s="61">
        <v>5</v>
      </c>
      <c r="B67" s="61">
        <v>0</v>
      </c>
      <c r="C67" s="61">
        <v>0.5</v>
      </c>
    </row>
    <row r="68" spans="1:6" x14ac:dyDescent="0.2">
      <c r="A68" s="61">
        <v>3</v>
      </c>
      <c r="B68" s="61">
        <v>0</v>
      </c>
      <c r="C68" s="61">
        <v>0</v>
      </c>
    </row>
    <row r="69" spans="1:6" x14ac:dyDescent="0.2">
      <c r="A69" s="61">
        <v>4</v>
      </c>
      <c r="B69" s="61">
        <v>1</v>
      </c>
      <c r="C69" s="61">
        <v>1</v>
      </c>
    </row>
    <row r="70" spans="1:6" x14ac:dyDescent="0.2">
      <c r="A70" s="61">
        <v>5</v>
      </c>
      <c r="B70" s="61">
        <v>2</v>
      </c>
      <c r="C70" s="61">
        <v>3</v>
      </c>
    </row>
    <row r="71" spans="1:6" x14ac:dyDescent="0.2">
      <c r="A71" s="61">
        <v>5</v>
      </c>
      <c r="B71" s="61">
        <v>2</v>
      </c>
      <c r="C71" s="61">
        <v>1</v>
      </c>
    </row>
    <row r="73" spans="1:6" x14ac:dyDescent="0.2">
      <c r="A73" s="61">
        <v>2</v>
      </c>
      <c r="B73" s="61">
        <v>2</v>
      </c>
      <c r="C73" s="61">
        <v>2</v>
      </c>
      <c r="D73" s="61">
        <v>4</v>
      </c>
      <c r="E73" s="61">
        <v>3</v>
      </c>
      <c r="F73" s="61">
        <v>7</v>
      </c>
    </row>
    <row r="74" spans="1:6" x14ac:dyDescent="0.2">
      <c r="A74" s="61">
        <v>1</v>
      </c>
      <c r="B74" s="61">
        <v>2</v>
      </c>
      <c r="C74" s="61">
        <v>1</v>
      </c>
      <c r="D74" s="61">
        <v>2</v>
      </c>
      <c r="E74" s="61">
        <v>1</v>
      </c>
      <c r="F74" s="61">
        <v>7</v>
      </c>
    </row>
    <row r="75" spans="1:6" x14ac:dyDescent="0.2">
      <c r="A75" s="61">
        <v>2</v>
      </c>
      <c r="B75" s="61">
        <v>2</v>
      </c>
      <c r="C75" s="61">
        <v>1</v>
      </c>
      <c r="D75" s="61">
        <v>3</v>
      </c>
      <c r="E75" s="61">
        <v>0</v>
      </c>
      <c r="F75" s="61">
        <v>5</v>
      </c>
    </row>
    <row r="76" spans="1:6" x14ac:dyDescent="0.2">
      <c r="A76" s="61">
        <v>2</v>
      </c>
      <c r="B76" s="61">
        <v>2</v>
      </c>
      <c r="C76" s="61">
        <v>1</v>
      </c>
      <c r="D76" s="61">
        <v>4</v>
      </c>
      <c r="E76" s="61">
        <v>0</v>
      </c>
      <c r="F76" s="61">
        <v>6.5</v>
      </c>
    </row>
    <row r="77" spans="1:6" x14ac:dyDescent="0.2">
      <c r="A77" s="61">
        <v>1</v>
      </c>
      <c r="B77" s="61">
        <v>1</v>
      </c>
      <c r="C77" s="61">
        <v>1</v>
      </c>
      <c r="D77" s="61">
        <v>1.5</v>
      </c>
      <c r="E77" s="61">
        <v>0</v>
      </c>
      <c r="F77" s="61">
        <v>4</v>
      </c>
    </row>
    <row r="78" spans="1:6" x14ac:dyDescent="0.2">
      <c r="A78" s="61">
        <v>2</v>
      </c>
      <c r="B78" s="61">
        <v>0.5</v>
      </c>
      <c r="C78" s="61">
        <v>1</v>
      </c>
      <c r="D78" s="61">
        <v>4</v>
      </c>
      <c r="E78" s="61">
        <v>3</v>
      </c>
      <c r="F78" s="61">
        <v>6</v>
      </c>
    </row>
    <row r="79" spans="1:6" x14ac:dyDescent="0.2">
      <c r="A79" s="61">
        <v>2</v>
      </c>
      <c r="B79" s="61">
        <v>2</v>
      </c>
      <c r="C79" s="61">
        <v>2</v>
      </c>
      <c r="D79" s="61">
        <v>2.5</v>
      </c>
      <c r="E79" s="61">
        <v>0</v>
      </c>
      <c r="F79" s="61">
        <v>0.5</v>
      </c>
    </row>
    <row r="80" spans="1:6" x14ac:dyDescent="0.2">
      <c r="A80" s="61">
        <v>2</v>
      </c>
      <c r="B80" s="61">
        <v>2</v>
      </c>
      <c r="C80" s="61">
        <v>2</v>
      </c>
      <c r="D80" s="61">
        <v>2</v>
      </c>
      <c r="E80" s="61">
        <v>0.5</v>
      </c>
      <c r="F80" s="61">
        <v>7</v>
      </c>
    </row>
    <row r="81" spans="1:6" x14ac:dyDescent="0.2">
      <c r="A81" s="61">
        <v>2</v>
      </c>
      <c r="B81" s="61">
        <v>2</v>
      </c>
      <c r="C81" s="61">
        <v>2</v>
      </c>
      <c r="D81" s="61">
        <v>4</v>
      </c>
      <c r="E81" s="61">
        <v>3</v>
      </c>
      <c r="F81" s="61">
        <v>7</v>
      </c>
    </row>
    <row r="82" spans="1:6" x14ac:dyDescent="0.2">
      <c r="A82" s="61">
        <v>2</v>
      </c>
      <c r="B82" s="61">
        <v>2</v>
      </c>
      <c r="C82" s="61">
        <v>2</v>
      </c>
      <c r="D82" s="61">
        <v>2</v>
      </c>
      <c r="E82" s="61">
        <v>0</v>
      </c>
      <c r="F82" s="61">
        <v>7</v>
      </c>
    </row>
    <row r="83" spans="1:6" x14ac:dyDescent="0.2">
      <c r="A83" s="61">
        <v>1</v>
      </c>
      <c r="B83" s="61">
        <v>0</v>
      </c>
      <c r="C83" s="61">
        <v>2</v>
      </c>
      <c r="D83" s="61">
        <v>1.5</v>
      </c>
      <c r="E83" s="61">
        <v>2</v>
      </c>
      <c r="F83" s="61">
        <v>3</v>
      </c>
    </row>
    <row r="84" spans="1:6" x14ac:dyDescent="0.2">
      <c r="A84" s="61">
        <v>2</v>
      </c>
      <c r="B84" s="61">
        <v>2</v>
      </c>
      <c r="C84" s="61">
        <v>1</v>
      </c>
      <c r="D84" s="61">
        <v>0.5</v>
      </c>
      <c r="E84" s="61">
        <v>0</v>
      </c>
      <c r="F84" s="61">
        <v>2</v>
      </c>
    </row>
    <row r="85" spans="1:6" x14ac:dyDescent="0.2">
      <c r="A85" s="61">
        <v>2</v>
      </c>
      <c r="B85" s="61">
        <v>0</v>
      </c>
      <c r="C85" s="61">
        <v>1.5</v>
      </c>
      <c r="D85" s="61">
        <v>0</v>
      </c>
      <c r="E85" s="61">
        <v>2</v>
      </c>
      <c r="F85" s="61">
        <v>0</v>
      </c>
    </row>
    <row r="86" spans="1:6" x14ac:dyDescent="0.2">
      <c r="A86" s="61">
        <v>2</v>
      </c>
      <c r="B86" s="61">
        <v>0</v>
      </c>
      <c r="C86" s="61">
        <v>1</v>
      </c>
      <c r="D86" s="61">
        <v>2</v>
      </c>
      <c r="E86" s="61">
        <v>3</v>
      </c>
      <c r="F86" s="61">
        <v>0</v>
      </c>
    </row>
    <row r="87" spans="1:6" x14ac:dyDescent="0.2">
      <c r="A87" s="61">
        <v>2</v>
      </c>
      <c r="B87" s="61">
        <v>0.5</v>
      </c>
      <c r="C87" s="61">
        <v>1.5</v>
      </c>
      <c r="D87" s="61">
        <v>3</v>
      </c>
      <c r="E87" s="61">
        <v>1</v>
      </c>
      <c r="F87" s="61">
        <v>7</v>
      </c>
    </row>
    <row r="88" spans="1:6" x14ac:dyDescent="0.2">
      <c r="A88" s="61">
        <v>0</v>
      </c>
      <c r="B88" s="61">
        <v>0</v>
      </c>
      <c r="C88" s="61">
        <v>0</v>
      </c>
      <c r="D88" s="61">
        <v>0</v>
      </c>
      <c r="E88" s="61">
        <v>0</v>
      </c>
      <c r="F88" s="61">
        <v>0</v>
      </c>
    </row>
    <row r="89" spans="1:6" x14ac:dyDescent="0.2">
      <c r="A89" s="61">
        <v>1</v>
      </c>
      <c r="B89" s="61">
        <v>1</v>
      </c>
      <c r="C89" s="61">
        <v>1.5</v>
      </c>
      <c r="D89" s="61">
        <v>1</v>
      </c>
      <c r="E89" s="61">
        <v>3</v>
      </c>
      <c r="F89" s="61">
        <v>3</v>
      </c>
    </row>
    <row r="90" spans="1:6" x14ac:dyDescent="0.2">
      <c r="A90" s="61">
        <v>2</v>
      </c>
      <c r="B90" s="61">
        <v>2</v>
      </c>
      <c r="C90" s="61">
        <v>1</v>
      </c>
      <c r="D90" s="61">
        <v>2</v>
      </c>
      <c r="E90" s="61">
        <v>0</v>
      </c>
      <c r="F90" s="61">
        <v>6</v>
      </c>
    </row>
    <row r="91" spans="1:6" x14ac:dyDescent="0.2">
      <c r="A91" s="61">
        <v>2</v>
      </c>
      <c r="B91" s="61">
        <v>0.5</v>
      </c>
      <c r="C91" s="61">
        <v>1.5</v>
      </c>
      <c r="D91" s="61">
        <v>2</v>
      </c>
      <c r="E91" s="61">
        <v>1</v>
      </c>
      <c r="F91" s="61">
        <v>5</v>
      </c>
    </row>
    <row r="92" spans="1:6" x14ac:dyDescent="0.2">
      <c r="A92" s="61">
        <v>2</v>
      </c>
      <c r="B92" s="61">
        <v>0.5</v>
      </c>
      <c r="C92" s="61">
        <v>2</v>
      </c>
      <c r="D92" s="61">
        <v>0</v>
      </c>
      <c r="E92" s="61">
        <v>0</v>
      </c>
      <c r="F92" s="61">
        <v>0</v>
      </c>
    </row>
    <row r="93" spans="1:6" x14ac:dyDescent="0.2">
      <c r="A93" s="61">
        <v>1</v>
      </c>
      <c r="B93" s="61">
        <v>2</v>
      </c>
      <c r="C93" s="61">
        <v>1</v>
      </c>
      <c r="D93" s="61">
        <v>2</v>
      </c>
      <c r="E93" s="61">
        <v>0</v>
      </c>
      <c r="F93" s="61">
        <v>7</v>
      </c>
    </row>
    <row r="94" spans="1:6" x14ac:dyDescent="0.2">
      <c r="A94" s="61">
        <v>2</v>
      </c>
      <c r="B94" s="61">
        <v>0</v>
      </c>
      <c r="C94" s="61">
        <v>2</v>
      </c>
      <c r="D94" s="61">
        <v>1.5</v>
      </c>
      <c r="E94" s="61">
        <v>0</v>
      </c>
      <c r="F94" s="61">
        <v>6</v>
      </c>
    </row>
    <row r="95" spans="1:6" x14ac:dyDescent="0.2">
      <c r="A95" s="61">
        <v>2</v>
      </c>
      <c r="B95" s="61">
        <v>2</v>
      </c>
      <c r="C95" s="61">
        <v>2</v>
      </c>
      <c r="D95" s="61">
        <v>4</v>
      </c>
      <c r="E95" s="61">
        <v>0</v>
      </c>
      <c r="F95" s="61">
        <v>6</v>
      </c>
    </row>
    <row r="97" spans="1:4" x14ac:dyDescent="0.2">
      <c r="A97" s="61">
        <v>0</v>
      </c>
      <c r="B97" s="61">
        <v>0</v>
      </c>
      <c r="C97" s="61">
        <v>1</v>
      </c>
      <c r="D97" s="61">
        <v>0</v>
      </c>
    </row>
    <row r="98" spans="1:4" x14ac:dyDescent="0.2">
      <c r="A98" s="61">
        <v>1.5</v>
      </c>
      <c r="B98" s="61">
        <v>2</v>
      </c>
      <c r="C98" s="61">
        <v>1.5</v>
      </c>
      <c r="D98" s="61">
        <v>2</v>
      </c>
    </row>
    <row r="99" spans="1:4" x14ac:dyDescent="0.2">
      <c r="A99" s="61">
        <v>2</v>
      </c>
      <c r="B99" s="61">
        <v>2.5</v>
      </c>
      <c r="C99" s="61">
        <v>2</v>
      </c>
      <c r="D99" s="61">
        <v>0</v>
      </c>
    </row>
    <row r="100" spans="1:4" x14ac:dyDescent="0.2">
      <c r="A100" s="61">
        <v>2</v>
      </c>
      <c r="B100" s="61">
        <v>1.5</v>
      </c>
      <c r="C100" s="61">
        <v>2</v>
      </c>
      <c r="D100" s="61">
        <v>1</v>
      </c>
    </row>
    <row r="101" spans="1:4" x14ac:dyDescent="0.2">
      <c r="A101" s="61">
        <v>1.5</v>
      </c>
      <c r="B101" s="61">
        <v>2</v>
      </c>
      <c r="C101" s="61">
        <v>2</v>
      </c>
      <c r="D101" s="61">
        <v>2</v>
      </c>
    </row>
    <row r="102" spans="1:4" x14ac:dyDescent="0.2">
      <c r="A102" s="61">
        <v>1.5</v>
      </c>
      <c r="B102" s="61">
        <v>3</v>
      </c>
      <c r="C102" s="61">
        <v>1.5</v>
      </c>
      <c r="D102" s="61">
        <v>2</v>
      </c>
    </row>
    <row r="103" spans="1:4" x14ac:dyDescent="0.2">
      <c r="A103" s="61">
        <v>2</v>
      </c>
      <c r="B103" s="61">
        <v>2.5</v>
      </c>
      <c r="C103" s="61">
        <v>2</v>
      </c>
      <c r="D103" s="61">
        <v>3</v>
      </c>
    </row>
    <row r="104" spans="1:4" x14ac:dyDescent="0.2">
      <c r="A104" s="61">
        <v>2</v>
      </c>
      <c r="B104" s="61">
        <v>2</v>
      </c>
      <c r="C104" s="61">
        <v>2</v>
      </c>
      <c r="D104" s="61">
        <v>3</v>
      </c>
    </row>
    <row r="105" spans="1:4" x14ac:dyDescent="0.2">
      <c r="A105" s="61">
        <v>1.5</v>
      </c>
      <c r="B105" s="61">
        <v>3</v>
      </c>
      <c r="C105" s="61">
        <v>1.5</v>
      </c>
      <c r="D105" s="61">
        <v>1</v>
      </c>
    </row>
    <row r="106" spans="1:4" x14ac:dyDescent="0.2">
      <c r="A106" s="61">
        <v>1</v>
      </c>
      <c r="B106" s="61">
        <v>0</v>
      </c>
      <c r="C106" s="61">
        <v>2</v>
      </c>
      <c r="D106" s="61">
        <v>0.5</v>
      </c>
    </row>
    <row r="107" spans="1:4" x14ac:dyDescent="0.2">
      <c r="A107" s="61">
        <v>2</v>
      </c>
      <c r="B107" s="61">
        <v>0</v>
      </c>
      <c r="C107" s="61">
        <v>2</v>
      </c>
      <c r="D107" s="61">
        <v>0</v>
      </c>
    </row>
    <row r="108" spans="1:4" x14ac:dyDescent="0.2">
      <c r="A108" s="61">
        <v>0.5</v>
      </c>
      <c r="B108" s="61">
        <v>0</v>
      </c>
      <c r="C108" s="61">
        <v>2</v>
      </c>
      <c r="D108" s="61">
        <v>0</v>
      </c>
    </row>
    <row r="109" spans="1:4" x14ac:dyDescent="0.2">
      <c r="A109" s="61">
        <v>1.5</v>
      </c>
      <c r="B109" s="61">
        <v>3</v>
      </c>
      <c r="C109" s="61">
        <v>0</v>
      </c>
      <c r="D109" s="61">
        <v>2</v>
      </c>
    </row>
    <row r="110" spans="1:4" x14ac:dyDescent="0.2">
      <c r="A110" s="61">
        <v>2</v>
      </c>
      <c r="B110" s="61">
        <v>2</v>
      </c>
      <c r="C110" s="61">
        <v>1.5</v>
      </c>
      <c r="D110" s="61">
        <v>2</v>
      </c>
    </row>
    <row r="111" spans="1:4" x14ac:dyDescent="0.2">
      <c r="A111" s="61">
        <v>2</v>
      </c>
      <c r="B111" s="61">
        <v>3</v>
      </c>
      <c r="C111" s="61">
        <v>1.5</v>
      </c>
      <c r="D111" s="61">
        <v>3</v>
      </c>
    </row>
    <row r="112" spans="1:4" x14ac:dyDescent="0.2">
      <c r="A112" s="61">
        <v>2</v>
      </c>
      <c r="B112" s="61">
        <v>2.5</v>
      </c>
      <c r="C112" s="61">
        <v>2</v>
      </c>
      <c r="D112" s="61">
        <v>2</v>
      </c>
    </row>
    <row r="113" spans="1:6" x14ac:dyDescent="0.2">
      <c r="A113" s="61">
        <v>2</v>
      </c>
      <c r="B113" s="61">
        <v>3</v>
      </c>
      <c r="C113" s="61">
        <v>1.5</v>
      </c>
      <c r="D113" s="61">
        <v>0</v>
      </c>
    </row>
    <row r="114" spans="1:6" x14ac:dyDescent="0.2">
      <c r="A114" s="61">
        <v>1</v>
      </c>
      <c r="B114" s="61">
        <v>0</v>
      </c>
      <c r="C114" s="61">
        <v>1</v>
      </c>
      <c r="D114" s="61">
        <v>0</v>
      </c>
    </row>
    <row r="115" spans="1:6" x14ac:dyDescent="0.2">
      <c r="A115" s="61">
        <v>2</v>
      </c>
      <c r="B115" s="61">
        <v>0</v>
      </c>
      <c r="C115" s="61">
        <v>2</v>
      </c>
      <c r="D115" s="61">
        <v>0.5</v>
      </c>
    </row>
    <row r="116" spans="1:6" x14ac:dyDescent="0.2">
      <c r="A116" s="61">
        <v>2</v>
      </c>
      <c r="B116" s="61">
        <v>0</v>
      </c>
      <c r="C116" s="61">
        <v>2</v>
      </c>
      <c r="D116" s="61">
        <v>1</v>
      </c>
    </row>
    <row r="117" spans="1:6" x14ac:dyDescent="0.2">
      <c r="A117" s="61">
        <v>2</v>
      </c>
      <c r="B117" s="61">
        <v>3</v>
      </c>
      <c r="C117" s="61">
        <v>2</v>
      </c>
      <c r="D117" s="61">
        <v>1.5</v>
      </c>
    </row>
    <row r="118" spans="1:6" x14ac:dyDescent="0.2">
      <c r="A118" s="61">
        <v>2</v>
      </c>
      <c r="B118" s="61">
        <v>3</v>
      </c>
      <c r="C118" s="61">
        <v>2</v>
      </c>
      <c r="D118" s="61">
        <v>3</v>
      </c>
    </row>
    <row r="119" spans="1:6" x14ac:dyDescent="0.2">
      <c r="A119" s="61">
        <v>2</v>
      </c>
      <c r="B119" s="61">
        <v>1</v>
      </c>
      <c r="C119" s="61">
        <v>1</v>
      </c>
      <c r="D119" s="61">
        <v>1.5</v>
      </c>
    </row>
    <row r="121" spans="1:6" x14ac:dyDescent="0.2">
      <c r="A121" s="61">
        <v>4</v>
      </c>
      <c r="B121" s="61">
        <v>2</v>
      </c>
      <c r="C121" s="61">
        <v>2</v>
      </c>
      <c r="D121" s="61">
        <v>0.5</v>
      </c>
      <c r="E121" s="61">
        <v>0.5</v>
      </c>
      <c r="F121" s="61">
        <v>0.5</v>
      </c>
    </row>
    <row r="122" spans="1:6" x14ac:dyDescent="0.2">
      <c r="A122" s="61">
        <v>4</v>
      </c>
      <c r="B122" s="61">
        <v>0</v>
      </c>
      <c r="C122" s="61">
        <v>2.5</v>
      </c>
      <c r="D122" s="61">
        <v>0.5</v>
      </c>
      <c r="E122" s="61">
        <v>2</v>
      </c>
      <c r="F122" s="61">
        <v>3</v>
      </c>
    </row>
    <row r="123" spans="1:6" x14ac:dyDescent="0.2">
      <c r="A123" s="61">
        <v>4</v>
      </c>
      <c r="B123" s="61">
        <v>2</v>
      </c>
      <c r="C123" s="61">
        <v>3</v>
      </c>
      <c r="D123" s="61">
        <v>2</v>
      </c>
      <c r="E123" s="61">
        <v>3</v>
      </c>
      <c r="F123" s="61">
        <v>1.5</v>
      </c>
    </row>
    <row r="124" spans="1:6" x14ac:dyDescent="0.2">
      <c r="A124" s="61">
        <v>4</v>
      </c>
      <c r="B124" s="61">
        <v>2</v>
      </c>
      <c r="C124" s="61">
        <v>3.5</v>
      </c>
      <c r="D124" s="61">
        <v>0</v>
      </c>
      <c r="E124" s="61">
        <v>4</v>
      </c>
      <c r="F124" s="61">
        <v>2</v>
      </c>
    </row>
    <row r="125" spans="1:6" x14ac:dyDescent="0.2">
      <c r="A125" s="61">
        <v>4</v>
      </c>
      <c r="B125" s="61">
        <v>2</v>
      </c>
      <c r="C125" s="61">
        <v>3</v>
      </c>
      <c r="D125" s="61">
        <v>0</v>
      </c>
      <c r="E125" s="61">
        <v>3</v>
      </c>
      <c r="F125" s="61">
        <v>2.5</v>
      </c>
    </row>
    <row r="126" spans="1:6" x14ac:dyDescent="0.2">
      <c r="A126" s="61">
        <v>4</v>
      </c>
      <c r="B126" s="61">
        <v>3</v>
      </c>
      <c r="C126" s="61">
        <v>4</v>
      </c>
      <c r="D126" s="61">
        <v>2</v>
      </c>
      <c r="E126" s="61">
        <v>4</v>
      </c>
      <c r="F126" s="61">
        <v>3</v>
      </c>
    </row>
    <row r="127" spans="1:6" x14ac:dyDescent="0.2">
      <c r="A127" s="61">
        <v>4</v>
      </c>
      <c r="B127" s="61">
        <v>3</v>
      </c>
      <c r="C127" s="61">
        <v>3.5</v>
      </c>
      <c r="D127" s="61">
        <v>0.5</v>
      </c>
      <c r="E127" s="61">
        <v>4</v>
      </c>
      <c r="F127" s="61">
        <v>1</v>
      </c>
    </row>
    <row r="128" spans="1:6" x14ac:dyDescent="0.2">
      <c r="A128" s="61">
        <v>3.5</v>
      </c>
      <c r="B128" s="61">
        <v>2</v>
      </c>
      <c r="C128" s="61">
        <v>3.5</v>
      </c>
      <c r="D128" s="61">
        <v>2</v>
      </c>
      <c r="E128" s="61">
        <v>2</v>
      </c>
      <c r="F128" s="61">
        <v>3</v>
      </c>
    </row>
    <row r="129" spans="1:6" x14ac:dyDescent="0.2">
      <c r="A129" s="61">
        <v>2</v>
      </c>
      <c r="B129" s="61">
        <v>0</v>
      </c>
      <c r="C129" s="61">
        <v>1</v>
      </c>
      <c r="D129" s="61">
        <v>1</v>
      </c>
      <c r="E129" s="61">
        <v>0</v>
      </c>
      <c r="F129" s="61">
        <v>2</v>
      </c>
    </row>
    <row r="130" spans="1:6" x14ac:dyDescent="0.2">
      <c r="A130" s="61">
        <v>2.5</v>
      </c>
      <c r="B130" s="61">
        <v>1</v>
      </c>
      <c r="C130" s="61">
        <v>3</v>
      </c>
      <c r="D130" s="61">
        <v>2</v>
      </c>
      <c r="E130" s="61">
        <v>0</v>
      </c>
      <c r="F130" s="61">
        <v>0.5</v>
      </c>
    </row>
    <row r="131" spans="1:6" x14ac:dyDescent="0.2">
      <c r="A131" s="61">
        <v>4</v>
      </c>
      <c r="B131" s="61">
        <v>3</v>
      </c>
      <c r="C131" s="61">
        <v>2</v>
      </c>
      <c r="D131" s="61">
        <v>2</v>
      </c>
      <c r="E131" s="61">
        <v>2</v>
      </c>
      <c r="F131" s="61">
        <v>3</v>
      </c>
    </row>
    <row r="132" spans="1:6" x14ac:dyDescent="0.2">
      <c r="A132" s="61">
        <v>4</v>
      </c>
      <c r="B132" s="61">
        <v>2</v>
      </c>
      <c r="C132" s="61">
        <v>3</v>
      </c>
      <c r="D132" s="61">
        <v>2</v>
      </c>
      <c r="E132" s="61">
        <v>2</v>
      </c>
      <c r="F132" s="61">
        <v>3</v>
      </c>
    </row>
    <row r="133" spans="1:6" x14ac:dyDescent="0.2">
      <c r="A133" s="61">
        <v>3</v>
      </c>
      <c r="B133" s="61">
        <v>0</v>
      </c>
      <c r="C133" s="61">
        <v>0</v>
      </c>
      <c r="D133" s="61">
        <v>0</v>
      </c>
      <c r="E133" s="61">
        <v>0</v>
      </c>
      <c r="F133" s="61">
        <v>0</v>
      </c>
    </row>
    <row r="134" spans="1:6" x14ac:dyDescent="0.2">
      <c r="A134" s="61">
        <v>4</v>
      </c>
      <c r="B134" s="61">
        <v>3</v>
      </c>
      <c r="C134" s="61">
        <v>2</v>
      </c>
      <c r="D134" s="61">
        <v>2</v>
      </c>
      <c r="E134" s="61">
        <v>3.5</v>
      </c>
      <c r="F134" s="61">
        <v>2.5</v>
      </c>
    </row>
    <row r="135" spans="1:6" x14ac:dyDescent="0.2">
      <c r="A135" s="61">
        <v>4</v>
      </c>
      <c r="B135" s="61">
        <v>1</v>
      </c>
      <c r="C135" s="61">
        <v>1</v>
      </c>
      <c r="D135" s="61">
        <v>0.5</v>
      </c>
      <c r="E135" s="61">
        <v>0</v>
      </c>
      <c r="F135" s="61">
        <v>1.5</v>
      </c>
    </row>
    <row r="136" spans="1:6" x14ac:dyDescent="0.2">
      <c r="A136" s="61">
        <v>4</v>
      </c>
      <c r="B136" s="61">
        <v>0.5</v>
      </c>
      <c r="C136" s="61">
        <v>1</v>
      </c>
      <c r="D136" s="61">
        <v>0.5</v>
      </c>
      <c r="E136" s="61">
        <v>0</v>
      </c>
      <c r="F136" s="61">
        <v>0.5</v>
      </c>
    </row>
    <row r="137" spans="1:6" x14ac:dyDescent="0.2">
      <c r="A137" s="61">
        <v>2</v>
      </c>
      <c r="B137" s="61">
        <v>0</v>
      </c>
      <c r="C137" s="61">
        <v>1</v>
      </c>
      <c r="D137" s="61">
        <v>1.5</v>
      </c>
      <c r="E137" s="61">
        <v>0</v>
      </c>
      <c r="F137" s="61">
        <v>0</v>
      </c>
    </row>
    <row r="138" spans="1:6" x14ac:dyDescent="0.2">
      <c r="A138" s="61">
        <v>4</v>
      </c>
      <c r="B138" s="61">
        <v>3</v>
      </c>
      <c r="C138" s="61">
        <v>3</v>
      </c>
      <c r="D138" s="61">
        <v>0</v>
      </c>
      <c r="E138" s="61">
        <v>4</v>
      </c>
      <c r="F138" s="61">
        <v>0</v>
      </c>
    </row>
    <row r="139" spans="1:6" x14ac:dyDescent="0.2">
      <c r="A139" s="61">
        <v>4</v>
      </c>
      <c r="B139" s="61">
        <v>1</v>
      </c>
      <c r="C139" s="61">
        <v>3</v>
      </c>
      <c r="D139" s="61">
        <v>2</v>
      </c>
      <c r="E139" s="61">
        <v>3.5</v>
      </c>
      <c r="F139" s="61">
        <v>2</v>
      </c>
    </row>
    <row r="140" spans="1:6" x14ac:dyDescent="0.2">
      <c r="A140" s="61">
        <v>4</v>
      </c>
      <c r="B140" s="61">
        <v>2</v>
      </c>
      <c r="C140" s="61">
        <v>3</v>
      </c>
      <c r="D140" s="61">
        <v>2</v>
      </c>
      <c r="E140" s="61">
        <v>4</v>
      </c>
      <c r="F140" s="61">
        <v>2</v>
      </c>
    </row>
    <row r="141" spans="1:6" x14ac:dyDescent="0.2">
      <c r="A141" s="61">
        <v>4</v>
      </c>
      <c r="B141" s="61">
        <v>3</v>
      </c>
      <c r="C141" s="61">
        <v>4</v>
      </c>
      <c r="D141" s="61">
        <v>2</v>
      </c>
      <c r="E141" s="61">
        <v>3</v>
      </c>
      <c r="F141" s="61">
        <v>3</v>
      </c>
    </row>
    <row r="142" spans="1:6" x14ac:dyDescent="0.2">
      <c r="A142" s="61">
        <v>4</v>
      </c>
      <c r="B142" s="61">
        <v>2</v>
      </c>
      <c r="C142" s="61">
        <v>4</v>
      </c>
      <c r="D142" s="61">
        <v>2</v>
      </c>
      <c r="E142" s="61">
        <v>2.5</v>
      </c>
      <c r="F142" s="61">
        <v>3</v>
      </c>
    </row>
    <row r="143" spans="1:6" x14ac:dyDescent="0.2">
      <c r="A143" s="61">
        <v>4</v>
      </c>
      <c r="B143" s="61">
        <v>0</v>
      </c>
      <c r="C143" s="61">
        <v>2</v>
      </c>
      <c r="D143" s="61">
        <v>0.5</v>
      </c>
      <c r="E143" s="61">
        <v>0</v>
      </c>
      <c r="F143" s="61">
        <v>0</v>
      </c>
    </row>
    <row r="147" spans="1:5" x14ac:dyDescent="0.2">
      <c r="A147" s="61" t="s">
        <v>120</v>
      </c>
      <c r="C147" s="61" t="s">
        <v>120</v>
      </c>
    </row>
    <row r="148" spans="1:5" x14ac:dyDescent="0.2">
      <c r="A148" s="61" t="s">
        <v>120</v>
      </c>
      <c r="D148" s="61" t="s">
        <v>120</v>
      </c>
    </row>
    <row r="149" spans="1:5" x14ac:dyDescent="0.2">
      <c r="D149" s="61" t="s">
        <v>120</v>
      </c>
      <c r="E149" s="61" t="s">
        <v>120</v>
      </c>
    </row>
    <row r="150" spans="1:5" x14ac:dyDescent="0.2">
      <c r="A150" s="61" t="s">
        <v>120</v>
      </c>
      <c r="B150" s="61" t="s">
        <v>120</v>
      </c>
      <c r="C150" s="61" t="s">
        <v>120</v>
      </c>
    </row>
    <row r="151" spans="1:5" x14ac:dyDescent="0.2">
      <c r="A151" s="61" t="s">
        <v>120</v>
      </c>
      <c r="D151" s="61" t="s">
        <v>120</v>
      </c>
    </row>
    <row r="152" spans="1:5" x14ac:dyDescent="0.2">
      <c r="B152" s="61" t="s">
        <v>120</v>
      </c>
      <c r="C152" s="61" t="s">
        <v>120</v>
      </c>
      <c r="D152" s="61" t="s">
        <v>120</v>
      </c>
    </row>
    <row r="153" spans="1:5" x14ac:dyDescent="0.2">
      <c r="B153" s="61" t="s">
        <v>120</v>
      </c>
      <c r="C153" s="61" t="s">
        <v>120</v>
      </c>
      <c r="E153" s="61" t="s">
        <v>120</v>
      </c>
    </row>
    <row r="154" spans="1:5" x14ac:dyDescent="0.2">
      <c r="D154" s="61" t="s">
        <v>120</v>
      </c>
      <c r="E154" s="61" t="s">
        <v>120</v>
      </c>
    </row>
    <row r="155" spans="1:5" x14ac:dyDescent="0.2">
      <c r="A155" s="61" t="s">
        <v>120</v>
      </c>
      <c r="B155" s="61" t="s">
        <v>120</v>
      </c>
      <c r="C155" s="61" t="s">
        <v>120</v>
      </c>
    </row>
    <row r="156" spans="1:5" x14ac:dyDescent="0.2">
      <c r="B156" s="61" t="s">
        <v>120</v>
      </c>
      <c r="C156" s="61" t="s">
        <v>120</v>
      </c>
      <c r="D156" s="61" t="s">
        <v>120</v>
      </c>
    </row>
    <row r="157" spans="1:5" x14ac:dyDescent="0.2">
      <c r="A157" s="61" t="s">
        <v>120</v>
      </c>
      <c r="D157" s="61" t="s">
        <v>120</v>
      </c>
    </row>
    <row r="158" spans="1:5" x14ac:dyDescent="0.2">
      <c r="A158" s="61" t="s">
        <v>120</v>
      </c>
      <c r="D158" s="61" t="s">
        <v>120</v>
      </c>
    </row>
    <row r="159" spans="1:5" x14ac:dyDescent="0.2">
      <c r="A159" s="61" t="s">
        <v>120</v>
      </c>
      <c r="E159" s="61" t="s">
        <v>120</v>
      </c>
    </row>
    <row r="160" spans="1:5" x14ac:dyDescent="0.2">
      <c r="D160" s="61" t="s">
        <v>120</v>
      </c>
      <c r="E160" s="61" t="s">
        <v>120</v>
      </c>
    </row>
    <row r="161" spans="1:5" x14ac:dyDescent="0.2">
      <c r="B161" s="61" t="s">
        <v>120</v>
      </c>
      <c r="C161" s="61" t="s">
        <v>120</v>
      </c>
      <c r="E161" s="61" t="s">
        <v>120</v>
      </c>
    </row>
    <row r="162" spans="1:5" x14ac:dyDescent="0.2">
      <c r="B162" s="61" t="s">
        <v>120</v>
      </c>
      <c r="C162" s="61" t="s">
        <v>120</v>
      </c>
      <c r="D162" s="61" t="s">
        <v>120</v>
      </c>
    </row>
    <row r="163" spans="1:5" x14ac:dyDescent="0.2">
      <c r="A163" s="61" t="s">
        <v>120</v>
      </c>
      <c r="D163" s="61" t="s">
        <v>120</v>
      </c>
    </row>
    <row r="164" spans="1:5" x14ac:dyDescent="0.2">
      <c r="D164" s="61" t="s">
        <v>120</v>
      </c>
      <c r="E164" s="61" t="s">
        <v>120</v>
      </c>
    </row>
    <row r="165" spans="1:5" x14ac:dyDescent="0.2">
      <c r="D165" s="61" t="s">
        <v>120</v>
      </c>
      <c r="E165" s="61" t="s">
        <v>120</v>
      </c>
    </row>
    <row r="166" spans="1:5" x14ac:dyDescent="0.2">
      <c r="A166" s="61" t="s">
        <v>120</v>
      </c>
      <c r="B166" s="61" t="s">
        <v>120</v>
      </c>
      <c r="C166" s="61" t="s">
        <v>120</v>
      </c>
    </row>
    <row r="167" spans="1:5" x14ac:dyDescent="0.2">
      <c r="A167" s="61" t="s">
        <v>120</v>
      </c>
      <c r="B167" s="61" t="s">
        <v>120</v>
      </c>
      <c r="C167" s="61" t="s">
        <v>120</v>
      </c>
    </row>
    <row r="168" spans="1:5" x14ac:dyDescent="0.2">
      <c r="A168" s="61" t="s">
        <v>120</v>
      </c>
      <c r="E168" s="61" t="s">
        <v>120</v>
      </c>
    </row>
    <row r="169" spans="1:5" x14ac:dyDescent="0.2">
      <c r="A169" s="61" t="s">
        <v>120</v>
      </c>
      <c r="D169" s="61" t="s">
        <v>120</v>
      </c>
    </row>
    <row r="173" spans="1:5" x14ac:dyDescent="0.2">
      <c r="A173" s="61">
        <v>4</v>
      </c>
      <c r="B173" s="61">
        <v>1</v>
      </c>
      <c r="C173" s="61">
        <v>3</v>
      </c>
    </row>
    <row r="174" spans="1:5" x14ac:dyDescent="0.2">
      <c r="A174" s="61">
        <v>3</v>
      </c>
      <c r="D174" s="61">
        <v>4</v>
      </c>
    </row>
    <row r="175" spans="1:5" x14ac:dyDescent="0.2">
      <c r="D175" s="61">
        <v>5</v>
      </c>
      <c r="E175" s="61">
        <v>3</v>
      </c>
    </row>
    <row r="176" spans="1:5" x14ac:dyDescent="0.2">
      <c r="A176" s="61">
        <v>1</v>
      </c>
      <c r="B176" s="61">
        <v>2</v>
      </c>
      <c r="C176" s="61">
        <v>3</v>
      </c>
    </row>
    <row r="177" spans="1:5" x14ac:dyDescent="0.2">
      <c r="A177" s="61">
        <v>1</v>
      </c>
      <c r="D177" s="61">
        <v>5</v>
      </c>
    </row>
    <row r="178" spans="1:5" x14ac:dyDescent="0.2">
      <c r="B178" s="61">
        <v>2</v>
      </c>
      <c r="C178" s="61">
        <v>3</v>
      </c>
      <c r="D178" s="61">
        <v>3</v>
      </c>
    </row>
    <row r="179" spans="1:5" x14ac:dyDescent="0.2">
      <c r="B179" s="61">
        <v>1</v>
      </c>
      <c r="C179" s="61">
        <v>2</v>
      </c>
      <c r="E179" s="61">
        <v>4</v>
      </c>
    </row>
    <row r="180" spans="1:5" x14ac:dyDescent="0.2">
      <c r="D180" s="61">
        <v>4</v>
      </c>
      <c r="E180" s="61">
        <v>3</v>
      </c>
    </row>
    <row r="181" spans="1:5" x14ac:dyDescent="0.2">
      <c r="A181" s="61">
        <v>5</v>
      </c>
      <c r="B181" s="61">
        <v>2</v>
      </c>
      <c r="C181" s="61">
        <v>1</v>
      </c>
    </row>
    <row r="182" spans="1:5" x14ac:dyDescent="0.2">
      <c r="B182" s="61">
        <v>1</v>
      </c>
      <c r="C182" s="61">
        <v>2</v>
      </c>
      <c r="D182" s="61">
        <v>5</v>
      </c>
    </row>
    <row r="183" spans="1:5" x14ac:dyDescent="0.2">
      <c r="A183" s="61">
        <v>2</v>
      </c>
      <c r="D183" s="61">
        <v>4</v>
      </c>
    </row>
    <row r="184" spans="1:5" x14ac:dyDescent="0.2">
      <c r="A184" s="61">
        <v>5</v>
      </c>
      <c r="D184" s="61">
        <v>1</v>
      </c>
    </row>
    <row r="185" spans="1:5" x14ac:dyDescent="0.2">
      <c r="A185" s="61">
        <v>3</v>
      </c>
      <c r="E185" s="61">
        <v>5</v>
      </c>
    </row>
    <row r="186" spans="1:5" x14ac:dyDescent="0.2">
      <c r="D186" s="61">
        <v>4</v>
      </c>
      <c r="E186" s="61">
        <v>3</v>
      </c>
    </row>
    <row r="187" spans="1:5" x14ac:dyDescent="0.2">
      <c r="B187" s="61">
        <v>1</v>
      </c>
      <c r="C187" s="61">
        <v>2</v>
      </c>
      <c r="E187" s="61">
        <v>1</v>
      </c>
    </row>
    <row r="188" spans="1:5" x14ac:dyDescent="0.2">
      <c r="B188" s="61">
        <v>1</v>
      </c>
      <c r="C188" s="61">
        <v>2</v>
      </c>
      <c r="D188" s="61">
        <v>5</v>
      </c>
    </row>
    <row r="189" spans="1:5" x14ac:dyDescent="0.2">
      <c r="A189" s="61">
        <v>5</v>
      </c>
      <c r="D189" s="61">
        <v>5</v>
      </c>
    </row>
    <row r="190" spans="1:5" x14ac:dyDescent="0.2">
      <c r="D190" s="61">
        <v>3</v>
      </c>
      <c r="E190" s="61">
        <v>4</v>
      </c>
    </row>
    <row r="191" spans="1:5" x14ac:dyDescent="0.2">
      <c r="D191" s="61">
        <v>5</v>
      </c>
      <c r="E191" s="61">
        <v>3</v>
      </c>
    </row>
    <row r="192" spans="1:5" x14ac:dyDescent="0.2">
      <c r="A192" s="61">
        <v>5</v>
      </c>
      <c r="B192" s="61">
        <v>2</v>
      </c>
      <c r="C192" s="61">
        <v>3</v>
      </c>
    </row>
    <row r="193" spans="1:5" x14ac:dyDescent="0.2">
      <c r="A193" s="61">
        <v>5</v>
      </c>
      <c r="B193" s="61">
        <v>2</v>
      </c>
      <c r="C193" s="61">
        <v>3</v>
      </c>
    </row>
    <row r="194" spans="1:5" x14ac:dyDescent="0.2">
      <c r="A194" s="61">
        <v>2</v>
      </c>
      <c r="E194" s="61">
        <v>5</v>
      </c>
    </row>
    <row r="195" spans="1:5" x14ac:dyDescent="0.2">
      <c r="A195" s="61">
        <v>3</v>
      </c>
      <c r="D195" s="61">
        <v>5</v>
      </c>
    </row>
  </sheetData>
  <pageMargins left="0.7" right="0.7" top="0.78740157499999996" bottom="0.78740157499999996"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7</vt:i4>
      </vt:variant>
    </vt:vector>
  </HeadingPairs>
  <TitlesOfParts>
    <vt:vector size="19" baseType="lpstr">
      <vt:lpstr>Noten</vt:lpstr>
      <vt:lpstr>Analysis A</vt:lpstr>
      <vt:lpstr>Analysis B</vt:lpstr>
      <vt:lpstr>Stochastik A</vt:lpstr>
      <vt:lpstr>Stochastik B</vt:lpstr>
      <vt:lpstr>Geometrie A</vt:lpstr>
      <vt:lpstr>Geometrie B</vt:lpstr>
      <vt:lpstr>Wahlaufgaben</vt:lpstr>
      <vt:lpstr>ConfigW</vt:lpstr>
      <vt:lpstr>Config</vt:lpstr>
      <vt:lpstr>Notenspiegel</vt:lpstr>
      <vt:lpstr>TestData</vt:lpstr>
      <vt:lpstr>'Analysis A'!PupilBlock</vt:lpstr>
      <vt:lpstr>'Analysis B'!PupilBlock</vt:lpstr>
      <vt:lpstr>'Geometrie A'!PupilBlock</vt:lpstr>
      <vt:lpstr>'Geometrie B'!PupilBlock</vt:lpstr>
      <vt:lpstr>'Stochastik A'!PupilBlock</vt:lpstr>
      <vt:lpstr>'Stochastik B'!PupilBlock</vt:lpstr>
      <vt:lpstr>Wahlaufgaben!PupilBlock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Gesamtnote schr : mündl  = 1:1</dc:title>
  <dc:subject>Berechnung der Note</dc:subject>
  <dc:creator/>
  <cp:lastModifiedBy>Marcel Krausert</cp:lastModifiedBy>
  <cp:lastPrinted>2026-03-29T21:52:00Z</cp:lastPrinted>
  <dcterms:created xsi:type="dcterms:W3CDTF">2006-06-24T21:29:52Z</dcterms:created>
  <dcterms:modified xsi:type="dcterms:W3CDTF">2026-05-05T06:37:29Z</dcterms:modified>
</cp:coreProperties>
</file>