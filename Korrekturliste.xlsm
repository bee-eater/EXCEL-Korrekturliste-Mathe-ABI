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3642632F-D16A-4964-8CD5-F3710406FDBA}" xr6:coauthVersionLast="47" xr6:coauthVersionMax="47" xr10:uidLastSave="{00000000-0000-0000-0000-000000000000}"/>
  <bookViews>
    <workbookView xWindow="-108" yWindow="-108" windowWidth="30936" windowHeight="16776" activeTab="9" xr2:uid="{00000000-000D-0000-FFFF-FFFF00000000}"/>
  </bookViews>
  <sheets>
    <sheet name="Noten" sheetId="2771" r:id="rId1"/>
    <sheet name="Analysis A" sheetId="2764" r:id="rId2"/>
    <sheet name="Analysis B" sheetId="2765" r:id="rId3"/>
    <sheet name="Stochastik A" sheetId="2766" r:id="rId4"/>
    <sheet name="Stochastik B" sheetId="2767" r:id="rId5"/>
    <sheet name="Geometrie A" sheetId="2768" r:id="rId6"/>
    <sheet name="Geometrie B" sheetId="2769" r:id="rId7"/>
    <sheet name="Wahlaufgaben" sheetId="2770" r:id="rId8"/>
    <sheet name="ConfigW" sheetId="2772" r:id="rId9"/>
    <sheet name="Config" sheetId="14" r:id="rId10"/>
    <sheet name="Notenspiegel" sheetId="11" r:id="rId11"/>
    <sheet name="TestData" sheetId="1707" state="hidden" r:id="rId12"/>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2771" l="1"/>
  <c r="C7" i="2764"/>
  <c r="J7" i="2764"/>
  <c r="D7" i="2771"/>
  <c r="C7" i="2765"/>
  <c r="N7" i="2765"/>
  <c r="E7" i="2771"/>
  <c r="C7" i="2766"/>
  <c r="E7" i="2766"/>
  <c r="F7" i="2771"/>
  <c r="C7" i="2767"/>
  <c r="I7" i="2767"/>
  <c r="G7" i="2771"/>
  <c r="C7" i="2768"/>
  <c r="F7" i="2768"/>
  <c r="H7" i="2771"/>
  <c r="C7" i="2769"/>
  <c r="I7" i="2769"/>
  <c r="I7" i="2771"/>
  <c r="C7" i="2770"/>
  <c r="I7" i="2770"/>
  <c r="J7" i="2771"/>
  <c r="K7" i="2771"/>
  <c r="L7" i="2771"/>
  <c r="C8" i="2771"/>
  <c r="C8" i="2764"/>
  <c r="J8" i="2764"/>
  <c r="D8" i="2771"/>
  <c r="C8" i="2765"/>
  <c r="N8" i="2765"/>
  <c r="E8" i="2771"/>
  <c r="C8" i="2766"/>
  <c r="E8" i="2766"/>
  <c r="F8" i="2771"/>
  <c r="C8" i="2767"/>
  <c r="I8" i="2767"/>
  <c r="G8" i="2771"/>
  <c r="C8" i="2768"/>
  <c r="F8" i="2768"/>
  <c r="H8" i="2771"/>
  <c r="C8" i="2769"/>
  <c r="I8" i="2769"/>
  <c r="I8" i="2771"/>
  <c r="C8" i="2770"/>
  <c r="I8" i="2770"/>
  <c r="J8" i="2771"/>
  <c r="K8" i="2771"/>
  <c r="L8" i="2771"/>
  <c r="C9" i="2771"/>
  <c r="C9" i="2764"/>
  <c r="J9" i="2764"/>
  <c r="D9" i="2771"/>
  <c r="C9" i="2765"/>
  <c r="N9" i="2765"/>
  <c r="E9" i="2771"/>
  <c r="C9" i="2766"/>
  <c r="E9" i="2766"/>
  <c r="F9" i="2771"/>
  <c r="C9" i="2767"/>
  <c r="I9" i="2767"/>
  <c r="G9" i="2771"/>
  <c r="C9" i="2768"/>
  <c r="F9" i="2768"/>
  <c r="H9" i="2771"/>
  <c r="C9" i="2769"/>
  <c r="I9" i="2769"/>
  <c r="I9" i="2771"/>
  <c r="C9" i="2770"/>
  <c r="I9" i="2770"/>
  <c r="J9" i="2771"/>
  <c r="K9" i="2771"/>
  <c r="L9" i="2771"/>
  <c r="C10" i="2771"/>
  <c r="C10" i="2764"/>
  <c r="J10" i="2764"/>
  <c r="D10" i="2771"/>
  <c r="C10" i="2765"/>
  <c r="N10" i="2765"/>
  <c r="E10" i="2771"/>
  <c r="C10" i="2766"/>
  <c r="E10" i="2766"/>
  <c r="F10" i="2771"/>
  <c r="C10" i="2767"/>
  <c r="I10" i="2767"/>
  <c r="G10" i="2771"/>
  <c r="C10" i="2768"/>
  <c r="F10" i="2768"/>
  <c r="H10" i="2771"/>
  <c r="C10" i="2769"/>
  <c r="I10" i="2769"/>
  <c r="I10" i="2771"/>
  <c r="C10" i="2770"/>
  <c r="I10" i="2770"/>
  <c r="J10" i="2771"/>
  <c r="K10" i="2771"/>
  <c r="L10" i="2771"/>
  <c r="C11" i="2771"/>
  <c r="C11" i="2764"/>
  <c r="J11" i="2764"/>
  <c r="D11" i="2771"/>
  <c r="C11" i="2765"/>
  <c r="N11" i="2765"/>
  <c r="E11" i="2771"/>
  <c r="C11" i="2766"/>
  <c r="E11" i="2766"/>
  <c r="F11" i="2771"/>
  <c r="C11" i="2767"/>
  <c r="I11" i="2767"/>
  <c r="G11" i="2771"/>
  <c r="C11" i="2768"/>
  <c r="F11" i="2768"/>
  <c r="H11" i="2771"/>
  <c r="C11" i="2769"/>
  <c r="I11" i="2769"/>
  <c r="I11" i="2771"/>
  <c r="C11" i="2770"/>
  <c r="I11" i="2770"/>
  <c r="J11" i="2771"/>
  <c r="K11" i="2771"/>
  <c r="L11" i="2771"/>
  <c r="C12" i="2771"/>
  <c r="C12" i="2764"/>
  <c r="J12" i="2764"/>
  <c r="D12" i="2771"/>
  <c r="C12" i="2765"/>
  <c r="N12" i="2765"/>
  <c r="E12" i="2771"/>
  <c r="C12" i="2766"/>
  <c r="E12" i="2766"/>
  <c r="F12" i="2771"/>
  <c r="C12" i="2767"/>
  <c r="I12" i="2767"/>
  <c r="G12" i="2771"/>
  <c r="C12" i="2768"/>
  <c r="F12" i="2768"/>
  <c r="H12" i="2771"/>
  <c r="C12" i="2769"/>
  <c r="I12" i="2769"/>
  <c r="I12" i="2771"/>
  <c r="C12" i="2770"/>
  <c r="I12" i="2770"/>
  <c r="J12" i="2771"/>
  <c r="K12" i="2771"/>
  <c r="L12" i="2771"/>
  <c r="C13" i="2771"/>
  <c r="C13" i="2764"/>
  <c r="J13" i="2764"/>
  <c r="D13" i="2771"/>
  <c r="C13" i="2765"/>
  <c r="N13" i="2765"/>
  <c r="E13" i="2771"/>
  <c r="C13" i="2766"/>
  <c r="E13" i="2766"/>
  <c r="F13" i="2771"/>
  <c r="C13" i="2767"/>
  <c r="I13" i="2767"/>
  <c r="G13" i="2771"/>
  <c r="C13" i="2768"/>
  <c r="F13" i="2768"/>
  <c r="H13" i="2771"/>
  <c r="C13" i="2769"/>
  <c r="I13" i="2769"/>
  <c r="I13" i="2771"/>
  <c r="C13" i="2770"/>
  <c r="I13" i="2770"/>
  <c r="J13" i="2771"/>
  <c r="K13" i="2771"/>
  <c r="L13" i="2771"/>
  <c r="C14" i="2771"/>
  <c r="C14" i="2764"/>
  <c r="J14" i="2764"/>
  <c r="D14" i="2771"/>
  <c r="C14" i="2765"/>
  <c r="N14" i="2765"/>
  <c r="E14" i="2771"/>
  <c r="C14" i="2766"/>
  <c r="E14" i="2766"/>
  <c r="F14" i="2771"/>
  <c r="C14" i="2767"/>
  <c r="I14" i="2767"/>
  <c r="G14" i="2771"/>
  <c r="C14" i="2768"/>
  <c r="F14" i="2768"/>
  <c r="H14" i="2771"/>
  <c r="C14" i="2769"/>
  <c r="I14" i="2769"/>
  <c r="I14" i="2771"/>
  <c r="C14" i="2770"/>
  <c r="I14" i="2770"/>
  <c r="J14" i="2771"/>
  <c r="K14" i="2771"/>
  <c r="L14" i="2771"/>
  <c r="C15" i="2771"/>
  <c r="C15" i="2764"/>
  <c r="J15" i="2764"/>
  <c r="D15" i="2771"/>
  <c r="C15" i="2765"/>
  <c r="N15" i="2765"/>
  <c r="E15" i="2771"/>
  <c r="C15" i="2766"/>
  <c r="E15" i="2766"/>
  <c r="F15" i="2771"/>
  <c r="C15" i="2767"/>
  <c r="I15" i="2767"/>
  <c r="G15" i="2771"/>
  <c r="C15" i="2768"/>
  <c r="F15" i="2768"/>
  <c r="H15" i="2771"/>
  <c r="C15" i="2769"/>
  <c r="I15" i="2769"/>
  <c r="I15" i="2771"/>
  <c r="C15" i="2770"/>
  <c r="I15" i="2770"/>
  <c r="J15" i="2771"/>
  <c r="K15" i="2771"/>
  <c r="L15" i="2771"/>
  <c r="C16" i="2771"/>
  <c r="C16" i="2764"/>
  <c r="J16" i="2764"/>
  <c r="D16" i="2771"/>
  <c r="C16" i="2765"/>
  <c r="N16" i="2765"/>
  <c r="E16" i="2771"/>
  <c r="C16" i="2766"/>
  <c r="E16" i="2766"/>
  <c r="F16" i="2771"/>
  <c r="C16" i="2767"/>
  <c r="I16" i="2767"/>
  <c r="G16" i="2771"/>
  <c r="C16" i="2768"/>
  <c r="F16" i="2768"/>
  <c r="H16" i="2771"/>
  <c r="C16" i="2769"/>
  <c r="I16" i="2769"/>
  <c r="I16" i="2771"/>
  <c r="C16" i="2770"/>
  <c r="I16" i="2770"/>
  <c r="J16" i="2771"/>
  <c r="K16" i="2771"/>
  <c r="L16" i="2771"/>
  <c r="C17" i="2771"/>
  <c r="C17" i="2764"/>
  <c r="J17" i="2764"/>
  <c r="D17" i="2771"/>
  <c r="C17" i="2765"/>
  <c r="N17" i="2765"/>
  <c r="E17" i="2771"/>
  <c r="C17" i="2766"/>
  <c r="E17" i="2766"/>
  <c r="F17" i="2771"/>
  <c r="C17" i="2767"/>
  <c r="I17" i="2767"/>
  <c r="G17" i="2771"/>
  <c r="C17" i="2768"/>
  <c r="F17" i="2768"/>
  <c r="H17" i="2771"/>
  <c r="C17" i="2769"/>
  <c r="I17" i="2769"/>
  <c r="I17" i="2771"/>
  <c r="C17" i="2770"/>
  <c r="I17" i="2770"/>
  <c r="J17" i="2771"/>
  <c r="K17" i="2771"/>
  <c r="L17" i="2771"/>
  <c r="C18" i="2771"/>
  <c r="C18" i="2764"/>
  <c r="J18" i="2764"/>
  <c r="D18" i="2771"/>
  <c r="C18" i="2765"/>
  <c r="N18" i="2765"/>
  <c r="E18" i="2771"/>
  <c r="C18" i="2766"/>
  <c r="E18" i="2766"/>
  <c r="F18" i="2771"/>
  <c r="C18" i="2767"/>
  <c r="I18" i="2767"/>
  <c r="G18" i="2771"/>
  <c r="C18" i="2768"/>
  <c r="F18" i="2768"/>
  <c r="H18" i="2771"/>
  <c r="C18" i="2769"/>
  <c r="I18" i="2769"/>
  <c r="I18" i="2771"/>
  <c r="C18" i="2770"/>
  <c r="I18" i="2770"/>
  <c r="J18" i="2771"/>
  <c r="K18" i="2771"/>
  <c r="L18" i="2771"/>
  <c r="C19" i="2771"/>
  <c r="C19" i="2764"/>
  <c r="J19" i="2764"/>
  <c r="D19" i="2771"/>
  <c r="C19" i="2765"/>
  <c r="N19" i="2765"/>
  <c r="E19" i="2771"/>
  <c r="C19" i="2766"/>
  <c r="E19" i="2766"/>
  <c r="F19" i="2771"/>
  <c r="C19" i="2767"/>
  <c r="I19" i="2767"/>
  <c r="G19" i="2771"/>
  <c r="C19" i="2768"/>
  <c r="F19" i="2768"/>
  <c r="H19" i="2771"/>
  <c r="C19" i="2769"/>
  <c r="I19" i="2769"/>
  <c r="I19" i="2771"/>
  <c r="C19" i="2770"/>
  <c r="I19" i="2770"/>
  <c r="J19" i="2771"/>
  <c r="K19" i="2771"/>
  <c r="L19" i="2771"/>
  <c r="C20" i="2771"/>
  <c r="C20" i="2764"/>
  <c r="J20" i="2764"/>
  <c r="D20" i="2771"/>
  <c r="C20" i="2765"/>
  <c r="N20" i="2765"/>
  <c r="E20" i="2771"/>
  <c r="C20" i="2766"/>
  <c r="E20" i="2766"/>
  <c r="F20" i="2771"/>
  <c r="C20" i="2767"/>
  <c r="I20" i="2767"/>
  <c r="G20" i="2771"/>
  <c r="C20" i="2768"/>
  <c r="F20" i="2768"/>
  <c r="H20" i="2771"/>
  <c r="C20" i="2769"/>
  <c r="I20" i="2769"/>
  <c r="I20" i="2771"/>
  <c r="C20" i="2770"/>
  <c r="I20" i="2770"/>
  <c r="J20" i="2771"/>
  <c r="K20" i="2771"/>
  <c r="L20" i="2771"/>
  <c r="C21" i="2771"/>
  <c r="C21" i="2764"/>
  <c r="J21" i="2764"/>
  <c r="D21" i="2771"/>
  <c r="C21" i="2765"/>
  <c r="N21" i="2765"/>
  <c r="E21" i="2771"/>
  <c r="C21" i="2766"/>
  <c r="E21" i="2766"/>
  <c r="F21" i="2771"/>
  <c r="C21" i="2767"/>
  <c r="I21" i="2767"/>
  <c r="G21" i="2771"/>
  <c r="C21" i="2768"/>
  <c r="F21" i="2768"/>
  <c r="H21" i="2771"/>
  <c r="C21" i="2769"/>
  <c r="I21" i="2769"/>
  <c r="I21" i="2771"/>
  <c r="C21" i="2770"/>
  <c r="I21" i="2770"/>
  <c r="J21" i="2771"/>
  <c r="K21" i="2771"/>
  <c r="L21" i="2771"/>
  <c r="C22" i="2771"/>
  <c r="C22" i="2764"/>
  <c r="J22" i="2764"/>
  <c r="D22" i="2771"/>
  <c r="C22" i="2765"/>
  <c r="N22" i="2765"/>
  <c r="E22" i="2771"/>
  <c r="C22" i="2766"/>
  <c r="E22" i="2766"/>
  <c r="F22" i="2771"/>
  <c r="C22" i="2767"/>
  <c r="I22" i="2767"/>
  <c r="G22" i="2771"/>
  <c r="C22" i="2768"/>
  <c r="F22" i="2768"/>
  <c r="H22" i="2771"/>
  <c r="C22" i="2769"/>
  <c r="I22" i="2769"/>
  <c r="I22" i="2771"/>
  <c r="C22" i="2770"/>
  <c r="I22" i="2770"/>
  <c r="J22" i="2771"/>
  <c r="K22" i="2771"/>
  <c r="L22" i="2771"/>
  <c r="C23" i="2771"/>
  <c r="C23" i="2764"/>
  <c r="J23" i="2764"/>
  <c r="D23" i="2771"/>
  <c r="C23" i="2765"/>
  <c r="N23" i="2765"/>
  <c r="E23" i="2771"/>
  <c r="C23" i="2766"/>
  <c r="E23" i="2766"/>
  <c r="F23" i="2771"/>
  <c r="C23" i="2767"/>
  <c r="I23" i="2767"/>
  <c r="G23" i="2771"/>
  <c r="C23" i="2768"/>
  <c r="F23" i="2768"/>
  <c r="H23" i="2771"/>
  <c r="C23" i="2769"/>
  <c r="I23" i="2769"/>
  <c r="I23" i="2771"/>
  <c r="C23" i="2770"/>
  <c r="I23" i="2770"/>
  <c r="J23" i="2771"/>
  <c r="K23" i="2771"/>
  <c r="L23" i="2771"/>
  <c r="C24" i="2771"/>
  <c r="C24" i="2764"/>
  <c r="J24" i="2764"/>
  <c r="D24" i="2771"/>
  <c r="C24" i="2765"/>
  <c r="N24" i="2765"/>
  <c r="E24" i="2771"/>
  <c r="C24" i="2766"/>
  <c r="E24" i="2766"/>
  <c r="F24" i="2771"/>
  <c r="C24" i="2767"/>
  <c r="I24" i="2767"/>
  <c r="G24" i="2771"/>
  <c r="C24" i="2768"/>
  <c r="F24" i="2768"/>
  <c r="H24" i="2771"/>
  <c r="C24" i="2769"/>
  <c r="I24" i="2769"/>
  <c r="I24" i="2771"/>
  <c r="C24" i="2770"/>
  <c r="I24" i="2770"/>
  <c r="J24" i="2771"/>
  <c r="K24" i="2771"/>
  <c r="L24" i="2771"/>
  <c r="C25" i="2771"/>
  <c r="C25" i="2764"/>
  <c r="J25" i="2764"/>
  <c r="D25" i="2771"/>
  <c r="C25" i="2765"/>
  <c r="N25" i="2765"/>
  <c r="E25" i="2771"/>
  <c r="C25" i="2766"/>
  <c r="E25" i="2766"/>
  <c r="F25" i="2771"/>
  <c r="C25" i="2767"/>
  <c r="I25" i="2767"/>
  <c r="G25" i="2771"/>
  <c r="C25" i="2768"/>
  <c r="F25" i="2768"/>
  <c r="H25" i="2771"/>
  <c r="C25" i="2769"/>
  <c r="I25" i="2769"/>
  <c r="I25" i="2771"/>
  <c r="C25" i="2770"/>
  <c r="I25" i="2770"/>
  <c r="J25" i="2771"/>
  <c r="K25" i="2771"/>
  <c r="L25" i="2771"/>
  <c r="C26" i="2771"/>
  <c r="C26" i="2764"/>
  <c r="J26" i="2764"/>
  <c r="D26" i="2771"/>
  <c r="C26" i="2765"/>
  <c r="N26" i="2765"/>
  <c r="E26" i="2771"/>
  <c r="C26" i="2766"/>
  <c r="E26" i="2766"/>
  <c r="F26" i="2771"/>
  <c r="C26" i="2767"/>
  <c r="I26" i="2767"/>
  <c r="G26" i="2771"/>
  <c r="C26" i="2768"/>
  <c r="F26" i="2768"/>
  <c r="H26" i="2771"/>
  <c r="C26" i="2769"/>
  <c r="I26" i="2769"/>
  <c r="I26" i="2771"/>
  <c r="C26" i="2770"/>
  <c r="I26" i="2770"/>
  <c r="J26" i="2771"/>
  <c r="K26" i="2771"/>
  <c r="L26" i="2771"/>
  <c r="C27" i="2771"/>
  <c r="C27" i="2764"/>
  <c r="J27" i="2764"/>
  <c r="D27" i="2771"/>
  <c r="C27" i="2765"/>
  <c r="N27" i="2765"/>
  <c r="E27" i="2771"/>
  <c r="C27" i="2766"/>
  <c r="E27" i="2766"/>
  <c r="F27" i="2771"/>
  <c r="C27" i="2767"/>
  <c r="I27" i="2767"/>
  <c r="G27" i="2771"/>
  <c r="C27" i="2768"/>
  <c r="F27" i="2768"/>
  <c r="H27" i="2771"/>
  <c r="C27" i="2769"/>
  <c r="I27" i="2769"/>
  <c r="I27" i="2771"/>
  <c r="C27" i="2770"/>
  <c r="I27" i="2770"/>
  <c r="J27" i="2771"/>
  <c r="K27" i="2771"/>
  <c r="L27" i="2771"/>
  <c r="C28" i="2771"/>
  <c r="C28" i="2764"/>
  <c r="J28" i="2764"/>
  <c r="D28" i="2771"/>
  <c r="C28" i="2765"/>
  <c r="N28" i="2765"/>
  <c r="E28" i="2771"/>
  <c r="C28" i="2766"/>
  <c r="E28" i="2766"/>
  <c r="F28" i="2771"/>
  <c r="C28" i="2767"/>
  <c r="I28" i="2767"/>
  <c r="G28" i="2771"/>
  <c r="C28" i="2768"/>
  <c r="F28" i="2768"/>
  <c r="H28" i="2771"/>
  <c r="C28" i="2769"/>
  <c r="I28" i="2769"/>
  <c r="I28" i="2771"/>
  <c r="C28" i="2770"/>
  <c r="I28" i="2770"/>
  <c r="J28" i="2771"/>
  <c r="K28" i="2771"/>
  <c r="L28" i="2771"/>
  <c r="C29" i="2771"/>
  <c r="C29" i="2764"/>
  <c r="J29" i="2764"/>
  <c r="D29" i="2771"/>
  <c r="C29" i="2765"/>
  <c r="N29" i="2765"/>
  <c r="E29" i="2771"/>
  <c r="C29" i="2766"/>
  <c r="E29" i="2766"/>
  <c r="F29" i="2771"/>
  <c r="C29" i="2767"/>
  <c r="I29" i="2767"/>
  <c r="G29" i="2771"/>
  <c r="C29" i="2768"/>
  <c r="F29" i="2768"/>
  <c r="H29" i="2771"/>
  <c r="C29" i="2769"/>
  <c r="I29" i="2769"/>
  <c r="I29" i="2771"/>
  <c r="C29" i="2770"/>
  <c r="I29" i="2770"/>
  <c r="J29" i="2771"/>
  <c r="K29" i="2771"/>
  <c r="L29" i="2771"/>
  <c r="L30" i="2771"/>
  <c r="G21" i="14"/>
  <c r="I21" i="14"/>
  <c r="K21" i="14"/>
  <c r="M21" i="14"/>
  <c r="O21" i="14"/>
  <c r="Q21" i="14"/>
  <c r="H5" i="2772"/>
  <c r="G5" i="2772"/>
  <c r="F5" i="2772"/>
  <c r="E5" i="2772"/>
  <c r="D5" i="2772"/>
  <c r="C7" i="2772"/>
  <c r="C8" i="2772"/>
  <c r="C9" i="2772"/>
  <c r="C10" i="2772"/>
  <c r="C11" i="2772"/>
  <c r="C12" i="2772"/>
  <c r="C13" i="2772"/>
  <c r="C14" i="2772"/>
  <c r="C15" i="2772"/>
  <c r="C16" i="2772"/>
  <c r="C17" i="2772"/>
  <c r="C18" i="2772"/>
  <c r="C19" i="2772"/>
  <c r="C20" i="2772"/>
  <c r="C21" i="2772"/>
  <c r="C22" i="2772"/>
  <c r="C23" i="2772"/>
  <c r="C24" i="2772"/>
  <c r="C25" i="2772"/>
  <c r="C26" i="2772"/>
  <c r="C27" i="2772"/>
  <c r="C28" i="2772"/>
  <c r="C29" i="2772"/>
  <c r="B2" i="2772"/>
  <c r="E3" i="11"/>
  <c r="E33" i="11"/>
  <c r="E63" i="11"/>
  <c r="N7" i="2771"/>
  <c r="E15" i="11"/>
  <c r="N8" i="2771"/>
  <c r="N9" i="2771"/>
  <c r="N10" i="2771"/>
  <c r="N11" i="2771"/>
  <c r="N12" i="2771"/>
  <c r="N13" i="2771"/>
  <c r="N14" i="2771"/>
  <c r="N15" i="2771"/>
  <c r="N16" i="2771"/>
  <c r="N17" i="2771"/>
  <c r="N18" i="2771"/>
  <c r="N19" i="2771"/>
  <c r="N20" i="2771"/>
  <c r="N21" i="2771"/>
  <c r="N22" i="2771"/>
  <c r="N23" i="2771"/>
  <c r="N24" i="2771"/>
  <c r="N25" i="2771"/>
  <c r="N26" i="2771"/>
  <c r="N27" i="2771"/>
  <c r="N28" i="2771"/>
  <c r="N29" i="2771"/>
  <c r="D6" i="2771"/>
  <c r="D30" i="2771"/>
  <c r="E6" i="2771"/>
  <c r="E30" i="2771"/>
  <c r="F6" i="2771"/>
  <c r="F30" i="2771"/>
  <c r="G6" i="2771"/>
  <c r="G30" i="2771"/>
  <c r="H6" i="2771"/>
  <c r="H30" i="2771"/>
  <c r="I6" i="2771"/>
  <c r="I30" i="2771"/>
  <c r="J6" i="2771"/>
  <c r="J30" i="2771"/>
  <c r="M7" i="2771"/>
  <c r="M8" i="2771"/>
  <c r="M9" i="2771"/>
  <c r="M10" i="2771"/>
  <c r="M11" i="2771"/>
  <c r="M12" i="2771"/>
  <c r="M13" i="2771"/>
  <c r="M14" i="2771"/>
  <c r="M15" i="2771"/>
  <c r="M16" i="2771"/>
  <c r="M17" i="2771"/>
  <c r="M18" i="2771"/>
  <c r="M19" i="2771"/>
  <c r="M20" i="2771"/>
  <c r="M21" i="2771"/>
  <c r="M22" i="2771"/>
  <c r="M23" i="2771"/>
  <c r="M24" i="2771"/>
  <c r="M25" i="2771"/>
  <c r="M26" i="2771"/>
  <c r="M27" i="2771"/>
  <c r="M28" i="2771"/>
  <c r="M29" i="2771"/>
  <c r="K6" i="2771"/>
  <c r="M2" i="2771"/>
  <c r="B2" i="2771"/>
  <c r="D30" i="2770"/>
  <c r="E30" i="2770"/>
  <c r="F30" i="2770"/>
  <c r="G30" i="2770"/>
  <c r="H30" i="2770"/>
  <c r="I6" i="2770"/>
  <c r="D6" i="2770"/>
  <c r="E6" i="2770"/>
  <c r="F6" i="2770"/>
  <c r="G6" i="2770"/>
  <c r="H6" i="2770"/>
  <c r="D5" i="2770"/>
  <c r="E5" i="2770"/>
  <c r="F5" i="2770"/>
  <c r="G5" i="2770"/>
  <c r="H5" i="2770"/>
  <c r="I2" i="2770"/>
  <c r="B2" i="2770"/>
  <c r="D30" i="2769"/>
  <c r="E30" i="2769"/>
  <c r="F30" i="2769"/>
  <c r="G30" i="2769"/>
  <c r="H30" i="2769"/>
  <c r="I6" i="2769"/>
  <c r="D6" i="2769"/>
  <c r="E6" i="2769"/>
  <c r="F6" i="2769"/>
  <c r="G6" i="2769"/>
  <c r="H6" i="2769"/>
  <c r="D5" i="2769"/>
  <c r="E5" i="2769"/>
  <c r="F5" i="2769"/>
  <c r="G5" i="2769"/>
  <c r="H5" i="2769"/>
  <c r="I2" i="2769"/>
  <c r="B2" i="2769"/>
  <c r="D30" i="2768"/>
  <c r="E30" i="2768"/>
  <c r="F6" i="2768"/>
  <c r="D6" i="2768"/>
  <c r="E6" i="2768"/>
  <c r="D5" i="2768"/>
  <c r="E5" i="2768"/>
  <c r="F2" i="2768"/>
  <c r="B2" i="2768"/>
  <c r="D30" i="2767"/>
  <c r="E30" i="2767"/>
  <c r="F30" i="2767"/>
  <c r="G30" i="2767"/>
  <c r="H30" i="2767"/>
  <c r="I6" i="2767"/>
  <c r="D6" i="2767"/>
  <c r="E6" i="2767"/>
  <c r="F6" i="2767"/>
  <c r="G6" i="2767"/>
  <c r="H6" i="2767"/>
  <c r="D5" i="2767"/>
  <c r="E5" i="2767"/>
  <c r="F5" i="2767"/>
  <c r="G5" i="2767"/>
  <c r="H5" i="2767"/>
  <c r="I2" i="2767"/>
  <c r="B2" i="2767"/>
  <c r="D30" i="2766"/>
  <c r="E6" i="2766"/>
  <c r="D6" i="2766"/>
  <c r="D5" i="2766"/>
  <c r="E2" i="2766"/>
  <c r="B2" i="2766"/>
  <c r="D6" i="2765"/>
  <c r="D30" i="2765"/>
  <c r="E6" i="2765"/>
  <c r="E30" i="2765"/>
  <c r="F6" i="2765"/>
  <c r="F30" i="2765"/>
  <c r="G6" i="2765"/>
  <c r="G30" i="2765"/>
  <c r="H6" i="2765"/>
  <c r="H30" i="2765"/>
  <c r="I6" i="2765"/>
  <c r="I30" i="2765"/>
  <c r="J6" i="2765"/>
  <c r="J30" i="2765"/>
  <c r="K6" i="2765"/>
  <c r="K30" i="2765"/>
  <c r="L6" i="2765"/>
  <c r="L30" i="2765"/>
  <c r="M6" i="2765"/>
  <c r="M30" i="2765"/>
  <c r="N6" i="2765"/>
  <c r="D5" i="2765"/>
  <c r="E5" i="2765"/>
  <c r="F5" i="2765"/>
  <c r="G5" i="2765"/>
  <c r="H5" i="2765"/>
  <c r="I5" i="2765"/>
  <c r="J5" i="2765"/>
  <c r="K5" i="2765"/>
  <c r="L5" i="2765"/>
  <c r="M5" i="2765"/>
  <c r="N2" i="2765"/>
  <c r="B2" i="2765"/>
  <c r="D6" i="2764"/>
  <c r="D30" i="2764"/>
  <c r="E6" i="2764"/>
  <c r="E30" i="2764"/>
  <c r="F6" i="2764"/>
  <c r="F30" i="2764"/>
  <c r="G6" i="2764"/>
  <c r="G30" i="2764"/>
  <c r="H6" i="2764"/>
  <c r="H30" i="2764"/>
  <c r="I6" i="2764"/>
  <c r="I30" i="2764"/>
  <c r="J6" i="2764"/>
  <c r="D5" i="2764"/>
  <c r="E5" i="2764"/>
  <c r="F5" i="2764"/>
  <c r="G5" i="2764"/>
  <c r="H5" i="2764"/>
  <c r="I5" i="2764"/>
  <c r="J2" i="2764"/>
  <c r="B2" i="2764"/>
  <c r="E17" i="11"/>
  <c r="E49" i="11"/>
  <c r="E59" i="11"/>
  <c r="E79" i="11"/>
  <c r="E85" i="11"/>
  <c r="E98" i="11"/>
  <c r="E114" i="11"/>
  <c r="E23" i="11"/>
  <c r="E65" i="11"/>
  <c r="E75" i="11"/>
  <c r="E86" i="11"/>
  <c r="E96" i="11"/>
  <c r="E125" i="11"/>
  <c r="E139" i="11"/>
  <c r="E30" i="11"/>
  <c r="E83" i="11"/>
  <c r="E91" i="11"/>
  <c r="E103" i="11"/>
  <c r="E113" i="11"/>
  <c r="E145" i="11"/>
  <c r="E165" i="11"/>
  <c r="E76" i="11"/>
  <c r="E82" i="11"/>
  <c r="E95" i="11"/>
  <c r="E22" i="11"/>
  <c r="E51" i="11"/>
  <c r="E61" i="11"/>
  <c r="E106" i="11"/>
  <c r="E122" i="11"/>
  <c r="E55" i="11"/>
  <c r="E60" i="11"/>
  <c r="E74" i="11"/>
  <c r="E104" i="11"/>
  <c r="E118" i="11"/>
  <c r="E5" i="11"/>
  <c r="E18" i="11"/>
  <c r="E28" i="11"/>
  <c r="E43" i="11"/>
  <c r="E53" i="11"/>
  <c r="E62" i="11"/>
  <c r="E72" i="11"/>
  <c r="E81" i="11"/>
  <c r="E93" i="11"/>
  <c r="E109" i="11"/>
  <c r="E27" i="11"/>
  <c r="E105" i="11"/>
  <c r="E126" i="11"/>
  <c r="E71" i="11"/>
  <c r="E87" i="11"/>
  <c r="E124" i="11"/>
  <c r="E138" i="11"/>
  <c r="E102" i="11"/>
  <c r="E108" i="11"/>
  <c r="E26" i="11"/>
  <c r="E80" i="11"/>
  <c r="E97" i="11"/>
  <c r="E123" i="11"/>
  <c r="E135" i="11"/>
  <c r="E16" i="11"/>
  <c r="E47" i="11"/>
  <c r="E64" i="11"/>
  <c r="E90" i="11"/>
  <c r="E9" i="11"/>
  <c r="E44" i="11"/>
  <c r="E46" i="11"/>
  <c r="E52" i="11"/>
  <c r="E119" i="11"/>
  <c r="E21" i="11"/>
  <c r="E54" i="11"/>
  <c r="E89" i="11"/>
  <c r="E115" i="11"/>
  <c r="E129" i="11"/>
  <c r="E73" i="11"/>
  <c r="E100" i="11"/>
  <c r="E153" i="11"/>
  <c r="E94" i="11"/>
  <c r="E121" i="11"/>
  <c r="E130" i="11"/>
  <c r="E164" i="11"/>
  <c r="E180" i="11"/>
  <c r="E31" i="11"/>
  <c r="E88" i="11"/>
  <c r="E131" i="11"/>
  <c r="E143" i="11"/>
  <c r="E24" i="11"/>
  <c r="E68" i="11"/>
  <c r="E77" i="11"/>
  <c r="E56" i="11"/>
  <c r="E66" i="11"/>
  <c r="E120" i="11"/>
  <c r="E136" i="11"/>
  <c r="E134" i="11"/>
  <c r="E99" i="11"/>
  <c r="E112" i="11"/>
  <c r="E29" i="11"/>
  <c r="E92" i="11"/>
  <c r="E42" i="11"/>
  <c r="E157" i="11"/>
  <c r="E107" i="11"/>
  <c r="E137" i="11"/>
  <c r="E57" i="11"/>
  <c r="E67" i="11"/>
  <c r="E110" i="11"/>
  <c r="E11" i="11"/>
  <c r="E34" i="11"/>
  <c r="E84" i="11"/>
  <c r="E39" i="11"/>
  <c r="E117" i="11"/>
  <c r="E36" i="11"/>
  <c r="E101" i="11"/>
  <c r="E78" i="11"/>
  <c r="E32" i="11"/>
  <c r="E70" i="11"/>
  <c r="E35" i="11"/>
  <c r="E40" i="11"/>
  <c r="E58" i="11"/>
  <c r="E151" i="11"/>
  <c r="E133" i="11"/>
  <c r="E142" i="11"/>
  <c r="E176" i="11"/>
  <c r="E37" i="11"/>
  <c r="E116" i="11"/>
  <c r="E111" i="11"/>
  <c r="E38" i="11"/>
  <c r="E132" i="11"/>
  <c r="E128" i="11"/>
  <c r="E13" i="11"/>
  <c r="R21" i="14"/>
  <c r="E7" i="11"/>
  <c r="E146" i="11"/>
  <c r="E181" i="11"/>
  <c r="E160" i="11"/>
  <c r="E198" i="11"/>
  <c r="E149" i="11"/>
  <c r="E25" i="11"/>
  <c r="E69" i="11"/>
  <c r="E148" i="11"/>
  <c r="E147" i="11"/>
  <c r="E161" i="11"/>
  <c r="E20" i="11"/>
  <c r="E127"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141" i="11"/>
  <c r="E50" i="11"/>
  <c r="E48" i="11"/>
  <c r="E45" i="11"/>
  <c r="E41" i="11"/>
  <c r="E19" i="11"/>
  <c r="E14" i="11"/>
  <c r="E12" i="11"/>
  <c r="E10" i="11"/>
  <c r="E8" i="11"/>
  <c r="E6" i="11"/>
  <c r="N21" i="14"/>
  <c r="J21" i="14"/>
  <c r="L21" i="14"/>
  <c r="C45" i="14"/>
  <c r="M30" i="2771" a="1"/>
  <c r="M30" i="27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List>
</comments>
</file>

<file path=xl/sharedStrings.xml><?xml version="1.0" encoding="utf-8"?>
<sst xmlns="http://schemas.openxmlformats.org/spreadsheetml/2006/main" count="421" uniqueCount="131">
  <si>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</si>
  <si>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</si>
  <si>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</si>
  <si>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</si>
  <si>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</si>
  <si>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</si>
  <si>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</si>
  <si>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</si>
  <si>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</si>
  <si>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</si>
  <si>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</si>
  <si>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</si>
  <si>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</si>
  <si>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</si>
  <si>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</si>
  <si>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</si>
  <si>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</si>
  <si>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</si>
  <si>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</si>
  <si>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</si>
  <si>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</si>
  <si>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</si>
  <si>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</si>
  <si>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</si>
  <si>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</si>
  <si>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</si>
  <si>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</si>
  <si>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</si>
  <si>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</si>
  <si>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</si>
  <si>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</si>
  <si>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</si>
  <si>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</si>
  <si>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</si>
  <si>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</si>
  <si>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</si>
  <si>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</si>
  <si>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</si>
  <si>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</si>
  <si>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</si>
  <si>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</si>
  <si>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</si>
  <si>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</si>
  <si>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</si>
  <si>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</si>
  <si>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</si>
  <si>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</si>
  <si>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</si>
  <si>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</si>
  <si>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</si>
  <si>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</si>
  <si>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</si>
  <si>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</si>
  <si>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</si>
  <si>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</si>
  <si>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</si>
  <si>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</si>
  <si>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</si>
  <si>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</si>
  <si>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</si>
  <si>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</si>
  <si>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</si>
  <si>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</si>
  <si>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</si>
  <si>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</si>
  <si>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</si>
  <si>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</si>
  <si>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</si>
  <si>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</si>
  <si>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</si>
  <si>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</si>
  <si>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</si>
  <si>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</si>
  <si>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</si>
  <si>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</si>
  <si>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</si>
  <si>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</si>
  <si>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</si>
  <si>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</si>
  <si>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</si>
  <si>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</si>
  <si>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</si>
  <si>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</si>
  <si>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</si>
  <si>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</si>
  <si>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</si>
  <si>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</si>
  <si>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</si>
  <si>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</si>
  <si>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</si>
  <si>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</si>
  <si>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</si>
  <si>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</si>
  <si>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</si>
  <si>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</si>
  <si>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</si>
  <si>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</si>
  <si>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</si>
  <si>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</si>
  <si>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</si>
  <si>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</si>
  <si>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</si>
  <si>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</si>
  <si>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</si>
  <si>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</si>
  <si>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</si>
  <si>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</si>
  <si>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</si>
  <si>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</si>
  <si>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</si>
  <si>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</si>
  <si>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</si>
  <si>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</si>
  <si>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</si>
  <si>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</si>
  <si>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</si>
  <si>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</si>
  <si>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</si>
  <si>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</si>
  <si>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</si>
  <si>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</si>
  <si>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</si>
  <si>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</si>
  <si>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</si>
  <si>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</si>
  <si>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</si>
  <si>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</si>
  <si>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</si>
  <si>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SomeOne</t>
  </si>
  <si>
    <t>Else</t>
  </si>
  <si>
    <t>Pre-Release! v2.2.0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</si>
</sst>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s>
  <fills count="14">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s>
  <borders count="54">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s>
  <cellStyleXfs count="3">
    <xf numFmtId="0" fontId="0" fillId="0" borderId="0"/>
    <xf numFmtId="9" fontId="6" fillId="0" borderId="0" applyFont="0" applyFill="0" applyBorder="0" applyAlignment="0" applyProtection="0"/>
    <xf numFmtId="0" fontId="9" fillId="0" borderId="0" applyNumberFormat="0" applyFill="0" applyBorder="0" applyAlignment="0" applyProtection="0"/>
  </cellStyleXfs>
  <cellXfs count="206">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0" fontId="0" fillId="13" borderId="43"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7" xfId="0" applyFont="1" applyFill="1" applyBorder="1" applyAlignment="1">
      <alignment horizontal="center"/>
    </xf>
    <xf numFmtId="1" fontId="4" fillId="4" borderId="25" xfId="0" applyNumberFormat="1" applyFont="1" applyFill="1" applyBorder="1" applyAlignment="1">
      <alignment horizontal="center"/>
    </xf>
    <xf numFmtId="49" fontId="2" fillId="3" borderId="50" xfId="0" applyNumberFormat="1" applyFont="1" applyFill="1" applyBorder="1" applyAlignment="1" applyProtection="1">
      <alignment horizontal="center"/>
      <protection locked="0"/>
    </xf>
    <xf numFmtId="0" fontId="2" fillId="3" borderId="51" xfId="0" applyFont="1" applyFill="1" applyBorder="1" applyAlignment="1" applyProtection="1">
      <alignment horizontal="center"/>
      <protection locked="0"/>
    </xf>
    <xf numFmtId="49" fontId="2" fillId="3" borderId="52" xfId="0" applyNumberFormat="1" applyFont="1" applyFill="1" applyBorder="1" applyAlignment="1" applyProtection="1">
      <alignment horizontal="center"/>
      <protection locked="0"/>
    </xf>
    <xf numFmtId="0" fontId="2" fillId="3" borderId="53"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0" fillId="12" borderId="30" xfId="0" applyFill="1" applyBorder="1" applyAlignment="1">
      <alignment horizontal="center" vertical="center"/>
    </xf>
    <xf numFmtId="0" fontId="0" fillId="12" borderId="37" xfId="0" applyFill="1" applyBorder="1" applyAlignment="1">
      <alignment horizontal="center" vertical="center"/>
    </xf>
    <xf numFmtId="0" fontId="0" fillId="12" borderId="38" xfId="0" applyFill="1" applyBorder="1" applyAlignment="1">
      <alignment horizontal="center" vertical="center"/>
    </xf>
    <xf numFmtId="9" fontId="0" fillId="12" borderId="38" xfId="0" applyNumberFormat="1" applyFill="1" applyBorder="1" applyAlignment="1">
      <alignment horizontal="center" vertical="center"/>
    </xf>
    <xf numFmtId="0" fontId="0" fillId="12" borderId="39" xfId="0" applyFill="1" applyBorder="1"/>
    <xf numFmtId="0" fontId="0" fillId="12" borderId="42" xfId="0" applyFill="1" applyBorder="1"/>
    <xf numFmtId="0" fontId="0" fillId="12" borderId="44" xfId="0" applyFill="1" applyBorder="1"/>
    <xf numFmtId="0" fontId="0" fillId="12" borderId="45" xfId="0" applyFill="1" applyBorder="1"/>
    <xf numFmtId="0" fontId="0" fillId="12" borderId="46" xfId="0" applyFill="1" applyBorder="1"/>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49" fontId="0" fillId="12" borderId="35" xfId="0" applyNumberFormat="1" applyFill="1" applyBorder="1" applyAlignment="1">
      <alignment horizontal="center"/>
    </xf>
    <xf numFmtId="1" fontId="0" fillId="12" borderId="35"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44" xfId="0" applyFill="1" applyBorder="1" applyAlignment="1">
      <alignment horizontal="center" vertical="center"/>
    </xf>
    <xf numFmtId="0" fontId="0" fillId="12" borderId="39" xfId="0" applyFill="1" applyBorder="1" applyAlignment="1">
      <alignment horizontal="center" vertical="center"/>
    </xf>
    <xf numFmtId="0" fontId="0" fillId="12" borderId="45" xfId="0" applyFill="1" applyBorder="1" applyAlignment="1">
      <alignment horizontal="center" vertical="center"/>
    </xf>
    <xf numFmtId="0" fontId="0" fillId="12" borderId="40" xfId="0" applyFill="1" applyBorder="1" applyAlignment="1">
      <alignment horizontal="center" vertical="center"/>
    </xf>
    <xf numFmtId="0" fontId="0" fillId="12" borderId="41" xfId="0" applyFill="1" applyBorder="1" applyAlignment="1">
      <alignment horizontal="center" vertical="center"/>
    </xf>
    <xf numFmtId="0" fontId="0" fillId="12" borderId="46" xfId="0" applyFill="1" applyBorder="1" applyAlignment="1">
      <alignment horizontal="center" vertical="center"/>
    </xf>
    <xf numFmtId="0" fontId="0" fillId="12" borderId="43" xfId="0" applyFill="1" applyBorder="1" applyAlignment="1">
      <alignment horizontal="center" vertical="center"/>
    </xf>
    <xf numFmtId="0" fontId="0" fillId="12" borderId="42" xfId="0" applyFill="1" applyBorder="1" applyAlignment="1">
      <alignment horizontal="center" vertical="center"/>
    </xf>
    <xf numFmtId="1" fontId="0" fillId="12" borderId="34" xfId="0" applyNumberFormat="1" applyFill="1" applyBorder="1" applyAlignment="1">
      <alignment horizontal="center"/>
    </xf>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2" fillId="13" borderId="39" xfId="0" applyFont="1" applyFill="1" applyBorder="1" applyAlignment="1" applyProtection="1">
      <alignment horizontal="center" vertical="center"/>
      <protection locked="0"/>
    </xf>
    <xf numFmtId="0" fontId="2" fillId="13" borderId="36" xfId="0" applyFont="1" applyFill="1" applyBorder="1" applyAlignment="1" applyProtection="1">
      <alignment horizontal="center" vertical="center"/>
      <protection locked="0"/>
    </xf>
    <xf numFmtId="0" fontId="2" fillId="13" borderId="41" xfId="0" applyFont="1" applyFill="1" applyBorder="1" applyAlignment="1" applyProtection="1">
      <alignment horizontal="center" vertical="center"/>
      <protection locked="0"/>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8"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9" xfId="0" applyNumberFormat="1" applyFont="1" applyFill="1" applyBorder="1" applyAlignment="1">
      <alignment horizont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12" fillId="5" borderId="23" xfId="0" applyFont="1" applyFill="1" applyBorder="1" applyAlignment="1" applyProtection="1">
      <alignment horizontal="center"/>
      <protection locked="0"/>
    </xf>
    <xf numFmtId="0" fontId="0" fillId="10" borderId="36" xfId="0" applyFill="1" applyBorder="1" applyAlignment="1" applyProtection="1">
      <alignment horizontal="center" vertical="center"/>
    </xf>
    <xf numFmtId="0" fontId="0" fillId="10" borderId="42" xfId="0" applyFill="1" applyBorder="1" applyAlignment="1" applyProtection="1">
      <alignment horizontal="center" vertical="center"/>
    </xf>
    <xf numFmtId="0" fontId="0" fillId="10" borderId="39" xfId="0" applyFill="1" applyBorder="1" applyAlignment="1" applyProtection="1">
      <alignment horizontal="center" vertical="center"/>
    </xf>
    <xf numFmtId="0" fontId="0" fillId="10" borderId="40" xfId="0" applyFill="1" applyBorder="1" applyAlignment="1" applyProtection="1">
      <alignment horizontal="center" vertical="center"/>
    </xf>
    <xf numFmtId="0" fontId="0" fillId="10" borderId="41" xfId="0" applyFill="1" applyBorder="1" applyAlignment="1" applyProtection="1">
      <alignment horizontal="center" vertical="center"/>
    </xf>
    <xf numFmtId="0" fontId="0" fillId="10" borderId="43" xfId="0" applyFill="1" applyBorder="1" applyAlignment="1" applyProtection="1">
      <alignment horizontal="center" vertical="center"/>
    </xf>
  </cellXfs>
  <cellStyles count="3">
    <cellStyle name="Link" xfId="2" builtinId="8"/>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0</xdr:colOff>
      <xdr:row>8</xdr:row>
      <xdr:rowOff>0</xdr:rowOff>
    </xdr:from>
    <xdr:to>
      <xdr:col>4</xdr:col>
      <xdr:colOff>0</xdr:colOff>
      <xdr:row>9</xdr:row>
      <xdr:rowOff>0</xdr:rowOff>
    </xdr:to>
    <xdr:grpSp>
      <xdr:nvGrpSpPr>
        <xdr:cNvPr id="2632" name="Cross_D9">
          <a:extLst>
            <a:ext uri="{FF2B5EF4-FFF2-40B4-BE49-F238E27FC236}">
              <a16:creationId xmlns:a16="http://schemas.microsoft.com/office/drawing/2014/main" id="{5D267504-B066-CACA-F92C-9CF24F27F351}"/>
            </a:ext>
          </a:extLst>
        </xdr:cNvPr>
        <xdr:cNvGrpSpPr/>
      </xdr:nvGrpSpPr>
      <xdr:grpSpPr>
        <a:xfrm>
          <a:off x="2240280" y="1828800"/>
          <a:ext cx="601980" cy="228600"/>
          <a:chOff x="2240280" y="1828800"/>
          <a:chExt cx="601980" cy="228600"/>
        </a:xfrm>
      </xdr:grpSpPr>
      <xdr:cxnSp macro="">
        <xdr:nvCxnSpPr>
          <xdr:cNvPr id="2630" name="Gerader Verbinder 2629">
            <a:extLst>
              <a:ext uri="{FF2B5EF4-FFF2-40B4-BE49-F238E27FC236}">
                <a16:creationId xmlns:a16="http://schemas.microsoft.com/office/drawing/2014/main" id="{8B58E6CE-838B-C065-82D3-BB726F2F7E23}"/>
              </a:ext>
            </a:extLst>
          </xdr:cNvPr>
          <xdr:cNvCxnSpPr/>
        </xdr:nvCxnSpPr>
        <xdr:spPr>
          <a:xfrm>
            <a:off x="2240280" y="1828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31" name="Gerader Verbinder 2630">
            <a:extLst>
              <a:ext uri="{FF2B5EF4-FFF2-40B4-BE49-F238E27FC236}">
                <a16:creationId xmlns:a16="http://schemas.microsoft.com/office/drawing/2014/main" id="{130CE3F2-B159-7369-BAF4-058E0D098BC0}"/>
              </a:ext>
            </a:extLst>
          </xdr:cNvPr>
          <xdr:cNvCxnSpPr/>
        </xdr:nvCxnSpPr>
        <xdr:spPr>
          <a:xfrm flipH="1">
            <a:off x="2240280" y="1828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9</xdr:row>
      <xdr:rowOff>0</xdr:rowOff>
    </xdr:from>
    <xdr:to>
      <xdr:col>4</xdr:col>
      <xdr:colOff>0</xdr:colOff>
      <xdr:row>10</xdr:row>
      <xdr:rowOff>0</xdr:rowOff>
    </xdr:to>
    <xdr:grpSp>
      <xdr:nvGrpSpPr>
        <xdr:cNvPr id="2635" name="Cross_D10">
          <a:extLst>
            <a:ext uri="{FF2B5EF4-FFF2-40B4-BE49-F238E27FC236}">
              <a16:creationId xmlns:a16="http://schemas.microsoft.com/office/drawing/2014/main" id="{6FE96567-644C-F189-121E-316934D1F320}"/>
            </a:ext>
          </a:extLst>
        </xdr:cNvPr>
        <xdr:cNvGrpSpPr/>
      </xdr:nvGrpSpPr>
      <xdr:grpSpPr>
        <a:xfrm>
          <a:off x="2240280" y="2057400"/>
          <a:ext cx="601980" cy="228600"/>
          <a:chOff x="2240280" y="2057400"/>
          <a:chExt cx="601980" cy="228600"/>
        </a:xfrm>
      </xdr:grpSpPr>
      <xdr:cxnSp macro="">
        <xdr:nvCxnSpPr>
          <xdr:cNvPr id="2633" name="Gerader Verbinder 2632">
            <a:extLst>
              <a:ext uri="{FF2B5EF4-FFF2-40B4-BE49-F238E27FC236}">
                <a16:creationId xmlns:a16="http://schemas.microsoft.com/office/drawing/2014/main" id="{3593FD35-F90A-089C-37DA-65806BC245A0}"/>
              </a:ext>
            </a:extLst>
          </xdr:cNvPr>
          <xdr:cNvCxnSpPr/>
        </xdr:nvCxnSpPr>
        <xdr:spPr>
          <a:xfrm>
            <a:off x="2240280" y="2057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34" name="Gerader Verbinder 2633">
            <a:extLst>
              <a:ext uri="{FF2B5EF4-FFF2-40B4-BE49-F238E27FC236}">
                <a16:creationId xmlns:a16="http://schemas.microsoft.com/office/drawing/2014/main" id="{76B4E4EA-6423-3453-F812-452EABC3B52F}"/>
              </a:ext>
            </a:extLst>
          </xdr:cNvPr>
          <xdr:cNvCxnSpPr/>
        </xdr:nvCxnSpPr>
        <xdr:spPr>
          <a:xfrm flipH="1">
            <a:off x="2240280" y="2057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12</xdr:row>
      <xdr:rowOff>0</xdr:rowOff>
    </xdr:from>
    <xdr:to>
      <xdr:col>4</xdr:col>
      <xdr:colOff>0</xdr:colOff>
      <xdr:row>13</xdr:row>
      <xdr:rowOff>0</xdr:rowOff>
    </xdr:to>
    <xdr:grpSp>
      <xdr:nvGrpSpPr>
        <xdr:cNvPr id="2638" name="Cross_D13">
          <a:extLst>
            <a:ext uri="{FF2B5EF4-FFF2-40B4-BE49-F238E27FC236}">
              <a16:creationId xmlns:a16="http://schemas.microsoft.com/office/drawing/2014/main" id="{66938B19-0194-5F9C-DBFF-FCF4B08E7FDD}"/>
            </a:ext>
          </a:extLst>
        </xdr:cNvPr>
        <xdr:cNvGrpSpPr/>
      </xdr:nvGrpSpPr>
      <xdr:grpSpPr>
        <a:xfrm>
          <a:off x="2240280" y="2743200"/>
          <a:ext cx="601980" cy="228600"/>
          <a:chOff x="2240280" y="2743200"/>
          <a:chExt cx="601980" cy="228600"/>
        </a:xfrm>
      </xdr:grpSpPr>
      <xdr:cxnSp macro="">
        <xdr:nvCxnSpPr>
          <xdr:cNvPr id="2636" name="Gerader Verbinder 2635">
            <a:extLst>
              <a:ext uri="{FF2B5EF4-FFF2-40B4-BE49-F238E27FC236}">
                <a16:creationId xmlns:a16="http://schemas.microsoft.com/office/drawing/2014/main" id="{4245F94E-CC68-DD89-584C-22857262AA5B}"/>
              </a:ext>
            </a:extLst>
          </xdr:cNvPr>
          <xdr:cNvCxnSpPr/>
        </xdr:nvCxnSpPr>
        <xdr:spPr>
          <a:xfrm>
            <a:off x="2240280" y="2743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37" name="Gerader Verbinder 2636">
            <a:extLst>
              <a:ext uri="{FF2B5EF4-FFF2-40B4-BE49-F238E27FC236}">
                <a16:creationId xmlns:a16="http://schemas.microsoft.com/office/drawing/2014/main" id="{9467074C-79D0-76E9-39B9-34135E74EC1B}"/>
              </a:ext>
            </a:extLst>
          </xdr:cNvPr>
          <xdr:cNvCxnSpPr/>
        </xdr:nvCxnSpPr>
        <xdr:spPr>
          <a:xfrm flipH="1">
            <a:off x="2240280" y="2743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2641" name="Cross_D14">
          <a:extLst>
            <a:ext uri="{FF2B5EF4-FFF2-40B4-BE49-F238E27FC236}">
              <a16:creationId xmlns:a16="http://schemas.microsoft.com/office/drawing/2014/main" id="{758F70F4-52B4-E1EC-02F0-C90EE2E11F1E}"/>
            </a:ext>
          </a:extLst>
        </xdr:cNvPr>
        <xdr:cNvGrpSpPr/>
      </xdr:nvGrpSpPr>
      <xdr:grpSpPr>
        <a:xfrm>
          <a:off x="2240280" y="2971800"/>
          <a:ext cx="601980" cy="228600"/>
          <a:chOff x="2240280" y="2971800"/>
          <a:chExt cx="601980" cy="228600"/>
        </a:xfrm>
      </xdr:grpSpPr>
      <xdr:cxnSp macro="">
        <xdr:nvCxnSpPr>
          <xdr:cNvPr id="2639" name="Gerader Verbinder 2638">
            <a:extLst>
              <a:ext uri="{FF2B5EF4-FFF2-40B4-BE49-F238E27FC236}">
                <a16:creationId xmlns:a16="http://schemas.microsoft.com/office/drawing/2014/main" id="{842DA02A-5A50-6FB7-732F-3680887EDCC2}"/>
              </a:ext>
            </a:extLst>
          </xdr:cNvPr>
          <xdr:cNvCxnSpPr/>
        </xdr:nvCxnSpPr>
        <xdr:spPr>
          <a:xfrm>
            <a:off x="2240280" y="2971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40" name="Gerader Verbinder 2639">
            <a:extLst>
              <a:ext uri="{FF2B5EF4-FFF2-40B4-BE49-F238E27FC236}">
                <a16:creationId xmlns:a16="http://schemas.microsoft.com/office/drawing/2014/main" id="{558C79BA-86D1-6E15-ECCC-FB0959D878D4}"/>
              </a:ext>
            </a:extLst>
          </xdr:cNvPr>
          <xdr:cNvCxnSpPr/>
        </xdr:nvCxnSpPr>
        <xdr:spPr>
          <a:xfrm flipH="1">
            <a:off x="2240280" y="2971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2644" name="Cross_D15">
          <a:extLst>
            <a:ext uri="{FF2B5EF4-FFF2-40B4-BE49-F238E27FC236}">
              <a16:creationId xmlns:a16="http://schemas.microsoft.com/office/drawing/2014/main" id="{2524093A-7751-AB3B-9EF6-82F5A340CB79}"/>
            </a:ext>
          </a:extLst>
        </xdr:cNvPr>
        <xdr:cNvGrpSpPr/>
      </xdr:nvGrpSpPr>
      <xdr:grpSpPr>
        <a:xfrm>
          <a:off x="2240280" y="3200400"/>
          <a:ext cx="601980" cy="228600"/>
          <a:chOff x="2240280" y="3200400"/>
          <a:chExt cx="601980" cy="228600"/>
        </a:xfrm>
      </xdr:grpSpPr>
      <xdr:cxnSp macro="">
        <xdr:nvCxnSpPr>
          <xdr:cNvPr id="2642" name="Gerader Verbinder 2641">
            <a:extLst>
              <a:ext uri="{FF2B5EF4-FFF2-40B4-BE49-F238E27FC236}">
                <a16:creationId xmlns:a16="http://schemas.microsoft.com/office/drawing/2014/main" id="{CC940753-4634-43C4-95FC-E28C351DD64A}"/>
              </a:ext>
            </a:extLst>
          </xdr:cNvPr>
          <xdr:cNvCxnSpPr/>
        </xdr:nvCxnSpPr>
        <xdr:spPr>
          <a:xfrm>
            <a:off x="2240280" y="320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43" name="Gerader Verbinder 2642">
            <a:extLst>
              <a:ext uri="{FF2B5EF4-FFF2-40B4-BE49-F238E27FC236}">
                <a16:creationId xmlns:a16="http://schemas.microsoft.com/office/drawing/2014/main" id="{B54E7C51-82C9-9EBB-4ADD-4C3ED83841E9}"/>
              </a:ext>
            </a:extLst>
          </xdr:cNvPr>
          <xdr:cNvCxnSpPr/>
        </xdr:nvCxnSpPr>
        <xdr:spPr>
          <a:xfrm flipH="1">
            <a:off x="2240280" y="320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15</xdr:row>
      <xdr:rowOff>0</xdr:rowOff>
    </xdr:from>
    <xdr:to>
      <xdr:col>4</xdr:col>
      <xdr:colOff>0</xdr:colOff>
      <xdr:row>16</xdr:row>
      <xdr:rowOff>0</xdr:rowOff>
    </xdr:to>
    <xdr:grpSp>
      <xdr:nvGrpSpPr>
        <xdr:cNvPr id="2647" name="Cross_D16">
          <a:extLst>
            <a:ext uri="{FF2B5EF4-FFF2-40B4-BE49-F238E27FC236}">
              <a16:creationId xmlns:a16="http://schemas.microsoft.com/office/drawing/2014/main" id="{D6C6F08D-5831-4D03-BA54-EA32D10416C4}"/>
            </a:ext>
          </a:extLst>
        </xdr:cNvPr>
        <xdr:cNvGrpSpPr/>
      </xdr:nvGrpSpPr>
      <xdr:grpSpPr>
        <a:xfrm>
          <a:off x="2240280" y="3429000"/>
          <a:ext cx="601980" cy="228600"/>
          <a:chOff x="2240280" y="3429000"/>
          <a:chExt cx="601980" cy="228600"/>
        </a:xfrm>
      </xdr:grpSpPr>
      <xdr:cxnSp macro="">
        <xdr:nvCxnSpPr>
          <xdr:cNvPr id="2645" name="Gerader Verbinder 2644">
            <a:extLst>
              <a:ext uri="{FF2B5EF4-FFF2-40B4-BE49-F238E27FC236}">
                <a16:creationId xmlns:a16="http://schemas.microsoft.com/office/drawing/2014/main" id="{B09AED0A-9254-FEB2-24C1-77A3455B47EA}"/>
              </a:ext>
            </a:extLst>
          </xdr:cNvPr>
          <xdr:cNvCxnSpPr/>
        </xdr:nvCxnSpPr>
        <xdr:spPr>
          <a:xfrm>
            <a:off x="2240280" y="3429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46" name="Gerader Verbinder 2645">
            <a:extLst>
              <a:ext uri="{FF2B5EF4-FFF2-40B4-BE49-F238E27FC236}">
                <a16:creationId xmlns:a16="http://schemas.microsoft.com/office/drawing/2014/main" id="{C352ADB0-6154-8E93-EC96-6156D5D702B8}"/>
              </a:ext>
            </a:extLst>
          </xdr:cNvPr>
          <xdr:cNvCxnSpPr/>
        </xdr:nvCxnSpPr>
        <xdr:spPr>
          <a:xfrm flipH="1">
            <a:off x="2240280" y="3429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16</xdr:row>
      <xdr:rowOff>0</xdr:rowOff>
    </xdr:from>
    <xdr:to>
      <xdr:col>4</xdr:col>
      <xdr:colOff>0</xdr:colOff>
      <xdr:row>17</xdr:row>
      <xdr:rowOff>0</xdr:rowOff>
    </xdr:to>
    <xdr:grpSp>
      <xdr:nvGrpSpPr>
        <xdr:cNvPr id="2650" name="Cross_D17">
          <a:extLst>
            <a:ext uri="{FF2B5EF4-FFF2-40B4-BE49-F238E27FC236}">
              <a16:creationId xmlns:a16="http://schemas.microsoft.com/office/drawing/2014/main" id="{96E576E4-2131-5669-E7AD-5459A4BDE2BB}"/>
            </a:ext>
          </a:extLst>
        </xdr:cNvPr>
        <xdr:cNvGrpSpPr/>
      </xdr:nvGrpSpPr>
      <xdr:grpSpPr>
        <a:xfrm>
          <a:off x="2240280" y="3657600"/>
          <a:ext cx="601980" cy="228600"/>
          <a:chOff x="2240280" y="3657600"/>
          <a:chExt cx="601980" cy="228600"/>
        </a:xfrm>
      </xdr:grpSpPr>
      <xdr:cxnSp macro="">
        <xdr:nvCxnSpPr>
          <xdr:cNvPr id="2648" name="Gerader Verbinder 2647">
            <a:extLst>
              <a:ext uri="{FF2B5EF4-FFF2-40B4-BE49-F238E27FC236}">
                <a16:creationId xmlns:a16="http://schemas.microsoft.com/office/drawing/2014/main" id="{34970CE8-7692-56AB-4534-6A1D193806B0}"/>
              </a:ext>
            </a:extLst>
          </xdr:cNvPr>
          <xdr:cNvCxnSpPr/>
        </xdr:nvCxnSpPr>
        <xdr:spPr>
          <a:xfrm>
            <a:off x="2240280" y="3657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49" name="Gerader Verbinder 2648">
            <a:extLst>
              <a:ext uri="{FF2B5EF4-FFF2-40B4-BE49-F238E27FC236}">
                <a16:creationId xmlns:a16="http://schemas.microsoft.com/office/drawing/2014/main" id="{DB3F2373-65EA-CC7F-C812-F6540857DB9D}"/>
              </a:ext>
            </a:extLst>
          </xdr:cNvPr>
          <xdr:cNvCxnSpPr/>
        </xdr:nvCxnSpPr>
        <xdr:spPr>
          <a:xfrm flipH="1">
            <a:off x="2240280" y="3657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17</xdr:row>
      <xdr:rowOff>0</xdr:rowOff>
    </xdr:from>
    <xdr:to>
      <xdr:col>4</xdr:col>
      <xdr:colOff>0</xdr:colOff>
      <xdr:row>18</xdr:row>
      <xdr:rowOff>0</xdr:rowOff>
    </xdr:to>
    <xdr:grpSp>
      <xdr:nvGrpSpPr>
        <xdr:cNvPr id="2653" name="Cross_D18">
          <a:extLst>
            <a:ext uri="{FF2B5EF4-FFF2-40B4-BE49-F238E27FC236}">
              <a16:creationId xmlns:a16="http://schemas.microsoft.com/office/drawing/2014/main" id="{CDE3FDEF-9DE6-532C-0301-849836CC4678}"/>
            </a:ext>
          </a:extLst>
        </xdr:cNvPr>
        <xdr:cNvGrpSpPr/>
      </xdr:nvGrpSpPr>
      <xdr:grpSpPr>
        <a:xfrm>
          <a:off x="2240280" y="3886200"/>
          <a:ext cx="601980" cy="228600"/>
          <a:chOff x="2240280" y="3886200"/>
          <a:chExt cx="601980" cy="228600"/>
        </a:xfrm>
      </xdr:grpSpPr>
      <xdr:cxnSp macro="">
        <xdr:nvCxnSpPr>
          <xdr:cNvPr id="2651" name="Gerader Verbinder 2650">
            <a:extLst>
              <a:ext uri="{FF2B5EF4-FFF2-40B4-BE49-F238E27FC236}">
                <a16:creationId xmlns:a16="http://schemas.microsoft.com/office/drawing/2014/main" id="{E563A83C-0563-63C1-24B7-430130CEA2AA}"/>
              </a:ext>
            </a:extLst>
          </xdr:cNvPr>
          <xdr:cNvCxnSpPr/>
        </xdr:nvCxnSpPr>
        <xdr:spPr>
          <a:xfrm>
            <a:off x="2240280" y="3886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52" name="Gerader Verbinder 2651">
            <a:extLst>
              <a:ext uri="{FF2B5EF4-FFF2-40B4-BE49-F238E27FC236}">
                <a16:creationId xmlns:a16="http://schemas.microsoft.com/office/drawing/2014/main" id="{6D73A634-710D-3209-8630-FC4718493D75}"/>
              </a:ext>
            </a:extLst>
          </xdr:cNvPr>
          <xdr:cNvCxnSpPr/>
        </xdr:nvCxnSpPr>
        <xdr:spPr>
          <a:xfrm flipH="1">
            <a:off x="2240280" y="3886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18</xdr:row>
      <xdr:rowOff>0</xdr:rowOff>
    </xdr:from>
    <xdr:to>
      <xdr:col>4</xdr:col>
      <xdr:colOff>0</xdr:colOff>
      <xdr:row>19</xdr:row>
      <xdr:rowOff>0</xdr:rowOff>
    </xdr:to>
    <xdr:grpSp>
      <xdr:nvGrpSpPr>
        <xdr:cNvPr id="2656" name="Cross_D19">
          <a:extLst>
            <a:ext uri="{FF2B5EF4-FFF2-40B4-BE49-F238E27FC236}">
              <a16:creationId xmlns:a16="http://schemas.microsoft.com/office/drawing/2014/main" id="{49AEE416-7604-FF09-3E8B-39D7B0C45860}"/>
            </a:ext>
          </a:extLst>
        </xdr:cNvPr>
        <xdr:cNvGrpSpPr/>
      </xdr:nvGrpSpPr>
      <xdr:grpSpPr>
        <a:xfrm>
          <a:off x="2240280" y="4114800"/>
          <a:ext cx="601980" cy="228600"/>
          <a:chOff x="2240280" y="4114800"/>
          <a:chExt cx="601980" cy="228600"/>
        </a:xfrm>
      </xdr:grpSpPr>
      <xdr:cxnSp macro="">
        <xdr:nvCxnSpPr>
          <xdr:cNvPr id="2654" name="Gerader Verbinder 2653">
            <a:extLst>
              <a:ext uri="{FF2B5EF4-FFF2-40B4-BE49-F238E27FC236}">
                <a16:creationId xmlns:a16="http://schemas.microsoft.com/office/drawing/2014/main" id="{2BD6C523-0717-7FF8-1B5B-A760306558ED}"/>
              </a:ext>
            </a:extLst>
          </xdr:cNvPr>
          <xdr:cNvCxnSpPr/>
        </xdr:nvCxnSpPr>
        <xdr:spPr>
          <a:xfrm>
            <a:off x="2240280" y="4114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55" name="Gerader Verbinder 2654">
            <a:extLst>
              <a:ext uri="{FF2B5EF4-FFF2-40B4-BE49-F238E27FC236}">
                <a16:creationId xmlns:a16="http://schemas.microsoft.com/office/drawing/2014/main" id="{68C60943-428A-203F-7577-8D1181064959}"/>
              </a:ext>
            </a:extLst>
          </xdr:cNvPr>
          <xdr:cNvCxnSpPr/>
        </xdr:nvCxnSpPr>
        <xdr:spPr>
          <a:xfrm flipH="1">
            <a:off x="2240280" y="4114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19</xdr:row>
      <xdr:rowOff>0</xdr:rowOff>
    </xdr:from>
    <xdr:to>
      <xdr:col>4</xdr:col>
      <xdr:colOff>0</xdr:colOff>
      <xdr:row>20</xdr:row>
      <xdr:rowOff>0</xdr:rowOff>
    </xdr:to>
    <xdr:grpSp>
      <xdr:nvGrpSpPr>
        <xdr:cNvPr id="2659" name="Cross_D20">
          <a:extLst>
            <a:ext uri="{FF2B5EF4-FFF2-40B4-BE49-F238E27FC236}">
              <a16:creationId xmlns:a16="http://schemas.microsoft.com/office/drawing/2014/main" id="{43CF086E-C556-5DFE-ACF2-512114EEA799}"/>
            </a:ext>
          </a:extLst>
        </xdr:cNvPr>
        <xdr:cNvGrpSpPr/>
      </xdr:nvGrpSpPr>
      <xdr:grpSpPr>
        <a:xfrm>
          <a:off x="2240280" y="4343400"/>
          <a:ext cx="601980" cy="228600"/>
          <a:chOff x="2240280" y="4343400"/>
          <a:chExt cx="601980" cy="228600"/>
        </a:xfrm>
      </xdr:grpSpPr>
      <xdr:cxnSp macro="">
        <xdr:nvCxnSpPr>
          <xdr:cNvPr id="2657" name="Gerader Verbinder 2656">
            <a:extLst>
              <a:ext uri="{FF2B5EF4-FFF2-40B4-BE49-F238E27FC236}">
                <a16:creationId xmlns:a16="http://schemas.microsoft.com/office/drawing/2014/main" id="{F1CF3E6E-F182-02EF-1CBA-6E58C05D2DE0}"/>
              </a:ext>
            </a:extLst>
          </xdr:cNvPr>
          <xdr:cNvCxnSpPr/>
        </xdr:nvCxnSpPr>
        <xdr:spPr>
          <a:xfrm>
            <a:off x="2240280" y="4343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58" name="Gerader Verbinder 2657">
            <a:extLst>
              <a:ext uri="{FF2B5EF4-FFF2-40B4-BE49-F238E27FC236}">
                <a16:creationId xmlns:a16="http://schemas.microsoft.com/office/drawing/2014/main" id="{6C454130-3A5B-6714-C491-84EF0B559AF9}"/>
              </a:ext>
            </a:extLst>
          </xdr:cNvPr>
          <xdr:cNvCxnSpPr/>
        </xdr:nvCxnSpPr>
        <xdr:spPr>
          <a:xfrm flipH="1">
            <a:off x="2240280" y="4343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20</xdr:row>
      <xdr:rowOff>0</xdr:rowOff>
    </xdr:from>
    <xdr:to>
      <xdr:col>4</xdr:col>
      <xdr:colOff>0</xdr:colOff>
      <xdr:row>21</xdr:row>
      <xdr:rowOff>0</xdr:rowOff>
    </xdr:to>
    <xdr:grpSp>
      <xdr:nvGrpSpPr>
        <xdr:cNvPr id="2662" name="Cross_D21">
          <a:extLst>
            <a:ext uri="{FF2B5EF4-FFF2-40B4-BE49-F238E27FC236}">
              <a16:creationId xmlns:a16="http://schemas.microsoft.com/office/drawing/2014/main" id="{C39D4ED7-B503-821A-1228-C72BA01E7131}"/>
            </a:ext>
          </a:extLst>
        </xdr:cNvPr>
        <xdr:cNvGrpSpPr/>
      </xdr:nvGrpSpPr>
      <xdr:grpSpPr>
        <a:xfrm>
          <a:off x="2240280" y="4572000"/>
          <a:ext cx="601980" cy="228600"/>
          <a:chOff x="2240280" y="4572000"/>
          <a:chExt cx="601980" cy="228600"/>
        </a:xfrm>
      </xdr:grpSpPr>
      <xdr:cxnSp macro="">
        <xdr:nvCxnSpPr>
          <xdr:cNvPr id="2660" name="Gerader Verbinder 2659">
            <a:extLst>
              <a:ext uri="{FF2B5EF4-FFF2-40B4-BE49-F238E27FC236}">
                <a16:creationId xmlns:a16="http://schemas.microsoft.com/office/drawing/2014/main" id="{A449FCD8-413D-A6F6-5F3C-B846ADEE1F44}"/>
              </a:ext>
            </a:extLst>
          </xdr:cNvPr>
          <xdr:cNvCxnSpPr/>
        </xdr:nvCxnSpPr>
        <xdr:spPr>
          <a:xfrm>
            <a:off x="2240280" y="4572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61" name="Gerader Verbinder 2660">
            <a:extLst>
              <a:ext uri="{FF2B5EF4-FFF2-40B4-BE49-F238E27FC236}">
                <a16:creationId xmlns:a16="http://schemas.microsoft.com/office/drawing/2014/main" id="{7BB43487-B276-AD09-05D3-ABBA58EA6DAF}"/>
              </a:ext>
            </a:extLst>
          </xdr:cNvPr>
          <xdr:cNvCxnSpPr/>
        </xdr:nvCxnSpPr>
        <xdr:spPr>
          <a:xfrm flipH="1">
            <a:off x="2240280" y="4572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2665" name="Cross_D22">
          <a:extLst>
            <a:ext uri="{FF2B5EF4-FFF2-40B4-BE49-F238E27FC236}">
              <a16:creationId xmlns:a16="http://schemas.microsoft.com/office/drawing/2014/main" id="{BA90E3EC-ABD6-B065-FC29-1FA4541E230B}"/>
            </a:ext>
          </a:extLst>
        </xdr:cNvPr>
        <xdr:cNvGrpSpPr/>
      </xdr:nvGrpSpPr>
      <xdr:grpSpPr>
        <a:xfrm>
          <a:off x="2240280" y="4800600"/>
          <a:ext cx="601980" cy="228600"/>
          <a:chOff x="2240280" y="4800600"/>
          <a:chExt cx="601980" cy="228600"/>
        </a:xfrm>
      </xdr:grpSpPr>
      <xdr:cxnSp macro="">
        <xdr:nvCxnSpPr>
          <xdr:cNvPr id="2663" name="Gerader Verbinder 2662">
            <a:extLst>
              <a:ext uri="{FF2B5EF4-FFF2-40B4-BE49-F238E27FC236}">
                <a16:creationId xmlns:a16="http://schemas.microsoft.com/office/drawing/2014/main" id="{14010BD9-CE4F-3F12-18E7-957543BB304D}"/>
              </a:ext>
            </a:extLst>
          </xdr:cNvPr>
          <xdr:cNvCxnSpPr/>
        </xdr:nvCxnSpPr>
        <xdr:spPr>
          <a:xfrm>
            <a:off x="2240280" y="4800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64" name="Gerader Verbinder 2663">
            <a:extLst>
              <a:ext uri="{FF2B5EF4-FFF2-40B4-BE49-F238E27FC236}">
                <a16:creationId xmlns:a16="http://schemas.microsoft.com/office/drawing/2014/main" id="{824F79B3-754C-E2ED-2AA7-7BB76C58B3B7}"/>
              </a:ext>
            </a:extLst>
          </xdr:cNvPr>
          <xdr:cNvCxnSpPr/>
        </xdr:nvCxnSpPr>
        <xdr:spPr>
          <a:xfrm flipH="1">
            <a:off x="2240280" y="4800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2668" name="Cross_D23">
          <a:extLst>
            <a:ext uri="{FF2B5EF4-FFF2-40B4-BE49-F238E27FC236}">
              <a16:creationId xmlns:a16="http://schemas.microsoft.com/office/drawing/2014/main" id="{46EA1A75-2901-2E9F-AECD-593DB1F42EBC}"/>
            </a:ext>
          </a:extLst>
        </xdr:cNvPr>
        <xdr:cNvGrpSpPr/>
      </xdr:nvGrpSpPr>
      <xdr:grpSpPr>
        <a:xfrm>
          <a:off x="2240280" y="5029200"/>
          <a:ext cx="601980" cy="228600"/>
          <a:chOff x="2240280" y="5029200"/>
          <a:chExt cx="601980" cy="228600"/>
        </a:xfrm>
      </xdr:grpSpPr>
      <xdr:cxnSp macro="">
        <xdr:nvCxnSpPr>
          <xdr:cNvPr id="2666" name="Gerader Verbinder 2665">
            <a:extLst>
              <a:ext uri="{FF2B5EF4-FFF2-40B4-BE49-F238E27FC236}">
                <a16:creationId xmlns:a16="http://schemas.microsoft.com/office/drawing/2014/main" id="{CCE572BB-5790-BD6F-E1C1-064AF183607F}"/>
              </a:ext>
            </a:extLst>
          </xdr:cNvPr>
          <xdr:cNvCxnSpPr/>
        </xdr:nvCxnSpPr>
        <xdr:spPr>
          <a:xfrm>
            <a:off x="2240280" y="502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67" name="Gerader Verbinder 2666">
            <a:extLst>
              <a:ext uri="{FF2B5EF4-FFF2-40B4-BE49-F238E27FC236}">
                <a16:creationId xmlns:a16="http://schemas.microsoft.com/office/drawing/2014/main" id="{FDFED95C-A58D-F621-E820-B5E6B33610C6}"/>
              </a:ext>
            </a:extLst>
          </xdr:cNvPr>
          <xdr:cNvCxnSpPr/>
        </xdr:nvCxnSpPr>
        <xdr:spPr>
          <a:xfrm flipH="1">
            <a:off x="2240280" y="502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2671" name="Cross_D24">
          <a:extLst>
            <a:ext uri="{FF2B5EF4-FFF2-40B4-BE49-F238E27FC236}">
              <a16:creationId xmlns:a16="http://schemas.microsoft.com/office/drawing/2014/main" id="{5F53D3D0-42B9-E046-0D73-D19CB3941DBF}"/>
            </a:ext>
          </a:extLst>
        </xdr:cNvPr>
        <xdr:cNvGrpSpPr/>
      </xdr:nvGrpSpPr>
      <xdr:grpSpPr>
        <a:xfrm>
          <a:off x="2240280" y="5257800"/>
          <a:ext cx="601980" cy="228600"/>
          <a:chOff x="2240280" y="5257800"/>
          <a:chExt cx="601980" cy="228600"/>
        </a:xfrm>
      </xdr:grpSpPr>
      <xdr:cxnSp macro="">
        <xdr:nvCxnSpPr>
          <xdr:cNvPr id="2669" name="Gerader Verbinder 2668">
            <a:extLst>
              <a:ext uri="{FF2B5EF4-FFF2-40B4-BE49-F238E27FC236}">
                <a16:creationId xmlns:a16="http://schemas.microsoft.com/office/drawing/2014/main" id="{2E2CB2D4-36E8-6157-64CF-B72AF418A700}"/>
              </a:ext>
            </a:extLst>
          </xdr:cNvPr>
          <xdr:cNvCxnSpPr/>
        </xdr:nvCxnSpPr>
        <xdr:spPr>
          <a:xfrm>
            <a:off x="2240280" y="5257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70" name="Gerader Verbinder 2669">
            <a:extLst>
              <a:ext uri="{FF2B5EF4-FFF2-40B4-BE49-F238E27FC236}">
                <a16:creationId xmlns:a16="http://schemas.microsoft.com/office/drawing/2014/main" id="{96638FFE-5BF8-A49E-033A-4D1C9A3A62FF}"/>
              </a:ext>
            </a:extLst>
          </xdr:cNvPr>
          <xdr:cNvCxnSpPr/>
        </xdr:nvCxnSpPr>
        <xdr:spPr>
          <a:xfrm flipH="1">
            <a:off x="2240280" y="5257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2674" name="Cross_D25">
          <a:extLst>
            <a:ext uri="{FF2B5EF4-FFF2-40B4-BE49-F238E27FC236}">
              <a16:creationId xmlns:a16="http://schemas.microsoft.com/office/drawing/2014/main" id="{D3430FF1-536E-6736-FC5E-9F493318212C}"/>
            </a:ext>
          </a:extLst>
        </xdr:cNvPr>
        <xdr:cNvGrpSpPr/>
      </xdr:nvGrpSpPr>
      <xdr:grpSpPr>
        <a:xfrm>
          <a:off x="2240280" y="5486400"/>
          <a:ext cx="601980" cy="228600"/>
          <a:chOff x="2240280" y="5486400"/>
          <a:chExt cx="601980" cy="228600"/>
        </a:xfrm>
      </xdr:grpSpPr>
      <xdr:cxnSp macro="">
        <xdr:nvCxnSpPr>
          <xdr:cNvPr id="2672" name="Gerader Verbinder 2671">
            <a:extLst>
              <a:ext uri="{FF2B5EF4-FFF2-40B4-BE49-F238E27FC236}">
                <a16:creationId xmlns:a16="http://schemas.microsoft.com/office/drawing/2014/main" id="{577D9972-37BA-EDCA-F517-3C319BFF7E73}"/>
              </a:ext>
            </a:extLst>
          </xdr:cNvPr>
          <xdr:cNvCxnSpPr/>
        </xdr:nvCxnSpPr>
        <xdr:spPr>
          <a:xfrm>
            <a:off x="2240280" y="5486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73" name="Gerader Verbinder 2672">
            <a:extLst>
              <a:ext uri="{FF2B5EF4-FFF2-40B4-BE49-F238E27FC236}">
                <a16:creationId xmlns:a16="http://schemas.microsoft.com/office/drawing/2014/main" id="{70032C6B-888A-51E9-45B0-F0BCE02FDEC2}"/>
              </a:ext>
            </a:extLst>
          </xdr:cNvPr>
          <xdr:cNvCxnSpPr/>
        </xdr:nvCxnSpPr>
        <xdr:spPr>
          <a:xfrm flipH="1">
            <a:off x="2240280" y="5486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2677" name="Cross_D26">
          <a:extLst>
            <a:ext uri="{FF2B5EF4-FFF2-40B4-BE49-F238E27FC236}">
              <a16:creationId xmlns:a16="http://schemas.microsoft.com/office/drawing/2014/main" id="{130CBC7B-AB95-5695-47A2-50E046FF6654}"/>
            </a:ext>
          </a:extLst>
        </xdr:cNvPr>
        <xdr:cNvGrpSpPr/>
      </xdr:nvGrpSpPr>
      <xdr:grpSpPr>
        <a:xfrm>
          <a:off x="2240280" y="5715000"/>
          <a:ext cx="601980" cy="228600"/>
          <a:chOff x="2240280" y="5715000"/>
          <a:chExt cx="601980" cy="228600"/>
        </a:xfrm>
      </xdr:grpSpPr>
      <xdr:cxnSp macro="">
        <xdr:nvCxnSpPr>
          <xdr:cNvPr id="2675" name="Gerader Verbinder 2674">
            <a:extLst>
              <a:ext uri="{FF2B5EF4-FFF2-40B4-BE49-F238E27FC236}">
                <a16:creationId xmlns:a16="http://schemas.microsoft.com/office/drawing/2014/main" id="{684A382A-63E4-DC52-04D9-F0A4D2BF79F7}"/>
              </a:ext>
            </a:extLst>
          </xdr:cNvPr>
          <xdr:cNvCxnSpPr/>
        </xdr:nvCxnSpPr>
        <xdr:spPr>
          <a:xfrm>
            <a:off x="2240280" y="5715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76" name="Gerader Verbinder 2675">
            <a:extLst>
              <a:ext uri="{FF2B5EF4-FFF2-40B4-BE49-F238E27FC236}">
                <a16:creationId xmlns:a16="http://schemas.microsoft.com/office/drawing/2014/main" id="{1FF037F6-2763-B853-512A-809BE2FCA93C}"/>
              </a:ext>
            </a:extLst>
          </xdr:cNvPr>
          <xdr:cNvCxnSpPr/>
        </xdr:nvCxnSpPr>
        <xdr:spPr>
          <a:xfrm flipH="1">
            <a:off x="2240280" y="5715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2680" name="Cross_D27">
          <a:extLst>
            <a:ext uri="{FF2B5EF4-FFF2-40B4-BE49-F238E27FC236}">
              <a16:creationId xmlns:a16="http://schemas.microsoft.com/office/drawing/2014/main" id="{68992F80-CDA2-0258-891B-04F897A2EDC9}"/>
            </a:ext>
          </a:extLst>
        </xdr:cNvPr>
        <xdr:cNvGrpSpPr/>
      </xdr:nvGrpSpPr>
      <xdr:grpSpPr>
        <a:xfrm>
          <a:off x="2240280" y="5943600"/>
          <a:ext cx="601980" cy="228600"/>
          <a:chOff x="2240280" y="5943600"/>
          <a:chExt cx="601980" cy="228600"/>
        </a:xfrm>
      </xdr:grpSpPr>
      <xdr:cxnSp macro="">
        <xdr:nvCxnSpPr>
          <xdr:cNvPr id="2678" name="Gerader Verbinder 2677">
            <a:extLst>
              <a:ext uri="{FF2B5EF4-FFF2-40B4-BE49-F238E27FC236}">
                <a16:creationId xmlns:a16="http://schemas.microsoft.com/office/drawing/2014/main" id="{8E2E3847-CD39-552C-BDC0-CDBD93B0EC75}"/>
              </a:ext>
            </a:extLst>
          </xdr:cNvPr>
          <xdr:cNvCxnSpPr/>
        </xdr:nvCxnSpPr>
        <xdr:spPr>
          <a:xfrm>
            <a:off x="2240280" y="5943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79" name="Gerader Verbinder 2678">
            <a:extLst>
              <a:ext uri="{FF2B5EF4-FFF2-40B4-BE49-F238E27FC236}">
                <a16:creationId xmlns:a16="http://schemas.microsoft.com/office/drawing/2014/main" id="{D5ADBCF7-D7A3-8AB9-CB0E-B3757865FA60}"/>
              </a:ext>
            </a:extLst>
          </xdr:cNvPr>
          <xdr:cNvCxnSpPr/>
        </xdr:nvCxnSpPr>
        <xdr:spPr>
          <a:xfrm flipH="1">
            <a:off x="2240280" y="5943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2683" name="Cross_D28">
          <a:extLst>
            <a:ext uri="{FF2B5EF4-FFF2-40B4-BE49-F238E27FC236}">
              <a16:creationId xmlns:a16="http://schemas.microsoft.com/office/drawing/2014/main" id="{BF703D9A-13B7-0D52-BA21-84426CE6C85D}"/>
            </a:ext>
          </a:extLst>
        </xdr:cNvPr>
        <xdr:cNvGrpSpPr/>
      </xdr:nvGrpSpPr>
      <xdr:grpSpPr>
        <a:xfrm>
          <a:off x="2240280" y="6172200"/>
          <a:ext cx="601980" cy="228600"/>
          <a:chOff x="2240280" y="6172200"/>
          <a:chExt cx="601980" cy="228600"/>
        </a:xfrm>
      </xdr:grpSpPr>
      <xdr:cxnSp macro="">
        <xdr:nvCxnSpPr>
          <xdr:cNvPr id="2681" name="Gerader Verbinder 2680">
            <a:extLst>
              <a:ext uri="{FF2B5EF4-FFF2-40B4-BE49-F238E27FC236}">
                <a16:creationId xmlns:a16="http://schemas.microsoft.com/office/drawing/2014/main" id="{40DB6786-E1F4-960A-A910-75338C0CE6CE}"/>
              </a:ext>
            </a:extLst>
          </xdr:cNvPr>
          <xdr:cNvCxnSpPr/>
        </xdr:nvCxnSpPr>
        <xdr:spPr>
          <a:xfrm>
            <a:off x="2240280" y="6172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82" name="Gerader Verbinder 2681">
            <a:extLst>
              <a:ext uri="{FF2B5EF4-FFF2-40B4-BE49-F238E27FC236}">
                <a16:creationId xmlns:a16="http://schemas.microsoft.com/office/drawing/2014/main" id="{72E02FAF-C253-33FC-E30A-B2BEE5B46D7C}"/>
              </a:ext>
            </a:extLst>
          </xdr:cNvPr>
          <xdr:cNvCxnSpPr/>
        </xdr:nvCxnSpPr>
        <xdr:spPr>
          <a:xfrm flipH="1">
            <a:off x="2240280" y="6172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2686" name="Cross_D29">
          <a:extLst>
            <a:ext uri="{FF2B5EF4-FFF2-40B4-BE49-F238E27FC236}">
              <a16:creationId xmlns:a16="http://schemas.microsoft.com/office/drawing/2014/main" id="{B75116F6-3951-7155-6E43-994274E47D64}"/>
            </a:ext>
          </a:extLst>
        </xdr:cNvPr>
        <xdr:cNvGrpSpPr/>
      </xdr:nvGrpSpPr>
      <xdr:grpSpPr>
        <a:xfrm>
          <a:off x="2240280" y="6400800"/>
          <a:ext cx="601980" cy="228600"/>
          <a:chOff x="2240280" y="6400800"/>
          <a:chExt cx="601980" cy="228600"/>
        </a:xfrm>
      </xdr:grpSpPr>
      <xdr:cxnSp macro="">
        <xdr:nvCxnSpPr>
          <xdr:cNvPr id="2684" name="Gerader Verbinder 2683">
            <a:extLst>
              <a:ext uri="{FF2B5EF4-FFF2-40B4-BE49-F238E27FC236}">
                <a16:creationId xmlns:a16="http://schemas.microsoft.com/office/drawing/2014/main" id="{A5EED711-8400-5838-D328-3FA5A8E77D33}"/>
              </a:ext>
            </a:extLst>
          </xdr:cNvPr>
          <xdr:cNvCxnSpPr/>
        </xdr:nvCxnSpPr>
        <xdr:spPr>
          <a:xfrm>
            <a:off x="2240280" y="6400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85" name="Gerader Verbinder 2684">
            <a:extLst>
              <a:ext uri="{FF2B5EF4-FFF2-40B4-BE49-F238E27FC236}">
                <a16:creationId xmlns:a16="http://schemas.microsoft.com/office/drawing/2014/main" id="{6B7E1431-2F01-29FA-8091-937DEDA08D33}"/>
              </a:ext>
            </a:extLst>
          </xdr:cNvPr>
          <xdr:cNvCxnSpPr/>
        </xdr:nvCxnSpPr>
        <xdr:spPr>
          <a:xfrm flipH="1">
            <a:off x="2240280" y="6400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xdr:row>
      <xdr:rowOff>0</xdr:rowOff>
    </xdr:from>
    <xdr:to>
      <xdr:col>5</xdr:col>
      <xdr:colOff>0</xdr:colOff>
      <xdr:row>8</xdr:row>
      <xdr:rowOff>0</xdr:rowOff>
    </xdr:to>
    <xdr:grpSp>
      <xdr:nvGrpSpPr>
        <xdr:cNvPr id="2689" name="Cross_E8">
          <a:extLst>
            <a:ext uri="{FF2B5EF4-FFF2-40B4-BE49-F238E27FC236}">
              <a16:creationId xmlns:a16="http://schemas.microsoft.com/office/drawing/2014/main" id="{4EA1F931-B999-D691-A19C-3C7CA3830ED6}"/>
            </a:ext>
          </a:extLst>
        </xdr:cNvPr>
        <xdr:cNvGrpSpPr/>
      </xdr:nvGrpSpPr>
      <xdr:grpSpPr>
        <a:xfrm>
          <a:off x="2842260" y="1600200"/>
          <a:ext cx="601980" cy="228600"/>
          <a:chOff x="2842260" y="1600200"/>
          <a:chExt cx="601980" cy="228600"/>
        </a:xfrm>
      </xdr:grpSpPr>
      <xdr:cxnSp macro="">
        <xdr:nvCxnSpPr>
          <xdr:cNvPr id="2687" name="Gerader Verbinder 2686">
            <a:extLst>
              <a:ext uri="{FF2B5EF4-FFF2-40B4-BE49-F238E27FC236}">
                <a16:creationId xmlns:a16="http://schemas.microsoft.com/office/drawing/2014/main" id="{212C98E0-6CED-6641-AFC6-64026D581DA8}"/>
              </a:ext>
            </a:extLst>
          </xdr:cNvPr>
          <xdr:cNvCxnSpPr/>
        </xdr:nvCxnSpPr>
        <xdr:spPr>
          <a:xfrm>
            <a:off x="2842260" y="1600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88" name="Gerader Verbinder 2687">
            <a:extLst>
              <a:ext uri="{FF2B5EF4-FFF2-40B4-BE49-F238E27FC236}">
                <a16:creationId xmlns:a16="http://schemas.microsoft.com/office/drawing/2014/main" id="{FA425D72-8B58-D7F1-7401-FEB4EC093975}"/>
              </a:ext>
            </a:extLst>
          </xdr:cNvPr>
          <xdr:cNvCxnSpPr/>
        </xdr:nvCxnSpPr>
        <xdr:spPr>
          <a:xfrm flipH="1">
            <a:off x="2842260" y="1600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2692" name="Cross_E11">
          <a:extLst>
            <a:ext uri="{FF2B5EF4-FFF2-40B4-BE49-F238E27FC236}">
              <a16:creationId xmlns:a16="http://schemas.microsoft.com/office/drawing/2014/main" id="{18B16D9B-B2E9-C0B1-F9D4-30883C895028}"/>
            </a:ext>
          </a:extLst>
        </xdr:cNvPr>
        <xdr:cNvGrpSpPr/>
      </xdr:nvGrpSpPr>
      <xdr:grpSpPr>
        <a:xfrm>
          <a:off x="2842260" y="2286000"/>
          <a:ext cx="601980" cy="228600"/>
          <a:chOff x="2842260" y="2286000"/>
          <a:chExt cx="601980" cy="228600"/>
        </a:xfrm>
      </xdr:grpSpPr>
      <xdr:cxnSp macro="">
        <xdr:nvCxnSpPr>
          <xdr:cNvPr id="2690" name="Gerader Verbinder 2689">
            <a:extLst>
              <a:ext uri="{FF2B5EF4-FFF2-40B4-BE49-F238E27FC236}">
                <a16:creationId xmlns:a16="http://schemas.microsoft.com/office/drawing/2014/main" id="{C6B825B9-D2D8-FAD9-6A25-7167B5F3058C}"/>
              </a:ext>
            </a:extLst>
          </xdr:cNvPr>
          <xdr:cNvCxnSpPr/>
        </xdr:nvCxnSpPr>
        <xdr:spPr>
          <a:xfrm>
            <a:off x="2842260" y="2286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91" name="Gerader Verbinder 2690">
            <a:extLst>
              <a:ext uri="{FF2B5EF4-FFF2-40B4-BE49-F238E27FC236}">
                <a16:creationId xmlns:a16="http://schemas.microsoft.com/office/drawing/2014/main" id="{481AB8E0-2231-2B1A-331B-9D03151D44C8}"/>
              </a:ext>
            </a:extLst>
          </xdr:cNvPr>
          <xdr:cNvCxnSpPr/>
        </xdr:nvCxnSpPr>
        <xdr:spPr>
          <a:xfrm flipH="1">
            <a:off x="2842260" y="2286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2695" name="Cross_E12">
          <a:extLst>
            <a:ext uri="{FF2B5EF4-FFF2-40B4-BE49-F238E27FC236}">
              <a16:creationId xmlns:a16="http://schemas.microsoft.com/office/drawing/2014/main" id="{6B40193B-175E-9AF0-BB70-CFF48784647B}"/>
            </a:ext>
          </a:extLst>
        </xdr:cNvPr>
        <xdr:cNvGrpSpPr/>
      </xdr:nvGrpSpPr>
      <xdr:grpSpPr>
        <a:xfrm>
          <a:off x="2842260" y="2514600"/>
          <a:ext cx="601980" cy="228600"/>
          <a:chOff x="2842260" y="2514600"/>
          <a:chExt cx="601980" cy="228600"/>
        </a:xfrm>
      </xdr:grpSpPr>
      <xdr:cxnSp macro="">
        <xdr:nvCxnSpPr>
          <xdr:cNvPr id="2693" name="Gerader Verbinder 2692">
            <a:extLst>
              <a:ext uri="{FF2B5EF4-FFF2-40B4-BE49-F238E27FC236}">
                <a16:creationId xmlns:a16="http://schemas.microsoft.com/office/drawing/2014/main" id="{2CD65A34-5151-6669-EFCB-5DC316A186A0}"/>
              </a:ext>
            </a:extLst>
          </xdr:cNvPr>
          <xdr:cNvCxnSpPr/>
        </xdr:nvCxnSpPr>
        <xdr:spPr>
          <a:xfrm>
            <a:off x="2842260" y="2514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94" name="Gerader Verbinder 2693">
            <a:extLst>
              <a:ext uri="{FF2B5EF4-FFF2-40B4-BE49-F238E27FC236}">
                <a16:creationId xmlns:a16="http://schemas.microsoft.com/office/drawing/2014/main" id="{4E13782F-4489-6F26-3448-B45B2BB7ED0D}"/>
              </a:ext>
            </a:extLst>
          </xdr:cNvPr>
          <xdr:cNvCxnSpPr/>
        </xdr:nvCxnSpPr>
        <xdr:spPr>
          <a:xfrm flipH="1">
            <a:off x="2842260" y="2514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2698" name="Cross_E13">
          <a:extLst>
            <a:ext uri="{FF2B5EF4-FFF2-40B4-BE49-F238E27FC236}">
              <a16:creationId xmlns:a16="http://schemas.microsoft.com/office/drawing/2014/main" id="{62594E36-8B5D-29AC-C69E-298CC5E1C807}"/>
            </a:ext>
          </a:extLst>
        </xdr:cNvPr>
        <xdr:cNvGrpSpPr/>
      </xdr:nvGrpSpPr>
      <xdr:grpSpPr>
        <a:xfrm>
          <a:off x="2842260" y="2743200"/>
          <a:ext cx="601980" cy="228600"/>
          <a:chOff x="2842260" y="2743200"/>
          <a:chExt cx="601980" cy="228600"/>
        </a:xfrm>
      </xdr:grpSpPr>
      <xdr:cxnSp macro="">
        <xdr:nvCxnSpPr>
          <xdr:cNvPr id="2696" name="Gerader Verbinder 2695">
            <a:extLst>
              <a:ext uri="{FF2B5EF4-FFF2-40B4-BE49-F238E27FC236}">
                <a16:creationId xmlns:a16="http://schemas.microsoft.com/office/drawing/2014/main" id="{D444F608-D870-89CE-7905-C4B2F99189F2}"/>
              </a:ext>
            </a:extLst>
          </xdr:cNvPr>
          <xdr:cNvCxnSpPr/>
        </xdr:nvCxnSpPr>
        <xdr:spPr>
          <a:xfrm>
            <a:off x="2842260" y="2743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97" name="Gerader Verbinder 2696">
            <a:extLst>
              <a:ext uri="{FF2B5EF4-FFF2-40B4-BE49-F238E27FC236}">
                <a16:creationId xmlns:a16="http://schemas.microsoft.com/office/drawing/2014/main" id="{F3159C10-2D90-EDA0-D3B3-2D2F203A7971}"/>
              </a:ext>
            </a:extLst>
          </xdr:cNvPr>
          <xdr:cNvCxnSpPr/>
        </xdr:nvCxnSpPr>
        <xdr:spPr>
          <a:xfrm flipH="1">
            <a:off x="2842260" y="2743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2701" name="Cross_E14">
          <a:extLst>
            <a:ext uri="{FF2B5EF4-FFF2-40B4-BE49-F238E27FC236}">
              <a16:creationId xmlns:a16="http://schemas.microsoft.com/office/drawing/2014/main" id="{AF5F8294-F5D5-5949-E74C-A5D3E0C74705}"/>
            </a:ext>
          </a:extLst>
        </xdr:cNvPr>
        <xdr:cNvGrpSpPr/>
      </xdr:nvGrpSpPr>
      <xdr:grpSpPr>
        <a:xfrm>
          <a:off x="2842260" y="2971800"/>
          <a:ext cx="601980" cy="228600"/>
          <a:chOff x="2842260" y="2971800"/>
          <a:chExt cx="601980" cy="228600"/>
        </a:xfrm>
      </xdr:grpSpPr>
      <xdr:cxnSp macro="">
        <xdr:nvCxnSpPr>
          <xdr:cNvPr id="2699" name="Gerader Verbinder 2698">
            <a:extLst>
              <a:ext uri="{FF2B5EF4-FFF2-40B4-BE49-F238E27FC236}">
                <a16:creationId xmlns:a16="http://schemas.microsoft.com/office/drawing/2014/main" id="{6F5CA3A5-FDA9-DFCC-A840-27FE2A50DA96}"/>
              </a:ext>
            </a:extLst>
          </xdr:cNvPr>
          <xdr:cNvCxnSpPr/>
        </xdr:nvCxnSpPr>
        <xdr:spPr>
          <a:xfrm>
            <a:off x="2842260" y="2971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00" name="Gerader Verbinder 2699">
            <a:extLst>
              <a:ext uri="{FF2B5EF4-FFF2-40B4-BE49-F238E27FC236}">
                <a16:creationId xmlns:a16="http://schemas.microsoft.com/office/drawing/2014/main" id="{AE565127-8141-7FF2-AB1A-807D616A7792}"/>
              </a:ext>
            </a:extLst>
          </xdr:cNvPr>
          <xdr:cNvCxnSpPr/>
        </xdr:nvCxnSpPr>
        <xdr:spPr>
          <a:xfrm flipH="1">
            <a:off x="2842260" y="2971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2704" name="Cross_E15">
          <a:extLst>
            <a:ext uri="{FF2B5EF4-FFF2-40B4-BE49-F238E27FC236}">
              <a16:creationId xmlns:a16="http://schemas.microsoft.com/office/drawing/2014/main" id="{4F36AA87-160A-DF95-5972-AA4C5742E8E5}"/>
            </a:ext>
          </a:extLst>
        </xdr:cNvPr>
        <xdr:cNvGrpSpPr/>
      </xdr:nvGrpSpPr>
      <xdr:grpSpPr>
        <a:xfrm>
          <a:off x="2842260" y="3200400"/>
          <a:ext cx="601980" cy="228600"/>
          <a:chOff x="2842260" y="3200400"/>
          <a:chExt cx="601980" cy="228600"/>
        </a:xfrm>
      </xdr:grpSpPr>
      <xdr:cxnSp macro="">
        <xdr:nvCxnSpPr>
          <xdr:cNvPr id="2702" name="Gerader Verbinder 2701">
            <a:extLst>
              <a:ext uri="{FF2B5EF4-FFF2-40B4-BE49-F238E27FC236}">
                <a16:creationId xmlns:a16="http://schemas.microsoft.com/office/drawing/2014/main" id="{2080E24E-AB7E-5EB3-8922-E57AF1960736}"/>
              </a:ext>
            </a:extLst>
          </xdr:cNvPr>
          <xdr:cNvCxnSpPr/>
        </xdr:nvCxnSpPr>
        <xdr:spPr>
          <a:xfrm>
            <a:off x="2842260" y="320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03" name="Gerader Verbinder 2702">
            <a:extLst>
              <a:ext uri="{FF2B5EF4-FFF2-40B4-BE49-F238E27FC236}">
                <a16:creationId xmlns:a16="http://schemas.microsoft.com/office/drawing/2014/main" id="{6B9CE28F-D0B7-97B2-484E-E3FFCBA0E3B6}"/>
              </a:ext>
            </a:extLst>
          </xdr:cNvPr>
          <xdr:cNvCxnSpPr/>
        </xdr:nvCxnSpPr>
        <xdr:spPr>
          <a:xfrm flipH="1">
            <a:off x="2842260" y="320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15</xdr:row>
      <xdr:rowOff>0</xdr:rowOff>
    </xdr:from>
    <xdr:to>
      <xdr:col>5</xdr:col>
      <xdr:colOff>0</xdr:colOff>
      <xdr:row>16</xdr:row>
      <xdr:rowOff>0</xdr:rowOff>
    </xdr:to>
    <xdr:grpSp>
      <xdr:nvGrpSpPr>
        <xdr:cNvPr id="2707" name="Cross_E16">
          <a:extLst>
            <a:ext uri="{FF2B5EF4-FFF2-40B4-BE49-F238E27FC236}">
              <a16:creationId xmlns:a16="http://schemas.microsoft.com/office/drawing/2014/main" id="{21FBE133-018B-F46B-280D-005E1D190B20}"/>
            </a:ext>
          </a:extLst>
        </xdr:cNvPr>
        <xdr:cNvGrpSpPr/>
      </xdr:nvGrpSpPr>
      <xdr:grpSpPr>
        <a:xfrm>
          <a:off x="2842260" y="3429000"/>
          <a:ext cx="601980" cy="228600"/>
          <a:chOff x="2842260" y="3429000"/>
          <a:chExt cx="601980" cy="228600"/>
        </a:xfrm>
      </xdr:grpSpPr>
      <xdr:cxnSp macro="">
        <xdr:nvCxnSpPr>
          <xdr:cNvPr id="2705" name="Gerader Verbinder 2704">
            <a:extLst>
              <a:ext uri="{FF2B5EF4-FFF2-40B4-BE49-F238E27FC236}">
                <a16:creationId xmlns:a16="http://schemas.microsoft.com/office/drawing/2014/main" id="{4A3E994F-291E-B889-5966-3BFD0D4CE4C9}"/>
              </a:ext>
            </a:extLst>
          </xdr:cNvPr>
          <xdr:cNvCxnSpPr/>
        </xdr:nvCxnSpPr>
        <xdr:spPr>
          <a:xfrm>
            <a:off x="2842260" y="3429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06" name="Gerader Verbinder 2705">
            <a:extLst>
              <a:ext uri="{FF2B5EF4-FFF2-40B4-BE49-F238E27FC236}">
                <a16:creationId xmlns:a16="http://schemas.microsoft.com/office/drawing/2014/main" id="{E2BB31AB-394B-DB80-7AC8-B01DAC382FD3}"/>
              </a:ext>
            </a:extLst>
          </xdr:cNvPr>
          <xdr:cNvCxnSpPr/>
        </xdr:nvCxnSpPr>
        <xdr:spPr>
          <a:xfrm flipH="1">
            <a:off x="2842260" y="3429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16</xdr:row>
      <xdr:rowOff>0</xdr:rowOff>
    </xdr:from>
    <xdr:to>
      <xdr:col>5</xdr:col>
      <xdr:colOff>0</xdr:colOff>
      <xdr:row>17</xdr:row>
      <xdr:rowOff>0</xdr:rowOff>
    </xdr:to>
    <xdr:grpSp>
      <xdr:nvGrpSpPr>
        <xdr:cNvPr id="2710" name="Cross_E17">
          <a:extLst>
            <a:ext uri="{FF2B5EF4-FFF2-40B4-BE49-F238E27FC236}">
              <a16:creationId xmlns:a16="http://schemas.microsoft.com/office/drawing/2014/main" id="{8AA3CF20-1CF9-16B7-ED2C-1202497CA4AC}"/>
            </a:ext>
          </a:extLst>
        </xdr:cNvPr>
        <xdr:cNvGrpSpPr/>
      </xdr:nvGrpSpPr>
      <xdr:grpSpPr>
        <a:xfrm>
          <a:off x="2842260" y="3657600"/>
          <a:ext cx="601980" cy="228600"/>
          <a:chOff x="2842260" y="3657600"/>
          <a:chExt cx="601980" cy="228600"/>
        </a:xfrm>
      </xdr:grpSpPr>
      <xdr:cxnSp macro="">
        <xdr:nvCxnSpPr>
          <xdr:cNvPr id="2708" name="Gerader Verbinder 2707">
            <a:extLst>
              <a:ext uri="{FF2B5EF4-FFF2-40B4-BE49-F238E27FC236}">
                <a16:creationId xmlns:a16="http://schemas.microsoft.com/office/drawing/2014/main" id="{315975C2-83D5-C68B-F9B8-A01A36B93724}"/>
              </a:ext>
            </a:extLst>
          </xdr:cNvPr>
          <xdr:cNvCxnSpPr/>
        </xdr:nvCxnSpPr>
        <xdr:spPr>
          <a:xfrm>
            <a:off x="2842260" y="3657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09" name="Gerader Verbinder 2708">
            <a:extLst>
              <a:ext uri="{FF2B5EF4-FFF2-40B4-BE49-F238E27FC236}">
                <a16:creationId xmlns:a16="http://schemas.microsoft.com/office/drawing/2014/main" id="{9F3BFDF4-3E0B-BB36-3E0E-621E5FBEAA79}"/>
              </a:ext>
            </a:extLst>
          </xdr:cNvPr>
          <xdr:cNvCxnSpPr/>
        </xdr:nvCxnSpPr>
        <xdr:spPr>
          <a:xfrm flipH="1">
            <a:off x="2842260" y="3657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xdr:row>
      <xdr:rowOff>0</xdr:rowOff>
    </xdr:from>
    <xdr:to>
      <xdr:col>5</xdr:col>
      <xdr:colOff>0</xdr:colOff>
      <xdr:row>18</xdr:row>
      <xdr:rowOff>0</xdr:rowOff>
    </xdr:to>
    <xdr:grpSp>
      <xdr:nvGrpSpPr>
        <xdr:cNvPr id="2713" name="Cross_E18">
          <a:extLst>
            <a:ext uri="{FF2B5EF4-FFF2-40B4-BE49-F238E27FC236}">
              <a16:creationId xmlns:a16="http://schemas.microsoft.com/office/drawing/2014/main" id="{E6499CCD-DFC8-BDAC-23C1-2382771F7019}"/>
            </a:ext>
          </a:extLst>
        </xdr:cNvPr>
        <xdr:cNvGrpSpPr/>
      </xdr:nvGrpSpPr>
      <xdr:grpSpPr>
        <a:xfrm>
          <a:off x="2842260" y="3886200"/>
          <a:ext cx="601980" cy="228600"/>
          <a:chOff x="2842260" y="3886200"/>
          <a:chExt cx="601980" cy="228600"/>
        </a:xfrm>
      </xdr:grpSpPr>
      <xdr:cxnSp macro="">
        <xdr:nvCxnSpPr>
          <xdr:cNvPr id="2711" name="Gerader Verbinder 2710">
            <a:extLst>
              <a:ext uri="{FF2B5EF4-FFF2-40B4-BE49-F238E27FC236}">
                <a16:creationId xmlns:a16="http://schemas.microsoft.com/office/drawing/2014/main" id="{9C054ED8-83DE-7DE4-9EB3-75C91F818C44}"/>
              </a:ext>
            </a:extLst>
          </xdr:cNvPr>
          <xdr:cNvCxnSpPr/>
        </xdr:nvCxnSpPr>
        <xdr:spPr>
          <a:xfrm>
            <a:off x="2842260" y="3886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12" name="Gerader Verbinder 2711">
            <a:extLst>
              <a:ext uri="{FF2B5EF4-FFF2-40B4-BE49-F238E27FC236}">
                <a16:creationId xmlns:a16="http://schemas.microsoft.com/office/drawing/2014/main" id="{F21B7AF8-4792-50DB-41CB-2EBA92A5C5EB}"/>
              </a:ext>
            </a:extLst>
          </xdr:cNvPr>
          <xdr:cNvCxnSpPr/>
        </xdr:nvCxnSpPr>
        <xdr:spPr>
          <a:xfrm flipH="1">
            <a:off x="2842260" y="3886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2716" name="Cross_E19">
          <a:extLst>
            <a:ext uri="{FF2B5EF4-FFF2-40B4-BE49-F238E27FC236}">
              <a16:creationId xmlns:a16="http://schemas.microsoft.com/office/drawing/2014/main" id="{D2F59FCD-AD65-FD24-8EC5-D139F8A06EC5}"/>
            </a:ext>
          </a:extLst>
        </xdr:cNvPr>
        <xdr:cNvGrpSpPr/>
      </xdr:nvGrpSpPr>
      <xdr:grpSpPr>
        <a:xfrm>
          <a:off x="2842260" y="4114800"/>
          <a:ext cx="601980" cy="228600"/>
          <a:chOff x="2842260" y="4114800"/>
          <a:chExt cx="601980" cy="228600"/>
        </a:xfrm>
      </xdr:grpSpPr>
      <xdr:cxnSp macro="">
        <xdr:nvCxnSpPr>
          <xdr:cNvPr id="2714" name="Gerader Verbinder 2713">
            <a:extLst>
              <a:ext uri="{FF2B5EF4-FFF2-40B4-BE49-F238E27FC236}">
                <a16:creationId xmlns:a16="http://schemas.microsoft.com/office/drawing/2014/main" id="{6C0C7367-9ABD-D819-CD08-FFC395E7E75B}"/>
              </a:ext>
            </a:extLst>
          </xdr:cNvPr>
          <xdr:cNvCxnSpPr/>
        </xdr:nvCxnSpPr>
        <xdr:spPr>
          <a:xfrm>
            <a:off x="2842260" y="4114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15" name="Gerader Verbinder 2714">
            <a:extLst>
              <a:ext uri="{FF2B5EF4-FFF2-40B4-BE49-F238E27FC236}">
                <a16:creationId xmlns:a16="http://schemas.microsoft.com/office/drawing/2014/main" id="{EC19F31A-BF6E-5510-97CC-112EA0E6EFAC}"/>
              </a:ext>
            </a:extLst>
          </xdr:cNvPr>
          <xdr:cNvCxnSpPr/>
        </xdr:nvCxnSpPr>
        <xdr:spPr>
          <a:xfrm flipH="1">
            <a:off x="2842260" y="4114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2719" name="Cross_E20">
          <a:extLst>
            <a:ext uri="{FF2B5EF4-FFF2-40B4-BE49-F238E27FC236}">
              <a16:creationId xmlns:a16="http://schemas.microsoft.com/office/drawing/2014/main" id="{69CB2F82-7F07-214B-9C4F-7C092EA11834}"/>
            </a:ext>
          </a:extLst>
        </xdr:cNvPr>
        <xdr:cNvGrpSpPr/>
      </xdr:nvGrpSpPr>
      <xdr:grpSpPr>
        <a:xfrm>
          <a:off x="2842260" y="4343400"/>
          <a:ext cx="601980" cy="228600"/>
          <a:chOff x="2842260" y="4343400"/>
          <a:chExt cx="601980" cy="228600"/>
        </a:xfrm>
      </xdr:grpSpPr>
      <xdr:cxnSp macro="">
        <xdr:nvCxnSpPr>
          <xdr:cNvPr id="2717" name="Gerader Verbinder 2716">
            <a:extLst>
              <a:ext uri="{FF2B5EF4-FFF2-40B4-BE49-F238E27FC236}">
                <a16:creationId xmlns:a16="http://schemas.microsoft.com/office/drawing/2014/main" id="{7C844C5D-71C9-DAEE-917F-3BF820D8D109}"/>
              </a:ext>
            </a:extLst>
          </xdr:cNvPr>
          <xdr:cNvCxnSpPr/>
        </xdr:nvCxnSpPr>
        <xdr:spPr>
          <a:xfrm>
            <a:off x="2842260" y="4343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18" name="Gerader Verbinder 2717">
            <a:extLst>
              <a:ext uri="{FF2B5EF4-FFF2-40B4-BE49-F238E27FC236}">
                <a16:creationId xmlns:a16="http://schemas.microsoft.com/office/drawing/2014/main" id="{B01430F3-DF5B-8555-EFBD-331970F3FC06}"/>
              </a:ext>
            </a:extLst>
          </xdr:cNvPr>
          <xdr:cNvCxnSpPr/>
        </xdr:nvCxnSpPr>
        <xdr:spPr>
          <a:xfrm flipH="1">
            <a:off x="2842260" y="4343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2722" name="Cross_E21">
          <a:extLst>
            <a:ext uri="{FF2B5EF4-FFF2-40B4-BE49-F238E27FC236}">
              <a16:creationId xmlns:a16="http://schemas.microsoft.com/office/drawing/2014/main" id="{008BB3A6-2DC9-B50C-5624-A4593FCEABB7}"/>
            </a:ext>
          </a:extLst>
        </xdr:cNvPr>
        <xdr:cNvGrpSpPr/>
      </xdr:nvGrpSpPr>
      <xdr:grpSpPr>
        <a:xfrm>
          <a:off x="2842260" y="4572000"/>
          <a:ext cx="601980" cy="228600"/>
          <a:chOff x="2842260" y="4572000"/>
          <a:chExt cx="601980" cy="228600"/>
        </a:xfrm>
      </xdr:grpSpPr>
      <xdr:cxnSp macro="">
        <xdr:nvCxnSpPr>
          <xdr:cNvPr id="2720" name="Gerader Verbinder 2719">
            <a:extLst>
              <a:ext uri="{FF2B5EF4-FFF2-40B4-BE49-F238E27FC236}">
                <a16:creationId xmlns:a16="http://schemas.microsoft.com/office/drawing/2014/main" id="{4B7E86E7-5844-A77C-161C-67F141992EFA}"/>
              </a:ext>
            </a:extLst>
          </xdr:cNvPr>
          <xdr:cNvCxnSpPr/>
        </xdr:nvCxnSpPr>
        <xdr:spPr>
          <a:xfrm>
            <a:off x="2842260" y="4572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21" name="Gerader Verbinder 2720">
            <a:extLst>
              <a:ext uri="{FF2B5EF4-FFF2-40B4-BE49-F238E27FC236}">
                <a16:creationId xmlns:a16="http://schemas.microsoft.com/office/drawing/2014/main" id="{A2FA4685-5457-1501-B82F-60E97911FF52}"/>
              </a:ext>
            </a:extLst>
          </xdr:cNvPr>
          <xdr:cNvCxnSpPr/>
        </xdr:nvCxnSpPr>
        <xdr:spPr>
          <a:xfrm flipH="1">
            <a:off x="2842260" y="4572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21</xdr:row>
      <xdr:rowOff>0</xdr:rowOff>
    </xdr:from>
    <xdr:to>
      <xdr:col>5</xdr:col>
      <xdr:colOff>0</xdr:colOff>
      <xdr:row>22</xdr:row>
      <xdr:rowOff>0</xdr:rowOff>
    </xdr:to>
    <xdr:grpSp>
      <xdr:nvGrpSpPr>
        <xdr:cNvPr id="2725" name="Cross_E22">
          <a:extLst>
            <a:ext uri="{FF2B5EF4-FFF2-40B4-BE49-F238E27FC236}">
              <a16:creationId xmlns:a16="http://schemas.microsoft.com/office/drawing/2014/main" id="{5CF417A3-01E8-03DE-9875-B14FE7EF7D56}"/>
            </a:ext>
          </a:extLst>
        </xdr:cNvPr>
        <xdr:cNvGrpSpPr/>
      </xdr:nvGrpSpPr>
      <xdr:grpSpPr>
        <a:xfrm>
          <a:off x="2842260" y="4800600"/>
          <a:ext cx="601980" cy="228600"/>
          <a:chOff x="2842260" y="4800600"/>
          <a:chExt cx="601980" cy="228600"/>
        </a:xfrm>
      </xdr:grpSpPr>
      <xdr:cxnSp macro="">
        <xdr:nvCxnSpPr>
          <xdr:cNvPr id="2723" name="Gerader Verbinder 2722">
            <a:extLst>
              <a:ext uri="{FF2B5EF4-FFF2-40B4-BE49-F238E27FC236}">
                <a16:creationId xmlns:a16="http://schemas.microsoft.com/office/drawing/2014/main" id="{79379700-7B56-F47E-0FC0-FC347A2F2CA6}"/>
              </a:ext>
            </a:extLst>
          </xdr:cNvPr>
          <xdr:cNvCxnSpPr/>
        </xdr:nvCxnSpPr>
        <xdr:spPr>
          <a:xfrm>
            <a:off x="2842260" y="4800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24" name="Gerader Verbinder 2723">
            <a:extLst>
              <a:ext uri="{FF2B5EF4-FFF2-40B4-BE49-F238E27FC236}">
                <a16:creationId xmlns:a16="http://schemas.microsoft.com/office/drawing/2014/main" id="{CC9D8961-DB2F-6036-8F2C-F46231D25BE6}"/>
              </a:ext>
            </a:extLst>
          </xdr:cNvPr>
          <xdr:cNvCxnSpPr/>
        </xdr:nvCxnSpPr>
        <xdr:spPr>
          <a:xfrm flipH="1">
            <a:off x="2842260" y="4800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22</xdr:row>
      <xdr:rowOff>0</xdr:rowOff>
    </xdr:from>
    <xdr:to>
      <xdr:col>5</xdr:col>
      <xdr:colOff>0</xdr:colOff>
      <xdr:row>23</xdr:row>
      <xdr:rowOff>0</xdr:rowOff>
    </xdr:to>
    <xdr:grpSp>
      <xdr:nvGrpSpPr>
        <xdr:cNvPr id="2728" name="Cross_E23">
          <a:extLst>
            <a:ext uri="{FF2B5EF4-FFF2-40B4-BE49-F238E27FC236}">
              <a16:creationId xmlns:a16="http://schemas.microsoft.com/office/drawing/2014/main" id="{02D45BD8-2541-70CC-4111-C994604EC022}"/>
            </a:ext>
          </a:extLst>
        </xdr:cNvPr>
        <xdr:cNvGrpSpPr/>
      </xdr:nvGrpSpPr>
      <xdr:grpSpPr>
        <a:xfrm>
          <a:off x="2842260" y="5029200"/>
          <a:ext cx="601980" cy="228600"/>
          <a:chOff x="2842260" y="5029200"/>
          <a:chExt cx="601980" cy="228600"/>
        </a:xfrm>
      </xdr:grpSpPr>
      <xdr:cxnSp macro="">
        <xdr:nvCxnSpPr>
          <xdr:cNvPr id="2726" name="Gerader Verbinder 2725">
            <a:extLst>
              <a:ext uri="{FF2B5EF4-FFF2-40B4-BE49-F238E27FC236}">
                <a16:creationId xmlns:a16="http://schemas.microsoft.com/office/drawing/2014/main" id="{71EBEE60-E312-80CE-F9A5-AFC88CC02702}"/>
              </a:ext>
            </a:extLst>
          </xdr:cNvPr>
          <xdr:cNvCxnSpPr/>
        </xdr:nvCxnSpPr>
        <xdr:spPr>
          <a:xfrm>
            <a:off x="2842260" y="502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27" name="Gerader Verbinder 2726">
            <a:extLst>
              <a:ext uri="{FF2B5EF4-FFF2-40B4-BE49-F238E27FC236}">
                <a16:creationId xmlns:a16="http://schemas.microsoft.com/office/drawing/2014/main" id="{5D4698A8-5D05-8457-E468-E7FB8991E6D0}"/>
              </a:ext>
            </a:extLst>
          </xdr:cNvPr>
          <xdr:cNvCxnSpPr/>
        </xdr:nvCxnSpPr>
        <xdr:spPr>
          <a:xfrm flipH="1">
            <a:off x="2842260" y="502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23</xdr:row>
      <xdr:rowOff>0</xdr:rowOff>
    </xdr:from>
    <xdr:to>
      <xdr:col>5</xdr:col>
      <xdr:colOff>0</xdr:colOff>
      <xdr:row>24</xdr:row>
      <xdr:rowOff>0</xdr:rowOff>
    </xdr:to>
    <xdr:grpSp>
      <xdr:nvGrpSpPr>
        <xdr:cNvPr id="2731" name="Cross_E24">
          <a:extLst>
            <a:ext uri="{FF2B5EF4-FFF2-40B4-BE49-F238E27FC236}">
              <a16:creationId xmlns:a16="http://schemas.microsoft.com/office/drawing/2014/main" id="{FD51BE7F-31BB-3FA8-4F88-CD263E1B0BAF}"/>
            </a:ext>
          </a:extLst>
        </xdr:cNvPr>
        <xdr:cNvGrpSpPr/>
      </xdr:nvGrpSpPr>
      <xdr:grpSpPr>
        <a:xfrm>
          <a:off x="2842260" y="5257800"/>
          <a:ext cx="601980" cy="228600"/>
          <a:chOff x="2842260" y="5257800"/>
          <a:chExt cx="601980" cy="228600"/>
        </a:xfrm>
      </xdr:grpSpPr>
      <xdr:cxnSp macro="">
        <xdr:nvCxnSpPr>
          <xdr:cNvPr id="2729" name="Gerader Verbinder 2728">
            <a:extLst>
              <a:ext uri="{FF2B5EF4-FFF2-40B4-BE49-F238E27FC236}">
                <a16:creationId xmlns:a16="http://schemas.microsoft.com/office/drawing/2014/main" id="{9FA47EDA-7AF2-D1CC-A2A5-A4F777E22657}"/>
              </a:ext>
            </a:extLst>
          </xdr:cNvPr>
          <xdr:cNvCxnSpPr/>
        </xdr:nvCxnSpPr>
        <xdr:spPr>
          <a:xfrm>
            <a:off x="2842260" y="5257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30" name="Gerader Verbinder 2729">
            <a:extLst>
              <a:ext uri="{FF2B5EF4-FFF2-40B4-BE49-F238E27FC236}">
                <a16:creationId xmlns:a16="http://schemas.microsoft.com/office/drawing/2014/main" id="{E9ACFF05-1253-4E94-80DD-ACE7DCA690AA}"/>
              </a:ext>
            </a:extLst>
          </xdr:cNvPr>
          <xdr:cNvCxnSpPr/>
        </xdr:nvCxnSpPr>
        <xdr:spPr>
          <a:xfrm flipH="1">
            <a:off x="2842260" y="5257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24</xdr:row>
      <xdr:rowOff>0</xdr:rowOff>
    </xdr:from>
    <xdr:to>
      <xdr:col>5</xdr:col>
      <xdr:colOff>0</xdr:colOff>
      <xdr:row>25</xdr:row>
      <xdr:rowOff>0</xdr:rowOff>
    </xdr:to>
    <xdr:grpSp>
      <xdr:nvGrpSpPr>
        <xdr:cNvPr id="2734" name="Cross_E25">
          <a:extLst>
            <a:ext uri="{FF2B5EF4-FFF2-40B4-BE49-F238E27FC236}">
              <a16:creationId xmlns:a16="http://schemas.microsoft.com/office/drawing/2014/main" id="{9BDFCB5F-CDFF-D9CF-49C3-D8C7B4EC901E}"/>
            </a:ext>
          </a:extLst>
        </xdr:cNvPr>
        <xdr:cNvGrpSpPr/>
      </xdr:nvGrpSpPr>
      <xdr:grpSpPr>
        <a:xfrm>
          <a:off x="2842260" y="5486400"/>
          <a:ext cx="601980" cy="228600"/>
          <a:chOff x="2842260" y="5486400"/>
          <a:chExt cx="601980" cy="228600"/>
        </a:xfrm>
      </xdr:grpSpPr>
      <xdr:cxnSp macro="">
        <xdr:nvCxnSpPr>
          <xdr:cNvPr id="2732" name="Gerader Verbinder 2731">
            <a:extLst>
              <a:ext uri="{FF2B5EF4-FFF2-40B4-BE49-F238E27FC236}">
                <a16:creationId xmlns:a16="http://schemas.microsoft.com/office/drawing/2014/main" id="{7F7054BD-604B-4F80-C405-331653EECCB4}"/>
              </a:ext>
            </a:extLst>
          </xdr:cNvPr>
          <xdr:cNvCxnSpPr/>
        </xdr:nvCxnSpPr>
        <xdr:spPr>
          <a:xfrm>
            <a:off x="2842260" y="5486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33" name="Gerader Verbinder 2732">
            <a:extLst>
              <a:ext uri="{FF2B5EF4-FFF2-40B4-BE49-F238E27FC236}">
                <a16:creationId xmlns:a16="http://schemas.microsoft.com/office/drawing/2014/main" id="{635326AA-4D01-7C01-22BA-9B3FCE79C160}"/>
              </a:ext>
            </a:extLst>
          </xdr:cNvPr>
          <xdr:cNvCxnSpPr/>
        </xdr:nvCxnSpPr>
        <xdr:spPr>
          <a:xfrm flipH="1">
            <a:off x="2842260" y="5486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25</xdr:row>
      <xdr:rowOff>0</xdr:rowOff>
    </xdr:from>
    <xdr:to>
      <xdr:col>5</xdr:col>
      <xdr:colOff>0</xdr:colOff>
      <xdr:row>26</xdr:row>
      <xdr:rowOff>0</xdr:rowOff>
    </xdr:to>
    <xdr:grpSp>
      <xdr:nvGrpSpPr>
        <xdr:cNvPr id="2737" name="Cross_E26">
          <a:extLst>
            <a:ext uri="{FF2B5EF4-FFF2-40B4-BE49-F238E27FC236}">
              <a16:creationId xmlns:a16="http://schemas.microsoft.com/office/drawing/2014/main" id="{6B4B91CC-DBA4-030C-3AD0-4B386D581C19}"/>
            </a:ext>
          </a:extLst>
        </xdr:cNvPr>
        <xdr:cNvGrpSpPr/>
      </xdr:nvGrpSpPr>
      <xdr:grpSpPr>
        <a:xfrm>
          <a:off x="2842260" y="5715000"/>
          <a:ext cx="601980" cy="228600"/>
          <a:chOff x="2842260" y="5715000"/>
          <a:chExt cx="601980" cy="228600"/>
        </a:xfrm>
      </xdr:grpSpPr>
      <xdr:cxnSp macro="">
        <xdr:nvCxnSpPr>
          <xdr:cNvPr id="2735" name="Gerader Verbinder 2734">
            <a:extLst>
              <a:ext uri="{FF2B5EF4-FFF2-40B4-BE49-F238E27FC236}">
                <a16:creationId xmlns:a16="http://schemas.microsoft.com/office/drawing/2014/main" id="{9A03F7E2-A304-4E1C-F597-30FF2A738CCB}"/>
              </a:ext>
            </a:extLst>
          </xdr:cNvPr>
          <xdr:cNvCxnSpPr/>
        </xdr:nvCxnSpPr>
        <xdr:spPr>
          <a:xfrm>
            <a:off x="2842260" y="5715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36" name="Gerader Verbinder 2735">
            <a:extLst>
              <a:ext uri="{FF2B5EF4-FFF2-40B4-BE49-F238E27FC236}">
                <a16:creationId xmlns:a16="http://schemas.microsoft.com/office/drawing/2014/main" id="{514469D0-CA23-01D2-3386-F05A32F7BC2B}"/>
              </a:ext>
            </a:extLst>
          </xdr:cNvPr>
          <xdr:cNvCxnSpPr/>
        </xdr:nvCxnSpPr>
        <xdr:spPr>
          <a:xfrm flipH="1">
            <a:off x="2842260" y="5715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26</xdr:row>
      <xdr:rowOff>0</xdr:rowOff>
    </xdr:from>
    <xdr:to>
      <xdr:col>5</xdr:col>
      <xdr:colOff>0</xdr:colOff>
      <xdr:row>27</xdr:row>
      <xdr:rowOff>0</xdr:rowOff>
    </xdr:to>
    <xdr:grpSp>
      <xdr:nvGrpSpPr>
        <xdr:cNvPr id="2740" name="Cross_E27">
          <a:extLst>
            <a:ext uri="{FF2B5EF4-FFF2-40B4-BE49-F238E27FC236}">
              <a16:creationId xmlns:a16="http://schemas.microsoft.com/office/drawing/2014/main" id="{E6AD6E68-EC86-EA5C-0898-888C03DCE5CB}"/>
            </a:ext>
          </a:extLst>
        </xdr:cNvPr>
        <xdr:cNvGrpSpPr/>
      </xdr:nvGrpSpPr>
      <xdr:grpSpPr>
        <a:xfrm>
          <a:off x="2842260" y="5943600"/>
          <a:ext cx="601980" cy="228600"/>
          <a:chOff x="2842260" y="5943600"/>
          <a:chExt cx="601980" cy="228600"/>
        </a:xfrm>
      </xdr:grpSpPr>
      <xdr:cxnSp macro="">
        <xdr:nvCxnSpPr>
          <xdr:cNvPr id="2738" name="Gerader Verbinder 2737">
            <a:extLst>
              <a:ext uri="{FF2B5EF4-FFF2-40B4-BE49-F238E27FC236}">
                <a16:creationId xmlns:a16="http://schemas.microsoft.com/office/drawing/2014/main" id="{3143BEBC-D965-3DCE-5809-8A797D561DE9}"/>
              </a:ext>
            </a:extLst>
          </xdr:cNvPr>
          <xdr:cNvCxnSpPr/>
        </xdr:nvCxnSpPr>
        <xdr:spPr>
          <a:xfrm>
            <a:off x="2842260" y="5943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39" name="Gerader Verbinder 2738">
            <a:extLst>
              <a:ext uri="{FF2B5EF4-FFF2-40B4-BE49-F238E27FC236}">
                <a16:creationId xmlns:a16="http://schemas.microsoft.com/office/drawing/2014/main" id="{40B19D97-B002-AA35-4278-89B8254F4F30}"/>
              </a:ext>
            </a:extLst>
          </xdr:cNvPr>
          <xdr:cNvCxnSpPr/>
        </xdr:nvCxnSpPr>
        <xdr:spPr>
          <a:xfrm flipH="1">
            <a:off x="2842260" y="5943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2743" name="Cross_E28">
          <a:extLst>
            <a:ext uri="{FF2B5EF4-FFF2-40B4-BE49-F238E27FC236}">
              <a16:creationId xmlns:a16="http://schemas.microsoft.com/office/drawing/2014/main" id="{A1D86C43-E526-C77A-36A3-06B656CF4677}"/>
            </a:ext>
          </a:extLst>
        </xdr:cNvPr>
        <xdr:cNvGrpSpPr/>
      </xdr:nvGrpSpPr>
      <xdr:grpSpPr>
        <a:xfrm>
          <a:off x="2842260" y="6172200"/>
          <a:ext cx="601980" cy="228600"/>
          <a:chOff x="2842260" y="6172200"/>
          <a:chExt cx="601980" cy="228600"/>
        </a:xfrm>
      </xdr:grpSpPr>
      <xdr:cxnSp macro="">
        <xdr:nvCxnSpPr>
          <xdr:cNvPr id="2741" name="Gerader Verbinder 2740">
            <a:extLst>
              <a:ext uri="{FF2B5EF4-FFF2-40B4-BE49-F238E27FC236}">
                <a16:creationId xmlns:a16="http://schemas.microsoft.com/office/drawing/2014/main" id="{62C2DDC5-9DB7-925D-7592-9C8190C59F75}"/>
              </a:ext>
            </a:extLst>
          </xdr:cNvPr>
          <xdr:cNvCxnSpPr/>
        </xdr:nvCxnSpPr>
        <xdr:spPr>
          <a:xfrm>
            <a:off x="2842260" y="6172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42" name="Gerader Verbinder 2741">
            <a:extLst>
              <a:ext uri="{FF2B5EF4-FFF2-40B4-BE49-F238E27FC236}">
                <a16:creationId xmlns:a16="http://schemas.microsoft.com/office/drawing/2014/main" id="{62D28337-A946-C60B-BA2F-3E200D50D1E2}"/>
              </a:ext>
            </a:extLst>
          </xdr:cNvPr>
          <xdr:cNvCxnSpPr/>
        </xdr:nvCxnSpPr>
        <xdr:spPr>
          <a:xfrm flipH="1">
            <a:off x="2842260" y="6172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2746" name="Cross_E29">
          <a:extLst>
            <a:ext uri="{FF2B5EF4-FFF2-40B4-BE49-F238E27FC236}">
              <a16:creationId xmlns:a16="http://schemas.microsoft.com/office/drawing/2014/main" id="{8E92243F-D78D-F1E2-051B-9DBD5419360D}"/>
            </a:ext>
          </a:extLst>
        </xdr:cNvPr>
        <xdr:cNvGrpSpPr/>
      </xdr:nvGrpSpPr>
      <xdr:grpSpPr>
        <a:xfrm>
          <a:off x="2842260" y="6400800"/>
          <a:ext cx="601980" cy="228600"/>
          <a:chOff x="2842260" y="6400800"/>
          <a:chExt cx="601980" cy="228600"/>
        </a:xfrm>
      </xdr:grpSpPr>
      <xdr:cxnSp macro="">
        <xdr:nvCxnSpPr>
          <xdr:cNvPr id="2744" name="Gerader Verbinder 2743">
            <a:extLst>
              <a:ext uri="{FF2B5EF4-FFF2-40B4-BE49-F238E27FC236}">
                <a16:creationId xmlns:a16="http://schemas.microsoft.com/office/drawing/2014/main" id="{DE0B7333-B49B-AE3B-AA83-2B7F8E2F3DF2}"/>
              </a:ext>
            </a:extLst>
          </xdr:cNvPr>
          <xdr:cNvCxnSpPr/>
        </xdr:nvCxnSpPr>
        <xdr:spPr>
          <a:xfrm>
            <a:off x="2842260" y="6400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45" name="Gerader Verbinder 2744">
            <a:extLst>
              <a:ext uri="{FF2B5EF4-FFF2-40B4-BE49-F238E27FC236}">
                <a16:creationId xmlns:a16="http://schemas.microsoft.com/office/drawing/2014/main" id="{B63506C1-B4FE-EBB4-E413-B414C21797CF}"/>
              </a:ext>
            </a:extLst>
          </xdr:cNvPr>
          <xdr:cNvCxnSpPr/>
        </xdr:nvCxnSpPr>
        <xdr:spPr>
          <a:xfrm flipH="1">
            <a:off x="2842260" y="6400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xdr:row>
      <xdr:rowOff>0</xdr:rowOff>
    </xdr:from>
    <xdr:to>
      <xdr:col>6</xdr:col>
      <xdr:colOff>0</xdr:colOff>
      <xdr:row>8</xdr:row>
      <xdr:rowOff>0</xdr:rowOff>
    </xdr:to>
    <xdr:grpSp>
      <xdr:nvGrpSpPr>
        <xdr:cNvPr id="2749" name="Cross_F8">
          <a:extLst>
            <a:ext uri="{FF2B5EF4-FFF2-40B4-BE49-F238E27FC236}">
              <a16:creationId xmlns:a16="http://schemas.microsoft.com/office/drawing/2014/main" id="{0EEAB19B-8313-4396-8280-C478BF1BBAC9}"/>
            </a:ext>
          </a:extLst>
        </xdr:cNvPr>
        <xdr:cNvGrpSpPr/>
      </xdr:nvGrpSpPr>
      <xdr:grpSpPr>
        <a:xfrm>
          <a:off x="3444240" y="1600200"/>
          <a:ext cx="601980" cy="228600"/>
          <a:chOff x="3444240" y="1600200"/>
          <a:chExt cx="601980" cy="228600"/>
        </a:xfrm>
      </xdr:grpSpPr>
      <xdr:cxnSp macro="">
        <xdr:nvCxnSpPr>
          <xdr:cNvPr id="2747" name="Gerader Verbinder 2746">
            <a:extLst>
              <a:ext uri="{FF2B5EF4-FFF2-40B4-BE49-F238E27FC236}">
                <a16:creationId xmlns:a16="http://schemas.microsoft.com/office/drawing/2014/main" id="{4684F139-CA16-B2E1-50EF-5F97DA9DAA49}"/>
              </a:ext>
            </a:extLst>
          </xdr:cNvPr>
          <xdr:cNvCxnSpPr/>
        </xdr:nvCxnSpPr>
        <xdr:spPr>
          <a:xfrm>
            <a:off x="3444240" y="1600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48" name="Gerader Verbinder 2747">
            <a:extLst>
              <a:ext uri="{FF2B5EF4-FFF2-40B4-BE49-F238E27FC236}">
                <a16:creationId xmlns:a16="http://schemas.microsoft.com/office/drawing/2014/main" id="{DC252FBF-B905-C9FC-0B0E-151DAB801852}"/>
              </a:ext>
            </a:extLst>
          </xdr:cNvPr>
          <xdr:cNvCxnSpPr/>
        </xdr:nvCxnSpPr>
        <xdr:spPr>
          <a:xfrm flipH="1">
            <a:off x="3444240" y="1600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2752" name="Cross_F11">
          <a:extLst>
            <a:ext uri="{FF2B5EF4-FFF2-40B4-BE49-F238E27FC236}">
              <a16:creationId xmlns:a16="http://schemas.microsoft.com/office/drawing/2014/main" id="{D83347FF-C92E-1DEA-05E8-37AC6B9881FC}"/>
            </a:ext>
          </a:extLst>
        </xdr:cNvPr>
        <xdr:cNvGrpSpPr/>
      </xdr:nvGrpSpPr>
      <xdr:grpSpPr>
        <a:xfrm>
          <a:off x="3444240" y="2286000"/>
          <a:ext cx="601980" cy="228600"/>
          <a:chOff x="3444240" y="2286000"/>
          <a:chExt cx="601980" cy="228600"/>
        </a:xfrm>
      </xdr:grpSpPr>
      <xdr:cxnSp macro="">
        <xdr:nvCxnSpPr>
          <xdr:cNvPr id="2750" name="Gerader Verbinder 2749">
            <a:extLst>
              <a:ext uri="{FF2B5EF4-FFF2-40B4-BE49-F238E27FC236}">
                <a16:creationId xmlns:a16="http://schemas.microsoft.com/office/drawing/2014/main" id="{FDE7E11C-F579-6E1E-8F08-A5AE8EB8E5C7}"/>
              </a:ext>
            </a:extLst>
          </xdr:cNvPr>
          <xdr:cNvCxnSpPr/>
        </xdr:nvCxnSpPr>
        <xdr:spPr>
          <a:xfrm>
            <a:off x="3444240" y="2286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51" name="Gerader Verbinder 2750">
            <a:extLst>
              <a:ext uri="{FF2B5EF4-FFF2-40B4-BE49-F238E27FC236}">
                <a16:creationId xmlns:a16="http://schemas.microsoft.com/office/drawing/2014/main" id="{9FDB913D-5152-5D81-E585-056619CD8D8B}"/>
              </a:ext>
            </a:extLst>
          </xdr:cNvPr>
          <xdr:cNvCxnSpPr/>
        </xdr:nvCxnSpPr>
        <xdr:spPr>
          <a:xfrm flipH="1">
            <a:off x="3444240" y="2286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2755" name="Cross_F12">
          <a:extLst>
            <a:ext uri="{FF2B5EF4-FFF2-40B4-BE49-F238E27FC236}">
              <a16:creationId xmlns:a16="http://schemas.microsoft.com/office/drawing/2014/main" id="{F0483C09-8AC1-FEE0-A15E-0B4642C8F5A7}"/>
            </a:ext>
          </a:extLst>
        </xdr:cNvPr>
        <xdr:cNvGrpSpPr/>
      </xdr:nvGrpSpPr>
      <xdr:grpSpPr>
        <a:xfrm>
          <a:off x="3444240" y="2514600"/>
          <a:ext cx="601980" cy="228600"/>
          <a:chOff x="3444240" y="2514600"/>
          <a:chExt cx="601980" cy="228600"/>
        </a:xfrm>
      </xdr:grpSpPr>
      <xdr:cxnSp macro="">
        <xdr:nvCxnSpPr>
          <xdr:cNvPr id="2753" name="Gerader Verbinder 2752">
            <a:extLst>
              <a:ext uri="{FF2B5EF4-FFF2-40B4-BE49-F238E27FC236}">
                <a16:creationId xmlns:a16="http://schemas.microsoft.com/office/drawing/2014/main" id="{3C6B0D67-46E3-65C8-1A6C-6EF7CE600E32}"/>
              </a:ext>
            </a:extLst>
          </xdr:cNvPr>
          <xdr:cNvCxnSpPr/>
        </xdr:nvCxnSpPr>
        <xdr:spPr>
          <a:xfrm>
            <a:off x="3444240" y="2514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54" name="Gerader Verbinder 2753">
            <a:extLst>
              <a:ext uri="{FF2B5EF4-FFF2-40B4-BE49-F238E27FC236}">
                <a16:creationId xmlns:a16="http://schemas.microsoft.com/office/drawing/2014/main" id="{E36D5DCA-C131-42BF-BEBE-7A1D2273291A}"/>
              </a:ext>
            </a:extLst>
          </xdr:cNvPr>
          <xdr:cNvCxnSpPr/>
        </xdr:nvCxnSpPr>
        <xdr:spPr>
          <a:xfrm flipH="1">
            <a:off x="3444240" y="2514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2758" name="Cross_F13">
          <a:extLst>
            <a:ext uri="{FF2B5EF4-FFF2-40B4-BE49-F238E27FC236}">
              <a16:creationId xmlns:a16="http://schemas.microsoft.com/office/drawing/2014/main" id="{11633D4F-707F-7D67-0886-8827D14EB23C}"/>
            </a:ext>
          </a:extLst>
        </xdr:cNvPr>
        <xdr:cNvGrpSpPr/>
      </xdr:nvGrpSpPr>
      <xdr:grpSpPr>
        <a:xfrm>
          <a:off x="3444240" y="2743200"/>
          <a:ext cx="601980" cy="228600"/>
          <a:chOff x="3444240" y="2743200"/>
          <a:chExt cx="601980" cy="228600"/>
        </a:xfrm>
      </xdr:grpSpPr>
      <xdr:cxnSp macro="">
        <xdr:nvCxnSpPr>
          <xdr:cNvPr id="2756" name="Gerader Verbinder 2755">
            <a:extLst>
              <a:ext uri="{FF2B5EF4-FFF2-40B4-BE49-F238E27FC236}">
                <a16:creationId xmlns:a16="http://schemas.microsoft.com/office/drawing/2014/main" id="{E0A0F1BE-964A-CC3B-9B74-F2288BE6FBD5}"/>
              </a:ext>
            </a:extLst>
          </xdr:cNvPr>
          <xdr:cNvCxnSpPr/>
        </xdr:nvCxnSpPr>
        <xdr:spPr>
          <a:xfrm>
            <a:off x="3444240" y="2743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57" name="Gerader Verbinder 2756">
            <a:extLst>
              <a:ext uri="{FF2B5EF4-FFF2-40B4-BE49-F238E27FC236}">
                <a16:creationId xmlns:a16="http://schemas.microsoft.com/office/drawing/2014/main" id="{42D7F936-FA1D-3ACE-1362-87FB48780D8C}"/>
              </a:ext>
            </a:extLst>
          </xdr:cNvPr>
          <xdr:cNvCxnSpPr/>
        </xdr:nvCxnSpPr>
        <xdr:spPr>
          <a:xfrm flipH="1">
            <a:off x="3444240" y="2743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2761" name="Cross_F14">
          <a:extLst>
            <a:ext uri="{FF2B5EF4-FFF2-40B4-BE49-F238E27FC236}">
              <a16:creationId xmlns:a16="http://schemas.microsoft.com/office/drawing/2014/main" id="{F6BA8001-4EFC-C80C-16F8-977BB24F702A}"/>
            </a:ext>
          </a:extLst>
        </xdr:cNvPr>
        <xdr:cNvGrpSpPr/>
      </xdr:nvGrpSpPr>
      <xdr:grpSpPr>
        <a:xfrm>
          <a:off x="3444240" y="2971800"/>
          <a:ext cx="601980" cy="228600"/>
          <a:chOff x="3444240" y="2971800"/>
          <a:chExt cx="601980" cy="228600"/>
        </a:xfrm>
      </xdr:grpSpPr>
      <xdr:cxnSp macro="">
        <xdr:nvCxnSpPr>
          <xdr:cNvPr id="2759" name="Gerader Verbinder 2758">
            <a:extLst>
              <a:ext uri="{FF2B5EF4-FFF2-40B4-BE49-F238E27FC236}">
                <a16:creationId xmlns:a16="http://schemas.microsoft.com/office/drawing/2014/main" id="{D68B67E5-165E-BE35-C31B-D419DF5BF4BB}"/>
              </a:ext>
            </a:extLst>
          </xdr:cNvPr>
          <xdr:cNvCxnSpPr/>
        </xdr:nvCxnSpPr>
        <xdr:spPr>
          <a:xfrm>
            <a:off x="3444240" y="2971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60" name="Gerader Verbinder 2759">
            <a:extLst>
              <a:ext uri="{FF2B5EF4-FFF2-40B4-BE49-F238E27FC236}">
                <a16:creationId xmlns:a16="http://schemas.microsoft.com/office/drawing/2014/main" id="{D20988E8-5E7F-3A19-5F74-C4D7FE15FF57}"/>
              </a:ext>
            </a:extLst>
          </xdr:cNvPr>
          <xdr:cNvCxnSpPr/>
        </xdr:nvCxnSpPr>
        <xdr:spPr>
          <a:xfrm flipH="1">
            <a:off x="3444240" y="2971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2764" name="Cross_F15">
          <a:extLst>
            <a:ext uri="{FF2B5EF4-FFF2-40B4-BE49-F238E27FC236}">
              <a16:creationId xmlns:a16="http://schemas.microsoft.com/office/drawing/2014/main" id="{C077C5ED-6FAC-64F8-4E7F-DD7CB528D556}"/>
            </a:ext>
          </a:extLst>
        </xdr:cNvPr>
        <xdr:cNvGrpSpPr/>
      </xdr:nvGrpSpPr>
      <xdr:grpSpPr>
        <a:xfrm>
          <a:off x="3444240" y="3200400"/>
          <a:ext cx="601980" cy="228600"/>
          <a:chOff x="3444240" y="3200400"/>
          <a:chExt cx="601980" cy="228600"/>
        </a:xfrm>
      </xdr:grpSpPr>
      <xdr:cxnSp macro="">
        <xdr:nvCxnSpPr>
          <xdr:cNvPr id="2762" name="Gerader Verbinder 2761">
            <a:extLst>
              <a:ext uri="{FF2B5EF4-FFF2-40B4-BE49-F238E27FC236}">
                <a16:creationId xmlns:a16="http://schemas.microsoft.com/office/drawing/2014/main" id="{7AB51E10-44F2-AD9E-B7E7-D37B10815FDE}"/>
              </a:ext>
            </a:extLst>
          </xdr:cNvPr>
          <xdr:cNvCxnSpPr/>
        </xdr:nvCxnSpPr>
        <xdr:spPr>
          <a:xfrm>
            <a:off x="3444240" y="320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63" name="Gerader Verbinder 2762">
            <a:extLst>
              <a:ext uri="{FF2B5EF4-FFF2-40B4-BE49-F238E27FC236}">
                <a16:creationId xmlns:a16="http://schemas.microsoft.com/office/drawing/2014/main" id="{344B1308-FCC8-5262-50D2-BAF7E2FF0A0A}"/>
              </a:ext>
            </a:extLst>
          </xdr:cNvPr>
          <xdr:cNvCxnSpPr/>
        </xdr:nvCxnSpPr>
        <xdr:spPr>
          <a:xfrm flipH="1">
            <a:off x="3444240" y="320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15</xdr:row>
      <xdr:rowOff>0</xdr:rowOff>
    </xdr:from>
    <xdr:to>
      <xdr:col>6</xdr:col>
      <xdr:colOff>0</xdr:colOff>
      <xdr:row>16</xdr:row>
      <xdr:rowOff>0</xdr:rowOff>
    </xdr:to>
    <xdr:grpSp>
      <xdr:nvGrpSpPr>
        <xdr:cNvPr id="2767" name="Cross_F16">
          <a:extLst>
            <a:ext uri="{FF2B5EF4-FFF2-40B4-BE49-F238E27FC236}">
              <a16:creationId xmlns:a16="http://schemas.microsoft.com/office/drawing/2014/main" id="{3483A7F8-63C9-455E-F88C-7FE95B68C2BD}"/>
            </a:ext>
          </a:extLst>
        </xdr:cNvPr>
        <xdr:cNvGrpSpPr/>
      </xdr:nvGrpSpPr>
      <xdr:grpSpPr>
        <a:xfrm>
          <a:off x="3444240" y="3429000"/>
          <a:ext cx="601980" cy="228600"/>
          <a:chOff x="3444240" y="3429000"/>
          <a:chExt cx="601980" cy="228600"/>
        </a:xfrm>
      </xdr:grpSpPr>
      <xdr:cxnSp macro="">
        <xdr:nvCxnSpPr>
          <xdr:cNvPr id="2765" name="Gerader Verbinder 2764">
            <a:extLst>
              <a:ext uri="{FF2B5EF4-FFF2-40B4-BE49-F238E27FC236}">
                <a16:creationId xmlns:a16="http://schemas.microsoft.com/office/drawing/2014/main" id="{8DB4E256-15ED-8789-2C8B-AD96B0528E82}"/>
              </a:ext>
            </a:extLst>
          </xdr:cNvPr>
          <xdr:cNvCxnSpPr/>
        </xdr:nvCxnSpPr>
        <xdr:spPr>
          <a:xfrm>
            <a:off x="3444240" y="3429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66" name="Gerader Verbinder 2765">
            <a:extLst>
              <a:ext uri="{FF2B5EF4-FFF2-40B4-BE49-F238E27FC236}">
                <a16:creationId xmlns:a16="http://schemas.microsoft.com/office/drawing/2014/main" id="{97D72A6C-3B29-FFD9-E628-EBCFCC18436A}"/>
              </a:ext>
            </a:extLst>
          </xdr:cNvPr>
          <xdr:cNvCxnSpPr/>
        </xdr:nvCxnSpPr>
        <xdr:spPr>
          <a:xfrm flipH="1">
            <a:off x="3444240" y="3429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16</xdr:row>
      <xdr:rowOff>0</xdr:rowOff>
    </xdr:from>
    <xdr:to>
      <xdr:col>6</xdr:col>
      <xdr:colOff>0</xdr:colOff>
      <xdr:row>17</xdr:row>
      <xdr:rowOff>0</xdr:rowOff>
    </xdr:to>
    <xdr:grpSp>
      <xdr:nvGrpSpPr>
        <xdr:cNvPr id="2770" name="Cross_F17">
          <a:extLst>
            <a:ext uri="{FF2B5EF4-FFF2-40B4-BE49-F238E27FC236}">
              <a16:creationId xmlns:a16="http://schemas.microsoft.com/office/drawing/2014/main" id="{B5EC0040-44DD-9DEA-5D93-E43A7F5C5FFC}"/>
            </a:ext>
          </a:extLst>
        </xdr:cNvPr>
        <xdr:cNvGrpSpPr/>
      </xdr:nvGrpSpPr>
      <xdr:grpSpPr>
        <a:xfrm>
          <a:off x="3444240" y="3657600"/>
          <a:ext cx="601980" cy="228600"/>
          <a:chOff x="3444240" y="3657600"/>
          <a:chExt cx="601980" cy="228600"/>
        </a:xfrm>
      </xdr:grpSpPr>
      <xdr:cxnSp macro="">
        <xdr:nvCxnSpPr>
          <xdr:cNvPr id="2768" name="Gerader Verbinder 2767">
            <a:extLst>
              <a:ext uri="{FF2B5EF4-FFF2-40B4-BE49-F238E27FC236}">
                <a16:creationId xmlns:a16="http://schemas.microsoft.com/office/drawing/2014/main" id="{692B9018-4C0F-9FA0-9C14-2C89C8008962}"/>
              </a:ext>
            </a:extLst>
          </xdr:cNvPr>
          <xdr:cNvCxnSpPr/>
        </xdr:nvCxnSpPr>
        <xdr:spPr>
          <a:xfrm>
            <a:off x="3444240" y="3657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69" name="Gerader Verbinder 2768">
            <a:extLst>
              <a:ext uri="{FF2B5EF4-FFF2-40B4-BE49-F238E27FC236}">
                <a16:creationId xmlns:a16="http://schemas.microsoft.com/office/drawing/2014/main" id="{9FAE041D-AE77-12B2-A6CA-C0EA80BE5ABA}"/>
              </a:ext>
            </a:extLst>
          </xdr:cNvPr>
          <xdr:cNvCxnSpPr/>
        </xdr:nvCxnSpPr>
        <xdr:spPr>
          <a:xfrm flipH="1">
            <a:off x="3444240" y="3657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17</xdr:row>
      <xdr:rowOff>0</xdr:rowOff>
    </xdr:from>
    <xdr:to>
      <xdr:col>6</xdr:col>
      <xdr:colOff>0</xdr:colOff>
      <xdr:row>18</xdr:row>
      <xdr:rowOff>0</xdr:rowOff>
    </xdr:to>
    <xdr:grpSp>
      <xdr:nvGrpSpPr>
        <xdr:cNvPr id="2773" name="Cross_F18">
          <a:extLst>
            <a:ext uri="{FF2B5EF4-FFF2-40B4-BE49-F238E27FC236}">
              <a16:creationId xmlns:a16="http://schemas.microsoft.com/office/drawing/2014/main" id="{5E2E177F-C8F8-1A19-846B-52C3FCFF60FA}"/>
            </a:ext>
          </a:extLst>
        </xdr:cNvPr>
        <xdr:cNvGrpSpPr/>
      </xdr:nvGrpSpPr>
      <xdr:grpSpPr>
        <a:xfrm>
          <a:off x="3444240" y="3886200"/>
          <a:ext cx="601980" cy="228600"/>
          <a:chOff x="3444240" y="3886200"/>
          <a:chExt cx="601980" cy="228600"/>
        </a:xfrm>
      </xdr:grpSpPr>
      <xdr:cxnSp macro="">
        <xdr:nvCxnSpPr>
          <xdr:cNvPr id="2771" name="Gerader Verbinder 2770">
            <a:extLst>
              <a:ext uri="{FF2B5EF4-FFF2-40B4-BE49-F238E27FC236}">
                <a16:creationId xmlns:a16="http://schemas.microsoft.com/office/drawing/2014/main" id="{BE740937-94F0-47B0-0449-C292F8FFDF84}"/>
              </a:ext>
            </a:extLst>
          </xdr:cNvPr>
          <xdr:cNvCxnSpPr/>
        </xdr:nvCxnSpPr>
        <xdr:spPr>
          <a:xfrm>
            <a:off x="3444240" y="3886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72" name="Gerader Verbinder 2771">
            <a:extLst>
              <a:ext uri="{FF2B5EF4-FFF2-40B4-BE49-F238E27FC236}">
                <a16:creationId xmlns:a16="http://schemas.microsoft.com/office/drawing/2014/main" id="{B5F2A209-1A32-5B1D-FC2B-006D864FCE34}"/>
              </a:ext>
            </a:extLst>
          </xdr:cNvPr>
          <xdr:cNvCxnSpPr/>
        </xdr:nvCxnSpPr>
        <xdr:spPr>
          <a:xfrm flipH="1">
            <a:off x="3444240" y="3886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2776" name="Cross_F19">
          <a:extLst>
            <a:ext uri="{FF2B5EF4-FFF2-40B4-BE49-F238E27FC236}">
              <a16:creationId xmlns:a16="http://schemas.microsoft.com/office/drawing/2014/main" id="{D1ED73CD-72B2-AEE6-61FE-2C5E8940BC85}"/>
            </a:ext>
          </a:extLst>
        </xdr:cNvPr>
        <xdr:cNvGrpSpPr/>
      </xdr:nvGrpSpPr>
      <xdr:grpSpPr>
        <a:xfrm>
          <a:off x="3444240" y="4114800"/>
          <a:ext cx="601980" cy="228600"/>
          <a:chOff x="3444240" y="4114800"/>
          <a:chExt cx="601980" cy="228600"/>
        </a:xfrm>
      </xdr:grpSpPr>
      <xdr:cxnSp macro="">
        <xdr:nvCxnSpPr>
          <xdr:cNvPr id="2774" name="Gerader Verbinder 2773">
            <a:extLst>
              <a:ext uri="{FF2B5EF4-FFF2-40B4-BE49-F238E27FC236}">
                <a16:creationId xmlns:a16="http://schemas.microsoft.com/office/drawing/2014/main" id="{AFB41D43-A093-E5AB-3BF6-C6CE832865C5}"/>
              </a:ext>
            </a:extLst>
          </xdr:cNvPr>
          <xdr:cNvCxnSpPr/>
        </xdr:nvCxnSpPr>
        <xdr:spPr>
          <a:xfrm>
            <a:off x="3444240" y="4114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75" name="Gerader Verbinder 2774">
            <a:extLst>
              <a:ext uri="{FF2B5EF4-FFF2-40B4-BE49-F238E27FC236}">
                <a16:creationId xmlns:a16="http://schemas.microsoft.com/office/drawing/2014/main" id="{754AF368-33F9-D820-93F3-C506B8A0A0D6}"/>
              </a:ext>
            </a:extLst>
          </xdr:cNvPr>
          <xdr:cNvCxnSpPr/>
        </xdr:nvCxnSpPr>
        <xdr:spPr>
          <a:xfrm flipH="1">
            <a:off x="3444240" y="4114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2779" name="Cross_F20">
          <a:extLst>
            <a:ext uri="{FF2B5EF4-FFF2-40B4-BE49-F238E27FC236}">
              <a16:creationId xmlns:a16="http://schemas.microsoft.com/office/drawing/2014/main" id="{2A9FADAC-C735-931A-3863-CE585963F06A}"/>
            </a:ext>
          </a:extLst>
        </xdr:cNvPr>
        <xdr:cNvGrpSpPr/>
      </xdr:nvGrpSpPr>
      <xdr:grpSpPr>
        <a:xfrm>
          <a:off x="3444240" y="4343400"/>
          <a:ext cx="601980" cy="228600"/>
          <a:chOff x="3444240" y="4343400"/>
          <a:chExt cx="601980" cy="228600"/>
        </a:xfrm>
      </xdr:grpSpPr>
      <xdr:cxnSp macro="">
        <xdr:nvCxnSpPr>
          <xdr:cNvPr id="2777" name="Gerader Verbinder 2776">
            <a:extLst>
              <a:ext uri="{FF2B5EF4-FFF2-40B4-BE49-F238E27FC236}">
                <a16:creationId xmlns:a16="http://schemas.microsoft.com/office/drawing/2014/main" id="{C1B7770E-9847-8B03-CD08-5C0F8F7ACA82}"/>
              </a:ext>
            </a:extLst>
          </xdr:cNvPr>
          <xdr:cNvCxnSpPr/>
        </xdr:nvCxnSpPr>
        <xdr:spPr>
          <a:xfrm>
            <a:off x="3444240" y="4343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78" name="Gerader Verbinder 2777">
            <a:extLst>
              <a:ext uri="{FF2B5EF4-FFF2-40B4-BE49-F238E27FC236}">
                <a16:creationId xmlns:a16="http://schemas.microsoft.com/office/drawing/2014/main" id="{09FABA72-920A-D421-45E6-B7602AA2CC5E}"/>
              </a:ext>
            </a:extLst>
          </xdr:cNvPr>
          <xdr:cNvCxnSpPr/>
        </xdr:nvCxnSpPr>
        <xdr:spPr>
          <a:xfrm flipH="1">
            <a:off x="3444240" y="4343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2782" name="Cross_F21">
          <a:extLst>
            <a:ext uri="{FF2B5EF4-FFF2-40B4-BE49-F238E27FC236}">
              <a16:creationId xmlns:a16="http://schemas.microsoft.com/office/drawing/2014/main" id="{9E77B06E-C8F9-8329-129D-CC962958CCEF}"/>
            </a:ext>
          </a:extLst>
        </xdr:cNvPr>
        <xdr:cNvGrpSpPr/>
      </xdr:nvGrpSpPr>
      <xdr:grpSpPr>
        <a:xfrm>
          <a:off x="3444240" y="4572000"/>
          <a:ext cx="601980" cy="228600"/>
          <a:chOff x="3444240" y="4572000"/>
          <a:chExt cx="601980" cy="228600"/>
        </a:xfrm>
      </xdr:grpSpPr>
      <xdr:cxnSp macro="">
        <xdr:nvCxnSpPr>
          <xdr:cNvPr id="2780" name="Gerader Verbinder 2779">
            <a:extLst>
              <a:ext uri="{FF2B5EF4-FFF2-40B4-BE49-F238E27FC236}">
                <a16:creationId xmlns:a16="http://schemas.microsoft.com/office/drawing/2014/main" id="{80728420-77DD-21DB-D51F-A321FC7FA3C7}"/>
              </a:ext>
            </a:extLst>
          </xdr:cNvPr>
          <xdr:cNvCxnSpPr/>
        </xdr:nvCxnSpPr>
        <xdr:spPr>
          <a:xfrm>
            <a:off x="3444240" y="4572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81" name="Gerader Verbinder 2780">
            <a:extLst>
              <a:ext uri="{FF2B5EF4-FFF2-40B4-BE49-F238E27FC236}">
                <a16:creationId xmlns:a16="http://schemas.microsoft.com/office/drawing/2014/main" id="{C0053686-A54D-9DB3-F412-C3CC63F85A48}"/>
              </a:ext>
            </a:extLst>
          </xdr:cNvPr>
          <xdr:cNvCxnSpPr/>
        </xdr:nvCxnSpPr>
        <xdr:spPr>
          <a:xfrm flipH="1">
            <a:off x="3444240" y="4572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21</xdr:row>
      <xdr:rowOff>0</xdr:rowOff>
    </xdr:from>
    <xdr:to>
      <xdr:col>6</xdr:col>
      <xdr:colOff>0</xdr:colOff>
      <xdr:row>22</xdr:row>
      <xdr:rowOff>0</xdr:rowOff>
    </xdr:to>
    <xdr:grpSp>
      <xdr:nvGrpSpPr>
        <xdr:cNvPr id="2785" name="Cross_F22">
          <a:extLst>
            <a:ext uri="{FF2B5EF4-FFF2-40B4-BE49-F238E27FC236}">
              <a16:creationId xmlns:a16="http://schemas.microsoft.com/office/drawing/2014/main" id="{0FF5D931-5DAF-0A4C-73B0-DC9DECA95803}"/>
            </a:ext>
          </a:extLst>
        </xdr:cNvPr>
        <xdr:cNvGrpSpPr/>
      </xdr:nvGrpSpPr>
      <xdr:grpSpPr>
        <a:xfrm>
          <a:off x="3444240" y="4800600"/>
          <a:ext cx="601980" cy="228600"/>
          <a:chOff x="3444240" y="4800600"/>
          <a:chExt cx="601980" cy="228600"/>
        </a:xfrm>
      </xdr:grpSpPr>
      <xdr:cxnSp macro="">
        <xdr:nvCxnSpPr>
          <xdr:cNvPr id="2783" name="Gerader Verbinder 2782">
            <a:extLst>
              <a:ext uri="{FF2B5EF4-FFF2-40B4-BE49-F238E27FC236}">
                <a16:creationId xmlns:a16="http://schemas.microsoft.com/office/drawing/2014/main" id="{70AF6955-4292-2BEB-81E9-556085AD655A}"/>
              </a:ext>
            </a:extLst>
          </xdr:cNvPr>
          <xdr:cNvCxnSpPr/>
        </xdr:nvCxnSpPr>
        <xdr:spPr>
          <a:xfrm>
            <a:off x="3444240" y="4800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84" name="Gerader Verbinder 2783">
            <a:extLst>
              <a:ext uri="{FF2B5EF4-FFF2-40B4-BE49-F238E27FC236}">
                <a16:creationId xmlns:a16="http://schemas.microsoft.com/office/drawing/2014/main" id="{AAABE232-D4E1-CAA9-8A40-B0BC9A826E85}"/>
              </a:ext>
            </a:extLst>
          </xdr:cNvPr>
          <xdr:cNvCxnSpPr/>
        </xdr:nvCxnSpPr>
        <xdr:spPr>
          <a:xfrm flipH="1">
            <a:off x="3444240" y="4800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22</xdr:row>
      <xdr:rowOff>0</xdr:rowOff>
    </xdr:from>
    <xdr:to>
      <xdr:col>6</xdr:col>
      <xdr:colOff>0</xdr:colOff>
      <xdr:row>23</xdr:row>
      <xdr:rowOff>0</xdr:rowOff>
    </xdr:to>
    <xdr:grpSp>
      <xdr:nvGrpSpPr>
        <xdr:cNvPr id="2788" name="Cross_F23">
          <a:extLst>
            <a:ext uri="{FF2B5EF4-FFF2-40B4-BE49-F238E27FC236}">
              <a16:creationId xmlns:a16="http://schemas.microsoft.com/office/drawing/2014/main" id="{6873E093-DB6A-A0D1-A034-36E26773A759}"/>
            </a:ext>
          </a:extLst>
        </xdr:cNvPr>
        <xdr:cNvGrpSpPr/>
      </xdr:nvGrpSpPr>
      <xdr:grpSpPr>
        <a:xfrm>
          <a:off x="3444240" y="5029200"/>
          <a:ext cx="601980" cy="228600"/>
          <a:chOff x="3444240" y="5029200"/>
          <a:chExt cx="601980" cy="228600"/>
        </a:xfrm>
      </xdr:grpSpPr>
      <xdr:cxnSp macro="">
        <xdr:nvCxnSpPr>
          <xdr:cNvPr id="2786" name="Gerader Verbinder 2785">
            <a:extLst>
              <a:ext uri="{FF2B5EF4-FFF2-40B4-BE49-F238E27FC236}">
                <a16:creationId xmlns:a16="http://schemas.microsoft.com/office/drawing/2014/main" id="{95E21580-D87C-AE51-26A0-38E930655EA3}"/>
              </a:ext>
            </a:extLst>
          </xdr:cNvPr>
          <xdr:cNvCxnSpPr/>
        </xdr:nvCxnSpPr>
        <xdr:spPr>
          <a:xfrm>
            <a:off x="3444240" y="502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87" name="Gerader Verbinder 2786">
            <a:extLst>
              <a:ext uri="{FF2B5EF4-FFF2-40B4-BE49-F238E27FC236}">
                <a16:creationId xmlns:a16="http://schemas.microsoft.com/office/drawing/2014/main" id="{C999F401-B06B-0638-0832-ABBDFB6C41F8}"/>
              </a:ext>
            </a:extLst>
          </xdr:cNvPr>
          <xdr:cNvCxnSpPr/>
        </xdr:nvCxnSpPr>
        <xdr:spPr>
          <a:xfrm flipH="1">
            <a:off x="3444240" y="502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23</xdr:row>
      <xdr:rowOff>0</xdr:rowOff>
    </xdr:from>
    <xdr:to>
      <xdr:col>6</xdr:col>
      <xdr:colOff>0</xdr:colOff>
      <xdr:row>24</xdr:row>
      <xdr:rowOff>0</xdr:rowOff>
    </xdr:to>
    <xdr:grpSp>
      <xdr:nvGrpSpPr>
        <xdr:cNvPr id="2791" name="Cross_F24">
          <a:extLst>
            <a:ext uri="{FF2B5EF4-FFF2-40B4-BE49-F238E27FC236}">
              <a16:creationId xmlns:a16="http://schemas.microsoft.com/office/drawing/2014/main" id="{102BEC43-9D01-DF36-92F5-6DAC5F5D1D1D}"/>
            </a:ext>
          </a:extLst>
        </xdr:cNvPr>
        <xdr:cNvGrpSpPr/>
      </xdr:nvGrpSpPr>
      <xdr:grpSpPr>
        <a:xfrm>
          <a:off x="3444240" y="5257800"/>
          <a:ext cx="601980" cy="228600"/>
          <a:chOff x="3444240" y="5257800"/>
          <a:chExt cx="601980" cy="228600"/>
        </a:xfrm>
      </xdr:grpSpPr>
      <xdr:cxnSp macro="">
        <xdr:nvCxnSpPr>
          <xdr:cNvPr id="2789" name="Gerader Verbinder 2788">
            <a:extLst>
              <a:ext uri="{FF2B5EF4-FFF2-40B4-BE49-F238E27FC236}">
                <a16:creationId xmlns:a16="http://schemas.microsoft.com/office/drawing/2014/main" id="{6244B16A-5EA5-73C1-B913-8B2F564A1CC0}"/>
              </a:ext>
            </a:extLst>
          </xdr:cNvPr>
          <xdr:cNvCxnSpPr/>
        </xdr:nvCxnSpPr>
        <xdr:spPr>
          <a:xfrm>
            <a:off x="3444240" y="5257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90" name="Gerader Verbinder 2789">
            <a:extLst>
              <a:ext uri="{FF2B5EF4-FFF2-40B4-BE49-F238E27FC236}">
                <a16:creationId xmlns:a16="http://schemas.microsoft.com/office/drawing/2014/main" id="{B01A968F-3014-9E16-9484-8CACFB38851A}"/>
              </a:ext>
            </a:extLst>
          </xdr:cNvPr>
          <xdr:cNvCxnSpPr/>
        </xdr:nvCxnSpPr>
        <xdr:spPr>
          <a:xfrm flipH="1">
            <a:off x="3444240" y="5257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24</xdr:row>
      <xdr:rowOff>0</xdr:rowOff>
    </xdr:from>
    <xdr:to>
      <xdr:col>6</xdr:col>
      <xdr:colOff>0</xdr:colOff>
      <xdr:row>25</xdr:row>
      <xdr:rowOff>0</xdr:rowOff>
    </xdr:to>
    <xdr:grpSp>
      <xdr:nvGrpSpPr>
        <xdr:cNvPr id="2794" name="Cross_F25">
          <a:extLst>
            <a:ext uri="{FF2B5EF4-FFF2-40B4-BE49-F238E27FC236}">
              <a16:creationId xmlns:a16="http://schemas.microsoft.com/office/drawing/2014/main" id="{DAA92850-B170-E8E8-8C22-8E07423DF774}"/>
            </a:ext>
          </a:extLst>
        </xdr:cNvPr>
        <xdr:cNvGrpSpPr/>
      </xdr:nvGrpSpPr>
      <xdr:grpSpPr>
        <a:xfrm>
          <a:off x="3444240" y="5486400"/>
          <a:ext cx="601980" cy="228600"/>
          <a:chOff x="3444240" y="5486400"/>
          <a:chExt cx="601980" cy="228600"/>
        </a:xfrm>
      </xdr:grpSpPr>
      <xdr:cxnSp macro="">
        <xdr:nvCxnSpPr>
          <xdr:cNvPr id="2792" name="Gerader Verbinder 2791">
            <a:extLst>
              <a:ext uri="{FF2B5EF4-FFF2-40B4-BE49-F238E27FC236}">
                <a16:creationId xmlns:a16="http://schemas.microsoft.com/office/drawing/2014/main" id="{A5B71A23-0A03-E1C9-F03B-36EE6F4BED89}"/>
              </a:ext>
            </a:extLst>
          </xdr:cNvPr>
          <xdr:cNvCxnSpPr/>
        </xdr:nvCxnSpPr>
        <xdr:spPr>
          <a:xfrm>
            <a:off x="3444240" y="5486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93" name="Gerader Verbinder 2792">
            <a:extLst>
              <a:ext uri="{FF2B5EF4-FFF2-40B4-BE49-F238E27FC236}">
                <a16:creationId xmlns:a16="http://schemas.microsoft.com/office/drawing/2014/main" id="{FD3FCC40-821C-D6AA-DFC0-FDDE5021FE94}"/>
              </a:ext>
            </a:extLst>
          </xdr:cNvPr>
          <xdr:cNvCxnSpPr/>
        </xdr:nvCxnSpPr>
        <xdr:spPr>
          <a:xfrm flipH="1">
            <a:off x="3444240" y="5486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25</xdr:row>
      <xdr:rowOff>0</xdr:rowOff>
    </xdr:from>
    <xdr:to>
      <xdr:col>6</xdr:col>
      <xdr:colOff>0</xdr:colOff>
      <xdr:row>26</xdr:row>
      <xdr:rowOff>0</xdr:rowOff>
    </xdr:to>
    <xdr:grpSp>
      <xdr:nvGrpSpPr>
        <xdr:cNvPr id="2797" name="Cross_F26">
          <a:extLst>
            <a:ext uri="{FF2B5EF4-FFF2-40B4-BE49-F238E27FC236}">
              <a16:creationId xmlns:a16="http://schemas.microsoft.com/office/drawing/2014/main" id="{880EC045-9D3D-C8FB-164B-37231AD094EB}"/>
            </a:ext>
          </a:extLst>
        </xdr:cNvPr>
        <xdr:cNvGrpSpPr/>
      </xdr:nvGrpSpPr>
      <xdr:grpSpPr>
        <a:xfrm>
          <a:off x="3444240" y="5715000"/>
          <a:ext cx="601980" cy="228600"/>
          <a:chOff x="3444240" y="5715000"/>
          <a:chExt cx="601980" cy="228600"/>
        </a:xfrm>
      </xdr:grpSpPr>
      <xdr:cxnSp macro="">
        <xdr:nvCxnSpPr>
          <xdr:cNvPr id="2795" name="Gerader Verbinder 2794">
            <a:extLst>
              <a:ext uri="{FF2B5EF4-FFF2-40B4-BE49-F238E27FC236}">
                <a16:creationId xmlns:a16="http://schemas.microsoft.com/office/drawing/2014/main" id="{3874D371-EA0A-8776-3897-E9C04BB1BCF1}"/>
              </a:ext>
            </a:extLst>
          </xdr:cNvPr>
          <xdr:cNvCxnSpPr/>
        </xdr:nvCxnSpPr>
        <xdr:spPr>
          <a:xfrm>
            <a:off x="3444240" y="5715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96" name="Gerader Verbinder 2795">
            <a:extLst>
              <a:ext uri="{FF2B5EF4-FFF2-40B4-BE49-F238E27FC236}">
                <a16:creationId xmlns:a16="http://schemas.microsoft.com/office/drawing/2014/main" id="{34802303-1651-4137-1182-EA5620BC4144}"/>
              </a:ext>
            </a:extLst>
          </xdr:cNvPr>
          <xdr:cNvCxnSpPr/>
        </xdr:nvCxnSpPr>
        <xdr:spPr>
          <a:xfrm flipH="1">
            <a:off x="3444240" y="5715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26</xdr:row>
      <xdr:rowOff>0</xdr:rowOff>
    </xdr:from>
    <xdr:to>
      <xdr:col>6</xdr:col>
      <xdr:colOff>0</xdr:colOff>
      <xdr:row>27</xdr:row>
      <xdr:rowOff>0</xdr:rowOff>
    </xdr:to>
    <xdr:grpSp>
      <xdr:nvGrpSpPr>
        <xdr:cNvPr id="2800" name="Cross_F27">
          <a:extLst>
            <a:ext uri="{FF2B5EF4-FFF2-40B4-BE49-F238E27FC236}">
              <a16:creationId xmlns:a16="http://schemas.microsoft.com/office/drawing/2014/main" id="{287B7DF4-968F-2DF8-C2CA-8836EA7C74E8}"/>
            </a:ext>
          </a:extLst>
        </xdr:cNvPr>
        <xdr:cNvGrpSpPr/>
      </xdr:nvGrpSpPr>
      <xdr:grpSpPr>
        <a:xfrm>
          <a:off x="3444240" y="5943600"/>
          <a:ext cx="601980" cy="228600"/>
          <a:chOff x="3444240" y="5943600"/>
          <a:chExt cx="601980" cy="228600"/>
        </a:xfrm>
      </xdr:grpSpPr>
      <xdr:cxnSp macro="">
        <xdr:nvCxnSpPr>
          <xdr:cNvPr id="2798" name="Gerader Verbinder 2797">
            <a:extLst>
              <a:ext uri="{FF2B5EF4-FFF2-40B4-BE49-F238E27FC236}">
                <a16:creationId xmlns:a16="http://schemas.microsoft.com/office/drawing/2014/main" id="{E8028CAB-E092-73F4-40BD-B21FEAFA99D2}"/>
              </a:ext>
            </a:extLst>
          </xdr:cNvPr>
          <xdr:cNvCxnSpPr/>
        </xdr:nvCxnSpPr>
        <xdr:spPr>
          <a:xfrm>
            <a:off x="3444240" y="5943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99" name="Gerader Verbinder 2798">
            <a:extLst>
              <a:ext uri="{FF2B5EF4-FFF2-40B4-BE49-F238E27FC236}">
                <a16:creationId xmlns:a16="http://schemas.microsoft.com/office/drawing/2014/main" id="{3A48C045-7E9A-6234-D2F6-B63F149ABBE0}"/>
              </a:ext>
            </a:extLst>
          </xdr:cNvPr>
          <xdr:cNvCxnSpPr/>
        </xdr:nvCxnSpPr>
        <xdr:spPr>
          <a:xfrm flipH="1">
            <a:off x="3444240" y="5943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2803" name="Cross_F28">
          <a:extLst>
            <a:ext uri="{FF2B5EF4-FFF2-40B4-BE49-F238E27FC236}">
              <a16:creationId xmlns:a16="http://schemas.microsoft.com/office/drawing/2014/main" id="{F563AF2B-0FEB-079E-F7A6-377A060F8C4F}"/>
            </a:ext>
          </a:extLst>
        </xdr:cNvPr>
        <xdr:cNvGrpSpPr/>
      </xdr:nvGrpSpPr>
      <xdr:grpSpPr>
        <a:xfrm>
          <a:off x="3444240" y="6172200"/>
          <a:ext cx="601980" cy="228600"/>
          <a:chOff x="3444240" y="6172200"/>
          <a:chExt cx="601980" cy="228600"/>
        </a:xfrm>
      </xdr:grpSpPr>
      <xdr:cxnSp macro="">
        <xdr:nvCxnSpPr>
          <xdr:cNvPr id="2801" name="Gerader Verbinder 2800">
            <a:extLst>
              <a:ext uri="{FF2B5EF4-FFF2-40B4-BE49-F238E27FC236}">
                <a16:creationId xmlns:a16="http://schemas.microsoft.com/office/drawing/2014/main" id="{E83A2201-1C0C-34D3-FD08-A7A2132A57BD}"/>
              </a:ext>
            </a:extLst>
          </xdr:cNvPr>
          <xdr:cNvCxnSpPr/>
        </xdr:nvCxnSpPr>
        <xdr:spPr>
          <a:xfrm>
            <a:off x="3444240" y="6172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02" name="Gerader Verbinder 2801">
            <a:extLst>
              <a:ext uri="{FF2B5EF4-FFF2-40B4-BE49-F238E27FC236}">
                <a16:creationId xmlns:a16="http://schemas.microsoft.com/office/drawing/2014/main" id="{CE751A39-5CAC-B81C-4A72-5D4184697C89}"/>
              </a:ext>
            </a:extLst>
          </xdr:cNvPr>
          <xdr:cNvCxnSpPr/>
        </xdr:nvCxnSpPr>
        <xdr:spPr>
          <a:xfrm flipH="1">
            <a:off x="3444240" y="6172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2806" name="Cross_F29">
          <a:extLst>
            <a:ext uri="{FF2B5EF4-FFF2-40B4-BE49-F238E27FC236}">
              <a16:creationId xmlns:a16="http://schemas.microsoft.com/office/drawing/2014/main" id="{32C7E3D2-E9A9-7DE8-B0D8-DBD16D842FC6}"/>
            </a:ext>
          </a:extLst>
        </xdr:cNvPr>
        <xdr:cNvGrpSpPr/>
      </xdr:nvGrpSpPr>
      <xdr:grpSpPr>
        <a:xfrm>
          <a:off x="3444240" y="6400800"/>
          <a:ext cx="601980" cy="228600"/>
          <a:chOff x="3444240" y="6400800"/>
          <a:chExt cx="601980" cy="228600"/>
        </a:xfrm>
      </xdr:grpSpPr>
      <xdr:cxnSp macro="">
        <xdr:nvCxnSpPr>
          <xdr:cNvPr id="2804" name="Gerader Verbinder 2803">
            <a:extLst>
              <a:ext uri="{FF2B5EF4-FFF2-40B4-BE49-F238E27FC236}">
                <a16:creationId xmlns:a16="http://schemas.microsoft.com/office/drawing/2014/main" id="{AE88DC44-C07F-3952-C68D-DBB3AD2BB5C8}"/>
              </a:ext>
            </a:extLst>
          </xdr:cNvPr>
          <xdr:cNvCxnSpPr/>
        </xdr:nvCxnSpPr>
        <xdr:spPr>
          <a:xfrm>
            <a:off x="3444240" y="6400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05" name="Gerader Verbinder 2804">
            <a:extLst>
              <a:ext uri="{FF2B5EF4-FFF2-40B4-BE49-F238E27FC236}">
                <a16:creationId xmlns:a16="http://schemas.microsoft.com/office/drawing/2014/main" id="{7938FF5E-7A7B-7C64-3F37-1A029A73257D}"/>
              </a:ext>
            </a:extLst>
          </xdr:cNvPr>
          <xdr:cNvCxnSpPr/>
        </xdr:nvCxnSpPr>
        <xdr:spPr>
          <a:xfrm flipH="1">
            <a:off x="3444240" y="6400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2809" name="Cross_G7">
          <a:extLst>
            <a:ext uri="{FF2B5EF4-FFF2-40B4-BE49-F238E27FC236}">
              <a16:creationId xmlns:a16="http://schemas.microsoft.com/office/drawing/2014/main" id="{2CA073CE-E536-9786-0A61-2B57853BF2A5}"/>
            </a:ext>
          </a:extLst>
        </xdr:cNvPr>
        <xdr:cNvGrpSpPr/>
      </xdr:nvGrpSpPr>
      <xdr:grpSpPr>
        <a:xfrm>
          <a:off x="4046220" y="1371600"/>
          <a:ext cx="601980" cy="228600"/>
          <a:chOff x="4046220" y="1371600"/>
          <a:chExt cx="601980" cy="228600"/>
        </a:xfrm>
      </xdr:grpSpPr>
      <xdr:cxnSp macro="">
        <xdr:nvCxnSpPr>
          <xdr:cNvPr id="2807" name="Gerader Verbinder 2806">
            <a:extLst>
              <a:ext uri="{FF2B5EF4-FFF2-40B4-BE49-F238E27FC236}">
                <a16:creationId xmlns:a16="http://schemas.microsoft.com/office/drawing/2014/main" id="{4EEAABE3-14D1-E301-2AAC-F6E636028D65}"/>
              </a:ext>
            </a:extLst>
          </xdr:cNvPr>
          <xdr:cNvCxnSpPr/>
        </xdr:nvCxnSpPr>
        <xdr:spPr>
          <a:xfrm>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08" name="Gerader Verbinder 2807">
            <a:extLst>
              <a:ext uri="{FF2B5EF4-FFF2-40B4-BE49-F238E27FC236}">
                <a16:creationId xmlns:a16="http://schemas.microsoft.com/office/drawing/2014/main" id="{65000EF2-0137-B178-8A85-13DE2A7599B9}"/>
              </a:ext>
            </a:extLst>
          </xdr:cNvPr>
          <xdr:cNvCxnSpPr/>
        </xdr:nvCxnSpPr>
        <xdr:spPr>
          <a:xfrm flipH="1">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9</xdr:row>
      <xdr:rowOff>0</xdr:rowOff>
    </xdr:from>
    <xdr:to>
      <xdr:col>7</xdr:col>
      <xdr:colOff>0</xdr:colOff>
      <xdr:row>10</xdr:row>
      <xdr:rowOff>0</xdr:rowOff>
    </xdr:to>
    <xdr:grpSp>
      <xdr:nvGrpSpPr>
        <xdr:cNvPr id="2812" name="Cross_G10">
          <a:extLst>
            <a:ext uri="{FF2B5EF4-FFF2-40B4-BE49-F238E27FC236}">
              <a16:creationId xmlns:a16="http://schemas.microsoft.com/office/drawing/2014/main" id="{B235367B-6DE3-57C3-FAD9-9C8ED0CDD025}"/>
            </a:ext>
          </a:extLst>
        </xdr:cNvPr>
        <xdr:cNvGrpSpPr/>
      </xdr:nvGrpSpPr>
      <xdr:grpSpPr>
        <a:xfrm>
          <a:off x="4046220" y="2057400"/>
          <a:ext cx="601980" cy="228600"/>
          <a:chOff x="4046220" y="2057400"/>
          <a:chExt cx="601980" cy="228600"/>
        </a:xfrm>
      </xdr:grpSpPr>
      <xdr:cxnSp macro="">
        <xdr:nvCxnSpPr>
          <xdr:cNvPr id="2810" name="Gerader Verbinder 2809">
            <a:extLst>
              <a:ext uri="{FF2B5EF4-FFF2-40B4-BE49-F238E27FC236}">
                <a16:creationId xmlns:a16="http://schemas.microsoft.com/office/drawing/2014/main" id="{5C1EEB16-D9A4-63A9-1302-2889CAE423AE}"/>
              </a:ext>
            </a:extLst>
          </xdr:cNvPr>
          <xdr:cNvCxnSpPr/>
        </xdr:nvCxnSpPr>
        <xdr:spPr>
          <a:xfrm>
            <a:off x="4046220" y="2057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11" name="Gerader Verbinder 2810">
            <a:extLst>
              <a:ext uri="{FF2B5EF4-FFF2-40B4-BE49-F238E27FC236}">
                <a16:creationId xmlns:a16="http://schemas.microsoft.com/office/drawing/2014/main" id="{80B0C753-5DAE-D80B-52B6-3AFDA6E485DA}"/>
              </a:ext>
            </a:extLst>
          </xdr:cNvPr>
          <xdr:cNvCxnSpPr/>
        </xdr:nvCxnSpPr>
        <xdr:spPr>
          <a:xfrm flipH="1">
            <a:off x="4046220" y="2057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11</xdr:row>
      <xdr:rowOff>0</xdr:rowOff>
    </xdr:from>
    <xdr:to>
      <xdr:col>7</xdr:col>
      <xdr:colOff>0</xdr:colOff>
      <xdr:row>12</xdr:row>
      <xdr:rowOff>0</xdr:rowOff>
    </xdr:to>
    <xdr:grpSp>
      <xdr:nvGrpSpPr>
        <xdr:cNvPr id="2815" name="Cross_G12">
          <a:extLst>
            <a:ext uri="{FF2B5EF4-FFF2-40B4-BE49-F238E27FC236}">
              <a16:creationId xmlns:a16="http://schemas.microsoft.com/office/drawing/2014/main" id="{23A9CD40-F65D-9916-413F-58709399B552}"/>
            </a:ext>
          </a:extLst>
        </xdr:cNvPr>
        <xdr:cNvGrpSpPr/>
      </xdr:nvGrpSpPr>
      <xdr:grpSpPr>
        <a:xfrm>
          <a:off x="4046220" y="2514600"/>
          <a:ext cx="601980" cy="228600"/>
          <a:chOff x="4046220" y="2514600"/>
          <a:chExt cx="601980" cy="228600"/>
        </a:xfrm>
      </xdr:grpSpPr>
      <xdr:cxnSp macro="">
        <xdr:nvCxnSpPr>
          <xdr:cNvPr id="2813" name="Gerader Verbinder 2812">
            <a:extLst>
              <a:ext uri="{FF2B5EF4-FFF2-40B4-BE49-F238E27FC236}">
                <a16:creationId xmlns:a16="http://schemas.microsoft.com/office/drawing/2014/main" id="{33C88C97-27C5-2103-250E-9E020CC97C3D}"/>
              </a:ext>
            </a:extLst>
          </xdr:cNvPr>
          <xdr:cNvCxnSpPr/>
        </xdr:nvCxnSpPr>
        <xdr:spPr>
          <a:xfrm>
            <a:off x="4046220" y="2514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14" name="Gerader Verbinder 2813">
            <a:extLst>
              <a:ext uri="{FF2B5EF4-FFF2-40B4-BE49-F238E27FC236}">
                <a16:creationId xmlns:a16="http://schemas.microsoft.com/office/drawing/2014/main" id="{0BE00FC8-C141-371D-0988-61ECFCD2EAFF}"/>
              </a:ext>
            </a:extLst>
          </xdr:cNvPr>
          <xdr:cNvCxnSpPr/>
        </xdr:nvCxnSpPr>
        <xdr:spPr>
          <a:xfrm flipH="1">
            <a:off x="4046220" y="2514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12</xdr:row>
      <xdr:rowOff>0</xdr:rowOff>
    </xdr:from>
    <xdr:to>
      <xdr:col>7</xdr:col>
      <xdr:colOff>0</xdr:colOff>
      <xdr:row>13</xdr:row>
      <xdr:rowOff>0</xdr:rowOff>
    </xdr:to>
    <xdr:grpSp>
      <xdr:nvGrpSpPr>
        <xdr:cNvPr id="2818" name="Cross_G13">
          <a:extLst>
            <a:ext uri="{FF2B5EF4-FFF2-40B4-BE49-F238E27FC236}">
              <a16:creationId xmlns:a16="http://schemas.microsoft.com/office/drawing/2014/main" id="{2117D115-BF14-5E6F-39EA-9DD9CDA138FA}"/>
            </a:ext>
          </a:extLst>
        </xdr:cNvPr>
        <xdr:cNvGrpSpPr/>
      </xdr:nvGrpSpPr>
      <xdr:grpSpPr>
        <a:xfrm>
          <a:off x="4046220" y="2743200"/>
          <a:ext cx="601980" cy="228600"/>
          <a:chOff x="4046220" y="2743200"/>
          <a:chExt cx="601980" cy="228600"/>
        </a:xfrm>
      </xdr:grpSpPr>
      <xdr:cxnSp macro="">
        <xdr:nvCxnSpPr>
          <xdr:cNvPr id="2816" name="Gerader Verbinder 2815">
            <a:extLst>
              <a:ext uri="{FF2B5EF4-FFF2-40B4-BE49-F238E27FC236}">
                <a16:creationId xmlns:a16="http://schemas.microsoft.com/office/drawing/2014/main" id="{9905B72A-2A40-AED7-328A-3E20A8B4CA6B}"/>
              </a:ext>
            </a:extLst>
          </xdr:cNvPr>
          <xdr:cNvCxnSpPr/>
        </xdr:nvCxnSpPr>
        <xdr:spPr>
          <a:xfrm>
            <a:off x="4046220" y="2743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17" name="Gerader Verbinder 2816">
            <a:extLst>
              <a:ext uri="{FF2B5EF4-FFF2-40B4-BE49-F238E27FC236}">
                <a16:creationId xmlns:a16="http://schemas.microsoft.com/office/drawing/2014/main" id="{DE4ABFCA-1551-C07B-B760-60707893A724}"/>
              </a:ext>
            </a:extLst>
          </xdr:cNvPr>
          <xdr:cNvCxnSpPr/>
        </xdr:nvCxnSpPr>
        <xdr:spPr>
          <a:xfrm flipH="1">
            <a:off x="4046220" y="2743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13</xdr:row>
      <xdr:rowOff>0</xdr:rowOff>
    </xdr:from>
    <xdr:to>
      <xdr:col>7</xdr:col>
      <xdr:colOff>0</xdr:colOff>
      <xdr:row>14</xdr:row>
      <xdr:rowOff>0</xdr:rowOff>
    </xdr:to>
    <xdr:grpSp>
      <xdr:nvGrpSpPr>
        <xdr:cNvPr id="2821" name="Cross_G14">
          <a:extLst>
            <a:ext uri="{FF2B5EF4-FFF2-40B4-BE49-F238E27FC236}">
              <a16:creationId xmlns:a16="http://schemas.microsoft.com/office/drawing/2014/main" id="{A3AC9ABC-8BC0-678B-3657-BE164D355965}"/>
            </a:ext>
          </a:extLst>
        </xdr:cNvPr>
        <xdr:cNvGrpSpPr/>
      </xdr:nvGrpSpPr>
      <xdr:grpSpPr>
        <a:xfrm>
          <a:off x="4046220" y="2971800"/>
          <a:ext cx="601980" cy="228600"/>
          <a:chOff x="4046220" y="2971800"/>
          <a:chExt cx="601980" cy="228600"/>
        </a:xfrm>
      </xdr:grpSpPr>
      <xdr:cxnSp macro="">
        <xdr:nvCxnSpPr>
          <xdr:cNvPr id="2819" name="Gerader Verbinder 2818">
            <a:extLst>
              <a:ext uri="{FF2B5EF4-FFF2-40B4-BE49-F238E27FC236}">
                <a16:creationId xmlns:a16="http://schemas.microsoft.com/office/drawing/2014/main" id="{7FFCE630-A7AE-BC66-90C1-C056DEC6D968}"/>
              </a:ext>
            </a:extLst>
          </xdr:cNvPr>
          <xdr:cNvCxnSpPr/>
        </xdr:nvCxnSpPr>
        <xdr:spPr>
          <a:xfrm>
            <a:off x="4046220" y="2971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20" name="Gerader Verbinder 2819">
            <a:extLst>
              <a:ext uri="{FF2B5EF4-FFF2-40B4-BE49-F238E27FC236}">
                <a16:creationId xmlns:a16="http://schemas.microsoft.com/office/drawing/2014/main" id="{5FB79575-0034-1A12-4173-D659D4C8EAE1}"/>
              </a:ext>
            </a:extLst>
          </xdr:cNvPr>
          <xdr:cNvCxnSpPr/>
        </xdr:nvCxnSpPr>
        <xdr:spPr>
          <a:xfrm flipH="1">
            <a:off x="4046220" y="2971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14</xdr:row>
      <xdr:rowOff>0</xdr:rowOff>
    </xdr:from>
    <xdr:to>
      <xdr:col>7</xdr:col>
      <xdr:colOff>0</xdr:colOff>
      <xdr:row>15</xdr:row>
      <xdr:rowOff>0</xdr:rowOff>
    </xdr:to>
    <xdr:grpSp>
      <xdr:nvGrpSpPr>
        <xdr:cNvPr id="2824" name="Cross_G15">
          <a:extLst>
            <a:ext uri="{FF2B5EF4-FFF2-40B4-BE49-F238E27FC236}">
              <a16:creationId xmlns:a16="http://schemas.microsoft.com/office/drawing/2014/main" id="{1255756D-9065-03BC-C63B-BB9A8B7A7CE6}"/>
            </a:ext>
          </a:extLst>
        </xdr:cNvPr>
        <xdr:cNvGrpSpPr/>
      </xdr:nvGrpSpPr>
      <xdr:grpSpPr>
        <a:xfrm>
          <a:off x="4046220" y="3200400"/>
          <a:ext cx="601980" cy="228600"/>
          <a:chOff x="4046220" y="3200400"/>
          <a:chExt cx="601980" cy="228600"/>
        </a:xfrm>
      </xdr:grpSpPr>
      <xdr:cxnSp macro="">
        <xdr:nvCxnSpPr>
          <xdr:cNvPr id="2822" name="Gerader Verbinder 2821">
            <a:extLst>
              <a:ext uri="{FF2B5EF4-FFF2-40B4-BE49-F238E27FC236}">
                <a16:creationId xmlns:a16="http://schemas.microsoft.com/office/drawing/2014/main" id="{780007DE-5503-2620-46B0-9A0D743724CF}"/>
              </a:ext>
            </a:extLst>
          </xdr:cNvPr>
          <xdr:cNvCxnSpPr/>
        </xdr:nvCxnSpPr>
        <xdr:spPr>
          <a:xfrm>
            <a:off x="4046220" y="320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23" name="Gerader Verbinder 2822">
            <a:extLst>
              <a:ext uri="{FF2B5EF4-FFF2-40B4-BE49-F238E27FC236}">
                <a16:creationId xmlns:a16="http://schemas.microsoft.com/office/drawing/2014/main" id="{262AD7B8-60EC-0FB1-AC7C-53BF28E2CCED}"/>
              </a:ext>
            </a:extLst>
          </xdr:cNvPr>
          <xdr:cNvCxnSpPr/>
        </xdr:nvCxnSpPr>
        <xdr:spPr>
          <a:xfrm flipH="1">
            <a:off x="4046220" y="320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2827" name="Cross_G16">
          <a:extLst>
            <a:ext uri="{FF2B5EF4-FFF2-40B4-BE49-F238E27FC236}">
              <a16:creationId xmlns:a16="http://schemas.microsoft.com/office/drawing/2014/main" id="{9A089C9E-D41C-B9A1-5319-733DF5CCF555}"/>
            </a:ext>
          </a:extLst>
        </xdr:cNvPr>
        <xdr:cNvGrpSpPr/>
      </xdr:nvGrpSpPr>
      <xdr:grpSpPr>
        <a:xfrm>
          <a:off x="4046220" y="3429000"/>
          <a:ext cx="601980" cy="228600"/>
          <a:chOff x="4046220" y="3429000"/>
          <a:chExt cx="601980" cy="228600"/>
        </a:xfrm>
      </xdr:grpSpPr>
      <xdr:cxnSp macro="">
        <xdr:nvCxnSpPr>
          <xdr:cNvPr id="2825" name="Gerader Verbinder 2824">
            <a:extLst>
              <a:ext uri="{FF2B5EF4-FFF2-40B4-BE49-F238E27FC236}">
                <a16:creationId xmlns:a16="http://schemas.microsoft.com/office/drawing/2014/main" id="{FC2E9201-E80D-1A70-1D27-02819EA36386}"/>
              </a:ext>
            </a:extLst>
          </xdr:cNvPr>
          <xdr:cNvCxnSpPr/>
        </xdr:nvCxnSpPr>
        <xdr:spPr>
          <a:xfrm>
            <a:off x="4046220" y="3429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26" name="Gerader Verbinder 2825">
            <a:extLst>
              <a:ext uri="{FF2B5EF4-FFF2-40B4-BE49-F238E27FC236}">
                <a16:creationId xmlns:a16="http://schemas.microsoft.com/office/drawing/2014/main" id="{2CC3BBC1-1C2A-4EC7-01C2-57D4C8569489}"/>
              </a:ext>
            </a:extLst>
          </xdr:cNvPr>
          <xdr:cNvCxnSpPr/>
        </xdr:nvCxnSpPr>
        <xdr:spPr>
          <a:xfrm flipH="1">
            <a:off x="4046220" y="3429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2830" name="Cross_G17">
          <a:extLst>
            <a:ext uri="{FF2B5EF4-FFF2-40B4-BE49-F238E27FC236}">
              <a16:creationId xmlns:a16="http://schemas.microsoft.com/office/drawing/2014/main" id="{D4BB1AE0-D787-C48D-798E-CC0A459817F6}"/>
            </a:ext>
          </a:extLst>
        </xdr:cNvPr>
        <xdr:cNvGrpSpPr/>
      </xdr:nvGrpSpPr>
      <xdr:grpSpPr>
        <a:xfrm>
          <a:off x="4046220" y="3657600"/>
          <a:ext cx="601980" cy="228600"/>
          <a:chOff x="4046220" y="3657600"/>
          <a:chExt cx="601980" cy="228600"/>
        </a:xfrm>
      </xdr:grpSpPr>
      <xdr:cxnSp macro="">
        <xdr:nvCxnSpPr>
          <xdr:cNvPr id="2828" name="Gerader Verbinder 2827">
            <a:extLst>
              <a:ext uri="{FF2B5EF4-FFF2-40B4-BE49-F238E27FC236}">
                <a16:creationId xmlns:a16="http://schemas.microsoft.com/office/drawing/2014/main" id="{5E51C43F-9154-E9E3-358D-5F8EA1AA80BC}"/>
              </a:ext>
            </a:extLst>
          </xdr:cNvPr>
          <xdr:cNvCxnSpPr/>
        </xdr:nvCxnSpPr>
        <xdr:spPr>
          <a:xfrm>
            <a:off x="4046220" y="3657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29" name="Gerader Verbinder 2828">
            <a:extLst>
              <a:ext uri="{FF2B5EF4-FFF2-40B4-BE49-F238E27FC236}">
                <a16:creationId xmlns:a16="http://schemas.microsoft.com/office/drawing/2014/main" id="{D4661E34-FC1C-2AB1-1EC4-00D9B4C9FC20}"/>
              </a:ext>
            </a:extLst>
          </xdr:cNvPr>
          <xdr:cNvCxnSpPr/>
        </xdr:nvCxnSpPr>
        <xdr:spPr>
          <a:xfrm flipH="1">
            <a:off x="4046220" y="3657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2833" name="Cross_G18">
          <a:extLst>
            <a:ext uri="{FF2B5EF4-FFF2-40B4-BE49-F238E27FC236}">
              <a16:creationId xmlns:a16="http://schemas.microsoft.com/office/drawing/2014/main" id="{9329D60F-9A8D-3B50-279C-6997CD98E0A0}"/>
            </a:ext>
          </a:extLst>
        </xdr:cNvPr>
        <xdr:cNvGrpSpPr/>
      </xdr:nvGrpSpPr>
      <xdr:grpSpPr>
        <a:xfrm>
          <a:off x="4046220" y="3886200"/>
          <a:ext cx="601980" cy="228600"/>
          <a:chOff x="4046220" y="3886200"/>
          <a:chExt cx="601980" cy="228600"/>
        </a:xfrm>
      </xdr:grpSpPr>
      <xdr:cxnSp macro="">
        <xdr:nvCxnSpPr>
          <xdr:cNvPr id="2831" name="Gerader Verbinder 2830">
            <a:extLst>
              <a:ext uri="{FF2B5EF4-FFF2-40B4-BE49-F238E27FC236}">
                <a16:creationId xmlns:a16="http://schemas.microsoft.com/office/drawing/2014/main" id="{C79BABD9-1F01-93D2-2BDE-9B92E205761D}"/>
              </a:ext>
            </a:extLst>
          </xdr:cNvPr>
          <xdr:cNvCxnSpPr/>
        </xdr:nvCxnSpPr>
        <xdr:spPr>
          <a:xfrm>
            <a:off x="4046220" y="3886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32" name="Gerader Verbinder 2831">
            <a:extLst>
              <a:ext uri="{FF2B5EF4-FFF2-40B4-BE49-F238E27FC236}">
                <a16:creationId xmlns:a16="http://schemas.microsoft.com/office/drawing/2014/main" id="{0437CAE9-B925-0A55-C4D3-90148011C532}"/>
              </a:ext>
            </a:extLst>
          </xdr:cNvPr>
          <xdr:cNvCxnSpPr/>
        </xdr:nvCxnSpPr>
        <xdr:spPr>
          <a:xfrm flipH="1">
            <a:off x="4046220" y="3886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18</xdr:row>
      <xdr:rowOff>0</xdr:rowOff>
    </xdr:from>
    <xdr:to>
      <xdr:col>7</xdr:col>
      <xdr:colOff>0</xdr:colOff>
      <xdr:row>19</xdr:row>
      <xdr:rowOff>0</xdr:rowOff>
    </xdr:to>
    <xdr:grpSp>
      <xdr:nvGrpSpPr>
        <xdr:cNvPr id="2836" name="Cross_G19">
          <a:extLst>
            <a:ext uri="{FF2B5EF4-FFF2-40B4-BE49-F238E27FC236}">
              <a16:creationId xmlns:a16="http://schemas.microsoft.com/office/drawing/2014/main" id="{DB0F4F51-CD51-D0E2-3C44-75CD6E9FC58F}"/>
            </a:ext>
          </a:extLst>
        </xdr:cNvPr>
        <xdr:cNvGrpSpPr/>
      </xdr:nvGrpSpPr>
      <xdr:grpSpPr>
        <a:xfrm>
          <a:off x="4046220" y="4114800"/>
          <a:ext cx="601980" cy="228600"/>
          <a:chOff x="4046220" y="4114800"/>
          <a:chExt cx="601980" cy="228600"/>
        </a:xfrm>
      </xdr:grpSpPr>
      <xdr:cxnSp macro="">
        <xdr:nvCxnSpPr>
          <xdr:cNvPr id="2834" name="Gerader Verbinder 2833">
            <a:extLst>
              <a:ext uri="{FF2B5EF4-FFF2-40B4-BE49-F238E27FC236}">
                <a16:creationId xmlns:a16="http://schemas.microsoft.com/office/drawing/2014/main" id="{4BF8BED0-6023-6026-C910-F4A20B763580}"/>
              </a:ext>
            </a:extLst>
          </xdr:cNvPr>
          <xdr:cNvCxnSpPr/>
        </xdr:nvCxnSpPr>
        <xdr:spPr>
          <a:xfrm>
            <a:off x="4046220" y="4114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35" name="Gerader Verbinder 2834">
            <a:extLst>
              <a:ext uri="{FF2B5EF4-FFF2-40B4-BE49-F238E27FC236}">
                <a16:creationId xmlns:a16="http://schemas.microsoft.com/office/drawing/2014/main" id="{08B95876-264E-DD68-5919-4821AFD8C3C0}"/>
              </a:ext>
            </a:extLst>
          </xdr:cNvPr>
          <xdr:cNvCxnSpPr/>
        </xdr:nvCxnSpPr>
        <xdr:spPr>
          <a:xfrm flipH="1">
            <a:off x="4046220" y="4114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19</xdr:row>
      <xdr:rowOff>0</xdr:rowOff>
    </xdr:from>
    <xdr:to>
      <xdr:col>7</xdr:col>
      <xdr:colOff>0</xdr:colOff>
      <xdr:row>20</xdr:row>
      <xdr:rowOff>0</xdr:rowOff>
    </xdr:to>
    <xdr:grpSp>
      <xdr:nvGrpSpPr>
        <xdr:cNvPr id="2839" name="Cross_G20">
          <a:extLst>
            <a:ext uri="{FF2B5EF4-FFF2-40B4-BE49-F238E27FC236}">
              <a16:creationId xmlns:a16="http://schemas.microsoft.com/office/drawing/2014/main" id="{14886A01-72FB-65AC-B18D-9563994C545D}"/>
            </a:ext>
          </a:extLst>
        </xdr:cNvPr>
        <xdr:cNvGrpSpPr/>
      </xdr:nvGrpSpPr>
      <xdr:grpSpPr>
        <a:xfrm>
          <a:off x="4046220" y="4343400"/>
          <a:ext cx="601980" cy="228600"/>
          <a:chOff x="4046220" y="4343400"/>
          <a:chExt cx="601980" cy="228600"/>
        </a:xfrm>
      </xdr:grpSpPr>
      <xdr:cxnSp macro="">
        <xdr:nvCxnSpPr>
          <xdr:cNvPr id="2837" name="Gerader Verbinder 2836">
            <a:extLst>
              <a:ext uri="{FF2B5EF4-FFF2-40B4-BE49-F238E27FC236}">
                <a16:creationId xmlns:a16="http://schemas.microsoft.com/office/drawing/2014/main" id="{CD88DE4D-57BD-57DD-C706-64ABB2C9B9B9}"/>
              </a:ext>
            </a:extLst>
          </xdr:cNvPr>
          <xdr:cNvCxnSpPr/>
        </xdr:nvCxnSpPr>
        <xdr:spPr>
          <a:xfrm>
            <a:off x="4046220" y="4343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38" name="Gerader Verbinder 2837">
            <a:extLst>
              <a:ext uri="{FF2B5EF4-FFF2-40B4-BE49-F238E27FC236}">
                <a16:creationId xmlns:a16="http://schemas.microsoft.com/office/drawing/2014/main" id="{2760F671-4506-C899-F341-0696C0F84A8C}"/>
              </a:ext>
            </a:extLst>
          </xdr:cNvPr>
          <xdr:cNvCxnSpPr/>
        </xdr:nvCxnSpPr>
        <xdr:spPr>
          <a:xfrm flipH="1">
            <a:off x="4046220" y="4343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20</xdr:row>
      <xdr:rowOff>0</xdr:rowOff>
    </xdr:from>
    <xdr:to>
      <xdr:col>7</xdr:col>
      <xdr:colOff>0</xdr:colOff>
      <xdr:row>21</xdr:row>
      <xdr:rowOff>0</xdr:rowOff>
    </xdr:to>
    <xdr:grpSp>
      <xdr:nvGrpSpPr>
        <xdr:cNvPr id="2842" name="Cross_G21">
          <a:extLst>
            <a:ext uri="{FF2B5EF4-FFF2-40B4-BE49-F238E27FC236}">
              <a16:creationId xmlns:a16="http://schemas.microsoft.com/office/drawing/2014/main" id="{D4C6CAFA-DFE8-5C28-322F-36372AAC5437}"/>
            </a:ext>
          </a:extLst>
        </xdr:cNvPr>
        <xdr:cNvGrpSpPr/>
      </xdr:nvGrpSpPr>
      <xdr:grpSpPr>
        <a:xfrm>
          <a:off x="4046220" y="4572000"/>
          <a:ext cx="601980" cy="228600"/>
          <a:chOff x="4046220" y="4572000"/>
          <a:chExt cx="601980" cy="228600"/>
        </a:xfrm>
      </xdr:grpSpPr>
      <xdr:cxnSp macro="">
        <xdr:nvCxnSpPr>
          <xdr:cNvPr id="2840" name="Gerader Verbinder 2839">
            <a:extLst>
              <a:ext uri="{FF2B5EF4-FFF2-40B4-BE49-F238E27FC236}">
                <a16:creationId xmlns:a16="http://schemas.microsoft.com/office/drawing/2014/main" id="{C533D14B-4375-6EC9-9B0F-8779BAFC7A17}"/>
              </a:ext>
            </a:extLst>
          </xdr:cNvPr>
          <xdr:cNvCxnSpPr/>
        </xdr:nvCxnSpPr>
        <xdr:spPr>
          <a:xfrm>
            <a:off x="4046220" y="4572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41" name="Gerader Verbinder 2840">
            <a:extLst>
              <a:ext uri="{FF2B5EF4-FFF2-40B4-BE49-F238E27FC236}">
                <a16:creationId xmlns:a16="http://schemas.microsoft.com/office/drawing/2014/main" id="{122999AA-2540-3ECA-B3F4-A8A9EAE0CD8A}"/>
              </a:ext>
            </a:extLst>
          </xdr:cNvPr>
          <xdr:cNvCxnSpPr/>
        </xdr:nvCxnSpPr>
        <xdr:spPr>
          <a:xfrm flipH="1">
            <a:off x="4046220" y="4572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21</xdr:row>
      <xdr:rowOff>0</xdr:rowOff>
    </xdr:from>
    <xdr:to>
      <xdr:col>7</xdr:col>
      <xdr:colOff>0</xdr:colOff>
      <xdr:row>22</xdr:row>
      <xdr:rowOff>0</xdr:rowOff>
    </xdr:to>
    <xdr:grpSp>
      <xdr:nvGrpSpPr>
        <xdr:cNvPr id="2845" name="Cross_G22">
          <a:extLst>
            <a:ext uri="{FF2B5EF4-FFF2-40B4-BE49-F238E27FC236}">
              <a16:creationId xmlns:a16="http://schemas.microsoft.com/office/drawing/2014/main" id="{721A9EF1-D85B-A5EE-5779-91CF759AC709}"/>
            </a:ext>
          </a:extLst>
        </xdr:cNvPr>
        <xdr:cNvGrpSpPr/>
      </xdr:nvGrpSpPr>
      <xdr:grpSpPr>
        <a:xfrm>
          <a:off x="4046220" y="4800600"/>
          <a:ext cx="601980" cy="228600"/>
          <a:chOff x="4046220" y="4800600"/>
          <a:chExt cx="601980" cy="228600"/>
        </a:xfrm>
      </xdr:grpSpPr>
      <xdr:cxnSp macro="">
        <xdr:nvCxnSpPr>
          <xdr:cNvPr id="2843" name="Gerader Verbinder 2842">
            <a:extLst>
              <a:ext uri="{FF2B5EF4-FFF2-40B4-BE49-F238E27FC236}">
                <a16:creationId xmlns:a16="http://schemas.microsoft.com/office/drawing/2014/main" id="{11E6B466-A201-10EB-F8AE-520B777494B0}"/>
              </a:ext>
            </a:extLst>
          </xdr:cNvPr>
          <xdr:cNvCxnSpPr/>
        </xdr:nvCxnSpPr>
        <xdr:spPr>
          <a:xfrm>
            <a:off x="4046220" y="4800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44" name="Gerader Verbinder 2843">
            <a:extLst>
              <a:ext uri="{FF2B5EF4-FFF2-40B4-BE49-F238E27FC236}">
                <a16:creationId xmlns:a16="http://schemas.microsoft.com/office/drawing/2014/main" id="{B50BED8F-13A4-A22D-DD35-9D3CD177C458}"/>
              </a:ext>
            </a:extLst>
          </xdr:cNvPr>
          <xdr:cNvCxnSpPr/>
        </xdr:nvCxnSpPr>
        <xdr:spPr>
          <a:xfrm flipH="1">
            <a:off x="4046220" y="4800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22</xdr:row>
      <xdr:rowOff>0</xdr:rowOff>
    </xdr:from>
    <xdr:to>
      <xdr:col>7</xdr:col>
      <xdr:colOff>0</xdr:colOff>
      <xdr:row>23</xdr:row>
      <xdr:rowOff>0</xdr:rowOff>
    </xdr:to>
    <xdr:grpSp>
      <xdr:nvGrpSpPr>
        <xdr:cNvPr id="2848" name="Cross_G23">
          <a:extLst>
            <a:ext uri="{FF2B5EF4-FFF2-40B4-BE49-F238E27FC236}">
              <a16:creationId xmlns:a16="http://schemas.microsoft.com/office/drawing/2014/main" id="{14F13A6B-0EC2-256F-F403-484F4798C566}"/>
            </a:ext>
          </a:extLst>
        </xdr:cNvPr>
        <xdr:cNvGrpSpPr/>
      </xdr:nvGrpSpPr>
      <xdr:grpSpPr>
        <a:xfrm>
          <a:off x="4046220" y="5029200"/>
          <a:ext cx="601980" cy="228600"/>
          <a:chOff x="4046220" y="5029200"/>
          <a:chExt cx="601980" cy="228600"/>
        </a:xfrm>
      </xdr:grpSpPr>
      <xdr:cxnSp macro="">
        <xdr:nvCxnSpPr>
          <xdr:cNvPr id="2846" name="Gerader Verbinder 2845">
            <a:extLst>
              <a:ext uri="{FF2B5EF4-FFF2-40B4-BE49-F238E27FC236}">
                <a16:creationId xmlns:a16="http://schemas.microsoft.com/office/drawing/2014/main" id="{792186D5-B4E9-810D-68DF-44A7781014DC}"/>
              </a:ext>
            </a:extLst>
          </xdr:cNvPr>
          <xdr:cNvCxnSpPr/>
        </xdr:nvCxnSpPr>
        <xdr:spPr>
          <a:xfrm>
            <a:off x="4046220" y="502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47" name="Gerader Verbinder 2846">
            <a:extLst>
              <a:ext uri="{FF2B5EF4-FFF2-40B4-BE49-F238E27FC236}">
                <a16:creationId xmlns:a16="http://schemas.microsoft.com/office/drawing/2014/main" id="{E429CF1B-B765-40DA-D4BB-7DBDED1A9989}"/>
              </a:ext>
            </a:extLst>
          </xdr:cNvPr>
          <xdr:cNvCxnSpPr/>
        </xdr:nvCxnSpPr>
        <xdr:spPr>
          <a:xfrm flipH="1">
            <a:off x="4046220" y="502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23</xdr:row>
      <xdr:rowOff>0</xdr:rowOff>
    </xdr:from>
    <xdr:to>
      <xdr:col>7</xdr:col>
      <xdr:colOff>0</xdr:colOff>
      <xdr:row>24</xdr:row>
      <xdr:rowOff>0</xdr:rowOff>
    </xdr:to>
    <xdr:grpSp>
      <xdr:nvGrpSpPr>
        <xdr:cNvPr id="2851" name="Cross_G24">
          <a:extLst>
            <a:ext uri="{FF2B5EF4-FFF2-40B4-BE49-F238E27FC236}">
              <a16:creationId xmlns:a16="http://schemas.microsoft.com/office/drawing/2014/main" id="{9D176354-6DB9-2A07-D95C-3CE4462812A9}"/>
            </a:ext>
          </a:extLst>
        </xdr:cNvPr>
        <xdr:cNvGrpSpPr/>
      </xdr:nvGrpSpPr>
      <xdr:grpSpPr>
        <a:xfrm>
          <a:off x="4046220" y="5257800"/>
          <a:ext cx="601980" cy="228600"/>
          <a:chOff x="4046220" y="5257800"/>
          <a:chExt cx="601980" cy="228600"/>
        </a:xfrm>
      </xdr:grpSpPr>
      <xdr:cxnSp macro="">
        <xdr:nvCxnSpPr>
          <xdr:cNvPr id="2849" name="Gerader Verbinder 2848">
            <a:extLst>
              <a:ext uri="{FF2B5EF4-FFF2-40B4-BE49-F238E27FC236}">
                <a16:creationId xmlns:a16="http://schemas.microsoft.com/office/drawing/2014/main" id="{5955EC0C-2BFA-98F2-516E-8BECCFF994D4}"/>
              </a:ext>
            </a:extLst>
          </xdr:cNvPr>
          <xdr:cNvCxnSpPr/>
        </xdr:nvCxnSpPr>
        <xdr:spPr>
          <a:xfrm>
            <a:off x="4046220" y="5257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50" name="Gerader Verbinder 2849">
            <a:extLst>
              <a:ext uri="{FF2B5EF4-FFF2-40B4-BE49-F238E27FC236}">
                <a16:creationId xmlns:a16="http://schemas.microsoft.com/office/drawing/2014/main" id="{9CB61AA0-0F72-CD0F-678E-7B1EC3D56C20}"/>
              </a:ext>
            </a:extLst>
          </xdr:cNvPr>
          <xdr:cNvCxnSpPr/>
        </xdr:nvCxnSpPr>
        <xdr:spPr>
          <a:xfrm flipH="1">
            <a:off x="4046220" y="5257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2854" name="Cross_G25">
          <a:extLst>
            <a:ext uri="{FF2B5EF4-FFF2-40B4-BE49-F238E27FC236}">
              <a16:creationId xmlns:a16="http://schemas.microsoft.com/office/drawing/2014/main" id="{D6DD630E-61AD-897E-3D4D-F8F563C65415}"/>
            </a:ext>
          </a:extLst>
        </xdr:cNvPr>
        <xdr:cNvGrpSpPr/>
      </xdr:nvGrpSpPr>
      <xdr:grpSpPr>
        <a:xfrm>
          <a:off x="4046220" y="5486400"/>
          <a:ext cx="601980" cy="228600"/>
          <a:chOff x="4046220" y="5486400"/>
          <a:chExt cx="601980" cy="228600"/>
        </a:xfrm>
      </xdr:grpSpPr>
      <xdr:cxnSp macro="">
        <xdr:nvCxnSpPr>
          <xdr:cNvPr id="2852" name="Gerader Verbinder 2851">
            <a:extLst>
              <a:ext uri="{FF2B5EF4-FFF2-40B4-BE49-F238E27FC236}">
                <a16:creationId xmlns:a16="http://schemas.microsoft.com/office/drawing/2014/main" id="{4F658A47-4A95-318D-8D48-F388262698BF}"/>
              </a:ext>
            </a:extLst>
          </xdr:cNvPr>
          <xdr:cNvCxnSpPr/>
        </xdr:nvCxnSpPr>
        <xdr:spPr>
          <a:xfrm>
            <a:off x="4046220" y="5486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53" name="Gerader Verbinder 2852">
            <a:extLst>
              <a:ext uri="{FF2B5EF4-FFF2-40B4-BE49-F238E27FC236}">
                <a16:creationId xmlns:a16="http://schemas.microsoft.com/office/drawing/2014/main" id="{15FFF127-05D9-5458-723B-4D6197AB3EA9}"/>
              </a:ext>
            </a:extLst>
          </xdr:cNvPr>
          <xdr:cNvCxnSpPr/>
        </xdr:nvCxnSpPr>
        <xdr:spPr>
          <a:xfrm flipH="1">
            <a:off x="4046220" y="5486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2857" name="Cross_G26">
          <a:extLst>
            <a:ext uri="{FF2B5EF4-FFF2-40B4-BE49-F238E27FC236}">
              <a16:creationId xmlns:a16="http://schemas.microsoft.com/office/drawing/2014/main" id="{3E614890-5C6E-F094-691E-A287EA582722}"/>
            </a:ext>
          </a:extLst>
        </xdr:cNvPr>
        <xdr:cNvGrpSpPr/>
      </xdr:nvGrpSpPr>
      <xdr:grpSpPr>
        <a:xfrm>
          <a:off x="4046220" y="5715000"/>
          <a:ext cx="601980" cy="228600"/>
          <a:chOff x="4046220" y="5715000"/>
          <a:chExt cx="601980" cy="228600"/>
        </a:xfrm>
      </xdr:grpSpPr>
      <xdr:cxnSp macro="">
        <xdr:nvCxnSpPr>
          <xdr:cNvPr id="2855" name="Gerader Verbinder 2854">
            <a:extLst>
              <a:ext uri="{FF2B5EF4-FFF2-40B4-BE49-F238E27FC236}">
                <a16:creationId xmlns:a16="http://schemas.microsoft.com/office/drawing/2014/main" id="{025D230C-ADB8-3960-0FF2-3B4E1D86BF93}"/>
              </a:ext>
            </a:extLst>
          </xdr:cNvPr>
          <xdr:cNvCxnSpPr/>
        </xdr:nvCxnSpPr>
        <xdr:spPr>
          <a:xfrm>
            <a:off x="4046220" y="5715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56" name="Gerader Verbinder 2855">
            <a:extLst>
              <a:ext uri="{FF2B5EF4-FFF2-40B4-BE49-F238E27FC236}">
                <a16:creationId xmlns:a16="http://schemas.microsoft.com/office/drawing/2014/main" id="{66E863A2-1BB3-4A76-4D87-D6C0FC45E368}"/>
              </a:ext>
            </a:extLst>
          </xdr:cNvPr>
          <xdr:cNvCxnSpPr/>
        </xdr:nvCxnSpPr>
        <xdr:spPr>
          <a:xfrm flipH="1">
            <a:off x="4046220" y="5715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2860" name="Cross_G27">
          <a:extLst>
            <a:ext uri="{FF2B5EF4-FFF2-40B4-BE49-F238E27FC236}">
              <a16:creationId xmlns:a16="http://schemas.microsoft.com/office/drawing/2014/main" id="{27BAB36E-DE2C-BD4D-6565-66DA7AD677D3}"/>
            </a:ext>
          </a:extLst>
        </xdr:cNvPr>
        <xdr:cNvGrpSpPr/>
      </xdr:nvGrpSpPr>
      <xdr:grpSpPr>
        <a:xfrm>
          <a:off x="4046220" y="5943600"/>
          <a:ext cx="601980" cy="228600"/>
          <a:chOff x="4046220" y="5943600"/>
          <a:chExt cx="601980" cy="228600"/>
        </a:xfrm>
      </xdr:grpSpPr>
      <xdr:cxnSp macro="">
        <xdr:nvCxnSpPr>
          <xdr:cNvPr id="2858" name="Gerader Verbinder 2857">
            <a:extLst>
              <a:ext uri="{FF2B5EF4-FFF2-40B4-BE49-F238E27FC236}">
                <a16:creationId xmlns:a16="http://schemas.microsoft.com/office/drawing/2014/main" id="{F2515648-B54D-3AFF-529F-42C3428B245B}"/>
              </a:ext>
            </a:extLst>
          </xdr:cNvPr>
          <xdr:cNvCxnSpPr/>
        </xdr:nvCxnSpPr>
        <xdr:spPr>
          <a:xfrm>
            <a:off x="4046220" y="5943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59" name="Gerader Verbinder 2858">
            <a:extLst>
              <a:ext uri="{FF2B5EF4-FFF2-40B4-BE49-F238E27FC236}">
                <a16:creationId xmlns:a16="http://schemas.microsoft.com/office/drawing/2014/main" id="{EFF0FCC4-74B3-FAA3-403E-BDD87BC0FB9B}"/>
              </a:ext>
            </a:extLst>
          </xdr:cNvPr>
          <xdr:cNvCxnSpPr/>
        </xdr:nvCxnSpPr>
        <xdr:spPr>
          <a:xfrm flipH="1">
            <a:off x="4046220" y="5943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27</xdr:row>
      <xdr:rowOff>0</xdr:rowOff>
    </xdr:from>
    <xdr:to>
      <xdr:col>7</xdr:col>
      <xdr:colOff>0</xdr:colOff>
      <xdr:row>28</xdr:row>
      <xdr:rowOff>0</xdr:rowOff>
    </xdr:to>
    <xdr:grpSp>
      <xdr:nvGrpSpPr>
        <xdr:cNvPr id="2863" name="Cross_G28">
          <a:extLst>
            <a:ext uri="{FF2B5EF4-FFF2-40B4-BE49-F238E27FC236}">
              <a16:creationId xmlns:a16="http://schemas.microsoft.com/office/drawing/2014/main" id="{80E9EC1E-34DD-45A1-3BBF-03571796A379}"/>
            </a:ext>
          </a:extLst>
        </xdr:cNvPr>
        <xdr:cNvGrpSpPr/>
      </xdr:nvGrpSpPr>
      <xdr:grpSpPr>
        <a:xfrm>
          <a:off x="4046220" y="6172200"/>
          <a:ext cx="601980" cy="228600"/>
          <a:chOff x="4046220" y="6172200"/>
          <a:chExt cx="601980" cy="228600"/>
        </a:xfrm>
      </xdr:grpSpPr>
      <xdr:cxnSp macro="">
        <xdr:nvCxnSpPr>
          <xdr:cNvPr id="2861" name="Gerader Verbinder 2860">
            <a:extLst>
              <a:ext uri="{FF2B5EF4-FFF2-40B4-BE49-F238E27FC236}">
                <a16:creationId xmlns:a16="http://schemas.microsoft.com/office/drawing/2014/main" id="{49BB4536-B8B4-4DA9-C708-FC52B406CA09}"/>
              </a:ext>
            </a:extLst>
          </xdr:cNvPr>
          <xdr:cNvCxnSpPr/>
        </xdr:nvCxnSpPr>
        <xdr:spPr>
          <a:xfrm>
            <a:off x="4046220" y="6172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62" name="Gerader Verbinder 2861">
            <a:extLst>
              <a:ext uri="{FF2B5EF4-FFF2-40B4-BE49-F238E27FC236}">
                <a16:creationId xmlns:a16="http://schemas.microsoft.com/office/drawing/2014/main" id="{BC61BF28-276D-9467-8BA4-CFC4CFEE9D18}"/>
              </a:ext>
            </a:extLst>
          </xdr:cNvPr>
          <xdr:cNvCxnSpPr/>
        </xdr:nvCxnSpPr>
        <xdr:spPr>
          <a:xfrm flipH="1">
            <a:off x="4046220" y="6172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28</xdr:row>
      <xdr:rowOff>0</xdr:rowOff>
    </xdr:from>
    <xdr:to>
      <xdr:col>7</xdr:col>
      <xdr:colOff>0</xdr:colOff>
      <xdr:row>29</xdr:row>
      <xdr:rowOff>0</xdr:rowOff>
    </xdr:to>
    <xdr:grpSp>
      <xdr:nvGrpSpPr>
        <xdr:cNvPr id="2866" name="Cross_G29">
          <a:extLst>
            <a:ext uri="{FF2B5EF4-FFF2-40B4-BE49-F238E27FC236}">
              <a16:creationId xmlns:a16="http://schemas.microsoft.com/office/drawing/2014/main" id="{F5DDF3A9-8A9E-C4B8-C246-4B6456645344}"/>
            </a:ext>
          </a:extLst>
        </xdr:cNvPr>
        <xdr:cNvGrpSpPr/>
      </xdr:nvGrpSpPr>
      <xdr:grpSpPr>
        <a:xfrm>
          <a:off x="4046220" y="6400800"/>
          <a:ext cx="601980" cy="228600"/>
          <a:chOff x="4046220" y="6400800"/>
          <a:chExt cx="601980" cy="228600"/>
        </a:xfrm>
      </xdr:grpSpPr>
      <xdr:cxnSp macro="">
        <xdr:nvCxnSpPr>
          <xdr:cNvPr id="2864" name="Gerader Verbinder 2863">
            <a:extLst>
              <a:ext uri="{FF2B5EF4-FFF2-40B4-BE49-F238E27FC236}">
                <a16:creationId xmlns:a16="http://schemas.microsoft.com/office/drawing/2014/main" id="{C00E9908-35CB-7DFF-ECAF-034BAA08A324}"/>
              </a:ext>
            </a:extLst>
          </xdr:cNvPr>
          <xdr:cNvCxnSpPr/>
        </xdr:nvCxnSpPr>
        <xdr:spPr>
          <a:xfrm>
            <a:off x="4046220" y="6400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65" name="Gerader Verbinder 2864">
            <a:extLst>
              <a:ext uri="{FF2B5EF4-FFF2-40B4-BE49-F238E27FC236}">
                <a16:creationId xmlns:a16="http://schemas.microsoft.com/office/drawing/2014/main" id="{51A12AA4-2233-B73C-D58B-A62030D78A4F}"/>
              </a:ext>
            </a:extLst>
          </xdr:cNvPr>
          <xdr:cNvCxnSpPr/>
        </xdr:nvCxnSpPr>
        <xdr:spPr>
          <a:xfrm flipH="1">
            <a:off x="4046220" y="6400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2869" name="Cross_H7">
          <a:extLst>
            <a:ext uri="{FF2B5EF4-FFF2-40B4-BE49-F238E27FC236}">
              <a16:creationId xmlns:a16="http://schemas.microsoft.com/office/drawing/2014/main" id="{8FBA0E44-7758-3042-7506-41C4558E9901}"/>
            </a:ext>
          </a:extLst>
        </xdr:cNvPr>
        <xdr:cNvGrpSpPr/>
      </xdr:nvGrpSpPr>
      <xdr:grpSpPr>
        <a:xfrm>
          <a:off x="4648200" y="1371600"/>
          <a:ext cx="601980" cy="228600"/>
          <a:chOff x="4648200" y="1371600"/>
          <a:chExt cx="601980" cy="228600"/>
        </a:xfrm>
      </xdr:grpSpPr>
      <xdr:cxnSp macro="">
        <xdr:nvCxnSpPr>
          <xdr:cNvPr id="2867" name="Gerader Verbinder 2866">
            <a:extLst>
              <a:ext uri="{FF2B5EF4-FFF2-40B4-BE49-F238E27FC236}">
                <a16:creationId xmlns:a16="http://schemas.microsoft.com/office/drawing/2014/main" id="{B91C4DF9-C108-8720-27C7-CA2B82DD1A7C}"/>
              </a:ext>
            </a:extLst>
          </xdr:cNvPr>
          <xdr:cNvCxnSpPr/>
        </xdr:nvCxnSpPr>
        <xdr:spPr>
          <a:xfrm>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68" name="Gerader Verbinder 2867">
            <a:extLst>
              <a:ext uri="{FF2B5EF4-FFF2-40B4-BE49-F238E27FC236}">
                <a16:creationId xmlns:a16="http://schemas.microsoft.com/office/drawing/2014/main" id="{18873C36-6AA9-18E5-7806-0DEB63B78072}"/>
              </a:ext>
            </a:extLst>
          </xdr:cNvPr>
          <xdr:cNvCxnSpPr/>
        </xdr:nvCxnSpPr>
        <xdr:spPr>
          <a:xfrm flipH="1">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2872" name="Cross_H8">
          <a:extLst>
            <a:ext uri="{FF2B5EF4-FFF2-40B4-BE49-F238E27FC236}">
              <a16:creationId xmlns:a16="http://schemas.microsoft.com/office/drawing/2014/main" id="{4612C148-62BB-D463-E4CC-64403A72A347}"/>
            </a:ext>
          </a:extLst>
        </xdr:cNvPr>
        <xdr:cNvGrpSpPr/>
      </xdr:nvGrpSpPr>
      <xdr:grpSpPr>
        <a:xfrm>
          <a:off x="4648200" y="1600200"/>
          <a:ext cx="601980" cy="228600"/>
          <a:chOff x="4648200" y="1600200"/>
          <a:chExt cx="601980" cy="228600"/>
        </a:xfrm>
      </xdr:grpSpPr>
      <xdr:cxnSp macro="">
        <xdr:nvCxnSpPr>
          <xdr:cNvPr id="2870" name="Gerader Verbinder 2869">
            <a:extLst>
              <a:ext uri="{FF2B5EF4-FFF2-40B4-BE49-F238E27FC236}">
                <a16:creationId xmlns:a16="http://schemas.microsoft.com/office/drawing/2014/main" id="{502535EE-F842-DD25-8C4F-FBDFFBDC512B}"/>
              </a:ext>
            </a:extLst>
          </xdr:cNvPr>
          <xdr:cNvCxnSpPr/>
        </xdr:nvCxnSpPr>
        <xdr:spPr>
          <a:xfrm>
            <a:off x="4648200" y="1600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71" name="Gerader Verbinder 2870">
            <a:extLst>
              <a:ext uri="{FF2B5EF4-FFF2-40B4-BE49-F238E27FC236}">
                <a16:creationId xmlns:a16="http://schemas.microsoft.com/office/drawing/2014/main" id="{0BFC05D1-119D-520D-1EC7-572134DF5564}"/>
              </a:ext>
            </a:extLst>
          </xdr:cNvPr>
          <xdr:cNvCxnSpPr/>
        </xdr:nvCxnSpPr>
        <xdr:spPr>
          <a:xfrm flipH="1">
            <a:off x="4648200" y="1600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2875" name="Cross_H9">
          <a:extLst>
            <a:ext uri="{FF2B5EF4-FFF2-40B4-BE49-F238E27FC236}">
              <a16:creationId xmlns:a16="http://schemas.microsoft.com/office/drawing/2014/main" id="{4CA073B1-3252-B0DD-62C8-38B931D8CBC8}"/>
            </a:ext>
          </a:extLst>
        </xdr:cNvPr>
        <xdr:cNvGrpSpPr/>
      </xdr:nvGrpSpPr>
      <xdr:grpSpPr>
        <a:xfrm>
          <a:off x="4648200" y="1828800"/>
          <a:ext cx="601980" cy="228600"/>
          <a:chOff x="4648200" y="1828800"/>
          <a:chExt cx="601980" cy="228600"/>
        </a:xfrm>
      </xdr:grpSpPr>
      <xdr:cxnSp macro="">
        <xdr:nvCxnSpPr>
          <xdr:cNvPr id="2873" name="Gerader Verbinder 2872">
            <a:extLst>
              <a:ext uri="{FF2B5EF4-FFF2-40B4-BE49-F238E27FC236}">
                <a16:creationId xmlns:a16="http://schemas.microsoft.com/office/drawing/2014/main" id="{08706330-A6B1-9440-C79C-3EB2730D9A1C}"/>
              </a:ext>
            </a:extLst>
          </xdr:cNvPr>
          <xdr:cNvCxnSpPr/>
        </xdr:nvCxnSpPr>
        <xdr:spPr>
          <a:xfrm>
            <a:off x="4648200" y="1828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74" name="Gerader Verbinder 2873">
            <a:extLst>
              <a:ext uri="{FF2B5EF4-FFF2-40B4-BE49-F238E27FC236}">
                <a16:creationId xmlns:a16="http://schemas.microsoft.com/office/drawing/2014/main" id="{1CE53A0B-AE18-E572-26E3-A27EDA0854C0}"/>
              </a:ext>
            </a:extLst>
          </xdr:cNvPr>
          <xdr:cNvCxnSpPr/>
        </xdr:nvCxnSpPr>
        <xdr:spPr>
          <a:xfrm flipH="1">
            <a:off x="4648200" y="1828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2878" name="Cross_H11">
          <a:extLst>
            <a:ext uri="{FF2B5EF4-FFF2-40B4-BE49-F238E27FC236}">
              <a16:creationId xmlns:a16="http://schemas.microsoft.com/office/drawing/2014/main" id="{982A0717-9F7A-EAE3-B72B-DCB36863BF69}"/>
            </a:ext>
          </a:extLst>
        </xdr:cNvPr>
        <xdr:cNvGrpSpPr/>
      </xdr:nvGrpSpPr>
      <xdr:grpSpPr>
        <a:xfrm>
          <a:off x="4648200" y="2286000"/>
          <a:ext cx="601980" cy="228600"/>
          <a:chOff x="4648200" y="2286000"/>
          <a:chExt cx="601980" cy="228600"/>
        </a:xfrm>
      </xdr:grpSpPr>
      <xdr:cxnSp macro="">
        <xdr:nvCxnSpPr>
          <xdr:cNvPr id="2876" name="Gerader Verbinder 2875">
            <a:extLst>
              <a:ext uri="{FF2B5EF4-FFF2-40B4-BE49-F238E27FC236}">
                <a16:creationId xmlns:a16="http://schemas.microsoft.com/office/drawing/2014/main" id="{4F757B01-4506-4787-F76A-0959B51EC36B}"/>
              </a:ext>
            </a:extLst>
          </xdr:cNvPr>
          <xdr:cNvCxnSpPr/>
        </xdr:nvCxnSpPr>
        <xdr:spPr>
          <a:xfrm>
            <a:off x="4648200" y="2286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77" name="Gerader Verbinder 2876">
            <a:extLst>
              <a:ext uri="{FF2B5EF4-FFF2-40B4-BE49-F238E27FC236}">
                <a16:creationId xmlns:a16="http://schemas.microsoft.com/office/drawing/2014/main" id="{F3F0D4F3-D6DE-34BB-52D4-6B20078D9983}"/>
              </a:ext>
            </a:extLst>
          </xdr:cNvPr>
          <xdr:cNvCxnSpPr/>
        </xdr:nvCxnSpPr>
        <xdr:spPr>
          <a:xfrm flipH="1">
            <a:off x="4648200" y="2286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12</xdr:row>
      <xdr:rowOff>0</xdr:rowOff>
    </xdr:from>
    <xdr:to>
      <xdr:col>8</xdr:col>
      <xdr:colOff>0</xdr:colOff>
      <xdr:row>13</xdr:row>
      <xdr:rowOff>0</xdr:rowOff>
    </xdr:to>
    <xdr:grpSp>
      <xdr:nvGrpSpPr>
        <xdr:cNvPr id="2881" name="Cross_H13">
          <a:extLst>
            <a:ext uri="{FF2B5EF4-FFF2-40B4-BE49-F238E27FC236}">
              <a16:creationId xmlns:a16="http://schemas.microsoft.com/office/drawing/2014/main" id="{126880B5-DF62-E3E4-C373-B5245E42A819}"/>
            </a:ext>
          </a:extLst>
        </xdr:cNvPr>
        <xdr:cNvGrpSpPr/>
      </xdr:nvGrpSpPr>
      <xdr:grpSpPr>
        <a:xfrm>
          <a:off x="4648200" y="2743200"/>
          <a:ext cx="601980" cy="228600"/>
          <a:chOff x="4648200" y="2743200"/>
          <a:chExt cx="601980" cy="228600"/>
        </a:xfrm>
      </xdr:grpSpPr>
      <xdr:cxnSp macro="">
        <xdr:nvCxnSpPr>
          <xdr:cNvPr id="2879" name="Gerader Verbinder 2878">
            <a:extLst>
              <a:ext uri="{FF2B5EF4-FFF2-40B4-BE49-F238E27FC236}">
                <a16:creationId xmlns:a16="http://schemas.microsoft.com/office/drawing/2014/main" id="{0188E992-B684-39AF-A475-B55DFEB1B950}"/>
              </a:ext>
            </a:extLst>
          </xdr:cNvPr>
          <xdr:cNvCxnSpPr/>
        </xdr:nvCxnSpPr>
        <xdr:spPr>
          <a:xfrm>
            <a:off x="4648200" y="2743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80" name="Gerader Verbinder 2879">
            <a:extLst>
              <a:ext uri="{FF2B5EF4-FFF2-40B4-BE49-F238E27FC236}">
                <a16:creationId xmlns:a16="http://schemas.microsoft.com/office/drawing/2014/main" id="{CEA6038E-E44D-C55B-B85D-1024FD4E4043}"/>
              </a:ext>
            </a:extLst>
          </xdr:cNvPr>
          <xdr:cNvCxnSpPr/>
        </xdr:nvCxnSpPr>
        <xdr:spPr>
          <a:xfrm flipH="1">
            <a:off x="4648200" y="2743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13</xdr:row>
      <xdr:rowOff>0</xdr:rowOff>
    </xdr:from>
    <xdr:to>
      <xdr:col>8</xdr:col>
      <xdr:colOff>0</xdr:colOff>
      <xdr:row>14</xdr:row>
      <xdr:rowOff>0</xdr:rowOff>
    </xdr:to>
    <xdr:grpSp>
      <xdr:nvGrpSpPr>
        <xdr:cNvPr id="2884" name="Cross_H14">
          <a:extLst>
            <a:ext uri="{FF2B5EF4-FFF2-40B4-BE49-F238E27FC236}">
              <a16:creationId xmlns:a16="http://schemas.microsoft.com/office/drawing/2014/main" id="{32B6FCB5-2CB3-71EA-CDA0-E6DAA0266BBD}"/>
            </a:ext>
          </a:extLst>
        </xdr:cNvPr>
        <xdr:cNvGrpSpPr/>
      </xdr:nvGrpSpPr>
      <xdr:grpSpPr>
        <a:xfrm>
          <a:off x="4648200" y="2971800"/>
          <a:ext cx="601980" cy="228600"/>
          <a:chOff x="4648200" y="2971800"/>
          <a:chExt cx="601980" cy="228600"/>
        </a:xfrm>
      </xdr:grpSpPr>
      <xdr:cxnSp macro="">
        <xdr:nvCxnSpPr>
          <xdr:cNvPr id="2882" name="Gerader Verbinder 2881">
            <a:extLst>
              <a:ext uri="{FF2B5EF4-FFF2-40B4-BE49-F238E27FC236}">
                <a16:creationId xmlns:a16="http://schemas.microsoft.com/office/drawing/2014/main" id="{3EEC2BC4-48C4-0FB2-948A-4F1242DB5350}"/>
              </a:ext>
            </a:extLst>
          </xdr:cNvPr>
          <xdr:cNvCxnSpPr/>
        </xdr:nvCxnSpPr>
        <xdr:spPr>
          <a:xfrm>
            <a:off x="4648200" y="2971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83" name="Gerader Verbinder 2882">
            <a:extLst>
              <a:ext uri="{FF2B5EF4-FFF2-40B4-BE49-F238E27FC236}">
                <a16:creationId xmlns:a16="http://schemas.microsoft.com/office/drawing/2014/main" id="{76F9484F-49D5-43DC-78CC-11D9E617A48F}"/>
              </a:ext>
            </a:extLst>
          </xdr:cNvPr>
          <xdr:cNvCxnSpPr/>
        </xdr:nvCxnSpPr>
        <xdr:spPr>
          <a:xfrm flipH="1">
            <a:off x="4648200" y="2971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14</xdr:row>
      <xdr:rowOff>0</xdr:rowOff>
    </xdr:from>
    <xdr:to>
      <xdr:col>8</xdr:col>
      <xdr:colOff>0</xdr:colOff>
      <xdr:row>15</xdr:row>
      <xdr:rowOff>0</xdr:rowOff>
    </xdr:to>
    <xdr:grpSp>
      <xdr:nvGrpSpPr>
        <xdr:cNvPr id="2887" name="Cross_H15">
          <a:extLst>
            <a:ext uri="{FF2B5EF4-FFF2-40B4-BE49-F238E27FC236}">
              <a16:creationId xmlns:a16="http://schemas.microsoft.com/office/drawing/2014/main" id="{DCCB6B98-0971-39E5-BA38-78C9EEDB744D}"/>
            </a:ext>
          </a:extLst>
        </xdr:cNvPr>
        <xdr:cNvGrpSpPr/>
      </xdr:nvGrpSpPr>
      <xdr:grpSpPr>
        <a:xfrm>
          <a:off x="4648200" y="3200400"/>
          <a:ext cx="601980" cy="228600"/>
          <a:chOff x="4648200" y="3200400"/>
          <a:chExt cx="601980" cy="228600"/>
        </a:xfrm>
      </xdr:grpSpPr>
      <xdr:cxnSp macro="">
        <xdr:nvCxnSpPr>
          <xdr:cNvPr id="2885" name="Gerader Verbinder 2884">
            <a:extLst>
              <a:ext uri="{FF2B5EF4-FFF2-40B4-BE49-F238E27FC236}">
                <a16:creationId xmlns:a16="http://schemas.microsoft.com/office/drawing/2014/main" id="{7C83DD56-5502-7EBD-CF05-82BA197D57DB}"/>
              </a:ext>
            </a:extLst>
          </xdr:cNvPr>
          <xdr:cNvCxnSpPr/>
        </xdr:nvCxnSpPr>
        <xdr:spPr>
          <a:xfrm>
            <a:off x="4648200" y="320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86" name="Gerader Verbinder 2885">
            <a:extLst>
              <a:ext uri="{FF2B5EF4-FFF2-40B4-BE49-F238E27FC236}">
                <a16:creationId xmlns:a16="http://schemas.microsoft.com/office/drawing/2014/main" id="{34AC0950-5950-869E-4711-C1DD089A6EFD}"/>
              </a:ext>
            </a:extLst>
          </xdr:cNvPr>
          <xdr:cNvCxnSpPr/>
        </xdr:nvCxnSpPr>
        <xdr:spPr>
          <a:xfrm flipH="1">
            <a:off x="4648200" y="320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2890" name="Cross_H16">
          <a:extLst>
            <a:ext uri="{FF2B5EF4-FFF2-40B4-BE49-F238E27FC236}">
              <a16:creationId xmlns:a16="http://schemas.microsoft.com/office/drawing/2014/main" id="{95DCB44F-97DE-279A-DBB5-C457C183E098}"/>
            </a:ext>
          </a:extLst>
        </xdr:cNvPr>
        <xdr:cNvGrpSpPr/>
      </xdr:nvGrpSpPr>
      <xdr:grpSpPr>
        <a:xfrm>
          <a:off x="4648200" y="3429000"/>
          <a:ext cx="601980" cy="228600"/>
          <a:chOff x="4648200" y="3429000"/>
          <a:chExt cx="601980" cy="228600"/>
        </a:xfrm>
      </xdr:grpSpPr>
      <xdr:cxnSp macro="">
        <xdr:nvCxnSpPr>
          <xdr:cNvPr id="2888" name="Gerader Verbinder 2887">
            <a:extLst>
              <a:ext uri="{FF2B5EF4-FFF2-40B4-BE49-F238E27FC236}">
                <a16:creationId xmlns:a16="http://schemas.microsoft.com/office/drawing/2014/main" id="{5F728F9D-9257-B822-4535-1BB2547383BD}"/>
              </a:ext>
            </a:extLst>
          </xdr:cNvPr>
          <xdr:cNvCxnSpPr/>
        </xdr:nvCxnSpPr>
        <xdr:spPr>
          <a:xfrm>
            <a:off x="4648200" y="3429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89" name="Gerader Verbinder 2888">
            <a:extLst>
              <a:ext uri="{FF2B5EF4-FFF2-40B4-BE49-F238E27FC236}">
                <a16:creationId xmlns:a16="http://schemas.microsoft.com/office/drawing/2014/main" id="{E8F91AED-531D-F984-1D03-DB413ECB9AE1}"/>
              </a:ext>
            </a:extLst>
          </xdr:cNvPr>
          <xdr:cNvCxnSpPr/>
        </xdr:nvCxnSpPr>
        <xdr:spPr>
          <a:xfrm flipH="1">
            <a:off x="4648200" y="3429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2893" name="Cross_H17">
          <a:extLst>
            <a:ext uri="{FF2B5EF4-FFF2-40B4-BE49-F238E27FC236}">
              <a16:creationId xmlns:a16="http://schemas.microsoft.com/office/drawing/2014/main" id="{69095136-EE22-08B7-1EFA-DCEF759A1F1E}"/>
            </a:ext>
          </a:extLst>
        </xdr:cNvPr>
        <xdr:cNvGrpSpPr/>
      </xdr:nvGrpSpPr>
      <xdr:grpSpPr>
        <a:xfrm>
          <a:off x="4648200" y="3657600"/>
          <a:ext cx="601980" cy="228600"/>
          <a:chOff x="4648200" y="3657600"/>
          <a:chExt cx="601980" cy="228600"/>
        </a:xfrm>
      </xdr:grpSpPr>
      <xdr:cxnSp macro="">
        <xdr:nvCxnSpPr>
          <xdr:cNvPr id="2891" name="Gerader Verbinder 2890">
            <a:extLst>
              <a:ext uri="{FF2B5EF4-FFF2-40B4-BE49-F238E27FC236}">
                <a16:creationId xmlns:a16="http://schemas.microsoft.com/office/drawing/2014/main" id="{BD89A836-733A-FCCE-8E10-68F58F5C01E2}"/>
              </a:ext>
            </a:extLst>
          </xdr:cNvPr>
          <xdr:cNvCxnSpPr/>
        </xdr:nvCxnSpPr>
        <xdr:spPr>
          <a:xfrm>
            <a:off x="4648200" y="3657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92" name="Gerader Verbinder 2891">
            <a:extLst>
              <a:ext uri="{FF2B5EF4-FFF2-40B4-BE49-F238E27FC236}">
                <a16:creationId xmlns:a16="http://schemas.microsoft.com/office/drawing/2014/main" id="{EB9A30D8-116F-746E-C650-EEEED4212469}"/>
              </a:ext>
            </a:extLst>
          </xdr:cNvPr>
          <xdr:cNvCxnSpPr/>
        </xdr:nvCxnSpPr>
        <xdr:spPr>
          <a:xfrm flipH="1">
            <a:off x="4648200" y="3657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2896" name="Cross_H18">
          <a:extLst>
            <a:ext uri="{FF2B5EF4-FFF2-40B4-BE49-F238E27FC236}">
              <a16:creationId xmlns:a16="http://schemas.microsoft.com/office/drawing/2014/main" id="{C0531CCD-21D3-CCA1-329D-6F99374DEB8F}"/>
            </a:ext>
          </a:extLst>
        </xdr:cNvPr>
        <xdr:cNvGrpSpPr/>
      </xdr:nvGrpSpPr>
      <xdr:grpSpPr>
        <a:xfrm>
          <a:off x="4648200" y="3886200"/>
          <a:ext cx="601980" cy="228600"/>
          <a:chOff x="4648200" y="3886200"/>
          <a:chExt cx="601980" cy="228600"/>
        </a:xfrm>
      </xdr:grpSpPr>
      <xdr:cxnSp macro="">
        <xdr:nvCxnSpPr>
          <xdr:cNvPr id="2894" name="Gerader Verbinder 2893">
            <a:extLst>
              <a:ext uri="{FF2B5EF4-FFF2-40B4-BE49-F238E27FC236}">
                <a16:creationId xmlns:a16="http://schemas.microsoft.com/office/drawing/2014/main" id="{E387EE88-B584-D11D-C9A5-8382BA36EA52}"/>
              </a:ext>
            </a:extLst>
          </xdr:cNvPr>
          <xdr:cNvCxnSpPr/>
        </xdr:nvCxnSpPr>
        <xdr:spPr>
          <a:xfrm>
            <a:off x="4648200" y="3886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95" name="Gerader Verbinder 2894">
            <a:extLst>
              <a:ext uri="{FF2B5EF4-FFF2-40B4-BE49-F238E27FC236}">
                <a16:creationId xmlns:a16="http://schemas.microsoft.com/office/drawing/2014/main" id="{6B7ACA11-DFF4-B04E-8A47-D81D721C0A5B}"/>
              </a:ext>
            </a:extLst>
          </xdr:cNvPr>
          <xdr:cNvCxnSpPr/>
        </xdr:nvCxnSpPr>
        <xdr:spPr>
          <a:xfrm flipH="1">
            <a:off x="4648200" y="3886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2899" name="Cross_H19">
          <a:extLst>
            <a:ext uri="{FF2B5EF4-FFF2-40B4-BE49-F238E27FC236}">
              <a16:creationId xmlns:a16="http://schemas.microsoft.com/office/drawing/2014/main" id="{31AB2D88-89C9-93D9-7B41-F17F2B012B5B}"/>
            </a:ext>
          </a:extLst>
        </xdr:cNvPr>
        <xdr:cNvGrpSpPr/>
      </xdr:nvGrpSpPr>
      <xdr:grpSpPr>
        <a:xfrm>
          <a:off x="4648200" y="4114800"/>
          <a:ext cx="601980" cy="228600"/>
          <a:chOff x="4648200" y="4114800"/>
          <a:chExt cx="601980" cy="228600"/>
        </a:xfrm>
      </xdr:grpSpPr>
      <xdr:cxnSp macro="">
        <xdr:nvCxnSpPr>
          <xdr:cNvPr id="2897" name="Gerader Verbinder 2896">
            <a:extLst>
              <a:ext uri="{FF2B5EF4-FFF2-40B4-BE49-F238E27FC236}">
                <a16:creationId xmlns:a16="http://schemas.microsoft.com/office/drawing/2014/main" id="{C4DEC361-0DCD-3C31-9B05-F901D37BE660}"/>
              </a:ext>
            </a:extLst>
          </xdr:cNvPr>
          <xdr:cNvCxnSpPr/>
        </xdr:nvCxnSpPr>
        <xdr:spPr>
          <a:xfrm>
            <a:off x="4648200" y="4114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98" name="Gerader Verbinder 2897">
            <a:extLst>
              <a:ext uri="{FF2B5EF4-FFF2-40B4-BE49-F238E27FC236}">
                <a16:creationId xmlns:a16="http://schemas.microsoft.com/office/drawing/2014/main" id="{875CDE3D-7667-29E9-6BA5-7BCDFB95D619}"/>
              </a:ext>
            </a:extLst>
          </xdr:cNvPr>
          <xdr:cNvCxnSpPr/>
        </xdr:nvCxnSpPr>
        <xdr:spPr>
          <a:xfrm flipH="1">
            <a:off x="4648200" y="4114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2902" name="Cross_H20">
          <a:extLst>
            <a:ext uri="{FF2B5EF4-FFF2-40B4-BE49-F238E27FC236}">
              <a16:creationId xmlns:a16="http://schemas.microsoft.com/office/drawing/2014/main" id="{2F06347D-E7A4-177A-191D-B4F597B8228C}"/>
            </a:ext>
          </a:extLst>
        </xdr:cNvPr>
        <xdr:cNvGrpSpPr/>
      </xdr:nvGrpSpPr>
      <xdr:grpSpPr>
        <a:xfrm>
          <a:off x="4648200" y="4343400"/>
          <a:ext cx="601980" cy="228600"/>
          <a:chOff x="4648200" y="4343400"/>
          <a:chExt cx="601980" cy="228600"/>
        </a:xfrm>
      </xdr:grpSpPr>
      <xdr:cxnSp macro="">
        <xdr:nvCxnSpPr>
          <xdr:cNvPr id="2900" name="Gerader Verbinder 2899">
            <a:extLst>
              <a:ext uri="{FF2B5EF4-FFF2-40B4-BE49-F238E27FC236}">
                <a16:creationId xmlns:a16="http://schemas.microsoft.com/office/drawing/2014/main" id="{1C24384A-5B98-22B2-3CB5-7B0F6A6777E4}"/>
              </a:ext>
            </a:extLst>
          </xdr:cNvPr>
          <xdr:cNvCxnSpPr/>
        </xdr:nvCxnSpPr>
        <xdr:spPr>
          <a:xfrm>
            <a:off x="4648200" y="4343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01" name="Gerader Verbinder 2900">
            <a:extLst>
              <a:ext uri="{FF2B5EF4-FFF2-40B4-BE49-F238E27FC236}">
                <a16:creationId xmlns:a16="http://schemas.microsoft.com/office/drawing/2014/main" id="{3F2C240A-5EB2-8490-753C-4471A9D9B3B2}"/>
              </a:ext>
            </a:extLst>
          </xdr:cNvPr>
          <xdr:cNvCxnSpPr/>
        </xdr:nvCxnSpPr>
        <xdr:spPr>
          <a:xfrm flipH="1">
            <a:off x="4648200" y="4343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2905" name="Cross_H21">
          <a:extLst>
            <a:ext uri="{FF2B5EF4-FFF2-40B4-BE49-F238E27FC236}">
              <a16:creationId xmlns:a16="http://schemas.microsoft.com/office/drawing/2014/main" id="{7DD4E1ED-156C-6021-72A6-9C6D248A72E5}"/>
            </a:ext>
          </a:extLst>
        </xdr:cNvPr>
        <xdr:cNvGrpSpPr/>
      </xdr:nvGrpSpPr>
      <xdr:grpSpPr>
        <a:xfrm>
          <a:off x="4648200" y="4572000"/>
          <a:ext cx="601980" cy="228600"/>
          <a:chOff x="4648200" y="4572000"/>
          <a:chExt cx="601980" cy="228600"/>
        </a:xfrm>
      </xdr:grpSpPr>
      <xdr:cxnSp macro="">
        <xdr:nvCxnSpPr>
          <xdr:cNvPr id="2903" name="Gerader Verbinder 2902">
            <a:extLst>
              <a:ext uri="{FF2B5EF4-FFF2-40B4-BE49-F238E27FC236}">
                <a16:creationId xmlns:a16="http://schemas.microsoft.com/office/drawing/2014/main" id="{61A10BFB-9ED2-6051-DC09-18A6BFDEED8E}"/>
              </a:ext>
            </a:extLst>
          </xdr:cNvPr>
          <xdr:cNvCxnSpPr/>
        </xdr:nvCxnSpPr>
        <xdr:spPr>
          <a:xfrm>
            <a:off x="4648200" y="4572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04" name="Gerader Verbinder 2903">
            <a:extLst>
              <a:ext uri="{FF2B5EF4-FFF2-40B4-BE49-F238E27FC236}">
                <a16:creationId xmlns:a16="http://schemas.microsoft.com/office/drawing/2014/main" id="{02CA7CD4-F778-06E0-3FED-D33D8BFD24A4}"/>
              </a:ext>
            </a:extLst>
          </xdr:cNvPr>
          <xdr:cNvCxnSpPr/>
        </xdr:nvCxnSpPr>
        <xdr:spPr>
          <a:xfrm flipH="1">
            <a:off x="4648200" y="4572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2908" name="Cross_H22">
          <a:extLst>
            <a:ext uri="{FF2B5EF4-FFF2-40B4-BE49-F238E27FC236}">
              <a16:creationId xmlns:a16="http://schemas.microsoft.com/office/drawing/2014/main" id="{73E3D08B-FC86-68EC-EA76-4B96C8D4CBE1}"/>
            </a:ext>
          </a:extLst>
        </xdr:cNvPr>
        <xdr:cNvGrpSpPr/>
      </xdr:nvGrpSpPr>
      <xdr:grpSpPr>
        <a:xfrm>
          <a:off x="4648200" y="4800600"/>
          <a:ext cx="601980" cy="228600"/>
          <a:chOff x="4648200" y="4800600"/>
          <a:chExt cx="601980" cy="228600"/>
        </a:xfrm>
      </xdr:grpSpPr>
      <xdr:cxnSp macro="">
        <xdr:nvCxnSpPr>
          <xdr:cNvPr id="2906" name="Gerader Verbinder 2905">
            <a:extLst>
              <a:ext uri="{FF2B5EF4-FFF2-40B4-BE49-F238E27FC236}">
                <a16:creationId xmlns:a16="http://schemas.microsoft.com/office/drawing/2014/main" id="{A744132A-89E2-E7DB-1177-B3994B4DC28D}"/>
              </a:ext>
            </a:extLst>
          </xdr:cNvPr>
          <xdr:cNvCxnSpPr/>
        </xdr:nvCxnSpPr>
        <xdr:spPr>
          <a:xfrm>
            <a:off x="4648200" y="4800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07" name="Gerader Verbinder 2906">
            <a:extLst>
              <a:ext uri="{FF2B5EF4-FFF2-40B4-BE49-F238E27FC236}">
                <a16:creationId xmlns:a16="http://schemas.microsoft.com/office/drawing/2014/main" id="{0BBFD55D-04D0-C86A-02A4-DC4840F5DC28}"/>
              </a:ext>
            </a:extLst>
          </xdr:cNvPr>
          <xdr:cNvCxnSpPr/>
        </xdr:nvCxnSpPr>
        <xdr:spPr>
          <a:xfrm flipH="1">
            <a:off x="4648200" y="4800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2911" name="Cross_H23">
          <a:extLst>
            <a:ext uri="{FF2B5EF4-FFF2-40B4-BE49-F238E27FC236}">
              <a16:creationId xmlns:a16="http://schemas.microsoft.com/office/drawing/2014/main" id="{DF71FC50-B3BC-EF0F-7BFC-4B83BE144D6F}"/>
            </a:ext>
          </a:extLst>
        </xdr:cNvPr>
        <xdr:cNvGrpSpPr/>
      </xdr:nvGrpSpPr>
      <xdr:grpSpPr>
        <a:xfrm>
          <a:off x="4648200" y="5029200"/>
          <a:ext cx="601980" cy="228600"/>
          <a:chOff x="4648200" y="5029200"/>
          <a:chExt cx="601980" cy="228600"/>
        </a:xfrm>
      </xdr:grpSpPr>
      <xdr:cxnSp macro="">
        <xdr:nvCxnSpPr>
          <xdr:cNvPr id="2909" name="Gerader Verbinder 2908">
            <a:extLst>
              <a:ext uri="{FF2B5EF4-FFF2-40B4-BE49-F238E27FC236}">
                <a16:creationId xmlns:a16="http://schemas.microsoft.com/office/drawing/2014/main" id="{DD4EF249-1323-0527-9705-222C53DA588C}"/>
              </a:ext>
            </a:extLst>
          </xdr:cNvPr>
          <xdr:cNvCxnSpPr/>
        </xdr:nvCxnSpPr>
        <xdr:spPr>
          <a:xfrm>
            <a:off x="4648200" y="502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10" name="Gerader Verbinder 2909">
            <a:extLst>
              <a:ext uri="{FF2B5EF4-FFF2-40B4-BE49-F238E27FC236}">
                <a16:creationId xmlns:a16="http://schemas.microsoft.com/office/drawing/2014/main" id="{10FC1DB1-BC31-4249-F38B-0897AF52AC63}"/>
              </a:ext>
            </a:extLst>
          </xdr:cNvPr>
          <xdr:cNvCxnSpPr/>
        </xdr:nvCxnSpPr>
        <xdr:spPr>
          <a:xfrm flipH="1">
            <a:off x="4648200" y="502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2914" name="Cross_H24">
          <a:extLst>
            <a:ext uri="{FF2B5EF4-FFF2-40B4-BE49-F238E27FC236}">
              <a16:creationId xmlns:a16="http://schemas.microsoft.com/office/drawing/2014/main" id="{EC49CC82-6E81-DED3-56DD-79321A3BE99D}"/>
            </a:ext>
          </a:extLst>
        </xdr:cNvPr>
        <xdr:cNvGrpSpPr/>
      </xdr:nvGrpSpPr>
      <xdr:grpSpPr>
        <a:xfrm>
          <a:off x="4648200" y="5257800"/>
          <a:ext cx="601980" cy="228600"/>
          <a:chOff x="4648200" y="5257800"/>
          <a:chExt cx="601980" cy="228600"/>
        </a:xfrm>
      </xdr:grpSpPr>
      <xdr:cxnSp macro="">
        <xdr:nvCxnSpPr>
          <xdr:cNvPr id="2912" name="Gerader Verbinder 2911">
            <a:extLst>
              <a:ext uri="{FF2B5EF4-FFF2-40B4-BE49-F238E27FC236}">
                <a16:creationId xmlns:a16="http://schemas.microsoft.com/office/drawing/2014/main" id="{632B62E2-50FA-AFDE-B5AA-81B9F0463F73}"/>
              </a:ext>
            </a:extLst>
          </xdr:cNvPr>
          <xdr:cNvCxnSpPr/>
        </xdr:nvCxnSpPr>
        <xdr:spPr>
          <a:xfrm>
            <a:off x="4648200" y="5257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13" name="Gerader Verbinder 2912">
            <a:extLst>
              <a:ext uri="{FF2B5EF4-FFF2-40B4-BE49-F238E27FC236}">
                <a16:creationId xmlns:a16="http://schemas.microsoft.com/office/drawing/2014/main" id="{7B9D214A-7886-100A-38AA-40436B82974E}"/>
              </a:ext>
            </a:extLst>
          </xdr:cNvPr>
          <xdr:cNvCxnSpPr/>
        </xdr:nvCxnSpPr>
        <xdr:spPr>
          <a:xfrm flipH="1">
            <a:off x="4648200" y="5257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24</xdr:row>
      <xdr:rowOff>0</xdr:rowOff>
    </xdr:from>
    <xdr:to>
      <xdr:col>8</xdr:col>
      <xdr:colOff>0</xdr:colOff>
      <xdr:row>25</xdr:row>
      <xdr:rowOff>0</xdr:rowOff>
    </xdr:to>
    <xdr:grpSp>
      <xdr:nvGrpSpPr>
        <xdr:cNvPr id="2917" name="Cross_H25">
          <a:extLst>
            <a:ext uri="{FF2B5EF4-FFF2-40B4-BE49-F238E27FC236}">
              <a16:creationId xmlns:a16="http://schemas.microsoft.com/office/drawing/2014/main" id="{086A9997-44DD-086B-18C6-E3617CA1698C}"/>
            </a:ext>
          </a:extLst>
        </xdr:cNvPr>
        <xdr:cNvGrpSpPr/>
      </xdr:nvGrpSpPr>
      <xdr:grpSpPr>
        <a:xfrm>
          <a:off x="4648200" y="5486400"/>
          <a:ext cx="601980" cy="228600"/>
          <a:chOff x="4648200" y="5486400"/>
          <a:chExt cx="601980" cy="228600"/>
        </a:xfrm>
      </xdr:grpSpPr>
      <xdr:cxnSp macro="">
        <xdr:nvCxnSpPr>
          <xdr:cNvPr id="2915" name="Gerader Verbinder 2914">
            <a:extLst>
              <a:ext uri="{FF2B5EF4-FFF2-40B4-BE49-F238E27FC236}">
                <a16:creationId xmlns:a16="http://schemas.microsoft.com/office/drawing/2014/main" id="{811E88F1-3C03-8681-0CFA-6D618CF19A4A}"/>
              </a:ext>
            </a:extLst>
          </xdr:cNvPr>
          <xdr:cNvCxnSpPr/>
        </xdr:nvCxnSpPr>
        <xdr:spPr>
          <a:xfrm>
            <a:off x="4648200" y="5486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16" name="Gerader Verbinder 2915">
            <a:extLst>
              <a:ext uri="{FF2B5EF4-FFF2-40B4-BE49-F238E27FC236}">
                <a16:creationId xmlns:a16="http://schemas.microsoft.com/office/drawing/2014/main" id="{F5BD4E37-541D-8767-4D79-EF4F8AC9E5D9}"/>
              </a:ext>
            </a:extLst>
          </xdr:cNvPr>
          <xdr:cNvCxnSpPr/>
        </xdr:nvCxnSpPr>
        <xdr:spPr>
          <a:xfrm flipH="1">
            <a:off x="4648200" y="5486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25</xdr:row>
      <xdr:rowOff>0</xdr:rowOff>
    </xdr:from>
    <xdr:to>
      <xdr:col>8</xdr:col>
      <xdr:colOff>0</xdr:colOff>
      <xdr:row>26</xdr:row>
      <xdr:rowOff>0</xdr:rowOff>
    </xdr:to>
    <xdr:grpSp>
      <xdr:nvGrpSpPr>
        <xdr:cNvPr id="2920" name="Cross_H26">
          <a:extLst>
            <a:ext uri="{FF2B5EF4-FFF2-40B4-BE49-F238E27FC236}">
              <a16:creationId xmlns:a16="http://schemas.microsoft.com/office/drawing/2014/main" id="{06CFBFEB-ABA5-C412-AB18-23B78B8E306A}"/>
            </a:ext>
          </a:extLst>
        </xdr:cNvPr>
        <xdr:cNvGrpSpPr/>
      </xdr:nvGrpSpPr>
      <xdr:grpSpPr>
        <a:xfrm>
          <a:off x="4648200" y="5715000"/>
          <a:ext cx="601980" cy="228600"/>
          <a:chOff x="4648200" y="5715000"/>
          <a:chExt cx="601980" cy="228600"/>
        </a:xfrm>
      </xdr:grpSpPr>
      <xdr:cxnSp macro="">
        <xdr:nvCxnSpPr>
          <xdr:cNvPr id="2918" name="Gerader Verbinder 2917">
            <a:extLst>
              <a:ext uri="{FF2B5EF4-FFF2-40B4-BE49-F238E27FC236}">
                <a16:creationId xmlns:a16="http://schemas.microsoft.com/office/drawing/2014/main" id="{22EAD049-4AAC-B8A5-5EEC-7C38A3B94AE2}"/>
              </a:ext>
            </a:extLst>
          </xdr:cNvPr>
          <xdr:cNvCxnSpPr/>
        </xdr:nvCxnSpPr>
        <xdr:spPr>
          <a:xfrm>
            <a:off x="4648200" y="5715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19" name="Gerader Verbinder 2918">
            <a:extLst>
              <a:ext uri="{FF2B5EF4-FFF2-40B4-BE49-F238E27FC236}">
                <a16:creationId xmlns:a16="http://schemas.microsoft.com/office/drawing/2014/main" id="{3A9CBA41-BC04-8C48-3A9D-1950C7638B63}"/>
              </a:ext>
            </a:extLst>
          </xdr:cNvPr>
          <xdr:cNvCxnSpPr/>
        </xdr:nvCxnSpPr>
        <xdr:spPr>
          <a:xfrm flipH="1">
            <a:off x="4648200" y="5715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26</xdr:row>
      <xdr:rowOff>0</xdr:rowOff>
    </xdr:from>
    <xdr:to>
      <xdr:col>8</xdr:col>
      <xdr:colOff>0</xdr:colOff>
      <xdr:row>27</xdr:row>
      <xdr:rowOff>0</xdr:rowOff>
    </xdr:to>
    <xdr:grpSp>
      <xdr:nvGrpSpPr>
        <xdr:cNvPr id="2923" name="Cross_H27">
          <a:extLst>
            <a:ext uri="{FF2B5EF4-FFF2-40B4-BE49-F238E27FC236}">
              <a16:creationId xmlns:a16="http://schemas.microsoft.com/office/drawing/2014/main" id="{9248D329-4C16-C161-9429-3CF9BAA70FE3}"/>
            </a:ext>
          </a:extLst>
        </xdr:cNvPr>
        <xdr:cNvGrpSpPr/>
      </xdr:nvGrpSpPr>
      <xdr:grpSpPr>
        <a:xfrm>
          <a:off x="4648200" y="5943600"/>
          <a:ext cx="601980" cy="228600"/>
          <a:chOff x="4648200" y="5943600"/>
          <a:chExt cx="601980" cy="228600"/>
        </a:xfrm>
      </xdr:grpSpPr>
      <xdr:cxnSp macro="">
        <xdr:nvCxnSpPr>
          <xdr:cNvPr id="2921" name="Gerader Verbinder 2920">
            <a:extLst>
              <a:ext uri="{FF2B5EF4-FFF2-40B4-BE49-F238E27FC236}">
                <a16:creationId xmlns:a16="http://schemas.microsoft.com/office/drawing/2014/main" id="{DAC3AD7D-1B6E-A9B7-A17C-19439A764391}"/>
              </a:ext>
            </a:extLst>
          </xdr:cNvPr>
          <xdr:cNvCxnSpPr/>
        </xdr:nvCxnSpPr>
        <xdr:spPr>
          <a:xfrm>
            <a:off x="4648200" y="5943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22" name="Gerader Verbinder 2921">
            <a:extLst>
              <a:ext uri="{FF2B5EF4-FFF2-40B4-BE49-F238E27FC236}">
                <a16:creationId xmlns:a16="http://schemas.microsoft.com/office/drawing/2014/main" id="{4442927F-71C6-5B07-B12C-014B049A4298}"/>
              </a:ext>
            </a:extLst>
          </xdr:cNvPr>
          <xdr:cNvCxnSpPr/>
        </xdr:nvCxnSpPr>
        <xdr:spPr>
          <a:xfrm flipH="1">
            <a:off x="4648200" y="5943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27</xdr:row>
      <xdr:rowOff>0</xdr:rowOff>
    </xdr:from>
    <xdr:to>
      <xdr:col>8</xdr:col>
      <xdr:colOff>0</xdr:colOff>
      <xdr:row>28</xdr:row>
      <xdr:rowOff>0</xdr:rowOff>
    </xdr:to>
    <xdr:grpSp>
      <xdr:nvGrpSpPr>
        <xdr:cNvPr id="2926" name="Cross_H28">
          <a:extLst>
            <a:ext uri="{FF2B5EF4-FFF2-40B4-BE49-F238E27FC236}">
              <a16:creationId xmlns:a16="http://schemas.microsoft.com/office/drawing/2014/main" id="{0F59E020-410B-7013-1034-0513127F8BF8}"/>
            </a:ext>
          </a:extLst>
        </xdr:cNvPr>
        <xdr:cNvGrpSpPr/>
      </xdr:nvGrpSpPr>
      <xdr:grpSpPr>
        <a:xfrm>
          <a:off x="4648200" y="6172200"/>
          <a:ext cx="601980" cy="228600"/>
          <a:chOff x="4648200" y="6172200"/>
          <a:chExt cx="601980" cy="228600"/>
        </a:xfrm>
      </xdr:grpSpPr>
      <xdr:cxnSp macro="">
        <xdr:nvCxnSpPr>
          <xdr:cNvPr id="2924" name="Gerader Verbinder 2923">
            <a:extLst>
              <a:ext uri="{FF2B5EF4-FFF2-40B4-BE49-F238E27FC236}">
                <a16:creationId xmlns:a16="http://schemas.microsoft.com/office/drawing/2014/main" id="{83540E81-368A-C05D-1D4C-006ED92293B8}"/>
              </a:ext>
            </a:extLst>
          </xdr:cNvPr>
          <xdr:cNvCxnSpPr/>
        </xdr:nvCxnSpPr>
        <xdr:spPr>
          <a:xfrm>
            <a:off x="4648200" y="6172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25" name="Gerader Verbinder 2924">
            <a:extLst>
              <a:ext uri="{FF2B5EF4-FFF2-40B4-BE49-F238E27FC236}">
                <a16:creationId xmlns:a16="http://schemas.microsoft.com/office/drawing/2014/main" id="{57CBF017-73F4-B6AA-DB48-D8896B36C159}"/>
              </a:ext>
            </a:extLst>
          </xdr:cNvPr>
          <xdr:cNvCxnSpPr/>
        </xdr:nvCxnSpPr>
        <xdr:spPr>
          <a:xfrm flipH="1">
            <a:off x="4648200" y="6172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28</xdr:row>
      <xdr:rowOff>0</xdr:rowOff>
    </xdr:from>
    <xdr:to>
      <xdr:col>8</xdr:col>
      <xdr:colOff>0</xdr:colOff>
      <xdr:row>29</xdr:row>
      <xdr:rowOff>0</xdr:rowOff>
    </xdr:to>
    <xdr:grpSp>
      <xdr:nvGrpSpPr>
        <xdr:cNvPr id="2929" name="Cross_H29">
          <a:extLst>
            <a:ext uri="{FF2B5EF4-FFF2-40B4-BE49-F238E27FC236}">
              <a16:creationId xmlns:a16="http://schemas.microsoft.com/office/drawing/2014/main" id="{B9C791DC-61B3-52E3-73D3-0623F0223905}"/>
            </a:ext>
          </a:extLst>
        </xdr:cNvPr>
        <xdr:cNvGrpSpPr/>
      </xdr:nvGrpSpPr>
      <xdr:grpSpPr>
        <a:xfrm>
          <a:off x="4648200" y="6400800"/>
          <a:ext cx="601980" cy="228600"/>
          <a:chOff x="4648200" y="6400800"/>
          <a:chExt cx="601980" cy="228600"/>
        </a:xfrm>
      </xdr:grpSpPr>
      <xdr:cxnSp macro="">
        <xdr:nvCxnSpPr>
          <xdr:cNvPr id="2927" name="Gerader Verbinder 2926">
            <a:extLst>
              <a:ext uri="{FF2B5EF4-FFF2-40B4-BE49-F238E27FC236}">
                <a16:creationId xmlns:a16="http://schemas.microsoft.com/office/drawing/2014/main" id="{98B5286F-D20D-AFDF-EF5A-C93395FF9425}"/>
              </a:ext>
            </a:extLst>
          </xdr:cNvPr>
          <xdr:cNvCxnSpPr/>
        </xdr:nvCxnSpPr>
        <xdr:spPr>
          <a:xfrm>
            <a:off x="4648200" y="6400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28" name="Gerader Verbinder 2927">
            <a:extLst>
              <a:ext uri="{FF2B5EF4-FFF2-40B4-BE49-F238E27FC236}">
                <a16:creationId xmlns:a16="http://schemas.microsoft.com/office/drawing/2014/main" id="{0C6CF2CD-9D04-794A-378E-BCD4847E9C0A}"/>
              </a:ext>
            </a:extLst>
          </xdr:cNvPr>
          <xdr:cNvCxnSpPr/>
        </xdr:nvCxnSpPr>
        <xdr:spPr>
          <a:xfrm flipH="1">
            <a:off x="4648200" y="6400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106680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20</xdr:col>
          <xdr:colOff>160020</xdr:colOff>
          <xdr:row>36</xdr:row>
          <xdr:rowOff>53340</xdr:rowOff>
        </xdr:from>
        <xdr:to>
          <xdr:col>23</xdr:col>
          <xdr:colOff>434340</xdr:colOff>
          <xdr:row>39</xdr:row>
          <xdr:rowOff>91440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35</xdr:row>
          <xdr:rowOff>160020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26</xdr:row>
          <xdr:rowOff>144780</xdr:rowOff>
        </xdr:from>
        <xdr:to>
          <xdr:col>9</xdr:col>
          <xdr:colOff>388620</xdr:colOff>
          <xdr:row>28</xdr:row>
          <xdr:rowOff>137160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444500</xdr:colOff>
          <xdr:row>26</xdr:row>
          <xdr:rowOff>144780</xdr:rowOff>
        </xdr:from>
        <xdr:to>
          <xdr:col>10</xdr:col>
          <xdr:colOff>391160</xdr:colOff>
          <xdr:row>28</xdr:row>
          <xdr:rowOff>137160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447040</xdr:colOff>
          <xdr:row>26</xdr:row>
          <xdr:rowOff>144780</xdr:rowOff>
        </xdr:from>
        <xdr:to>
          <xdr:col>11</xdr:col>
          <xdr:colOff>393700</xdr:colOff>
          <xdr:row>28</xdr:row>
          <xdr:rowOff>137160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26</xdr:row>
          <xdr:rowOff>144780</xdr:rowOff>
        </xdr:from>
        <xdr:to>
          <xdr:col>12</xdr:col>
          <xdr:colOff>396240</xdr:colOff>
          <xdr:row>28</xdr:row>
          <xdr:rowOff>137160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5" Type="http://schemas.openxmlformats.org/officeDocument/2006/relationships/image" Target="../media/image5.emf"/><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EFB40-DFE8-4B2B-AA3F-06EA904B77A0}">
  <sheetPr codeName="Tabelle151">
    <tabColor rgb="FF00B0F0"/>
  </sheetPr>
  <dimension ref="B1:N100"/>
  <sheetViews>
    <sheetView workbookViewId="0"/>
  </sheetViews>
  <sheetFormatPr baseColWidth="10" defaultRowHeight="13.2" x14ac:dyDescent="0.25"/>
  <cols>
    <col min="1" max="2" width="3.44140625" style="94" customWidth="1"/>
    <col min="3" max="3" width="25.77734375" style="94" customWidth="1"/>
    <col min="4" max="10" width="11.77734375" style="94" customWidth="1"/>
    <col min="11" max="13" width="8.77734375" style="94" customWidth="1"/>
    <col min="14" max="14" width="8.77734375" style="94" hidden="1" customWidth="1"/>
    <col min="15" max="16384" width="11.5546875" style="94"/>
  </cols>
  <sheetData>
    <row r="1" spans="2:14" ht="18" customHeight="1" thickBot="1" x14ac:dyDescent="0.3"/>
    <row r="2" spans="2:14" ht="18" customHeight="1" x14ac:dyDescent="0.25">
      <c r="B2" s="95" t="str">
        <f>Config!F2&amp;" "&amp;YEAR(Config!G24)</f>
        <v>Mathe Abitur 2026</v>
      </c>
      <c r="C2" s="96"/>
      <c r="D2" s="96"/>
      <c r="E2" s="96"/>
      <c r="F2" s="97"/>
      <c r="G2" s="97"/>
      <c r="H2" s="97"/>
      <c r="I2" s="97"/>
      <c r="J2" s="97"/>
      <c r="K2" s="97"/>
      <c r="L2" s="97"/>
      <c r="M2" s="98" t="str">
        <f>"Kurs "&amp;Config!G26</f>
        <v>Kurs K1</v>
      </c>
    </row>
    <row r="3" spans="2:14" ht="18" customHeight="1" x14ac:dyDescent="0.25">
      <c r="B3" s="99" t="s">
        <v>83</v>
      </c>
      <c r="C3" s="100"/>
      <c r="D3" s="100"/>
      <c r="E3" s="100"/>
      <c r="F3" s="100"/>
      <c r="G3" s="100"/>
      <c r="H3" s="100"/>
      <c r="I3" s="100"/>
      <c r="J3" s="100"/>
      <c r="K3" s="100"/>
      <c r="L3" s="100"/>
      <c r="M3" s="101"/>
    </row>
    <row r="4" spans="2:14" ht="18" customHeight="1" thickBot="1" x14ac:dyDescent="0.3">
      <c r="B4" s="99"/>
      <c r="C4" s="100"/>
      <c r="D4" s="102"/>
      <c r="E4" s="102"/>
      <c r="F4" s="102"/>
      <c r="G4" s="102"/>
      <c r="H4" s="102"/>
      <c r="I4" s="102"/>
      <c r="J4" s="102"/>
      <c r="K4" s="102"/>
      <c r="L4" s="100"/>
      <c r="M4" s="101"/>
    </row>
    <row r="5" spans="2:14" ht="18" customHeight="1" thickBot="1" x14ac:dyDescent="0.3">
      <c r="B5" s="104"/>
      <c r="C5" s="106"/>
      <c r="D5" s="110" t="s">
        <v>9</v>
      </c>
      <c r="E5" s="110" t="s">
        <v>10</v>
      </c>
      <c r="F5" s="110" t="s">
        <v>11</v>
      </c>
      <c r="G5" s="110" t="s">
        <v>12</v>
      </c>
      <c r="H5" s="110" t="s">
        <v>13</v>
      </c>
      <c r="I5" s="110" t="s">
        <v>14</v>
      </c>
      <c r="J5" s="110" t="s">
        <v>112</v>
      </c>
      <c r="K5" s="126" t="s">
        <v>82</v>
      </c>
      <c r="L5" s="125"/>
      <c r="M5" s="127"/>
    </row>
    <row r="6" spans="2:14" ht="18" customHeight="1" thickBot="1" x14ac:dyDescent="0.3">
      <c r="B6" s="105"/>
      <c r="C6" s="107" t="s">
        <v>81</v>
      </c>
      <c r="D6" s="138">
        <f>Config!G21</f>
        <v>15</v>
      </c>
      <c r="E6" s="138">
        <f>Config!I21</f>
        <v>30</v>
      </c>
      <c r="F6" s="138">
        <f>Config!K21</f>
        <v>5</v>
      </c>
      <c r="G6" s="138">
        <f>Config!M21</f>
        <v>17</v>
      </c>
      <c r="H6" s="138">
        <f>Config!O21</f>
        <v>5</v>
      </c>
      <c r="I6" s="138">
        <f>Config!Q21</f>
        <v>18</v>
      </c>
      <c r="J6" s="138">
        <f>Config!S21</f>
        <v>10</v>
      </c>
      <c r="K6" s="139">
        <f t="shared" ref="K6:K29" si="0">SUM(D6:J6)</f>
        <v>100</v>
      </c>
      <c r="L6" s="108" t="s">
        <v>0</v>
      </c>
      <c r="M6" s="128" t="s">
        <v>1</v>
      </c>
      <c r="N6" s="94" t="s">
        <v>84</v>
      </c>
    </row>
    <row r="7" spans="2:14" ht="18" customHeight="1" thickBot="1" x14ac:dyDescent="0.3">
      <c r="B7" s="118">
        <v>1</v>
      </c>
      <c r="C7" s="116" t="str">
        <f>Config!C5&amp;", "&amp;Config!D5</f>
        <v>Höfer, Simon</v>
      </c>
      <c r="D7" s="131">
        <f>VLOOKUP(C7,'Analysis A'!C$7:$J29,8,0)</f>
        <v>15</v>
      </c>
      <c r="E7" s="131">
        <f>VLOOKUP(C7,'Analysis B'!C$7:$N29,12,0)</f>
        <v>15</v>
      </c>
      <c r="F7" s="131">
        <f>VLOOKUP(C7,'Stochastik A'!C$7:$E29,3,0)</f>
        <v>0</v>
      </c>
      <c r="G7" s="131">
        <f>VLOOKUP(C7,'Stochastik B'!C$7:$I29,7,0)</f>
        <v>0</v>
      </c>
      <c r="H7" s="131">
        <f>VLOOKUP(C7,'Geometrie A'!C$7:$F29,4,0)</f>
        <v>0</v>
      </c>
      <c r="I7" s="131">
        <f>VLOOKUP(C7,'Geometrie B'!C$7:$I29,7,0)</f>
        <v>0</v>
      </c>
      <c r="J7" s="131">
        <f>VLOOKUP(C7,Wahlaufgaben!C$7:$I29,7,0)</f>
        <v>0</v>
      </c>
      <c r="K7" s="113">
        <f t="shared" si="0"/>
        <v>30</v>
      </c>
      <c r="L7" s="130">
        <f>VLOOKUP(VALUE(K7),Notenspiegel!$B$3:$C$302,2,0)</f>
        <v>2</v>
      </c>
      <c r="M7" s="133" t="str">
        <f>VLOOKUP(VALUE(K7),Notenspiegel!$B$3:$D$302,3,0)</f>
        <v>5</v>
      </c>
      <c r="N7" s="94" t="str">
        <f>VLOOKUP(VALUE(K7),Notenspiegel!$B$3:$E$302,4,0)</f>
        <v/>
      </c>
    </row>
    <row r="8" spans="2:14" ht="18" customHeight="1" thickBot="1" x14ac:dyDescent="0.3">
      <c r="B8" s="119">
        <v>2</v>
      </c>
      <c r="C8" s="111" t="str">
        <f>Config!C6&amp;", "&amp;Config!D6</f>
        <v>Töpfer, Lilian</v>
      </c>
      <c r="D8" s="129">
        <f>VLOOKUP(C8,'Analysis A'!C$7:$J29,8,0)</f>
        <v>6</v>
      </c>
      <c r="E8" s="129">
        <f>VLOOKUP(C8,'Analysis B'!C$7:$N29,12,0)</f>
        <v>0</v>
      </c>
      <c r="F8" s="129">
        <f>VLOOKUP(C8,'Stochastik A'!C$7:$E29,3,0)</f>
        <v>0</v>
      </c>
      <c r="G8" s="129">
        <f>VLOOKUP(C8,'Stochastik B'!C$7:$I29,7,0)</f>
        <v>0</v>
      </c>
      <c r="H8" s="129">
        <f>VLOOKUP(C8,'Geometrie A'!C$7:$F29,4,0)</f>
        <v>0</v>
      </c>
      <c r="I8" s="129">
        <f>VLOOKUP(C8,'Geometrie B'!C$7:$I29,7,0)</f>
        <v>0</v>
      </c>
      <c r="J8" s="129">
        <f>VLOOKUP(C8,Wahlaufgaben!C$7:$I29,7,0)</f>
        <v>0</v>
      </c>
      <c r="K8" s="113">
        <f t="shared" si="0"/>
        <v>6</v>
      </c>
      <c r="L8" s="132">
        <f>VLOOKUP(VALUE(K8),Notenspiegel!$B$3:$C$302,2,0)</f>
        <v>0</v>
      </c>
      <c r="M8" s="134">
        <f>VLOOKUP(VALUE(K8),Notenspiegel!$B$3:$D$302,3,0)</f>
        <v>6</v>
      </c>
      <c r="N8" s="94" t="str">
        <f>VLOOKUP(VALUE(K8),Notenspiegel!$B$3:$E$302,4,0)</f>
        <v/>
      </c>
    </row>
    <row r="9" spans="2:14" ht="18" customHeight="1" thickBot="1" x14ac:dyDescent="0.3">
      <c r="B9" s="119">
        <v>3</v>
      </c>
      <c r="C9" s="111" t="str">
        <f>Config!C7&amp;", "&amp;Config!D7</f>
        <v>Fleischmann, Leonie</v>
      </c>
      <c r="D9" s="129">
        <f>VLOOKUP(C9,'Analysis A'!C$7:$J29,8,0)</f>
        <v>0</v>
      </c>
      <c r="E9" s="129">
        <f>VLOOKUP(C9,'Analysis B'!C$7:$N29,12,0)</f>
        <v>0</v>
      </c>
      <c r="F9" s="129">
        <f>VLOOKUP(C9,'Stochastik A'!C$7:$E29,3,0)</f>
        <v>0</v>
      </c>
      <c r="G9" s="129">
        <f>VLOOKUP(C9,'Stochastik B'!C$7:$I29,7,0)</f>
        <v>0</v>
      </c>
      <c r="H9" s="129">
        <f>VLOOKUP(C9,'Geometrie A'!C$7:$F29,4,0)</f>
        <v>0</v>
      </c>
      <c r="I9" s="129">
        <f>VLOOKUP(C9,'Geometrie B'!C$7:$I29,7,0)</f>
        <v>0</v>
      </c>
      <c r="J9" s="129">
        <f>VLOOKUP(C9,Wahlaufgaben!C$7:$I29,7,0)</f>
        <v>0</v>
      </c>
      <c r="K9" s="113">
        <f t="shared" si="0"/>
        <v>0</v>
      </c>
      <c r="L9" s="132">
        <f>VLOOKUP(VALUE(K9),Notenspiegel!$B$3:$C$302,2,0)</f>
        <v>0</v>
      </c>
      <c r="M9" s="134">
        <f>VLOOKUP(VALUE(K9),Notenspiegel!$B$3:$D$302,3,0)</f>
        <v>6</v>
      </c>
      <c r="N9" s="94" t="str">
        <f>VLOOKUP(VALUE(K9),Notenspiegel!$B$3:$E$302,4,0)</f>
        <v/>
      </c>
    </row>
    <row r="10" spans="2:14" ht="18" customHeight="1" thickBot="1" x14ac:dyDescent="0.3">
      <c r="B10" s="119">
        <v>4</v>
      </c>
      <c r="C10" s="111" t="str">
        <f>Config!C8&amp;", "&amp;Config!D8</f>
        <v>Drescher, Cedric</v>
      </c>
      <c r="D10" s="129">
        <f>VLOOKUP(C10,'Analysis A'!C$7:$J29,8,0)</f>
        <v>0</v>
      </c>
      <c r="E10" s="129">
        <f>VLOOKUP(C10,'Analysis B'!C$7:$N29,12,0)</f>
        <v>0</v>
      </c>
      <c r="F10" s="129">
        <f>VLOOKUP(C10,'Stochastik A'!C$7:$E29,3,0)</f>
        <v>0</v>
      </c>
      <c r="G10" s="129">
        <f>VLOOKUP(C10,'Stochastik B'!C$7:$I29,7,0)</f>
        <v>0</v>
      </c>
      <c r="H10" s="129">
        <f>VLOOKUP(C10,'Geometrie A'!C$7:$F29,4,0)</f>
        <v>0</v>
      </c>
      <c r="I10" s="129">
        <f>VLOOKUP(C10,'Geometrie B'!C$7:$I29,7,0)</f>
        <v>0</v>
      </c>
      <c r="J10" s="129">
        <f>VLOOKUP(C10,Wahlaufgaben!C$7:$I29,7,0)</f>
        <v>0</v>
      </c>
      <c r="K10" s="113">
        <f t="shared" si="0"/>
        <v>0</v>
      </c>
      <c r="L10" s="132">
        <f>VLOOKUP(VALUE(K10),Notenspiegel!$B$3:$C$302,2,0)</f>
        <v>0</v>
      </c>
      <c r="M10" s="134">
        <f>VLOOKUP(VALUE(K10),Notenspiegel!$B$3:$D$302,3,0)</f>
        <v>6</v>
      </c>
      <c r="N10" s="94" t="str">
        <f>VLOOKUP(VALUE(K10),Notenspiegel!$B$3:$E$302,4,0)</f>
        <v/>
      </c>
    </row>
    <row r="11" spans="2:14" ht="18" customHeight="1" thickBot="1" x14ac:dyDescent="0.3">
      <c r="B11" s="119">
        <v>5</v>
      </c>
      <c r="C11" s="111" t="str">
        <f>Config!C9&amp;", "&amp;Config!D9</f>
        <v>Baumgarten, Annabell</v>
      </c>
      <c r="D11" s="129">
        <f>VLOOKUP(C11,'Analysis A'!C$7:$J29,8,0)</f>
        <v>0</v>
      </c>
      <c r="E11" s="129">
        <f>VLOOKUP(C11,'Analysis B'!C$7:$N29,12,0)</f>
        <v>0</v>
      </c>
      <c r="F11" s="129">
        <f>VLOOKUP(C11,'Stochastik A'!C$7:$E29,3,0)</f>
        <v>0</v>
      </c>
      <c r="G11" s="129">
        <f>VLOOKUP(C11,'Stochastik B'!C$7:$I29,7,0)</f>
        <v>0</v>
      </c>
      <c r="H11" s="129">
        <f>VLOOKUP(C11,'Geometrie A'!C$7:$F29,4,0)</f>
        <v>0</v>
      </c>
      <c r="I11" s="129">
        <f>VLOOKUP(C11,'Geometrie B'!C$7:$I29,7,0)</f>
        <v>0</v>
      </c>
      <c r="J11" s="129">
        <f>VLOOKUP(C11,Wahlaufgaben!C$7:$I29,7,0)</f>
        <v>0</v>
      </c>
      <c r="K11" s="113">
        <f t="shared" si="0"/>
        <v>0</v>
      </c>
      <c r="L11" s="132">
        <f>VLOOKUP(VALUE(K11),Notenspiegel!$B$3:$C$302,2,0)</f>
        <v>0</v>
      </c>
      <c r="M11" s="134">
        <f>VLOOKUP(VALUE(K11),Notenspiegel!$B$3:$D$302,3,0)</f>
        <v>6</v>
      </c>
      <c r="N11" s="94" t="str">
        <f>VLOOKUP(VALUE(K11),Notenspiegel!$B$3:$E$302,4,0)</f>
        <v/>
      </c>
    </row>
    <row r="12" spans="2:14" ht="18" customHeight="1" thickBot="1" x14ac:dyDescent="0.3">
      <c r="B12" s="119">
        <v>6</v>
      </c>
      <c r="C12" s="111" t="str">
        <f>Config!C10&amp;", "&amp;Config!D10</f>
        <v>Traut, Stefanie</v>
      </c>
      <c r="D12" s="129">
        <f>VLOOKUP(C12,'Analysis A'!C$7:$J29,8,0)</f>
        <v>0</v>
      </c>
      <c r="E12" s="129">
        <f>VLOOKUP(C12,'Analysis B'!C$7:$N29,12,0)</f>
        <v>0</v>
      </c>
      <c r="F12" s="129">
        <f>VLOOKUP(C12,'Stochastik A'!C$7:$E29,3,0)</f>
        <v>0</v>
      </c>
      <c r="G12" s="129">
        <f>VLOOKUP(C12,'Stochastik B'!C$7:$I29,7,0)</f>
        <v>0</v>
      </c>
      <c r="H12" s="129">
        <f>VLOOKUP(C12,'Geometrie A'!C$7:$F29,4,0)</f>
        <v>0</v>
      </c>
      <c r="I12" s="129">
        <f>VLOOKUP(C12,'Geometrie B'!C$7:$I29,7,0)</f>
        <v>0</v>
      </c>
      <c r="J12" s="129">
        <f>VLOOKUP(C12,Wahlaufgaben!C$7:$I29,7,0)</f>
        <v>0</v>
      </c>
      <c r="K12" s="113">
        <f t="shared" si="0"/>
        <v>0</v>
      </c>
      <c r="L12" s="132">
        <f>VLOOKUP(VALUE(K12),Notenspiegel!$B$3:$C$302,2,0)</f>
        <v>0</v>
      </c>
      <c r="M12" s="134">
        <f>VLOOKUP(VALUE(K12),Notenspiegel!$B$3:$D$302,3,0)</f>
        <v>6</v>
      </c>
      <c r="N12" s="94" t="str">
        <f>VLOOKUP(VALUE(K12),Notenspiegel!$B$3:$E$302,4,0)</f>
        <v/>
      </c>
    </row>
    <row r="13" spans="2:14" ht="18" customHeight="1" thickBot="1" x14ac:dyDescent="0.3">
      <c r="B13" s="119">
        <v>7</v>
      </c>
      <c r="C13" s="111" t="str">
        <f>Config!C11&amp;", "&amp;Config!D11</f>
        <v>Menke, Damian</v>
      </c>
      <c r="D13" s="129">
        <f>VLOOKUP(C13,'Analysis A'!C$7:$J29,8,0)</f>
        <v>0</v>
      </c>
      <c r="E13" s="129">
        <f>VLOOKUP(C13,'Analysis B'!C$7:$N29,12,0)</f>
        <v>0</v>
      </c>
      <c r="F13" s="129">
        <f>VLOOKUP(C13,'Stochastik A'!C$7:$E29,3,0)</f>
        <v>0</v>
      </c>
      <c r="G13" s="129">
        <f>VLOOKUP(C13,'Stochastik B'!C$7:$I29,7,0)</f>
        <v>0</v>
      </c>
      <c r="H13" s="129">
        <f>VLOOKUP(C13,'Geometrie A'!C$7:$F29,4,0)</f>
        <v>0</v>
      </c>
      <c r="I13" s="129">
        <f>VLOOKUP(C13,'Geometrie B'!C$7:$I29,7,0)</f>
        <v>0</v>
      </c>
      <c r="J13" s="129">
        <f>VLOOKUP(C13,Wahlaufgaben!C$7:$I29,7,0)</f>
        <v>0</v>
      </c>
      <c r="K13" s="113">
        <f t="shared" si="0"/>
        <v>0</v>
      </c>
      <c r="L13" s="132">
        <f>VLOOKUP(VALUE(K13),Notenspiegel!$B$3:$C$302,2,0)</f>
        <v>0</v>
      </c>
      <c r="M13" s="134">
        <f>VLOOKUP(VALUE(K13),Notenspiegel!$B$3:$D$302,3,0)</f>
        <v>6</v>
      </c>
      <c r="N13" s="94" t="str">
        <f>VLOOKUP(VALUE(K13),Notenspiegel!$B$3:$E$302,4,0)</f>
        <v/>
      </c>
    </row>
    <row r="14" spans="2:14" ht="18" customHeight="1" thickBot="1" x14ac:dyDescent="0.3">
      <c r="B14" s="119">
        <v>8</v>
      </c>
      <c r="C14" s="111" t="str">
        <f>Config!C12&amp;", "&amp;Config!D12</f>
        <v>Carroll, Meik</v>
      </c>
      <c r="D14" s="129">
        <f>VLOOKUP(C14,'Analysis A'!C$7:$J29,8,0)</f>
        <v>0</v>
      </c>
      <c r="E14" s="129">
        <f>VLOOKUP(C14,'Analysis B'!C$7:$N29,12,0)</f>
        <v>0</v>
      </c>
      <c r="F14" s="129">
        <f>VLOOKUP(C14,'Stochastik A'!C$7:$E29,3,0)</f>
        <v>0</v>
      </c>
      <c r="G14" s="129">
        <f>VLOOKUP(C14,'Stochastik B'!C$7:$I29,7,0)</f>
        <v>0</v>
      </c>
      <c r="H14" s="129">
        <f>VLOOKUP(C14,'Geometrie A'!C$7:$F29,4,0)</f>
        <v>0</v>
      </c>
      <c r="I14" s="129">
        <f>VLOOKUP(C14,'Geometrie B'!C$7:$I29,7,0)</f>
        <v>0</v>
      </c>
      <c r="J14" s="129">
        <f>VLOOKUP(C14,Wahlaufgaben!C$7:$I29,7,0)</f>
        <v>0</v>
      </c>
      <c r="K14" s="113">
        <f t="shared" si="0"/>
        <v>0</v>
      </c>
      <c r="L14" s="132">
        <f>VLOOKUP(VALUE(K14),Notenspiegel!$B$3:$C$302,2,0)</f>
        <v>0</v>
      </c>
      <c r="M14" s="134">
        <f>VLOOKUP(VALUE(K14),Notenspiegel!$B$3:$D$302,3,0)</f>
        <v>6</v>
      </c>
      <c r="N14" s="94" t="str">
        <f>VLOOKUP(VALUE(K14),Notenspiegel!$B$3:$E$302,4,0)</f>
        <v/>
      </c>
    </row>
    <row r="15" spans="2:14" ht="18" customHeight="1" thickBot="1" x14ac:dyDescent="0.3">
      <c r="B15" s="119">
        <v>9</v>
      </c>
      <c r="C15" s="111" t="str">
        <f>Config!C13&amp;", "&amp;Config!D13</f>
        <v>Hennings, Tomas</v>
      </c>
      <c r="D15" s="129">
        <f>VLOOKUP(C15,'Analysis A'!C$7:$J29,8,0)</f>
        <v>0</v>
      </c>
      <c r="E15" s="129">
        <f>VLOOKUP(C15,'Analysis B'!C$7:$N29,12,0)</f>
        <v>0</v>
      </c>
      <c r="F15" s="129">
        <f>VLOOKUP(C15,'Stochastik A'!C$7:$E29,3,0)</f>
        <v>0</v>
      </c>
      <c r="G15" s="129">
        <f>VLOOKUP(C15,'Stochastik B'!C$7:$I29,7,0)</f>
        <v>0</v>
      </c>
      <c r="H15" s="129">
        <f>VLOOKUP(C15,'Geometrie A'!C$7:$F29,4,0)</f>
        <v>0</v>
      </c>
      <c r="I15" s="129">
        <f>VLOOKUP(C15,'Geometrie B'!C$7:$I29,7,0)</f>
        <v>0</v>
      </c>
      <c r="J15" s="129">
        <f>VLOOKUP(C15,Wahlaufgaben!C$7:$I29,7,0)</f>
        <v>0</v>
      </c>
      <c r="K15" s="113">
        <f t="shared" si="0"/>
        <v>0</v>
      </c>
      <c r="L15" s="132">
        <f>VLOOKUP(VALUE(K15),Notenspiegel!$B$3:$C$302,2,0)</f>
        <v>0</v>
      </c>
      <c r="M15" s="134">
        <f>VLOOKUP(VALUE(K15),Notenspiegel!$B$3:$D$302,3,0)</f>
        <v>6</v>
      </c>
      <c r="N15" s="94" t="str">
        <f>VLOOKUP(VALUE(K15),Notenspiegel!$B$3:$E$302,4,0)</f>
        <v/>
      </c>
    </row>
    <row r="16" spans="2:14" ht="18" customHeight="1" thickBot="1" x14ac:dyDescent="0.3">
      <c r="B16" s="119">
        <v>10</v>
      </c>
      <c r="C16" s="111" t="str">
        <f>Config!C14&amp;", "&amp;Config!D14</f>
        <v>Walters, Linn</v>
      </c>
      <c r="D16" s="129">
        <f>VLOOKUP(C16,'Analysis A'!C$7:$J29,8,0)</f>
        <v>0</v>
      </c>
      <c r="E16" s="129">
        <f>VLOOKUP(C16,'Analysis B'!C$7:$N29,12,0)</f>
        <v>0</v>
      </c>
      <c r="F16" s="129">
        <f>VLOOKUP(C16,'Stochastik A'!C$7:$E29,3,0)</f>
        <v>0</v>
      </c>
      <c r="G16" s="129">
        <f>VLOOKUP(C16,'Stochastik B'!C$7:$I29,7,0)</f>
        <v>0</v>
      </c>
      <c r="H16" s="129">
        <f>VLOOKUP(C16,'Geometrie A'!C$7:$F29,4,0)</f>
        <v>0</v>
      </c>
      <c r="I16" s="129">
        <f>VLOOKUP(C16,'Geometrie B'!C$7:$I29,7,0)</f>
        <v>0</v>
      </c>
      <c r="J16" s="129">
        <f>VLOOKUP(C16,Wahlaufgaben!C$7:$I29,7,0)</f>
        <v>0</v>
      </c>
      <c r="K16" s="113">
        <f t="shared" si="0"/>
        <v>0</v>
      </c>
      <c r="L16" s="132">
        <f>VLOOKUP(VALUE(K16),Notenspiegel!$B$3:$C$302,2,0)</f>
        <v>0</v>
      </c>
      <c r="M16" s="134">
        <f>VLOOKUP(VALUE(K16),Notenspiegel!$B$3:$D$302,3,0)</f>
        <v>6</v>
      </c>
      <c r="N16" s="94" t="str">
        <f>VLOOKUP(VALUE(K16),Notenspiegel!$B$3:$E$302,4,0)</f>
        <v/>
      </c>
    </row>
    <row r="17" spans="2:14" ht="18" customHeight="1" thickBot="1" x14ac:dyDescent="0.3">
      <c r="B17" s="119">
        <v>11</v>
      </c>
      <c r="C17" s="111" t="str">
        <f>Config!C15&amp;", "&amp;Config!D15</f>
        <v>Junker, Amely</v>
      </c>
      <c r="D17" s="129">
        <f>VLOOKUP(C17,'Analysis A'!C$7:$J29,8,0)</f>
        <v>0</v>
      </c>
      <c r="E17" s="129">
        <f>VLOOKUP(C17,'Analysis B'!C$7:$N29,12,0)</f>
        <v>0</v>
      </c>
      <c r="F17" s="129">
        <f>VLOOKUP(C17,'Stochastik A'!C$7:$E29,3,0)</f>
        <v>0</v>
      </c>
      <c r="G17" s="129">
        <f>VLOOKUP(C17,'Stochastik B'!C$7:$I29,7,0)</f>
        <v>0</v>
      </c>
      <c r="H17" s="129">
        <f>VLOOKUP(C17,'Geometrie A'!C$7:$F29,4,0)</f>
        <v>0</v>
      </c>
      <c r="I17" s="129">
        <f>VLOOKUP(C17,'Geometrie B'!C$7:$I29,7,0)</f>
        <v>0</v>
      </c>
      <c r="J17" s="129">
        <f>VLOOKUP(C17,Wahlaufgaben!C$7:$I29,7,0)</f>
        <v>0</v>
      </c>
      <c r="K17" s="113">
        <f t="shared" si="0"/>
        <v>0</v>
      </c>
      <c r="L17" s="132">
        <f>VLOOKUP(VALUE(K17),Notenspiegel!$B$3:$C$302,2,0)</f>
        <v>0</v>
      </c>
      <c r="M17" s="134">
        <f>VLOOKUP(VALUE(K17),Notenspiegel!$B$3:$D$302,3,0)</f>
        <v>6</v>
      </c>
      <c r="N17" s="94" t="str">
        <f>VLOOKUP(VALUE(K17),Notenspiegel!$B$3:$E$302,4,0)</f>
        <v/>
      </c>
    </row>
    <row r="18" spans="2:14" ht="18" customHeight="1" thickBot="1" x14ac:dyDescent="0.3">
      <c r="B18" s="119">
        <v>12</v>
      </c>
      <c r="C18" s="111" t="str">
        <f>Config!C16&amp;", "&amp;Config!D16</f>
        <v>Stephens, Melvin</v>
      </c>
      <c r="D18" s="129">
        <f>VLOOKUP(C18,'Analysis A'!C$7:$J29,8,0)</f>
        <v>0</v>
      </c>
      <c r="E18" s="129">
        <f>VLOOKUP(C18,'Analysis B'!C$7:$N29,12,0)</f>
        <v>0</v>
      </c>
      <c r="F18" s="129">
        <f>VLOOKUP(C18,'Stochastik A'!C$7:$E29,3,0)</f>
        <v>0</v>
      </c>
      <c r="G18" s="129">
        <f>VLOOKUP(C18,'Stochastik B'!C$7:$I29,7,0)</f>
        <v>0</v>
      </c>
      <c r="H18" s="129">
        <f>VLOOKUP(C18,'Geometrie A'!C$7:$F29,4,0)</f>
        <v>0</v>
      </c>
      <c r="I18" s="129">
        <f>VLOOKUP(C18,'Geometrie B'!C$7:$I29,7,0)</f>
        <v>0</v>
      </c>
      <c r="J18" s="129">
        <f>VLOOKUP(C18,Wahlaufgaben!C$7:$I29,7,0)</f>
        <v>0</v>
      </c>
      <c r="K18" s="113">
        <f t="shared" si="0"/>
        <v>0</v>
      </c>
      <c r="L18" s="132">
        <f>VLOOKUP(VALUE(K18),Notenspiegel!$B$3:$C$302,2,0)</f>
        <v>0</v>
      </c>
      <c r="M18" s="134">
        <f>VLOOKUP(VALUE(K18),Notenspiegel!$B$3:$D$302,3,0)</f>
        <v>6</v>
      </c>
      <c r="N18" s="94" t="str">
        <f>VLOOKUP(VALUE(K18),Notenspiegel!$B$3:$E$302,4,0)</f>
        <v/>
      </c>
    </row>
    <row r="19" spans="2:14" ht="18" customHeight="1" thickBot="1" x14ac:dyDescent="0.3">
      <c r="B19" s="119">
        <v>13</v>
      </c>
      <c r="C19" s="111" t="str">
        <f>Config!C17&amp;", "&amp;Config!D17</f>
        <v>Cremer, Marvin</v>
      </c>
      <c r="D19" s="129">
        <f>VLOOKUP(C19,'Analysis A'!C$7:$J29,8,0)</f>
        <v>0</v>
      </c>
      <c r="E19" s="129">
        <f>VLOOKUP(C19,'Analysis B'!C$7:$N29,12,0)</f>
        <v>0</v>
      </c>
      <c r="F19" s="129">
        <f>VLOOKUP(C19,'Stochastik A'!C$7:$E29,3,0)</f>
        <v>0</v>
      </c>
      <c r="G19" s="129">
        <f>VLOOKUP(C19,'Stochastik B'!C$7:$I29,7,0)</f>
        <v>0</v>
      </c>
      <c r="H19" s="129">
        <f>VLOOKUP(C19,'Geometrie A'!C$7:$F29,4,0)</f>
        <v>0</v>
      </c>
      <c r="I19" s="129">
        <f>VLOOKUP(C19,'Geometrie B'!C$7:$I29,7,0)</f>
        <v>0</v>
      </c>
      <c r="J19" s="129">
        <f>VLOOKUP(C19,Wahlaufgaben!C$7:$I29,7,0)</f>
        <v>0</v>
      </c>
      <c r="K19" s="113">
        <f t="shared" si="0"/>
        <v>0</v>
      </c>
      <c r="L19" s="132">
        <f>VLOOKUP(VALUE(K19),Notenspiegel!$B$3:$C$302,2,0)</f>
        <v>0</v>
      </c>
      <c r="M19" s="134">
        <f>VLOOKUP(VALUE(K19),Notenspiegel!$B$3:$D$302,3,0)</f>
        <v>6</v>
      </c>
      <c r="N19" s="94" t="str">
        <f>VLOOKUP(VALUE(K19),Notenspiegel!$B$3:$E$302,4,0)</f>
        <v/>
      </c>
    </row>
    <row r="20" spans="2:14" ht="18" customHeight="1" thickBot="1" x14ac:dyDescent="0.3">
      <c r="B20" s="119">
        <v>14</v>
      </c>
      <c r="C20" s="111" t="str">
        <f>Config!C18&amp;", "&amp;Config!D18</f>
        <v>Nash, Jean</v>
      </c>
      <c r="D20" s="129">
        <f>VLOOKUP(C20,'Analysis A'!C$7:$J29,8,0)</f>
        <v>0</v>
      </c>
      <c r="E20" s="129">
        <f>VLOOKUP(C20,'Analysis B'!C$7:$N29,12,0)</f>
        <v>0</v>
      </c>
      <c r="F20" s="129">
        <f>VLOOKUP(C20,'Stochastik A'!C$7:$E29,3,0)</f>
        <v>0</v>
      </c>
      <c r="G20" s="129">
        <f>VLOOKUP(C20,'Stochastik B'!C$7:$I29,7,0)</f>
        <v>0</v>
      </c>
      <c r="H20" s="129">
        <f>VLOOKUP(C20,'Geometrie A'!C$7:$F29,4,0)</f>
        <v>0</v>
      </c>
      <c r="I20" s="129">
        <f>VLOOKUP(C20,'Geometrie B'!C$7:$I29,7,0)</f>
        <v>0</v>
      </c>
      <c r="J20" s="129">
        <f>VLOOKUP(C20,Wahlaufgaben!C$7:$I29,7,0)</f>
        <v>0</v>
      </c>
      <c r="K20" s="113">
        <f t="shared" si="0"/>
        <v>0</v>
      </c>
      <c r="L20" s="132">
        <f>VLOOKUP(VALUE(K20),Notenspiegel!$B$3:$C$302,2,0)</f>
        <v>0</v>
      </c>
      <c r="M20" s="134">
        <f>VLOOKUP(VALUE(K20),Notenspiegel!$B$3:$D$302,3,0)</f>
        <v>6</v>
      </c>
      <c r="N20" s="94" t="str">
        <f>VLOOKUP(VALUE(K20),Notenspiegel!$B$3:$E$302,4,0)</f>
        <v/>
      </c>
    </row>
    <row r="21" spans="2:14" ht="18" customHeight="1" thickBot="1" x14ac:dyDescent="0.3">
      <c r="B21" s="119">
        <v>15</v>
      </c>
      <c r="C21" s="111" t="str">
        <f>Config!C19&amp;", "&amp;Config!D19</f>
        <v>Schön, Leonardo</v>
      </c>
      <c r="D21" s="129">
        <f>VLOOKUP(C21,'Analysis A'!C$7:$J29,8,0)</f>
        <v>0</v>
      </c>
      <c r="E21" s="129">
        <f>VLOOKUP(C21,'Analysis B'!C$7:$N29,12,0)</f>
        <v>0</v>
      </c>
      <c r="F21" s="129">
        <f>VLOOKUP(C21,'Stochastik A'!C$7:$E29,3,0)</f>
        <v>0</v>
      </c>
      <c r="G21" s="129">
        <f>VLOOKUP(C21,'Stochastik B'!C$7:$I29,7,0)</f>
        <v>0</v>
      </c>
      <c r="H21" s="129">
        <f>VLOOKUP(C21,'Geometrie A'!C$7:$F29,4,0)</f>
        <v>0</v>
      </c>
      <c r="I21" s="129">
        <f>VLOOKUP(C21,'Geometrie B'!C$7:$I29,7,0)</f>
        <v>0</v>
      </c>
      <c r="J21" s="129">
        <f>VLOOKUP(C21,Wahlaufgaben!C$7:$I29,7,0)</f>
        <v>0</v>
      </c>
      <c r="K21" s="113">
        <f t="shared" si="0"/>
        <v>0</v>
      </c>
      <c r="L21" s="132">
        <f>VLOOKUP(VALUE(K21),Notenspiegel!$B$3:$C$302,2,0)</f>
        <v>0</v>
      </c>
      <c r="M21" s="134">
        <f>VLOOKUP(VALUE(K21),Notenspiegel!$B$3:$D$302,3,0)</f>
        <v>6</v>
      </c>
      <c r="N21" s="94" t="str">
        <f>VLOOKUP(VALUE(K21),Notenspiegel!$B$3:$E$302,4,0)</f>
        <v/>
      </c>
    </row>
    <row r="22" spans="2:14" ht="18" customHeight="1" thickBot="1" x14ac:dyDescent="0.3">
      <c r="B22" s="119">
        <v>16</v>
      </c>
      <c r="C22" s="111" t="str">
        <f>Config!C20&amp;", "&amp;Config!D20</f>
        <v>Sigl, Nicholas</v>
      </c>
      <c r="D22" s="129">
        <f>VLOOKUP(C22,'Analysis A'!C$7:$J29,8,0)</f>
        <v>0</v>
      </c>
      <c r="E22" s="129">
        <f>VLOOKUP(C22,'Analysis B'!C$7:$N29,12,0)</f>
        <v>0</v>
      </c>
      <c r="F22" s="129">
        <f>VLOOKUP(C22,'Stochastik A'!C$7:$E29,3,0)</f>
        <v>0</v>
      </c>
      <c r="G22" s="129">
        <f>VLOOKUP(C22,'Stochastik B'!C$7:$I29,7,0)</f>
        <v>0</v>
      </c>
      <c r="H22" s="129">
        <f>VLOOKUP(C22,'Geometrie A'!C$7:$F29,4,0)</f>
        <v>0</v>
      </c>
      <c r="I22" s="129">
        <f>VLOOKUP(C22,'Geometrie B'!C$7:$I29,7,0)</f>
        <v>0</v>
      </c>
      <c r="J22" s="129">
        <f>VLOOKUP(C22,Wahlaufgaben!C$7:$I29,7,0)</f>
        <v>0</v>
      </c>
      <c r="K22" s="113">
        <f t="shared" si="0"/>
        <v>0</v>
      </c>
      <c r="L22" s="132">
        <f>VLOOKUP(VALUE(K22),Notenspiegel!$B$3:$C$302,2,0)</f>
        <v>0</v>
      </c>
      <c r="M22" s="134">
        <f>VLOOKUP(VALUE(K22),Notenspiegel!$B$3:$D$302,3,0)</f>
        <v>6</v>
      </c>
      <c r="N22" s="94" t="str">
        <f>VLOOKUP(VALUE(K22),Notenspiegel!$B$3:$E$302,4,0)</f>
        <v/>
      </c>
    </row>
    <row r="23" spans="2:14" ht="18" customHeight="1" thickBot="1" x14ac:dyDescent="0.3">
      <c r="B23" s="119">
        <v>17</v>
      </c>
      <c r="C23" s="111" t="str">
        <f>Config!C21&amp;", "&amp;Config!D21</f>
        <v>Kainz, Vivienne</v>
      </c>
      <c r="D23" s="129">
        <f>VLOOKUP(C23,'Analysis A'!C$7:$J29,8,0)</f>
        <v>0</v>
      </c>
      <c r="E23" s="129">
        <f>VLOOKUP(C23,'Analysis B'!C$7:$N29,12,0)</f>
        <v>0</v>
      </c>
      <c r="F23" s="129">
        <f>VLOOKUP(C23,'Stochastik A'!C$7:$E29,3,0)</f>
        <v>0</v>
      </c>
      <c r="G23" s="129">
        <f>VLOOKUP(C23,'Stochastik B'!C$7:$I29,7,0)</f>
        <v>0</v>
      </c>
      <c r="H23" s="129">
        <f>VLOOKUP(C23,'Geometrie A'!C$7:$F29,4,0)</f>
        <v>0</v>
      </c>
      <c r="I23" s="129">
        <f>VLOOKUP(C23,'Geometrie B'!C$7:$I29,7,0)</f>
        <v>0</v>
      </c>
      <c r="J23" s="129">
        <f>VLOOKUP(C23,Wahlaufgaben!C$7:$I29,7,0)</f>
        <v>0</v>
      </c>
      <c r="K23" s="113">
        <f t="shared" si="0"/>
        <v>0</v>
      </c>
      <c r="L23" s="132">
        <f>VLOOKUP(VALUE(K23),Notenspiegel!$B$3:$C$302,2,0)</f>
        <v>0</v>
      </c>
      <c r="M23" s="134">
        <f>VLOOKUP(VALUE(K23),Notenspiegel!$B$3:$D$302,3,0)</f>
        <v>6</v>
      </c>
      <c r="N23" s="94" t="str">
        <f>VLOOKUP(VALUE(K23),Notenspiegel!$B$3:$E$302,4,0)</f>
        <v/>
      </c>
    </row>
    <row r="24" spans="2:14" ht="18" customHeight="1" thickBot="1" x14ac:dyDescent="0.3">
      <c r="B24" s="119">
        <v>18</v>
      </c>
      <c r="C24" s="111" t="str">
        <f>Config!C22&amp;", "&amp;Config!D22</f>
        <v>Hartmann, Mads</v>
      </c>
      <c r="D24" s="129">
        <f>VLOOKUP(C24,'Analysis A'!C$7:$J29,8,0)</f>
        <v>0</v>
      </c>
      <c r="E24" s="129">
        <f>VLOOKUP(C24,'Analysis B'!C$7:$N29,12,0)</f>
        <v>0</v>
      </c>
      <c r="F24" s="129">
        <f>VLOOKUP(C24,'Stochastik A'!C$7:$E29,3,0)</f>
        <v>0</v>
      </c>
      <c r="G24" s="129">
        <f>VLOOKUP(C24,'Stochastik B'!C$7:$I29,7,0)</f>
        <v>0</v>
      </c>
      <c r="H24" s="129">
        <f>VLOOKUP(C24,'Geometrie A'!C$7:$F29,4,0)</f>
        <v>0</v>
      </c>
      <c r="I24" s="129">
        <f>VLOOKUP(C24,'Geometrie B'!C$7:$I29,7,0)</f>
        <v>0</v>
      </c>
      <c r="J24" s="129">
        <f>VLOOKUP(C24,Wahlaufgaben!C$7:$I29,7,0)</f>
        <v>0</v>
      </c>
      <c r="K24" s="113">
        <f t="shared" si="0"/>
        <v>0</v>
      </c>
      <c r="L24" s="132">
        <f>VLOOKUP(VALUE(K24),Notenspiegel!$B$3:$C$302,2,0)</f>
        <v>0</v>
      </c>
      <c r="M24" s="134">
        <f>VLOOKUP(VALUE(K24),Notenspiegel!$B$3:$D$302,3,0)</f>
        <v>6</v>
      </c>
      <c r="N24" s="94" t="str">
        <f>VLOOKUP(VALUE(K24),Notenspiegel!$B$3:$E$302,4,0)</f>
        <v/>
      </c>
    </row>
    <row r="25" spans="2:14" ht="18" customHeight="1" thickBot="1" x14ac:dyDescent="0.3">
      <c r="B25" s="119">
        <v>19</v>
      </c>
      <c r="C25" s="111" t="str">
        <f>Config!C23&amp;", "&amp;Config!D23</f>
        <v>Ullmann, Raphael</v>
      </c>
      <c r="D25" s="129">
        <f>VLOOKUP(C25,'Analysis A'!C$7:$J29,8,0)</f>
        <v>0</v>
      </c>
      <c r="E25" s="129">
        <f>VLOOKUP(C25,'Analysis B'!C$7:$N29,12,0)</f>
        <v>0</v>
      </c>
      <c r="F25" s="129">
        <f>VLOOKUP(C25,'Stochastik A'!C$7:$E29,3,0)</f>
        <v>0</v>
      </c>
      <c r="G25" s="129">
        <f>VLOOKUP(C25,'Stochastik B'!C$7:$I29,7,0)</f>
        <v>0</v>
      </c>
      <c r="H25" s="129">
        <f>VLOOKUP(C25,'Geometrie A'!C$7:$F29,4,0)</f>
        <v>0</v>
      </c>
      <c r="I25" s="129">
        <f>VLOOKUP(C25,'Geometrie B'!C$7:$I29,7,0)</f>
        <v>0</v>
      </c>
      <c r="J25" s="129">
        <f>VLOOKUP(C25,Wahlaufgaben!C$7:$I29,7,0)</f>
        <v>0</v>
      </c>
      <c r="K25" s="113">
        <f t="shared" si="0"/>
        <v>0</v>
      </c>
      <c r="L25" s="132">
        <f>VLOOKUP(VALUE(K25),Notenspiegel!$B$3:$C$302,2,0)</f>
        <v>0</v>
      </c>
      <c r="M25" s="134">
        <f>VLOOKUP(VALUE(K25),Notenspiegel!$B$3:$D$302,3,0)</f>
        <v>6</v>
      </c>
      <c r="N25" s="94" t="str">
        <f>VLOOKUP(VALUE(K25),Notenspiegel!$B$3:$E$302,4,0)</f>
        <v/>
      </c>
    </row>
    <row r="26" spans="2:14" ht="18" customHeight="1" thickBot="1" x14ac:dyDescent="0.3">
      <c r="B26" s="119">
        <v>20</v>
      </c>
      <c r="C26" s="111" t="str">
        <f>Config!C24&amp;", "&amp;Config!D24</f>
        <v>Hartl, Emmely</v>
      </c>
      <c r="D26" s="129">
        <f>VLOOKUP(C26,'Analysis A'!C$7:$J29,8,0)</f>
        <v>0</v>
      </c>
      <c r="E26" s="129">
        <f>VLOOKUP(C26,'Analysis B'!C$7:$N29,12,0)</f>
        <v>0</v>
      </c>
      <c r="F26" s="129">
        <f>VLOOKUP(C26,'Stochastik A'!C$7:$E29,3,0)</f>
        <v>0</v>
      </c>
      <c r="G26" s="129">
        <f>VLOOKUP(C26,'Stochastik B'!C$7:$I29,7,0)</f>
        <v>0</v>
      </c>
      <c r="H26" s="129">
        <f>VLOOKUP(C26,'Geometrie A'!C$7:$F29,4,0)</f>
        <v>0</v>
      </c>
      <c r="I26" s="129">
        <f>VLOOKUP(C26,'Geometrie B'!C$7:$I29,7,0)</f>
        <v>0</v>
      </c>
      <c r="J26" s="129">
        <f>VLOOKUP(C26,Wahlaufgaben!C$7:$I29,7,0)</f>
        <v>0</v>
      </c>
      <c r="K26" s="113">
        <f t="shared" si="0"/>
        <v>0</v>
      </c>
      <c r="L26" s="132">
        <f>VLOOKUP(VALUE(K26),Notenspiegel!$B$3:$C$302,2,0)</f>
        <v>0</v>
      </c>
      <c r="M26" s="134">
        <f>VLOOKUP(VALUE(K26),Notenspiegel!$B$3:$D$302,3,0)</f>
        <v>6</v>
      </c>
      <c r="N26" s="94" t="str">
        <f>VLOOKUP(VALUE(K26),Notenspiegel!$B$3:$E$302,4,0)</f>
        <v/>
      </c>
    </row>
    <row r="27" spans="2:14" ht="18" customHeight="1" thickBot="1" x14ac:dyDescent="0.3">
      <c r="B27" s="119">
        <v>21</v>
      </c>
      <c r="C27" s="111" t="str">
        <f>Config!C25&amp;", "&amp;Config!D25</f>
        <v>Klotz, Karin</v>
      </c>
      <c r="D27" s="129">
        <f>VLOOKUP(C27,'Analysis A'!C$7:$J29,8,0)</f>
        <v>0</v>
      </c>
      <c r="E27" s="129">
        <f>VLOOKUP(C27,'Analysis B'!C$7:$N29,12,0)</f>
        <v>0</v>
      </c>
      <c r="F27" s="129">
        <f>VLOOKUP(C27,'Stochastik A'!C$7:$E29,3,0)</f>
        <v>0</v>
      </c>
      <c r="G27" s="129">
        <f>VLOOKUP(C27,'Stochastik B'!C$7:$I29,7,0)</f>
        <v>0</v>
      </c>
      <c r="H27" s="129">
        <f>VLOOKUP(C27,'Geometrie A'!C$7:$F29,4,0)</f>
        <v>0</v>
      </c>
      <c r="I27" s="129">
        <f>VLOOKUP(C27,'Geometrie B'!C$7:$I29,7,0)</f>
        <v>0</v>
      </c>
      <c r="J27" s="129">
        <f>VLOOKUP(C27,Wahlaufgaben!C$7:$I29,7,0)</f>
        <v>0</v>
      </c>
      <c r="K27" s="113">
        <f t="shared" si="0"/>
        <v>0</v>
      </c>
      <c r="L27" s="132">
        <f>VLOOKUP(VALUE(K27),Notenspiegel!$B$3:$C$302,2,0)</f>
        <v>0</v>
      </c>
      <c r="M27" s="134">
        <f>VLOOKUP(VALUE(K27),Notenspiegel!$B$3:$D$302,3,0)</f>
        <v>6</v>
      </c>
      <c r="N27" s="94" t="str">
        <f>VLOOKUP(VALUE(K27),Notenspiegel!$B$3:$E$302,4,0)</f>
        <v/>
      </c>
    </row>
    <row r="28" spans="2:14" ht="18" customHeight="1" thickBot="1" x14ac:dyDescent="0.3">
      <c r="B28" s="119">
        <v>22</v>
      </c>
      <c r="C28" s="111" t="str">
        <f>Config!C26&amp;", "&amp;Config!D26</f>
        <v>Ehlers, Ingo</v>
      </c>
      <c r="D28" s="129">
        <f>VLOOKUP(C28,'Analysis A'!C$7:$J29,8,0)</f>
        <v>0</v>
      </c>
      <c r="E28" s="129">
        <f>VLOOKUP(C28,'Analysis B'!C$7:$N29,12,0)</f>
        <v>0</v>
      </c>
      <c r="F28" s="129">
        <f>VLOOKUP(C28,'Stochastik A'!C$7:$E29,3,0)</f>
        <v>0</v>
      </c>
      <c r="G28" s="129">
        <f>VLOOKUP(C28,'Stochastik B'!C$7:$I29,7,0)</f>
        <v>0</v>
      </c>
      <c r="H28" s="129">
        <f>VLOOKUP(C28,'Geometrie A'!C$7:$F29,4,0)</f>
        <v>0</v>
      </c>
      <c r="I28" s="129">
        <f>VLOOKUP(C28,'Geometrie B'!C$7:$I29,7,0)</f>
        <v>0</v>
      </c>
      <c r="J28" s="129">
        <f>VLOOKUP(C28,Wahlaufgaben!C$7:$I29,7,0)</f>
        <v>0</v>
      </c>
      <c r="K28" s="113">
        <f t="shared" si="0"/>
        <v>0</v>
      </c>
      <c r="L28" s="132">
        <f>VLOOKUP(VALUE(K28),Notenspiegel!$B$3:$C$302,2,0)</f>
        <v>0</v>
      </c>
      <c r="M28" s="134">
        <f>VLOOKUP(VALUE(K28),Notenspiegel!$B$3:$D$302,3,0)</f>
        <v>6</v>
      </c>
      <c r="N28" s="94" t="str">
        <f>VLOOKUP(VALUE(K28),Notenspiegel!$B$3:$E$302,4,0)</f>
        <v/>
      </c>
    </row>
    <row r="29" spans="2:14" ht="18" customHeight="1" thickBot="1" x14ac:dyDescent="0.3">
      <c r="B29" s="120">
        <v>23</v>
      </c>
      <c r="C29" s="117" t="str">
        <f>Config!C27&amp;", "&amp;Config!D27</f>
        <v>Lindemann, Mads</v>
      </c>
      <c r="D29" s="137">
        <f>VLOOKUP(C29,'Analysis A'!C$7:$J29,8,0)</f>
        <v>0</v>
      </c>
      <c r="E29" s="137">
        <f>VLOOKUP(C29,'Analysis B'!C$7:$N29,12,0)</f>
        <v>0</v>
      </c>
      <c r="F29" s="137">
        <f>VLOOKUP(C29,'Stochastik A'!C$7:$E29,3,0)</f>
        <v>0</v>
      </c>
      <c r="G29" s="137">
        <f>VLOOKUP(C29,'Stochastik B'!C$7:$I29,7,0)</f>
        <v>0</v>
      </c>
      <c r="H29" s="137">
        <f>VLOOKUP(C29,'Geometrie A'!C$7:$F29,4,0)</f>
        <v>0</v>
      </c>
      <c r="I29" s="137">
        <f>VLOOKUP(C29,'Geometrie B'!C$7:$I29,7,0)</f>
        <v>0</v>
      </c>
      <c r="J29" s="137">
        <f>VLOOKUP(C29,Wahlaufgaben!C$7:$I29,7,0)</f>
        <v>0</v>
      </c>
      <c r="K29" s="113">
        <f t="shared" si="0"/>
        <v>0</v>
      </c>
      <c r="L29" s="135">
        <f>VLOOKUP(VALUE(K29),Notenspiegel!$B$3:$C$302,2,0)</f>
        <v>0</v>
      </c>
      <c r="M29" s="136">
        <f>VLOOKUP(VALUE(K29),Notenspiegel!$B$3:$D$302,3,0)</f>
        <v>6</v>
      </c>
      <c r="N29" s="94" t="str">
        <f>VLOOKUP(VALUE(K29),Notenspiegel!$B$3:$E$302,4,0)</f>
        <v/>
      </c>
    </row>
    <row r="30" spans="2:14" ht="18" customHeight="1" thickBot="1" x14ac:dyDescent="0.3">
      <c r="B30" s="68"/>
      <c r="C30" s="69"/>
      <c r="D30" s="69">
        <f t="shared" ref="D30:J30" si="1">SUM(D7:D29)/(23*D6)</f>
        <v>6.0869565217391307E-2</v>
      </c>
      <c r="E30" s="69">
        <f t="shared" si="1"/>
        <v>2.1739130434782608E-2</v>
      </c>
      <c r="F30" s="69">
        <f t="shared" si="1"/>
        <v>0</v>
      </c>
      <c r="G30" s="69">
        <f t="shared" si="1"/>
        <v>0</v>
      </c>
      <c r="H30" s="69">
        <f t="shared" si="1"/>
        <v>0</v>
      </c>
      <c r="I30" s="69">
        <f t="shared" si="1"/>
        <v>0</v>
      </c>
      <c r="J30" s="69">
        <f t="shared" si="1"/>
        <v>0</v>
      </c>
      <c r="K30" s="69" t="s">
        <v>85</v>
      </c>
      <c r="L30" s="70">
        <f>AVERAGE(L7:L29)</f>
        <v>8.6956521739130432E-2</v>
      </c>
      <c r="M30" s="81">
        <f t="array" ref="M30">AVERAGE(SUBSTITUTE(SUBSTITUTE(M7:M29,"+",""),"-","")*1)</f>
        <v>5.9565217391304346</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40320-6ED4-46E1-96B1-4D29EF4C4AF1}">
  <sheetPr codeName="Tabelle144">
    <tabColor rgb="FF92D050"/>
  </sheetPr>
  <dimension ref="B1:J100"/>
  <sheetViews>
    <sheetView workbookViewId="0">
      <selection activeCell="H16" sqref="H16"/>
    </sheetView>
  </sheetViews>
  <sheetFormatPr baseColWidth="10" defaultRowHeight="13.2" x14ac:dyDescent="0.25"/>
  <cols>
    <col min="1" max="2" width="3.44140625" style="94" customWidth="1"/>
    <col min="3" max="3" width="25.77734375" style="94" customWidth="1"/>
    <col min="4" max="10" width="8.77734375" style="94" customWidth="1"/>
    <col min="11" max="16384" width="11.5546875" style="94"/>
  </cols>
  <sheetData>
    <row r="1" spans="2:10" ht="18" customHeight="1" thickBot="1" x14ac:dyDescent="0.3"/>
    <row r="2" spans="2:10" ht="18" customHeight="1" x14ac:dyDescent="0.25">
      <c r="B2" s="95" t="str">
        <f>Config!F2&amp;" "&amp;YEAR(Config!G24)</f>
        <v>Mathe Abitur 2026</v>
      </c>
      <c r="C2" s="96"/>
      <c r="D2" s="96"/>
      <c r="E2" s="96"/>
      <c r="F2" s="96"/>
      <c r="G2" s="97"/>
      <c r="H2" s="97"/>
      <c r="I2" s="97"/>
      <c r="J2" s="98" t="str">
        <f>"Kurs "&amp;Config!G26</f>
        <v>Kurs K1</v>
      </c>
    </row>
    <row r="3" spans="2:10" ht="18" customHeight="1" x14ac:dyDescent="0.25">
      <c r="B3" s="99" t="s">
        <v>9</v>
      </c>
      <c r="C3" s="100"/>
      <c r="D3" s="100"/>
      <c r="E3" s="100"/>
      <c r="F3" s="100"/>
      <c r="G3" s="100"/>
      <c r="H3" s="100"/>
      <c r="I3" s="100"/>
      <c r="J3" s="101"/>
    </row>
    <row r="4" spans="2:10" ht="18" customHeight="1" thickBot="1" x14ac:dyDescent="0.3">
      <c r="B4" s="99"/>
      <c r="C4" s="100"/>
      <c r="D4" s="102"/>
      <c r="E4" s="102"/>
      <c r="F4" s="102"/>
      <c r="G4" s="102"/>
      <c r="H4" s="102"/>
      <c r="I4" s="102"/>
      <c r="J4" s="103"/>
    </row>
    <row r="5" spans="2:10" ht="18" customHeight="1" thickBot="1" x14ac:dyDescent="0.3">
      <c r="B5" s="104"/>
      <c r="C5" s="106"/>
      <c r="D5" s="123" t="str">
        <f>Config!F6</f>
        <v>1a</v>
      </c>
      <c r="E5" s="123" t="str">
        <f>Config!F7</f>
        <v>1b</v>
      </c>
      <c r="F5" s="123" t="str">
        <f>Config!F8</f>
        <v>2</v>
      </c>
      <c r="G5" s="123" t="str">
        <f>Config!F9</f>
        <v>3</v>
      </c>
      <c r="H5" s="123" t="str">
        <f>Config!F10</f>
        <v>4a</v>
      </c>
      <c r="I5" s="123" t="str">
        <f>Config!F11</f>
        <v>4b</v>
      </c>
      <c r="J5" s="110" t="s">
        <v>82</v>
      </c>
    </row>
    <row r="6" spans="2:10" ht="18" customHeight="1" thickBot="1" x14ac:dyDescent="0.3">
      <c r="B6" s="105"/>
      <c r="C6" s="107" t="s">
        <v>81</v>
      </c>
      <c r="D6" s="109">
        <f>Config!G6</f>
        <v>2</v>
      </c>
      <c r="E6" s="109">
        <f>Config!G7</f>
        <v>2</v>
      </c>
      <c r="F6" s="109">
        <f>Config!G8</f>
        <v>3</v>
      </c>
      <c r="G6" s="109">
        <f>Config!G9</f>
        <v>3</v>
      </c>
      <c r="H6" s="109">
        <f>Config!G10</f>
        <v>3</v>
      </c>
      <c r="I6" s="109">
        <f>Config!G11</f>
        <v>2</v>
      </c>
      <c r="J6" s="124">
        <f>Config!G21</f>
        <v>15</v>
      </c>
    </row>
    <row r="7" spans="2:10" ht="18" customHeight="1" thickBot="1" x14ac:dyDescent="0.3">
      <c r="B7" s="118">
        <v>1</v>
      </c>
      <c r="C7" s="116" t="str">
        <f>Config!C5&amp;", "&amp;Config!D5</f>
        <v>Höfer, Simon</v>
      </c>
      <c r="D7" s="63">
        <v>2</v>
      </c>
      <c r="E7" s="63">
        <v>2</v>
      </c>
      <c r="F7" s="63">
        <v>3</v>
      </c>
      <c r="G7" s="63">
        <v>3</v>
      </c>
      <c r="H7" s="63">
        <v>3</v>
      </c>
      <c r="I7" s="64">
        <v>2</v>
      </c>
      <c r="J7" s="114">
        <f t="shared" ref="J7:J29" si="0">SUM(D7:I7)</f>
        <v>15</v>
      </c>
    </row>
    <row r="8" spans="2:10" ht="18" customHeight="1" thickBot="1" x14ac:dyDescent="0.3">
      <c r="B8" s="119">
        <v>2</v>
      </c>
      <c r="C8" s="111" t="str">
        <f>Config!C6&amp;", "&amp;Config!D6</f>
        <v>Töpfer, Lilian</v>
      </c>
      <c r="D8" s="62">
        <v>1</v>
      </c>
      <c r="E8" s="62">
        <v>1</v>
      </c>
      <c r="F8" s="62">
        <v>1</v>
      </c>
      <c r="G8" s="62">
        <v>1</v>
      </c>
      <c r="H8" s="62">
        <v>1</v>
      </c>
      <c r="I8" s="65">
        <v>1</v>
      </c>
      <c r="J8" s="114">
        <f t="shared" si="0"/>
        <v>6</v>
      </c>
    </row>
    <row r="9" spans="2:10" ht="18" customHeight="1" thickBot="1" x14ac:dyDescent="0.3">
      <c r="B9" s="119">
        <v>3</v>
      </c>
      <c r="C9" s="111" t="str">
        <f>Config!C7&amp;", "&amp;Config!D7</f>
        <v>Fleischmann, Leonie</v>
      </c>
      <c r="D9" s="62"/>
      <c r="E9" s="62"/>
      <c r="F9" s="62"/>
      <c r="G9" s="62"/>
      <c r="H9" s="62"/>
      <c r="I9" s="65"/>
      <c r="J9" s="114">
        <f t="shared" si="0"/>
        <v>0</v>
      </c>
    </row>
    <row r="10" spans="2:10" ht="18" customHeight="1" thickBot="1" x14ac:dyDescent="0.3">
      <c r="B10" s="119">
        <v>4</v>
      </c>
      <c r="C10" s="111" t="str">
        <f>Config!C8&amp;", "&amp;Config!D8</f>
        <v>Drescher, Cedric</v>
      </c>
      <c r="D10" s="62"/>
      <c r="E10" s="62"/>
      <c r="F10" s="62"/>
      <c r="G10" s="62"/>
      <c r="H10" s="62"/>
      <c r="I10" s="65"/>
      <c r="J10" s="114">
        <f t="shared" si="0"/>
        <v>0</v>
      </c>
    </row>
    <row r="11" spans="2:10" ht="18" customHeight="1" thickBot="1" x14ac:dyDescent="0.3">
      <c r="B11" s="119">
        <v>5</v>
      </c>
      <c r="C11" s="111" t="str">
        <f>Config!C9&amp;", "&amp;Config!D9</f>
        <v>Baumgarten, Annabell</v>
      </c>
      <c r="D11" s="62"/>
      <c r="E11" s="62"/>
      <c r="F11" s="62"/>
      <c r="G11" s="62"/>
      <c r="H11" s="62"/>
      <c r="I11" s="65"/>
      <c r="J11" s="114">
        <f t="shared" si="0"/>
        <v>0</v>
      </c>
    </row>
    <row r="12" spans="2:10" ht="18" customHeight="1" thickBot="1" x14ac:dyDescent="0.3">
      <c r="B12" s="119">
        <v>6</v>
      </c>
      <c r="C12" s="111" t="str">
        <f>Config!C10&amp;", "&amp;Config!D10</f>
        <v>Traut, Stefanie</v>
      </c>
      <c r="D12" s="62"/>
      <c r="E12" s="62"/>
      <c r="F12" s="62"/>
      <c r="G12" s="62"/>
      <c r="H12" s="62"/>
      <c r="I12" s="65"/>
      <c r="J12" s="114">
        <f t="shared" si="0"/>
        <v>0</v>
      </c>
    </row>
    <row r="13" spans="2:10" ht="18" customHeight="1" thickBot="1" x14ac:dyDescent="0.3">
      <c r="B13" s="119">
        <v>7</v>
      </c>
      <c r="C13" s="111" t="str">
        <f>Config!C11&amp;", "&amp;Config!D11</f>
        <v>Menke, Damian</v>
      </c>
      <c r="D13" s="62"/>
      <c r="E13" s="62"/>
      <c r="F13" s="62"/>
      <c r="G13" s="62"/>
      <c r="H13" s="62"/>
      <c r="I13" s="65"/>
      <c r="J13" s="114">
        <f t="shared" si="0"/>
        <v>0</v>
      </c>
    </row>
    <row r="14" spans="2:10" ht="18" customHeight="1" thickBot="1" x14ac:dyDescent="0.3">
      <c r="B14" s="119">
        <v>8</v>
      </c>
      <c r="C14" s="111" t="str">
        <f>Config!C12&amp;", "&amp;Config!D12</f>
        <v>Carroll, Meik</v>
      </c>
      <c r="D14" s="62"/>
      <c r="E14" s="62"/>
      <c r="F14" s="62"/>
      <c r="G14" s="62"/>
      <c r="H14" s="62"/>
      <c r="I14" s="65"/>
      <c r="J14" s="114">
        <f t="shared" si="0"/>
        <v>0</v>
      </c>
    </row>
    <row r="15" spans="2:10" ht="18" customHeight="1" thickBot="1" x14ac:dyDescent="0.3">
      <c r="B15" s="119">
        <v>9</v>
      </c>
      <c r="C15" s="111" t="str">
        <f>Config!C13&amp;", "&amp;Config!D13</f>
        <v>Hennings, Tomas</v>
      </c>
      <c r="D15" s="62"/>
      <c r="E15" s="62"/>
      <c r="F15" s="62"/>
      <c r="G15" s="62"/>
      <c r="H15" s="62"/>
      <c r="I15" s="65"/>
      <c r="J15" s="114">
        <f t="shared" si="0"/>
        <v>0</v>
      </c>
    </row>
    <row r="16" spans="2:10" ht="18" customHeight="1" thickBot="1" x14ac:dyDescent="0.3">
      <c r="B16" s="119">
        <v>10</v>
      </c>
      <c r="C16" s="111" t="str">
        <f>Config!C14&amp;", "&amp;Config!D14</f>
        <v>Walters, Linn</v>
      </c>
      <c r="D16" s="62"/>
      <c r="E16" s="62"/>
      <c r="F16" s="62"/>
      <c r="G16" s="62"/>
      <c r="H16" s="62"/>
      <c r="I16" s="65"/>
      <c r="J16" s="114">
        <f t="shared" si="0"/>
        <v>0</v>
      </c>
    </row>
    <row r="17" spans="2:10" ht="18" customHeight="1" thickBot="1" x14ac:dyDescent="0.3">
      <c r="B17" s="119">
        <v>11</v>
      </c>
      <c r="C17" s="111" t="str">
        <f>Config!C15&amp;", "&amp;Config!D15</f>
        <v>Junker, Amely</v>
      </c>
      <c r="D17" s="62"/>
      <c r="E17" s="62"/>
      <c r="F17" s="62"/>
      <c r="G17" s="62"/>
      <c r="H17" s="62"/>
      <c r="I17" s="65"/>
      <c r="J17" s="114">
        <f t="shared" si="0"/>
        <v>0</v>
      </c>
    </row>
    <row r="18" spans="2:10" ht="18" customHeight="1" thickBot="1" x14ac:dyDescent="0.3">
      <c r="B18" s="119">
        <v>12</v>
      </c>
      <c r="C18" s="111" t="str">
        <f>Config!C16&amp;", "&amp;Config!D16</f>
        <v>Stephens, Melvin</v>
      </c>
      <c r="D18" s="62"/>
      <c r="E18" s="62"/>
      <c r="F18" s="62"/>
      <c r="G18" s="62"/>
      <c r="H18" s="62"/>
      <c r="I18" s="65"/>
      <c r="J18" s="114">
        <f t="shared" si="0"/>
        <v>0</v>
      </c>
    </row>
    <row r="19" spans="2:10" ht="18" customHeight="1" thickBot="1" x14ac:dyDescent="0.3">
      <c r="B19" s="119">
        <v>13</v>
      </c>
      <c r="C19" s="111" t="str">
        <f>Config!C17&amp;", "&amp;Config!D17</f>
        <v>Cremer, Marvin</v>
      </c>
      <c r="D19" s="62"/>
      <c r="E19" s="62"/>
      <c r="F19" s="62"/>
      <c r="G19" s="62"/>
      <c r="H19" s="62"/>
      <c r="I19" s="65"/>
      <c r="J19" s="114">
        <f t="shared" si="0"/>
        <v>0</v>
      </c>
    </row>
    <row r="20" spans="2:10" ht="18" customHeight="1" thickBot="1" x14ac:dyDescent="0.3">
      <c r="B20" s="119">
        <v>14</v>
      </c>
      <c r="C20" s="111" t="str">
        <f>Config!C18&amp;", "&amp;Config!D18</f>
        <v>Nash, Jean</v>
      </c>
      <c r="D20" s="62"/>
      <c r="E20" s="62"/>
      <c r="F20" s="62"/>
      <c r="G20" s="62"/>
      <c r="H20" s="62"/>
      <c r="I20" s="65"/>
      <c r="J20" s="114">
        <f t="shared" si="0"/>
        <v>0</v>
      </c>
    </row>
    <row r="21" spans="2:10" ht="18" customHeight="1" thickBot="1" x14ac:dyDescent="0.3">
      <c r="B21" s="119">
        <v>15</v>
      </c>
      <c r="C21" s="111" t="str">
        <f>Config!C19&amp;", "&amp;Config!D19</f>
        <v>Schön, Leonardo</v>
      </c>
      <c r="D21" s="62"/>
      <c r="E21" s="62"/>
      <c r="F21" s="62"/>
      <c r="G21" s="62"/>
      <c r="H21" s="62"/>
      <c r="I21" s="65"/>
      <c r="J21" s="114">
        <f t="shared" si="0"/>
        <v>0</v>
      </c>
    </row>
    <row r="22" spans="2:10" ht="18" customHeight="1" thickBot="1" x14ac:dyDescent="0.3">
      <c r="B22" s="119">
        <v>16</v>
      </c>
      <c r="C22" s="111" t="str">
        <f>Config!C20&amp;", "&amp;Config!D20</f>
        <v>Sigl, Nicholas</v>
      </c>
      <c r="D22" s="62"/>
      <c r="E22" s="62"/>
      <c r="F22" s="62"/>
      <c r="G22" s="62"/>
      <c r="H22" s="62"/>
      <c r="I22" s="65"/>
      <c r="J22" s="114">
        <f t="shared" si="0"/>
        <v>0</v>
      </c>
    </row>
    <row r="23" spans="2:10" ht="18" customHeight="1" thickBot="1" x14ac:dyDescent="0.3">
      <c r="B23" s="119">
        <v>17</v>
      </c>
      <c r="C23" s="111" t="str">
        <f>Config!C21&amp;", "&amp;Config!D21</f>
        <v>Kainz, Vivienne</v>
      </c>
      <c r="D23" s="62"/>
      <c r="E23" s="62"/>
      <c r="F23" s="62"/>
      <c r="G23" s="62"/>
      <c r="H23" s="62"/>
      <c r="I23" s="65"/>
      <c r="J23" s="114">
        <f t="shared" si="0"/>
        <v>0</v>
      </c>
    </row>
    <row r="24" spans="2:10" ht="18" customHeight="1" thickBot="1" x14ac:dyDescent="0.3">
      <c r="B24" s="119">
        <v>18</v>
      </c>
      <c r="C24" s="111" t="str">
        <f>Config!C22&amp;", "&amp;Config!D22</f>
        <v>Hartmann, Mads</v>
      </c>
      <c r="D24" s="62"/>
      <c r="E24" s="62"/>
      <c r="F24" s="62"/>
      <c r="G24" s="62"/>
      <c r="H24" s="62"/>
      <c r="I24" s="65"/>
      <c r="J24" s="114">
        <f t="shared" si="0"/>
        <v>0</v>
      </c>
    </row>
    <row r="25" spans="2:10" ht="18" customHeight="1" thickBot="1" x14ac:dyDescent="0.3">
      <c r="B25" s="119">
        <v>19</v>
      </c>
      <c r="C25" s="111" t="str">
        <f>Config!C23&amp;", "&amp;Config!D23</f>
        <v>Ullmann, Raphael</v>
      </c>
      <c r="D25" s="62"/>
      <c r="E25" s="62"/>
      <c r="F25" s="62"/>
      <c r="G25" s="62"/>
      <c r="H25" s="62"/>
      <c r="I25" s="65"/>
      <c r="J25" s="114">
        <f t="shared" si="0"/>
        <v>0</v>
      </c>
    </row>
    <row r="26" spans="2:10" ht="18" customHeight="1" thickBot="1" x14ac:dyDescent="0.3">
      <c r="B26" s="119">
        <v>20</v>
      </c>
      <c r="C26" s="111" t="str">
        <f>Config!C24&amp;", "&amp;Config!D24</f>
        <v>Hartl, Emmely</v>
      </c>
      <c r="D26" s="62"/>
      <c r="E26" s="62"/>
      <c r="F26" s="62"/>
      <c r="G26" s="62"/>
      <c r="H26" s="62"/>
      <c r="I26" s="65"/>
      <c r="J26" s="114">
        <f t="shared" si="0"/>
        <v>0</v>
      </c>
    </row>
    <row r="27" spans="2:10" ht="18" customHeight="1" thickBot="1" x14ac:dyDescent="0.3">
      <c r="B27" s="119">
        <v>21</v>
      </c>
      <c r="C27" s="111" t="str">
        <f>Config!C25&amp;", "&amp;Config!D25</f>
        <v>Klotz, Karin</v>
      </c>
      <c r="D27" s="62"/>
      <c r="E27" s="62"/>
      <c r="F27" s="62"/>
      <c r="G27" s="62"/>
      <c r="H27" s="62"/>
      <c r="I27" s="65"/>
      <c r="J27" s="114">
        <f t="shared" si="0"/>
        <v>0</v>
      </c>
    </row>
    <row r="28" spans="2:10" ht="18" customHeight="1" thickBot="1" x14ac:dyDescent="0.3">
      <c r="B28" s="119">
        <v>22</v>
      </c>
      <c r="C28" s="111" t="str">
        <f>Config!C26&amp;", "&amp;Config!D26</f>
        <v>Ehlers, Ingo</v>
      </c>
      <c r="D28" s="62"/>
      <c r="E28" s="62"/>
      <c r="F28" s="62"/>
      <c r="G28" s="62"/>
      <c r="H28" s="62"/>
      <c r="I28" s="65"/>
      <c r="J28" s="114">
        <f t="shared" si="0"/>
        <v>0</v>
      </c>
    </row>
    <row r="29" spans="2:10" ht="18" customHeight="1" thickBot="1" x14ac:dyDescent="0.3">
      <c r="B29" s="120">
        <v>23</v>
      </c>
      <c r="C29" s="117" t="str">
        <f>Config!C27&amp;", "&amp;Config!D27</f>
        <v>Lindemann, Mads</v>
      </c>
      <c r="D29" s="66"/>
      <c r="E29" s="66"/>
      <c r="F29" s="66"/>
      <c r="G29" s="66"/>
      <c r="H29" s="66"/>
      <c r="I29" s="67"/>
      <c r="J29" s="112">
        <f t="shared" si="0"/>
        <v>0</v>
      </c>
    </row>
    <row r="30" spans="2:10" ht="18" customHeight="1" thickBot="1" x14ac:dyDescent="0.3">
      <c r="B30" s="121"/>
      <c r="C30" s="122"/>
      <c r="D30" s="122">
        <f>IF(COUNTIFS(D7:D29,"&lt;&gt;",C7:C29,"&lt;&gt;ZK",C7:C29,"&lt;&gt;DK")&lt;&gt;0,SUMIFS(D7:D29,C7:C29,"&lt;&gt;ZK",C7:C29,"&lt;&gt;DK")/(COUNTIFS(D7:D29,"&lt;&gt;",C7:C29,"&lt;&gt;ZK",C7:C29,"&lt;&gt;DK")*D6),0)</f>
        <v>0.75</v>
      </c>
      <c r="E30" s="122">
        <f>IF(COUNTIFS(E7:E29,"&lt;&gt;",C7:C29,"&lt;&gt;ZK",C7:C29,"&lt;&gt;DK")&lt;&gt;0,SUMIFS(E7:E29,C7:C29,"&lt;&gt;ZK",C7:C29,"&lt;&gt;DK")/(COUNTIFS(E7:E29,"&lt;&gt;",C7:C29,"&lt;&gt;ZK",C7:C29,"&lt;&gt;DK")*E6),0)</f>
        <v>0.75</v>
      </c>
      <c r="F30" s="122">
        <f>IF(COUNTIFS(F7:F29,"&lt;&gt;",C7:C29,"&lt;&gt;ZK",C7:C29,"&lt;&gt;DK")&lt;&gt;0,SUMIFS(F7:F29,C7:C29,"&lt;&gt;ZK",C7:C29,"&lt;&gt;DK")/(COUNTIFS(F7:F29,"&lt;&gt;",C7:C29,"&lt;&gt;ZK",C7:C29,"&lt;&gt;DK")*F6),0)</f>
        <v>0.66666666666666663</v>
      </c>
      <c r="G30" s="122">
        <f>IF(COUNTIFS(G7:G29,"&lt;&gt;",C7:C29,"&lt;&gt;ZK",C7:C29,"&lt;&gt;DK")&lt;&gt;0,SUMIFS(G7:G29,C7:C29,"&lt;&gt;ZK",C7:C29,"&lt;&gt;DK")/(COUNTIFS(G7:G29,"&lt;&gt;",C7:C29,"&lt;&gt;ZK",C7:C29,"&lt;&gt;DK")*G6),0)</f>
        <v>0.66666666666666663</v>
      </c>
      <c r="H30" s="122">
        <f>IF(COUNTIFS(H7:H29,"&lt;&gt;",C7:C29,"&lt;&gt;ZK",C7:C29,"&lt;&gt;DK")&lt;&gt;0,SUMIFS(H7:H29,C7:C29,"&lt;&gt;ZK",C7:C29,"&lt;&gt;DK")/(COUNTIFS(H7:H29,"&lt;&gt;",C7:C29,"&lt;&gt;ZK",C7:C29,"&lt;&gt;DK")*H6),0)</f>
        <v>0.66666666666666663</v>
      </c>
      <c r="I30" s="122">
        <f>IF(COUNTIFS(I7:I29,"&lt;&gt;",C7:C29,"&lt;&gt;ZK",C7:C29,"&lt;&gt;DK")&lt;&gt;0,SUMIFS(I7:I29,C7:C29,"&lt;&gt;ZK",C7:C29,"&lt;&gt;DK")/(COUNTIFS(I7:I29,"&lt;&gt;",C7:C29,"&lt;&gt;ZK",C7:C29,"&lt;&gt;DK")*I6),0)</f>
        <v>0.75</v>
      </c>
      <c r="J30" s="115"/>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6">
    <dataValidation type="decimal" allowBlank="1" showErrorMessage="1" sqref="D7:D29" xr:uid="{B5879EB6-A394-41EA-ABA1-4DBFF719297E}">
      <formula1>0</formula1>
      <formula2>$D$6</formula2>
    </dataValidation>
    <dataValidation type="decimal" allowBlank="1" showErrorMessage="1" sqref="E7:E29" xr:uid="{A052E798-7E77-47DC-B271-6DDCFEC96BBB}">
      <formula1>0</formula1>
      <formula2>$E$6</formula2>
    </dataValidation>
    <dataValidation type="decimal" allowBlank="1" showErrorMessage="1" sqref="F7:F29" xr:uid="{A6AB83AF-EC6E-41AD-8C41-30B33F408DB6}">
      <formula1>0</formula1>
      <formula2>$F$6</formula2>
    </dataValidation>
    <dataValidation type="decimal" allowBlank="1" showErrorMessage="1" sqref="G7:G29" xr:uid="{9E18D975-6B0F-41B8-A989-E901CF9EB668}">
      <formula1>0</formula1>
      <formula2>$G$6</formula2>
    </dataValidation>
    <dataValidation type="decimal" allowBlank="1" showErrorMessage="1" sqref="H7:H29" xr:uid="{336D2446-F935-4330-B555-EACE78CFE791}">
      <formula1>0</formula1>
      <formula2>$H$6</formula2>
    </dataValidation>
    <dataValidation type="decimal" allowBlank="1" showErrorMessage="1" sqref="I7:I29" xr:uid="{105A8A13-8DDF-4794-931A-6A784370AD51}">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75242-48CF-4892-92CE-43AD988CACB4}">
  <sheetPr codeName="Tabelle145">
    <tabColor rgb="FF92D050"/>
  </sheetPr>
  <dimension ref="B1:N100"/>
  <sheetViews>
    <sheetView workbookViewId="0">
      <selection activeCell="M7" sqref="M7"/>
    </sheetView>
  </sheetViews>
  <sheetFormatPr baseColWidth="10" defaultRowHeight="13.2" x14ac:dyDescent="0.25"/>
  <cols>
    <col min="1" max="2" width="3.44140625" style="94" customWidth="1"/>
    <col min="3" max="3" width="25.77734375" style="94" customWidth="1"/>
    <col min="4" max="14" width="8.77734375" style="94" customWidth="1"/>
    <col min="15" max="16384" width="11.5546875" style="94"/>
  </cols>
  <sheetData>
    <row r="1" spans="2:14" ht="18" customHeight="1" thickBot="1" x14ac:dyDescent="0.3"/>
    <row r="2" spans="2:14" ht="18" customHeight="1" x14ac:dyDescent="0.25">
      <c r="B2" s="95" t="str">
        <f>Config!F2&amp;" "&amp;YEAR(Config!G24)</f>
        <v>Mathe Abitur 2026</v>
      </c>
      <c r="C2" s="96"/>
      <c r="D2" s="96"/>
      <c r="E2" s="96"/>
      <c r="F2" s="96"/>
      <c r="G2" s="96"/>
      <c r="H2" s="96"/>
      <c r="I2" s="97"/>
      <c r="J2" s="97"/>
      <c r="K2" s="97"/>
      <c r="L2" s="97"/>
      <c r="M2" s="97"/>
      <c r="N2" s="98" t="str">
        <f>"Kurs "&amp;Config!G26</f>
        <v>Kurs K1</v>
      </c>
    </row>
    <row r="3" spans="2:14" ht="18" customHeight="1" x14ac:dyDescent="0.25">
      <c r="B3" s="99" t="s">
        <v>10</v>
      </c>
      <c r="C3" s="100"/>
      <c r="D3" s="100"/>
      <c r="E3" s="100"/>
      <c r="F3" s="100"/>
      <c r="G3" s="100"/>
      <c r="H3" s="100"/>
      <c r="I3" s="100"/>
      <c r="J3" s="100"/>
      <c r="K3" s="100"/>
      <c r="L3" s="100"/>
      <c r="M3" s="100"/>
      <c r="N3" s="101"/>
    </row>
    <row r="4" spans="2:14" ht="18" customHeight="1" thickBot="1" x14ac:dyDescent="0.3">
      <c r="B4" s="99"/>
      <c r="C4" s="100"/>
      <c r="D4" s="102"/>
      <c r="E4" s="102"/>
      <c r="F4" s="102"/>
      <c r="G4" s="102"/>
      <c r="H4" s="102"/>
      <c r="I4" s="102"/>
      <c r="J4" s="102"/>
      <c r="K4" s="102"/>
      <c r="L4" s="102"/>
      <c r="M4" s="102"/>
      <c r="N4" s="103"/>
    </row>
    <row r="5" spans="2:14" ht="18" customHeight="1" thickBot="1" x14ac:dyDescent="0.3">
      <c r="B5" s="104"/>
      <c r="C5" s="106"/>
      <c r="D5" s="123" t="str">
        <f>Config!H6</f>
        <v>1a</v>
      </c>
      <c r="E5" s="123" t="str">
        <f>Config!H7</f>
        <v>1b</v>
      </c>
      <c r="F5" s="123" t="str">
        <f>Config!H8</f>
        <v>1c</v>
      </c>
      <c r="G5" s="123" t="str">
        <f>Config!H9</f>
        <v>1d</v>
      </c>
      <c r="H5" s="123" t="str">
        <f>Config!H10</f>
        <v>1e</v>
      </c>
      <c r="I5" s="123" t="str">
        <f>Config!H11</f>
        <v>1f</v>
      </c>
      <c r="J5" s="123" t="str">
        <f>Config!H12</f>
        <v>1g</v>
      </c>
      <c r="K5" s="123" t="str">
        <f>Config!H13</f>
        <v>1h</v>
      </c>
      <c r="L5" s="123" t="str">
        <f>Config!H14</f>
        <v>2a</v>
      </c>
      <c r="M5" s="123" t="str">
        <f>Config!H15</f>
        <v>2b</v>
      </c>
      <c r="N5" s="110" t="s">
        <v>82</v>
      </c>
    </row>
    <row r="6" spans="2:14" ht="18" customHeight="1" thickBot="1" x14ac:dyDescent="0.3">
      <c r="B6" s="105"/>
      <c r="C6" s="107" t="s">
        <v>81</v>
      </c>
      <c r="D6" s="109">
        <f>Config!I6</f>
        <v>2</v>
      </c>
      <c r="E6" s="109">
        <f>Config!I7</f>
        <v>3</v>
      </c>
      <c r="F6" s="109">
        <f>Config!I8</f>
        <v>4</v>
      </c>
      <c r="G6" s="109">
        <f>Config!I9</f>
        <v>3</v>
      </c>
      <c r="H6" s="109">
        <f>Config!I10</f>
        <v>3</v>
      </c>
      <c r="I6" s="109">
        <f>Config!I11</f>
        <v>4</v>
      </c>
      <c r="J6" s="109">
        <f>Config!I12</f>
        <v>3</v>
      </c>
      <c r="K6" s="109">
        <f>Config!I13</f>
        <v>4</v>
      </c>
      <c r="L6" s="109">
        <f>Config!I14</f>
        <v>2</v>
      </c>
      <c r="M6" s="109">
        <f>Config!I15</f>
        <v>2</v>
      </c>
      <c r="N6" s="124">
        <f>Config!I21</f>
        <v>30</v>
      </c>
    </row>
    <row r="7" spans="2:14" ht="18" customHeight="1" thickBot="1" x14ac:dyDescent="0.3">
      <c r="B7" s="118">
        <v>1</v>
      </c>
      <c r="C7" s="116" t="str">
        <f>Config!C5&amp;", "&amp;Config!D5</f>
        <v>Höfer, Simon</v>
      </c>
      <c r="D7" s="63">
        <v>2</v>
      </c>
      <c r="E7" s="63">
        <v>3</v>
      </c>
      <c r="F7" s="63">
        <v>4</v>
      </c>
      <c r="G7" s="63">
        <v>0</v>
      </c>
      <c r="H7" s="63">
        <v>1</v>
      </c>
      <c r="I7" s="63">
        <v>1</v>
      </c>
      <c r="J7" s="63">
        <v>1</v>
      </c>
      <c r="K7" s="63">
        <v>1</v>
      </c>
      <c r="L7" s="63">
        <v>1</v>
      </c>
      <c r="M7" s="64">
        <v>1</v>
      </c>
      <c r="N7" s="114">
        <f t="shared" ref="N7:N29" si="0">SUM(D7:M7)</f>
        <v>15</v>
      </c>
    </row>
    <row r="8" spans="2:14" ht="18" customHeight="1" thickBot="1" x14ac:dyDescent="0.3">
      <c r="B8" s="119">
        <v>2</v>
      </c>
      <c r="C8" s="111" t="str">
        <f>Config!C6&amp;", "&amp;Config!D6</f>
        <v>Töpfer, Lilian</v>
      </c>
      <c r="D8" s="62"/>
      <c r="E8" s="62"/>
      <c r="F8" s="62"/>
      <c r="G8" s="62"/>
      <c r="H8" s="62"/>
      <c r="I8" s="62"/>
      <c r="J8" s="62"/>
      <c r="K8" s="62"/>
      <c r="L8" s="62"/>
      <c r="M8" s="65"/>
      <c r="N8" s="114">
        <f t="shared" si="0"/>
        <v>0</v>
      </c>
    </row>
    <row r="9" spans="2:14" ht="18" customHeight="1" thickBot="1" x14ac:dyDescent="0.3">
      <c r="B9" s="119">
        <v>3</v>
      </c>
      <c r="C9" s="111" t="str">
        <f>Config!C7&amp;", "&amp;Config!D7</f>
        <v>Fleischmann, Leonie</v>
      </c>
      <c r="D9" s="62"/>
      <c r="E9" s="62"/>
      <c r="F9" s="62"/>
      <c r="G9" s="62"/>
      <c r="H9" s="62"/>
      <c r="I9" s="62"/>
      <c r="J9" s="62"/>
      <c r="K9" s="62"/>
      <c r="L9" s="62"/>
      <c r="M9" s="65"/>
      <c r="N9" s="114">
        <f t="shared" si="0"/>
        <v>0</v>
      </c>
    </row>
    <row r="10" spans="2:14" ht="18" customHeight="1" thickBot="1" x14ac:dyDescent="0.3">
      <c r="B10" s="119">
        <v>4</v>
      </c>
      <c r="C10" s="111" t="str">
        <f>Config!C8&amp;", "&amp;Config!D8</f>
        <v>Drescher, Cedric</v>
      </c>
      <c r="D10" s="62"/>
      <c r="E10" s="62"/>
      <c r="F10" s="62"/>
      <c r="G10" s="62"/>
      <c r="H10" s="62"/>
      <c r="I10" s="62"/>
      <c r="J10" s="62"/>
      <c r="K10" s="62"/>
      <c r="L10" s="62"/>
      <c r="M10" s="65"/>
      <c r="N10" s="114">
        <f t="shared" si="0"/>
        <v>0</v>
      </c>
    </row>
    <row r="11" spans="2:14" ht="18" customHeight="1" thickBot="1" x14ac:dyDescent="0.3">
      <c r="B11" s="119">
        <v>5</v>
      </c>
      <c r="C11" s="111" t="str">
        <f>Config!C9&amp;", "&amp;Config!D9</f>
        <v>Baumgarten, Annabell</v>
      </c>
      <c r="D11" s="62"/>
      <c r="E11" s="62"/>
      <c r="F11" s="62"/>
      <c r="G11" s="62"/>
      <c r="H11" s="62"/>
      <c r="I11" s="62"/>
      <c r="J11" s="62"/>
      <c r="K11" s="62"/>
      <c r="L11" s="62"/>
      <c r="M11" s="65"/>
      <c r="N11" s="114">
        <f t="shared" si="0"/>
        <v>0</v>
      </c>
    </row>
    <row r="12" spans="2:14" ht="18" customHeight="1" thickBot="1" x14ac:dyDescent="0.3">
      <c r="B12" s="119">
        <v>6</v>
      </c>
      <c r="C12" s="111" t="str">
        <f>Config!C10&amp;", "&amp;Config!D10</f>
        <v>Traut, Stefanie</v>
      </c>
      <c r="D12" s="62"/>
      <c r="E12" s="62"/>
      <c r="F12" s="62"/>
      <c r="G12" s="62"/>
      <c r="H12" s="62"/>
      <c r="I12" s="62"/>
      <c r="J12" s="62"/>
      <c r="K12" s="62"/>
      <c r="L12" s="62"/>
      <c r="M12" s="65"/>
      <c r="N12" s="114">
        <f t="shared" si="0"/>
        <v>0</v>
      </c>
    </row>
    <row r="13" spans="2:14" ht="18" customHeight="1" thickBot="1" x14ac:dyDescent="0.3">
      <c r="B13" s="119">
        <v>7</v>
      </c>
      <c r="C13" s="111" t="str">
        <f>Config!C11&amp;", "&amp;Config!D11</f>
        <v>Menke, Damian</v>
      </c>
      <c r="D13" s="62"/>
      <c r="E13" s="62"/>
      <c r="F13" s="62"/>
      <c r="G13" s="62"/>
      <c r="H13" s="62"/>
      <c r="I13" s="62"/>
      <c r="J13" s="62"/>
      <c r="K13" s="62"/>
      <c r="L13" s="62"/>
      <c r="M13" s="65"/>
      <c r="N13" s="114">
        <f t="shared" si="0"/>
        <v>0</v>
      </c>
    </row>
    <row r="14" spans="2:14" ht="18" customHeight="1" thickBot="1" x14ac:dyDescent="0.3">
      <c r="B14" s="119">
        <v>8</v>
      </c>
      <c r="C14" s="111" t="str">
        <f>Config!C12&amp;", "&amp;Config!D12</f>
        <v>Carroll, Meik</v>
      </c>
      <c r="D14" s="62"/>
      <c r="E14" s="62"/>
      <c r="F14" s="62"/>
      <c r="G14" s="62"/>
      <c r="H14" s="62"/>
      <c r="I14" s="62"/>
      <c r="J14" s="62"/>
      <c r="K14" s="62"/>
      <c r="L14" s="62"/>
      <c r="M14" s="65"/>
      <c r="N14" s="114">
        <f t="shared" si="0"/>
        <v>0</v>
      </c>
    </row>
    <row r="15" spans="2:14" ht="18" customHeight="1" thickBot="1" x14ac:dyDescent="0.3">
      <c r="B15" s="119">
        <v>9</v>
      </c>
      <c r="C15" s="111" t="str">
        <f>Config!C13&amp;", "&amp;Config!D13</f>
        <v>Hennings, Tomas</v>
      </c>
      <c r="D15" s="62"/>
      <c r="E15" s="62"/>
      <c r="F15" s="62"/>
      <c r="G15" s="62"/>
      <c r="H15" s="62"/>
      <c r="I15" s="62"/>
      <c r="J15" s="62"/>
      <c r="K15" s="62"/>
      <c r="L15" s="62"/>
      <c r="M15" s="65"/>
      <c r="N15" s="114">
        <f t="shared" si="0"/>
        <v>0</v>
      </c>
    </row>
    <row r="16" spans="2:14" ht="18" customHeight="1" thickBot="1" x14ac:dyDescent="0.3">
      <c r="B16" s="119">
        <v>10</v>
      </c>
      <c r="C16" s="111" t="str">
        <f>Config!C14&amp;", "&amp;Config!D14</f>
        <v>Walters, Linn</v>
      </c>
      <c r="D16" s="62"/>
      <c r="E16" s="62"/>
      <c r="F16" s="62"/>
      <c r="G16" s="62"/>
      <c r="H16" s="62"/>
      <c r="I16" s="62"/>
      <c r="J16" s="62"/>
      <c r="K16" s="62"/>
      <c r="L16" s="62"/>
      <c r="M16" s="65"/>
      <c r="N16" s="114">
        <f t="shared" si="0"/>
        <v>0</v>
      </c>
    </row>
    <row r="17" spans="2:14" ht="18" customHeight="1" thickBot="1" x14ac:dyDescent="0.3">
      <c r="B17" s="119">
        <v>11</v>
      </c>
      <c r="C17" s="111" t="str">
        <f>Config!C15&amp;", "&amp;Config!D15</f>
        <v>Junker, Amely</v>
      </c>
      <c r="D17" s="62"/>
      <c r="E17" s="62"/>
      <c r="F17" s="62"/>
      <c r="G17" s="62"/>
      <c r="H17" s="62"/>
      <c r="I17" s="62"/>
      <c r="J17" s="62"/>
      <c r="K17" s="62"/>
      <c r="L17" s="62"/>
      <c r="M17" s="65"/>
      <c r="N17" s="114">
        <f t="shared" si="0"/>
        <v>0</v>
      </c>
    </row>
    <row r="18" spans="2:14" ht="18" customHeight="1" thickBot="1" x14ac:dyDescent="0.3">
      <c r="B18" s="119">
        <v>12</v>
      </c>
      <c r="C18" s="111" t="str">
        <f>Config!C16&amp;", "&amp;Config!D16</f>
        <v>Stephens, Melvin</v>
      </c>
      <c r="D18" s="62"/>
      <c r="E18" s="62"/>
      <c r="F18" s="62"/>
      <c r="G18" s="62"/>
      <c r="H18" s="62"/>
      <c r="I18" s="62"/>
      <c r="J18" s="62"/>
      <c r="K18" s="62"/>
      <c r="L18" s="62"/>
      <c r="M18" s="65"/>
      <c r="N18" s="114">
        <f t="shared" si="0"/>
        <v>0</v>
      </c>
    </row>
    <row r="19" spans="2:14" ht="18" customHeight="1" thickBot="1" x14ac:dyDescent="0.3">
      <c r="B19" s="119">
        <v>13</v>
      </c>
      <c r="C19" s="111" t="str">
        <f>Config!C17&amp;", "&amp;Config!D17</f>
        <v>Cremer, Marvin</v>
      </c>
      <c r="D19" s="62"/>
      <c r="E19" s="62"/>
      <c r="F19" s="62"/>
      <c r="G19" s="62"/>
      <c r="H19" s="62"/>
      <c r="I19" s="62"/>
      <c r="J19" s="62"/>
      <c r="K19" s="62"/>
      <c r="L19" s="62"/>
      <c r="M19" s="65"/>
      <c r="N19" s="114">
        <f t="shared" si="0"/>
        <v>0</v>
      </c>
    </row>
    <row r="20" spans="2:14" ht="18" customHeight="1" thickBot="1" x14ac:dyDescent="0.3">
      <c r="B20" s="119">
        <v>14</v>
      </c>
      <c r="C20" s="111" t="str">
        <f>Config!C18&amp;", "&amp;Config!D18</f>
        <v>Nash, Jean</v>
      </c>
      <c r="D20" s="62"/>
      <c r="E20" s="62"/>
      <c r="F20" s="62"/>
      <c r="G20" s="62"/>
      <c r="H20" s="62"/>
      <c r="I20" s="62"/>
      <c r="J20" s="62"/>
      <c r="K20" s="62"/>
      <c r="L20" s="62"/>
      <c r="M20" s="65"/>
      <c r="N20" s="114">
        <f t="shared" si="0"/>
        <v>0</v>
      </c>
    </row>
    <row r="21" spans="2:14" ht="18" customHeight="1" thickBot="1" x14ac:dyDescent="0.3">
      <c r="B21" s="119">
        <v>15</v>
      </c>
      <c r="C21" s="111" t="str">
        <f>Config!C19&amp;", "&amp;Config!D19</f>
        <v>Schön, Leonardo</v>
      </c>
      <c r="D21" s="62"/>
      <c r="E21" s="62"/>
      <c r="F21" s="62"/>
      <c r="G21" s="62"/>
      <c r="H21" s="62"/>
      <c r="I21" s="62"/>
      <c r="J21" s="62"/>
      <c r="K21" s="62"/>
      <c r="L21" s="62"/>
      <c r="M21" s="65"/>
      <c r="N21" s="114">
        <f t="shared" si="0"/>
        <v>0</v>
      </c>
    </row>
    <row r="22" spans="2:14" ht="18" customHeight="1" thickBot="1" x14ac:dyDescent="0.3">
      <c r="B22" s="119">
        <v>16</v>
      </c>
      <c r="C22" s="111" t="str">
        <f>Config!C20&amp;", "&amp;Config!D20</f>
        <v>Sigl, Nicholas</v>
      </c>
      <c r="D22" s="62"/>
      <c r="E22" s="62"/>
      <c r="F22" s="62"/>
      <c r="G22" s="62"/>
      <c r="H22" s="62"/>
      <c r="I22" s="62"/>
      <c r="J22" s="62"/>
      <c r="K22" s="62"/>
      <c r="L22" s="62"/>
      <c r="M22" s="65"/>
      <c r="N22" s="114">
        <f t="shared" si="0"/>
        <v>0</v>
      </c>
    </row>
    <row r="23" spans="2:14" ht="18" customHeight="1" thickBot="1" x14ac:dyDescent="0.3">
      <c r="B23" s="119">
        <v>17</v>
      </c>
      <c r="C23" s="111" t="str">
        <f>Config!C21&amp;", "&amp;Config!D21</f>
        <v>Kainz, Vivienne</v>
      </c>
      <c r="D23" s="62"/>
      <c r="E23" s="62"/>
      <c r="F23" s="62"/>
      <c r="G23" s="62"/>
      <c r="H23" s="62"/>
      <c r="I23" s="62"/>
      <c r="J23" s="62"/>
      <c r="K23" s="62"/>
      <c r="L23" s="62"/>
      <c r="M23" s="65"/>
      <c r="N23" s="114">
        <f t="shared" si="0"/>
        <v>0</v>
      </c>
    </row>
    <row r="24" spans="2:14" ht="18" customHeight="1" thickBot="1" x14ac:dyDescent="0.3">
      <c r="B24" s="119">
        <v>18</v>
      </c>
      <c r="C24" s="111" t="str">
        <f>Config!C22&amp;", "&amp;Config!D22</f>
        <v>Hartmann, Mads</v>
      </c>
      <c r="D24" s="62"/>
      <c r="E24" s="62"/>
      <c r="F24" s="62"/>
      <c r="G24" s="62"/>
      <c r="H24" s="62"/>
      <c r="I24" s="62"/>
      <c r="J24" s="62"/>
      <c r="K24" s="62"/>
      <c r="L24" s="62"/>
      <c r="M24" s="65"/>
      <c r="N24" s="114">
        <f t="shared" si="0"/>
        <v>0</v>
      </c>
    </row>
    <row r="25" spans="2:14" ht="18" customHeight="1" thickBot="1" x14ac:dyDescent="0.3">
      <c r="B25" s="119">
        <v>19</v>
      </c>
      <c r="C25" s="111" t="str">
        <f>Config!C23&amp;", "&amp;Config!D23</f>
        <v>Ullmann, Raphael</v>
      </c>
      <c r="D25" s="62"/>
      <c r="E25" s="62"/>
      <c r="F25" s="62"/>
      <c r="G25" s="62"/>
      <c r="H25" s="62"/>
      <c r="I25" s="62"/>
      <c r="J25" s="62"/>
      <c r="K25" s="62"/>
      <c r="L25" s="62"/>
      <c r="M25" s="65"/>
      <c r="N25" s="114">
        <f t="shared" si="0"/>
        <v>0</v>
      </c>
    </row>
    <row r="26" spans="2:14" ht="18" customHeight="1" thickBot="1" x14ac:dyDescent="0.3">
      <c r="B26" s="119">
        <v>20</v>
      </c>
      <c r="C26" s="111" t="str">
        <f>Config!C24&amp;", "&amp;Config!D24</f>
        <v>Hartl, Emmely</v>
      </c>
      <c r="D26" s="62"/>
      <c r="E26" s="62"/>
      <c r="F26" s="62"/>
      <c r="G26" s="62"/>
      <c r="H26" s="62"/>
      <c r="I26" s="62"/>
      <c r="J26" s="62"/>
      <c r="K26" s="62"/>
      <c r="L26" s="62"/>
      <c r="M26" s="65"/>
      <c r="N26" s="114">
        <f t="shared" si="0"/>
        <v>0</v>
      </c>
    </row>
    <row r="27" spans="2:14" ht="18" customHeight="1" thickBot="1" x14ac:dyDescent="0.3">
      <c r="B27" s="119">
        <v>21</v>
      </c>
      <c r="C27" s="111" t="str">
        <f>Config!C25&amp;", "&amp;Config!D25</f>
        <v>Klotz, Karin</v>
      </c>
      <c r="D27" s="62"/>
      <c r="E27" s="62"/>
      <c r="F27" s="62"/>
      <c r="G27" s="62"/>
      <c r="H27" s="62"/>
      <c r="I27" s="62"/>
      <c r="J27" s="62"/>
      <c r="K27" s="62"/>
      <c r="L27" s="62"/>
      <c r="M27" s="65"/>
      <c r="N27" s="114">
        <f t="shared" si="0"/>
        <v>0</v>
      </c>
    </row>
    <row r="28" spans="2:14" ht="18" customHeight="1" thickBot="1" x14ac:dyDescent="0.3">
      <c r="B28" s="119">
        <v>22</v>
      </c>
      <c r="C28" s="111" t="str">
        <f>Config!C26&amp;", "&amp;Config!D26</f>
        <v>Ehlers, Ingo</v>
      </c>
      <c r="D28" s="62"/>
      <c r="E28" s="62"/>
      <c r="F28" s="62"/>
      <c r="G28" s="62"/>
      <c r="H28" s="62"/>
      <c r="I28" s="62"/>
      <c r="J28" s="62"/>
      <c r="K28" s="62"/>
      <c r="L28" s="62"/>
      <c r="M28" s="65"/>
      <c r="N28" s="114">
        <f t="shared" si="0"/>
        <v>0</v>
      </c>
    </row>
    <row r="29" spans="2:14" ht="18" customHeight="1" thickBot="1" x14ac:dyDescent="0.3">
      <c r="B29" s="120">
        <v>23</v>
      </c>
      <c r="C29" s="117" t="str">
        <f>Config!C27&amp;", "&amp;Config!D27</f>
        <v>Lindemann, Mads</v>
      </c>
      <c r="D29" s="66"/>
      <c r="E29" s="66"/>
      <c r="F29" s="66"/>
      <c r="G29" s="66"/>
      <c r="H29" s="66"/>
      <c r="I29" s="66"/>
      <c r="J29" s="66"/>
      <c r="K29" s="66"/>
      <c r="L29" s="66"/>
      <c r="M29" s="67"/>
      <c r="N29" s="112">
        <f t="shared" si="0"/>
        <v>0</v>
      </c>
    </row>
    <row r="30" spans="2:14" ht="18" customHeight="1" thickBot="1" x14ac:dyDescent="0.3">
      <c r="B30" s="121"/>
      <c r="C30" s="122"/>
      <c r="D30" s="122">
        <f>IF(COUNTIFS(D7:D29,"&lt;&gt;",C7:C29,"&lt;&gt;ZK",C7:C29,"&lt;&gt;DK")&lt;&gt;0,SUMIFS(D7:D29,C7:C29,"&lt;&gt;ZK",C7:C29,"&lt;&gt;DK")/(COUNTIFS(D7:D29,"&lt;&gt;",C7:C29,"&lt;&gt;ZK",C7:C29,"&lt;&gt;DK")*D6),0)</f>
        <v>1</v>
      </c>
      <c r="E30" s="122">
        <f>IF(COUNTIFS(E7:E29,"&lt;&gt;",C7:C29,"&lt;&gt;ZK",C7:C29,"&lt;&gt;DK")&lt;&gt;0,SUMIFS(E7:E29,C7:C29,"&lt;&gt;ZK",C7:C29,"&lt;&gt;DK")/(COUNTIFS(E7:E29,"&lt;&gt;",C7:C29,"&lt;&gt;ZK",C7:C29,"&lt;&gt;DK")*E6),0)</f>
        <v>1</v>
      </c>
      <c r="F30" s="122">
        <f>IF(COUNTIFS(F7:F29,"&lt;&gt;",C7:C29,"&lt;&gt;ZK",C7:C29,"&lt;&gt;DK")&lt;&gt;0,SUMIFS(F7:F29,C7:C29,"&lt;&gt;ZK",C7:C29,"&lt;&gt;DK")/(COUNTIFS(F7:F29,"&lt;&gt;",C7:C29,"&lt;&gt;ZK",C7:C29,"&lt;&gt;DK")*F6),0)</f>
        <v>1</v>
      </c>
      <c r="G30" s="122">
        <f>IF(COUNTIFS(G7:G29,"&lt;&gt;",C7:C29,"&lt;&gt;ZK",C7:C29,"&lt;&gt;DK")&lt;&gt;0,SUMIFS(G7:G29,C7:C29,"&lt;&gt;ZK",C7:C29,"&lt;&gt;DK")/(COUNTIFS(G7:G29,"&lt;&gt;",C7:C29,"&lt;&gt;ZK",C7:C29,"&lt;&gt;DK")*G6),0)</f>
        <v>0</v>
      </c>
      <c r="H30" s="122">
        <f>IF(COUNTIFS(H7:H29,"&lt;&gt;",C7:C29,"&lt;&gt;ZK",C7:C29,"&lt;&gt;DK")&lt;&gt;0,SUMIFS(H7:H29,C7:C29,"&lt;&gt;ZK",C7:C29,"&lt;&gt;DK")/(COUNTIFS(H7:H29,"&lt;&gt;",C7:C29,"&lt;&gt;ZK",C7:C29,"&lt;&gt;DK")*H6),0)</f>
        <v>0.33333333333333331</v>
      </c>
      <c r="I30" s="122">
        <f>IF(COUNTIFS(I7:I29,"&lt;&gt;",C7:C29,"&lt;&gt;ZK",C7:C29,"&lt;&gt;DK")&lt;&gt;0,SUMIFS(I7:I29,C7:C29,"&lt;&gt;ZK",C7:C29,"&lt;&gt;DK")/(COUNTIFS(I7:I29,"&lt;&gt;",C7:C29,"&lt;&gt;ZK",C7:C29,"&lt;&gt;DK")*I6),0)</f>
        <v>0.25</v>
      </c>
      <c r="J30" s="122">
        <f>IF(COUNTIFS(J7:J29,"&lt;&gt;",C7:C29,"&lt;&gt;ZK",C7:C29,"&lt;&gt;DK")&lt;&gt;0,SUMIFS(J7:J29,C7:C29,"&lt;&gt;ZK",C7:C29,"&lt;&gt;DK")/(COUNTIFS(J7:J29,"&lt;&gt;",C7:C29,"&lt;&gt;ZK",C7:C29,"&lt;&gt;DK")*J6),0)</f>
        <v>0.33333333333333331</v>
      </c>
      <c r="K30" s="122">
        <f>IF(COUNTIFS(K7:K29,"&lt;&gt;",C7:C29,"&lt;&gt;ZK",C7:C29,"&lt;&gt;DK")&lt;&gt;0,SUMIFS(K7:K29,C7:C29,"&lt;&gt;ZK",C7:C29,"&lt;&gt;DK")/(COUNTIFS(K7:K29,"&lt;&gt;",C7:C29,"&lt;&gt;ZK",C7:C29,"&lt;&gt;DK")*K6),0)</f>
        <v>0.25</v>
      </c>
      <c r="L30" s="122">
        <f>IF(COUNTIFS(L7:L29,"&lt;&gt;",C7:C29,"&lt;&gt;ZK",C7:C29,"&lt;&gt;DK")&lt;&gt;0,SUMIFS(L7:L29,C7:C29,"&lt;&gt;ZK",C7:C29,"&lt;&gt;DK")/(COUNTIFS(L7:L29,"&lt;&gt;",C7:C29,"&lt;&gt;ZK",C7:C29,"&lt;&gt;DK")*L6),0)</f>
        <v>0.5</v>
      </c>
      <c r="M30" s="122">
        <f>IF(COUNTIFS(M7:M29,"&lt;&gt;",C7:C29,"&lt;&gt;ZK",C7:C29,"&lt;&gt;DK")&lt;&gt;0,SUMIFS(M7:M29,C7:C29,"&lt;&gt;ZK",C7:C29,"&lt;&gt;DK")/(COUNTIFS(M7:M29,"&lt;&gt;",C7:C29,"&lt;&gt;ZK",C7:C29,"&lt;&gt;DK")*M6),0)</f>
        <v>0.5</v>
      </c>
      <c r="N30" s="115"/>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10">
    <dataValidation type="decimal" allowBlank="1" showErrorMessage="1" sqref="D7:D29" xr:uid="{3EBB2D96-BEF4-4C8E-B75C-7BA7E8B0CB5E}">
      <formula1>0</formula1>
      <formula2>$D$6</formula2>
    </dataValidation>
    <dataValidation type="decimal" allowBlank="1" showErrorMessage="1" sqref="E7:E29" xr:uid="{64EC520F-7AF0-4958-A132-2B47269FDA8B}">
      <formula1>0</formula1>
      <formula2>$E$6</formula2>
    </dataValidation>
    <dataValidation type="decimal" allowBlank="1" showErrorMessage="1" sqref="F7:F29" xr:uid="{D49CF1B0-CE1F-48CA-A258-E1FF084AD9AE}">
      <formula1>0</formula1>
      <formula2>$F$6</formula2>
    </dataValidation>
    <dataValidation type="decimal" allowBlank="1" showErrorMessage="1" sqref="G7:G29" xr:uid="{B4C351B0-CBBB-42E9-AA18-FD34CFBAF759}">
      <formula1>0</formula1>
      <formula2>$G$6</formula2>
    </dataValidation>
    <dataValidation type="decimal" allowBlank="1" showErrorMessage="1" sqref="H7:H29" xr:uid="{B6EFCD62-8D6B-405D-AF52-26E3177ADC4E}">
      <formula1>0</formula1>
      <formula2>$H$6</formula2>
    </dataValidation>
    <dataValidation type="decimal" allowBlank="1" showErrorMessage="1" sqref="I7:I29" xr:uid="{EE02063B-78B0-41D1-8DB7-6C57B2D84EA5}">
      <formula1>0</formula1>
      <formula2>$I$6</formula2>
    </dataValidation>
    <dataValidation type="decimal" allowBlank="1" showErrorMessage="1" sqref="J7:J29" xr:uid="{61DDBFE9-E451-4A52-8A1E-6108073B3285}">
      <formula1>0</formula1>
      <formula2>$J$6</formula2>
    </dataValidation>
    <dataValidation type="decimal" allowBlank="1" showErrorMessage="1" sqref="K7:K29" xr:uid="{5B9CF965-2A80-405E-8D36-4980B6B79D60}">
      <formula1>0</formula1>
      <formula2>$K$6</formula2>
    </dataValidation>
    <dataValidation type="decimal" allowBlank="1" showErrorMessage="1" sqref="L7:L29" xr:uid="{54CFC040-56A1-412E-B23A-CF63E13E994B}">
      <formula1>0</formula1>
      <formula2>$L$6</formula2>
    </dataValidation>
    <dataValidation type="decimal" allowBlank="1" showErrorMessage="1" sqref="M7:M29" xr:uid="{1A2235A6-B54F-4372-8AC6-485529ABB10F}">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B9B70-9B04-4C86-BDB1-5D96667E0437}">
  <sheetPr codeName="Tabelle146">
    <tabColor rgb="FF92D050"/>
  </sheetPr>
  <dimension ref="B1:E100"/>
  <sheetViews>
    <sheetView workbookViewId="0">
      <selection activeCell="D7" sqref="D7"/>
    </sheetView>
  </sheetViews>
  <sheetFormatPr baseColWidth="10" defaultRowHeight="13.2" x14ac:dyDescent="0.25"/>
  <cols>
    <col min="1" max="2" width="3.44140625" style="94" customWidth="1"/>
    <col min="3" max="3" width="25.77734375" style="94" customWidth="1"/>
    <col min="4" max="5" width="8.77734375" style="94" customWidth="1"/>
    <col min="6" max="16384" width="11.5546875" style="94"/>
  </cols>
  <sheetData>
    <row r="1" spans="2:5" ht="18" customHeight="1" thickBot="1" x14ac:dyDescent="0.3"/>
    <row r="2" spans="2:5" ht="18" customHeight="1" x14ac:dyDescent="0.25">
      <c r="B2" s="95" t="str">
        <f>Config!F2&amp;" "&amp;YEAR(Config!G24)</f>
        <v>Mathe Abitur 2026</v>
      </c>
      <c r="C2" s="96"/>
      <c r="D2" s="97"/>
      <c r="E2" s="98" t="str">
        <f>"Kurs "&amp;Config!G26</f>
        <v>Kurs K1</v>
      </c>
    </row>
    <row r="3" spans="2:5" ht="18" customHeight="1" x14ac:dyDescent="0.25">
      <c r="B3" s="99" t="s">
        <v>11</v>
      </c>
      <c r="C3" s="100"/>
      <c r="D3" s="100"/>
      <c r="E3" s="101"/>
    </row>
    <row r="4" spans="2:5" ht="18" customHeight="1" thickBot="1" x14ac:dyDescent="0.3">
      <c r="B4" s="99"/>
      <c r="C4" s="100"/>
      <c r="D4" s="102"/>
      <c r="E4" s="103"/>
    </row>
    <row r="5" spans="2:5" ht="18" customHeight="1" thickBot="1" x14ac:dyDescent="0.3">
      <c r="B5" s="104"/>
      <c r="C5" s="106"/>
      <c r="D5" s="123" t="str">
        <f>Config!J6</f>
        <v>1</v>
      </c>
      <c r="E5" s="110" t="s">
        <v>82</v>
      </c>
    </row>
    <row r="6" spans="2:5" ht="18" customHeight="1" thickBot="1" x14ac:dyDescent="0.3">
      <c r="B6" s="105"/>
      <c r="C6" s="107" t="s">
        <v>81</v>
      </c>
      <c r="D6" s="109">
        <f>Config!K6</f>
        <v>5</v>
      </c>
      <c r="E6" s="124">
        <f>Config!K21</f>
        <v>5</v>
      </c>
    </row>
    <row r="7" spans="2:5" ht="18" customHeight="1" thickBot="1" x14ac:dyDescent="0.3">
      <c r="B7" s="118">
        <v>1</v>
      </c>
      <c r="C7" s="116" t="str">
        <f>Config!C5&amp;", "&amp;Config!D5</f>
        <v>Höfer, Simon</v>
      </c>
      <c r="D7" s="64"/>
      <c r="E7" s="114">
        <f t="shared" ref="E7:E29" si="0">SUM(D7:D7)</f>
        <v>0</v>
      </c>
    </row>
    <row r="8" spans="2:5" ht="18" customHeight="1" thickBot="1" x14ac:dyDescent="0.3">
      <c r="B8" s="119">
        <v>2</v>
      </c>
      <c r="C8" s="111" t="str">
        <f>Config!C6&amp;", "&amp;Config!D6</f>
        <v>Töpfer, Lilian</v>
      </c>
      <c r="D8" s="65"/>
      <c r="E8" s="114">
        <f t="shared" si="0"/>
        <v>0</v>
      </c>
    </row>
    <row r="9" spans="2:5" ht="18" customHeight="1" thickBot="1" x14ac:dyDescent="0.3">
      <c r="B9" s="119">
        <v>3</v>
      </c>
      <c r="C9" s="111" t="str">
        <f>Config!C7&amp;", "&amp;Config!D7</f>
        <v>Fleischmann, Leonie</v>
      </c>
      <c r="D9" s="65"/>
      <c r="E9" s="114">
        <f t="shared" si="0"/>
        <v>0</v>
      </c>
    </row>
    <row r="10" spans="2:5" ht="18" customHeight="1" thickBot="1" x14ac:dyDescent="0.3">
      <c r="B10" s="119">
        <v>4</v>
      </c>
      <c r="C10" s="111" t="str">
        <f>Config!C8&amp;", "&amp;Config!D8</f>
        <v>Drescher, Cedric</v>
      </c>
      <c r="D10" s="65"/>
      <c r="E10" s="114">
        <f t="shared" si="0"/>
        <v>0</v>
      </c>
    </row>
    <row r="11" spans="2:5" ht="18" customHeight="1" thickBot="1" x14ac:dyDescent="0.3">
      <c r="B11" s="119">
        <v>5</v>
      </c>
      <c r="C11" s="111" t="str">
        <f>Config!C9&amp;", "&amp;Config!D9</f>
        <v>Baumgarten, Annabell</v>
      </c>
      <c r="D11" s="65"/>
      <c r="E11" s="114">
        <f t="shared" si="0"/>
        <v>0</v>
      </c>
    </row>
    <row r="12" spans="2:5" ht="18" customHeight="1" thickBot="1" x14ac:dyDescent="0.3">
      <c r="B12" s="119">
        <v>6</v>
      </c>
      <c r="C12" s="111" t="str">
        <f>Config!C10&amp;", "&amp;Config!D10</f>
        <v>Traut, Stefanie</v>
      </c>
      <c r="D12" s="65"/>
      <c r="E12" s="114">
        <f t="shared" si="0"/>
        <v>0</v>
      </c>
    </row>
    <row r="13" spans="2:5" ht="18" customHeight="1" thickBot="1" x14ac:dyDescent="0.3">
      <c r="B13" s="119">
        <v>7</v>
      </c>
      <c r="C13" s="111" t="str">
        <f>Config!C11&amp;", "&amp;Config!D11</f>
        <v>Menke, Damian</v>
      </c>
      <c r="D13" s="65"/>
      <c r="E13" s="114">
        <f t="shared" si="0"/>
        <v>0</v>
      </c>
    </row>
    <row r="14" spans="2:5" ht="18" customHeight="1" thickBot="1" x14ac:dyDescent="0.3">
      <c r="B14" s="119">
        <v>8</v>
      </c>
      <c r="C14" s="111" t="str">
        <f>Config!C12&amp;", "&amp;Config!D12</f>
        <v>Carroll, Meik</v>
      </c>
      <c r="D14" s="65"/>
      <c r="E14" s="114">
        <f t="shared" si="0"/>
        <v>0</v>
      </c>
    </row>
    <row r="15" spans="2:5" ht="18" customHeight="1" thickBot="1" x14ac:dyDescent="0.3">
      <c r="B15" s="119">
        <v>9</v>
      </c>
      <c r="C15" s="111" t="str">
        <f>Config!C13&amp;", "&amp;Config!D13</f>
        <v>Hennings, Tomas</v>
      </c>
      <c r="D15" s="65"/>
      <c r="E15" s="114">
        <f t="shared" si="0"/>
        <v>0</v>
      </c>
    </row>
    <row r="16" spans="2:5" ht="18" customHeight="1" thickBot="1" x14ac:dyDescent="0.3">
      <c r="B16" s="119">
        <v>10</v>
      </c>
      <c r="C16" s="111" t="str">
        <f>Config!C14&amp;", "&amp;Config!D14</f>
        <v>Walters, Linn</v>
      </c>
      <c r="D16" s="65"/>
      <c r="E16" s="114">
        <f t="shared" si="0"/>
        <v>0</v>
      </c>
    </row>
    <row r="17" spans="2:5" ht="18" customHeight="1" thickBot="1" x14ac:dyDescent="0.3">
      <c r="B17" s="119">
        <v>11</v>
      </c>
      <c r="C17" s="111" t="str">
        <f>Config!C15&amp;", "&amp;Config!D15</f>
        <v>Junker, Amely</v>
      </c>
      <c r="D17" s="65"/>
      <c r="E17" s="114">
        <f t="shared" si="0"/>
        <v>0</v>
      </c>
    </row>
    <row r="18" spans="2:5" ht="18" customHeight="1" thickBot="1" x14ac:dyDescent="0.3">
      <c r="B18" s="119">
        <v>12</v>
      </c>
      <c r="C18" s="111" t="str">
        <f>Config!C16&amp;", "&amp;Config!D16</f>
        <v>Stephens, Melvin</v>
      </c>
      <c r="D18" s="65"/>
      <c r="E18" s="114">
        <f t="shared" si="0"/>
        <v>0</v>
      </c>
    </row>
    <row r="19" spans="2:5" ht="18" customHeight="1" thickBot="1" x14ac:dyDescent="0.3">
      <c r="B19" s="119">
        <v>13</v>
      </c>
      <c r="C19" s="111" t="str">
        <f>Config!C17&amp;", "&amp;Config!D17</f>
        <v>Cremer, Marvin</v>
      </c>
      <c r="D19" s="65"/>
      <c r="E19" s="114">
        <f t="shared" si="0"/>
        <v>0</v>
      </c>
    </row>
    <row r="20" spans="2:5" ht="18" customHeight="1" thickBot="1" x14ac:dyDescent="0.3">
      <c r="B20" s="119">
        <v>14</v>
      </c>
      <c r="C20" s="111" t="str">
        <f>Config!C18&amp;", "&amp;Config!D18</f>
        <v>Nash, Jean</v>
      </c>
      <c r="D20" s="65"/>
      <c r="E20" s="114">
        <f t="shared" si="0"/>
        <v>0</v>
      </c>
    </row>
    <row r="21" spans="2:5" ht="18" customHeight="1" thickBot="1" x14ac:dyDescent="0.3">
      <c r="B21" s="119">
        <v>15</v>
      </c>
      <c r="C21" s="111" t="str">
        <f>Config!C19&amp;", "&amp;Config!D19</f>
        <v>Schön, Leonardo</v>
      </c>
      <c r="D21" s="65"/>
      <c r="E21" s="114">
        <f t="shared" si="0"/>
        <v>0</v>
      </c>
    </row>
    <row r="22" spans="2:5" ht="18" customHeight="1" thickBot="1" x14ac:dyDescent="0.3">
      <c r="B22" s="119">
        <v>16</v>
      </c>
      <c r="C22" s="111" t="str">
        <f>Config!C20&amp;", "&amp;Config!D20</f>
        <v>Sigl, Nicholas</v>
      </c>
      <c r="D22" s="65"/>
      <c r="E22" s="114">
        <f t="shared" si="0"/>
        <v>0</v>
      </c>
    </row>
    <row r="23" spans="2:5" ht="18" customHeight="1" thickBot="1" x14ac:dyDescent="0.3">
      <c r="B23" s="119">
        <v>17</v>
      </c>
      <c r="C23" s="111" t="str">
        <f>Config!C21&amp;", "&amp;Config!D21</f>
        <v>Kainz, Vivienne</v>
      </c>
      <c r="D23" s="65"/>
      <c r="E23" s="114">
        <f t="shared" si="0"/>
        <v>0</v>
      </c>
    </row>
    <row r="24" spans="2:5" ht="18" customHeight="1" thickBot="1" x14ac:dyDescent="0.3">
      <c r="B24" s="119">
        <v>18</v>
      </c>
      <c r="C24" s="111" t="str">
        <f>Config!C22&amp;", "&amp;Config!D22</f>
        <v>Hartmann, Mads</v>
      </c>
      <c r="D24" s="65"/>
      <c r="E24" s="114">
        <f t="shared" si="0"/>
        <v>0</v>
      </c>
    </row>
    <row r="25" spans="2:5" ht="18" customHeight="1" thickBot="1" x14ac:dyDescent="0.3">
      <c r="B25" s="119">
        <v>19</v>
      </c>
      <c r="C25" s="111" t="str">
        <f>Config!C23&amp;", "&amp;Config!D23</f>
        <v>Ullmann, Raphael</v>
      </c>
      <c r="D25" s="65"/>
      <c r="E25" s="114">
        <f t="shared" si="0"/>
        <v>0</v>
      </c>
    </row>
    <row r="26" spans="2:5" ht="18" customHeight="1" thickBot="1" x14ac:dyDescent="0.3">
      <c r="B26" s="119">
        <v>20</v>
      </c>
      <c r="C26" s="111" t="str">
        <f>Config!C24&amp;", "&amp;Config!D24</f>
        <v>Hartl, Emmely</v>
      </c>
      <c r="D26" s="65"/>
      <c r="E26" s="114">
        <f t="shared" si="0"/>
        <v>0</v>
      </c>
    </row>
    <row r="27" spans="2:5" ht="18" customHeight="1" thickBot="1" x14ac:dyDescent="0.3">
      <c r="B27" s="119">
        <v>21</v>
      </c>
      <c r="C27" s="111" t="str">
        <f>Config!C25&amp;", "&amp;Config!D25</f>
        <v>Klotz, Karin</v>
      </c>
      <c r="D27" s="65"/>
      <c r="E27" s="114">
        <f t="shared" si="0"/>
        <v>0</v>
      </c>
    </row>
    <row r="28" spans="2:5" ht="18" customHeight="1" thickBot="1" x14ac:dyDescent="0.3">
      <c r="B28" s="119">
        <v>22</v>
      </c>
      <c r="C28" s="111" t="str">
        <f>Config!C26&amp;", "&amp;Config!D26</f>
        <v>Ehlers, Ingo</v>
      </c>
      <c r="D28" s="65"/>
      <c r="E28" s="114">
        <f t="shared" si="0"/>
        <v>0</v>
      </c>
    </row>
    <row r="29" spans="2:5" ht="18" customHeight="1" thickBot="1" x14ac:dyDescent="0.3">
      <c r="B29" s="120">
        <v>23</v>
      </c>
      <c r="C29" s="117" t="str">
        <f>Config!C27&amp;", "&amp;Config!D27</f>
        <v>Lindemann, Mads</v>
      </c>
      <c r="D29" s="67"/>
      <c r="E29" s="112">
        <f t="shared" si="0"/>
        <v>0</v>
      </c>
    </row>
    <row r="30" spans="2:5" ht="18" customHeight="1" thickBot="1" x14ac:dyDescent="0.3">
      <c r="B30" s="121"/>
      <c r="C30" s="122"/>
      <c r="D30" s="122">
        <f>IF(COUNTIFS(D7:D29,"&lt;&gt;",C7:C29,"&lt;&gt;ZK",C7:C29,"&lt;&gt;DK")&lt;&gt;0,SUMIFS(D7:D29,C7:C29,"&lt;&gt;ZK",C7:C29,"&lt;&gt;DK")/(COUNTIFS(D7:D29,"&lt;&gt;",C7:C29,"&lt;&gt;ZK",C7:C29,"&lt;&gt;DK")*D6),0)</f>
        <v>0</v>
      </c>
      <c r="E30" s="115"/>
    </row>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1">
    <dataValidation type="decimal" allowBlank="1" showErrorMessage="1" sqref="D7:D29" xr:uid="{360D8773-1B1C-4A68-A0D6-4F86002D837E}">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4DB1E-5406-4373-93C0-FB14A8901515}">
  <sheetPr codeName="Tabelle147">
    <tabColor rgb="FF92D050"/>
  </sheetPr>
  <dimension ref="B1:I100"/>
  <sheetViews>
    <sheetView workbookViewId="0">
      <selection activeCell="D7" sqref="D7"/>
    </sheetView>
  </sheetViews>
  <sheetFormatPr baseColWidth="10" defaultRowHeight="13.2" x14ac:dyDescent="0.25"/>
  <cols>
    <col min="1" max="2" width="3.44140625" style="94" customWidth="1"/>
    <col min="3" max="3" width="25.77734375" style="94" customWidth="1"/>
    <col min="4" max="9" width="8.77734375" style="94" customWidth="1"/>
    <col min="10" max="16384" width="11.5546875" style="94"/>
  </cols>
  <sheetData>
    <row r="1" spans="2:9" ht="18" customHeight="1" thickBot="1" x14ac:dyDescent="0.3"/>
    <row r="2" spans="2:9" ht="18" customHeight="1" x14ac:dyDescent="0.25">
      <c r="B2" s="95" t="str">
        <f>Config!F2&amp;" "&amp;YEAR(Config!G24)</f>
        <v>Mathe Abitur 2026</v>
      </c>
      <c r="C2" s="96"/>
      <c r="D2" s="96"/>
      <c r="E2" s="96"/>
      <c r="F2" s="97"/>
      <c r="G2" s="97"/>
      <c r="H2" s="97"/>
      <c r="I2" s="98" t="str">
        <f>"Kurs "&amp;Config!G26</f>
        <v>Kurs K1</v>
      </c>
    </row>
    <row r="3" spans="2:9" ht="18" customHeight="1" x14ac:dyDescent="0.25">
      <c r="B3" s="99" t="s">
        <v>12</v>
      </c>
      <c r="C3" s="100"/>
      <c r="D3" s="100"/>
      <c r="E3" s="100"/>
      <c r="F3" s="100"/>
      <c r="G3" s="100"/>
      <c r="H3" s="100"/>
      <c r="I3" s="101"/>
    </row>
    <row r="4" spans="2:9" ht="18" customHeight="1" thickBot="1" x14ac:dyDescent="0.3">
      <c r="B4" s="99"/>
      <c r="C4" s="100"/>
      <c r="D4" s="102"/>
      <c r="E4" s="102"/>
      <c r="F4" s="102"/>
      <c r="G4" s="102"/>
      <c r="H4" s="102"/>
      <c r="I4" s="103"/>
    </row>
    <row r="5" spans="2:9" ht="18" customHeight="1" thickBot="1" x14ac:dyDescent="0.3">
      <c r="B5" s="104"/>
      <c r="C5" s="106"/>
      <c r="D5" s="123" t="str">
        <f>Config!L6</f>
        <v>1a</v>
      </c>
      <c r="E5" s="123" t="str">
        <f>Config!L7</f>
        <v>1b</v>
      </c>
      <c r="F5" s="123" t="str">
        <f>Config!L8</f>
        <v>1c</v>
      </c>
      <c r="G5" s="123" t="str">
        <f>Config!L9</f>
        <v>1d</v>
      </c>
      <c r="H5" s="123" t="str">
        <f>Config!L10</f>
        <v>2</v>
      </c>
      <c r="I5" s="110" t="s">
        <v>82</v>
      </c>
    </row>
    <row r="6" spans="2:9" ht="18" customHeight="1" thickBot="1" x14ac:dyDescent="0.3">
      <c r="B6" s="105"/>
      <c r="C6" s="107" t="s">
        <v>81</v>
      </c>
      <c r="D6" s="109">
        <f>Config!M6</f>
        <v>2</v>
      </c>
      <c r="E6" s="109">
        <f>Config!M7</f>
        <v>2</v>
      </c>
      <c r="F6" s="109">
        <f>Config!M8</f>
        <v>2</v>
      </c>
      <c r="G6" s="109">
        <f>Config!M9</f>
        <v>4</v>
      </c>
      <c r="H6" s="109">
        <f>Config!M10</f>
        <v>7</v>
      </c>
      <c r="I6" s="124">
        <f>Config!M21</f>
        <v>17</v>
      </c>
    </row>
    <row r="7" spans="2:9" ht="18" customHeight="1" thickBot="1" x14ac:dyDescent="0.3">
      <c r="B7" s="118">
        <v>1</v>
      </c>
      <c r="C7" s="116" t="str">
        <f>Config!C5&amp;", "&amp;Config!D5</f>
        <v>Höfer, Simon</v>
      </c>
      <c r="D7" s="63"/>
      <c r="E7" s="63"/>
      <c r="F7" s="63"/>
      <c r="G7" s="63"/>
      <c r="H7" s="64"/>
      <c r="I7" s="114">
        <f t="shared" ref="I7:I29" si="0">SUM(D7:H7)</f>
        <v>0</v>
      </c>
    </row>
    <row r="8" spans="2:9" ht="18" customHeight="1" thickBot="1" x14ac:dyDescent="0.3">
      <c r="B8" s="119">
        <v>2</v>
      </c>
      <c r="C8" s="111" t="str">
        <f>Config!C6&amp;", "&amp;Config!D6</f>
        <v>Töpfer, Lilian</v>
      </c>
      <c r="D8" s="62"/>
      <c r="E8" s="62"/>
      <c r="F8" s="62"/>
      <c r="G8" s="62"/>
      <c r="H8" s="65"/>
      <c r="I8" s="114">
        <f t="shared" si="0"/>
        <v>0</v>
      </c>
    </row>
    <row r="9" spans="2:9" ht="18" customHeight="1" thickBot="1" x14ac:dyDescent="0.3">
      <c r="B9" s="119">
        <v>3</v>
      </c>
      <c r="C9" s="111" t="str">
        <f>Config!C7&amp;", "&amp;Config!D7</f>
        <v>Fleischmann, Leonie</v>
      </c>
      <c r="D9" s="62"/>
      <c r="E9" s="62"/>
      <c r="F9" s="62"/>
      <c r="G9" s="62"/>
      <c r="H9" s="65"/>
      <c r="I9" s="114">
        <f t="shared" si="0"/>
        <v>0</v>
      </c>
    </row>
    <row r="10" spans="2:9" ht="18" customHeight="1" thickBot="1" x14ac:dyDescent="0.3">
      <c r="B10" s="119">
        <v>4</v>
      </c>
      <c r="C10" s="111" t="str">
        <f>Config!C8&amp;", "&amp;Config!D8</f>
        <v>Drescher, Cedric</v>
      </c>
      <c r="D10" s="62"/>
      <c r="E10" s="62"/>
      <c r="F10" s="62"/>
      <c r="G10" s="62"/>
      <c r="H10" s="65"/>
      <c r="I10" s="114">
        <f t="shared" si="0"/>
        <v>0</v>
      </c>
    </row>
    <row r="11" spans="2:9" ht="18" customHeight="1" thickBot="1" x14ac:dyDescent="0.3">
      <c r="B11" s="119">
        <v>5</v>
      </c>
      <c r="C11" s="111" t="str">
        <f>Config!C9&amp;", "&amp;Config!D9</f>
        <v>Baumgarten, Annabell</v>
      </c>
      <c r="D11" s="62"/>
      <c r="E11" s="62"/>
      <c r="F11" s="62"/>
      <c r="G11" s="62"/>
      <c r="H11" s="65"/>
      <c r="I11" s="114">
        <f t="shared" si="0"/>
        <v>0</v>
      </c>
    </row>
    <row r="12" spans="2:9" ht="18" customHeight="1" thickBot="1" x14ac:dyDescent="0.3">
      <c r="B12" s="119">
        <v>6</v>
      </c>
      <c r="C12" s="111" t="str">
        <f>Config!C10&amp;", "&amp;Config!D10</f>
        <v>Traut, Stefanie</v>
      </c>
      <c r="D12" s="62"/>
      <c r="E12" s="62"/>
      <c r="F12" s="62"/>
      <c r="G12" s="62"/>
      <c r="H12" s="65"/>
      <c r="I12" s="114">
        <f t="shared" si="0"/>
        <v>0</v>
      </c>
    </row>
    <row r="13" spans="2:9" ht="18" customHeight="1" thickBot="1" x14ac:dyDescent="0.3">
      <c r="B13" s="119">
        <v>7</v>
      </c>
      <c r="C13" s="111" t="str">
        <f>Config!C11&amp;", "&amp;Config!D11</f>
        <v>Menke, Damian</v>
      </c>
      <c r="D13" s="62"/>
      <c r="E13" s="62"/>
      <c r="F13" s="62"/>
      <c r="G13" s="62"/>
      <c r="H13" s="65"/>
      <c r="I13" s="114">
        <f t="shared" si="0"/>
        <v>0</v>
      </c>
    </row>
    <row r="14" spans="2:9" ht="18" customHeight="1" thickBot="1" x14ac:dyDescent="0.3">
      <c r="B14" s="119">
        <v>8</v>
      </c>
      <c r="C14" s="111" t="str">
        <f>Config!C12&amp;", "&amp;Config!D12</f>
        <v>Carroll, Meik</v>
      </c>
      <c r="D14" s="62"/>
      <c r="E14" s="62"/>
      <c r="F14" s="62"/>
      <c r="G14" s="62"/>
      <c r="H14" s="65"/>
      <c r="I14" s="114">
        <f t="shared" si="0"/>
        <v>0</v>
      </c>
    </row>
    <row r="15" spans="2:9" ht="18" customHeight="1" thickBot="1" x14ac:dyDescent="0.3">
      <c r="B15" s="119">
        <v>9</v>
      </c>
      <c r="C15" s="111" t="str">
        <f>Config!C13&amp;", "&amp;Config!D13</f>
        <v>Hennings, Tomas</v>
      </c>
      <c r="D15" s="62"/>
      <c r="E15" s="62"/>
      <c r="F15" s="62"/>
      <c r="G15" s="62"/>
      <c r="H15" s="65"/>
      <c r="I15" s="114">
        <f t="shared" si="0"/>
        <v>0</v>
      </c>
    </row>
    <row r="16" spans="2:9" ht="18" customHeight="1" thickBot="1" x14ac:dyDescent="0.3">
      <c r="B16" s="119">
        <v>10</v>
      </c>
      <c r="C16" s="111" t="str">
        <f>Config!C14&amp;", "&amp;Config!D14</f>
        <v>Walters, Linn</v>
      </c>
      <c r="D16" s="62"/>
      <c r="E16" s="62"/>
      <c r="F16" s="62"/>
      <c r="G16" s="62"/>
      <c r="H16" s="65"/>
      <c r="I16" s="114">
        <f t="shared" si="0"/>
        <v>0</v>
      </c>
    </row>
    <row r="17" spans="2:9" ht="18" customHeight="1" thickBot="1" x14ac:dyDescent="0.3">
      <c r="B17" s="119">
        <v>11</v>
      </c>
      <c r="C17" s="111" t="str">
        <f>Config!C15&amp;", "&amp;Config!D15</f>
        <v>Junker, Amely</v>
      </c>
      <c r="D17" s="62"/>
      <c r="E17" s="62"/>
      <c r="F17" s="62"/>
      <c r="G17" s="62"/>
      <c r="H17" s="65"/>
      <c r="I17" s="114">
        <f t="shared" si="0"/>
        <v>0</v>
      </c>
    </row>
    <row r="18" spans="2:9" ht="18" customHeight="1" thickBot="1" x14ac:dyDescent="0.3">
      <c r="B18" s="119">
        <v>12</v>
      </c>
      <c r="C18" s="111" t="str">
        <f>Config!C16&amp;", "&amp;Config!D16</f>
        <v>Stephens, Melvin</v>
      </c>
      <c r="D18" s="62"/>
      <c r="E18" s="62"/>
      <c r="F18" s="62"/>
      <c r="G18" s="62"/>
      <c r="H18" s="65"/>
      <c r="I18" s="114">
        <f t="shared" si="0"/>
        <v>0</v>
      </c>
    </row>
    <row r="19" spans="2:9" ht="18" customHeight="1" thickBot="1" x14ac:dyDescent="0.3">
      <c r="B19" s="119">
        <v>13</v>
      </c>
      <c r="C19" s="111" t="str">
        <f>Config!C17&amp;", "&amp;Config!D17</f>
        <v>Cremer, Marvin</v>
      </c>
      <c r="D19" s="62"/>
      <c r="E19" s="62"/>
      <c r="F19" s="62"/>
      <c r="G19" s="62"/>
      <c r="H19" s="65"/>
      <c r="I19" s="114">
        <f t="shared" si="0"/>
        <v>0</v>
      </c>
    </row>
    <row r="20" spans="2:9" ht="18" customHeight="1" thickBot="1" x14ac:dyDescent="0.3">
      <c r="B20" s="119">
        <v>14</v>
      </c>
      <c r="C20" s="111" t="str">
        <f>Config!C18&amp;", "&amp;Config!D18</f>
        <v>Nash, Jean</v>
      </c>
      <c r="D20" s="62"/>
      <c r="E20" s="62"/>
      <c r="F20" s="62"/>
      <c r="G20" s="62"/>
      <c r="H20" s="65"/>
      <c r="I20" s="114">
        <f t="shared" si="0"/>
        <v>0</v>
      </c>
    </row>
    <row r="21" spans="2:9" ht="18" customHeight="1" thickBot="1" x14ac:dyDescent="0.3">
      <c r="B21" s="119">
        <v>15</v>
      </c>
      <c r="C21" s="111" t="str">
        <f>Config!C19&amp;", "&amp;Config!D19</f>
        <v>Schön, Leonardo</v>
      </c>
      <c r="D21" s="62"/>
      <c r="E21" s="62"/>
      <c r="F21" s="62"/>
      <c r="G21" s="62"/>
      <c r="H21" s="65"/>
      <c r="I21" s="114">
        <f t="shared" si="0"/>
        <v>0</v>
      </c>
    </row>
    <row r="22" spans="2:9" ht="18" customHeight="1" thickBot="1" x14ac:dyDescent="0.3">
      <c r="B22" s="119">
        <v>16</v>
      </c>
      <c r="C22" s="111" t="str">
        <f>Config!C20&amp;", "&amp;Config!D20</f>
        <v>Sigl, Nicholas</v>
      </c>
      <c r="D22" s="62"/>
      <c r="E22" s="62"/>
      <c r="F22" s="62"/>
      <c r="G22" s="62"/>
      <c r="H22" s="65"/>
      <c r="I22" s="114">
        <f t="shared" si="0"/>
        <v>0</v>
      </c>
    </row>
    <row r="23" spans="2:9" ht="18" customHeight="1" thickBot="1" x14ac:dyDescent="0.3">
      <c r="B23" s="119">
        <v>17</v>
      </c>
      <c r="C23" s="111" t="str">
        <f>Config!C21&amp;", "&amp;Config!D21</f>
        <v>Kainz, Vivienne</v>
      </c>
      <c r="D23" s="62"/>
      <c r="E23" s="62"/>
      <c r="F23" s="62"/>
      <c r="G23" s="62"/>
      <c r="H23" s="65"/>
      <c r="I23" s="114">
        <f t="shared" si="0"/>
        <v>0</v>
      </c>
    </row>
    <row r="24" spans="2:9" ht="18" customHeight="1" thickBot="1" x14ac:dyDescent="0.3">
      <c r="B24" s="119">
        <v>18</v>
      </c>
      <c r="C24" s="111" t="str">
        <f>Config!C22&amp;", "&amp;Config!D22</f>
        <v>Hartmann, Mads</v>
      </c>
      <c r="D24" s="62"/>
      <c r="E24" s="62"/>
      <c r="F24" s="62"/>
      <c r="G24" s="62"/>
      <c r="H24" s="65"/>
      <c r="I24" s="114">
        <f t="shared" si="0"/>
        <v>0</v>
      </c>
    </row>
    <row r="25" spans="2:9" ht="18" customHeight="1" thickBot="1" x14ac:dyDescent="0.3">
      <c r="B25" s="119">
        <v>19</v>
      </c>
      <c r="C25" s="111" t="str">
        <f>Config!C23&amp;", "&amp;Config!D23</f>
        <v>Ullmann, Raphael</v>
      </c>
      <c r="D25" s="62"/>
      <c r="E25" s="62"/>
      <c r="F25" s="62"/>
      <c r="G25" s="62"/>
      <c r="H25" s="65"/>
      <c r="I25" s="114">
        <f t="shared" si="0"/>
        <v>0</v>
      </c>
    </row>
    <row r="26" spans="2:9" ht="18" customHeight="1" thickBot="1" x14ac:dyDescent="0.3">
      <c r="B26" s="119">
        <v>20</v>
      </c>
      <c r="C26" s="111" t="str">
        <f>Config!C24&amp;", "&amp;Config!D24</f>
        <v>Hartl, Emmely</v>
      </c>
      <c r="D26" s="62"/>
      <c r="E26" s="62"/>
      <c r="F26" s="62"/>
      <c r="G26" s="62"/>
      <c r="H26" s="65"/>
      <c r="I26" s="114">
        <f t="shared" si="0"/>
        <v>0</v>
      </c>
    </row>
    <row r="27" spans="2:9" ht="18" customHeight="1" thickBot="1" x14ac:dyDescent="0.3">
      <c r="B27" s="119">
        <v>21</v>
      </c>
      <c r="C27" s="111" t="str">
        <f>Config!C25&amp;", "&amp;Config!D25</f>
        <v>Klotz, Karin</v>
      </c>
      <c r="D27" s="62"/>
      <c r="E27" s="62"/>
      <c r="F27" s="62"/>
      <c r="G27" s="62"/>
      <c r="H27" s="65"/>
      <c r="I27" s="114">
        <f t="shared" si="0"/>
        <v>0</v>
      </c>
    </row>
    <row r="28" spans="2:9" ht="18" customHeight="1" thickBot="1" x14ac:dyDescent="0.3">
      <c r="B28" s="119">
        <v>22</v>
      </c>
      <c r="C28" s="111" t="str">
        <f>Config!C26&amp;", "&amp;Config!D26</f>
        <v>Ehlers, Ingo</v>
      </c>
      <c r="D28" s="62"/>
      <c r="E28" s="62"/>
      <c r="F28" s="62"/>
      <c r="G28" s="62"/>
      <c r="H28" s="65"/>
      <c r="I28" s="114">
        <f t="shared" si="0"/>
        <v>0</v>
      </c>
    </row>
    <row r="29" spans="2:9" ht="18" customHeight="1" thickBot="1" x14ac:dyDescent="0.3">
      <c r="B29" s="120">
        <v>23</v>
      </c>
      <c r="C29" s="117" t="str">
        <f>Config!C27&amp;", "&amp;Config!D27</f>
        <v>Lindemann, Mads</v>
      </c>
      <c r="D29" s="66"/>
      <c r="E29" s="66"/>
      <c r="F29" s="66"/>
      <c r="G29" s="66"/>
      <c r="H29" s="67"/>
      <c r="I29" s="112">
        <f t="shared" si="0"/>
        <v>0</v>
      </c>
    </row>
    <row r="30" spans="2:9" ht="18" customHeight="1" thickBot="1" x14ac:dyDescent="0.3">
      <c r="B30" s="121"/>
      <c r="C30" s="122"/>
      <c r="D30" s="122">
        <f>IF(COUNTIFS(D7:D29,"&lt;&gt;",C7:C29,"&lt;&gt;ZK",C7:C29,"&lt;&gt;DK")&lt;&gt;0,SUMIFS(D7:D29,C7:C29,"&lt;&gt;ZK",C7:C29,"&lt;&gt;DK")/(COUNTIFS(D7:D29,"&lt;&gt;",C7:C29,"&lt;&gt;ZK",C7:C29,"&lt;&gt;DK")*D6),0)</f>
        <v>0</v>
      </c>
      <c r="E30" s="122">
        <f>IF(COUNTIFS(E7:E29,"&lt;&gt;",C7:C29,"&lt;&gt;ZK",C7:C29,"&lt;&gt;DK")&lt;&gt;0,SUMIFS(E7:E29,C7:C29,"&lt;&gt;ZK",C7:C29,"&lt;&gt;DK")/(COUNTIFS(E7:E29,"&lt;&gt;",C7:C29,"&lt;&gt;ZK",C7:C29,"&lt;&gt;DK")*E6),0)</f>
        <v>0</v>
      </c>
      <c r="F30" s="122">
        <f>IF(COUNTIFS(F7:F29,"&lt;&gt;",C7:C29,"&lt;&gt;ZK",C7:C29,"&lt;&gt;DK")&lt;&gt;0,SUMIFS(F7:F29,C7:C29,"&lt;&gt;ZK",C7:C29,"&lt;&gt;DK")/(COUNTIFS(F7:F29,"&lt;&gt;",C7:C29,"&lt;&gt;ZK",C7:C29,"&lt;&gt;DK")*F6),0)</f>
        <v>0</v>
      </c>
      <c r="G30" s="122">
        <f>IF(COUNTIFS(G7:G29,"&lt;&gt;",C7:C29,"&lt;&gt;ZK",C7:C29,"&lt;&gt;DK")&lt;&gt;0,SUMIFS(G7:G29,C7:C29,"&lt;&gt;ZK",C7:C29,"&lt;&gt;DK")/(COUNTIFS(G7:G29,"&lt;&gt;",C7:C29,"&lt;&gt;ZK",C7:C29,"&lt;&gt;DK")*G6),0)</f>
        <v>0</v>
      </c>
      <c r="H30" s="122">
        <f>IF(COUNTIFS(H7:H29,"&lt;&gt;",C7:C29,"&lt;&gt;ZK",C7:C29,"&lt;&gt;DK")&lt;&gt;0,SUMIFS(H7:H29,C7:C29,"&lt;&gt;ZK",C7:C29,"&lt;&gt;DK")/(COUNTIFS(H7:H29,"&lt;&gt;",C7:C29,"&lt;&gt;ZK",C7:C29,"&lt;&gt;DK")*H6),0)</f>
        <v>0</v>
      </c>
      <c r="I30" s="115"/>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5">
    <dataValidation type="decimal" allowBlank="1" showErrorMessage="1" sqref="D7:D29" xr:uid="{3E67962A-31AE-4EF9-9630-A4D5AC72B7E2}">
      <formula1>0</formula1>
      <formula2>$D$6</formula2>
    </dataValidation>
    <dataValidation type="decimal" allowBlank="1" showErrorMessage="1" sqref="E7:E29" xr:uid="{0835AFD6-FD3D-4852-8A91-D94C876F466C}">
      <formula1>0</formula1>
      <formula2>$E$6</formula2>
    </dataValidation>
    <dataValidation type="decimal" allowBlank="1" showErrorMessage="1" sqref="F7:F29" xr:uid="{E8808D09-A145-49B1-9D60-9D4E45A476C6}">
      <formula1>0</formula1>
      <formula2>$F$6</formula2>
    </dataValidation>
    <dataValidation type="decimal" allowBlank="1" showErrorMessage="1" sqref="G7:G29" xr:uid="{E1003E4C-B9C8-4338-81C7-B738F10AECC6}">
      <formula1>0</formula1>
      <formula2>$G$6</formula2>
    </dataValidation>
    <dataValidation type="decimal" allowBlank="1" showErrorMessage="1" sqref="H7:H29" xr:uid="{0412E836-2B21-458F-BB53-1AAFA429A57E}">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692B0-69D9-4124-8EA9-E3217314C5AE}">
  <sheetPr codeName="Tabelle148">
    <tabColor rgb="FF92D050"/>
  </sheetPr>
  <dimension ref="B1:F100"/>
  <sheetViews>
    <sheetView workbookViewId="0">
      <selection activeCell="D7" sqref="D7"/>
    </sheetView>
  </sheetViews>
  <sheetFormatPr baseColWidth="10" defaultRowHeight="13.2" x14ac:dyDescent="0.25"/>
  <cols>
    <col min="1" max="2" width="3.44140625" style="94" customWidth="1"/>
    <col min="3" max="3" width="25.77734375" style="94" customWidth="1"/>
    <col min="4" max="6" width="8.77734375" style="94" customWidth="1"/>
    <col min="7" max="16384" width="11.5546875" style="94"/>
  </cols>
  <sheetData>
    <row r="1" spans="2:6" ht="18" customHeight="1" thickBot="1" x14ac:dyDescent="0.3"/>
    <row r="2" spans="2:6" ht="18" customHeight="1" x14ac:dyDescent="0.25">
      <c r="B2" s="95" t="str">
        <f>Config!F2&amp;" "&amp;YEAR(Config!G24)</f>
        <v>Mathe Abitur 2026</v>
      </c>
      <c r="C2" s="96"/>
      <c r="D2" s="96"/>
      <c r="E2" s="97"/>
      <c r="F2" s="98" t="str">
        <f>"Kurs "&amp;Config!G26</f>
        <v>Kurs K1</v>
      </c>
    </row>
    <row r="3" spans="2:6" ht="18" customHeight="1" x14ac:dyDescent="0.25">
      <c r="B3" s="99" t="s">
        <v>13</v>
      </c>
      <c r="C3" s="100"/>
      <c r="D3" s="100"/>
      <c r="E3" s="100"/>
      <c r="F3" s="101"/>
    </row>
    <row r="4" spans="2:6" ht="18" customHeight="1" thickBot="1" x14ac:dyDescent="0.3">
      <c r="B4" s="99"/>
      <c r="C4" s="100"/>
      <c r="D4" s="102"/>
      <c r="E4" s="102"/>
      <c r="F4" s="103"/>
    </row>
    <row r="5" spans="2:6" ht="18" customHeight="1" thickBot="1" x14ac:dyDescent="0.3">
      <c r="B5" s="104"/>
      <c r="C5" s="106"/>
      <c r="D5" s="123" t="str">
        <f>Config!N6</f>
        <v>1a</v>
      </c>
      <c r="E5" s="123" t="str">
        <f>Config!N7</f>
        <v>1b</v>
      </c>
      <c r="F5" s="110" t="s">
        <v>82</v>
      </c>
    </row>
    <row r="6" spans="2:6" ht="18" customHeight="1" thickBot="1" x14ac:dyDescent="0.3">
      <c r="B6" s="105"/>
      <c r="C6" s="107" t="s">
        <v>81</v>
      </c>
      <c r="D6" s="109">
        <f>Config!O6</f>
        <v>2</v>
      </c>
      <c r="E6" s="109">
        <f>Config!O7</f>
        <v>3</v>
      </c>
      <c r="F6" s="124">
        <f>Config!O21</f>
        <v>5</v>
      </c>
    </row>
    <row r="7" spans="2:6" ht="18" customHeight="1" thickBot="1" x14ac:dyDescent="0.3">
      <c r="B7" s="118">
        <v>1</v>
      </c>
      <c r="C7" s="116" t="str">
        <f>Config!C5&amp;", "&amp;Config!D5</f>
        <v>Höfer, Simon</v>
      </c>
      <c r="D7" s="63"/>
      <c r="E7" s="64"/>
      <c r="F7" s="114">
        <f t="shared" ref="F7:F29" si="0">SUM(D7:E7)</f>
        <v>0</v>
      </c>
    </row>
    <row r="8" spans="2:6" ht="18" customHeight="1" thickBot="1" x14ac:dyDescent="0.3">
      <c r="B8" s="119">
        <v>2</v>
      </c>
      <c r="C8" s="111" t="str">
        <f>Config!C6&amp;", "&amp;Config!D6</f>
        <v>Töpfer, Lilian</v>
      </c>
      <c r="D8" s="62"/>
      <c r="E8" s="65"/>
      <c r="F8" s="114">
        <f t="shared" si="0"/>
        <v>0</v>
      </c>
    </row>
    <row r="9" spans="2:6" ht="18" customHeight="1" thickBot="1" x14ac:dyDescent="0.3">
      <c r="B9" s="119">
        <v>3</v>
      </c>
      <c r="C9" s="111" t="str">
        <f>Config!C7&amp;", "&amp;Config!D7</f>
        <v>Fleischmann, Leonie</v>
      </c>
      <c r="D9" s="62"/>
      <c r="E9" s="65"/>
      <c r="F9" s="114">
        <f t="shared" si="0"/>
        <v>0</v>
      </c>
    </row>
    <row r="10" spans="2:6" ht="18" customHeight="1" thickBot="1" x14ac:dyDescent="0.3">
      <c r="B10" s="119">
        <v>4</v>
      </c>
      <c r="C10" s="111" t="str">
        <f>Config!C8&amp;", "&amp;Config!D8</f>
        <v>Drescher, Cedric</v>
      </c>
      <c r="D10" s="62"/>
      <c r="E10" s="65"/>
      <c r="F10" s="114">
        <f t="shared" si="0"/>
        <v>0</v>
      </c>
    </row>
    <row r="11" spans="2:6" ht="18" customHeight="1" thickBot="1" x14ac:dyDescent="0.3">
      <c r="B11" s="119">
        <v>5</v>
      </c>
      <c r="C11" s="111" t="str">
        <f>Config!C9&amp;", "&amp;Config!D9</f>
        <v>Baumgarten, Annabell</v>
      </c>
      <c r="D11" s="62"/>
      <c r="E11" s="65"/>
      <c r="F11" s="114">
        <f t="shared" si="0"/>
        <v>0</v>
      </c>
    </row>
    <row r="12" spans="2:6" ht="18" customHeight="1" thickBot="1" x14ac:dyDescent="0.3">
      <c r="B12" s="119">
        <v>6</v>
      </c>
      <c r="C12" s="111" t="str">
        <f>Config!C10&amp;", "&amp;Config!D10</f>
        <v>Traut, Stefanie</v>
      </c>
      <c r="D12" s="62"/>
      <c r="E12" s="65"/>
      <c r="F12" s="114">
        <f t="shared" si="0"/>
        <v>0</v>
      </c>
    </row>
    <row r="13" spans="2:6" ht="18" customHeight="1" thickBot="1" x14ac:dyDescent="0.3">
      <c r="B13" s="119">
        <v>7</v>
      </c>
      <c r="C13" s="111" t="str">
        <f>Config!C11&amp;", "&amp;Config!D11</f>
        <v>Menke, Damian</v>
      </c>
      <c r="D13" s="62"/>
      <c r="E13" s="65"/>
      <c r="F13" s="114">
        <f t="shared" si="0"/>
        <v>0</v>
      </c>
    </row>
    <row r="14" spans="2:6" ht="18" customHeight="1" thickBot="1" x14ac:dyDescent="0.3">
      <c r="B14" s="119">
        <v>8</v>
      </c>
      <c r="C14" s="111" t="str">
        <f>Config!C12&amp;", "&amp;Config!D12</f>
        <v>Carroll, Meik</v>
      </c>
      <c r="D14" s="62"/>
      <c r="E14" s="65"/>
      <c r="F14" s="114">
        <f t="shared" si="0"/>
        <v>0</v>
      </c>
    </row>
    <row r="15" spans="2:6" ht="18" customHeight="1" thickBot="1" x14ac:dyDescent="0.3">
      <c r="B15" s="119">
        <v>9</v>
      </c>
      <c r="C15" s="111" t="str">
        <f>Config!C13&amp;", "&amp;Config!D13</f>
        <v>Hennings, Tomas</v>
      </c>
      <c r="D15" s="62"/>
      <c r="E15" s="65"/>
      <c r="F15" s="114">
        <f t="shared" si="0"/>
        <v>0</v>
      </c>
    </row>
    <row r="16" spans="2:6" ht="18" customHeight="1" thickBot="1" x14ac:dyDescent="0.3">
      <c r="B16" s="119">
        <v>10</v>
      </c>
      <c r="C16" s="111" t="str">
        <f>Config!C14&amp;", "&amp;Config!D14</f>
        <v>Walters, Linn</v>
      </c>
      <c r="D16" s="62"/>
      <c r="E16" s="65"/>
      <c r="F16" s="114">
        <f t="shared" si="0"/>
        <v>0</v>
      </c>
    </row>
    <row r="17" spans="2:6" ht="18" customHeight="1" thickBot="1" x14ac:dyDescent="0.3">
      <c r="B17" s="119">
        <v>11</v>
      </c>
      <c r="C17" s="111" t="str">
        <f>Config!C15&amp;", "&amp;Config!D15</f>
        <v>Junker, Amely</v>
      </c>
      <c r="D17" s="62"/>
      <c r="E17" s="65"/>
      <c r="F17" s="114">
        <f t="shared" si="0"/>
        <v>0</v>
      </c>
    </row>
    <row r="18" spans="2:6" ht="18" customHeight="1" thickBot="1" x14ac:dyDescent="0.3">
      <c r="B18" s="119">
        <v>12</v>
      </c>
      <c r="C18" s="111" t="str">
        <f>Config!C16&amp;", "&amp;Config!D16</f>
        <v>Stephens, Melvin</v>
      </c>
      <c r="D18" s="62"/>
      <c r="E18" s="65"/>
      <c r="F18" s="114">
        <f t="shared" si="0"/>
        <v>0</v>
      </c>
    </row>
    <row r="19" spans="2:6" ht="18" customHeight="1" thickBot="1" x14ac:dyDescent="0.3">
      <c r="B19" s="119">
        <v>13</v>
      </c>
      <c r="C19" s="111" t="str">
        <f>Config!C17&amp;", "&amp;Config!D17</f>
        <v>Cremer, Marvin</v>
      </c>
      <c r="D19" s="62"/>
      <c r="E19" s="65"/>
      <c r="F19" s="114">
        <f t="shared" si="0"/>
        <v>0</v>
      </c>
    </row>
    <row r="20" spans="2:6" ht="18" customHeight="1" thickBot="1" x14ac:dyDescent="0.3">
      <c r="B20" s="119">
        <v>14</v>
      </c>
      <c r="C20" s="111" t="str">
        <f>Config!C18&amp;", "&amp;Config!D18</f>
        <v>Nash, Jean</v>
      </c>
      <c r="D20" s="62"/>
      <c r="E20" s="65"/>
      <c r="F20" s="114">
        <f t="shared" si="0"/>
        <v>0</v>
      </c>
    </row>
    <row r="21" spans="2:6" ht="18" customHeight="1" thickBot="1" x14ac:dyDescent="0.3">
      <c r="B21" s="119">
        <v>15</v>
      </c>
      <c r="C21" s="111" t="str">
        <f>Config!C19&amp;", "&amp;Config!D19</f>
        <v>Schön, Leonardo</v>
      </c>
      <c r="D21" s="62"/>
      <c r="E21" s="65"/>
      <c r="F21" s="114">
        <f t="shared" si="0"/>
        <v>0</v>
      </c>
    </row>
    <row r="22" spans="2:6" ht="18" customHeight="1" thickBot="1" x14ac:dyDescent="0.3">
      <c r="B22" s="119">
        <v>16</v>
      </c>
      <c r="C22" s="111" t="str">
        <f>Config!C20&amp;", "&amp;Config!D20</f>
        <v>Sigl, Nicholas</v>
      </c>
      <c r="D22" s="62"/>
      <c r="E22" s="65"/>
      <c r="F22" s="114">
        <f t="shared" si="0"/>
        <v>0</v>
      </c>
    </row>
    <row r="23" spans="2:6" ht="18" customHeight="1" thickBot="1" x14ac:dyDescent="0.3">
      <c r="B23" s="119">
        <v>17</v>
      </c>
      <c r="C23" s="111" t="str">
        <f>Config!C21&amp;", "&amp;Config!D21</f>
        <v>Kainz, Vivienne</v>
      </c>
      <c r="D23" s="62"/>
      <c r="E23" s="65"/>
      <c r="F23" s="114">
        <f t="shared" si="0"/>
        <v>0</v>
      </c>
    </row>
    <row r="24" spans="2:6" ht="18" customHeight="1" thickBot="1" x14ac:dyDescent="0.3">
      <c r="B24" s="119">
        <v>18</v>
      </c>
      <c r="C24" s="111" t="str">
        <f>Config!C22&amp;", "&amp;Config!D22</f>
        <v>Hartmann, Mads</v>
      </c>
      <c r="D24" s="62"/>
      <c r="E24" s="65"/>
      <c r="F24" s="114">
        <f t="shared" si="0"/>
        <v>0</v>
      </c>
    </row>
    <row r="25" spans="2:6" ht="18" customHeight="1" thickBot="1" x14ac:dyDescent="0.3">
      <c r="B25" s="119">
        <v>19</v>
      </c>
      <c r="C25" s="111" t="str">
        <f>Config!C23&amp;", "&amp;Config!D23</f>
        <v>Ullmann, Raphael</v>
      </c>
      <c r="D25" s="62"/>
      <c r="E25" s="65"/>
      <c r="F25" s="114">
        <f t="shared" si="0"/>
        <v>0</v>
      </c>
    </row>
    <row r="26" spans="2:6" ht="18" customHeight="1" thickBot="1" x14ac:dyDescent="0.3">
      <c r="B26" s="119">
        <v>20</v>
      </c>
      <c r="C26" s="111" t="str">
        <f>Config!C24&amp;", "&amp;Config!D24</f>
        <v>Hartl, Emmely</v>
      </c>
      <c r="D26" s="62"/>
      <c r="E26" s="65"/>
      <c r="F26" s="114">
        <f t="shared" si="0"/>
        <v>0</v>
      </c>
    </row>
    <row r="27" spans="2:6" ht="18" customHeight="1" thickBot="1" x14ac:dyDescent="0.3">
      <c r="B27" s="119">
        <v>21</v>
      </c>
      <c r="C27" s="111" t="str">
        <f>Config!C25&amp;", "&amp;Config!D25</f>
        <v>Klotz, Karin</v>
      </c>
      <c r="D27" s="62"/>
      <c r="E27" s="65"/>
      <c r="F27" s="114">
        <f t="shared" si="0"/>
        <v>0</v>
      </c>
    </row>
    <row r="28" spans="2:6" ht="18" customHeight="1" thickBot="1" x14ac:dyDescent="0.3">
      <c r="B28" s="119">
        <v>22</v>
      </c>
      <c r="C28" s="111" t="str">
        <f>Config!C26&amp;", "&amp;Config!D26</f>
        <v>Ehlers, Ingo</v>
      </c>
      <c r="D28" s="62"/>
      <c r="E28" s="65"/>
      <c r="F28" s="114">
        <f t="shared" si="0"/>
        <v>0</v>
      </c>
    </row>
    <row r="29" spans="2:6" ht="18" customHeight="1" thickBot="1" x14ac:dyDescent="0.3">
      <c r="B29" s="120">
        <v>23</v>
      </c>
      <c r="C29" s="117" t="str">
        <f>Config!C27&amp;", "&amp;Config!D27</f>
        <v>Lindemann, Mads</v>
      </c>
      <c r="D29" s="66"/>
      <c r="E29" s="67"/>
      <c r="F29" s="112">
        <f t="shared" si="0"/>
        <v>0</v>
      </c>
    </row>
    <row r="30" spans="2:6" ht="18" customHeight="1" thickBot="1" x14ac:dyDescent="0.3">
      <c r="B30" s="121"/>
      <c r="C30" s="122"/>
      <c r="D30" s="122">
        <f>IF(COUNTIFS(D7:D29,"&lt;&gt;",C7:C29,"&lt;&gt;ZK",C7:C29,"&lt;&gt;DK")&lt;&gt;0,SUMIFS(D7:D29,C7:C29,"&lt;&gt;ZK",C7:C29,"&lt;&gt;DK")/(COUNTIFS(D7:D29,"&lt;&gt;",C7:C29,"&lt;&gt;ZK",C7:C29,"&lt;&gt;DK")*D6),0)</f>
        <v>0</v>
      </c>
      <c r="E30" s="122">
        <f>IF(COUNTIFS(E7:E29,"&lt;&gt;",C7:C29,"&lt;&gt;ZK",C7:C29,"&lt;&gt;DK")&lt;&gt;0,SUMIFS(E7:E29,C7:C29,"&lt;&gt;ZK",C7:C29,"&lt;&gt;DK")/(COUNTIFS(E7:E29,"&lt;&gt;",C7:C29,"&lt;&gt;ZK",C7:C29,"&lt;&gt;DK")*E6),0)</f>
        <v>0</v>
      </c>
      <c r="F30" s="115"/>
    </row>
    <row r="31" spans="2:6" ht="18" customHeight="1" x14ac:dyDescent="0.25"/>
    <row r="32" spans="2: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2">
    <dataValidation type="decimal" allowBlank="1" showErrorMessage="1" sqref="D7:D29" xr:uid="{1E1FC696-0DD0-4A89-9477-19DDAE71A3AF}">
      <formula1>0</formula1>
      <formula2>$D$6</formula2>
    </dataValidation>
    <dataValidation type="decimal" allowBlank="1" showErrorMessage="1" sqref="E7:E29" xr:uid="{1EB11F47-9B62-49BF-9C89-DF5807126DEF}">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EFB67-140E-43FA-9A3B-AA9EC81C9112}">
  <sheetPr codeName="Tabelle149">
    <tabColor rgb="FF92D050"/>
  </sheetPr>
  <dimension ref="B1:I100"/>
  <sheetViews>
    <sheetView workbookViewId="0">
      <selection activeCell="D7" sqref="D7"/>
    </sheetView>
  </sheetViews>
  <sheetFormatPr baseColWidth="10" defaultRowHeight="13.2" x14ac:dyDescent="0.25"/>
  <cols>
    <col min="1" max="2" width="3.44140625" style="94" customWidth="1"/>
    <col min="3" max="3" width="25.77734375" style="94" customWidth="1"/>
    <col min="4" max="9" width="8.77734375" style="94" customWidth="1"/>
    <col min="10" max="16384" width="11.5546875" style="94"/>
  </cols>
  <sheetData>
    <row r="1" spans="2:9" ht="18" customHeight="1" thickBot="1" x14ac:dyDescent="0.3"/>
    <row r="2" spans="2:9" ht="18" customHeight="1" x14ac:dyDescent="0.25">
      <c r="B2" s="95" t="str">
        <f>Config!F2&amp;" "&amp;YEAR(Config!G24)</f>
        <v>Mathe Abitur 2026</v>
      </c>
      <c r="C2" s="96"/>
      <c r="D2" s="96"/>
      <c r="E2" s="96"/>
      <c r="F2" s="97"/>
      <c r="G2" s="97"/>
      <c r="H2" s="97"/>
      <c r="I2" s="98" t="str">
        <f>"Kurs "&amp;Config!G26</f>
        <v>Kurs K1</v>
      </c>
    </row>
    <row r="3" spans="2:9" ht="18" customHeight="1" x14ac:dyDescent="0.25">
      <c r="B3" s="99" t="s">
        <v>14</v>
      </c>
      <c r="C3" s="100"/>
      <c r="D3" s="100"/>
      <c r="E3" s="100"/>
      <c r="F3" s="100"/>
      <c r="G3" s="100"/>
      <c r="H3" s="100"/>
      <c r="I3" s="101"/>
    </row>
    <row r="4" spans="2:9" ht="18" customHeight="1" thickBot="1" x14ac:dyDescent="0.3">
      <c r="B4" s="99"/>
      <c r="C4" s="100"/>
      <c r="D4" s="102"/>
      <c r="E4" s="102"/>
      <c r="F4" s="102"/>
      <c r="G4" s="102"/>
      <c r="H4" s="102"/>
      <c r="I4" s="103"/>
    </row>
    <row r="5" spans="2:9" ht="18" customHeight="1" thickBot="1" x14ac:dyDescent="0.3">
      <c r="B5" s="104"/>
      <c r="C5" s="106"/>
      <c r="D5" s="123" t="str">
        <f>Config!P6</f>
        <v>1a</v>
      </c>
      <c r="E5" s="123" t="str">
        <f>Config!P7</f>
        <v>1b</v>
      </c>
      <c r="F5" s="123" t="str">
        <f>Config!P8</f>
        <v>1c</v>
      </c>
      <c r="G5" s="123" t="str">
        <f>Config!P9</f>
        <v>1d</v>
      </c>
      <c r="H5" s="123" t="str">
        <f>Config!P10</f>
        <v>1e</v>
      </c>
      <c r="I5" s="110" t="s">
        <v>82</v>
      </c>
    </row>
    <row r="6" spans="2:9" ht="18" customHeight="1" thickBot="1" x14ac:dyDescent="0.3">
      <c r="B6" s="105"/>
      <c r="C6" s="107" t="s">
        <v>81</v>
      </c>
      <c r="D6" s="109">
        <f>Config!Q6</f>
        <v>4</v>
      </c>
      <c r="E6" s="109">
        <f>Config!Q7</f>
        <v>3</v>
      </c>
      <c r="F6" s="109">
        <f>Config!Q8</f>
        <v>4</v>
      </c>
      <c r="G6" s="109">
        <f>Config!Q9</f>
        <v>3</v>
      </c>
      <c r="H6" s="109">
        <f>Config!Q10</f>
        <v>4</v>
      </c>
      <c r="I6" s="124">
        <f>Config!Q21</f>
        <v>18</v>
      </c>
    </row>
    <row r="7" spans="2:9" ht="18" customHeight="1" thickBot="1" x14ac:dyDescent="0.3">
      <c r="B7" s="118">
        <v>1</v>
      </c>
      <c r="C7" s="116" t="str">
        <f>Config!C5&amp;", "&amp;Config!D5</f>
        <v>Höfer, Simon</v>
      </c>
      <c r="D7" s="63"/>
      <c r="E7" s="63"/>
      <c r="F7" s="63"/>
      <c r="G7" s="63"/>
      <c r="H7" s="64"/>
      <c r="I7" s="114">
        <f t="shared" ref="I7:I29" si="0">SUM(D7:H7)</f>
        <v>0</v>
      </c>
    </row>
    <row r="8" spans="2:9" ht="18" customHeight="1" thickBot="1" x14ac:dyDescent="0.3">
      <c r="B8" s="119">
        <v>2</v>
      </c>
      <c r="C8" s="111" t="str">
        <f>Config!C6&amp;", "&amp;Config!D6</f>
        <v>Töpfer, Lilian</v>
      </c>
      <c r="D8" s="62"/>
      <c r="E8" s="62"/>
      <c r="F8" s="62"/>
      <c r="G8" s="62"/>
      <c r="H8" s="65"/>
      <c r="I8" s="114">
        <f t="shared" si="0"/>
        <v>0</v>
      </c>
    </row>
    <row r="9" spans="2:9" ht="18" customHeight="1" thickBot="1" x14ac:dyDescent="0.3">
      <c r="B9" s="119">
        <v>3</v>
      </c>
      <c r="C9" s="111" t="str">
        <f>Config!C7&amp;", "&amp;Config!D7</f>
        <v>Fleischmann, Leonie</v>
      </c>
      <c r="D9" s="62"/>
      <c r="E9" s="62"/>
      <c r="F9" s="62"/>
      <c r="G9" s="62"/>
      <c r="H9" s="65"/>
      <c r="I9" s="114">
        <f t="shared" si="0"/>
        <v>0</v>
      </c>
    </row>
    <row r="10" spans="2:9" ht="18" customHeight="1" thickBot="1" x14ac:dyDescent="0.3">
      <c r="B10" s="119">
        <v>4</v>
      </c>
      <c r="C10" s="111" t="str">
        <f>Config!C8&amp;", "&amp;Config!D8</f>
        <v>Drescher, Cedric</v>
      </c>
      <c r="D10" s="62"/>
      <c r="E10" s="62"/>
      <c r="F10" s="62"/>
      <c r="G10" s="62"/>
      <c r="H10" s="65"/>
      <c r="I10" s="114">
        <f t="shared" si="0"/>
        <v>0</v>
      </c>
    </row>
    <row r="11" spans="2:9" ht="18" customHeight="1" thickBot="1" x14ac:dyDescent="0.3">
      <c r="B11" s="119">
        <v>5</v>
      </c>
      <c r="C11" s="111" t="str">
        <f>Config!C9&amp;", "&amp;Config!D9</f>
        <v>Baumgarten, Annabell</v>
      </c>
      <c r="D11" s="62"/>
      <c r="E11" s="62"/>
      <c r="F11" s="62"/>
      <c r="G11" s="62"/>
      <c r="H11" s="65"/>
      <c r="I11" s="114">
        <f t="shared" si="0"/>
        <v>0</v>
      </c>
    </row>
    <row r="12" spans="2:9" ht="18" customHeight="1" thickBot="1" x14ac:dyDescent="0.3">
      <c r="B12" s="119">
        <v>6</v>
      </c>
      <c r="C12" s="111" t="str">
        <f>Config!C10&amp;", "&amp;Config!D10</f>
        <v>Traut, Stefanie</v>
      </c>
      <c r="D12" s="62"/>
      <c r="E12" s="62"/>
      <c r="F12" s="62"/>
      <c r="G12" s="62"/>
      <c r="H12" s="65"/>
      <c r="I12" s="114">
        <f t="shared" si="0"/>
        <v>0</v>
      </c>
    </row>
    <row r="13" spans="2:9" ht="18" customHeight="1" thickBot="1" x14ac:dyDescent="0.3">
      <c r="B13" s="119">
        <v>7</v>
      </c>
      <c r="C13" s="111" t="str">
        <f>Config!C11&amp;", "&amp;Config!D11</f>
        <v>Menke, Damian</v>
      </c>
      <c r="D13" s="62"/>
      <c r="E13" s="62"/>
      <c r="F13" s="62"/>
      <c r="G13" s="62"/>
      <c r="H13" s="65"/>
      <c r="I13" s="114">
        <f t="shared" si="0"/>
        <v>0</v>
      </c>
    </row>
    <row r="14" spans="2:9" ht="18" customHeight="1" thickBot="1" x14ac:dyDescent="0.3">
      <c r="B14" s="119">
        <v>8</v>
      </c>
      <c r="C14" s="111" t="str">
        <f>Config!C12&amp;", "&amp;Config!D12</f>
        <v>Carroll, Meik</v>
      </c>
      <c r="D14" s="62"/>
      <c r="E14" s="62"/>
      <c r="F14" s="62"/>
      <c r="G14" s="62"/>
      <c r="H14" s="65"/>
      <c r="I14" s="114">
        <f t="shared" si="0"/>
        <v>0</v>
      </c>
    </row>
    <row r="15" spans="2:9" ht="18" customHeight="1" thickBot="1" x14ac:dyDescent="0.3">
      <c r="B15" s="119">
        <v>9</v>
      </c>
      <c r="C15" s="111" t="str">
        <f>Config!C13&amp;", "&amp;Config!D13</f>
        <v>Hennings, Tomas</v>
      </c>
      <c r="D15" s="62"/>
      <c r="E15" s="62"/>
      <c r="F15" s="62"/>
      <c r="G15" s="62"/>
      <c r="H15" s="65"/>
      <c r="I15" s="114">
        <f t="shared" si="0"/>
        <v>0</v>
      </c>
    </row>
    <row r="16" spans="2:9" ht="18" customHeight="1" thickBot="1" x14ac:dyDescent="0.3">
      <c r="B16" s="119">
        <v>10</v>
      </c>
      <c r="C16" s="111" t="str">
        <f>Config!C14&amp;", "&amp;Config!D14</f>
        <v>Walters, Linn</v>
      </c>
      <c r="D16" s="62"/>
      <c r="E16" s="62"/>
      <c r="F16" s="62"/>
      <c r="G16" s="62"/>
      <c r="H16" s="65"/>
      <c r="I16" s="114">
        <f t="shared" si="0"/>
        <v>0</v>
      </c>
    </row>
    <row r="17" spans="2:9" ht="18" customHeight="1" thickBot="1" x14ac:dyDescent="0.3">
      <c r="B17" s="119">
        <v>11</v>
      </c>
      <c r="C17" s="111" t="str">
        <f>Config!C15&amp;", "&amp;Config!D15</f>
        <v>Junker, Amely</v>
      </c>
      <c r="D17" s="62"/>
      <c r="E17" s="62"/>
      <c r="F17" s="62"/>
      <c r="G17" s="62"/>
      <c r="H17" s="65"/>
      <c r="I17" s="114">
        <f t="shared" si="0"/>
        <v>0</v>
      </c>
    </row>
    <row r="18" spans="2:9" ht="18" customHeight="1" thickBot="1" x14ac:dyDescent="0.3">
      <c r="B18" s="119">
        <v>12</v>
      </c>
      <c r="C18" s="111" t="str">
        <f>Config!C16&amp;", "&amp;Config!D16</f>
        <v>Stephens, Melvin</v>
      </c>
      <c r="D18" s="62"/>
      <c r="E18" s="62"/>
      <c r="F18" s="62"/>
      <c r="G18" s="62"/>
      <c r="H18" s="65"/>
      <c r="I18" s="114">
        <f t="shared" si="0"/>
        <v>0</v>
      </c>
    </row>
    <row r="19" spans="2:9" ht="18" customHeight="1" thickBot="1" x14ac:dyDescent="0.3">
      <c r="B19" s="119">
        <v>13</v>
      </c>
      <c r="C19" s="111" t="str">
        <f>Config!C17&amp;", "&amp;Config!D17</f>
        <v>Cremer, Marvin</v>
      </c>
      <c r="D19" s="62"/>
      <c r="E19" s="62"/>
      <c r="F19" s="62"/>
      <c r="G19" s="62"/>
      <c r="H19" s="65"/>
      <c r="I19" s="114">
        <f t="shared" si="0"/>
        <v>0</v>
      </c>
    </row>
    <row r="20" spans="2:9" ht="18" customHeight="1" thickBot="1" x14ac:dyDescent="0.3">
      <c r="B20" s="119">
        <v>14</v>
      </c>
      <c r="C20" s="111" t="str">
        <f>Config!C18&amp;", "&amp;Config!D18</f>
        <v>Nash, Jean</v>
      </c>
      <c r="D20" s="62"/>
      <c r="E20" s="62"/>
      <c r="F20" s="62"/>
      <c r="G20" s="62"/>
      <c r="H20" s="65"/>
      <c r="I20" s="114">
        <f t="shared" si="0"/>
        <v>0</v>
      </c>
    </row>
    <row r="21" spans="2:9" ht="18" customHeight="1" thickBot="1" x14ac:dyDescent="0.3">
      <c r="B21" s="119">
        <v>15</v>
      </c>
      <c r="C21" s="111" t="str">
        <f>Config!C19&amp;", "&amp;Config!D19</f>
        <v>Schön, Leonardo</v>
      </c>
      <c r="D21" s="62"/>
      <c r="E21" s="62"/>
      <c r="F21" s="62"/>
      <c r="G21" s="62"/>
      <c r="H21" s="65"/>
      <c r="I21" s="114">
        <f t="shared" si="0"/>
        <v>0</v>
      </c>
    </row>
    <row r="22" spans="2:9" ht="18" customHeight="1" thickBot="1" x14ac:dyDescent="0.3">
      <c r="B22" s="119">
        <v>16</v>
      </c>
      <c r="C22" s="111" t="str">
        <f>Config!C20&amp;", "&amp;Config!D20</f>
        <v>Sigl, Nicholas</v>
      </c>
      <c r="D22" s="62"/>
      <c r="E22" s="62"/>
      <c r="F22" s="62"/>
      <c r="G22" s="62"/>
      <c r="H22" s="65"/>
      <c r="I22" s="114">
        <f t="shared" si="0"/>
        <v>0</v>
      </c>
    </row>
    <row r="23" spans="2:9" ht="18" customHeight="1" thickBot="1" x14ac:dyDescent="0.3">
      <c r="B23" s="119">
        <v>17</v>
      </c>
      <c r="C23" s="111" t="str">
        <f>Config!C21&amp;", "&amp;Config!D21</f>
        <v>Kainz, Vivienne</v>
      </c>
      <c r="D23" s="62"/>
      <c r="E23" s="62"/>
      <c r="F23" s="62"/>
      <c r="G23" s="62"/>
      <c r="H23" s="65"/>
      <c r="I23" s="114">
        <f t="shared" si="0"/>
        <v>0</v>
      </c>
    </row>
    <row r="24" spans="2:9" ht="18" customHeight="1" thickBot="1" x14ac:dyDescent="0.3">
      <c r="B24" s="119">
        <v>18</v>
      </c>
      <c r="C24" s="111" t="str">
        <f>Config!C22&amp;", "&amp;Config!D22</f>
        <v>Hartmann, Mads</v>
      </c>
      <c r="D24" s="62"/>
      <c r="E24" s="62"/>
      <c r="F24" s="62"/>
      <c r="G24" s="62"/>
      <c r="H24" s="65"/>
      <c r="I24" s="114">
        <f t="shared" si="0"/>
        <v>0</v>
      </c>
    </row>
    <row r="25" spans="2:9" ht="18" customHeight="1" thickBot="1" x14ac:dyDescent="0.3">
      <c r="B25" s="119">
        <v>19</v>
      </c>
      <c r="C25" s="111" t="str">
        <f>Config!C23&amp;", "&amp;Config!D23</f>
        <v>Ullmann, Raphael</v>
      </c>
      <c r="D25" s="62"/>
      <c r="E25" s="62"/>
      <c r="F25" s="62"/>
      <c r="G25" s="62"/>
      <c r="H25" s="65"/>
      <c r="I25" s="114">
        <f t="shared" si="0"/>
        <v>0</v>
      </c>
    </row>
    <row r="26" spans="2:9" ht="18" customHeight="1" thickBot="1" x14ac:dyDescent="0.3">
      <c r="B26" s="119">
        <v>20</v>
      </c>
      <c r="C26" s="111" t="str">
        <f>Config!C24&amp;", "&amp;Config!D24</f>
        <v>Hartl, Emmely</v>
      </c>
      <c r="D26" s="62"/>
      <c r="E26" s="62"/>
      <c r="F26" s="62"/>
      <c r="G26" s="62"/>
      <c r="H26" s="65"/>
      <c r="I26" s="114">
        <f t="shared" si="0"/>
        <v>0</v>
      </c>
    </row>
    <row r="27" spans="2:9" ht="18" customHeight="1" thickBot="1" x14ac:dyDescent="0.3">
      <c r="B27" s="119">
        <v>21</v>
      </c>
      <c r="C27" s="111" t="str">
        <f>Config!C25&amp;", "&amp;Config!D25</f>
        <v>Klotz, Karin</v>
      </c>
      <c r="D27" s="62"/>
      <c r="E27" s="62"/>
      <c r="F27" s="62"/>
      <c r="G27" s="62"/>
      <c r="H27" s="65"/>
      <c r="I27" s="114">
        <f t="shared" si="0"/>
        <v>0</v>
      </c>
    </row>
    <row r="28" spans="2:9" ht="18" customHeight="1" thickBot="1" x14ac:dyDescent="0.3">
      <c r="B28" s="119">
        <v>22</v>
      </c>
      <c r="C28" s="111" t="str">
        <f>Config!C26&amp;", "&amp;Config!D26</f>
        <v>Ehlers, Ingo</v>
      </c>
      <c r="D28" s="62"/>
      <c r="E28" s="62"/>
      <c r="F28" s="62"/>
      <c r="G28" s="62"/>
      <c r="H28" s="65"/>
      <c r="I28" s="114">
        <f t="shared" si="0"/>
        <v>0</v>
      </c>
    </row>
    <row r="29" spans="2:9" ht="18" customHeight="1" thickBot="1" x14ac:dyDescent="0.3">
      <c r="B29" s="120">
        <v>23</v>
      </c>
      <c r="C29" s="117" t="str">
        <f>Config!C27&amp;", "&amp;Config!D27</f>
        <v>Lindemann, Mads</v>
      </c>
      <c r="D29" s="66"/>
      <c r="E29" s="66"/>
      <c r="F29" s="66"/>
      <c r="G29" s="66"/>
      <c r="H29" s="67"/>
      <c r="I29" s="112">
        <f t="shared" si="0"/>
        <v>0</v>
      </c>
    </row>
    <row r="30" spans="2:9" ht="18" customHeight="1" thickBot="1" x14ac:dyDescent="0.3">
      <c r="B30" s="121"/>
      <c r="C30" s="122"/>
      <c r="D30" s="122">
        <f>IF(COUNTIFS(D7:D29,"&lt;&gt;",C7:C29,"&lt;&gt;ZK",C7:C29,"&lt;&gt;DK")&lt;&gt;0,SUMIFS(D7:D29,C7:C29,"&lt;&gt;ZK",C7:C29,"&lt;&gt;DK")/(COUNTIFS(D7:D29,"&lt;&gt;",C7:C29,"&lt;&gt;ZK",C7:C29,"&lt;&gt;DK")*D6),0)</f>
        <v>0</v>
      </c>
      <c r="E30" s="122">
        <f>IF(COUNTIFS(E7:E29,"&lt;&gt;",C7:C29,"&lt;&gt;ZK",C7:C29,"&lt;&gt;DK")&lt;&gt;0,SUMIFS(E7:E29,C7:C29,"&lt;&gt;ZK",C7:C29,"&lt;&gt;DK")/(COUNTIFS(E7:E29,"&lt;&gt;",C7:C29,"&lt;&gt;ZK",C7:C29,"&lt;&gt;DK")*E6),0)</f>
        <v>0</v>
      </c>
      <c r="F30" s="122">
        <f>IF(COUNTIFS(F7:F29,"&lt;&gt;",C7:C29,"&lt;&gt;ZK",C7:C29,"&lt;&gt;DK")&lt;&gt;0,SUMIFS(F7:F29,C7:C29,"&lt;&gt;ZK",C7:C29,"&lt;&gt;DK")/(COUNTIFS(F7:F29,"&lt;&gt;",C7:C29,"&lt;&gt;ZK",C7:C29,"&lt;&gt;DK")*F6),0)</f>
        <v>0</v>
      </c>
      <c r="G30" s="122">
        <f>IF(COUNTIFS(G7:G29,"&lt;&gt;",C7:C29,"&lt;&gt;ZK",C7:C29,"&lt;&gt;DK")&lt;&gt;0,SUMIFS(G7:G29,C7:C29,"&lt;&gt;ZK",C7:C29,"&lt;&gt;DK")/(COUNTIFS(G7:G29,"&lt;&gt;",C7:C29,"&lt;&gt;ZK",C7:C29,"&lt;&gt;DK")*G6),0)</f>
        <v>0</v>
      </c>
      <c r="H30" s="122">
        <f>IF(COUNTIFS(H7:H29,"&lt;&gt;",C7:C29,"&lt;&gt;ZK",C7:C29,"&lt;&gt;DK")&lt;&gt;0,SUMIFS(H7:H29,C7:C29,"&lt;&gt;ZK",C7:C29,"&lt;&gt;DK")/(COUNTIFS(H7:H29,"&lt;&gt;",C7:C29,"&lt;&gt;ZK",C7:C29,"&lt;&gt;DK")*H6),0)</f>
        <v>0</v>
      </c>
      <c r="I30" s="115"/>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5">
    <dataValidation type="decimal" allowBlank="1" showErrorMessage="1" sqref="D7:D29" xr:uid="{6D32438E-59B7-4444-85E7-7B9ACD0C3377}">
      <formula1>0</formula1>
      <formula2>$D$6</formula2>
    </dataValidation>
    <dataValidation type="decimal" allowBlank="1" showErrorMessage="1" sqref="E7:E29" xr:uid="{E278D616-ABB6-4FFA-9A1F-507BF45D78DC}">
      <formula1>0</formula1>
      <formula2>$E$6</formula2>
    </dataValidation>
    <dataValidation type="decimal" allowBlank="1" showErrorMessage="1" sqref="F7:F29" xr:uid="{49C051C4-AE78-4621-A09D-E358BAEDD4C7}">
      <formula1>0</formula1>
      <formula2>$F$6</formula2>
    </dataValidation>
    <dataValidation type="decimal" allowBlank="1" showErrorMessage="1" sqref="G7:G29" xr:uid="{F0BFA78B-16E3-4A2E-B182-DF9B3E627449}">
      <formula1>0</formula1>
      <formula2>$G$6</formula2>
    </dataValidation>
    <dataValidation type="decimal" allowBlank="1" showErrorMessage="1" sqref="H7:H29" xr:uid="{1C7D3DCB-50F4-4750-B98C-317022550E2C}">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00928-AA56-4D35-A158-A4FEEF48C7A6}">
  <sheetPr codeName="Tabelle150">
    <tabColor rgb="FF92D050"/>
  </sheetPr>
  <dimension ref="B1:I100"/>
  <sheetViews>
    <sheetView topLeftCell="A102" workbookViewId="0">
      <selection activeCell="D7" sqref="D7"/>
    </sheetView>
  </sheetViews>
  <sheetFormatPr baseColWidth="10" defaultRowHeight="13.2" x14ac:dyDescent="0.25"/>
  <cols>
    <col min="1" max="2" width="3.44140625" style="94" customWidth="1"/>
    <col min="3" max="3" width="25.77734375" style="94" customWidth="1"/>
    <col min="4" max="9" width="8.77734375" style="94" customWidth="1"/>
    <col min="10" max="16384" width="11.5546875" style="94"/>
  </cols>
  <sheetData>
    <row r="1" spans="2:9" ht="18" customHeight="1" thickBot="1" x14ac:dyDescent="0.3"/>
    <row r="2" spans="2:9" ht="18" customHeight="1" x14ac:dyDescent="0.25">
      <c r="B2" s="95" t="str">
        <f>Config!F2&amp;" "&amp;YEAR(Config!G24)</f>
        <v>Mathe Abitur 2026</v>
      </c>
      <c r="C2" s="96"/>
      <c r="D2" s="96"/>
      <c r="E2" s="96"/>
      <c r="F2" s="97"/>
      <c r="G2" s="97"/>
      <c r="H2" s="97"/>
      <c r="I2" s="98" t="str">
        <f>"Kurs "&amp;Config!G26</f>
        <v>Kurs K1</v>
      </c>
    </row>
    <row r="3" spans="2:9" ht="18" customHeight="1" x14ac:dyDescent="0.25">
      <c r="B3" s="99" t="s">
        <v>112</v>
      </c>
      <c r="C3" s="100"/>
      <c r="D3" s="100"/>
      <c r="E3" s="100"/>
      <c r="F3" s="100"/>
      <c r="G3" s="100"/>
      <c r="H3" s="100"/>
      <c r="I3" s="101"/>
    </row>
    <row r="4" spans="2:9" ht="18" customHeight="1" thickBot="1" x14ac:dyDescent="0.3">
      <c r="B4" s="99"/>
      <c r="C4" s="100"/>
      <c r="D4" s="102"/>
      <c r="E4" s="102"/>
      <c r="F4" s="102"/>
      <c r="G4" s="102"/>
      <c r="H4" s="102"/>
      <c r="I4" s="103"/>
    </row>
    <row r="5" spans="2:9" ht="18" customHeight="1" thickBot="1" x14ac:dyDescent="0.3">
      <c r="B5" s="104"/>
      <c r="C5" s="106"/>
      <c r="D5" s="123" t="str">
        <f>Config!R6</f>
        <v>6</v>
      </c>
      <c r="E5" s="123" t="str">
        <f>Config!R7</f>
        <v>7a</v>
      </c>
      <c r="F5" s="123" t="str">
        <f>Config!R8</f>
        <v>7b</v>
      </c>
      <c r="G5" s="123" t="str">
        <f>Config!R9</f>
        <v>8</v>
      </c>
      <c r="H5" s="123" t="str">
        <f>Config!R10</f>
        <v>9</v>
      </c>
      <c r="I5" s="110" t="s">
        <v>82</v>
      </c>
    </row>
    <row r="6" spans="2:9" ht="18" customHeight="1" thickBot="1" x14ac:dyDescent="0.3">
      <c r="B6" s="105"/>
      <c r="C6" s="107" t="s">
        <v>81</v>
      </c>
      <c r="D6" s="109">
        <f>Config!S6</f>
        <v>5</v>
      </c>
      <c r="E6" s="109">
        <f>Config!S7</f>
        <v>2</v>
      </c>
      <c r="F6" s="109">
        <f>Config!S8</f>
        <v>3</v>
      </c>
      <c r="G6" s="109">
        <f>Config!S9</f>
        <v>5</v>
      </c>
      <c r="H6" s="109">
        <f>Config!S10</f>
        <v>5</v>
      </c>
      <c r="I6" s="124">
        <f>Config!S21</f>
        <v>10</v>
      </c>
    </row>
    <row r="7" spans="2:9" ht="18" customHeight="1" thickBot="1" x14ac:dyDescent="0.3">
      <c r="B7" s="118">
        <v>1</v>
      </c>
      <c r="C7" s="116" t="str">
        <f>Config!C5&amp;", "&amp;Config!D5</f>
        <v>Höfer, Simon</v>
      </c>
      <c r="D7" s="63"/>
      <c r="E7" s="63"/>
      <c r="F7" s="63"/>
      <c r="G7" s="202"/>
      <c r="H7" s="203"/>
      <c r="I7" s="114">
        <f t="shared" ref="I7:I29" si="0">SUM(D7:H7)</f>
        <v>0</v>
      </c>
    </row>
    <row r="8" spans="2:9" ht="18" customHeight="1" thickBot="1" x14ac:dyDescent="0.3">
      <c r="B8" s="119">
        <v>2</v>
      </c>
      <c r="C8" s="111" t="str">
        <f>Config!C6&amp;", "&amp;Config!D6</f>
        <v>Töpfer, Lilian</v>
      </c>
      <c r="D8" s="62"/>
      <c r="E8" s="200"/>
      <c r="F8" s="200"/>
      <c r="G8" s="62"/>
      <c r="H8" s="204"/>
      <c r="I8" s="114">
        <f t="shared" si="0"/>
        <v>0</v>
      </c>
    </row>
    <row r="9" spans="2:9" ht="18" customHeight="1" thickBot="1" x14ac:dyDescent="0.3">
      <c r="B9" s="119">
        <v>3</v>
      </c>
      <c r="C9" s="111" t="str">
        <f>Config!C7&amp;", "&amp;Config!D7</f>
        <v>Fleischmann, Leonie</v>
      </c>
      <c r="D9" s="200"/>
      <c r="E9" s="62"/>
      <c r="F9" s="62"/>
      <c r="G9" s="62"/>
      <c r="H9" s="204"/>
      <c r="I9" s="114">
        <f t="shared" si="0"/>
        <v>0</v>
      </c>
    </row>
    <row r="10" spans="2:9" ht="18" customHeight="1" thickBot="1" x14ac:dyDescent="0.3">
      <c r="B10" s="119">
        <v>4</v>
      </c>
      <c r="C10" s="111" t="str">
        <f>Config!C8&amp;", "&amp;Config!D8</f>
        <v>Drescher, Cedric</v>
      </c>
      <c r="D10" s="200"/>
      <c r="E10" s="62"/>
      <c r="F10" s="62"/>
      <c r="G10" s="200"/>
      <c r="H10" s="65"/>
      <c r="I10" s="114">
        <f t="shared" si="0"/>
        <v>0</v>
      </c>
    </row>
    <row r="11" spans="2:9" ht="18" customHeight="1" thickBot="1" x14ac:dyDescent="0.3">
      <c r="B11" s="119">
        <v>5</v>
      </c>
      <c r="C11" s="111" t="str">
        <f>Config!C9&amp;", "&amp;Config!D9</f>
        <v>Baumgarten, Annabell</v>
      </c>
      <c r="D11" s="62"/>
      <c r="E11" s="200"/>
      <c r="F11" s="200"/>
      <c r="G11" s="62"/>
      <c r="H11" s="204"/>
      <c r="I11" s="114">
        <f t="shared" si="0"/>
        <v>0</v>
      </c>
    </row>
    <row r="12" spans="2:9" ht="18" customHeight="1" thickBot="1" x14ac:dyDescent="0.3">
      <c r="B12" s="119">
        <v>6</v>
      </c>
      <c r="C12" s="111" t="str">
        <f>Config!C10&amp;", "&amp;Config!D10</f>
        <v>Traut, Stefanie</v>
      </c>
      <c r="D12" s="62"/>
      <c r="E12" s="200"/>
      <c r="F12" s="200"/>
      <c r="G12" s="200"/>
      <c r="H12" s="65"/>
      <c r="I12" s="114">
        <f t="shared" si="0"/>
        <v>0</v>
      </c>
    </row>
    <row r="13" spans="2:9" ht="18" customHeight="1" thickBot="1" x14ac:dyDescent="0.3">
      <c r="B13" s="119">
        <v>7</v>
      </c>
      <c r="C13" s="111" t="str">
        <f>Config!C11&amp;", "&amp;Config!D11</f>
        <v>Menke, Damian</v>
      </c>
      <c r="D13" s="200"/>
      <c r="E13" s="200"/>
      <c r="F13" s="200"/>
      <c r="G13" s="200"/>
      <c r="H13" s="204"/>
      <c r="I13" s="114">
        <f t="shared" si="0"/>
        <v>0</v>
      </c>
    </row>
    <row r="14" spans="2:9" ht="18" customHeight="1" thickBot="1" x14ac:dyDescent="0.3">
      <c r="B14" s="119">
        <v>8</v>
      </c>
      <c r="C14" s="111" t="str">
        <f>Config!C12&amp;", "&amp;Config!D12</f>
        <v>Carroll, Meik</v>
      </c>
      <c r="D14" s="200"/>
      <c r="E14" s="200"/>
      <c r="F14" s="200"/>
      <c r="G14" s="200"/>
      <c r="H14" s="204"/>
      <c r="I14" s="114">
        <f t="shared" si="0"/>
        <v>0</v>
      </c>
    </row>
    <row r="15" spans="2:9" ht="18" customHeight="1" thickBot="1" x14ac:dyDescent="0.3">
      <c r="B15" s="119">
        <v>9</v>
      </c>
      <c r="C15" s="111" t="str">
        <f>Config!C13&amp;", "&amp;Config!D13</f>
        <v>Hennings, Tomas</v>
      </c>
      <c r="D15" s="200"/>
      <c r="E15" s="200"/>
      <c r="F15" s="200"/>
      <c r="G15" s="200"/>
      <c r="H15" s="204"/>
      <c r="I15" s="114">
        <f t="shared" si="0"/>
        <v>0</v>
      </c>
    </row>
    <row r="16" spans="2:9" ht="18" customHeight="1" thickBot="1" x14ac:dyDescent="0.3">
      <c r="B16" s="119">
        <v>10</v>
      </c>
      <c r="C16" s="111" t="str">
        <f>Config!C14&amp;", "&amp;Config!D14</f>
        <v>Walters, Linn</v>
      </c>
      <c r="D16" s="200"/>
      <c r="E16" s="200"/>
      <c r="F16" s="200"/>
      <c r="G16" s="200"/>
      <c r="H16" s="204"/>
      <c r="I16" s="114">
        <f t="shared" si="0"/>
        <v>0</v>
      </c>
    </row>
    <row r="17" spans="2:9" ht="18" customHeight="1" thickBot="1" x14ac:dyDescent="0.3">
      <c r="B17" s="119">
        <v>11</v>
      </c>
      <c r="C17" s="111" t="str">
        <f>Config!C15&amp;", "&amp;Config!D15</f>
        <v>Junker, Amely</v>
      </c>
      <c r="D17" s="200"/>
      <c r="E17" s="200"/>
      <c r="F17" s="200"/>
      <c r="G17" s="200"/>
      <c r="H17" s="204"/>
      <c r="I17" s="114">
        <f t="shared" si="0"/>
        <v>0</v>
      </c>
    </row>
    <row r="18" spans="2:9" ht="18" customHeight="1" thickBot="1" x14ac:dyDescent="0.3">
      <c r="B18" s="119">
        <v>12</v>
      </c>
      <c r="C18" s="111" t="str">
        <f>Config!C16&amp;", "&amp;Config!D16</f>
        <v>Stephens, Melvin</v>
      </c>
      <c r="D18" s="200"/>
      <c r="E18" s="200"/>
      <c r="F18" s="200"/>
      <c r="G18" s="200"/>
      <c r="H18" s="204"/>
      <c r="I18" s="114">
        <f t="shared" si="0"/>
        <v>0</v>
      </c>
    </row>
    <row r="19" spans="2:9" ht="18" customHeight="1" thickBot="1" x14ac:dyDescent="0.3">
      <c r="B19" s="119">
        <v>13</v>
      </c>
      <c r="C19" s="111" t="str">
        <f>Config!C17&amp;", "&amp;Config!D17</f>
        <v>Cremer, Marvin</v>
      </c>
      <c r="D19" s="200"/>
      <c r="E19" s="200"/>
      <c r="F19" s="200"/>
      <c r="G19" s="200"/>
      <c r="H19" s="204"/>
      <c r="I19" s="114">
        <f t="shared" si="0"/>
        <v>0</v>
      </c>
    </row>
    <row r="20" spans="2:9" ht="18" customHeight="1" thickBot="1" x14ac:dyDescent="0.3">
      <c r="B20" s="119">
        <v>14</v>
      </c>
      <c r="C20" s="111" t="str">
        <f>Config!C18&amp;", "&amp;Config!D18</f>
        <v>Nash, Jean</v>
      </c>
      <c r="D20" s="200"/>
      <c r="E20" s="200"/>
      <c r="F20" s="200"/>
      <c r="G20" s="200"/>
      <c r="H20" s="204"/>
      <c r="I20" s="114">
        <f t="shared" si="0"/>
        <v>0</v>
      </c>
    </row>
    <row r="21" spans="2:9" ht="18" customHeight="1" thickBot="1" x14ac:dyDescent="0.3">
      <c r="B21" s="119">
        <v>15</v>
      </c>
      <c r="C21" s="111" t="str">
        <f>Config!C19&amp;", "&amp;Config!D19</f>
        <v>Schön, Leonardo</v>
      </c>
      <c r="D21" s="200"/>
      <c r="E21" s="200"/>
      <c r="F21" s="200"/>
      <c r="G21" s="200"/>
      <c r="H21" s="204"/>
      <c r="I21" s="114">
        <f t="shared" si="0"/>
        <v>0</v>
      </c>
    </row>
    <row r="22" spans="2:9" ht="18" customHeight="1" thickBot="1" x14ac:dyDescent="0.3">
      <c r="B22" s="119">
        <v>16</v>
      </c>
      <c r="C22" s="111" t="str">
        <f>Config!C20&amp;", "&amp;Config!D20</f>
        <v>Sigl, Nicholas</v>
      </c>
      <c r="D22" s="200"/>
      <c r="E22" s="200"/>
      <c r="F22" s="200"/>
      <c r="G22" s="200"/>
      <c r="H22" s="204"/>
      <c r="I22" s="114">
        <f t="shared" si="0"/>
        <v>0</v>
      </c>
    </row>
    <row r="23" spans="2:9" ht="18" customHeight="1" thickBot="1" x14ac:dyDescent="0.3">
      <c r="B23" s="119">
        <v>17</v>
      </c>
      <c r="C23" s="111" t="str">
        <f>Config!C21&amp;", "&amp;Config!D21</f>
        <v>Kainz, Vivienne</v>
      </c>
      <c r="D23" s="200"/>
      <c r="E23" s="200"/>
      <c r="F23" s="200"/>
      <c r="G23" s="200"/>
      <c r="H23" s="204"/>
      <c r="I23" s="114">
        <f t="shared" si="0"/>
        <v>0</v>
      </c>
    </row>
    <row r="24" spans="2:9" ht="18" customHeight="1" thickBot="1" x14ac:dyDescent="0.3">
      <c r="B24" s="119">
        <v>18</v>
      </c>
      <c r="C24" s="111" t="str">
        <f>Config!C22&amp;", "&amp;Config!D22</f>
        <v>Hartmann, Mads</v>
      </c>
      <c r="D24" s="200"/>
      <c r="E24" s="200"/>
      <c r="F24" s="200"/>
      <c r="G24" s="200"/>
      <c r="H24" s="204"/>
      <c r="I24" s="114">
        <f t="shared" si="0"/>
        <v>0</v>
      </c>
    </row>
    <row r="25" spans="2:9" ht="18" customHeight="1" thickBot="1" x14ac:dyDescent="0.3">
      <c r="B25" s="119">
        <v>19</v>
      </c>
      <c r="C25" s="111" t="str">
        <f>Config!C23&amp;", "&amp;Config!D23</f>
        <v>Ullmann, Raphael</v>
      </c>
      <c r="D25" s="200"/>
      <c r="E25" s="200"/>
      <c r="F25" s="200"/>
      <c r="G25" s="200"/>
      <c r="H25" s="204"/>
      <c r="I25" s="114">
        <f t="shared" si="0"/>
        <v>0</v>
      </c>
    </row>
    <row r="26" spans="2:9" ht="18" customHeight="1" thickBot="1" x14ac:dyDescent="0.3">
      <c r="B26" s="119">
        <v>20</v>
      </c>
      <c r="C26" s="111" t="str">
        <f>Config!C24&amp;", "&amp;Config!D24</f>
        <v>Hartl, Emmely</v>
      </c>
      <c r="D26" s="200"/>
      <c r="E26" s="200"/>
      <c r="F26" s="200"/>
      <c r="G26" s="200"/>
      <c r="H26" s="204"/>
      <c r="I26" s="114">
        <f t="shared" si="0"/>
        <v>0</v>
      </c>
    </row>
    <row r="27" spans="2:9" ht="18" customHeight="1" thickBot="1" x14ac:dyDescent="0.3">
      <c r="B27" s="119">
        <v>21</v>
      </c>
      <c r="C27" s="111" t="str">
        <f>Config!C25&amp;", "&amp;Config!D25</f>
        <v>Klotz, Karin</v>
      </c>
      <c r="D27" s="200"/>
      <c r="E27" s="200"/>
      <c r="F27" s="200"/>
      <c r="G27" s="200"/>
      <c r="H27" s="204"/>
      <c r="I27" s="114">
        <f t="shared" si="0"/>
        <v>0</v>
      </c>
    </row>
    <row r="28" spans="2:9" ht="18" customHeight="1" thickBot="1" x14ac:dyDescent="0.3">
      <c r="B28" s="119">
        <v>22</v>
      </c>
      <c r="C28" s="111" t="str">
        <f>Config!C26&amp;", "&amp;Config!D26</f>
        <v>Ehlers, Ingo</v>
      </c>
      <c r="D28" s="200"/>
      <c r="E28" s="200"/>
      <c r="F28" s="200"/>
      <c r="G28" s="200"/>
      <c r="H28" s="204"/>
      <c r="I28" s="114">
        <f t="shared" si="0"/>
        <v>0</v>
      </c>
    </row>
    <row r="29" spans="2:9" ht="18" customHeight="1" thickBot="1" x14ac:dyDescent="0.3">
      <c r="B29" s="120">
        <v>23</v>
      </c>
      <c r="C29" s="117" t="str">
        <f>Config!C27&amp;", "&amp;Config!D27</f>
        <v>Lindemann, Mads</v>
      </c>
      <c r="D29" s="201"/>
      <c r="E29" s="201"/>
      <c r="F29" s="201"/>
      <c r="G29" s="201"/>
      <c r="H29" s="205"/>
      <c r="I29" s="112">
        <f t="shared" si="0"/>
        <v>0</v>
      </c>
    </row>
    <row r="30" spans="2:9" ht="18" customHeight="1" thickBot="1" x14ac:dyDescent="0.3">
      <c r="B30" s="121"/>
      <c r="C30" s="122"/>
      <c r="D30" s="122">
        <f>IF(COUNTIFS(D7:D29,"&lt;&gt;",C7:C29,"&lt;&gt;ZK",C7:C29,"&lt;&gt;DK")&lt;&gt;0,SUMIFS(D7:D29,C7:C29,"&lt;&gt;ZK",C7:C29,"&lt;&gt;DK")/(COUNTIFS(D7:D29,"&lt;&gt;",C7:C29,"&lt;&gt;ZK",C7:C29,"&lt;&gt;DK")*D6),0)</f>
        <v>0</v>
      </c>
      <c r="E30" s="122">
        <f>IF(COUNTIFS(E7:E29,"&lt;&gt;",C7:C29,"&lt;&gt;ZK",C7:C29,"&lt;&gt;DK")&lt;&gt;0,SUMIFS(E7:E29,C7:C29,"&lt;&gt;ZK",C7:C29,"&lt;&gt;DK")/(COUNTIFS(E7:E29,"&lt;&gt;",C7:C29,"&lt;&gt;ZK",C7:C29,"&lt;&gt;DK")*E6),0)</f>
        <v>0</v>
      </c>
      <c r="F30" s="122">
        <f>IF(COUNTIFS(F7:F29,"&lt;&gt;",C7:C29,"&lt;&gt;ZK",C7:C29,"&lt;&gt;DK")&lt;&gt;0,SUMIFS(F7:F29,C7:C29,"&lt;&gt;ZK",C7:C29,"&lt;&gt;DK")/(COUNTIFS(F7:F29,"&lt;&gt;",C7:C29,"&lt;&gt;ZK",C7:C29,"&lt;&gt;DK")*F6),0)</f>
        <v>0</v>
      </c>
      <c r="G30" s="122">
        <f>IF(COUNTIFS(G7:G29,"&lt;&gt;",C7:C29,"&lt;&gt;ZK",C7:C29,"&lt;&gt;DK")&lt;&gt;0,SUMIFS(G7:G29,C7:C29,"&lt;&gt;ZK",C7:C29,"&lt;&gt;DK")/(COUNTIFS(G7:G29,"&lt;&gt;",C7:C29,"&lt;&gt;ZK",C7:C29,"&lt;&gt;DK")*G6),0)</f>
        <v>0</v>
      </c>
      <c r="H30" s="122">
        <f>IF(COUNTIFS(H7:H29,"&lt;&gt;",C7:C29,"&lt;&gt;ZK",C7:C29,"&lt;&gt;DK")&lt;&gt;0,SUMIFS(H7:H29,C7:C29,"&lt;&gt;ZK",C7:C29,"&lt;&gt;DK")/(COUNTIFS(H7:H29,"&lt;&gt;",C7:C29,"&lt;&gt;ZK",C7:C29,"&lt;&gt;DK")*H6),0)</f>
        <v>0</v>
      </c>
      <c r="I30" s="115"/>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5">
    <dataValidation type="decimal" allowBlank="1" showErrorMessage="1" sqref="D7:D29" xr:uid="{FED8539B-6114-45D6-8E26-FF9A072FF888}">
      <formula1>0</formula1>
      <formula2>$D$6</formula2>
    </dataValidation>
    <dataValidation type="decimal" allowBlank="1" showErrorMessage="1" sqref="E7:E29" xr:uid="{CCDEA780-44F2-423E-9AE0-D333C46BD1CC}">
      <formula1>0</formula1>
      <formula2>$E$6</formula2>
    </dataValidation>
    <dataValidation type="decimal" allowBlank="1" showErrorMessage="1" sqref="F7:F29" xr:uid="{715C1C35-B502-41B0-9D90-C818E0AAE90D}">
      <formula1>0</formula1>
      <formula2>$F$6</formula2>
    </dataValidation>
    <dataValidation type="decimal" allowBlank="1" showErrorMessage="1" sqref="G7:G29" xr:uid="{77EE3EA4-61DA-4941-ABDC-5F4BC519DC4D}">
      <formula1>0</formula1>
      <formula2>$G$6</formula2>
    </dataValidation>
    <dataValidation type="decimal" allowBlank="1" showErrorMessage="1" sqref="H7:H29" xr:uid="{8EA96D9A-59E6-4451-98B1-9EF03144BF81}">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0DC5-C1E9-4C9A-9EC3-B52F7BB8EAC0}">
  <sheetPr codeName="Tabelle152">
    <tabColor rgb="FFFFC000"/>
  </sheetPr>
  <dimension ref="B1:N100"/>
  <sheetViews>
    <sheetView workbookViewId="0">
      <selection activeCell="I12" sqref="I12"/>
    </sheetView>
  </sheetViews>
  <sheetFormatPr baseColWidth="10" defaultRowHeight="13.2" x14ac:dyDescent="0.25"/>
  <cols>
    <col min="1" max="2" width="3.44140625" style="94" customWidth="1"/>
    <col min="3" max="3" width="25.77734375" style="94" customWidth="1"/>
    <col min="4" max="8" width="4.77734375" style="94" customWidth="1"/>
    <col min="9" max="9" width="2.77734375" style="94" customWidth="1"/>
    <col min="10" max="16384" width="11.5546875" style="94"/>
  </cols>
  <sheetData>
    <row r="1" spans="2:14" ht="18" customHeight="1" thickBot="1" x14ac:dyDescent="0.3"/>
    <row r="2" spans="2:14" ht="18" customHeight="1" x14ac:dyDescent="0.25">
      <c r="B2" s="95" t="str">
        <f>"Kurs "&amp;Config!G26</f>
        <v>Kurs K1</v>
      </c>
      <c r="C2" s="96"/>
      <c r="D2" s="96"/>
      <c r="E2" s="96"/>
      <c r="F2" s="97"/>
      <c r="G2" s="97"/>
      <c r="H2" s="98"/>
    </row>
    <row r="3" spans="2:14" ht="18" customHeight="1" x14ac:dyDescent="0.25">
      <c r="B3" s="99" t="s">
        <v>124</v>
      </c>
      <c r="C3" s="100"/>
      <c r="D3" s="100"/>
      <c r="E3" s="100"/>
      <c r="F3" s="100"/>
      <c r="G3" s="100"/>
      <c r="H3" s="101"/>
    </row>
    <row r="4" spans="2:14" ht="18" customHeight="1" thickBot="1" x14ac:dyDescent="0.3">
      <c r="B4" s="99"/>
      <c r="C4" s="100"/>
      <c r="D4" s="102"/>
      <c r="E4" s="102"/>
      <c r="F4" s="102"/>
      <c r="G4" s="102"/>
      <c r="H4" s="103"/>
    </row>
    <row r="5" spans="2:14" ht="18" customHeight="1" thickBot="1" x14ac:dyDescent="0.3">
      <c r="B5" s="104"/>
      <c r="C5" s="106"/>
      <c r="D5" s="123" t="str">
        <f>Config!R6</f>
        <v>6</v>
      </c>
      <c r="E5" s="123" t="str">
        <f>Config!R7</f>
        <v>7a</v>
      </c>
      <c r="F5" s="123" t="str">
        <f>Config!R8</f>
        <v>7b</v>
      </c>
      <c r="G5" s="123" t="str">
        <f>Config!R9</f>
        <v>8</v>
      </c>
      <c r="H5" s="123" t="str">
        <f>Config!R10</f>
        <v>9</v>
      </c>
    </row>
    <row r="6" spans="2:14" ht="18" customHeight="1" thickBot="1" x14ac:dyDescent="0.3">
      <c r="B6" s="105"/>
      <c r="C6" s="107" t="s">
        <v>81</v>
      </c>
      <c r="D6" s="140" t="s">
        <v>112</v>
      </c>
      <c r="E6" s="140" t="s">
        <v>112</v>
      </c>
      <c r="F6" s="140" t="s">
        <v>112</v>
      </c>
      <c r="G6" s="140" t="s">
        <v>112</v>
      </c>
      <c r="H6" s="140" t="s">
        <v>112</v>
      </c>
      <c r="J6" s="190" t="s">
        <v>125</v>
      </c>
      <c r="K6" s="191"/>
      <c r="L6" s="191"/>
      <c r="M6" s="191"/>
      <c r="N6" s="192"/>
    </row>
    <row r="7" spans="2:14" ht="18" customHeight="1" x14ac:dyDescent="0.25">
      <c r="B7" s="118">
        <v>1</v>
      </c>
      <c r="C7" s="116" t="str">
        <f>Config!C5&amp;", "&amp;Config!D5</f>
        <v>Höfer, Simon</v>
      </c>
      <c r="D7" s="141" t="s">
        <v>120</v>
      </c>
      <c r="E7" s="141" t="s">
        <v>120</v>
      </c>
      <c r="F7" s="141" t="s">
        <v>120</v>
      </c>
      <c r="G7" s="63"/>
      <c r="H7" s="64"/>
      <c r="J7" s="193"/>
      <c r="K7" s="194"/>
      <c r="L7" s="194"/>
      <c r="M7" s="194"/>
      <c r="N7" s="195"/>
    </row>
    <row r="8" spans="2:14" ht="18" customHeight="1" thickBot="1" x14ac:dyDescent="0.3">
      <c r="B8" s="119">
        <v>2</v>
      </c>
      <c r="C8" s="111" t="str">
        <f>Config!C6&amp;", "&amp;Config!D6</f>
        <v>Töpfer, Lilian</v>
      </c>
      <c r="D8" s="142" t="s">
        <v>120</v>
      </c>
      <c r="E8" s="62"/>
      <c r="F8" s="62"/>
      <c r="G8" s="142" t="s">
        <v>120</v>
      </c>
      <c r="H8" s="143"/>
      <c r="J8" s="196"/>
      <c r="K8" s="197"/>
      <c r="L8" s="197"/>
      <c r="M8" s="197"/>
      <c r="N8" s="198"/>
    </row>
    <row r="9" spans="2:14" ht="18" customHeight="1" x14ac:dyDescent="0.25">
      <c r="B9" s="119">
        <v>3</v>
      </c>
      <c r="C9" s="111" t="str">
        <f>Config!C7&amp;", "&amp;Config!D7</f>
        <v>Fleischmann, Leonie</v>
      </c>
      <c r="D9" s="62"/>
      <c r="E9" s="142" t="s">
        <v>120</v>
      </c>
      <c r="F9" s="142" t="s">
        <v>120</v>
      </c>
      <c r="G9" s="142" t="s">
        <v>120</v>
      </c>
      <c r="H9" s="65"/>
    </row>
    <row r="10" spans="2:14" ht="18" customHeight="1" x14ac:dyDescent="0.25">
      <c r="B10" s="119">
        <v>4</v>
      </c>
      <c r="C10" s="111" t="str">
        <f>Config!C8&amp;", "&amp;Config!D8</f>
        <v>Drescher, Cedric</v>
      </c>
      <c r="D10" s="62"/>
      <c r="E10" s="142" t="s">
        <v>120</v>
      </c>
      <c r="F10" s="142" t="s">
        <v>120</v>
      </c>
      <c r="G10" s="62"/>
      <c r="H10" s="143" t="s">
        <v>120</v>
      </c>
    </row>
    <row r="11" spans="2:14" ht="18" customHeight="1" x14ac:dyDescent="0.25">
      <c r="B11" s="119">
        <v>5</v>
      </c>
      <c r="C11" s="111" t="str">
        <f>Config!C9&amp;", "&amp;Config!D9</f>
        <v>Baumgarten, Annabell</v>
      </c>
      <c r="D11" s="142" t="s">
        <v>120</v>
      </c>
      <c r="E11" s="62"/>
      <c r="F11" s="62"/>
      <c r="G11" s="142" t="s">
        <v>120</v>
      </c>
      <c r="H11" s="65"/>
    </row>
    <row r="12" spans="2:14" ht="18" customHeight="1" x14ac:dyDescent="0.25">
      <c r="B12" s="119">
        <v>6</v>
      </c>
      <c r="C12" s="111" t="str">
        <f>Config!C10&amp;", "&amp;Config!D10</f>
        <v>Traut, Stefanie</v>
      </c>
      <c r="D12" s="142" t="s">
        <v>120</v>
      </c>
      <c r="E12" s="62"/>
      <c r="F12" s="62"/>
      <c r="G12" s="62"/>
      <c r="H12" s="143" t="s">
        <v>120</v>
      </c>
    </row>
    <row r="13" spans="2:14" ht="18" customHeight="1" x14ac:dyDescent="0.25">
      <c r="B13" s="119">
        <v>7</v>
      </c>
      <c r="C13" s="111" t="str">
        <f>Config!C11&amp;", "&amp;Config!D11</f>
        <v>Menke, Damian</v>
      </c>
      <c r="D13" s="62"/>
      <c r="E13" s="62"/>
      <c r="F13" s="62"/>
      <c r="G13" s="62"/>
      <c r="H13" s="65"/>
    </row>
    <row r="14" spans="2:14" ht="18" customHeight="1" x14ac:dyDescent="0.25">
      <c r="B14" s="119">
        <v>8</v>
      </c>
      <c r="C14" s="111" t="str">
        <f>Config!C12&amp;", "&amp;Config!D12</f>
        <v>Carroll, Meik</v>
      </c>
      <c r="D14" s="62"/>
      <c r="E14" s="62"/>
      <c r="F14" s="62"/>
      <c r="G14" s="62"/>
      <c r="H14" s="65"/>
    </row>
    <row r="15" spans="2:14" ht="18" customHeight="1" x14ac:dyDescent="0.25">
      <c r="B15" s="119">
        <v>9</v>
      </c>
      <c r="C15" s="111" t="str">
        <f>Config!C13&amp;", "&amp;Config!D13</f>
        <v>Hennings, Tomas</v>
      </c>
      <c r="D15" s="62"/>
      <c r="E15" s="62"/>
      <c r="F15" s="62"/>
      <c r="G15" s="62"/>
      <c r="H15" s="65"/>
    </row>
    <row r="16" spans="2:14" ht="18" customHeight="1" x14ac:dyDescent="0.25">
      <c r="B16" s="119">
        <v>10</v>
      </c>
      <c r="C16" s="111" t="str">
        <f>Config!C14&amp;", "&amp;Config!D14</f>
        <v>Walters, Linn</v>
      </c>
      <c r="D16" s="62"/>
      <c r="E16" s="62"/>
      <c r="F16" s="62"/>
      <c r="G16" s="62"/>
      <c r="H16" s="65"/>
    </row>
    <row r="17" spans="2:8" ht="18" customHeight="1" x14ac:dyDescent="0.25">
      <c r="B17" s="119">
        <v>11</v>
      </c>
      <c r="C17" s="111" t="str">
        <f>Config!C15&amp;", "&amp;Config!D15</f>
        <v>Junker, Amely</v>
      </c>
      <c r="D17" s="62"/>
      <c r="E17" s="62"/>
      <c r="F17" s="62"/>
      <c r="G17" s="62"/>
      <c r="H17" s="65"/>
    </row>
    <row r="18" spans="2:8" ht="18" customHeight="1" x14ac:dyDescent="0.25">
      <c r="B18" s="119">
        <v>12</v>
      </c>
      <c r="C18" s="111" t="str">
        <f>Config!C16&amp;", "&amp;Config!D16</f>
        <v>Stephens, Melvin</v>
      </c>
      <c r="D18" s="62"/>
      <c r="E18" s="62"/>
      <c r="F18" s="62"/>
      <c r="G18" s="62"/>
      <c r="H18" s="65"/>
    </row>
    <row r="19" spans="2:8" ht="18" customHeight="1" x14ac:dyDescent="0.25">
      <c r="B19" s="119">
        <v>13</v>
      </c>
      <c r="C19" s="111" t="str">
        <f>Config!C17&amp;", "&amp;Config!D17</f>
        <v>Cremer, Marvin</v>
      </c>
      <c r="D19" s="62"/>
      <c r="E19" s="62"/>
      <c r="F19" s="62"/>
      <c r="G19" s="62"/>
      <c r="H19" s="65"/>
    </row>
    <row r="20" spans="2:8" ht="18" customHeight="1" x14ac:dyDescent="0.25">
      <c r="B20" s="119">
        <v>14</v>
      </c>
      <c r="C20" s="111" t="str">
        <f>Config!C18&amp;", "&amp;Config!D18</f>
        <v>Nash, Jean</v>
      </c>
      <c r="D20" s="62"/>
      <c r="E20" s="62"/>
      <c r="F20" s="62"/>
      <c r="G20" s="62"/>
      <c r="H20" s="65"/>
    </row>
    <row r="21" spans="2:8" ht="18" customHeight="1" x14ac:dyDescent="0.25">
      <c r="B21" s="119">
        <v>15</v>
      </c>
      <c r="C21" s="111" t="str">
        <f>Config!C19&amp;", "&amp;Config!D19</f>
        <v>Schön, Leonardo</v>
      </c>
      <c r="D21" s="62"/>
      <c r="E21" s="62"/>
      <c r="F21" s="62"/>
      <c r="G21" s="62"/>
      <c r="H21" s="65"/>
    </row>
    <row r="22" spans="2:8" ht="18" customHeight="1" x14ac:dyDescent="0.25">
      <c r="B22" s="119">
        <v>16</v>
      </c>
      <c r="C22" s="111" t="str">
        <f>Config!C20&amp;", "&amp;Config!D20</f>
        <v>Sigl, Nicholas</v>
      </c>
      <c r="D22" s="62"/>
      <c r="E22" s="62"/>
      <c r="F22" s="62"/>
      <c r="G22" s="62"/>
      <c r="H22" s="65"/>
    </row>
    <row r="23" spans="2:8" ht="18" customHeight="1" x14ac:dyDescent="0.25">
      <c r="B23" s="119">
        <v>17</v>
      </c>
      <c r="C23" s="111" t="str">
        <f>Config!C21&amp;", "&amp;Config!D21</f>
        <v>Kainz, Vivienne</v>
      </c>
      <c r="D23" s="62"/>
      <c r="E23" s="62"/>
      <c r="F23" s="62"/>
      <c r="G23" s="62"/>
      <c r="H23" s="65"/>
    </row>
    <row r="24" spans="2:8" ht="18" customHeight="1" x14ac:dyDescent="0.25">
      <c r="B24" s="119">
        <v>18</v>
      </c>
      <c r="C24" s="111" t="str">
        <f>Config!C22&amp;", "&amp;Config!D22</f>
        <v>Hartmann, Mads</v>
      </c>
      <c r="D24" s="62"/>
      <c r="E24" s="62"/>
      <c r="F24" s="62"/>
      <c r="G24" s="62"/>
      <c r="H24" s="65"/>
    </row>
    <row r="25" spans="2:8" ht="18" customHeight="1" x14ac:dyDescent="0.25">
      <c r="B25" s="119">
        <v>19</v>
      </c>
      <c r="C25" s="111" t="str">
        <f>Config!C23&amp;", "&amp;Config!D23</f>
        <v>Ullmann, Raphael</v>
      </c>
      <c r="D25" s="62"/>
      <c r="E25" s="62"/>
      <c r="F25" s="62"/>
      <c r="G25" s="62"/>
      <c r="H25" s="65"/>
    </row>
    <row r="26" spans="2:8" ht="18" customHeight="1" x14ac:dyDescent="0.25">
      <c r="B26" s="119">
        <v>20</v>
      </c>
      <c r="C26" s="111" t="str">
        <f>Config!C24&amp;", "&amp;Config!D24</f>
        <v>Hartl, Emmely</v>
      </c>
      <c r="D26" s="62"/>
      <c r="E26" s="62"/>
      <c r="F26" s="62"/>
      <c r="G26" s="62"/>
      <c r="H26" s="65"/>
    </row>
    <row r="27" spans="2:8" ht="18" customHeight="1" x14ac:dyDescent="0.25">
      <c r="B27" s="119">
        <v>21</v>
      </c>
      <c r="C27" s="111" t="str">
        <f>Config!C25&amp;", "&amp;Config!D25</f>
        <v>Klotz, Karin</v>
      </c>
      <c r="D27" s="62"/>
      <c r="E27" s="62"/>
      <c r="F27" s="62"/>
      <c r="G27" s="62"/>
      <c r="H27" s="65"/>
    </row>
    <row r="28" spans="2:8" ht="18" customHeight="1" x14ac:dyDescent="0.25">
      <c r="B28" s="119">
        <v>22</v>
      </c>
      <c r="C28" s="111" t="str">
        <f>Config!C26&amp;", "&amp;Config!D26</f>
        <v>Ehlers, Ingo</v>
      </c>
      <c r="D28" s="62"/>
      <c r="E28" s="62"/>
      <c r="F28" s="62"/>
      <c r="G28" s="62"/>
      <c r="H28" s="65"/>
    </row>
    <row r="29" spans="2:8" ht="18" customHeight="1" thickBot="1" x14ac:dyDescent="0.3">
      <c r="B29" s="120">
        <v>23</v>
      </c>
      <c r="C29" s="117" t="str">
        <f>Config!C27&amp;", "&amp;Config!D27</f>
        <v>Lindemann, Mads</v>
      </c>
      <c r="D29" s="66"/>
      <c r="E29" s="66"/>
      <c r="F29" s="66"/>
      <c r="G29" s="66"/>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mergeCells count="1">
    <mergeCell ref="J6:N8"/>
  </mergeCells>
  <dataValidations count="1">
    <dataValidation type="list" allowBlank="1" showDropDown="1" showInputMessage="1" showErrorMessage="1" sqref="D7:H29" xr:uid="{5673A795-5B72-4607-9E8F-F52CEEE500B7}">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Z45"/>
  <sheetViews>
    <sheetView tabSelected="1" zoomScaleNormal="100" workbookViewId="0">
      <selection activeCell="P29" sqref="P29"/>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16384" width="11.44140625" style="3"/>
  </cols>
  <sheetData>
    <row r="1" spans="2:26" ht="13.8" thickBot="1" x14ac:dyDescent="0.3"/>
    <row r="2" spans="2:26" ht="13.2" customHeight="1" x14ac:dyDescent="0.25">
      <c r="B2" s="150" t="s">
        <v>6</v>
      </c>
      <c r="C2" s="151"/>
      <c r="D2" s="152"/>
      <c r="F2" s="178" t="s">
        <v>96</v>
      </c>
      <c r="G2" s="179"/>
      <c r="H2" s="179"/>
      <c r="I2" s="179"/>
      <c r="J2" s="179"/>
      <c r="K2" s="179"/>
      <c r="L2" s="179"/>
      <c r="M2" s="179"/>
      <c r="N2" s="179"/>
      <c r="O2" s="179"/>
      <c r="P2" s="179"/>
      <c r="Q2" s="179"/>
      <c r="R2" s="179"/>
      <c r="S2" s="180"/>
      <c r="T2" s="79" t="s">
        <v>88</v>
      </c>
      <c r="V2" s="165" t="s">
        <v>89</v>
      </c>
      <c r="W2" s="166"/>
      <c r="X2" s="166"/>
      <c r="Y2" s="166"/>
      <c r="Z2" s="167"/>
    </row>
    <row r="3" spans="2:26" ht="13.2" customHeight="1" x14ac:dyDescent="0.25">
      <c r="B3" s="153"/>
      <c r="C3" s="154"/>
      <c r="D3" s="155"/>
      <c r="F3" s="181"/>
      <c r="G3" s="182"/>
      <c r="H3" s="182"/>
      <c r="I3" s="182"/>
      <c r="J3" s="182"/>
      <c r="K3" s="182"/>
      <c r="L3" s="182"/>
      <c r="M3" s="182"/>
      <c r="N3" s="182"/>
      <c r="O3" s="182"/>
      <c r="P3" s="182"/>
      <c r="Q3" s="182"/>
      <c r="R3" s="182"/>
      <c r="S3" s="183"/>
      <c r="V3" s="80" t="s">
        <v>90</v>
      </c>
      <c r="W3" s="186" t="s">
        <v>122</v>
      </c>
      <c r="X3" s="186"/>
      <c r="Y3" s="186"/>
      <c r="Z3" s="187"/>
    </row>
    <row r="4" spans="2:26"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186"/>
      <c r="X4" s="186"/>
      <c r="Y4" s="186"/>
      <c r="Z4" s="187"/>
    </row>
    <row r="5" spans="2:26"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186"/>
      <c r="X5" s="186"/>
      <c r="Y5" s="186"/>
      <c r="Z5" s="187"/>
    </row>
    <row r="6" spans="2:26"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186"/>
      <c r="X6" s="186"/>
      <c r="Y6" s="186"/>
      <c r="Z6" s="187"/>
    </row>
    <row r="7" spans="2:26"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186"/>
      <c r="X7" s="186"/>
      <c r="Y7" s="186"/>
      <c r="Z7" s="187"/>
    </row>
    <row r="8" spans="2:26"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186"/>
      <c r="X8" s="186"/>
      <c r="Y8" s="186"/>
      <c r="Z8" s="187"/>
    </row>
    <row r="9" spans="2:26"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186"/>
      <c r="X9" s="186"/>
      <c r="Y9" s="186"/>
      <c r="Z9" s="187"/>
    </row>
    <row r="10" spans="2:26"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186"/>
      <c r="X10" s="186"/>
      <c r="Y10" s="186"/>
      <c r="Z10" s="187"/>
    </row>
    <row r="11" spans="2:26"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186"/>
      <c r="X11" s="186"/>
      <c r="Y11" s="186"/>
      <c r="Z11" s="187"/>
    </row>
    <row r="12" spans="2:26"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186"/>
      <c r="X12" s="186"/>
      <c r="Y12" s="186"/>
      <c r="Z12" s="187"/>
    </row>
    <row r="13" spans="2:26"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186"/>
      <c r="X13" s="186"/>
      <c r="Y13" s="186"/>
      <c r="Z13" s="187"/>
    </row>
    <row r="14" spans="2:26"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186"/>
      <c r="X14" s="186"/>
      <c r="Y14" s="186"/>
      <c r="Z14" s="187"/>
    </row>
    <row r="15" spans="2:26"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186"/>
      <c r="X15" s="186"/>
      <c r="Y15" s="186"/>
      <c r="Z15" s="187"/>
    </row>
    <row r="16" spans="2:26" ht="13.2" customHeight="1" x14ac:dyDescent="0.25">
      <c r="B16" s="5">
        <v>12</v>
      </c>
      <c r="C16" s="13" t="s">
        <v>69</v>
      </c>
      <c r="D16" s="14" t="s">
        <v>48</v>
      </c>
      <c r="F16" s="11"/>
      <c r="G16" s="33"/>
      <c r="H16" s="12"/>
      <c r="I16" s="33"/>
      <c r="J16" s="12"/>
      <c r="K16" s="33"/>
      <c r="L16" s="12"/>
      <c r="M16" s="33"/>
      <c r="N16" s="12"/>
      <c r="O16" s="33"/>
      <c r="P16" s="12"/>
      <c r="Q16" s="33"/>
      <c r="R16" s="12"/>
      <c r="S16" s="34"/>
      <c r="V16" s="80"/>
      <c r="W16" s="186"/>
      <c r="X16" s="186"/>
      <c r="Y16" s="186"/>
      <c r="Z16" s="187"/>
    </row>
    <row r="17" spans="2:26" ht="13.2" customHeight="1" x14ac:dyDescent="0.25">
      <c r="B17" s="5">
        <v>13</v>
      </c>
      <c r="C17" s="77" t="s">
        <v>70</v>
      </c>
      <c r="D17" s="78" t="s">
        <v>20</v>
      </c>
      <c r="F17" s="71"/>
      <c r="G17" s="72"/>
      <c r="H17" s="73"/>
      <c r="I17" s="72"/>
      <c r="J17" s="73"/>
      <c r="K17" s="72"/>
      <c r="L17" s="73"/>
      <c r="M17" s="72"/>
      <c r="N17" s="73"/>
      <c r="O17" s="72"/>
      <c r="P17" s="73"/>
      <c r="Q17" s="72"/>
      <c r="R17" s="73"/>
      <c r="S17" s="74"/>
      <c r="V17" s="80"/>
      <c r="W17" s="186"/>
      <c r="X17" s="186"/>
      <c r="Y17" s="186"/>
      <c r="Z17" s="187"/>
    </row>
    <row r="18" spans="2:26"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186"/>
      <c r="X18" s="186"/>
      <c r="Y18" s="186"/>
      <c r="Z18" s="187"/>
    </row>
    <row r="19" spans="2:26" ht="13.2" customHeight="1" x14ac:dyDescent="0.25">
      <c r="B19" s="5">
        <v>15</v>
      </c>
      <c r="C19" s="77" t="s">
        <v>72</v>
      </c>
      <c r="D19" s="78" t="s">
        <v>50</v>
      </c>
      <c r="F19" s="71"/>
      <c r="G19" s="72"/>
      <c r="H19" s="73"/>
      <c r="I19" s="72"/>
      <c r="J19" s="73"/>
      <c r="K19" s="72"/>
      <c r="L19" s="73"/>
      <c r="M19" s="72"/>
      <c r="N19" s="73"/>
      <c r="O19" s="72"/>
      <c r="P19" s="73"/>
      <c r="Q19" s="72"/>
      <c r="R19" s="73"/>
      <c r="S19" s="74"/>
      <c r="V19" s="80"/>
      <c r="W19" s="186"/>
      <c r="X19" s="186"/>
      <c r="Y19" s="186"/>
      <c r="Z19" s="187"/>
    </row>
    <row r="20" spans="2:26" ht="13.2" customHeight="1" x14ac:dyDescent="0.25">
      <c r="B20" s="5">
        <v>16</v>
      </c>
      <c r="C20" s="13" t="s">
        <v>73</v>
      </c>
      <c r="D20" s="14" t="s">
        <v>51</v>
      </c>
      <c r="F20" s="88"/>
      <c r="G20" s="89"/>
      <c r="H20" s="90"/>
      <c r="I20" s="89"/>
      <c r="J20" s="90"/>
      <c r="K20" s="89"/>
      <c r="L20" s="90"/>
      <c r="M20" s="89"/>
      <c r="N20" s="90"/>
      <c r="O20" s="89"/>
      <c r="P20" s="90"/>
      <c r="Q20" s="89"/>
      <c r="R20" s="90"/>
      <c r="S20" s="91"/>
      <c r="V20" s="80"/>
      <c r="W20" s="186"/>
      <c r="X20" s="186"/>
      <c r="Y20" s="186"/>
      <c r="Z20" s="187"/>
    </row>
    <row r="21" spans="2:26"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186"/>
      <c r="X21" s="186"/>
      <c r="Y21" s="186"/>
      <c r="Z21" s="187"/>
    </row>
    <row r="22" spans="2:26" ht="13.8" thickBot="1" x14ac:dyDescent="0.3">
      <c r="B22" s="5">
        <v>18</v>
      </c>
      <c r="C22" s="13" t="s">
        <v>75</v>
      </c>
      <c r="D22" s="14" t="s">
        <v>53</v>
      </c>
      <c r="F22" s="184" t="s">
        <v>118</v>
      </c>
      <c r="G22" s="185"/>
      <c r="H22" s="146" t="s">
        <v>118</v>
      </c>
      <c r="I22" s="185"/>
      <c r="J22" s="146" t="s">
        <v>118</v>
      </c>
      <c r="K22" s="185"/>
      <c r="L22" s="146" t="s">
        <v>118</v>
      </c>
      <c r="M22" s="185"/>
      <c r="N22" s="146" t="s">
        <v>118</v>
      </c>
      <c r="O22" s="185"/>
      <c r="P22" s="146" t="s">
        <v>118</v>
      </c>
      <c r="Q22" s="185"/>
      <c r="R22" s="146" t="s">
        <v>119</v>
      </c>
      <c r="S22" s="147"/>
      <c r="T22" s="79" t="s">
        <v>88</v>
      </c>
      <c r="V22" s="4"/>
      <c r="W22" s="186"/>
      <c r="X22" s="186"/>
      <c r="Y22" s="186"/>
      <c r="Z22" s="187"/>
    </row>
    <row r="23" spans="2:26" ht="13.2" customHeight="1" thickBot="1" x14ac:dyDescent="0.3">
      <c r="B23" s="5">
        <v>19</v>
      </c>
      <c r="C23" s="77" t="s">
        <v>76</v>
      </c>
      <c r="D23" s="78" t="s">
        <v>54</v>
      </c>
      <c r="V23" s="4"/>
      <c r="W23" s="186"/>
      <c r="X23" s="186"/>
      <c r="Y23" s="186"/>
      <c r="Z23" s="187"/>
    </row>
    <row r="24" spans="2:26" ht="13.2" customHeight="1" x14ac:dyDescent="0.25">
      <c r="B24" s="5">
        <v>20</v>
      </c>
      <c r="C24" s="13" t="s">
        <v>77</v>
      </c>
      <c r="D24" s="14" t="s">
        <v>55</v>
      </c>
      <c r="F24" s="22" t="s">
        <v>22</v>
      </c>
      <c r="G24" s="168">
        <v>46150</v>
      </c>
      <c r="H24" s="169"/>
      <c r="J24" s="170" t="s">
        <v>99</v>
      </c>
      <c r="K24" s="171"/>
      <c r="L24" s="171"/>
      <c r="M24" s="171"/>
      <c r="N24" s="171"/>
      <c r="O24" s="171"/>
      <c r="P24" s="171"/>
      <c r="Q24" s="172"/>
      <c r="V24" s="4" t="s">
        <v>123</v>
      </c>
      <c r="W24" s="186"/>
      <c r="X24" s="186"/>
      <c r="Y24" s="186"/>
      <c r="Z24" s="187"/>
    </row>
    <row r="25" spans="2:26" ht="13.2" customHeight="1" x14ac:dyDescent="0.25">
      <c r="B25" s="5">
        <v>21</v>
      </c>
      <c r="C25" s="77" t="s">
        <v>78</v>
      </c>
      <c r="D25" s="78" t="s">
        <v>56</v>
      </c>
      <c r="F25" s="23" t="s">
        <v>30</v>
      </c>
      <c r="G25" s="144" t="s">
        <v>86</v>
      </c>
      <c r="H25" s="145"/>
      <c r="J25" s="173" t="s">
        <v>98</v>
      </c>
      <c r="K25" s="174"/>
      <c r="L25" s="174"/>
      <c r="M25" s="174"/>
      <c r="N25" s="174"/>
      <c r="O25" s="174"/>
      <c r="P25" s="174"/>
      <c r="Q25" s="175"/>
      <c r="V25" s="4"/>
      <c r="W25" s="186"/>
      <c r="X25" s="186"/>
      <c r="Y25" s="186"/>
      <c r="Z25" s="187"/>
    </row>
    <row r="26" spans="2:26" ht="13.2" customHeight="1" thickBot="1" x14ac:dyDescent="0.3">
      <c r="B26" s="5">
        <v>22</v>
      </c>
      <c r="C26" s="13" t="s">
        <v>79</v>
      </c>
      <c r="D26" s="14" t="s">
        <v>57</v>
      </c>
      <c r="F26" s="23" t="s">
        <v>21</v>
      </c>
      <c r="G26" s="144" t="s">
        <v>87</v>
      </c>
      <c r="H26" s="145"/>
      <c r="J26" s="199" t="s">
        <v>130</v>
      </c>
      <c r="K26" s="176"/>
      <c r="L26" s="176"/>
      <c r="M26" s="176"/>
      <c r="N26" s="176"/>
      <c r="O26" s="176"/>
      <c r="P26" s="176"/>
      <c r="Q26" s="177"/>
      <c r="V26" s="4"/>
      <c r="W26" s="186"/>
      <c r="X26" s="186"/>
      <c r="Y26" s="186"/>
      <c r="Z26" s="187"/>
    </row>
    <row r="27" spans="2:26" ht="13.2" customHeight="1" x14ac:dyDescent="0.25">
      <c r="B27" s="5">
        <v>23</v>
      </c>
      <c r="C27" s="77" t="s">
        <v>80</v>
      </c>
      <c r="D27" s="78" t="s">
        <v>53</v>
      </c>
      <c r="F27" s="23" t="s">
        <v>126</v>
      </c>
      <c r="G27" s="144" t="s">
        <v>128</v>
      </c>
      <c r="H27" s="145"/>
      <c r="V27" s="4"/>
      <c r="W27" s="186"/>
      <c r="X27" s="186"/>
      <c r="Y27" s="186"/>
      <c r="Z27" s="187"/>
    </row>
    <row r="28" spans="2:26" ht="13.2" customHeight="1" thickBot="1" x14ac:dyDescent="0.3">
      <c r="B28" s="5">
        <v>24</v>
      </c>
      <c r="C28" s="13"/>
      <c r="D28" s="14"/>
      <c r="F28" s="24" t="s">
        <v>127</v>
      </c>
      <c r="G28" s="148" t="s">
        <v>129</v>
      </c>
      <c r="H28" s="149"/>
      <c r="V28" s="4"/>
      <c r="W28" s="186"/>
      <c r="X28" s="186"/>
      <c r="Y28" s="186"/>
      <c r="Z28" s="187"/>
    </row>
    <row r="29" spans="2:26" ht="13.2" customHeight="1" thickBot="1" x14ac:dyDescent="0.3">
      <c r="B29" s="5">
        <v>25</v>
      </c>
      <c r="C29" s="77"/>
      <c r="D29" s="78"/>
      <c r="V29" s="92"/>
      <c r="W29" s="188"/>
      <c r="X29" s="188"/>
      <c r="Y29" s="188"/>
      <c r="Z29" s="189"/>
    </row>
    <row r="30" spans="2:26" ht="13.2" customHeight="1" thickBot="1" x14ac:dyDescent="0.3">
      <c r="B30" s="5">
        <v>26</v>
      </c>
      <c r="C30" s="13"/>
      <c r="D30" s="14"/>
    </row>
    <row r="31" spans="2:26" ht="13.2" customHeight="1" x14ac:dyDescent="0.25">
      <c r="B31" s="5">
        <v>27</v>
      </c>
      <c r="C31" s="77"/>
      <c r="D31" s="78"/>
      <c r="F31" s="156" t="s">
        <v>97</v>
      </c>
      <c r="G31" s="157"/>
      <c r="H31" s="157"/>
      <c r="I31" s="157"/>
      <c r="J31" s="157"/>
      <c r="K31" s="157"/>
      <c r="L31" s="157"/>
      <c r="M31" s="157"/>
      <c r="N31" s="157"/>
      <c r="O31" s="157"/>
      <c r="P31" s="157"/>
      <c r="Q31" s="158"/>
    </row>
    <row r="32" spans="2:26" ht="13.2" customHeight="1" x14ac:dyDescent="0.25">
      <c r="B32" s="5">
        <v>28</v>
      </c>
      <c r="C32" s="13"/>
      <c r="D32" s="14"/>
      <c r="F32" s="159"/>
      <c r="G32" s="160"/>
      <c r="H32" s="160"/>
      <c r="I32" s="160"/>
      <c r="J32" s="160"/>
      <c r="K32" s="160"/>
      <c r="L32" s="160"/>
      <c r="M32" s="160"/>
      <c r="N32" s="160"/>
      <c r="O32" s="160"/>
      <c r="P32" s="160"/>
      <c r="Q32" s="161"/>
    </row>
    <row r="33" spans="2:17" ht="13.2" customHeight="1" x14ac:dyDescent="0.25">
      <c r="B33" s="5">
        <v>29</v>
      </c>
      <c r="C33" s="77"/>
      <c r="D33" s="78"/>
      <c r="F33" s="159"/>
      <c r="G33" s="160"/>
      <c r="H33" s="160"/>
      <c r="I33" s="160"/>
      <c r="J33" s="160"/>
      <c r="K33" s="160"/>
      <c r="L33" s="160"/>
      <c r="M33" s="160"/>
      <c r="N33" s="160"/>
      <c r="O33" s="160"/>
      <c r="P33" s="160"/>
      <c r="Q33" s="161"/>
    </row>
    <row r="34" spans="2:17" ht="13.2" customHeight="1" x14ac:dyDescent="0.25">
      <c r="B34" s="5">
        <v>30</v>
      </c>
      <c r="C34" s="13"/>
      <c r="D34" s="14"/>
      <c r="F34" s="159"/>
      <c r="G34" s="160"/>
      <c r="H34" s="160"/>
      <c r="I34" s="160"/>
      <c r="J34" s="160"/>
      <c r="K34" s="160"/>
      <c r="L34" s="160"/>
      <c r="M34" s="160"/>
      <c r="N34" s="160"/>
      <c r="O34" s="160"/>
      <c r="P34" s="160"/>
      <c r="Q34" s="161"/>
    </row>
    <row r="35" spans="2:17" ht="13.2" customHeight="1" x14ac:dyDescent="0.25">
      <c r="B35" s="5">
        <v>31</v>
      </c>
      <c r="C35" s="77"/>
      <c r="D35" s="78"/>
      <c r="F35" s="159"/>
      <c r="G35" s="160"/>
      <c r="H35" s="160"/>
      <c r="I35" s="160"/>
      <c r="J35" s="160"/>
      <c r="K35" s="160"/>
      <c r="L35" s="160"/>
      <c r="M35" s="160"/>
      <c r="N35" s="160"/>
      <c r="O35" s="160"/>
      <c r="P35" s="160"/>
      <c r="Q35" s="161"/>
    </row>
    <row r="36" spans="2:17" ht="13.2" customHeight="1" x14ac:dyDescent="0.25">
      <c r="B36" s="5">
        <v>32</v>
      </c>
      <c r="C36" s="13"/>
      <c r="D36" s="14"/>
      <c r="F36" s="159"/>
      <c r="G36" s="160"/>
      <c r="H36" s="160"/>
      <c r="I36" s="160"/>
      <c r="J36" s="160"/>
      <c r="K36" s="160"/>
      <c r="L36" s="160"/>
      <c r="M36" s="160"/>
      <c r="N36" s="160"/>
      <c r="O36" s="160"/>
      <c r="P36" s="160"/>
      <c r="Q36" s="161"/>
    </row>
    <row r="37" spans="2:17" ht="13.2" customHeight="1" x14ac:dyDescent="0.25">
      <c r="B37" s="5">
        <v>33</v>
      </c>
      <c r="C37" s="77"/>
      <c r="D37" s="78"/>
      <c r="F37" s="159"/>
      <c r="G37" s="160"/>
      <c r="H37" s="160"/>
      <c r="I37" s="160"/>
      <c r="J37" s="160"/>
      <c r="K37" s="160"/>
      <c r="L37" s="160"/>
      <c r="M37" s="160"/>
      <c r="N37" s="160"/>
      <c r="O37" s="160"/>
      <c r="P37" s="160"/>
      <c r="Q37" s="161"/>
    </row>
    <row r="38" spans="2:17" ht="13.2" customHeight="1" x14ac:dyDescent="0.25">
      <c r="B38" s="5">
        <v>34</v>
      </c>
      <c r="C38" s="13"/>
      <c r="D38" s="14"/>
      <c r="F38" s="159"/>
      <c r="G38" s="160"/>
      <c r="H38" s="160"/>
      <c r="I38" s="160"/>
      <c r="J38" s="160"/>
      <c r="K38" s="160"/>
      <c r="L38" s="160"/>
      <c r="M38" s="160"/>
      <c r="N38" s="160"/>
      <c r="O38" s="160"/>
      <c r="P38" s="160"/>
      <c r="Q38" s="161"/>
    </row>
    <row r="39" spans="2:17" ht="13.2" customHeight="1" x14ac:dyDescent="0.25">
      <c r="B39" s="5">
        <v>35</v>
      </c>
      <c r="C39" s="77"/>
      <c r="D39" s="78"/>
      <c r="F39" s="159"/>
      <c r="G39" s="160"/>
      <c r="H39" s="160"/>
      <c r="I39" s="160"/>
      <c r="J39" s="160"/>
      <c r="K39" s="160"/>
      <c r="L39" s="160"/>
      <c r="M39" s="160"/>
      <c r="N39" s="160"/>
      <c r="O39" s="160"/>
      <c r="P39" s="160"/>
      <c r="Q39" s="161"/>
    </row>
    <row r="40" spans="2:17" ht="13.2" customHeight="1" x14ac:dyDescent="0.25">
      <c r="B40" s="5">
        <v>36</v>
      </c>
      <c r="C40" s="13"/>
      <c r="D40" s="14"/>
      <c r="F40" s="159"/>
      <c r="G40" s="160"/>
      <c r="H40" s="160"/>
      <c r="I40" s="160"/>
      <c r="J40" s="160"/>
      <c r="K40" s="160"/>
      <c r="L40" s="160"/>
      <c r="M40" s="160"/>
      <c r="N40" s="160"/>
      <c r="O40" s="160"/>
      <c r="P40" s="160"/>
      <c r="Q40" s="161"/>
    </row>
    <row r="41" spans="2:17" ht="13.2" customHeight="1" x14ac:dyDescent="0.25">
      <c r="B41" s="5">
        <v>37</v>
      </c>
      <c r="C41" s="77"/>
      <c r="D41" s="78"/>
      <c r="F41" s="159"/>
      <c r="G41" s="160"/>
      <c r="H41" s="160"/>
      <c r="I41" s="160"/>
      <c r="J41" s="160"/>
      <c r="K41" s="160"/>
      <c r="L41" s="160"/>
      <c r="M41" s="160"/>
      <c r="N41" s="160"/>
      <c r="O41" s="160"/>
      <c r="P41" s="160"/>
      <c r="Q41" s="161"/>
    </row>
    <row r="42" spans="2:17" ht="13.2" customHeight="1" x14ac:dyDescent="0.25">
      <c r="B42" s="5">
        <v>38</v>
      </c>
      <c r="C42" s="13"/>
      <c r="D42" s="14"/>
      <c r="F42" s="159"/>
      <c r="G42" s="160"/>
      <c r="H42" s="160"/>
      <c r="I42" s="160"/>
      <c r="J42" s="160"/>
      <c r="K42" s="160"/>
      <c r="L42" s="160"/>
      <c r="M42" s="160"/>
      <c r="N42" s="160"/>
      <c r="O42" s="160"/>
      <c r="P42" s="160"/>
      <c r="Q42" s="161"/>
    </row>
    <row r="43" spans="2:17" ht="13.2" customHeight="1" x14ac:dyDescent="0.25">
      <c r="B43" s="5">
        <v>39</v>
      </c>
      <c r="C43" s="77"/>
      <c r="D43" s="78"/>
      <c r="F43" s="159"/>
      <c r="G43" s="160"/>
      <c r="H43" s="160"/>
      <c r="I43" s="160"/>
      <c r="J43" s="160"/>
      <c r="K43" s="160"/>
      <c r="L43" s="160"/>
      <c r="M43" s="160"/>
      <c r="N43" s="160"/>
      <c r="O43" s="160"/>
      <c r="P43" s="160"/>
      <c r="Q43" s="161"/>
    </row>
    <row r="44" spans="2:17" ht="13.2" customHeight="1" thickBot="1" x14ac:dyDescent="0.3">
      <c r="B44" s="6">
        <v>40</v>
      </c>
      <c r="C44" s="15"/>
      <c r="D44" s="16"/>
      <c r="F44" s="162"/>
      <c r="G44" s="163"/>
      <c r="H44" s="163"/>
      <c r="I44" s="163"/>
      <c r="J44" s="163"/>
      <c r="K44" s="163"/>
      <c r="L44" s="163"/>
      <c r="M44" s="163"/>
      <c r="N44" s="163"/>
      <c r="O44" s="163"/>
      <c r="P44" s="163"/>
      <c r="Q44" s="164"/>
    </row>
    <row r="45" spans="2:17" x14ac:dyDescent="0.25">
      <c r="C45" s="10">
        <f>COUNTA(C5:C44)</f>
        <v>23</v>
      </c>
    </row>
  </sheetData>
  <sheetProtection selectLockedCells="1"/>
  <mergeCells count="20">
    <mergeCell ref="F31:Q44"/>
    <mergeCell ref="V2:Z2"/>
    <mergeCell ref="G24:H24"/>
    <mergeCell ref="J24:Q24"/>
    <mergeCell ref="J25:Q25"/>
    <mergeCell ref="J26:Q26"/>
    <mergeCell ref="F2:S3"/>
    <mergeCell ref="F22:G22"/>
    <mergeCell ref="H22:I22"/>
    <mergeCell ref="J22:K22"/>
    <mergeCell ref="L22:M22"/>
    <mergeCell ref="N22:O22"/>
    <mergeCell ref="P22:Q22"/>
    <mergeCell ref="W3:Z29"/>
    <mergeCell ref="G25:H25"/>
    <mergeCell ref="G26:H26"/>
    <mergeCell ref="R22:S22"/>
    <mergeCell ref="G27:H27"/>
    <mergeCell ref="G28:H28"/>
    <mergeCell ref="B2:D3"/>
  </mergeCells>
  <dataValidations count="2">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46" r:id="rId6" name="cmdClearAll">
          <controlPr defaultSize="0" autoLine="0" r:id="rId7">
            <anchor>
              <from>
                <xdr:col>23</xdr:col>
                <xdr:colOff>533400</xdr:colOff>
                <xdr:row>29</xdr:row>
                <xdr:rowOff>68580</xdr:rowOff>
              </from>
              <to>
                <xdr:col>25</xdr:col>
                <xdr:colOff>358140</xdr:colOff>
                <xdr:row>32</xdr:row>
                <xdr:rowOff>99060</xdr:rowOff>
              </to>
            </anchor>
          </controlPr>
        </control>
      </mc:Choice>
      <mc:Fallback>
        <control shapeId="10246" r:id="rId6" name="cmdClearAll"/>
      </mc:Fallback>
    </mc:AlternateContent>
    <mc:AlternateContent xmlns:mc="http://schemas.openxmlformats.org/markup-compatibility/2006">
      <mc:Choice Requires="x14">
        <control shapeId="10243" r:id="rId8" name="cmdCreateTables">
          <controlPr defaultSize="0" autoLine="0" r:id="rId9">
            <anchor>
              <from>
                <xdr:col>21</xdr:col>
                <xdr:colOff>0</xdr:colOff>
                <xdr:row>29</xdr:row>
                <xdr:rowOff>68580</xdr:rowOff>
              </from>
              <to>
                <xdr:col>23</xdr:col>
                <xdr:colOff>434340</xdr:colOff>
                <xdr:row>32</xdr:row>
                <xdr:rowOff>106680</xdr:rowOff>
              </to>
            </anchor>
          </controlPr>
        </control>
      </mc:Choice>
      <mc:Fallback>
        <control shapeId="10243" r:id="rId8" name="cmdCreateTables"/>
      </mc:Fallback>
    </mc:AlternateContent>
    <mc:AlternateContent xmlns:mc="http://schemas.openxmlformats.org/markup-compatibility/2006">
      <mc:Choice Requires="x14">
        <control shapeId="10244" r:id="rId10" name="cmdCreateResults">
          <controlPr defaultSize="0" autoLine="0" r:id="rId11">
            <anchor>
              <from>
                <xdr:col>20</xdr:col>
                <xdr:colOff>160020</xdr:colOff>
                <xdr:row>36</xdr:row>
                <xdr:rowOff>53340</xdr:rowOff>
              </from>
              <to>
                <xdr:col>23</xdr:col>
                <xdr:colOff>434340</xdr:colOff>
                <xdr:row>39</xdr:row>
                <xdr:rowOff>91440</xdr:rowOff>
              </to>
            </anchor>
          </controlPr>
        </control>
      </mc:Choice>
      <mc:Fallback>
        <control shapeId="10244" r:id="rId10" name="cmdCreateResults"/>
      </mc:Fallback>
    </mc:AlternateContent>
    <mc:AlternateContent xmlns:mc="http://schemas.openxmlformats.org/markup-compatibility/2006">
      <mc:Choice Requires="x14">
        <control shapeId="10276" r:id="rId12" name="btnSelExUpdate">
          <controlPr defaultSize="0" print="0" autoLine="0" r:id="rId13">
            <anchor>
              <from>
                <xdr:col>21</xdr:col>
                <xdr:colOff>0</xdr:colOff>
                <xdr:row>33</xdr:row>
                <xdr:rowOff>0</xdr:rowOff>
              </from>
              <to>
                <xdr:col>23</xdr:col>
                <xdr:colOff>434340</xdr:colOff>
                <xdr:row>35</xdr:row>
                <xdr:rowOff>160020</xdr:rowOff>
              </to>
            </anchor>
          </controlPr>
        </control>
      </mc:Choice>
      <mc:Fallback>
        <control shapeId="10276" r:id="rId12" name="btnSelExUpdate"/>
      </mc:Fallback>
    </mc:AlternateContent>
    <mc:AlternateContent xmlns:mc="http://schemas.openxmlformats.org/markup-compatibility/2006">
      <mc:Choice Requires="x14">
        <control shapeId="10277" r:id="rId14" name="cmdEK">
          <controlPr defaultSize="0" autoLine="0" r:id="rId15">
            <anchor>
              <from>
                <xdr:col>8</xdr:col>
                <xdr:colOff>441960</xdr:colOff>
                <xdr:row>26</xdr:row>
                <xdr:rowOff>144780</xdr:rowOff>
              </from>
              <to>
                <xdr:col>9</xdr:col>
                <xdr:colOff>388620</xdr:colOff>
                <xdr:row>28</xdr:row>
                <xdr:rowOff>137160</xdr:rowOff>
              </to>
            </anchor>
          </controlPr>
        </control>
      </mc:Choice>
      <mc:Fallback>
        <control shapeId="10277" r:id="rId14" name="cmdEK"/>
      </mc:Fallback>
    </mc:AlternateContent>
    <mc:AlternateContent xmlns:mc="http://schemas.openxmlformats.org/markup-compatibility/2006">
      <mc:Choice Requires="x14">
        <control shapeId="10278" r:id="rId16" name="cmdZK">
          <controlPr defaultSize="0" autoLine="0" r:id="rId17">
            <anchor>
              <from>
                <xdr:col>9</xdr:col>
                <xdr:colOff>441960</xdr:colOff>
                <xdr:row>26</xdr:row>
                <xdr:rowOff>144780</xdr:rowOff>
              </from>
              <to>
                <xdr:col>10</xdr:col>
                <xdr:colOff>388620</xdr:colOff>
                <xdr:row>28</xdr:row>
                <xdr:rowOff>137160</xdr:rowOff>
              </to>
            </anchor>
          </controlPr>
        </control>
      </mc:Choice>
      <mc:Fallback>
        <control shapeId="10278" r:id="rId16" name="cmdZK"/>
      </mc:Fallback>
    </mc:AlternateContent>
    <mc:AlternateContent xmlns:mc="http://schemas.openxmlformats.org/markup-compatibility/2006">
      <mc:Choice Requires="x14">
        <control shapeId="10279" r:id="rId18" name="cmdDK">
          <controlPr defaultSize="0" autoLine="0" r:id="rId19">
            <anchor>
              <from>
                <xdr:col>10</xdr:col>
                <xdr:colOff>449580</xdr:colOff>
                <xdr:row>26</xdr:row>
                <xdr:rowOff>144780</xdr:rowOff>
              </from>
              <to>
                <xdr:col>11</xdr:col>
                <xdr:colOff>396240</xdr:colOff>
                <xdr:row>28</xdr:row>
                <xdr:rowOff>137160</xdr:rowOff>
              </to>
            </anchor>
          </controlPr>
        </control>
      </mc:Choice>
      <mc:Fallback>
        <control shapeId="10279" r:id="rId18" name="cmdDK"/>
      </mc:Fallback>
    </mc:AlternateContent>
    <mc:AlternateContent xmlns:mc="http://schemas.openxmlformats.org/markup-compatibility/2006">
      <mc:Choice Requires="x14">
        <control shapeId="10280" r:id="rId20" name="cmdAK">
          <controlPr defaultSize="0" autoLine="0" r:id="rId21">
            <anchor>
              <from>
                <xdr:col>11</xdr:col>
                <xdr:colOff>449580</xdr:colOff>
                <xdr:row>26</xdr:row>
                <xdr:rowOff>144780</xdr:rowOff>
              </from>
              <to>
                <xdr:col>12</xdr:col>
                <xdr:colOff>396240</xdr:colOff>
                <xdr:row>28</xdr:row>
                <xdr:rowOff>137160</xdr:rowOff>
              </to>
            </anchor>
          </controlPr>
        </control>
      </mc:Choice>
      <mc:Fallback>
        <control shapeId="10280" r:id="rId20"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topLeftCell="A3"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156" t="s">
        <v>32</v>
      </c>
      <c r="H2" s="157"/>
      <c r="I2" s="157"/>
      <c r="J2" s="157"/>
      <c r="K2" s="157"/>
      <c r="L2" s="158"/>
    </row>
    <row r="3" spans="2:15" x14ac:dyDescent="0.25">
      <c r="B3" s="35">
        <v>0</v>
      </c>
      <c r="C3" s="36">
        <v>0</v>
      </c>
      <c r="D3" s="37">
        <v>6</v>
      </c>
      <c r="E3" s="27" t="str">
        <f>IF(AND($C3=$C4,$C4&lt;$C5),"+",IF($C3&lt;$C4,"++",""))</f>
        <v/>
      </c>
      <c r="F3" s="31"/>
      <c r="G3" s="159"/>
      <c r="H3" s="160"/>
      <c r="I3" s="160"/>
      <c r="J3" s="160"/>
      <c r="K3" s="160"/>
      <c r="L3" s="161"/>
    </row>
    <row r="4" spans="2:15" x14ac:dyDescent="0.25">
      <c r="B4" s="38">
        <v>0.5</v>
      </c>
      <c r="C4" s="39">
        <v>0</v>
      </c>
      <c r="D4" s="40">
        <v>6</v>
      </c>
      <c r="E4" s="27" t="str">
        <f>IF(AND($C4=$C5,$C5&lt;$C6),"+",IF($C4&lt;$C5,"++",""))</f>
        <v/>
      </c>
      <c r="F4" s="31"/>
      <c r="G4" s="159"/>
      <c r="H4" s="160"/>
      <c r="I4" s="160"/>
      <c r="J4" s="160"/>
      <c r="K4" s="160"/>
      <c r="L4" s="161"/>
    </row>
    <row r="5" spans="2:15" x14ac:dyDescent="0.25">
      <c r="B5" s="38">
        <v>1</v>
      </c>
      <c r="C5" s="39">
        <v>0</v>
      </c>
      <c r="D5" s="40">
        <v>6</v>
      </c>
      <c r="E5" s="27" t="str">
        <f t="shared" ref="E5:E50" si="0">IF(AND($C5=$C6,$C6&lt;$C7),"+",IF($C5&lt;$C6,"++",IF(AND($C5=$C4,$C4&gt;$C3),"-",IF($C5&gt;$C4,"--",""))))</f>
        <v/>
      </c>
      <c r="F5" s="31"/>
      <c r="G5" s="159"/>
      <c r="H5" s="160"/>
      <c r="I5" s="160"/>
      <c r="J5" s="160"/>
      <c r="K5" s="160"/>
      <c r="L5" s="161"/>
    </row>
    <row r="6" spans="2:15" x14ac:dyDescent="0.25">
      <c r="B6" s="38">
        <v>1.5</v>
      </c>
      <c r="C6" s="39">
        <v>0</v>
      </c>
      <c r="D6" s="40">
        <v>6</v>
      </c>
      <c r="E6" s="27" t="str">
        <f t="shared" si="0"/>
        <v/>
      </c>
      <c r="F6" s="31"/>
      <c r="G6" s="159"/>
      <c r="H6" s="160"/>
      <c r="I6" s="160"/>
      <c r="J6" s="160"/>
      <c r="K6" s="160"/>
      <c r="L6" s="161"/>
    </row>
    <row r="7" spans="2:15" x14ac:dyDescent="0.25">
      <c r="B7" s="38">
        <v>2</v>
      </c>
      <c r="C7" s="39">
        <v>0</v>
      </c>
      <c r="D7" s="40">
        <v>6</v>
      </c>
      <c r="E7" s="27" t="str">
        <f t="shared" si="0"/>
        <v/>
      </c>
      <c r="F7" s="31"/>
      <c r="G7" s="159"/>
      <c r="H7" s="160"/>
      <c r="I7" s="160"/>
      <c r="J7" s="160"/>
      <c r="K7" s="160"/>
      <c r="L7" s="161"/>
    </row>
    <row r="8" spans="2:15" ht="12.75" customHeight="1" x14ac:dyDescent="0.25">
      <c r="B8" s="38">
        <v>2.5</v>
      </c>
      <c r="C8" s="39">
        <v>0</v>
      </c>
      <c r="D8" s="40">
        <v>6</v>
      </c>
      <c r="E8" s="27" t="str">
        <f t="shared" si="0"/>
        <v/>
      </c>
      <c r="F8" s="31"/>
      <c r="G8" s="159"/>
      <c r="H8" s="160"/>
      <c r="I8" s="160"/>
      <c r="J8" s="160"/>
      <c r="K8" s="160"/>
      <c r="L8" s="161"/>
      <c r="M8" s="32"/>
      <c r="N8" s="32"/>
      <c r="O8" s="32"/>
    </row>
    <row r="9" spans="2:15" x14ac:dyDescent="0.25">
      <c r="B9" s="38">
        <v>3</v>
      </c>
      <c r="C9" s="39">
        <v>0</v>
      </c>
      <c r="D9" s="40">
        <v>6</v>
      </c>
      <c r="E9" s="27" t="str">
        <f t="shared" si="0"/>
        <v/>
      </c>
      <c r="F9" s="31"/>
      <c r="G9" s="159"/>
      <c r="H9" s="160"/>
      <c r="I9" s="160"/>
      <c r="J9" s="160"/>
      <c r="K9" s="160"/>
      <c r="L9" s="161"/>
      <c r="M9" s="32"/>
      <c r="N9" s="32"/>
      <c r="O9" s="32"/>
    </row>
    <row r="10" spans="2:15" x14ac:dyDescent="0.25">
      <c r="B10" s="38">
        <v>3.5</v>
      </c>
      <c r="C10" s="39">
        <v>0</v>
      </c>
      <c r="D10" s="40">
        <v>6</v>
      </c>
      <c r="E10" s="27" t="str">
        <f t="shared" si="0"/>
        <v/>
      </c>
      <c r="F10" s="31"/>
      <c r="G10" s="159"/>
      <c r="H10" s="160"/>
      <c r="I10" s="160"/>
      <c r="J10" s="160"/>
      <c r="K10" s="160"/>
      <c r="L10" s="161"/>
      <c r="M10" s="32"/>
      <c r="N10" s="32"/>
      <c r="O10" s="32"/>
    </row>
    <row r="11" spans="2:15" x14ac:dyDescent="0.25">
      <c r="B11" s="38">
        <v>4</v>
      </c>
      <c r="C11" s="39">
        <v>0</v>
      </c>
      <c r="D11" s="40">
        <v>6</v>
      </c>
      <c r="E11" s="27" t="str">
        <f t="shared" si="0"/>
        <v/>
      </c>
      <c r="G11" s="159"/>
      <c r="H11" s="160"/>
      <c r="I11" s="160"/>
      <c r="J11" s="160"/>
      <c r="K11" s="160"/>
      <c r="L11" s="161"/>
      <c r="M11" s="32"/>
      <c r="N11" s="32"/>
      <c r="O11" s="32"/>
    </row>
    <row r="12" spans="2:15" x14ac:dyDescent="0.25">
      <c r="B12" s="38">
        <v>4.5</v>
      </c>
      <c r="C12" s="39">
        <v>0</v>
      </c>
      <c r="D12" s="40">
        <v>6</v>
      </c>
      <c r="E12" s="27" t="str">
        <f t="shared" si="0"/>
        <v/>
      </c>
      <c r="F12" s="31"/>
      <c r="G12" s="159"/>
      <c r="H12" s="160"/>
      <c r="I12" s="160"/>
      <c r="J12" s="160"/>
      <c r="K12" s="160"/>
      <c r="L12" s="161"/>
      <c r="M12" s="32"/>
      <c r="N12" s="32"/>
      <c r="O12" s="32"/>
    </row>
    <row r="13" spans="2:15" x14ac:dyDescent="0.25">
      <c r="B13" s="38">
        <v>5</v>
      </c>
      <c r="C13" s="39">
        <v>0</v>
      </c>
      <c r="D13" s="40">
        <v>6</v>
      </c>
      <c r="E13" s="27" t="str">
        <f t="shared" si="0"/>
        <v/>
      </c>
      <c r="F13" s="31"/>
      <c r="G13" s="159"/>
      <c r="H13" s="160"/>
      <c r="I13" s="160"/>
      <c r="J13" s="160"/>
      <c r="K13" s="160"/>
      <c r="L13" s="161"/>
      <c r="M13" s="32"/>
      <c r="N13" s="32"/>
      <c r="O13" s="32"/>
    </row>
    <row r="14" spans="2:15" x14ac:dyDescent="0.25">
      <c r="B14" s="38">
        <v>5.5</v>
      </c>
      <c r="C14" s="39">
        <v>0</v>
      </c>
      <c r="D14" s="40">
        <v>6</v>
      </c>
      <c r="E14" s="27" t="str">
        <f t="shared" si="0"/>
        <v/>
      </c>
      <c r="F14" s="31"/>
      <c r="G14" s="159"/>
      <c r="H14" s="160"/>
      <c r="I14" s="160"/>
      <c r="J14" s="160"/>
      <c r="K14" s="160"/>
      <c r="L14" s="161"/>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48"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2026-03-29T21:52:00Z</cp:lastPrinted>
  <dcterms:created xsi:type="dcterms:W3CDTF">2006-06-24T21:29:52Z</dcterms:created>
  <dcterms:modified xsi:type="dcterms:W3CDTF">2026-05-04T19:19:25Z</dcterms:modified>
</cp:coreProperties>
</file>