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E5D7E5F4-5F63-487C-AE85-352E7811E9A7}" xr6:coauthVersionLast="47" xr6:coauthVersionMax="47" xr10:uidLastSave="{00000000-0000-0000-0000-000000000000}"/>
  <bookViews>
    <workbookView xWindow="-108" yWindow="-108" windowWidth="30936" windowHeight="16776" activeTab="9" xr2:uid="{00000000-000D-0000-FFFF-FFFF00000000}"/>
  </bookViews>
  <sheets>
    <sheet name="Noten" sheetId="3155" r:id="rId1"/>
    <sheet name="Analysis A" sheetId="3148" r:id="rId2"/>
    <sheet name="Analysis B" sheetId="3149" r:id="rId3"/>
    <sheet name="Stochastik A" sheetId="3150" r:id="rId4"/>
    <sheet name="Stochastik B" sheetId="3151" r:id="rId5"/>
    <sheet name="Geometrie A" sheetId="3152" r:id="rId6"/>
    <sheet name="Geometrie B" sheetId="3153" r:id="rId7"/>
    <sheet name="Wahlaufgaben" sheetId="3154" r:id="rId8"/>
    <sheet name="ConfigW" sheetId="3156"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3154" l="1"/>
  <c r="I9" i="3154"/>
  <c r="I11" i="3154"/>
  <c r="I12" i="3154"/>
  <c r="I14" i="3154"/>
  <c r="I15" i="3154"/>
  <c r="I17" i="3154"/>
  <c r="I18" i="3154"/>
  <c r="I20" i="3154"/>
  <c r="I21" i="3154"/>
  <c r="I23" i="3154"/>
  <c r="I24" i="3154"/>
  <c r="I26" i="3154"/>
  <c r="I27" i="3154"/>
  <c r="I29" i="3154"/>
  <c r="I30" i="3154"/>
  <c r="I32" i="3154"/>
  <c r="I33" i="3154"/>
  <c r="I35" i="3154"/>
  <c r="I36" i="3154"/>
  <c r="I38" i="3154"/>
  <c r="I39" i="3154"/>
  <c r="I41" i="3154"/>
  <c r="I42" i="3154"/>
  <c r="I44" i="3154"/>
  <c r="I45" i="3154"/>
  <c r="I47" i="3154"/>
  <c r="I48" i="3154"/>
  <c r="I50" i="3154"/>
  <c r="I51" i="3154"/>
  <c r="I53" i="3154"/>
  <c r="I54" i="3154"/>
  <c r="I56" i="3154"/>
  <c r="I57" i="3154"/>
  <c r="I59" i="3154"/>
  <c r="I60" i="3154"/>
  <c r="I62" i="3154"/>
  <c r="I63" i="3154"/>
  <c r="I65" i="3154"/>
  <c r="I66" i="3154"/>
  <c r="I68" i="3154"/>
  <c r="I69" i="3154"/>
  <c r="I71" i="3154"/>
  <c r="I72" i="3154"/>
  <c r="I74" i="3154"/>
  <c r="I75" i="3154"/>
  <c r="I8" i="3153"/>
  <c r="I9" i="3153"/>
  <c r="I11" i="3153"/>
  <c r="I12" i="3153"/>
  <c r="I14" i="3153"/>
  <c r="I15" i="3153"/>
  <c r="I17" i="3153"/>
  <c r="I18" i="3153"/>
  <c r="I20" i="3153"/>
  <c r="I21" i="3153"/>
  <c r="I23" i="3153"/>
  <c r="I24" i="3153"/>
  <c r="I26" i="3153"/>
  <c r="I27" i="3153"/>
  <c r="I29" i="3153"/>
  <c r="I30" i="3153"/>
  <c r="I32" i="3153"/>
  <c r="I33" i="3153"/>
  <c r="I35" i="3153"/>
  <c r="I36" i="3153"/>
  <c r="I38" i="3153"/>
  <c r="I39" i="3153"/>
  <c r="I41" i="3153"/>
  <c r="I42" i="3153"/>
  <c r="I44" i="3153"/>
  <c r="I45" i="3153"/>
  <c r="I47" i="3153"/>
  <c r="I48" i="3153"/>
  <c r="I50" i="3153"/>
  <c r="I51" i="3153"/>
  <c r="I53" i="3153"/>
  <c r="I54" i="3153"/>
  <c r="I56" i="3153"/>
  <c r="I57" i="3153"/>
  <c r="I59" i="3153"/>
  <c r="I60" i="3153"/>
  <c r="I62" i="3153"/>
  <c r="I63" i="3153"/>
  <c r="I65" i="3153"/>
  <c r="I66" i="3153"/>
  <c r="I68" i="3153"/>
  <c r="I69" i="3153"/>
  <c r="I71" i="3153"/>
  <c r="I72" i="3153"/>
  <c r="I74" i="3153"/>
  <c r="I75" i="3153"/>
  <c r="F8" i="3152"/>
  <c r="F9" i="3152"/>
  <c r="F11" i="3152"/>
  <c r="F12" i="3152"/>
  <c r="F14" i="3152"/>
  <c r="F15" i="3152"/>
  <c r="F17" i="3152"/>
  <c r="F18" i="3152"/>
  <c r="F20" i="3152"/>
  <c r="F21" i="3152"/>
  <c r="F23" i="3152"/>
  <c r="F24" i="3152"/>
  <c r="F26" i="3152"/>
  <c r="F27" i="3152"/>
  <c r="F29" i="3152"/>
  <c r="F30" i="3152"/>
  <c r="F32" i="3152"/>
  <c r="F33" i="3152"/>
  <c r="F35" i="3152"/>
  <c r="F36" i="3152"/>
  <c r="F38" i="3152"/>
  <c r="F39" i="3152"/>
  <c r="F41" i="3152"/>
  <c r="F42" i="3152"/>
  <c r="F44" i="3152"/>
  <c r="F45" i="3152"/>
  <c r="F47" i="3152"/>
  <c r="F48" i="3152"/>
  <c r="F50" i="3152"/>
  <c r="F51" i="3152"/>
  <c r="F53" i="3152"/>
  <c r="F54" i="3152"/>
  <c r="F56" i="3152"/>
  <c r="F57" i="3152"/>
  <c r="F59" i="3152"/>
  <c r="F60" i="3152"/>
  <c r="F62" i="3152"/>
  <c r="F63" i="3152"/>
  <c r="F65" i="3152"/>
  <c r="F66" i="3152"/>
  <c r="F68" i="3152"/>
  <c r="F69" i="3152"/>
  <c r="F71" i="3152"/>
  <c r="F72" i="3152"/>
  <c r="F74" i="3152"/>
  <c r="F75" i="3152"/>
  <c r="I8" i="3151"/>
  <c r="I9" i="3151"/>
  <c r="I11" i="3151"/>
  <c r="I12" i="3151"/>
  <c r="I14" i="3151"/>
  <c r="I15" i="3151"/>
  <c r="I17" i="3151"/>
  <c r="I18" i="3151"/>
  <c r="I20" i="3151"/>
  <c r="I21" i="3151"/>
  <c r="I23" i="3151"/>
  <c r="I24" i="3151"/>
  <c r="I26" i="3151"/>
  <c r="I27" i="3151"/>
  <c r="I29" i="3151"/>
  <c r="I30" i="3151"/>
  <c r="I32" i="3151"/>
  <c r="I33" i="3151"/>
  <c r="I35" i="3151"/>
  <c r="I36" i="3151"/>
  <c r="I38" i="3151"/>
  <c r="I39" i="3151"/>
  <c r="I41" i="3151"/>
  <c r="I42" i="3151"/>
  <c r="I44" i="3151"/>
  <c r="I45" i="3151"/>
  <c r="I47" i="3151"/>
  <c r="I48" i="3151"/>
  <c r="I50" i="3151"/>
  <c r="I51" i="3151"/>
  <c r="I53" i="3151"/>
  <c r="I54" i="3151"/>
  <c r="I56" i="3151"/>
  <c r="I57" i="3151"/>
  <c r="I59" i="3151"/>
  <c r="I60" i="3151"/>
  <c r="I62" i="3151"/>
  <c r="I63" i="3151"/>
  <c r="I65" i="3151"/>
  <c r="I66" i="3151"/>
  <c r="I68" i="3151"/>
  <c r="I69" i="3151"/>
  <c r="I71" i="3151"/>
  <c r="I72" i="3151"/>
  <c r="I74" i="3151"/>
  <c r="I75" i="3151"/>
  <c r="E8" i="3150"/>
  <c r="E9" i="3150"/>
  <c r="E11" i="3150"/>
  <c r="E12" i="3150"/>
  <c r="E14" i="3150"/>
  <c r="E15" i="3150"/>
  <c r="E17" i="3150"/>
  <c r="E18" i="3150"/>
  <c r="E20" i="3150"/>
  <c r="E21" i="3150"/>
  <c r="E23" i="3150"/>
  <c r="E24" i="3150"/>
  <c r="E26" i="3150"/>
  <c r="E27" i="3150"/>
  <c r="E29" i="3150"/>
  <c r="E30" i="3150"/>
  <c r="E32" i="3150"/>
  <c r="E33" i="3150"/>
  <c r="E35" i="3150"/>
  <c r="E36" i="3150"/>
  <c r="E38" i="3150"/>
  <c r="E39" i="3150"/>
  <c r="E41" i="3150"/>
  <c r="E42" i="3150"/>
  <c r="E44" i="3150"/>
  <c r="E45" i="3150"/>
  <c r="E47" i="3150"/>
  <c r="E48" i="3150"/>
  <c r="E50" i="3150"/>
  <c r="E51" i="3150"/>
  <c r="E53" i="3150"/>
  <c r="E54" i="3150"/>
  <c r="E56" i="3150"/>
  <c r="E57" i="3150"/>
  <c r="E59" i="3150"/>
  <c r="E60" i="3150"/>
  <c r="E62" i="3150"/>
  <c r="E63" i="3150"/>
  <c r="E65" i="3150"/>
  <c r="E66" i="3150"/>
  <c r="E68" i="3150"/>
  <c r="E69" i="3150"/>
  <c r="E71" i="3150"/>
  <c r="E72" i="3150"/>
  <c r="E74" i="3150"/>
  <c r="E75" i="3150"/>
  <c r="N8" i="3149"/>
  <c r="N9" i="3149"/>
  <c r="N11" i="3149"/>
  <c r="N12" i="3149"/>
  <c r="N14" i="3149"/>
  <c r="N15" i="3149"/>
  <c r="N17" i="3149"/>
  <c r="N18" i="3149"/>
  <c r="N20" i="3149"/>
  <c r="N21" i="3149"/>
  <c r="N23" i="3149"/>
  <c r="N24" i="3149"/>
  <c r="N26" i="3149"/>
  <c r="N27" i="3149"/>
  <c r="N29" i="3149"/>
  <c r="N30" i="3149"/>
  <c r="N32" i="3149"/>
  <c r="N33" i="3149"/>
  <c r="N35" i="3149"/>
  <c r="N36" i="3149"/>
  <c r="N38" i="3149"/>
  <c r="N39" i="3149"/>
  <c r="N41" i="3149"/>
  <c r="N42" i="3149"/>
  <c r="N44" i="3149"/>
  <c r="N45" i="3149"/>
  <c r="N47" i="3149"/>
  <c r="N48" i="3149"/>
  <c r="N50" i="3149"/>
  <c r="N51" i="3149"/>
  <c r="N53" i="3149"/>
  <c r="N54" i="3149"/>
  <c r="N56" i="3149"/>
  <c r="N57" i="3149"/>
  <c r="N59" i="3149"/>
  <c r="N60" i="3149"/>
  <c r="N62" i="3149"/>
  <c r="N63" i="3149"/>
  <c r="N65" i="3149"/>
  <c r="N66" i="3149"/>
  <c r="N68" i="3149"/>
  <c r="N69" i="3149"/>
  <c r="N71" i="3149"/>
  <c r="N72" i="3149"/>
  <c r="N74" i="3149"/>
  <c r="N75" i="3149"/>
  <c r="J8" i="3148"/>
  <c r="J9" i="3148"/>
  <c r="J11" i="3148"/>
  <c r="J12" i="3148"/>
  <c r="J14" i="3148"/>
  <c r="J15" i="3148"/>
  <c r="J17" i="3148"/>
  <c r="J18" i="3148"/>
  <c r="J20" i="3148"/>
  <c r="J21" i="3148"/>
  <c r="J23" i="3148"/>
  <c r="J24" i="3148"/>
  <c r="J26" i="3148"/>
  <c r="J27" i="3148"/>
  <c r="J29" i="3148"/>
  <c r="J30" i="3148"/>
  <c r="J32" i="3148"/>
  <c r="J33" i="3148"/>
  <c r="J35" i="3148"/>
  <c r="J36" i="3148"/>
  <c r="J38" i="3148"/>
  <c r="J39" i="3148"/>
  <c r="J41" i="3148"/>
  <c r="J42" i="3148"/>
  <c r="J44" i="3148"/>
  <c r="J45" i="3148"/>
  <c r="J47" i="3148"/>
  <c r="J48" i="3148"/>
  <c r="J50" i="3148"/>
  <c r="J51" i="3148"/>
  <c r="J53" i="3148"/>
  <c r="J54" i="3148"/>
  <c r="J56" i="3148"/>
  <c r="J57" i="3148"/>
  <c r="J59" i="3148"/>
  <c r="J60" i="3148"/>
  <c r="J62" i="3148"/>
  <c r="J63" i="3148"/>
  <c r="J65" i="3148"/>
  <c r="J66" i="3148"/>
  <c r="J68" i="3148"/>
  <c r="J69" i="3148"/>
  <c r="J71" i="3148"/>
  <c r="J72" i="3148"/>
  <c r="J74" i="3148"/>
  <c r="J75" i="3148"/>
  <c r="D5" i="3156"/>
  <c r="E5" i="3156"/>
  <c r="F5" i="3156"/>
  <c r="G5" i="3156"/>
  <c r="H5" i="3156"/>
  <c r="C7" i="3156"/>
  <c r="C8" i="3156"/>
  <c r="C9" i="3156"/>
  <c r="C10" i="3156"/>
  <c r="C11" i="3156"/>
  <c r="C12" i="3156"/>
  <c r="C13" i="3156"/>
  <c r="C14" i="3156"/>
  <c r="C15" i="3156"/>
  <c r="C16" i="3156"/>
  <c r="C17" i="3156"/>
  <c r="C18" i="3156"/>
  <c r="C19" i="3156"/>
  <c r="C20" i="3156"/>
  <c r="C21" i="3156"/>
  <c r="C22" i="3156"/>
  <c r="C23" i="3156"/>
  <c r="C24" i="3156"/>
  <c r="C25" i="3156"/>
  <c r="C26" i="3156"/>
  <c r="C27" i="3156"/>
  <c r="C28" i="3156"/>
  <c r="C29" i="3156"/>
  <c r="H2" i="3156"/>
  <c r="B2" i="3156"/>
  <c r="C7" i="3155"/>
  <c r="C7" i="3148"/>
  <c r="J7" i="3148"/>
  <c r="D7" i="3155"/>
  <c r="C7" i="3149"/>
  <c r="N7" i="3149"/>
  <c r="E7" i="3155"/>
  <c r="C7" i="3150"/>
  <c r="E7" i="3150"/>
  <c r="F7" i="3155"/>
  <c r="C7" i="3151"/>
  <c r="I7" i="3151"/>
  <c r="G7" i="3155"/>
  <c r="C7" i="3154"/>
  <c r="I7" i="3154"/>
  <c r="J7" i="3155"/>
  <c r="C7" i="3153"/>
  <c r="I7" i="3153"/>
  <c r="I7" i="3155"/>
  <c r="C7" i="3152"/>
  <c r="F7" i="3152"/>
  <c r="H7" i="3155"/>
  <c r="K7" i="3155"/>
  <c r="E3" i="11"/>
  <c r="E26" i="11"/>
  <c r="E71" i="11"/>
  <c r="E76" i="11"/>
  <c r="E102" i="11"/>
  <c r="E120" i="11"/>
  <c r="E136" i="11"/>
  <c r="E134" i="11"/>
  <c r="N7" i="3155"/>
  <c r="C8" i="3155"/>
  <c r="C10" i="3148"/>
  <c r="J10" i="3148"/>
  <c r="D8" i="3155"/>
  <c r="C10" i="3149"/>
  <c r="N10" i="3149"/>
  <c r="E8" i="3155"/>
  <c r="C10" i="3150"/>
  <c r="E10" i="3150"/>
  <c r="F8" i="3155"/>
  <c r="C10" i="3151"/>
  <c r="I10" i="3151"/>
  <c r="G8" i="3155"/>
  <c r="C10" i="3154"/>
  <c r="I10" i="3154"/>
  <c r="J8" i="3155"/>
  <c r="C10" i="3153"/>
  <c r="I10" i="3153"/>
  <c r="I8" i="3155"/>
  <c r="C10" i="3152"/>
  <c r="F10" i="3152"/>
  <c r="H8" i="3155"/>
  <c r="K8" i="3155"/>
  <c r="E21" i="11"/>
  <c r="E56" i="11"/>
  <c r="E66" i="11"/>
  <c r="E80" i="11"/>
  <c r="E87" i="11"/>
  <c r="E105" i="11"/>
  <c r="E119" i="11"/>
  <c r="N8" i="3155"/>
  <c r="C9" i="3155"/>
  <c r="C13" i="3148"/>
  <c r="J13" i="3148"/>
  <c r="D9" i="3155"/>
  <c r="C13" i="3149"/>
  <c r="N13" i="3149"/>
  <c r="E9" i="3155"/>
  <c r="C13" i="3150"/>
  <c r="E13" i="3150"/>
  <c r="F9" i="3155"/>
  <c r="C13" i="3151"/>
  <c r="I13" i="3151"/>
  <c r="G9" i="3155"/>
  <c r="C13" i="3154"/>
  <c r="I13" i="3154"/>
  <c r="J9" i="3155"/>
  <c r="C13" i="3153"/>
  <c r="I13" i="3153"/>
  <c r="I9" i="3155"/>
  <c r="C13" i="3152"/>
  <c r="F13" i="3152"/>
  <c r="H9" i="3155"/>
  <c r="K9" i="3155"/>
  <c r="E24" i="11"/>
  <c r="E47" i="11"/>
  <c r="E52" i="11"/>
  <c r="E68" i="11"/>
  <c r="E77" i="11"/>
  <c r="E121" i="11"/>
  <c r="N9" i="3155"/>
  <c r="C10" i="3155"/>
  <c r="C16" i="3148"/>
  <c r="J16" i="3148"/>
  <c r="D10" i="3155"/>
  <c r="C16" i="3149"/>
  <c r="N16" i="3149"/>
  <c r="E10" i="3155"/>
  <c r="C16" i="3150"/>
  <c r="E16" i="3150"/>
  <c r="F10" i="3155"/>
  <c r="C16" i="3151"/>
  <c r="I16" i="3151"/>
  <c r="G10" i="3155"/>
  <c r="C16" i="3154"/>
  <c r="I16" i="3154"/>
  <c r="J10" i="3155"/>
  <c r="C16" i="3153"/>
  <c r="I16" i="3153"/>
  <c r="I10" i="3155"/>
  <c r="C16" i="3152"/>
  <c r="F16" i="3152"/>
  <c r="H10" i="3155"/>
  <c r="K10" i="3155"/>
  <c r="E28" i="11"/>
  <c r="E74" i="11"/>
  <c r="E79" i="11"/>
  <c r="E97" i="11"/>
  <c r="E104" i="11"/>
  <c r="E131" i="11"/>
  <c r="E143" i="11"/>
  <c r="N10" i="3155"/>
  <c r="C11" i="3155"/>
  <c r="C19" i="3148"/>
  <c r="J19" i="3148"/>
  <c r="D11" i="3155"/>
  <c r="C19" i="3149"/>
  <c r="N19" i="3149"/>
  <c r="E11" i="3155"/>
  <c r="C19" i="3150"/>
  <c r="E19" i="3150"/>
  <c r="F11" i="3155"/>
  <c r="C19" i="3151"/>
  <c r="I19" i="3151"/>
  <c r="G11" i="3155"/>
  <c r="C19" i="3154"/>
  <c r="I19" i="3154"/>
  <c r="J11" i="3155"/>
  <c r="C19" i="3153"/>
  <c r="I19" i="3153"/>
  <c r="I11" i="3155"/>
  <c r="C19" i="3152"/>
  <c r="F19" i="3152"/>
  <c r="H11" i="3155"/>
  <c r="K11" i="3155"/>
  <c r="E31" i="11"/>
  <c r="E88" i="11"/>
  <c r="E95" i="11"/>
  <c r="N11" i="3155"/>
  <c r="C12" i="3155"/>
  <c r="C22" i="3148"/>
  <c r="J22" i="3148"/>
  <c r="D12" i="3155"/>
  <c r="C22" i="3149"/>
  <c r="N22" i="3149"/>
  <c r="E12" i="3155"/>
  <c r="C22" i="3150"/>
  <c r="E22" i="3150"/>
  <c r="F12" i="3155"/>
  <c r="C22" i="3151"/>
  <c r="I22" i="3151"/>
  <c r="G12" i="3155"/>
  <c r="C22" i="3154"/>
  <c r="I22" i="3154"/>
  <c r="J12" i="3155"/>
  <c r="C22" i="3153"/>
  <c r="I22" i="3153"/>
  <c r="I12" i="3155"/>
  <c r="C22" i="3152"/>
  <c r="F22" i="3152"/>
  <c r="H12" i="3155"/>
  <c r="K12" i="3155"/>
  <c r="E94" i="11"/>
  <c r="E100" i="11"/>
  <c r="E130" i="11"/>
  <c r="E164" i="11"/>
  <c r="E180" i="11"/>
  <c r="N12" i="3155"/>
  <c r="C13" i="3155"/>
  <c r="C25" i="3148"/>
  <c r="J25" i="3148"/>
  <c r="D13" i="3155"/>
  <c r="C25" i="3149"/>
  <c r="N25" i="3149"/>
  <c r="E13" i="3155"/>
  <c r="C25" i="3150"/>
  <c r="E25" i="3150"/>
  <c r="F13" i="3155"/>
  <c r="C25" i="3151"/>
  <c r="I25" i="3151"/>
  <c r="G13" i="3155"/>
  <c r="C25" i="3154"/>
  <c r="I25" i="3154"/>
  <c r="J13" i="3155"/>
  <c r="C25" i="3153"/>
  <c r="I25" i="3153"/>
  <c r="I13" i="3155"/>
  <c r="C25" i="3152"/>
  <c r="F25" i="3152"/>
  <c r="H13" i="3155"/>
  <c r="K13" i="3155"/>
  <c r="E73" i="11"/>
  <c r="E83" i="11"/>
  <c r="E109" i="11"/>
  <c r="E139" i="11"/>
  <c r="E153" i="11"/>
  <c r="N13" i="3155"/>
  <c r="C14" i="3155"/>
  <c r="C28" i="3148"/>
  <c r="J28" i="3148"/>
  <c r="D14" i="3155"/>
  <c r="C28" i="3149"/>
  <c r="N28" i="3149"/>
  <c r="E14" i="3155"/>
  <c r="C28" i="3150"/>
  <c r="E28" i="3150"/>
  <c r="F14" i="3155"/>
  <c r="C28" i="3151"/>
  <c r="I28" i="3151"/>
  <c r="G14" i="3155"/>
  <c r="C28" i="3154"/>
  <c r="I28" i="3154"/>
  <c r="J14" i="3155"/>
  <c r="C28" i="3153"/>
  <c r="I28" i="3153"/>
  <c r="I14" i="3155"/>
  <c r="C28" i="3152"/>
  <c r="F28" i="3152"/>
  <c r="H14" i="3155"/>
  <c r="K14" i="3155"/>
  <c r="E54" i="11"/>
  <c r="E64" i="11"/>
  <c r="E81" i="11"/>
  <c r="E89" i="11"/>
  <c r="E115" i="11"/>
  <c r="E129" i="11"/>
  <c r="N14" i="3155"/>
  <c r="C15" i="3155"/>
  <c r="C31" i="3148"/>
  <c r="J31" i="3148"/>
  <c r="D15" i="3155"/>
  <c r="C31" i="3149"/>
  <c r="N31" i="3149"/>
  <c r="E15" i="3155"/>
  <c r="C31" i="3150"/>
  <c r="E31" i="3150"/>
  <c r="F15" i="3155"/>
  <c r="C31" i="3151"/>
  <c r="I31" i="3151"/>
  <c r="G15" i="3155"/>
  <c r="C31" i="3154"/>
  <c r="I31" i="3154"/>
  <c r="J15" i="3155"/>
  <c r="C31" i="3153"/>
  <c r="I31" i="3153"/>
  <c r="I15" i="3155"/>
  <c r="C31" i="3152"/>
  <c r="F31" i="3152"/>
  <c r="H15" i="3155"/>
  <c r="K15" i="3155"/>
  <c r="E23" i="11"/>
  <c r="E60" i="11"/>
  <c r="E86" i="11"/>
  <c r="E103" i="11"/>
  <c r="N15" i="3155"/>
  <c r="C16" i="3155"/>
  <c r="C34" i="3148"/>
  <c r="J34" i="3148"/>
  <c r="D16" i="3155"/>
  <c r="C34" i="3149"/>
  <c r="N34" i="3149"/>
  <c r="E16" i="3155"/>
  <c r="C34" i="3150"/>
  <c r="E34" i="3150"/>
  <c r="F16" i="3155"/>
  <c r="C34" i="3151"/>
  <c r="I34" i="3151"/>
  <c r="G16" i="3155"/>
  <c r="C34" i="3154"/>
  <c r="I34" i="3154"/>
  <c r="J16" i="3155"/>
  <c r="C34" i="3153"/>
  <c r="I34" i="3153"/>
  <c r="I16" i="3155"/>
  <c r="C34" i="3152"/>
  <c r="F34" i="3152"/>
  <c r="H16" i="3155"/>
  <c r="K16" i="3155"/>
  <c r="E9" i="11"/>
  <c r="E44" i="11"/>
  <c r="E46" i="11"/>
  <c r="E63" i="11"/>
  <c r="N16" i="3155"/>
  <c r="C17" i="3155"/>
  <c r="C37" i="3148"/>
  <c r="J37" i="3148"/>
  <c r="D17" i="3155"/>
  <c r="C37" i="3149"/>
  <c r="N37" i="3149"/>
  <c r="E17" i="3155"/>
  <c r="C37" i="3150"/>
  <c r="E37" i="3150"/>
  <c r="F17" i="3155"/>
  <c r="C37" i="3151"/>
  <c r="I37" i="3151"/>
  <c r="G17" i="3155"/>
  <c r="C37" i="3154"/>
  <c r="I37" i="3154"/>
  <c r="J17" i="3155"/>
  <c r="C37" i="3153"/>
  <c r="I37" i="3153"/>
  <c r="I17" i="3155"/>
  <c r="C37" i="3152"/>
  <c r="F37" i="3152"/>
  <c r="H17" i="3155"/>
  <c r="K17" i="3155"/>
  <c r="E16" i="11"/>
  <c r="E43" i="11"/>
  <c r="E90" i="11"/>
  <c r="N17" i="3155"/>
  <c r="C18" i="3155"/>
  <c r="C40" i="3148"/>
  <c r="J40" i="3148"/>
  <c r="D18" i="3155"/>
  <c r="C40" i="3149"/>
  <c r="N40" i="3149"/>
  <c r="E18" i="3155"/>
  <c r="C40" i="3150"/>
  <c r="E40" i="3150"/>
  <c r="F18" i="3155"/>
  <c r="C40" i="3151"/>
  <c r="I40" i="3151"/>
  <c r="G18" i="3155"/>
  <c r="C40" i="3154"/>
  <c r="I40" i="3154"/>
  <c r="J18" i="3155"/>
  <c r="C40" i="3153"/>
  <c r="I40" i="3153"/>
  <c r="I18" i="3155"/>
  <c r="C40" i="3152"/>
  <c r="F40" i="3152"/>
  <c r="H18" i="3155"/>
  <c r="K18" i="3155"/>
  <c r="E85" i="11"/>
  <c r="E96" i="11"/>
  <c r="E123" i="11"/>
  <c r="E135" i="11"/>
  <c r="N18" i="3155"/>
  <c r="C19" i="3155"/>
  <c r="C43" i="3148"/>
  <c r="J43" i="3148"/>
  <c r="D19" i="3155"/>
  <c r="C43" i="3149"/>
  <c r="N43" i="3149"/>
  <c r="E19" i="3155"/>
  <c r="C43" i="3150"/>
  <c r="E43" i="3150"/>
  <c r="F19" i="3155"/>
  <c r="C43" i="3151"/>
  <c r="I43" i="3151"/>
  <c r="G19" i="3155"/>
  <c r="C43" i="3154"/>
  <c r="I43" i="3154"/>
  <c r="J19" i="3155"/>
  <c r="C43" i="3153"/>
  <c r="I43" i="3153"/>
  <c r="I19" i="3155"/>
  <c r="C43" i="3152"/>
  <c r="F43" i="3152"/>
  <c r="H19" i="3155"/>
  <c r="K19" i="3155"/>
  <c r="E72" i="11"/>
  <c r="E82" i="11"/>
  <c r="E93" i="11"/>
  <c r="E108" i="11"/>
  <c r="E124" i="11"/>
  <c r="N19" i="3155"/>
  <c r="C20" i="3155"/>
  <c r="C46" i="3148"/>
  <c r="J46" i="3148"/>
  <c r="D20" i="3155"/>
  <c r="C46" i="3149"/>
  <c r="N46" i="3149"/>
  <c r="E20" i="3155"/>
  <c r="C46" i="3150"/>
  <c r="E46" i="3150"/>
  <c r="F20" i="3155"/>
  <c r="C46" i="3151"/>
  <c r="I46" i="3151"/>
  <c r="G20" i="3155"/>
  <c r="C46" i="3154"/>
  <c r="I46" i="3154"/>
  <c r="J20" i="3155"/>
  <c r="C46" i="3153"/>
  <c r="I46" i="3153"/>
  <c r="I20" i="3155"/>
  <c r="C46" i="3152"/>
  <c r="F46" i="3152"/>
  <c r="H20" i="3155"/>
  <c r="K20" i="3155"/>
  <c r="E30" i="11"/>
  <c r="E61" i="11"/>
  <c r="E138" i="11"/>
  <c r="N20" i="3155"/>
  <c r="C21" i="3155"/>
  <c r="C49" i="3148"/>
  <c r="J49" i="3148"/>
  <c r="D21" i="3155"/>
  <c r="C49" i="3149"/>
  <c r="N49" i="3149"/>
  <c r="E21" i="3155"/>
  <c r="C49" i="3150"/>
  <c r="E49" i="3150"/>
  <c r="F21" i="3155"/>
  <c r="C49" i="3151"/>
  <c r="I49" i="3151"/>
  <c r="G21" i="3155"/>
  <c r="C49" i="3154"/>
  <c r="I49" i="3154"/>
  <c r="J21" i="3155"/>
  <c r="C49" i="3153"/>
  <c r="I49" i="3153"/>
  <c r="I21" i="3155"/>
  <c r="C49" i="3152"/>
  <c r="F49" i="3152"/>
  <c r="H21" i="3155"/>
  <c r="K21" i="3155"/>
  <c r="E27" i="11"/>
  <c r="E118" i="11"/>
  <c r="E126" i="11"/>
  <c r="N21" i="3155"/>
  <c r="C22" i="3155"/>
  <c r="C52" i="3148"/>
  <c r="J52" i="3148"/>
  <c r="D22" i="3155"/>
  <c r="C52" i="3149"/>
  <c r="N52" i="3149"/>
  <c r="E22" i="3155"/>
  <c r="C52" i="3150"/>
  <c r="E52" i="3150"/>
  <c r="F22" i="3155"/>
  <c r="C52" i="3151"/>
  <c r="I52" i="3151"/>
  <c r="G22" i="3155"/>
  <c r="C52" i="3154"/>
  <c r="I52" i="3154"/>
  <c r="J22" i="3155"/>
  <c r="C52" i="3153"/>
  <c r="I52" i="3153"/>
  <c r="I22" i="3155"/>
  <c r="C52" i="3152"/>
  <c r="F52" i="3152"/>
  <c r="H22" i="3155"/>
  <c r="K22" i="3155"/>
  <c r="E18" i="11"/>
  <c r="E62" i="11"/>
  <c r="N22" i="3155"/>
  <c r="C23" i="3155"/>
  <c r="C55" i="3148"/>
  <c r="J55" i="3148"/>
  <c r="D23" i="3155"/>
  <c r="C55" i="3149"/>
  <c r="N55" i="3149"/>
  <c r="E23" i="3155"/>
  <c r="C55" i="3150"/>
  <c r="E55" i="3150"/>
  <c r="F23" i="3155"/>
  <c r="C55" i="3151"/>
  <c r="I55" i="3151"/>
  <c r="G23" i="3155"/>
  <c r="C55" i="3154"/>
  <c r="I55" i="3154"/>
  <c r="J23" i="3155"/>
  <c r="C55" i="3153"/>
  <c r="I55" i="3153"/>
  <c r="I23" i="3155"/>
  <c r="C55" i="3152"/>
  <c r="F55" i="3152"/>
  <c r="H23" i="3155"/>
  <c r="K23" i="3155"/>
  <c r="E5" i="11"/>
  <c r="E53" i="11"/>
  <c r="N23" i="3155"/>
  <c r="C24" i="3155"/>
  <c r="C58" i="3148"/>
  <c r="J58" i="3148"/>
  <c r="D24" i="3155"/>
  <c r="C58" i="3149"/>
  <c r="N58" i="3149"/>
  <c r="E24" i="3155"/>
  <c r="C58" i="3150"/>
  <c r="E58" i="3150"/>
  <c r="F24" i="3155"/>
  <c r="C58" i="3151"/>
  <c r="I58" i="3151"/>
  <c r="G24" i="3155"/>
  <c r="C58" i="3154"/>
  <c r="I58" i="3154"/>
  <c r="J24" i="3155"/>
  <c r="C58" i="3153"/>
  <c r="I58" i="3153"/>
  <c r="I24" i="3155"/>
  <c r="C58" i="3152"/>
  <c r="F58" i="3152"/>
  <c r="H24" i="3155"/>
  <c r="K24" i="3155"/>
  <c r="E55" i="11"/>
  <c r="N24" i="3155"/>
  <c r="C25" i="3155"/>
  <c r="C61" i="3148"/>
  <c r="J61" i="3148"/>
  <c r="D25" i="3155"/>
  <c r="C61" i="3149"/>
  <c r="N61" i="3149"/>
  <c r="E25" i="3155"/>
  <c r="C61" i="3150"/>
  <c r="E61" i="3150"/>
  <c r="F25" i="3155"/>
  <c r="C61" i="3151"/>
  <c r="I61" i="3151"/>
  <c r="G25" i="3155"/>
  <c r="C61" i="3154"/>
  <c r="I61" i="3154"/>
  <c r="J25" i="3155"/>
  <c r="C61" i="3153"/>
  <c r="I61" i="3153"/>
  <c r="I25" i="3155"/>
  <c r="C61" i="3152"/>
  <c r="F61" i="3152"/>
  <c r="H25" i="3155"/>
  <c r="K25" i="3155"/>
  <c r="E22" i="11"/>
  <c r="E51" i="11"/>
  <c r="E75" i="11"/>
  <c r="E106" i="11"/>
  <c r="E122" i="11"/>
  <c r="N25" i="3155"/>
  <c r="C26" i="3155"/>
  <c r="C64" i="3148"/>
  <c r="J64" i="3148"/>
  <c r="D26" i="3155"/>
  <c r="C64" i="3149"/>
  <c r="N64" i="3149"/>
  <c r="E26" i="3155"/>
  <c r="C64" i="3150"/>
  <c r="E64" i="3150"/>
  <c r="F26" i="3155"/>
  <c r="C64" i="3151"/>
  <c r="I64" i="3151"/>
  <c r="G26" i="3155"/>
  <c r="C64" i="3154"/>
  <c r="I64" i="3154"/>
  <c r="J26" i="3155"/>
  <c r="C64" i="3153"/>
  <c r="I64" i="3153"/>
  <c r="I26" i="3155"/>
  <c r="C64" i="3152"/>
  <c r="F64" i="3152"/>
  <c r="H26" i="3155"/>
  <c r="K26" i="3155"/>
  <c r="E91" i="11"/>
  <c r="E125" i="11"/>
  <c r="E145" i="11"/>
  <c r="N26" i="3155"/>
  <c r="C27" i="3155"/>
  <c r="C67" i="3148"/>
  <c r="J67" i="3148"/>
  <c r="D27" i="3155"/>
  <c r="C67" i="3149"/>
  <c r="N67" i="3149"/>
  <c r="E27" i="3155"/>
  <c r="C67" i="3150"/>
  <c r="E67" i="3150"/>
  <c r="F27" i="3155"/>
  <c r="C67" i="3151"/>
  <c r="I67" i="3151"/>
  <c r="G27" i="3155"/>
  <c r="C67" i="3154"/>
  <c r="I67" i="3154"/>
  <c r="J27" i="3155"/>
  <c r="C67" i="3153"/>
  <c r="I67" i="3153"/>
  <c r="I27" i="3155"/>
  <c r="C67" i="3152"/>
  <c r="F67" i="3152"/>
  <c r="H27" i="3155"/>
  <c r="K27" i="3155"/>
  <c r="E113" i="11"/>
  <c r="E165" i="11"/>
  <c r="N27" i="3155"/>
  <c r="C28" i="3155"/>
  <c r="C70" i="3148"/>
  <c r="J70" i="3148"/>
  <c r="D28" i="3155"/>
  <c r="C70" i="3149"/>
  <c r="N70" i="3149"/>
  <c r="E28" i="3155"/>
  <c r="C70" i="3150"/>
  <c r="E70" i="3150"/>
  <c r="F28" i="3155"/>
  <c r="C70" i="3151"/>
  <c r="I70" i="3151"/>
  <c r="G28" i="3155"/>
  <c r="C70" i="3154"/>
  <c r="I70" i="3154"/>
  <c r="J28" i="3155"/>
  <c r="C70" i="3153"/>
  <c r="I70" i="3153"/>
  <c r="I28" i="3155"/>
  <c r="C70" i="3152"/>
  <c r="F70" i="3152"/>
  <c r="H28" i="3155"/>
  <c r="K28" i="3155"/>
  <c r="E65" i="11"/>
  <c r="N28" i="3155"/>
  <c r="C29" i="3155"/>
  <c r="C73" i="3148"/>
  <c r="J73" i="3148"/>
  <c r="D29" i="3155"/>
  <c r="C73" i="3149"/>
  <c r="N73" i="3149"/>
  <c r="E29" i="3155"/>
  <c r="C73" i="3150"/>
  <c r="E73" i="3150"/>
  <c r="F29" i="3155"/>
  <c r="C73" i="3151"/>
  <c r="I73" i="3151"/>
  <c r="G29" i="3155"/>
  <c r="C73" i="3154"/>
  <c r="I73" i="3154"/>
  <c r="J29" i="3155"/>
  <c r="C73" i="3153"/>
  <c r="I73" i="3153"/>
  <c r="I29" i="3155"/>
  <c r="C73" i="3152"/>
  <c r="F73" i="3152"/>
  <c r="H29" i="3155"/>
  <c r="K29" i="3155"/>
  <c r="E17" i="11"/>
  <c r="E49" i="11"/>
  <c r="E59" i="11"/>
  <c r="E98" i="11"/>
  <c r="E114" i="11"/>
  <c r="N29" i="3155"/>
  <c r="L7" i="3155"/>
  <c r="L8" i="3155"/>
  <c r="L9" i="3155"/>
  <c r="L10" i="3155"/>
  <c r="L29" i="3155"/>
  <c r="L28" i="3155"/>
  <c r="L27" i="3155"/>
  <c r="L26" i="3155"/>
  <c r="L25" i="3155"/>
  <c r="L24" i="3155"/>
  <c r="L23" i="3155"/>
  <c r="L22" i="3155"/>
  <c r="L21" i="3155"/>
  <c r="L20" i="3155"/>
  <c r="L19" i="3155"/>
  <c r="L18" i="3155"/>
  <c r="L17" i="3155"/>
  <c r="L16" i="3155"/>
  <c r="L15" i="3155"/>
  <c r="L14" i="3155"/>
  <c r="L13" i="3155"/>
  <c r="L12" i="3155"/>
  <c r="L11" i="3155"/>
  <c r="L30" i="3155"/>
  <c r="G21" i="14"/>
  <c r="D6" i="3155"/>
  <c r="D30" i="3155"/>
  <c r="I21" i="14"/>
  <c r="E6" i="3155"/>
  <c r="E30" i="3155"/>
  <c r="K21" i="14"/>
  <c r="F6" i="3155"/>
  <c r="F30" i="3155"/>
  <c r="M21" i="14"/>
  <c r="G6" i="3155"/>
  <c r="G30" i="3155"/>
  <c r="O21" i="14"/>
  <c r="H6" i="3155"/>
  <c r="H30" i="3155"/>
  <c r="Q21" i="14"/>
  <c r="I6" i="3155"/>
  <c r="I30" i="3155"/>
  <c r="J6" i="3155"/>
  <c r="J30" i="3155"/>
  <c r="M7" i="3155"/>
  <c r="M8" i="3155"/>
  <c r="M9" i="3155"/>
  <c r="M10" i="3155"/>
  <c r="M11" i="3155"/>
  <c r="M12" i="3155"/>
  <c r="M13" i="3155"/>
  <c r="M14" i="3155"/>
  <c r="M15" i="3155"/>
  <c r="M16" i="3155"/>
  <c r="M17" i="3155"/>
  <c r="M18" i="3155"/>
  <c r="M19" i="3155"/>
  <c r="M20" i="3155"/>
  <c r="M21" i="3155"/>
  <c r="M22" i="3155"/>
  <c r="M23" i="3155"/>
  <c r="M24" i="3155"/>
  <c r="M25" i="3155"/>
  <c r="M26" i="3155"/>
  <c r="M27" i="3155"/>
  <c r="M28" i="3155"/>
  <c r="M29" i="3155"/>
  <c r="K6" i="3155"/>
  <c r="M2" i="3155"/>
  <c r="B2" i="3155"/>
  <c r="D6" i="3154"/>
  <c r="D76" i="3154"/>
  <c r="E6" i="3154"/>
  <c r="E76" i="3154"/>
  <c r="F6" i="3154"/>
  <c r="F76" i="3154"/>
  <c r="G6" i="3154"/>
  <c r="G76" i="3154"/>
  <c r="H6" i="3154"/>
  <c r="H76" i="3154"/>
  <c r="I6" i="3154"/>
  <c r="D5" i="3154"/>
  <c r="E5" i="3154"/>
  <c r="F5" i="3154"/>
  <c r="G5" i="3154"/>
  <c r="H5" i="3154"/>
  <c r="I2" i="3154"/>
  <c r="B2" i="3154"/>
  <c r="D6" i="3153"/>
  <c r="D76" i="3153"/>
  <c r="E6" i="3153"/>
  <c r="E76" i="3153"/>
  <c r="F6" i="3153"/>
  <c r="F76" i="3153"/>
  <c r="G6" i="3153"/>
  <c r="G76" i="3153"/>
  <c r="H6" i="3153"/>
  <c r="H76" i="3153"/>
  <c r="I6" i="3153"/>
  <c r="D5" i="3153"/>
  <c r="E5" i="3153"/>
  <c r="F5" i="3153"/>
  <c r="G5" i="3153"/>
  <c r="H5" i="3153"/>
  <c r="I2" i="3153"/>
  <c r="B2" i="3153"/>
  <c r="D6" i="3152"/>
  <c r="D76" i="3152"/>
  <c r="E6" i="3152"/>
  <c r="E76" i="3152"/>
  <c r="F6" i="3152"/>
  <c r="D5" i="3152"/>
  <c r="E5" i="3152"/>
  <c r="F2" i="3152"/>
  <c r="B2" i="3152"/>
  <c r="D6" i="3151"/>
  <c r="D76" i="3151"/>
  <c r="E6" i="3151"/>
  <c r="E76" i="3151"/>
  <c r="F6" i="3151"/>
  <c r="F76" i="3151"/>
  <c r="G6" i="3151"/>
  <c r="G76" i="3151"/>
  <c r="H6" i="3151"/>
  <c r="H76" i="3151"/>
  <c r="I6" i="3151"/>
  <c r="D5" i="3151"/>
  <c r="E5" i="3151"/>
  <c r="F5" i="3151"/>
  <c r="G5" i="3151"/>
  <c r="H5" i="3151"/>
  <c r="I2" i="3151"/>
  <c r="B2" i="3151"/>
  <c r="D6" i="3150"/>
  <c r="D76" i="3150"/>
  <c r="E6" i="3150"/>
  <c r="D5" i="3150"/>
  <c r="E2" i="3150"/>
  <c r="B2" i="3150"/>
  <c r="D6" i="3149"/>
  <c r="D76" i="3149"/>
  <c r="E6" i="3149"/>
  <c r="E76" i="3149"/>
  <c r="F6" i="3149"/>
  <c r="F76" i="3149"/>
  <c r="G6" i="3149"/>
  <c r="G76" i="3149"/>
  <c r="H6" i="3149"/>
  <c r="H76" i="3149"/>
  <c r="I6" i="3149"/>
  <c r="I76" i="3149"/>
  <c r="J6" i="3149"/>
  <c r="J76" i="3149"/>
  <c r="K6" i="3149"/>
  <c r="K76" i="3149"/>
  <c r="L6" i="3149"/>
  <c r="L76" i="3149"/>
  <c r="M6" i="3149"/>
  <c r="M76" i="3149"/>
  <c r="N6" i="3149"/>
  <c r="D5" i="3149"/>
  <c r="E5" i="3149"/>
  <c r="F5" i="3149"/>
  <c r="G5" i="3149"/>
  <c r="H5" i="3149"/>
  <c r="I5" i="3149"/>
  <c r="J5" i="3149"/>
  <c r="K5" i="3149"/>
  <c r="L5" i="3149"/>
  <c r="M5" i="3149"/>
  <c r="N2" i="3149"/>
  <c r="B2" i="3149"/>
  <c r="D6" i="3148"/>
  <c r="D76" i="3148"/>
  <c r="E6" i="3148"/>
  <c r="E76" i="3148"/>
  <c r="F6" i="3148"/>
  <c r="F76" i="3148"/>
  <c r="G6" i="3148"/>
  <c r="G76" i="3148"/>
  <c r="H6" i="3148"/>
  <c r="H76" i="3148"/>
  <c r="I6" i="3148"/>
  <c r="I76" i="3148"/>
  <c r="J6" i="3148"/>
  <c r="D5" i="3148"/>
  <c r="E5" i="3148"/>
  <c r="F5" i="3148"/>
  <c r="G5" i="3148"/>
  <c r="H5" i="3148"/>
  <c r="I5" i="3148"/>
  <c r="J2" i="3148"/>
  <c r="B2" i="3148"/>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55" a="1"/>
  <c r="M30" i="3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<sst xmlns="http://schemas.openxmlformats.org/spreadsheetml/2006/main" count="796" uniqueCount="138">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</sst>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00B050"/>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87">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medium">
        <color indexed="8"/>
      </left>
      <right style="medium">
        <color indexed="8"/>
      </right>
      <top/>
      <bottom style="medium">
        <color indexed="8"/>
      </bottom>
      <diagonal/>
    </border>
    <border>
      <left style="thin">
        <color indexed="8"/>
      </left>
      <right/>
      <top style="medium">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medium">
        <color indexed="8"/>
      </left>
      <right style="thin">
        <color indexed="8"/>
      </right>
      <top style="thin">
        <color indexed="8"/>
      </top>
      <bottom/>
      <diagonal/>
    </border>
    <border>
      <left style="thin">
        <color indexed="8"/>
      </left>
      <right/>
      <top style="medium">
        <color indexed="8"/>
      </top>
      <bottom style="thin">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9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2" fillId="4" borderId="5" xfId="0" applyFont="1" applyFill="1" applyBorder="1" applyAlignment="1">
      <alignment horizontal="center" vertical="center"/>
    </xf>
    <xf numFmtId="0" fontId="12" fillId="4" borderId="23" xfId="0" applyFont="1" applyFill="1" applyBorder="1" applyAlignment="1">
      <alignment horizontal="center" vertical="center"/>
    </xf>
    <xf numFmtId="0" fontId="12" fillId="3" borderId="58" xfId="0" applyFont="1" applyFill="1" applyBorder="1" applyAlignment="1" applyProtection="1">
      <alignment horizontal="center" vertical="center"/>
      <protection locked="0"/>
    </xf>
    <xf numFmtId="0" fontId="4" fillId="13" borderId="61" xfId="0" applyFont="1" applyFill="1" applyBorder="1" applyAlignment="1" applyProtection="1">
      <alignment horizontal="center" vertical="center"/>
      <protection locked="0"/>
    </xf>
    <xf numFmtId="0" fontId="4" fillId="13" borderId="70" xfId="0" applyFont="1" applyFill="1" applyBorder="1" applyAlignment="1" applyProtection="1">
      <alignment horizontal="center" vertical="center"/>
      <protection locked="0"/>
    </xf>
    <xf numFmtId="0" fontId="4" fillId="13" borderId="64" xfId="0" applyFont="1" applyFill="1" applyBorder="1" applyAlignment="1" applyProtection="1">
      <alignment horizontal="center" vertical="center"/>
      <protection locked="0"/>
    </xf>
    <xf numFmtId="0" fontId="4" fillId="13" borderId="71" xfId="0" applyFont="1" applyFill="1" applyBorder="1" applyAlignment="1" applyProtection="1">
      <alignment horizontal="center" vertical="center"/>
      <protection locked="0"/>
    </xf>
    <xf numFmtId="0" fontId="4" fillId="13" borderId="73" xfId="0" applyFont="1" applyFill="1" applyBorder="1" applyAlignment="1" applyProtection="1">
      <alignment horizontal="center" vertical="center"/>
      <protection locked="0"/>
    </xf>
    <xf numFmtId="0" fontId="4" fillId="13" borderId="74"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4" fillId="13" borderId="77" xfId="0" applyFont="1" applyFill="1" applyBorder="1" applyAlignment="1" applyProtection="1">
      <alignment horizontal="center" vertic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0" fillId="12" borderId="28" xfId="0" applyFill="1" applyBorder="1"/>
    <xf numFmtId="0" fontId="0" fillId="12" borderId="0" xfId="0" applyFill="1"/>
    <xf numFmtId="0" fontId="0" fillId="12" borderId="27" xfId="0" applyFill="1" applyBorder="1"/>
    <xf numFmtId="0" fontId="0" fillId="12" borderId="26" xfId="0" applyFill="1" applyBorder="1"/>
    <xf numFmtId="0" fontId="0" fillId="12" borderId="27" xfId="0" applyFill="1" applyBorder="1" applyAlignment="1">
      <alignment horizontal="center"/>
    </xf>
    <xf numFmtId="0" fontId="0" fillId="12" borderId="26"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79" xfId="0" applyFill="1" applyBorder="1"/>
    <xf numFmtId="0" fontId="0" fillId="12" borderId="82" xfId="0" applyFill="1" applyBorder="1"/>
    <xf numFmtId="0" fontId="0" fillId="12" borderId="83" xfId="0" applyFill="1" applyBorder="1"/>
    <xf numFmtId="0" fontId="0" fillId="12" borderId="79" xfId="0" applyFill="1" applyBorder="1" applyAlignment="1">
      <alignment horizontal="center" vertical="center"/>
    </xf>
    <xf numFmtId="0" fontId="0" fillId="12" borderId="27" xfId="0" applyFill="1" applyBorder="1" applyAlignment="1">
      <alignment horizontal="center" vertical="center"/>
    </xf>
    <xf numFmtId="0" fontId="0" fillId="14" borderId="82" xfId="0" applyFill="1" applyBorder="1"/>
    <xf numFmtId="0" fontId="0" fillId="12" borderId="37" xfId="0" applyFill="1" applyBorder="1" applyAlignment="1">
      <alignment horizontal="center" vertical="center"/>
    </xf>
    <xf numFmtId="0" fontId="0" fillId="12" borderId="84"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5" xfId="0" applyFill="1" applyBorder="1"/>
    <xf numFmtId="0" fontId="0" fillId="12" borderId="56" xfId="0" applyFill="1" applyBorder="1" applyAlignment="1">
      <alignment horizontal="center" vertical="center"/>
    </xf>
    <xf numFmtId="0" fontId="0" fillId="14" borderId="85" xfId="0" applyFill="1" applyBorder="1"/>
    <xf numFmtId="0" fontId="0" fillId="14" borderId="56" xfId="0" applyFill="1" applyBorder="1" applyAlignment="1">
      <alignment horizontal="center" vertical="center"/>
    </xf>
    <xf numFmtId="0" fontId="0" fillId="12" borderId="85" xfId="0" applyFill="1" applyBorder="1"/>
    <xf numFmtId="0" fontId="0" fillId="12" borderId="45" xfId="0" applyFill="1" applyBorder="1"/>
    <xf numFmtId="0" fontId="0" fillId="12" borderId="82" xfId="0" applyFill="1" applyBorder="1" applyAlignment="1">
      <alignment horizontal="center" vertical="center"/>
    </xf>
    <xf numFmtId="0" fontId="0" fillId="14" borderId="82" xfId="0" applyFill="1" applyBorder="1" applyAlignment="1">
      <alignment horizontal="center" vertical="center"/>
    </xf>
    <xf numFmtId="0" fontId="0" fillId="14" borderId="27" xfId="0" applyFill="1" applyBorder="1" applyAlignment="1">
      <alignment horizontal="center" vertical="center"/>
    </xf>
    <xf numFmtId="0" fontId="0" fillId="12" borderId="84" xfId="0" applyFill="1" applyBorder="1" applyAlignment="1">
      <alignment horizontal="center" vertical="center"/>
    </xf>
    <xf numFmtId="0" fontId="0" fillId="12" borderId="80" xfId="0" applyFill="1" applyBorder="1" applyAlignment="1">
      <alignment horizontal="center" vertical="center"/>
    </xf>
    <xf numFmtId="0" fontId="0" fillId="14" borderId="81" xfId="0" applyFill="1" applyBorder="1" applyAlignment="1">
      <alignment horizontal="center" vertical="center"/>
    </xf>
    <xf numFmtId="0" fontId="0" fillId="12" borderId="81" xfId="0" applyFill="1" applyBorder="1" applyAlignment="1">
      <alignment horizontal="center" vertical="center"/>
    </xf>
    <xf numFmtId="0" fontId="0" fillId="12" borderId="41" xfId="0" applyFill="1" applyBorder="1" applyAlignment="1">
      <alignment horizontal="center" vertical="center"/>
    </xf>
    <xf numFmtId="0" fontId="4" fillId="10" borderId="0" xfId="0" applyFont="1" applyFill="1"/>
    <xf numFmtId="0" fontId="4" fillId="12" borderId="72" xfId="0" applyFont="1" applyFill="1" applyBorder="1" applyAlignment="1">
      <alignment horizontal="right"/>
    </xf>
    <xf numFmtId="0" fontId="4" fillId="12" borderId="62" xfId="0" applyFont="1" applyFill="1" applyBorder="1" applyAlignment="1">
      <alignment horizontal="center" vertical="center"/>
    </xf>
    <xf numFmtId="0" fontId="4" fillId="12" borderId="78" xfId="0" applyFont="1" applyFill="1" applyBorder="1" applyAlignment="1">
      <alignment horizontal="center" vertical="center"/>
    </xf>
    <xf numFmtId="0" fontId="0" fillId="12" borderId="66" xfId="0" applyFill="1" applyBorder="1" applyAlignment="1">
      <alignment horizontal="center" vertical="center"/>
    </xf>
    <xf numFmtId="0" fontId="4" fillId="12" borderId="60" xfId="0" applyFont="1" applyFill="1" applyBorder="1" applyAlignment="1">
      <alignment horizontal="right"/>
    </xf>
    <xf numFmtId="0" fontId="0" fillId="12" borderId="60" xfId="0" applyFill="1" applyBorder="1"/>
    <xf numFmtId="0" fontId="0" fillId="12" borderId="61" xfId="0" applyFill="1" applyBorder="1"/>
    <xf numFmtId="0" fontId="0" fillId="13" borderId="61" xfId="0" applyFill="1" applyBorder="1" applyAlignment="1" applyProtection="1">
      <alignment horizontal="center" vertical="center"/>
      <protection locked="0"/>
    </xf>
    <xf numFmtId="0" fontId="0" fillId="13" borderId="70" xfId="0" applyFill="1" applyBorder="1" applyAlignment="1" applyProtection="1">
      <alignment horizontal="center" vertical="center"/>
      <protection locked="0"/>
    </xf>
    <xf numFmtId="0" fontId="0" fillId="12" borderId="62" xfId="0" applyFill="1" applyBorder="1" applyAlignment="1">
      <alignment horizontal="center" vertical="center"/>
    </xf>
    <xf numFmtId="0" fontId="4" fillId="14" borderId="72" xfId="0" applyFont="1" applyFill="1" applyBorder="1" applyAlignment="1">
      <alignment horizontal="right"/>
    </xf>
    <xf numFmtId="0" fontId="4" fillId="14" borderId="65" xfId="0" applyFont="1" applyFill="1" applyBorder="1" applyAlignment="1">
      <alignment horizontal="center" vertical="center"/>
    </xf>
    <xf numFmtId="0" fontId="4" fillId="14" borderId="78" xfId="0" applyFont="1" applyFill="1" applyBorder="1" applyAlignment="1">
      <alignment horizontal="center" vertical="center"/>
    </xf>
    <xf numFmtId="0" fontId="4" fillId="14" borderId="63" xfId="0" applyFont="1" applyFill="1" applyBorder="1" applyAlignment="1">
      <alignment horizontal="right"/>
    </xf>
    <xf numFmtId="0" fontId="0" fillId="14" borderId="63" xfId="0" applyFill="1" applyBorder="1"/>
    <xf numFmtId="0" fontId="0" fillId="14" borderId="64" xfId="0" applyFill="1" applyBorder="1"/>
    <xf numFmtId="0" fontId="0" fillId="13" borderId="64" xfId="0" applyFill="1" applyBorder="1" applyAlignment="1" applyProtection="1">
      <alignment horizontal="center" vertical="center"/>
      <protection locked="0"/>
    </xf>
    <xf numFmtId="0" fontId="0" fillId="13" borderId="71" xfId="0" applyFill="1" applyBorder="1" applyAlignment="1" applyProtection="1">
      <alignment horizontal="center" vertical="center"/>
      <protection locked="0"/>
    </xf>
    <xf numFmtId="0" fontId="0" fillId="14" borderId="65" xfId="0" applyFill="1" applyBorder="1" applyAlignment="1">
      <alignment horizontal="center" vertical="center"/>
    </xf>
    <xf numFmtId="0" fontId="0" fillId="12" borderId="67" xfId="0" applyFill="1" applyBorder="1"/>
    <xf numFmtId="0" fontId="0" fillId="12" borderId="68" xfId="0" applyFill="1" applyBorder="1"/>
    <xf numFmtId="0" fontId="0" fillId="13" borderId="68" xfId="0" applyFill="1" applyBorder="1" applyAlignment="1" applyProtection="1">
      <alignment horizontal="center" vertical="center"/>
      <protection locked="0"/>
    </xf>
    <xf numFmtId="0" fontId="0" fillId="13" borderId="69" xfId="0" applyFill="1" applyBorder="1" applyAlignment="1" applyProtection="1">
      <alignment horizontal="center" vertical="center"/>
      <protection locked="0"/>
    </xf>
    <xf numFmtId="0" fontId="4" fillId="12" borderId="75" xfId="0" applyFont="1" applyFill="1" applyBorder="1" applyAlignment="1">
      <alignment horizontal="right"/>
    </xf>
    <xf numFmtId="0" fontId="4" fillId="12" borderId="61" xfId="0" applyFont="1" applyFill="1" applyBorder="1" applyAlignment="1">
      <alignment horizontal="right"/>
    </xf>
    <xf numFmtId="0" fontId="4" fillId="12" borderId="73" xfId="0" applyFont="1" applyFill="1" applyBorder="1" applyAlignment="1">
      <alignment horizontal="right"/>
    </xf>
    <xf numFmtId="0" fontId="4" fillId="14" borderId="64" xfId="0" applyFont="1" applyFill="1" applyBorder="1" applyAlignment="1">
      <alignment horizontal="right"/>
    </xf>
    <xf numFmtId="0" fontId="4" fillId="14" borderId="73" xfId="0" applyFont="1" applyFill="1" applyBorder="1" applyAlignment="1">
      <alignment horizontal="right"/>
    </xf>
    <xf numFmtId="0" fontId="4" fillId="12" borderId="76" xfId="0" applyFont="1" applyFill="1" applyBorder="1" applyAlignment="1">
      <alignment horizontal="right"/>
    </xf>
    <xf numFmtId="0" fontId="0" fillId="12" borderId="61" xfId="0" applyFill="1" applyBorder="1" applyAlignment="1">
      <alignment horizontal="center" vertical="center"/>
    </xf>
    <xf numFmtId="0" fontId="0" fillId="12" borderId="70" xfId="0" applyFill="1" applyBorder="1" applyAlignment="1">
      <alignment horizontal="center" vertical="center"/>
    </xf>
    <xf numFmtId="0" fontId="0" fillId="14" borderId="64" xfId="0" applyFill="1" applyBorder="1" applyAlignment="1">
      <alignment horizontal="center" vertical="center"/>
    </xf>
    <xf numFmtId="0" fontId="0" fillId="14" borderId="71" xfId="0" applyFill="1" applyBorder="1" applyAlignment="1">
      <alignment horizontal="center" vertical="center"/>
    </xf>
    <xf numFmtId="0" fontId="0" fillId="12" borderId="68" xfId="0" applyFill="1" applyBorder="1" applyAlignment="1">
      <alignment horizontal="center" vertical="center"/>
    </xf>
    <xf numFmtId="0" fontId="0" fillId="12" borderId="69" xfId="0" applyFill="1" applyBorder="1" applyAlignment="1">
      <alignment horizontal="center" vertical="center"/>
    </xf>
    <xf numFmtId="0" fontId="4" fillId="12" borderId="61" xfId="0" applyFont="1" applyFill="1" applyBorder="1" applyAlignment="1">
      <alignment horizontal="center" vertical="center"/>
    </xf>
    <xf numFmtId="0" fontId="4" fillId="12" borderId="73"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73" xfId="0" applyFont="1" applyFill="1" applyBorder="1" applyAlignment="1">
      <alignment horizontal="center" vertical="center"/>
    </xf>
    <xf numFmtId="0" fontId="4" fillId="12" borderId="76" xfId="0" applyFont="1" applyFill="1" applyBorder="1" applyAlignment="1">
      <alignment horizontal="center" vertical="center"/>
    </xf>
    <xf numFmtId="0" fontId="4" fillId="12" borderId="70" xfId="0" applyFont="1" applyFill="1" applyBorder="1" applyAlignment="1">
      <alignment horizontal="center" vertical="center"/>
    </xf>
    <xf numFmtId="0" fontId="4" fillId="12" borderId="74" xfId="0" applyFont="1" applyFill="1" applyBorder="1" applyAlignment="1">
      <alignment horizontal="center" vertical="center"/>
    </xf>
    <xf numFmtId="0" fontId="4" fillId="14" borderId="71" xfId="0" applyFont="1" applyFill="1" applyBorder="1" applyAlignment="1">
      <alignment horizontal="center" vertical="center"/>
    </xf>
    <xf numFmtId="0" fontId="4" fillId="14" borderId="74" xfId="0" applyFont="1" applyFill="1" applyBorder="1" applyAlignment="1">
      <alignment horizontal="center" vertical="center"/>
    </xf>
    <xf numFmtId="0" fontId="4" fillId="12" borderId="77" xfId="0" applyFont="1" applyFill="1" applyBorder="1" applyAlignment="1">
      <alignment horizontal="center" vertical="center"/>
    </xf>
    <xf numFmtId="0" fontId="0" fillId="12" borderId="37" xfId="0" applyFill="1" applyBorder="1" applyAlignment="1">
      <alignment horizontal="center"/>
    </xf>
    <xf numFmtId="0" fontId="0" fillId="12" borderId="35" xfId="0" applyFill="1" applyBorder="1" applyAlignment="1">
      <alignment horizontal="center"/>
    </xf>
    <xf numFmtId="0" fontId="0" fillId="12" borderId="34" xfId="0" applyFill="1" applyBorder="1" applyAlignment="1">
      <alignment horizont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1" fontId="0" fillId="12" borderId="27" xfId="0" applyNumberFormat="1" applyFill="1" applyBorder="1" applyAlignment="1">
      <alignment horizontal="center"/>
    </xf>
    <xf numFmtId="0" fontId="0" fillId="12" borderId="44" xfId="0" applyFill="1" applyBorder="1"/>
    <xf numFmtId="0" fontId="0" fillId="12" borderId="43" xfId="0" applyFill="1" applyBorder="1"/>
    <xf numFmtId="0" fontId="0" fillId="12" borderId="86" xfId="0" applyFill="1" applyBorder="1"/>
    <xf numFmtId="0" fontId="0" fillId="12" borderId="34" xfId="0" applyFill="1" applyBorder="1" applyAlignment="1">
      <alignment horizontal="center" wrapText="1"/>
    </xf>
    <xf numFmtId="0" fontId="2" fillId="13" borderId="38" xfId="0" applyFont="1" applyFill="1" applyBorder="1" applyAlignment="1" applyProtection="1">
      <alignment horizontal="center" vertical="center"/>
      <protection locked="0"/>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49" fontId="4" fillId="4" borderId="4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181" name="Cross_D13">
          <a:extLst>
            <a:ext uri="{FF2B5EF4-FFF2-40B4-BE49-F238E27FC236}">
              <a16:creationId xmlns:a16="http://schemas.microsoft.com/office/drawing/2014/main" id="{ABCA5F68-9923-9E11-CC63-0281EA9679CA}"/>
            </a:ext>
          </a:extLst>
        </xdr:cNvPr>
        <xdr:cNvGrpSpPr/>
      </xdr:nvGrpSpPr>
      <xdr:grpSpPr>
        <a:xfrm>
          <a:off x="2240280" y="2499360"/>
          <a:ext cx="601980" cy="228600"/>
          <a:chOff x="2240280" y="2499360"/>
          <a:chExt cx="601980" cy="228600"/>
        </a:xfrm>
      </xdr:grpSpPr>
      <xdr:cxnSp macro="">
        <xdr:nvCxnSpPr>
          <xdr:cNvPr id="179" name="Gerader Verbinder 178">
            <a:extLst>
              <a:ext uri="{FF2B5EF4-FFF2-40B4-BE49-F238E27FC236}">
                <a16:creationId xmlns:a16="http://schemas.microsoft.com/office/drawing/2014/main" id="{7790C141-133B-D096-F6F7-73FD44B33C81}"/>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DCBF2DD9-75DD-D9FB-E233-B557997B7878}"/>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84" name="Cross_D14">
          <a:extLst>
            <a:ext uri="{FF2B5EF4-FFF2-40B4-BE49-F238E27FC236}">
              <a16:creationId xmlns:a16="http://schemas.microsoft.com/office/drawing/2014/main" id="{8475B61E-88E1-D0D8-A4E7-24B15AFD354D}"/>
            </a:ext>
          </a:extLst>
        </xdr:cNvPr>
        <xdr:cNvGrpSpPr/>
      </xdr:nvGrpSpPr>
      <xdr:grpSpPr>
        <a:xfrm>
          <a:off x="2240280" y="2727960"/>
          <a:ext cx="601980" cy="167640"/>
          <a:chOff x="2240280" y="2727960"/>
          <a:chExt cx="601980" cy="167640"/>
        </a:xfrm>
      </xdr:grpSpPr>
      <xdr:cxnSp macro="">
        <xdr:nvCxnSpPr>
          <xdr:cNvPr id="182" name="Gerader Verbinder 181">
            <a:extLst>
              <a:ext uri="{FF2B5EF4-FFF2-40B4-BE49-F238E27FC236}">
                <a16:creationId xmlns:a16="http://schemas.microsoft.com/office/drawing/2014/main" id="{931B0295-DAC6-99EE-332C-B0762BA57C8B}"/>
              </a:ext>
            </a:extLst>
          </xdr:cNvPr>
          <xdr:cNvCxnSpPr/>
        </xdr:nvCxnSpPr>
        <xdr:spPr>
          <a:xfrm>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 name="Gerader Verbinder 182">
            <a:extLst>
              <a:ext uri="{FF2B5EF4-FFF2-40B4-BE49-F238E27FC236}">
                <a16:creationId xmlns:a16="http://schemas.microsoft.com/office/drawing/2014/main" id="{34D4F61F-963D-2739-275E-E9DB02F48C18}"/>
              </a:ext>
            </a:extLst>
          </xdr:cNvPr>
          <xdr:cNvCxnSpPr/>
        </xdr:nvCxnSpPr>
        <xdr:spPr>
          <a:xfrm flipH="1">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187" name="Cross_D15">
          <a:extLst>
            <a:ext uri="{FF2B5EF4-FFF2-40B4-BE49-F238E27FC236}">
              <a16:creationId xmlns:a16="http://schemas.microsoft.com/office/drawing/2014/main" id="{447C7FBA-F229-0314-39AA-BAEEC4A29EBF}"/>
            </a:ext>
          </a:extLst>
        </xdr:cNvPr>
        <xdr:cNvGrpSpPr/>
      </xdr:nvGrpSpPr>
      <xdr:grpSpPr>
        <a:xfrm>
          <a:off x="2240280" y="2895600"/>
          <a:ext cx="601980" cy="167640"/>
          <a:chOff x="2240280" y="2895600"/>
          <a:chExt cx="601980" cy="167640"/>
        </a:xfrm>
      </xdr:grpSpPr>
      <xdr:cxnSp macro="">
        <xdr:nvCxnSpPr>
          <xdr:cNvPr id="185" name="Gerader Verbinder 184">
            <a:extLst>
              <a:ext uri="{FF2B5EF4-FFF2-40B4-BE49-F238E27FC236}">
                <a16:creationId xmlns:a16="http://schemas.microsoft.com/office/drawing/2014/main" id="{2C47FD08-291C-A520-3AC3-4A9B6321F47C}"/>
              </a:ext>
            </a:extLst>
          </xdr:cNvPr>
          <xdr:cNvCxnSpPr/>
        </xdr:nvCxnSpPr>
        <xdr:spPr>
          <a:xfrm>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 name="Gerader Verbinder 185">
            <a:extLst>
              <a:ext uri="{FF2B5EF4-FFF2-40B4-BE49-F238E27FC236}">
                <a16:creationId xmlns:a16="http://schemas.microsoft.com/office/drawing/2014/main" id="{21F25951-963C-8E12-2C50-AF470A58F4BE}"/>
              </a:ext>
            </a:extLst>
          </xdr:cNvPr>
          <xdr:cNvCxnSpPr/>
        </xdr:nvCxnSpPr>
        <xdr:spPr>
          <a:xfrm flipH="1">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90" name="Cross_D22">
          <a:extLst>
            <a:ext uri="{FF2B5EF4-FFF2-40B4-BE49-F238E27FC236}">
              <a16:creationId xmlns:a16="http://schemas.microsoft.com/office/drawing/2014/main" id="{123AE3E2-C975-3486-B51D-76597B08A5E0}"/>
            </a:ext>
          </a:extLst>
        </xdr:cNvPr>
        <xdr:cNvGrpSpPr/>
      </xdr:nvGrpSpPr>
      <xdr:grpSpPr>
        <a:xfrm>
          <a:off x="2240280" y="4191000"/>
          <a:ext cx="601980" cy="228600"/>
          <a:chOff x="2240280" y="4191000"/>
          <a:chExt cx="601980" cy="228600"/>
        </a:xfrm>
      </xdr:grpSpPr>
      <xdr:cxnSp macro="">
        <xdr:nvCxnSpPr>
          <xdr:cNvPr id="188" name="Gerader Verbinder 187">
            <a:extLst>
              <a:ext uri="{FF2B5EF4-FFF2-40B4-BE49-F238E27FC236}">
                <a16:creationId xmlns:a16="http://schemas.microsoft.com/office/drawing/2014/main" id="{7EC2DFDB-A791-BE5C-1011-AB829F921C43}"/>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 name="Gerader Verbinder 188">
            <a:extLst>
              <a:ext uri="{FF2B5EF4-FFF2-40B4-BE49-F238E27FC236}">
                <a16:creationId xmlns:a16="http://schemas.microsoft.com/office/drawing/2014/main" id="{F0FA54C5-80B3-67C3-F637-B04FA4B0EB6E}"/>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193" name="Cross_D23">
          <a:extLst>
            <a:ext uri="{FF2B5EF4-FFF2-40B4-BE49-F238E27FC236}">
              <a16:creationId xmlns:a16="http://schemas.microsoft.com/office/drawing/2014/main" id="{1C0821D6-2A16-1656-912F-AD92C2C99DE6}"/>
            </a:ext>
          </a:extLst>
        </xdr:cNvPr>
        <xdr:cNvGrpSpPr/>
      </xdr:nvGrpSpPr>
      <xdr:grpSpPr>
        <a:xfrm>
          <a:off x="2240280" y="4419600"/>
          <a:ext cx="601980" cy="167640"/>
          <a:chOff x="2240280" y="4419600"/>
          <a:chExt cx="601980" cy="167640"/>
        </a:xfrm>
      </xdr:grpSpPr>
      <xdr:cxnSp macro="">
        <xdr:nvCxnSpPr>
          <xdr:cNvPr id="191" name="Gerader Verbinder 190">
            <a:extLst>
              <a:ext uri="{FF2B5EF4-FFF2-40B4-BE49-F238E27FC236}">
                <a16:creationId xmlns:a16="http://schemas.microsoft.com/office/drawing/2014/main" id="{D355398E-502E-676C-560E-CDBBB9712377}"/>
              </a:ext>
            </a:extLst>
          </xdr:cNvPr>
          <xdr:cNvCxnSpPr/>
        </xdr:nvCxnSpPr>
        <xdr:spPr>
          <a:xfrm>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 name="Gerader Verbinder 191">
            <a:extLst>
              <a:ext uri="{FF2B5EF4-FFF2-40B4-BE49-F238E27FC236}">
                <a16:creationId xmlns:a16="http://schemas.microsoft.com/office/drawing/2014/main" id="{B162AECD-7BD9-5009-AE7A-FFDDAA45AD0C}"/>
              </a:ext>
            </a:extLst>
          </xdr:cNvPr>
          <xdr:cNvCxnSpPr/>
        </xdr:nvCxnSpPr>
        <xdr:spPr>
          <a:xfrm flipH="1">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96" name="Cross_D24">
          <a:extLst>
            <a:ext uri="{FF2B5EF4-FFF2-40B4-BE49-F238E27FC236}">
              <a16:creationId xmlns:a16="http://schemas.microsoft.com/office/drawing/2014/main" id="{B24AADB7-D39F-CD35-8185-FA10D6E2906E}"/>
            </a:ext>
          </a:extLst>
        </xdr:cNvPr>
        <xdr:cNvGrpSpPr/>
      </xdr:nvGrpSpPr>
      <xdr:grpSpPr>
        <a:xfrm>
          <a:off x="2240280" y="4587240"/>
          <a:ext cx="601980" cy="167640"/>
          <a:chOff x="2240280" y="4587240"/>
          <a:chExt cx="601980" cy="167640"/>
        </a:xfrm>
      </xdr:grpSpPr>
      <xdr:cxnSp macro="">
        <xdr:nvCxnSpPr>
          <xdr:cNvPr id="194" name="Gerader Verbinder 193">
            <a:extLst>
              <a:ext uri="{FF2B5EF4-FFF2-40B4-BE49-F238E27FC236}">
                <a16:creationId xmlns:a16="http://schemas.microsoft.com/office/drawing/2014/main" id="{6CEA330D-6B7E-E053-8EDC-9589BFA70DAA}"/>
              </a:ext>
            </a:extLst>
          </xdr:cNvPr>
          <xdr:cNvCxnSpPr/>
        </xdr:nvCxnSpPr>
        <xdr:spPr>
          <a:xfrm>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 name="Gerader Verbinder 194">
            <a:extLst>
              <a:ext uri="{FF2B5EF4-FFF2-40B4-BE49-F238E27FC236}">
                <a16:creationId xmlns:a16="http://schemas.microsoft.com/office/drawing/2014/main" id="{E6287BA7-C8B0-9147-91FF-5DB2A988EBF0}"/>
              </a:ext>
            </a:extLst>
          </xdr:cNvPr>
          <xdr:cNvCxnSpPr/>
        </xdr:nvCxnSpPr>
        <xdr:spPr>
          <a:xfrm flipH="1">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199" name="Cross_D25">
          <a:extLst>
            <a:ext uri="{FF2B5EF4-FFF2-40B4-BE49-F238E27FC236}">
              <a16:creationId xmlns:a16="http://schemas.microsoft.com/office/drawing/2014/main" id="{17F0C127-71E3-1E60-5063-35B05BB07C7F}"/>
            </a:ext>
          </a:extLst>
        </xdr:cNvPr>
        <xdr:cNvGrpSpPr/>
      </xdr:nvGrpSpPr>
      <xdr:grpSpPr>
        <a:xfrm>
          <a:off x="2240280" y="4754880"/>
          <a:ext cx="601980" cy="228600"/>
          <a:chOff x="2240280" y="4754880"/>
          <a:chExt cx="601980" cy="228600"/>
        </a:xfrm>
      </xdr:grpSpPr>
      <xdr:cxnSp macro="">
        <xdr:nvCxnSpPr>
          <xdr:cNvPr id="197" name="Gerader Verbinder 196">
            <a:extLst>
              <a:ext uri="{FF2B5EF4-FFF2-40B4-BE49-F238E27FC236}">
                <a16:creationId xmlns:a16="http://schemas.microsoft.com/office/drawing/2014/main" id="{A61FDC42-8BFE-BD4F-74D8-7CC8657B74D4}"/>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 name="Gerader Verbinder 197">
            <a:extLst>
              <a:ext uri="{FF2B5EF4-FFF2-40B4-BE49-F238E27FC236}">
                <a16:creationId xmlns:a16="http://schemas.microsoft.com/office/drawing/2014/main" id="{8CB44C2D-154F-D325-4CD8-5FF966996380}"/>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202" name="Cross_D26">
          <a:extLst>
            <a:ext uri="{FF2B5EF4-FFF2-40B4-BE49-F238E27FC236}">
              <a16:creationId xmlns:a16="http://schemas.microsoft.com/office/drawing/2014/main" id="{488BC63A-31D0-B9A3-1AA4-5718B73C7114}"/>
            </a:ext>
          </a:extLst>
        </xdr:cNvPr>
        <xdr:cNvGrpSpPr/>
      </xdr:nvGrpSpPr>
      <xdr:grpSpPr>
        <a:xfrm>
          <a:off x="2240280" y="4983480"/>
          <a:ext cx="601980" cy="167640"/>
          <a:chOff x="2240280" y="4983480"/>
          <a:chExt cx="601980" cy="167640"/>
        </a:xfrm>
      </xdr:grpSpPr>
      <xdr:cxnSp macro="">
        <xdr:nvCxnSpPr>
          <xdr:cNvPr id="200" name="Gerader Verbinder 199">
            <a:extLst>
              <a:ext uri="{FF2B5EF4-FFF2-40B4-BE49-F238E27FC236}">
                <a16:creationId xmlns:a16="http://schemas.microsoft.com/office/drawing/2014/main" id="{062613BA-92F9-FE32-1260-1A128576EB40}"/>
              </a:ext>
            </a:extLst>
          </xdr:cNvPr>
          <xdr:cNvCxnSpPr/>
        </xdr:nvCxnSpPr>
        <xdr:spPr>
          <a:xfrm>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 name="Gerader Verbinder 200">
            <a:extLst>
              <a:ext uri="{FF2B5EF4-FFF2-40B4-BE49-F238E27FC236}">
                <a16:creationId xmlns:a16="http://schemas.microsoft.com/office/drawing/2014/main" id="{1E5FC08D-D0CE-5D53-F753-6D082105354C}"/>
              </a:ext>
            </a:extLst>
          </xdr:cNvPr>
          <xdr:cNvCxnSpPr/>
        </xdr:nvCxnSpPr>
        <xdr:spPr>
          <a:xfrm flipH="1">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205" name="Cross_D27">
          <a:extLst>
            <a:ext uri="{FF2B5EF4-FFF2-40B4-BE49-F238E27FC236}">
              <a16:creationId xmlns:a16="http://schemas.microsoft.com/office/drawing/2014/main" id="{6BE79CD8-B312-F02D-5FE2-0B8E4C614655}"/>
            </a:ext>
          </a:extLst>
        </xdr:cNvPr>
        <xdr:cNvGrpSpPr/>
      </xdr:nvGrpSpPr>
      <xdr:grpSpPr>
        <a:xfrm>
          <a:off x="2240280" y="5151120"/>
          <a:ext cx="601980" cy="167640"/>
          <a:chOff x="2240280" y="5151120"/>
          <a:chExt cx="601980" cy="167640"/>
        </a:xfrm>
      </xdr:grpSpPr>
      <xdr:cxnSp macro="">
        <xdr:nvCxnSpPr>
          <xdr:cNvPr id="203" name="Gerader Verbinder 202">
            <a:extLst>
              <a:ext uri="{FF2B5EF4-FFF2-40B4-BE49-F238E27FC236}">
                <a16:creationId xmlns:a16="http://schemas.microsoft.com/office/drawing/2014/main" id="{DEB83B99-ED56-7E33-6310-622F082C2428}"/>
              </a:ext>
            </a:extLst>
          </xdr:cNvPr>
          <xdr:cNvCxnSpPr/>
        </xdr:nvCxnSpPr>
        <xdr:spPr>
          <a:xfrm>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4" name="Gerader Verbinder 203">
            <a:extLst>
              <a:ext uri="{FF2B5EF4-FFF2-40B4-BE49-F238E27FC236}">
                <a16:creationId xmlns:a16="http://schemas.microsoft.com/office/drawing/2014/main" id="{C689D0D8-5521-7508-170C-997B51847139}"/>
              </a:ext>
            </a:extLst>
          </xdr:cNvPr>
          <xdr:cNvCxnSpPr/>
        </xdr:nvCxnSpPr>
        <xdr:spPr>
          <a:xfrm flipH="1">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208" name="Cross_D28">
          <a:extLst>
            <a:ext uri="{FF2B5EF4-FFF2-40B4-BE49-F238E27FC236}">
              <a16:creationId xmlns:a16="http://schemas.microsoft.com/office/drawing/2014/main" id="{914CD665-9E9F-3911-69D0-136E22930330}"/>
            </a:ext>
          </a:extLst>
        </xdr:cNvPr>
        <xdr:cNvGrpSpPr/>
      </xdr:nvGrpSpPr>
      <xdr:grpSpPr>
        <a:xfrm>
          <a:off x="2240280" y="5318760"/>
          <a:ext cx="601980" cy="228600"/>
          <a:chOff x="2240280" y="5318760"/>
          <a:chExt cx="601980" cy="228600"/>
        </a:xfrm>
      </xdr:grpSpPr>
      <xdr:cxnSp macro="">
        <xdr:nvCxnSpPr>
          <xdr:cNvPr id="206" name="Gerader Verbinder 205">
            <a:extLst>
              <a:ext uri="{FF2B5EF4-FFF2-40B4-BE49-F238E27FC236}">
                <a16:creationId xmlns:a16="http://schemas.microsoft.com/office/drawing/2014/main" id="{E4327D69-A727-0009-792B-3CDAC8C0C041}"/>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7" name="Gerader Verbinder 206">
            <a:extLst>
              <a:ext uri="{FF2B5EF4-FFF2-40B4-BE49-F238E27FC236}">
                <a16:creationId xmlns:a16="http://schemas.microsoft.com/office/drawing/2014/main" id="{8A3C4048-B21D-6426-FDD3-954379B16B6C}"/>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211" name="Cross_D29">
          <a:extLst>
            <a:ext uri="{FF2B5EF4-FFF2-40B4-BE49-F238E27FC236}">
              <a16:creationId xmlns:a16="http://schemas.microsoft.com/office/drawing/2014/main" id="{F932B1A3-15A0-9569-EEC5-4BA1A0005BED}"/>
            </a:ext>
          </a:extLst>
        </xdr:cNvPr>
        <xdr:cNvGrpSpPr/>
      </xdr:nvGrpSpPr>
      <xdr:grpSpPr>
        <a:xfrm>
          <a:off x="2240280" y="5547360"/>
          <a:ext cx="601980" cy="167640"/>
          <a:chOff x="2240280" y="5547360"/>
          <a:chExt cx="601980" cy="167640"/>
        </a:xfrm>
      </xdr:grpSpPr>
      <xdr:cxnSp macro="">
        <xdr:nvCxnSpPr>
          <xdr:cNvPr id="209" name="Gerader Verbinder 208">
            <a:extLst>
              <a:ext uri="{FF2B5EF4-FFF2-40B4-BE49-F238E27FC236}">
                <a16:creationId xmlns:a16="http://schemas.microsoft.com/office/drawing/2014/main" id="{E142A95B-6CDD-12DF-1316-9AC63B1E639D}"/>
              </a:ext>
            </a:extLst>
          </xdr:cNvPr>
          <xdr:cNvCxnSpPr/>
        </xdr:nvCxnSpPr>
        <xdr:spPr>
          <a:xfrm>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0" name="Gerader Verbinder 209">
            <a:extLst>
              <a:ext uri="{FF2B5EF4-FFF2-40B4-BE49-F238E27FC236}">
                <a16:creationId xmlns:a16="http://schemas.microsoft.com/office/drawing/2014/main" id="{D053689B-69D1-2DB4-8C28-AE147D1979B9}"/>
              </a:ext>
            </a:extLst>
          </xdr:cNvPr>
          <xdr:cNvCxnSpPr/>
        </xdr:nvCxnSpPr>
        <xdr:spPr>
          <a:xfrm flipH="1">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214" name="Cross_D30">
          <a:extLst>
            <a:ext uri="{FF2B5EF4-FFF2-40B4-BE49-F238E27FC236}">
              <a16:creationId xmlns:a16="http://schemas.microsoft.com/office/drawing/2014/main" id="{33B28354-89C4-AC6E-0283-C8016361494C}"/>
            </a:ext>
          </a:extLst>
        </xdr:cNvPr>
        <xdr:cNvGrpSpPr/>
      </xdr:nvGrpSpPr>
      <xdr:grpSpPr>
        <a:xfrm>
          <a:off x="2240280" y="5715000"/>
          <a:ext cx="601980" cy="167640"/>
          <a:chOff x="2240280" y="5715000"/>
          <a:chExt cx="601980" cy="167640"/>
        </a:xfrm>
      </xdr:grpSpPr>
      <xdr:cxnSp macro="">
        <xdr:nvCxnSpPr>
          <xdr:cNvPr id="212" name="Gerader Verbinder 211">
            <a:extLst>
              <a:ext uri="{FF2B5EF4-FFF2-40B4-BE49-F238E27FC236}">
                <a16:creationId xmlns:a16="http://schemas.microsoft.com/office/drawing/2014/main" id="{E3D2A7FF-CEA5-4365-6E0D-969F3031151E}"/>
              </a:ext>
            </a:extLst>
          </xdr:cNvPr>
          <xdr:cNvCxnSpPr/>
        </xdr:nvCxnSpPr>
        <xdr:spPr>
          <a:xfrm>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3" name="Gerader Verbinder 212">
            <a:extLst>
              <a:ext uri="{FF2B5EF4-FFF2-40B4-BE49-F238E27FC236}">
                <a16:creationId xmlns:a16="http://schemas.microsoft.com/office/drawing/2014/main" id="{61DA37B7-6498-A462-C5CD-A186227A69DE}"/>
              </a:ext>
            </a:extLst>
          </xdr:cNvPr>
          <xdr:cNvCxnSpPr/>
        </xdr:nvCxnSpPr>
        <xdr:spPr>
          <a:xfrm flipH="1">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217" name="Cross_D34">
          <a:extLst>
            <a:ext uri="{FF2B5EF4-FFF2-40B4-BE49-F238E27FC236}">
              <a16:creationId xmlns:a16="http://schemas.microsoft.com/office/drawing/2014/main" id="{E36845B5-5C1A-B1D8-278E-12BE7E3ABB6C}"/>
            </a:ext>
          </a:extLst>
        </xdr:cNvPr>
        <xdr:cNvGrpSpPr/>
      </xdr:nvGrpSpPr>
      <xdr:grpSpPr>
        <a:xfrm>
          <a:off x="2240280" y="6446520"/>
          <a:ext cx="601980" cy="228600"/>
          <a:chOff x="2240280" y="6446520"/>
          <a:chExt cx="601980" cy="228600"/>
        </a:xfrm>
      </xdr:grpSpPr>
      <xdr:cxnSp macro="">
        <xdr:nvCxnSpPr>
          <xdr:cNvPr id="215" name="Gerader Verbinder 214">
            <a:extLst>
              <a:ext uri="{FF2B5EF4-FFF2-40B4-BE49-F238E27FC236}">
                <a16:creationId xmlns:a16="http://schemas.microsoft.com/office/drawing/2014/main" id="{C16A52B5-87FC-631B-D899-3266C47FF6C7}"/>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6" name="Gerader Verbinder 215">
            <a:extLst>
              <a:ext uri="{FF2B5EF4-FFF2-40B4-BE49-F238E27FC236}">
                <a16:creationId xmlns:a16="http://schemas.microsoft.com/office/drawing/2014/main" id="{D4F3907B-F16C-98BD-AE60-52D9C85E30CB}"/>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220" name="Cross_D35">
          <a:extLst>
            <a:ext uri="{FF2B5EF4-FFF2-40B4-BE49-F238E27FC236}">
              <a16:creationId xmlns:a16="http://schemas.microsoft.com/office/drawing/2014/main" id="{06E91121-42E5-BC08-1EDA-0C40AEF2B174}"/>
            </a:ext>
          </a:extLst>
        </xdr:cNvPr>
        <xdr:cNvGrpSpPr/>
      </xdr:nvGrpSpPr>
      <xdr:grpSpPr>
        <a:xfrm>
          <a:off x="2240280" y="6675120"/>
          <a:ext cx="601980" cy="167640"/>
          <a:chOff x="2240280" y="6675120"/>
          <a:chExt cx="601980" cy="167640"/>
        </a:xfrm>
      </xdr:grpSpPr>
      <xdr:cxnSp macro="">
        <xdr:nvCxnSpPr>
          <xdr:cNvPr id="218" name="Gerader Verbinder 217">
            <a:extLst>
              <a:ext uri="{FF2B5EF4-FFF2-40B4-BE49-F238E27FC236}">
                <a16:creationId xmlns:a16="http://schemas.microsoft.com/office/drawing/2014/main" id="{97B341CE-FF68-114B-4733-6FDB5244D77A}"/>
              </a:ext>
            </a:extLst>
          </xdr:cNvPr>
          <xdr:cNvCxnSpPr/>
        </xdr:nvCxnSpPr>
        <xdr:spPr>
          <a:xfrm>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9" name="Gerader Verbinder 218">
            <a:extLst>
              <a:ext uri="{FF2B5EF4-FFF2-40B4-BE49-F238E27FC236}">
                <a16:creationId xmlns:a16="http://schemas.microsoft.com/office/drawing/2014/main" id="{1E8E751F-09D2-2EDF-AB9B-28A66F7ECFBF}"/>
              </a:ext>
            </a:extLst>
          </xdr:cNvPr>
          <xdr:cNvCxnSpPr/>
        </xdr:nvCxnSpPr>
        <xdr:spPr>
          <a:xfrm flipH="1">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223" name="Cross_D36">
          <a:extLst>
            <a:ext uri="{FF2B5EF4-FFF2-40B4-BE49-F238E27FC236}">
              <a16:creationId xmlns:a16="http://schemas.microsoft.com/office/drawing/2014/main" id="{E6DB487D-6942-CF34-A434-EEA19D61AD80}"/>
            </a:ext>
          </a:extLst>
        </xdr:cNvPr>
        <xdr:cNvGrpSpPr/>
      </xdr:nvGrpSpPr>
      <xdr:grpSpPr>
        <a:xfrm>
          <a:off x="2240280" y="6842760"/>
          <a:ext cx="601980" cy="167640"/>
          <a:chOff x="2240280" y="6842760"/>
          <a:chExt cx="601980" cy="167640"/>
        </a:xfrm>
      </xdr:grpSpPr>
      <xdr:cxnSp macro="">
        <xdr:nvCxnSpPr>
          <xdr:cNvPr id="221" name="Gerader Verbinder 220">
            <a:extLst>
              <a:ext uri="{FF2B5EF4-FFF2-40B4-BE49-F238E27FC236}">
                <a16:creationId xmlns:a16="http://schemas.microsoft.com/office/drawing/2014/main" id="{5924F47C-3E39-5387-5431-69D707655260}"/>
              </a:ext>
            </a:extLst>
          </xdr:cNvPr>
          <xdr:cNvCxnSpPr/>
        </xdr:nvCxnSpPr>
        <xdr:spPr>
          <a:xfrm>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2" name="Gerader Verbinder 221">
            <a:extLst>
              <a:ext uri="{FF2B5EF4-FFF2-40B4-BE49-F238E27FC236}">
                <a16:creationId xmlns:a16="http://schemas.microsoft.com/office/drawing/2014/main" id="{0EA9FF01-18F5-950D-EDCC-CD5B121005D4}"/>
              </a:ext>
            </a:extLst>
          </xdr:cNvPr>
          <xdr:cNvCxnSpPr/>
        </xdr:nvCxnSpPr>
        <xdr:spPr>
          <a:xfrm flipH="1">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226" name="Cross_D46">
          <a:extLst>
            <a:ext uri="{FF2B5EF4-FFF2-40B4-BE49-F238E27FC236}">
              <a16:creationId xmlns:a16="http://schemas.microsoft.com/office/drawing/2014/main" id="{E18C853F-314D-676A-0E32-8F4638D0CEEE}"/>
            </a:ext>
          </a:extLst>
        </xdr:cNvPr>
        <xdr:cNvGrpSpPr/>
      </xdr:nvGrpSpPr>
      <xdr:grpSpPr>
        <a:xfrm>
          <a:off x="2240280" y="8702040"/>
          <a:ext cx="601980" cy="228600"/>
          <a:chOff x="2240280" y="8702040"/>
          <a:chExt cx="601980" cy="228600"/>
        </a:xfrm>
      </xdr:grpSpPr>
      <xdr:cxnSp macro="">
        <xdr:nvCxnSpPr>
          <xdr:cNvPr id="224" name="Gerader Verbinder 223">
            <a:extLst>
              <a:ext uri="{FF2B5EF4-FFF2-40B4-BE49-F238E27FC236}">
                <a16:creationId xmlns:a16="http://schemas.microsoft.com/office/drawing/2014/main" id="{C091FB20-AE16-61C9-23C1-469452B33CD5}"/>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5" name="Gerader Verbinder 224">
            <a:extLst>
              <a:ext uri="{FF2B5EF4-FFF2-40B4-BE49-F238E27FC236}">
                <a16:creationId xmlns:a16="http://schemas.microsoft.com/office/drawing/2014/main" id="{33D487C2-78BF-BAC4-42AF-C29CC441B2D6}"/>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229" name="Cross_D47">
          <a:extLst>
            <a:ext uri="{FF2B5EF4-FFF2-40B4-BE49-F238E27FC236}">
              <a16:creationId xmlns:a16="http://schemas.microsoft.com/office/drawing/2014/main" id="{2E88DBF9-7F3A-2CCF-5AEE-894D5125A8F7}"/>
            </a:ext>
          </a:extLst>
        </xdr:cNvPr>
        <xdr:cNvGrpSpPr/>
      </xdr:nvGrpSpPr>
      <xdr:grpSpPr>
        <a:xfrm>
          <a:off x="2240280" y="8930640"/>
          <a:ext cx="601980" cy="167640"/>
          <a:chOff x="2240280" y="8930640"/>
          <a:chExt cx="601980" cy="167640"/>
        </a:xfrm>
      </xdr:grpSpPr>
      <xdr:cxnSp macro="">
        <xdr:nvCxnSpPr>
          <xdr:cNvPr id="227" name="Gerader Verbinder 226">
            <a:extLst>
              <a:ext uri="{FF2B5EF4-FFF2-40B4-BE49-F238E27FC236}">
                <a16:creationId xmlns:a16="http://schemas.microsoft.com/office/drawing/2014/main" id="{57E76E06-5ABB-21F8-67CE-EA6E9622B936}"/>
              </a:ext>
            </a:extLst>
          </xdr:cNvPr>
          <xdr:cNvCxnSpPr/>
        </xdr:nvCxnSpPr>
        <xdr:spPr>
          <a:xfrm>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8" name="Gerader Verbinder 227">
            <a:extLst>
              <a:ext uri="{FF2B5EF4-FFF2-40B4-BE49-F238E27FC236}">
                <a16:creationId xmlns:a16="http://schemas.microsoft.com/office/drawing/2014/main" id="{023AC804-EB56-E81A-3E95-59644757567C}"/>
              </a:ext>
            </a:extLst>
          </xdr:cNvPr>
          <xdr:cNvCxnSpPr/>
        </xdr:nvCxnSpPr>
        <xdr:spPr>
          <a:xfrm flipH="1">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232" name="Cross_D48">
          <a:extLst>
            <a:ext uri="{FF2B5EF4-FFF2-40B4-BE49-F238E27FC236}">
              <a16:creationId xmlns:a16="http://schemas.microsoft.com/office/drawing/2014/main" id="{ED39F0C4-6351-C834-2722-60C835152814}"/>
            </a:ext>
          </a:extLst>
        </xdr:cNvPr>
        <xdr:cNvGrpSpPr/>
      </xdr:nvGrpSpPr>
      <xdr:grpSpPr>
        <a:xfrm>
          <a:off x="2240280" y="9098280"/>
          <a:ext cx="601980" cy="167640"/>
          <a:chOff x="2240280" y="9098280"/>
          <a:chExt cx="601980" cy="167640"/>
        </a:xfrm>
      </xdr:grpSpPr>
      <xdr:cxnSp macro="">
        <xdr:nvCxnSpPr>
          <xdr:cNvPr id="230" name="Gerader Verbinder 229">
            <a:extLst>
              <a:ext uri="{FF2B5EF4-FFF2-40B4-BE49-F238E27FC236}">
                <a16:creationId xmlns:a16="http://schemas.microsoft.com/office/drawing/2014/main" id="{2EC80F9C-39F5-B370-754A-2546D1DE3117}"/>
              </a:ext>
            </a:extLst>
          </xdr:cNvPr>
          <xdr:cNvCxnSpPr/>
        </xdr:nvCxnSpPr>
        <xdr:spPr>
          <a:xfrm>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1" name="Gerader Verbinder 230">
            <a:extLst>
              <a:ext uri="{FF2B5EF4-FFF2-40B4-BE49-F238E27FC236}">
                <a16:creationId xmlns:a16="http://schemas.microsoft.com/office/drawing/2014/main" id="{79093DCF-E62E-33E6-C3B6-AFA8B4E77D8A}"/>
              </a:ext>
            </a:extLst>
          </xdr:cNvPr>
          <xdr:cNvCxnSpPr/>
        </xdr:nvCxnSpPr>
        <xdr:spPr>
          <a:xfrm flipH="1">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235" name="Cross_D49">
          <a:extLst>
            <a:ext uri="{FF2B5EF4-FFF2-40B4-BE49-F238E27FC236}">
              <a16:creationId xmlns:a16="http://schemas.microsoft.com/office/drawing/2014/main" id="{A933523F-4627-D6F6-7783-D7D487E7A6E2}"/>
            </a:ext>
          </a:extLst>
        </xdr:cNvPr>
        <xdr:cNvGrpSpPr/>
      </xdr:nvGrpSpPr>
      <xdr:grpSpPr>
        <a:xfrm>
          <a:off x="2240280" y="9265920"/>
          <a:ext cx="601980" cy="228600"/>
          <a:chOff x="2240280" y="9265920"/>
          <a:chExt cx="601980" cy="228600"/>
        </a:xfrm>
      </xdr:grpSpPr>
      <xdr:cxnSp macro="">
        <xdr:nvCxnSpPr>
          <xdr:cNvPr id="233" name="Gerader Verbinder 232">
            <a:extLst>
              <a:ext uri="{FF2B5EF4-FFF2-40B4-BE49-F238E27FC236}">
                <a16:creationId xmlns:a16="http://schemas.microsoft.com/office/drawing/2014/main" id="{1BE11C3C-7F91-95E5-71A7-BA6BC4AAE54B}"/>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4" name="Gerader Verbinder 233">
            <a:extLst>
              <a:ext uri="{FF2B5EF4-FFF2-40B4-BE49-F238E27FC236}">
                <a16:creationId xmlns:a16="http://schemas.microsoft.com/office/drawing/2014/main" id="{1DBF3FB7-7BD1-7D49-6868-AA384B08289F}"/>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238" name="Cross_D50">
          <a:extLst>
            <a:ext uri="{FF2B5EF4-FFF2-40B4-BE49-F238E27FC236}">
              <a16:creationId xmlns:a16="http://schemas.microsoft.com/office/drawing/2014/main" id="{E556F0C7-60DB-43AC-93C2-5CD25D573D8A}"/>
            </a:ext>
          </a:extLst>
        </xdr:cNvPr>
        <xdr:cNvGrpSpPr/>
      </xdr:nvGrpSpPr>
      <xdr:grpSpPr>
        <a:xfrm>
          <a:off x="2240280" y="9494520"/>
          <a:ext cx="601980" cy="167640"/>
          <a:chOff x="2240280" y="9494520"/>
          <a:chExt cx="601980" cy="167640"/>
        </a:xfrm>
      </xdr:grpSpPr>
      <xdr:cxnSp macro="">
        <xdr:nvCxnSpPr>
          <xdr:cNvPr id="236" name="Gerader Verbinder 235">
            <a:extLst>
              <a:ext uri="{FF2B5EF4-FFF2-40B4-BE49-F238E27FC236}">
                <a16:creationId xmlns:a16="http://schemas.microsoft.com/office/drawing/2014/main" id="{E4F94F5E-EE6B-60C6-BE7E-E004C763F8E1}"/>
              </a:ext>
            </a:extLst>
          </xdr:cNvPr>
          <xdr:cNvCxnSpPr/>
        </xdr:nvCxnSpPr>
        <xdr:spPr>
          <a:xfrm>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7" name="Gerader Verbinder 236">
            <a:extLst>
              <a:ext uri="{FF2B5EF4-FFF2-40B4-BE49-F238E27FC236}">
                <a16:creationId xmlns:a16="http://schemas.microsoft.com/office/drawing/2014/main" id="{223F015D-43B2-1DFD-DD5E-4A23ED27B2FF}"/>
              </a:ext>
            </a:extLst>
          </xdr:cNvPr>
          <xdr:cNvCxnSpPr/>
        </xdr:nvCxnSpPr>
        <xdr:spPr>
          <a:xfrm flipH="1">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241" name="Cross_D51">
          <a:extLst>
            <a:ext uri="{FF2B5EF4-FFF2-40B4-BE49-F238E27FC236}">
              <a16:creationId xmlns:a16="http://schemas.microsoft.com/office/drawing/2014/main" id="{CC5E2A37-64FD-6444-0601-19CF0C87B72D}"/>
            </a:ext>
          </a:extLst>
        </xdr:cNvPr>
        <xdr:cNvGrpSpPr/>
      </xdr:nvGrpSpPr>
      <xdr:grpSpPr>
        <a:xfrm>
          <a:off x="2240280" y="9662160"/>
          <a:ext cx="601980" cy="167640"/>
          <a:chOff x="2240280" y="9662160"/>
          <a:chExt cx="601980" cy="167640"/>
        </a:xfrm>
      </xdr:grpSpPr>
      <xdr:cxnSp macro="">
        <xdr:nvCxnSpPr>
          <xdr:cNvPr id="239" name="Gerader Verbinder 238">
            <a:extLst>
              <a:ext uri="{FF2B5EF4-FFF2-40B4-BE49-F238E27FC236}">
                <a16:creationId xmlns:a16="http://schemas.microsoft.com/office/drawing/2014/main" id="{4E0D2287-FA78-2E39-A7C2-7C58BF0FB069}"/>
              </a:ext>
            </a:extLst>
          </xdr:cNvPr>
          <xdr:cNvCxnSpPr/>
        </xdr:nvCxnSpPr>
        <xdr:spPr>
          <a:xfrm>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0" name="Gerader Verbinder 239">
            <a:extLst>
              <a:ext uri="{FF2B5EF4-FFF2-40B4-BE49-F238E27FC236}">
                <a16:creationId xmlns:a16="http://schemas.microsoft.com/office/drawing/2014/main" id="{F20CC480-7D85-C10D-08A8-FC48D34E91C4}"/>
              </a:ext>
            </a:extLst>
          </xdr:cNvPr>
          <xdr:cNvCxnSpPr/>
        </xdr:nvCxnSpPr>
        <xdr:spPr>
          <a:xfrm flipH="1">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244" name="Cross_D52">
          <a:extLst>
            <a:ext uri="{FF2B5EF4-FFF2-40B4-BE49-F238E27FC236}">
              <a16:creationId xmlns:a16="http://schemas.microsoft.com/office/drawing/2014/main" id="{E1FAD7FD-6989-5070-0050-8327E2BD555D}"/>
            </a:ext>
          </a:extLst>
        </xdr:cNvPr>
        <xdr:cNvGrpSpPr/>
      </xdr:nvGrpSpPr>
      <xdr:grpSpPr>
        <a:xfrm>
          <a:off x="2240280" y="9829800"/>
          <a:ext cx="601980" cy="228600"/>
          <a:chOff x="2240280" y="9829800"/>
          <a:chExt cx="601980" cy="228600"/>
        </a:xfrm>
      </xdr:grpSpPr>
      <xdr:cxnSp macro="">
        <xdr:nvCxnSpPr>
          <xdr:cNvPr id="242" name="Gerader Verbinder 241">
            <a:extLst>
              <a:ext uri="{FF2B5EF4-FFF2-40B4-BE49-F238E27FC236}">
                <a16:creationId xmlns:a16="http://schemas.microsoft.com/office/drawing/2014/main" id="{CDB52031-48A4-EF3C-5539-CA222D018F24}"/>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3" name="Gerader Verbinder 242">
            <a:extLst>
              <a:ext uri="{FF2B5EF4-FFF2-40B4-BE49-F238E27FC236}">
                <a16:creationId xmlns:a16="http://schemas.microsoft.com/office/drawing/2014/main" id="{2857FDF6-8E6A-6E10-B7CA-7BE975B2057A}"/>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247" name="Cross_D53">
          <a:extLst>
            <a:ext uri="{FF2B5EF4-FFF2-40B4-BE49-F238E27FC236}">
              <a16:creationId xmlns:a16="http://schemas.microsoft.com/office/drawing/2014/main" id="{D67C37ED-E19B-DD9A-74F8-EE797D9B91F3}"/>
            </a:ext>
          </a:extLst>
        </xdr:cNvPr>
        <xdr:cNvGrpSpPr/>
      </xdr:nvGrpSpPr>
      <xdr:grpSpPr>
        <a:xfrm>
          <a:off x="2240280" y="10058400"/>
          <a:ext cx="601980" cy="167640"/>
          <a:chOff x="2240280" y="10058400"/>
          <a:chExt cx="601980" cy="167640"/>
        </a:xfrm>
      </xdr:grpSpPr>
      <xdr:cxnSp macro="">
        <xdr:nvCxnSpPr>
          <xdr:cNvPr id="245" name="Gerader Verbinder 244">
            <a:extLst>
              <a:ext uri="{FF2B5EF4-FFF2-40B4-BE49-F238E27FC236}">
                <a16:creationId xmlns:a16="http://schemas.microsoft.com/office/drawing/2014/main" id="{080BA9C0-608E-C9AA-960F-88438BE748D0}"/>
              </a:ext>
            </a:extLst>
          </xdr:cNvPr>
          <xdr:cNvCxnSpPr/>
        </xdr:nvCxnSpPr>
        <xdr:spPr>
          <a:xfrm>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6" name="Gerader Verbinder 245">
            <a:extLst>
              <a:ext uri="{FF2B5EF4-FFF2-40B4-BE49-F238E27FC236}">
                <a16:creationId xmlns:a16="http://schemas.microsoft.com/office/drawing/2014/main" id="{31E5C84F-5A42-FA33-E890-3EDC8187D4DF}"/>
              </a:ext>
            </a:extLst>
          </xdr:cNvPr>
          <xdr:cNvCxnSpPr/>
        </xdr:nvCxnSpPr>
        <xdr:spPr>
          <a:xfrm flipH="1">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250" name="Cross_D54">
          <a:extLst>
            <a:ext uri="{FF2B5EF4-FFF2-40B4-BE49-F238E27FC236}">
              <a16:creationId xmlns:a16="http://schemas.microsoft.com/office/drawing/2014/main" id="{024085C7-BD9E-20AC-6922-3867C66694ED}"/>
            </a:ext>
          </a:extLst>
        </xdr:cNvPr>
        <xdr:cNvGrpSpPr/>
      </xdr:nvGrpSpPr>
      <xdr:grpSpPr>
        <a:xfrm>
          <a:off x="2240280" y="10226040"/>
          <a:ext cx="601980" cy="167640"/>
          <a:chOff x="2240280" y="10226040"/>
          <a:chExt cx="601980" cy="167640"/>
        </a:xfrm>
      </xdr:grpSpPr>
      <xdr:cxnSp macro="">
        <xdr:nvCxnSpPr>
          <xdr:cNvPr id="248" name="Gerader Verbinder 247">
            <a:extLst>
              <a:ext uri="{FF2B5EF4-FFF2-40B4-BE49-F238E27FC236}">
                <a16:creationId xmlns:a16="http://schemas.microsoft.com/office/drawing/2014/main" id="{70EE3239-E2D8-AFC0-1BD2-4D2ED3937F62}"/>
              </a:ext>
            </a:extLst>
          </xdr:cNvPr>
          <xdr:cNvCxnSpPr/>
        </xdr:nvCxnSpPr>
        <xdr:spPr>
          <a:xfrm>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9" name="Gerader Verbinder 248">
            <a:extLst>
              <a:ext uri="{FF2B5EF4-FFF2-40B4-BE49-F238E27FC236}">
                <a16:creationId xmlns:a16="http://schemas.microsoft.com/office/drawing/2014/main" id="{B7BD349B-FA02-D432-A2CC-2B41A3BE4CF3}"/>
              </a:ext>
            </a:extLst>
          </xdr:cNvPr>
          <xdr:cNvCxnSpPr/>
        </xdr:nvCxnSpPr>
        <xdr:spPr>
          <a:xfrm flipH="1">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253" name="Cross_D58">
          <a:extLst>
            <a:ext uri="{FF2B5EF4-FFF2-40B4-BE49-F238E27FC236}">
              <a16:creationId xmlns:a16="http://schemas.microsoft.com/office/drawing/2014/main" id="{683211BC-44B7-1D5D-C77E-6F8F55547461}"/>
            </a:ext>
          </a:extLst>
        </xdr:cNvPr>
        <xdr:cNvGrpSpPr/>
      </xdr:nvGrpSpPr>
      <xdr:grpSpPr>
        <a:xfrm>
          <a:off x="2240280" y="10957560"/>
          <a:ext cx="601980" cy="228600"/>
          <a:chOff x="2240280" y="10957560"/>
          <a:chExt cx="601980" cy="228600"/>
        </a:xfrm>
      </xdr:grpSpPr>
      <xdr:cxnSp macro="">
        <xdr:nvCxnSpPr>
          <xdr:cNvPr id="251" name="Gerader Verbinder 250">
            <a:extLst>
              <a:ext uri="{FF2B5EF4-FFF2-40B4-BE49-F238E27FC236}">
                <a16:creationId xmlns:a16="http://schemas.microsoft.com/office/drawing/2014/main" id="{25EC150C-D60C-0BEA-B803-9AC43AF8EEC1}"/>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2" name="Gerader Verbinder 251">
            <a:extLst>
              <a:ext uri="{FF2B5EF4-FFF2-40B4-BE49-F238E27FC236}">
                <a16:creationId xmlns:a16="http://schemas.microsoft.com/office/drawing/2014/main" id="{6E8464EA-DC9F-350C-B96B-716E8078143D}"/>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256" name="Cross_D59">
          <a:extLst>
            <a:ext uri="{FF2B5EF4-FFF2-40B4-BE49-F238E27FC236}">
              <a16:creationId xmlns:a16="http://schemas.microsoft.com/office/drawing/2014/main" id="{50558DAE-9D22-A9B8-4534-DE701CD6F1AE}"/>
            </a:ext>
          </a:extLst>
        </xdr:cNvPr>
        <xdr:cNvGrpSpPr/>
      </xdr:nvGrpSpPr>
      <xdr:grpSpPr>
        <a:xfrm>
          <a:off x="2240280" y="11186160"/>
          <a:ext cx="601980" cy="167640"/>
          <a:chOff x="2240280" y="11186160"/>
          <a:chExt cx="601980" cy="167640"/>
        </a:xfrm>
      </xdr:grpSpPr>
      <xdr:cxnSp macro="">
        <xdr:nvCxnSpPr>
          <xdr:cNvPr id="254" name="Gerader Verbinder 253">
            <a:extLst>
              <a:ext uri="{FF2B5EF4-FFF2-40B4-BE49-F238E27FC236}">
                <a16:creationId xmlns:a16="http://schemas.microsoft.com/office/drawing/2014/main" id="{F2DF6C7E-A46C-D916-65C2-097878F3B1E3}"/>
              </a:ext>
            </a:extLst>
          </xdr:cNvPr>
          <xdr:cNvCxnSpPr/>
        </xdr:nvCxnSpPr>
        <xdr:spPr>
          <a:xfrm>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5" name="Gerader Verbinder 254">
            <a:extLst>
              <a:ext uri="{FF2B5EF4-FFF2-40B4-BE49-F238E27FC236}">
                <a16:creationId xmlns:a16="http://schemas.microsoft.com/office/drawing/2014/main" id="{14EA467A-A7E5-256E-B443-4201806EE4B2}"/>
              </a:ext>
            </a:extLst>
          </xdr:cNvPr>
          <xdr:cNvCxnSpPr/>
        </xdr:nvCxnSpPr>
        <xdr:spPr>
          <a:xfrm flipH="1">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259" name="Cross_D60">
          <a:extLst>
            <a:ext uri="{FF2B5EF4-FFF2-40B4-BE49-F238E27FC236}">
              <a16:creationId xmlns:a16="http://schemas.microsoft.com/office/drawing/2014/main" id="{D2BB03AF-5CE6-7B67-163E-D239E46FD4E8}"/>
            </a:ext>
          </a:extLst>
        </xdr:cNvPr>
        <xdr:cNvGrpSpPr/>
      </xdr:nvGrpSpPr>
      <xdr:grpSpPr>
        <a:xfrm>
          <a:off x="2240280" y="11353800"/>
          <a:ext cx="601980" cy="167640"/>
          <a:chOff x="2240280" y="11353800"/>
          <a:chExt cx="601980" cy="167640"/>
        </a:xfrm>
      </xdr:grpSpPr>
      <xdr:cxnSp macro="">
        <xdr:nvCxnSpPr>
          <xdr:cNvPr id="257" name="Gerader Verbinder 256">
            <a:extLst>
              <a:ext uri="{FF2B5EF4-FFF2-40B4-BE49-F238E27FC236}">
                <a16:creationId xmlns:a16="http://schemas.microsoft.com/office/drawing/2014/main" id="{8456E563-BDBD-3F15-3C85-1F91B2BBFF50}"/>
              </a:ext>
            </a:extLst>
          </xdr:cNvPr>
          <xdr:cNvCxnSpPr/>
        </xdr:nvCxnSpPr>
        <xdr:spPr>
          <a:xfrm>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8" name="Gerader Verbinder 257">
            <a:extLst>
              <a:ext uri="{FF2B5EF4-FFF2-40B4-BE49-F238E27FC236}">
                <a16:creationId xmlns:a16="http://schemas.microsoft.com/office/drawing/2014/main" id="{716CD411-B5A3-CDB9-6A96-105874D36990}"/>
              </a:ext>
            </a:extLst>
          </xdr:cNvPr>
          <xdr:cNvCxnSpPr/>
        </xdr:nvCxnSpPr>
        <xdr:spPr>
          <a:xfrm flipH="1">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262" name="Cross_D61">
          <a:extLst>
            <a:ext uri="{FF2B5EF4-FFF2-40B4-BE49-F238E27FC236}">
              <a16:creationId xmlns:a16="http://schemas.microsoft.com/office/drawing/2014/main" id="{3FA9752B-4C11-6BFA-1B25-0A27D99BA03F}"/>
            </a:ext>
          </a:extLst>
        </xdr:cNvPr>
        <xdr:cNvGrpSpPr/>
      </xdr:nvGrpSpPr>
      <xdr:grpSpPr>
        <a:xfrm>
          <a:off x="2240280" y="11521440"/>
          <a:ext cx="601980" cy="228600"/>
          <a:chOff x="2240280" y="11521440"/>
          <a:chExt cx="601980" cy="228600"/>
        </a:xfrm>
      </xdr:grpSpPr>
      <xdr:cxnSp macro="">
        <xdr:nvCxnSpPr>
          <xdr:cNvPr id="260" name="Gerader Verbinder 259">
            <a:extLst>
              <a:ext uri="{FF2B5EF4-FFF2-40B4-BE49-F238E27FC236}">
                <a16:creationId xmlns:a16="http://schemas.microsoft.com/office/drawing/2014/main" id="{8A924149-851F-606B-B6F7-B0B71C2CD675}"/>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1" name="Gerader Verbinder 260">
            <a:extLst>
              <a:ext uri="{FF2B5EF4-FFF2-40B4-BE49-F238E27FC236}">
                <a16:creationId xmlns:a16="http://schemas.microsoft.com/office/drawing/2014/main" id="{9590237E-7A7F-F05B-0064-02BF9056DFB6}"/>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265" name="Cross_D62">
          <a:extLst>
            <a:ext uri="{FF2B5EF4-FFF2-40B4-BE49-F238E27FC236}">
              <a16:creationId xmlns:a16="http://schemas.microsoft.com/office/drawing/2014/main" id="{653666E3-711B-8B69-0A83-809DB152D465}"/>
            </a:ext>
          </a:extLst>
        </xdr:cNvPr>
        <xdr:cNvGrpSpPr/>
      </xdr:nvGrpSpPr>
      <xdr:grpSpPr>
        <a:xfrm>
          <a:off x="2240280" y="11750040"/>
          <a:ext cx="601980" cy="167640"/>
          <a:chOff x="2240280" y="11750040"/>
          <a:chExt cx="601980" cy="167640"/>
        </a:xfrm>
      </xdr:grpSpPr>
      <xdr:cxnSp macro="">
        <xdr:nvCxnSpPr>
          <xdr:cNvPr id="263" name="Gerader Verbinder 262">
            <a:extLst>
              <a:ext uri="{FF2B5EF4-FFF2-40B4-BE49-F238E27FC236}">
                <a16:creationId xmlns:a16="http://schemas.microsoft.com/office/drawing/2014/main" id="{E471466C-9E47-22EC-7CDC-27B8C807AEAE}"/>
              </a:ext>
            </a:extLst>
          </xdr:cNvPr>
          <xdr:cNvCxnSpPr/>
        </xdr:nvCxnSpPr>
        <xdr:spPr>
          <a:xfrm>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 name="Gerader Verbinder 263">
            <a:extLst>
              <a:ext uri="{FF2B5EF4-FFF2-40B4-BE49-F238E27FC236}">
                <a16:creationId xmlns:a16="http://schemas.microsoft.com/office/drawing/2014/main" id="{08F11BC6-EEE5-EC1E-6E94-E9A1338F2F2D}"/>
              </a:ext>
            </a:extLst>
          </xdr:cNvPr>
          <xdr:cNvCxnSpPr/>
        </xdr:nvCxnSpPr>
        <xdr:spPr>
          <a:xfrm flipH="1">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268" name="Cross_D63">
          <a:extLst>
            <a:ext uri="{FF2B5EF4-FFF2-40B4-BE49-F238E27FC236}">
              <a16:creationId xmlns:a16="http://schemas.microsoft.com/office/drawing/2014/main" id="{E0049713-5173-E055-64DE-8FC00125B5DD}"/>
            </a:ext>
          </a:extLst>
        </xdr:cNvPr>
        <xdr:cNvGrpSpPr/>
      </xdr:nvGrpSpPr>
      <xdr:grpSpPr>
        <a:xfrm>
          <a:off x="2240280" y="11917680"/>
          <a:ext cx="601980" cy="167640"/>
          <a:chOff x="2240280" y="11917680"/>
          <a:chExt cx="601980" cy="167640"/>
        </a:xfrm>
      </xdr:grpSpPr>
      <xdr:cxnSp macro="">
        <xdr:nvCxnSpPr>
          <xdr:cNvPr id="266" name="Gerader Verbinder 265">
            <a:extLst>
              <a:ext uri="{FF2B5EF4-FFF2-40B4-BE49-F238E27FC236}">
                <a16:creationId xmlns:a16="http://schemas.microsoft.com/office/drawing/2014/main" id="{C4D843B2-DA28-4ADF-F5D6-A680DA18E8AC}"/>
              </a:ext>
            </a:extLst>
          </xdr:cNvPr>
          <xdr:cNvCxnSpPr/>
        </xdr:nvCxnSpPr>
        <xdr:spPr>
          <a:xfrm>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 name="Gerader Verbinder 266">
            <a:extLst>
              <a:ext uri="{FF2B5EF4-FFF2-40B4-BE49-F238E27FC236}">
                <a16:creationId xmlns:a16="http://schemas.microsoft.com/office/drawing/2014/main" id="{89BB30F9-18FA-1276-5193-A631DD6D8D5F}"/>
              </a:ext>
            </a:extLst>
          </xdr:cNvPr>
          <xdr:cNvCxnSpPr/>
        </xdr:nvCxnSpPr>
        <xdr:spPr>
          <a:xfrm flipH="1">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271" name="Cross_E10">
          <a:extLst>
            <a:ext uri="{FF2B5EF4-FFF2-40B4-BE49-F238E27FC236}">
              <a16:creationId xmlns:a16="http://schemas.microsoft.com/office/drawing/2014/main" id="{8C1F1EDA-45BC-1FC5-8F79-28EBC5927A87}"/>
            </a:ext>
          </a:extLst>
        </xdr:cNvPr>
        <xdr:cNvGrpSpPr/>
      </xdr:nvGrpSpPr>
      <xdr:grpSpPr>
        <a:xfrm>
          <a:off x="2842260" y="1935480"/>
          <a:ext cx="601980" cy="228600"/>
          <a:chOff x="2842260" y="1935480"/>
          <a:chExt cx="601980" cy="228600"/>
        </a:xfrm>
      </xdr:grpSpPr>
      <xdr:cxnSp macro="">
        <xdr:nvCxnSpPr>
          <xdr:cNvPr id="269" name="Gerader Verbinder 268">
            <a:extLst>
              <a:ext uri="{FF2B5EF4-FFF2-40B4-BE49-F238E27FC236}">
                <a16:creationId xmlns:a16="http://schemas.microsoft.com/office/drawing/2014/main" id="{2D85787C-9B5A-F520-70DD-158984500AED}"/>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 name="Gerader Verbinder 269">
            <a:extLst>
              <a:ext uri="{FF2B5EF4-FFF2-40B4-BE49-F238E27FC236}">
                <a16:creationId xmlns:a16="http://schemas.microsoft.com/office/drawing/2014/main" id="{81650D1F-F621-CCD5-5F9A-B1B48C08DA8C}"/>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274" name="Cross_E11">
          <a:extLst>
            <a:ext uri="{FF2B5EF4-FFF2-40B4-BE49-F238E27FC236}">
              <a16:creationId xmlns:a16="http://schemas.microsoft.com/office/drawing/2014/main" id="{0FAE0AC5-CBA5-7189-BA32-DF1B051DACB0}"/>
            </a:ext>
          </a:extLst>
        </xdr:cNvPr>
        <xdr:cNvGrpSpPr/>
      </xdr:nvGrpSpPr>
      <xdr:grpSpPr>
        <a:xfrm>
          <a:off x="2842260" y="2164080"/>
          <a:ext cx="601980" cy="167640"/>
          <a:chOff x="2842260" y="2164080"/>
          <a:chExt cx="601980" cy="167640"/>
        </a:xfrm>
      </xdr:grpSpPr>
      <xdr:cxnSp macro="">
        <xdr:nvCxnSpPr>
          <xdr:cNvPr id="272" name="Gerader Verbinder 271">
            <a:extLst>
              <a:ext uri="{FF2B5EF4-FFF2-40B4-BE49-F238E27FC236}">
                <a16:creationId xmlns:a16="http://schemas.microsoft.com/office/drawing/2014/main" id="{FB80AA80-295B-BAFE-6F8F-A343517C7531}"/>
              </a:ext>
            </a:extLst>
          </xdr:cNvPr>
          <xdr:cNvCxnSpPr/>
        </xdr:nvCxnSpPr>
        <xdr:spPr>
          <a:xfrm>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 name="Gerader Verbinder 272">
            <a:extLst>
              <a:ext uri="{FF2B5EF4-FFF2-40B4-BE49-F238E27FC236}">
                <a16:creationId xmlns:a16="http://schemas.microsoft.com/office/drawing/2014/main" id="{8BD0E65D-6364-B0F6-F7A9-CEFFA0DD2F90}"/>
              </a:ext>
            </a:extLst>
          </xdr:cNvPr>
          <xdr:cNvCxnSpPr/>
        </xdr:nvCxnSpPr>
        <xdr:spPr>
          <a:xfrm flipH="1">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277" name="Cross_E12">
          <a:extLst>
            <a:ext uri="{FF2B5EF4-FFF2-40B4-BE49-F238E27FC236}">
              <a16:creationId xmlns:a16="http://schemas.microsoft.com/office/drawing/2014/main" id="{CAD92A29-3859-887E-E7F1-5528D03A9263}"/>
            </a:ext>
          </a:extLst>
        </xdr:cNvPr>
        <xdr:cNvGrpSpPr/>
      </xdr:nvGrpSpPr>
      <xdr:grpSpPr>
        <a:xfrm>
          <a:off x="2842260" y="2331720"/>
          <a:ext cx="601980" cy="167640"/>
          <a:chOff x="2842260" y="2331720"/>
          <a:chExt cx="601980" cy="167640"/>
        </a:xfrm>
      </xdr:grpSpPr>
      <xdr:cxnSp macro="">
        <xdr:nvCxnSpPr>
          <xdr:cNvPr id="275" name="Gerader Verbinder 274">
            <a:extLst>
              <a:ext uri="{FF2B5EF4-FFF2-40B4-BE49-F238E27FC236}">
                <a16:creationId xmlns:a16="http://schemas.microsoft.com/office/drawing/2014/main" id="{0E55D7FA-ACEC-DFE5-D8C6-4C1F5F832A88}"/>
              </a:ext>
            </a:extLst>
          </xdr:cNvPr>
          <xdr:cNvCxnSpPr/>
        </xdr:nvCxnSpPr>
        <xdr:spPr>
          <a:xfrm>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 name="Gerader Verbinder 275">
            <a:extLst>
              <a:ext uri="{FF2B5EF4-FFF2-40B4-BE49-F238E27FC236}">
                <a16:creationId xmlns:a16="http://schemas.microsoft.com/office/drawing/2014/main" id="{095A6F32-5621-DD89-C787-2DCF551B5C3F}"/>
              </a:ext>
            </a:extLst>
          </xdr:cNvPr>
          <xdr:cNvCxnSpPr/>
        </xdr:nvCxnSpPr>
        <xdr:spPr>
          <a:xfrm flipH="1">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280" name="Cross_E13">
          <a:extLst>
            <a:ext uri="{FF2B5EF4-FFF2-40B4-BE49-F238E27FC236}">
              <a16:creationId xmlns:a16="http://schemas.microsoft.com/office/drawing/2014/main" id="{C9B6CCFA-C9EF-D2B8-8429-3D60BBA6A8E1}"/>
            </a:ext>
          </a:extLst>
        </xdr:cNvPr>
        <xdr:cNvGrpSpPr/>
      </xdr:nvGrpSpPr>
      <xdr:grpSpPr>
        <a:xfrm>
          <a:off x="2842260" y="2499360"/>
          <a:ext cx="601980" cy="228600"/>
          <a:chOff x="2842260" y="2499360"/>
          <a:chExt cx="601980" cy="228600"/>
        </a:xfrm>
      </xdr:grpSpPr>
      <xdr:cxnSp macro="">
        <xdr:nvCxnSpPr>
          <xdr:cNvPr id="278" name="Gerader Verbinder 277">
            <a:extLst>
              <a:ext uri="{FF2B5EF4-FFF2-40B4-BE49-F238E27FC236}">
                <a16:creationId xmlns:a16="http://schemas.microsoft.com/office/drawing/2014/main" id="{0F0C9281-6C5E-3CE9-8CC0-55879F9BEBCD}"/>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 name="Gerader Verbinder 278">
            <a:extLst>
              <a:ext uri="{FF2B5EF4-FFF2-40B4-BE49-F238E27FC236}">
                <a16:creationId xmlns:a16="http://schemas.microsoft.com/office/drawing/2014/main" id="{A05CC963-FEA4-340E-8CF6-DD30D4EDC6E8}"/>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283" name="Cross_E14">
          <a:extLst>
            <a:ext uri="{FF2B5EF4-FFF2-40B4-BE49-F238E27FC236}">
              <a16:creationId xmlns:a16="http://schemas.microsoft.com/office/drawing/2014/main" id="{63642174-136B-8A22-940A-0727F8C44095}"/>
            </a:ext>
          </a:extLst>
        </xdr:cNvPr>
        <xdr:cNvGrpSpPr/>
      </xdr:nvGrpSpPr>
      <xdr:grpSpPr>
        <a:xfrm>
          <a:off x="2842260" y="2727960"/>
          <a:ext cx="601980" cy="167640"/>
          <a:chOff x="2842260" y="2727960"/>
          <a:chExt cx="601980" cy="167640"/>
        </a:xfrm>
      </xdr:grpSpPr>
      <xdr:cxnSp macro="">
        <xdr:nvCxnSpPr>
          <xdr:cNvPr id="281" name="Gerader Verbinder 280">
            <a:extLst>
              <a:ext uri="{FF2B5EF4-FFF2-40B4-BE49-F238E27FC236}">
                <a16:creationId xmlns:a16="http://schemas.microsoft.com/office/drawing/2014/main" id="{F0C38F10-8B42-0417-DC29-86C2AAB8A52A}"/>
              </a:ext>
            </a:extLst>
          </xdr:cNvPr>
          <xdr:cNvCxnSpPr/>
        </xdr:nvCxnSpPr>
        <xdr:spPr>
          <a:xfrm>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 name="Gerader Verbinder 281">
            <a:extLst>
              <a:ext uri="{FF2B5EF4-FFF2-40B4-BE49-F238E27FC236}">
                <a16:creationId xmlns:a16="http://schemas.microsoft.com/office/drawing/2014/main" id="{1FE32C92-4ED9-BF95-C78A-E9E48A55EB0D}"/>
              </a:ext>
            </a:extLst>
          </xdr:cNvPr>
          <xdr:cNvCxnSpPr/>
        </xdr:nvCxnSpPr>
        <xdr:spPr>
          <a:xfrm flipH="1">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286" name="Cross_E15">
          <a:extLst>
            <a:ext uri="{FF2B5EF4-FFF2-40B4-BE49-F238E27FC236}">
              <a16:creationId xmlns:a16="http://schemas.microsoft.com/office/drawing/2014/main" id="{7ECE72B6-70FE-9C74-3CF9-04C66667D9C2}"/>
            </a:ext>
          </a:extLst>
        </xdr:cNvPr>
        <xdr:cNvGrpSpPr/>
      </xdr:nvGrpSpPr>
      <xdr:grpSpPr>
        <a:xfrm>
          <a:off x="2842260" y="2895600"/>
          <a:ext cx="601980" cy="167640"/>
          <a:chOff x="2842260" y="2895600"/>
          <a:chExt cx="601980" cy="167640"/>
        </a:xfrm>
      </xdr:grpSpPr>
      <xdr:cxnSp macro="">
        <xdr:nvCxnSpPr>
          <xdr:cNvPr id="284" name="Gerader Verbinder 283">
            <a:extLst>
              <a:ext uri="{FF2B5EF4-FFF2-40B4-BE49-F238E27FC236}">
                <a16:creationId xmlns:a16="http://schemas.microsoft.com/office/drawing/2014/main" id="{ED10DF37-A003-956D-6852-8053809124DA}"/>
              </a:ext>
            </a:extLst>
          </xdr:cNvPr>
          <xdr:cNvCxnSpPr/>
        </xdr:nvCxnSpPr>
        <xdr:spPr>
          <a:xfrm>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 name="Gerader Verbinder 284">
            <a:extLst>
              <a:ext uri="{FF2B5EF4-FFF2-40B4-BE49-F238E27FC236}">
                <a16:creationId xmlns:a16="http://schemas.microsoft.com/office/drawing/2014/main" id="{1647AE10-0529-8174-EF06-60DD24470323}"/>
              </a:ext>
            </a:extLst>
          </xdr:cNvPr>
          <xdr:cNvCxnSpPr/>
        </xdr:nvCxnSpPr>
        <xdr:spPr>
          <a:xfrm flipH="1">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289" name="Cross_E19">
          <a:extLst>
            <a:ext uri="{FF2B5EF4-FFF2-40B4-BE49-F238E27FC236}">
              <a16:creationId xmlns:a16="http://schemas.microsoft.com/office/drawing/2014/main" id="{CC1C4B28-6004-5014-012E-C5530A7A8BF6}"/>
            </a:ext>
          </a:extLst>
        </xdr:cNvPr>
        <xdr:cNvGrpSpPr/>
      </xdr:nvGrpSpPr>
      <xdr:grpSpPr>
        <a:xfrm>
          <a:off x="2842260" y="3627120"/>
          <a:ext cx="601980" cy="228600"/>
          <a:chOff x="2842260" y="3627120"/>
          <a:chExt cx="601980" cy="228600"/>
        </a:xfrm>
      </xdr:grpSpPr>
      <xdr:cxnSp macro="">
        <xdr:nvCxnSpPr>
          <xdr:cNvPr id="287" name="Gerader Verbinder 286">
            <a:extLst>
              <a:ext uri="{FF2B5EF4-FFF2-40B4-BE49-F238E27FC236}">
                <a16:creationId xmlns:a16="http://schemas.microsoft.com/office/drawing/2014/main" id="{55CFF06F-47B2-C5B5-8F52-7073DE9DF9C7}"/>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 name="Gerader Verbinder 287">
            <a:extLst>
              <a:ext uri="{FF2B5EF4-FFF2-40B4-BE49-F238E27FC236}">
                <a16:creationId xmlns:a16="http://schemas.microsoft.com/office/drawing/2014/main" id="{DF54B263-9832-AF42-2090-F869A7E33397}"/>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292" name="Cross_E20">
          <a:extLst>
            <a:ext uri="{FF2B5EF4-FFF2-40B4-BE49-F238E27FC236}">
              <a16:creationId xmlns:a16="http://schemas.microsoft.com/office/drawing/2014/main" id="{A65EFA35-4A9E-D3B9-4644-4D50222BF9FB}"/>
            </a:ext>
          </a:extLst>
        </xdr:cNvPr>
        <xdr:cNvGrpSpPr/>
      </xdr:nvGrpSpPr>
      <xdr:grpSpPr>
        <a:xfrm>
          <a:off x="2842260" y="3855720"/>
          <a:ext cx="601980" cy="167640"/>
          <a:chOff x="2842260" y="3855720"/>
          <a:chExt cx="601980" cy="167640"/>
        </a:xfrm>
      </xdr:grpSpPr>
      <xdr:cxnSp macro="">
        <xdr:nvCxnSpPr>
          <xdr:cNvPr id="290" name="Gerader Verbinder 289">
            <a:extLst>
              <a:ext uri="{FF2B5EF4-FFF2-40B4-BE49-F238E27FC236}">
                <a16:creationId xmlns:a16="http://schemas.microsoft.com/office/drawing/2014/main" id="{8CD81E7E-48B0-F1B2-7C0F-016F4EFD54BF}"/>
              </a:ext>
            </a:extLst>
          </xdr:cNvPr>
          <xdr:cNvCxnSpPr/>
        </xdr:nvCxnSpPr>
        <xdr:spPr>
          <a:xfrm>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 name="Gerader Verbinder 290">
            <a:extLst>
              <a:ext uri="{FF2B5EF4-FFF2-40B4-BE49-F238E27FC236}">
                <a16:creationId xmlns:a16="http://schemas.microsoft.com/office/drawing/2014/main" id="{127E7937-909C-249C-5362-65105FE8CE71}"/>
              </a:ext>
            </a:extLst>
          </xdr:cNvPr>
          <xdr:cNvCxnSpPr/>
        </xdr:nvCxnSpPr>
        <xdr:spPr>
          <a:xfrm flipH="1">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295" name="Cross_E21">
          <a:extLst>
            <a:ext uri="{FF2B5EF4-FFF2-40B4-BE49-F238E27FC236}">
              <a16:creationId xmlns:a16="http://schemas.microsoft.com/office/drawing/2014/main" id="{A530709B-B2AB-59B3-C8EC-23B9E58F3EC1}"/>
            </a:ext>
          </a:extLst>
        </xdr:cNvPr>
        <xdr:cNvGrpSpPr/>
      </xdr:nvGrpSpPr>
      <xdr:grpSpPr>
        <a:xfrm>
          <a:off x="2842260" y="4023360"/>
          <a:ext cx="601980" cy="167640"/>
          <a:chOff x="2842260" y="4023360"/>
          <a:chExt cx="601980" cy="167640"/>
        </a:xfrm>
      </xdr:grpSpPr>
      <xdr:cxnSp macro="">
        <xdr:nvCxnSpPr>
          <xdr:cNvPr id="293" name="Gerader Verbinder 292">
            <a:extLst>
              <a:ext uri="{FF2B5EF4-FFF2-40B4-BE49-F238E27FC236}">
                <a16:creationId xmlns:a16="http://schemas.microsoft.com/office/drawing/2014/main" id="{A5F49A36-2D1F-A2D0-39B0-F724161221CF}"/>
              </a:ext>
            </a:extLst>
          </xdr:cNvPr>
          <xdr:cNvCxnSpPr/>
        </xdr:nvCxnSpPr>
        <xdr:spPr>
          <a:xfrm>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4" name="Gerader Verbinder 293">
            <a:extLst>
              <a:ext uri="{FF2B5EF4-FFF2-40B4-BE49-F238E27FC236}">
                <a16:creationId xmlns:a16="http://schemas.microsoft.com/office/drawing/2014/main" id="{743D8F99-EDFB-C230-B5C0-A9FFFD6AE2B0}"/>
              </a:ext>
            </a:extLst>
          </xdr:cNvPr>
          <xdr:cNvCxnSpPr/>
        </xdr:nvCxnSpPr>
        <xdr:spPr>
          <a:xfrm flipH="1">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298" name="Cross_E28">
          <a:extLst>
            <a:ext uri="{FF2B5EF4-FFF2-40B4-BE49-F238E27FC236}">
              <a16:creationId xmlns:a16="http://schemas.microsoft.com/office/drawing/2014/main" id="{EB444544-E936-D6C3-F446-95E45798358C}"/>
            </a:ext>
          </a:extLst>
        </xdr:cNvPr>
        <xdr:cNvGrpSpPr/>
      </xdr:nvGrpSpPr>
      <xdr:grpSpPr>
        <a:xfrm>
          <a:off x="2842260" y="5318760"/>
          <a:ext cx="601980" cy="228600"/>
          <a:chOff x="2842260" y="5318760"/>
          <a:chExt cx="601980" cy="228600"/>
        </a:xfrm>
      </xdr:grpSpPr>
      <xdr:cxnSp macro="">
        <xdr:nvCxnSpPr>
          <xdr:cNvPr id="296" name="Gerader Verbinder 295">
            <a:extLst>
              <a:ext uri="{FF2B5EF4-FFF2-40B4-BE49-F238E27FC236}">
                <a16:creationId xmlns:a16="http://schemas.microsoft.com/office/drawing/2014/main" id="{1F242FFE-6C92-7C30-CF31-C51743B23067}"/>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7" name="Gerader Verbinder 296">
            <a:extLst>
              <a:ext uri="{FF2B5EF4-FFF2-40B4-BE49-F238E27FC236}">
                <a16:creationId xmlns:a16="http://schemas.microsoft.com/office/drawing/2014/main" id="{690FDA87-6B69-140C-C2B5-B35F8CE92242}"/>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301" name="Cross_E29">
          <a:extLst>
            <a:ext uri="{FF2B5EF4-FFF2-40B4-BE49-F238E27FC236}">
              <a16:creationId xmlns:a16="http://schemas.microsoft.com/office/drawing/2014/main" id="{DAEEE0D8-08E4-5C13-CD77-A78BCFC0A9B1}"/>
            </a:ext>
          </a:extLst>
        </xdr:cNvPr>
        <xdr:cNvGrpSpPr/>
      </xdr:nvGrpSpPr>
      <xdr:grpSpPr>
        <a:xfrm>
          <a:off x="2842260" y="5547360"/>
          <a:ext cx="601980" cy="167640"/>
          <a:chOff x="2842260" y="5547360"/>
          <a:chExt cx="601980" cy="167640"/>
        </a:xfrm>
      </xdr:grpSpPr>
      <xdr:cxnSp macro="">
        <xdr:nvCxnSpPr>
          <xdr:cNvPr id="299" name="Gerader Verbinder 298">
            <a:extLst>
              <a:ext uri="{FF2B5EF4-FFF2-40B4-BE49-F238E27FC236}">
                <a16:creationId xmlns:a16="http://schemas.microsoft.com/office/drawing/2014/main" id="{57E07D99-2E7C-A25F-BDF3-04644C3FE5FB}"/>
              </a:ext>
            </a:extLst>
          </xdr:cNvPr>
          <xdr:cNvCxnSpPr/>
        </xdr:nvCxnSpPr>
        <xdr:spPr>
          <a:xfrm>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0" name="Gerader Verbinder 299">
            <a:extLst>
              <a:ext uri="{FF2B5EF4-FFF2-40B4-BE49-F238E27FC236}">
                <a16:creationId xmlns:a16="http://schemas.microsoft.com/office/drawing/2014/main" id="{177EAD9A-412E-ED85-2028-651BAD51580D}"/>
              </a:ext>
            </a:extLst>
          </xdr:cNvPr>
          <xdr:cNvCxnSpPr/>
        </xdr:nvCxnSpPr>
        <xdr:spPr>
          <a:xfrm flipH="1">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304" name="Cross_E30">
          <a:extLst>
            <a:ext uri="{FF2B5EF4-FFF2-40B4-BE49-F238E27FC236}">
              <a16:creationId xmlns:a16="http://schemas.microsoft.com/office/drawing/2014/main" id="{244193E9-339B-BE1E-09FB-CD7BA1C63D9F}"/>
            </a:ext>
          </a:extLst>
        </xdr:cNvPr>
        <xdr:cNvGrpSpPr/>
      </xdr:nvGrpSpPr>
      <xdr:grpSpPr>
        <a:xfrm>
          <a:off x="2842260" y="5715000"/>
          <a:ext cx="601980" cy="167640"/>
          <a:chOff x="2842260" y="5715000"/>
          <a:chExt cx="601980" cy="167640"/>
        </a:xfrm>
      </xdr:grpSpPr>
      <xdr:cxnSp macro="">
        <xdr:nvCxnSpPr>
          <xdr:cNvPr id="302" name="Gerader Verbinder 301">
            <a:extLst>
              <a:ext uri="{FF2B5EF4-FFF2-40B4-BE49-F238E27FC236}">
                <a16:creationId xmlns:a16="http://schemas.microsoft.com/office/drawing/2014/main" id="{36AF56A9-0016-E07B-C94D-80B64B4CB781}"/>
              </a:ext>
            </a:extLst>
          </xdr:cNvPr>
          <xdr:cNvCxnSpPr/>
        </xdr:nvCxnSpPr>
        <xdr:spPr>
          <a:xfrm>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3" name="Gerader Verbinder 302">
            <a:extLst>
              <a:ext uri="{FF2B5EF4-FFF2-40B4-BE49-F238E27FC236}">
                <a16:creationId xmlns:a16="http://schemas.microsoft.com/office/drawing/2014/main" id="{06C59D3E-16B8-3D69-DC5A-240160A20D17}"/>
              </a:ext>
            </a:extLst>
          </xdr:cNvPr>
          <xdr:cNvCxnSpPr/>
        </xdr:nvCxnSpPr>
        <xdr:spPr>
          <a:xfrm flipH="1">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307" name="Cross_E37">
          <a:extLst>
            <a:ext uri="{FF2B5EF4-FFF2-40B4-BE49-F238E27FC236}">
              <a16:creationId xmlns:a16="http://schemas.microsoft.com/office/drawing/2014/main" id="{5E102FC1-FC67-6D1C-0202-96D2E7803A7D}"/>
            </a:ext>
          </a:extLst>
        </xdr:cNvPr>
        <xdr:cNvGrpSpPr/>
      </xdr:nvGrpSpPr>
      <xdr:grpSpPr>
        <a:xfrm>
          <a:off x="2842260" y="7010400"/>
          <a:ext cx="601980" cy="228600"/>
          <a:chOff x="2842260" y="7010400"/>
          <a:chExt cx="601980" cy="228600"/>
        </a:xfrm>
      </xdr:grpSpPr>
      <xdr:cxnSp macro="">
        <xdr:nvCxnSpPr>
          <xdr:cNvPr id="305" name="Gerader Verbinder 304">
            <a:extLst>
              <a:ext uri="{FF2B5EF4-FFF2-40B4-BE49-F238E27FC236}">
                <a16:creationId xmlns:a16="http://schemas.microsoft.com/office/drawing/2014/main" id="{B4D38A20-A812-FDFA-B9F9-A9EDCAE8F841}"/>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6" name="Gerader Verbinder 305">
            <a:extLst>
              <a:ext uri="{FF2B5EF4-FFF2-40B4-BE49-F238E27FC236}">
                <a16:creationId xmlns:a16="http://schemas.microsoft.com/office/drawing/2014/main" id="{4B8CCB7B-0E3C-4D00-2048-D338A9BF3F95}"/>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310" name="Cross_E38">
          <a:extLst>
            <a:ext uri="{FF2B5EF4-FFF2-40B4-BE49-F238E27FC236}">
              <a16:creationId xmlns:a16="http://schemas.microsoft.com/office/drawing/2014/main" id="{8254011C-C1A0-AF03-D2F5-3651CE778192}"/>
            </a:ext>
          </a:extLst>
        </xdr:cNvPr>
        <xdr:cNvGrpSpPr/>
      </xdr:nvGrpSpPr>
      <xdr:grpSpPr>
        <a:xfrm>
          <a:off x="2842260" y="7239000"/>
          <a:ext cx="601980" cy="167640"/>
          <a:chOff x="2842260" y="7239000"/>
          <a:chExt cx="601980" cy="167640"/>
        </a:xfrm>
      </xdr:grpSpPr>
      <xdr:cxnSp macro="">
        <xdr:nvCxnSpPr>
          <xdr:cNvPr id="308" name="Gerader Verbinder 307">
            <a:extLst>
              <a:ext uri="{FF2B5EF4-FFF2-40B4-BE49-F238E27FC236}">
                <a16:creationId xmlns:a16="http://schemas.microsoft.com/office/drawing/2014/main" id="{03BA33E5-9363-EC05-E3B5-EB26F4BF01AE}"/>
              </a:ext>
            </a:extLst>
          </xdr:cNvPr>
          <xdr:cNvCxnSpPr/>
        </xdr:nvCxnSpPr>
        <xdr:spPr>
          <a:xfrm>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9" name="Gerader Verbinder 308">
            <a:extLst>
              <a:ext uri="{FF2B5EF4-FFF2-40B4-BE49-F238E27FC236}">
                <a16:creationId xmlns:a16="http://schemas.microsoft.com/office/drawing/2014/main" id="{0D3BCA87-4F2B-6D91-0440-A078A9A0776F}"/>
              </a:ext>
            </a:extLst>
          </xdr:cNvPr>
          <xdr:cNvCxnSpPr/>
        </xdr:nvCxnSpPr>
        <xdr:spPr>
          <a:xfrm flipH="1">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313" name="Cross_E39">
          <a:extLst>
            <a:ext uri="{FF2B5EF4-FFF2-40B4-BE49-F238E27FC236}">
              <a16:creationId xmlns:a16="http://schemas.microsoft.com/office/drawing/2014/main" id="{61A40862-D8FE-32FB-3037-2D54EDE7C167}"/>
            </a:ext>
          </a:extLst>
        </xdr:cNvPr>
        <xdr:cNvGrpSpPr/>
      </xdr:nvGrpSpPr>
      <xdr:grpSpPr>
        <a:xfrm>
          <a:off x="2842260" y="7406640"/>
          <a:ext cx="601980" cy="167640"/>
          <a:chOff x="2842260" y="7406640"/>
          <a:chExt cx="601980" cy="167640"/>
        </a:xfrm>
      </xdr:grpSpPr>
      <xdr:cxnSp macro="">
        <xdr:nvCxnSpPr>
          <xdr:cNvPr id="311" name="Gerader Verbinder 310">
            <a:extLst>
              <a:ext uri="{FF2B5EF4-FFF2-40B4-BE49-F238E27FC236}">
                <a16:creationId xmlns:a16="http://schemas.microsoft.com/office/drawing/2014/main" id="{3970C88E-E277-BDFE-C07D-0A427DF3D93E}"/>
              </a:ext>
            </a:extLst>
          </xdr:cNvPr>
          <xdr:cNvCxnSpPr/>
        </xdr:nvCxnSpPr>
        <xdr:spPr>
          <a:xfrm>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 name="Gerader Verbinder 311">
            <a:extLst>
              <a:ext uri="{FF2B5EF4-FFF2-40B4-BE49-F238E27FC236}">
                <a16:creationId xmlns:a16="http://schemas.microsoft.com/office/drawing/2014/main" id="{E5E37348-DA30-2DBB-B5F9-11134D187E67}"/>
              </a:ext>
            </a:extLst>
          </xdr:cNvPr>
          <xdr:cNvCxnSpPr/>
        </xdr:nvCxnSpPr>
        <xdr:spPr>
          <a:xfrm flipH="1">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316" name="Cross_E40">
          <a:extLst>
            <a:ext uri="{FF2B5EF4-FFF2-40B4-BE49-F238E27FC236}">
              <a16:creationId xmlns:a16="http://schemas.microsoft.com/office/drawing/2014/main" id="{62C65643-2C36-A5FE-C49E-069D29F3F919}"/>
            </a:ext>
          </a:extLst>
        </xdr:cNvPr>
        <xdr:cNvGrpSpPr/>
      </xdr:nvGrpSpPr>
      <xdr:grpSpPr>
        <a:xfrm>
          <a:off x="2842260" y="7574280"/>
          <a:ext cx="601980" cy="228600"/>
          <a:chOff x="2842260" y="7574280"/>
          <a:chExt cx="601980" cy="228600"/>
        </a:xfrm>
      </xdr:grpSpPr>
      <xdr:cxnSp macro="">
        <xdr:nvCxnSpPr>
          <xdr:cNvPr id="314" name="Gerader Verbinder 313">
            <a:extLst>
              <a:ext uri="{FF2B5EF4-FFF2-40B4-BE49-F238E27FC236}">
                <a16:creationId xmlns:a16="http://schemas.microsoft.com/office/drawing/2014/main" id="{AC959DE7-0C36-3BB3-C98F-58A809039016}"/>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5" name="Gerader Verbinder 314">
            <a:extLst>
              <a:ext uri="{FF2B5EF4-FFF2-40B4-BE49-F238E27FC236}">
                <a16:creationId xmlns:a16="http://schemas.microsoft.com/office/drawing/2014/main" id="{671DDBB8-9531-C4F3-68BB-E78B6BE7A14D}"/>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319" name="Cross_E41">
          <a:extLst>
            <a:ext uri="{FF2B5EF4-FFF2-40B4-BE49-F238E27FC236}">
              <a16:creationId xmlns:a16="http://schemas.microsoft.com/office/drawing/2014/main" id="{1228B310-248C-B36C-A7BC-12B21C8B259C}"/>
            </a:ext>
          </a:extLst>
        </xdr:cNvPr>
        <xdr:cNvGrpSpPr/>
      </xdr:nvGrpSpPr>
      <xdr:grpSpPr>
        <a:xfrm>
          <a:off x="2842260" y="7802880"/>
          <a:ext cx="601980" cy="167640"/>
          <a:chOff x="2842260" y="7802880"/>
          <a:chExt cx="601980" cy="167640"/>
        </a:xfrm>
      </xdr:grpSpPr>
      <xdr:cxnSp macro="">
        <xdr:nvCxnSpPr>
          <xdr:cNvPr id="317" name="Gerader Verbinder 316">
            <a:extLst>
              <a:ext uri="{FF2B5EF4-FFF2-40B4-BE49-F238E27FC236}">
                <a16:creationId xmlns:a16="http://schemas.microsoft.com/office/drawing/2014/main" id="{0E385E6B-6A4C-996E-218B-08BF75C2F4D6}"/>
              </a:ext>
            </a:extLst>
          </xdr:cNvPr>
          <xdr:cNvCxnSpPr/>
        </xdr:nvCxnSpPr>
        <xdr:spPr>
          <a:xfrm>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8" name="Gerader Verbinder 317">
            <a:extLst>
              <a:ext uri="{FF2B5EF4-FFF2-40B4-BE49-F238E27FC236}">
                <a16:creationId xmlns:a16="http://schemas.microsoft.com/office/drawing/2014/main" id="{93B33940-0C47-6F07-FB41-D21B22228E7A}"/>
              </a:ext>
            </a:extLst>
          </xdr:cNvPr>
          <xdr:cNvCxnSpPr/>
        </xdr:nvCxnSpPr>
        <xdr:spPr>
          <a:xfrm flipH="1">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322" name="Cross_E42">
          <a:extLst>
            <a:ext uri="{FF2B5EF4-FFF2-40B4-BE49-F238E27FC236}">
              <a16:creationId xmlns:a16="http://schemas.microsoft.com/office/drawing/2014/main" id="{1C48B58E-0F4A-4FD6-D63D-57A71803E3AC}"/>
            </a:ext>
          </a:extLst>
        </xdr:cNvPr>
        <xdr:cNvGrpSpPr/>
      </xdr:nvGrpSpPr>
      <xdr:grpSpPr>
        <a:xfrm>
          <a:off x="2842260" y="7970520"/>
          <a:ext cx="601980" cy="167640"/>
          <a:chOff x="2842260" y="7970520"/>
          <a:chExt cx="601980" cy="167640"/>
        </a:xfrm>
      </xdr:grpSpPr>
      <xdr:cxnSp macro="">
        <xdr:nvCxnSpPr>
          <xdr:cNvPr id="320" name="Gerader Verbinder 319">
            <a:extLst>
              <a:ext uri="{FF2B5EF4-FFF2-40B4-BE49-F238E27FC236}">
                <a16:creationId xmlns:a16="http://schemas.microsoft.com/office/drawing/2014/main" id="{D0AEBDE3-7BAA-8821-9AE7-4C73C982298C}"/>
              </a:ext>
            </a:extLst>
          </xdr:cNvPr>
          <xdr:cNvCxnSpPr/>
        </xdr:nvCxnSpPr>
        <xdr:spPr>
          <a:xfrm>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1" name="Gerader Verbinder 320">
            <a:extLst>
              <a:ext uri="{FF2B5EF4-FFF2-40B4-BE49-F238E27FC236}">
                <a16:creationId xmlns:a16="http://schemas.microsoft.com/office/drawing/2014/main" id="{E7EFDCB5-1447-3917-3497-C55C64DE7F97}"/>
              </a:ext>
            </a:extLst>
          </xdr:cNvPr>
          <xdr:cNvCxnSpPr/>
        </xdr:nvCxnSpPr>
        <xdr:spPr>
          <a:xfrm flipH="1">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325" name="Cross_E43">
          <a:extLst>
            <a:ext uri="{FF2B5EF4-FFF2-40B4-BE49-F238E27FC236}">
              <a16:creationId xmlns:a16="http://schemas.microsoft.com/office/drawing/2014/main" id="{511D6CB6-ABE8-C58B-43AB-7B08B2317A71}"/>
            </a:ext>
          </a:extLst>
        </xdr:cNvPr>
        <xdr:cNvGrpSpPr/>
      </xdr:nvGrpSpPr>
      <xdr:grpSpPr>
        <a:xfrm>
          <a:off x="2842260" y="8138160"/>
          <a:ext cx="601980" cy="228600"/>
          <a:chOff x="2842260" y="8138160"/>
          <a:chExt cx="601980" cy="228600"/>
        </a:xfrm>
      </xdr:grpSpPr>
      <xdr:cxnSp macro="">
        <xdr:nvCxnSpPr>
          <xdr:cNvPr id="323" name="Gerader Verbinder 322">
            <a:extLst>
              <a:ext uri="{FF2B5EF4-FFF2-40B4-BE49-F238E27FC236}">
                <a16:creationId xmlns:a16="http://schemas.microsoft.com/office/drawing/2014/main" id="{38AF5420-A645-0264-6F88-E20BBFC90655}"/>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4" name="Gerader Verbinder 323">
            <a:extLst>
              <a:ext uri="{FF2B5EF4-FFF2-40B4-BE49-F238E27FC236}">
                <a16:creationId xmlns:a16="http://schemas.microsoft.com/office/drawing/2014/main" id="{F1555130-8F06-CBB9-6357-900408BA51FE}"/>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328" name="Cross_E44">
          <a:extLst>
            <a:ext uri="{FF2B5EF4-FFF2-40B4-BE49-F238E27FC236}">
              <a16:creationId xmlns:a16="http://schemas.microsoft.com/office/drawing/2014/main" id="{AD5F33BD-F511-A996-1D36-60FF7C98D996}"/>
            </a:ext>
          </a:extLst>
        </xdr:cNvPr>
        <xdr:cNvGrpSpPr/>
      </xdr:nvGrpSpPr>
      <xdr:grpSpPr>
        <a:xfrm>
          <a:off x="2842260" y="8366760"/>
          <a:ext cx="601980" cy="167640"/>
          <a:chOff x="2842260" y="8366760"/>
          <a:chExt cx="601980" cy="167640"/>
        </a:xfrm>
      </xdr:grpSpPr>
      <xdr:cxnSp macro="">
        <xdr:nvCxnSpPr>
          <xdr:cNvPr id="326" name="Gerader Verbinder 325">
            <a:extLst>
              <a:ext uri="{FF2B5EF4-FFF2-40B4-BE49-F238E27FC236}">
                <a16:creationId xmlns:a16="http://schemas.microsoft.com/office/drawing/2014/main" id="{BF19D107-0630-4272-1075-332F0AEB9CF3}"/>
              </a:ext>
            </a:extLst>
          </xdr:cNvPr>
          <xdr:cNvCxnSpPr/>
        </xdr:nvCxnSpPr>
        <xdr:spPr>
          <a:xfrm>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7" name="Gerader Verbinder 326">
            <a:extLst>
              <a:ext uri="{FF2B5EF4-FFF2-40B4-BE49-F238E27FC236}">
                <a16:creationId xmlns:a16="http://schemas.microsoft.com/office/drawing/2014/main" id="{811727B4-FE88-60C2-26DF-55B88FC07A76}"/>
              </a:ext>
            </a:extLst>
          </xdr:cNvPr>
          <xdr:cNvCxnSpPr/>
        </xdr:nvCxnSpPr>
        <xdr:spPr>
          <a:xfrm flipH="1">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331" name="Cross_E45">
          <a:extLst>
            <a:ext uri="{FF2B5EF4-FFF2-40B4-BE49-F238E27FC236}">
              <a16:creationId xmlns:a16="http://schemas.microsoft.com/office/drawing/2014/main" id="{5036D203-0B35-A138-8604-1C96007BC740}"/>
            </a:ext>
          </a:extLst>
        </xdr:cNvPr>
        <xdr:cNvGrpSpPr/>
      </xdr:nvGrpSpPr>
      <xdr:grpSpPr>
        <a:xfrm>
          <a:off x="2842260" y="8534400"/>
          <a:ext cx="601980" cy="167640"/>
          <a:chOff x="2842260" y="8534400"/>
          <a:chExt cx="601980" cy="167640"/>
        </a:xfrm>
      </xdr:grpSpPr>
      <xdr:cxnSp macro="">
        <xdr:nvCxnSpPr>
          <xdr:cNvPr id="329" name="Gerader Verbinder 328">
            <a:extLst>
              <a:ext uri="{FF2B5EF4-FFF2-40B4-BE49-F238E27FC236}">
                <a16:creationId xmlns:a16="http://schemas.microsoft.com/office/drawing/2014/main" id="{110DD7AB-B8C3-17DB-F6DF-97B3772DD88B}"/>
              </a:ext>
            </a:extLst>
          </xdr:cNvPr>
          <xdr:cNvCxnSpPr/>
        </xdr:nvCxnSpPr>
        <xdr:spPr>
          <a:xfrm>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0" name="Gerader Verbinder 329">
            <a:extLst>
              <a:ext uri="{FF2B5EF4-FFF2-40B4-BE49-F238E27FC236}">
                <a16:creationId xmlns:a16="http://schemas.microsoft.com/office/drawing/2014/main" id="{2BEE2E06-B7C0-918B-2BA3-94FA3263A055}"/>
              </a:ext>
            </a:extLst>
          </xdr:cNvPr>
          <xdr:cNvCxnSpPr/>
        </xdr:nvCxnSpPr>
        <xdr:spPr>
          <a:xfrm flipH="1">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334" name="Cross_E46">
          <a:extLst>
            <a:ext uri="{FF2B5EF4-FFF2-40B4-BE49-F238E27FC236}">
              <a16:creationId xmlns:a16="http://schemas.microsoft.com/office/drawing/2014/main" id="{2307C7C3-A1D7-E33C-6128-C7B91DA9AF0C}"/>
            </a:ext>
          </a:extLst>
        </xdr:cNvPr>
        <xdr:cNvGrpSpPr/>
      </xdr:nvGrpSpPr>
      <xdr:grpSpPr>
        <a:xfrm>
          <a:off x="2842260" y="8702040"/>
          <a:ext cx="601980" cy="228600"/>
          <a:chOff x="2842260" y="8702040"/>
          <a:chExt cx="601980" cy="228600"/>
        </a:xfrm>
      </xdr:grpSpPr>
      <xdr:cxnSp macro="">
        <xdr:nvCxnSpPr>
          <xdr:cNvPr id="332" name="Gerader Verbinder 331">
            <a:extLst>
              <a:ext uri="{FF2B5EF4-FFF2-40B4-BE49-F238E27FC236}">
                <a16:creationId xmlns:a16="http://schemas.microsoft.com/office/drawing/2014/main" id="{16ADDC51-83FB-FC4F-BE8B-AD7AEB181C18}"/>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3" name="Gerader Verbinder 332">
            <a:extLst>
              <a:ext uri="{FF2B5EF4-FFF2-40B4-BE49-F238E27FC236}">
                <a16:creationId xmlns:a16="http://schemas.microsoft.com/office/drawing/2014/main" id="{A9C5BAF2-4D89-B4C0-D0EC-5A68EC1BF9DA}"/>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337" name="Cross_E47">
          <a:extLst>
            <a:ext uri="{FF2B5EF4-FFF2-40B4-BE49-F238E27FC236}">
              <a16:creationId xmlns:a16="http://schemas.microsoft.com/office/drawing/2014/main" id="{D43E317A-2100-C429-BAD8-5DD17E080D6D}"/>
            </a:ext>
          </a:extLst>
        </xdr:cNvPr>
        <xdr:cNvGrpSpPr/>
      </xdr:nvGrpSpPr>
      <xdr:grpSpPr>
        <a:xfrm>
          <a:off x="2842260" y="8930640"/>
          <a:ext cx="601980" cy="167640"/>
          <a:chOff x="2842260" y="8930640"/>
          <a:chExt cx="601980" cy="167640"/>
        </a:xfrm>
      </xdr:grpSpPr>
      <xdr:cxnSp macro="">
        <xdr:nvCxnSpPr>
          <xdr:cNvPr id="335" name="Gerader Verbinder 334">
            <a:extLst>
              <a:ext uri="{FF2B5EF4-FFF2-40B4-BE49-F238E27FC236}">
                <a16:creationId xmlns:a16="http://schemas.microsoft.com/office/drawing/2014/main" id="{C5F66B08-CFFD-F570-6611-8BB93384CB6A}"/>
              </a:ext>
            </a:extLst>
          </xdr:cNvPr>
          <xdr:cNvCxnSpPr/>
        </xdr:nvCxnSpPr>
        <xdr:spPr>
          <a:xfrm>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6" name="Gerader Verbinder 335">
            <a:extLst>
              <a:ext uri="{FF2B5EF4-FFF2-40B4-BE49-F238E27FC236}">
                <a16:creationId xmlns:a16="http://schemas.microsoft.com/office/drawing/2014/main" id="{66D48252-2E57-AE38-D3E6-BA4345283B2A}"/>
              </a:ext>
            </a:extLst>
          </xdr:cNvPr>
          <xdr:cNvCxnSpPr/>
        </xdr:nvCxnSpPr>
        <xdr:spPr>
          <a:xfrm flipH="1">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340" name="Cross_E48">
          <a:extLst>
            <a:ext uri="{FF2B5EF4-FFF2-40B4-BE49-F238E27FC236}">
              <a16:creationId xmlns:a16="http://schemas.microsoft.com/office/drawing/2014/main" id="{B73D2CCC-A6D9-1DA0-25E2-87C7270F798A}"/>
            </a:ext>
          </a:extLst>
        </xdr:cNvPr>
        <xdr:cNvGrpSpPr/>
      </xdr:nvGrpSpPr>
      <xdr:grpSpPr>
        <a:xfrm>
          <a:off x="2842260" y="9098280"/>
          <a:ext cx="601980" cy="167640"/>
          <a:chOff x="2842260" y="9098280"/>
          <a:chExt cx="601980" cy="167640"/>
        </a:xfrm>
      </xdr:grpSpPr>
      <xdr:cxnSp macro="">
        <xdr:nvCxnSpPr>
          <xdr:cNvPr id="338" name="Gerader Verbinder 337">
            <a:extLst>
              <a:ext uri="{FF2B5EF4-FFF2-40B4-BE49-F238E27FC236}">
                <a16:creationId xmlns:a16="http://schemas.microsoft.com/office/drawing/2014/main" id="{EAC1672D-0789-7923-FC3D-655E4D211DFC}"/>
              </a:ext>
            </a:extLst>
          </xdr:cNvPr>
          <xdr:cNvCxnSpPr/>
        </xdr:nvCxnSpPr>
        <xdr:spPr>
          <a:xfrm>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9" name="Gerader Verbinder 338">
            <a:extLst>
              <a:ext uri="{FF2B5EF4-FFF2-40B4-BE49-F238E27FC236}">
                <a16:creationId xmlns:a16="http://schemas.microsoft.com/office/drawing/2014/main" id="{588F9D79-2D89-B99B-F873-978259AE37C0}"/>
              </a:ext>
            </a:extLst>
          </xdr:cNvPr>
          <xdr:cNvCxnSpPr/>
        </xdr:nvCxnSpPr>
        <xdr:spPr>
          <a:xfrm flipH="1">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343" name="Cross_E55">
          <a:extLst>
            <a:ext uri="{FF2B5EF4-FFF2-40B4-BE49-F238E27FC236}">
              <a16:creationId xmlns:a16="http://schemas.microsoft.com/office/drawing/2014/main" id="{E3B83AD9-A788-6615-4604-C252FDB20FB3}"/>
            </a:ext>
          </a:extLst>
        </xdr:cNvPr>
        <xdr:cNvGrpSpPr/>
      </xdr:nvGrpSpPr>
      <xdr:grpSpPr>
        <a:xfrm>
          <a:off x="2842260" y="10393680"/>
          <a:ext cx="601980" cy="228600"/>
          <a:chOff x="2842260" y="10393680"/>
          <a:chExt cx="601980" cy="228600"/>
        </a:xfrm>
      </xdr:grpSpPr>
      <xdr:cxnSp macro="">
        <xdr:nvCxnSpPr>
          <xdr:cNvPr id="341" name="Gerader Verbinder 340">
            <a:extLst>
              <a:ext uri="{FF2B5EF4-FFF2-40B4-BE49-F238E27FC236}">
                <a16:creationId xmlns:a16="http://schemas.microsoft.com/office/drawing/2014/main" id="{E3A38EB0-83BD-5459-36E2-F8BC9A06129C}"/>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2" name="Gerader Verbinder 341">
            <a:extLst>
              <a:ext uri="{FF2B5EF4-FFF2-40B4-BE49-F238E27FC236}">
                <a16:creationId xmlns:a16="http://schemas.microsoft.com/office/drawing/2014/main" id="{7BB723FA-C98F-0D56-1B41-F9C2B25F5B70}"/>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346" name="Cross_E56">
          <a:extLst>
            <a:ext uri="{FF2B5EF4-FFF2-40B4-BE49-F238E27FC236}">
              <a16:creationId xmlns:a16="http://schemas.microsoft.com/office/drawing/2014/main" id="{791C7F9A-4EC7-E578-E83B-3D36DC5125DA}"/>
            </a:ext>
          </a:extLst>
        </xdr:cNvPr>
        <xdr:cNvGrpSpPr/>
      </xdr:nvGrpSpPr>
      <xdr:grpSpPr>
        <a:xfrm>
          <a:off x="2842260" y="10622280"/>
          <a:ext cx="601980" cy="167640"/>
          <a:chOff x="2842260" y="10622280"/>
          <a:chExt cx="601980" cy="167640"/>
        </a:xfrm>
      </xdr:grpSpPr>
      <xdr:cxnSp macro="">
        <xdr:nvCxnSpPr>
          <xdr:cNvPr id="344" name="Gerader Verbinder 343">
            <a:extLst>
              <a:ext uri="{FF2B5EF4-FFF2-40B4-BE49-F238E27FC236}">
                <a16:creationId xmlns:a16="http://schemas.microsoft.com/office/drawing/2014/main" id="{4A5D3A2E-F701-4C70-5AC2-498482694400}"/>
              </a:ext>
            </a:extLst>
          </xdr:cNvPr>
          <xdr:cNvCxnSpPr/>
        </xdr:nvCxnSpPr>
        <xdr:spPr>
          <a:xfrm>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5" name="Gerader Verbinder 344">
            <a:extLst>
              <a:ext uri="{FF2B5EF4-FFF2-40B4-BE49-F238E27FC236}">
                <a16:creationId xmlns:a16="http://schemas.microsoft.com/office/drawing/2014/main" id="{C2572A84-C818-2C09-B379-A4577F5F88A1}"/>
              </a:ext>
            </a:extLst>
          </xdr:cNvPr>
          <xdr:cNvCxnSpPr/>
        </xdr:nvCxnSpPr>
        <xdr:spPr>
          <a:xfrm flipH="1">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349" name="Cross_E57">
          <a:extLst>
            <a:ext uri="{FF2B5EF4-FFF2-40B4-BE49-F238E27FC236}">
              <a16:creationId xmlns:a16="http://schemas.microsoft.com/office/drawing/2014/main" id="{57CA29B5-F9ED-94BB-4875-2687528683E9}"/>
            </a:ext>
          </a:extLst>
        </xdr:cNvPr>
        <xdr:cNvGrpSpPr/>
      </xdr:nvGrpSpPr>
      <xdr:grpSpPr>
        <a:xfrm>
          <a:off x="2842260" y="10789920"/>
          <a:ext cx="601980" cy="167640"/>
          <a:chOff x="2842260" y="10789920"/>
          <a:chExt cx="601980" cy="167640"/>
        </a:xfrm>
      </xdr:grpSpPr>
      <xdr:cxnSp macro="">
        <xdr:nvCxnSpPr>
          <xdr:cNvPr id="347" name="Gerader Verbinder 346">
            <a:extLst>
              <a:ext uri="{FF2B5EF4-FFF2-40B4-BE49-F238E27FC236}">
                <a16:creationId xmlns:a16="http://schemas.microsoft.com/office/drawing/2014/main" id="{2A72A96E-5999-E82C-5A88-88D61BABFFA8}"/>
              </a:ext>
            </a:extLst>
          </xdr:cNvPr>
          <xdr:cNvCxnSpPr/>
        </xdr:nvCxnSpPr>
        <xdr:spPr>
          <a:xfrm>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8" name="Gerader Verbinder 347">
            <a:extLst>
              <a:ext uri="{FF2B5EF4-FFF2-40B4-BE49-F238E27FC236}">
                <a16:creationId xmlns:a16="http://schemas.microsoft.com/office/drawing/2014/main" id="{7E5E795E-EDB4-E1E8-5011-FE27421B1FB5}"/>
              </a:ext>
            </a:extLst>
          </xdr:cNvPr>
          <xdr:cNvCxnSpPr/>
        </xdr:nvCxnSpPr>
        <xdr:spPr>
          <a:xfrm flipH="1">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352" name="Cross_E58">
          <a:extLst>
            <a:ext uri="{FF2B5EF4-FFF2-40B4-BE49-F238E27FC236}">
              <a16:creationId xmlns:a16="http://schemas.microsoft.com/office/drawing/2014/main" id="{684CBD09-B0BE-2EFA-36E5-6B52CE46F7E4}"/>
            </a:ext>
          </a:extLst>
        </xdr:cNvPr>
        <xdr:cNvGrpSpPr/>
      </xdr:nvGrpSpPr>
      <xdr:grpSpPr>
        <a:xfrm>
          <a:off x="2842260" y="10957560"/>
          <a:ext cx="601980" cy="228600"/>
          <a:chOff x="2842260" y="10957560"/>
          <a:chExt cx="601980" cy="228600"/>
        </a:xfrm>
      </xdr:grpSpPr>
      <xdr:cxnSp macro="">
        <xdr:nvCxnSpPr>
          <xdr:cNvPr id="350" name="Gerader Verbinder 349">
            <a:extLst>
              <a:ext uri="{FF2B5EF4-FFF2-40B4-BE49-F238E27FC236}">
                <a16:creationId xmlns:a16="http://schemas.microsoft.com/office/drawing/2014/main" id="{40963B27-9DE2-CBB7-0A3A-98817CFECC91}"/>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1" name="Gerader Verbinder 350">
            <a:extLst>
              <a:ext uri="{FF2B5EF4-FFF2-40B4-BE49-F238E27FC236}">
                <a16:creationId xmlns:a16="http://schemas.microsoft.com/office/drawing/2014/main" id="{FA66655F-ED8D-A1C0-B61D-5424367DC81E}"/>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355" name="Cross_E59">
          <a:extLst>
            <a:ext uri="{FF2B5EF4-FFF2-40B4-BE49-F238E27FC236}">
              <a16:creationId xmlns:a16="http://schemas.microsoft.com/office/drawing/2014/main" id="{E3C7E4FB-1CC1-E577-C8FC-80ED9F46D64B}"/>
            </a:ext>
          </a:extLst>
        </xdr:cNvPr>
        <xdr:cNvGrpSpPr/>
      </xdr:nvGrpSpPr>
      <xdr:grpSpPr>
        <a:xfrm>
          <a:off x="2842260" y="11186160"/>
          <a:ext cx="601980" cy="167640"/>
          <a:chOff x="2842260" y="11186160"/>
          <a:chExt cx="601980" cy="167640"/>
        </a:xfrm>
      </xdr:grpSpPr>
      <xdr:cxnSp macro="">
        <xdr:nvCxnSpPr>
          <xdr:cNvPr id="353" name="Gerader Verbinder 352">
            <a:extLst>
              <a:ext uri="{FF2B5EF4-FFF2-40B4-BE49-F238E27FC236}">
                <a16:creationId xmlns:a16="http://schemas.microsoft.com/office/drawing/2014/main" id="{A7A8E738-AFDA-D036-C3A3-46F759853A2B}"/>
              </a:ext>
            </a:extLst>
          </xdr:cNvPr>
          <xdr:cNvCxnSpPr/>
        </xdr:nvCxnSpPr>
        <xdr:spPr>
          <a:xfrm>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4" name="Gerader Verbinder 353">
            <a:extLst>
              <a:ext uri="{FF2B5EF4-FFF2-40B4-BE49-F238E27FC236}">
                <a16:creationId xmlns:a16="http://schemas.microsoft.com/office/drawing/2014/main" id="{2A240D21-A3B2-DF32-0956-ECD9C0AACC26}"/>
              </a:ext>
            </a:extLst>
          </xdr:cNvPr>
          <xdr:cNvCxnSpPr/>
        </xdr:nvCxnSpPr>
        <xdr:spPr>
          <a:xfrm flipH="1">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358" name="Cross_E60">
          <a:extLst>
            <a:ext uri="{FF2B5EF4-FFF2-40B4-BE49-F238E27FC236}">
              <a16:creationId xmlns:a16="http://schemas.microsoft.com/office/drawing/2014/main" id="{72AA96A2-BA34-85A4-0D9B-27108EA63B4D}"/>
            </a:ext>
          </a:extLst>
        </xdr:cNvPr>
        <xdr:cNvGrpSpPr/>
      </xdr:nvGrpSpPr>
      <xdr:grpSpPr>
        <a:xfrm>
          <a:off x="2842260" y="11353800"/>
          <a:ext cx="601980" cy="167640"/>
          <a:chOff x="2842260" y="11353800"/>
          <a:chExt cx="601980" cy="167640"/>
        </a:xfrm>
      </xdr:grpSpPr>
      <xdr:cxnSp macro="">
        <xdr:nvCxnSpPr>
          <xdr:cNvPr id="356" name="Gerader Verbinder 355">
            <a:extLst>
              <a:ext uri="{FF2B5EF4-FFF2-40B4-BE49-F238E27FC236}">
                <a16:creationId xmlns:a16="http://schemas.microsoft.com/office/drawing/2014/main" id="{D5DF5A67-6FAB-0980-3E7F-5A554626E04F}"/>
              </a:ext>
            </a:extLst>
          </xdr:cNvPr>
          <xdr:cNvCxnSpPr/>
        </xdr:nvCxnSpPr>
        <xdr:spPr>
          <a:xfrm>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7" name="Gerader Verbinder 356">
            <a:extLst>
              <a:ext uri="{FF2B5EF4-FFF2-40B4-BE49-F238E27FC236}">
                <a16:creationId xmlns:a16="http://schemas.microsoft.com/office/drawing/2014/main" id="{38A9F923-64CF-183B-B0F9-46F77B0EAF65}"/>
              </a:ext>
            </a:extLst>
          </xdr:cNvPr>
          <xdr:cNvCxnSpPr/>
        </xdr:nvCxnSpPr>
        <xdr:spPr>
          <a:xfrm flipH="1">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361" name="Cross_E61">
          <a:extLst>
            <a:ext uri="{FF2B5EF4-FFF2-40B4-BE49-F238E27FC236}">
              <a16:creationId xmlns:a16="http://schemas.microsoft.com/office/drawing/2014/main" id="{13030FDC-2ABC-DBA5-50A3-96B6A9C6FC4C}"/>
            </a:ext>
          </a:extLst>
        </xdr:cNvPr>
        <xdr:cNvGrpSpPr/>
      </xdr:nvGrpSpPr>
      <xdr:grpSpPr>
        <a:xfrm>
          <a:off x="2842260" y="11521440"/>
          <a:ext cx="601980" cy="228600"/>
          <a:chOff x="2842260" y="11521440"/>
          <a:chExt cx="601980" cy="228600"/>
        </a:xfrm>
      </xdr:grpSpPr>
      <xdr:cxnSp macro="">
        <xdr:nvCxnSpPr>
          <xdr:cNvPr id="359" name="Gerader Verbinder 358">
            <a:extLst>
              <a:ext uri="{FF2B5EF4-FFF2-40B4-BE49-F238E27FC236}">
                <a16:creationId xmlns:a16="http://schemas.microsoft.com/office/drawing/2014/main" id="{1E307D01-4E63-4DD8-6122-D73E947D91F5}"/>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 name="Gerader Verbinder 359">
            <a:extLst>
              <a:ext uri="{FF2B5EF4-FFF2-40B4-BE49-F238E27FC236}">
                <a16:creationId xmlns:a16="http://schemas.microsoft.com/office/drawing/2014/main" id="{04BD1337-4197-75BD-6D78-7EE5A9F11E81}"/>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364" name="Cross_E62">
          <a:extLst>
            <a:ext uri="{FF2B5EF4-FFF2-40B4-BE49-F238E27FC236}">
              <a16:creationId xmlns:a16="http://schemas.microsoft.com/office/drawing/2014/main" id="{9998A3BB-8F31-35E2-394D-C26CC7C3D35E}"/>
            </a:ext>
          </a:extLst>
        </xdr:cNvPr>
        <xdr:cNvGrpSpPr/>
      </xdr:nvGrpSpPr>
      <xdr:grpSpPr>
        <a:xfrm>
          <a:off x="2842260" y="11750040"/>
          <a:ext cx="601980" cy="167640"/>
          <a:chOff x="2842260" y="11750040"/>
          <a:chExt cx="601980" cy="167640"/>
        </a:xfrm>
      </xdr:grpSpPr>
      <xdr:cxnSp macro="">
        <xdr:nvCxnSpPr>
          <xdr:cNvPr id="362" name="Gerader Verbinder 361">
            <a:extLst>
              <a:ext uri="{FF2B5EF4-FFF2-40B4-BE49-F238E27FC236}">
                <a16:creationId xmlns:a16="http://schemas.microsoft.com/office/drawing/2014/main" id="{44EACD16-46F8-7C4B-413B-282C0881EAB1}"/>
              </a:ext>
            </a:extLst>
          </xdr:cNvPr>
          <xdr:cNvCxnSpPr/>
        </xdr:nvCxnSpPr>
        <xdr:spPr>
          <a:xfrm>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3" name="Gerader Verbinder 362">
            <a:extLst>
              <a:ext uri="{FF2B5EF4-FFF2-40B4-BE49-F238E27FC236}">
                <a16:creationId xmlns:a16="http://schemas.microsoft.com/office/drawing/2014/main" id="{2902EFCA-0DD9-60FD-9307-650CE4455B54}"/>
              </a:ext>
            </a:extLst>
          </xdr:cNvPr>
          <xdr:cNvCxnSpPr/>
        </xdr:nvCxnSpPr>
        <xdr:spPr>
          <a:xfrm flipH="1">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367" name="Cross_E63">
          <a:extLst>
            <a:ext uri="{FF2B5EF4-FFF2-40B4-BE49-F238E27FC236}">
              <a16:creationId xmlns:a16="http://schemas.microsoft.com/office/drawing/2014/main" id="{4CA403C7-E224-D32F-B6DE-42A5728A3D18}"/>
            </a:ext>
          </a:extLst>
        </xdr:cNvPr>
        <xdr:cNvGrpSpPr/>
      </xdr:nvGrpSpPr>
      <xdr:grpSpPr>
        <a:xfrm>
          <a:off x="2842260" y="11917680"/>
          <a:ext cx="601980" cy="167640"/>
          <a:chOff x="2842260" y="11917680"/>
          <a:chExt cx="601980" cy="167640"/>
        </a:xfrm>
      </xdr:grpSpPr>
      <xdr:cxnSp macro="">
        <xdr:nvCxnSpPr>
          <xdr:cNvPr id="365" name="Gerader Verbinder 364">
            <a:extLst>
              <a:ext uri="{FF2B5EF4-FFF2-40B4-BE49-F238E27FC236}">
                <a16:creationId xmlns:a16="http://schemas.microsoft.com/office/drawing/2014/main" id="{C2AB2B56-1278-69CE-9F49-184AB5ACB15B}"/>
              </a:ext>
            </a:extLst>
          </xdr:cNvPr>
          <xdr:cNvCxnSpPr/>
        </xdr:nvCxnSpPr>
        <xdr:spPr>
          <a:xfrm>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6" name="Gerader Verbinder 365">
            <a:extLst>
              <a:ext uri="{FF2B5EF4-FFF2-40B4-BE49-F238E27FC236}">
                <a16:creationId xmlns:a16="http://schemas.microsoft.com/office/drawing/2014/main" id="{79A3CE26-C2E8-3AA3-775F-09E5236E4677}"/>
              </a:ext>
            </a:extLst>
          </xdr:cNvPr>
          <xdr:cNvCxnSpPr/>
        </xdr:nvCxnSpPr>
        <xdr:spPr>
          <a:xfrm flipH="1">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370" name="Cross_E70">
          <a:extLst>
            <a:ext uri="{FF2B5EF4-FFF2-40B4-BE49-F238E27FC236}">
              <a16:creationId xmlns:a16="http://schemas.microsoft.com/office/drawing/2014/main" id="{F33D484E-1E90-720A-0EEB-F8DAE0645B50}"/>
            </a:ext>
          </a:extLst>
        </xdr:cNvPr>
        <xdr:cNvGrpSpPr/>
      </xdr:nvGrpSpPr>
      <xdr:grpSpPr>
        <a:xfrm>
          <a:off x="2842260" y="13213080"/>
          <a:ext cx="601980" cy="228600"/>
          <a:chOff x="2842260" y="13213080"/>
          <a:chExt cx="601980" cy="228600"/>
        </a:xfrm>
      </xdr:grpSpPr>
      <xdr:cxnSp macro="">
        <xdr:nvCxnSpPr>
          <xdr:cNvPr id="368" name="Gerader Verbinder 367">
            <a:extLst>
              <a:ext uri="{FF2B5EF4-FFF2-40B4-BE49-F238E27FC236}">
                <a16:creationId xmlns:a16="http://schemas.microsoft.com/office/drawing/2014/main" id="{BE46E1BE-8F0D-F53C-5F7D-3972EF3EA5FA}"/>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9" name="Gerader Verbinder 368">
            <a:extLst>
              <a:ext uri="{FF2B5EF4-FFF2-40B4-BE49-F238E27FC236}">
                <a16:creationId xmlns:a16="http://schemas.microsoft.com/office/drawing/2014/main" id="{1E04215F-A97F-6935-2CA3-FE1E9A7788A7}"/>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373" name="Cross_E71">
          <a:extLst>
            <a:ext uri="{FF2B5EF4-FFF2-40B4-BE49-F238E27FC236}">
              <a16:creationId xmlns:a16="http://schemas.microsoft.com/office/drawing/2014/main" id="{CED400AF-525E-E9E1-C570-0CAE3D859971}"/>
            </a:ext>
          </a:extLst>
        </xdr:cNvPr>
        <xdr:cNvGrpSpPr/>
      </xdr:nvGrpSpPr>
      <xdr:grpSpPr>
        <a:xfrm>
          <a:off x="2842260" y="13441680"/>
          <a:ext cx="601980" cy="167640"/>
          <a:chOff x="2842260" y="13441680"/>
          <a:chExt cx="601980" cy="167640"/>
        </a:xfrm>
      </xdr:grpSpPr>
      <xdr:cxnSp macro="">
        <xdr:nvCxnSpPr>
          <xdr:cNvPr id="371" name="Gerader Verbinder 370">
            <a:extLst>
              <a:ext uri="{FF2B5EF4-FFF2-40B4-BE49-F238E27FC236}">
                <a16:creationId xmlns:a16="http://schemas.microsoft.com/office/drawing/2014/main" id="{ECBB80D6-6D82-886C-AA99-BFAE07A03CC1}"/>
              </a:ext>
            </a:extLst>
          </xdr:cNvPr>
          <xdr:cNvCxnSpPr/>
        </xdr:nvCxnSpPr>
        <xdr:spPr>
          <a:xfrm>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2" name="Gerader Verbinder 371">
            <a:extLst>
              <a:ext uri="{FF2B5EF4-FFF2-40B4-BE49-F238E27FC236}">
                <a16:creationId xmlns:a16="http://schemas.microsoft.com/office/drawing/2014/main" id="{FDDF77AB-8F1A-F36D-F2A1-0FCAE915A7F4}"/>
              </a:ext>
            </a:extLst>
          </xdr:cNvPr>
          <xdr:cNvCxnSpPr/>
        </xdr:nvCxnSpPr>
        <xdr:spPr>
          <a:xfrm flipH="1">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376" name="Cross_E72">
          <a:extLst>
            <a:ext uri="{FF2B5EF4-FFF2-40B4-BE49-F238E27FC236}">
              <a16:creationId xmlns:a16="http://schemas.microsoft.com/office/drawing/2014/main" id="{0BB55121-941A-CDB9-3FD2-96C1BDAEB2DF}"/>
            </a:ext>
          </a:extLst>
        </xdr:cNvPr>
        <xdr:cNvGrpSpPr/>
      </xdr:nvGrpSpPr>
      <xdr:grpSpPr>
        <a:xfrm>
          <a:off x="2842260" y="13609320"/>
          <a:ext cx="601980" cy="167641"/>
          <a:chOff x="2842260" y="13609320"/>
          <a:chExt cx="601980" cy="167641"/>
        </a:xfrm>
      </xdr:grpSpPr>
      <xdr:cxnSp macro="">
        <xdr:nvCxnSpPr>
          <xdr:cNvPr id="374" name="Gerader Verbinder 373">
            <a:extLst>
              <a:ext uri="{FF2B5EF4-FFF2-40B4-BE49-F238E27FC236}">
                <a16:creationId xmlns:a16="http://schemas.microsoft.com/office/drawing/2014/main" id="{82E48C73-2B8E-1C97-3DF3-BFEFA4B721EA}"/>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5" name="Gerader Verbinder 374">
            <a:extLst>
              <a:ext uri="{FF2B5EF4-FFF2-40B4-BE49-F238E27FC236}">
                <a16:creationId xmlns:a16="http://schemas.microsoft.com/office/drawing/2014/main" id="{5710DBD1-B14B-A178-E9A3-3BA5EF07CE1F}"/>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379" name="Cross_E73">
          <a:extLst>
            <a:ext uri="{FF2B5EF4-FFF2-40B4-BE49-F238E27FC236}">
              <a16:creationId xmlns:a16="http://schemas.microsoft.com/office/drawing/2014/main" id="{36C2CEE4-10C8-22BD-CDFA-8E3FCFA58992}"/>
            </a:ext>
          </a:extLst>
        </xdr:cNvPr>
        <xdr:cNvGrpSpPr/>
      </xdr:nvGrpSpPr>
      <xdr:grpSpPr>
        <a:xfrm>
          <a:off x="2842260" y="13776961"/>
          <a:ext cx="601980" cy="228600"/>
          <a:chOff x="2842260" y="13776961"/>
          <a:chExt cx="601980" cy="228600"/>
        </a:xfrm>
      </xdr:grpSpPr>
      <xdr:cxnSp macro="">
        <xdr:nvCxnSpPr>
          <xdr:cNvPr id="377" name="Gerader Verbinder 376">
            <a:extLst>
              <a:ext uri="{FF2B5EF4-FFF2-40B4-BE49-F238E27FC236}">
                <a16:creationId xmlns:a16="http://schemas.microsoft.com/office/drawing/2014/main" id="{019CAFC1-1146-728D-66E7-ACB54D356414}"/>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8" name="Gerader Verbinder 377">
            <a:extLst>
              <a:ext uri="{FF2B5EF4-FFF2-40B4-BE49-F238E27FC236}">
                <a16:creationId xmlns:a16="http://schemas.microsoft.com/office/drawing/2014/main" id="{8755017D-7049-66DF-8C01-83528FCFBAA3}"/>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382" name="Cross_E74">
          <a:extLst>
            <a:ext uri="{FF2B5EF4-FFF2-40B4-BE49-F238E27FC236}">
              <a16:creationId xmlns:a16="http://schemas.microsoft.com/office/drawing/2014/main" id="{B98CA0AA-5454-6921-FCC2-F39AFB5CBF89}"/>
            </a:ext>
          </a:extLst>
        </xdr:cNvPr>
        <xdr:cNvGrpSpPr/>
      </xdr:nvGrpSpPr>
      <xdr:grpSpPr>
        <a:xfrm>
          <a:off x="2842260" y="14005561"/>
          <a:ext cx="601980" cy="167639"/>
          <a:chOff x="2842260" y="14005561"/>
          <a:chExt cx="601980" cy="167639"/>
        </a:xfrm>
      </xdr:grpSpPr>
      <xdr:cxnSp macro="">
        <xdr:nvCxnSpPr>
          <xdr:cNvPr id="380" name="Gerader Verbinder 379">
            <a:extLst>
              <a:ext uri="{FF2B5EF4-FFF2-40B4-BE49-F238E27FC236}">
                <a16:creationId xmlns:a16="http://schemas.microsoft.com/office/drawing/2014/main" id="{031F7E41-D498-E38A-C519-DA8C4624C910}"/>
              </a:ext>
            </a:extLst>
          </xdr:cNvPr>
          <xdr:cNvCxnSpPr/>
        </xdr:nvCxnSpPr>
        <xdr:spPr>
          <a:xfrm>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1" name="Gerader Verbinder 380">
            <a:extLst>
              <a:ext uri="{FF2B5EF4-FFF2-40B4-BE49-F238E27FC236}">
                <a16:creationId xmlns:a16="http://schemas.microsoft.com/office/drawing/2014/main" id="{AEE93542-1B0D-E6FB-5F3A-751D2FE937B4}"/>
              </a:ext>
            </a:extLst>
          </xdr:cNvPr>
          <xdr:cNvCxnSpPr/>
        </xdr:nvCxnSpPr>
        <xdr:spPr>
          <a:xfrm flipH="1">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385" name="Cross_E75">
          <a:extLst>
            <a:ext uri="{FF2B5EF4-FFF2-40B4-BE49-F238E27FC236}">
              <a16:creationId xmlns:a16="http://schemas.microsoft.com/office/drawing/2014/main" id="{DB2A85BB-30DE-0E88-847A-929D74462554}"/>
            </a:ext>
          </a:extLst>
        </xdr:cNvPr>
        <xdr:cNvGrpSpPr/>
      </xdr:nvGrpSpPr>
      <xdr:grpSpPr>
        <a:xfrm>
          <a:off x="2842260" y="14173200"/>
          <a:ext cx="601980" cy="167639"/>
          <a:chOff x="2842260" y="14173200"/>
          <a:chExt cx="601980" cy="167639"/>
        </a:xfrm>
      </xdr:grpSpPr>
      <xdr:cxnSp macro="">
        <xdr:nvCxnSpPr>
          <xdr:cNvPr id="383" name="Gerader Verbinder 382">
            <a:extLst>
              <a:ext uri="{FF2B5EF4-FFF2-40B4-BE49-F238E27FC236}">
                <a16:creationId xmlns:a16="http://schemas.microsoft.com/office/drawing/2014/main" id="{8173BEAB-0B2B-8720-7A41-304162E5DFC7}"/>
              </a:ext>
            </a:extLst>
          </xdr:cNvPr>
          <xdr:cNvCxnSpPr/>
        </xdr:nvCxnSpPr>
        <xdr:spPr>
          <a:xfrm>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4" name="Gerader Verbinder 383">
            <a:extLst>
              <a:ext uri="{FF2B5EF4-FFF2-40B4-BE49-F238E27FC236}">
                <a16:creationId xmlns:a16="http://schemas.microsoft.com/office/drawing/2014/main" id="{7F0D3FCC-10AC-B9A1-6519-BF1B295D1F57}"/>
              </a:ext>
            </a:extLst>
          </xdr:cNvPr>
          <xdr:cNvCxnSpPr/>
        </xdr:nvCxnSpPr>
        <xdr:spPr>
          <a:xfrm flipH="1">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388" name="Cross_F10">
          <a:extLst>
            <a:ext uri="{FF2B5EF4-FFF2-40B4-BE49-F238E27FC236}">
              <a16:creationId xmlns:a16="http://schemas.microsoft.com/office/drawing/2014/main" id="{0DCD3316-BBD7-D14D-C4AD-090A613F9155}"/>
            </a:ext>
          </a:extLst>
        </xdr:cNvPr>
        <xdr:cNvGrpSpPr/>
      </xdr:nvGrpSpPr>
      <xdr:grpSpPr>
        <a:xfrm>
          <a:off x="3444240" y="1935480"/>
          <a:ext cx="601980" cy="228600"/>
          <a:chOff x="3444240" y="1935480"/>
          <a:chExt cx="601980" cy="228600"/>
        </a:xfrm>
      </xdr:grpSpPr>
      <xdr:cxnSp macro="">
        <xdr:nvCxnSpPr>
          <xdr:cNvPr id="386" name="Gerader Verbinder 385">
            <a:extLst>
              <a:ext uri="{FF2B5EF4-FFF2-40B4-BE49-F238E27FC236}">
                <a16:creationId xmlns:a16="http://schemas.microsoft.com/office/drawing/2014/main" id="{CB701C54-0B33-15EF-EADC-F3AA97F79D87}"/>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7" name="Gerader Verbinder 386">
            <a:extLst>
              <a:ext uri="{FF2B5EF4-FFF2-40B4-BE49-F238E27FC236}">
                <a16:creationId xmlns:a16="http://schemas.microsoft.com/office/drawing/2014/main" id="{8CC781A3-7E3C-1B75-4714-CE8BEEEBE7C0}"/>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391" name="Cross_F11">
          <a:extLst>
            <a:ext uri="{FF2B5EF4-FFF2-40B4-BE49-F238E27FC236}">
              <a16:creationId xmlns:a16="http://schemas.microsoft.com/office/drawing/2014/main" id="{89933C23-BCBD-DB1D-593B-6A1831F30255}"/>
            </a:ext>
          </a:extLst>
        </xdr:cNvPr>
        <xdr:cNvGrpSpPr/>
      </xdr:nvGrpSpPr>
      <xdr:grpSpPr>
        <a:xfrm>
          <a:off x="3444240" y="2164080"/>
          <a:ext cx="601980" cy="167640"/>
          <a:chOff x="3444240" y="2164080"/>
          <a:chExt cx="601980" cy="167640"/>
        </a:xfrm>
      </xdr:grpSpPr>
      <xdr:cxnSp macro="">
        <xdr:nvCxnSpPr>
          <xdr:cNvPr id="389" name="Gerader Verbinder 388">
            <a:extLst>
              <a:ext uri="{FF2B5EF4-FFF2-40B4-BE49-F238E27FC236}">
                <a16:creationId xmlns:a16="http://schemas.microsoft.com/office/drawing/2014/main" id="{073D28BD-77F6-9F61-AB45-08F9E2D0E6FF}"/>
              </a:ext>
            </a:extLst>
          </xdr:cNvPr>
          <xdr:cNvCxnSpPr/>
        </xdr:nvCxnSpPr>
        <xdr:spPr>
          <a:xfrm>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0" name="Gerader Verbinder 389">
            <a:extLst>
              <a:ext uri="{FF2B5EF4-FFF2-40B4-BE49-F238E27FC236}">
                <a16:creationId xmlns:a16="http://schemas.microsoft.com/office/drawing/2014/main" id="{09AA2774-71FC-C4E4-7A55-1E5FE5F12BA9}"/>
              </a:ext>
            </a:extLst>
          </xdr:cNvPr>
          <xdr:cNvCxnSpPr/>
        </xdr:nvCxnSpPr>
        <xdr:spPr>
          <a:xfrm flipH="1">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394" name="Cross_F12">
          <a:extLst>
            <a:ext uri="{FF2B5EF4-FFF2-40B4-BE49-F238E27FC236}">
              <a16:creationId xmlns:a16="http://schemas.microsoft.com/office/drawing/2014/main" id="{479310D6-D356-653F-40E9-29BB4F6493EF}"/>
            </a:ext>
          </a:extLst>
        </xdr:cNvPr>
        <xdr:cNvGrpSpPr/>
      </xdr:nvGrpSpPr>
      <xdr:grpSpPr>
        <a:xfrm>
          <a:off x="3444240" y="2331720"/>
          <a:ext cx="601980" cy="167640"/>
          <a:chOff x="3444240" y="2331720"/>
          <a:chExt cx="601980" cy="167640"/>
        </a:xfrm>
      </xdr:grpSpPr>
      <xdr:cxnSp macro="">
        <xdr:nvCxnSpPr>
          <xdr:cNvPr id="392" name="Gerader Verbinder 391">
            <a:extLst>
              <a:ext uri="{FF2B5EF4-FFF2-40B4-BE49-F238E27FC236}">
                <a16:creationId xmlns:a16="http://schemas.microsoft.com/office/drawing/2014/main" id="{C302F040-3EA8-4449-4A81-F8D3E9C53768}"/>
              </a:ext>
            </a:extLst>
          </xdr:cNvPr>
          <xdr:cNvCxnSpPr/>
        </xdr:nvCxnSpPr>
        <xdr:spPr>
          <a:xfrm>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3" name="Gerader Verbinder 392">
            <a:extLst>
              <a:ext uri="{FF2B5EF4-FFF2-40B4-BE49-F238E27FC236}">
                <a16:creationId xmlns:a16="http://schemas.microsoft.com/office/drawing/2014/main" id="{0BF73847-05CB-9CF2-5909-316DF0384809}"/>
              </a:ext>
            </a:extLst>
          </xdr:cNvPr>
          <xdr:cNvCxnSpPr/>
        </xdr:nvCxnSpPr>
        <xdr:spPr>
          <a:xfrm flipH="1">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397" name="Cross_F13">
          <a:extLst>
            <a:ext uri="{FF2B5EF4-FFF2-40B4-BE49-F238E27FC236}">
              <a16:creationId xmlns:a16="http://schemas.microsoft.com/office/drawing/2014/main" id="{F73FBA61-39A4-D376-49D8-937C7C703CF8}"/>
            </a:ext>
          </a:extLst>
        </xdr:cNvPr>
        <xdr:cNvGrpSpPr/>
      </xdr:nvGrpSpPr>
      <xdr:grpSpPr>
        <a:xfrm>
          <a:off x="3444240" y="2499360"/>
          <a:ext cx="601980" cy="228600"/>
          <a:chOff x="3444240" y="2499360"/>
          <a:chExt cx="601980" cy="228600"/>
        </a:xfrm>
      </xdr:grpSpPr>
      <xdr:cxnSp macro="">
        <xdr:nvCxnSpPr>
          <xdr:cNvPr id="395" name="Gerader Verbinder 394">
            <a:extLst>
              <a:ext uri="{FF2B5EF4-FFF2-40B4-BE49-F238E27FC236}">
                <a16:creationId xmlns:a16="http://schemas.microsoft.com/office/drawing/2014/main" id="{DD0D2239-33AB-73D1-E13C-1DD85FCD67F1}"/>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6" name="Gerader Verbinder 395">
            <a:extLst>
              <a:ext uri="{FF2B5EF4-FFF2-40B4-BE49-F238E27FC236}">
                <a16:creationId xmlns:a16="http://schemas.microsoft.com/office/drawing/2014/main" id="{45A15090-8381-BD97-4494-01DEFA8D367C}"/>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400" name="Cross_F14">
          <a:extLst>
            <a:ext uri="{FF2B5EF4-FFF2-40B4-BE49-F238E27FC236}">
              <a16:creationId xmlns:a16="http://schemas.microsoft.com/office/drawing/2014/main" id="{180B5D1F-DDEE-F6EE-EFA5-0B61D3A14E16}"/>
            </a:ext>
          </a:extLst>
        </xdr:cNvPr>
        <xdr:cNvGrpSpPr/>
      </xdr:nvGrpSpPr>
      <xdr:grpSpPr>
        <a:xfrm>
          <a:off x="3444240" y="2727960"/>
          <a:ext cx="601980" cy="167640"/>
          <a:chOff x="3444240" y="2727960"/>
          <a:chExt cx="601980" cy="167640"/>
        </a:xfrm>
      </xdr:grpSpPr>
      <xdr:cxnSp macro="">
        <xdr:nvCxnSpPr>
          <xdr:cNvPr id="398" name="Gerader Verbinder 397">
            <a:extLst>
              <a:ext uri="{FF2B5EF4-FFF2-40B4-BE49-F238E27FC236}">
                <a16:creationId xmlns:a16="http://schemas.microsoft.com/office/drawing/2014/main" id="{E0F8B122-7238-8FAA-9937-F5C25892CA7F}"/>
              </a:ext>
            </a:extLst>
          </xdr:cNvPr>
          <xdr:cNvCxnSpPr/>
        </xdr:nvCxnSpPr>
        <xdr:spPr>
          <a:xfrm>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9" name="Gerader Verbinder 398">
            <a:extLst>
              <a:ext uri="{FF2B5EF4-FFF2-40B4-BE49-F238E27FC236}">
                <a16:creationId xmlns:a16="http://schemas.microsoft.com/office/drawing/2014/main" id="{43A24269-6900-C260-780D-03EBE6B83CE7}"/>
              </a:ext>
            </a:extLst>
          </xdr:cNvPr>
          <xdr:cNvCxnSpPr/>
        </xdr:nvCxnSpPr>
        <xdr:spPr>
          <a:xfrm flipH="1">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403" name="Cross_F15">
          <a:extLst>
            <a:ext uri="{FF2B5EF4-FFF2-40B4-BE49-F238E27FC236}">
              <a16:creationId xmlns:a16="http://schemas.microsoft.com/office/drawing/2014/main" id="{00FF2166-B558-48D3-52F1-7338DD680A4C}"/>
            </a:ext>
          </a:extLst>
        </xdr:cNvPr>
        <xdr:cNvGrpSpPr/>
      </xdr:nvGrpSpPr>
      <xdr:grpSpPr>
        <a:xfrm>
          <a:off x="3444240" y="2895600"/>
          <a:ext cx="601980" cy="167640"/>
          <a:chOff x="3444240" y="2895600"/>
          <a:chExt cx="601980" cy="167640"/>
        </a:xfrm>
      </xdr:grpSpPr>
      <xdr:cxnSp macro="">
        <xdr:nvCxnSpPr>
          <xdr:cNvPr id="401" name="Gerader Verbinder 400">
            <a:extLst>
              <a:ext uri="{FF2B5EF4-FFF2-40B4-BE49-F238E27FC236}">
                <a16:creationId xmlns:a16="http://schemas.microsoft.com/office/drawing/2014/main" id="{4D142B11-2C88-6DB2-4F5D-FFA40DF61360}"/>
              </a:ext>
            </a:extLst>
          </xdr:cNvPr>
          <xdr:cNvCxnSpPr/>
        </xdr:nvCxnSpPr>
        <xdr:spPr>
          <a:xfrm>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2" name="Gerader Verbinder 401">
            <a:extLst>
              <a:ext uri="{FF2B5EF4-FFF2-40B4-BE49-F238E27FC236}">
                <a16:creationId xmlns:a16="http://schemas.microsoft.com/office/drawing/2014/main" id="{754F868A-9B76-2B78-1034-609F4225D0DF}"/>
              </a:ext>
            </a:extLst>
          </xdr:cNvPr>
          <xdr:cNvCxnSpPr/>
        </xdr:nvCxnSpPr>
        <xdr:spPr>
          <a:xfrm flipH="1">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406" name="Cross_F19">
          <a:extLst>
            <a:ext uri="{FF2B5EF4-FFF2-40B4-BE49-F238E27FC236}">
              <a16:creationId xmlns:a16="http://schemas.microsoft.com/office/drawing/2014/main" id="{7D4E5B15-8AAB-963B-1E39-9D4BC52AE55C}"/>
            </a:ext>
          </a:extLst>
        </xdr:cNvPr>
        <xdr:cNvGrpSpPr/>
      </xdr:nvGrpSpPr>
      <xdr:grpSpPr>
        <a:xfrm>
          <a:off x="3444240" y="3627120"/>
          <a:ext cx="601980" cy="228600"/>
          <a:chOff x="3444240" y="3627120"/>
          <a:chExt cx="601980" cy="228600"/>
        </a:xfrm>
      </xdr:grpSpPr>
      <xdr:cxnSp macro="">
        <xdr:nvCxnSpPr>
          <xdr:cNvPr id="404" name="Gerader Verbinder 403">
            <a:extLst>
              <a:ext uri="{FF2B5EF4-FFF2-40B4-BE49-F238E27FC236}">
                <a16:creationId xmlns:a16="http://schemas.microsoft.com/office/drawing/2014/main" id="{B6B22936-ED66-C848-EB8E-6E1BD66F853C}"/>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5" name="Gerader Verbinder 404">
            <a:extLst>
              <a:ext uri="{FF2B5EF4-FFF2-40B4-BE49-F238E27FC236}">
                <a16:creationId xmlns:a16="http://schemas.microsoft.com/office/drawing/2014/main" id="{8E5C3A79-A76F-1A7C-47A7-76CF46948263}"/>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409" name="Cross_F20">
          <a:extLst>
            <a:ext uri="{FF2B5EF4-FFF2-40B4-BE49-F238E27FC236}">
              <a16:creationId xmlns:a16="http://schemas.microsoft.com/office/drawing/2014/main" id="{357755DA-B4C0-2416-2A6A-A6F4697A67FF}"/>
            </a:ext>
          </a:extLst>
        </xdr:cNvPr>
        <xdr:cNvGrpSpPr/>
      </xdr:nvGrpSpPr>
      <xdr:grpSpPr>
        <a:xfrm>
          <a:off x="3444240" y="3855720"/>
          <a:ext cx="601980" cy="167640"/>
          <a:chOff x="3444240" y="3855720"/>
          <a:chExt cx="601980" cy="167640"/>
        </a:xfrm>
      </xdr:grpSpPr>
      <xdr:cxnSp macro="">
        <xdr:nvCxnSpPr>
          <xdr:cNvPr id="407" name="Gerader Verbinder 406">
            <a:extLst>
              <a:ext uri="{FF2B5EF4-FFF2-40B4-BE49-F238E27FC236}">
                <a16:creationId xmlns:a16="http://schemas.microsoft.com/office/drawing/2014/main" id="{8AB45CBE-71C0-ED0E-E34D-19A91F81EB03}"/>
              </a:ext>
            </a:extLst>
          </xdr:cNvPr>
          <xdr:cNvCxnSpPr/>
        </xdr:nvCxnSpPr>
        <xdr:spPr>
          <a:xfrm>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8" name="Gerader Verbinder 407">
            <a:extLst>
              <a:ext uri="{FF2B5EF4-FFF2-40B4-BE49-F238E27FC236}">
                <a16:creationId xmlns:a16="http://schemas.microsoft.com/office/drawing/2014/main" id="{5AA90C8D-A6F3-2251-4BC3-DC22B476328B}"/>
              </a:ext>
            </a:extLst>
          </xdr:cNvPr>
          <xdr:cNvCxnSpPr/>
        </xdr:nvCxnSpPr>
        <xdr:spPr>
          <a:xfrm flipH="1">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412" name="Cross_F21">
          <a:extLst>
            <a:ext uri="{FF2B5EF4-FFF2-40B4-BE49-F238E27FC236}">
              <a16:creationId xmlns:a16="http://schemas.microsoft.com/office/drawing/2014/main" id="{5400A2AE-8C9F-03CA-BE07-7C64242999A6}"/>
            </a:ext>
          </a:extLst>
        </xdr:cNvPr>
        <xdr:cNvGrpSpPr/>
      </xdr:nvGrpSpPr>
      <xdr:grpSpPr>
        <a:xfrm>
          <a:off x="3444240" y="4023360"/>
          <a:ext cx="601980" cy="167640"/>
          <a:chOff x="3444240" y="4023360"/>
          <a:chExt cx="601980" cy="167640"/>
        </a:xfrm>
      </xdr:grpSpPr>
      <xdr:cxnSp macro="">
        <xdr:nvCxnSpPr>
          <xdr:cNvPr id="410" name="Gerader Verbinder 409">
            <a:extLst>
              <a:ext uri="{FF2B5EF4-FFF2-40B4-BE49-F238E27FC236}">
                <a16:creationId xmlns:a16="http://schemas.microsoft.com/office/drawing/2014/main" id="{A4C5EA39-53BE-824D-4196-032BD0AB59E3}"/>
              </a:ext>
            </a:extLst>
          </xdr:cNvPr>
          <xdr:cNvCxnSpPr/>
        </xdr:nvCxnSpPr>
        <xdr:spPr>
          <a:xfrm>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 name="Gerader Verbinder 410">
            <a:extLst>
              <a:ext uri="{FF2B5EF4-FFF2-40B4-BE49-F238E27FC236}">
                <a16:creationId xmlns:a16="http://schemas.microsoft.com/office/drawing/2014/main" id="{1015BE82-C72D-540B-22D3-FE7C8C7CC21C}"/>
              </a:ext>
            </a:extLst>
          </xdr:cNvPr>
          <xdr:cNvCxnSpPr/>
        </xdr:nvCxnSpPr>
        <xdr:spPr>
          <a:xfrm flipH="1">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415" name="Cross_F28">
          <a:extLst>
            <a:ext uri="{FF2B5EF4-FFF2-40B4-BE49-F238E27FC236}">
              <a16:creationId xmlns:a16="http://schemas.microsoft.com/office/drawing/2014/main" id="{9ADD0BD7-92FD-E963-8952-4CA85F89FF75}"/>
            </a:ext>
          </a:extLst>
        </xdr:cNvPr>
        <xdr:cNvGrpSpPr/>
      </xdr:nvGrpSpPr>
      <xdr:grpSpPr>
        <a:xfrm>
          <a:off x="3444240" y="5318760"/>
          <a:ext cx="601980" cy="228600"/>
          <a:chOff x="3444240" y="5318760"/>
          <a:chExt cx="601980" cy="228600"/>
        </a:xfrm>
      </xdr:grpSpPr>
      <xdr:cxnSp macro="">
        <xdr:nvCxnSpPr>
          <xdr:cNvPr id="413" name="Gerader Verbinder 412">
            <a:extLst>
              <a:ext uri="{FF2B5EF4-FFF2-40B4-BE49-F238E27FC236}">
                <a16:creationId xmlns:a16="http://schemas.microsoft.com/office/drawing/2014/main" id="{0C356E38-778C-7024-B1DC-8EFE26C49C69}"/>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 name="Gerader Verbinder 413">
            <a:extLst>
              <a:ext uri="{FF2B5EF4-FFF2-40B4-BE49-F238E27FC236}">
                <a16:creationId xmlns:a16="http://schemas.microsoft.com/office/drawing/2014/main" id="{87F99CBE-542E-ACB7-8140-BAA63C68E3B9}"/>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418" name="Cross_F29">
          <a:extLst>
            <a:ext uri="{FF2B5EF4-FFF2-40B4-BE49-F238E27FC236}">
              <a16:creationId xmlns:a16="http://schemas.microsoft.com/office/drawing/2014/main" id="{1F6AEF65-7870-60C3-1143-2124570DEFF4}"/>
            </a:ext>
          </a:extLst>
        </xdr:cNvPr>
        <xdr:cNvGrpSpPr/>
      </xdr:nvGrpSpPr>
      <xdr:grpSpPr>
        <a:xfrm>
          <a:off x="3444240" y="5547360"/>
          <a:ext cx="601980" cy="167640"/>
          <a:chOff x="3444240" y="5547360"/>
          <a:chExt cx="601980" cy="167640"/>
        </a:xfrm>
      </xdr:grpSpPr>
      <xdr:cxnSp macro="">
        <xdr:nvCxnSpPr>
          <xdr:cNvPr id="416" name="Gerader Verbinder 415">
            <a:extLst>
              <a:ext uri="{FF2B5EF4-FFF2-40B4-BE49-F238E27FC236}">
                <a16:creationId xmlns:a16="http://schemas.microsoft.com/office/drawing/2014/main" id="{94A7C7F6-4E75-EDF9-43B1-E5BDB9487C79}"/>
              </a:ext>
            </a:extLst>
          </xdr:cNvPr>
          <xdr:cNvCxnSpPr/>
        </xdr:nvCxnSpPr>
        <xdr:spPr>
          <a:xfrm>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 name="Gerader Verbinder 416">
            <a:extLst>
              <a:ext uri="{FF2B5EF4-FFF2-40B4-BE49-F238E27FC236}">
                <a16:creationId xmlns:a16="http://schemas.microsoft.com/office/drawing/2014/main" id="{9690CA4A-77C6-B26B-70A4-8413C123ECC7}"/>
              </a:ext>
            </a:extLst>
          </xdr:cNvPr>
          <xdr:cNvCxnSpPr/>
        </xdr:nvCxnSpPr>
        <xdr:spPr>
          <a:xfrm flipH="1">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421" name="Cross_F30">
          <a:extLst>
            <a:ext uri="{FF2B5EF4-FFF2-40B4-BE49-F238E27FC236}">
              <a16:creationId xmlns:a16="http://schemas.microsoft.com/office/drawing/2014/main" id="{E3FC6449-64C4-DE83-F7F6-1103592D37E7}"/>
            </a:ext>
          </a:extLst>
        </xdr:cNvPr>
        <xdr:cNvGrpSpPr/>
      </xdr:nvGrpSpPr>
      <xdr:grpSpPr>
        <a:xfrm>
          <a:off x="3444240" y="5715000"/>
          <a:ext cx="601980" cy="167640"/>
          <a:chOff x="3444240" y="5715000"/>
          <a:chExt cx="601980" cy="167640"/>
        </a:xfrm>
      </xdr:grpSpPr>
      <xdr:cxnSp macro="">
        <xdr:nvCxnSpPr>
          <xdr:cNvPr id="419" name="Gerader Verbinder 418">
            <a:extLst>
              <a:ext uri="{FF2B5EF4-FFF2-40B4-BE49-F238E27FC236}">
                <a16:creationId xmlns:a16="http://schemas.microsoft.com/office/drawing/2014/main" id="{86ACC8E8-E655-C504-6DF2-455719387D4D}"/>
              </a:ext>
            </a:extLst>
          </xdr:cNvPr>
          <xdr:cNvCxnSpPr/>
        </xdr:nvCxnSpPr>
        <xdr:spPr>
          <a:xfrm>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 name="Gerader Verbinder 419">
            <a:extLst>
              <a:ext uri="{FF2B5EF4-FFF2-40B4-BE49-F238E27FC236}">
                <a16:creationId xmlns:a16="http://schemas.microsoft.com/office/drawing/2014/main" id="{5AD91CF2-8245-E04C-F38C-235FCED91770}"/>
              </a:ext>
            </a:extLst>
          </xdr:cNvPr>
          <xdr:cNvCxnSpPr/>
        </xdr:nvCxnSpPr>
        <xdr:spPr>
          <a:xfrm flipH="1">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424" name="Cross_F37">
          <a:extLst>
            <a:ext uri="{FF2B5EF4-FFF2-40B4-BE49-F238E27FC236}">
              <a16:creationId xmlns:a16="http://schemas.microsoft.com/office/drawing/2014/main" id="{8AFC8A84-F159-88A6-5C3F-D50EDBFB199D}"/>
            </a:ext>
          </a:extLst>
        </xdr:cNvPr>
        <xdr:cNvGrpSpPr/>
      </xdr:nvGrpSpPr>
      <xdr:grpSpPr>
        <a:xfrm>
          <a:off x="3444240" y="7010400"/>
          <a:ext cx="601980" cy="228600"/>
          <a:chOff x="3444240" y="7010400"/>
          <a:chExt cx="601980" cy="228600"/>
        </a:xfrm>
      </xdr:grpSpPr>
      <xdr:cxnSp macro="">
        <xdr:nvCxnSpPr>
          <xdr:cNvPr id="422" name="Gerader Verbinder 421">
            <a:extLst>
              <a:ext uri="{FF2B5EF4-FFF2-40B4-BE49-F238E27FC236}">
                <a16:creationId xmlns:a16="http://schemas.microsoft.com/office/drawing/2014/main" id="{BB3077ED-053F-D7A3-7B7B-C85CBACF3610}"/>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 name="Gerader Verbinder 422">
            <a:extLst>
              <a:ext uri="{FF2B5EF4-FFF2-40B4-BE49-F238E27FC236}">
                <a16:creationId xmlns:a16="http://schemas.microsoft.com/office/drawing/2014/main" id="{833025E8-FD4E-4563-F8E9-A887E14C5B61}"/>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427" name="Cross_F38">
          <a:extLst>
            <a:ext uri="{FF2B5EF4-FFF2-40B4-BE49-F238E27FC236}">
              <a16:creationId xmlns:a16="http://schemas.microsoft.com/office/drawing/2014/main" id="{3517404D-81AC-25D4-111C-B8D5C9E73402}"/>
            </a:ext>
          </a:extLst>
        </xdr:cNvPr>
        <xdr:cNvGrpSpPr/>
      </xdr:nvGrpSpPr>
      <xdr:grpSpPr>
        <a:xfrm>
          <a:off x="3444240" y="7239000"/>
          <a:ext cx="601980" cy="167640"/>
          <a:chOff x="3444240" y="7239000"/>
          <a:chExt cx="601980" cy="167640"/>
        </a:xfrm>
      </xdr:grpSpPr>
      <xdr:cxnSp macro="">
        <xdr:nvCxnSpPr>
          <xdr:cNvPr id="425" name="Gerader Verbinder 424">
            <a:extLst>
              <a:ext uri="{FF2B5EF4-FFF2-40B4-BE49-F238E27FC236}">
                <a16:creationId xmlns:a16="http://schemas.microsoft.com/office/drawing/2014/main" id="{C8338317-2A79-C9E4-9BAC-C1A4A24F36F8}"/>
              </a:ext>
            </a:extLst>
          </xdr:cNvPr>
          <xdr:cNvCxnSpPr/>
        </xdr:nvCxnSpPr>
        <xdr:spPr>
          <a:xfrm>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 name="Gerader Verbinder 425">
            <a:extLst>
              <a:ext uri="{FF2B5EF4-FFF2-40B4-BE49-F238E27FC236}">
                <a16:creationId xmlns:a16="http://schemas.microsoft.com/office/drawing/2014/main" id="{E9421403-265A-4FE2-6413-A1DDFE15DC13}"/>
              </a:ext>
            </a:extLst>
          </xdr:cNvPr>
          <xdr:cNvCxnSpPr/>
        </xdr:nvCxnSpPr>
        <xdr:spPr>
          <a:xfrm flipH="1">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430" name="Cross_F39">
          <a:extLst>
            <a:ext uri="{FF2B5EF4-FFF2-40B4-BE49-F238E27FC236}">
              <a16:creationId xmlns:a16="http://schemas.microsoft.com/office/drawing/2014/main" id="{9CBD5E70-7C0E-856D-32A8-4B06E3D87136}"/>
            </a:ext>
          </a:extLst>
        </xdr:cNvPr>
        <xdr:cNvGrpSpPr/>
      </xdr:nvGrpSpPr>
      <xdr:grpSpPr>
        <a:xfrm>
          <a:off x="3444240" y="7406640"/>
          <a:ext cx="601980" cy="167640"/>
          <a:chOff x="3444240" y="7406640"/>
          <a:chExt cx="601980" cy="167640"/>
        </a:xfrm>
      </xdr:grpSpPr>
      <xdr:cxnSp macro="">
        <xdr:nvCxnSpPr>
          <xdr:cNvPr id="428" name="Gerader Verbinder 427">
            <a:extLst>
              <a:ext uri="{FF2B5EF4-FFF2-40B4-BE49-F238E27FC236}">
                <a16:creationId xmlns:a16="http://schemas.microsoft.com/office/drawing/2014/main" id="{E6F17CF2-C6A6-3B70-59DA-69CD23DA3F85}"/>
              </a:ext>
            </a:extLst>
          </xdr:cNvPr>
          <xdr:cNvCxnSpPr/>
        </xdr:nvCxnSpPr>
        <xdr:spPr>
          <a:xfrm>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 name="Gerader Verbinder 428">
            <a:extLst>
              <a:ext uri="{FF2B5EF4-FFF2-40B4-BE49-F238E27FC236}">
                <a16:creationId xmlns:a16="http://schemas.microsoft.com/office/drawing/2014/main" id="{FD6EF7F5-A0B9-40E5-9089-99405A6BAB5D}"/>
              </a:ext>
            </a:extLst>
          </xdr:cNvPr>
          <xdr:cNvCxnSpPr/>
        </xdr:nvCxnSpPr>
        <xdr:spPr>
          <a:xfrm flipH="1">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433" name="Cross_F40">
          <a:extLst>
            <a:ext uri="{FF2B5EF4-FFF2-40B4-BE49-F238E27FC236}">
              <a16:creationId xmlns:a16="http://schemas.microsoft.com/office/drawing/2014/main" id="{7626711D-F54A-7E8C-565D-F0C9CC730977}"/>
            </a:ext>
          </a:extLst>
        </xdr:cNvPr>
        <xdr:cNvGrpSpPr/>
      </xdr:nvGrpSpPr>
      <xdr:grpSpPr>
        <a:xfrm>
          <a:off x="3444240" y="7574280"/>
          <a:ext cx="601980" cy="228600"/>
          <a:chOff x="3444240" y="7574280"/>
          <a:chExt cx="601980" cy="228600"/>
        </a:xfrm>
      </xdr:grpSpPr>
      <xdr:cxnSp macro="">
        <xdr:nvCxnSpPr>
          <xdr:cNvPr id="431" name="Gerader Verbinder 430">
            <a:extLst>
              <a:ext uri="{FF2B5EF4-FFF2-40B4-BE49-F238E27FC236}">
                <a16:creationId xmlns:a16="http://schemas.microsoft.com/office/drawing/2014/main" id="{27DCD967-69F6-34F6-D910-18C9E6F314B4}"/>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 name="Gerader Verbinder 431">
            <a:extLst>
              <a:ext uri="{FF2B5EF4-FFF2-40B4-BE49-F238E27FC236}">
                <a16:creationId xmlns:a16="http://schemas.microsoft.com/office/drawing/2014/main" id="{523C218D-A6C8-A881-49F9-D76E4C82E16B}"/>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436" name="Cross_F41">
          <a:extLst>
            <a:ext uri="{FF2B5EF4-FFF2-40B4-BE49-F238E27FC236}">
              <a16:creationId xmlns:a16="http://schemas.microsoft.com/office/drawing/2014/main" id="{6387C883-24BF-6E4B-1ECD-0D24F9465301}"/>
            </a:ext>
          </a:extLst>
        </xdr:cNvPr>
        <xdr:cNvGrpSpPr/>
      </xdr:nvGrpSpPr>
      <xdr:grpSpPr>
        <a:xfrm>
          <a:off x="3444240" y="7802880"/>
          <a:ext cx="601980" cy="167640"/>
          <a:chOff x="3444240" y="7802880"/>
          <a:chExt cx="601980" cy="167640"/>
        </a:xfrm>
      </xdr:grpSpPr>
      <xdr:cxnSp macro="">
        <xdr:nvCxnSpPr>
          <xdr:cNvPr id="434" name="Gerader Verbinder 433">
            <a:extLst>
              <a:ext uri="{FF2B5EF4-FFF2-40B4-BE49-F238E27FC236}">
                <a16:creationId xmlns:a16="http://schemas.microsoft.com/office/drawing/2014/main" id="{CD5357E8-0A12-BCC0-5CB4-A5DE6B6CB0FB}"/>
              </a:ext>
            </a:extLst>
          </xdr:cNvPr>
          <xdr:cNvCxnSpPr/>
        </xdr:nvCxnSpPr>
        <xdr:spPr>
          <a:xfrm>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 name="Gerader Verbinder 434">
            <a:extLst>
              <a:ext uri="{FF2B5EF4-FFF2-40B4-BE49-F238E27FC236}">
                <a16:creationId xmlns:a16="http://schemas.microsoft.com/office/drawing/2014/main" id="{1FACA990-ECA8-A541-FF4E-A2F9C76FFE73}"/>
              </a:ext>
            </a:extLst>
          </xdr:cNvPr>
          <xdr:cNvCxnSpPr/>
        </xdr:nvCxnSpPr>
        <xdr:spPr>
          <a:xfrm flipH="1">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439" name="Cross_F42">
          <a:extLst>
            <a:ext uri="{FF2B5EF4-FFF2-40B4-BE49-F238E27FC236}">
              <a16:creationId xmlns:a16="http://schemas.microsoft.com/office/drawing/2014/main" id="{74E2DD7D-1DC8-1561-5232-091DCD7AA4F8}"/>
            </a:ext>
          </a:extLst>
        </xdr:cNvPr>
        <xdr:cNvGrpSpPr/>
      </xdr:nvGrpSpPr>
      <xdr:grpSpPr>
        <a:xfrm>
          <a:off x="3444240" y="7970520"/>
          <a:ext cx="601980" cy="167640"/>
          <a:chOff x="3444240" y="7970520"/>
          <a:chExt cx="601980" cy="167640"/>
        </a:xfrm>
      </xdr:grpSpPr>
      <xdr:cxnSp macro="">
        <xdr:nvCxnSpPr>
          <xdr:cNvPr id="437" name="Gerader Verbinder 436">
            <a:extLst>
              <a:ext uri="{FF2B5EF4-FFF2-40B4-BE49-F238E27FC236}">
                <a16:creationId xmlns:a16="http://schemas.microsoft.com/office/drawing/2014/main" id="{2B2C7A82-86FD-AEE0-A9CB-19CD3F44EDD7}"/>
              </a:ext>
            </a:extLst>
          </xdr:cNvPr>
          <xdr:cNvCxnSpPr/>
        </xdr:nvCxnSpPr>
        <xdr:spPr>
          <a:xfrm>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 name="Gerader Verbinder 437">
            <a:extLst>
              <a:ext uri="{FF2B5EF4-FFF2-40B4-BE49-F238E27FC236}">
                <a16:creationId xmlns:a16="http://schemas.microsoft.com/office/drawing/2014/main" id="{3FBB909B-3939-DD52-80CE-01B8C875405B}"/>
              </a:ext>
            </a:extLst>
          </xdr:cNvPr>
          <xdr:cNvCxnSpPr/>
        </xdr:nvCxnSpPr>
        <xdr:spPr>
          <a:xfrm flipH="1">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442" name="Cross_F43">
          <a:extLst>
            <a:ext uri="{FF2B5EF4-FFF2-40B4-BE49-F238E27FC236}">
              <a16:creationId xmlns:a16="http://schemas.microsoft.com/office/drawing/2014/main" id="{44272EA7-997B-605C-27CE-909C5C310AD2}"/>
            </a:ext>
          </a:extLst>
        </xdr:cNvPr>
        <xdr:cNvGrpSpPr/>
      </xdr:nvGrpSpPr>
      <xdr:grpSpPr>
        <a:xfrm>
          <a:off x="3444240" y="8138160"/>
          <a:ext cx="601980" cy="228600"/>
          <a:chOff x="3444240" y="8138160"/>
          <a:chExt cx="601980" cy="228600"/>
        </a:xfrm>
      </xdr:grpSpPr>
      <xdr:cxnSp macro="">
        <xdr:nvCxnSpPr>
          <xdr:cNvPr id="440" name="Gerader Verbinder 439">
            <a:extLst>
              <a:ext uri="{FF2B5EF4-FFF2-40B4-BE49-F238E27FC236}">
                <a16:creationId xmlns:a16="http://schemas.microsoft.com/office/drawing/2014/main" id="{DC3CBC16-D0AB-21DB-ED20-4695AF2A6590}"/>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 name="Gerader Verbinder 440">
            <a:extLst>
              <a:ext uri="{FF2B5EF4-FFF2-40B4-BE49-F238E27FC236}">
                <a16:creationId xmlns:a16="http://schemas.microsoft.com/office/drawing/2014/main" id="{44F80CD1-DFD0-D68C-663D-56E36B46F8C4}"/>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445" name="Cross_F44">
          <a:extLst>
            <a:ext uri="{FF2B5EF4-FFF2-40B4-BE49-F238E27FC236}">
              <a16:creationId xmlns:a16="http://schemas.microsoft.com/office/drawing/2014/main" id="{D6211AC0-20DA-B236-A339-EDEA76D29B20}"/>
            </a:ext>
          </a:extLst>
        </xdr:cNvPr>
        <xdr:cNvGrpSpPr/>
      </xdr:nvGrpSpPr>
      <xdr:grpSpPr>
        <a:xfrm>
          <a:off x="3444240" y="8366760"/>
          <a:ext cx="601980" cy="167640"/>
          <a:chOff x="3444240" y="8366760"/>
          <a:chExt cx="601980" cy="167640"/>
        </a:xfrm>
      </xdr:grpSpPr>
      <xdr:cxnSp macro="">
        <xdr:nvCxnSpPr>
          <xdr:cNvPr id="443" name="Gerader Verbinder 442">
            <a:extLst>
              <a:ext uri="{FF2B5EF4-FFF2-40B4-BE49-F238E27FC236}">
                <a16:creationId xmlns:a16="http://schemas.microsoft.com/office/drawing/2014/main" id="{381CA870-52AB-A42F-5852-892B2D81E7A7}"/>
              </a:ext>
            </a:extLst>
          </xdr:cNvPr>
          <xdr:cNvCxnSpPr/>
        </xdr:nvCxnSpPr>
        <xdr:spPr>
          <a:xfrm>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 name="Gerader Verbinder 443">
            <a:extLst>
              <a:ext uri="{FF2B5EF4-FFF2-40B4-BE49-F238E27FC236}">
                <a16:creationId xmlns:a16="http://schemas.microsoft.com/office/drawing/2014/main" id="{EAA3C6B7-F978-A6A5-4207-69C4FD327685}"/>
              </a:ext>
            </a:extLst>
          </xdr:cNvPr>
          <xdr:cNvCxnSpPr/>
        </xdr:nvCxnSpPr>
        <xdr:spPr>
          <a:xfrm flipH="1">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448" name="Cross_F45">
          <a:extLst>
            <a:ext uri="{FF2B5EF4-FFF2-40B4-BE49-F238E27FC236}">
              <a16:creationId xmlns:a16="http://schemas.microsoft.com/office/drawing/2014/main" id="{3576078B-3329-277A-FA88-7E07D53F69A2}"/>
            </a:ext>
          </a:extLst>
        </xdr:cNvPr>
        <xdr:cNvGrpSpPr/>
      </xdr:nvGrpSpPr>
      <xdr:grpSpPr>
        <a:xfrm>
          <a:off x="3444240" y="8534400"/>
          <a:ext cx="601980" cy="167640"/>
          <a:chOff x="3444240" y="8534400"/>
          <a:chExt cx="601980" cy="167640"/>
        </a:xfrm>
      </xdr:grpSpPr>
      <xdr:cxnSp macro="">
        <xdr:nvCxnSpPr>
          <xdr:cNvPr id="446" name="Gerader Verbinder 445">
            <a:extLst>
              <a:ext uri="{FF2B5EF4-FFF2-40B4-BE49-F238E27FC236}">
                <a16:creationId xmlns:a16="http://schemas.microsoft.com/office/drawing/2014/main" id="{FAEF8E05-7A00-9B85-D535-9B6835FE4E06}"/>
              </a:ext>
            </a:extLst>
          </xdr:cNvPr>
          <xdr:cNvCxnSpPr/>
        </xdr:nvCxnSpPr>
        <xdr:spPr>
          <a:xfrm>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 name="Gerader Verbinder 446">
            <a:extLst>
              <a:ext uri="{FF2B5EF4-FFF2-40B4-BE49-F238E27FC236}">
                <a16:creationId xmlns:a16="http://schemas.microsoft.com/office/drawing/2014/main" id="{0B62EF6F-EFCA-C866-1B74-76FE5366DC1B}"/>
              </a:ext>
            </a:extLst>
          </xdr:cNvPr>
          <xdr:cNvCxnSpPr/>
        </xdr:nvCxnSpPr>
        <xdr:spPr>
          <a:xfrm flipH="1">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451" name="Cross_F46">
          <a:extLst>
            <a:ext uri="{FF2B5EF4-FFF2-40B4-BE49-F238E27FC236}">
              <a16:creationId xmlns:a16="http://schemas.microsoft.com/office/drawing/2014/main" id="{7C909BCC-B994-C037-3F60-8436C94ADBBB}"/>
            </a:ext>
          </a:extLst>
        </xdr:cNvPr>
        <xdr:cNvGrpSpPr/>
      </xdr:nvGrpSpPr>
      <xdr:grpSpPr>
        <a:xfrm>
          <a:off x="3444240" y="8702040"/>
          <a:ext cx="601980" cy="228600"/>
          <a:chOff x="3444240" y="8702040"/>
          <a:chExt cx="601980" cy="228600"/>
        </a:xfrm>
      </xdr:grpSpPr>
      <xdr:cxnSp macro="">
        <xdr:nvCxnSpPr>
          <xdr:cNvPr id="449" name="Gerader Verbinder 448">
            <a:extLst>
              <a:ext uri="{FF2B5EF4-FFF2-40B4-BE49-F238E27FC236}">
                <a16:creationId xmlns:a16="http://schemas.microsoft.com/office/drawing/2014/main" id="{30712029-B180-018D-5C73-168CC312B343}"/>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 name="Gerader Verbinder 449">
            <a:extLst>
              <a:ext uri="{FF2B5EF4-FFF2-40B4-BE49-F238E27FC236}">
                <a16:creationId xmlns:a16="http://schemas.microsoft.com/office/drawing/2014/main" id="{E6FAE162-F0BF-77B7-725F-807609872395}"/>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454" name="Cross_F47">
          <a:extLst>
            <a:ext uri="{FF2B5EF4-FFF2-40B4-BE49-F238E27FC236}">
              <a16:creationId xmlns:a16="http://schemas.microsoft.com/office/drawing/2014/main" id="{9CB99441-A7B6-12EC-19C7-41CC8DAAA922}"/>
            </a:ext>
          </a:extLst>
        </xdr:cNvPr>
        <xdr:cNvGrpSpPr/>
      </xdr:nvGrpSpPr>
      <xdr:grpSpPr>
        <a:xfrm>
          <a:off x="3444240" y="8930640"/>
          <a:ext cx="601980" cy="167640"/>
          <a:chOff x="3444240" y="8930640"/>
          <a:chExt cx="601980" cy="167640"/>
        </a:xfrm>
      </xdr:grpSpPr>
      <xdr:cxnSp macro="">
        <xdr:nvCxnSpPr>
          <xdr:cNvPr id="452" name="Gerader Verbinder 451">
            <a:extLst>
              <a:ext uri="{FF2B5EF4-FFF2-40B4-BE49-F238E27FC236}">
                <a16:creationId xmlns:a16="http://schemas.microsoft.com/office/drawing/2014/main" id="{C833698A-C313-56BA-D35A-A7541438FE30}"/>
              </a:ext>
            </a:extLst>
          </xdr:cNvPr>
          <xdr:cNvCxnSpPr/>
        </xdr:nvCxnSpPr>
        <xdr:spPr>
          <a:xfrm>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3" name="Gerader Verbinder 452">
            <a:extLst>
              <a:ext uri="{FF2B5EF4-FFF2-40B4-BE49-F238E27FC236}">
                <a16:creationId xmlns:a16="http://schemas.microsoft.com/office/drawing/2014/main" id="{5C679F71-95BF-54C5-6E8E-F69B283EC8C1}"/>
              </a:ext>
            </a:extLst>
          </xdr:cNvPr>
          <xdr:cNvCxnSpPr/>
        </xdr:nvCxnSpPr>
        <xdr:spPr>
          <a:xfrm flipH="1">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457" name="Cross_F48">
          <a:extLst>
            <a:ext uri="{FF2B5EF4-FFF2-40B4-BE49-F238E27FC236}">
              <a16:creationId xmlns:a16="http://schemas.microsoft.com/office/drawing/2014/main" id="{60128857-909A-020B-4B50-C6EA8DFB3D18}"/>
            </a:ext>
          </a:extLst>
        </xdr:cNvPr>
        <xdr:cNvGrpSpPr/>
      </xdr:nvGrpSpPr>
      <xdr:grpSpPr>
        <a:xfrm>
          <a:off x="3444240" y="9098280"/>
          <a:ext cx="601980" cy="167640"/>
          <a:chOff x="3444240" y="9098280"/>
          <a:chExt cx="601980" cy="167640"/>
        </a:xfrm>
      </xdr:grpSpPr>
      <xdr:cxnSp macro="">
        <xdr:nvCxnSpPr>
          <xdr:cNvPr id="455" name="Gerader Verbinder 454">
            <a:extLst>
              <a:ext uri="{FF2B5EF4-FFF2-40B4-BE49-F238E27FC236}">
                <a16:creationId xmlns:a16="http://schemas.microsoft.com/office/drawing/2014/main" id="{EF997840-89E4-3EDD-E870-E9D2C44BCE15}"/>
              </a:ext>
            </a:extLst>
          </xdr:cNvPr>
          <xdr:cNvCxnSpPr/>
        </xdr:nvCxnSpPr>
        <xdr:spPr>
          <a:xfrm>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6" name="Gerader Verbinder 455">
            <a:extLst>
              <a:ext uri="{FF2B5EF4-FFF2-40B4-BE49-F238E27FC236}">
                <a16:creationId xmlns:a16="http://schemas.microsoft.com/office/drawing/2014/main" id="{A9873657-117C-292F-EBAA-B8ADE443F600}"/>
              </a:ext>
            </a:extLst>
          </xdr:cNvPr>
          <xdr:cNvCxnSpPr/>
        </xdr:nvCxnSpPr>
        <xdr:spPr>
          <a:xfrm flipH="1">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460" name="Cross_F55">
          <a:extLst>
            <a:ext uri="{FF2B5EF4-FFF2-40B4-BE49-F238E27FC236}">
              <a16:creationId xmlns:a16="http://schemas.microsoft.com/office/drawing/2014/main" id="{761978B1-1C74-5CB4-CEC1-AFAF8E6013B8}"/>
            </a:ext>
          </a:extLst>
        </xdr:cNvPr>
        <xdr:cNvGrpSpPr/>
      </xdr:nvGrpSpPr>
      <xdr:grpSpPr>
        <a:xfrm>
          <a:off x="3444240" y="10393680"/>
          <a:ext cx="601980" cy="228600"/>
          <a:chOff x="3444240" y="10393680"/>
          <a:chExt cx="601980" cy="228600"/>
        </a:xfrm>
      </xdr:grpSpPr>
      <xdr:cxnSp macro="">
        <xdr:nvCxnSpPr>
          <xdr:cNvPr id="458" name="Gerader Verbinder 457">
            <a:extLst>
              <a:ext uri="{FF2B5EF4-FFF2-40B4-BE49-F238E27FC236}">
                <a16:creationId xmlns:a16="http://schemas.microsoft.com/office/drawing/2014/main" id="{146BCB5C-0069-F37D-2DB8-332908EC76E8}"/>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9" name="Gerader Verbinder 458">
            <a:extLst>
              <a:ext uri="{FF2B5EF4-FFF2-40B4-BE49-F238E27FC236}">
                <a16:creationId xmlns:a16="http://schemas.microsoft.com/office/drawing/2014/main" id="{D0CBFC27-E2C1-2FC7-7D75-ABAEBBED324D}"/>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463" name="Cross_F56">
          <a:extLst>
            <a:ext uri="{FF2B5EF4-FFF2-40B4-BE49-F238E27FC236}">
              <a16:creationId xmlns:a16="http://schemas.microsoft.com/office/drawing/2014/main" id="{A7160B3A-97B6-F4C7-5641-39B7D685A577}"/>
            </a:ext>
          </a:extLst>
        </xdr:cNvPr>
        <xdr:cNvGrpSpPr/>
      </xdr:nvGrpSpPr>
      <xdr:grpSpPr>
        <a:xfrm>
          <a:off x="3444240" y="10622280"/>
          <a:ext cx="601980" cy="167640"/>
          <a:chOff x="3444240" y="10622280"/>
          <a:chExt cx="601980" cy="167640"/>
        </a:xfrm>
      </xdr:grpSpPr>
      <xdr:cxnSp macro="">
        <xdr:nvCxnSpPr>
          <xdr:cNvPr id="461" name="Gerader Verbinder 460">
            <a:extLst>
              <a:ext uri="{FF2B5EF4-FFF2-40B4-BE49-F238E27FC236}">
                <a16:creationId xmlns:a16="http://schemas.microsoft.com/office/drawing/2014/main" id="{1B7F739D-A5A5-935D-6935-2F1872E34DF9}"/>
              </a:ext>
            </a:extLst>
          </xdr:cNvPr>
          <xdr:cNvCxnSpPr/>
        </xdr:nvCxnSpPr>
        <xdr:spPr>
          <a:xfrm>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2" name="Gerader Verbinder 461">
            <a:extLst>
              <a:ext uri="{FF2B5EF4-FFF2-40B4-BE49-F238E27FC236}">
                <a16:creationId xmlns:a16="http://schemas.microsoft.com/office/drawing/2014/main" id="{666C2CBD-6EBB-0808-C907-FF5AF4F934E2}"/>
              </a:ext>
            </a:extLst>
          </xdr:cNvPr>
          <xdr:cNvCxnSpPr/>
        </xdr:nvCxnSpPr>
        <xdr:spPr>
          <a:xfrm flipH="1">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466" name="Cross_F57">
          <a:extLst>
            <a:ext uri="{FF2B5EF4-FFF2-40B4-BE49-F238E27FC236}">
              <a16:creationId xmlns:a16="http://schemas.microsoft.com/office/drawing/2014/main" id="{53D6A0CE-2FAC-333D-586C-E520AA84F9AD}"/>
            </a:ext>
          </a:extLst>
        </xdr:cNvPr>
        <xdr:cNvGrpSpPr/>
      </xdr:nvGrpSpPr>
      <xdr:grpSpPr>
        <a:xfrm>
          <a:off x="3444240" y="10789920"/>
          <a:ext cx="601980" cy="167640"/>
          <a:chOff x="3444240" y="10789920"/>
          <a:chExt cx="601980" cy="167640"/>
        </a:xfrm>
      </xdr:grpSpPr>
      <xdr:cxnSp macro="">
        <xdr:nvCxnSpPr>
          <xdr:cNvPr id="464" name="Gerader Verbinder 463">
            <a:extLst>
              <a:ext uri="{FF2B5EF4-FFF2-40B4-BE49-F238E27FC236}">
                <a16:creationId xmlns:a16="http://schemas.microsoft.com/office/drawing/2014/main" id="{BAD8EA84-0DD6-5A3B-A162-25F03FDF651F}"/>
              </a:ext>
            </a:extLst>
          </xdr:cNvPr>
          <xdr:cNvCxnSpPr/>
        </xdr:nvCxnSpPr>
        <xdr:spPr>
          <a:xfrm>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5" name="Gerader Verbinder 464">
            <a:extLst>
              <a:ext uri="{FF2B5EF4-FFF2-40B4-BE49-F238E27FC236}">
                <a16:creationId xmlns:a16="http://schemas.microsoft.com/office/drawing/2014/main" id="{E8B0CD59-80FC-C382-BB61-E9B1DFDCE5C4}"/>
              </a:ext>
            </a:extLst>
          </xdr:cNvPr>
          <xdr:cNvCxnSpPr/>
        </xdr:nvCxnSpPr>
        <xdr:spPr>
          <a:xfrm flipH="1">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469" name="Cross_F58">
          <a:extLst>
            <a:ext uri="{FF2B5EF4-FFF2-40B4-BE49-F238E27FC236}">
              <a16:creationId xmlns:a16="http://schemas.microsoft.com/office/drawing/2014/main" id="{CB1A8F34-8189-E0F8-88F2-B11605246B35}"/>
            </a:ext>
          </a:extLst>
        </xdr:cNvPr>
        <xdr:cNvGrpSpPr/>
      </xdr:nvGrpSpPr>
      <xdr:grpSpPr>
        <a:xfrm>
          <a:off x="3444240" y="10957560"/>
          <a:ext cx="601980" cy="228600"/>
          <a:chOff x="3444240" y="10957560"/>
          <a:chExt cx="601980" cy="228600"/>
        </a:xfrm>
      </xdr:grpSpPr>
      <xdr:cxnSp macro="">
        <xdr:nvCxnSpPr>
          <xdr:cNvPr id="467" name="Gerader Verbinder 466">
            <a:extLst>
              <a:ext uri="{FF2B5EF4-FFF2-40B4-BE49-F238E27FC236}">
                <a16:creationId xmlns:a16="http://schemas.microsoft.com/office/drawing/2014/main" id="{16425476-1D10-38E4-0C81-D0EF2329375D}"/>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8" name="Gerader Verbinder 467">
            <a:extLst>
              <a:ext uri="{FF2B5EF4-FFF2-40B4-BE49-F238E27FC236}">
                <a16:creationId xmlns:a16="http://schemas.microsoft.com/office/drawing/2014/main" id="{4D90636B-7EE0-79F3-AEBD-C2636DF951CE}"/>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472" name="Cross_F59">
          <a:extLst>
            <a:ext uri="{FF2B5EF4-FFF2-40B4-BE49-F238E27FC236}">
              <a16:creationId xmlns:a16="http://schemas.microsoft.com/office/drawing/2014/main" id="{B5F547EF-FE51-B3BC-D076-0146D480ED63}"/>
            </a:ext>
          </a:extLst>
        </xdr:cNvPr>
        <xdr:cNvGrpSpPr/>
      </xdr:nvGrpSpPr>
      <xdr:grpSpPr>
        <a:xfrm>
          <a:off x="3444240" y="11186160"/>
          <a:ext cx="601980" cy="167640"/>
          <a:chOff x="3444240" y="11186160"/>
          <a:chExt cx="601980" cy="167640"/>
        </a:xfrm>
      </xdr:grpSpPr>
      <xdr:cxnSp macro="">
        <xdr:nvCxnSpPr>
          <xdr:cNvPr id="470" name="Gerader Verbinder 469">
            <a:extLst>
              <a:ext uri="{FF2B5EF4-FFF2-40B4-BE49-F238E27FC236}">
                <a16:creationId xmlns:a16="http://schemas.microsoft.com/office/drawing/2014/main" id="{00C8B04A-6712-D382-0D79-F4D114CB6EBE}"/>
              </a:ext>
            </a:extLst>
          </xdr:cNvPr>
          <xdr:cNvCxnSpPr/>
        </xdr:nvCxnSpPr>
        <xdr:spPr>
          <a:xfrm>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1" name="Gerader Verbinder 470">
            <a:extLst>
              <a:ext uri="{FF2B5EF4-FFF2-40B4-BE49-F238E27FC236}">
                <a16:creationId xmlns:a16="http://schemas.microsoft.com/office/drawing/2014/main" id="{5861DE4B-8B91-DE26-FFEE-9B815ED01FF2}"/>
              </a:ext>
            </a:extLst>
          </xdr:cNvPr>
          <xdr:cNvCxnSpPr/>
        </xdr:nvCxnSpPr>
        <xdr:spPr>
          <a:xfrm flipH="1">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475" name="Cross_F60">
          <a:extLst>
            <a:ext uri="{FF2B5EF4-FFF2-40B4-BE49-F238E27FC236}">
              <a16:creationId xmlns:a16="http://schemas.microsoft.com/office/drawing/2014/main" id="{6876E57F-8D97-B10F-B7D4-F643D33F5BE5}"/>
            </a:ext>
          </a:extLst>
        </xdr:cNvPr>
        <xdr:cNvGrpSpPr/>
      </xdr:nvGrpSpPr>
      <xdr:grpSpPr>
        <a:xfrm>
          <a:off x="3444240" y="11353800"/>
          <a:ext cx="601980" cy="167640"/>
          <a:chOff x="3444240" y="11353800"/>
          <a:chExt cx="601980" cy="167640"/>
        </a:xfrm>
      </xdr:grpSpPr>
      <xdr:cxnSp macro="">
        <xdr:nvCxnSpPr>
          <xdr:cNvPr id="473" name="Gerader Verbinder 472">
            <a:extLst>
              <a:ext uri="{FF2B5EF4-FFF2-40B4-BE49-F238E27FC236}">
                <a16:creationId xmlns:a16="http://schemas.microsoft.com/office/drawing/2014/main" id="{188FC4E7-DCAC-104F-6E1B-C5AACB49FA4F}"/>
              </a:ext>
            </a:extLst>
          </xdr:cNvPr>
          <xdr:cNvCxnSpPr/>
        </xdr:nvCxnSpPr>
        <xdr:spPr>
          <a:xfrm>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4" name="Gerader Verbinder 473">
            <a:extLst>
              <a:ext uri="{FF2B5EF4-FFF2-40B4-BE49-F238E27FC236}">
                <a16:creationId xmlns:a16="http://schemas.microsoft.com/office/drawing/2014/main" id="{7E2BEFAE-399D-29E7-1268-870D3C143470}"/>
              </a:ext>
            </a:extLst>
          </xdr:cNvPr>
          <xdr:cNvCxnSpPr/>
        </xdr:nvCxnSpPr>
        <xdr:spPr>
          <a:xfrm flipH="1">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478" name="Cross_F61">
          <a:extLst>
            <a:ext uri="{FF2B5EF4-FFF2-40B4-BE49-F238E27FC236}">
              <a16:creationId xmlns:a16="http://schemas.microsoft.com/office/drawing/2014/main" id="{46C684C6-7373-322E-729C-2906CB8B0E30}"/>
            </a:ext>
          </a:extLst>
        </xdr:cNvPr>
        <xdr:cNvGrpSpPr/>
      </xdr:nvGrpSpPr>
      <xdr:grpSpPr>
        <a:xfrm>
          <a:off x="3444240" y="11521440"/>
          <a:ext cx="601980" cy="228600"/>
          <a:chOff x="3444240" y="11521440"/>
          <a:chExt cx="601980" cy="228600"/>
        </a:xfrm>
      </xdr:grpSpPr>
      <xdr:cxnSp macro="">
        <xdr:nvCxnSpPr>
          <xdr:cNvPr id="476" name="Gerader Verbinder 475">
            <a:extLst>
              <a:ext uri="{FF2B5EF4-FFF2-40B4-BE49-F238E27FC236}">
                <a16:creationId xmlns:a16="http://schemas.microsoft.com/office/drawing/2014/main" id="{B33E93B6-34A3-BA6E-09EF-32494D805F30}"/>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7" name="Gerader Verbinder 476">
            <a:extLst>
              <a:ext uri="{FF2B5EF4-FFF2-40B4-BE49-F238E27FC236}">
                <a16:creationId xmlns:a16="http://schemas.microsoft.com/office/drawing/2014/main" id="{A273B245-6F6B-FA63-D93A-2E65C2EBEF52}"/>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481" name="Cross_F62">
          <a:extLst>
            <a:ext uri="{FF2B5EF4-FFF2-40B4-BE49-F238E27FC236}">
              <a16:creationId xmlns:a16="http://schemas.microsoft.com/office/drawing/2014/main" id="{A2858780-964D-D959-D10D-B0D1D7C3EC04}"/>
            </a:ext>
          </a:extLst>
        </xdr:cNvPr>
        <xdr:cNvGrpSpPr/>
      </xdr:nvGrpSpPr>
      <xdr:grpSpPr>
        <a:xfrm>
          <a:off x="3444240" y="11750040"/>
          <a:ext cx="601980" cy="167640"/>
          <a:chOff x="3444240" y="11750040"/>
          <a:chExt cx="601980" cy="167640"/>
        </a:xfrm>
      </xdr:grpSpPr>
      <xdr:cxnSp macro="">
        <xdr:nvCxnSpPr>
          <xdr:cNvPr id="479" name="Gerader Verbinder 478">
            <a:extLst>
              <a:ext uri="{FF2B5EF4-FFF2-40B4-BE49-F238E27FC236}">
                <a16:creationId xmlns:a16="http://schemas.microsoft.com/office/drawing/2014/main" id="{45A5131D-BB4F-0EB4-579F-3F5BD1F04C71}"/>
              </a:ext>
            </a:extLst>
          </xdr:cNvPr>
          <xdr:cNvCxnSpPr/>
        </xdr:nvCxnSpPr>
        <xdr:spPr>
          <a:xfrm>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0" name="Gerader Verbinder 479">
            <a:extLst>
              <a:ext uri="{FF2B5EF4-FFF2-40B4-BE49-F238E27FC236}">
                <a16:creationId xmlns:a16="http://schemas.microsoft.com/office/drawing/2014/main" id="{741FE51F-8DFA-204D-7373-748C7DC49D45}"/>
              </a:ext>
            </a:extLst>
          </xdr:cNvPr>
          <xdr:cNvCxnSpPr/>
        </xdr:nvCxnSpPr>
        <xdr:spPr>
          <a:xfrm flipH="1">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484" name="Cross_F63">
          <a:extLst>
            <a:ext uri="{FF2B5EF4-FFF2-40B4-BE49-F238E27FC236}">
              <a16:creationId xmlns:a16="http://schemas.microsoft.com/office/drawing/2014/main" id="{E9824160-838D-B49D-BD0A-9C241B2A7E17}"/>
            </a:ext>
          </a:extLst>
        </xdr:cNvPr>
        <xdr:cNvGrpSpPr/>
      </xdr:nvGrpSpPr>
      <xdr:grpSpPr>
        <a:xfrm>
          <a:off x="3444240" y="11917680"/>
          <a:ext cx="601980" cy="167640"/>
          <a:chOff x="3444240" y="11917680"/>
          <a:chExt cx="601980" cy="167640"/>
        </a:xfrm>
      </xdr:grpSpPr>
      <xdr:cxnSp macro="">
        <xdr:nvCxnSpPr>
          <xdr:cNvPr id="482" name="Gerader Verbinder 481">
            <a:extLst>
              <a:ext uri="{FF2B5EF4-FFF2-40B4-BE49-F238E27FC236}">
                <a16:creationId xmlns:a16="http://schemas.microsoft.com/office/drawing/2014/main" id="{A0D5EB1E-ABA8-6FA3-8385-A46CB6550C4F}"/>
              </a:ext>
            </a:extLst>
          </xdr:cNvPr>
          <xdr:cNvCxnSpPr/>
        </xdr:nvCxnSpPr>
        <xdr:spPr>
          <a:xfrm>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3" name="Gerader Verbinder 482">
            <a:extLst>
              <a:ext uri="{FF2B5EF4-FFF2-40B4-BE49-F238E27FC236}">
                <a16:creationId xmlns:a16="http://schemas.microsoft.com/office/drawing/2014/main" id="{6C086963-5968-65B5-DD5A-57168948639E}"/>
              </a:ext>
            </a:extLst>
          </xdr:cNvPr>
          <xdr:cNvCxnSpPr/>
        </xdr:nvCxnSpPr>
        <xdr:spPr>
          <a:xfrm flipH="1">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487" name="Cross_F70">
          <a:extLst>
            <a:ext uri="{FF2B5EF4-FFF2-40B4-BE49-F238E27FC236}">
              <a16:creationId xmlns:a16="http://schemas.microsoft.com/office/drawing/2014/main" id="{1C63CAEA-09CF-EF11-E03B-CCB2CD6BFEE5}"/>
            </a:ext>
          </a:extLst>
        </xdr:cNvPr>
        <xdr:cNvGrpSpPr/>
      </xdr:nvGrpSpPr>
      <xdr:grpSpPr>
        <a:xfrm>
          <a:off x="3444240" y="13213080"/>
          <a:ext cx="601980" cy="228600"/>
          <a:chOff x="3444240" y="13213080"/>
          <a:chExt cx="601980" cy="228600"/>
        </a:xfrm>
      </xdr:grpSpPr>
      <xdr:cxnSp macro="">
        <xdr:nvCxnSpPr>
          <xdr:cNvPr id="485" name="Gerader Verbinder 484">
            <a:extLst>
              <a:ext uri="{FF2B5EF4-FFF2-40B4-BE49-F238E27FC236}">
                <a16:creationId xmlns:a16="http://schemas.microsoft.com/office/drawing/2014/main" id="{78D65ACE-252C-21E9-5543-0F7B8CA3880A}"/>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6" name="Gerader Verbinder 485">
            <a:extLst>
              <a:ext uri="{FF2B5EF4-FFF2-40B4-BE49-F238E27FC236}">
                <a16:creationId xmlns:a16="http://schemas.microsoft.com/office/drawing/2014/main" id="{A7C3C5D2-90A2-91DE-3CE5-3BDEDA1ED41F}"/>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490" name="Cross_F71">
          <a:extLst>
            <a:ext uri="{FF2B5EF4-FFF2-40B4-BE49-F238E27FC236}">
              <a16:creationId xmlns:a16="http://schemas.microsoft.com/office/drawing/2014/main" id="{EFF30F47-29E9-9798-E2C8-E0C544F9CE9C}"/>
            </a:ext>
          </a:extLst>
        </xdr:cNvPr>
        <xdr:cNvGrpSpPr/>
      </xdr:nvGrpSpPr>
      <xdr:grpSpPr>
        <a:xfrm>
          <a:off x="3444240" y="13441680"/>
          <a:ext cx="601980" cy="167640"/>
          <a:chOff x="3444240" y="13441680"/>
          <a:chExt cx="601980" cy="167640"/>
        </a:xfrm>
      </xdr:grpSpPr>
      <xdr:cxnSp macro="">
        <xdr:nvCxnSpPr>
          <xdr:cNvPr id="488" name="Gerader Verbinder 487">
            <a:extLst>
              <a:ext uri="{FF2B5EF4-FFF2-40B4-BE49-F238E27FC236}">
                <a16:creationId xmlns:a16="http://schemas.microsoft.com/office/drawing/2014/main" id="{3315272E-D5A1-4FDE-FB0A-BEBBCC1E341F}"/>
              </a:ext>
            </a:extLst>
          </xdr:cNvPr>
          <xdr:cNvCxnSpPr/>
        </xdr:nvCxnSpPr>
        <xdr:spPr>
          <a:xfrm>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9" name="Gerader Verbinder 488">
            <a:extLst>
              <a:ext uri="{FF2B5EF4-FFF2-40B4-BE49-F238E27FC236}">
                <a16:creationId xmlns:a16="http://schemas.microsoft.com/office/drawing/2014/main" id="{DE8DF40B-BAF2-81A3-86AE-B544E4072F55}"/>
              </a:ext>
            </a:extLst>
          </xdr:cNvPr>
          <xdr:cNvCxnSpPr/>
        </xdr:nvCxnSpPr>
        <xdr:spPr>
          <a:xfrm flipH="1">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493" name="Cross_F72">
          <a:extLst>
            <a:ext uri="{FF2B5EF4-FFF2-40B4-BE49-F238E27FC236}">
              <a16:creationId xmlns:a16="http://schemas.microsoft.com/office/drawing/2014/main" id="{5ECDAFA9-C6FE-71BB-A782-B38AA3FE6743}"/>
            </a:ext>
          </a:extLst>
        </xdr:cNvPr>
        <xdr:cNvGrpSpPr/>
      </xdr:nvGrpSpPr>
      <xdr:grpSpPr>
        <a:xfrm>
          <a:off x="3444240" y="13609320"/>
          <a:ext cx="601980" cy="167641"/>
          <a:chOff x="3444240" y="13609320"/>
          <a:chExt cx="601980" cy="167641"/>
        </a:xfrm>
      </xdr:grpSpPr>
      <xdr:cxnSp macro="">
        <xdr:nvCxnSpPr>
          <xdr:cNvPr id="491" name="Gerader Verbinder 490">
            <a:extLst>
              <a:ext uri="{FF2B5EF4-FFF2-40B4-BE49-F238E27FC236}">
                <a16:creationId xmlns:a16="http://schemas.microsoft.com/office/drawing/2014/main" id="{4324C673-A52F-538B-B861-0DC8B4349603}"/>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2" name="Gerader Verbinder 491">
            <a:extLst>
              <a:ext uri="{FF2B5EF4-FFF2-40B4-BE49-F238E27FC236}">
                <a16:creationId xmlns:a16="http://schemas.microsoft.com/office/drawing/2014/main" id="{FE43824B-340B-BE8E-4148-1D950DF8AEE3}"/>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496" name="Cross_F73">
          <a:extLst>
            <a:ext uri="{FF2B5EF4-FFF2-40B4-BE49-F238E27FC236}">
              <a16:creationId xmlns:a16="http://schemas.microsoft.com/office/drawing/2014/main" id="{B15FBDD1-FE0F-EF3F-8B38-6AADFF30F131}"/>
            </a:ext>
          </a:extLst>
        </xdr:cNvPr>
        <xdr:cNvGrpSpPr/>
      </xdr:nvGrpSpPr>
      <xdr:grpSpPr>
        <a:xfrm>
          <a:off x="3444240" y="13776961"/>
          <a:ext cx="601980" cy="228600"/>
          <a:chOff x="3444240" y="13776961"/>
          <a:chExt cx="601980" cy="228600"/>
        </a:xfrm>
      </xdr:grpSpPr>
      <xdr:cxnSp macro="">
        <xdr:nvCxnSpPr>
          <xdr:cNvPr id="494" name="Gerader Verbinder 493">
            <a:extLst>
              <a:ext uri="{FF2B5EF4-FFF2-40B4-BE49-F238E27FC236}">
                <a16:creationId xmlns:a16="http://schemas.microsoft.com/office/drawing/2014/main" id="{15A1CF1D-3C54-6299-E3D6-C1C8019BD85D}"/>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5" name="Gerader Verbinder 494">
            <a:extLst>
              <a:ext uri="{FF2B5EF4-FFF2-40B4-BE49-F238E27FC236}">
                <a16:creationId xmlns:a16="http://schemas.microsoft.com/office/drawing/2014/main" id="{199AE62C-B8B7-B986-1BD4-44623F99A97E}"/>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499" name="Cross_F74">
          <a:extLst>
            <a:ext uri="{FF2B5EF4-FFF2-40B4-BE49-F238E27FC236}">
              <a16:creationId xmlns:a16="http://schemas.microsoft.com/office/drawing/2014/main" id="{AD01A113-171F-55B7-987D-FADFB5CCB5CA}"/>
            </a:ext>
          </a:extLst>
        </xdr:cNvPr>
        <xdr:cNvGrpSpPr/>
      </xdr:nvGrpSpPr>
      <xdr:grpSpPr>
        <a:xfrm>
          <a:off x="3444240" y="14005561"/>
          <a:ext cx="601980" cy="167639"/>
          <a:chOff x="3444240" y="14005561"/>
          <a:chExt cx="601980" cy="167639"/>
        </a:xfrm>
      </xdr:grpSpPr>
      <xdr:cxnSp macro="">
        <xdr:nvCxnSpPr>
          <xdr:cNvPr id="497" name="Gerader Verbinder 496">
            <a:extLst>
              <a:ext uri="{FF2B5EF4-FFF2-40B4-BE49-F238E27FC236}">
                <a16:creationId xmlns:a16="http://schemas.microsoft.com/office/drawing/2014/main" id="{A442D06F-8D42-E599-1AAD-BB64C5864B76}"/>
              </a:ext>
            </a:extLst>
          </xdr:cNvPr>
          <xdr:cNvCxnSpPr/>
        </xdr:nvCxnSpPr>
        <xdr:spPr>
          <a:xfrm>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8" name="Gerader Verbinder 497">
            <a:extLst>
              <a:ext uri="{FF2B5EF4-FFF2-40B4-BE49-F238E27FC236}">
                <a16:creationId xmlns:a16="http://schemas.microsoft.com/office/drawing/2014/main" id="{F23FE4BB-AF6E-2554-E2A2-67D309B081EE}"/>
              </a:ext>
            </a:extLst>
          </xdr:cNvPr>
          <xdr:cNvCxnSpPr/>
        </xdr:nvCxnSpPr>
        <xdr:spPr>
          <a:xfrm flipH="1">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502" name="Cross_F75">
          <a:extLst>
            <a:ext uri="{FF2B5EF4-FFF2-40B4-BE49-F238E27FC236}">
              <a16:creationId xmlns:a16="http://schemas.microsoft.com/office/drawing/2014/main" id="{B0A71692-A337-43B0-62A7-904F3B54C702}"/>
            </a:ext>
          </a:extLst>
        </xdr:cNvPr>
        <xdr:cNvGrpSpPr/>
      </xdr:nvGrpSpPr>
      <xdr:grpSpPr>
        <a:xfrm>
          <a:off x="3444240" y="14173200"/>
          <a:ext cx="601980" cy="167639"/>
          <a:chOff x="3444240" y="14173200"/>
          <a:chExt cx="601980" cy="167639"/>
        </a:xfrm>
      </xdr:grpSpPr>
      <xdr:cxnSp macro="">
        <xdr:nvCxnSpPr>
          <xdr:cNvPr id="500" name="Gerader Verbinder 499">
            <a:extLst>
              <a:ext uri="{FF2B5EF4-FFF2-40B4-BE49-F238E27FC236}">
                <a16:creationId xmlns:a16="http://schemas.microsoft.com/office/drawing/2014/main" id="{CCE61056-DF6E-D213-13AA-515D2446F6C2}"/>
              </a:ext>
            </a:extLst>
          </xdr:cNvPr>
          <xdr:cNvCxnSpPr/>
        </xdr:nvCxnSpPr>
        <xdr:spPr>
          <a:xfrm>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1" name="Gerader Verbinder 500">
            <a:extLst>
              <a:ext uri="{FF2B5EF4-FFF2-40B4-BE49-F238E27FC236}">
                <a16:creationId xmlns:a16="http://schemas.microsoft.com/office/drawing/2014/main" id="{9D21BEE0-631A-4667-AA08-A078BC10A0D5}"/>
              </a:ext>
            </a:extLst>
          </xdr:cNvPr>
          <xdr:cNvCxnSpPr/>
        </xdr:nvCxnSpPr>
        <xdr:spPr>
          <a:xfrm flipH="1">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505" name="Cross_G7">
          <a:extLst>
            <a:ext uri="{FF2B5EF4-FFF2-40B4-BE49-F238E27FC236}">
              <a16:creationId xmlns:a16="http://schemas.microsoft.com/office/drawing/2014/main" id="{3CDEA1A0-D7A2-AB06-BEFF-224A451D8E5A}"/>
            </a:ext>
          </a:extLst>
        </xdr:cNvPr>
        <xdr:cNvGrpSpPr/>
      </xdr:nvGrpSpPr>
      <xdr:grpSpPr>
        <a:xfrm>
          <a:off x="4046220" y="1371600"/>
          <a:ext cx="601980" cy="228600"/>
          <a:chOff x="4046220" y="1371600"/>
          <a:chExt cx="601980" cy="228600"/>
        </a:xfrm>
      </xdr:grpSpPr>
      <xdr:cxnSp macro="">
        <xdr:nvCxnSpPr>
          <xdr:cNvPr id="503" name="Gerader Verbinder 502">
            <a:extLst>
              <a:ext uri="{FF2B5EF4-FFF2-40B4-BE49-F238E27FC236}">
                <a16:creationId xmlns:a16="http://schemas.microsoft.com/office/drawing/2014/main" id="{0FBA3998-07D6-3EB7-324F-C1C992D7C4A8}"/>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4" name="Gerader Verbinder 503">
            <a:extLst>
              <a:ext uri="{FF2B5EF4-FFF2-40B4-BE49-F238E27FC236}">
                <a16:creationId xmlns:a16="http://schemas.microsoft.com/office/drawing/2014/main" id="{7D058615-112A-C2FC-427A-EF1C7018339F}"/>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508" name="Cross_G8">
          <a:extLst>
            <a:ext uri="{FF2B5EF4-FFF2-40B4-BE49-F238E27FC236}">
              <a16:creationId xmlns:a16="http://schemas.microsoft.com/office/drawing/2014/main" id="{0EBFB769-A067-97C8-85B8-78C8E2101693}"/>
            </a:ext>
          </a:extLst>
        </xdr:cNvPr>
        <xdr:cNvGrpSpPr/>
      </xdr:nvGrpSpPr>
      <xdr:grpSpPr>
        <a:xfrm>
          <a:off x="4046220" y="1600200"/>
          <a:ext cx="601980" cy="167640"/>
          <a:chOff x="4046220" y="1600200"/>
          <a:chExt cx="601980" cy="167640"/>
        </a:xfrm>
      </xdr:grpSpPr>
      <xdr:cxnSp macro="">
        <xdr:nvCxnSpPr>
          <xdr:cNvPr id="506" name="Gerader Verbinder 505">
            <a:extLst>
              <a:ext uri="{FF2B5EF4-FFF2-40B4-BE49-F238E27FC236}">
                <a16:creationId xmlns:a16="http://schemas.microsoft.com/office/drawing/2014/main" id="{D356AD23-4ECE-AD30-961F-4617332EBCEA}"/>
              </a:ext>
            </a:extLst>
          </xdr:cNvPr>
          <xdr:cNvCxnSpPr/>
        </xdr:nvCxnSpPr>
        <xdr:spPr>
          <a:xfrm>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7" name="Gerader Verbinder 506">
            <a:extLst>
              <a:ext uri="{FF2B5EF4-FFF2-40B4-BE49-F238E27FC236}">
                <a16:creationId xmlns:a16="http://schemas.microsoft.com/office/drawing/2014/main" id="{FA5ADF34-8681-8F79-1FCC-B1A75C58CE17}"/>
              </a:ext>
            </a:extLst>
          </xdr:cNvPr>
          <xdr:cNvCxnSpPr/>
        </xdr:nvCxnSpPr>
        <xdr:spPr>
          <a:xfrm flipH="1">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511" name="Cross_G9">
          <a:extLst>
            <a:ext uri="{FF2B5EF4-FFF2-40B4-BE49-F238E27FC236}">
              <a16:creationId xmlns:a16="http://schemas.microsoft.com/office/drawing/2014/main" id="{567563AF-F133-E1F5-2F34-6DE7E0B1447D}"/>
            </a:ext>
          </a:extLst>
        </xdr:cNvPr>
        <xdr:cNvGrpSpPr/>
      </xdr:nvGrpSpPr>
      <xdr:grpSpPr>
        <a:xfrm>
          <a:off x="4046220" y="1767840"/>
          <a:ext cx="601980" cy="167640"/>
          <a:chOff x="4046220" y="1767840"/>
          <a:chExt cx="601980" cy="167640"/>
        </a:xfrm>
      </xdr:grpSpPr>
      <xdr:cxnSp macro="">
        <xdr:nvCxnSpPr>
          <xdr:cNvPr id="509" name="Gerader Verbinder 508">
            <a:extLst>
              <a:ext uri="{FF2B5EF4-FFF2-40B4-BE49-F238E27FC236}">
                <a16:creationId xmlns:a16="http://schemas.microsoft.com/office/drawing/2014/main" id="{E03FFBB1-5A5A-0CAA-417A-10657AE13F43}"/>
              </a:ext>
            </a:extLst>
          </xdr:cNvPr>
          <xdr:cNvCxnSpPr/>
        </xdr:nvCxnSpPr>
        <xdr:spPr>
          <a:xfrm>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0" name="Gerader Verbinder 509">
            <a:extLst>
              <a:ext uri="{FF2B5EF4-FFF2-40B4-BE49-F238E27FC236}">
                <a16:creationId xmlns:a16="http://schemas.microsoft.com/office/drawing/2014/main" id="{41A24A7F-0A80-F0D0-4EA1-85894E6CF6BB}"/>
              </a:ext>
            </a:extLst>
          </xdr:cNvPr>
          <xdr:cNvCxnSpPr/>
        </xdr:nvCxnSpPr>
        <xdr:spPr>
          <a:xfrm flipH="1">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514" name="Cross_G16">
          <a:extLst>
            <a:ext uri="{FF2B5EF4-FFF2-40B4-BE49-F238E27FC236}">
              <a16:creationId xmlns:a16="http://schemas.microsoft.com/office/drawing/2014/main" id="{08684D61-D02F-C050-633F-2C911D11D3D4}"/>
            </a:ext>
          </a:extLst>
        </xdr:cNvPr>
        <xdr:cNvGrpSpPr/>
      </xdr:nvGrpSpPr>
      <xdr:grpSpPr>
        <a:xfrm>
          <a:off x="4046220" y="3063240"/>
          <a:ext cx="601980" cy="228600"/>
          <a:chOff x="4046220" y="3063240"/>
          <a:chExt cx="601980" cy="228600"/>
        </a:xfrm>
      </xdr:grpSpPr>
      <xdr:cxnSp macro="">
        <xdr:nvCxnSpPr>
          <xdr:cNvPr id="512" name="Gerader Verbinder 511">
            <a:extLst>
              <a:ext uri="{FF2B5EF4-FFF2-40B4-BE49-F238E27FC236}">
                <a16:creationId xmlns:a16="http://schemas.microsoft.com/office/drawing/2014/main" id="{09EDC6A9-094E-D617-5C26-1C6665BB1287}"/>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3" name="Gerader Verbinder 512">
            <a:extLst>
              <a:ext uri="{FF2B5EF4-FFF2-40B4-BE49-F238E27FC236}">
                <a16:creationId xmlns:a16="http://schemas.microsoft.com/office/drawing/2014/main" id="{32046D94-735A-9F09-F47A-035B38340713}"/>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517" name="Cross_G17">
          <a:extLst>
            <a:ext uri="{FF2B5EF4-FFF2-40B4-BE49-F238E27FC236}">
              <a16:creationId xmlns:a16="http://schemas.microsoft.com/office/drawing/2014/main" id="{C32D0C98-A92A-2409-D65F-F676BCAA8DFF}"/>
            </a:ext>
          </a:extLst>
        </xdr:cNvPr>
        <xdr:cNvGrpSpPr/>
      </xdr:nvGrpSpPr>
      <xdr:grpSpPr>
        <a:xfrm>
          <a:off x="4046220" y="3291840"/>
          <a:ext cx="601980" cy="167640"/>
          <a:chOff x="4046220" y="3291840"/>
          <a:chExt cx="601980" cy="167640"/>
        </a:xfrm>
      </xdr:grpSpPr>
      <xdr:cxnSp macro="">
        <xdr:nvCxnSpPr>
          <xdr:cNvPr id="515" name="Gerader Verbinder 514">
            <a:extLst>
              <a:ext uri="{FF2B5EF4-FFF2-40B4-BE49-F238E27FC236}">
                <a16:creationId xmlns:a16="http://schemas.microsoft.com/office/drawing/2014/main" id="{80B05C67-729F-E908-F3BB-9FA8D7223C10}"/>
              </a:ext>
            </a:extLst>
          </xdr:cNvPr>
          <xdr:cNvCxnSpPr/>
        </xdr:nvCxnSpPr>
        <xdr:spPr>
          <a:xfrm>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6" name="Gerader Verbinder 515">
            <a:extLst>
              <a:ext uri="{FF2B5EF4-FFF2-40B4-BE49-F238E27FC236}">
                <a16:creationId xmlns:a16="http://schemas.microsoft.com/office/drawing/2014/main" id="{9F411C1D-64AB-1C32-2927-D4EBD15ABBB5}"/>
              </a:ext>
            </a:extLst>
          </xdr:cNvPr>
          <xdr:cNvCxnSpPr/>
        </xdr:nvCxnSpPr>
        <xdr:spPr>
          <a:xfrm flipH="1">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520" name="Cross_G18">
          <a:extLst>
            <a:ext uri="{FF2B5EF4-FFF2-40B4-BE49-F238E27FC236}">
              <a16:creationId xmlns:a16="http://schemas.microsoft.com/office/drawing/2014/main" id="{8B6DE6CF-4128-6585-30B3-D9BB91CC723E}"/>
            </a:ext>
          </a:extLst>
        </xdr:cNvPr>
        <xdr:cNvGrpSpPr/>
      </xdr:nvGrpSpPr>
      <xdr:grpSpPr>
        <a:xfrm>
          <a:off x="4046220" y="3459480"/>
          <a:ext cx="601980" cy="167640"/>
          <a:chOff x="4046220" y="3459480"/>
          <a:chExt cx="601980" cy="167640"/>
        </a:xfrm>
      </xdr:grpSpPr>
      <xdr:cxnSp macro="">
        <xdr:nvCxnSpPr>
          <xdr:cNvPr id="518" name="Gerader Verbinder 517">
            <a:extLst>
              <a:ext uri="{FF2B5EF4-FFF2-40B4-BE49-F238E27FC236}">
                <a16:creationId xmlns:a16="http://schemas.microsoft.com/office/drawing/2014/main" id="{4DC9E637-8F28-13D3-F943-F65D71779124}"/>
              </a:ext>
            </a:extLst>
          </xdr:cNvPr>
          <xdr:cNvCxnSpPr/>
        </xdr:nvCxnSpPr>
        <xdr:spPr>
          <a:xfrm>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9" name="Gerader Verbinder 518">
            <a:extLst>
              <a:ext uri="{FF2B5EF4-FFF2-40B4-BE49-F238E27FC236}">
                <a16:creationId xmlns:a16="http://schemas.microsoft.com/office/drawing/2014/main" id="{26E09601-5B54-9B9C-ABD1-EB799E7E82A1}"/>
              </a:ext>
            </a:extLst>
          </xdr:cNvPr>
          <xdr:cNvCxnSpPr/>
        </xdr:nvCxnSpPr>
        <xdr:spPr>
          <a:xfrm flipH="1">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523" name="Cross_G25">
          <a:extLst>
            <a:ext uri="{FF2B5EF4-FFF2-40B4-BE49-F238E27FC236}">
              <a16:creationId xmlns:a16="http://schemas.microsoft.com/office/drawing/2014/main" id="{8B35B105-C35E-F581-F58A-BF84AB953EA6}"/>
            </a:ext>
          </a:extLst>
        </xdr:cNvPr>
        <xdr:cNvGrpSpPr/>
      </xdr:nvGrpSpPr>
      <xdr:grpSpPr>
        <a:xfrm>
          <a:off x="4046220" y="4754880"/>
          <a:ext cx="601980" cy="228600"/>
          <a:chOff x="4046220" y="4754880"/>
          <a:chExt cx="601980" cy="228600"/>
        </a:xfrm>
      </xdr:grpSpPr>
      <xdr:cxnSp macro="">
        <xdr:nvCxnSpPr>
          <xdr:cNvPr id="521" name="Gerader Verbinder 520">
            <a:extLst>
              <a:ext uri="{FF2B5EF4-FFF2-40B4-BE49-F238E27FC236}">
                <a16:creationId xmlns:a16="http://schemas.microsoft.com/office/drawing/2014/main" id="{0EB020DE-816A-FE62-85CC-E3107350449E}"/>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2" name="Gerader Verbinder 521">
            <a:extLst>
              <a:ext uri="{FF2B5EF4-FFF2-40B4-BE49-F238E27FC236}">
                <a16:creationId xmlns:a16="http://schemas.microsoft.com/office/drawing/2014/main" id="{121092F6-4686-79F9-28E2-58239DB97BCB}"/>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526" name="Cross_G26">
          <a:extLst>
            <a:ext uri="{FF2B5EF4-FFF2-40B4-BE49-F238E27FC236}">
              <a16:creationId xmlns:a16="http://schemas.microsoft.com/office/drawing/2014/main" id="{BDC78CCB-054D-4D51-EE51-E6E8DFD79EAD}"/>
            </a:ext>
          </a:extLst>
        </xdr:cNvPr>
        <xdr:cNvGrpSpPr/>
      </xdr:nvGrpSpPr>
      <xdr:grpSpPr>
        <a:xfrm>
          <a:off x="4046220" y="4983480"/>
          <a:ext cx="601980" cy="167640"/>
          <a:chOff x="4046220" y="4983480"/>
          <a:chExt cx="601980" cy="167640"/>
        </a:xfrm>
      </xdr:grpSpPr>
      <xdr:cxnSp macro="">
        <xdr:nvCxnSpPr>
          <xdr:cNvPr id="524" name="Gerader Verbinder 523">
            <a:extLst>
              <a:ext uri="{FF2B5EF4-FFF2-40B4-BE49-F238E27FC236}">
                <a16:creationId xmlns:a16="http://schemas.microsoft.com/office/drawing/2014/main" id="{4D5B1680-05B9-854A-C00B-103E68D99450}"/>
              </a:ext>
            </a:extLst>
          </xdr:cNvPr>
          <xdr:cNvCxnSpPr/>
        </xdr:nvCxnSpPr>
        <xdr:spPr>
          <a:xfrm>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5" name="Gerader Verbinder 524">
            <a:extLst>
              <a:ext uri="{FF2B5EF4-FFF2-40B4-BE49-F238E27FC236}">
                <a16:creationId xmlns:a16="http://schemas.microsoft.com/office/drawing/2014/main" id="{19CB9AC4-B000-FE37-B48C-1C5DD774D48A}"/>
              </a:ext>
            </a:extLst>
          </xdr:cNvPr>
          <xdr:cNvCxnSpPr/>
        </xdr:nvCxnSpPr>
        <xdr:spPr>
          <a:xfrm flipH="1">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529" name="Cross_G27">
          <a:extLst>
            <a:ext uri="{FF2B5EF4-FFF2-40B4-BE49-F238E27FC236}">
              <a16:creationId xmlns:a16="http://schemas.microsoft.com/office/drawing/2014/main" id="{29CF8BD4-02DC-5048-76AA-C236648BCE59}"/>
            </a:ext>
          </a:extLst>
        </xdr:cNvPr>
        <xdr:cNvGrpSpPr/>
      </xdr:nvGrpSpPr>
      <xdr:grpSpPr>
        <a:xfrm>
          <a:off x="4046220" y="5151120"/>
          <a:ext cx="601980" cy="167640"/>
          <a:chOff x="4046220" y="5151120"/>
          <a:chExt cx="601980" cy="167640"/>
        </a:xfrm>
      </xdr:grpSpPr>
      <xdr:cxnSp macro="">
        <xdr:nvCxnSpPr>
          <xdr:cNvPr id="527" name="Gerader Verbinder 526">
            <a:extLst>
              <a:ext uri="{FF2B5EF4-FFF2-40B4-BE49-F238E27FC236}">
                <a16:creationId xmlns:a16="http://schemas.microsoft.com/office/drawing/2014/main" id="{352C4C9E-9DCE-3FE5-8A0B-617BE2C5F9B1}"/>
              </a:ext>
            </a:extLst>
          </xdr:cNvPr>
          <xdr:cNvCxnSpPr/>
        </xdr:nvCxnSpPr>
        <xdr:spPr>
          <a:xfrm>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8" name="Gerader Verbinder 527">
            <a:extLst>
              <a:ext uri="{FF2B5EF4-FFF2-40B4-BE49-F238E27FC236}">
                <a16:creationId xmlns:a16="http://schemas.microsoft.com/office/drawing/2014/main" id="{7EBCC46B-DF8C-B9F4-2DB5-613A95605E1B}"/>
              </a:ext>
            </a:extLst>
          </xdr:cNvPr>
          <xdr:cNvCxnSpPr/>
        </xdr:nvCxnSpPr>
        <xdr:spPr>
          <a:xfrm flipH="1">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532" name="Cross_G31">
          <a:extLst>
            <a:ext uri="{FF2B5EF4-FFF2-40B4-BE49-F238E27FC236}">
              <a16:creationId xmlns:a16="http://schemas.microsoft.com/office/drawing/2014/main" id="{7B6D9919-84A2-D6B0-1401-C12A6A93580A}"/>
            </a:ext>
          </a:extLst>
        </xdr:cNvPr>
        <xdr:cNvGrpSpPr/>
      </xdr:nvGrpSpPr>
      <xdr:grpSpPr>
        <a:xfrm>
          <a:off x="4046220" y="5882640"/>
          <a:ext cx="601980" cy="228600"/>
          <a:chOff x="4046220" y="5882640"/>
          <a:chExt cx="601980" cy="228600"/>
        </a:xfrm>
      </xdr:grpSpPr>
      <xdr:cxnSp macro="">
        <xdr:nvCxnSpPr>
          <xdr:cNvPr id="530" name="Gerader Verbinder 529">
            <a:extLst>
              <a:ext uri="{FF2B5EF4-FFF2-40B4-BE49-F238E27FC236}">
                <a16:creationId xmlns:a16="http://schemas.microsoft.com/office/drawing/2014/main" id="{1B2931DD-ADAB-497B-C974-66739AE59739}"/>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1" name="Gerader Verbinder 530">
            <a:extLst>
              <a:ext uri="{FF2B5EF4-FFF2-40B4-BE49-F238E27FC236}">
                <a16:creationId xmlns:a16="http://schemas.microsoft.com/office/drawing/2014/main" id="{2BF52B49-334C-06AB-7F52-27A902B88721}"/>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535" name="Cross_G32">
          <a:extLst>
            <a:ext uri="{FF2B5EF4-FFF2-40B4-BE49-F238E27FC236}">
              <a16:creationId xmlns:a16="http://schemas.microsoft.com/office/drawing/2014/main" id="{53DC71E4-DD40-2BEA-EC97-B712F6EF9E8D}"/>
            </a:ext>
          </a:extLst>
        </xdr:cNvPr>
        <xdr:cNvGrpSpPr/>
      </xdr:nvGrpSpPr>
      <xdr:grpSpPr>
        <a:xfrm>
          <a:off x="4046220" y="6111240"/>
          <a:ext cx="601980" cy="167640"/>
          <a:chOff x="4046220" y="6111240"/>
          <a:chExt cx="601980" cy="167640"/>
        </a:xfrm>
      </xdr:grpSpPr>
      <xdr:cxnSp macro="">
        <xdr:nvCxnSpPr>
          <xdr:cNvPr id="533" name="Gerader Verbinder 532">
            <a:extLst>
              <a:ext uri="{FF2B5EF4-FFF2-40B4-BE49-F238E27FC236}">
                <a16:creationId xmlns:a16="http://schemas.microsoft.com/office/drawing/2014/main" id="{F95A112F-0876-788F-F47E-84902B7456DA}"/>
              </a:ext>
            </a:extLst>
          </xdr:cNvPr>
          <xdr:cNvCxnSpPr/>
        </xdr:nvCxnSpPr>
        <xdr:spPr>
          <a:xfrm>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4" name="Gerader Verbinder 533">
            <a:extLst>
              <a:ext uri="{FF2B5EF4-FFF2-40B4-BE49-F238E27FC236}">
                <a16:creationId xmlns:a16="http://schemas.microsoft.com/office/drawing/2014/main" id="{2A4159F9-E10F-0D49-96BB-F72C41343F16}"/>
              </a:ext>
            </a:extLst>
          </xdr:cNvPr>
          <xdr:cNvCxnSpPr/>
        </xdr:nvCxnSpPr>
        <xdr:spPr>
          <a:xfrm flipH="1">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538" name="Cross_G33">
          <a:extLst>
            <a:ext uri="{FF2B5EF4-FFF2-40B4-BE49-F238E27FC236}">
              <a16:creationId xmlns:a16="http://schemas.microsoft.com/office/drawing/2014/main" id="{93E9FC62-40F4-B9D2-0880-027853612CE1}"/>
            </a:ext>
          </a:extLst>
        </xdr:cNvPr>
        <xdr:cNvGrpSpPr/>
      </xdr:nvGrpSpPr>
      <xdr:grpSpPr>
        <a:xfrm>
          <a:off x="4046220" y="6278880"/>
          <a:ext cx="601980" cy="167640"/>
          <a:chOff x="4046220" y="6278880"/>
          <a:chExt cx="601980" cy="167640"/>
        </a:xfrm>
      </xdr:grpSpPr>
      <xdr:cxnSp macro="">
        <xdr:nvCxnSpPr>
          <xdr:cNvPr id="536" name="Gerader Verbinder 535">
            <a:extLst>
              <a:ext uri="{FF2B5EF4-FFF2-40B4-BE49-F238E27FC236}">
                <a16:creationId xmlns:a16="http://schemas.microsoft.com/office/drawing/2014/main" id="{4406904A-C685-9773-3EF6-3A8E254BBBFC}"/>
              </a:ext>
            </a:extLst>
          </xdr:cNvPr>
          <xdr:cNvCxnSpPr/>
        </xdr:nvCxnSpPr>
        <xdr:spPr>
          <a:xfrm>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7" name="Gerader Verbinder 536">
            <a:extLst>
              <a:ext uri="{FF2B5EF4-FFF2-40B4-BE49-F238E27FC236}">
                <a16:creationId xmlns:a16="http://schemas.microsoft.com/office/drawing/2014/main" id="{8D4FF4DC-4C7B-129C-858A-90807F693CBC}"/>
              </a:ext>
            </a:extLst>
          </xdr:cNvPr>
          <xdr:cNvCxnSpPr/>
        </xdr:nvCxnSpPr>
        <xdr:spPr>
          <a:xfrm flipH="1">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541" name="Cross_G43">
          <a:extLst>
            <a:ext uri="{FF2B5EF4-FFF2-40B4-BE49-F238E27FC236}">
              <a16:creationId xmlns:a16="http://schemas.microsoft.com/office/drawing/2014/main" id="{3CD739E8-F031-DA50-4FD1-5E28D6CB5720}"/>
            </a:ext>
          </a:extLst>
        </xdr:cNvPr>
        <xdr:cNvGrpSpPr/>
      </xdr:nvGrpSpPr>
      <xdr:grpSpPr>
        <a:xfrm>
          <a:off x="4046220" y="8138160"/>
          <a:ext cx="601980" cy="228600"/>
          <a:chOff x="4046220" y="8138160"/>
          <a:chExt cx="601980" cy="228600"/>
        </a:xfrm>
      </xdr:grpSpPr>
      <xdr:cxnSp macro="">
        <xdr:nvCxnSpPr>
          <xdr:cNvPr id="539" name="Gerader Verbinder 538">
            <a:extLst>
              <a:ext uri="{FF2B5EF4-FFF2-40B4-BE49-F238E27FC236}">
                <a16:creationId xmlns:a16="http://schemas.microsoft.com/office/drawing/2014/main" id="{2C9A1456-549D-F68B-1813-5FCD9E024AA7}"/>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0" name="Gerader Verbinder 539">
            <a:extLst>
              <a:ext uri="{FF2B5EF4-FFF2-40B4-BE49-F238E27FC236}">
                <a16:creationId xmlns:a16="http://schemas.microsoft.com/office/drawing/2014/main" id="{75D8B58D-0113-7786-BEC1-209B0BB3A7DD}"/>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544" name="Cross_G44">
          <a:extLst>
            <a:ext uri="{FF2B5EF4-FFF2-40B4-BE49-F238E27FC236}">
              <a16:creationId xmlns:a16="http://schemas.microsoft.com/office/drawing/2014/main" id="{AC9D6E2D-6D9F-3A38-39F7-53E8C5253581}"/>
            </a:ext>
          </a:extLst>
        </xdr:cNvPr>
        <xdr:cNvGrpSpPr/>
      </xdr:nvGrpSpPr>
      <xdr:grpSpPr>
        <a:xfrm>
          <a:off x="4046220" y="8366760"/>
          <a:ext cx="601980" cy="167640"/>
          <a:chOff x="4046220" y="8366760"/>
          <a:chExt cx="601980" cy="167640"/>
        </a:xfrm>
      </xdr:grpSpPr>
      <xdr:cxnSp macro="">
        <xdr:nvCxnSpPr>
          <xdr:cNvPr id="542" name="Gerader Verbinder 541">
            <a:extLst>
              <a:ext uri="{FF2B5EF4-FFF2-40B4-BE49-F238E27FC236}">
                <a16:creationId xmlns:a16="http://schemas.microsoft.com/office/drawing/2014/main" id="{1DA57D73-53A4-9989-03BD-88EDE8367DFA}"/>
              </a:ext>
            </a:extLst>
          </xdr:cNvPr>
          <xdr:cNvCxnSpPr/>
        </xdr:nvCxnSpPr>
        <xdr:spPr>
          <a:xfrm>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3" name="Gerader Verbinder 542">
            <a:extLst>
              <a:ext uri="{FF2B5EF4-FFF2-40B4-BE49-F238E27FC236}">
                <a16:creationId xmlns:a16="http://schemas.microsoft.com/office/drawing/2014/main" id="{02D0079D-E476-21D8-C008-B507E288E7BE}"/>
              </a:ext>
            </a:extLst>
          </xdr:cNvPr>
          <xdr:cNvCxnSpPr/>
        </xdr:nvCxnSpPr>
        <xdr:spPr>
          <a:xfrm flipH="1">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547" name="Cross_G45">
          <a:extLst>
            <a:ext uri="{FF2B5EF4-FFF2-40B4-BE49-F238E27FC236}">
              <a16:creationId xmlns:a16="http://schemas.microsoft.com/office/drawing/2014/main" id="{6E66132F-D7F9-5003-A5B5-B9E12B8DB582}"/>
            </a:ext>
          </a:extLst>
        </xdr:cNvPr>
        <xdr:cNvGrpSpPr/>
      </xdr:nvGrpSpPr>
      <xdr:grpSpPr>
        <a:xfrm>
          <a:off x="4046220" y="8534400"/>
          <a:ext cx="601980" cy="167640"/>
          <a:chOff x="4046220" y="8534400"/>
          <a:chExt cx="601980" cy="167640"/>
        </a:xfrm>
      </xdr:grpSpPr>
      <xdr:cxnSp macro="">
        <xdr:nvCxnSpPr>
          <xdr:cNvPr id="545" name="Gerader Verbinder 544">
            <a:extLst>
              <a:ext uri="{FF2B5EF4-FFF2-40B4-BE49-F238E27FC236}">
                <a16:creationId xmlns:a16="http://schemas.microsoft.com/office/drawing/2014/main" id="{F5C09AF9-8DF6-5187-23D3-1B295A1FC218}"/>
              </a:ext>
            </a:extLst>
          </xdr:cNvPr>
          <xdr:cNvCxnSpPr/>
        </xdr:nvCxnSpPr>
        <xdr:spPr>
          <a:xfrm>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6" name="Gerader Verbinder 545">
            <a:extLst>
              <a:ext uri="{FF2B5EF4-FFF2-40B4-BE49-F238E27FC236}">
                <a16:creationId xmlns:a16="http://schemas.microsoft.com/office/drawing/2014/main" id="{45B217E3-7C2C-AEE4-650C-3924AF49BDA6}"/>
              </a:ext>
            </a:extLst>
          </xdr:cNvPr>
          <xdr:cNvCxnSpPr/>
        </xdr:nvCxnSpPr>
        <xdr:spPr>
          <a:xfrm flipH="1">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550" name="Cross_G49">
          <a:extLst>
            <a:ext uri="{FF2B5EF4-FFF2-40B4-BE49-F238E27FC236}">
              <a16:creationId xmlns:a16="http://schemas.microsoft.com/office/drawing/2014/main" id="{3104CD8A-4579-F062-5DC6-DF31433CE9D7}"/>
            </a:ext>
          </a:extLst>
        </xdr:cNvPr>
        <xdr:cNvGrpSpPr/>
      </xdr:nvGrpSpPr>
      <xdr:grpSpPr>
        <a:xfrm>
          <a:off x="4046220" y="9265920"/>
          <a:ext cx="601980" cy="228600"/>
          <a:chOff x="4046220" y="9265920"/>
          <a:chExt cx="601980" cy="228600"/>
        </a:xfrm>
      </xdr:grpSpPr>
      <xdr:cxnSp macro="">
        <xdr:nvCxnSpPr>
          <xdr:cNvPr id="548" name="Gerader Verbinder 547">
            <a:extLst>
              <a:ext uri="{FF2B5EF4-FFF2-40B4-BE49-F238E27FC236}">
                <a16:creationId xmlns:a16="http://schemas.microsoft.com/office/drawing/2014/main" id="{DC0D254B-5D64-82A2-937B-EE4DEBD43303}"/>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9" name="Gerader Verbinder 548">
            <a:extLst>
              <a:ext uri="{FF2B5EF4-FFF2-40B4-BE49-F238E27FC236}">
                <a16:creationId xmlns:a16="http://schemas.microsoft.com/office/drawing/2014/main" id="{F7946CBC-11B9-8761-8D17-67D3B4DA5083}"/>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553" name="Cross_G50">
          <a:extLst>
            <a:ext uri="{FF2B5EF4-FFF2-40B4-BE49-F238E27FC236}">
              <a16:creationId xmlns:a16="http://schemas.microsoft.com/office/drawing/2014/main" id="{2FD0024E-0B6B-BEFB-C71C-B04F3337FCB4}"/>
            </a:ext>
          </a:extLst>
        </xdr:cNvPr>
        <xdr:cNvGrpSpPr/>
      </xdr:nvGrpSpPr>
      <xdr:grpSpPr>
        <a:xfrm>
          <a:off x="4046220" y="9494520"/>
          <a:ext cx="601980" cy="167640"/>
          <a:chOff x="4046220" y="9494520"/>
          <a:chExt cx="601980" cy="167640"/>
        </a:xfrm>
      </xdr:grpSpPr>
      <xdr:cxnSp macro="">
        <xdr:nvCxnSpPr>
          <xdr:cNvPr id="551" name="Gerader Verbinder 550">
            <a:extLst>
              <a:ext uri="{FF2B5EF4-FFF2-40B4-BE49-F238E27FC236}">
                <a16:creationId xmlns:a16="http://schemas.microsoft.com/office/drawing/2014/main" id="{85C923F4-6D49-13A5-244D-5C0DEB6F241A}"/>
              </a:ext>
            </a:extLst>
          </xdr:cNvPr>
          <xdr:cNvCxnSpPr/>
        </xdr:nvCxnSpPr>
        <xdr:spPr>
          <a:xfrm>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2" name="Gerader Verbinder 551">
            <a:extLst>
              <a:ext uri="{FF2B5EF4-FFF2-40B4-BE49-F238E27FC236}">
                <a16:creationId xmlns:a16="http://schemas.microsoft.com/office/drawing/2014/main" id="{F19230C0-844D-E766-A98D-250E08BDF3CD}"/>
              </a:ext>
            </a:extLst>
          </xdr:cNvPr>
          <xdr:cNvCxnSpPr/>
        </xdr:nvCxnSpPr>
        <xdr:spPr>
          <a:xfrm flipH="1">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556" name="Cross_G51">
          <a:extLst>
            <a:ext uri="{FF2B5EF4-FFF2-40B4-BE49-F238E27FC236}">
              <a16:creationId xmlns:a16="http://schemas.microsoft.com/office/drawing/2014/main" id="{32A9C0AB-E64E-94BB-A0E8-2DD234B809F1}"/>
            </a:ext>
          </a:extLst>
        </xdr:cNvPr>
        <xdr:cNvGrpSpPr/>
      </xdr:nvGrpSpPr>
      <xdr:grpSpPr>
        <a:xfrm>
          <a:off x="4046220" y="9662160"/>
          <a:ext cx="601980" cy="167640"/>
          <a:chOff x="4046220" y="9662160"/>
          <a:chExt cx="601980" cy="167640"/>
        </a:xfrm>
      </xdr:grpSpPr>
      <xdr:cxnSp macro="">
        <xdr:nvCxnSpPr>
          <xdr:cNvPr id="554" name="Gerader Verbinder 553">
            <a:extLst>
              <a:ext uri="{FF2B5EF4-FFF2-40B4-BE49-F238E27FC236}">
                <a16:creationId xmlns:a16="http://schemas.microsoft.com/office/drawing/2014/main" id="{C6A8C124-822D-87DE-D68C-36F0036922E8}"/>
              </a:ext>
            </a:extLst>
          </xdr:cNvPr>
          <xdr:cNvCxnSpPr/>
        </xdr:nvCxnSpPr>
        <xdr:spPr>
          <a:xfrm>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5" name="Gerader Verbinder 554">
            <a:extLst>
              <a:ext uri="{FF2B5EF4-FFF2-40B4-BE49-F238E27FC236}">
                <a16:creationId xmlns:a16="http://schemas.microsoft.com/office/drawing/2014/main" id="{D4EEAF0F-45B7-F143-5907-E38B8F278BA4}"/>
              </a:ext>
            </a:extLst>
          </xdr:cNvPr>
          <xdr:cNvCxnSpPr/>
        </xdr:nvCxnSpPr>
        <xdr:spPr>
          <a:xfrm flipH="1">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559" name="Cross_G64">
          <a:extLst>
            <a:ext uri="{FF2B5EF4-FFF2-40B4-BE49-F238E27FC236}">
              <a16:creationId xmlns:a16="http://schemas.microsoft.com/office/drawing/2014/main" id="{7A694D6D-CBCF-A589-3EAD-64A09774CAC8}"/>
            </a:ext>
          </a:extLst>
        </xdr:cNvPr>
        <xdr:cNvGrpSpPr/>
      </xdr:nvGrpSpPr>
      <xdr:grpSpPr>
        <a:xfrm>
          <a:off x="4046220" y="12085320"/>
          <a:ext cx="601980" cy="228600"/>
          <a:chOff x="4046220" y="12085320"/>
          <a:chExt cx="601980" cy="228600"/>
        </a:xfrm>
      </xdr:grpSpPr>
      <xdr:cxnSp macro="">
        <xdr:nvCxnSpPr>
          <xdr:cNvPr id="557" name="Gerader Verbinder 556">
            <a:extLst>
              <a:ext uri="{FF2B5EF4-FFF2-40B4-BE49-F238E27FC236}">
                <a16:creationId xmlns:a16="http://schemas.microsoft.com/office/drawing/2014/main" id="{124B17D1-7D8F-1D50-A93D-5FDB4F9C0AEF}"/>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8" name="Gerader Verbinder 557">
            <a:extLst>
              <a:ext uri="{FF2B5EF4-FFF2-40B4-BE49-F238E27FC236}">
                <a16:creationId xmlns:a16="http://schemas.microsoft.com/office/drawing/2014/main" id="{13BD6DBA-3FA0-D949-C651-005DD4A6CC7A}"/>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562" name="Cross_G65">
          <a:extLst>
            <a:ext uri="{FF2B5EF4-FFF2-40B4-BE49-F238E27FC236}">
              <a16:creationId xmlns:a16="http://schemas.microsoft.com/office/drawing/2014/main" id="{F0CE1FE3-F4CA-F3E8-757D-74FD3987D9FC}"/>
            </a:ext>
          </a:extLst>
        </xdr:cNvPr>
        <xdr:cNvGrpSpPr/>
      </xdr:nvGrpSpPr>
      <xdr:grpSpPr>
        <a:xfrm>
          <a:off x="4046220" y="12313920"/>
          <a:ext cx="601980" cy="167640"/>
          <a:chOff x="4046220" y="12313920"/>
          <a:chExt cx="601980" cy="167640"/>
        </a:xfrm>
      </xdr:grpSpPr>
      <xdr:cxnSp macro="">
        <xdr:nvCxnSpPr>
          <xdr:cNvPr id="560" name="Gerader Verbinder 559">
            <a:extLst>
              <a:ext uri="{FF2B5EF4-FFF2-40B4-BE49-F238E27FC236}">
                <a16:creationId xmlns:a16="http://schemas.microsoft.com/office/drawing/2014/main" id="{56DF487D-F175-17F6-E8DD-6CD9FB2A8160}"/>
              </a:ext>
            </a:extLst>
          </xdr:cNvPr>
          <xdr:cNvCxnSpPr/>
        </xdr:nvCxnSpPr>
        <xdr:spPr>
          <a:xfrm>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1" name="Gerader Verbinder 560">
            <a:extLst>
              <a:ext uri="{FF2B5EF4-FFF2-40B4-BE49-F238E27FC236}">
                <a16:creationId xmlns:a16="http://schemas.microsoft.com/office/drawing/2014/main" id="{1EFCF58C-8636-56BE-33CE-79F0F7D3E0B0}"/>
              </a:ext>
            </a:extLst>
          </xdr:cNvPr>
          <xdr:cNvCxnSpPr/>
        </xdr:nvCxnSpPr>
        <xdr:spPr>
          <a:xfrm flipH="1">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565" name="Cross_G66">
          <a:extLst>
            <a:ext uri="{FF2B5EF4-FFF2-40B4-BE49-F238E27FC236}">
              <a16:creationId xmlns:a16="http://schemas.microsoft.com/office/drawing/2014/main" id="{303C8412-B5CC-2E1D-36AE-35BF70810866}"/>
            </a:ext>
          </a:extLst>
        </xdr:cNvPr>
        <xdr:cNvGrpSpPr/>
      </xdr:nvGrpSpPr>
      <xdr:grpSpPr>
        <a:xfrm>
          <a:off x="4046220" y="12481560"/>
          <a:ext cx="601980" cy="167640"/>
          <a:chOff x="4046220" y="12481560"/>
          <a:chExt cx="601980" cy="167640"/>
        </a:xfrm>
      </xdr:grpSpPr>
      <xdr:cxnSp macro="">
        <xdr:nvCxnSpPr>
          <xdr:cNvPr id="563" name="Gerader Verbinder 562">
            <a:extLst>
              <a:ext uri="{FF2B5EF4-FFF2-40B4-BE49-F238E27FC236}">
                <a16:creationId xmlns:a16="http://schemas.microsoft.com/office/drawing/2014/main" id="{1F7D4CC9-0BC7-D48E-8A70-6A3D107E075F}"/>
              </a:ext>
            </a:extLst>
          </xdr:cNvPr>
          <xdr:cNvCxnSpPr/>
        </xdr:nvCxnSpPr>
        <xdr:spPr>
          <a:xfrm>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4" name="Gerader Verbinder 563">
            <a:extLst>
              <a:ext uri="{FF2B5EF4-FFF2-40B4-BE49-F238E27FC236}">
                <a16:creationId xmlns:a16="http://schemas.microsoft.com/office/drawing/2014/main" id="{E9711BA7-021F-E980-061E-E9EF2F9276F7}"/>
              </a:ext>
            </a:extLst>
          </xdr:cNvPr>
          <xdr:cNvCxnSpPr/>
        </xdr:nvCxnSpPr>
        <xdr:spPr>
          <a:xfrm flipH="1">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568" name="Cross_G67">
          <a:extLst>
            <a:ext uri="{FF2B5EF4-FFF2-40B4-BE49-F238E27FC236}">
              <a16:creationId xmlns:a16="http://schemas.microsoft.com/office/drawing/2014/main" id="{81238655-2C97-EAEE-6741-B8D73EC3364B}"/>
            </a:ext>
          </a:extLst>
        </xdr:cNvPr>
        <xdr:cNvGrpSpPr/>
      </xdr:nvGrpSpPr>
      <xdr:grpSpPr>
        <a:xfrm>
          <a:off x="4046220" y="12649200"/>
          <a:ext cx="601980" cy="228600"/>
          <a:chOff x="4046220" y="12649200"/>
          <a:chExt cx="601980" cy="228600"/>
        </a:xfrm>
      </xdr:grpSpPr>
      <xdr:cxnSp macro="">
        <xdr:nvCxnSpPr>
          <xdr:cNvPr id="566" name="Gerader Verbinder 565">
            <a:extLst>
              <a:ext uri="{FF2B5EF4-FFF2-40B4-BE49-F238E27FC236}">
                <a16:creationId xmlns:a16="http://schemas.microsoft.com/office/drawing/2014/main" id="{BCFDDBBB-3F0D-51A6-2591-0A5A717D8E18}"/>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7" name="Gerader Verbinder 566">
            <a:extLst>
              <a:ext uri="{FF2B5EF4-FFF2-40B4-BE49-F238E27FC236}">
                <a16:creationId xmlns:a16="http://schemas.microsoft.com/office/drawing/2014/main" id="{999E0AD3-16AF-4094-8E65-67489DBD040C}"/>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571" name="Cross_G68">
          <a:extLst>
            <a:ext uri="{FF2B5EF4-FFF2-40B4-BE49-F238E27FC236}">
              <a16:creationId xmlns:a16="http://schemas.microsoft.com/office/drawing/2014/main" id="{53D90F0B-95BC-ADBE-D4C0-204E9E4C68A4}"/>
            </a:ext>
          </a:extLst>
        </xdr:cNvPr>
        <xdr:cNvGrpSpPr/>
      </xdr:nvGrpSpPr>
      <xdr:grpSpPr>
        <a:xfrm>
          <a:off x="4046220" y="12877800"/>
          <a:ext cx="601980" cy="167639"/>
          <a:chOff x="4046220" y="12877800"/>
          <a:chExt cx="601980" cy="167639"/>
        </a:xfrm>
      </xdr:grpSpPr>
      <xdr:cxnSp macro="">
        <xdr:nvCxnSpPr>
          <xdr:cNvPr id="569" name="Gerader Verbinder 568">
            <a:extLst>
              <a:ext uri="{FF2B5EF4-FFF2-40B4-BE49-F238E27FC236}">
                <a16:creationId xmlns:a16="http://schemas.microsoft.com/office/drawing/2014/main" id="{964CC96E-0E57-D629-4490-CF0618A130F8}"/>
              </a:ext>
            </a:extLst>
          </xdr:cNvPr>
          <xdr:cNvCxnSpPr/>
        </xdr:nvCxnSpPr>
        <xdr:spPr>
          <a:xfrm>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0" name="Gerader Verbinder 569">
            <a:extLst>
              <a:ext uri="{FF2B5EF4-FFF2-40B4-BE49-F238E27FC236}">
                <a16:creationId xmlns:a16="http://schemas.microsoft.com/office/drawing/2014/main" id="{8AE00434-76B4-8A9C-5E71-C31C444D6265}"/>
              </a:ext>
            </a:extLst>
          </xdr:cNvPr>
          <xdr:cNvCxnSpPr/>
        </xdr:nvCxnSpPr>
        <xdr:spPr>
          <a:xfrm flipH="1">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574" name="Cross_G69">
          <a:extLst>
            <a:ext uri="{FF2B5EF4-FFF2-40B4-BE49-F238E27FC236}">
              <a16:creationId xmlns:a16="http://schemas.microsoft.com/office/drawing/2014/main" id="{EA7E14D6-1724-F3D1-08B5-75A1C4DDDB73}"/>
            </a:ext>
          </a:extLst>
        </xdr:cNvPr>
        <xdr:cNvGrpSpPr/>
      </xdr:nvGrpSpPr>
      <xdr:grpSpPr>
        <a:xfrm>
          <a:off x="4046220" y="13045439"/>
          <a:ext cx="601980" cy="167641"/>
          <a:chOff x="4046220" y="13045439"/>
          <a:chExt cx="601980" cy="167641"/>
        </a:xfrm>
      </xdr:grpSpPr>
      <xdr:cxnSp macro="">
        <xdr:nvCxnSpPr>
          <xdr:cNvPr id="572" name="Gerader Verbinder 571">
            <a:extLst>
              <a:ext uri="{FF2B5EF4-FFF2-40B4-BE49-F238E27FC236}">
                <a16:creationId xmlns:a16="http://schemas.microsoft.com/office/drawing/2014/main" id="{E2837EBC-0064-3A4D-409B-E621F2CAF143}"/>
              </a:ext>
            </a:extLst>
          </xdr:cNvPr>
          <xdr:cNvCxnSpPr/>
        </xdr:nvCxnSpPr>
        <xdr:spPr>
          <a:xfrm>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3" name="Gerader Verbinder 572">
            <a:extLst>
              <a:ext uri="{FF2B5EF4-FFF2-40B4-BE49-F238E27FC236}">
                <a16:creationId xmlns:a16="http://schemas.microsoft.com/office/drawing/2014/main" id="{64D64E52-91DA-39B4-5AF2-7CB9328E865B}"/>
              </a:ext>
            </a:extLst>
          </xdr:cNvPr>
          <xdr:cNvCxnSpPr/>
        </xdr:nvCxnSpPr>
        <xdr:spPr>
          <a:xfrm flipH="1">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577" name="Cross_G70">
          <a:extLst>
            <a:ext uri="{FF2B5EF4-FFF2-40B4-BE49-F238E27FC236}">
              <a16:creationId xmlns:a16="http://schemas.microsoft.com/office/drawing/2014/main" id="{94E848D5-8354-331A-5EA4-588C1CCB5B39}"/>
            </a:ext>
          </a:extLst>
        </xdr:cNvPr>
        <xdr:cNvGrpSpPr/>
      </xdr:nvGrpSpPr>
      <xdr:grpSpPr>
        <a:xfrm>
          <a:off x="4046220" y="13213080"/>
          <a:ext cx="601980" cy="228600"/>
          <a:chOff x="4046220" y="13213080"/>
          <a:chExt cx="601980" cy="228600"/>
        </a:xfrm>
      </xdr:grpSpPr>
      <xdr:cxnSp macro="">
        <xdr:nvCxnSpPr>
          <xdr:cNvPr id="575" name="Gerader Verbinder 574">
            <a:extLst>
              <a:ext uri="{FF2B5EF4-FFF2-40B4-BE49-F238E27FC236}">
                <a16:creationId xmlns:a16="http://schemas.microsoft.com/office/drawing/2014/main" id="{5B917705-8623-6209-DF86-81BAD786C191}"/>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6" name="Gerader Verbinder 575">
            <a:extLst>
              <a:ext uri="{FF2B5EF4-FFF2-40B4-BE49-F238E27FC236}">
                <a16:creationId xmlns:a16="http://schemas.microsoft.com/office/drawing/2014/main" id="{22BBB60C-ED2D-B3A2-35E9-F2D1257B9506}"/>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580" name="Cross_G71">
          <a:extLst>
            <a:ext uri="{FF2B5EF4-FFF2-40B4-BE49-F238E27FC236}">
              <a16:creationId xmlns:a16="http://schemas.microsoft.com/office/drawing/2014/main" id="{1B7890BE-110B-359B-2376-BF20590EA93B}"/>
            </a:ext>
          </a:extLst>
        </xdr:cNvPr>
        <xdr:cNvGrpSpPr/>
      </xdr:nvGrpSpPr>
      <xdr:grpSpPr>
        <a:xfrm>
          <a:off x="4046220" y="13441680"/>
          <a:ext cx="601980" cy="167640"/>
          <a:chOff x="4046220" y="13441680"/>
          <a:chExt cx="601980" cy="167640"/>
        </a:xfrm>
      </xdr:grpSpPr>
      <xdr:cxnSp macro="">
        <xdr:nvCxnSpPr>
          <xdr:cNvPr id="578" name="Gerader Verbinder 577">
            <a:extLst>
              <a:ext uri="{FF2B5EF4-FFF2-40B4-BE49-F238E27FC236}">
                <a16:creationId xmlns:a16="http://schemas.microsoft.com/office/drawing/2014/main" id="{73A15E40-2FEB-FCAB-2EE6-7F6F34DEBC7F}"/>
              </a:ext>
            </a:extLst>
          </xdr:cNvPr>
          <xdr:cNvCxnSpPr/>
        </xdr:nvCxnSpPr>
        <xdr:spPr>
          <a:xfrm>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9" name="Gerader Verbinder 578">
            <a:extLst>
              <a:ext uri="{FF2B5EF4-FFF2-40B4-BE49-F238E27FC236}">
                <a16:creationId xmlns:a16="http://schemas.microsoft.com/office/drawing/2014/main" id="{C3148CB8-EF3E-906E-B6D3-2B8215D37BFF}"/>
              </a:ext>
            </a:extLst>
          </xdr:cNvPr>
          <xdr:cNvCxnSpPr/>
        </xdr:nvCxnSpPr>
        <xdr:spPr>
          <a:xfrm flipH="1">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583" name="Cross_G72">
          <a:extLst>
            <a:ext uri="{FF2B5EF4-FFF2-40B4-BE49-F238E27FC236}">
              <a16:creationId xmlns:a16="http://schemas.microsoft.com/office/drawing/2014/main" id="{E7BD2780-A830-5371-CA9C-7E19E3B4E17E}"/>
            </a:ext>
          </a:extLst>
        </xdr:cNvPr>
        <xdr:cNvGrpSpPr/>
      </xdr:nvGrpSpPr>
      <xdr:grpSpPr>
        <a:xfrm>
          <a:off x="4046220" y="13609320"/>
          <a:ext cx="601980" cy="167641"/>
          <a:chOff x="4046220" y="13609320"/>
          <a:chExt cx="601980" cy="167641"/>
        </a:xfrm>
      </xdr:grpSpPr>
      <xdr:cxnSp macro="">
        <xdr:nvCxnSpPr>
          <xdr:cNvPr id="581" name="Gerader Verbinder 580">
            <a:extLst>
              <a:ext uri="{FF2B5EF4-FFF2-40B4-BE49-F238E27FC236}">
                <a16:creationId xmlns:a16="http://schemas.microsoft.com/office/drawing/2014/main" id="{A28F994C-A8A9-91BF-E28F-AC72A03DBFBB}"/>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2" name="Gerader Verbinder 581">
            <a:extLst>
              <a:ext uri="{FF2B5EF4-FFF2-40B4-BE49-F238E27FC236}">
                <a16:creationId xmlns:a16="http://schemas.microsoft.com/office/drawing/2014/main" id="{4C473ED8-5187-96B4-E816-60E8818D2E71}"/>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586" name="Cross_H7">
          <a:extLst>
            <a:ext uri="{FF2B5EF4-FFF2-40B4-BE49-F238E27FC236}">
              <a16:creationId xmlns:a16="http://schemas.microsoft.com/office/drawing/2014/main" id="{8193E79A-3CB6-BE39-FA64-88FC49AFF5AF}"/>
            </a:ext>
          </a:extLst>
        </xdr:cNvPr>
        <xdr:cNvGrpSpPr/>
      </xdr:nvGrpSpPr>
      <xdr:grpSpPr>
        <a:xfrm>
          <a:off x="4648200" y="1371600"/>
          <a:ext cx="601980" cy="228600"/>
          <a:chOff x="4648200" y="1371600"/>
          <a:chExt cx="601980" cy="228600"/>
        </a:xfrm>
      </xdr:grpSpPr>
      <xdr:cxnSp macro="">
        <xdr:nvCxnSpPr>
          <xdr:cNvPr id="584" name="Gerader Verbinder 583">
            <a:extLst>
              <a:ext uri="{FF2B5EF4-FFF2-40B4-BE49-F238E27FC236}">
                <a16:creationId xmlns:a16="http://schemas.microsoft.com/office/drawing/2014/main" id="{56A88D2E-0163-189D-3003-EE0211DC30EA}"/>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5" name="Gerader Verbinder 584">
            <a:extLst>
              <a:ext uri="{FF2B5EF4-FFF2-40B4-BE49-F238E27FC236}">
                <a16:creationId xmlns:a16="http://schemas.microsoft.com/office/drawing/2014/main" id="{F0182DC1-D01A-7C8B-50D4-944CBE4C7C6C}"/>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589" name="Cross_H8">
          <a:extLst>
            <a:ext uri="{FF2B5EF4-FFF2-40B4-BE49-F238E27FC236}">
              <a16:creationId xmlns:a16="http://schemas.microsoft.com/office/drawing/2014/main" id="{7E1712A3-FB76-7CE2-DFD9-23E505F8F431}"/>
            </a:ext>
          </a:extLst>
        </xdr:cNvPr>
        <xdr:cNvGrpSpPr/>
      </xdr:nvGrpSpPr>
      <xdr:grpSpPr>
        <a:xfrm>
          <a:off x="4648200" y="1600200"/>
          <a:ext cx="601980" cy="167640"/>
          <a:chOff x="4648200" y="1600200"/>
          <a:chExt cx="601980" cy="167640"/>
        </a:xfrm>
      </xdr:grpSpPr>
      <xdr:cxnSp macro="">
        <xdr:nvCxnSpPr>
          <xdr:cNvPr id="587" name="Gerader Verbinder 586">
            <a:extLst>
              <a:ext uri="{FF2B5EF4-FFF2-40B4-BE49-F238E27FC236}">
                <a16:creationId xmlns:a16="http://schemas.microsoft.com/office/drawing/2014/main" id="{AFECFF38-D759-FF12-3D96-70A2A7348BE5}"/>
              </a:ext>
            </a:extLst>
          </xdr:cNvPr>
          <xdr:cNvCxnSpPr/>
        </xdr:nvCxnSpPr>
        <xdr:spPr>
          <a:xfrm>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8" name="Gerader Verbinder 587">
            <a:extLst>
              <a:ext uri="{FF2B5EF4-FFF2-40B4-BE49-F238E27FC236}">
                <a16:creationId xmlns:a16="http://schemas.microsoft.com/office/drawing/2014/main" id="{CD3C8171-A04C-9E7E-FD35-687C843D7A45}"/>
              </a:ext>
            </a:extLst>
          </xdr:cNvPr>
          <xdr:cNvCxnSpPr/>
        </xdr:nvCxnSpPr>
        <xdr:spPr>
          <a:xfrm flipH="1">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592" name="Cross_H9">
          <a:extLst>
            <a:ext uri="{FF2B5EF4-FFF2-40B4-BE49-F238E27FC236}">
              <a16:creationId xmlns:a16="http://schemas.microsoft.com/office/drawing/2014/main" id="{68C91B23-3C59-1BFE-874C-6734DD4BBFC4}"/>
            </a:ext>
          </a:extLst>
        </xdr:cNvPr>
        <xdr:cNvGrpSpPr/>
      </xdr:nvGrpSpPr>
      <xdr:grpSpPr>
        <a:xfrm>
          <a:off x="4648200" y="1767840"/>
          <a:ext cx="601980" cy="167640"/>
          <a:chOff x="4648200" y="1767840"/>
          <a:chExt cx="601980" cy="167640"/>
        </a:xfrm>
      </xdr:grpSpPr>
      <xdr:cxnSp macro="">
        <xdr:nvCxnSpPr>
          <xdr:cNvPr id="590" name="Gerader Verbinder 589">
            <a:extLst>
              <a:ext uri="{FF2B5EF4-FFF2-40B4-BE49-F238E27FC236}">
                <a16:creationId xmlns:a16="http://schemas.microsoft.com/office/drawing/2014/main" id="{51CE1C4F-246C-A06D-52AF-177D5A05801B}"/>
              </a:ext>
            </a:extLst>
          </xdr:cNvPr>
          <xdr:cNvCxnSpPr/>
        </xdr:nvCxnSpPr>
        <xdr:spPr>
          <a:xfrm>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1" name="Gerader Verbinder 590">
            <a:extLst>
              <a:ext uri="{FF2B5EF4-FFF2-40B4-BE49-F238E27FC236}">
                <a16:creationId xmlns:a16="http://schemas.microsoft.com/office/drawing/2014/main" id="{F9BAFE27-2944-EAF0-7C04-E741013D3D24}"/>
              </a:ext>
            </a:extLst>
          </xdr:cNvPr>
          <xdr:cNvCxnSpPr/>
        </xdr:nvCxnSpPr>
        <xdr:spPr>
          <a:xfrm flipH="1">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595" name="Cross_H10">
          <a:extLst>
            <a:ext uri="{FF2B5EF4-FFF2-40B4-BE49-F238E27FC236}">
              <a16:creationId xmlns:a16="http://schemas.microsoft.com/office/drawing/2014/main" id="{C2091A71-13FE-AEED-CA76-8D56A330E1F7}"/>
            </a:ext>
          </a:extLst>
        </xdr:cNvPr>
        <xdr:cNvGrpSpPr/>
      </xdr:nvGrpSpPr>
      <xdr:grpSpPr>
        <a:xfrm>
          <a:off x="4648200" y="1935480"/>
          <a:ext cx="601980" cy="228600"/>
          <a:chOff x="4648200" y="1935480"/>
          <a:chExt cx="601980" cy="228600"/>
        </a:xfrm>
      </xdr:grpSpPr>
      <xdr:cxnSp macro="">
        <xdr:nvCxnSpPr>
          <xdr:cNvPr id="593" name="Gerader Verbinder 592">
            <a:extLst>
              <a:ext uri="{FF2B5EF4-FFF2-40B4-BE49-F238E27FC236}">
                <a16:creationId xmlns:a16="http://schemas.microsoft.com/office/drawing/2014/main" id="{DD4B6243-579E-0175-9A69-0C385759E30F}"/>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4" name="Gerader Verbinder 593">
            <a:extLst>
              <a:ext uri="{FF2B5EF4-FFF2-40B4-BE49-F238E27FC236}">
                <a16:creationId xmlns:a16="http://schemas.microsoft.com/office/drawing/2014/main" id="{79D7FD36-6798-EDA5-9796-1376ACFBB3ED}"/>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598" name="Cross_H11">
          <a:extLst>
            <a:ext uri="{FF2B5EF4-FFF2-40B4-BE49-F238E27FC236}">
              <a16:creationId xmlns:a16="http://schemas.microsoft.com/office/drawing/2014/main" id="{02063EF2-9A36-3BDA-6DD9-972DF66E6D0F}"/>
            </a:ext>
          </a:extLst>
        </xdr:cNvPr>
        <xdr:cNvGrpSpPr/>
      </xdr:nvGrpSpPr>
      <xdr:grpSpPr>
        <a:xfrm>
          <a:off x="4648200" y="2164080"/>
          <a:ext cx="601980" cy="167640"/>
          <a:chOff x="4648200" y="2164080"/>
          <a:chExt cx="601980" cy="167640"/>
        </a:xfrm>
      </xdr:grpSpPr>
      <xdr:cxnSp macro="">
        <xdr:nvCxnSpPr>
          <xdr:cNvPr id="596" name="Gerader Verbinder 595">
            <a:extLst>
              <a:ext uri="{FF2B5EF4-FFF2-40B4-BE49-F238E27FC236}">
                <a16:creationId xmlns:a16="http://schemas.microsoft.com/office/drawing/2014/main" id="{0538EA0E-4C26-32A9-FF4C-D5654E86F377}"/>
              </a:ext>
            </a:extLst>
          </xdr:cNvPr>
          <xdr:cNvCxnSpPr/>
        </xdr:nvCxnSpPr>
        <xdr:spPr>
          <a:xfrm>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7" name="Gerader Verbinder 596">
            <a:extLst>
              <a:ext uri="{FF2B5EF4-FFF2-40B4-BE49-F238E27FC236}">
                <a16:creationId xmlns:a16="http://schemas.microsoft.com/office/drawing/2014/main" id="{B92F9222-6AA1-27E0-1837-30C40BEE0949}"/>
              </a:ext>
            </a:extLst>
          </xdr:cNvPr>
          <xdr:cNvCxnSpPr/>
        </xdr:nvCxnSpPr>
        <xdr:spPr>
          <a:xfrm flipH="1">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601" name="Cross_H12">
          <a:extLst>
            <a:ext uri="{FF2B5EF4-FFF2-40B4-BE49-F238E27FC236}">
              <a16:creationId xmlns:a16="http://schemas.microsoft.com/office/drawing/2014/main" id="{9E233C61-BC54-8903-7882-E66284098407}"/>
            </a:ext>
          </a:extLst>
        </xdr:cNvPr>
        <xdr:cNvGrpSpPr/>
      </xdr:nvGrpSpPr>
      <xdr:grpSpPr>
        <a:xfrm>
          <a:off x="4648200" y="2331720"/>
          <a:ext cx="601980" cy="167640"/>
          <a:chOff x="4648200" y="2331720"/>
          <a:chExt cx="601980" cy="167640"/>
        </a:xfrm>
      </xdr:grpSpPr>
      <xdr:cxnSp macro="">
        <xdr:nvCxnSpPr>
          <xdr:cNvPr id="599" name="Gerader Verbinder 598">
            <a:extLst>
              <a:ext uri="{FF2B5EF4-FFF2-40B4-BE49-F238E27FC236}">
                <a16:creationId xmlns:a16="http://schemas.microsoft.com/office/drawing/2014/main" id="{86CFEBD2-2C92-2416-FD7B-9C771A0CB471}"/>
              </a:ext>
            </a:extLst>
          </xdr:cNvPr>
          <xdr:cNvCxnSpPr/>
        </xdr:nvCxnSpPr>
        <xdr:spPr>
          <a:xfrm>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0" name="Gerader Verbinder 599">
            <a:extLst>
              <a:ext uri="{FF2B5EF4-FFF2-40B4-BE49-F238E27FC236}">
                <a16:creationId xmlns:a16="http://schemas.microsoft.com/office/drawing/2014/main" id="{91E59202-D441-1083-F2EF-272F78E7A88A}"/>
              </a:ext>
            </a:extLst>
          </xdr:cNvPr>
          <xdr:cNvCxnSpPr/>
        </xdr:nvCxnSpPr>
        <xdr:spPr>
          <a:xfrm flipH="1">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604" name="Cross_H16">
          <a:extLst>
            <a:ext uri="{FF2B5EF4-FFF2-40B4-BE49-F238E27FC236}">
              <a16:creationId xmlns:a16="http://schemas.microsoft.com/office/drawing/2014/main" id="{D487B78E-DE8B-2561-40CB-36CBB8671949}"/>
            </a:ext>
          </a:extLst>
        </xdr:cNvPr>
        <xdr:cNvGrpSpPr/>
      </xdr:nvGrpSpPr>
      <xdr:grpSpPr>
        <a:xfrm>
          <a:off x="4648200" y="3063240"/>
          <a:ext cx="601980" cy="228600"/>
          <a:chOff x="4648200" y="3063240"/>
          <a:chExt cx="601980" cy="228600"/>
        </a:xfrm>
      </xdr:grpSpPr>
      <xdr:cxnSp macro="">
        <xdr:nvCxnSpPr>
          <xdr:cNvPr id="602" name="Gerader Verbinder 601">
            <a:extLst>
              <a:ext uri="{FF2B5EF4-FFF2-40B4-BE49-F238E27FC236}">
                <a16:creationId xmlns:a16="http://schemas.microsoft.com/office/drawing/2014/main" id="{72329869-128B-B15D-AC5D-8E5FD0E87FDA}"/>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3" name="Gerader Verbinder 602">
            <a:extLst>
              <a:ext uri="{FF2B5EF4-FFF2-40B4-BE49-F238E27FC236}">
                <a16:creationId xmlns:a16="http://schemas.microsoft.com/office/drawing/2014/main" id="{B1764ADA-0741-D7EA-BD77-1D264E7C71E4}"/>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607" name="Cross_H17">
          <a:extLst>
            <a:ext uri="{FF2B5EF4-FFF2-40B4-BE49-F238E27FC236}">
              <a16:creationId xmlns:a16="http://schemas.microsoft.com/office/drawing/2014/main" id="{263B60AB-60AF-4C99-0E1D-07E581741EC5}"/>
            </a:ext>
          </a:extLst>
        </xdr:cNvPr>
        <xdr:cNvGrpSpPr/>
      </xdr:nvGrpSpPr>
      <xdr:grpSpPr>
        <a:xfrm>
          <a:off x="4648200" y="3291840"/>
          <a:ext cx="601980" cy="167640"/>
          <a:chOff x="4648200" y="3291840"/>
          <a:chExt cx="601980" cy="167640"/>
        </a:xfrm>
      </xdr:grpSpPr>
      <xdr:cxnSp macro="">
        <xdr:nvCxnSpPr>
          <xdr:cNvPr id="605" name="Gerader Verbinder 604">
            <a:extLst>
              <a:ext uri="{FF2B5EF4-FFF2-40B4-BE49-F238E27FC236}">
                <a16:creationId xmlns:a16="http://schemas.microsoft.com/office/drawing/2014/main" id="{03C9BFF2-A5DE-9735-6E79-FF8E38112AC0}"/>
              </a:ext>
            </a:extLst>
          </xdr:cNvPr>
          <xdr:cNvCxnSpPr/>
        </xdr:nvCxnSpPr>
        <xdr:spPr>
          <a:xfrm>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6" name="Gerader Verbinder 605">
            <a:extLst>
              <a:ext uri="{FF2B5EF4-FFF2-40B4-BE49-F238E27FC236}">
                <a16:creationId xmlns:a16="http://schemas.microsoft.com/office/drawing/2014/main" id="{23BC96A8-7C74-1ADA-4C0B-6EB70D1760C5}"/>
              </a:ext>
            </a:extLst>
          </xdr:cNvPr>
          <xdr:cNvCxnSpPr/>
        </xdr:nvCxnSpPr>
        <xdr:spPr>
          <a:xfrm flipH="1">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610" name="Cross_H18">
          <a:extLst>
            <a:ext uri="{FF2B5EF4-FFF2-40B4-BE49-F238E27FC236}">
              <a16:creationId xmlns:a16="http://schemas.microsoft.com/office/drawing/2014/main" id="{A1B5D44A-1E80-3441-AE0D-6B581D5205B3}"/>
            </a:ext>
          </a:extLst>
        </xdr:cNvPr>
        <xdr:cNvGrpSpPr/>
      </xdr:nvGrpSpPr>
      <xdr:grpSpPr>
        <a:xfrm>
          <a:off x="4648200" y="3459480"/>
          <a:ext cx="601980" cy="167640"/>
          <a:chOff x="4648200" y="3459480"/>
          <a:chExt cx="601980" cy="167640"/>
        </a:xfrm>
      </xdr:grpSpPr>
      <xdr:cxnSp macro="">
        <xdr:nvCxnSpPr>
          <xdr:cNvPr id="608" name="Gerader Verbinder 607">
            <a:extLst>
              <a:ext uri="{FF2B5EF4-FFF2-40B4-BE49-F238E27FC236}">
                <a16:creationId xmlns:a16="http://schemas.microsoft.com/office/drawing/2014/main" id="{BC222EE6-204E-7978-780C-25EBD5E09DC9}"/>
              </a:ext>
            </a:extLst>
          </xdr:cNvPr>
          <xdr:cNvCxnSpPr/>
        </xdr:nvCxnSpPr>
        <xdr:spPr>
          <a:xfrm>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9" name="Gerader Verbinder 608">
            <a:extLst>
              <a:ext uri="{FF2B5EF4-FFF2-40B4-BE49-F238E27FC236}">
                <a16:creationId xmlns:a16="http://schemas.microsoft.com/office/drawing/2014/main" id="{40354CCC-6915-0A61-9B0B-638A921DEF1D}"/>
              </a:ext>
            </a:extLst>
          </xdr:cNvPr>
          <xdr:cNvCxnSpPr/>
        </xdr:nvCxnSpPr>
        <xdr:spPr>
          <a:xfrm flipH="1">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613" name="Cross_H19">
          <a:extLst>
            <a:ext uri="{FF2B5EF4-FFF2-40B4-BE49-F238E27FC236}">
              <a16:creationId xmlns:a16="http://schemas.microsoft.com/office/drawing/2014/main" id="{6DD04447-2584-DC92-18FD-8E91CD9507EA}"/>
            </a:ext>
          </a:extLst>
        </xdr:cNvPr>
        <xdr:cNvGrpSpPr/>
      </xdr:nvGrpSpPr>
      <xdr:grpSpPr>
        <a:xfrm>
          <a:off x="4648200" y="3627120"/>
          <a:ext cx="601980" cy="228600"/>
          <a:chOff x="4648200" y="3627120"/>
          <a:chExt cx="601980" cy="228600"/>
        </a:xfrm>
      </xdr:grpSpPr>
      <xdr:cxnSp macro="">
        <xdr:nvCxnSpPr>
          <xdr:cNvPr id="611" name="Gerader Verbinder 610">
            <a:extLst>
              <a:ext uri="{FF2B5EF4-FFF2-40B4-BE49-F238E27FC236}">
                <a16:creationId xmlns:a16="http://schemas.microsoft.com/office/drawing/2014/main" id="{7AF6F2C4-17FC-95DF-5ABC-6BFED2680D0E}"/>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2" name="Gerader Verbinder 611">
            <a:extLst>
              <a:ext uri="{FF2B5EF4-FFF2-40B4-BE49-F238E27FC236}">
                <a16:creationId xmlns:a16="http://schemas.microsoft.com/office/drawing/2014/main" id="{BC29EF06-4DBE-28A0-6334-5B23B408371C}"/>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616" name="Cross_H20">
          <a:extLst>
            <a:ext uri="{FF2B5EF4-FFF2-40B4-BE49-F238E27FC236}">
              <a16:creationId xmlns:a16="http://schemas.microsoft.com/office/drawing/2014/main" id="{E45E7362-A78A-C263-3120-6C7BB5A73558}"/>
            </a:ext>
          </a:extLst>
        </xdr:cNvPr>
        <xdr:cNvGrpSpPr/>
      </xdr:nvGrpSpPr>
      <xdr:grpSpPr>
        <a:xfrm>
          <a:off x="4648200" y="3855720"/>
          <a:ext cx="601980" cy="167640"/>
          <a:chOff x="4648200" y="3855720"/>
          <a:chExt cx="601980" cy="167640"/>
        </a:xfrm>
      </xdr:grpSpPr>
      <xdr:cxnSp macro="">
        <xdr:nvCxnSpPr>
          <xdr:cNvPr id="614" name="Gerader Verbinder 613">
            <a:extLst>
              <a:ext uri="{FF2B5EF4-FFF2-40B4-BE49-F238E27FC236}">
                <a16:creationId xmlns:a16="http://schemas.microsoft.com/office/drawing/2014/main" id="{FA450C8E-61C5-E022-71FC-38B82F770CC6}"/>
              </a:ext>
            </a:extLst>
          </xdr:cNvPr>
          <xdr:cNvCxnSpPr/>
        </xdr:nvCxnSpPr>
        <xdr:spPr>
          <a:xfrm>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5" name="Gerader Verbinder 614">
            <a:extLst>
              <a:ext uri="{FF2B5EF4-FFF2-40B4-BE49-F238E27FC236}">
                <a16:creationId xmlns:a16="http://schemas.microsoft.com/office/drawing/2014/main" id="{7E93C7C6-717F-8866-A539-7AC5A97E0ACC}"/>
              </a:ext>
            </a:extLst>
          </xdr:cNvPr>
          <xdr:cNvCxnSpPr/>
        </xdr:nvCxnSpPr>
        <xdr:spPr>
          <a:xfrm flipH="1">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619" name="Cross_H21">
          <a:extLst>
            <a:ext uri="{FF2B5EF4-FFF2-40B4-BE49-F238E27FC236}">
              <a16:creationId xmlns:a16="http://schemas.microsoft.com/office/drawing/2014/main" id="{A74AC3A6-4C95-AC91-AE63-EEEF9DB3ECC4}"/>
            </a:ext>
          </a:extLst>
        </xdr:cNvPr>
        <xdr:cNvGrpSpPr/>
      </xdr:nvGrpSpPr>
      <xdr:grpSpPr>
        <a:xfrm>
          <a:off x="4648200" y="4023360"/>
          <a:ext cx="601980" cy="167640"/>
          <a:chOff x="4648200" y="4023360"/>
          <a:chExt cx="601980" cy="167640"/>
        </a:xfrm>
      </xdr:grpSpPr>
      <xdr:cxnSp macro="">
        <xdr:nvCxnSpPr>
          <xdr:cNvPr id="617" name="Gerader Verbinder 616">
            <a:extLst>
              <a:ext uri="{FF2B5EF4-FFF2-40B4-BE49-F238E27FC236}">
                <a16:creationId xmlns:a16="http://schemas.microsoft.com/office/drawing/2014/main" id="{EBBCDF32-788E-2F9E-FCEB-26F0878535BF}"/>
              </a:ext>
            </a:extLst>
          </xdr:cNvPr>
          <xdr:cNvCxnSpPr/>
        </xdr:nvCxnSpPr>
        <xdr:spPr>
          <a:xfrm>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8" name="Gerader Verbinder 617">
            <a:extLst>
              <a:ext uri="{FF2B5EF4-FFF2-40B4-BE49-F238E27FC236}">
                <a16:creationId xmlns:a16="http://schemas.microsoft.com/office/drawing/2014/main" id="{E0B7E9D8-8821-2825-03DE-2A18E0D871D4}"/>
              </a:ext>
            </a:extLst>
          </xdr:cNvPr>
          <xdr:cNvCxnSpPr/>
        </xdr:nvCxnSpPr>
        <xdr:spPr>
          <a:xfrm flipH="1">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622" name="Cross_H22">
          <a:extLst>
            <a:ext uri="{FF2B5EF4-FFF2-40B4-BE49-F238E27FC236}">
              <a16:creationId xmlns:a16="http://schemas.microsoft.com/office/drawing/2014/main" id="{439555C5-CD33-1F5F-4A3B-83283261F769}"/>
            </a:ext>
          </a:extLst>
        </xdr:cNvPr>
        <xdr:cNvGrpSpPr/>
      </xdr:nvGrpSpPr>
      <xdr:grpSpPr>
        <a:xfrm>
          <a:off x="4648200" y="4191000"/>
          <a:ext cx="601980" cy="228600"/>
          <a:chOff x="4648200" y="4191000"/>
          <a:chExt cx="601980" cy="228600"/>
        </a:xfrm>
      </xdr:grpSpPr>
      <xdr:cxnSp macro="">
        <xdr:nvCxnSpPr>
          <xdr:cNvPr id="620" name="Gerader Verbinder 619">
            <a:extLst>
              <a:ext uri="{FF2B5EF4-FFF2-40B4-BE49-F238E27FC236}">
                <a16:creationId xmlns:a16="http://schemas.microsoft.com/office/drawing/2014/main" id="{B81FE990-8731-50D2-1C04-F7F5C7BDFD55}"/>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1" name="Gerader Verbinder 620">
            <a:extLst>
              <a:ext uri="{FF2B5EF4-FFF2-40B4-BE49-F238E27FC236}">
                <a16:creationId xmlns:a16="http://schemas.microsoft.com/office/drawing/2014/main" id="{2B96AE67-65DE-E874-ABF9-022AF3202B14}"/>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625" name="Cross_H23">
          <a:extLst>
            <a:ext uri="{FF2B5EF4-FFF2-40B4-BE49-F238E27FC236}">
              <a16:creationId xmlns:a16="http://schemas.microsoft.com/office/drawing/2014/main" id="{461B59CC-D41F-1EC1-DDEC-4EFDFC71C3B0}"/>
            </a:ext>
          </a:extLst>
        </xdr:cNvPr>
        <xdr:cNvGrpSpPr/>
      </xdr:nvGrpSpPr>
      <xdr:grpSpPr>
        <a:xfrm>
          <a:off x="4648200" y="4419600"/>
          <a:ext cx="601980" cy="167640"/>
          <a:chOff x="4648200" y="4419600"/>
          <a:chExt cx="601980" cy="167640"/>
        </a:xfrm>
      </xdr:grpSpPr>
      <xdr:cxnSp macro="">
        <xdr:nvCxnSpPr>
          <xdr:cNvPr id="623" name="Gerader Verbinder 622">
            <a:extLst>
              <a:ext uri="{FF2B5EF4-FFF2-40B4-BE49-F238E27FC236}">
                <a16:creationId xmlns:a16="http://schemas.microsoft.com/office/drawing/2014/main" id="{9682F7F1-D8C9-4B1E-4A1E-B244D5E9AB62}"/>
              </a:ext>
            </a:extLst>
          </xdr:cNvPr>
          <xdr:cNvCxnSpPr/>
        </xdr:nvCxnSpPr>
        <xdr:spPr>
          <a:xfrm>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4" name="Gerader Verbinder 623">
            <a:extLst>
              <a:ext uri="{FF2B5EF4-FFF2-40B4-BE49-F238E27FC236}">
                <a16:creationId xmlns:a16="http://schemas.microsoft.com/office/drawing/2014/main" id="{7EDB86A1-8A06-CEB0-60D4-1F6FF8B3DC84}"/>
              </a:ext>
            </a:extLst>
          </xdr:cNvPr>
          <xdr:cNvCxnSpPr/>
        </xdr:nvCxnSpPr>
        <xdr:spPr>
          <a:xfrm flipH="1">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628" name="Cross_H24">
          <a:extLst>
            <a:ext uri="{FF2B5EF4-FFF2-40B4-BE49-F238E27FC236}">
              <a16:creationId xmlns:a16="http://schemas.microsoft.com/office/drawing/2014/main" id="{F56A416C-EA21-8921-0D9D-FA3AD857A854}"/>
            </a:ext>
          </a:extLst>
        </xdr:cNvPr>
        <xdr:cNvGrpSpPr/>
      </xdr:nvGrpSpPr>
      <xdr:grpSpPr>
        <a:xfrm>
          <a:off x="4648200" y="4587240"/>
          <a:ext cx="601980" cy="167640"/>
          <a:chOff x="4648200" y="4587240"/>
          <a:chExt cx="601980" cy="167640"/>
        </a:xfrm>
      </xdr:grpSpPr>
      <xdr:cxnSp macro="">
        <xdr:nvCxnSpPr>
          <xdr:cNvPr id="626" name="Gerader Verbinder 625">
            <a:extLst>
              <a:ext uri="{FF2B5EF4-FFF2-40B4-BE49-F238E27FC236}">
                <a16:creationId xmlns:a16="http://schemas.microsoft.com/office/drawing/2014/main" id="{6D437411-6F00-858D-63FB-880E6FBA2B7A}"/>
              </a:ext>
            </a:extLst>
          </xdr:cNvPr>
          <xdr:cNvCxnSpPr/>
        </xdr:nvCxnSpPr>
        <xdr:spPr>
          <a:xfrm>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7" name="Gerader Verbinder 626">
            <a:extLst>
              <a:ext uri="{FF2B5EF4-FFF2-40B4-BE49-F238E27FC236}">
                <a16:creationId xmlns:a16="http://schemas.microsoft.com/office/drawing/2014/main" id="{84E3C1AE-E977-2A6C-68B8-BEAB5355798E}"/>
              </a:ext>
            </a:extLst>
          </xdr:cNvPr>
          <xdr:cNvCxnSpPr/>
        </xdr:nvCxnSpPr>
        <xdr:spPr>
          <a:xfrm flipH="1">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631" name="Cross_H31">
          <a:extLst>
            <a:ext uri="{FF2B5EF4-FFF2-40B4-BE49-F238E27FC236}">
              <a16:creationId xmlns:a16="http://schemas.microsoft.com/office/drawing/2014/main" id="{2C7C7126-FC42-55EB-4CD8-EDF59D7F71AD}"/>
            </a:ext>
          </a:extLst>
        </xdr:cNvPr>
        <xdr:cNvGrpSpPr/>
      </xdr:nvGrpSpPr>
      <xdr:grpSpPr>
        <a:xfrm>
          <a:off x="4648200" y="5882640"/>
          <a:ext cx="601980" cy="228600"/>
          <a:chOff x="4648200" y="5882640"/>
          <a:chExt cx="601980" cy="228600"/>
        </a:xfrm>
      </xdr:grpSpPr>
      <xdr:cxnSp macro="">
        <xdr:nvCxnSpPr>
          <xdr:cNvPr id="629" name="Gerader Verbinder 628">
            <a:extLst>
              <a:ext uri="{FF2B5EF4-FFF2-40B4-BE49-F238E27FC236}">
                <a16:creationId xmlns:a16="http://schemas.microsoft.com/office/drawing/2014/main" id="{EA0A247E-1D96-7432-1BEC-E5291D05B884}"/>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0" name="Gerader Verbinder 629">
            <a:extLst>
              <a:ext uri="{FF2B5EF4-FFF2-40B4-BE49-F238E27FC236}">
                <a16:creationId xmlns:a16="http://schemas.microsoft.com/office/drawing/2014/main" id="{424315B5-05D3-516F-FFAD-9DA4255DAB63}"/>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634" name="Cross_H32">
          <a:extLst>
            <a:ext uri="{FF2B5EF4-FFF2-40B4-BE49-F238E27FC236}">
              <a16:creationId xmlns:a16="http://schemas.microsoft.com/office/drawing/2014/main" id="{4476ECBE-E6FC-C89B-96D9-C447B9F495B4}"/>
            </a:ext>
          </a:extLst>
        </xdr:cNvPr>
        <xdr:cNvGrpSpPr/>
      </xdr:nvGrpSpPr>
      <xdr:grpSpPr>
        <a:xfrm>
          <a:off x="4648200" y="6111240"/>
          <a:ext cx="601980" cy="167640"/>
          <a:chOff x="4648200" y="6111240"/>
          <a:chExt cx="601980" cy="167640"/>
        </a:xfrm>
      </xdr:grpSpPr>
      <xdr:cxnSp macro="">
        <xdr:nvCxnSpPr>
          <xdr:cNvPr id="632" name="Gerader Verbinder 631">
            <a:extLst>
              <a:ext uri="{FF2B5EF4-FFF2-40B4-BE49-F238E27FC236}">
                <a16:creationId xmlns:a16="http://schemas.microsoft.com/office/drawing/2014/main" id="{AE69989B-2DF5-D20E-8ADD-1CB380C80F98}"/>
              </a:ext>
            </a:extLst>
          </xdr:cNvPr>
          <xdr:cNvCxnSpPr/>
        </xdr:nvCxnSpPr>
        <xdr:spPr>
          <a:xfrm>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3" name="Gerader Verbinder 632">
            <a:extLst>
              <a:ext uri="{FF2B5EF4-FFF2-40B4-BE49-F238E27FC236}">
                <a16:creationId xmlns:a16="http://schemas.microsoft.com/office/drawing/2014/main" id="{F337D916-3DE3-027B-1A9C-19B322E3E5BE}"/>
              </a:ext>
            </a:extLst>
          </xdr:cNvPr>
          <xdr:cNvCxnSpPr/>
        </xdr:nvCxnSpPr>
        <xdr:spPr>
          <a:xfrm flipH="1">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637" name="Cross_H33">
          <a:extLst>
            <a:ext uri="{FF2B5EF4-FFF2-40B4-BE49-F238E27FC236}">
              <a16:creationId xmlns:a16="http://schemas.microsoft.com/office/drawing/2014/main" id="{405DB418-31D8-2BD6-61E4-7CE609DE6E4D}"/>
            </a:ext>
          </a:extLst>
        </xdr:cNvPr>
        <xdr:cNvGrpSpPr/>
      </xdr:nvGrpSpPr>
      <xdr:grpSpPr>
        <a:xfrm>
          <a:off x="4648200" y="6278880"/>
          <a:ext cx="601980" cy="167640"/>
          <a:chOff x="4648200" y="6278880"/>
          <a:chExt cx="601980" cy="167640"/>
        </a:xfrm>
      </xdr:grpSpPr>
      <xdr:cxnSp macro="">
        <xdr:nvCxnSpPr>
          <xdr:cNvPr id="635" name="Gerader Verbinder 634">
            <a:extLst>
              <a:ext uri="{FF2B5EF4-FFF2-40B4-BE49-F238E27FC236}">
                <a16:creationId xmlns:a16="http://schemas.microsoft.com/office/drawing/2014/main" id="{498575D2-AF41-11AF-4ECD-C0BF9ECD5971}"/>
              </a:ext>
            </a:extLst>
          </xdr:cNvPr>
          <xdr:cNvCxnSpPr/>
        </xdr:nvCxnSpPr>
        <xdr:spPr>
          <a:xfrm>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6" name="Gerader Verbinder 635">
            <a:extLst>
              <a:ext uri="{FF2B5EF4-FFF2-40B4-BE49-F238E27FC236}">
                <a16:creationId xmlns:a16="http://schemas.microsoft.com/office/drawing/2014/main" id="{2125EF06-83A4-816D-702E-BF25FBE6A0B7}"/>
              </a:ext>
            </a:extLst>
          </xdr:cNvPr>
          <xdr:cNvCxnSpPr/>
        </xdr:nvCxnSpPr>
        <xdr:spPr>
          <a:xfrm flipH="1">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640" name="Cross_H34">
          <a:extLst>
            <a:ext uri="{FF2B5EF4-FFF2-40B4-BE49-F238E27FC236}">
              <a16:creationId xmlns:a16="http://schemas.microsoft.com/office/drawing/2014/main" id="{DDA56E7B-C1A8-6EDE-042A-CA146EA8BFF1}"/>
            </a:ext>
          </a:extLst>
        </xdr:cNvPr>
        <xdr:cNvGrpSpPr/>
      </xdr:nvGrpSpPr>
      <xdr:grpSpPr>
        <a:xfrm>
          <a:off x="4648200" y="6446520"/>
          <a:ext cx="601980" cy="228600"/>
          <a:chOff x="4648200" y="6446520"/>
          <a:chExt cx="601980" cy="228600"/>
        </a:xfrm>
      </xdr:grpSpPr>
      <xdr:cxnSp macro="">
        <xdr:nvCxnSpPr>
          <xdr:cNvPr id="638" name="Gerader Verbinder 637">
            <a:extLst>
              <a:ext uri="{FF2B5EF4-FFF2-40B4-BE49-F238E27FC236}">
                <a16:creationId xmlns:a16="http://schemas.microsoft.com/office/drawing/2014/main" id="{DCECCBAE-4758-D137-0D55-4449A71E5819}"/>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9" name="Gerader Verbinder 638">
            <a:extLst>
              <a:ext uri="{FF2B5EF4-FFF2-40B4-BE49-F238E27FC236}">
                <a16:creationId xmlns:a16="http://schemas.microsoft.com/office/drawing/2014/main" id="{C57F028E-94DD-7D58-EFA1-88B7CB74D6A5}"/>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643" name="Cross_H35">
          <a:extLst>
            <a:ext uri="{FF2B5EF4-FFF2-40B4-BE49-F238E27FC236}">
              <a16:creationId xmlns:a16="http://schemas.microsoft.com/office/drawing/2014/main" id="{017B4288-824C-89F3-254F-AC574D9E5D73}"/>
            </a:ext>
          </a:extLst>
        </xdr:cNvPr>
        <xdr:cNvGrpSpPr/>
      </xdr:nvGrpSpPr>
      <xdr:grpSpPr>
        <a:xfrm>
          <a:off x="4648200" y="6675120"/>
          <a:ext cx="601980" cy="167640"/>
          <a:chOff x="4648200" y="6675120"/>
          <a:chExt cx="601980" cy="167640"/>
        </a:xfrm>
      </xdr:grpSpPr>
      <xdr:cxnSp macro="">
        <xdr:nvCxnSpPr>
          <xdr:cNvPr id="641" name="Gerader Verbinder 640">
            <a:extLst>
              <a:ext uri="{FF2B5EF4-FFF2-40B4-BE49-F238E27FC236}">
                <a16:creationId xmlns:a16="http://schemas.microsoft.com/office/drawing/2014/main" id="{A5DB57CD-C768-938B-F521-C85F4A74811B}"/>
              </a:ext>
            </a:extLst>
          </xdr:cNvPr>
          <xdr:cNvCxnSpPr/>
        </xdr:nvCxnSpPr>
        <xdr:spPr>
          <a:xfrm>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2" name="Gerader Verbinder 641">
            <a:extLst>
              <a:ext uri="{FF2B5EF4-FFF2-40B4-BE49-F238E27FC236}">
                <a16:creationId xmlns:a16="http://schemas.microsoft.com/office/drawing/2014/main" id="{03270A04-BF68-64BA-F57E-8C2DA700DE53}"/>
              </a:ext>
            </a:extLst>
          </xdr:cNvPr>
          <xdr:cNvCxnSpPr/>
        </xdr:nvCxnSpPr>
        <xdr:spPr>
          <a:xfrm flipH="1">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646" name="Cross_H36">
          <a:extLst>
            <a:ext uri="{FF2B5EF4-FFF2-40B4-BE49-F238E27FC236}">
              <a16:creationId xmlns:a16="http://schemas.microsoft.com/office/drawing/2014/main" id="{D51085F6-8E8B-B031-1664-B0A38CF60FC3}"/>
            </a:ext>
          </a:extLst>
        </xdr:cNvPr>
        <xdr:cNvGrpSpPr/>
      </xdr:nvGrpSpPr>
      <xdr:grpSpPr>
        <a:xfrm>
          <a:off x="4648200" y="6842760"/>
          <a:ext cx="601980" cy="167640"/>
          <a:chOff x="4648200" y="6842760"/>
          <a:chExt cx="601980" cy="167640"/>
        </a:xfrm>
      </xdr:grpSpPr>
      <xdr:cxnSp macro="">
        <xdr:nvCxnSpPr>
          <xdr:cNvPr id="644" name="Gerader Verbinder 643">
            <a:extLst>
              <a:ext uri="{FF2B5EF4-FFF2-40B4-BE49-F238E27FC236}">
                <a16:creationId xmlns:a16="http://schemas.microsoft.com/office/drawing/2014/main" id="{4211EFA0-D547-52C4-04A5-1D0085485B8A}"/>
              </a:ext>
            </a:extLst>
          </xdr:cNvPr>
          <xdr:cNvCxnSpPr/>
        </xdr:nvCxnSpPr>
        <xdr:spPr>
          <a:xfrm>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5" name="Gerader Verbinder 644">
            <a:extLst>
              <a:ext uri="{FF2B5EF4-FFF2-40B4-BE49-F238E27FC236}">
                <a16:creationId xmlns:a16="http://schemas.microsoft.com/office/drawing/2014/main" id="{227135B0-6745-FC43-12C0-032A4A53B47A}"/>
              </a:ext>
            </a:extLst>
          </xdr:cNvPr>
          <xdr:cNvCxnSpPr/>
        </xdr:nvCxnSpPr>
        <xdr:spPr>
          <a:xfrm flipH="1">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649" name="Cross_H37">
          <a:extLst>
            <a:ext uri="{FF2B5EF4-FFF2-40B4-BE49-F238E27FC236}">
              <a16:creationId xmlns:a16="http://schemas.microsoft.com/office/drawing/2014/main" id="{3798FEBE-968A-4997-66CD-07DB63B6F963}"/>
            </a:ext>
          </a:extLst>
        </xdr:cNvPr>
        <xdr:cNvGrpSpPr/>
      </xdr:nvGrpSpPr>
      <xdr:grpSpPr>
        <a:xfrm>
          <a:off x="4648200" y="7010400"/>
          <a:ext cx="601980" cy="228600"/>
          <a:chOff x="4648200" y="7010400"/>
          <a:chExt cx="601980" cy="228600"/>
        </a:xfrm>
      </xdr:grpSpPr>
      <xdr:cxnSp macro="">
        <xdr:nvCxnSpPr>
          <xdr:cNvPr id="647" name="Gerader Verbinder 646">
            <a:extLst>
              <a:ext uri="{FF2B5EF4-FFF2-40B4-BE49-F238E27FC236}">
                <a16:creationId xmlns:a16="http://schemas.microsoft.com/office/drawing/2014/main" id="{20572EF7-5609-FBA6-6203-4C28960900D6}"/>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8" name="Gerader Verbinder 647">
            <a:extLst>
              <a:ext uri="{FF2B5EF4-FFF2-40B4-BE49-F238E27FC236}">
                <a16:creationId xmlns:a16="http://schemas.microsoft.com/office/drawing/2014/main" id="{EEFB59A7-3525-760C-DFE9-2269F83B1EC7}"/>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652" name="Cross_H38">
          <a:extLst>
            <a:ext uri="{FF2B5EF4-FFF2-40B4-BE49-F238E27FC236}">
              <a16:creationId xmlns:a16="http://schemas.microsoft.com/office/drawing/2014/main" id="{15A71450-3706-38CE-DD9C-942373AE06D3}"/>
            </a:ext>
          </a:extLst>
        </xdr:cNvPr>
        <xdr:cNvGrpSpPr/>
      </xdr:nvGrpSpPr>
      <xdr:grpSpPr>
        <a:xfrm>
          <a:off x="4648200" y="7239000"/>
          <a:ext cx="601980" cy="167640"/>
          <a:chOff x="4648200" y="7239000"/>
          <a:chExt cx="601980" cy="167640"/>
        </a:xfrm>
      </xdr:grpSpPr>
      <xdr:cxnSp macro="">
        <xdr:nvCxnSpPr>
          <xdr:cNvPr id="650" name="Gerader Verbinder 649">
            <a:extLst>
              <a:ext uri="{FF2B5EF4-FFF2-40B4-BE49-F238E27FC236}">
                <a16:creationId xmlns:a16="http://schemas.microsoft.com/office/drawing/2014/main" id="{8FD203CF-0DF6-D919-BF04-1D8EA747D57C}"/>
              </a:ext>
            </a:extLst>
          </xdr:cNvPr>
          <xdr:cNvCxnSpPr/>
        </xdr:nvCxnSpPr>
        <xdr:spPr>
          <a:xfrm>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1" name="Gerader Verbinder 650">
            <a:extLst>
              <a:ext uri="{FF2B5EF4-FFF2-40B4-BE49-F238E27FC236}">
                <a16:creationId xmlns:a16="http://schemas.microsoft.com/office/drawing/2014/main" id="{EE7A305D-4B1A-05EB-7FB8-FE02AD2B3402}"/>
              </a:ext>
            </a:extLst>
          </xdr:cNvPr>
          <xdr:cNvCxnSpPr/>
        </xdr:nvCxnSpPr>
        <xdr:spPr>
          <a:xfrm flipH="1">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655" name="Cross_H39">
          <a:extLst>
            <a:ext uri="{FF2B5EF4-FFF2-40B4-BE49-F238E27FC236}">
              <a16:creationId xmlns:a16="http://schemas.microsoft.com/office/drawing/2014/main" id="{943F75FD-C6BA-7EBC-0BA8-D8531E84C2FC}"/>
            </a:ext>
          </a:extLst>
        </xdr:cNvPr>
        <xdr:cNvGrpSpPr/>
      </xdr:nvGrpSpPr>
      <xdr:grpSpPr>
        <a:xfrm>
          <a:off x="4648200" y="7406640"/>
          <a:ext cx="601980" cy="167640"/>
          <a:chOff x="4648200" y="7406640"/>
          <a:chExt cx="601980" cy="167640"/>
        </a:xfrm>
      </xdr:grpSpPr>
      <xdr:cxnSp macro="">
        <xdr:nvCxnSpPr>
          <xdr:cNvPr id="653" name="Gerader Verbinder 652">
            <a:extLst>
              <a:ext uri="{FF2B5EF4-FFF2-40B4-BE49-F238E27FC236}">
                <a16:creationId xmlns:a16="http://schemas.microsoft.com/office/drawing/2014/main" id="{06D1DDA1-F332-B0B6-58DA-E21DB4B94E34}"/>
              </a:ext>
            </a:extLst>
          </xdr:cNvPr>
          <xdr:cNvCxnSpPr/>
        </xdr:nvCxnSpPr>
        <xdr:spPr>
          <a:xfrm>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4" name="Gerader Verbinder 653">
            <a:extLst>
              <a:ext uri="{FF2B5EF4-FFF2-40B4-BE49-F238E27FC236}">
                <a16:creationId xmlns:a16="http://schemas.microsoft.com/office/drawing/2014/main" id="{5435A2F5-7DDF-48FC-6311-53C8228CAE6E}"/>
              </a:ext>
            </a:extLst>
          </xdr:cNvPr>
          <xdr:cNvCxnSpPr/>
        </xdr:nvCxnSpPr>
        <xdr:spPr>
          <a:xfrm flipH="1">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658" name="Cross_H40">
          <a:extLst>
            <a:ext uri="{FF2B5EF4-FFF2-40B4-BE49-F238E27FC236}">
              <a16:creationId xmlns:a16="http://schemas.microsoft.com/office/drawing/2014/main" id="{0DF00166-BC71-70A5-E48F-64B8F8ACFEA6}"/>
            </a:ext>
          </a:extLst>
        </xdr:cNvPr>
        <xdr:cNvGrpSpPr/>
      </xdr:nvGrpSpPr>
      <xdr:grpSpPr>
        <a:xfrm>
          <a:off x="4648200" y="7574280"/>
          <a:ext cx="601980" cy="228600"/>
          <a:chOff x="4648200" y="7574280"/>
          <a:chExt cx="601980" cy="228600"/>
        </a:xfrm>
      </xdr:grpSpPr>
      <xdr:cxnSp macro="">
        <xdr:nvCxnSpPr>
          <xdr:cNvPr id="656" name="Gerader Verbinder 655">
            <a:extLst>
              <a:ext uri="{FF2B5EF4-FFF2-40B4-BE49-F238E27FC236}">
                <a16:creationId xmlns:a16="http://schemas.microsoft.com/office/drawing/2014/main" id="{BC0BB033-B081-AFE1-BEAF-D2B52788B97F}"/>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7" name="Gerader Verbinder 656">
            <a:extLst>
              <a:ext uri="{FF2B5EF4-FFF2-40B4-BE49-F238E27FC236}">
                <a16:creationId xmlns:a16="http://schemas.microsoft.com/office/drawing/2014/main" id="{2E06B134-D999-A0A2-A4E8-0D1523B0115F}"/>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661" name="Cross_H41">
          <a:extLst>
            <a:ext uri="{FF2B5EF4-FFF2-40B4-BE49-F238E27FC236}">
              <a16:creationId xmlns:a16="http://schemas.microsoft.com/office/drawing/2014/main" id="{C0A08909-C5DD-8E36-BF7B-09130CCFD763}"/>
            </a:ext>
          </a:extLst>
        </xdr:cNvPr>
        <xdr:cNvGrpSpPr/>
      </xdr:nvGrpSpPr>
      <xdr:grpSpPr>
        <a:xfrm>
          <a:off x="4648200" y="7802880"/>
          <a:ext cx="601980" cy="167640"/>
          <a:chOff x="4648200" y="7802880"/>
          <a:chExt cx="601980" cy="167640"/>
        </a:xfrm>
      </xdr:grpSpPr>
      <xdr:cxnSp macro="">
        <xdr:nvCxnSpPr>
          <xdr:cNvPr id="659" name="Gerader Verbinder 658">
            <a:extLst>
              <a:ext uri="{FF2B5EF4-FFF2-40B4-BE49-F238E27FC236}">
                <a16:creationId xmlns:a16="http://schemas.microsoft.com/office/drawing/2014/main" id="{DA28C291-E3F6-F371-14C9-542EECAC56B6}"/>
              </a:ext>
            </a:extLst>
          </xdr:cNvPr>
          <xdr:cNvCxnSpPr/>
        </xdr:nvCxnSpPr>
        <xdr:spPr>
          <a:xfrm>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0" name="Gerader Verbinder 659">
            <a:extLst>
              <a:ext uri="{FF2B5EF4-FFF2-40B4-BE49-F238E27FC236}">
                <a16:creationId xmlns:a16="http://schemas.microsoft.com/office/drawing/2014/main" id="{93215F78-7C76-A393-7FE8-EB3FFDD0563A}"/>
              </a:ext>
            </a:extLst>
          </xdr:cNvPr>
          <xdr:cNvCxnSpPr/>
        </xdr:nvCxnSpPr>
        <xdr:spPr>
          <a:xfrm flipH="1">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664" name="Cross_H42">
          <a:extLst>
            <a:ext uri="{FF2B5EF4-FFF2-40B4-BE49-F238E27FC236}">
              <a16:creationId xmlns:a16="http://schemas.microsoft.com/office/drawing/2014/main" id="{01944C18-F614-9EA0-E555-8EFF815D0159}"/>
            </a:ext>
          </a:extLst>
        </xdr:cNvPr>
        <xdr:cNvGrpSpPr/>
      </xdr:nvGrpSpPr>
      <xdr:grpSpPr>
        <a:xfrm>
          <a:off x="4648200" y="7970520"/>
          <a:ext cx="601980" cy="167640"/>
          <a:chOff x="4648200" y="7970520"/>
          <a:chExt cx="601980" cy="167640"/>
        </a:xfrm>
      </xdr:grpSpPr>
      <xdr:cxnSp macro="">
        <xdr:nvCxnSpPr>
          <xdr:cNvPr id="662" name="Gerader Verbinder 661">
            <a:extLst>
              <a:ext uri="{FF2B5EF4-FFF2-40B4-BE49-F238E27FC236}">
                <a16:creationId xmlns:a16="http://schemas.microsoft.com/office/drawing/2014/main" id="{52681658-2630-4675-1A35-CF360204E2CE}"/>
              </a:ext>
            </a:extLst>
          </xdr:cNvPr>
          <xdr:cNvCxnSpPr/>
        </xdr:nvCxnSpPr>
        <xdr:spPr>
          <a:xfrm>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3" name="Gerader Verbinder 662">
            <a:extLst>
              <a:ext uri="{FF2B5EF4-FFF2-40B4-BE49-F238E27FC236}">
                <a16:creationId xmlns:a16="http://schemas.microsoft.com/office/drawing/2014/main" id="{2E3D3711-927A-2084-7F2A-7B83349380DA}"/>
              </a:ext>
            </a:extLst>
          </xdr:cNvPr>
          <xdr:cNvCxnSpPr/>
        </xdr:nvCxnSpPr>
        <xdr:spPr>
          <a:xfrm flipH="1">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667" name="Cross_H52">
          <a:extLst>
            <a:ext uri="{FF2B5EF4-FFF2-40B4-BE49-F238E27FC236}">
              <a16:creationId xmlns:a16="http://schemas.microsoft.com/office/drawing/2014/main" id="{F1DFDDA2-1127-41A1-0C21-64C521574E92}"/>
            </a:ext>
          </a:extLst>
        </xdr:cNvPr>
        <xdr:cNvGrpSpPr/>
      </xdr:nvGrpSpPr>
      <xdr:grpSpPr>
        <a:xfrm>
          <a:off x="4648200" y="9829800"/>
          <a:ext cx="601980" cy="228600"/>
          <a:chOff x="4648200" y="9829800"/>
          <a:chExt cx="601980" cy="228600"/>
        </a:xfrm>
      </xdr:grpSpPr>
      <xdr:cxnSp macro="">
        <xdr:nvCxnSpPr>
          <xdr:cNvPr id="665" name="Gerader Verbinder 664">
            <a:extLst>
              <a:ext uri="{FF2B5EF4-FFF2-40B4-BE49-F238E27FC236}">
                <a16:creationId xmlns:a16="http://schemas.microsoft.com/office/drawing/2014/main" id="{3DDCFC93-ACA3-155C-8159-46D54E4C843D}"/>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6" name="Gerader Verbinder 665">
            <a:extLst>
              <a:ext uri="{FF2B5EF4-FFF2-40B4-BE49-F238E27FC236}">
                <a16:creationId xmlns:a16="http://schemas.microsoft.com/office/drawing/2014/main" id="{AE5B47AA-B225-425D-3846-7AEB0163EC02}"/>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670" name="Cross_H53">
          <a:extLst>
            <a:ext uri="{FF2B5EF4-FFF2-40B4-BE49-F238E27FC236}">
              <a16:creationId xmlns:a16="http://schemas.microsoft.com/office/drawing/2014/main" id="{C6541DD0-D460-FEE8-8AB0-CB8F692CE359}"/>
            </a:ext>
          </a:extLst>
        </xdr:cNvPr>
        <xdr:cNvGrpSpPr/>
      </xdr:nvGrpSpPr>
      <xdr:grpSpPr>
        <a:xfrm>
          <a:off x="4648200" y="10058400"/>
          <a:ext cx="601980" cy="167640"/>
          <a:chOff x="4648200" y="10058400"/>
          <a:chExt cx="601980" cy="167640"/>
        </a:xfrm>
      </xdr:grpSpPr>
      <xdr:cxnSp macro="">
        <xdr:nvCxnSpPr>
          <xdr:cNvPr id="668" name="Gerader Verbinder 667">
            <a:extLst>
              <a:ext uri="{FF2B5EF4-FFF2-40B4-BE49-F238E27FC236}">
                <a16:creationId xmlns:a16="http://schemas.microsoft.com/office/drawing/2014/main" id="{B6319C41-E5DA-EECB-ED09-5D4107EFA69A}"/>
              </a:ext>
            </a:extLst>
          </xdr:cNvPr>
          <xdr:cNvCxnSpPr/>
        </xdr:nvCxnSpPr>
        <xdr:spPr>
          <a:xfrm>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9" name="Gerader Verbinder 668">
            <a:extLst>
              <a:ext uri="{FF2B5EF4-FFF2-40B4-BE49-F238E27FC236}">
                <a16:creationId xmlns:a16="http://schemas.microsoft.com/office/drawing/2014/main" id="{974EDAB9-0A8F-F49B-E72E-3EB1718DF8D7}"/>
              </a:ext>
            </a:extLst>
          </xdr:cNvPr>
          <xdr:cNvCxnSpPr/>
        </xdr:nvCxnSpPr>
        <xdr:spPr>
          <a:xfrm flipH="1">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673" name="Cross_H54">
          <a:extLst>
            <a:ext uri="{FF2B5EF4-FFF2-40B4-BE49-F238E27FC236}">
              <a16:creationId xmlns:a16="http://schemas.microsoft.com/office/drawing/2014/main" id="{D9EF1E0B-5E4D-D029-E1A4-448634E3DC37}"/>
            </a:ext>
          </a:extLst>
        </xdr:cNvPr>
        <xdr:cNvGrpSpPr/>
      </xdr:nvGrpSpPr>
      <xdr:grpSpPr>
        <a:xfrm>
          <a:off x="4648200" y="10226040"/>
          <a:ext cx="601980" cy="167640"/>
          <a:chOff x="4648200" y="10226040"/>
          <a:chExt cx="601980" cy="167640"/>
        </a:xfrm>
      </xdr:grpSpPr>
      <xdr:cxnSp macro="">
        <xdr:nvCxnSpPr>
          <xdr:cNvPr id="671" name="Gerader Verbinder 670">
            <a:extLst>
              <a:ext uri="{FF2B5EF4-FFF2-40B4-BE49-F238E27FC236}">
                <a16:creationId xmlns:a16="http://schemas.microsoft.com/office/drawing/2014/main" id="{31AC59C8-9920-9965-0BF5-204670558B02}"/>
              </a:ext>
            </a:extLst>
          </xdr:cNvPr>
          <xdr:cNvCxnSpPr/>
        </xdr:nvCxnSpPr>
        <xdr:spPr>
          <a:xfrm>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2" name="Gerader Verbinder 671">
            <a:extLst>
              <a:ext uri="{FF2B5EF4-FFF2-40B4-BE49-F238E27FC236}">
                <a16:creationId xmlns:a16="http://schemas.microsoft.com/office/drawing/2014/main" id="{1E776736-539C-9B59-41A2-D3DF2DB949F2}"/>
              </a:ext>
            </a:extLst>
          </xdr:cNvPr>
          <xdr:cNvCxnSpPr/>
        </xdr:nvCxnSpPr>
        <xdr:spPr>
          <a:xfrm flipH="1">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676" name="Cross_H55">
          <a:extLst>
            <a:ext uri="{FF2B5EF4-FFF2-40B4-BE49-F238E27FC236}">
              <a16:creationId xmlns:a16="http://schemas.microsoft.com/office/drawing/2014/main" id="{664B420D-459A-147F-3F6F-E7D4D387A849}"/>
            </a:ext>
          </a:extLst>
        </xdr:cNvPr>
        <xdr:cNvGrpSpPr/>
      </xdr:nvGrpSpPr>
      <xdr:grpSpPr>
        <a:xfrm>
          <a:off x="4648200" y="10393680"/>
          <a:ext cx="601980" cy="228600"/>
          <a:chOff x="4648200" y="10393680"/>
          <a:chExt cx="601980" cy="228600"/>
        </a:xfrm>
      </xdr:grpSpPr>
      <xdr:cxnSp macro="">
        <xdr:nvCxnSpPr>
          <xdr:cNvPr id="674" name="Gerader Verbinder 673">
            <a:extLst>
              <a:ext uri="{FF2B5EF4-FFF2-40B4-BE49-F238E27FC236}">
                <a16:creationId xmlns:a16="http://schemas.microsoft.com/office/drawing/2014/main" id="{5C1731DF-F7E2-30F5-5380-53E2D85D10F6}"/>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5" name="Gerader Verbinder 674">
            <a:extLst>
              <a:ext uri="{FF2B5EF4-FFF2-40B4-BE49-F238E27FC236}">
                <a16:creationId xmlns:a16="http://schemas.microsoft.com/office/drawing/2014/main" id="{8FE58546-5713-BE7A-1428-9C55A70A3415}"/>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679" name="Cross_H56">
          <a:extLst>
            <a:ext uri="{FF2B5EF4-FFF2-40B4-BE49-F238E27FC236}">
              <a16:creationId xmlns:a16="http://schemas.microsoft.com/office/drawing/2014/main" id="{573B9C71-53F2-B9CC-0E6E-8D080E22C494}"/>
            </a:ext>
          </a:extLst>
        </xdr:cNvPr>
        <xdr:cNvGrpSpPr/>
      </xdr:nvGrpSpPr>
      <xdr:grpSpPr>
        <a:xfrm>
          <a:off x="4648200" y="10622280"/>
          <a:ext cx="601980" cy="167640"/>
          <a:chOff x="4648200" y="10622280"/>
          <a:chExt cx="601980" cy="167640"/>
        </a:xfrm>
      </xdr:grpSpPr>
      <xdr:cxnSp macro="">
        <xdr:nvCxnSpPr>
          <xdr:cNvPr id="677" name="Gerader Verbinder 676">
            <a:extLst>
              <a:ext uri="{FF2B5EF4-FFF2-40B4-BE49-F238E27FC236}">
                <a16:creationId xmlns:a16="http://schemas.microsoft.com/office/drawing/2014/main" id="{3C85805F-CFE9-C046-489F-73049977B57E}"/>
              </a:ext>
            </a:extLst>
          </xdr:cNvPr>
          <xdr:cNvCxnSpPr/>
        </xdr:nvCxnSpPr>
        <xdr:spPr>
          <a:xfrm>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8" name="Gerader Verbinder 677">
            <a:extLst>
              <a:ext uri="{FF2B5EF4-FFF2-40B4-BE49-F238E27FC236}">
                <a16:creationId xmlns:a16="http://schemas.microsoft.com/office/drawing/2014/main" id="{892CBEF3-3DC7-ABA9-F1C6-C71CABFE9475}"/>
              </a:ext>
            </a:extLst>
          </xdr:cNvPr>
          <xdr:cNvCxnSpPr/>
        </xdr:nvCxnSpPr>
        <xdr:spPr>
          <a:xfrm flipH="1">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682" name="Cross_H57">
          <a:extLst>
            <a:ext uri="{FF2B5EF4-FFF2-40B4-BE49-F238E27FC236}">
              <a16:creationId xmlns:a16="http://schemas.microsoft.com/office/drawing/2014/main" id="{7862986B-8BE8-BFBD-53F7-64671025372B}"/>
            </a:ext>
          </a:extLst>
        </xdr:cNvPr>
        <xdr:cNvGrpSpPr/>
      </xdr:nvGrpSpPr>
      <xdr:grpSpPr>
        <a:xfrm>
          <a:off x="4648200" y="10789920"/>
          <a:ext cx="601980" cy="167640"/>
          <a:chOff x="4648200" y="10789920"/>
          <a:chExt cx="601980" cy="167640"/>
        </a:xfrm>
      </xdr:grpSpPr>
      <xdr:cxnSp macro="">
        <xdr:nvCxnSpPr>
          <xdr:cNvPr id="680" name="Gerader Verbinder 679">
            <a:extLst>
              <a:ext uri="{FF2B5EF4-FFF2-40B4-BE49-F238E27FC236}">
                <a16:creationId xmlns:a16="http://schemas.microsoft.com/office/drawing/2014/main" id="{CD63C62A-19F8-AF4E-1E7F-B0177CAA8FA0}"/>
              </a:ext>
            </a:extLst>
          </xdr:cNvPr>
          <xdr:cNvCxnSpPr/>
        </xdr:nvCxnSpPr>
        <xdr:spPr>
          <a:xfrm>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1" name="Gerader Verbinder 680">
            <a:extLst>
              <a:ext uri="{FF2B5EF4-FFF2-40B4-BE49-F238E27FC236}">
                <a16:creationId xmlns:a16="http://schemas.microsoft.com/office/drawing/2014/main" id="{C4C8C89D-94BF-54A4-78D1-466EC60E5A72}"/>
              </a:ext>
            </a:extLst>
          </xdr:cNvPr>
          <xdr:cNvCxnSpPr/>
        </xdr:nvCxnSpPr>
        <xdr:spPr>
          <a:xfrm flipH="1">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685" name="Cross_H64">
          <a:extLst>
            <a:ext uri="{FF2B5EF4-FFF2-40B4-BE49-F238E27FC236}">
              <a16:creationId xmlns:a16="http://schemas.microsoft.com/office/drawing/2014/main" id="{D6C4BF08-3132-F417-CA93-8BE2AFA40699}"/>
            </a:ext>
          </a:extLst>
        </xdr:cNvPr>
        <xdr:cNvGrpSpPr/>
      </xdr:nvGrpSpPr>
      <xdr:grpSpPr>
        <a:xfrm>
          <a:off x="4648200" y="12085320"/>
          <a:ext cx="601980" cy="228600"/>
          <a:chOff x="4648200" y="12085320"/>
          <a:chExt cx="601980" cy="228600"/>
        </a:xfrm>
      </xdr:grpSpPr>
      <xdr:cxnSp macro="">
        <xdr:nvCxnSpPr>
          <xdr:cNvPr id="683" name="Gerader Verbinder 682">
            <a:extLst>
              <a:ext uri="{FF2B5EF4-FFF2-40B4-BE49-F238E27FC236}">
                <a16:creationId xmlns:a16="http://schemas.microsoft.com/office/drawing/2014/main" id="{2235BAAC-2C3A-05BF-3E96-0F94C76232AA}"/>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4" name="Gerader Verbinder 683">
            <a:extLst>
              <a:ext uri="{FF2B5EF4-FFF2-40B4-BE49-F238E27FC236}">
                <a16:creationId xmlns:a16="http://schemas.microsoft.com/office/drawing/2014/main" id="{79CFA11D-D1BC-D1FE-C502-E5B4DA359D97}"/>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688" name="Cross_H65">
          <a:extLst>
            <a:ext uri="{FF2B5EF4-FFF2-40B4-BE49-F238E27FC236}">
              <a16:creationId xmlns:a16="http://schemas.microsoft.com/office/drawing/2014/main" id="{D7D955A8-0180-0404-9782-6F9ADF3F88D0}"/>
            </a:ext>
          </a:extLst>
        </xdr:cNvPr>
        <xdr:cNvGrpSpPr/>
      </xdr:nvGrpSpPr>
      <xdr:grpSpPr>
        <a:xfrm>
          <a:off x="4648200" y="12313920"/>
          <a:ext cx="601980" cy="167640"/>
          <a:chOff x="4648200" y="12313920"/>
          <a:chExt cx="601980" cy="167640"/>
        </a:xfrm>
      </xdr:grpSpPr>
      <xdr:cxnSp macro="">
        <xdr:nvCxnSpPr>
          <xdr:cNvPr id="686" name="Gerader Verbinder 685">
            <a:extLst>
              <a:ext uri="{FF2B5EF4-FFF2-40B4-BE49-F238E27FC236}">
                <a16:creationId xmlns:a16="http://schemas.microsoft.com/office/drawing/2014/main" id="{92324F50-12A7-0CBB-873A-B28FC52F6E98}"/>
              </a:ext>
            </a:extLst>
          </xdr:cNvPr>
          <xdr:cNvCxnSpPr/>
        </xdr:nvCxnSpPr>
        <xdr:spPr>
          <a:xfrm>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7" name="Gerader Verbinder 686">
            <a:extLst>
              <a:ext uri="{FF2B5EF4-FFF2-40B4-BE49-F238E27FC236}">
                <a16:creationId xmlns:a16="http://schemas.microsoft.com/office/drawing/2014/main" id="{E8EC0BBE-507B-2D2F-1867-CFEF1EDA9EB6}"/>
              </a:ext>
            </a:extLst>
          </xdr:cNvPr>
          <xdr:cNvCxnSpPr/>
        </xdr:nvCxnSpPr>
        <xdr:spPr>
          <a:xfrm flipH="1">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691" name="Cross_H66">
          <a:extLst>
            <a:ext uri="{FF2B5EF4-FFF2-40B4-BE49-F238E27FC236}">
              <a16:creationId xmlns:a16="http://schemas.microsoft.com/office/drawing/2014/main" id="{C304F7DE-D835-6CA9-EB5C-E02AE1C04BA1}"/>
            </a:ext>
          </a:extLst>
        </xdr:cNvPr>
        <xdr:cNvGrpSpPr/>
      </xdr:nvGrpSpPr>
      <xdr:grpSpPr>
        <a:xfrm>
          <a:off x="4648200" y="12481560"/>
          <a:ext cx="601980" cy="167640"/>
          <a:chOff x="4648200" y="12481560"/>
          <a:chExt cx="601980" cy="167640"/>
        </a:xfrm>
      </xdr:grpSpPr>
      <xdr:cxnSp macro="">
        <xdr:nvCxnSpPr>
          <xdr:cNvPr id="689" name="Gerader Verbinder 688">
            <a:extLst>
              <a:ext uri="{FF2B5EF4-FFF2-40B4-BE49-F238E27FC236}">
                <a16:creationId xmlns:a16="http://schemas.microsoft.com/office/drawing/2014/main" id="{401902C3-9FA9-4CBF-B962-A39D87EE6A95}"/>
              </a:ext>
            </a:extLst>
          </xdr:cNvPr>
          <xdr:cNvCxnSpPr/>
        </xdr:nvCxnSpPr>
        <xdr:spPr>
          <a:xfrm>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0" name="Gerader Verbinder 689">
            <a:extLst>
              <a:ext uri="{FF2B5EF4-FFF2-40B4-BE49-F238E27FC236}">
                <a16:creationId xmlns:a16="http://schemas.microsoft.com/office/drawing/2014/main" id="{FC5F094D-56D5-D306-67ED-5BF9C522B648}"/>
              </a:ext>
            </a:extLst>
          </xdr:cNvPr>
          <xdr:cNvCxnSpPr/>
        </xdr:nvCxnSpPr>
        <xdr:spPr>
          <a:xfrm flipH="1">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694" name="Cross_H67">
          <a:extLst>
            <a:ext uri="{FF2B5EF4-FFF2-40B4-BE49-F238E27FC236}">
              <a16:creationId xmlns:a16="http://schemas.microsoft.com/office/drawing/2014/main" id="{5985678D-7305-486A-6732-EB77BF90E6D5}"/>
            </a:ext>
          </a:extLst>
        </xdr:cNvPr>
        <xdr:cNvGrpSpPr/>
      </xdr:nvGrpSpPr>
      <xdr:grpSpPr>
        <a:xfrm>
          <a:off x="4648200" y="12649200"/>
          <a:ext cx="601980" cy="228600"/>
          <a:chOff x="4648200" y="12649200"/>
          <a:chExt cx="601980" cy="228600"/>
        </a:xfrm>
      </xdr:grpSpPr>
      <xdr:cxnSp macro="">
        <xdr:nvCxnSpPr>
          <xdr:cNvPr id="692" name="Gerader Verbinder 691">
            <a:extLst>
              <a:ext uri="{FF2B5EF4-FFF2-40B4-BE49-F238E27FC236}">
                <a16:creationId xmlns:a16="http://schemas.microsoft.com/office/drawing/2014/main" id="{4D19281C-D872-EE10-CA92-3C4419BA048E}"/>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3" name="Gerader Verbinder 692">
            <a:extLst>
              <a:ext uri="{FF2B5EF4-FFF2-40B4-BE49-F238E27FC236}">
                <a16:creationId xmlns:a16="http://schemas.microsoft.com/office/drawing/2014/main" id="{77EC1567-6E0E-A674-E812-E2D5C448599E}"/>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697" name="Cross_H68">
          <a:extLst>
            <a:ext uri="{FF2B5EF4-FFF2-40B4-BE49-F238E27FC236}">
              <a16:creationId xmlns:a16="http://schemas.microsoft.com/office/drawing/2014/main" id="{0A347655-4371-F22B-07DA-D5DB786B5D54}"/>
            </a:ext>
          </a:extLst>
        </xdr:cNvPr>
        <xdr:cNvGrpSpPr/>
      </xdr:nvGrpSpPr>
      <xdr:grpSpPr>
        <a:xfrm>
          <a:off x="4648200" y="12877800"/>
          <a:ext cx="601980" cy="167639"/>
          <a:chOff x="4648200" y="12877800"/>
          <a:chExt cx="601980" cy="167639"/>
        </a:xfrm>
      </xdr:grpSpPr>
      <xdr:cxnSp macro="">
        <xdr:nvCxnSpPr>
          <xdr:cNvPr id="695" name="Gerader Verbinder 694">
            <a:extLst>
              <a:ext uri="{FF2B5EF4-FFF2-40B4-BE49-F238E27FC236}">
                <a16:creationId xmlns:a16="http://schemas.microsoft.com/office/drawing/2014/main" id="{A8792A87-C230-3611-B9E6-58EB76421F7B}"/>
              </a:ext>
            </a:extLst>
          </xdr:cNvPr>
          <xdr:cNvCxnSpPr/>
        </xdr:nvCxnSpPr>
        <xdr:spPr>
          <a:xfrm>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6" name="Gerader Verbinder 695">
            <a:extLst>
              <a:ext uri="{FF2B5EF4-FFF2-40B4-BE49-F238E27FC236}">
                <a16:creationId xmlns:a16="http://schemas.microsoft.com/office/drawing/2014/main" id="{1E78D219-CDF3-DB6B-AEEC-A7097C115822}"/>
              </a:ext>
            </a:extLst>
          </xdr:cNvPr>
          <xdr:cNvCxnSpPr/>
        </xdr:nvCxnSpPr>
        <xdr:spPr>
          <a:xfrm flipH="1">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700" name="Cross_H69">
          <a:extLst>
            <a:ext uri="{FF2B5EF4-FFF2-40B4-BE49-F238E27FC236}">
              <a16:creationId xmlns:a16="http://schemas.microsoft.com/office/drawing/2014/main" id="{7FC7AE7E-E142-AA01-CD0A-3AC336574608}"/>
            </a:ext>
          </a:extLst>
        </xdr:cNvPr>
        <xdr:cNvGrpSpPr/>
      </xdr:nvGrpSpPr>
      <xdr:grpSpPr>
        <a:xfrm>
          <a:off x="4648200" y="13045439"/>
          <a:ext cx="601980" cy="167641"/>
          <a:chOff x="4648200" y="13045439"/>
          <a:chExt cx="601980" cy="167641"/>
        </a:xfrm>
      </xdr:grpSpPr>
      <xdr:cxnSp macro="">
        <xdr:nvCxnSpPr>
          <xdr:cNvPr id="698" name="Gerader Verbinder 697">
            <a:extLst>
              <a:ext uri="{FF2B5EF4-FFF2-40B4-BE49-F238E27FC236}">
                <a16:creationId xmlns:a16="http://schemas.microsoft.com/office/drawing/2014/main" id="{D7EF3AA5-963C-FF4B-6C00-095D22DAAAE5}"/>
              </a:ext>
            </a:extLst>
          </xdr:cNvPr>
          <xdr:cNvCxnSpPr/>
        </xdr:nvCxnSpPr>
        <xdr:spPr>
          <a:xfrm>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9" name="Gerader Verbinder 698">
            <a:extLst>
              <a:ext uri="{FF2B5EF4-FFF2-40B4-BE49-F238E27FC236}">
                <a16:creationId xmlns:a16="http://schemas.microsoft.com/office/drawing/2014/main" id="{D2914258-35EE-6BCC-6FD0-AA535F6E8012}"/>
              </a:ext>
            </a:extLst>
          </xdr:cNvPr>
          <xdr:cNvCxnSpPr/>
        </xdr:nvCxnSpPr>
        <xdr:spPr>
          <a:xfrm flipH="1">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703" name="Cross_H73">
          <a:extLst>
            <a:ext uri="{FF2B5EF4-FFF2-40B4-BE49-F238E27FC236}">
              <a16:creationId xmlns:a16="http://schemas.microsoft.com/office/drawing/2014/main" id="{579EB89A-5815-8CC7-0634-472535C4DFDD}"/>
            </a:ext>
          </a:extLst>
        </xdr:cNvPr>
        <xdr:cNvGrpSpPr/>
      </xdr:nvGrpSpPr>
      <xdr:grpSpPr>
        <a:xfrm>
          <a:off x="4648200" y="13776961"/>
          <a:ext cx="601980" cy="228600"/>
          <a:chOff x="4648200" y="13776961"/>
          <a:chExt cx="601980" cy="228600"/>
        </a:xfrm>
      </xdr:grpSpPr>
      <xdr:cxnSp macro="">
        <xdr:nvCxnSpPr>
          <xdr:cNvPr id="701" name="Gerader Verbinder 700">
            <a:extLst>
              <a:ext uri="{FF2B5EF4-FFF2-40B4-BE49-F238E27FC236}">
                <a16:creationId xmlns:a16="http://schemas.microsoft.com/office/drawing/2014/main" id="{EB88DB72-CC83-0BF4-E227-96C344913348}"/>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2" name="Gerader Verbinder 701">
            <a:extLst>
              <a:ext uri="{FF2B5EF4-FFF2-40B4-BE49-F238E27FC236}">
                <a16:creationId xmlns:a16="http://schemas.microsoft.com/office/drawing/2014/main" id="{0B6CBB97-C636-58AC-0D37-7760C16EFB95}"/>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706" name="Cross_H74">
          <a:extLst>
            <a:ext uri="{FF2B5EF4-FFF2-40B4-BE49-F238E27FC236}">
              <a16:creationId xmlns:a16="http://schemas.microsoft.com/office/drawing/2014/main" id="{FC7DD52B-07B2-23B8-6933-FAA29CA7576D}"/>
            </a:ext>
          </a:extLst>
        </xdr:cNvPr>
        <xdr:cNvGrpSpPr/>
      </xdr:nvGrpSpPr>
      <xdr:grpSpPr>
        <a:xfrm>
          <a:off x="4648200" y="14005561"/>
          <a:ext cx="601980" cy="167639"/>
          <a:chOff x="4648200" y="14005561"/>
          <a:chExt cx="601980" cy="167639"/>
        </a:xfrm>
      </xdr:grpSpPr>
      <xdr:cxnSp macro="">
        <xdr:nvCxnSpPr>
          <xdr:cNvPr id="704" name="Gerader Verbinder 703">
            <a:extLst>
              <a:ext uri="{FF2B5EF4-FFF2-40B4-BE49-F238E27FC236}">
                <a16:creationId xmlns:a16="http://schemas.microsoft.com/office/drawing/2014/main" id="{81C9F9D7-4CB6-5477-53AA-D7C5881B9CFE}"/>
              </a:ext>
            </a:extLst>
          </xdr:cNvPr>
          <xdr:cNvCxnSpPr/>
        </xdr:nvCxnSpPr>
        <xdr:spPr>
          <a:xfrm>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5" name="Gerader Verbinder 704">
            <a:extLst>
              <a:ext uri="{FF2B5EF4-FFF2-40B4-BE49-F238E27FC236}">
                <a16:creationId xmlns:a16="http://schemas.microsoft.com/office/drawing/2014/main" id="{49ADD962-8A7E-4FC4-E842-9C0B835B3047}"/>
              </a:ext>
            </a:extLst>
          </xdr:cNvPr>
          <xdr:cNvCxnSpPr/>
        </xdr:nvCxnSpPr>
        <xdr:spPr>
          <a:xfrm flipH="1">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709" name="Cross_H75">
          <a:extLst>
            <a:ext uri="{FF2B5EF4-FFF2-40B4-BE49-F238E27FC236}">
              <a16:creationId xmlns:a16="http://schemas.microsoft.com/office/drawing/2014/main" id="{F23A1340-072D-485B-35ED-7564981422D8}"/>
            </a:ext>
          </a:extLst>
        </xdr:cNvPr>
        <xdr:cNvGrpSpPr/>
      </xdr:nvGrpSpPr>
      <xdr:grpSpPr>
        <a:xfrm>
          <a:off x="4648200" y="14173200"/>
          <a:ext cx="601980" cy="167639"/>
          <a:chOff x="4648200" y="14173200"/>
          <a:chExt cx="601980" cy="167639"/>
        </a:xfrm>
      </xdr:grpSpPr>
      <xdr:cxnSp macro="">
        <xdr:nvCxnSpPr>
          <xdr:cNvPr id="707" name="Gerader Verbinder 706">
            <a:extLst>
              <a:ext uri="{FF2B5EF4-FFF2-40B4-BE49-F238E27FC236}">
                <a16:creationId xmlns:a16="http://schemas.microsoft.com/office/drawing/2014/main" id="{D86D8BD7-5791-E814-215A-0AA95D1780E9}"/>
              </a:ext>
            </a:extLst>
          </xdr:cNvPr>
          <xdr:cNvCxnSpPr/>
        </xdr:nvCxnSpPr>
        <xdr:spPr>
          <a:xfrm>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8" name="Gerader Verbinder 707">
            <a:extLst>
              <a:ext uri="{FF2B5EF4-FFF2-40B4-BE49-F238E27FC236}">
                <a16:creationId xmlns:a16="http://schemas.microsoft.com/office/drawing/2014/main" id="{374F8E4F-677C-8924-CEF3-616BB640E297}"/>
              </a:ext>
            </a:extLst>
          </xdr:cNvPr>
          <xdr:cNvCxnSpPr/>
        </xdr:nvCxnSpPr>
        <xdr:spPr>
          <a:xfrm flipH="1">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2EE5D-26AB-42E3-A9D5-5E19C0589315}">
  <sheetPr codeName="Tabelle17">
    <tabColor rgb="FF00B0F0"/>
  </sheetPr>
  <dimension ref="B1:N100"/>
  <sheetViews>
    <sheetView workbookViewId="0"/>
  </sheetViews>
  <sheetFormatPr baseColWidth="10" defaultRowHeight="13.2" x14ac:dyDescent="0.25"/>
  <cols>
    <col min="1" max="2" width="3.44140625" style="107" customWidth="1"/>
    <col min="3" max="3" width="25.77734375" style="107" customWidth="1"/>
    <col min="4" max="10" width="11.77734375" style="107" customWidth="1"/>
    <col min="11" max="13" width="8.77734375" style="107" customWidth="1"/>
    <col min="14" max="14" width="8.77734375" style="107" hidden="1" customWidth="1"/>
    <col min="15" max="16384" width="11.5546875" style="107"/>
  </cols>
  <sheetData>
    <row r="1" spans="2:14" ht="18" customHeight="1" thickBot="1" x14ac:dyDescent="0.3"/>
    <row r="2" spans="2:14" ht="18" customHeight="1" x14ac:dyDescent="0.25">
      <c r="B2" s="108" t="str">
        <f>Config!F2&amp;" "&amp;YEAR(Config!G24)</f>
        <v>Mathe Abitur 2026</v>
      </c>
      <c r="C2" s="109"/>
      <c r="D2" s="109"/>
      <c r="E2" s="109"/>
      <c r="F2" s="110"/>
      <c r="G2" s="110"/>
      <c r="H2" s="110"/>
      <c r="I2" s="110"/>
      <c r="J2" s="110"/>
      <c r="K2" s="110"/>
      <c r="L2" s="110"/>
      <c r="M2" s="111" t="str">
        <f>"Kurs "&amp;Config!G26</f>
        <v>Kurs K1</v>
      </c>
    </row>
    <row r="3" spans="2:14" ht="18" customHeight="1" x14ac:dyDescent="0.25">
      <c r="B3" s="112" t="s">
        <v>83</v>
      </c>
      <c r="C3" s="113"/>
      <c r="D3" s="113"/>
      <c r="E3" s="113"/>
      <c r="F3" s="113"/>
      <c r="G3" s="113"/>
      <c r="H3" s="113"/>
      <c r="I3" s="113"/>
      <c r="J3" s="113"/>
      <c r="K3" s="113"/>
      <c r="L3" s="113"/>
      <c r="M3" s="114"/>
    </row>
    <row r="4" spans="2:14" ht="18" customHeight="1" thickBot="1" x14ac:dyDescent="0.3">
      <c r="B4" s="112"/>
      <c r="C4" s="113"/>
      <c r="D4" s="113"/>
      <c r="E4" s="113"/>
      <c r="F4" s="113"/>
      <c r="G4" s="113"/>
      <c r="H4" s="113"/>
      <c r="I4" s="113"/>
      <c r="J4" s="113"/>
      <c r="K4" s="113"/>
      <c r="L4" s="113"/>
      <c r="M4" s="114"/>
    </row>
    <row r="5" spans="2:14" ht="18" customHeight="1" thickBot="1" x14ac:dyDescent="0.3">
      <c r="B5" s="117"/>
      <c r="C5" s="115"/>
      <c r="D5" s="195" t="s">
        <v>9</v>
      </c>
      <c r="E5" s="195" t="s">
        <v>10</v>
      </c>
      <c r="F5" s="195" t="s">
        <v>11</v>
      </c>
      <c r="G5" s="195" t="s">
        <v>12</v>
      </c>
      <c r="H5" s="195" t="s">
        <v>13</v>
      </c>
      <c r="I5" s="195" t="s">
        <v>14</v>
      </c>
      <c r="J5" s="195" t="s">
        <v>112</v>
      </c>
      <c r="K5" s="194" t="s">
        <v>82</v>
      </c>
      <c r="L5" s="119"/>
      <c r="M5" s="121"/>
    </row>
    <row r="6" spans="2:14" ht="18" customHeight="1" thickBot="1" x14ac:dyDescent="0.3">
      <c r="B6" s="118"/>
      <c r="C6" s="116" t="s">
        <v>81</v>
      </c>
      <c r="D6" s="198">
        <f>Config!G21</f>
        <v>15</v>
      </c>
      <c r="E6" s="198">
        <f>Config!I21</f>
        <v>30</v>
      </c>
      <c r="F6" s="198">
        <f>Config!K21</f>
        <v>5</v>
      </c>
      <c r="G6" s="198">
        <f>Config!M21</f>
        <v>17</v>
      </c>
      <c r="H6" s="198">
        <f>Config!O21</f>
        <v>5</v>
      </c>
      <c r="I6" s="198">
        <f>Config!Q21</f>
        <v>18</v>
      </c>
      <c r="J6" s="198">
        <f>Config!S21</f>
        <v>10</v>
      </c>
      <c r="K6" s="201">
        <f t="shared" ref="K6:K29" si="0">SUM(D6:J6)</f>
        <v>100</v>
      </c>
      <c r="L6" s="120" t="s">
        <v>0</v>
      </c>
      <c r="M6" s="122" t="s">
        <v>1</v>
      </c>
      <c r="N6" s="107" t="s">
        <v>84</v>
      </c>
    </row>
    <row r="7" spans="2:14" ht="18" customHeight="1" thickBot="1" x14ac:dyDescent="0.3">
      <c r="B7" s="134">
        <v>1</v>
      </c>
      <c r="C7" s="123" t="str">
        <f>Config!C5&amp;", "&amp;Config!D5</f>
        <v>Höfer, Simon</v>
      </c>
      <c r="D7" s="144">
        <f>VLOOKUP(C7,'Analysis A'!PupilBlock,8,0)</f>
        <v>11.5</v>
      </c>
      <c r="E7" s="144">
        <f>VLOOKUP(C7,'Analysis B'!PupilBlock,12,0)</f>
        <v>22.5</v>
      </c>
      <c r="F7" s="144">
        <f>VLOOKUP(C7,'Stochastik A'!PupilBlock,3,0)</f>
        <v>2.5</v>
      </c>
      <c r="G7" s="144">
        <f>VLOOKUP(C7,'Stochastik B'!PupilBlock,7,0)</f>
        <v>13</v>
      </c>
      <c r="H7" s="144">
        <f>VLOOKUP(C7,'Geometrie A'!PupilBlock,4,0)</f>
        <v>0</v>
      </c>
      <c r="I7" s="144">
        <f>VLOOKUP(C7,'Geometrie B'!PupilBlock,7,0)</f>
        <v>9</v>
      </c>
      <c r="J7" s="126">
        <f>VLOOKUP(C7,Wahlaufgaben!PupilBlock,7,0)</f>
        <v>7</v>
      </c>
      <c r="K7" s="127">
        <f t="shared" si="0"/>
        <v>65.5</v>
      </c>
      <c r="L7" s="207">
        <f>VLOOKUP(VALUE(K7),Notenspiegel!$B$3:$C$302,2,0)</f>
        <v>9</v>
      </c>
      <c r="M7" s="208" t="str">
        <f>VLOOKUP(VALUE(K7),Notenspiegel!$B$3:$D$302,3,0)</f>
        <v>3+</v>
      </c>
      <c r="N7" s="107" t="str">
        <f>VLOOKUP(VALUE(K7),Notenspiegel!$B$3:$E$302,4,0)</f>
        <v>-</v>
      </c>
    </row>
    <row r="8" spans="2:14" ht="18" customHeight="1" thickBot="1" x14ac:dyDescent="0.3">
      <c r="B8" s="136">
        <v>2</v>
      </c>
      <c r="C8" s="128" t="str">
        <f>Config!C6&amp;", "&amp;Config!D6</f>
        <v>Töpfer, Lilian</v>
      </c>
      <c r="D8" s="145">
        <f>VLOOKUP(C8,'Analysis A'!PupilBlock,8,0)</f>
        <v>9</v>
      </c>
      <c r="E8" s="145">
        <f>VLOOKUP(C8,'Analysis B'!PupilBlock,12,0)</f>
        <v>17.5</v>
      </c>
      <c r="F8" s="145">
        <f>VLOOKUP(C8,'Stochastik A'!PupilBlock,3,0)</f>
        <v>5</v>
      </c>
      <c r="G8" s="145">
        <f>VLOOKUP(C8,'Stochastik B'!PupilBlock,7,0)</f>
        <v>7</v>
      </c>
      <c r="H8" s="145">
        <f>VLOOKUP(C8,'Geometrie A'!PupilBlock,4,0)</f>
        <v>3.5</v>
      </c>
      <c r="I8" s="145">
        <f>VLOOKUP(C8,'Geometrie B'!PupilBlock,7,0)</f>
        <v>9</v>
      </c>
      <c r="J8" s="141">
        <f>VLOOKUP(C8,Wahlaufgaben!PupilBlock,7,0)</f>
        <v>7</v>
      </c>
      <c r="K8" s="142">
        <f t="shared" si="0"/>
        <v>58</v>
      </c>
      <c r="L8" s="200">
        <f>VLOOKUP(VALUE(K8),Notenspiegel!$B$3:$C$302,2,0)</f>
        <v>7</v>
      </c>
      <c r="M8" s="137" t="str">
        <f>VLOOKUP(VALUE(K8),Notenspiegel!$B$3:$D$302,3,0)</f>
        <v>3-</v>
      </c>
      <c r="N8" s="107" t="str">
        <f>VLOOKUP(VALUE(K8),Notenspiegel!$B$3:$E$302,4,0)</f>
        <v/>
      </c>
    </row>
    <row r="9" spans="2:14" ht="18" customHeight="1" thickBot="1" x14ac:dyDescent="0.3">
      <c r="B9" s="138">
        <v>3</v>
      </c>
      <c r="C9" s="124" t="str">
        <f>Config!C7&amp;", "&amp;Config!D7</f>
        <v>Fleischmann, Leonie</v>
      </c>
      <c r="D9" s="146">
        <f>VLOOKUP(C9,'Analysis A'!PupilBlock,8,0)</f>
        <v>10.5</v>
      </c>
      <c r="E9" s="146">
        <f>VLOOKUP(C9,'Analysis B'!PupilBlock,12,0)</f>
        <v>11.5</v>
      </c>
      <c r="F9" s="146">
        <f>VLOOKUP(C9,'Stochastik A'!PupilBlock,3,0)</f>
        <v>2.5</v>
      </c>
      <c r="G9" s="146">
        <f>VLOOKUP(C9,'Stochastik B'!PupilBlock,7,0)</f>
        <v>8</v>
      </c>
      <c r="H9" s="146">
        <f>VLOOKUP(C9,'Geometrie A'!PupilBlock,4,0)</f>
        <v>4.5</v>
      </c>
      <c r="I9" s="146">
        <f>VLOOKUP(C9,'Geometrie B'!PupilBlock,7,0)</f>
        <v>14</v>
      </c>
      <c r="J9" s="140">
        <f>VLOOKUP(C9,Wahlaufgaben!PupilBlock,7,0)</f>
        <v>8</v>
      </c>
      <c r="K9" s="127">
        <f t="shared" si="0"/>
        <v>59</v>
      </c>
      <c r="L9" s="209">
        <f>VLOOKUP(VALUE(K9),Notenspiegel!$B$3:$C$302,2,0)</f>
        <v>7</v>
      </c>
      <c r="M9" s="210" t="str">
        <f>VLOOKUP(VALUE(K9),Notenspiegel!$B$3:$D$302,3,0)</f>
        <v>3-</v>
      </c>
      <c r="N9" s="107" t="str">
        <f>VLOOKUP(VALUE(K9),Notenspiegel!$B$3:$E$302,4,0)</f>
        <v>+</v>
      </c>
    </row>
    <row r="10" spans="2:14" ht="18" customHeight="1" thickBot="1" x14ac:dyDescent="0.3">
      <c r="B10" s="136">
        <v>4</v>
      </c>
      <c r="C10" s="128" t="str">
        <f>Config!C8&amp;", "&amp;Config!D8</f>
        <v>Drescher, Cedric</v>
      </c>
      <c r="D10" s="145">
        <f>VLOOKUP(C10,'Analysis A'!PupilBlock,8,0)</f>
        <v>12.5</v>
      </c>
      <c r="E10" s="145">
        <f>VLOOKUP(C10,'Analysis B'!PupilBlock,12,0)</f>
        <v>23</v>
      </c>
      <c r="F10" s="145">
        <f>VLOOKUP(C10,'Stochastik A'!PupilBlock,3,0)</f>
        <v>2.5</v>
      </c>
      <c r="G10" s="145">
        <f>VLOOKUP(C10,'Stochastik B'!PupilBlock,7,0)</f>
        <v>9</v>
      </c>
      <c r="H10" s="145">
        <f>VLOOKUP(C10,'Geometrie A'!PupilBlock,4,0)</f>
        <v>3.5</v>
      </c>
      <c r="I10" s="145">
        <f>VLOOKUP(C10,'Geometrie B'!PupilBlock,7,0)</f>
        <v>13.5</v>
      </c>
      <c r="J10" s="141">
        <f>VLOOKUP(C10,Wahlaufgaben!PupilBlock,7,0)</f>
        <v>6</v>
      </c>
      <c r="K10" s="142">
        <f t="shared" si="0"/>
        <v>70</v>
      </c>
      <c r="L10" s="211">
        <f>VLOOKUP(VALUE(K10),Notenspiegel!$B$3:$C$302,2,0)</f>
        <v>10</v>
      </c>
      <c r="M10" s="212" t="str">
        <f>VLOOKUP(VALUE(K10),Notenspiegel!$B$3:$D$302,3,0)</f>
        <v>2-</v>
      </c>
      <c r="N10" s="107" t="str">
        <f>VLOOKUP(VALUE(K10),Notenspiegel!$B$3:$E$302,4,0)</f>
        <v>--</v>
      </c>
    </row>
    <row r="11" spans="2:14" ht="18" customHeight="1" thickBot="1" x14ac:dyDescent="0.3">
      <c r="B11" s="138">
        <v>5</v>
      </c>
      <c r="C11" s="124" t="str">
        <f>Config!C9&amp;", "&amp;Config!D9</f>
        <v>Baumgarten, Annabell</v>
      </c>
      <c r="D11" s="146">
        <f>VLOOKUP(C11,'Analysis A'!PupilBlock,8,0)</f>
        <v>14</v>
      </c>
      <c r="E11" s="146">
        <f>VLOOKUP(C11,'Analysis B'!PupilBlock,12,0)</f>
        <v>21.5</v>
      </c>
      <c r="F11" s="146">
        <f>VLOOKUP(C11,'Stochastik A'!PupilBlock,3,0)</f>
        <v>2.5</v>
      </c>
      <c r="G11" s="146">
        <f>VLOOKUP(C11,'Stochastik B'!PupilBlock,7,0)</f>
        <v>4.5</v>
      </c>
      <c r="H11" s="146">
        <f>VLOOKUP(C11,'Geometrie A'!PupilBlock,4,0)</f>
        <v>3.5</v>
      </c>
      <c r="I11" s="146">
        <f>VLOOKUP(C11,'Geometrie B'!PupilBlock,7,0)</f>
        <v>12</v>
      </c>
      <c r="J11" s="140">
        <f>VLOOKUP(C11,Wahlaufgaben!PupilBlock,7,0)</f>
        <v>6</v>
      </c>
      <c r="K11" s="127">
        <f t="shared" si="0"/>
        <v>64</v>
      </c>
      <c r="L11" s="209">
        <f>VLOOKUP(VALUE(K11),Notenspiegel!$B$3:$C$302,2,0)</f>
        <v>8</v>
      </c>
      <c r="M11" s="210" t="str">
        <f>VLOOKUP(VALUE(K11),Notenspiegel!$B$3:$D$302,3,0)</f>
        <v>3</v>
      </c>
      <c r="N11" s="107" t="str">
        <f>VLOOKUP(VALUE(K11),Notenspiegel!$B$3:$E$302,4,0)</f>
        <v>+</v>
      </c>
    </row>
    <row r="12" spans="2:14" ht="18" customHeight="1" thickBot="1" x14ac:dyDescent="0.3">
      <c r="B12" s="136">
        <v>6</v>
      </c>
      <c r="C12" s="128" t="str">
        <f>Config!C10&amp;", "&amp;Config!D10</f>
        <v>Traut, Stefanie</v>
      </c>
      <c r="D12" s="145">
        <f>VLOOKUP(C12,'Analysis A'!PupilBlock,8,0)</f>
        <v>12.5</v>
      </c>
      <c r="E12" s="145">
        <f>VLOOKUP(C12,'Analysis B'!PupilBlock,12,0)</f>
        <v>33</v>
      </c>
      <c r="F12" s="145">
        <f>VLOOKUP(C12,'Stochastik A'!PupilBlock,3,0)</f>
        <v>3</v>
      </c>
      <c r="G12" s="145">
        <f>VLOOKUP(C12,'Stochastik B'!PupilBlock,7,0)</f>
        <v>10.5</v>
      </c>
      <c r="H12" s="145">
        <f>VLOOKUP(C12,'Geometrie A'!PupilBlock,4,0)</f>
        <v>4.5</v>
      </c>
      <c r="I12" s="145">
        <f>VLOOKUP(C12,'Geometrie B'!PupilBlock,7,0)</f>
        <v>17</v>
      </c>
      <c r="J12" s="141">
        <f>VLOOKUP(C12,Wahlaufgaben!PupilBlock,7,0)</f>
        <v>8</v>
      </c>
      <c r="K12" s="142">
        <f t="shared" si="0"/>
        <v>88.5</v>
      </c>
      <c r="L12" s="200">
        <f>VLOOKUP(VALUE(K12),Notenspiegel!$B$3:$C$302,2,0)</f>
        <v>13</v>
      </c>
      <c r="M12" s="137" t="str">
        <f>VLOOKUP(VALUE(K12),Notenspiegel!$B$3:$D$302,3,0)</f>
        <v>1-</v>
      </c>
      <c r="N12" s="107" t="str">
        <f>VLOOKUP(VALUE(K12),Notenspiegel!$B$3:$E$302,4,0)</f>
        <v/>
      </c>
    </row>
    <row r="13" spans="2:14" ht="18" customHeight="1" thickBot="1" x14ac:dyDescent="0.3">
      <c r="B13" s="138">
        <v>7</v>
      </c>
      <c r="C13" s="124" t="str">
        <f>Config!C11&amp;", "&amp;Config!D11</f>
        <v>Menke, Damian</v>
      </c>
      <c r="D13" s="146">
        <f>VLOOKUP(C13,'Analysis A'!PupilBlock,8,0)</f>
        <v>12.5</v>
      </c>
      <c r="E13" s="146">
        <f>VLOOKUP(C13,'Analysis B'!PupilBlock,12,0)</f>
        <v>22.5</v>
      </c>
      <c r="F13" s="146">
        <f>VLOOKUP(C13,'Stochastik A'!PupilBlock,3,0)</f>
        <v>5</v>
      </c>
      <c r="G13" s="146">
        <f>VLOOKUP(C13,'Stochastik B'!PupilBlock,7,0)</f>
        <v>8.5</v>
      </c>
      <c r="H13" s="146">
        <f>VLOOKUP(C13,'Geometrie A'!PupilBlock,4,0)</f>
        <v>4.5</v>
      </c>
      <c r="I13" s="146">
        <f>VLOOKUP(C13,'Geometrie B'!PupilBlock,7,0)</f>
        <v>15</v>
      </c>
      <c r="J13" s="140">
        <f>VLOOKUP(C13,Wahlaufgaben!PupilBlock,7,0)</f>
        <v>7</v>
      </c>
      <c r="K13" s="127">
        <f t="shared" si="0"/>
        <v>75</v>
      </c>
      <c r="L13" s="211">
        <f>VLOOKUP(VALUE(K13),Notenspiegel!$B$3:$C$302,2,0)</f>
        <v>11</v>
      </c>
      <c r="M13" s="212" t="str">
        <f>VLOOKUP(VALUE(K13),Notenspiegel!$B$3:$D$302,3,0)</f>
        <v>2</v>
      </c>
      <c r="N13" s="107" t="str">
        <f>VLOOKUP(VALUE(K13),Notenspiegel!$B$3:$E$302,4,0)</f>
        <v>--</v>
      </c>
    </row>
    <row r="14" spans="2:14" ht="18" customHeight="1" thickBot="1" x14ac:dyDescent="0.3">
      <c r="B14" s="136">
        <v>8</v>
      </c>
      <c r="C14" s="128" t="str">
        <f>Config!C12&amp;", "&amp;Config!D12</f>
        <v>Carroll, Meik</v>
      </c>
      <c r="D14" s="145">
        <f>VLOOKUP(C14,'Analysis A'!PupilBlock,8,0)</f>
        <v>9</v>
      </c>
      <c r="E14" s="145">
        <f>VLOOKUP(C14,'Analysis B'!PupilBlock,12,0)</f>
        <v>16.5</v>
      </c>
      <c r="F14" s="145">
        <f>VLOOKUP(C14,'Stochastik A'!PupilBlock,3,0)</f>
        <v>5</v>
      </c>
      <c r="G14" s="145">
        <f>VLOOKUP(C14,'Stochastik B'!PupilBlock,7,0)</f>
        <v>8.5</v>
      </c>
      <c r="H14" s="145">
        <f>VLOOKUP(C14,'Geometrie A'!PupilBlock,4,0)</f>
        <v>4</v>
      </c>
      <c r="I14" s="145">
        <f>VLOOKUP(C14,'Geometrie B'!PupilBlock,7,0)</f>
        <v>13</v>
      </c>
      <c r="J14" s="141">
        <f>VLOOKUP(C14,Wahlaufgaben!PupilBlock,7,0)</f>
        <v>7</v>
      </c>
      <c r="K14" s="142">
        <f t="shared" si="0"/>
        <v>63</v>
      </c>
      <c r="L14" s="200">
        <f>VLOOKUP(VALUE(K14),Notenspiegel!$B$3:$C$302,2,0)</f>
        <v>8</v>
      </c>
      <c r="M14" s="137" t="str">
        <f>VLOOKUP(VALUE(K14),Notenspiegel!$B$3:$D$302,3,0)</f>
        <v>3</v>
      </c>
      <c r="N14" s="107" t="str">
        <f>VLOOKUP(VALUE(K14),Notenspiegel!$B$3:$E$302,4,0)</f>
        <v/>
      </c>
    </row>
    <row r="15" spans="2:14" ht="18" customHeight="1" thickBot="1" x14ac:dyDescent="0.3">
      <c r="B15" s="138">
        <v>9</v>
      </c>
      <c r="C15" s="124" t="str">
        <f>Config!C13&amp;", "&amp;Config!D13</f>
        <v>Hennings, Tomas</v>
      </c>
      <c r="D15" s="146">
        <f>VLOOKUP(C15,'Analysis A'!PupilBlock,8,0)</f>
        <v>10</v>
      </c>
      <c r="E15" s="146">
        <f>VLOOKUP(C15,'Analysis B'!PupilBlock,12,0)</f>
        <v>14.5</v>
      </c>
      <c r="F15" s="146">
        <f>VLOOKUP(C15,'Stochastik A'!PupilBlock,3,0)</f>
        <v>4</v>
      </c>
      <c r="G15" s="146">
        <f>VLOOKUP(C15,'Stochastik B'!PupilBlock,7,0)</f>
        <v>13</v>
      </c>
      <c r="H15" s="146">
        <f>VLOOKUP(C15,'Geometrie A'!PupilBlock,4,0)</f>
        <v>4.5</v>
      </c>
      <c r="I15" s="146">
        <f>VLOOKUP(C15,'Geometrie B'!PupilBlock,7,0)</f>
        <v>4</v>
      </c>
      <c r="J15" s="140">
        <f>VLOOKUP(C15,Wahlaufgaben!PupilBlock,7,0)</f>
        <v>8</v>
      </c>
      <c r="K15" s="127">
        <f t="shared" si="0"/>
        <v>58</v>
      </c>
      <c r="L15" s="199">
        <f>VLOOKUP(VALUE(K15),Notenspiegel!$B$3:$C$302,2,0)</f>
        <v>7</v>
      </c>
      <c r="M15" s="135" t="str">
        <f>VLOOKUP(VALUE(K15),Notenspiegel!$B$3:$D$302,3,0)</f>
        <v>3-</v>
      </c>
      <c r="N15" s="107" t="str">
        <f>VLOOKUP(VALUE(K15),Notenspiegel!$B$3:$E$302,4,0)</f>
        <v/>
      </c>
    </row>
    <row r="16" spans="2:14" ht="18" customHeight="1" thickBot="1" x14ac:dyDescent="0.3">
      <c r="B16" s="136">
        <v>10</v>
      </c>
      <c r="C16" s="128" t="str">
        <f>Config!C14&amp;", "&amp;Config!D14</f>
        <v>Walters, Linn</v>
      </c>
      <c r="D16" s="145">
        <f>VLOOKUP(C16,'Analysis A'!PupilBlock,8,0)</f>
        <v>3</v>
      </c>
      <c r="E16" s="145">
        <f>VLOOKUP(C16,'Analysis B'!PupilBlock,12,0)</f>
        <v>7</v>
      </c>
      <c r="F16" s="145">
        <f>VLOOKUP(C16,'Stochastik A'!PupilBlock,3,0)</f>
        <v>2.5</v>
      </c>
      <c r="G16" s="145">
        <f>VLOOKUP(C16,'Stochastik B'!PupilBlock,7,0)</f>
        <v>8</v>
      </c>
      <c r="H16" s="145">
        <f>VLOOKUP(C16,'Geometrie A'!PupilBlock,4,0)</f>
        <v>1</v>
      </c>
      <c r="I16" s="145">
        <f>VLOOKUP(C16,'Geometrie B'!PupilBlock,7,0)</f>
        <v>8.5</v>
      </c>
      <c r="J16" s="141">
        <f>VLOOKUP(C16,Wahlaufgaben!PupilBlock,7,0)</f>
        <v>8</v>
      </c>
      <c r="K16" s="142">
        <f t="shared" si="0"/>
        <v>38</v>
      </c>
      <c r="L16" s="200">
        <f>VLOOKUP(VALUE(K16),Notenspiegel!$B$3:$C$302,2,0)</f>
        <v>3</v>
      </c>
      <c r="M16" s="137" t="str">
        <f>VLOOKUP(VALUE(K16),Notenspiegel!$B$3:$D$302,3,0)</f>
        <v>5+</v>
      </c>
      <c r="N16" s="107" t="str">
        <f>VLOOKUP(VALUE(K16),Notenspiegel!$B$3:$E$302,4,0)</f>
        <v/>
      </c>
    </row>
    <row r="17" spans="2:14" ht="18" customHeight="1" thickBot="1" x14ac:dyDescent="0.3">
      <c r="B17" s="138">
        <v>11</v>
      </c>
      <c r="C17" s="124" t="str">
        <f>Config!C15&amp;", "&amp;Config!D15</f>
        <v>Junker, Amely</v>
      </c>
      <c r="D17" s="146">
        <f>VLOOKUP(C17,'Analysis A'!PupilBlock,8,0)</f>
        <v>6.5</v>
      </c>
      <c r="E17" s="146">
        <f>VLOOKUP(C17,'Analysis B'!PupilBlock,12,0)</f>
        <v>13.5</v>
      </c>
      <c r="F17" s="146">
        <f>VLOOKUP(C17,'Stochastik A'!PupilBlock,3,0)</f>
        <v>2</v>
      </c>
      <c r="G17" s="146">
        <f>VLOOKUP(C17,'Stochastik B'!PupilBlock,7,0)</f>
        <v>6.5</v>
      </c>
      <c r="H17" s="146">
        <f>VLOOKUP(C17,'Geometrie A'!PupilBlock,4,0)</f>
        <v>2</v>
      </c>
      <c r="I17" s="146">
        <f>VLOOKUP(C17,'Geometrie B'!PupilBlock,7,0)</f>
        <v>13</v>
      </c>
      <c r="J17" s="140">
        <f>VLOOKUP(C17,Wahlaufgaben!PupilBlock,7,0)</f>
        <v>6</v>
      </c>
      <c r="K17" s="127">
        <f t="shared" si="0"/>
        <v>49.5</v>
      </c>
      <c r="L17" s="213">
        <f>VLOOKUP(VALUE(K17),Notenspiegel!$B$3:$C$302,2,0)</f>
        <v>5</v>
      </c>
      <c r="M17" s="214" t="str">
        <f>VLOOKUP(VALUE(K17),Notenspiegel!$B$3:$D$302,3,0)</f>
        <v>4</v>
      </c>
      <c r="N17" s="107" t="str">
        <f>VLOOKUP(VALUE(K17),Notenspiegel!$B$3:$E$302,4,0)</f>
        <v>++</v>
      </c>
    </row>
    <row r="18" spans="2:14" ht="18" customHeight="1" thickBot="1" x14ac:dyDescent="0.3">
      <c r="B18" s="136">
        <v>12</v>
      </c>
      <c r="C18" s="128" t="str">
        <f>Config!C16&amp;", "&amp;Config!D16</f>
        <v>Stephens, Melvin</v>
      </c>
      <c r="D18" s="145">
        <f>VLOOKUP(C18,'Analysis A'!PupilBlock,8,0)</f>
        <v>11.5</v>
      </c>
      <c r="E18" s="145">
        <f>VLOOKUP(C18,'Analysis B'!PupilBlock,12,0)</f>
        <v>27</v>
      </c>
      <c r="F18" s="145">
        <f>VLOOKUP(C18,'Stochastik A'!PupilBlock,3,0)</f>
        <v>2.5</v>
      </c>
      <c r="G18" s="145">
        <f>VLOOKUP(C18,'Stochastik B'!PupilBlock,7,0)</f>
        <v>5.5</v>
      </c>
      <c r="H18" s="145">
        <f>VLOOKUP(C18,'Geometrie A'!PupilBlock,4,0)</f>
        <v>0.5</v>
      </c>
      <c r="I18" s="145">
        <f>VLOOKUP(C18,'Geometrie B'!PupilBlock,7,0)</f>
        <v>13</v>
      </c>
      <c r="J18" s="141">
        <f>VLOOKUP(C18,Wahlaufgaben!PupilBlock,7,0)</f>
        <v>6</v>
      </c>
      <c r="K18" s="142">
        <f t="shared" si="0"/>
        <v>66</v>
      </c>
      <c r="L18" s="200">
        <f>VLOOKUP(VALUE(K18),Notenspiegel!$B$3:$C$302,2,0)</f>
        <v>9</v>
      </c>
      <c r="M18" s="137" t="str">
        <f>VLOOKUP(VALUE(K18),Notenspiegel!$B$3:$D$302,3,0)</f>
        <v>3+</v>
      </c>
      <c r="N18" s="107" t="str">
        <f>VLOOKUP(VALUE(K18),Notenspiegel!$B$3:$E$302,4,0)</f>
        <v/>
      </c>
    </row>
    <row r="19" spans="2:14" ht="18" customHeight="1" thickBot="1" x14ac:dyDescent="0.3">
      <c r="B19" s="138">
        <v>13</v>
      </c>
      <c r="C19" s="124" t="str">
        <f>Config!C17&amp;", "&amp;Config!D17</f>
        <v>Cremer, Marvin</v>
      </c>
      <c r="D19" s="146">
        <f>VLOOKUP(C19,'Analysis A'!PupilBlock,8,0)</f>
        <v>12.5</v>
      </c>
      <c r="E19" s="146">
        <f>VLOOKUP(C19,'Analysis B'!PupilBlock,12,0)</f>
        <v>22</v>
      </c>
      <c r="F19" s="146">
        <f>VLOOKUP(C19,'Stochastik A'!PupilBlock,3,0)</f>
        <v>5</v>
      </c>
      <c r="G19" s="146">
        <f>VLOOKUP(C19,'Stochastik B'!PupilBlock,7,0)</f>
        <v>5.5</v>
      </c>
      <c r="H19" s="146">
        <f>VLOOKUP(C19,'Geometrie A'!PupilBlock,4,0)</f>
        <v>4.5</v>
      </c>
      <c r="I19" s="146">
        <f>VLOOKUP(C19,'Geometrie B'!PupilBlock,7,0)</f>
        <v>3</v>
      </c>
      <c r="J19" s="140">
        <f>VLOOKUP(C19,Wahlaufgaben!PupilBlock,7,0)</f>
        <v>8</v>
      </c>
      <c r="K19" s="127">
        <f t="shared" si="0"/>
        <v>60.5</v>
      </c>
      <c r="L19" s="207">
        <f>VLOOKUP(VALUE(K19),Notenspiegel!$B$3:$C$302,2,0)</f>
        <v>8</v>
      </c>
      <c r="M19" s="208" t="str">
        <f>VLOOKUP(VALUE(K19),Notenspiegel!$B$3:$D$302,3,0)</f>
        <v>3</v>
      </c>
      <c r="N19" s="107" t="str">
        <f>VLOOKUP(VALUE(K19),Notenspiegel!$B$3:$E$302,4,0)</f>
        <v>-</v>
      </c>
    </row>
    <row r="20" spans="2:14" ht="18" customHeight="1" thickBot="1" x14ac:dyDescent="0.3">
      <c r="B20" s="136">
        <v>14</v>
      </c>
      <c r="C20" s="128" t="str">
        <f>Config!C18&amp;", "&amp;Config!D18</f>
        <v>Nash, Jean</v>
      </c>
      <c r="D20" s="145">
        <f>VLOOKUP(C20,'Analysis A'!PupilBlock,8,0)</f>
        <v>13.5</v>
      </c>
      <c r="E20" s="145">
        <f>VLOOKUP(C20,'Analysis B'!PupilBlock,12,0)</f>
        <v>15.5</v>
      </c>
      <c r="F20" s="145">
        <f>VLOOKUP(C20,'Stochastik A'!PupilBlock,3,0)</f>
        <v>5</v>
      </c>
      <c r="G20" s="145">
        <f>VLOOKUP(C20,'Stochastik B'!PupilBlock,7,0)</f>
        <v>8</v>
      </c>
      <c r="H20" s="145">
        <f>VLOOKUP(C20,'Geometrie A'!PupilBlock,4,0)</f>
        <v>4</v>
      </c>
      <c r="I20" s="145">
        <f>VLOOKUP(C20,'Geometrie B'!PupilBlock,7,0)</f>
        <v>14.5</v>
      </c>
      <c r="J20" s="141">
        <f>VLOOKUP(C20,Wahlaufgaben!PupilBlock,7,0)</f>
        <v>7</v>
      </c>
      <c r="K20" s="142">
        <f t="shared" si="0"/>
        <v>67.5</v>
      </c>
      <c r="L20" s="200">
        <f>VLOOKUP(VALUE(K20),Notenspiegel!$B$3:$C$302,2,0)</f>
        <v>9</v>
      </c>
      <c r="M20" s="137" t="str">
        <f>VLOOKUP(VALUE(K20),Notenspiegel!$B$3:$D$302,3,0)</f>
        <v>3+</v>
      </c>
      <c r="N20" s="107" t="str">
        <f>VLOOKUP(VALUE(K20),Notenspiegel!$B$3:$E$302,4,0)</f>
        <v/>
      </c>
    </row>
    <row r="21" spans="2:14" ht="18" customHeight="1" thickBot="1" x14ac:dyDescent="0.3">
      <c r="B21" s="138">
        <v>15</v>
      </c>
      <c r="C21" s="124" t="str">
        <f>Config!C19&amp;", "&amp;Config!D19</f>
        <v>Schön, Leonardo</v>
      </c>
      <c r="D21" s="146">
        <f>VLOOKUP(C21,'Analysis A'!PupilBlock,8,0)</f>
        <v>12</v>
      </c>
      <c r="E21" s="146">
        <f>VLOOKUP(C21,'Analysis B'!PupilBlock,12,0)</f>
        <v>23.5</v>
      </c>
      <c r="F21" s="146">
        <f>VLOOKUP(C21,'Stochastik A'!PupilBlock,3,0)</f>
        <v>2.5</v>
      </c>
      <c r="G21" s="146">
        <f>VLOOKUP(C21,'Stochastik B'!PupilBlock,7,0)</f>
        <v>8</v>
      </c>
      <c r="H21" s="146">
        <f>VLOOKUP(C21,'Geometrie A'!PupilBlock,4,0)</f>
        <v>5</v>
      </c>
      <c r="I21" s="146">
        <f>VLOOKUP(C21,'Geometrie B'!PupilBlock,7,0)</f>
        <v>6.5</v>
      </c>
      <c r="J21" s="140">
        <f>VLOOKUP(C21,Wahlaufgaben!PupilBlock,7,0)</f>
        <v>4</v>
      </c>
      <c r="K21" s="127">
        <f t="shared" si="0"/>
        <v>61.5</v>
      </c>
      <c r="L21" s="199">
        <f>VLOOKUP(VALUE(K21),Notenspiegel!$B$3:$C$302,2,0)</f>
        <v>8</v>
      </c>
      <c r="M21" s="135" t="str">
        <f>VLOOKUP(VALUE(K21),Notenspiegel!$B$3:$D$302,3,0)</f>
        <v>3</v>
      </c>
      <c r="N21" s="107" t="str">
        <f>VLOOKUP(VALUE(K21),Notenspiegel!$B$3:$E$302,4,0)</f>
        <v/>
      </c>
    </row>
    <row r="22" spans="2:14" ht="18" customHeight="1" thickBot="1" x14ac:dyDescent="0.3">
      <c r="B22" s="136">
        <v>16</v>
      </c>
      <c r="C22" s="128" t="str">
        <f>Config!C20&amp;", "&amp;Config!D20</f>
        <v>Sigl, Nicholas</v>
      </c>
      <c r="D22" s="145">
        <f>VLOOKUP(C22,'Analysis A'!PupilBlock,8,0)</f>
        <v>7.5</v>
      </c>
      <c r="E22" s="145">
        <f>VLOOKUP(C22,'Analysis B'!PupilBlock,12,0)</f>
        <v>22</v>
      </c>
      <c r="F22" s="145">
        <f>VLOOKUP(C22,'Stochastik A'!PupilBlock,3,0)</f>
        <v>5</v>
      </c>
      <c r="G22" s="145">
        <f>VLOOKUP(C22,'Stochastik B'!PupilBlock,7,0)</f>
        <v>0</v>
      </c>
      <c r="H22" s="145">
        <f>VLOOKUP(C22,'Geometrie A'!PupilBlock,4,0)</f>
        <v>4.5</v>
      </c>
      <c r="I22" s="145">
        <f>VLOOKUP(C22,'Geometrie B'!PupilBlock,7,0)</f>
        <v>6</v>
      </c>
      <c r="J22" s="141">
        <f>VLOOKUP(C22,Wahlaufgaben!PupilBlock,7,0)</f>
        <v>8</v>
      </c>
      <c r="K22" s="142">
        <f t="shared" si="0"/>
        <v>53</v>
      </c>
      <c r="L22" s="200">
        <f>VLOOKUP(VALUE(K22),Notenspiegel!$B$3:$C$302,2,0)</f>
        <v>6</v>
      </c>
      <c r="M22" s="137" t="str">
        <f>VLOOKUP(VALUE(K22),Notenspiegel!$B$3:$D$302,3,0)</f>
        <v>4+</v>
      </c>
      <c r="N22" s="107" t="str">
        <f>VLOOKUP(VALUE(K22),Notenspiegel!$B$3:$E$302,4,0)</f>
        <v/>
      </c>
    </row>
    <row r="23" spans="2:14" ht="18" customHeight="1" thickBot="1" x14ac:dyDescent="0.3">
      <c r="B23" s="138">
        <v>17</v>
      </c>
      <c r="C23" s="124" t="str">
        <f>Config!C21&amp;", "&amp;Config!D21</f>
        <v>Kainz, Vivienne</v>
      </c>
      <c r="D23" s="146">
        <f>VLOOKUP(C23,'Analysis A'!PupilBlock,8,0)</f>
        <v>1</v>
      </c>
      <c r="E23" s="146">
        <f>VLOOKUP(C23,'Analysis B'!PupilBlock,12,0)</f>
        <v>6.5</v>
      </c>
      <c r="F23" s="146">
        <f>VLOOKUP(C23,'Stochastik A'!PupilBlock,3,0)</f>
        <v>5</v>
      </c>
      <c r="G23" s="146">
        <f>VLOOKUP(C23,'Stochastik B'!PupilBlock,7,0)</f>
        <v>7.5</v>
      </c>
      <c r="H23" s="146">
        <f>VLOOKUP(C23,'Geometrie A'!PupilBlock,4,0)</f>
        <v>5</v>
      </c>
      <c r="I23" s="146">
        <f>VLOOKUP(C23,'Geometrie B'!PupilBlock,7,0)</f>
        <v>4.5</v>
      </c>
      <c r="J23" s="140">
        <f>VLOOKUP(C23,Wahlaufgaben!PupilBlock,7,0)</f>
        <v>10</v>
      </c>
      <c r="K23" s="127">
        <f t="shared" si="0"/>
        <v>39.5</v>
      </c>
      <c r="L23" s="213">
        <f>VLOOKUP(VALUE(K23),Notenspiegel!$B$3:$C$302,2,0)</f>
        <v>3</v>
      </c>
      <c r="M23" s="214" t="str">
        <f>VLOOKUP(VALUE(K23),Notenspiegel!$B$3:$D$302,3,0)</f>
        <v>5+</v>
      </c>
      <c r="N23" s="107" t="str">
        <f>VLOOKUP(VALUE(K23),Notenspiegel!$B$3:$E$302,4,0)</f>
        <v>++</v>
      </c>
    </row>
    <row r="24" spans="2:14" ht="18" customHeight="1" thickBot="1" x14ac:dyDescent="0.3">
      <c r="B24" s="136">
        <v>18</v>
      </c>
      <c r="C24" s="128" t="str">
        <f>Config!C22&amp;", "&amp;Config!D22</f>
        <v>Hartmann, Mads</v>
      </c>
      <c r="D24" s="145">
        <f>VLOOKUP(C24,'Analysis A'!PupilBlock,8,0)</f>
        <v>10</v>
      </c>
      <c r="E24" s="145">
        <f>VLOOKUP(C24,'Analysis B'!PupilBlock,12,0)</f>
        <v>16</v>
      </c>
      <c r="F24" s="145">
        <f>VLOOKUP(C24,'Stochastik A'!PupilBlock,3,0)</f>
        <v>2.5</v>
      </c>
      <c r="G24" s="145">
        <f>VLOOKUP(C24,'Stochastik B'!PupilBlock,7,0)</f>
        <v>7</v>
      </c>
      <c r="H24" s="145">
        <f>VLOOKUP(C24,'Geometrie A'!PupilBlock,4,0)</f>
        <v>1</v>
      </c>
      <c r="I24" s="145">
        <f>VLOOKUP(C24,'Geometrie B'!PupilBlock,7,0)</f>
        <v>14</v>
      </c>
      <c r="J24" s="141">
        <f>VLOOKUP(C24,Wahlaufgaben!PupilBlock,7,0)</f>
        <v>7</v>
      </c>
      <c r="K24" s="142">
        <f t="shared" si="0"/>
        <v>57.5</v>
      </c>
      <c r="L24" s="200">
        <f>VLOOKUP(VALUE(K24),Notenspiegel!$B$3:$C$302,2,0)</f>
        <v>7</v>
      </c>
      <c r="M24" s="137" t="str">
        <f>VLOOKUP(VALUE(K24),Notenspiegel!$B$3:$D$302,3,0)</f>
        <v>3-</v>
      </c>
      <c r="N24" s="107" t="str">
        <f>VLOOKUP(VALUE(K24),Notenspiegel!$B$3:$E$302,4,0)</f>
        <v/>
      </c>
    </row>
    <row r="25" spans="2:14" ht="18" customHeight="1" thickBot="1" x14ac:dyDescent="0.3">
      <c r="B25" s="138">
        <v>19</v>
      </c>
      <c r="C25" s="124" t="str">
        <f>Config!C23&amp;", "&amp;Config!D23</f>
        <v>Ullmann, Raphael</v>
      </c>
      <c r="D25" s="146">
        <f>VLOOKUP(C25,'Analysis A'!PupilBlock,8,0)</f>
        <v>9.5</v>
      </c>
      <c r="E25" s="146">
        <f>VLOOKUP(C25,'Analysis B'!PupilBlock,12,0)</f>
        <v>14.5</v>
      </c>
      <c r="F25" s="146">
        <f>VLOOKUP(C25,'Stochastik A'!PupilBlock,3,0)</f>
        <v>5</v>
      </c>
      <c r="G25" s="146">
        <f>VLOOKUP(C25,'Stochastik B'!PupilBlock,7,0)</f>
        <v>7</v>
      </c>
      <c r="H25" s="146">
        <f>VLOOKUP(C25,'Geometrie A'!PupilBlock,4,0)</f>
        <v>2</v>
      </c>
      <c r="I25" s="146">
        <f>VLOOKUP(C25,'Geometrie B'!PupilBlock,7,0)</f>
        <v>13.5</v>
      </c>
      <c r="J25" s="140">
        <f>VLOOKUP(C25,Wahlaufgaben!PupilBlock,7,0)</f>
        <v>8</v>
      </c>
      <c r="K25" s="127">
        <f t="shared" si="0"/>
        <v>59.5</v>
      </c>
      <c r="L25" s="213">
        <f>VLOOKUP(VALUE(K25),Notenspiegel!$B$3:$C$302,2,0)</f>
        <v>7</v>
      </c>
      <c r="M25" s="214" t="str">
        <f>VLOOKUP(VALUE(K25),Notenspiegel!$B$3:$D$302,3,0)</f>
        <v>3-</v>
      </c>
      <c r="N25" s="107" t="str">
        <f>VLOOKUP(VALUE(K25),Notenspiegel!$B$3:$E$302,4,0)</f>
        <v>++</v>
      </c>
    </row>
    <row r="26" spans="2:14" ht="18" customHeight="1" thickBot="1" x14ac:dyDescent="0.3">
      <c r="B26" s="136">
        <v>20</v>
      </c>
      <c r="C26" s="128" t="str">
        <f>Config!C24&amp;", "&amp;Config!D24</f>
        <v>Hartl, Emmely</v>
      </c>
      <c r="D26" s="145">
        <f>VLOOKUP(C26,'Analysis A'!PupilBlock,8,0)</f>
        <v>13.5</v>
      </c>
      <c r="E26" s="145">
        <f>VLOOKUP(C26,'Analysis B'!PupilBlock,12,0)</f>
        <v>23</v>
      </c>
      <c r="F26" s="145">
        <f>VLOOKUP(C26,'Stochastik A'!PupilBlock,3,0)</f>
        <v>3</v>
      </c>
      <c r="G26" s="145">
        <f>VLOOKUP(C26,'Stochastik B'!PupilBlock,7,0)</f>
        <v>4.5</v>
      </c>
      <c r="H26" s="145">
        <f>VLOOKUP(C26,'Geometrie A'!PupilBlock,4,0)</f>
        <v>2</v>
      </c>
      <c r="I26" s="145">
        <f>VLOOKUP(C26,'Geometrie B'!PupilBlock,7,0)</f>
        <v>15</v>
      </c>
      <c r="J26" s="141">
        <f>VLOOKUP(C26,Wahlaufgaben!PupilBlock,7,0)</f>
        <v>10</v>
      </c>
      <c r="K26" s="142">
        <f t="shared" si="0"/>
        <v>71</v>
      </c>
      <c r="L26" s="200">
        <f>VLOOKUP(VALUE(K26),Notenspiegel!$B$3:$C$302,2,0)</f>
        <v>10</v>
      </c>
      <c r="M26" s="137" t="str">
        <f>VLOOKUP(VALUE(K26),Notenspiegel!$B$3:$D$302,3,0)</f>
        <v>2-</v>
      </c>
      <c r="N26" s="107" t="str">
        <f>VLOOKUP(VALUE(K26),Notenspiegel!$B$3:$E$302,4,0)</f>
        <v/>
      </c>
    </row>
    <row r="27" spans="2:14" ht="18" customHeight="1" thickBot="1" x14ac:dyDescent="0.3">
      <c r="B27" s="138">
        <v>21</v>
      </c>
      <c r="C27" s="124" t="str">
        <f>Config!C25&amp;", "&amp;Config!D25</f>
        <v>Klotz, Karin</v>
      </c>
      <c r="D27" s="146">
        <f>VLOOKUP(C27,'Analysis A'!PupilBlock,8,0)</f>
        <v>13.5</v>
      </c>
      <c r="E27" s="146">
        <f>VLOOKUP(C27,'Analysis B'!PupilBlock,12,0)</f>
        <v>26.5</v>
      </c>
      <c r="F27" s="146">
        <f>VLOOKUP(C27,'Stochastik A'!PupilBlock,3,0)</f>
        <v>4</v>
      </c>
      <c r="G27" s="146">
        <f>VLOOKUP(C27,'Stochastik B'!PupilBlock,7,0)</f>
        <v>6</v>
      </c>
      <c r="H27" s="146">
        <f>VLOOKUP(C27,'Geometrie A'!PupilBlock,4,0)</f>
        <v>5</v>
      </c>
      <c r="I27" s="146">
        <f>VLOOKUP(C27,'Geometrie B'!PupilBlock,7,0)</f>
        <v>16</v>
      </c>
      <c r="J27" s="140">
        <f>VLOOKUP(C27,Wahlaufgaben!PupilBlock,7,0)</f>
        <v>10</v>
      </c>
      <c r="K27" s="127">
        <f t="shared" si="0"/>
        <v>81</v>
      </c>
      <c r="L27" s="199">
        <f>VLOOKUP(VALUE(K27),Notenspiegel!$B$3:$C$302,2,0)</f>
        <v>12</v>
      </c>
      <c r="M27" s="135" t="str">
        <f>VLOOKUP(VALUE(K27),Notenspiegel!$B$3:$D$302,3,0)</f>
        <v>2+</v>
      </c>
      <c r="N27" s="107" t="str">
        <f>VLOOKUP(VALUE(K27),Notenspiegel!$B$3:$E$302,4,0)</f>
        <v/>
      </c>
    </row>
    <row r="28" spans="2:14" ht="18" customHeight="1" thickBot="1" x14ac:dyDescent="0.3">
      <c r="B28" s="136">
        <v>22</v>
      </c>
      <c r="C28" s="128" t="str">
        <f>Config!C26&amp;", "&amp;Config!D26</f>
        <v>Ehlers, Ingo</v>
      </c>
      <c r="D28" s="145">
        <f>VLOOKUP(C28,'Analysis A'!PupilBlock,8,0)</f>
        <v>10</v>
      </c>
      <c r="E28" s="145">
        <f>VLOOKUP(C28,'Analysis B'!PupilBlock,12,0)</f>
        <v>21</v>
      </c>
      <c r="F28" s="145">
        <f>VLOOKUP(C28,'Stochastik A'!PupilBlock,3,0)</f>
        <v>5</v>
      </c>
      <c r="G28" s="145">
        <f>VLOOKUP(C28,'Stochastik B'!PupilBlock,7,0)</f>
        <v>5.5</v>
      </c>
      <c r="H28" s="145">
        <f>VLOOKUP(C28,'Geometrie A'!PupilBlock,4,0)</f>
        <v>5</v>
      </c>
      <c r="I28" s="145">
        <f>VLOOKUP(C28,'Geometrie B'!PupilBlock,7,0)</f>
        <v>14.5</v>
      </c>
      <c r="J28" s="141">
        <f>VLOOKUP(C28,Wahlaufgaben!PupilBlock,7,0)</f>
        <v>7</v>
      </c>
      <c r="K28" s="142">
        <f t="shared" si="0"/>
        <v>68</v>
      </c>
      <c r="L28" s="200">
        <f>VLOOKUP(VALUE(K28),Notenspiegel!$B$3:$C$302,2,0)</f>
        <v>9</v>
      </c>
      <c r="M28" s="137" t="str">
        <f>VLOOKUP(VALUE(K28),Notenspiegel!$B$3:$D$302,3,0)</f>
        <v>3+</v>
      </c>
      <c r="N28" s="107" t="str">
        <f>VLOOKUP(VALUE(K28),Notenspiegel!$B$3:$E$302,4,0)</f>
        <v/>
      </c>
    </row>
    <row r="29" spans="2:14" ht="18" customHeight="1" thickBot="1" x14ac:dyDescent="0.3">
      <c r="B29" s="139">
        <v>23</v>
      </c>
      <c r="C29" s="130" t="str">
        <f>Config!C27&amp;", "&amp;Config!D27</f>
        <v>Lindemann, Mads</v>
      </c>
      <c r="D29" s="147">
        <f>VLOOKUP(C29,'Analysis A'!PupilBlock,8,0)</f>
        <v>7</v>
      </c>
      <c r="E29" s="147">
        <f>VLOOKUP(C29,'Analysis B'!PupilBlock,12,0)</f>
        <v>16</v>
      </c>
      <c r="F29" s="147">
        <f>VLOOKUP(C29,'Stochastik A'!PupilBlock,3,0)</f>
        <v>5</v>
      </c>
      <c r="G29" s="147">
        <f>VLOOKUP(C29,'Stochastik B'!PupilBlock,7,0)</f>
        <v>10</v>
      </c>
      <c r="H29" s="147">
        <f>VLOOKUP(C29,'Geometrie A'!PupilBlock,4,0)</f>
        <v>3</v>
      </c>
      <c r="I29" s="147">
        <f>VLOOKUP(C29,'Geometrie B'!PupilBlock,7,0)</f>
        <v>6.5</v>
      </c>
      <c r="J29" s="143">
        <f>VLOOKUP(C29,Wahlaufgaben!PupilBlock,7,0)</f>
        <v>8</v>
      </c>
      <c r="K29" s="129">
        <f t="shared" si="0"/>
        <v>55.5</v>
      </c>
      <c r="L29" s="215">
        <f>VLOOKUP(VALUE(K29),Notenspiegel!$B$3:$C$302,2,0)</f>
        <v>7</v>
      </c>
      <c r="M29" s="216" t="str">
        <f>VLOOKUP(VALUE(K29),Notenspiegel!$B$3:$D$302,3,0)</f>
        <v>3-</v>
      </c>
      <c r="N29" s="107"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9B489-1CB8-4B12-8036-AEE52A6855E3}">
  <sheetPr codeName="Tabelle10">
    <tabColor rgb="FF92D050"/>
  </sheetPr>
  <dimension ref="B1:J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10" width="8.77734375" style="107" customWidth="1"/>
    <col min="11" max="16384" width="11.5546875" style="107"/>
  </cols>
  <sheetData>
    <row r="1" spans="2:10" ht="18" customHeight="1" thickBot="1" x14ac:dyDescent="0.3"/>
    <row r="2" spans="2:10" ht="18" customHeight="1" x14ac:dyDescent="0.25">
      <c r="B2" s="108" t="str">
        <f>Config!F2&amp;" "&amp;YEAR(Config!G24)</f>
        <v>Mathe Abitur 2026</v>
      </c>
      <c r="C2" s="109"/>
      <c r="D2" s="109"/>
      <c r="E2" s="109"/>
      <c r="F2" s="109"/>
      <c r="G2" s="110"/>
      <c r="H2" s="110"/>
      <c r="I2" s="110"/>
      <c r="J2" s="111" t="str">
        <f>"Kurs "&amp;Config!G26</f>
        <v>Kurs K1</v>
      </c>
    </row>
    <row r="3" spans="2:10" ht="18" customHeight="1" x14ac:dyDescent="0.25">
      <c r="B3" s="112" t="s">
        <v>9</v>
      </c>
      <c r="C3" s="113"/>
      <c r="D3" s="113"/>
      <c r="E3" s="113"/>
      <c r="F3" s="113"/>
      <c r="G3" s="113"/>
      <c r="H3" s="113"/>
      <c r="I3" s="113"/>
      <c r="J3" s="114"/>
    </row>
    <row r="4" spans="2:10" ht="18" customHeight="1" thickBot="1" x14ac:dyDescent="0.3">
      <c r="B4" s="112"/>
      <c r="C4" s="113"/>
      <c r="D4" s="113"/>
      <c r="E4" s="113"/>
      <c r="F4" s="113"/>
      <c r="G4" s="113"/>
      <c r="H4" s="113"/>
      <c r="I4" s="113"/>
      <c r="J4" s="114"/>
    </row>
    <row r="5" spans="2:10" ht="18" customHeight="1" thickBot="1" x14ac:dyDescent="0.3">
      <c r="B5" s="117"/>
      <c r="C5" s="115"/>
      <c r="D5" s="197" t="str">
        <f>Config!F6</f>
        <v>1a</v>
      </c>
      <c r="E5" s="197" t="str">
        <f>Config!F7</f>
        <v>1b</v>
      </c>
      <c r="F5" s="197" t="str">
        <f>Config!F8</f>
        <v>2</v>
      </c>
      <c r="G5" s="197" t="str">
        <f>Config!F9</f>
        <v>3</v>
      </c>
      <c r="H5" s="197" t="str">
        <f>Config!F10</f>
        <v>4a</v>
      </c>
      <c r="I5" s="197" t="str">
        <f>Config!F11</f>
        <v>4b</v>
      </c>
      <c r="J5" s="195" t="s">
        <v>82</v>
      </c>
    </row>
    <row r="6" spans="2:10" ht="18" customHeight="1" thickBot="1" x14ac:dyDescent="0.3">
      <c r="B6" s="118"/>
      <c r="C6" s="116" t="s">
        <v>81</v>
      </c>
      <c r="D6" s="196">
        <f>Config!G6</f>
        <v>2</v>
      </c>
      <c r="E6" s="196">
        <f>Config!G7</f>
        <v>2</v>
      </c>
      <c r="F6" s="196">
        <f>Config!G8</f>
        <v>3</v>
      </c>
      <c r="G6" s="196">
        <f>Config!G9</f>
        <v>3</v>
      </c>
      <c r="H6" s="196">
        <f>Config!G10</f>
        <v>3</v>
      </c>
      <c r="I6" s="196">
        <f>Config!G11</f>
        <v>2</v>
      </c>
      <c r="J6" s="198">
        <f>Config!G21</f>
        <v>15</v>
      </c>
    </row>
    <row r="7" spans="2:10" ht="18" customHeight="1" x14ac:dyDescent="0.25">
      <c r="B7" s="168">
        <v>1</v>
      </c>
      <c r="C7" s="169" t="str">
        <f>Config!C5&amp;", "&amp;Config!D5</f>
        <v>Höfer, Simon</v>
      </c>
      <c r="D7" s="170">
        <v>0.5</v>
      </c>
      <c r="E7" s="170">
        <v>2</v>
      </c>
      <c r="F7" s="170">
        <v>1.5</v>
      </c>
      <c r="G7" s="170">
        <v>2.5</v>
      </c>
      <c r="H7" s="170">
        <v>3</v>
      </c>
      <c r="I7" s="171">
        <v>2</v>
      </c>
      <c r="J7" s="152">
        <f t="shared" ref="J7:J38" si="0">SUM(D7:I7)</f>
        <v>11.5</v>
      </c>
    </row>
    <row r="8" spans="2:10" s="148" customFormat="1" ht="13.2" customHeight="1" x14ac:dyDescent="0.2">
      <c r="B8" s="153"/>
      <c r="C8" s="173" t="s">
        <v>126</v>
      </c>
      <c r="D8" s="99"/>
      <c r="E8" s="99"/>
      <c r="F8" s="99"/>
      <c r="G8" s="99"/>
      <c r="H8" s="99"/>
      <c r="I8" s="100"/>
      <c r="J8" s="150">
        <f t="shared" si="0"/>
        <v>0</v>
      </c>
    </row>
    <row r="9" spans="2:10" s="148" customFormat="1" ht="13.2" customHeight="1" thickBot="1" x14ac:dyDescent="0.25">
      <c r="B9" s="149"/>
      <c r="C9" s="174" t="s">
        <v>127</v>
      </c>
      <c r="D9" s="103"/>
      <c r="E9" s="103"/>
      <c r="F9" s="103"/>
      <c r="G9" s="103"/>
      <c r="H9" s="103"/>
      <c r="I9" s="104"/>
      <c r="J9" s="151">
        <f t="shared" si="0"/>
        <v>0</v>
      </c>
    </row>
    <row r="10" spans="2:10" ht="18" customHeight="1" x14ac:dyDescent="0.25">
      <c r="B10" s="163">
        <v>2</v>
      </c>
      <c r="C10" s="164" t="str">
        <f>Config!C6&amp;", "&amp;Config!D6</f>
        <v>Töpfer, Lilian</v>
      </c>
      <c r="D10" s="165">
        <v>1.5</v>
      </c>
      <c r="E10" s="165">
        <v>2</v>
      </c>
      <c r="F10" s="165">
        <v>0.5</v>
      </c>
      <c r="G10" s="165">
        <v>1</v>
      </c>
      <c r="H10" s="165">
        <v>2</v>
      </c>
      <c r="I10" s="166">
        <v>2</v>
      </c>
      <c r="J10" s="167">
        <f t="shared" si="0"/>
        <v>9</v>
      </c>
    </row>
    <row r="11" spans="2:10" s="148" customFormat="1" ht="13.2" customHeight="1" x14ac:dyDescent="0.2">
      <c r="B11" s="162"/>
      <c r="C11" s="175" t="s">
        <v>126</v>
      </c>
      <c r="D11" s="101"/>
      <c r="E11" s="101"/>
      <c r="F11" s="101"/>
      <c r="G11" s="101"/>
      <c r="H11" s="101"/>
      <c r="I11" s="102"/>
      <c r="J11" s="160">
        <f t="shared" si="0"/>
        <v>0</v>
      </c>
    </row>
    <row r="12" spans="2:10" s="148" customFormat="1" ht="13.2" customHeight="1" thickBot="1" x14ac:dyDescent="0.25">
      <c r="B12" s="159"/>
      <c r="C12" s="176" t="s">
        <v>127</v>
      </c>
      <c r="D12" s="103"/>
      <c r="E12" s="103"/>
      <c r="F12" s="103"/>
      <c r="G12" s="103"/>
      <c r="H12" s="103"/>
      <c r="I12" s="104"/>
      <c r="J12" s="161">
        <f t="shared" si="0"/>
        <v>0</v>
      </c>
    </row>
    <row r="13" spans="2:10" ht="18" customHeight="1" x14ac:dyDescent="0.25">
      <c r="B13" s="154">
        <v>3</v>
      </c>
      <c r="C13" s="155" t="str">
        <f>Config!C7&amp;", "&amp;Config!D7</f>
        <v>Fleischmann, Leonie</v>
      </c>
      <c r="D13" s="156">
        <v>0.5</v>
      </c>
      <c r="E13" s="156">
        <v>1.5</v>
      </c>
      <c r="F13" s="156">
        <v>1.5</v>
      </c>
      <c r="G13" s="156">
        <v>3</v>
      </c>
      <c r="H13" s="156">
        <v>3</v>
      </c>
      <c r="I13" s="157">
        <v>1</v>
      </c>
      <c r="J13" s="158">
        <f t="shared" si="0"/>
        <v>10.5</v>
      </c>
    </row>
    <row r="14" spans="2:10" s="148" customFormat="1" ht="13.2" customHeight="1" x14ac:dyDescent="0.2">
      <c r="B14" s="153"/>
      <c r="C14" s="173" t="s">
        <v>126</v>
      </c>
      <c r="D14" s="99"/>
      <c r="E14" s="99"/>
      <c r="F14" s="99"/>
      <c r="G14" s="99"/>
      <c r="H14" s="99"/>
      <c r="I14" s="100"/>
      <c r="J14" s="150">
        <f t="shared" si="0"/>
        <v>0</v>
      </c>
    </row>
    <row r="15" spans="2:10" s="148" customFormat="1" ht="13.2" customHeight="1" thickBot="1" x14ac:dyDescent="0.25">
      <c r="B15" s="149"/>
      <c r="C15" s="174" t="s">
        <v>127</v>
      </c>
      <c r="D15" s="103"/>
      <c r="E15" s="103"/>
      <c r="F15" s="103"/>
      <c r="G15" s="103"/>
      <c r="H15" s="103"/>
      <c r="I15" s="104"/>
      <c r="J15" s="151">
        <f t="shared" si="0"/>
        <v>0</v>
      </c>
    </row>
    <row r="16" spans="2:10" ht="18" customHeight="1" x14ac:dyDescent="0.25">
      <c r="B16" s="163">
        <v>4</v>
      </c>
      <c r="C16" s="164" t="str">
        <f>Config!C8&amp;", "&amp;Config!D8</f>
        <v>Drescher, Cedric</v>
      </c>
      <c r="D16" s="165">
        <v>2</v>
      </c>
      <c r="E16" s="165">
        <v>2</v>
      </c>
      <c r="F16" s="165">
        <v>1</v>
      </c>
      <c r="G16" s="165">
        <v>3</v>
      </c>
      <c r="H16" s="165">
        <v>2.5</v>
      </c>
      <c r="I16" s="166">
        <v>2</v>
      </c>
      <c r="J16" s="167">
        <f t="shared" si="0"/>
        <v>12.5</v>
      </c>
    </row>
    <row r="17" spans="2:10" s="148" customFormat="1" ht="13.2" customHeight="1" x14ac:dyDescent="0.2">
      <c r="B17" s="162"/>
      <c r="C17" s="175" t="s">
        <v>126</v>
      </c>
      <c r="D17" s="101"/>
      <c r="E17" s="101"/>
      <c r="F17" s="101"/>
      <c r="G17" s="101"/>
      <c r="H17" s="101"/>
      <c r="I17" s="102"/>
      <c r="J17" s="160">
        <f t="shared" si="0"/>
        <v>0</v>
      </c>
    </row>
    <row r="18" spans="2:10" s="148" customFormat="1" ht="13.2" customHeight="1" thickBot="1" x14ac:dyDescent="0.25">
      <c r="B18" s="159"/>
      <c r="C18" s="176" t="s">
        <v>127</v>
      </c>
      <c r="D18" s="103"/>
      <c r="E18" s="103"/>
      <c r="F18" s="103"/>
      <c r="G18" s="103"/>
      <c r="H18" s="103"/>
      <c r="I18" s="104"/>
      <c r="J18" s="161">
        <f t="shared" si="0"/>
        <v>0</v>
      </c>
    </row>
    <row r="19" spans="2:10" ht="18" customHeight="1" x14ac:dyDescent="0.25">
      <c r="B19" s="154">
        <v>5</v>
      </c>
      <c r="C19" s="155" t="str">
        <f>Config!C9&amp;", "&amp;Config!D9</f>
        <v>Baumgarten, Annabell</v>
      </c>
      <c r="D19" s="156">
        <v>2</v>
      </c>
      <c r="E19" s="156">
        <v>2</v>
      </c>
      <c r="F19" s="156">
        <v>2.5</v>
      </c>
      <c r="G19" s="156">
        <v>3</v>
      </c>
      <c r="H19" s="156">
        <v>2.5</v>
      </c>
      <c r="I19" s="157">
        <v>2</v>
      </c>
      <c r="J19" s="158">
        <f t="shared" si="0"/>
        <v>14</v>
      </c>
    </row>
    <row r="20" spans="2:10" s="148" customFormat="1" ht="13.2" customHeight="1" x14ac:dyDescent="0.2">
      <c r="B20" s="153"/>
      <c r="C20" s="173" t="s">
        <v>126</v>
      </c>
      <c r="D20" s="99"/>
      <c r="E20" s="99"/>
      <c r="F20" s="99"/>
      <c r="G20" s="99"/>
      <c r="H20" s="99"/>
      <c r="I20" s="100"/>
      <c r="J20" s="150">
        <f t="shared" si="0"/>
        <v>0</v>
      </c>
    </row>
    <row r="21" spans="2:10" s="148" customFormat="1" ht="13.2" customHeight="1" thickBot="1" x14ac:dyDescent="0.25">
      <c r="B21" s="149"/>
      <c r="C21" s="174" t="s">
        <v>127</v>
      </c>
      <c r="D21" s="103"/>
      <c r="E21" s="103"/>
      <c r="F21" s="103"/>
      <c r="G21" s="103"/>
      <c r="H21" s="103"/>
      <c r="I21" s="104"/>
      <c r="J21" s="151">
        <f t="shared" si="0"/>
        <v>0</v>
      </c>
    </row>
    <row r="22" spans="2:10" ht="18" customHeight="1" x14ac:dyDescent="0.25">
      <c r="B22" s="163">
        <v>6</v>
      </c>
      <c r="C22" s="164" t="str">
        <f>Config!C10&amp;", "&amp;Config!D10</f>
        <v>Traut, Stefanie</v>
      </c>
      <c r="D22" s="165">
        <v>2</v>
      </c>
      <c r="E22" s="165">
        <v>2</v>
      </c>
      <c r="F22" s="165">
        <v>2</v>
      </c>
      <c r="G22" s="165">
        <v>2</v>
      </c>
      <c r="H22" s="165">
        <v>2.5</v>
      </c>
      <c r="I22" s="166">
        <v>2</v>
      </c>
      <c r="J22" s="167">
        <f t="shared" si="0"/>
        <v>12.5</v>
      </c>
    </row>
    <row r="23" spans="2:10" s="148" customFormat="1" ht="13.2" customHeight="1" x14ac:dyDescent="0.2">
      <c r="B23" s="162"/>
      <c r="C23" s="175" t="s">
        <v>126</v>
      </c>
      <c r="D23" s="101"/>
      <c r="E23" s="101"/>
      <c r="F23" s="101"/>
      <c r="G23" s="101"/>
      <c r="H23" s="101"/>
      <c r="I23" s="102"/>
      <c r="J23" s="160">
        <f t="shared" si="0"/>
        <v>0</v>
      </c>
    </row>
    <row r="24" spans="2:10" s="148" customFormat="1" ht="13.2" customHeight="1" thickBot="1" x14ac:dyDescent="0.25">
      <c r="B24" s="159"/>
      <c r="C24" s="176" t="s">
        <v>127</v>
      </c>
      <c r="D24" s="103"/>
      <c r="E24" s="103"/>
      <c r="F24" s="103"/>
      <c r="G24" s="103"/>
      <c r="H24" s="103"/>
      <c r="I24" s="104"/>
      <c r="J24" s="161">
        <f t="shared" si="0"/>
        <v>0</v>
      </c>
    </row>
    <row r="25" spans="2:10" ht="18" customHeight="1" x14ac:dyDescent="0.25">
      <c r="B25" s="154">
        <v>7</v>
      </c>
      <c r="C25" s="155" t="str">
        <f>Config!C11&amp;", "&amp;Config!D11</f>
        <v>Menke, Damian</v>
      </c>
      <c r="D25" s="156">
        <v>1</v>
      </c>
      <c r="E25" s="156">
        <v>1.5</v>
      </c>
      <c r="F25" s="156">
        <v>3</v>
      </c>
      <c r="G25" s="156">
        <v>3</v>
      </c>
      <c r="H25" s="156">
        <v>3</v>
      </c>
      <c r="I25" s="157">
        <v>1</v>
      </c>
      <c r="J25" s="158">
        <f t="shared" si="0"/>
        <v>12.5</v>
      </c>
    </row>
    <row r="26" spans="2:10" s="148" customFormat="1" ht="13.2" customHeight="1" x14ac:dyDescent="0.2">
      <c r="B26" s="153"/>
      <c r="C26" s="173" t="s">
        <v>126</v>
      </c>
      <c r="D26" s="99"/>
      <c r="E26" s="99"/>
      <c r="F26" s="99"/>
      <c r="G26" s="99"/>
      <c r="H26" s="99"/>
      <c r="I26" s="100"/>
      <c r="J26" s="150">
        <f t="shared" si="0"/>
        <v>0</v>
      </c>
    </row>
    <row r="27" spans="2:10" s="148" customFormat="1" ht="13.2" customHeight="1" thickBot="1" x14ac:dyDescent="0.25">
      <c r="B27" s="149"/>
      <c r="C27" s="174" t="s">
        <v>127</v>
      </c>
      <c r="D27" s="103"/>
      <c r="E27" s="103"/>
      <c r="F27" s="103"/>
      <c r="G27" s="103"/>
      <c r="H27" s="103"/>
      <c r="I27" s="104"/>
      <c r="J27" s="151">
        <f t="shared" si="0"/>
        <v>0</v>
      </c>
    </row>
    <row r="28" spans="2:10" ht="18" customHeight="1" x14ac:dyDescent="0.25">
      <c r="B28" s="163">
        <v>8</v>
      </c>
      <c r="C28" s="164" t="str">
        <f>Config!C12&amp;", "&amp;Config!D12</f>
        <v>Carroll, Meik</v>
      </c>
      <c r="D28" s="165">
        <v>0.5</v>
      </c>
      <c r="E28" s="165">
        <v>2</v>
      </c>
      <c r="F28" s="165">
        <v>1.5</v>
      </c>
      <c r="G28" s="165">
        <v>1</v>
      </c>
      <c r="H28" s="165">
        <v>3</v>
      </c>
      <c r="I28" s="166">
        <v>1</v>
      </c>
      <c r="J28" s="167">
        <f t="shared" si="0"/>
        <v>9</v>
      </c>
    </row>
    <row r="29" spans="2:10" s="148" customFormat="1" ht="13.2" customHeight="1" x14ac:dyDescent="0.2">
      <c r="B29" s="162"/>
      <c r="C29" s="175" t="s">
        <v>126</v>
      </c>
      <c r="D29" s="101"/>
      <c r="E29" s="101"/>
      <c r="F29" s="101"/>
      <c r="G29" s="101"/>
      <c r="H29" s="101"/>
      <c r="I29" s="102"/>
      <c r="J29" s="160">
        <f t="shared" si="0"/>
        <v>0</v>
      </c>
    </row>
    <row r="30" spans="2:10" s="148" customFormat="1" ht="13.2" customHeight="1" thickBot="1" x14ac:dyDescent="0.25">
      <c r="B30" s="159"/>
      <c r="C30" s="176" t="s">
        <v>127</v>
      </c>
      <c r="D30" s="103"/>
      <c r="E30" s="103"/>
      <c r="F30" s="103"/>
      <c r="G30" s="103"/>
      <c r="H30" s="103"/>
      <c r="I30" s="104"/>
      <c r="J30" s="161">
        <f t="shared" si="0"/>
        <v>0</v>
      </c>
    </row>
    <row r="31" spans="2:10" ht="18" customHeight="1" x14ac:dyDescent="0.25">
      <c r="B31" s="154">
        <v>9</v>
      </c>
      <c r="C31" s="155" t="str">
        <f>Config!C13&amp;", "&amp;Config!D13</f>
        <v>Hennings, Tomas</v>
      </c>
      <c r="D31" s="156">
        <v>1.5</v>
      </c>
      <c r="E31" s="156">
        <v>2</v>
      </c>
      <c r="F31" s="156">
        <v>1.5</v>
      </c>
      <c r="G31" s="156">
        <v>1</v>
      </c>
      <c r="H31" s="156">
        <v>2</v>
      </c>
      <c r="I31" s="157">
        <v>2</v>
      </c>
      <c r="J31" s="158">
        <f t="shared" si="0"/>
        <v>10</v>
      </c>
    </row>
    <row r="32" spans="2:10" s="148" customFormat="1" ht="13.2" customHeight="1" x14ac:dyDescent="0.2">
      <c r="B32" s="153"/>
      <c r="C32" s="173" t="s">
        <v>126</v>
      </c>
      <c r="D32" s="99"/>
      <c r="E32" s="99"/>
      <c r="F32" s="99"/>
      <c r="G32" s="99"/>
      <c r="H32" s="99"/>
      <c r="I32" s="100"/>
      <c r="J32" s="150">
        <f t="shared" si="0"/>
        <v>0</v>
      </c>
    </row>
    <row r="33" spans="2:10" s="148" customFormat="1" ht="13.2" customHeight="1" thickBot="1" x14ac:dyDescent="0.25">
      <c r="B33" s="149"/>
      <c r="C33" s="174" t="s">
        <v>127</v>
      </c>
      <c r="D33" s="103"/>
      <c r="E33" s="103"/>
      <c r="F33" s="103"/>
      <c r="G33" s="103"/>
      <c r="H33" s="103"/>
      <c r="I33" s="104"/>
      <c r="J33" s="151">
        <f t="shared" si="0"/>
        <v>0</v>
      </c>
    </row>
    <row r="34" spans="2:10" ht="18" customHeight="1" x14ac:dyDescent="0.25">
      <c r="B34" s="163">
        <v>10</v>
      </c>
      <c r="C34" s="164" t="str">
        <f>Config!C14&amp;", "&amp;Config!D14</f>
        <v>Walters, Linn</v>
      </c>
      <c r="D34" s="165">
        <v>0.5</v>
      </c>
      <c r="E34" s="165">
        <v>1</v>
      </c>
      <c r="F34" s="165">
        <v>0</v>
      </c>
      <c r="G34" s="165">
        <v>1</v>
      </c>
      <c r="H34" s="165">
        <v>0.5</v>
      </c>
      <c r="I34" s="166">
        <v>0</v>
      </c>
      <c r="J34" s="167">
        <f t="shared" si="0"/>
        <v>3</v>
      </c>
    </row>
    <row r="35" spans="2:10" s="148" customFormat="1" ht="13.2" customHeight="1" x14ac:dyDescent="0.2">
      <c r="B35" s="162"/>
      <c r="C35" s="175" t="s">
        <v>126</v>
      </c>
      <c r="D35" s="101"/>
      <c r="E35" s="101"/>
      <c r="F35" s="101"/>
      <c r="G35" s="101"/>
      <c r="H35" s="101"/>
      <c r="I35" s="102"/>
      <c r="J35" s="160">
        <f t="shared" si="0"/>
        <v>0</v>
      </c>
    </row>
    <row r="36" spans="2:10" s="148" customFormat="1" ht="13.2" customHeight="1" thickBot="1" x14ac:dyDescent="0.25">
      <c r="B36" s="159"/>
      <c r="C36" s="176" t="s">
        <v>127</v>
      </c>
      <c r="D36" s="103"/>
      <c r="E36" s="103"/>
      <c r="F36" s="103"/>
      <c r="G36" s="103"/>
      <c r="H36" s="103"/>
      <c r="I36" s="104"/>
      <c r="J36" s="161">
        <f t="shared" si="0"/>
        <v>0</v>
      </c>
    </row>
    <row r="37" spans="2:10" ht="18" customHeight="1" x14ac:dyDescent="0.25">
      <c r="B37" s="154">
        <v>11</v>
      </c>
      <c r="C37" s="155" t="str">
        <f>Config!C15&amp;", "&amp;Config!D15</f>
        <v>Junker, Amely</v>
      </c>
      <c r="D37" s="156">
        <v>0.5</v>
      </c>
      <c r="E37" s="156">
        <v>2</v>
      </c>
      <c r="F37" s="156">
        <v>1.5</v>
      </c>
      <c r="G37" s="156">
        <v>0</v>
      </c>
      <c r="H37" s="156">
        <v>1.5</v>
      </c>
      <c r="I37" s="157">
        <v>1</v>
      </c>
      <c r="J37" s="158">
        <f t="shared" si="0"/>
        <v>6.5</v>
      </c>
    </row>
    <row r="38" spans="2:10" s="148" customFormat="1" ht="13.2" customHeight="1" x14ac:dyDescent="0.2">
      <c r="B38" s="153"/>
      <c r="C38" s="173" t="s">
        <v>126</v>
      </c>
      <c r="D38" s="99"/>
      <c r="E38" s="99"/>
      <c r="F38" s="99"/>
      <c r="G38" s="99"/>
      <c r="H38" s="99"/>
      <c r="I38" s="100"/>
      <c r="J38" s="150">
        <f t="shared" si="0"/>
        <v>0</v>
      </c>
    </row>
    <row r="39" spans="2:10" s="148" customFormat="1" ht="13.2" customHeight="1" thickBot="1" x14ac:dyDescent="0.25">
      <c r="B39" s="149"/>
      <c r="C39" s="174" t="s">
        <v>127</v>
      </c>
      <c r="D39" s="103"/>
      <c r="E39" s="103"/>
      <c r="F39" s="103"/>
      <c r="G39" s="103"/>
      <c r="H39" s="103"/>
      <c r="I39" s="104"/>
      <c r="J39" s="151">
        <f t="shared" ref="J39:J70" si="1">SUM(D39:I39)</f>
        <v>0</v>
      </c>
    </row>
    <row r="40" spans="2:10" ht="18" customHeight="1" x14ac:dyDescent="0.25">
      <c r="B40" s="163">
        <v>12</v>
      </c>
      <c r="C40" s="164" t="str">
        <f>Config!C16&amp;", "&amp;Config!D16</f>
        <v>Stephens, Melvin</v>
      </c>
      <c r="D40" s="165">
        <v>2</v>
      </c>
      <c r="E40" s="165">
        <v>2</v>
      </c>
      <c r="F40" s="165">
        <v>1</v>
      </c>
      <c r="G40" s="165">
        <v>3</v>
      </c>
      <c r="H40" s="165">
        <v>1.5</v>
      </c>
      <c r="I40" s="166">
        <v>2</v>
      </c>
      <c r="J40" s="167">
        <f t="shared" si="1"/>
        <v>11.5</v>
      </c>
    </row>
    <row r="41" spans="2:10" s="148" customFormat="1" ht="13.2" customHeight="1" x14ac:dyDescent="0.2">
      <c r="B41" s="162"/>
      <c r="C41" s="175" t="s">
        <v>126</v>
      </c>
      <c r="D41" s="101"/>
      <c r="E41" s="101"/>
      <c r="F41" s="101"/>
      <c r="G41" s="101"/>
      <c r="H41" s="101"/>
      <c r="I41" s="102"/>
      <c r="J41" s="160">
        <f t="shared" si="1"/>
        <v>0</v>
      </c>
    </row>
    <row r="42" spans="2:10" s="148" customFormat="1" ht="13.2" customHeight="1" thickBot="1" x14ac:dyDescent="0.25">
      <c r="B42" s="159"/>
      <c r="C42" s="176" t="s">
        <v>127</v>
      </c>
      <c r="D42" s="103"/>
      <c r="E42" s="103"/>
      <c r="F42" s="103"/>
      <c r="G42" s="103"/>
      <c r="H42" s="103"/>
      <c r="I42" s="104"/>
      <c r="J42" s="161">
        <f t="shared" si="1"/>
        <v>0</v>
      </c>
    </row>
    <row r="43" spans="2:10" ht="18" customHeight="1" x14ac:dyDescent="0.25">
      <c r="B43" s="154">
        <v>13</v>
      </c>
      <c r="C43" s="155" t="str">
        <f>Config!C17&amp;", "&amp;Config!D17</f>
        <v>Cremer, Marvin</v>
      </c>
      <c r="D43" s="156">
        <v>1.5</v>
      </c>
      <c r="E43" s="156">
        <v>2</v>
      </c>
      <c r="F43" s="156">
        <v>1.5</v>
      </c>
      <c r="G43" s="156">
        <v>3</v>
      </c>
      <c r="H43" s="156">
        <v>3</v>
      </c>
      <c r="I43" s="157">
        <v>1.5</v>
      </c>
      <c r="J43" s="158">
        <f t="shared" si="1"/>
        <v>12.5</v>
      </c>
    </row>
    <row r="44" spans="2:10" s="148" customFormat="1" ht="13.2" customHeight="1" x14ac:dyDescent="0.2">
      <c r="B44" s="153"/>
      <c r="C44" s="173" t="s">
        <v>126</v>
      </c>
      <c r="D44" s="99"/>
      <c r="E44" s="99"/>
      <c r="F44" s="99"/>
      <c r="G44" s="99"/>
      <c r="H44" s="99"/>
      <c r="I44" s="100"/>
      <c r="J44" s="150">
        <f t="shared" si="1"/>
        <v>0</v>
      </c>
    </row>
    <row r="45" spans="2:10" s="148" customFormat="1" ht="13.2" customHeight="1" thickBot="1" x14ac:dyDescent="0.25">
      <c r="B45" s="149"/>
      <c r="C45" s="174" t="s">
        <v>127</v>
      </c>
      <c r="D45" s="103"/>
      <c r="E45" s="103"/>
      <c r="F45" s="103"/>
      <c r="G45" s="103"/>
      <c r="H45" s="103"/>
      <c r="I45" s="104"/>
      <c r="J45" s="151">
        <f t="shared" si="1"/>
        <v>0</v>
      </c>
    </row>
    <row r="46" spans="2:10" ht="18" customHeight="1" x14ac:dyDescent="0.25">
      <c r="B46" s="163">
        <v>14</v>
      </c>
      <c r="C46" s="164" t="str">
        <f>Config!C18&amp;", "&amp;Config!D18</f>
        <v>Nash, Jean</v>
      </c>
      <c r="D46" s="165">
        <v>2</v>
      </c>
      <c r="E46" s="165">
        <v>2</v>
      </c>
      <c r="F46" s="165">
        <v>1.5</v>
      </c>
      <c r="G46" s="165">
        <v>3</v>
      </c>
      <c r="H46" s="165">
        <v>3</v>
      </c>
      <c r="I46" s="166">
        <v>2</v>
      </c>
      <c r="J46" s="167">
        <f t="shared" si="1"/>
        <v>13.5</v>
      </c>
    </row>
    <row r="47" spans="2:10" s="148" customFormat="1" ht="13.2" customHeight="1" x14ac:dyDescent="0.2">
      <c r="B47" s="162"/>
      <c r="C47" s="175" t="s">
        <v>126</v>
      </c>
      <c r="D47" s="101"/>
      <c r="E47" s="101"/>
      <c r="F47" s="101"/>
      <c r="G47" s="101"/>
      <c r="H47" s="101"/>
      <c r="I47" s="102"/>
      <c r="J47" s="160">
        <f t="shared" si="1"/>
        <v>0</v>
      </c>
    </row>
    <row r="48" spans="2:10" s="148" customFormat="1" ht="13.2" customHeight="1" thickBot="1" x14ac:dyDescent="0.25">
      <c r="B48" s="159"/>
      <c r="C48" s="176" t="s">
        <v>127</v>
      </c>
      <c r="D48" s="103"/>
      <c r="E48" s="103"/>
      <c r="F48" s="103"/>
      <c r="G48" s="103"/>
      <c r="H48" s="103"/>
      <c r="I48" s="104"/>
      <c r="J48" s="161">
        <f t="shared" si="1"/>
        <v>0</v>
      </c>
    </row>
    <row r="49" spans="2:10" ht="18" customHeight="1" x14ac:dyDescent="0.25">
      <c r="B49" s="154">
        <v>15</v>
      </c>
      <c r="C49" s="155" t="str">
        <f>Config!C19&amp;", "&amp;Config!D19</f>
        <v>Schön, Leonardo</v>
      </c>
      <c r="D49" s="156">
        <v>1</v>
      </c>
      <c r="E49" s="156">
        <v>2</v>
      </c>
      <c r="F49" s="156">
        <v>1.5</v>
      </c>
      <c r="G49" s="156">
        <v>3</v>
      </c>
      <c r="H49" s="156">
        <v>2.5</v>
      </c>
      <c r="I49" s="157">
        <v>2</v>
      </c>
      <c r="J49" s="158">
        <f t="shared" si="1"/>
        <v>12</v>
      </c>
    </row>
    <row r="50" spans="2:10" s="148" customFormat="1" ht="13.2" customHeight="1" x14ac:dyDescent="0.2">
      <c r="B50" s="153"/>
      <c r="C50" s="173" t="s">
        <v>126</v>
      </c>
      <c r="D50" s="99"/>
      <c r="E50" s="99"/>
      <c r="F50" s="99"/>
      <c r="G50" s="99"/>
      <c r="H50" s="99"/>
      <c r="I50" s="100"/>
      <c r="J50" s="150">
        <f t="shared" si="1"/>
        <v>0</v>
      </c>
    </row>
    <row r="51" spans="2:10" s="148" customFormat="1" ht="13.2" customHeight="1" thickBot="1" x14ac:dyDescent="0.25">
      <c r="B51" s="149"/>
      <c r="C51" s="174" t="s">
        <v>127</v>
      </c>
      <c r="D51" s="103"/>
      <c r="E51" s="103"/>
      <c r="F51" s="103"/>
      <c r="G51" s="103"/>
      <c r="H51" s="103"/>
      <c r="I51" s="104"/>
      <c r="J51" s="151">
        <f t="shared" si="1"/>
        <v>0</v>
      </c>
    </row>
    <row r="52" spans="2:10" ht="18" customHeight="1" x14ac:dyDescent="0.25">
      <c r="B52" s="163">
        <v>16</v>
      </c>
      <c r="C52" s="164" t="str">
        <f>Config!C20&amp;", "&amp;Config!D20</f>
        <v>Sigl, Nicholas</v>
      </c>
      <c r="D52" s="165">
        <v>2</v>
      </c>
      <c r="E52" s="165">
        <v>0</v>
      </c>
      <c r="F52" s="165">
        <v>1</v>
      </c>
      <c r="G52" s="165">
        <v>1.5</v>
      </c>
      <c r="H52" s="165">
        <v>2</v>
      </c>
      <c r="I52" s="166">
        <v>1</v>
      </c>
      <c r="J52" s="167">
        <f t="shared" si="1"/>
        <v>7.5</v>
      </c>
    </row>
    <row r="53" spans="2:10" s="148" customFormat="1" ht="13.2" customHeight="1" x14ac:dyDescent="0.2">
      <c r="B53" s="162"/>
      <c r="C53" s="175" t="s">
        <v>126</v>
      </c>
      <c r="D53" s="101"/>
      <c r="E53" s="101"/>
      <c r="F53" s="101"/>
      <c r="G53" s="101"/>
      <c r="H53" s="101"/>
      <c r="I53" s="102"/>
      <c r="J53" s="160">
        <f t="shared" si="1"/>
        <v>0</v>
      </c>
    </row>
    <row r="54" spans="2:10" s="148" customFormat="1" ht="13.2" customHeight="1" thickBot="1" x14ac:dyDescent="0.25">
      <c r="B54" s="159"/>
      <c r="C54" s="176" t="s">
        <v>127</v>
      </c>
      <c r="D54" s="103"/>
      <c r="E54" s="103"/>
      <c r="F54" s="103"/>
      <c r="G54" s="103"/>
      <c r="H54" s="103"/>
      <c r="I54" s="104"/>
      <c r="J54" s="161">
        <f t="shared" si="1"/>
        <v>0</v>
      </c>
    </row>
    <row r="55" spans="2:10" ht="18" customHeight="1" x14ac:dyDescent="0.25">
      <c r="B55" s="154">
        <v>17</v>
      </c>
      <c r="C55" s="155" t="str">
        <f>Config!C21&amp;", "&amp;Config!D21</f>
        <v>Kainz, Vivienne</v>
      </c>
      <c r="D55" s="156">
        <v>0.5</v>
      </c>
      <c r="E55" s="156">
        <v>0</v>
      </c>
      <c r="F55" s="156">
        <v>0</v>
      </c>
      <c r="G55" s="156">
        <v>0</v>
      </c>
      <c r="H55" s="156">
        <v>0.5</v>
      </c>
      <c r="I55" s="157">
        <v>0</v>
      </c>
      <c r="J55" s="158">
        <f t="shared" si="1"/>
        <v>1</v>
      </c>
    </row>
    <row r="56" spans="2:10" s="148" customFormat="1" ht="13.2" customHeight="1" x14ac:dyDescent="0.2">
      <c r="B56" s="153"/>
      <c r="C56" s="173" t="s">
        <v>126</v>
      </c>
      <c r="D56" s="99"/>
      <c r="E56" s="99"/>
      <c r="F56" s="99"/>
      <c r="G56" s="99"/>
      <c r="H56" s="99"/>
      <c r="I56" s="100"/>
      <c r="J56" s="150">
        <f t="shared" si="1"/>
        <v>0</v>
      </c>
    </row>
    <row r="57" spans="2:10" s="148" customFormat="1" ht="13.2" customHeight="1" thickBot="1" x14ac:dyDescent="0.25">
      <c r="B57" s="149"/>
      <c r="C57" s="174" t="s">
        <v>127</v>
      </c>
      <c r="D57" s="103"/>
      <c r="E57" s="103"/>
      <c r="F57" s="103"/>
      <c r="G57" s="103"/>
      <c r="H57" s="103"/>
      <c r="I57" s="104"/>
      <c r="J57" s="151">
        <f t="shared" si="1"/>
        <v>0</v>
      </c>
    </row>
    <row r="58" spans="2:10" ht="18" customHeight="1" x14ac:dyDescent="0.25">
      <c r="B58" s="163">
        <v>18</v>
      </c>
      <c r="C58" s="164" t="str">
        <f>Config!C22&amp;", "&amp;Config!D22</f>
        <v>Hartmann, Mads</v>
      </c>
      <c r="D58" s="165">
        <v>2</v>
      </c>
      <c r="E58" s="165">
        <v>2</v>
      </c>
      <c r="F58" s="165">
        <v>1</v>
      </c>
      <c r="G58" s="165">
        <v>1</v>
      </c>
      <c r="H58" s="165">
        <v>3</v>
      </c>
      <c r="I58" s="166">
        <v>1</v>
      </c>
      <c r="J58" s="167">
        <f t="shared" si="1"/>
        <v>10</v>
      </c>
    </row>
    <row r="59" spans="2:10" s="148" customFormat="1" ht="13.2" customHeight="1" x14ac:dyDescent="0.2">
      <c r="B59" s="162"/>
      <c r="C59" s="175" t="s">
        <v>126</v>
      </c>
      <c r="D59" s="101"/>
      <c r="E59" s="101"/>
      <c r="F59" s="101"/>
      <c r="G59" s="101"/>
      <c r="H59" s="101"/>
      <c r="I59" s="102"/>
      <c r="J59" s="160">
        <f t="shared" si="1"/>
        <v>0</v>
      </c>
    </row>
    <row r="60" spans="2:10" s="148" customFormat="1" ht="13.2" customHeight="1" thickBot="1" x14ac:dyDescent="0.25">
      <c r="B60" s="159"/>
      <c r="C60" s="176" t="s">
        <v>127</v>
      </c>
      <c r="D60" s="103"/>
      <c r="E60" s="103"/>
      <c r="F60" s="103"/>
      <c r="G60" s="103"/>
      <c r="H60" s="103"/>
      <c r="I60" s="104"/>
      <c r="J60" s="161">
        <f t="shared" si="1"/>
        <v>0</v>
      </c>
    </row>
    <row r="61" spans="2:10" ht="18" customHeight="1" x14ac:dyDescent="0.25">
      <c r="B61" s="154">
        <v>19</v>
      </c>
      <c r="C61" s="155" t="str">
        <f>Config!C23&amp;", "&amp;Config!D23</f>
        <v>Ullmann, Raphael</v>
      </c>
      <c r="D61" s="156">
        <v>0.5</v>
      </c>
      <c r="E61" s="156">
        <v>2</v>
      </c>
      <c r="F61" s="156">
        <v>1</v>
      </c>
      <c r="G61" s="156">
        <v>2.5</v>
      </c>
      <c r="H61" s="156">
        <v>1.5</v>
      </c>
      <c r="I61" s="157">
        <v>2</v>
      </c>
      <c r="J61" s="158">
        <f t="shared" si="1"/>
        <v>9.5</v>
      </c>
    </row>
    <row r="62" spans="2:10" s="148" customFormat="1" ht="13.2" customHeight="1" x14ac:dyDescent="0.2">
      <c r="B62" s="153"/>
      <c r="C62" s="173" t="s">
        <v>126</v>
      </c>
      <c r="D62" s="99"/>
      <c r="E62" s="99"/>
      <c r="F62" s="99"/>
      <c r="G62" s="99"/>
      <c r="H62" s="99"/>
      <c r="I62" s="100"/>
      <c r="J62" s="150">
        <f t="shared" si="1"/>
        <v>0</v>
      </c>
    </row>
    <row r="63" spans="2:10" s="148" customFormat="1" ht="13.2" customHeight="1" thickBot="1" x14ac:dyDescent="0.25">
      <c r="B63" s="149"/>
      <c r="C63" s="174" t="s">
        <v>127</v>
      </c>
      <c r="D63" s="103"/>
      <c r="E63" s="103"/>
      <c r="F63" s="103"/>
      <c r="G63" s="103"/>
      <c r="H63" s="103"/>
      <c r="I63" s="104"/>
      <c r="J63" s="151">
        <f t="shared" si="1"/>
        <v>0</v>
      </c>
    </row>
    <row r="64" spans="2:10" ht="18" customHeight="1" x14ac:dyDescent="0.25">
      <c r="B64" s="163">
        <v>20</v>
      </c>
      <c r="C64" s="164" t="str">
        <f>Config!C24&amp;", "&amp;Config!D24</f>
        <v>Hartl, Emmely</v>
      </c>
      <c r="D64" s="165">
        <v>1</v>
      </c>
      <c r="E64" s="165">
        <v>2</v>
      </c>
      <c r="F64" s="165">
        <v>2.5</v>
      </c>
      <c r="G64" s="165">
        <v>3</v>
      </c>
      <c r="H64" s="165">
        <v>3</v>
      </c>
      <c r="I64" s="166">
        <v>2</v>
      </c>
      <c r="J64" s="167">
        <f t="shared" si="1"/>
        <v>13.5</v>
      </c>
    </row>
    <row r="65" spans="2:10" s="148" customFormat="1" ht="13.2" customHeight="1" x14ac:dyDescent="0.2">
      <c r="B65" s="162"/>
      <c r="C65" s="175" t="s">
        <v>126</v>
      </c>
      <c r="D65" s="101"/>
      <c r="E65" s="101"/>
      <c r="F65" s="101"/>
      <c r="G65" s="101"/>
      <c r="H65" s="101"/>
      <c r="I65" s="102"/>
      <c r="J65" s="160">
        <f t="shared" si="1"/>
        <v>0</v>
      </c>
    </row>
    <row r="66" spans="2:10" s="148" customFormat="1" ht="13.2" customHeight="1" thickBot="1" x14ac:dyDescent="0.25">
      <c r="B66" s="159"/>
      <c r="C66" s="176" t="s">
        <v>127</v>
      </c>
      <c r="D66" s="103"/>
      <c r="E66" s="103"/>
      <c r="F66" s="103"/>
      <c r="G66" s="103"/>
      <c r="H66" s="103"/>
      <c r="I66" s="104"/>
      <c r="J66" s="161">
        <f t="shared" si="1"/>
        <v>0</v>
      </c>
    </row>
    <row r="67" spans="2:10" ht="18" customHeight="1" x14ac:dyDescent="0.25">
      <c r="B67" s="154">
        <v>21</v>
      </c>
      <c r="C67" s="155" t="str">
        <f>Config!C25&amp;", "&amp;Config!D25</f>
        <v>Klotz, Karin</v>
      </c>
      <c r="D67" s="156">
        <v>2</v>
      </c>
      <c r="E67" s="156">
        <v>2</v>
      </c>
      <c r="F67" s="156">
        <v>1.5</v>
      </c>
      <c r="G67" s="156">
        <v>3</v>
      </c>
      <c r="H67" s="156">
        <v>3</v>
      </c>
      <c r="I67" s="157">
        <v>2</v>
      </c>
      <c r="J67" s="158">
        <f t="shared" si="1"/>
        <v>13.5</v>
      </c>
    </row>
    <row r="68" spans="2:10" s="148" customFormat="1" ht="13.2" customHeight="1" x14ac:dyDescent="0.2">
      <c r="B68" s="153"/>
      <c r="C68" s="173" t="s">
        <v>126</v>
      </c>
      <c r="D68" s="99"/>
      <c r="E68" s="99"/>
      <c r="F68" s="99"/>
      <c r="G68" s="99"/>
      <c r="H68" s="99"/>
      <c r="I68" s="100"/>
      <c r="J68" s="150">
        <f t="shared" si="1"/>
        <v>0</v>
      </c>
    </row>
    <row r="69" spans="2:10" s="148" customFormat="1" ht="13.2" customHeight="1" thickBot="1" x14ac:dyDescent="0.25">
      <c r="B69" s="149"/>
      <c r="C69" s="174" t="s">
        <v>127</v>
      </c>
      <c r="D69" s="103"/>
      <c r="E69" s="103"/>
      <c r="F69" s="103"/>
      <c r="G69" s="103"/>
      <c r="H69" s="103"/>
      <c r="I69" s="104"/>
      <c r="J69" s="151">
        <f t="shared" si="1"/>
        <v>0</v>
      </c>
    </row>
    <row r="70" spans="2:10" ht="18" customHeight="1" x14ac:dyDescent="0.25">
      <c r="B70" s="163">
        <v>22</v>
      </c>
      <c r="C70" s="164" t="str">
        <f>Config!C26&amp;", "&amp;Config!D26</f>
        <v>Ehlers, Ingo</v>
      </c>
      <c r="D70" s="165">
        <v>0.5</v>
      </c>
      <c r="E70" s="165">
        <v>1.5</v>
      </c>
      <c r="F70" s="165">
        <v>1</v>
      </c>
      <c r="G70" s="165">
        <v>3</v>
      </c>
      <c r="H70" s="165">
        <v>3</v>
      </c>
      <c r="I70" s="166">
        <v>1</v>
      </c>
      <c r="J70" s="167">
        <f t="shared" si="1"/>
        <v>10</v>
      </c>
    </row>
    <row r="71" spans="2:10" s="148" customFormat="1" ht="13.2" customHeight="1" x14ac:dyDescent="0.2">
      <c r="B71" s="162"/>
      <c r="C71" s="175" t="s">
        <v>126</v>
      </c>
      <c r="D71" s="101"/>
      <c r="E71" s="101"/>
      <c r="F71" s="101"/>
      <c r="G71" s="101"/>
      <c r="H71" s="101"/>
      <c r="I71" s="102"/>
      <c r="J71" s="160">
        <f t="shared" ref="J71:J75" si="2">SUM(D71:I71)</f>
        <v>0</v>
      </c>
    </row>
    <row r="72" spans="2:10" s="148" customFormat="1" ht="13.2" customHeight="1" thickBot="1" x14ac:dyDescent="0.25">
      <c r="B72" s="159"/>
      <c r="C72" s="176" t="s">
        <v>127</v>
      </c>
      <c r="D72" s="103"/>
      <c r="E72" s="103"/>
      <c r="F72" s="103"/>
      <c r="G72" s="103"/>
      <c r="H72" s="103"/>
      <c r="I72" s="104"/>
      <c r="J72" s="161">
        <f t="shared" si="2"/>
        <v>0</v>
      </c>
    </row>
    <row r="73" spans="2:10" ht="18" customHeight="1" x14ac:dyDescent="0.25">
      <c r="B73" s="154">
        <v>23</v>
      </c>
      <c r="C73" s="155" t="str">
        <f>Config!C27&amp;", "&amp;Config!D27</f>
        <v>Lindemann, Mads</v>
      </c>
      <c r="D73" s="156">
        <v>0.5</v>
      </c>
      <c r="E73" s="156">
        <v>2</v>
      </c>
      <c r="F73" s="156">
        <v>1.5</v>
      </c>
      <c r="G73" s="156">
        <v>0.5</v>
      </c>
      <c r="H73" s="156">
        <v>1.5</v>
      </c>
      <c r="I73" s="157">
        <v>1</v>
      </c>
      <c r="J73" s="158">
        <f t="shared" si="2"/>
        <v>7</v>
      </c>
    </row>
    <row r="74" spans="2:10" s="148" customFormat="1" ht="13.2" customHeight="1" x14ac:dyDescent="0.2">
      <c r="B74" s="153"/>
      <c r="C74" s="173" t="s">
        <v>126</v>
      </c>
      <c r="D74" s="99"/>
      <c r="E74" s="99"/>
      <c r="F74" s="99"/>
      <c r="G74" s="99"/>
      <c r="H74" s="99"/>
      <c r="I74" s="100"/>
      <c r="J74" s="150">
        <f t="shared" si="2"/>
        <v>0</v>
      </c>
    </row>
    <row r="75" spans="2:10" s="148" customFormat="1" ht="13.2" customHeight="1" thickBot="1" x14ac:dyDescent="0.25">
      <c r="B75" s="172"/>
      <c r="C75" s="177" t="s">
        <v>127</v>
      </c>
      <c r="D75" s="105"/>
      <c r="E75" s="105"/>
      <c r="F75" s="105"/>
      <c r="G75" s="105"/>
      <c r="H75" s="105"/>
      <c r="I75" s="106"/>
      <c r="J75" s="151">
        <f t="shared" si="2"/>
        <v>0</v>
      </c>
    </row>
    <row r="76" spans="2:10" ht="18" customHeight="1" thickBot="1" x14ac:dyDescent="0.3">
      <c r="B76" s="131"/>
      <c r="C76" s="132"/>
      <c r="D76" s="132">
        <f>IF(COUNTIFS(D7:D73,"&lt;&gt;",C7:C73,"&lt;&gt;ZK",C7:C73,"&lt;&gt;DK")&lt;&gt;0,SUMIFS(D7:D73,C7:C73,"&lt;&gt;ZK",C7:C73,"&lt;&gt;DK")/(COUNTIFS(D7:D73,"&lt;&gt;",C7:C73,"&lt;&gt;ZK",C7:C73,"&lt;&gt;DK")*D6),0)</f>
        <v>0.60869565217391308</v>
      </c>
      <c r="E76" s="132">
        <f>IF(COUNTIFS(E7:E73,"&lt;&gt;",C7:C73,"&lt;&gt;ZK",C7:C73,"&lt;&gt;DK")&lt;&gt;0,SUMIFS(E7:E73,C7:C73,"&lt;&gt;ZK",C7:C73,"&lt;&gt;DK")/(COUNTIFS(E7:E73,"&lt;&gt;",C7:C73,"&lt;&gt;ZK",C7:C73,"&lt;&gt;DK")*E6),0)</f>
        <v>0.85869565217391308</v>
      </c>
      <c r="F76" s="132">
        <f>IF(COUNTIFS(F7:F73,"&lt;&gt;",C7:C73,"&lt;&gt;ZK",C7:C73,"&lt;&gt;DK")&lt;&gt;0,SUMIFS(F7:F73,C7:C73,"&lt;&gt;ZK",C7:C73,"&lt;&gt;DK")/(COUNTIFS(F7:F73,"&lt;&gt;",C7:C73,"&lt;&gt;ZK",C7:C73,"&lt;&gt;DK")*F6),0)</f>
        <v>0.45652173913043476</v>
      </c>
      <c r="G76" s="132">
        <f>IF(COUNTIFS(G7:G73,"&lt;&gt;",C7:C73,"&lt;&gt;ZK",C7:C73,"&lt;&gt;DK")&lt;&gt;0,SUMIFS(G7:G73,C7:C73,"&lt;&gt;ZK",C7:C73,"&lt;&gt;DK")/(COUNTIFS(G7:G73,"&lt;&gt;",C7:C73,"&lt;&gt;ZK",C7:C73,"&lt;&gt;DK")*G6),0)</f>
        <v>0.6811594202898551</v>
      </c>
      <c r="H76" s="132">
        <f>IF(COUNTIFS(H7:H73,"&lt;&gt;",C7:C73,"&lt;&gt;ZK",C7:C73,"&lt;&gt;DK")&lt;&gt;0,SUMIFS(H7:H73,C7:C73,"&lt;&gt;ZK",C7:C73,"&lt;&gt;DK")/(COUNTIFS(H7:H73,"&lt;&gt;",C7:C73,"&lt;&gt;ZK",C7:C73,"&lt;&gt;DK")*H6),0)</f>
        <v>0.76811594202898548</v>
      </c>
      <c r="I76" s="132">
        <f>IF(COUNTIFS(I7:I73,"&lt;&gt;",C7:C73,"&lt;&gt;ZK",C7:C73,"&lt;&gt;DK")&lt;&gt;0,SUMIFS(I7:I73,C7:C73,"&lt;&gt;ZK",C7:C73,"&lt;&gt;DK")/(COUNTIFS(I7:I73,"&lt;&gt;",C7:C73,"&lt;&gt;ZK",C7:C73,"&lt;&gt;DK")*I6),0)</f>
        <v>0.72826086956521741</v>
      </c>
      <c r="J76" s="133"/>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6">
    <dataValidation type="decimal" allowBlank="1" showErrorMessage="1" sqref="D7:D75" xr:uid="{3EE11B65-63A4-43CC-86B7-7E80A58A34C5}">
      <formula1>0</formula1>
      <formula2>$D$6</formula2>
    </dataValidation>
    <dataValidation type="decimal" allowBlank="1" showErrorMessage="1" sqref="E7:E75" xr:uid="{B61AB7C5-3573-4EDF-BFBE-6C33C014D608}">
      <formula1>0</formula1>
      <formula2>$E$6</formula2>
    </dataValidation>
    <dataValidation type="decimal" allowBlank="1" showErrorMessage="1" sqref="F7:F75" xr:uid="{959443CE-CBC0-406C-B635-46E01411B01C}">
      <formula1>0</formula1>
      <formula2>$F$6</formula2>
    </dataValidation>
    <dataValidation type="decimal" allowBlank="1" showErrorMessage="1" sqref="G7:G75" xr:uid="{ED0531C6-CEE4-4000-8D7D-A11A75FDE322}">
      <formula1>0</formula1>
      <formula2>$G$6</formula2>
    </dataValidation>
    <dataValidation type="decimal" allowBlank="1" showErrorMessage="1" sqref="H7:H75" xr:uid="{469C0955-6035-4CF2-B601-1FD097AEE882}">
      <formula1>0</formula1>
      <formula2>$H$6</formula2>
    </dataValidation>
    <dataValidation type="decimal" allowBlank="1" showErrorMessage="1" sqref="I7:I75" xr:uid="{C2204C69-52CD-450D-AE60-E921D3DEA182}">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35B69-D60F-427B-8DA7-D63B5C364427}">
  <sheetPr codeName="Tabelle11">
    <tabColor rgb="FF92D050"/>
  </sheetPr>
  <dimension ref="B1:N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14" width="8.77734375" style="107" customWidth="1"/>
    <col min="15" max="16384" width="11.5546875" style="107"/>
  </cols>
  <sheetData>
    <row r="1" spans="2:14" ht="18" customHeight="1" thickBot="1" x14ac:dyDescent="0.3"/>
    <row r="2" spans="2:14" ht="18" customHeight="1" x14ac:dyDescent="0.25">
      <c r="B2" s="108" t="str">
        <f>Config!F2&amp;" "&amp;YEAR(Config!G24)</f>
        <v>Mathe Abitur 2026</v>
      </c>
      <c r="C2" s="109"/>
      <c r="D2" s="109"/>
      <c r="E2" s="109"/>
      <c r="F2" s="109"/>
      <c r="G2" s="109"/>
      <c r="H2" s="109"/>
      <c r="I2" s="110"/>
      <c r="J2" s="110"/>
      <c r="K2" s="110"/>
      <c r="L2" s="110"/>
      <c r="M2" s="110"/>
      <c r="N2" s="111" t="str">
        <f>"Kurs "&amp;Config!G26</f>
        <v>Kurs K1</v>
      </c>
    </row>
    <row r="3" spans="2:14" ht="18" customHeight="1" x14ac:dyDescent="0.25">
      <c r="B3" s="112" t="s">
        <v>10</v>
      </c>
      <c r="C3" s="113"/>
      <c r="D3" s="113"/>
      <c r="E3" s="113"/>
      <c r="F3" s="113"/>
      <c r="G3" s="113"/>
      <c r="H3" s="113"/>
      <c r="I3" s="113"/>
      <c r="J3" s="113"/>
      <c r="K3" s="113"/>
      <c r="L3" s="113"/>
      <c r="M3" s="113"/>
      <c r="N3" s="114"/>
    </row>
    <row r="4" spans="2:14" ht="18" customHeight="1" thickBot="1" x14ac:dyDescent="0.3">
      <c r="B4" s="112"/>
      <c r="C4" s="113"/>
      <c r="D4" s="113"/>
      <c r="E4" s="113"/>
      <c r="F4" s="113"/>
      <c r="G4" s="113"/>
      <c r="H4" s="113"/>
      <c r="I4" s="113"/>
      <c r="J4" s="113"/>
      <c r="K4" s="113"/>
      <c r="L4" s="113"/>
      <c r="M4" s="113"/>
      <c r="N4" s="114"/>
    </row>
    <row r="5" spans="2:14" ht="18" customHeight="1" thickBot="1" x14ac:dyDescent="0.3">
      <c r="B5" s="117"/>
      <c r="C5" s="115"/>
      <c r="D5" s="197" t="str">
        <f>Config!H6</f>
        <v>1a</v>
      </c>
      <c r="E5" s="197" t="str">
        <f>Config!H7</f>
        <v>1b</v>
      </c>
      <c r="F5" s="197" t="str">
        <f>Config!H8</f>
        <v>1c</v>
      </c>
      <c r="G5" s="197" t="str">
        <f>Config!H9</f>
        <v>1d</v>
      </c>
      <c r="H5" s="197" t="str">
        <f>Config!H10</f>
        <v>1e</v>
      </c>
      <c r="I5" s="197" t="str">
        <f>Config!H11</f>
        <v>1f</v>
      </c>
      <c r="J5" s="197" t="str">
        <f>Config!H12</f>
        <v>1g</v>
      </c>
      <c r="K5" s="197" t="str">
        <f>Config!H13</f>
        <v>1h</v>
      </c>
      <c r="L5" s="197" t="str">
        <f>Config!H14</f>
        <v>2a</v>
      </c>
      <c r="M5" s="197" t="str">
        <f>Config!H15</f>
        <v>2b</v>
      </c>
      <c r="N5" s="195" t="s">
        <v>82</v>
      </c>
    </row>
    <row r="6" spans="2:14" ht="18" customHeight="1" thickBot="1" x14ac:dyDescent="0.3">
      <c r="B6" s="118"/>
      <c r="C6" s="116" t="s">
        <v>81</v>
      </c>
      <c r="D6" s="196">
        <f>Config!I6</f>
        <v>2</v>
      </c>
      <c r="E6" s="196">
        <f>Config!I7</f>
        <v>3</v>
      </c>
      <c r="F6" s="196">
        <f>Config!I8</f>
        <v>4</v>
      </c>
      <c r="G6" s="196">
        <f>Config!I9</f>
        <v>3</v>
      </c>
      <c r="H6" s="196">
        <f>Config!I10</f>
        <v>3</v>
      </c>
      <c r="I6" s="196">
        <f>Config!I11</f>
        <v>4</v>
      </c>
      <c r="J6" s="196">
        <f>Config!I12</f>
        <v>3</v>
      </c>
      <c r="K6" s="196">
        <f>Config!I13</f>
        <v>4</v>
      </c>
      <c r="L6" s="196">
        <f>Config!I14</f>
        <v>2</v>
      </c>
      <c r="M6" s="196">
        <f>Config!I15</f>
        <v>2</v>
      </c>
      <c r="N6" s="198">
        <f>Config!I21</f>
        <v>30</v>
      </c>
    </row>
    <row r="7" spans="2:14" ht="18" customHeight="1" x14ac:dyDescent="0.25">
      <c r="B7" s="168">
        <v>1</v>
      </c>
      <c r="C7" s="169" t="str">
        <f>Config!C5&amp;", "&amp;Config!D5</f>
        <v>Höfer, Simon</v>
      </c>
      <c r="D7" s="170">
        <v>1.5</v>
      </c>
      <c r="E7" s="170">
        <v>3</v>
      </c>
      <c r="F7" s="170">
        <v>3</v>
      </c>
      <c r="G7" s="170">
        <v>3</v>
      </c>
      <c r="H7" s="170">
        <v>3</v>
      </c>
      <c r="I7" s="170">
        <v>4</v>
      </c>
      <c r="J7" s="170">
        <v>3</v>
      </c>
      <c r="K7" s="170">
        <v>0</v>
      </c>
      <c r="L7" s="170">
        <v>2</v>
      </c>
      <c r="M7" s="171">
        <v>0</v>
      </c>
      <c r="N7" s="152">
        <f t="shared" ref="N7:N38" si="0">SUM(D7:M7)</f>
        <v>22.5</v>
      </c>
    </row>
    <row r="8" spans="2:14" s="148" customFormat="1" ht="13.2" customHeight="1" x14ac:dyDescent="0.2">
      <c r="B8" s="153"/>
      <c r="C8" s="173" t="s">
        <v>126</v>
      </c>
      <c r="D8" s="99"/>
      <c r="E8" s="99"/>
      <c r="F8" s="99"/>
      <c r="G8" s="99"/>
      <c r="H8" s="99"/>
      <c r="I8" s="99"/>
      <c r="J8" s="99"/>
      <c r="K8" s="99"/>
      <c r="L8" s="99"/>
      <c r="M8" s="100"/>
      <c r="N8" s="150">
        <f t="shared" si="0"/>
        <v>0</v>
      </c>
    </row>
    <row r="9" spans="2:14" s="148" customFormat="1" ht="13.2" customHeight="1" thickBot="1" x14ac:dyDescent="0.25">
      <c r="B9" s="149"/>
      <c r="C9" s="174" t="s">
        <v>127</v>
      </c>
      <c r="D9" s="103"/>
      <c r="E9" s="103"/>
      <c r="F9" s="103"/>
      <c r="G9" s="103"/>
      <c r="H9" s="103"/>
      <c r="I9" s="103"/>
      <c r="J9" s="103"/>
      <c r="K9" s="103"/>
      <c r="L9" s="103"/>
      <c r="M9" s="104"/>
      <c r="N9" s="151">
        <f t="shared" si="0"/>
        <v>0</v>
      </c>
    </row>
    <row r="10" spans="2:14" ht="18" customHeight="1" x14ac:dyDescent="0.25">
      <c r="B10" s="163">
        <v>2</v>
      </c>
      <c r="C10" s="164" t="str">
        <f>Config!C6&amp;", "&amp;Config!D6</f>
        <v>Töpfer, Lilian</v>
      </c>
      <c r="D10" s="165">
        <v>0.5</v>
      </c>
      <c r="E10" s="165">
        <v>2.5</v>
      </c>
      <c r="F10" s="165">
        <v>3</v>
      </c>
      <c r="G10" s="165">
        <v>3</v>
      </c>
      <c r="H10" s="165">
        <v>3</v>
      </c>
      <c r="I10" s="165">
        <v>4</v>
      </c>
      <c r="J10" s="165">
        <v>0</v>
      </c>
      <c r="K10" s="165">
        <v>0</v>
      </c>
      <c r="L10" s="165">
        <v>1.5</v>
      </c>
      <c r="M10" s="166">
        <v>0</v>
      </c>
      <c r="N10" s="167">
        <f t="shared" si="0"/>
        <v>17.5</v>
      </c>
    </row>
    <row r="11" spans="2:14" s="148" customFormat="1" ht="13.2" customHeight="1" x14ac:dyDescent="0.2">
      <c r="B11" s="162"/>
      <c r="C11" s="175" t="s">
        <v>126</v>
      </c>
      <c r="D11" s="101"/>
      <c r="E11" s="101"/>
      <c r="F11" s="101"/>
      <c r="G11" s="101"/>
      <c r="H11" s="101"/>
      <c r="I11" s="101"/>
      <c r="J11" s="101"/>
      <c r="K11" s="101"/>
      <c r="L11" s="101"/>
      <c r="M11" s="102"/>
      <c r="N11" s="160">
        <f t="shared" si="0"/>
        <v>0</v>
      </c>
    </row>
    <row r="12" spans="2:14" s="148" customFormat="1" ht="13.2" customHeight="1" thickBot="1" x14ac:dyDescent="0.25">
      <c r="B12" s="159"/>
      <c r="C12" s="176" t="s">
        <v>127</v>
      </c>
      <c r="D12" s="103"/>
      <c r="E12" s="103"/>
      <c r="F12" s="103"/>
      <c r="G12" s="103"/>
      <c r="H12" s="103"/>
      <c r="I12" s="103"/>
      <c r="J12" s="103"/>
      <c r="K12" s="103"/>
      <c r="L12" s="103"/>
      <c r="M12" s="104"/>
      <c r="N12" s="161">
        <f t="shared" si="0"/>
        <v>0</v>
      </c>
    </row>
    <row r="13" spans="2:14" ht="18" customHeight="1" x14ac:dyDescent="0.25">
      <c r="B13" s="154">
        <v>3</v>
      </c>
      <c r="C13" s="155" t="str">
        <f>Config!C7&amp;", "&amp;Config!D7</f>
        <v>Fleischmann, Leonie</v>
      </c>
      <c r="D13" s="156">
        <v>1</v>
      </c>
      <c r="E13" s="156">
        <v>2</v>
      </c>
      <c r="F13" s="156">
        <v>0</v>
      </c>
      <c r="G13" s="156">
        <v>1</v>
      </c>
      <c r="H13" s="156">
        <v>3</v>
      </c>
      <c r="I13" s="156">
        <v>2.5</v>
      </c>
      <c r="J13" s="156">
        <v>0</v>
      </c>
      <c r="K13" s="156">
        <v>0</v>
      </c>
      <c r="L13" s="156">
        <v>0</v>
      </c>
      <c r="M13" s="157">
        <v>2</v>
      </c>
      <c r="N13" s="158">
        <f t="shared" si="0"/>
        <v>11.5</v>
      </c>
    </row>
    <row r="14" spans="2:14" s="148" customFormat="1" ht="13.2" customHeight="1" x14ac:dyDescent="0.2">
      <c r="B14" s="153"/>
      <c r="C14" s="173" t="s">
        <v>126</v>
      </c>
      <c r="D14" s="99"/>
      <c r="E14" s="99"/>
      <c r="F14" s="99"/>
      <c r="G14" s="99"/>
      <c r="H14" s="99"/>
      <c r="I14" s="99"/>
      <c r="J14" s="99"/>
      <c r="K14" s="99"/>
      <c r="L14" s="99"/>
      <c r="M14" s="100"/>
      <c r="N14" s="150">
        <f t="shared" si="0"/>
        <v>0</v>
      </c>
    </row>
    <row r="15" spans="2:14" s="148" customFormat="1" ht="13.2" customHeight="1" thickBot="1" x14ac:dyDescent="0.25">
      <c r="B15" s="149"/>
      <c r="C15" s="174" t="s">
        <v>127</v>
      </c>
      <c r="D15" s="103"/>
      <c r="E15" s="103"/>
      <c r="F15" s="103"/>
      <c r="G15" s="103"/>
      <c r="H15" s="103"/>
      <c r="I15" s="103"/>
      <c r="J15" s="103"/>
      <c r="K15" s="103"/>
      <c r="L15" s="103"/>
      <c r="M15" s="104"/>
      <c r="N15" s="151">
        <f t="shared" si="0"/>
        <v>0</v>
      </c>
    </row>
    <row r="16" spans="2:14" ht="18" customHeight="1" x14ac:dyDescent="0.25">
      <c r="B16" s="163">
        <v>4</v>
      </c>
      <c r="C16" s="164" t="str">
        <f>Config!C8&amp;", "&amp;Config!D8</f>
        <v>Drescher, Cedric</v>
      </c>
      <c r="D16" s="165">
        <v>1</v>
      </c>
      <c r="E16" s="165">
        <v>3</v>
      </c>
      <c r="F16" s="165">
        <v>3</v>
      </c>
      <c r="G16" s="165">
        <v>3</v>
      </c>
      <c r="H16" s="165">
        <v>3</v>
      </c>
      <c r="I16" s="165">
        <v>4</v>
      </c>
      <c r="J16" s="165">
        <v>1.5</v>
      </c>
      <c r="K16" s="165">
        <v>0</v>
      </c>
      <c r="L16" s="165">
        <v>1.5</v>
      </c>
      <c r="M16" s="166">
        <v>3</v>
      </c>
      <c r="N16" s="167">
        <f t="shared" si="0"/>
        <v>23</v>
      </c>
    </row>
    <row r="17" spans="2:14" s="148" customFormat="1" ht="13.2" customHeight="1" x14ac:dyDescent="0.2">
      <c r="B17" s="162"/>
      <c r="C17" s="175" t="s">
        <v>126</v>
      </c>
      <c r="D17" s="101"/>
      <c r="E17" s="101"/>
      <c r="F17" s="101"/>
      <c r="G17" s="101"/>
      <c r="H17" s="101"/>
      <c r="I17" s="101"/>
      <c r="J17" s="101"/>
      <c r="K17" s="101"/>
      <c r="L17" s="101"/>
      <c r="M17" s="102"/>
      <c r="N17" s="160">
        <f t="shared" si="0"/>
        <v>0</v>
      </c>
    </row>
    <row r="18" spans="2:14" s="148" customFormat="1" ht="13.2" customHeight="1" thickBot="1" x14ac:dyDescent="0.25">
      <c r="B18" s="159"/>
      <c r="C18" s="176" t="s">
        <v>127</v>
      </c>
      <c r="D18" s="103"/>
      <c r="E18" s="103"/>
      <c r="F18" s="103"/>
      <c r="G18" s="103"/>
      <c r="H18" s="103"/>
      <c r="I18" s="103"/>
      <c r="J18" s="103"/>
      <c r="K18" s="103"/>
      <c r="L18" s="103"/>
      <c r="M18" s="104"/>
      <c r="N18" s="161">
        <f t="shared" si="0"/>
        <v>0</v>
      </c>
    </row>
    <row r="19" spans="2:14" ht="18" customHeight="1" x14ac:dyDescent="0.25">
      <c r="B19" s="154">
        <v>5</v>
      </c>
      <c r="C19" s="155" t="str">
        <f>Config!C9&amp;", "&amp;Config!D9</f>
        <v>Baumgarten, Annabell</v>
      </c>
      <c r="D19" s="156">
        <v>2</v>
      </c>
      <c r="E19" s="156">
        <v>2</v>
      </c>
      <c r="F19" s="156">
        <v>3.5</v>
      </c>
      <c r="G19" s="156">
        <v>2.5</v>
      </c>
      <c r="H19" s="156">
        <v>2</v>
      </c>
      <c r="I19" s="156">
        <v>1</v>
      </c>
      <c r="J19" s="156">
        <v>0.5</v>
      </c>
      <c r="K19" s="156">
        <v>2.5</v>
      </c>
      <c r="L19" s="156">
        <v>2</v>
      </c>
      <c r="M19" s="157">
        <v>3.5</v>
      </c>
      <c r="N19" s="158">
        <f t="shared" si="0"/>
        <v>21.5</v>
      </c>
    </row>
    <row r="20" spans="2:14" s="148" customFormat="1" ht="13.2" customHeight="1" x14ac:dyDescent="0.2">
      <c r="B20" s="153"/>
      <c r="C20" s="173" t="s">
        <v>126</v>
      </c>
      <c r="D20" s="99"/>
      <c r="E20" s="99"/>
      <c r="F20" s="99"/>
      <c r="G20" s="99"/>
      <c r="H20" s="99"/>
      <c r="I20" s="99"/>
      <c r="J20" s="99"/>
      <c r="K20" s="99"/>
      <c r="L20" s="99"/>
      <c r="M20" s="100"/>
      <c r="N20" s="150">
        <f t="shared" si="0"/>
        <v>0</v>
      </c>
    </row>
    <row r="21" spans="2:14" s="148" customFormat="1" ht="13.2" customHeight="1" thickBot="1" x14ac:dyDescent="0.25">
      <c r="B21" s="149"/>
      <c r="C21" s="174" t="s">
        <v>127</v>
      </c>
      <c r="D21" s="103"/>
      <c r="E21" s="103"/>
      <c r="F21" s="103"/>
      <c r="G21" s="103"/>
      <c r="H21" s="103"/>
      <c r="I21" s="103"/>
      <c r="J21" s="103"/>
      <c r="K21" s="103"/>
      <c r="L21" s="103"/>
      <c r="M21" s="104"/>
      <c r="N21" s="151">
        <f t="shared" si="0"/>
        <v>0</v>
      </c>
    </row>
    <row r="22" spans="2:14" ht="18" customHeight="1" x14ac:dyDescent="0.25">
      <c r="B22" s="163">
        <v>6</v>
      </c>
      <c r="C22" s="164" t="str">
        <f>Config!C10&amp;", "&amp;Config!D10</f>
        <v>Traut, Stefanie</v>
      </c>
      <c r="D22" s="165">
        <v>2</v>
      </c>
      <c r="E22" s="165">
        <v>3</v>
      </c>
      <c r="F22" s="165">
        <v>4</v>
      </c>
      <c r="G22" s="165">
        <v>3</v>
      </c>
      <c r="H22" s="165">
        <v>3</v>
      </c>
      <c r="I22" s="165">
        <v>4</v>
      </c>
      <c r="J22" s="165">
        <v>3</v>
      </c>
      <c r="K22" s="165">
        <v>4</v>
      </c>
      <c r="L22" s="165">
        <v>2</v>
      </c>
      <c r="M22" s="166">
        <v>5</v>
      </c>
      <c r="N22" s="167">
        <f t="shared" si="0"/>
        <v>33</v>
      </c>
    </row>
    <row r="23" spans="2:14" s="148" customFormat="1" ht="13.2" customHeight="1" x14ac:dyDescent="0.2">
      <c r="B23" s="162"/>
      <c r="C23" s="175" t="s">
        <v>126</v>
      </c>
      <c r="D23" s="101"/>
      <c r="E23" s="101"/>
      <c r="F23" s="101"/>
      <c r="G23" s="101"/>
      <c r="H23" s="101"/>
      <c r="I23" s="101"/>
      <c r="J23" s="101"/>
      <c r="K23" s="101"/>
      <c r="L23" s="101"/>
      <c r="M23" s="102"/>
      <c r="N23" s="160">
        <f t="shared" si="0"/>
        <v>0</v>
      </c>
    </row>
    <row r="24" spans="2:14" s="148" customFormat="1" ht="13.2" customHeight="1" thickBot="1" x14ac:dyDescent="0.25">
      <c r="B24" s="159"/>
      <c r="C24" s="176" t="s">
        <v>127</v>
      </c>
      <c r="D24" s="103"/>
      <c r="E24" s="103"/>
      <c r="F24" s="103"/>
      <c r="G24" s="103"/>
      <c r="H24" s="103"/>
      <c r="I24" s="103"/>
      <c r="J24" s="103"/>
      <c r="K24" s="103"/>
      <c r="L24" s="103"/>
      <c r="M24" s="104"/>
      <c r="N24" s="161">
        <f t="shared" si="0"/>
        <v>0</v>
      </c>
    </row>
    <row r="25" spans="2:14" ht="18" customHeight="1" x14ac:dyDescent="0.25">
      <c r="B25" s="154">
        <v>7</v>
      </c>
      <c r="C25" s="155" t="str">
        <f>Config!C11&amp;", "&amp;Config!D11</f>
        <v>Menke, Damian</v>
      </c>
      <c r="D25" s="156">
        <v>1.5</v>
      </c>
      <c r="E25" s="156">
        <v>2.5</v>
      </c>
      <c r="F25" s="156">
        <v>4</v>
      </c>
      <c r="G25" s="156">
        <v>2</v>
      </c>
      <c r="H25" s="156">
        <v>2</v>
      </c>
      <c r="I25" s="156">
        <v>2.5</v>
      </c>
      <c r="J25" s="156">
        <v>0.5</v>
      </c>
      <c r="K25" s="156">
        <v>3</v>
      </c>
      <c r="L25" s="156">
        <v>1</v>
      </c>
      <c r="M25" s="157">
        <v>3.5</v>
      </c>
      <c r="N25" s="158">
        <f t="shared" si="0"/>
        <v>22.5</v>
      </c>
    </row>
    <row r="26" spans="2:14" s="148" customFormat="1" ht="13.2" customHeight="1" x14ac:dyDescent="0.2">
      <c r="B26" s="153"/>
      <c r="C26" s="173" t="s">
        <v>126</v>
      </c>
      <c r="D26" s="99"/>
      <c r="E26" s="99"/>
      <c r="F26" s="99"/>
      <c r="G26" s="99"/>
      <c r="H26" s="99"/>
      <c r="I26" s="99"/>
      <c r="J26" s="99"/>
      <c r="K26" s="99"/>
      <c r="L26" s="99"/>
      <c r="M26" s="100"/>
      <c r="N26" s="150">
        <f t="shared" si="0"/>
        <v>0</v>
      </c>
    </row>
    <row r="27" spans="2:14" s="148" customFormat="1" ht="13.2" customHeight="1" thickBot="1" x14ac:dyDescent="0.25">
      <c r="B27" s="149"/>
      <c r="C27" s="174" t="s">
        <v>127</v>
      </c>
      <c r="D27" s="103"/>
      <c r="E27" s="103"/>
      <c r="F27" s="103"/>
      <c r="G27" s="103"/>
      <c r="H27" s="103"/>
      <c r="I27" s="103"/>
      <c r="J27" s="103"/>
      <c r="K27" s="103"/>
      <c r="L27" s="103"/>
      <c r="M27" s="104"/>
      <c r="N27" s="151">
        <f t="shared" si="0"/>
        <v>0</v>
      </c>
    </row>
    <row r="28" spans="2:14" ht="18" customHeight="1" x14ac:dyDescent="0.25">
      <c r="B28" s="163">
        <v>8</v>
      </c>
      <c r="C28" s="164" t="str">
        <f>Config!C12&amp;", "&amp;Config!D12</f>
        <v>Carroll, Meik</v>
      </c>
      <c r="D28" s="165">
        <v>1.5</v>
      </c>
      <c r="E28" s="165">
        <v>1</v>
      </c>
      <c r="F28" s="165">
        <v>2.5</v>
      </c>
      <c r="G28" s="165">
        <v>3</v>
      </c>
      <c r="H28" s="165">
        <v>3</v>
      </c>
      <c r="I28" s="165">
        <v>3.5</v>
      </c>
      <c r="J28" s="165">
        <v>0</v>
      </c>
      <c r="K28" s="165">
        <v>0</v>
      </c>
      <c r="L28" s="165">
        <v>2</v>
      </c>
      <c r="M28" s="166">
        <v>0</v>
      </c>
      <c r="N28" s="167">
        <f t="shared" si="0"/>
        <v>16.5</v>
      </c>
    </row>
    <row r="29" spans="2:14" s="148" customFormat="1" ht="13.2" customHeight="1" x14ac:dyDescent="0.2">
      <c r="B29" s="162"/>
      <c r="C29" s="175" t="s">
        <v>126</v>
      </c>
      <c r="D29" s="101"/>
      <c r="E29" s="101"/>
      <c r="F29" s="101"/>
      <c r="G29" s="101"/>
      <c r="H29" s="101"/>
      <c r="I29" s="101"/>
      <c r="J29" s="101"/>
      <c r="K29" s="101"/>
      <c r="L29" s="101"/>
      <c r="M29" s="102"/>
      <c r="N29" s="160">
        <f t="shared" si="0"/>
        <v>0</v>
      </c>
    </row>
    <row r="30" spans="2:14" s="148" customFormat="1" ht="13.2" customHeight="1" thickBot="1" x14ac:dyDescent="0.25">
      <c r="B30" s="159"/>
      <c r="C30" s="176" t="s">
        <v>127</v>
      </c>
      <c r="D30" s="103"/>
      <c r="E30" s="103"/>
      <c r="F30" s="103"/>
      <c r="G30" s="103"/>
      <c r="H30" s="103"/>
      <c r="I30" s="103"/>
      <c r="J30" s="103"/>
      <c r="K30" s="103"/>
      <c r="L30" s="103"/>
      <c r="M30" s="104"/>
      <c r="N30" s="161">
        <f t="shared" si="0"/>
        <v>0</v>
      </c>
    </row>
    <row r="31" spans="2:14" ht="18" customHeight="1" x14ac:dyDescent="0.25">
      <c r="B31" s="154">
        <v>9</v>
      </c>
      <c r="C31" s="155" t="str">
        <f>Config!C13&amp;", "&amp;Config!D13</f>
        <v>Hennings, Tomas</v>
      </c>
      <c r="D31" s="156">
        <v>1.5</v>
      </c>
      <c r="E31" s="156">
        <v>3</v>
      </c>
      <c r="F31" s="156">
        <v>4</v>
      </c>
      <c r="G31" s="156">
        <v>3</v>
      </c>
      <c r="H31" s="156">
        <v>2</v>
      </c>
      <c r="I31" s="156">
        <v>1</v>
      </c>
      <c r="J31" s="156">
        <v>0</v>
      </c>
      <c r="K31" s="156">
        <v>0</v>
      </c>
      <c r="L31" s="156">
        <v>0</v>
      </c>
      <c r="M31" s="157">
        <v>0</v>
      </c>
      <c r="N31" s="158">
        <f t="shared" si="0"/>
        <v>14.5</v>
      </c>
    </row>
    <row r="32" spans="2:14" s="148" customFormat="1" ht="13.2" customHeight="1" x14ac:dyDescent="0.2">
      <c r="B32" s="153"/>
      <c r="C32" s="173" t="s">
        <v>126</v>
      </c>
      <c r="D32" s="99"/>
      <c r="E32" s="99"/>
      <c r="F32" s="99"/>
      <c r="G32" s="99"/>
      <c r="H32" s="99"/>
      <c r="I32" s="99"/>
      <c r="J32" s="99"/>
      <c r="K32" s="99"/>
      <c r="L32" s="99"/>
      <c r="M32" s="100"/>
      <c r="N32" s="150">
        <f t="shared" si="0"/>
        <v>0</v>
      </c>
    </row>
    <row r="33" spans="2:14" s="148" customFormat="1" ht="13.2" customHeight="1" thickBot="1" x14ac:dyDescent="0.25">
      <c r="B33" s="149"/>
      <c r="C33" s="174" t="s">
        <v>127</v>
      </c>
      <c r="D33" s="103"/>
      <c r="E33" s="103"/>
      <c r="F33" s="103"/>
      <c r="G33" s="103"/>
      <c r="H33" s="103"/>
      <c r="I33" s="103"/>
      <c r="J33" s="103"/>
      <c r="K33" s="103"/>
      <c r="L33" s="103"/>
      <c r="M33" s="104"/>
      <c r="N33" s="151">
        <f t="shared" si="0"/>
        <v>0</v>
      </c>
    </row>
    <row r="34" spans="2:14" ht="18" customHeight="1" x14ac:dyDescent="0.25">
      <c r="B34" s="163">
        <v>10</v>
      </c>
      <c r="C34" s="164" t="str">
        <f>Config!C14&amp;", "&amp;Config!D14</f>
        <v>Walters, Linn</v>
      </c>
      <c r="D34" s="165">
        <v>0</v>
      </c>
      <c r="E34" s="165">
        <v>1.5</v>
      </c>
      <c r="F34" s="165">
        <v>2.5</v>
      </c>
      <c r="G34" s="165">
        <v>0</v>
      </c>
      <c r="H34" s="165">
        <v>1</v>
      </c>
      <c r="I34" s="165">
        <v>1</v>
      </c>
      <c r="J34" s="165">
        <v>0</v>
      </c>
      <c r="K34" s="165">
        <v>0</v>
      </c>
      <c r="L34" s="165">
        <v>1</v>
      </c>
      <c r="M34" s="166">
        <v>0</v>
      </c>
      <c r="N34" s="167">
        <f t="shared" si="0"/>
        <v>7</v>
      </c>
    </row>
    <row r="35" spans="2:14" s="148" customFormat="1" ht="13.2" customHeight="1" x14ac:dyDescent="0.2">
      <c r="B35" s="162"/>
      <c r="C35" s="175" t="s">
        <v>126</v>
      </c>
      <c r="D35" s="101"/>
      <c r="E35" s="101"/>
      <c r="F35" s="101"/>
      <c r="G35" s="101"/>
      <c r="H35" s="101"/>
      <c r="I35" s="101"/>
      <c r="J35" s="101"/>
      <c r="K35" s="101"/>
      <c r="L35" s="101"/>
      <c r="M35" s="102"/>
      <c r="N35" s="160">
        <f t="shared" si="0"/>
        <v>0</v>
      </c>
    </row>
    <row r="36" spans="2:14" s="148" customFormat="1" ht="13.2" customHeight="1" thickBot="1" x14ac:dyDescent="0.25">
      <c r="B36" s="159"/>
      <c r="C36" s="176" t="s">
        <v>127</v>
      </c>
      <c r="D36" s="103"/>
      <c r="E36" s="103"/>
      <c r="F36" s="103"/>
      <c r="G36" s="103"/>
      <c r="H36" s="103"/>
      <c r="I36" s="103"/>
      <c r="J36" s="103"/>
      <c r="K36" s="103"/>
      <c r="L36" s="103"/>
      <c r="M36" s="104"/>
      <c r="N36" s="161">
        <f t="shared" si="0"/>
        <v>0</v>
      </c>
    </row>
    <row r="37" spans="2:14" ht="18" customHeight="1" x14ac:dyDescent="0.25">
      <c r="B37" s="154">
        <v>11</v>
      </c>
      <c r="C37" s="155" t="str">
        <f>Config!C15&amp;", "&amp;Config!D15</f>
        <v>Junker, Amely</v>
      </c>
      <c r="D37" s="156">
        <v>1</v>
      </c>
      <c r="E37" s="156">
        <v>1.5</v>
      </c>
      <c r="F37" s="156">
        <v>4</v>
      </c>
      <c r="G37" s="156">
        <v>1.5</v>
      </c>
      <c r="H37" s="156">
        <v>2</v>
      </c>
      <c r="I37" s="156">
        <v>3.5</v>
      </c>
      <c r="J37" s="156">
        <v>0</v>
      </c>
      <c r="K37" s="156">
        <v>0</v>
      </c>
      <c r="L37" s="156">
        <v>0</v>
      </c>
      <c r="M37" s="157">
        <v>0</v>
      </c>
      <c r="N37" s="158">
        <f t="shared" si="0"/>
        <v>13.5</v>
      </c>
    </row>
    <row r="38" spans="2:14" s="148" customFormat="1" ht="13.2" customHeight="1" x14ac:dyDescent="0.2">
      <c r="B38" s="153"/>
      <c r="C38" s="173" t="s">
        <v>126</v>
      </c>
      <c r="D38" s="99"/>
      <c r="E38" s="99"/>
      <c r="F38" s="99"/>
      <c r="G38" s="99"/>
      <c r="H38" s="99"/>
      <c r="I38" s="99"/>
      <c r="J38" s="99"/>
      <c r="K38" s="99"/>
      <c r="L38" s="99"/>
      <c r="M38" s="100"/>
      <c r="N38" s="150">
        <f t="shared" si="0"/>
        <v>0</v>
      </c>
    </row>
    <row r="39" spans="2:14" s="148" customFormat="1" ht="13.2" customHeight="1" thickBot="1" x14ac:dyDescent="0.25">
      <c r="B39" s="149"/>
      <c r="C39" s="174" t="s">
        <v>127</v>
      </c>
      <c r="D39" s="103"/>
      <c r="E39" s="103"/>
      <c r="F39" s="103"/>
      <c r="G39" s="103"/>
      <c r="H39" s="103"/>
      <c r="I39" s="103"/>
      <c r="J39" s="103"/>
      <c r="K39" s="103"/>
      <c r="L39" s="103"/>
      <c r="M39" s="104"/>
      <c r="N39" s="151">
        <f t="shared" ref="N39:N70" si="1">SUM(D39:M39)</f>
        <v>0</v>
      </c>
    </row>
    <row r="40" spans="2:14" ht="18" customHeight="1" x14ac:dyDescent="0.25">
      <c r="B40" s="163">
        <v>12</v>
      </c>
      <c r="C40" s="164" t="str">
        <f>Config!C16&amp;", "&amp;Config!D16</f>
        <v>Stephens, Melvin</v>
      </c>
      <c r="D40" s="165">
        <v>2</v>
      </c>
      <c r="E40" s="165">
        <v>3</v>
      </c>
      <c r="F40" s="165">
        <v>4</v>
      </c>
      <c r="G40" s="165">
        <v>3</v>
      </c>
      <c r="H40" s="165">
        <v>3</v>
      </c>
      <c r="I40" s="165">
        <v>4</v>
      </c>
      <c r="J40" s="165">
        <v>3</v>
      </c>
      <c r="K40" s="165">
        <v>0</v>
      </c>
      <c r="L40" s="165">
        <v>2</v>
      </c>
      <c r="M40" s="166">
        <v>3</v>
      </c>
      <c r="N40" s="167">
        <f t="shared" si="1"/>
        <v>27</v>
      </c>
    </row>
    <row r="41" spans="2:14" s="148" customFormat="1" ht="13.2" customHeight="1" x14ac:dyDescent="0.2">
      <c r="B41" s="162"/>
      <c r="C41" s="175" t="s">
        <v>126</v>
      </c>
      <c r="D41" s="101"/>
      <c r="E41" s="101"/>
      <c r="F41" s="101"/>
      <c r="G41" s="101"/>
      <c r="H41" s="101"/>
      <c r="I41" s="101"/>
      <c r="J41" s="101"/>
      <c r="K41" s="101"/>
      <c r="L41" s="101"/>
      <c r="M41" s="102"/>
      <c r="N41" s="160">
        <f t="shared" si="1"/>
        <v>0</v>
      </c>
    </row>
    <row r="42" spans="2:14" s="148" customFormat="1" ht="13.2" customHeight="1" thickBot="1" x14ac:dyDescent="0.25">
      <c r="B42" s="159"/>
      <c r="C42" s="176" t="s">
        <v>127</v>
      </c>
      <c r="D42" s="103"/>
      <c r="E42" s="103"/>
      <c r="F42" s="103"/>
      <c r="G42" s="103"/>
      <c r="H42" s="103"/>
      <c r="I42" s="103"/>
      <c r="J42" s="103"/>
      <c r="K42" s="103"/>
      <c r="L42" s="103"/>
      <c r="M42" s="104"/>
      <c r="N42" s="161">
        <f t="shared" si="1"/>
        <v>0</v>
      </c>
    </row>
    <row r="43" spans="2:14" ht="18" customHeight="1" x14ac:dyDescent="0.25">
      <c r="B43" s="154">
        <v>13</v>
      </c>
      <c r="C43" s="155" t="str">
        <f>Config!C17&amp;", "&amp;Config!D17</f>
        <v>Cremer, Marvin</v>
      </c>
      <c r="D43" s="156">
        <v>0.5</v>
      </c>
      <c r="E43" s="156">
        <v>1.5</v>
      </c>
      <c r="F43" s="156">
        <v>4</v>
      </c>
      <c r="G43" s="156">
        <v>3</v>
      </c>
      <c r="H43" s="156">
        <v>3</v>
      </c>
      <c r="I43" s="156">
        <v>3.5</v>
      </c>
      <c r="J43" s="156">
        <v>0</v>
      </c>
      <c r="K43" s="156">
        <v>0</v>
      </c>
      <c r="L43" s="156">
        <v>2</v>
      </c>
      <c r="M43" s="157">
        <v>4.5</v>
      </c>
      <c r="N43" s="158">
        <f t="shared" si="1"/>
        <v>22</v>
      </c>
    </row>
    <row r="44" spans="2:14" s="148" customFormat="1" ht="13.2" customHeight="1" x14ac:dyDescent="0.2">
      <c r="B44" s="153"/>
      <c r="C44" s="173" t="s">
        <v>126</v>
      </c>
      <c r="D44" s="99"/>
      <c r="E44" s="99"/>
      <c r="F44" s="99"/>
      <c r="G44" s="99"/>
      <c r="H44" s="99"/>
      <c r="I44" s="99"/>
      <c r="J44" s="99"/>
      <c r="K44" s="99"/>
      <c r="L44" s="99"/>
      <c r="M44" s="100"/>
      <c r="N44" s="150">
        <f t="shared" si="1"/>
        <v>0</v>
      </c>
    </row>
    <row r="45" spans="2:14" s="148" customFormat="1" ht="13.2" customHeight="1" thickBot="1" x14ac:dyDescent="0.25">
      <c r="B45" s="149"/>
      <c r="C45" s="174" t="s">
        <v>127</v>
      </c>
      <c r="D45" s="103"/>
      <c r="E45" s="103"/>
      <c r="F45" s="103"/>
      <c r="G45" s="103"/>
      <c r="H45" s="103"/>
      <c r="I45" s="103"/>
      <c r="J45" s="103"/>
      <c r="K45" s="103"/>
      <c r="L45" s="103"/>
      <c r="M45" s="104"/>
      <c r="N45" s="151">
        <f t="shared" si="1"/>
        <v>0</v>
      </c>
    </row>
    <row r="46" spans="2:14" ht="18" customHeight="1" x14ac:dyDescent="0.25">
      <c r="B46" s="163">
        <v>14</v>
      </c>
      <c r="C46" s="164" t="str">
        <f>Config!C18&amp;", "&amp;Config!D18</f>
        <v>Nash, Jean</v>
      </c>
      <c r="D46" s="165">
        <v>1.5</v>
      </c>
      <c r="E46" s="165">
        <v>2.5</v>
      </c>
      <c r="F46" s="165">
        <v>3</v>
      </c>
      <c r="G46" s="165">
        <v>2.5</v>
      </c>
      <c r="H46" s="165">
        <v>2</v>
      </c>
      <c r="I46" s="165">
        <v>4</v>
      </c>
      <c r="J46" s="165">
        <v>0</v>
      </c>
      <c r="K46" s="165">
        <v>0</v>
      </c>
      <c r="L46" s="165">
        <v>0</v>
      </c>
      <c r="M46" s="166">
        <v>0</v>
      </c>
      <c r="N46" s="167">
        <f t="shared" si="1"/>
        <v>15.5</v>
      </c>
    </row>
    <row r="47" spans="2:14" s="148" customFormat="1" ht="13.2" customHeight="1" x14ac:dyDescent="0.2">
      <c r="B47" s="162"/>
      <c r="C47" s="175" t="s">
        <v>126</v>
      </c>
      <c r="D47" s="101"/>
      <c r="E47" s="101"/>
      <c r="F47" s="101"/>
      <c r="G47" s="101"/>
      <c r="H47" s="101"/>
      <c r="I47" s="101"/>
      <c r="J47" s="101"/>
      <c r="K47" s="101"/>
      <c r="L47" s="101"/>
      <c r="M47" s="102"/>
      <c r="N47" s="160">
        <f t="shared" si="1"/>
        <v>0</v>
      </c>
    </row>
    <row r="48" spans="2:14" s="148" customFormat="1" ht="13.2" customHeight="1" thickBot="1" x14ac:dyDescent="0.25">
      <c r="B48" s="159"/>
      <c r="C48" s="176" t="s">
        <v>127</v>
      </c>
      <c r="D48" s="103"/>
      <c r="E48" s="103"/>
      <c r="F48" s="103"/>
      <c r="G48" s="103"/>
      <c r="H48" s="103"/>
      <c r="I48" s="103"/>
      <c r="J48" s="103"/>
      <c r="K48" s="103"/>
      <c r="L48" s="103"/>
      <c r="M48" s="104"/>
      <c r="N48" s="161">
        <f t="shared" si="1"/>
        <v>0</v>
      </c>
    </row>
    <row r="49" spans="2:14" ht="18" customHeight="1" x14ac:dyDescent="0.25">
      <c r="B49" s="154">
        <v>15</v>
      </c>
      <c r="C49" s="155" t="str">
        <f>Config!C19&amp;", "&amp;Config!D19</f>
        <v>Schön, Leonardo</v>
      </c>
      <c r="D49" s="156">
        <v>1.5</v>
      </c>
      <c r="E49" s="156">
        <v>3</v>
      </c>
      <c r="F49" s="156">
        <v>4</v>
      </c>
      <c r="G49" s="156">
        <v>3</v>
      </c>
      <c r="H49" s="156">
        <v>2.5</v>
      </c>
      <c r="I49" s="156">
        <v>3.5</v>
      </c>
      <c r="J49" s="156">
        <v>0.5</v>
      </c>
      <c r="K49" s="156">
        <v>0</v>
      </c>
      <c r="L49" s="156">
        <v>2</v>
      </c>
      <c r="M49" s="157">
        <v>3.5</v>
      </c>
      <c r="N49" s="158">
        <f t="shared" si="1"/>
        <v>23.5</v>
      </c>
    </row>
    <row r="50" spans="2:14" s="148" customFormat="1" ht="13.2" customHeight="1" x14ac:dyDescent="0.2">
      <c r="B50" s="153"/>
      <c r="C50" s="173" t="s">
        <v>126</v>
      </c>
      <c r="D50" s="99"/>
      <c r="E50" s="99"/>
      <c r="F50" s="99"/>
      <c r="G50" s="99"/>
      <c r="H50" s="99"/>
      <c r="I50" s="99"/>
      <c r="J50" s="99"/>
      <c r="K50" s="99"/>
      <c r="L50" s="99"/>
      <c r="M50" s="100"/>
      <c r="N50" s="150">
        <f t="shared" si="1"/>
        <v>0</v>
      </c>
    </row>
    <row r="51" spans="2:14" s="148" customFormat="1" ht="13.2" customHeight="1" thickBot="1" x14ac:dyDescent="0.25">
      <c r="B51" s="149"/>
      <c r="C51" s="174" t="s">
        <v>127</v>
      </c>
      <c r="D51" s="103"/>
      <c r="E51" s="103"/>
      <c r="F51" s="103"/>
      <c r="G51" s="103"/>
      <c r="H51" s="103"/>
      <c r="I51" s="103"/>
      <c r="J51" s="103"/>
      <c r="K51" s="103"/>
      <c r="L51" s="103"/>
      <c r="M51" s="104"/>
      <c r="N51" s="151">
        <f t="shared" si="1"/>
        <v>0</v>
      </c>
    </row>
    <row r="52" spans="2:14" ht="18" customHeight="1" x14ac:dyDescent="0.25">
      <c r="B52" s="163">
        <v>16</v>
      </c>
      <c r="C52" s="164" t="str">
        <f>Config!C20&amp;", "&amp;Config!D20</f>
        <v>Sigl, Nicholas</v>
      </c>
      <c r="D52" s="165">
        <v>1.5</v>
      </c>
      <c r="E52" s="165">
        <v>3</v>
      </c>
      <c r="F52" s="165">
        <v>4</v>
      </c>
      <c r="G52" s="165">
        <v>3</v>
      </c>
      <c r="H52" s="165">
        <v>3</v>
      </c>
      <c r="I52" s="165">
        <v>4</v>
      </c>
      <c r="J52" s="165">
        <v>0</v>
      </c>
      <c r="K52" s="165">
        <v>1.5</v>
      </c>
      <c r="L52" s="165">
        <v>0</v>
      </c>
      <c r="M52" s="166">
        <v>2</v>
      </c>
      <c r="N52" s="167">
        <f t="shared" si="1"/>
        <v>22</v>
      </c>
    </row>
    <row r="53" spans="2:14" s="148" customFormat="1" ht="13.2" customHeight="1" x14ac:dyDescent="0.2">
      <c r="B53" s="162"/>
      <c r="C53" s="175" t="s">
        <v>126</v>
      </c>
      <c r="D53" s="101"/>
      <c r="E53" s="101"/>
      <c r="F53" s="101"/>
      <c r="G53" s="101"/>
      <c r="H53" s="101"/>
      <c r="I53" s="101"/>
      <c r="J53" s="101"/>
      <c r="K53" s="101"/>
      <c r="L53" s="101"/>
      <c r="M53" s="102"/>
      <c r="N53" s="160">
        <f t="shared" si="1"/>
        <v>0</v>
      </c>
    </row>
    <row r="54" spans="2:14" s="148" customFormat="1" ht="13.2" customHeight="1" thickBot="1" x14ac:dyDescent="0.25">
      <c r="B54" s="159"/>
      <c r="C54" s="176" t="s">
        <v>127</v>
      </c>
      <c r="D54" s="103"/>
      <c r="E54" s="103"/>
      <c r="F54" s="103"/>
      <c r="G54" s="103"/>
      <c r="H54" s="103"/>
      <c r="I54" s="103"/>
      <c r="J54" s="103"/>
      <c r="K54" s="103"/>
      <c r="L54" s="103"/>
      <c r="M54" s="104"/>
      <c r="N54" s="161">
        <f t="shared" si="1"/>
        <v>0</v>
      </c>
    </row>
    <row r="55" spans="2:14" ht="18" customHeight="1" x14ac:dyDescent="0.25">
      <c r="B55" s="154">
        <v>17</v>
      </c>
      <c r="C55" s="155" t="str">
        <f>Config!C21&amp;", "&amp;Config!D21</f>
        <v>Kainz, Vivienne</v>
      </c>
      <c r="D55" s="156">
        <v>1.5</v>
      </c>
      <c r="E55" s="156">
        <v>1.5</v>
      </c>
      <c r="F55" s="156">
        <v>0</v>
      </c>
      <c r="G55" s="156">
        <v>1.5</v>
      </c>
      <c r="H55" s="156">
        <v>1</v>
      </c>
      <c r="I55" s="156">
        <v>1</v>
      </c>
      <c r="J55" s="156">
        <v>0</v>
      </c>
      <c r="K55" s="156">
        <v>0</v>
      </c>
      <c r="L55" s="156">
        <v>0</v>
      </c>
      <c r="M55" s="157">
        <v>0</v>
      </c>
      <c r="N55" s="158">
        <f t="shared" si="1"/>
        <v>6.5</v>
      </c>
    </row>
    <row r="56" spans="2:14" s="148" customFormat="1" ht="13.2" customHeight="1" x14ac:dyDescent="0.2">
      <c r="B56" s="153"/>
      <c r="C56" s="173" t="s">
        <v>126</v>
      </c>
      <c r="D56" s="99"/>
      <c r="E56" s="99"/>
      <c r="F56" s="99"/>
      <c r="G56" s="99"/>
      <c r="H56" s="99"/>
      <c r="I56" s="99"/>
      <c r="J56" s="99"/>
      <c r="K56" s="99"/>
      <c r="L56" s="99"/>
      <c r="M56" s="100"/>
      <c r="N56" s="150">
        <f t="shared" si="1"/>
        <v>0</v>
      </c>
    </row>
    <row r="57" spans="2:14" s="148" customFormat="1" ht="13.2" customHeight="1" thickBot="1" x14ac:dyDescent="0.25">
      <c r="B57" s="149"/>
      <c r="C57" s="174" t="s">
        <v>127</v>
      </c>
      <c r="D57" s="103"/>
      <c r="E57" s="103"/>
      <c r="F57" s="103"/>
      <c r="G57" s="103"/>
      <c r="H57" s="103"/>
      <c r="I57" s="103"/>
      <c r="J57" s="103"/>
      <c r="K57" s="103"/>
      <c r="L57" s="103"/>
      <c r="M57" s="104"/>
      <c r="N57" s="151">
        <f t="shared" si="1"/>
        <v>0</v>
      </c>
    </row>
    <row r="58" spans="2:14" ht="18" customHeight="1" x14ac:dyDescent="0.25">
      <c r="B58" s="163">
        <v>18</v>
      </c>
      <c r="C58" s="164" t="str">
        <f>Config!C22&amp;", "&amp;Config!D22</f>
        <v>Hartmann, Mads</v>
      </c>
      <c r="D58" s="165">
        <v>1</v>
      </c>
      <c r="E58" s="165">
        <v>2.5</v>
      </c>
      <c r="F58" s="165">
        <v>2</v>
      </c>
      <c r="G58" s="165">
        <v>3</v>
      </c>
      <c r="H58" s="165">
        <v>2.5</v>
      </c>
      <c r="I58" s="165">
        <v>3.5</v>
      </c>
      <c r="J58" s="165">
        <v>0</v>
      </c>
      <c r="K58" s="165">
        <v>0</v>
      </c>
      <c r="L58" s="165">
        <v>1.5</v>
      </c>
      <c r="M58" s="166">
        <v>0</v>
      </c>
      <c r="N58" s="167">
        <f t="shared" si="1"/>
        <v>16</v>
      </c>
    </row>
    <row r="59" spans="2:14" s="148" customFormat="1" ht="13.2" customHeight="1" x14ac:dyDescent="0.2">
      <c r="B59" s="162"/>
      <c r="C59" s="175" t="s">
        <v>126</v>
      </c>
      <c r="D59" s="101"/>
      <c r="E59" s="101"/>
      <c r="F59" s="101"/>
      <c r="G59" s="101"/>
      <c r="H59" s="101"/>
      <c r="I59" s="101"/>
      <c r="J59" s="101"/>
      <c r="K59" s="101"/>
      <c r="L59" s="101"/>
      <c r="M59" s="102"/>
      <c r="N59" s="160">
        <f t="shared" si="1"/>
        <v>0</v>
      </c>
    </row>
    <row r="60" spans="2:14" s="148" customFormat="1" ht="13.2" customHeight="1" thickBot="1" x14ac:dyDescent="0.25">
      <c r="B60" s="159"/>
      <c r="C60" s="176" t="s">
        <v>127</v>
      </c>
      <c r="D60" s="103"/>
      <c r="E60" s="103"/>
      <c r="F60" s="103"/>
      <c r="G60" s="103"/>
      <c r="H60" s="103"/>
      <c r="I60" s="103"/>
      <c r="J60" s="103"/>
      <c r="K60" s="103"/>
      <c r="L60" s="103"/>
      <c r="M60" s="104"/>
      <c r="N60" s="161">
        <f t="shared" si="1"/>
        <v>0</v>
      </c>
    </row>
    <row r="61" spans="2:14" ht="18" customHeight="1" x14ac:dyDescent="0.25">
      <c r="B61" s="154">
        <v>19</v>
      </c>
      <c r="C61" s="155" t="str">
        <f>Config!C23&amp;", "&amp;Config!D23</f>
        <v>Ullmann, Raphael</v>
      </c>
      <c r="D61" s="156">
        <v>1.5</v>
      </c>
      <c r="E61" s="156">
        <v>2</v>
      </c>
      <c r="F61" s="156">
        <v>3</v>
      </c>
      <c r="G61" s="156">
        <v>0.5</v>
      </c>
      <c r="H61" s="156">
        <v>1</v>
      </c>
      <c r="I61" s="156">
        <v>4</v>
      </c>
      <c r="J61" s="156">
        <v>0.5</v>
      </c>
      <c r="K61" s="156">
        <v>0</v>
      </c>
      <c r="L61" s="156">
        <v>2</v>
      </c>
      <c r="M61" s="157">
        <v>0</v>
      </c>
      <c r="N61" s="158">
        <f t="shared" si="1"/>
        <v>14.5</v>
      </c>
    </row>
    <row r="62" spans="2:14" s="148" customFormat="1" ht="13.2" customHeight="1" x14ac:dyDescent="0.2">
      <c r="B62" s="153"/>
      <c r="C62" s="173" t="s">
        <v>126</v>
      </c>
      <c r="D62" s="99"/>
      <c r="E62" s="99"/>
      <c r="F62" s="99"/>
      <c r="G62" s="99"/>
      <c r="H62" s="99"/>
      <c r="I62" s="99"/>
      <c r="J62" s="99"/>
      <c r="K62" s="99"/>
      <c r="L62" s="99"/>
      <c r="M62" s="100"/>
      <c r="N62" s="150">
        <f t="shared" si="1"/>
        <v>0</v>
      </c>
    </row>
    <row r="63" spans="2:14" s="148" customFormat="1" ht="13.2" customHeight="1" thickBot="1" x14ac:dyDescent="0.25">
      <c r="B63" s="149"/>
      <c r="C63" s="174" t="s">
        <v>127</v>
      </c>
      <c r="D63" s="103"/>
      <c r="E63" s="103"/>
      <c r="F63" s="103"/>
      <c r="G63" s="103"/>
      <c r="H63" s="103"/>
      <c r="I63" s="103"/>
      <c r="J63" s="103"/>
      <c r="K63" s="103"/>
      <c r="L63" s="103"/>
      <c r="M63" s="104"/>
      <c r="N63" s="151">
        <f t="shared" si="1"/>
        <v>0</v>
      </c>
    </row>
    <row r="64" spans="2:14" ht="18" customHeight="1" x14ac:dyDescent="0.25">
      <c r="B64" s="163">
        <v>20</v>
      </c>
      <c r="C64" s="164" t="str">
        <f>Config!C24&amp;", "&amp;Config!D24</f>
        <v>Hartl, Emmely</v>
      </c>
      <c r="D64" s="165">
        <v>1.5</v>
      </c>
      <c r="E64" s="165">
        <v>3</v>
      </c>
      <c r="F64" s="165">
        <v>3.5</v>
      </c>
      <c r="G64" s="165">
        <v>2.5</v>
      </c>
      <c r="H64" s="165">
        <v>2</v>
      </c>
      <c r="I64" s="165">
        <v>3.5</v>
      </c>
      <c r="J64" s="165">
        <v>2</v>
      </c>
      <c r="K64" s="165">
        <v>0</v>
      </c>
      <c r="L64" s="165">
        <v>1.5</v>
      </c>
      <c r="M64" s="166">
        <v>3.5</v>
      </c>
      <c r="N64" s="167">
        <f t="shared" si="1"/>
        <v>23</v>
      </c>
    </row>
    <row r="65" spans="2:14" s="148" customFormat="1" ht="13.2" customHeight="1" x14ac:dyDescent="0.2">
      <c r="B65" s="162"/>
      <c r="C65" s="175" t="s">
        <v>126</v>
      </c>
      <c r="D65" s="101"/>
      <c r="E65" s="101"/>
      <c r="F65" s="101"/>
      <c r="G65" s="101"/>
      <c r="H65" s="101"/>
      <c r="I65" s="101"/>
      <c r="J65" s="101"/>
      <c r="K65" s="101"/>
      <c r="L65" s="101"/>
      <c r="M65" s="102"/>
      <c r="N65" s="160">
        <f t="shared" si="1"/>
        <v>0</v>
      </c>
    </row>
    <row r="66" spans="2:14" s="148" customFormat="1" ht="13.2" customHeight="1" thickBot="1" x14ac:dyDescent="0.25">
      <c r="B66" s="159"/>
      <c r="C66" s="176" t="s">
        <v>127</v>
      </c>
      <c r="D66" s="103"/>
      <c r="E66" s="103"/>
      <c r="F66" s="103"/>
      <c r="G66" s="103"/>
      <c r="H66" s="103"/>
      <c r="I66" s="103"/>
      <c r="J66" s="103"/>
      <c r="K66" s="103"/>
      <c r="L66" s="103"/>
      <c r="M66" s="104"/>
      <c r="N66" s="161">
        <f t="shared" si="1"/>
        <v>0</v>
      </c>
    </row>
    <row r="67" spans="2:14" ht="18" customHeight="1" x14ac:dyDescent="0.25">
      <c r="B67" s="154">
        <v>21</v>
      </c>
      <c r="C67" s="155" t="str">
        <f>Config!C25&amp;", "&amp;Config!D25</f>
        <v>Klotz, Karin</v>
      </c>
      <c r="D67" s="156">
        <v>2</v>
      </c>
      <c r="E67" s="156">
        <v>2.5</v>
      </c>
      <c r="F67" s="156">
        <v>4</v>
      </c>
      <c r="G67" s="156">
        <v>3</v>
      </c>
      <c r="H67" s="156">
        <v>2.5</v>
      </c>
      <c r="I67" s="156">
        <v>3</v>
      </c>
      <c r="J67" s="156">
        <v>3</v>
      </c>
      <c r="K67" s="156">
        <v>0</v>
      </c>
      <c r="L67" s="156">
        <v>2</v>
      </c>
      <c r="M67" s="157">
        <v>4.5</v>
      </c>
      <c r="N67" s="158">
        <f t="shared" si="1"/>
        <v>26.5</v>
      </c>
    </row>
    <row r="68" spans="2:14" s="148" customFormat="1" ht="13.2" customHeight="1" x14ac:dyDescent="0.2">
      <c r="B68" s="153"/>
      <c r="C68" s="173" t="s">
        <v>126</v>
      </c>
      <c r="D68" s="99"/>
      <c r="E68" s="99"/>
      <c r="F68" s="99"/>
      <c r="G68" s="99"/>
      <c r="H68" s="99"/>
      <c r="I68" s="99"/>
      <c r="J68" s="99"/>
      <c r="K68" s="99"/>
      <c r="L68" s="99"/>
      <c r="M68" s="100"/>
      <c r="N68" s="150">
        <f t="shared" si="1"/>
        <v>0</v>
      </c>
    </row>
    <row r="69" spans="2:14" s="148" customFormat="1" ht="13.2" customHeight="1" thickBot="1" x14ac:dyDescent="0.25">
      <c r="B69" s="149"/>
      <c r="C69" s="174" t="s">
        <v>127</v>
      </c>
      <c r="D69" s="103"/>
      <c r="E69" s="103"/>
      <c r="F69" s="103"/>
      <c r="G69" s="103"/>
      <c r="H69" s="103"/>
      <c r="I69" s="103"/>
      <c r="J69" s="103"/>
      <c r="K69" s="103"/>
      <c r="L69" s="103"/>
      <c r="M69" s="104"/>
      <c r="N69" s="151">
        <f t="shared" si="1"/>
        <v>0</v>
      </c>
    </row>
    <row r="70" spans="2:14" ht="18" customHeight="1" x14ac:dyDescent="0.25">
      <c r="B70" s="163">
        <v>22</v>
      </c>
      <c r="C70" s="164" t="str">
        <f>Config!C26&amp;", "&amp;Config!D26</f>
        <v>Ehlers, Ingo</v>
      </c>
      <c r="D70" s="165">
        <v>0.5</v>
      </c>
      <c r="E70" s="165">
        <v>3</v>
      </c>
      <c r="F70" s="165">
        <v>4</v>
      </c>
      <c r="G70" s="165">
        <v>2</v>
      </c>
      <c r="H70" s="165">
        <v>2.5</v>
      </c>
      <c r="I70" s="165">
        <v>3</v>
      </c>
      <c r="J70" s="165">
        <v>1.5</v>
      </c>
      <c r="K70" s="165">
        <v>0</v>
      </c>
      <c r="L70" s="165">
        <v>2</v>
      </c>
      <c r="M70" s="166">
        <v>2.5</v>
      </c>
      <c r="N70" s="167">
        <f t="shared" si="1"/>
        <v>21</v>
      </c>
    </row>
    <row r="71" spans="2:14" s="148" customFormat="1" ht="13.2" customHeight="1" x14ac:dyDescent="0.2">
      <c r="B71" s="162"/>
      <c r="C71" s="175" t="s">
        <v>126</v>
      </c>
      <c r="D71" s="101"/>
      <c r="E71" s="101"/>
      <c r="F71" s="101"/>
      <c r="G71" s="101"/>
      <c r="H71" s="101"/>
      <c r="I71" s="101"/>
      <c r="J71" s="101"/>
      <c r="K71" s="101"/>
      <c r="L71" s="101"/>
      <c r="M71" s="102"/>
      <c r="N71" s="160">
        <f t="shared" ref="N71:N75" si="2">SUM(D71:M71)</f>
        <v>0</v>
      </c>
    </row>
    <row r="72" spans="2:14" s="148" customFormat="1" ht="13.2" customHeight="1" thickBot="1" x14ac:dyDescent="0.25">
      <c r="B72" s="159"/>
      <c r="C72" s="176" t="s">
        <v>127</v>
      </c>
      <c r="D72" s="103"/>
      <c r="E72" s="103"/>
      <c r="F72" s="103"/>
      <c r="G72" s="103"/>
      <c r="H72" s="103"/>
      <c r="I72" s="103"/>
      <c r="J72" s="103"/>
      <c r="K72" s="103"/>
      <c r="L72" s="103"/>
      <c r="M72" s="104"/>
      <c r="N72" s="161">
        <f t="shared" si="2"/>
        <v>0</v>
      </c>
    </row>
    <row r="73" spans="2:14" ht="18" customHeight="1" x14ac:dyDescent="0.25">
      <c r="B73" s="154">
        <v>23</v>
      </c>
      <c r="C73" s="155" t="str">
        <f>Config!C27&amp;", "&amp;Config!D27</f>
        <v>Lindemann, Mads</v>
      </c>
      <c r="D73" s="156">
        <v>1</v>
      </c>
      <c r="E73" s="156">
        <v>2.5</v>
      </c>
      <c r="F73" s="156">
        <v>3.5</v>
      </c>
      <c r="G73" s="156">
        <v>3</v>
      </c>
      <c r="H73" s="156">
        <v>2</v>
      </c>
      <c r="I73" s="156">
        <v>4</v>
      </c>
      <c r="J73" s="156">
        <v>0</v>
      </c>
      <c r="K73" s="156">
        <v>0</v>
      </c>
      <c r="L73" s="156">
        <v>0</v>
      </c>
      <c r="M73" s="157">
        <v>0</v>
      </c>
      <c r="N73" s="158">
        <f t="shared" si="2"/>
        <v>16</v>
      </c>
    </row>
    <row r="74" spans="2:14" s="148" customFormat="1" ht="13.2" customHeight="1" x14ac:dyDescent="0.2">
      <c r="B74" s="153"/>
      <c r="C74" s="173" t="s">
        <v>126</v>
      </c>
      <c r="D74" s="99"/>
      <c r="E74" s="99"/>
      <c r="F74" s="99"/>
      <c r="G74" s="99"/>
      <c r="H74" s="99"/>
      <c r="I74" s="99"/>
      <c r="J74" s="99"/>
      <c r="K74" s="99"/>
      <c r="L74" s="99"/>
      <c r="M74" s="100"/>
      <c r="N74" s="150">
        <f t="shared" si="2"/>
        <v>0</v>
      </c>
    </row>
    <row r="75" spans="2:14" s="148" customFormat="1" ht="13.2" customHeight="1" thickBot="1" x14ac:dyDescent="0.25">
      <c r="B75" s="172"/>
      <c r="C75" s="177" t="s">
        <v>127</v>
      </c>
      <c r="D75" s="105"/>
      <c r="E75" s="105"/>
      <c r="F75" s="105"/>
      <c r="G75" s="105"/>
      <c r="H75" s="105"/>
      <c r="I75" s="105"/>
      <c r="J75" s="105"/>
      <c r="K75" s="105"/>
      <c r="L75" s="105"/>
      <c r="M75" s="106"/>
      <c r="N75" s="151">
        <f t="shared" si="2"/>
        <v>0</v>
      </c>
    </row>
    <row r="76" spans="2:14" ht="18" customHeight="1" thickBot="1" x14ac:dyDescent="0.3">
      <c r="B76" s="131"/>
      <c r="C76" s="132"/>
      <c r="D76" s="132">
        <f>IF(COUNTIFS(D7:D73,"&lt;&gt;",C7:C73,"&lt;&gt;ZK",C7:C73,"&lt;&gt;DK")&lt;&gt;0,SUMIFS(D7:D73,C7:C73,"&lt;&gt;ZK",C7:C73,"&lt;&gt;DK")/(COUNTIFS(D7:D73,"&lt;&gt;",C7:C73,"&lt;&gt;ZK",C7:C73,"&lt;&gt;DK")*D6),0)</f>
        <v>0.64130434782608692</v>
      </c>
      <c r="E76" s="132">
        <f>IF(COUNTIFS(E7:E73,"&lt;&gt;",C7:C73,"&lt;&gt;ZK",C7:C73,"&lt;&gt;DK")&lt;&gt;0,SUMIFS(E7:E73,C7:C73,"&lt;&gt;ZK",C7:C73,"&lt;&gt;DK")/(COUNTIFS(E7:E73,"&lt;&gt;",C7:C73,"&lt;&gt;ZK",C7:C73,"&lt;&gt;DK")*E6),0)</f>
        <v>0.79710144927536231</v>
      </c>
      <c r="F76" s="132">
        <f>IF(COUNTIFS(F7:F73,"&lt;&gt;",C7:C73,"&lt;&gt;ZK",C7:C73,"&lt;&gt;DK")&lt;&gt;0,SUMIFS(F7:F73,C7:C73,"&lt;&gt;ZK",C7:C73,"&lt;&gt;DK")/(COUNTIFS(F7:F73,"&lt;&gt;",C7:C73,"&lt;&gt;ZK",C7:C73,"&lt;&gt;DK")*F6),0)</f>
        <v>0.78804347826086951</v>
      </c>
      <c r="G76" s="132">
        <f>IF(COUNTIFS(G7:G73,"&lt;&gt;",C7:C73,"&lt;&gt;ZK",C7:C73,"&lt;&gt;DK")&lt;&gt;0,SUMIFS(G7:G73,C7:C73,"&lt;&gt;ZK",C7:C73,"&lt;&gt;DK")/(COUNTIFS(G7:G73,"&lt;&gt;",C7:C73,"&lt;&gt;ZK",C7:C73,"&lt;&gt;DK")*G6),0)</f>
        <v>0.79710144927536231</v>
      </c>
      <c r="H76" s="132">
        <f>IF(COUNTIFS(H7:H73,"&lt;&gt;",C7:C73,"&lt;&gt;ZK",C7:C73,"&lt;&gt;DK")&lt;&gt;0,SUMIFS(H7:H73,C7:C73,"&lt;&gt;ZK",C7:C73,"&lt;&gt;DK")/(COUNTIFS(H7:H73,"&lt;&gt;",C7:C73,"&lt;&gt;ZK",C7:C73,"&lt;&gt;DK")*H6),0)</f>
        <v>0.78260869565217395</v>
      </c>
      <c r="I76" s="132">
        <f>IF(COUNTIFS(I7:I73,"&lt;&gt;",C7:C73,"&lt;&gt;ZK",C7:C73,"&lt;&gt;DK")&lt;&gt;0,SUMIFS(I7:I73,C7:C73,"&lt;&gt;ZK",C7:C73,"&lt;&gt;DK")/(COUNTIFS(I7:I73,"&lt;&gt;",C7:C73,"&lt;&gt;ZK",C7:C73,"&lt;&gt;DK")*I6),0)</f>
        <v>0.78260869565217395</v>
      </c>
      <c r="J76" s="132">
        <f>IF(COUNTIFS(J7:J73,"&lt;&gt;",C7:C73,"&lt;&gt;ZK",C7:C73,"&lt;&gt;DK")&lt;&gt;0,SUMIFS(J7:J73,C7:C73,"&lt;&gt;ZK",C7:C73,"&lt;&gt;DK")/(COUNTIFS(J7:J73,"&lt;&gt;",C7:C73,"&lt;&gt;ZK",C7:C73,"&lt;&gt;DK")*J6),0)</f>
        <v>0.27536231884057971</v>
      </c>
      <c r="K76" s="132">
        <f>IF(COUNTIFS(K7:K73,"&lt;&gt;",C7:C73,"&lt;&gt;ZK",C7:C73,"&lt;&gt;DK")&lt;&gt;0,SUMIFS(K7:K73,C7:C73,"&lt;&gt;ZK",C7:C73,"&lt;&gt;DK")/(COUNTIFS(K7:K73,"&lt;&gt;",C7:C73,"&lt;&gt;ZK",C7:C73,"&lt;&gt;DK")*K6),0)</f>
        <v>0.11956521739130435</v>
      </c>
      <c r="L76" s="132">
        <f>IF(COUNTIFS(L7:L73,"&lt;&gt;",C7:C73,"&lt;&gt;ZK",C7:C73,"&lt;&gt;DK")&lt;&gt;0,SUMIFS(L7:L73,C7:C73,"&lt;&gt;ZK",C7:C73,"&lt;&gt;DK")/(COUNTIFS(L7:L73,"&lt;&gt;",C7:C73,"&lt;&gt;ZK",C7:C73,"&lt;&gt;DK")*L6),0)</f>
        <v>0.60869565217391308</v>
      </c>
      <c r="M76" s="132">
        <f>IF(COUNTIFS(M7:M73,"&lt;&gt;",C7:C73,"&lt;&gt;ZK",C7:C73,"&lt;&gt;DK")&lt;&gt;0,SUMIFS(M7:M73,C7:C73,"&lt;&gt;ZK",C7:C73,"&lt;&gt;DK")/(COUNTIFS(M7:M73,"&lt;&gt;",C7:C73,"&lt;&gt;ZK",C7:C73,"&lt;&gt;DK")*M6),0)</f>
        <v>0.88043478260869568</v>
      </c>
      <c r="N76" s="133"/>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0">
    <dataValidation type="decimal" allowBlank="1" showErrorMessage="1" sqref="D7:D75" xr:uid="{AB0A4425-C59F-4665-ABFA-8B0263697D76}">
      <formula1>0</formula1>
      <formula2>$D$6</formula2>
    </dataValidation>
    <dataValidation type="decimal" allowBlank="1" showErrorMessage="1" sqref="E7:E75" xr:uid="{D364FF72-BE0E-4918-A818-474C344997B4}">
      <formula1>0</formula1>
      <formula2>$E$6</formula2>
    </dataValidation>
    <dataValidation type="decimal" allowBlank="1" showErrorMessage="1" sqref="F7:F75" xr:uid="{1208BC45-ADCA-4D62-A323-B2CD4E4CB000}">
      <formula1>0</formula1>
      <formula2>$F$6</formula2>
    </dataValidation>
    <dataValidation type="decimal" allowBlank="1" showErrorMessage="1" sqref="G7:G75" xr:uid="{A216382A-7376-4DF0-A7CD-567C10197B28}">
      <formula1>0</formula1>
      <formula2>$G$6</formula2>
    </dataValidation>
    <dataValidation type="decimal" allowBlank="1" showErrorMessage="1" sqref="H7:H75" xr:uid="{C356AB78-6C95-4AFF-A86D-C17B7A6D32BA}">
      <formula1>0</formula1>
      <formula2>$H$6</formula2>
    </dataValidation>
    <dataValidation type="decimal" allowBlank="1" showErrorMessage="1" sqref="I7:I75" xr:uid="{15BB767B-3FFB-49BD-BB19-E696DBFFF02D}">
      <formula1>0</formula1>
      <formula2>$I$6</formula2>
    </dataValidation>
    <dataValidation type="decimal" allowBlank="1" showErrorMessage="1" sqref="J7:J75" xr:uid="{F3286B71-1B1A-44AE-879C-32E5F23460D9}">
      <formula1>0</formula1>
      <formula2>$J$6</formula2>
    </dataValidation>
    <dataValidation type="decimal" allowBlank="1" showErrorMessage="1" sqref="K7:K75" xr:uid="{7751D1A4-AB3B-44DD-8F91-E27878041A88}">
      <formula1>0</formula1>
      <formula2>$K$6</formula2>
    </dataValidation>
    <dataValidation type="decimal" allowBlank="1" showErrorMessage="1" sqref="L7:L75" xr:uid="{4997D176-52F7-4FD4-AABA-969C404E3C48}">
      <formula1>0</formula1>
      <formula2>$L$6</formula2>
    </dataValidation>
    <dataValidation type="decimal" allowBlank="1" showErrorMessage="1" sqref="M7:M75" xr:uid="{F88D0CCF-649E-44AF-917F-BC1F6B256E7E}">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54467-7F44-4033-B477-240063C8DAC7}">
  <sheetPr codeName="Tabelle12">
    <tabColor rgb="FF92D050"/>
  </sheetPr>
  <dimension ref="B1:E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5" width="8.77734375" style="107" customWidth="1"/>
    <col min="6" max="16384" width="11.5546875" style="107"/>
  </cols>
  <sheetData>
    <row r="1" spans="2:5" ht="18" customHeight="1" thickBot="1" x14ac:dyDescent="0.3"/>
    <row r="2" spans="2:5" ht="18" customHeight="1" x14ac:dyDescent="0.25">
      <c r="B2" s="108" t="str">
        <f>Config!F2&amp;" "&amp;YEAR(Config!G24)</f>
        <v>Mathe Abitur 2026</v>
      </c>
      <c r="C2" s="109"/>
      <c r="D2" s="110"/>
      <c r="E2" s="111" t="str">
        <f>"Kurs "&amp;Config!G26</f>
        <v>Kurs K1</v>
      </c>
    </row>
    <row r="3" spans="2:5" ht="18" customHeight="1" x14ac:dyDescent="0.25">
      <c r="B3" s="112" t="s">
        <v>11</v>
      </c>
      <c r="C3" s="113"/>
      <c r="D3" s="113"/>
      <c r="E3" s="114"/>
    </row>
    <row r="4" spans="2:5" ht="18" customHeight="1" thickBot="1" x14ac:dyDescent="0.3">
      <c r="B4" s="112"/>
      <c r="C4" s="113"/>
      <c r="D4" s="113"/>
      <c r="E4" s="114"/>
    </row>
    <row r="5" spans="2:5" ht="18" customHeight="1" thickBot="1" x14ac:dyDescent="0.3">
      <c r="B5" s="117"/>
      <c r="C5" s="115"/>
      <c r="D5" s="197" t="str">
        <f>Config!J6</f>
        <v>1</v>
      </c>
      <c r="E5" s="195" t="s">
        <v>82</v>
      </c>
    </row>
    <row r="6" spans="2:5" ht="18" customHeight="1" thickBot="1" x14ac:dyDescent="0.3">
      <c r="B6" s="118"/>
      <c r="C6" s="116" t="s">
        <v>81</v>
      </c>
      <c r="D6" s="196">
        <f>Config!K6</f>
        <v>5</v>
      </c>
      <c r="E6" s="198">
        <f>Config!K21</f>
        <v>5</v>
      </c>
    </row>
    <row r="7" spans="2:5" ht="18" customHeight="1" x14ac:dyDescent="0.25">
      <c r="B7" s="168">
        <v>1</v>
      </c>
      <c r="C7" s="169" t="str">
        <f>Config!C5&amp;", "&amp;Config!D5</f>
        <v>Höfer, Simon</v>
      </c>
      <c r="D7" s="171">
        <v>2.5</v>
      </c>
      <c r="E7" s="152">
        <f t="shared" ref="E7:E38" si="0">SUM(D7:D7)</f>
        <v>2.5</v>
      </c>
    </row>
    <row r="8" spans="2:5" s="148" customFormat="1" ht="13.2" customHeight="1" x14ac:dyDescent="0.2">
      <c r="B8" s="153"/>
      <c r="C8" s="173" t="s">
        <v>126</v>
      </c>
      <c r="D8" s="100"/>
      <c r="E8" s="150">
        <f t="shared" si="0"/>
        <v>0</v>
      </c>
    </row>
    <row r="9" spans="2:5" s="148" customFormat="1" ht="13.2" customHeight="1" thickBot="1" x14ac:dyDescent="0.25">
      <c r="B9" s="149"/>
      <c r="C9" s="174" t="s">
        <v>127</v>
      </c>
      <c r="D9" s="104"/>
      <c r="E9" s="151">
        <f t="shared" si="0"/>
        <v>0</v>
      </c>
    </row>
    <row r="10" spans="2:5" ht="18" customHeight="1" x14ac:dyDescent="0.25">
      <c r="B10" s="163">
        <v>2</v>
      </c>
      <c r="C10" s="164" t="str">
        <f>Config!C6&amp;", "&amp;Config!D6</f>
        <v>Töpfer, Lilian</v>
      </c>
      <c r="D10" s="166">
        <v>5</v>
      </c>
      <c r="E10" s="167">
        <f t="shared" si="0"/>
        <v>5</v>
      </c>
    </row>
    <row r="11" spans="2:5" s="148" customFormat="1" ht="13.2" customHeight="1" x14ac:dyDescent="0.2">
      <c r="B11" s="162"/>
      <c r="C11" s="175" t="s">
        <v>126</v>
      </c>
      <c r="D11" s="102"/>
      <c r="E11" s="160">
        <f t="shared" si="0"/>
        <v>0</v>
      </c>
    </row>
    <row r="12" spans="2:5" s="148" customFormat="1" ht="13.2" customHeight="1" thickBot="1" x14ac:dyDescent="0.25">
      <c r="B12" s="159"/>
      <c r="C12" s="176" t="s">
        <v>127</v>
      </c>
      <c r="D12" s="104"/>
      <c r="E12" s="161">
        <f t="shared" si="0"/>
        <v>0</v>
      </c>
    </row>
    <row r="13" spans="2:5" ht="18" customHeight="1" x14ac:dyDescent="0.25">
      <c r="B13" s="154">
        <v>3</v>
      </c>
      <c r="C13" s="155" t="str">
        <f>Config!C7&amp;", "&amp;Config!D7</f>
        <v>Fleischmann, Leonie</v>
      </c>
      <c r="D13" s="157">
        <v>2.5</v>
      </c>
      <c r="E13" s="158">
        <f t="shared" si="0"/>
        <v>2.5</v>
      </c>
    </row>
    <row r="14" spans="2:5" s="148" customFormat="1" ht="13.2" customHeight="1" x14ac:dyDescent="0.2">
      <c r="B14" s="153"/>
      <c r="C14" s="173" t="s">
        <v>126</v>
      </c>
      <c r="D14" s="100"/>
      <c r="E14" s="150">
        <f t="shared" si="0"/>
        <v>0</v>
      </c>
    </row>
    <row r="15" spans="2:5" s="148" customFormat="1" ht="13.2" customHeight="1" thickBot="1" x14ac:dyDescent="0.25">
      <c r="B15" s="149"/>
      <c r="C15" s="174" t="s">
        <v>127</v>
      </c>
      <c r="D15" s="104"/>
      <c r="E15" s="151">
        <f t="shared" si="0"/>
        <v>0</v>
      </c>
    </row>
    <row r="16" spans="2:5" ht="18" customHeight="1" x14ac:dyDescent="0.25">
      <c r="B16" s="163">
        <v>4</v>
      </c>
      <c r="C16" s="164" t="str">
        <f>Config!C8&amp;", "&amp;Config!D8</f>
        <v>Drescher, Cedric</v>
      </c>
      <c r="D16" s="166">
        <v>2.5</v>
      </c>
      <c r="E16" s="167">
        <f t="shared" si="0"/>
        <v>2.5</v>
      </c>
    </row>
    <row r="17" spans="2:5" s="148" customFormat="1" ht="13.2" customHeight="1" x14ac:dyDescent="0.2">
      <c r="B17" s="162"/>
      <c r="C17" s="175" t="s">
        <v>126</v>
      </c>
      <c r="D17" s="102"/>
      <c r="E17" s="160">
        <f t="shared" si="0"/>
        <v>0</v>
      </c>
    </row>
    <row r="18" spans="2:5" s="148" customFormat="1" ht="13.2" customHeight="1" thickBot="1" x14ac:dyDescent="0.25">
      <c r="B18" s="159"/>
      <c r="C18" s="176" t="s">
        <v>127</v>
      </c>
      <c r="D18" s="104"/>
      <c r="E18" s="161">
        <f t="shared" si="0"/>
        <v>0</v>
      </c>
    </row>
    <row r="19" spans="2:5" ht="18" customHeight="1" x14ac:dyDescent="0.25">
      <c r="B19" s="154">
        <v>5</v>
      </c>
      <c r="C19" s="155" t="str">
        <f>Config!C9&amp;", "&amp;Config!D9</f>
        <v>Baumgarten, Annabell</v>
      </c>
      <c r="D19" s="157">
        <v>2.5</v>
      </c>
      <c r="E19" s="158">
        <f t="shared" si="0"/>
        <v>2.5</v>
      </c>
    </row>
    <row r="20" spans="2:5" s="148" customFormat="1" ht="13.2" customHeight="1" x14ac:dyDescent="0.2">
      <c r="B20" s="153"/>
      <c r="C20" s="173" t="s">
        <v>126</v>
      </c>
      <c r="D20" s="100"/>
      <c r="E20" s="150">
        <f t="shared" si="0"/>
        <v>0</v>
      </c>
    </row>
    <row r="21" spans="2:5" s="148" customFormat="1" ht="13.2" customHeight="1" thickBot="1" x14ac:dyDescent="0.25">
      <c r="B21" s="149"/>
      <c r="C21" s="174" t="s">
        <v>127</v>
      </c>
      <c r="D21" s="104"/>
      <c r="E21" s="151">
        <f t="shared" si="0"/>
        <v>0</v>
      </c>
    </row>
    <row r="22" spans="2:5" ht="18" customHeight="1" x14ac:dyDescent="0.25">
      <c r="B22" s="163">
        <v>6</v>
      </c>
      <c r="C22" s="164" t="str">
        <f>Config!C10&amp;", "&amp;Config!D10</f>
        <v>Traut, Stefanie</v>
      </c>
      <c r="D22" s="166">
        <v>3</v>
      </c>
      <c r="E22" s="167">
        <f t="shared" si="0"/>
        <v>3</v>
      </c>
    </row>
    <row r="23" spans="2:5" s="148" customFormat="1" ht="13.2" customHeight="1" x14ac:dyDescent="0.2">
      <c r="B23" s="162"/>
      <c r="C23" s="175" t="s">
        <v>126</v>
      </c>
      <c r="D23" s="102"/>
      <c r="E23" s="160">
        <f t="shared" si="0"/>
        <v>0</v>
      </c>
    </row>
    <row r="24" spans="2:5" s="148" customFormat="1" ht="13.2" customHeight="1" thickBot="1" x14ac:dyDescent="0.25">
      <c r="B24" s="159"/>
      <c r="C24" s="176" t="s">
        <v>127</v>
      </c>
      <c r="D24" s="104"/>
      <c r="E24" s="161">
        <f t="shared" si="0"/>
        <v>0</v>
      </c>
    </row>
    <row r="25" spans="2:5" ht="18" customHeight="1" x14ac:dyDescent="0.25">
      <c r="B25" s="154">
        <v>7</v>
      </c>
      <c r="C25" s="155" t="str">
        <f>Config!C11&amp;", "&amp;Config!D11</f>
        <v>Menke, Damian</v>
      </c>
      <c r="D25" s="157">
        <v>5</v>
      </c>
      <c r="E25" s="158">
        <f t="shared" si="0"/>
        <v>5</v>
      </c>
    </row>
    <row r="26" spans="2:5" s="148" customFormat="1" ht="13.2" customHeight="1" x14ac:dyDescent="0.2">
      <c r="B26" s="153"/>
      <c r="C26" s="173" t="s">
        <v>126</v>
      </c>
      <c r="D26" s="100"/>
      <c r="E26" s="150">
        <f t="shared" si="0"/>
        <v>0</v>
      </c>
    </row>
    <row r="27" spans="2:5" s="148" customFormat="1" ht="13.2" customHeight="1" thickBot="1" x14ac:dyDescent="0.25">
      <c r="B27" s="149"/>
      <c r="C27" s="174" t="s">
        <v>127</v>
      </c>
      <c r="D27" s="104"/>
      <c r="E27" s="151">
        <f t="shared" si="0"/>
        <v>0</v>
      </c>
    </row>
    <row r="28" spans="2:5" ht="18" customHeight="1" x14ac:dyDescent="0.25">
      <c r="B28" s="163">
        <v>8</v>
      </c>
      <c r="C28" s="164" t="str">
        <f>Config!C12&amp;", "&amp;Config!D12</f>
        <v>Carroll, Meik</v>
      </c>
      <c r="D28" s="166">
        <v>5</v>
      </c>
      <c r="E28" s="167">
        <f t="shared" si="0"/>
        <v>5</v>
      </c>
    </row>
    <row r="29" spans="2:5" s="148" customFormat="1" ht="13.2" customHeight="1" x14ac:dyDescent="0.2">
      <c r="B29" s="162"/>
      <c r="C29" s="175" t="s">
        <v>126</v>
      </c>
      <c r="D29" s="102"/>
      <c r="E29" s="160">
        <f t="shared" si="0"/>
        <v>0</v>
      </c>
    </row>
    <row r="30" spans="2:5" s="148" customFormat="1" ht="13.2" customHeight="1" thickBot="1" x14ac:dyDescent="0.25">
      <c r="B30" s="159"/>
      <c r="C30" s="176" t="s">
        <v>127</v>
      </c>
      <c r="D30" s="104"/>
      <c r="E30" s="161">
        <f t="shared" si="0"/>
        <v>0</v>
      </c>
    </row>
    <row r="31" spans="2:5" ht="18" customHeight="1" x14ac:dyDescent="0.25">
      <c r="B31" s="154">
        <v>9</v>
      </c>
      <c r="C31" s="155" t="str">
        <f>Config!C13&amp;", "&amp;Config!D13</f>
        <v>Hennings, Tomas</v>
      </c>
      <c r="D31" s="157">
        <v>4</v>
      </c>
      <c r="E31" s="158">
        <f t="shared" si="0"/>
        <v>4</v>
      </c>
    </row>
    <row r="32" spans="2:5" s="148" customFormat="1" ht="13.2" customHeight="1" x14ac:dyDescent="0.2">
      <c r="B32" s="153"/>
      <c r="C32" s="173" t="s">
        <v>126</v>
      </c>
      <c r="D32" s="100"/>
      <c r="E32" s="150">
        <f t="shared" si="0"/>
        <v>0</v>
      </c>
    </row>
    <row r="33" spans="2:5" s="148" customFormat="1" ht="13.2" customHeight="1" thickBot="1" x14ac:dyDescent="0.25">
      <c r="B33" s="149"/>
      <c r="C33" s="174" t="s">
        <v>127</v>
      </c>
      <c r="D33" s="104"/>
      <c r="E33" s="151">
        <f t="shared" si="0"/>
        <v>0</v>
      </c>
    </row>
    <row r="34" spans="2:5" ht="18" customHeight="1" x14ac:dyDescent="0.25">
      <c r="B34" s="163">
        <v>10</v>
      </c>
      <c r="C34" s="164" t="str">
        <f>Config!C14&amp;", "&amp;Config!D14</f>
        <v>Walters, Linn</v>
      </c>
      <c r="D34" s="166">
        <v>2.5</v>
      </c>
      <c r="E34" s="167">
        <f t="shared" si="0"/>
        <v>2.5</v>
      </c>
    </row>
    <row r="35" spans="2:5" s="148" customFormat="1" ht="13.2" customHeight="1" x14ac:dyDescent="0.2">
      <c r="B35" s="162"/>
      <c r="C35" s="175" t="s">
        <v>126</v>
      </c>
      <c r="D35" s="102"/>
      <c r="E35" s="160">
        <f t="shared" si="0"/>
        <v>0</v>
      </c>
    </row>
    <row r="36" spans="2:5" s="148" customFormat="1" ht="13.2" customHeight="1" thickBot="1" x14ac:dyDescent="0.25">
      <c r="B36" s="159"/>
      <c r="C36" s="176" t="s">
        <v>127</v>
      </c>
      <c r="D36" s="104"/>
      <c r="E36" s="161">
        <f t="shared" si="0"/>
        <v>0</v>
      </c>
    </row>
    <row r="37" spans="2:5" ht="18" customHeight="1" x14ac:dyDescent="0.25">
      <c r="B37" s="154">
        <v>11</v>
      </c>
      <c r="C37" s="155" t="str">
        <f>Config!C15&amp;", "&amp;Config!D15</f>
        <v>Junker, Amely</v>
      </c>
      <c r="D37" s="157">
        <v>2</v>
      </c>
      <c r="E37" s="158">
        <f t="shared" si="0"/>
        <v>2</v>
      </c>
    </row>
    <row r="38" spans="2:5" s="148" customFormat="1" ht="13.2" customHeight="1" x14ac:dyDescent="0.2">
      <c r="B38" s="153"/>
      <c r="C38" s="173" t="s">
        <v>126</v>
      </c>
      <c r="D38" s="100"/>
      <c r="E38" s="150">
        <f t="shared" si="0"/>
        <v>0</v>
      </c>
    </row>
    <row r="39" spans="2:5" s="148" customFormat="1" ht="13.2" customHeight="1" thickBot="1" x14ac:dyDescent="0.25">
      <c r="B39" s="149"/>
      <c r="C39" s="174" t="s">
        <v>127</v>
      </c>
      <c r="D39" s="104"/>
      <c r="E39" s="151">
        <f t="shared" ref="E39:E70" si="1">SUM(D39:D39)</f>
        <v>0</v>
      </c>
    </row>
    <row r="40" spans="2:5" ht="18" customHeight="1" x14ac:dyDescent="0.25">
      <c r="B40" s="163">
        <v>12</v>
      </c>
      <c r="C40" s="164" t="str">
        <f>Config!C16&amp;", "&amp;Config!D16</f>
        <v>Stephens, Melvin</v>
      </c>
      <c r="D40" s="166">
        <v>2.5</v>
      </c>
      <c r="E40" s="167">
        <f t="shared" si="1"/>
        <v>2.5</v>
      </c>
    </row>
    <row r="41" spans="2:5" s="148" customFormat="1" ht="13.2" customHeight="1" x14ac:dyDescent="0.2">
      <c r="B41" s="162"/>
      <c r="C41" s="175" t="s">
        <v>126</v>
      </c>
      <c r="D41" s="102"/>
      <c r="E41" s="160">
        <f t="shared" si="1"/>
        <v>0</v>
      </c>
    </row>
    <row r="42" spans="2:5" s="148" customFormat="1" ht="13.2" customHeight="1" thickBot="1" x14ac:dyDescent="0.25">
      <c r="B42" s="159"/>
      <c r="C42" s="176" t="s">
        <v>127</v>
      </c>
      <c r="D42" s="104"/>
      <c r="E42" s="161">
        <f t="shared" si="1"/>
        <v>0</v>
      </c>
    </row>
    <row r="43" spans="2:5" ht="18" customHeight="1" x14ac:dyDescent="0.25">
      <c r="B43" s="154">
        <v>13</v>
      </c>
      <c r="C43" s="155" t="str">
        <f>Config!C17&amp;", "&amp;Config!D17</f>
        <v>Cremer, Marvin</v>
      </c>
      <c r="D43" s="157">
        <v>5</v>
      </c>
      <c r="E43" s="158">
        <f t="shared" si="1"/>
        <v>5</v>
      </c>
    </row>
    <row r="44" spans="2:5" s="148" customFormat="1" ht="13.2" customHeight="1" x14ac:dyDescent="0.2">
      <c r="B44" s="153"/>
      <c r="C44" s="173" t="s">
        <v>126</v>
      </c>
      <c r="D44" s="100"/>
      <c r="E44" s="150">
        <f t="shared" si="1"/>
        <v>0</v>
      </c>
    </row>
    <row r="45" spans="2:5" s="148" customFormat="1" ht="13.2" customHeight="1" thickBot="1" x14ac:dyDescent="0.25">
      <c r="B45" s="149"/>
      <c r="C45" s="174" t="s">
        <v>127</v>
      </c>
      <c r="D45" s="104"/>
      <c r="E45" s="151">
        <f t="shared" si="1"/>
        <v>0</v>
      </c>
    </row>
    <row r="46" spans="2:5" ht="18" customHeight="1" x14ac:dyDescent="0.25">
      <c r="B46" s="163">
        <v>14</v>
      </c>
      <c r="C46" s="164" t="str">
        <f>Config!C18&amp;", "&amp;Config!D18</f>
        <v>Nash, Jean</v>
      </c>
      <c r="D46" s="166">
        <v>5</v>
      </c>
      <c r="E46" s="167">
        <f t="shared" si="1"/>
        <v>5</v>
      </c>
    </row>
    <row r="47" spans="2:5" s="148" customFormat="1" ht="13.2" customHeight="1" x14ac:dyDescent="0.2">
      <c r="B47" s="162"/>
      <c r="C47" s="175" t="s">
        <v>126</v>
      </c>
      <c r="D47" s="102"/>
      <c r="E47" s="160">
        <f t="shared" si="1"/>
        <v>0</v>
      </c>
    </row>
    <row r="48" spans="2:5" s="148" customFormat="1" ht="13.2" customHeight="1" thickBot="1" x14ac:dyDescent="0.25">
      <c r="B48" s="159"/>
      <c r="C48" s="176" t="s">
        <v>127</v>
      </c>
      <c r="D48" s="104"/>
      <c r="E48" s="161">
        <f t="shared" si="1"/>
        <v>0</v>
      </c>
    </row>
    <row r="49" spans="2:5" ht="18" customHeight="1" x14ac:dyDescent="0.25">
      <c r="B49" s="154">
        <v>15</v>
      </c>
      <c r="C49" s="155" t="str">
        <f>Config!C19&amp;", "&amp;Config!D19</f>
        <v>Schön, Leonardo</v>
      </c>
      <c r="D49" s="157">
        <v>2.5</v>
      </c>
      <c r="E49" s="158">
        <f t="shared" si="1"/>
        <v>2.5</v>
      </c>
    </row>
    <row r="50" spans="2:5" s="148" customFormat="1" ht="13.2" customHeight="1" x14ac:dyDescent="0.2">
      <c r="B50" s="153"/>
      <c r="C50" s="173" t="s">
        <v>126</v>
      </c>
      <c r="D50" s="100"/>
      <c r="E50" s="150">
        <f t="shared" si="1"/>
        <v>0</v>
      </c>
    </row>
    <row r="51" spans="2:5" s="148" customFormat="1" ht="13.2" customHeight="1" thickBot="1" x14ac:dyDescent="0.25">
      <c r="B51" s="149"/>
      <c r="C51" s="174" t="s">
        <v>127</v>
      </c>
      <c r="D51" s="104"/>
      <c r="E51" s="151">
        <f t="shared" si="1"/>
        <v>0</v>
      </c>
    </row>
    <row r="52" spans="2:5" ht="18" customHeight="1" x14ac:dyDescent="0.25">
      <c r="B52" s="163">
        <v>16</v>
      </c>
      <c r="C52" s="164" t="str">
        <f>Config!C20&amp;", "&amp;Config!D20</f>
        <v>Sigl, Nicholas</v>
      </c>
      <c r="D52" s="166">
        <v>5</v>
      </c>
      <c r="E52" s="167">
        <f t="shared" si="1"/>
        <v>5</v>
      </c>
    </row>
    <row r="53" spans="2:5" s="148" customFormat="1" ht="13.2" customHeight="1" x14ac:dyDescent="0.2">
      <c r="B53" s="162"/>
      <c r="C53" s="175" t="s">
        <v>126</v>
      </c>
      <c r="D53" s="102"/>
      <c r="E53" s="160">
        <f t="shared" si="1"/>
        <v>0</v>
      </c>
    </row>
    <row r="54" spans="2:5" s="148" customFormat="1" ht="13.2" customHeight="1" thickBot="1" x14ac:dyDescent="0.25">
      <c r="B54" s="159"/>
      <c r="C54" s="176" t="s">
        <v>127</v>
      </c>
      <c r="D54" s="104"/>
      <c r="E54" s="161">
        <f t="shared" si="1"/>
        <v>0</v>
      </c>
    </row>
    <row r="55" spans="2:5" ht="18" customHeight="1" x14ac:dyDescent="0.25">
      <c r="B55" s="154">
        <v>17</v>
      </c>
      <c r="C55" s="155" t="str">
        <f>Config!C21&amp;", "&amp;Config!D21</f>
        <v>Kainz, Vivienne</v>
      </c>
      <c r="D55" s="157">
        <v>5</v>
      </c>
      <c r="E55" s="158">
        <f t="shared" si="1"/>
        <v>5</v>
      </c>
    </row>
    <row r="56" spans="2:5" s="148" customFormat="1" ht="13.2" customHeight="1" x14ac:dyDescent="0.2">
      <c r="B56" s="153"/>
      <c r="C56" s="173" t="s">
        <v>126</v>
      </c>
      <c r="D56" s="100"/>
      <c r="E56" s="150">
        <f t="shared" si="1"/>
        <v>0</v>
      </c>
    </row>
    <row r="57" spans="2:5" s="148" customFormat="1" ht="13.2" customHeight="1" thickBot="1" x14ac:dyDescent="0.25">
      <c r="B57" s="149"/>
      <c r="C57" s="174" t="s">
        <v>127</v>
      </c>
      <c r="D57" s="104"/>
      <c r="E57" s="151">
        <f t="shared" si="1"/>
        <v>0</v>
      </c>
    </row>
    <row r="58" spans="2:5" ht="18" customHeight="1" x14ac:dyDescent="0.25">
      <c r="B58" s="163">
        <v>18</v>
      </c>
      <c r="C58" s="164" t="str">
        <f>Config!C22&amp;", "&amp;Config!D22</f>
        <v>Hartmann, Mads</v>
      </c>
      <c r="D58" s="166">
        <v>2.5</v>
      </c>
      <c r="E58" s="167">
        <f t="shared" si="1"/>
        <v>2.5</v>
      </c>
    </row>
    <row r="59" spans="2:5" s="148" customFormat="1" ht="13.2" customHeight="1" x14ac:dyDescent="0.2">
      <c r="B59" s="162"/>
      <c r="C59" s="175" t="s">
        <v>126</v>
      </c>
      <c r="D59" s="102"/>
      <c r="E59" s="160">
        <f t="shared" si="1"/>
        <v>0</v>
      </c>
    </row>
    <row r="60" spans="2:5" s="148" customFormat="1" ht="13.2" customHeight="1" thickBot="1" x14ac:dyDescent="0.25">
      <c r="B60" s="159"/>
      <c r="C60" s="176" t="s">
        <v>127</v>
      </c>
      <c r="D60" s="104"/>
      <c r="E60" s="161">
        <f t="shared" si="1"/>
        <v>0</v>
      </c>
    </row>
    <row r="61" spans="2:5" ht="18" customHeight="1" x14ac:dyDescent="0.25">
      <c r="B61" s="154">
        <v>19</v>
      </c>
      <c r="C61" s="155" t="str">
        <f>Config!C23&amp;", "&amp;Config!D23</f>
        <v>Ullmann, Raphael</v>
      </c>
      <c r="D61" s="157">
        <v>5</v>
      </c>
      <c r="E61" s="158">
        <f t="shared" si="1"/>
        <v>5</v>
      </c>
    </row>
    <row r="62" spans="2:5" s="148" customFormat="1" ht="13.2" customHeight="1" x14ac:dyDescent="0.2">
      <c r="B62" s="153"/>
      <c r="C62" s="173" t="s">
        <v>126</v>
      </c>
      <c r="D62" s="100"/>
      <c r="E62" s="150">
        <f t="shared" si="1"/>
        <v>0</v>
      </c>
    </row>
    <row r="63" spans="2:5" s="148" customFormat="1" ht="13.2" customHeight="1" thickBot="1" x14ac:dyDescent="0.25">
      <c r="B63" s="149"/>
      <c r="C63" s="174" t="s">
        <v>127</v>
      </c>
      <c r="D63" s="104"/>
      <c r="E63" s="151">
        <f t="shared" si="1"/>
        <v>0</v>
      </c>
    </row>
    <row r="64" spans="2:5" ht="18" customHeight="1" x14ac:dyDescent="0.25">
      <c r="B64" s="163">
        <v>20</v>
      </c>
      <c r="C64" s="164" t="str">
        <f>Config!C24&amp;", "&amp;Config!D24</f>
        <v>Hartl, Emmely</v>
      </c>
      <c r="D64" s="166">
        <v>3</v>
      </c>
      <c r="E64" s="167">
        <f t="shared" si="1"/>
        <v>3</v>
      </c>
    </row>
    <row r="65" spans="2:5" s="148" customFormat="1" ht="13.2" customHeight="1" x14ac:dyDescent="0.2">
      <c r="B65" s="162"/>
      <c r="C65" s="175" t="s">
        <v>126</v>
      </c>
      <c r="D65" s="102"/>
      <c r="E65" s="160">
        <f t="shared" si="1"/>
        <v>0</v>
      </c>
    </row>
    <row r="66" spans="2:5" s="148" customFormat="1" ht="13.2" customHeight="1" thickBot="1" x14ac:dyDescent="0.25">
      <c r="B66" s="159"/>
      <c r="C66" s="176" t="s">
        <v>127</v>
      </c>
      <c r="D66" s="104"/>
      <c r="E66" s="161">
        <f t="shared" si="1"/>
        <v>0</v>
      </c>
    </row>
    <row r="67" spans="2:5" ht="18" customHeight="1" x14ac:dyDescent="0.25">
      <c r="B67" s="154">
        <v>21</v>
      </c>
      <c r="C67" s="155" t="str">
        <f>Config!C25&amp;", "&amp;Config!D25</f>
        <v>Klotz, Karin</v>
      </c>
      <c r="D67" s="157">
        <v>4</v>
      </c>
      <c r="E67" s="158">
        <f t="shared" si="1"/>
        <v>4</v>
      </c>
    </row>
    <row r="68" spans="2:5" s="148" customFormat="1" ht="13.2" customHeight="1" x14ac:dyDescent="0.2">
      <c r="B68" s="153"/>
      <c r="C68" s="173" t="s">
        <v>126</v>
      </c>
      <c r="D68" s="100"/>
      <c r="E68" s="150">
        <f t="shared" si="1"/>
        <v>0</v>
      </c>
    </row>
    <row r="69" spans="2:5" s="148" customFormat="1" ht="13.2" customHeight="1" thickBot="1" x14ac:dyDescent="0.25">
      <c r="B69" s="149"/>
      <c r="C69" s="174" t="s">
        <v>127</v>
      </c>
      <c r="D69" s="104"/>
      <c r="E69" s="151">
        <f t="shared" si="1"/>
        <v>0</v>
      </c>
    </row>
    <row r="70" spans="2:5" ht="18" customHeight="1" x14ac:dyDescent="0.25">
      <c r="B70" s="163">
        <v>22</v>
      </c>
      <c r="C70" s="164" t="str">
        <f>Config!C26&amp;", "&amp;Config!D26</f>
        <v>Ehlers, Ingo</v>
      </c>
      <c r="D70" s="166">
        <v>5</v>
      </c>
      <c r="E70" s="167">
        <f t="shared" si="1"/>
        <v>5</v>
      </c>
    </row>
    <row r="71" spans="2:5" s="148" customFormat="1" ht="13.2" customHeight="1" x14ac:dyDescent="0.2">
      <c r="B71" s="162"/>
      <c r="C71" s="175" t="s">
        <v>126</v>
      </c>
      <c r="D71" s="102"/>
      <c r="E71" s="160">
        <f t="shared" ref="E71:E75" si="2">SUM(D71:D71)</f>
        <v>0</v>
      </c>
    </row>
    <row r="72" spans="2:5" s="148" customFormat="1" ht="13.2" customHeight="1" thickBot="1" x14ac:dyDescent="0.25">
      <c r="B72" s="159"/>
      <c r="C72" s="176" t="s">
        <v>127</v>
      </c>
      <c r="D72" s="104"/>
      <c r="E72" s="161">
        <f t="shared" si="2"/>
        <v>0</v>
      </c>
    </row>
    <row r="73" spans="2:5" ht="18" customHeight="1" x14ac:dyDescent="0.25">
      <c r="B73" s="154">
        <v>23</v>
      </c>
      <c r="C73" s="155" t="str">
        <f>Config!C27&amp;", "&amp;Config!D27</f>
        <v>Lindemann, Mads</v>
      </c>
      <c r="D73" s="157">
        <v>5</v>
      </c>
      <c r="E73" s="158">
        <f t="shared" si="2"/>
        <v>5</v>
      </c>
    </row>
    <row r="74" spans="2:5" s="148" customFormat="1" ht="13.2" customHeight="1" x14ac:dyDescent="0.2">
      <c r="B74" s="153"/>
      <c r="C74" s="173" t="s">
        <v>126</v>
      </c>
      <c r="D74" s="100"/>
      <c r="E74" s="150">
        <f t="shared" si="2"/>
        <v>0</v>
      </c>
    </row>
    <row r="75" spans="2:5" s="148" customFormat="1" ht="13.2" customHeight="1" thickBot="1" x14ac:dyDescent="0.25">
      <c r="B75" s="172"/>
      <c r="C75" s="177" t="s">
        <v>127</v>
      </c>
      <c r="D75" s="106"/>
      <c r="E75" s="151">
        <f t="shared" si="2"/>
        <v>0</v>
      </c>
    </row>
    <row r="76" spans="2:5" ht="18" customHeight="1" thickBot="1" x14ac:dyDescent="0.3">
      <c r="B76" s="131"/>
      <c r="C76" s="132"/>
      <c r="D76" s="132">
        <f>IF(COUNTIFS(D7:D73,"&lt;&gt;",C7:C73,"&lt;&gt;ZK",C7:C73,"&lt;&gt;DK")&lt;&gt;0,SUMIFS(D7:D73,C7:C73,"&lt;&gt;ZK",C7:C73,"&lt;&gt;DK")/(COUNTIFS(D7:D73,"&lt;&gt;",C7:C73,"&lt;&gt;ZK",C7:C73,"&lt;&gt;DK")*D6),0)</f>
        <v>0.74782608695652175</v>
      </c>
      <c r="E76" s="133"/>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
    <dataValidation type="decimal" allowBlank="1" showErrorMessage="1" sqref="D7:D75" xr:uid="{970D33BE-0701-4813-BDC7-EF92F2BE2C40}">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91066-42E8-4F84-B57C-C4DFBA8543ED}">
  <sheetPr codeName="Tabelle13">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12</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Config!L6</f>
        <v>1a</v>
      </c>
      <c r="E5" s="197" t="str">
        <f>Config!L7</f>
        <v>1b</v>
      </c>
      <c r="F5" s="197" t="str">
        <f>Config!L8</f>
        <v>1c</v>
      </c>
      <c r="G5" s="197" t="str">
        <f>Config!L9</f>
        <v>1d</v>
      </c>
      <c r="H5" s="197" t="str">
        <f>Config!L10</f>
        <v>2</v>
      </c>
      <c r="I5" s="195" t="s">
        <v>82</v>
      </c>
    </row>
    <row r="6" spans="2:9" ht="18" customHeight="1" thickBot="1" x14ac:dyDescent="0.3">
      <c r="B6" s="118"/>
      <c r="C6" s="116" t="s">
        <v>81</v>
      </c>
      <c r="D6" s="196">
        <f>Config!M6</f>
        <v>2</v>
      </c>
      <c r="E6" s="196">
        <f>Config!M7</f>
        <v>2</v>
      </c>
      <c r="F6" s="196">
        <f>Config!M8</f>
        <v>2</v>
      </c>
      <c r="G6" s="196">
        <f>Config!M9</f>
        <v>4</v>
      </c>
      <c r="H6" s="196">
        <f>Config!M10</f>
        <v>7</v>
      </c>
      <c r="I6" s="198">
        <f>Config!M21</f>
        <v>17</v>
      </c>
    </row>
    <row r="7" spans="2:9" ht="18" customHeight="1" x14ac:dyDescent="0.25">
      <c r="B7" s="168">
        <v>1</v>
      </c>
      <c r="C7" s="169" t="str">
        <f>Config!C5&amp;", "&amp;Config!D5</f>
        <v>Höfer, Simon</v>
      </c>
      <c r="D7" s="170">
        <v>2</v>
      </c>
      <c r="E7" s="170">
        <v>2</v>
      </c>
      <c r="F7" s="170">
        <v>2</v>
      </c>
      <c r="G7" s="170">
        <v>4</v>
      </c>
      <c r="H7" s="171">
        <v>3</v>
      </c>
      <c r="I7" s="152">
        <f t="shared" ref="I7:I38" si="0">SUM(D7:H7)</f>
        <v>13</v>
      </c>
    </row>
    <row r="8" spans="2:9" s="148" customFormat="1" ht="13.2" customHeight="1" x14ac:dyDescent="0.2">
      <c r="B8" s="153"/>
      <c r="C8" s="173" t="s">
        <v>126</v>
      </c>
      <c r="D8" s="99"/>
      <c r="E8" s="99"/>
      <c r="F8" s="99"/>
      <c r="G8" s="99"/>
      <c r="H8" s="100"/>
      <c r="I8" s="150">
        <f t="shared" si="0"/>
        <v>0</v>
      </c>
    </row>
    <row r="9" spans="2:9" s="148" customFormat="1" ht="13.2" customHeight="1" thickBot="1" x14ac:dyDescent="0.25">
      <c r="B9" s="149"/>
      <c r="C9" s="174" t="s">
        <v>127</v>
      </c>
      <c r="D9" s="103"/>
      <c r="E9" s="103"/>
      <c r="F9" s="103"/>
      <c r="G9" s="103"/>
      <c r="H9" s="104"/>
      <c r="I9" s="151">
        <f t="shared" si="0"/>
        <v>0</v>
      </c>
    </row>
    <row r="10" spans="2:9" ht="18" customHeight="1" x14ac:dyDescent="0.25">
      <c r="B10" s="163">
        <v>2</v>
      </c>
      <c r="C10" s="164" t="str">
        <f>Config!C6&amp;", "&amp;Config!D6</f>
        <v>Töpfer, Lilian</v>
      </c>
      <c r="D10" s="165">
        <v>1</v>
      </c>
      <c r="E10" s="165">
        <v>2</v>
      </c>
      <c r="F10" s="165">
        <v>1</v>
      </c>
      <c r="G10" s="165">
        <v>2</v>
      </c>
      <c r="H10" s="166">
        <v>1</v>
      </c>
      <c r="I10" s="167">
        <f t="shared" si="0"/>
        <v>7</v>
      </c>
    </row>
    <row r="11" spans="2:9" s="148" customFormat="1" ht="13.2" customHeight="1" x14ac:dyDescent="0.2">
      <c r="B11" s="162"/>
      <c r="C11" s="175" t="s">
        <v>126</v>
      </c>
      <c r="D11" s="101"/>
      <c r="E11" s="101"/>
      <c r="F11" s="101"/>
      <c r="G11" s="101"/>
      <c r="H11" s="102"/>
      <c r="I11" s="160">
        <f t="shared" si="0"/>
        <v>0</v>
      </c>
    </row>
    <row r="12" spans="2:9" s="148" customFormat="1" ht="13.2" customHeight="1" thickBot="1" x14ac:dyDescent="0.25">
      <c r="B12" s="159"/>
      <c r="C12" s="176" t="s">
        <v>127</v>
      </c>
      <c r="D12" s="103"/>
      <c r="E12" s="103"/>
      <c r="F12" s="103"/>
      <c r="G12" s="103"/>
      <c r="H12" s="104"/>
      <c r="I12" s="161">
        <f t="shared" si="0"/>
        <v>0</v>
      </c>
    </row>
    <row r="13" spans="2:9" ht="18" customHeight="1" x14ac:dyDescent="0.25">
      <c r="B13" s="154">
        <v>3</v>
      </c>
      <c r="C13" s="155" t="str">
        <f>Config!C7&amp;", "&amp;Config!D7</f>
        <v>Fleischmann, Leonie</v>
      </c>
      <c r="D13" s="156">
        <v>2</v>
      </c>
      <c r="E13" s="156">
        <v>2</v>
      </c>
      <c r="F13" s="156">
        <v>1</v>
      </c>
      <c r="G13" s="156">
        <v>3</v>
      </c>
      <c r="H13" s="157">
        <v>0</v>
      </c>
      <c r="I13" s="158">
        <f t="shared" si="0"/>
        <v>8</v>
      </c>
    </row>
    <row r="14" spans="2:9" s="148" customFormat="1" ht="13.2" customHeight="1" x14ac:dyDescent="0.2">
      <c r="B14" s="153"/>
      <c r="C14" s="173" t="s">
        <v>126</v>
      </c>
      <c r="D14" s="99"/>
      <c r="E14" s="99"/>
      <c r="F14" s="99"/>
      <c r="G14" s="99"/>
      <c r="H14" s="100"/>
      <c r="I14" s="150">
        <f t="shared" si="0"/>
        <v>0</v>
      </c>
    </row>
    <row r="15" spans="2:9" s="148" customFormat="1" ht="13.2" customHeight="1" thickBot="1" x14ac:dyDescent="0.25">
      <c r="B15" s="149"/>
      <c r="C15" s="174" t="s">
        <v>127</v>
      </c>
      <c r="D15" s="103"/>
      <c r="E15" s="103"/>
      <c r="F15" s="103"/>
      <c r="G15" s="103"/>
      <c r="H15" s="104"/>
      <c r="I15" s="151">
        <f t="shared" si="0"/>
        <v>0</v>
      </c>
    </row>
    <row r="16" spans="2:9" ht="18" customHeight="1" x14ac:dyDescent="0.25">
      <c r="B16" s="163">
        <v>4</v>
      </c>
      <c r="C16" s="164" t="str">
        <f>Config!C8&amp;", "&amp;Config!D8</f>
        <v>Drescher, Cedric</v>
      </c>
      <c r="D16" s="165">
        <v>2</v>
      </c>
      <c r="E16" s="165">
        <v>2</v>
      </c>
      <c r="F16" s="165">
        <v>1</v>
      </c>
      <c r="G16" s="165">
        <v>4</v>
      </c>
      <c r="H16" s="166">
        <v>0</v>
      </c>
      <c r="I16" s="167">
        <f t="shared" si="0"/>
        <v>9</v>
      </c>
    </row>
    <row r="17" spans="2:9" s="148" customFormat="1" ht="13.2" customHeight="1" x14ac:dyDescent="0.2">
      <c r="B17" s="162"/>
      <c r="C17" s="175" t="s">
        <v>126</v>
      </c>
      <c r="D17" s="101"/>
      <c r="E17" s="101"/>
      <c r="F17" s="101"/>
      <c r="G17" s="101"/>
      <c r="H17" s="102"/>
      <c r="I17" s="160">
        <f t="shared" si="0"/>
        <v>0</v>
      </c>
    </row>
    <row r="18" spans="2:9" s="148" customFormat="1" ht="13.2" customHeight="1" thickBot="1" x14ac:dyDescent="0.25">
      <c r="B18" s="159"/>
      <c r="C18" s="176" t="s">
        <v>127</v>
      </c>
      <c r="D18" s="103"/>
      <c r="E18" s="103"/>
      <c r="F18" s="103"/>
      <c r="G18" s="103"/>
      <c r="H18" s="104"/>
      <c r="I18" s="161">
        <f t="shared" si="0"/>
        <v>0</v>
      </c>
    </row>
    <row r="19" spans="2:9" ht="18" customHeight="1" x14ac:dyDescent="0.25">
      <c r="B19" s="154">
        <v>5</v>
      </c>
      <c r="C19" s="155" t="str">
        <f>Config!C9&amp;", "&amp;Config!D9</f>
        <v>Baumgarten, Annabell</v>
      </c>
      <c r="D19" s="156">
        <v>1</v>
      </c>
      <c r="E19" s="156">
        <v>1</v>
      </c>
      <c r="F19" s="156">
        <v>1</v>
      </c>
      <c r="G19" s="156">
        <v>1.5</v>
      </c>
      <c r="H19" s="157">
        <v>0</v>
      </c>
      <c r="I19" s="158">
        <f t="shared" si="0"/>
        <v>4.5</v>
      </c>
    </row>
    <row r="20" spans="2:9" s="148" customFormat="1" ht="13.2" customHeight="1" x14ac:dyDescent="0.2">
      <c r="B20" s="153"/>
      <c r="C20" s="173" t="s">
        <v>126</v>
      </c>
      <c r="D20" s="99"/>
      <c r="E20" s="99"/>
      <c r="F20" s="99"/>
      <c r="G20" s="99"/>
      <c r="H20" s="100"/>
      <c r="I20" s="150">
        <f t="shared" si="0"/>
        <v>0</v>
      </c>
    </row>
    <row r="21" spans="2:9" s="148" customFormat="1" ht="13.2" customHeight="1" thickBot="1" x14ac:dyDescent="0.25">
      <c r="B21" s="149"/>
      <c r="C21" s="174" t="s">
        <v>127</v>
      </c>
      <c r="D21" s="103"/>
      <c r="E21" s="103"/>
      <c r="F21" s="103"/>
      <c r="G21" s="103"/>
      <c r="H21" s="104"/>
      <c r="I21" s="151">
        <f t="shared" si="0"/>
        <v>0</v>
      </c>
    </row>
    <row r="22" spans="2:9" ht="18" customHeight="1" x14ac:dyDescent="0.25">
      <c r="B22" s="163">
        <v>6</v>
      </c>
      <c r="C22" s="164" t="str">
        <f>Config!C10&amp;", "&amp;Config!D10</f>
        <v>Traut, Stefanie</v>
      </c>
      <c r="D22" s="165">
        <v>2</v>
      </c>
      <c r="E22" s="165">
        <v>0.5</v>
      </c>
      <c r="F22" s="165">
        <v>1</v>
      </c>
      <c r="G22" s="165">
        <v>4</v>
      </c>
      <c r="H22" s="166">
        <v>3</v>
      </c>
      <c r="I22" s="167">
        <f t="shared" si="0"/>
        <v>10.5</v>
      </c>
    </row>
    <row r="23" spans="2:9" s="148" customFormat="1" ht="13.2" customHeight="1" x14ac:dyDescent="0.2">
      <c r="B23" s="162"/>
      <c r="C23" s="175" t="s">
        <v>126</v>
      </c>
      <c r="D23" s="101"/>
      <c r="E23" s="101"/>
      <c r="F23" s="101"/>
      <c r="G23" s="101"/>
      <c r="H23" s="102"/>
      <c r="I23" s="160">
        <f t="shared" si="0"/>
        <v>0</v>
      </c>
    </row>
    <row r="24" spans="2:9" s="148" customFormat="1" ht="13.2" customHeight="1" thickBot="1" x14ac:dyDescent="0.25">
      <c r="B24" s="159"/>
      <c r="C24" s="176" t="s">
        <v>127</v>
      </c>
      <c r="D24" s="103"/>
      <c r="E24" s="103"/>
      <c r="F24" s="103"/>
      <c r="G24" s="103"/>
      <c r="H24" s="104"/>
      <c r="I24" s="161">
        <f t="shared" si="0"/>
        <v>0</v>
      </c>
    </row>
    <row r="25" spans="2:9" ht="18" customHeight="1" x14ac:dyDescent="0.25">
      <c r="B25" s="154">
        <v>7</v>
      </c>
      <c r="C25" s="155" t="str">
        <f>Config!C11&amp;", "&amp;Config!D11</f>
        <v>Menke, Damian</v>
      </c>
      <c r="D25" s="156">
        <v>2</v>
      </c>
      <c r="E25" s="156">
        <v>2</v>
      </c>
      <c r="F25" s="156">
        <v>2</v>
      </c>
      <c r="G25" s="156">
        <v>2.5</v>
      </c>
      <c r="H25" s="157">
        <v>0</v>
      </c>
      <c r="I25" s="158">
        <f t="shared" si="0"/>
        <v>8.5</v>
      </c>
    </row>
    <row r="26" spans="2:9" s="148" customFormat="1" ht="13.2" customHeight="1" x14ac:dyDescent="0.2">
      <c r="B26" s="153"/>
      <c r="C26" s="173" t="s">
        <v>126</v>
      </c>
      <c r="D26" s="99"/>
      <c r="E26" s="99"/>
      <c r="F26" s="99"/>
      <c r="G26" s="99"/>
      <c r="H26" s="100"/>
      <c r="I26" s="150">
        <f t="shared" si="0"/>
        <v>0</v>
      </c>
    </row>
    <row r="27" spans="2:9" s="148" customFormat="1" ht="13.2" customHeight="1" thickBot="1" x14ac:dyDescent="0.25">
      <c r="B27" s="149"/>
      <c r="C27" s="174" t="s">
        <v>127</v>
      </c>
      <c r="D27" s="103"/>
      <c r="E27" s="103"/>
      <c r="F27" s="103"/>
      <c r="G27" s="103"/>
      <c r="H27" s="104"/>
      <c r="I27" s="151">
        <f t="shared" si="0"/>
        <v>0</v>
      </c>
    </row>
    <row r="28" spans="2:9" ht="18" customHeight="1" x14ac:dyDescent="0.25">
      <c r="B28" s="163">
        <v>8</v>
      </c>
      <c r="C28" s="164" t="str">
        <f>Config!C12&amp;", "&amp;Config!D12</f>
        <v>Carroll, Meik</v>
      </c>
      <c r="D28" s="165">
        <v>2</v>
      </c>
      <c r="E28" s="165">
        <v>2</v>
      </c>
      <c r="F28" s="165">
        <v>2</v>
      </c>
      <c r="G28" s="165">
        <v>2</v>
      </c>
      <c r="H28" s="166">
        <v>0.5</v>
      </c>
      <c r="I28" s="167">
        <f t="shared" si="0"/>
        <v>8.5</v>
      </c>
    </row>
    <row r="29" spans="2:9" s="148" customFormat="1" ht="13.2" customHeight="1" x14ac:dyDescent="0.2">
      <c r="B29" s="162"/>
      <c r="C29" s="175" t="s">
        <v>126</v>
      </c>
      <c r="D29" s="101"/>
      <c r="E29" s="101"/>
      <c r="F29" s="101"/>
      <c r="G29" s="101"/>
      <c r="H29" s="102"/>
      <c r="I29" s="160">
        <f t="shared" si="0"/>
        <v>0</v>
      </c>
    </row>
    <row r="30" spans="2:9" s="148" customFormat="1" ht="13.2" customHeight="1" thickBot="1" x14ac:dyDescent="0.25">
      <c r="B30" s="159"/>
      <c r="C30" s="176" t="s">
        <v>127</v>
      </c>
      <c r="D30" s="103"/>
      <c r="E30" s="103"/>
      <c r="F30" s="103"/>
      <c r="G30" s="103"/>
      <c r="H30" s="104"/>
      <c r="I30" s="161">
        <f t="shared" si="0"/>
        <v>0</v>
      </c>
    </row>
    <row r="31" spans="2:9" ht="18" customHeight="1" x14ac:dyDescent="0.25">
      <c r="B31" s="154">
        <v>9</v>
      </c>
      <c r="C31" s="155" t="str">
        <f>Config!C13&amp;", "&amp;Config!D13</f>
        <v>Hennings, Tomas</v>
      </c>
      <c r="D31" s="156">
        <v>2</v>
      </c>
      <c r="E31" s="156">
        <v>2</v>
      </c>
      <c r="F31" s="156">
        <v>2</v>
      </c>
      <c r="G31" s="156">
        <v>4</v>
      </c>
      <c r="H31" s="157">
        <v>3</v>
      </c>
      <c r="I31" s="158">
        <f t="shared" si="0"/>
        <v>13</v>
      </c>
    </row>
    <row r="32" spans="2:9" s="148" customFormat="1" ht="13.2" customHeight="1" x14ac:dyDescent="0.2">
      <c r="B32" s="153"/>
      <c r="C32" s="173" t="s">
        <v>126</v>
      </c>
      <c r="D32" s="99"/>
      <c r="E32" s="99"/>
      <c r="F32" s="99"/>
      <c r="G32" s="99"/>
      <c r="H32" s="100"/>
      <c r="I32" s="150">
        <f t="shared" si="0"/>
        <v>0</v>
      </c>
    </row>
    <row r="33" spans="2:9" s="148" customFormat="1" ht="13.2" customHeight="1" thickBot="1" x14ac:dyDescent="0.25">
      <c r="B33" s="149"/>
      <c r="C33" s="174" t="s">
        <v>127</v>
      </c>
      <c r="D33" s="103"/>
      <c r="E33" s="103"/>
      <c r="F33" s="103"/>
      <c r="G33" s="103"/>
      <c r="H33" s="104"/>
      <c r="I33" s="151">
        <f t="shared" si="0"/>
        <v>0</v>
      </c>
    </row>
    <row r="34" spans="2:9" ht="18" customHeight="1" x14ac:dyDescent="0.25">
      <c r="B34" s="163">
        <v>10</v>
      </c>
      <c r="C34" s="164" t="str">
        <f>Config!C14&amp;", "&amp;Config!D14</f>
        <v>Walters, Linn</v>
      </c>
      <c r="D34" s="165">
        <v>2</v>
      </c>
      <c r="E34" s="165">
        <v>2</v>
      </c>
      <c r="F34" s="165">
        <v>2</v>
      </c>
      <c r="G34" s="165">
        <v>2</v>
      </c>
      <c r="H34" s="166">
        <v>0</v>
      </c>
      <c r="I34" s="167">
        <f t="shared" si="0"/>
        <v>8</v>
      </c>
    </row>
    <row r="35" spans="2:9" s="148" customFormat="1" ht="13.2" customHeight="1" x14ac:dyDescent="0.2">
      <c r="B35" s="162"/>
      <c r="C35" s="175" t="s">
        <v>126</v>
      </c>
      <c r="D35" s="101"/>
      <c r="E35" s="101"/>
      <c r="F35" s="101"/>
      <c r="G35" s="101"/>
      <c r="H35" s="102"/>
      <c r="I35" s="160">
        <f t="shared" si="0"/>
        <v>0</v>
      </c>
    </row>
    <row r="36" spans="2:9" s="148" customFormat="1" ht="13.2" customHeight="1" thickBot="1" x14ac:dyDescent="0.25">
      <c r="B36" s="159"/>
      <c r="C36" s="176" t="s">
        <v>127</v>
      </c>
      <c r="D36" s="103"/>
      <c r="E36" s="103"/>
      <c r="F36" s="103"/>
      <c r="G36" s="103"/>
      <c r="H36" s="104"/>
      <c r="I36" s="161">
        <f t="shared" si="0"/>
        <v>0</v>
      </c>
    </row>
    <row r="37" spans="2:9" ht="18" customHeight="1" x14ac:dyDescent="0.25">
      <c r="B37" s="154">
        <v>11</v>
      </c>
      <c r="C37" s="155" t="str">
        <f>Config!C15&amp;", "&amp;Config!D15</f>
        <v>Junker, Amely</v>
      </c>
      <c r="D37" s="156">
        <v>1</v>
      </c>
      <c r="E37" s="156">
        <v>0</v>
      </c>
      <c r="F37" s="156">
        <v>2</v>
      </c>
      <c r="G37" s="156">
        <v>1.5</v>
      </c>
      <c r="H37" s="157">
        <v>2</v>
      </c>
      <c r="I37" s="158">
        <f t="shared" si="0"/>
        <v>6.5</v>
      </c>
    </row>
    <row r="38" spans="2:9" s="148" customFormat="1" ht="13.2" customHeight="1" x14ac:dyDescent="0.2">
      <c r="B38" s="153"/>
      <c r="C38" s="173" t="s">
        <v>126</v>
      </c>
      <c r="D38" s="99"/>
      <c r="E38" s="99"/>
      <c r="F38" s="99"/>
      <c r="G38" s="99"/>
      <c r="H38" s="100"/>
      <c r="I38" s="150">
        <f t="shared" si="0"/>
        <v>0</v>
      </c>
    </row>
    <row r="39" spans="2:9" s="148" customFormat="1" ht="13.2" customHeight="1" thickBot="1" x14ac:dyDescent="0.25">
      <c r="B39" s="149"/>
      <c r="C39" s="174" t="s">
        <v>127</v>
      </c>
      <c r="D39" s="103"/>
      <c r="E39" s="103"/>
      <c r="F39" s="103"/>
      <c r="G39" s="103"/>
      <c r="H39" s="104"/>
      <c r="I39" s="151">
        <f t="shared" ref="I39:I70" si="1">SUM(D39:H39)</f>
        <v>0</v>
      </c>
    </row>
    <row r="40" spans="2:9" ht="18" customHeight="1" x14ac:dyDescent="0.25">
      <c r="B40" s="163">
        <v>12</v>
      </c>
      <c r="C40" s="164" t="str">
        <f>Config!C16&amp;", "&amp;Config!D16</f>
        <v>Stephens, Melvin</v>
      </c>
      <c r="D40" s="165">
        <v>2</v>
      </c>
      <c r="E40" s="165">
        <v>2</v>
      </c>
      <c r="F40" s="165">
        <v>1</v>
      </c>
      <c r="G40" s="165">
        <v>0.5</v>
      </c>
      <c r="H40" s="166">
        <v>0</v>
      </c>
      <c r="I40" s="167">
        <f t="shared" si="1"/>
        <v>5.5</v>
      </c>
    </row>
    <row r="41" spans="2:9" s="148" customFormat="1" ht="13.2" customHeight="1" x14ac:dyDescent="0.2">
      <c r="B41" s="162"/>
      <c r="C41" s="175" t="s">
        <v>126</v>
      </c>
      <c r="D41" s="101"/>
      <c r="E41" s="101"/>
      <c r="F41" s="101"/>
      <c r="G41" s="101"/>
      <c r="H41" s="102"/>
      <c r="I41" s="160">
        <f t="shared" si="1"/>
        <v>0</v>
      </c>
    </row>
    <row r="42" spans="2:9" s="148" customFormat="1" ht="13.2" customHeight="1" thickBot="1" x14ac:dyDescent="0.25">
      <c r="B42" s="159"/>
      <c r="C42" s="176" t="s">
        <v>127</v>
      </c>
      <c r="D42" s="103"/>
      <c r="E42" s="103"/>
      <c r="F42" s="103"/>
      <c r="G42" s="103"/>
      <c r="H42" s="104"/>
      <c r="I42" s="161">
        <f t="shared" si="1"/>
        <v>0</v>
      </c>
    </row>
    <row r="43" spans="2:9" ht="18" customHeight="1" x14ac:dyDescent="0.25">
      <c r="B43" s="154">
        <v>13</v>
      </c>
      <c r="C43" s="155" t="str">
        <f>Config!C17&amp;", "&amp;Config!D17</f>
        <v>Cremer, Marvin</v>
      </c>
      <c r="D43" s="156">
        <v>2</v>
      </c>
      <c r="E43" s="156">
        <v>0</v>
      </c>
      <c r="F43" s="156">
        <v>1.5</v>
      </c>
      <c r="G43" s="156">
        <v>0</v>
      </c>
      <c r="H43" s="157">
        <v>2</v>
      </c>
      <c r="I43" s="158">
        <f t="shared" si="1"/>
        <v>5.5</v>
      </c>
    </row>
    <row r="44" spans="2:9" s="148" customFormat="1" ht="13.2" customHeight="1" x14ac:dyDescent="0.2">
      <c r="B44" s="153"/>
      <c r="C44" s="173" t="s">
        <v>126</v>
      </c>
      <c r="D44" s="99"/>
      <c r="E44" s="99"/>
      <c r="F44" s="99"/>
      <c r="G44" s="99"/>
      <c r="H44" s="100"/>
      <c r="I44" s="150">
        <f t="shared" si="1"/>
        <v>0</v>
      </c>
    </row>
    <row r="45" spans="2:9" s="148" customFormat="1" ht="13.2" customHeight="1" thickBot="1" x14ac:dyDescent="0.25">
      <c r="B45" s="149"/>
      <c r="C45" s="174" t="s">
        <v>127</v>
      </c>
      <c r="D45" s="103"/>
      <c r="E45" s="103"/>
      <c r="F45" s="103"/>
      <c r="G45" s="103"/>
      <c r="H45" s="104"/>
      <c r="I45" s="151">
        <f t="shared" si="1"/>
        <v>0</v>
      </c>
    </row>
    <row r="46" spans="2:9" ht="18" customHeight="1" x14ac:dyDescent="0.25">
      <c r="B46" s="163">
        <v>14</v>
      </c>
      <c r="C46" s="164" t="str">
        <f>Config!C18&amp;", "&amp;Config!D18</f>
        <v>Nash, Jean</v>
      </c>
      <c r="D46" s="165">
        <v>2</v>
      </c>
      <c r="E46" s="165">
        <v>0</v>
      </c>
      <c r="F46" s="165">
        <v>1</v>
      </c>
      <c r="G46" s="165">
        <v>2</v>
      </c>
      <c r="H46" s="166">
        <v>3</v>
      </c>
      <c r="I46" s="167">
        <f t="shared" si="1"/>
        <v>8</v>
      </c>
    </row>
    <row r="47" spans="2:9" s="148" customFormat="1" ht="13.2" customHeight="1" x14ac:dyDescent="0.2">
      <c r="B47" s="162"/>
      <c r="C47" s="175" t="s">
        <v>126</v>
      </c>
      <c r="D47" s="101"/>
      <c r="E47" s="101"/>
      <c r="F47" s="101"/>
      <c r="G47" s="101"/>
      <c r="H47" s="102"/>
      <c r="I47" s="160">
        <f t="shared" si="1"/>
        <v>0</v>
      </c>
    </row>
    <row r="48" spans="2:9" s="148" customFormat="1" ht="13.2" customHeight="1" thickBot="1" x14ac:dyDescent="0.25">
      <c r="B48" s="159"/>
      <c r="C48" s="176" t="s">
        <v>127</v>
      </c>
      <c r="D48" s="103"/>
      <c r="E48" s="103"/>
      <c r="F48" s="103"/>
      <c r="G48" s="103"/>
      <c r="H48" s="104"/>
      <c r="I48" s="161">
        <f t="shared" si="1"/>
        <v>0</v>
      </c>
    </row>
    <row r="49" spans="2:9" ht="18" customHeight="1" x14ac:dyDescent="0.25">
      <c r="B49" s="154">
        <v>15</v>
      </c>
      <c r="C49" s="155" t="str">
        <f>Config!C19&amp;", "&amp;Config!D19</f>
        <v>Schön, Leonardo</v>
      </c>
      <c r="D49" s="156">
        <v>2</v>
      </c>
      <c r="E49" s="156">
        <v>0.5</v>
      </c>
      <c r="F49" s="156">
        <v>1.5</v>
      </c>
      <c r="G49" s="156">
        <v>3</v>
      </c>
      <c r="H49" s="157">
        <v>1</v>
      </c>
      <c r="I49" s="158">
        <f t="shared" si="1"/>
        <v>8</v>
      </c>
    </row>
    <row r="50" spans="2:9" s="148" customFormat="1" ht="13.2" customHeight="1" x14ac:dyDescent="0.2">
      <c r="B50" s="153"/>
      <c r="C50" s="173" t="s">
        <v>126</v>
      </c>
      <c r="D50" s="99"/>
      <c r="E50" s="99"/>
      <c r="F50" s="99"/>
      <c r="G50" s="99"/>
      <c r="H50" s="100"/>
      <c r="I50" s="150">
        <f t="shared" si="1"/>
        <v>0</v>
      </c>
    </row>
    <row r="51" spans="2:9" s="148" customFormat="1" ht="13.2" customHeight="1" thickBot="1" x14ac:dyDescent="0.25">
      <c r="B51" s="149"/>
      <c r="C51" s="174" t="s">
        <v>127</v>
      </c>
      <c r="D51" s="103"/>
      <c r="E51" s="103"/>
      <c r="F51" s="103"/>
      <c r="G51" s="103"/>
      <c r="H51" s="104"/>
      <c r="I51" s="151">
        <f t="shared" si="1"/>
        <v>0</v>
      </c>
    </row>
    <row r="52" spans="2:9" ht="18" customHeight="1" x14ac:dyDescent="0.25">
      <c r="B52" s="163">
        <v>16</v>
      </c>
      <c r="C52" s="164" t="str">
        <f>Config!C20&amp;", "&amp;Config!D20</f>
        <v>Sigl, Nicholas</v>
      </c>
      <c r="D52" s="165">
        <v>0</v>
      </c>
      <c r="E52" s="165">
        <v>0</v>
      </c>
      <c r="F52" s="165">
        <v>0</v>
      </c>
      <c r="G52" s="165">
        <v>0</v>
      </c>
      <c r="H52" s="166">
        <v>0</v>
      </c>
      <c r="I52" s="167">
        <f t="shared" si="1"/>
        <v>0</v>
      </c>
    </row>
    <row r="53" spans="2:9" s="148" customFormat="1" ht="13.2" customHeight="1" x14ac:dyDescent="0.2">
      <c r="B53" s="162"/>
      <c r="C53" s="175" t="s">
        <v>126</v>
      </c>
      <c r="D53" s="101"/>
      <c r="E53" s="101"/>
      <c r="F53" s="101"/>
      <c r="G53" s="101"/>
      <c r="H53" s="102"/>
      <c r="I53" s="160">
        <f t="shared" si="1"/>
        <v>0</v>
      </c>
    </row>
    <row r="54" spans="2:9" s="148" customFormat="1" ht="13.2" customHeight="1" thickBot="1" x14ac:dyDescent="0.25">
      <c r="B54" s="159"/>
      <c r="C54" s="176" t="s">
        <v>127</v>
      </c>
      <c r="D54" s="103"/>
      <c r="E54" s="103"/>
      <c r="F54" s="103"/>
      <c r="G54" s="103"/>
      <c r="H54" s="104"/>
      <c r="I54" s="161">
        <f t="shared" si="1"/>
        <v>0</v>
      </c>
    </row>
    <row r="55" spans="2:9" ht="18" customHeight="1" x14ac:dyDescent="0.25">
      <c r="B55" s="154">
        <v>17</v>
      </c>
      <c r="C55" s="155" t="str">
        <f>Config!C21&amp;", "&amp;Config!D21</f>
        <v>Kainz, Vivienne</v>
      </c>
      <c r="D55" s="156">
        <v>1</v>
      </c>
      <c r="E55" s="156">
        <v>1</v>
      </c>
      <c r="F55" s="156">
        <v>1.5</v>
      </c>
      <c r="G55" s="156">
        <v>1</v>
      </c>
      <c r="H55" s="157">
        <v>3</v>
      </c>
      <c r="I55" s="158">
        <f t="shared" si="1"/>
        <v>7.5</v>
      </c>
    </row>
    <row r="56" spans="2:9" s="148" customFormat="1" ht="13.2" customHeight="1" x14ac:dyDescent="0.2">
      <c r="B56" s="153"/>
      <c r="C56" s="173" t="s">
        <v>126</v>
      </c>
      <c r="D56" s="99"/>
      <c r="E56" s="99"/>
      <c r="F56" s="99"/>
      <c r="G56" s="99"/>
      <c r="H56" s="100"/>
      <c r="I56" s="150">
        <f t="shared" si="1"/>
        <v>0</v>
      </c>
    </row>
    <row r="57" spans="2:9" s="148" customFormat="1" ht="13.2" customHeight="1" thickBot="1" x14ac:dyDescent="0.25">
      <c r="B57" s="149"/>
      <c r="C57" s="174" t="s">
        <v>127</v>
      </c>
      <c r="D57" s="103"/>
      <c r="E57" s="103"/>
      <c r="F57" s="103"/>
      <c r="G57" s="103"/>
      <c r="H57" s="104"/>
      <c r="I57" s="151">
        <f t="shared" si="1"/>
        <v>0</v>
      </c>
    </row>
    <row r="58" spans="2:9" ht="18" customHeight="1" x14ac:dyDescent="0.25">
      <c r="B58" s="163">
        <v>18</v>
      </c>
      <c r="C58" s="164" t="str">
        <f>Config!C22&amp;", "&amp;Config!D22</f>
        <v>Hartmann, Mads</v>
      </c>
      <c r="D58" s="165">
        <v>2</v>
      </c>
      <c r="E58" s="165">
        <v>2</v>
      </c>
      <c r="F58" s="165">
        <v>1</v>
      </c>
      <c r="G58" s="165">
        <v>2</v>
      </c>
      <c r="H58" s="166">
        <v>0</v>
      </c>
      <c r="I58" s="167">
        <f t="shared" si="1"/>
        <v>7</v>
      </c>
    </row>
    <row r="59" spans="2:9" s="148" customFormat="1" ht="13.2" customHeight="1" x14ac:dyDescent="0.2">
      <c r="B59" s="162"/>
      <c r="C59" s="175" t="s">
        <v>126</v>
      </c>
      <c r="D59" s="101"/>
      <c r="E59" s="101"/>
      <c r="F59" s="101"/>
      <c r="G59" s="101"/>
      <c r="H59" s="102"/>
      <c r="I59" s="160">
        <f t="shared" si="1"/>
        <v>0</v>
      </c>
    </row>
    <row r="60" spans="2:9" s="148" customFormat="1" ht="13.2" customHeight="1" thickBot="1" x14ac:dyDescent="0.25">
      <c r="B60" s="159"/>
      <c r="C60" s="176" t="s">
        <v>127</v>
      </c>
      <c r="D60" s="103"/>
      <c r="E60" s="103"/>
      <c r="F60" s="103"/>
      <c r="G60" s="103"/>
      <c r="H60" s="104"/>
      <c r="I60" s="161">
        <f t="shared" si="1"/>
        <v>0</v>
      </c>
    </row>
    <row r="61" spans="2:9" ht="18" customHeight="1" x14ac:dyDescent="0.25">
      <c r="B61" s="154">
        <v>19</v>
      </c>
      <c r="C61" s="155" t="str">
        <f>Config!C23&amp;", "&amp;Config!D23</f>
        <v>Ullmann, Raphael</v>
      </c>
      <c r="D61" s="156">
        <v>2</v>
      </c>
      <c r="E61" s="156">
        <v>0.5</v>
      </c>
      <c r="F61" s="156">
        <v>1.5</v>
      </c>
      <c r="G61" s="156">
        <v>2</v>
      </c>
      <c r="H61" s="157">
        <v>1</v>
      </c>
      <c r="I61" s="158">
        <f t="shared" si="1"/>
        <v>7</v>
      </c>
    </row>
    <row r="62" spans="2:9" s="148" customFormat="1" ht="13.2" customHeight="1" x14ac:dyDescent="0.2">
      <c r="B62" s="153"/>
      <c r="C62" s="173" t="s">
        <v>126</v>
      </c>
      <c r="D62" s="99"/>
      <c r="E62" s="99"/>
      <c r="F62" s="99"/>
      <c r="G62" s="99"/>
      <c r="H62" s="100"/>
      <c r="I62" s="150">
        <f t="shared" si="1"/>
        <v>0</v>
      </c>
    </row>
    <row r="63" spans="2:9" s="148" customFormat="1" ht="13.2" customHeight="1" thickBot="1" x14ac:dyDescent="0.25">
      <c r="B63" s="149"/>
      <c r="C63" s="174" t="s">
        <v>127</v>
      </c>
      <c r="D63" s="103"/>
      <c r="E63" s="103"/>
      <c r="F63" s="103"/>
      <c r="G63" s="103"/>
      <c r="H63" s="104"/>
      <c r="I63" s="151">
        <f t="shared" si="1"/>
        <v>0</v>
      </c>
    </row>
    <row r="64" spans="2:9" ht="18" customHeight="1" x14ac:dyDescent="0.25">
      <c r="B64" s="163">
        <v>20</v>
      </c>
      <c r="C64" s="164" t="str">
        <f>Config!C24&amp;", "&amp;Config!D24</f>
        <v>Hartl, Emmely</v>
      </c>
      <c r="D64" s="165">
        <v>2</v>
      </c>
      <c r="E64" s="165">
        <v>0.5</v>
      </c>
      <c r="F64" s="165">
        <v>2</v>
      </c>
      <c r="G64" s="165">
        <v>0</v>
      </c>
      <c r="H64" s="166">
        <v>0</v>
      </c>
      <c r="I64" s="167">
        <f t="shared" si="1"/>
        <v>4.5</v>
      </c>
    </row>
    <row r="65" spans="2:9" s="148" customFormat="1" ht="13.2" customHeight="1" x14ac:dyDescent="0.2">
      <c r="B65" s="162"/>
      <c r="C65" s="175" t="s">
        <v>126</v>
      </c>
      <c r="D65" s="101"/>
      <c r="E65" s="101"/>
      <c r="F65" s="101"/>
      <c r="G65" s="101"/>
      <c r="H65" s="102"/>
      <c r="I65" s="160">
        <f t="shared" si="1"/>
        <v>0</v>
      </c>
    </row>
    <row r="66" spans="2:9" s="148" customFormat="1" ht="13.2" customHeight="1" thickBot="1" x14ac:dyDescent="0.25">
      <c r="B66" s="159"/>
      <c r="C66" s="176" t="s">
        <v>127</v>
      </c>
      <c r="D66" s="103"/>
      <c r="E66" s="103"/>
      <c r="F66" s="103"/>
      <c r="G66" s="103"/>
      <c r="H66" s="104"/>
      <c r="I66" s="161">
        <f t="shared" si="1"/>
        <v>0</v>
      </c>
    </row>
    <row r="67" spans="2:9" ht="18" customHeight="1" x14ac:dyDescent="0.25">
      <c r="B67" s="154">
        <v>21</v>
      </c>
      <c r="C67" s="155" t="str">
        <f>Config!C25&amp;", "&amp;Config!D25</f>
        <v>Klotz, Karin</v>
      </c>
      <c r="D67" s="156">
        <v>1</v>
      </c>
      <c r="E67" s="156">
        <v>2</v>
      </c>
      <c r="F67" s="156">
        <v>1</v>
      </c>
      <c r="G67" s="156">
        <v>2</v>
      </c>
      <c r="H67" s="157">
        <v>0</v>
      </c>
      <c r="I67" s="158">
        <f t="shared" si="1"/>
        <v>6</v>
      </c>
    </row>
    <row r="68" spans="2:9" s="148" customFormat="1" ht="13.2" customHeight="1" x14ac:dyDescent="0.2">
      <c r="B68" s="153"/>
      <c r="C68" s="173" t="s">
        <v>126</v>
      </c>
      <c r="D68" s="99"/>
      <c r="E68" s="99"/>
      <c r="F68" s="99"/>
      <c r="G68" s="99"/>
      <c r="H68" s="100"/>
      <c r="I68" s="150">
        <f t="shared" si="1"/>
        <v>0</v>
      </c>
    </row>
    <row r="69" spans="2:9" s="148" customFormat="1" ht="13.2" customHeight="1" thickBot="1" x14ac:dyDescent="0.25">
      <c r="B69" s="149"/>
      <c r="C69" s="174" t="s">
        <v>127</v>
      </c>
      <c r="D69" s="103"/>
      <c r="E69" s="103"/>
      <c r="F69" s="103"/>
      <c r="G69" s="103"/>
      <c r="H69" s="104"/>
      <c r="I69" s="151">
        <f t="shared" si="1"/>
        <v>0</v>
      </c>
    </row>
    <row r="70" spans="2:9" ht="18" customHeight="1" x14ac:dyDescent="0.25">
      <c r="B70" s="163">
        <v>22</v>
      </c>
      <c r="C70" s="164" t="str">
        <f>Config!C26&amp;", "&amp;Config!D26</f>
        <v>Ehlers, Ingo</v>
      </c>
      <c r="D70" s="165">
        <v>2</v>
      </c>
      <c r="E70" s="165">
        <v>0</v>
      </c>
      <c r="F70" s="165">
        <v>2</v>
      </c>
      <c r="G70" s="165">
        <v>1.5</v>
      </c>
      <c r="H70" s="166">
        <v>0</v>
      </c>
      <c r="I70" s="167">
        <f t="shared" si="1"/>
        <v>5.5</v>
      </c>
    </row>
    <row r="71" spans="2:9" s="148" customFormat="1" ht="13.2" customHeight="1" x14ac:dyDescent="0.2">
      <c r="B71" s="162"/>
      <c r="C71" s="175" t="s">
        <v>126</v>
      </c>
      <c r="D71" s="101"/>
      <c r="E71" s="101"/>
      <c r="F71" s="101"/>
      <c r="G71" s="101"/>
      <c r="H71" s="102"/>
      <c r="I71" s="160">
        <f t="shared" ref="I71:I75" si="2">SUM(D71:H71)</f>
        <v>0</v>
      </c>
    </row>
    <row r="72" spans="2:9" s="148" customFormat="1" ht="13.2" customHeight="1" thickBot="1" x14ac:dyDescent="0.25">
      <c r="B72" s="159"/>
      <c r="C72" s="176" t="s">
        <v>127</v>
      </c>
      <c r="D72" s="103"/>
      <c r="E72" s="103"/>
      <c r="F72" s="103"/>
      <c r="G72" s="103"/>
      <c r="H72" s="104"/>
      <c r="I72" s="161">
        <f t="shared" si="2"/>
        <v>0</v>
      </c>
    </row>
    <row r="73" spans="2:9" ht="18" customHeight="1" x14ac:dyDescent="0.25">
      <c r="B73" s="154">
        <v>23</v>
      </c>
      <c r="C73" s="155" t="str">
        <f>Config!C27&amp;", "&amp;Config!D27</f>
        <v>Lindemann, Mads</v>
      </c>
      <c r="D73" s="156">
        <v>2</v>
      </c>
      <c r="E73" s="156">
        <v>2</v>
      </c>
      <c r="F73" s="156">
        <v>2</v>
      </c>
      <c r="G73" s="156">
        <v>4</v>
      </c>
      <c r="H73" s="157">
        <v>0</v>
      </c>
      <c r="I73" s="158">
        <f t="shared" si="2"/>
        <v>10</v>
      </c>
    </row>
    <row r="74" spans="2:9" s="148" customFormat="1" ht="13.2" customHeight="1" x14ac:dyDescent="0.2">
      <c r="B74" s="153"/>
      <c r="C74" s="173" t="s">
        <v>126</v>
      </c>
      <c r="D74" s="99"/>
      <c r="E74" s="99"/>
      <c r="F74" s="99"/>
      <c r="G74" s="99"/>
      <c r="H74" s="100"/>
      <c r="I74" s="150">
        <f t="shared" si="2"/>
        <v>0</v>
      </c>
    </row>
    <row r="75" spans="2:9" s="148" customFormat="1" ht="13.2" customHeight="1" thickBot="1" x14ac:dyDescent="0.25">
      <c r="B75" s="172"/>
      <c r="C75" s="177" t="s">
        <v>127</v>
      </c>
      <c r="D75" s="105"/>
      <c r="E75" s="105"/>
      <c r="F75" s="105"/>
      <c r="G75" s="105"/>
      <c r="H75" s="106"/>
      <c r="I75" s="151">
        <f t="shared" si="2"/>
        <v>0</v>
      </c>
    </row>
    <row r="76" spans="2:9" ht="18" customHeight="1" thickBot="1" x14ac:dyDescent="0.3">
      <c r="B76" s="131"/>
      <c r="C76" s="132"/>
      <c r="D76" s="132">
        <f>IF(COUNTIFS(D7:D73,"&lt;&gt;",C7:C73,"&lt;&gt;ZK",C7:C73,"&lt;&gt;DK")&lt;&gt;0,SUMIFS(D7:D73,C7:C73,"&lt;&gt;ZK",C7:C73,"&lt;&gt;DK")/(COUNTIFS(D7:D73,"&lt;&gt;",C7:C73,"&lt;&gt;ZK",C7:C73,"&lt;&gt;DK")*D6),0)</f>
        <v>0.84782608695652173</v>
      </c>
      <c r="E76" s="132">
        <f>IF(COUNTIFS(E7:E73,"&lt;&gt;",C7:C73,"&lt;&gt;ZK",C7:C73,"&lt;&gt;DK")&lt;&gt;0,SUMIFS(E7:E73,C7:C73,"&lt;&gt;ZK",C7:C73,"&lt;&gt;DK")/(COUNTIFS(E7:E73,"&lt;&gt;",C7:C73,"&lt;&gt;ZK",C7:C73,"&lt;&gt;DK")*E6),0)</f>
        <v>0.60869565217391308</v>
      </c>
      <c r="F76" s="132">
        <f>IF(COUNTIFS(F7:F73,"&lt;&gt;",C7:C73,"&lt;&gt;ZK",C7:C73,"&lt;&gt;DK")&lt;&gt;0,SUMIFS(F7:F73,C7:C73,"&lt;&gt;ZK",C7:C73,"&lt;&gt;DK")/(COUNTIFS(F7:F73,"&lt;&gt;",C7:C73,"&lt;&gt;ZK",C7:C73,"&lt;&gt;DK")*F6),0)</f>
        <v>0.71739130434782605</v>
      </c>
      <c r="G76" s="132">
        <f>IF(COUNTIFS(G7:G73,"&lt;&gt;",C7:C73,"&lt;&gt;ZK",C7:C73,"&lt;&gt;DK")&lt;&gt;0,SUMIFS(G7:G73,C7:C73,"&lt;&gt;ZK",C7:C73,"&lt;&gt;DK")/(COUNTIFS(G7:G73,"&lt;&gt;",C7:C73,"&lt;&gt;ZK",C7:C73,"&lt;&gt;DK")*G6),0)</f>
        <v>0.52717391304347827</v>
      </c>
      <c r="H76" s="132">
        <f>IF(COUNTIFS(H7:H73,"&lt;&gt;",C7:C73,"&lt;&gt;ZK",C7:C73,"&lt;&gt;DK")&lt;&gt;0,SUMIFS(H7:H73,C7:C73,"&lt;&gt;ZK",C7:C73,"&lt;&gt;DK")/(COUNTIFS(H7:H73,"&lt;&gt;",C7:C73,"&lt;&gt;ZK",C7:C73,"&lt;&gt;DK")*H6),0)</f>
        <v>0.13975155279503104</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55277813-8EED-44F1-98E1-898990F75A51}">
      <formula1>0</formula1>
      <formula2>$D$6</formula2>
    </dataValidation>
    <dataValidation type="decimal" allowBlank="1" showErrorMessage="1" sqref="E7:E75" xr:uid="{56FB40A2-F76D-498A-A8CF-ED1971EDA907}">
      <formula1>0</formula1>
      <formula2>$E$6</formula2>
    </dataValidation>
    <dataValidation type="decimal" allowBlank="1" showErrorMessage="1" sqref="F7:F75" xr:uid="{9133E88D-CBFA-4933-8BF0-20000C1056CA}">
      <formula1>0</formula1>
      <formula2>$F$6</formula2>
    </dataValidation>
    <dataValidation type="decimal" allowBlank="1" showErrorMessage="1" sqref="G7:G75" xr:uid="{E89DD16D-DF29-4E86-8C57-4575D0D2B690}">
      <formula1>0</formula1>
      <formula2>$G$6</formula2>
    </dataValidation>
    <dataValidation type="decimal" allowBlank="1" showErrorMessage="1" sqref="H7:H75" xr:uid="{6D03F2AE-C2E4-40EB-B679-4587E7B6A234}">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D18CF-458E-4934-86F2-DEFB3F625663}">
  <sheetPr codeName="Tabelle14">
    <tabColor rgb="FF92D050"/>
  </sheetPr>
  <dimension ref="B1:F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6" width="8.77734375" style="107" customWidth="1"/>
    <col min="7" max="16384" width="11.5546875" style="107"/>
  </cols>
  <sheetData>
    <row r="1" spans="2:6" ht="18" customHeight="1" thickBot="1" x14ac:dyDescent="0.3"/>
    <row r="2" spans="2:6" ht="18" customHeight="1" x14ac:dyDescent="0.25">
      <c r="B2" s="108" t="str">
        <f>Config!F2&amp;" "&amp;YEAR(Config!G24)</f>
        <v>Mathe Abitur 2026</v>
      </c>
      <c r="C2" s="109"/>
      <c r="D2" s="109"/>
      <c r="E2" s="110"/>
      <c r="F2" s="111" t="str">
        <f>"Kurs "&amp;Config!G26</f>
        <v>Kurs K1</v>
      </c>
    </row>
    <row r="3" spans="2:6" ht="18" customHeight="1" x14ac:dyDescent="0.25">
      <c r="B3" s="112" t="s">
        <v>13</v>
      </c>
      <c r="C3" s="113"/>
      <c r="D3" s="113"/>
      <c r="E3" s="113"/>
      <c r="F3" s="114"/>
    </row>
    <row r="4" spans="2:6" ht="18" customHeight="1" thickBot="1" x14ac:dyDescent="0.3">
      <c r="B4" s="112"/>
      <c r="C4" s="113"/>
      <c r="D4" s="113"/>
      <c r="E4" s="113"/>
      <c r="F4" s="114"/>
    </row>
    <row r="5" spans="2:6" ht="18" customHeight="1" thickBot="1" x14ac:dyDescent="0.3">
      <c r="B5" s="117"/>
      <c r="C5" s="115"/>
      <c r="D5" s="197" t="str">
        <f>Config!N6</f>
        <v>1a</v>
      </c>
      <c r="E5" s="197" t="str">
        <f>Config!N7</f>
        <v>1b</v>
      </c>
      <c r="F5" s="195" t="s">
        <v>82</v>
      </c>
    </row>
    <row r="6" spans="2:6" ht="18" customHeight="1" thickBot="1" x14ac:dyDescent="0.3">
      <c r="B6" s="118"/>
      <c r="C6" s="116" t="s">
        <v>81</v>
      </c>
      <c r="D6" s="196">
        <f>Config!O6</f>
        <v>2</v>
      </c>
      <c r="E6" s="196">
        <f>Config!O7</f>
        <v>3</v>
      </c>
      <c r="F6" s="198">
        <f>Config!O21</f>
        <v>5</v>
      </c>
    </row>
    <row r="7" spans="2:6" ht="18" customHeight="1" x14ac:dyDescent="0.25">
      <c r="B7" s="168">
        <v>1</v>
      </c>
      <c r="C7" s="169" t="str">
        <f>Config!C5&amp;", "&amp;Config!D5</f>
        <v>Höfer, Simon</v>
      </c>
      <c r="D7" s="170">
        <v>0</v>
      </c>
      <c r="E7" s="171">
        <v>0</v>
      </c>
      <c r="F7" s="152">
        <f t="shared" ref="F7:F38" si="0">SUM(D7:E7)</f>
        <v>0</v>
      </c>
    </row>
    <row r="8" spans="2:6" s="148" customFormat="1" ht="13.2" customHeight="1" x14ac:dyDescent="0.2">
      <c r="B8" s="153"/>
      <c r="C8" s="173" t="s">
        <v>126</v>
      </c>
      <c r="D8" s="99"/>
      <c r="E8" s="100"/>
      <c r="F8" s="150">
        <f t="shared" si="0"/>
        <v>0</v>
      </c>
    </row>
    <row r="9" spans="2:6" s="148" customFormat="1" ht="13.2" customHeight="1" thickBot="1" x14ac:dyDescent="0.25">
      <c r="B9" s="149"/>
      <c r="C9" s="174" t="s">
        <v>127</v>
      </c>
      <c r="D9" s="103"/>
      <c r="E9" s="104"/>
      <c r="F9" s="151">
        <f t="shared" si="0"/>
        <v>0</v>
      </c>
    </row>
    <row r="10" spans="2:6" ht="18" customHeight="1" x14ac:dyDescent="0.25">
      <c r="B10" s="163">
        <v>2</v>
      </c>
      <c r="C10" s="164" t="str">
        <f>Config!C6&amp;", "&amp;Config!D6</f>
        <v>Töpfer, Lilian</v>
      </c>
      <c r="D10" s="165">
        <v>1.5</v>
      </c>
      <c r="E10" s="166">
        <v>2</v>
      </c>
      <c r="F10" s="167">
        <f t="shared" si="0"/>
        <v>3.5</v>
      </c>
    </row>
    <row r="11" spans="2:6" s="148" customFormat="1" ht="13.2" customHeight="1" x14ac:dyDescent="0.2">
      <c r="B11" s="162"/>
      <c r="C11" s="175" t="s">
        <v>126</v>
      </c>
      <c r="D11" s="101"/>
      <c r="E11" s="102"/>
      <c r="F11" s="160">
        <f t="shared" si="0"/>
        <v>0</v>
      </c>
    </row>
    <row r="12" spans="2:6" s="148" customFormat="1" ht="13.2" customHeight="1" thickBot="1" x14ac:dyDescent="0.25">
      <c r="B12" s="159"/>
      <c r="C12" s="176" t="s">
        <v>127</v>
      </c>
      <c r="D12" s="103"/>
      <c r="E12" s="104"/>
      <c r="F12" s="161">
        <f t="shared" si="0"/>
        <v>0</v>
      </c>
    </row>
    <row r="13" spans="2:6" ht="18" customHeight="1" x14ac:dyDescent="0.25">
      <c r="B13" s="154">
        <v>3</v>
      </c>
      <c r="C13" s="155" t="str">
        <f>Config!C7&amp;", "&amp;Config!D7</f>
        <v>Fleischmann, Leonie</v>
      </c>
      <c r="D13" s="156">
        <v>2</v>
      </c>
      <c r="E13" s="157">
        <v>2.5</v>
      </c>
      <c r="F13" s="158">
        <f t="shared" si="0"/>
        <v>4.5</v>
      </c>
    </row>
    <row r="14" spans="2:6" s="148" customFormat="1" ht="13.2" customHeight="1" x14ac:dyDescent="0.2">
      <c r="B14" s="153"/>
      <c r="C14" s="173" t="s">
        <v>126</v>
      </c>
      <c r="D14" s="99"/>
      <c r="E14" s="100"/>
      <c r="F14" s="150">
        <f t="shared" si="0"/>
        <v>0</v>
      </c>
    </row>
    <row r="15" spans="2:6" s="148" customFormat="1" ht="13.2" customHeight="1" thickBot="1" x14ac:dyDescent="0.25">
      <c r="B15" s="149"/>
      <c r="C15" s="174" t="s">
        <v>127</v>
      </c>
      <c r="D15" s="103"/>
      <c r="E15" s="104"/>
      <c r="F15" s="151">
        <f t="shared" si="0"/>
        <v>0</v>
      </c>
    </row>
    <row r="16" spans="2:6" ht="18" customHeight="1" x14ac:dyDescent="0.25">
      <c r="B16" s="163">
        <v>4</v>
      </c>
      <c r="C16" s="164" t="str">
        <f>Config!C8&amp;", "&amp;Config!D8</f>
        <v>Drescher, Cedric</v>
      </c>
      <c r="D16" s="165">
        <v>2</v>
      </c>
      <c r="E16" s="166">
        <v>1.5</v>
      </c>
      <c r="F16" s="167">
        <f t="shared" si="0"/>
        <v>3.5</v>
      </c>
    </row>
    <row r="17" spans="2:6" s="148" customFormat="1" ht="13.2" customHeight="1" x14ac:dyDescent="0.2">
      <c r="B17" s="162"/>
      <c r="C17" s="175" t="s">
        <v>126</v>
      </c>
      <c r="D17" s="101"/>
      <c r="E17" s="102"/>
      <c r="F17" s="160">
        <f t="shared" si="0"/>
        <v>0</v>
      </c>
    </row>
    <row r="18" spans="2:6" s="148" customFormat="1" ht="13.2" customHeight="1" thickBot="1" x14ac:dyDescent="0.25">
      <c r="B18" s="159"/>
      <c r="C18" s="176" t="s">
        <v>127</v>
      </c>
      <c r="D18" s="103"/>
      <c r="E18" s="104"/>
      <c r="F18" s="161">
        <f t="shared" si="0"/>
        <v>0</v>
      </c>
    </row>
    <row r="19" spans="2:6" ht="18" customHeight="1" x14ac:dyDescent="0.25">
      <c r="B19" s="154">
        <v>5</v>
      </c>
      <c r="C19" s="155" t="str">
        <f>Config!C9&amp;", "&amp;Config!D9</f>
        <v>Baumgarten, Annabell</v>
      </c>
      <c r="D19" s="156">
        <v>1.5</v>
      </c>
      <c r="E19" s="157">
        <v>2</v>
      </c>
      <c r="F19" s="158">
        <f t="shared" si="0"/>
        <v>3.5</v>
      </c>
    </row>
    <row r="20" spans="2:6" s="148" customFormat="1" ht="13.2" customHeight="1" x14ac:dyDescent="0.2">
      <c r="B20" s="153"/>
      <c r="C20" s="173" t="s">
        <v>126</v>
      </c>
      <c r="D20" s="99"/>
      <c r="E20" s="100"/>
      <c r="F20" s="150">
        <f t="shared" si="0"/>
        <v>0</v>
      </c>
    </row>
    <row r="21" spans="2:6" s="148" customFormat="1" ht="13.2" customHeight="1" thickBot="1" x14ac:dyDescent="0.25">
      <c r="B21" s="149"/>
      <c r="C21" s="174" t="s">
        <v>127</v>
      </c>
      <c r="D21" s="103"/>
      <c r="E21" s="104"/>
      <c r="F21" s="151">
        <f t="shared" si="0"/>
        <v>0</v>
      </c>
    </row>
    <row r="22" spans="2:6" ht="18" customHeight="1" x14ac:dyDescent="0.25">
      <c r="B22" s="163">
        <v>6</v>
      </c>
      <c r="C22" s="164" t="str">
        <f>Config!C10&amp;", "&amp;Config!D10</f>
        <v>Traut, Stefanie</v>
      </c>
      <c r="D22" s="165">
        <v>1.5</v>
      </c>
      <c r="E22" s="166">
        <v>3</v>
      </c>
      <c r="F22" s="167">
        <f t="shared" si="0"/>
        <v>4.5</v>
      </c>
    </row>
    <row r="23" spans="2:6" s="148" customFormat="1" ht="13.2" customHeight="1" x14ac:dyDescent="0.2">
      <c r="B23" s="162"/>
      <c r="C23" s="175" t="s">
        <v>126</v>
      </c>
      <c r="D23" s="101"/>
      <c r="E23" s="102"/>
      <c r="F23" s="160">
        <f t="shared" si="0"/>
        <v>0</v>
      </c>
    </row>
    <row r="24" spans="2:6" s="148" customFormat="1" ht="13.2" customHeight="1" thickBot="1" x14ac:dyDescent="0.25">
      <c r="B24" s="159"/>
      <c r="C24" s="176" t="s">
        <v>127</v>
      </c>
      <c r="D24" s="103"/>
      <c r="E24" s="104"/>
      <c r="F24" s="161">
        <f t="shared" si="0"/>
        <v>0</v>
      </c>
    </row>
    <row r="25" spans="2:6" ht="18" customHeight="1" x14ac:dyDescent="0.25">
      <c r="B25" s="154">
        <v>7</v>
      </c>
      <c r="C25" s="155" t="str">
        <f>Config!C11&amp;", "&amp;Config!D11</f>
        <v>Menke, Damian</v>
      </c>
      <c r="D25" s="156">
        <v>2</v>
      </c>
      <c r="E25" s="157">
        <v>2.5</v>
      </c>
      <c r="F25" s="158">
        <f t="shared" si="0"/>
        <v>4.5</v>
      </c>
    </row>
    <row r="26" spans="2:6" s="148" customFormat="1" ht="13.2" customHeight="1" x14ac:dyDescent="0.2">
      <c r="B26" s="153"/>
      <c r="C26" s="173" t="s">
        <v>126</v>
      </c>
      <c r="D26" s="99"/>
      <c r="E26" s="100"/>
      <c r="F26" s="150">
        <f t="shared" si="0"/>
        <v>0</v>
      </c>
    </row>
    <row r="27" spans="2:6" s="148" customFormat="1" ht="13.2" customHeight="1" thickBot="1" x14ac:dyDescent="0.25">
      <c r="B27" s="149"/>
      <c r="C27" s="174" t="s">
        <v>127</v>
      </c>
      <c r="D27" s="103"/>
      <c r="E27" s="104"/>
      <c r="F27" s="151">
        <f t="shared" si="0"/>
        <v>0</v>
      </c>
    </row>
    <row r="28" spans="2:6" ht="18" customHeight="1" x14ac:dyDescent="0.25">
      <c r="B28" s="163">
        <v>8</v>
      </c>
      <c r="C28" s="164" t="str">
        <f>Config!C12&amp;", "&amp;Config!D12</f>
        <v>Carroll, Meik</v>
      </c>
      <c r="D28" s="165">
        <v>2</v>
      </c>
      <c r="E28" s="166">
        <v>2</v>
      </c>
      <c r="F28" s="167">
        <f t="shared" si="0"/>
        <v>4</v>
      </c>
    </row>
    <row r="29" spans="2:6" s="148" customFormat="1" ht="13.2" customHeight="1" x14ac:dyDescent="0.2">
      <c r="B29" s="162"/>
      <c r="C29" s="175" t="s">
        <v>126</v>
      </c>
      <c r="D29" s="101"/>
      <c r="E29" s="102"/>
      <c r="F29" s="160">
        <f t="shared" si="0"/>
        <v>0</v>
      </c>
    </row>
    <row r="30" spans="2:6" s="148" customFormat="1" ht="13.2" customHeight="1" thickBot="1" x14ac:dyDescent="0.25">
      <c r="B30" s="159"/>
      <c r="C30" s="176" t="s">
        <v>127</v>
      </c>
      <c r="D30" s="103"/>
      <c r="E30" s="104"/>
      <c r="F30" s="161">
        <f t="shared" si="0"/>
        <v>0</v>
      </c>
    </row>
    <row r="31" spans="2:6" ht="18" customHeight="1" x14ac:dyDescent="0.25">
      <c r="B31" s="154">
        <v>9</v>
      </c>
      <c r="C31" s="155" t="str">
        <f>Config!C13&amp;", "&amp;Config!D13</f>
        <v>Hennings, Tomas</v>
      </c>
      <c r="D31" s="156">
        <v>1.5</v>
      </c>
      <c r="E31" s="157">
        <v>3</v>
      </c>
      <c r="F31" s="158">
        <f t="shared" si="0"/>
        <v>4.5</v>
      </c>
    </row>
    <row r="32" spans="2:6" s="148" customFormat="1" ht="13.2" customHeight="1" x14ac:dyDescent="0.2">
      <c r="B32" s="153"/>
      <c r="C32" s="173" t="s">
        <v>126</v>
      </c>
      <c r="D32" s="99"/>
      <c r="E32" s="100"/>
      <c r="F32" s="150">
        <f t="shared" si="0"/>
        <v>0</v>
      </c>
    </row>
    <row r="33" spans="2:6" s="148" customFormat="1" ht="13.2" customHeight="1" thickBot="1" x14ac:dyDescent="0.25">
      <c r="B33" s="149"/>
      <c r="C33" s="174" t="s">
        <v>127</v>
      </c>
      <c r="D33" s="103"/>
      <c r="E33" s="104"/>
      <c r="F33" s="151">
        <f t="shared" si="0"/>
        <v>0</v>
      </c>
    </row>
    <row r="34" spans="2:6" ht="18" customHeight="1" x14ac:dyDescent="0.25">
      <c r="B34" s="163">
        <v>10</v>
      </c>
      <c r="C34" s="164" t="str">
        <f>Config!C14&amp;", "&amp;Config!D14</f>
        <v>Walters, Linn</v>
      </c>
      <c r="D34" s="165">
        <v>1</v>
      </c>
      <c r="E34" s="166">
        <v>0</v>
      </c>
      <c r="F34" s="167">
        <f t="shared" si="0"/>
        <v>1</v>
      </c>
    </row>
    <row r="35" spans="2:6" s="148" customFormat="1" ht="13.2" customHeight="1" x14ac:dyDescent="0.2">
      <c r="B35" s="162"/>
      <c r="C35" s="175" t="s">
        <v>126</v>
      </c>
      <c r="D35" s="101"/>
      <c r="E35" s="102"/>
      <c r="F35" s="160">
        <f t="shared" si="0"/>
        <v>0</v>
      </c>
    </row>
    <row r="36" spans="2:6" s="148" customFormat="1" ht="13.2" customHeight="1" thickBot="1" x14ac:dyDescent="0.25">
      <c r="B36" s="159"/>
      <c r="C36" s="176" t="s">
        <v>127</v>
      </c>
      <c r="D36" s="103"/>
      <c r="E36" s="104"/>
      <c r="F36" s="161">
        <f t="shared" si="0"/>
        <v>0</v>
      </c>
    </row>
    <row r="37" spans="2:6" ht="18" customHeight="1" x14ac:dyDescent="0.25">
      <c r="B37" s="154">
        <v>11</v>
      </c>
      <c r="C37" s="155" t="str">
        <f>Config!C15&amp;", "&amp;Config!D15</f>
        <v>Junker, Amely</v>
      </c>
      <c r="D37" s="156">
        <v>2</v>
      </c>
      <c r="E37" s="157">
        <v>0</v>
      </c>
      <c r="F37" s="158">
        <f t="shared" si="0"/>
        <v>2</v>
      </c>
    </row>
    <row r="38" spans="2:6" s="148" customFormat="1" ht="13.2" customHeight="1" x14ac:dyDescent="0.2">
      <c r="B38" s="153"/>
      <c r="C38" s="173" t="s">
        <v>126</v>
      </c>
      <c r="D38" s="99"/>
      <c r="E38" s="100"/>
      <c r="F38" s="150">
        <f t="shared" si="0"/>
        <v>0</v>
      </c>
    </row>
    <row r="39" spans="2:6" s="148" customFormat="1" ht="13.2" customHeight="1" thickBot="1" x14ac:dyDescent="0.25">
      <c r="B39" s="149"/>
      <c r="C39" s="174" t="s">
        <v>127</v>
      </c>
      <c r="D39" s="103"/>
      <c r="E39" s="104"/>
      <c r="F39" s="151">
        <f t="shared" ref="F39:F70" si="1">SUM(D39:E39)</f>
        <v>0</v>
      </c>
    </row>
    <row r="40" spans="2:6" ht="18" customHeight="1" x14ac:dyDescent="0.25">
      <c r="B40" s="163">
        <v>12</v>
      </c>
      <c r="C40" s="164" t="str">
        <f>Config!C16&amp;", "&amp;Config!D16</f>
        <v>Stephens, Melvin</v>
      </c>
      <c r="D40" s="165">
        <v>0.5</v>
      </c>
      <c r="E40" s="166">
        <v>0</v>
      </c>
      <c r="F40" s="167">
        <f t="shared" si="1"/>
        <v>0.5</v>
      </c>
    </row>
    <row r="41" spans="2:6" s="148" customFormat="1" ht="13.2" customHeight="1" x14ac:dyDescent="0.2">
      <c r="B41" s="162"/>
      <c r="C41" s="175" t="s">
        <v>126</v>
      </c>
      <c r="D41" s="101"/>
      <c r="E41" s="102"/>
      <c r="F41" s="160">
        <f t="shared" si="1"/>
        <v>0</v>
      </c>
    </row>
    <row r="42" spans="2:6" s="148" customFormat="1" ht="13.2" customHeight="1" thickBot="1" x14ac:dyDescent="0.25">
      <c r="B42" s="159"/>
      <c r="C42" s="176" t="s">
        <v>127</v>
      </c>
      <c r="D42" s="103"/>
      <c r="E42" s="104"/>
      <c r="F42" s="161">
        <f t="shared" si="1"/>
        <v>0</v>
      </c>
    </row>
    <row r="43" spans="2:6" ht="18" customHeight="1" x14ac:dyDescent="0.25">
      <c r="B43" s="154">
        <v>13</v>
      </c>
      <c r="C43" s="155" t="str">
        <f>Config!C17&amp;", "&amp;Config!D17</f>
        <v>Cremer, Marvin</v>
      </c>
      <c r="D43" s="156">
        <v>1.5</v>
      </c>
      <c r="E43" s="157">
        <v>3</v>
      </c>
      <c r="F43" s="158">
        <f t="shared" si="1"/>
        <v>4.5</v>
      </c>
    </row>
    <row r="44" spans="2:6" s="148" customFormat="1" ht="13.2" customHeight="1" x14ac:dyDescent="0.2">
      <c r="B44" s="153"/>
      <c r="C44" s="173" t="s">
        <v>126</v>
      </c>
      <c r="D44" s="99"/>
      <c r="E44" s="100"/>
      <c r="F44" s="150">
        <f t="shared" si="1"/>
        <v>0</v>
      </c>
    </row>
    <row r="45" spans="2:6" s="148" customFormat="1" ht="13.2" customHeight="1" thickBot="1" x14ac:dyDescent="0.25">
      <c r="B45" s="149"/>
      <c r="C45" s="174" t="s">
        <v>127</v>
      </c>
      <c r="D45" s="103"/>
      <c r="E45" s="104"/>
      <c r="F45" s="151">
        <f t="shared" si="1"/>
        <v>0</v>
      </c>
    </row>
    <row r="46" spans="2:6" ht="18" customHeight="1" x14ac:dyDescent="0.25">
      <c r="B46" s="163">
        <v>14</v>
      </c>
      <c r="C46" s="164" t="str">
        <f>Config!C18&amp;", "&amp;Config!D18</f>
        <v>Nash, Jean</v>
      </c>
      <c r="D46" s="165">
        <v>2</v>
      </c>
      <c r="E46" s="166">
        <v>2</v>
      </c>
      <c r="F46" s="167">
        <f t="shared" si="1"/>
        <v>4</v>
      </c>
    </row>
    <row r="47" spans="2:6" s="148" customFormat="1" ht="13.2" customHeight="1" x14ac:dyDescent="0.2">
      <c r="B47" s="162"/>
      <c r="C47" s="175" t="s">
        <v>126</v>
      </c>
      <c r="D47" s="101"/>
      <c r="E47" s="102"/>
      <c r="F47" s="160">
        <f t="shared" si="1"/>
        <v>0</v>
      </c>
    </row>
    <row r="48" spans="2:6" s="148" customFormat="1" ht="13.2" customHeight="1" thickBot="1" x14ac:dyDescent="0.25">
      <c r="B48" s="159"/>
      <c r="C48" s="176" t="s">
        <v>127</v>
      </c>
      <c r="D48" s="103"/>
      <c r="E48" s="104"/>
      <c r="F48" s="161">
        <f t="shared" si="1"/>
        <v>0</v>
      </c>
    </row>
    <row r="49" spans="2:6" ht="18" customHeight="1" x14ac:dyDescent="0.25">
      <c r="B49" s="154">
        <v>15</v>
      </c>
      <c r="C49" s="155" t="str">
        <f>Config!C19&amp;", "&amp;Config!D19</f>
        <v>Schön, Leonardo</v>
      </c>
      <c r="D49" s="156">
        <v>2</v>
      </c>
      <c r="E49" s="157">
        <v>3</v>
      </c>
      <c r="F49" s="158">
        <f t="shared" si="1"/>
        <v>5</v>
      </c>
    </row>
    <row r="50" spans="2:6" s="148" customFormat="1" ht="13.2" customHeight="1" x14ac:dyDescent="0.2">
      <c r="B50" s="153"/>
      <c r="C50" s="173" t="s">
        <v>126</v>
      </c>
      <c r="D50" s="99"/>
      <c r="E50" s="100"/>
      <c r="F50" s="150">
        <f t="shared" si="1"/>
        <v>0</v>
      </c>
    </row>
    <row r="51" spans="2:6" s="148" customFormat="1" ht="13.2" customHeight="1" thickBot="1" x14ac:dyDescent="0.25">
      <c r="B51" s="149"/>
      <c r="C51" s="174" t="s">
        <v>127</v>
      </c>
      <c r="D51" s="103"/>
      <c r="E51" s="104"/>
      <c r="F51" s="151">
        <f t="shared" si="1"/>
        <v>0</v>
      </c>
    </row>
    <row r="52" spans="2:6" ht="18" customHeight="1" x14ac:dyDescent="0.25">
      <c r="B52" s="163">
        <v>16</v>
      </c>
      <c r="C52" s="164" t="str">
        <f>Config!C20&amp;", "&amp;Config!D20</f>
        <v>Sigl, Nicholas</v>
      </c>
      <c r="D52" s="165">
        <v>2</v>
      </c>
      <c r="E52" s="166">
        <v>2.5</v>
      </c>
      <c r="F52" s="167">
        <f t="shared" si="1"/>
        <v>4.5</v>
      </c>
    </row>
    <row r="53" spans="2:6" s="148" customFormat="1" ht="13.2" customHeight="1" x14ac:dyDescent="0.2">
      <c r="B53" s="162"/>
      <c r="C53" s="175" t="s">
        <v>126</v>
      </c>
      <c r="D53" s="101"/>
      <c r="E53" s="102"/>
      <c r="F53" s="160">
        <f t="shared" si="1"/>
        <v>0</v>
      </c>
    </row>
    <row r="54" spans="2:6" s="148" customFormat="1" ht="13.2" customHeight="1" thickBot="1" x14ac:dyDescent="0.25">
      <c r="B54" s="159"/>
      <c r="C54" s="176" t="s">
        <v>127</v>
      </c>
      <c r="D54" s="103"/>
      <c r="E54" s="104"/>
      <c r="F54" s="161">
        <f t="shared" si="1"/>
        <v>0</v>
      </c>
    </row>
    <row r="55" spans="2:6" ht="18" customHeight="1" x14ac:dyDescent="0.25">
      <c r="B55" s="154">
        <v>17</v>
      </c>
      <c r="C55" s="155" t="str">
        <f>Config!C21&amp;", "&amp;Config!D21</f>
        <v>Kainz, Vivienne</v>
      </c>
      <c r="D55" s="156">
        <v>2</v>
      </c>
      <c r="E55" s="157">
        <v>3</v>
      </c>
      <c r="F55" s="158">
        <f t="shared" si="1"/>
        <v>5</v>
      </c>
    </row>
    <row r="56" spans="2:6" s="148" customFormat="1" ht="13.2" customHeight="1" x14ac:dyDescent="0.2">
      <c r="B56" s="153"/>
      <c r="C56" s="173" t="s">
        <v>126</v>
      </c>
      <c r="D56" s="99"/>
      <c r="E56" s="100"/>
      <c r="F56" s="150">
        <f t="shared" si="1"/>
        <v>0</v>
      </c>
    </row>
    <row r="57" spans="2:6" s="148" customFormat="1" ht="13.2" customHeight="1" thickBot="1" x14ac:dyDescent="0.25">
      <c r="B57" s="149"/>
      <c r="C57" s="174" t="s">
        <v>127</v>
      </c>
      <c r="D57" s="103"/>
      <c r="E57" s="104"/>
      <c r="F57" s="151">
        <f t="shared" si="1"/>
        <v>0</v>
      </c>
    </row>
    <row r="58" spans="2:6" ht="18" customHeight="1" x14ac:dyDescent="0.25">
      <c r="B58" s="163">
        <v>18</v>
      </c>
      <c r="C58" s="164" t="str">
        <f>Config!C22&amp;", "&amp;Config!D22</f>
        <v>Hartmann, Mads</v>
      </c>
      <c r="D58" s="165">
        <v>1</v>
      </c>
      <c r="E58" s="166">
        <v>0</v>
      </c>
      <c r="F58" s="167">
        <f t="shared" si="1"/>
        <v>1</v>
      </c>
    </row>
    <row r="59" spans="2:6" s="148" customFormat="1" ht="13.2" customHeight="1" x14ac:dyDescent="0.2">
      <c r="B59" s="162"/>
      <c r="C59" s="175" t="s">
        <v>126</v>
      </c>
      <c r="D59" s="101"/>
      <c r="E59" s="102"/>
      <c r="F59" s="160">
        <f t="shared" si="1"/>
        <v>0</v>
      </c>
    </row>
    <row r="60" spans="2:6" s="148" customFormat="1" ht="13.2" customHeight="1" thickBot="1" x14ac:dyDescent="0.25">
      <c r="B60" s="159"/>
      <c r="C60" s="176" t="s">
        <v>127</v>
      </c>
      <c r="D60" s="103"/>
      <c r="E60" s="104"/>
      <c r="F60" s="161">
        <f t="shared" si="1"/>
        <v>0</v>
      </c>
    </row>
    <row r="61" spans="2:6" ht="18" customHeight="1" x14ac:dyDescent="0.25">
      <c r="B61" s="154">
        <v>19</v>
      </c>
      <c r="C61" s="155" t="str">
        <f>Config!C23&amp;", "&amp;Config!D23</f>
        <v>Ullmann, Raphael</v>
      </c>
      <c r="D61" s="156">
        <v>2</v>
      </c>
      <c r="E61" s="157">
        <v>0</v>
      </c>
      <c r="F61" s="158">
        <f t="shared" si="1"/>
        <v>2</v>
      </c>
    </row>
    <row r="62" spans="2:6" s="148" customFormat="1" ht="13.2" customHeight="1" x14ac:dyDescent="0.2">
      <c r="B62" s="153"/>
      <c r="C62" s="173" t="s">
        <v>126</v>
      </c>
      <c r="D62" s="99"/>
      <c r="E62" s="100"/>
      <c r="F62" s="150">
        <f t="shared" si="1"/>
        <v>0</v>
      </c>
    </row>
    <row r="63" spans="2:6" s="148" customFormat="1" ht="13.2" customHeight="1" thickBot="1" x14ac:dyDescent="0.25">
      <c r="B63" s="149"/>
      <c r="C63" s="174" t="s">
        <v>127</v>
      </c>
      <c r="D63" s="103"/>
      <c r="E63" s="104"/>
      <c r="F63" s="151">
        <f t="shared" si="1"/>
        <v>0</v>
      </c>
    </row>
    <row r="64" spans="2:6" ht="18" customHeight="1" x14ac:dyDescent="0.25">
      <c r="B64" s="163">
        <v>20</v>
      </c>
      <c r="C64" s="164" t="str">
        <f>Config!C24&amp;", "&amp;Config!D24</f>
        <v>Hartl, Emmely</v>
      </c>
      <c r="D64" s="165">
        <v>2</v>
      </c>
      <c r="E64" s="166">
        <v>0</v>
      </c>
      <c r="F64" s="167">
        <f t="shared" si="1"/>
        <v>2</v>
      </c>
    </row>
    <row r="65" spans="2:6" s="148" customFormat="1" ht="13.2" customHeight="1" x14ac:dyDescent="0.2">
      <c r="B65" s="162"/>
      <c r="C65" s="175" t="s">
        <v>126</v>
      </c>
      <c r="D65" s="101"/>
      <c r="E65" s="102"/>
      <c r="F65" s="160">
        <f t="shared" si="1"/>
        <v>0</v>
      </c>
    </row>
    <row r="66" spans="2:6" s="148" customFormat="1" ht="13.2" customHeight="1" thickBot="1" x14ac:dyDescent="0.25">
      <c r="B66" s="159"/>
      <c r="C66" s="176" t="s">
        <v>127</v>
      </c>
      <c r="D66" s="103"/>
      <c r="E66" s="104"/>
      <c r="F66" s="161">
        <f t="shared" si="1"/>
        <v>0</v>
      </c>
    </row>
    <row r="67" spans="2:6" ht="18" customHeight="1" x14ac:dyDescent="0.25">
      <c r="B67" s="154">
        <v>21</v>
      </c>
      <c r="C67" s="155" t="str">
        <f>Config!C25&amp;", "&amp;Config!D25</f>
        <v>Klotz, Karin</v>
      </c>
      <c r="D67" s="156">
        <v>2</v>
      </c>
      <c r="E67" s="157">
        <v>3</v>
      </c>
      <c r="F67" s="158">
        <f t="shared" si="1"/>
        <v>5</v>
      </c>
    </row>
    <row r="68" spans="2:6" s="148" customFormat="1" ht="13.2" customHeight="1" x14ac:dyDescent="0.2">
      <c r="B68" s="153"/>
      <c r="C68" s="173" t="s">
        <v>126</v>
      </c>
      <c r="D68" s="99"/>
      <c r="E68" s="100"/>
      <c r="F68" s="150">
        <f t="shared" si="1"/>
        <v>0</v>
      </c>
    </row>
    <row r="69" spans="2:6" s="148" customFormat="1" ht="13.2" customHeight="1" thickBot="1" x14ac:dyDescent="0.25">
      <c r="B69" s="149"/>
      <c r="C69" s="174" t="s">
        <v>127</v>
      </c>
      <c r="D69" s="103"/>
      <c r="E69" s="104"/>
      <c r="F69" s="151">
        <f t="shared" si="1"/>
        <v>0</v>
      </c>
    </row>
    <row r="70" spans="2:6" ht="18" customHeight="1" x14ac:dyDescent="0.25">
      <c r="B70" s="163">
        <v>22</v>
      </c>
      <c r="C70" s="164" t="str">
        <f>Config!C26&amp;", "&amp;Config!D26</f>
        <v>Ehlers, Ingo</v>
      </c>
      <c r="D70" s="165">
        <v>2</v>
      </c>
      <c r="E70" s="166">
        <v>3</v>
      </c>
      <c r="F70" s="167">
        <f t="shared" si="1"/>
        <v>5</v>
      </c>
    </row>
    <row r="71" spans="2:6" s="148" customFormat="1" ht="13.2" customHeight="1" x14ac:dyDescent="0.2">
      <c r="B71" s="162"/>
      <c r="C71" s="175" t="s">
        <v>126</v>
      </c>
      <c r="D71" s="101"/>
      <c r="E71" s="102"/>
      <c r="F71" s="160">
        <f t="shared" ref="F71:F75" si="2">SUM(D71:E71)</f>
        <v>0</v>
      </c>
    </row>
    <row r="72" spans="2:6" s="148" customFormat="1" ht="13.2" customHeight="1" thickBot="1" x14ac:dyDescent="0.25">
      <c r="B72" s="159"/>
      <c r="C72" s="176" t="s">
        <v>127</v>
      </c>
      <c r="D72" s="103"/>
      <c r="E72" s="104"/>
      <c r="F72" s="161">
        <f t="shared" si="2"/>
        <v>0</v>
      </c>
    </row>
    <row r="73" spans="2:6" ht="18" customHeight="1" x14ac:dyDescent="0.25">
      <c r="B73" s="154">
        <v>23</v>
      </c>
      <c r="C73" s="155" t="str">
        <f>Config!C27&amp;", "&amp;Config!D27</f>
        <v>Lindemann, Mads</v>
      </c>
      <c r="D73" s="156">
        <v>2</v>
      </c>
      <c r="E73" s="157">
        <v>1</v>
      </c>
      <c r="F73" s="158">
        <f t="shared" si="2"/>
        <v>3</v>
      </c>
    </row>
    <row r="74" spans="2:6" s="148" customFormat="1" ht="13.2" customHeight="1" x14ac:dyDescent="0.2">
      <c r="B74" s="153"/>
      <c r="C74" s="173" t="s">
        <v>126</v>
      </c>
      <c r="D74" s="99"/>
      <c r="E74" s="100"/>
      <c r="F74" s="150">
        <f t="shared" si="2"/>
        <v>0</v>
      </c>
    </row>
    <row r="75" spans="2:6" s="148" customFormat="1" ht="13.2" customHeight="1" thickBot="1" x14ac:dyDescent="0.25">
      <c r="B75" s="172"/>
      <c r="C75" s="177" t="s">
        <v>127</v>
      </c>
      <c r="D75" s="105"/>
      <c r="E75" s="106"/>
      <c r="F75" s="151">
        <f t="shared" si="2"/>
        <v>0</v>
      </c>
    </row>
    <row r="76" spans="2:6" ht="18" customHeight="1" thickBot="1" x14ac:dyDescent="0.3">
      <c r="B76" s="131"/>
      <c r="C76" s="132"/>
      <c r="D76" s="132">
        <f>IF(COUNTIFS(D7:D73,"&lt;&gt;",C7:C73,"&lt;&gt;ZK",C7:C73,"&lt;&gt;DK")&lt;&gt;0,SUMIFS(D7:D73,C7:C73,"&lt;&gt;ZK",C7:C73,"&lt;&gt;DK")/(COUNTIFS(D7:D73,"&lt;&gt;",C7:C73,"&lt;&gt;ZK",C7:C73,"&lt;&gt;DK")*D6),0)</f>
        <v>0.82608695652173914</v>
      </c>
      <c r="E76" s="132">
        <f>IF(COUNTIFS(E7:E73,"&lt;&gt;",C7:C73,"&lt;&gt;ZK",C7:C73,"&lt;&gt;DK")&lt;&gt;0,SUMIFS(E7:E73,C7:C73,"&lt;&gt;ZK",C7:C73,"&lt;&gt;DK")/(COUNTIFS(E7:E73,"&lt;&gt;",C7:C73,"&lt;&gt;ZK",C7:C73,"&lt;&gt;DK")*E6),0)</f>
        <v>0.56521739130434778</v>
      </c>
      <c r="F76" s="133"/>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2">
    <dataValidation type="decimal" allowBlank="1" showErrorMessage="1" sqref="D7:D75" xr:uid="{E5CB6C12-5344-4989-AC73-317A02E9E252}">
      <formula1>0</formula1>
      <formula2>$D$6</formula2>
    </dataValidation>
    <dataValidation type="decimal" allowBlank="1" showErrorMessage="1" sqref="E7:E75" xr:uid="{DC8E14BB-F7D7-4140-B0FE-E0085EF73D5C}">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B91B-AD9F-4594-9814-15D4558F9840}">
  <sheetPr codeName="Tabelle15">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14</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Config!P6</f>
        <v>1a</v>
      </c>
      <c r="E5" s="197" t="str">
        <f>Config!P7</f>
        <v>1b</v>
      </c>
      <c r="F5" s="197" t="str">
        <f>Config!P8</f>
        <v>1c</v>
      </c>
      <c r="G5" s="197" t="str">
        <f>Config!P9</f>
        <v>1d</v>
      </c>
      <c r="H5" s="197" t="str">
        <f>Config!P10</f>
        <v>1e</v>
      </c>
      <c r="I5" s="195" t="s">
        <v>82</v>
      </c>
    </row>
    <row r="6" spans="2:9" ht="18" customHeight="1" thickBot="1" x14ac:dyDescent="0.3">
      <c r="B6" s="118"/>
      <c r="C6" s="116" t="s">
        <v>81</v>
      </c>
      <c r="D6" s="196">
        <f>Config!Q6</f>
        <v>4</v>
      </c>
      <c r="E6" s="196">
        <f>Config!Q7</f>
        <v>3</v>
      </c>
      <c r="F6" s="196">
        <f>Config!Q8</f>
        <v>4</v>
      </c>
      <c r="G6" s="196">
        <f>Config!Q9</f>
        <v>3</v>
      </c>
      <c r="H6" s="196">
        <f>Config!Q10</f>
        <v>4</v>
      </c>
      <c r="I6" s="198">
        <f>Config!Q21</f>
        <v>18</v>
      </c>
    </row>
    <row r="7" spans="2:9" ht="18" customHeight="1" x14ac:dyDescent="0.25">
      <c r="B7" s="168">
        <v>1</v>
      </c>
      <c r="C7" s="169" t="str">
        <f>Config!C5&amp;", "&amp;Config!D5</f>
        <v>Höfer, Simon</v>
      </c>
      <c r="D7" s="170">
        <v>4</v>
      </c>
      <c r="E7" s="170">
        <v>2</v>
      </c>
      <c r="F7" s="170">
        <v>2</v>
      </c>
      <c r="G7" s="170">
        <v>0.5</v>
      </c>
      <c r="H7" s="171">
        <v>0.5</v>
      </c>
      <c r="I7" s="152">
        <f t="shared" ref="I7:I38" si="0">SUM(D7:H7)</f>
        <v>9</v>
      </c>
    </row>
    <row r="8" spans="2:9" s="148" customFormat="1" ht="13.2" customHeight="1" x14ac:dyDescent="0.2">
      <c r="B8" s="153"/>
      <c r="C8" s="173" t="s">
        <v>126</v>
      </c>
      <c r="D8" s="99"/>
      <c r="E8" s="99"/>
      <c r="F8" s="99"/>
      <c r="G8" s="99"/>
      <c r="H8" s="100"/>
      <c r="I8" s="150">
        <f t="shared" si="0"/>
        <v>0</v>
      </c>
    </row>
    <row r="9" spans="2:9" s="148" customFormat="1" ht="13.2" customHeight="1" thickBot="1" x14ac:dyDescent="0.25">
      <c r="B9" s="149"/>
      <c r="C9" s="174" t="s">
        <v>127</v>
      </c>
      <c r="D9" s="103"/>
      <c r="E9" s="103"/>
      <c r="F9" s="103"/>
      <c r="G9" s="103"/>
      <c r="H9" s="104"/>
      <c r="I9" s="151">
        <f t="shared" si="0"/>
        <v>0</v>
      </c>
    </row>
    <row r="10" spans="2:9" ht="18" customHeight="1" x14ac:dyDescent="0.25">
      <c r="B10" s="163">
        <v>2</v>
      </c>
      <c r="C10" s="164" t="str">
        <f>Config!C6&amp;", "&amp;Config!D6</f>
        <v>Töpfer, Lilian</v>
      </c>
      <c r="D10" s="165">
        <v>4</v>
      </c>
      <c r="E10" s="165">
        <v>0</v>
      </c>
      <c r="F10" s="165">
        <v>2.5</v>
      </c>
      <c r="G10" s="165">
        <v>0.5</v>
      </c>
      <c r="H10" s="166">
        <v>2</v>
      </c>
      <c r="I10" s="167">
        <f t="shared" si="0"/>
        <v>9</v>
      </c>
    </row>
    <row r="11" spans="2:9" s="148" customFormat="1" ht="13.2" customHeight="1" x14ac:dyDescent="0.2">
      <c r="B11" s="162"/>
      <c r="C11" s="175" t="s">
        <v>126</v>
      </c>
      <c r="D11" s="101"/>
      <c r="E11" s="101"/>
      <c r="F11" s="101"/>
      <c r="G11" s="101"/>
      <c r="H11" s="102"/>
      <c r="I11" s="160">
        <f t="shared" si="0"/>
        <v>0</v>
      </c>
    </row>
    <row r="12" spans="2:9" s="148" customFormat="1" ht="13.2" customHeight="1" thickBot="1" x14ac:dyDescent="0.25">
      <c r="B12" s="159"/>
      <c r="C12" s="176" t="s">
        <v>127</v>
      </c>
      <c r="D12" s="103"/>
      <c r="E12" s="103"/>
      <c r="F12" s="103"/>
      <c r="G12" s="103"/>
      <c r="H12" s="104"/>
      <c r="I12" s="161">
        <f t="shared" si="0"/>
        <v>0</v>
      </c>
    </row>
    <row r="13" spans="2:9" ht="18" customHeight="1" x14ac:dyDescent="0.25">
      <c r="B13" s="154">
        <v>3</v>
      </c>
      <c r="C13" s="155" t="str">
        <f>Config!C7&amp;", "&amp;Config!D7</f>
        <v>Fleischmann, Leonie</v>
      </c>
      <c r="D13" s="156">
        <v>4</v>
      </c>
      <c r="E13" s="156">
        <v>2</v>
      </c>
      <c r="F13" s="156">
        <v>3</v>
      </c>
      <c r="G13" s="156">
        <v>2</v>
      </c>
      <c r="H13" s="157">
        <v>3</v>
      </c>
      <c r="I13" s="158">
        <f t="shared" si="0"/>
        <v>14</v>
      </c>
    </row>
    <row r="14" spans="2:9" s="148" customFormat="1" ht="13.2" customHeight="1" x14ac:dyDescent="0.2">
      <c r="B14" s="153"/>
      <c r="C14" s="173" t="s">
        <v>126</v>
      </c>
      <c r="D14" s="99"/>
      <c r="E14" s="99"/>
      <c r="F14" s="99"/>
      <c r="G14" s="99"/>
      <c r="H14" s="100"/>
      <c r="I14" s="150">
        <f t="shared" si="0"/>
        <v>0</v>
      </c>
    </row>
    <row r="15" spans="2:9" s="148" customFormat="1" ht="13.2" customHeight="1" thickBot="1" x14ac:dyDescent="0.25">
      <c r="B15" s="149"/>
      <c r="C15" s="174" t="s">
        <v>127</v>
      </c>
      <c r="D15" s="103"/>
      <c r="E15" s="103"/>
      <c r="F15" s="103"/>
      <c r="G15" s="103"/>
      <c r="H15" s="104"/>
      <c r="I15" s="151">
        <f t="shared" si="0"/>
        <v>0</v>
      </c>
    </row>
    <row r="16" spans="2:9" ht="18" customHeight="1" x14ac:dyDescent="0.25">
      <c r="B16" s="163">
        <v>4</v>
      </c>
      <c r="C16" s="164" t="str">
        <f>Config!C8&amp;", "&amp;Config!D8</f>
        <v>Drescher, Cedric</v>
      </c>
      <c r="D16" s="165">
        <v>4</v>
      </c>
      <c r="E16" s="165">
        <v>2</v>
      </c>
      <c r="F16" s="165">
        <v>3.5</v>
      </c>
      <c r="G16" s="165">
        <v>0</v>
      </c>
      <c r="H16" s="166">
        <v>4</v>
      </c>
      <c r="I16" s="167">
        <f t="shared" si="0"/>
        <v>13.5</v>
      </c>
    </row>
    <row r="17" spans="2:9" s="148" customFormat="1" ht="13.2" customHeight="1" x14ac:dyDescent="0.2">
      <c r="B17" s="162"/>
      <c r="C17" s="175" t="s">
        <v>126</v>
      </c>
      <c r="D17" s="101"/>
      <c r="E17" s="101"/>
      <c r="F17" s="101"/>
      <c r="G17" s="101"/>
      <c r="H17" s="102"/>
      <c r="I17" s="160">
        <f t="shared" si="0"/>
        <v>0</v>
      </c>
    </row>
    <row r="18" spans="2:9" s="148" customFormat="1" ht="13.2" customHeight="1" thickBot="1" x14ac:dyDescent="0.25">
      <c r="B18" s="159"/>
      <c r="C18" s="176" t="s">
        <v>127</v>
      </c>
      <c r="D18" s="103"/>
      <c r="E18" s="103"/>
      <c r="F18" s="103"/>
      <c r="G18" s="103"/>
      <c r="H18" s="104"/>
      <c r="I18" s="161">
        <f t="shared" si="0"/>
        <v>0</v>
      </c>
    </row>
    <row r="19" spans="2:9" ht="18" customHeight="1" x14ac:dyDescent="0.25">
      <c r="B19" s="154">
        <v>5</v>
      </c>
      <c r="C19" s="155" t="str">
        <f>Config!C9&amp;", "&amp;Config!D9</f>
        <v>Baumgarten, Annabell</v>
      </c>
      <c r="D19" s="156">
        <v>4</v>
      </c>
      <c r="E19" s="156">
        <v>2</v>
      </c>
      <c r="F19" s="156">
        <v>3</v>
      </c>
      <c r="G19" s="156">
        <v>0</v>
      </c>
      <c r="H19" s="157">
        <v>3</v>
      </c>
      <c r="I19" s="158">
        <f t="shared" si="0"/>
        <v>12</v>
      </c>
    </row>
    <row r="20" spans="2:9" s="148" customFormat="1" ht="13.2" customHeight="1" x14ac:dyDescent="0.2">
      <c r="B20" s="153"/>
      <c r="C20" s="173" t="s">
        <v>126</v>
      </c>
      <c r="D20" s="99"/>
      <c r="E20" s="99"/>
      <c r="F20" s="99"/>
      <c r="G20" s="99"/>
      <c r="H20" s="100"/>
      <c r="I20" s="150">
        <f t="shared" si="0"/>
        <v>0</v>
      </c>
    </row>
    <row r="21" spans="2:9" s="148" customFormat="1" ht="13.2" customHeight="1" thickBot="1" x14ac:dyDescent="0.25">
      <c r="B21" s="149"/>
      <c r="C21" s="174" t="s">
        <v>127</v>
      </c>
      <c r="D21" s="103"/>
      <c r="E21" s="103"/>
      <c r="F21" s="103"/>
      <c r="G21" s="103"/>
      <c r="H21" s="104"/>
      <c r="I21" s="151">
        <f t="shared" si="0"/>
        <v>0</v>
      </c>
    </row>
    <row r="22" spans="2:9" ht="18" customHeight="1" x14ac:dyDescent="0.25">
      <c r="B22" s="163">
        <v>6</v>
      </c>
      <c r="C22" s="164" t="str">
        <f>Config!C10&amp;", "&amp;Config!D10</f>
        <v>Traut, Stefanie</v>
      </c>
      <c r="D22" s="165">
        <v>4</v>
      </c>
      <c r="E22" s="165">
        <v>3</v>
      </c>
      <c r="F22" s="165">
        <v>4</v>
      </c>
      <c r="G22" s="165">
        <v>2</v>
      </c>
      <c r="H22" s="166">
        <v>4</v>
      </c>
      <c r="I22" s="167">
        <f t="shared" si="0"/>
        <v>17</v>
      </c>
    </row>
    <row r="23" spans="2:9" s="148" customFormat="1" ht="13.2" customHeight="1" x14ac:dyDescent="0.2">
      <c r="B23" s="162"/>
      <c r="C23" s="175" t="s">
        <v>126</v>
      </c>
      <c r="D23" s="101"/>
      <c r="E23" s="101"/>
      <c r="F23" s="101"/>
      <c r="G23" s="101"/>
      <c r="H23" s="102"/>
      <c r="I23" s="160">
        <f t="shared" si="0"/>
        <v>0</v>
      </c>
    </row>
    <row r="24" spans="2:9" s="148" customFormat="1" ht="13.2" customHeight="1" thickBot="1" x14ac:dyDescent="0.25">
      <c r="B24" s="159"/>
      <c r="C24" s="176" t="s">
        <v>127</v>
      </c>
      <c r="D24" s="103"/>
      <c r="E24" s="103"/>
      <c r="F24" s="103"/>
      <c r="G24" s="103"/>
      <c r="H24" s="104"/>
      <c r="I24" s="161">
        <f t="shared" si="0"/>
        <v>0</v>
      </c>
    </row>
    <row r="25" spans="2:9" ht="18" customHeight="1" x14ac:dyDescent="0.25">
      <c r="B25" s="154">
        <v>7</v>
      </c>
      <c r="C25" s="155" t="str">
        <f>Config!C11&amp;", "&amp;Config!D11</f>
        <v>Menke, Damian</v>
      </c>
      <c r="D25" s="156">
        <v>4</v>
      </c>
      <c r="E25" s="156">
        <v>3</v>
      </c>
      <c r="F25" s="156">
        <v>3.5</v>
      </c>
      <c r="G25" s="156">
        <v>0.5</v>
      </c>
      <c r="H25" s="157">
        <v>4</v>
      </c>
      <c r="I25" s="158">
        <f t="shared" si="0"/>
        <v>15</v>
      </c>
    </row>
    <row r="26" spans="2:9" s="148" customFormat="1" ht="13.2" customHeight="1" x14ac:dyDescent="0.2">
      <c r="B26" s="153"/>
      <c r="C26" s="173" t="s">
        <v>126</v>
      </c>
      <c r="D26" s="99"/>
      <c r="E26" s="99"/>
      <c r="F26" s="99"/>
      <c r="G26" s="99"/>
      <c r="H26" s="100"/>
      <c r="I26" s="150">
        <f t="shared" si="0"/>
        <v>0</v>
      </c>
    </row>
    <row r="27" spans="2:9" s="148" customFormat="1" ht="13.2" customHeight="1" thickBot="1" x14ac:dyDescent="0.25">
      <c r="B27" s="149"/>
      <c r="C27" s="174" t="s">
        <v>127</v>
      </c>
      <c r="D27" s="103"/>
      <c r="E27" s="103"/>
      <c r="F27" s="103"/>
      <c r="G27" s="103"/>
      <c r="H27" s="104"/>
      <c r="I27" s="151">
        <f t="shared" si="0"/>
        <v>0</v>
      </c>
    </row>
    <row r="28" spans="2:9" ht="18" customHeight="1" x14ac:dyDescent="0.25">
      <c r="B28" s="163">
        <v>8</v>
      </c>
      <c r="C28" s="164" t="str">
        <f>Config!C12&amp;", "&amp;Config!D12</f>
        <v>Carroll, Meik</v>
      </c>
      <c r="D28" s="165">
        <v>3.5</v>
      </c>
      <c r="E28" s="165">
        <v>2</v>
      </c>
      <c r="F28" s="165">
        <v>3.5</v>
      </c>
      <c r="G28" s="165">
        <v>2</v>
      </c>
      <c r="H28" s="166">
        <v>2</v>
      </c>
      <c r="I28" s="167">
        <f t="shared" si="0"/>
        <v>13</v>
      </c>
    </row>
    <row r="29" spans="2:9" s="148" customFormat="1" ht="13.2" customHeight="1" x14ac:dyDescent="0.2">
      <c r="B29" s="162"/>
      <c r="C29" s="175" t="s">
        <v>126</v>
      </c>
      <c r="D29" s="101"/>
      <c r="E29" s="101"/>
      <c r="F29" s="101"/>
      <c r="G29" s="101"/>
      <c r="H29" s="102"/>
      <c r="I29" s="160">
        <f t="shared" si="0"/>
        <v>0</v>
      </c>
    </row>
    <row r="30" spans="2:9" s="148" customFormat="1" ht="13.2" customHeight="1" thickBot="1" x14ac:dyDescent="0.25">
      <c r="B30" s="159"/>
      <c r="C30" s="176" t="s">
        <v>127</v>
      </c>
      <c r="D30" s="103"/>
      <c r="E30" s="103"/>
      <c r="F30" s="103"/>
      <c r="G30" s="103"/>
      <c r="H30" s="104"/>
      <c r="I30" s="161">
        <f t="shared" si="0"/>
        <v>0</v>
      </c>
    </row>
    <row r="31" spans="2:9" ht="18" customHeight="1" x14ac:dyDescent="0.25">
      <c r="B31" s="154">
        <v>9</v>
      </c>
      <c r="C31" s="155" t="str">
        <f>Config!C13&amp;", "&amp;Config!D13</f>
        <v>Hennings, Tomas</v>
      </c>
      <c r="D31" s="156">
        <v>2</v>
      </c>
      <c r="E31" s="156">
        <v>0</v>
      </c>
      <c r="F31" s="156">
        <v>1</v>
      </c>
      <c r="G31" s="156">
        <v>1</v>
      </c>
      <c r="H31" s="157">
        <v>0</v>
      </c>
      <c r="I31" s="158">
        <f t="shared" si="0"/>
        <v>4</v>
      </c>
    </row>
    <row r="32" spans="2:9" s="148" customFormat="1" ht="13.2" customHeight="1" x14ac:dyDescent="0.2">
      <c r="B32" s="153"/>
      <c r="C32" s="173" t="s">
        <v>126</v>
      </c>
      <c r="D32" s="99"/>
      <c r="E32" s="99"/>
      <c r="F32" s="99"/>
      <c r="G32" s="99"/>
      <c r="H32" s="100"/>
      <c r="I32" s="150">
        <f t="shared" si="0"/>
        <v>0</v>
      </c>
    </row>
    <row r="33" spans="2:9" s="148" customFormat="1" ht="13.2" customHeight="1" thickBot="1" x14ac:dyDescent="0.25">
      <c r="B33" s="149"/>
      <c r="C33" s="174" t="s">
        <v>127</v>
      </c>
      <c r="D33" s="103"/>
      <c r="E33" s="103"/>
      <c r="F33" s="103"/>
      <c r="G33" s="103"/>
      <c r="H33" s="104"/>
      <c r="I33" s="151">
        <f t="shared" si="0"/>
        <v>0</v>
      </c>
    </row>
    <row r="34" spans="2:9" ht="18" customHeight="1" x14ac:dyDescent="0.25">
      <c r="B34" s="163">
        <v>10</v>
      </c>
      <c r="C34" s="164" t="str">
        <f>Config!C14&amp;", "&amp;Config!D14</f>
        <v>Walters, Linn</v>
      </c>
      <c r="D34" s="165">
        <v>2.5</v>
      </c>
      <c r="E34" s="165">
        <v>1</v>
      </c>
      <c r="F34" s="165">
        <v>3</v>
      </c>
      <c r="G34" s="165">
        <v>2</v>
      </c>
      <c r="H34" s="166">
        <v>0</v>
      </c>
      <c r="I34" s="167">
        <f t="shared" si="0"/>
        <v>8.5</v>
      </c>
    </row>
    <row r="35" spans="2:9" s="148" customFormat="1" ht="13.2" customHeight="1" x14ac:dyDescent="0.2">
      <c r="B35" s="162"/>
      <c r="C35" s="175" t="s">
        <v>126</v>
      </c>
      <c r="D35" s="101"/>
      <c r="E35" s="101"/>
      <c r="F35" s="101"/>
      <c r="G35" s="101"/>
      <c r="H35" s="102"/>
      <c r="I35" s="160">
        <f t="shared" si="0"/>
        <v>0</v>
      </c>
    </row>
    <row r="36" spans="2:9" s="148" customFormat="1" ht="13.2" customHeight="1" thickBot="1" x14ac:dyDescent="0.25">
      <c r="B36" s="159"/>
      <c r="C36" s="176" t="s">
        <v>127</v>
      </c>
      <c r="D36" s="103"/>
      <c r="E36" s="103"/>
      <c r="F36" s="103"/>
      <c r="G36" s="103"/>
      <c r="H36" s="104"/>
      <c r="I36" s="161">
        <f t="shared" si="0"/>
        <v>0</v>
      </c>
    </row>
    <row r="37" spans="2:9" ht="18" customHeight="1" x14ac:dyDescent="0.25">
      <c r="B37" s="154">
        <v>11</v>
      </c>
      <c r="C37" s="155" t="str">
        <f>Config!C15&amp;", "&amp;Config!D15</f>
        <v>Junker, Amely</v>
      </c>
      <c r="D37" s="156">
        <v>4</v>
      </c>
      <c r="E37" s="156">
        <v>3</v>
      </c>
      <c r="F37" s="156">
        <v>2</v>
      </c>
      <c r="G37" s="156">
        <v>2</v>
      </c>
      <c r="H37" s="157">
        <v>2</v>
      </c>
      <c r="I37" s="158">
        <f t="shared" si="0"/>
        <v>13</v>
      </c>
    </row>
    <row r="38" spans="2:9" s="148" customFormat="1" ht="13.2" customHeight="1" x14ac:dyDescent="0.2">
      <c r="B38" s="153"/>
      <c r="C38" s="173" t="s">
        <v>126</v>
      </c>
      <c r="D38" s="99"/>
      <c r="E38" s="99"/>
      <c r="F38" s="99"/>
      <c r="G38" s="99"/>
      <c r="H38" s="100"/>
      <c r="I38" s="150">
        <f t="shared" si="0"/>
        <v>0</v>
      </c>
    </row>
    <row r="39" spans="2:9" s="148" customFormat="1" ht="13.2" customHeight="1" thickBot="1" x14ac:dyDescent="0.25">
      <c r="B39" s="149"/>
      <c r="C39" s="174" t="s">
        <v>127</v>
      </c>
      <c r="D39" s="103"/>
      <c r="E39" s="103"/>
      <c r="F39" s="103"/>
      <c r="G39" s="103"/>
      <c r="H39" s="104"/>
      <c r="I39" s="151">
        <f t="shared" ref="I39:I70" si="1">SUM(D39:H39)</f>
        <v>0</v>
      </c>
    </row>
    <row r="40" spans="2:9" ht="18" customHeight="1" x14ac:dyDescent="0.25">
      <c r="B40" s="163">
        <v>12</v>
      </c>
      <c r="C40" s="164" t="str">
        <f>Config!C16&amp;", "&amp;Config!D16</f>
        <v>Stephens, Melvin</v>
      </c>
      <c r="D40" s="165">
        <v>4</v>
      </c>
      <c r="E40" s="165">
        <v>2</v>
      </c>
      <c r="F40" s="165">
        <v>3</v>
      </c>
      <c r="G40" s="165">
        <v>2</v>
      </c>
      <c r="H40" s="166">
        <v>2</v>
      </c>
      <c r="I40" s="167">
        <f t="shared" si="1"/>
        <v>13</v>
      </c>
    </row>
    <row r="41" spans="2:9" s="148" customFormat="1" ht="13.2" customHeight="1" x14ac:dyDescent="0.2">
      <c r="B41" s="162"/>
      <c r="C41" s="175" t="s">
        <v>126</v>
      </c>
      <c r="D41" s="101"/>
      <c r="E41" s="101"/>
      <c r="F41" s="101"/>
      <c r="G41" s="101"/>
      <c r="H41" s="102"/>
      <c r="I41" s="160">
        <f t="shared" si="1"/>
        <v>0</v>
      </c>
    </row>
    <row r="42" spans="2:9" s="148" customFormat="1" ht="13.2" customHeight="1" thickBot="1" x14ac:dyDescent="0.25">
      <c r="B42" s="159"/>
      <c r="C42" s="176" t="s">
        <v>127</v>
      </c>
      <c r="D42" s="103"/>
      <c r="E42" s="103"/>
      <c r="F42" s="103"/>
      <c r="G42" s="103"/>
      <c r="H42" s="104"/>
      <c r="I42" s="161">
        <f t="shared" si="1"/>
        <v>0</v>
      </c>
    </row>
    <row r="43" spans="2:9" ht="18" customHeight="1" x14ac:dyDescent="0.25">
      <c r="B43" s="154">
        <v>13</v>
      </c>
      <c r="C43" s="155" t="str">
        <f>Config!C17&amp;", "&amp;Config!D17</f>
        <v>Cremer, Marvin</v>
      </c>
      <c r="D43" s="156">
        <v>3</v>
      </c>
      <c r="E43" s="156">
        <v>0</v>
      </c>
      <c r="F43" s="156">
        <v>0</v>
      </c>
      <c r="G43" s="156">
        <v>0</v>
      </c>
      <c r="H43" s="157">
        <v>0</v>
      </c>
      <c r="I43" s="158">
        <f t="shared" si="1"/>
        <v>3</v>
      </c>
    </row>
    <row r="44" spans="2:9" s="148" customFormat="1" ht="13.2" customHeight="1" x14ac:dyDescent="0.2">
      <c r="B44" s="153"/>
      <c r="C44" s="173" t="s">
        <v>126</v>
      </c>
      <c r="D44" s="99"/>
      <c r="E44" s="99"/>
      <c r="F44" s="99"/>
      <c r="G44" s="99"/>
      <c r="H44" s="100"/>
      <c r="I44" s="150">
        <f t="shared" si="1"/>
        <v>0</v>
      </c>
    </row>
    <row r="45" spans="2:9" s="148" customFormat="1" ht="13.2" customHeight="1" thickBot="1" x14ac:dyDescent="0.25">
      <c r="B45" s="149"/>
      <c r="C45" s="174" t="s">
        <v>127</v>
      </c>
      <c r="D45" s="103"/>
      <c r="E45" s="103"/>
      <c r="F45" s="103"/>
      <c r="G45" s="103"/>
      <c r="H45" s="104"/>
      <c r="I45" s="151">
        <f t="shared" si="1"/>
        <v>0</v>
      </c>
    </row>
    <row r="46" spans="2:9" ht="18" customHeight="1" x14ac:dyDescent="0.25">
      <c r="B46" s="163">
        <v>14</v>
      </c>
      <c r="C46" s="164" t="str">
        <f>Config!C18&amp;", "&amp;Config!D18</f>
        <v>Nash, Jean</v>
      </c>
      <c r="D46" s="165">
        <v>4</v>
      </c>
      <c r="E46" s="165">
        <v>3</v>
      </c>
      <c r="F46" s="165">
        <v>2</v>
      </c>
      <c r="G46" s="165">
        <v>2</v>
      </c>
      <c r="H46" s="166">
        <v>3.5</v>
      </c>
      <c r="I46" s="167">
        <f t="shared" si="1"/>
        <v>14.5</v>
      </c>
    </row>
    <row r="47" spans="2:9" s="148" customFormat="1" ht="13.2" customHeight="1" x14ac:dyDescent="0.2">
      <c r="B47" s="162"/>
      <c r="C47" s="175" t="s">
        <v>126</v>
      </c>
      <c r="D47" s="101"/>
      <c r="E47" s="101"/>
      <c r="F47" s="101"/>
      <c r="G47" s="101"/>
      <c r="H47" s="102"/>
      <c r="I47" s="160">
        <f t="shared" si="1"/>
        <v>0</v>
      </c>
    </row>
    <row r="48" spans="2:9" s="148" customFormat="1" ht="13.2" customHeight="1" thickBot="1" x14ac:dyDescent="0.25">
      <c r="B48" s="159"/>
      <c r="C48" s="176" t="s">
        <v>127</v>
      </c>
      <c r="D48" s="103"/>
      <c r="E48" s="103"/>
      <c r="F48" s="103"/>
      <c r="G48" s="103"/>
      <c r="H48" s="104"/>
      <c r="I48" s="161">
        <f t="shared" si="1"/>
        <v>0</v>
      </c>
    </row>
    <row r="49" spans="2:9" ht="18" customHeight="1" x14ac:dyDescent="0.25">
      <c r="B49" s="154">
        <v>15</v>
      </c>
      <c r="C49" s="155" t="str">
        <f>Config!C19&amp;", "&amp;Config!D19</f>
        <v>Schön, Leonardo</v>
      </c>
      <c r="D49" s="156">
        <v>4</v>
      </c>
      <c r="E49" s="156">
        <v>1</v>
      </c>
      <c r="F49" s="156">
        <v>1</v>
      </c>
      <c r="G49" s="156">
        <v>0.5</v>
      </c>
      <c r="H49" s="157">
        <v>0</v>
      </c>
      <c r="I49" s="158">
        <f t="shared" si="1"/>
        <v>6.5</v>
      </c>
    </row>
    <row r="50" spans="2:9" s="148" customFormat="1" ht="13.2" customHeight="1" x14ac:dyDescent="0.2">
      <c r="B50" s="153"/>
      <c r="C50" s="173" t="s">
        <v>126</v>
      </c>
      <c r="D50" s="99"/>
      <c r="E50" s="99"/>
      <c r="F50" s="99"/>
      <c r="G50" s="99"/>
      <c r="H50" s="100"/>
      <c r="I50" s="150">
        <f t="shared" si="1"/>
        <v>0</v>
      </c>
    </row>
    <row r="51" spans="2:9" s="148" customFormat="1" ht="13.2" customHeight="1" thickBot="1" x14ac:dyDescent="0.25">
      <c r="B51" s="149"/>
      <c r="C51" s="174" t="s">
        <v>127</v>
      </c>
      <c r="D51" s="103"/>
      <c r="E51" s="103"/>
      <c r="F51" s="103"/>
      <c r="G51" s="103"/>
      <c r="H51" s="104"/>
      <c r="I51" s="151">
        <f t="shared" si="1"/>
        <v>0</v>
      </c>
    </row>
    <row r="52" spans="2:9" ht="18" customHeight="1" x14ac:dyDescent="0.25">
      <c r="B52" s="163">
        <v>16</v>
      </c>
      <c r="C52" s="164" t="str">
        <f>Config!C20&amp;", "&amp;Config!D20</f>
        <v>Sigl, Nicholas</v>
      </c>
      <c r="D52" s="165">
        <v>4</v>
      </c>
      <c r="E52" s="165">
        <v>0.5</v>
      </c>
      <c r="F52" s="165">
        <v>1</v>
      </c>
      <c r="G52" s="165">
        <v>0.5</v>
      </c>
      <c r="H52" s="166">
        <v>0</v>
      </c>
      <c r="I52" s="167">
        <f t="shared" si="1"/>
        <v>6</v>
      </c>
    </row>
    <row r="53" spans="2:9" s="148" customFormat="1" ht="13.2" customHeight="1" x14ac:dyDescent="0.2">
      <c r="B53" s="162"/>
      <c r="C53" s="175" t="s">
        <v>126</v>
      </c>
      <c r="D53" s="101"/>
      <c r="E53" s="101"/>
      <c r="F53" s="101"/>
      <c r="G53" s="101"/>
      <c r="H53" s="102"/>
      <c r="I53" s="160">
        <f t="shared" si="1"/>
        <v>0</v>
      </c>
    </row>
    <row r="54" spans="2:9" s="148" customFormat="1" ht="13.2" customHeight="1" thickBot="1" x14ac:dyDescent="0.25">
      <c r="B54" s="159"/>
      <c r="C54" s="176" t="s">
        <v>127</v>
      </c>
      <c r="D54" s="103"/>
      <c r="E54" s="103"/>
      <c r="F54" s="103"/>
      <c r="G54" s="103"/>
      <c r="H54" s="104"/>
      <c r="I54" s="161">
        <f t="shared" si="1"/>
        <v>0</v>
      </c>
    </row>
    <row r="55" spans="2:9" ht="18" customHeight="1" x14ac:dyDescent="0.25">
      <c r="B55" s="154">
        <v>17</v>
      </c>
      <c r="C55" s="155" t="str">
        <f>Config!C21&amp;", "&amp;Config!D21</f>
        <v>Kainz, Vivienne</v>
      </c>
      <c r="D55" s="156">
        <v>2</v>
      </c>
      <c r="E55" s="156">
        <v>0</v>
      </c>
      <c r="F55" s="156">
        <v>1</v>
      </c>
      <c r="G55" s="156">
        <v>1.5</v>
      </c>
      <c r="H55" s="157">
        <v>0</v>
      </c>
      <c r="I55" s="158">
        <f t="shared" si="1"/>
        <v>4.5</v>
      </c>
    </row>
    <row r="56" spans="2:9" s="148" customFormat="1" ht="13.2" customHeight="1" x14ac:dyDescent="0.2">
      <c r="B56" s="153"/>
      <c r="C56" s="173" t="s">
        <v>126</v>
      </c>
      <c r="D56" s="99"/>
      <c r="E56" s="99"/>
      <c r="F56" s="99"/>
      <c r="G56" s="99"/>
      <c r="H56" s="100"/>
      <c r="I56" s="150">
        <f t="shared" si="1"/>
        <v>0</v>
      </c>
    </row>
    <row r="57" spans="2:9" s="148" customFormat="1" ht="13.2" customHeight="1" thickBot="1" x14ac:dyDescent="0.25">
      <c r="B57" s="149"/>
      <c r="C57" s="174" t="s">
        <v>127</v>
      </c>
      <c r="D57" s="103"/>
      <c r="E57" s="103"/>
      <c r="F57" s="103"/>
      <c r="G57" s="103"/>
      <c r="H57" s="104"/>
      <c r="I57" s="151">
        <f t="shared" si="1"/>
        <v>0</v>
      </c>
    </row>
    <row r="58" spans="2:9" ht="18" customHeight="1" x14ac:dyDescent="0.25">
      <c r="B58" s="163">
        <v>18</v>
      </c>
      <c r="C58" s="164" t="str">
        <f>Config!C22&amp;", "&amp;Config!D22</f>
        <v>Hartmann, Mads</v>
      </c>
      <c r="D58" s="165">
        <v>4</v>
      </c>
      <c r="E58" s="165">
        <v>3</v>
      </c>
      <c r="F58" s="165">
        <v>3</v>
      </c>
      <c r="G58" s="165">
        <v>0</v>
      </c>
      <c r="H58" s="166">
        <v>4</v>
      </c>
      <c r="I58" s="167">
        <f t="shared" si="1"/>
        <v>14</v>
      </c>
    </row>
    <row r="59" spans="2:9" s="148" customFormat="1" ht="13.2" customHeight="1" x14ac:dyDescent="0.2">
      <c r="B59" s="162"/>
      <c r="C59" s="175" t="s">
        <v>126</v>
      </c>
      <c r="D59" s="101"/>
      <c r="E59" s="101"/>
      <c r="F59" s="101"/>
      <c r="G59" s="101"/>
      <c r="H59" s="102"/>
      <c r="I59" s="160">
        <f t="shared" si="1"/>
        <v>0</v>
      </c>
    </row>
    <row r="60" spans="2:9" s="148" customFormat="1" ht="13.2" customHeight="1" thickBot="1" x14ac:dyDescent="0.25">
      <c r="B60" s="159"/>
      <c r="C60" s="176" t="s">
        <v>127</v>
      </c>
      <c r="D60" s="103"/>
      <c r="E60" s="103"/>
      <c r="F60" s="103"/>
      <c r="G60" s="103"/>
      <c r="H60" s="104"/>
      <c r="I60" s="161">
        <f t="shared" si="1"/>
        <v>0</v>
      </c>
    </row>
    <row r="61" spans="2:9" ht="18" customHeight="1" x14ac:dyDescent="0.25">
      <c r="B61" s="154">
        <v>19</v>
      </c>
      <c r="C61" s="155" t="str">
        <f>Config!C23&amp;", "&amp;Config!D23</f>
        <v>Ullmann, Raphael</v>
      </c>
      <c r="D61" s="156">
        <v>4</v>
      </c>
      <c r="E61" s="156">
        <v>1</v>
      </c>
      <c r="F61" s="156">
        <v>3</v>
      </c>
      <c r="G61" s="156">
        <v>2</v>
      </c>
      <c r="H61" s="157">
        <v>3.5</v>
      </c>
      <c r="I61" s="158">
        <f t="shared" si="1"/>
        <v>13.5</v>
      </c>
    </row>
    <row r="62" spans="2:9" s="148" customFormat="1" ht="13.2" customHeight="1" x14ac:dyDescent="0.2">
      <c r="B62" s="153"/>
      <c r="C62" s="173" t="s">
        <v>126</v>
      </c>
      <c r="D62" s="99"/>
      <c r="E62" s="99"/>
      <c r="F62" s="99"/>
      <c r="G62" s="99"/>
      <c r="H62" s="100"/>
      <c r="I62" s="150">
        <f t="shared" si="1"/>
        <v>0</v>
      </c>
    </row>
    <row r="63" spans="2:9" s="148" customFormat="1" ht="13.2" customHeight="1" thickBot="1" x14ac:dyDescent="0.25">
      <c r="B63" s="149"/>
      <c r="C63" s="174" t="s">
        <v>127</v>
      </c>
      <c r="D63" s="103"/>
      <c r="E63" s="103"/>
      <c r="F63" s="103"/>
      <c r="G63" s="103"/>
      <c r="H63" s="104"/>
      <c r="I63" s="151">
        <f t="shared" si="1"/>
        <v>0</v>
      </c>
    </row>
    <row r="64" spans="2:9" ht="18" customHeight="1" x14ac:dyDescent="0.25">
      <c r="B64" s="163">
        <v>20</v>
      </c>
      <c r="C64" s="164" t="str">
        <f>Config!C24&amp;", "&amp;Config!D24</f>
        <v>Hartl, Emmely</v>
      </c>
      <c r="D64" s="165">
        <v>4</v>
      </c>
      <c r="E64" s="165">
        <v>2</v>
      </c>
      <c r="F64" s="165">
        <v>3</v>
      </c>
      <c r="G64" s="165">
        <v>2</v>
      </c>
      <c r="H64" s="166">
        <v>4</v>
      </c>
      <c r="I64" s="167">
        <f t="shared" si="1"/>
        <v>15</v>
      </c>
    </row>
    <row r="65" spans="2:9" s="148" customFormat="1" ht="13.2" customHeight="1" x14ac:dyDescent="0.2">
      <c r="B65" s="162"/>
      <c r="C65" s="175" t="s">
        <v>126</v>
      </c>
      <c r="D65" s="101"/>
      <c r="E65" s="101"/>
      <c r="F65" s="101"/>
      <c r="G65" s="101"/>
      <c r="H65" s="102"/>
      <c r="I65" s="160">
        <f t="shared" si="1"/>
        <v>0</v>
      </c>
    </row>
    <row r="66" spans="2:9" s="148" customFormat="1" ht="13.2" customHeight="1" thickBot="1" x14ac:dyDescent="0.25">
      <c r="B66" s="159"/>
      <c r="C66" s="176" t="s">
        <v>127</v>
      </c>
      <c r="D66" s="103"/>
      <c r="E66" s="103"/>
      <c r="F66" s="103"/>
      <c r="G66" s="103"/>
      <c r="H66" s="104"/>
      <c r="I66" s="161">
        <f t="shared" si="1"/>
        <v>0</v>
      </c>
    </row>
    <row r="67" spans="2:9" ht="18" customHeight="1" x14ac:dyDescent="0.25">
      <c r="B67" s="154">
        <v>21</v>
      </c>
      <c r="C67" s="155" t="str">
        <f>Config!C25&amp;", "&amp;Config!D25</f>
        <v>Klotz, Karin</v>
      </c>
      <c r="D67" s="156">
        <v>4</v>
      </c>
      <c r="E67" s="156">
        <v>3</v>
      </c>
      <c r="F67" s="156">
        <v>4</v>
      </c>
      <c r="G67" s="156">
        <v>2</v>
      </c>
      <c r="H67" s="157">
        <v>3</v>
      </c>
      <c r="I67" s="158">
        <f t="shared" si="1"/>
        <v>16</v>
      </c>
    </row>
    <row r="68" spans="2:9" s="148" customFormat="1" ht="13.2" customHeight="1" x14ac:dyDescent="0.2">
      <c r="B68" s="153"/>
      <c r="C68" s="173" t="s">
        <v>126</v>
      </c>
      <c r="D68" s="99"/>
      <c r="E68" s="99"/>
      <c r="F68" s="99"/>
      <c r="G68" s="99"/>
      <c r="H68" s="100"/>
      <c r="I68" s="150">
        <f t="shared" si="1"/>
        <v>0</v>
      </c>
    </row>
    <row r="69" spans="2:9" s="148" customFormat="1" ht="13.2" customHeight="1" thickBot="1" x14ac:dyDescent="0.25">
      <c r="B69" s="149"/>
      <c r="C69" s="174" t="s">
        <v>127</v>
      </c>
      <c r="D69" s="103"/>
      <c r="E69" s="103"/>
      <c r="F69" s="103"/>
      <c r="G69" s="103"/>
      <c r="H69" s="104"/>
      <c r="I69" s="151">
        <f t="shared" si="1"/>
        <v>0</v>
      </c>
    </row>
    <row r="70" spans="2:9" ht="18" customHeight="1" x14ac:dyDescent="0.25">
      <c r="B70" s="163">
        <v>22</v>
      </c>
      <c r="C70" s="164" t="str">
        <f>Config!C26&amp;", "&amp;Config!D26</f>
        <v>Ehlers, Ingo</v>
      </c>
      <c r="D70" s="165">
        <v>4</v>
      </c>
      <c r="E70" s="165">
        <v>2</v>
      </c>
      <c r="F70" s="165">
        <v>4</v>
      </c>
      <c r="G70" s="165">
        <v>2</v>
      </c>
      <c r="H70" s="166">
        <v>2.5</v>
      </c>
      <c r="I70" s="167">
        <f t="shared" si="1"/>
        <v>14.5</v>
      </c>
    </row>
    <row r="71" spans="2:9" s="148" customFormat="1" ht="13.2" customHeight="1" x14ac:dyDescent="0.2">
      <c r="B71" s="162"/>
      <c r="C71" s="175" t="s">
        <v>126</v>
      </c>
      <c r="D71" s="101"/>
      <c r="E71" s="101"/>
      <c r="F71" s="101"/>
      <c r="G71" s="101"/>
      <c r="H71" s="102"/>
      <c r="I71" s="160">
        <f t="shared" ref="I71:I75" si="2">SUM(D71:H71)</f>
        <v>0</v>
      </c>
    </row>
    <row r="72" spans="2:9" s="148" customFormat="1" ht="13.2" customHeight="1" thickBot="1" x14ac:dyDescent="0.25">
      <c r="B72" s="159"/>
      <c r="C72" s="176" t="s">
        <v>127</v>
      </c>
      <c r="D72" s="103"/>
      <c r="E72" s="103"/>
      <c r="F72" s="103"/>
      <c r="G72" s="103"/>
      <c r="H72" s="104"/>
      <c r="I72" s="161">
        <f t="shared" si="2"/>
        <v>0</v>
      </c>
    </row>
    <row r="73" spans="2:9" ht="18" customHeight="1" x14ac:dyDescent="0.25">
      <c r="B73" s="154">
        <v>23</v>
      </c>
      <c r="C73" s="155" t="str">
        <f>Config!C27&amp;", "&amp;Config!D27</f>
        <v>Lindemann, Mads</v>
      </c>
      <c r="D73" s="156">
        <v>4</v>
      </c>
      <c r="E73" s="156">
        <v>0</v>
      </c>
      <c r="F73" s="156">
        <v>2</v>
      </c>
      <c r="G73" s="156">
        <v>0.5</v>
      </c>
      <c r="H73" s="157">
        <v>0</v>
      </c>
      <c r="I73" s="158">
        <f t="shared" si="2"/>
        <v>6.5</v>
      </c>
    </row>
    <row r="74" spans="2:9" s="148" customFormat="1" ht="13.2" customHeight="1" x14ac:dyDescent="0.2">
      <c r="B74" s="153"/>
      <c r="C74" s="173" t="s">
        <v>126</v>
      </c>
      <c r="D74" s="99"/>
      <c r="E74" s="99"/>
      <c r="F74" s="99"/>
      <c r="G74" s="99"/>
      <c r="H74" s="100"/>
      <c r="I74" s="150">
        <f t="shared" si="2"/>
        <v>0</v>
      </c>
    </row>
    <row r="75" spans="2:9" s="148" customFormat="1" ht="13.2" customHeight="1" thickBot="1" x14ac:dyDescent="0.25">
      <c r="B75" s="172"/>
      <c r="C75" s="177" t="s">
        <v>127</v>
      </c>
      <c r="D75" s="105"/>
      <c r="E75" s="105"/>
      <c r="F75" s="105"/>
      <c r="G75" s="105"/>
      <c r="H75" s="106"/>
      <c r="I75" s="151">
        <f t="shared" si="2"/>
        <v>0</v>
      </c>
    </row>
    <row r="76" spans="2:9" ht="18" customHeight="1" thickBot="1" x14ac:dyDescent="0.3">
      <c r="B76" s="131"/>
      <c r="C76" s="132"/>
      <c r="D76" s="132">
        <f>IF(COUNTIFS(D7:D73,"&lt;&gt;",C7:C73,"&lt;&gt;ZK",C7:C73,"&lt;&gt;DK")&lt;&gt;0,SUMIFS(D7:D73,C7:C73,"&lt;&gt;ZK",C7:C73,"&lt;&gt;DK")/(COUNTIFS(D7:D73,"&lt;&gt;",C7:C73,"&lt;&gt;ZK",C7:C73,"&lt;&gt;DK")*D6),0)</f>
        <v>0.92391304347826086</v>
      </c>
      <c r="E76" s="132">
        <f>IF(COUNTIFS(E7:E73,"&lt;&gt;",C7:C73,"&lt;&gt;ZK",C7:C73,"&lt;&gt;DK")&lt;&gt;0,SUMIFS(E7:E73,C7:C73,"&lt;&gt;ZK",C7:C73,"&lt;&gt;DK")/(COUNTIFS(E7:E73,"&lt;&gt;",C7:C73,"&lt;&gt;ZK",C7:C73,"&lt;&gt;DK")*E6),0)</f>
        <v>0.54347826086956519</v>
      </c>
      <c r="F76" s="132">
        <f>IF(COUNTIFS(F7:F73,"&lt;&gt;",C7:C73,"&lt;&gt;ZK",C7:C73,"&lt;&gt;DK")&lt;&gt;0,SUMIFS(F7:F73,C7:C73,"&lt;&gt;ZK",C7:C73,"&lt;&gt;DK")/(COUNTIFS(F7:F73,"&lt;&gt;",C7:C73,"&lt;&gt;ZK",C7:C73,"&lt;&gt;DK")*F6),0)</f>
        <v>0.63043478260869568</v>
      </c>
      <c r="G76" s="132">
        <f>IF(COUNTIFS(G7:G73,"&lt;&gt;",C7:C73,"&lt;&gt;ZK",C7:C73,"&lt;&gt;DK")&lt;&gt;0,SUMIFS(G7:G73,C7:C73,"&lt;&gt;ZK",C7:C73,"&lt;&gt;DK")/(COUNTIFS(G7:G73,"&lt;&gt;",C7:C73,"&lt;&gt;ZK",C7:C73,"&lt;&gt;DK")*G6),0)</f>
        <v>0.39855072463768115</v>
      </c>
      <c r="H76" s="132">
        <f>IF(COUNTIFS(H7:H73,"&lt;&gt;",C7:C73,"&lt;&gt;ZK",C7:C73,"&lt;&gt;DK")&lt;&gt;0,SUMIFS(H7:H73,C7:C73,"&lt;&gt;ZK",C7:C73,"&lt;&gt;DK")/(COUNTIFS(H7:H73,"&lt;&gt;",C7:C73,"&lt;&gt;ZK",C7:C73,"&lt;&gt;DK")*H6),0)</f>
        <v>0.51086956521739135</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1F7088AE-2C84-4CEE-9E79-1259971CD77C}">
      <formula1>0</formula1>
      <formula2>$D$6</formula2>
    </dataValidation>
    <dataValidation type="decimal" allowBlank="1" showErrorMessage="1" sqref="E7:E75" xr:uid="{C071EE87-CA7C-478A-94BB-569807C452D5}">
      <formula1>0</formula1>
      <formula2>$E$6</formula2>
    </dataValidation>
    <dataValidation type="decimal" allowBlank="1" showErrorMessage="1" sqref="F7:F75" xr:uid="{C3E6AABC-98D0-4867-9B00-711387637AD0}">
      <formula1>0</formula1>
      <formula2>$F$6</formula2>
    </dataValidation>
    <dataValidation type="decimal" allowBlank="1" showErrorMessage="1" sqref="G7:G75" xr:uid="{EC717272-7869-44F7-9FCB-39A8F9951682}">
      <formula1>0</formula1>
      <formula2>$G$6</formula2>
    </dataValidation>
    <dataValidation type="decimal" allowBlank="1" showErrorMessage="1" sqref="H7:H75" xr:uid="{647E99DF-06EE-4BD8-BABF-963FC493C0F9}">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DEF8-F9CA-4A06-A068-06D8C4477FB9}">
  <sheetPr codeName="Tabelle16">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112</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Config!R6</f>
        <v>6</v>
      </c>
      <c r="E5" s="197" t="str">
        <f>Config!R7</f>
        <v>7a</v>
      </c>
      <c r="F5" s="197" t="str">
        <f>Config!R8</f>
        <v>7b</v>
      </c>
      <c r="G5" s="197" t="str">
        <f>Config!R9</f>
        <v>8</v>
      </c>
      <c r="H5" s="197" t="str">
        <f>Config!R10</f>
        <v>9</v>
      </c>
      <c r="I5" s="195" t="s">
        <v>82</v>
      </c>
    </row>
    <row r="6" spans="2:9" ht="18" customHeight="1" thickBot="1" x14ac:dyDescent="0.3">
      <c r="B6" s="118"/>
      <c r="C6" s="116" t="s">
        <v>81</v>
      </c>
      <c r="D6" s="196">
        <f>Config!S6</f>
        <v>5</v>
      </c>
      <c r="E6" s="196">
        <f>Config!S7</f>
        <v>2</v>
      </c>
      <c r="F6" s="196">
        <f>Config!S8</f>
        <v>3</v>
      </c>
      <c r="G6" s="196">
        <f>Config!S9</f>
        <v>5</v>
      </c>
      <c r="H6" s="196">
        <f>Config!S10</f>
        <v>5</v>
      </c>
      <c r="I6" s="198">
        <f>Config!S21</f>
        <v>10</v>
      </c>
    </row>
    <row r="7" spans="2:9" ht="18" customHeight="1" x14ac:dyDescent="0.25">
      <c r="B7" s="168">
        <v>1</v>
      </c>
      <c r="C7" s="169" t="str">
        <f>Config!C5&amp;", "&amp;Config!D5</f>
        <v>Höfer, Simon</v>
      </c>
      <c r="D7" s="170">
        <v>4</v>
      </c>
      <c r="E7" s="170">
        <v>0</v>
      </c>
      <c r="F7" s="170">
        <v>3</v>
      </c>
      <c r="G7" s="182"/>
      <c r="H7" s="183"/>
      <c r="I7" s="152">
        <f t="shared" ref="I7:I38" si="0">SUM(D7:H7)</f>
        <v>7</v>
      </c>
    </row>
    <row r="8" spans="2:9" s="148" customFormat="1" ht="13.2" customHeight="1" x14ac:dyDescent="0.2">
      <c r="B8" s="153"/>
      <c r="C8" s="173" t="s">
        <v>126</v>
      </c>
      <c r="D8" s="99"/>
      <c r="E8" s="99"/>
      <c r="F8" s="99"/>
      <c r="G8" s="184"/>
      <c r="H8" s="189"/>
      <c r="I8" s="150">
        <f t="shared" si="0"/>
        <v>0</v>
      </c>
    </row>
    <row r="9" spans="2:9" s="148" customFormat="1" ht="13.2" customHeight="1" thickBot="1" x14ac:dyDescent="0.25">
      <c r="B9" s="149"/>
      <c r="C9" s="174" t="s">
        <v>127</v>
      </c>
      <c r="D9" s="103"/>
      <c r="E9" s="103"/>
      <c r="F9" s="103"/>
      <c r="G9" s="185"/>
      <c r="H9" s="190"/>
      <c r="I9" s="151">
        <f t="shared" si="0"/>
        <v>0</v>
      </c>
    </row>
    <row r="10" spans="2:9" ht="18" customHeight="1" x14ac:dyDescent="0.25">
      <c r="B10" s="163">
        <v>2</v>
      </c>
      <c r="C10" s="164" t="str">
        <f>Config!C6&amp;", "&amp;Config!D6</f>
        <v>Töpfer, Lilian</v>
      </c>
      <c r="D10" s="165">
        <v>3</v>
      </c>
      <c r="E10" s="180"/>
      <c r="F10" s="180"/>
      <c r="G10" s="165">
        <v>4</v>
      </c>
      <c r="H10" s="181"/>
      <c r="I10" s="167">
        <f t="shared" si="0"/>
        <v>7</v>
      </c>
    </row>
    <row r="11" spans="2:9" s="148" customFormat="1" ht="13.2" customHeight="1" x14ac:dyDescent="0.2">
      <c r="B11" s="162"/>
      <c r="C11" s="175" t="s">
        <v>126</v>
      </c>
      <c r="D11" s="101"/>
      <c r="E11" s="186"/>
      <c r="F11" s="186"/>
      <c r="G11" s="101"/>
      <c r="H11" s="191"/>
      <c r="I11" s="160">
        <f t="shared" si="0"/>
        <v>0</v>
      </c>
    </row>
    <row r="12" spans="2:9" s="148" customFormat="1" ht="13.2" customHeight="1" thickBot="1" x14ac:dyDescent="0.25">
      <c r="B12" s="159"/>
      <c r="C12" s="176" t="s">
        <v>127</v>
      </c>
      <c r="D12" s="103"/>
      <c r="E12" s="187"/>
      <c r="F12" s="187"/>
      <c r="G12" s="103"/>
      <c r="H12" s="192"/>
      <c r="I12" s="161">
        <f t="shared" si="0"/>
        <v>0</v>
      </c>
    </row>
    <row r="13" spans="2:9" ht="18" customHeight="1" x14ac:dyDescent="0.25">
      <c r="B13" s="154">
        <v>3</v>
      </c>
      <c r="C13" s="155" t="str">
        <f>Config!C7&amp;", "&amp;Config!D7</f>
        <v>Fleischmann, Leonie</v>
      </c>
      <c r="D13" s="178"/>
      <c r="E13" s="178"/>
      <c r="F13" s="178"/>
      <c r="G13" s="156">
        <v>5</v>
      </c>
      <c r="H13" s="157">
        <v>3</v>
      </c>
      <c r="I13" s="158">
        <f t="shared" si="0"/>
        <v>8</v>
      </c>
    </row>
    <row r="14" spans="2:9" s="148" customFormat="1" ht="13.2" customHeight="1" x14ac:dyDescent="0.2">
      <c r="B14" s="153"/>
      <c r="C14" s="173" t="s">
        <v>126</v>
      </c>
      <c r="D14" s="184"/>
      <c r="E14" s="184"/>
      <c r="F14" s="184"/>
      <c r="G14" s="99"/>
      <c r="H14" s="100"/>
      <c r="I14" s="150">
        <f t="shared" si="0"/>
        <v>0</v>
      </c>
    </row>
    <row r="15" spans="2:9" s="148" customFormat="1" ht="13.2" customHeight="1" thickBot="1" x14ac:dyDescent="0.25">
      <c r="B15" s="149"/>
      <c r="C15" s="174" t="s">
        <v>127</v>
      </c>
      <c r="D15" s="185"/>
      <c r="E15" s="185"/>
      <c r="F15" s="185"/>
      <c r="G15" s="103"/>
      <c r="H15" s="104"/>
      <c r="I15" s="151">
        <f t="shared" si="0"/>
        <v>0</v>
      </c>
    </row>
    <row r="16" spans="2:9" ht="18" customHeight="1" x14ac:dyDescent="0.25">
      <c r="B16" s="163">
        <v>4</v>
      </c>
      <c r="C16" s="164" t="str">
        <f>Config!C8&amp;", "&amp;Config!D8</f>
        <v>Drescher, Cedric</v>
      </c>
      <c r="D16" s="165">
        <v>1</v>
      </c>
      <c r="E16" s="165">
        <v>2</v>
      </c>
      <c r="F16" s="165">
        <v>3</v>
      </c>
      <c r="G16" s="180"/>
      <c r="H16" s="181"/>
      <c r="I16" s="167">
        <f t="shared" si="0"/>
        <v>6</v>
      </c>
    </row>
    <row r="17" spans="2:9" s="148" customFormat="1" ht="13.2" customHeight="1" x14ac:dyDescent="0.2">
      <c r="B17" s="162"/>
      <c r="C17" s="175" t="s">
        <v>126</v>
      </c>
      <c r="D17" s="101"/>
      <c r="E17" s="101"/>
      <c r="F17" s="101"/>
      <c r="G17" s="186"/>
      <c r="H17" s="191"/>
      <c r="I17" s="160">
        <f t="shared" si="0"/>
        <v>0</v>
      </c>
    </row>
    <row r="18" spans="2:9" s="148" customFormat="1" ht="13.2" customHeight="1" thickBot="1" x14ac:dyDescent="0.25">
      <c r="B18" s="159"/>
      <c r="C18" s="176" t="s">
        <v>127</v>
      </c>
      <c r="D18" s="103"/>
      <c r="E18" s="103"/>
      <c r="F18" s="103"/>
      <c r="G18" s="187"/>
      <c r="H18" s="192"/>
      <c r="I18" s="161">
        <f t="shared" si="0"/>
        <v>0</v>
      </c>
    </row>
    <row r="19" spans="2:9" ht="18" customHeight="1" x14ac:dyDescent="0.25">
      <c r="B19" s="154">
        <v>5</v>
      </c>
      <c r="C19" s="155" t="str">
        <f>Config!C9&amp;", "&amp;Config!D9</f>
        <v>Baumgarten, Annabell</v>
      </c>
      <c r="D19" s="156">
        <v>1</v>
      </c>
      <c r="E19" s="178"/>
      <c r="F19" s="178"/>
      <c r="G19" s="156">
        <v>5</v>
      </c>
      <c r="H19" s="179"/>
      <c r="I19" s="158">
        <f t="shared" si="0"/>
        <v>6</v>
      </c>
    </row>
    <row r="20" spans="2:9" s="148" customFormat="1" ht="13.2" customHeight="1" x14ac:dyDescent="0.2">
      <c r="B20" s="153"/>
      <c r="C20" s="173" t="s">
        <v>126</v>
      </c>
      <c r="D20" s="99"/>
      <c r="E20" s="184"/>
      <c r="F20" s="184"/>
      <c r="G20" s="99"/>
      <c r="H20" s="189"/>
      <c r="I20" s="150">
        <f t="shared" si="0"/>
        <v>0</v>
      </c>
    </row>
    <row r="21" spans="2:9" s="148" customFormat="1" ht="13.2" customHeight="1" thickBot="1" x14ac:dyDescent="0.25">
      <c r="B21" s="149"/>
      <c r="C21" s="174" t="s">
        <v>127</v>
      </c>
      <c r="D21" s="103"/>
      <c r="E21" s="185"/>
      <c r="F21" s="185"/>
      <c r="G21" s="103"/>
      <c r="H21" s="190"/>
      <c r="I21" s="151">
        <f t="shared" si="0"/>
        <v>0</v>
      </c>
    </row>
    <row r="22" spans="2:9" ht="18" customHeight="1" x14ac:dyDescent="0.25">
      <c r="B22" s="163">
        <v>6</v>
      </c>
      <c r="C22" s="164" t="str">
        <f>Config!C10&amp;", "&amp;Config!D10</f>
        <v>Traut, Stefanie</v>
      </c>
      <c r="D22" s="180"/>
      <c r="E22" s="165">
        <v>2</v>
      </c>
      <c r="F22" s="165">
        <v>3</v>
      </c>
      <c r="G22" s="165">
        <v>3</v>
      </c>
      <c r="H22" s="181"/>
      <c r="I22" s="167">
        <f t="shared" si="0"/>
        <v>8</v>
      </c>
    </row>
    <row r="23" spans="2:9" s="148" customFormat="1" ht="13.2" customHeight="1" x14ac:dyDescent="0.2">
      <c r="B23" s="162"/>
      <c r="C23" s="175" t="s">
        <v>126</v>
      </c>
      <c r="D23" s="186"/>
      <c r="E23" s="101"/>
      <c r="F23" s="101"/>
      <c r="G23" s="101"/>
      <c r="H23" s="191"/>
      <c r="I23" s="160">
        <f t="shared" si="0"/>
        <v>0</v>
      </c>
    </row>
    <row r="24" spans="2:9" s="148" customFormat="1" ht="13.2" customHeight="1" thickBot="1" x14ac:dyDescent="0.25">
      <c r="B24" s="159"/>
      <c r="C24" s="176" t="s">
        <v>127</v>
      </c>
      <c r="D24" s="187"/>
      <c r="E24" s="103"/>
      <c r="F24" s="103"/>
      <c r="G24" s="103"/>
      <c r="H24" s="192"/>
      <c r="I24" s="161">
        <f t="shared" si="0"/>
        <v>0</v>
      </c>
    </row>
    <row r="25" spans="2:9" ht="18" customHeight="1" x14ac:dyDescent="0.25">
      <c r="B25" s="154">
        <v>7</v>
      </c>
      <c r="C25" s="155" t="str">
        <f>Config!C11&amp;", "&amp;Config!D11</f>
        <v>Menke, Damian</v>
      </c>
      <c r="D25" s="178"/>
      <c r="E25" s="156">
        <v>1</v>
      </c>
      <c r="F25" s="156">
        <v>2</v>
      </c>
      <c r="G25" s="178"/>
      <c r="H25" s="157">
        <v>4</v>
      </c>
      <c r="I25" s="158">
        <f t="shared" si="0"/>
        <v>7</v>
      </c>
    </row>
    <row r="26" spans="2:9" s="148" customFormat="1" ht="13.2" customHeight="1" x14ac:dyDescent="0.2">
      <c r="B26" s="153"/>
      <c r="C26" s="173" t="s">
        <v>126</v>
      </c>
      <c r="D26" s="184"/>
      <c r="E26" s="99"/>
      <c r="F26" s="99"/>
      <c r="G26" s="184"/>
      <c r="H26" s="100"/>
      <c r="I26" s="150">
        <f t="shared" si="0"/>
        <v>0</v>
      </c>
    </row>
    <row r="27" spans="2:9" s="148" customFormat="1" ht="13.2" customHeight="1" thickBot="1" x14ac:dyDescent="0.25">
      <c r="B27" s="149"/>
      <c r="C27" s="174" t="s">
        <v>127</v>
      </c>
      <c r="D27" s="185"/>
      <c r="E27" s="103"/>
      <c r="F27" s="103"/>
      <c r="G27" s="185"/>
      <c r="H27" s="104"/>
      <c r="I27" s="151">
        <f t="shared" si="0"/>
        <v>0</v>
      </c>
    </row>
    <row r="28" spans="2:9" ht="18" customHeight="1" x14ac:dyDescent="0.25">
      <c r="B28" s="163">
        <v>8</v>
      </c>
      <c r="C28" s="164" t="str">
        <f>Config!C12&amp;", "&amp;Config!D12</f>
        <v>Carroll, Meik</v>
      </c>
      <c r="D28" s="180"/>
      <c r="E28" s="180"/>
      <c r="F28" s="180"/>
      <c r="G28" s="165">
        <v>4</v>
      </c>
      <c r="H28" s="166">
        <v>3</v>
      </c>
      <c r="I28" s="167">
        <f t="shared" si="0"/>
        <v>7</v>
      </c>
    </row>
    <row r="29" spans="2:9" s="148" customFormat="1" ht="13.2" customHeight="1" x14ac:dyDescent="0.2">
      <c r="B29" s="162"/>
      <c r="C29" s="175" t="s">
        <v>126</v>
      </c>
      <c r="D29" s="186"/>
      <c r="E29" s="186"/>
      <c r="F29" s="186"/>
      <c r="G29" s="101"/>
      <c r="H29" s="102"/>
      <c r="I29" s="160">
        <f t="shared" si="0"/>
        <v>0</v>
      </c>
    </row>
    <row r="30" spans="2:9" s="148" customFormat="1" ht="13.2" customHeight="1" thickBot="1" x14ac:dyDescent="0.25">
      <c r="B30" s="159"/>
      <c r="C30" s="176" t="s">
        <v>127</v>
      </c>
      <c r="D30" s="187"/>
      <c r="E30" s="187"/>
      <c r="F30" s="187"/>
      <c r="G30" s="103"/>
      <c r="H30" s="104"/>
      <c r="I30" s="161">
        <f t="shared" si="0"/>
        <v>0</v>
      </c>
    </row>
    <row r="31" spans="2:9" ht="18" customHeight="1" x14ac:dyDescent="0.25">
      <c r="B31" s="154">
        <v>9</v>
      </c>
      <c r="C31" s="155" t="str">
        <f>Config!C13&amp;", "&amp;Config!D13</f>
        <v>Hennings, Tomas</v>
      </c>
      <c r="D31" s="156">
        <v>5</v>
      </c>
      <c r="E31" s="156">
        <v>2</v>
      </c>
      <c r="F31" s="156">
        <v>1</v>
      </c>
      <c r="G31" s="178"/>
      <c r="H31" s="179"/>
      <c r="I31" s="158">
        <f t="shared" si="0"/>
        <v>8</v>
      </c>
    </row>
    <row r="32" spans="2:9" s="148" customFormat="1" ht="13.2" customHeight="1" x14ac:dyDescent="0.2">
      <c r="B32" s="153"/>
      <c r="C32" s="173" t="s">
        <v>126</v>
      </c>
      <c r="D32" s="99"/>
      <c r="E32" s="99"/>
      <c r="F32" s="99"/>
      <c r="G32" s="184"/>
      <c r="H32" s="189"/>
      <c r="I32" s="150">
        <f t="shared" si="0"/>
        <v>0</v>
      </c>
    </row>
    <row r="33" spans="2:9" s="148" customFormat="1" ht="13.2" customHeight="1" thickBot="1" x14ac:dyDescent="0.25">
      <c r="B33" s="149"/>
      <c r="C33" s="174" t="s">
        <v>127</v>
      </c>
      <c r="D33" s="103"/>
      <c r="E33" s="103"/>
      <c r="F33" s="103"/>
      <c r="G33" s="185"/>
      <c r="H33" s="190"/>
      <c r="I33" s="151">
        <f t="shared" si="0"/>
        <v>0</v>
      </c>
    </row>
    <row r="34" spans="2:9" ht="18" customHeight="1" x14ac:dyDescent="0.25">
      <c r="B34" s="163">
        <v>10</v>
      </c>
      <c r="C34" s="164" t="str">
        <f>Config!C14&amp;", "&amp;Config!D14</f>
        <v>Walters, Linn</v>
      </c>
      <c r="D34" s="180"/>
      <c r="E34" s="165">
        <v>1</v>
      </c>
      <c r="F34" s="165">
        <v>2</v>
      </c>
      <c r="G34" s="165">
        <v>5</v>
      </c>
      <c r="H34" s="181"/>
      <c r="I34" s="167">
        <f t="shared" si="0"/>
        <v>8</v>
      </c>
    </row>
    <row r="35" spans="2:9" s="148" customFormat="1" ht="13.2" customHeight="1" x14ac:dyDescent="0.2">
      <c r="B35" s="162"/>
      <c r="C35" s="175" t="s">
        <v>126</v>
      </c>
      <c r="D35" s="186"/>
      <c r="E35" s="101"/>
      <c r="F35" s="101"/>
      <c r="G35" s="101"/>
      <c r="H35" s="191"/>
      <c r="I35" s="160">
        <f t="shared" si="0"/>
        <v>0</v>
      </c>
    </row>
    <row r="36" spans="2:9" s="148" customFormat="1" ht="13.2" customHeight="1" thickBot="1" x14ac:dyDescent="0.25">
      <c r="B36" s="159"/>
      <c r="C36" s="176" t="s">
        <v>127</v>
      </c>
      <c r="D36" s="187"/>
      <c r="E36" s="103"/>
      <c r="F36" s="103"/>
      <c r="G36" s="103"/>
      <c r="H36" s="192"/>
      <c r="I36" s="161">
        <f t="shared" si="0"/>
        <v>0</v>
      </c>
    </row>
    <row r="37" spans="2:9" ht="18" customHeight="1" x14ac:dyDescent="0.25">
      <c r="B37" s="154">
        <v>11</v>
      </c>
      <c r="C37" s="155" t="str">
        <f>Config!C15&amp;", "&amp;Config!D15</f>
        <v>Junker, Amely</v>
      </c>
      <c r="D37" s="156">
        <v>2</v>
      </c>
      <c r="E37" s="178"/>
      <c r="F37" s="178"/>
      <c r="G37" s="156">
        <v>4</v>
      </c>
      <c r="H37" s="179"/>
      <c r="I37" s="158">
        <f t="shared" si="0"/>
        <v>6</v>
      </c>
    </row>
    <row r="38" spans="2:9" s="148" customFormat="1" ht="13.2" customHeight="1" x14ac:dyDescent="0.2">
      <c r="B38" s="153"/>
      <c r="C38" s="173" t="s">
        <v>126</v>
      </c>
      <c r="D38" s="99"/>
      <c r="E38" s="184"/>
      <c r="F38" s="184"/>
      <c r="G38" s="99"/>
      <c r="H38" s="189"/>
      <c r="I38" s="150">
        <f t="shared" si="0"/>
        <v>0</v>
      </c>
    </row>
    <row r="39" spans="2:9" s="148" customFormat="1" ht="13.2" customHeight="1" thickBot="1" x14ac:dyDescent="0.25">
      <c r="B39" s="149"/>
      <c r="C39" s="174" t="s">
        <v>127</v>
      </c>
      <c r="D39" s="103"/>
      <c r="E39" s="185"/>
      <c r="F39" s="185"/>
      <c r="G39" s="103"/>
      <c r="H39" s="190"/>
      <c r="I39" s="151">
        <f t="shared" ref="I39:I70" si="1">SUM(D39:H39)</f>
        <v>0</v>
      </c>
    </row>
    <row r="40" spans="2:9" ht="18" customHeight="1" x14ac:dyDescent="0.25">
      <c r="B40" s="163">
        <v>12</v>
      </c>
      <c r="C40" s="164" t="str">
        <f>Config!C16&amp;", "&amp;Config!D16</f>
        <v>Stephens, Melvin</v>
      </c>
      <c r="D40" s="165">
        <v>5</v>
      </c>
      <c r="E40" s="180"/>
      <c r="F40" s="180"/>
      <c r="G40" s="165">
        <v>1</v>
      </c>
      <c r="H40" s="181"/>
      <c r="I40" s="167">
        <f t="shared" si="1"/>
        <v>6</v>
      </c>
    </row>
    <row r="41" spans="2:9" s="148" customFormat="1" ht="13.2" customHeight="1" x14ac:dyDescent="0.2">
      <c r="B41" s="162"/>
      <c r="C41" s="175" t="s">
        <v>126</v>
      </c>
      <c r="D41" s="101"/>
      <c r="E41" s="186"/>
      <c r="F41" s="186"/>
      <c r="G41" s="101"/>
      <c r="H41" s="191"/>
      <c r="I41" s="160">
        <f t="shared" si="1"/>
        <v>0</v>
      </c>
    </row>
    <row r="42" spans="2:9" s="148" customFormat="1" ht="13.2" customHeight="1" thickBot="1" x14ac:dyDescent="0.25">
      <c r="B42" s="159"/>
      <c r="C42" s="176" t="s">
        <v>127</v>
      </c>
      <c r="D42" s="103"/>
      <c r="E42" s="187"/>
      <c r="F42" s="187"/>
      <c r="G42" s="103"/>
      <c r="H42" s="192"/>
      <c r="I42" s="161">
        <f t="shared" si="1"/>
        <v>0</v>
      </c>
    </row>
    <row r="43" spans="2:9" ht="18" customHeight="1" x14ac:dyDescent="0.25">
      <c r="B43" s="154">
        <v>13</v>
      </c>
      <c r="C43" s="155" t="str">
        <f>Config!C17&amp;", "&amp;Config!D17</f>
        <v>Cremer, Marvin</v>
      </c>
      <c r="D43" s="156">
        <v>3</v>
      </c>
      <c r="E43" s="178"/>
      <c r="F43" s="178"/>
      <c r="G43" s="178"/>
      <c r="H43" s="157">
        <v>5</v>
      </c>
      <c r="I43" s="158">
        <f t="shared" si="1"/>
        <v>8</v>
      </c>
    </row>
    <row r="44" spans="2:9" s="148" customFormat="1" ht="13.2" customHeight="1" x14ac:dyDescent="0.2">
      <c r="B44" s="153"/>
      <c r="C44" s="173" t="s">
        <v>126</v>
      </c>
      <c r="D44" s="99"/>
      <c r="E44" s="184"/>
      <c r="F44" s="184"/>
      <c r="G44" s="184"/>
      <c r="H44" s="100"/>
      <c r="I44" s="150">
        <f t="shared" si="1"/>
        <v>0</v>
      </c>
    </row>
    <row r="45" spans="2:9" s="148" customFormat="1" ht="13.2" customHeight="1" thickBot="1" x14ac:dyDescent="0.25">
      <c r="B45" s="149"/>
      <c r="C45" s="174" t="s">
        <v>127</v>
      </c>
      <c r="D45" s="103"/>
      <c r="E45" s="185"/>
      <c r="F45" s="185"/>
      <c r="G45" s="185"/>
      <c r="H45" s="104"/>
      <c r="I45" s="151">
        <f t="shared" si="1"/>
        <v>0</v>
      </c>
    </row>
    <row r="46" spans="2:9" ht="18" customHeight="1" x14ac:dyDescent="0.25">
      <c r="B46" s="163">
        <v>14</v>
      </c>
      <c r="C46" s="164" t="str">
        <f>Config!C18&amp;", "&amp;Config!D18</f>
        <v>Nash, Jean</v>
      </c>
      <c r="D46" s="180"/>
      <c r="E46" s="180"/>
      <c r="F46" s="180"/>
      <c r="G46" s="165">
        <v>4</v>
      </c>
      <c r="H46" s="166">
        <v>3</v>
      </c>
      <c r="I46" s="167">
        <f t="shared" si="1"/>
        <v>7</v>
      </c>
    </row>
    <row r="47" spans="2:9" s="148" customFormat="1" ht="13.2" customHeight="1" x14ac:dyDescent="0.2">
      <c r="B47" s="162"/>
      <c r="C47" s="175" t="s">
        <v>126</v>
      </c>
      <c r="D47" s="186"/>
      <c r="E47" s="186"/>
      <c r="F47" s="186"/>
      <c r="G47" s="101"/>
      <c r="H47" s="102"/>
      <c r="I47" s="160">
        <f t="shared" si="1"/>
        <v>0</v>
      </c>
    </row>
    <row r="48" spans="2:9" s="148" customFormat="1" ht="13.2" customHeight="1" thickBot="1" x14ac:dyDescent="0.25">
      <c r="B48" s="159"/>
      <c r="C48" s="176" t="s">
        <v>127</v>
      </c>
      <c r="D48" s="187"/>
      <c r="E48" s="187"/>
      <c r="F48" s="187"/>
      <c r="G48" s="103"/>
      <c r="H48" s="104"/>
      <c r="I48" s="161">
        <f t="shared" si="1"/>
        <v>0</v>
      </c>
    </row>
    <row r="49" spans="2:9" ht="18" customHeight="1" x14ac:dyDescent="0.25">
      <c r="B49" s="154">
        <v>15</v>
      </c>
      <c r="C49" s="155" t="str">
        <f>Config!C19&amp;", "&amp;Config!D19</f>
        <v>Schön, Leonardo</v>
      </c>
      <c r="D49" s="178"/>
      <c r="E49" s="156">
        <v>1</v>
      </c>
      <c r="F49" s="156">
        <v>2</v>
      </c>
      <c r="G49" s="178"/>
      <c r="H49" s="157">
        <v>1</v>
      </c>
      <c r="I49" s="158">
        <f t="shared" si="1"/>
        <v>4</v>
      </c>
    </row>
    <row r="50" spans="2:9" s="148" customFormat="1" ht="13.2" customHeight="1" x14ac:dyDescent="0.2">
      <c r="B50" s="153"/>
      <c r="C50" s="173" t="s">
        <v>126</v>
      </c>
      <c r="D50" s="184"/>
      <c r="E50" s="99"/>
      <c r="F50" s="99"/>
      <c r="G50" s="184"/>
      <c r="H50" s="100"/>
      <c r="I50" s="150">
        <f t="shared" si="1"/>
        <v>0</v>
      </c>
    </row>
    <row r="51" spans="2:9" s="148" customFormat="1" ht="13.2" customHeight="1" thickBot="1" x14ac:dyDescent="0.25">
      <c r="B51" s="149"/>
      <c r="C51" s="174" t="s">
        <v>127</v>
      </c>
      <c r="D51" s="185"/>
      <c r="E51" s="103"/>
      <c r="F51" s="103"/>
      <c r="G51" s="185"/>
      <c r="H51" s="104"/>
      <c r="I51" s="151">
        <f t="shared" si="1"/>
        <v>0</v>
      </c>
    </row>
    <row r="52" spans="2:9" ht="18" customHeight="1" x14ac:dyDescent="0.25">
      <c r="B52" s="163">
        <v>16</v>
      </c>
      <c r="C52" s="164" t="str">
        <f>Config!C20&amp;", "&amp;Config!D20</f>
        <v>Sigl, Nicholas</v>
      </c>
      <c r="D52" s="180"/>
      <c r="E52" s="165">
        <v>1</v>
      </c>
      <c r="F52" s="165">
        <v>2</v>
      </c>
      <c r="G52" s="165">
        <v>5</v>
      </c>
      <c r="H52" s="181"/>
      <c r="I52" s="167">
        <f t="shared" si="1"/>
        <v>8</v>
      </c>
    </row>
    <row r="53" spans="2:9" s="148" customFormat="1" ht="13.2" customHeight="1" x14ac:dyDescent="0.2">
      <c r="B53" s="162"/>
      <c r="C53" s="175" t="s">
        <v>126</v>
      </c>
      <c r="D53" s="186"/>
      <c r="E53" s="101"/>
      <c r="F53" s="101"/>
      <c r="G53" s="101"/>
      <c r="H53" s="191"/>
      <c r="I53" s="160">
        <f t="shared" si="1"/>
        <v>0</v>
      </c>
    </row>
    <row r="54" spans="2:9" s="148" customFormat="1" ht="13.2" customHeight="1" thickBot="1" x14ac:dyDescent="0.25">
      <c r="B54" s="159"/>
      <c r="C54" s="176" t="s">
        <v>127</v>
      </c>
      <c r="D54" s="187"/>
      <c r="E54" s="103"/>
      <c r="F54" s="103"/>
      <c r="G54" s="103"/>
      <c r="H54" s="192"/>
      <c r="I54" s="161">
        <f t="shared" si="1"/>
        <v>0</v>
      </c>
    </row>
    <row r="55" spans="2:9" ht="18" customHeight="1" x14ac:dyDescent="0.25">
      <c r="B55" s="154">
        <v>17</v>
      </c>
      <c r="C55" s="155" t="str">
        <f>Config!C21&amp;", "&amp;Config!D21</f>
        <v>Kainz, Vivienne</v>
      </c>
      <c r="D55" s="156">
        <v>5</v>
      </c>
      <c r="E55" s="178"/>
      <c r="F55" s="178"/>
      <c r="G55" s="156">
        <v>5</v>
      </c>
      <c r="H55" s="179"/>
      <c r="I55" s="158">
        <f t="shared" si="1"/>
        <v>10</v>
      </c>
    </row>
    <row r="56" spans="2:9" s="148" customFormat="1" ht="13.2" customHeight="1" x14ac:dyDescent="0.2">
      <c r="B56" s="153"/>
      <c r="C56" s="173" t="s">
        <v>126</v>
      </c>
      <c r="D56" s="99"/>
      <c r="E56" s="184"/>
      <c r="F56" s="184"/>
      <c r="G56" s="99"/>
      <c r="H56" s="189"/>
      <c r="I56" s="150">
        <f t="shared" si="1"/>
        <v>0</v>
      </c>
    </row>
    <row r="57" spans="2:9" s="148" customFormat="1" ht="13.2" customHeight="1" thickBot="1" x14ac:dyDescent="0.25">
      <c r="B57" s="149"/>
      <c r="C57" s="174" t="s">
        <v>127</v>
      </c>
      <c r="D57" s="103"/>
      <c r="E57" s="185"/>
      <c r="F57" s="185"/>
      <c r="G57" s="103"/>
      <c r="H57" s="190"/>
      <c r="I57" s="151">
        <f t="shared" si="1"/>
        <v>0</v>
      </c>
    </row>
    <row r="58" spans="2:9" ht="18" customHeight="1" x14ac:dyDescent="0.25">
      <c r="B58" s="163">
        <v>18</v>
      </c>
      <c r="C58" s="164" t="str">
        <f>Config!C22&amp;", "&amp;Config!D22</f>
        <v>Hartmann, Mads</v>
      </c>
      <c r="D58" s="180"/>
      <c r="E58" s="180"/>
      <c r="F58" s="180"/>
      <c r="G58" s="165">
        <v>3</v>
      </c>
      <c r="H58" s="166">
        <v>4</v>
      </c>
      <c r="I58" s="167">
        <f t="shared" si="1"/>
        <v>7</v>
      </c>
    </row>
    <row r="59" spans="2:9" s="148" customFormat="1" ht="13.2" customHeight="1" x14ac:dyDescent="0.2">
      <c r="B59" s="162"/>
      <c r="C59" s="175" t="s">
        <v>126</v>
      </c>
      <c r="D59" s="186"/>
      <c r="E59" s="186"/>
      <c r="F59" s="186"/>
      <c r="G59" s="101"/>
      <c r="H59" s="102"/>
      <c r="I59" s="160">
        <f t="shared" si="1"/>
        <v>0</v>
      </c>
    </row>
    <row r="60" spans="2:9" s="148" customFormat="1" ht="13.2" customHeight="1" thickBot="1" x14ac:dyDescent="0.25">
      <c r="B60" s="159"/>
      <c r="C60" s="176" t="s">
        <v>127</v>
      </c>
      <c r="D60" s="187"/>
      <c r="E60" s="187"/>
      <c r="F60" s="187"/>
      <c r="G60" s="103"/>
      <c r="H60" s="104"/>
      <c r="I60" s="161">
        <f t="shared" si="1"/>
        <v>0</v>
      </c>
    </row>
    <row r="61" spans="2:9" ht="18" customHeight="1" x14ac:dyDescent="0.25">
      <c r="B61" s="154">
        <v>19</v>
      </c>
      <c r="C61" s="155" t="str">
        <f>Config!C23&amp;", "&amp;Config!D23</f>
        <v>Ullmann, Raphael</v>
      </c>
      <c r="D61" s="178"/>
      <c r="E61" s="178"/>
      <c r="F61" s="178"/>
      <c r="G61" s="156">
        <v>5</v>
      </c>
      <c r="H61" s="157">
        <v>3</v>
      </c>
      <c r="I61" s="158">
        <f t="shared" si="1"/>
        <v>8</v>
      </c>
    </row>
    <row r="62" spans="2:9" s="148" customFormat="1" ht="13.2" customHeight="1" x14ac:dyDescent="0.2">
      <c r="B62" s="153"/>
      <c r="C62" s="173" t="s">
        <v>126</v>
      </c>
      <c r="D62" s="184"/>
      <c r="E62" s="184"/>
      <c r="F62" s="184"/>
      <c r="G62" s="99"/>
      <c r="H62" s="100"/>
      <c r="I62" s="150">
        <f t="shared" si="1"/>
        <v>0</v>
      </c>
    </row>
    <row r="63" spans="2:9" s="148" customFormat="1" ht="13.2" customHeight="1" thickBot="1" x14ac:dyDescent="0.25">
      <c r="B63" s="149"/>
      <c r="C63" s="174" t="s">
        <v>127</v>
      </c>
      <c r="D63" s="185"/>
      <c r="E63" s="185"/>
      <c r="F63" s="185"/>
      <c r="G63" s="103"/>
      <c r="H63" s="104"/>
      <c r="I63" s="151">
        <f t="shared" si="1"/>
        <v>0</v>
      </c>
    </row>
    <row r="64" spans="2:9" ht="18" customHeight="1" x14ac:dyDescent="0.25">
      <c r="B64" s="163">
        <v>20</v>
      </c>
      <c r="C64" s="164" t="str">
        <f>Config!C24&amp;", "&amp;Config!D24</f>
        <v>Hartl, Emmely</v>
      </c>
      <c r="D64" s="165">
        <v>5</v>
      </c>
      <c r="E64" s="165">
        <v>2</v>
      </c>
      <c r="F64" s="165">
        <v>3</v>
      </c>
      <c r="G64" s="180"/>
      <c r="H64" s="181"/>
      <c r="I64" s="167">
        <f t="shared" si="1"/>
        <v>10</v>
      </c>
    </row>
    <row r="65" spans="2:9" s="148" customFormat="1" ht="13.2" customHeight="1" x14ac:dyDescent="0.2">
      <c r="B65" s="162"/>
      <c r="C65" s="175" t="s">
        <v>126</v>
      </c>
      <c r="D65" s="101"/>
      <c r="E65" s="101"/>
      <c r="F65" s="101"/>
      <c r="G65" s="186"/>
      <c r="H65" s="191"/>
      <c r="I65" s="160">
        <f t="shared" si="1"/>
        <v>0</v>
      </c>
    </row>
    <row r="66" spans="2:9" s="148" customFormat="1" ht="13.2" customHeight="1" thickBot="1" x14ac:dyDescent="0.25">
      <c r="B66" s="159"/>
      <c r="C66" s="176" t="s">
        <v>127</v>
      </c>
      <c r="D66" s="103"/>
      <c r="E66" s="103"/>
      <c r="F66" s="103"/>
      <c r="G66" s="187"/>
      <c r="H66" s="192"/>
      <c r="I66" s="161">
        <f t="shared" si="1"/>
        <v>0</v>
      </c>
    </row>
    <row r="67" spans="2:9" ht="18" customHeight="1" x14ac:dyDescent="0.25">
      <c r="B67" s="154">
        <v>21</v>
      </c>
      <c r="C67" s="155" t="str">
        <f>Config!C25&amp;", "&amp;Config!D25</f>
        <v>Klotz, Karin</v>
      </c>
      <c r="D67" s="156">
        <v>5</v>
      </c>
      <c r="E67" s="156">
        <v>2</v>
      </c>
      <c r="F67" s="156">
        <v>3</v>
      </c>
      <c r="G67" s="178"/>
      <c r="H67" s="179"/>
      <c r="I67" s="158">
        <f t="shared" si="1"/>
        <v>10</v>
      </c>
    </row>
    <row r="68" spans="2:9" s="148" customFormat="1" ht="13.2" customHeight="1" x14ac:dyDescent="0.2">
      <c r="B68" s="153"/>
      <c r="C68" s="173" t="s">
        <v>126</v>
      </c>
      <c r="D68" s="99"/>
      <c r="E68" s="99"/>
      <c r="F68" s="99"/>
      <c r="G68" s="184"/>
      <c r="H68" s="189"/>
      <c r="I68" s="150">
        <f t="shared" si="1"/>
        <v>0</v>
      </c>
    </row>
    <row r="69" spans="2:9" s="148" customFormat="1" ht="13.2" customHeight="1" thickBot="1" x14ac:dyDescent="0.25">
      <c r="B69" s="149"/>
      <c r="C69" s="174" t="s">
        <v>127</v>
      </c>
      <c r="D69" s="103"/>
      <c r="E69" s="103"/>
      <c r="F69" s="103"/>
      <c r="G69" s="185"/>
      <c r="H69" s="190"/>
      <c r="I69" s="151">
        <f t="shared" si="1"/>
        <v>0</v>
      </c>
    </row>
    <row r="70" spans="2:9" ht="18" customHeight="1" x14ac:dyDescent="0.25">
      <c r="B70" s="163">
        <v>22</v>
      </c>
      <c r="C70" s="164" t="str">
        <f>Config!C26&amp;", "&amp;Config!D26</f>
        <v>Ehlers, Ingo</v>
      </c>
      <c r="D70" s="165">
        <v>2</v>
      </c>
      <c r="E70" s="180"/>
      <c r="F70" s="180"/>
      <c r="G70" s="180"/>
      <c r="H70" s="166">
        <v>5</v>
      </c>
      <c r="I70" s="167">
        <f t="shared" si="1"/>
        <v>7</v>
      </c>
    </row>
    <row r="71" spans="2:9" s="148" customFormat="1" ht="13.2" customHeight="1" x14ac:dyDescent="0.2">
      <c r="B71" s="162"/>
      <c r="C71" s="175" t="s">
        <v>126</v>
      </c>
      <c r="D71" s="101"/>
      <c r="E71" s="186"/>
      <c r="F71" s="186"/>
      <c r="G71" s="186"/>
      <c r="H71" s="102"/>
      <c r="I71" s="160">
        <f t="shared" ref="I71:I75" si="2">SUM(D71:H71)</f>
        <v>0</v>
      </c>
    </row>
    <row r="72" spans="2:9" s="148" customFormat="1" ht="13.2" customHeight="1" thickBot="1" x14ac:dyDescent="0.25">
      <c r="B72" s="159"/>
      <c r="C72" s="176" t="s">
        <v>127</v>
      </c>
      <c r="D72" s="103"/>
      <c r="E72" s="187"/>
      <c r="F72" s="187"/>
      <c r="G72" s="187"/>
      <c r="H72" s="104"/>
      <c r="I72" s="161">
        <f t="shared" si="2"/>
        <v>0</v>
      </c>
    </row>
    <row r="73" spans="2:9" ht="18" customHeight="1" x14ac:dyDescent="0.25">
      <c r="B73" s="154">
        <v>23</v>
      </c>
      <c r="C73" s="155" t="str">
        <f>Config!C27&amp;", "&amp;Config!D27</f>
        <v>Lindemann, Mads</v>
      </c>
      <c r="D73" s="156">
        <v>3</v>
      </c>
      <c r="E73" s="178"/>
      <c r="F73" s="178"/>
      <c r="G73" s="156">
        <v>5</v>
      </c>
      <c r="H73" s="179"/>
      <c r="I73" s="158">
        <f t="shared" si="2"/>
        <v>8</v>
      </c>
    </row>
    <row r="74" spans="2:9" s="148" customFormat="1" ht="13.2" customHeight="1" x14ac:dyDescent="0.2">
      <c r="B74" s="153"/>
      <c r="C74" s="173" t="s">
        <v>126</v>
      </c>
      <c r="D74" s="99"/>
      <c r="E74" s="184"/>
      <c r="F74" s="184"/>
      <c r="G74" s="99"/>
      <c r="H74" s="189"/>
      <c r="I74" s="150">
        <f t="shared" si="2"/>
        <v>0</v>
      </c>
    </row>
    <row r="75" spans="2:9" s="148" customFormat="1" ht="13.2" customHeight="1" thickBot="1" x14ac:dyDescent="0.25">
      <c r="B75" s="172"/>
      <c r="C75" s="177" t="s">
        <v>127</v>
      </c>
      <c r="D75" s="105"/>
      <c r="E75" s="188"/>
      <c r="F75" s="188"/>
      <c r="G75" s="105"/>
      <c r="H75" s="193"/>
      <c r="I75" s="151">
        <f t="shared" si="2"/>
        <v>0</v>
      </c>
    </row>
    <row r="76" spans="2:9" ht="18" customHeight="1" thickBot="1" x14ac:dyDescent="0.3">
      <c r="B76" s="131"/>
      <c r="C76" s="132"/>
      <c r="D76" s="132">
        <f>IF(COUNTIFS(D7:D73,"&lt;&gt;",C7:C73,"&lt;&gt;ZK",C7:C73,"&lt;&gt;DK")&lt;&gt;0,SUMIFS(D7:D73,C7:C73,"&lt;&gt;ZK",C7:C73,"&lt;&gt;DK")/(COUNTIFS(D7:D73,"&lt;&gt;",C7:C73,"&lt;&gt;ZK",C7:C73,"&lt;&gt;DK")*D6),0)</f>
        <v>0.67692307692307696</v>
      </c>
      <c r="E76" s="132">
        <f>IF(COUNTIFS(E7:E73,"&lt;&gt;",C7:C73,"&lt;&gt;ZK",C7:C73,"&lt;&gt;DK")&lt;&gt;0,SUMIFS(E7:E73,C7:C73,"&lt;&gt;ZK",C7:C73,"&lt;&gt;DK")/(COUNTIFS(E7:E73,"&lt;&gt;",C7:C73,"&lt;&gt;ZK",C7:C73,"&lt;&gt;DK")*E6),0)</f>
        <v>0.7</v>
      </c>
      <c r="F76" s="132">
        <f>IF(COUNTIFS(F7:F73,"&lt;&gt;",C7:C73,"&lt;&gt;ZK",C7:C73,"&lt;&gt;DK")&lt;&gt;0,SUMIFS(F7:F73,C7:C73,"&lt;&gt;ZK",C7:C73,"&lt;&gt;DK")/(COUNTIFS(F7:F73,"&lt;&gt;",C7:C73,"&lt;&gt;ZK",C7:C73,"&lt;&gt;DK")*F6),0)</f>
        <v>0.8</v>
      </c>
      <c r="G76" s="132">
        <f>IF(COUNTIFS(G7:G73,"&lt;&gt;",C7:C73,"&lt;&gt;ZK",C7:C73,"&lt;&gt;DK")&lt;&gt;0,SUMIFS(G7:G73,C7:C73,"&lt;&gt;ZK",C7:C73,"&lt;&gt;DK")/(COUNTIFS(G7:G73,"&lt;&gt;",C7:C73,"&lt;&gt;ZK",C7:C73,"&lt;&gt;DK")*G6),0)</f>
        <v>0.82857142857142863</v>
      </c>
      <c r="H76" s="132">
        <f>IF(COUNTIFS(H7:H73,"&lt;&gt;",C7:C73,"&lt;&gt;ZK",C7:C73,"&lt;&gt;DK")&lt;&gt;0,SUMIFS(H7:H73,C7:C73,"&lt;&gt;ZK",C7:C73,"&lt;&gt;DK")/(COUNTIFS(H7:H73,"&lt;&gt;",C7:C73,"&lt;&gt;ZK",C7:C73,"&lt;&gt;DK")*H6),0)</f>
        <v>0.68888888888888888</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841E8191-ED0D-4DDE-AF6E-77084523DCF5}">
      <formula1>0</formula1>
      <formula2>$D$6</formula2>
    </dataValidation>
    <dataValidation type="decimal" allowBlank="1" showErrorMessage="1" sqref="E7:E75" xr:uid="{6BA68127-5773-4FBA-9521-BAF2CC0074C0}">
      <formula1>0</formula1>
      <formula2>$E$6</formula2>
    </dataValidation>
    <dataValidation type="decimal" allowBlank="1" showErrorMessage="1" sqref="F7:F75" xr:uid="{7C6E92B2-0344-42F6-B2E5-B5487BD762E1}">
      <formula1>0</formula1>
      <formula2>$F$6</formula2>
    </dataValidation>
    <dataValidation type="decimal" allowBlank="1" showErrorMessage="1" sqref="G7:G75" xr:uid="{CAF27173-A92A-40E8-99A4-F2A3ADF2070B}">
      <formula1>0</formula1>
      <formula2>$G$6</formula2>
    </dataValidation>
    <dataValidation type="decimal" allowBlank="1" showErrorMessage="1" sqref="H7:H75" xr:uid="{3CEB961F-FC51-4D78-BFFB-4093D52D8A75}">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1DA3-1744-4C1B-B2E2-D9DE198BCA44}">
  <sheetPr codeName="Tabelle18">
    <tabColor rgb="FFFFC000"/>
  </sheetPr>
  <dimension ref="B1:N100"/>
  <sheetViews>
    <sheetView workbookViewId="0">
      <selection activeCell="G11" sqref="G11"/>
    </sheetView>
  </sheetViews>
  <sheetFormatPr baseColWidth="10" defaultRowHeight="13.2" x14ac:dyDescent="0.25"/>
  <cols>
    <col min="1" max="2" width="3.44140625" style="107" customWidth="1"/>
    <col min="3" max="3" width="25.77734375" style="107" customWidth="1"/>
    <col min="4" max="8" width="4.77734375" style="107" customWidth="1"/>
    <col min="9" max="9" width="2.77734375" style="107" customWidth="1"/>
    <col min="10" max="16384" width="11.5546875" style="107"/>
  </cols>
  <sheetData>
    <row r="1" spans="2:14" ht="18" customHeight="1" thickBot="1" x14ac:dyDescent="0.3"/>
    <row r="2" spans="2:14" ht="18" customHeight="1" x14ac:dyDescent="0.25">
      <c r="B2" s="108" t="str">
        <f>Config!F2&amp;" "&amp;YEAR(Config!G24)</f>
        <v>Mathe Abitur 2026</v>
      </c>
      <c r="C2" s="109"/>
      <c r="D2" s="109"/>
      <c r="E2" s="109"/>
      <c r="F2" s="110"/>
      <c r="G2" s="110"/>
      <c r="H2" s="111" t="str">
        <f>"Kurs "&amp;Config!G26</f>
        <v>Kurs K1</v>
      </c>
    </row>
    <row r="3" spans="2:14" ht="18" customHeight="1" x14ac:dyDescent="0.25">
      <c r="B3" s="112" t="s">
        <v>124</v>
      </c>
      <c r="C3" s="113"/>
      <c r="D3" s="113"/>
      <c r="E3" s="113"/>
      <c r="F3" s="113"/>
      <c r="G3" s="113"/>
      <c r="H3" s="114"/>
    </row>
    <row r="4" spans="2:14" ht="18" customHeight="1" thickBot="1" x14ac:dyDescent="0.3">
      <c r="B4" s="112"/>
      <c r="C4" s="113"/>
      <c r="D4" s="113"/>
      <c r="E4" s="113"/>
      <c r="F4" s="113"/>
      <c r="G4" s="113"/>
      <c r="H4" s="114"/>
    </row>
    <row r="5" spans="2:14" ht="18" customHeight="1" thickBot="1" x14ac:dyDescent="0.3">
      <c r="B5" s="117"/>
      <c r="C5" s="115"/>
      <c r="D5" s="197" t="str">
        <f>Config!R6</f>
        <v>6</v>
      </c>
      <c r="E5" s="197" t="str">
        <f>Config!R7</f>
        <v>7a</v>
      </c>
      <c r="F5" s="197" t="str">
        <f>Config!R8</f>
        <v>7b</v>
      </c>
      <c r="G5" s="197" t="str">
        <f>Config!R9</f>
        <v>8</v>
      </c>
      <c r="H5" s="197" t="str">
        <f>Config!R10</f>
        <v>9</v>
      </c>
    </row>
    <row r="6" spans="2:14" ht="18" customHeight="1" thickBot="1" x14ac:dyDescent="0.3">
      <c r="B6" s="118"/>
      <c r="C6" s="116" t="s">
        <v>81</v>
      </c>
      <c r="D6" s="205" t="s">
        <v>112</v>
      </c>
      <c r="E6" s="205" t="s">
        <v>112</v>
      </c>
      <c r="F6" s="205" t="s">
        <v>112</v>
      </c>
      <c r="G6" s="205" t="s">
        <v>112</v>
      </c>
      <c r="H6" s="205" t="s">
        <v>112</v>
      </c>
      <c r="J6" s="282" t="s">
        <v>125</v>
      </c>
      <c r="K6" s="283"/>
      <c r="L6" s="283"/>
      <c r="M6" s="283"/>
      <c r="N6" s="284"/>
    </row>
    <row r="7" spans="2:14" ht="18" customHeight="1" x14ac:dyDescent="0.25">
      <c r="B7" s="203">
        <v>1</v>
      </c>
      <c r="C7" s="204" t="str">
        <f>Config!C5&amp;", "&amp;Config!D5</f>
        <v>Höfer, Simon</v>
      </c>
      <c r="D7" s="63" t="s">
        <v>120</v>
      </c>
      <c r="E7" s="206" t="s">
        <v>120</v>
      </c>
      <c r="F7" s="63" t="s">
        <v>120</v>
      </c>
      <c r="G7" s="63"/>
      <c r="H7" s="64"/>
      <c r="J7" s="285"/>
      <c r="K7" s="286"/>
      <c r="L7" s="286"/>
      <c r="M7" s="286"/>
      <c r="N7" s="287"/>
    </row>
    <row r="8" spans="2:14" ht="18" customHeight="1" thickBot="1" x14ac:dyDescent="0.3">
      <c r="B8" s="202">
        <v>2</v>
      </c>
      <c r="C8" s="125" t="str">
        <f>Config!C6&amp;", "&amp;Config!D6</f>
        <v>Töpfer, Lilian</v>
      </c>
      <c r="D8" s="62" t="s">
        <v>120</v>
      </c>
      <c r="E8" s="62"/>
      <c r="F8" s="62"/>
      <c r="G8" s="62" t="s">
        <v>120</v>
      </c>
      <c r="H8" s="65"/>
      <c r="J8" s="288"/>
      <c r="K8" s="289"/>
      <c r="L8" s="289"/>
      <c r="M8" s="289"/>
      <c r="N8" s="290"/>
    </row>
    <row r="9" spans="2:14" ht="18" customHeight="1" x14ac:dyDescent="0.25">
      <c r="B9" s="202">
        <v>3</v>
      </c>
      <c r="C9" s="125" t="str">
        <f>Config!C7&amp;", "&amp;Config!D7</f>
        <v>Fleischmann, Leonie</v>
      </c>
      <c r="D9" s="62"/>
      <c r="E9" s="62"/>
      <c r="F9" s="62"/>
      <c r="G9" s="62" t="s">
        <v>120</v>
      </c>
      <c r="H9" s="65" t="s">
        <v>120</v>
      </c>
    </row>
    <row r="10" spans="2:14" ht="18" customHeight="1" x14ac:dyDescent="0.25">
      <c r="B10" s="202">
        <v>4</v>
      </c>
      <c r="C10" s="125" t="str">
        <f>Config!C8&amp;", "&amp;Config!D8</f>
        <v>Drescher, Cedric</v>
      </c>
      <c r="D10" s="62" t="s">
        <v>120</v>
      </c>
      <c r="E10" s="62" t="s">
        <v>120</v>
      </c>
      <c r="F10" s="62" t="s">
        <v>120</v>
      </c>
      <c r="G10" s="62"/>
      <c r="H10" s="65"/>
    </row>
    <row r="11" spans="2:14" ht="18" customHeight="1" x14ac:dyDescent="0.25">
      <c r="B11" s="202">
        <v>5</v>
      </c>
      <c r="C11" s="125" t="str">
        <f>Config!C9&amp;", "&amp;Config!D9</f>
        <v>Baumgarten, Annabell</v>
      </c>
      <c r="D11" s="62" t="s">
        <v>120</v>
      </c>
      <c r="E11" s="62"/>
      <c r="F11" s="62"/>
      <c r="G11" s="62" t="s">
        <v>120</v>
      </c>
      <c r="H11" s="65"/>
    </row>
    <row r="12" spans="2:14" ht="18" customHeight="1" x14ac:dyDescent="0.25">
      <c r="B12" s="202">
        <v>6</v>
      </c>
      <c r="C12" s="125" t="str">
        <f>Config!C10&amp;", "&amp;Config!D10</f>
        <v>Traut, Stefanie</v>
      </c>
      <c r="D12" s="62"/>
      <c r="E12" s="62" t="s">
        <v>120</v>
      </c>
      <c r="F12" s="62" t="s">
        <v>120</v>
      </c>
      <c r="G12" s="62" t="s">
        <v>120</v>
      </c>
      <c r="H12" s="65"/>
    </row>
    <row r="13" spans="2:14" ht="18" customHeight="1" x14ac:dyDescent="0.25">
      <c r="B13" s="202">
        <v>7</v>
      </c>
      <c r="C13" s="125" t="str">
        <f>Config!C11&amp;", "&amp;Config!D11</f>
        <v>Menke, Damian</v>
      </c>
      <c r="D13" s="62"/>
      <c r="E13" s="62" t="s">
        <v>120</v>
      </c>
      <c r="F13" s="62" t="s">
        <v>120</v>
      </c>
      <c r="G13" s="62"/>
      <c r="H13" s="65" t="s">
        <v>120</v>
      </c>
    </row>
    <row r="14" spans="2:14" ht="18" customHeight="1" x14ac:dyDescent="0.25">
      <c r="B14" s="202">
        <v>8</v>
      </c>
      <c r="C14" s="125" t="str">
        <f>Config!C12&amp;", "&amp;Config!D12</f>
        <v>Carroll, Meik</v>
      </c>
      <c r="D14" s="62"/>
      <c r="E14" s="62"/>
      <c r="F14" s="62"/>
      <c r="G14" s="62" t="s">
        <v>120</v>
      </c>
      <c r="H14" s="65" t="s">
        <v>120</v>
      </c>
    </row>
    <row r="15" spans="2:14" ht="18" customHeight="1" x14ac:dyDescent="0.25">
      <c r="B15" s="202">
        <v>9</v>
      </c>
      <c r="C15" s="125" t="str">
        <f>Config!C13&amp;", "&amp;Config!D13</f>
        <v>Hennings, Tomas</v>
      </c>
      <c r="D15" s="62" t="s">
        <v>120</v>
      </c>
      <c r="E15" s="62" t="s">
        <v>120</v>
      </c>
      <c r="F15" s="62" t="s">
        <v>120</v>
      </c>
      <c r="G15" s="62"/>
      <c r="H15" s="65"/>
    </row>
    <row r="16" spans="2:14" ht="18" customHeight="1" x14ac:dyDescent="0.25">
      <c r="B16" s="202">
        <v>10</v>
      </c>
      <c r="C16" s="125" t="str">
        <f>Config!C14&amp;", "&amp;Config!D14</f>
        <v>Walters, Linn</v>
      </c>
      <c r="D16" s="62"/>
      <c r="E16" s="62" t="s">
        <v>120</v>
      </c>
      <c r="F16" s="62" t="s">
        <v>120</v>
      </c>
      <c r="G16" s="62" t="s">
        <v>120</v>
      </c>
      <c r="H16" s="65"/>
    </row>
    <row r="17" spans="2:8" ht="18" customHeight="1" x14ac:dyDescent="0.25">
      <c r="B17" s="202">
        <v>11</v>
      </c>
      <c r="C17" s="125" t="str">
        <f>Config!C15&amp;", "&amp;Config!D15</f>
        <v>Junker, Amely</v>
      </c>
      <c r="D17" s="62" t="s">
        <v>120</v>
      </c>
      <c r="E17" s="62"/>
      <c r="F17" s="62"/>
      <c r="G17" s="62" t="s">
        <v>120</v>
      </c>
      <c r="H17" s="65"/>
    </row>
    <row r="18" spans="2:8" ht="18" customHeight="1" x14ac:dyDescent="0.25">
      <c r="B18" s="202">
        <v>12</v>
      </c>
      <c r="C18" s="125" t="str">
        <f>Config!C16&amp;", "&amp;Config!D16</f>
        <v>Stephens, Melvin</v>
      </c>
      <c r="D18" s="62" t="s">
        <v>120</v>
      </c>
      <c r="E18" s="62"/>
      <c r="F18" s="62"/>
      <c r="G18" s="62" t="s">
        <v>120</v>
      </c>
      <c r="H18" s="65"/>
    </row>
    <row r="19" spans="2:8" ht="18" customHeight="1" x14ac:dyDescent="0.25">
      <c r="B19" s="202">
        <v>13</v>
      </c>
      <c r="C19" s="125" t="str">
        <f>Config!C17&amp;", "&amp;Config!D17</f>
        <v>Cremer, Marvin</v>
      </c>
      <c r="D19" s="62" t="s">
        <v>120</v>
      </c>
      <c r="E19" s="62"/>
      <c r="F19" s="62"/>
      <c r="G19" s="62"/>
      <c r="H19" s="65" t="s">
        <v>120</v>
      </c>
    </row>
    <row r="20" spans="2:8" ht="18" customHeight="1" x14ac:dyDescent="0.25">
      <c r="B20" s="202">
        <v>14</v>
      </c>
      <c r="C20" s="125" t="str">
        <f>Config!C18&amp;", "&amp;Config!D18</f>
        <v>Nash, Jean</v>
      </c>
      <c r="D20" s="62"/>
      <c r="E20" s="62"/>
      <c r="F20" s="62"/>
      <c r="G20" s="62" t="s">
        <v>120</v>
      </c>
      <c r="H20" s="65" t="s">
        <v>120</v>
      </c>
    </row>
    <row r="21" spans="2:8" ht="18" customHeight="1" x14ac:dyDescent="0.25">
      <c r="B21" s="202">
        <v>15</v>
      </c>
      <c r="C21" s="125" t="str">
        <f>Config!C19&amp;", "&amp;Config!D19</f>
        <v>Schön, Leonardo</v>
      </c>
      <c r="D21" s="62"/>
      <c r="E21" s="62" t="s">
        <v>120</v>
      </c>
      <c r="F21" s="62" t="s">
        <v>120</v>
      </c>
      <c r="G21" s="62"/>
      <c r="H21" s="65" t="s">
        <v>120</v>
      </c>
    </row>
    <row r="22" spans="2:8" ht="18" customHeight="1" x14ac:dyDescent="0.25">
      <c r="B22" s="202">
        <v>16</v>
      </c>
      <c r="C22" s="125" t="str">
        <f>Config!C20&amp;", "&amp;Config!D20</f>
        <v>Sigl, Nicholas</v>
      </c>
      <c r="D22" s="62"/>
      <c r="E22" s="62" t="s">
        <v>120</v>
      </c>
      <c r="F22" s="62" t="s">
        <v>120</v>
      </c>
      <c r="G22" s="62" t="s">
        <v>120</v>
      </c>
      <c r="H22" s="65"/>
    </row>
    <row r="23" spans="2:8" ht="18" customHeight="1" x14ac:dyDescent="0.25">
      <c r="B23" s="202">
        <v>17</v>
      </c>
      <c r="C23" s="125" t="str">
        <f>Config!C21&amp;", "&amp;Config!D21</f>
        <v>Kainz, Vivienne</v>
      </c>
      <c r="D23" s="62" t="s">
        <v>120</v>
      </c>
      <c r="E23" s="62"/>
      <c r="F23" s="62"/>
      <c r="G23" s="62" t="s">
        <v>120</v>
      </c>
      <c r="H23" s="65"/>
    </row>
    <row r="24" spans="2:8" ht="18" customHeight="1" x14ac:dyDescent="0.25">
      <c r="B24" s="202">
        <v>18</v>
      </c>
      <c r="C24" s="125" t="str">
        <f>Config!C22&amp;", "&amp;Config!D22</f>
        <v>Hartmann, Mads</v>
      </c>
      <c r="D24" s="62"/>
      <c r="E24" s="62"/>
      <c r="F24" s="62"/>
      <c r="G24" s="62" t="s">
        <v>120</v>
      </c>
      <c r="H24" s="65" t="s">
        <v>120</v>
      </c>
    </row>
    <row r="25" spans="2:8" ht="18" customHeight="1" x14ac:dyDescent="0.25">
      <c r="B25" s="202">
        <v>19</v>
      </c>
      <c r="C25" s="125" t="str">
        <f>Config!C23&amp;", "&amp;Config!D23</f>
        <v>Ullmann, Raphael</v>
      </c>
      <c r="D25" s="62"/>
      <c r="E25" s="62"/>
      <c r="F25" s="62"/>
      <c r="G25" s="62" t="s">
        <v>120</v>
      </c>
      <c r="H25" s="65" t="s">
        <v>120</v>
      </c>
    </row>
    <row r="26" spans="2:8" ht="18" customHeight="1" x14ac:dyDescent="0.25">
      <c r="B26" s="202">
        <v>20</v>
      </c>
      <c r="C26" s="125" t="str">
        <f>Config!C24&amp;", "&amp;Config!D24</f>
        <v>Hartl, Emmely</v>
      </c>
      <c r="D26" s="62" t="s">
        <v>120</v>
      </c>
      <c r="E26" s="62" t="s">
        <v>120</v>
      </c>
      <c r="F26" s="62" t="s">
        <v>120</v>
      </c>
      <c r="G26" s="62"/>
      <c r="H26" s="65"/>
    </row>
    <row r="27" spans="2:8" ht="18" customHeight="1" x14ac:dyDescent="0.25">
      <c r="B27" s="202">
        <v>21</v>
      </c>
      <c r="C27" s="125" t="str">
        <f>Config!C25&amp;", "&amp;Config!D25</f>
        <v>Klotz, Karin</v>
      </c>
      <c r="D27" s="62" t="s">
        <v>120</v>
      </c>
      <c r="E27" s="62" t="s">
        <v>120</v>
      </c>
      <c r="F27" s="62" t="s">
        <v>120</v>
      </c>
      <c r="G27" s="62"/>
      <c r="H27" s="65"/>
    </row>
    <row r="28" spans="2:8" ht="18" customHeight="1" x14ac:dyDescent="0.25">
      <c r="B28" s="202">
        <v>22</v>
      </c>
      <c r="C28" s="125" t="str">
        <f>Config!C26&amp;", "&amp;Config!D26</f>
        <v>Ehlers, Ingo</v>
      </c>
      <c r="D28" s="62" t="s">
        <v>120</v>
      </c>
      <c r="E28" s="62"/>
      <c r="F28" s="62"/>
      <c r="G28" s="62"/>
      <c r="H28" s="65" t="s">
        <v>120</v>
      </c>
    </row>
    <row r="29" spans="2:8" ht="18" customHeight="1" thickBot="1" x14ac:dyDescent="0.3">
      <c r="B29" s="139">
        <v>23</v>
      </c>
      <c r="C29" s="130"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mergeCells count="1">
    <mergeCell ref="J6:N8"/>
  </mergeCells>
  <dataValidations count="1">
    <dataValidation type="list" allowBlank="1" showDropDown="1" showInputMessage="1" showErrorMessage="1" sqref="D7:H29" xr:uid="{7BAF644C-A9D5-4AD2-AC67-3B96B23503F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J26" sqref="J26:Q26"/>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55" t="s">
        <v>6</v>
      </c>
      <c r="C2" s="256"/>
      <c r="D2" s="257"/>
      <c r="F2" s="244" t="s">
        <v>96</v>
      </c>
      <c r="G2" s="245"/>
      <c r="H2" s="245"/>
      <c r="I2" s="245"/>
      <c r="J2" s="245"/>
      <c r="K2" s="245"/>
      <c r="L2" s="245"/>
      <c r="M2" s="245"/>
      <c r="N2" s="245"/>
      <c r="O2" s="245"/>
      <c r="P2" s="245"/>
      <c r="Q2" s="245"/>
      <c r="R2" s="245"/>
      <c r="S2" s="246"/>
      <c r="T2" s="79" t="s">
        <v>88</v>
      </c>
      <c r="V2" s="217" t="s">
        <v>89</v>
      </c>
      <c r="W2" s="218"/>
      <c r="X2" s="218"/>
      <c r="Y2" s="218"/>
      <c r="Z2" s="219"/>
      <c r="AB2" s="217" t="s">
        <v>129</v>
      </c>
      <c r="AC2" s="218"/>
      <c r="AD2" s="218"/>
      <c r="AE2" s="218"/>
      <c r="AF2" s="219"/>
    </row>
    <row r="3" spans="2:32" ht="13.2" customHeight="1" x14ac:dyDescent="0.25">
      <c r="B3" s="258"/>
      <c r="C3" s="259"/>
      <c r="D3" s="260"/>
      <c r="F3" s="247"/>
      <c r="G3" s="248"/>
      <c r="H3" s="248"/>
      <c r="I3" s="248"/>
      <c r="J3" s="248"/>
      <c r="K3" s="248"/>
      <c r="L3" s="248"/>
      <c r="M3" s="248"/>
      <c r="N3" s="248"/>
      <c r="O3" s="248"/>
      <c r="P3" s="248"/>
      <c r="Q3" s="248"/>
      <c r="R3" s="248"/>
      <c r="S3" s="249"/>
      <c r="V3" s="80" t="s">
        <v>90</v>
      </c>
      <c r="W3" s="220" t="s">
        <v>122</v>
      </c>
      <c r="X3" s="220"/>
      <c r="Y3" s="220"/>
      <c r="Z3" s="221"/>
      <c r="AB3" s="95" t="s">
        <v>130</v>
      </c>
      <c r="AC3" s="220" t="s">
        <v>131</v>
      </c>
      <c r="AD3" s="220"/>
      <c r="AE3" s="220"/>
      <c r="AF3" s="221"/>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20"/>
      <c r="X4" s="220"/>
      <c r="Y4" s="220"/>
      <c r="Z4" s="221"/>
      <c r="AB4" s="80"/>
      <c r="AC4" s="220"/>
      <c r="AD4" s="220"/>
      <c r="AE4" s="220"/>
      <c r="AF4" s="221"/>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20"/>
      <c r="X5" s="220"/>
      <c r="Y5" s="220"/>
      <c r="Z5" s="221"/>
      <c r="AB5" s="80"/>
      <c r="AC5" s="220"/>
      <c r="AD5" s="220"/>
      <c r="AE5" s="220"/>
      <c r="AF5" s="221"/>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20"/>
      <c r="X6" s="220"/>
      <c r="Y6" s="220"/>
      <c r="Z6" s="221"/>
      <c r="AB6" s="95" t="s">
        <v>130</v>
      </c>
      <c r="AC6" s="220"/>
      <c r="AD6" s="220"/>
      <c r="AE6" s="220"/>
      <c r="AF6" s="221"/>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20"/>
      <c r="X7" s="220"/>
      <c r="Y7" s="220"/>
      <c r="Z7" s="221"/>
      <c r="AB7" s="80"/>
      <c r="AC7" s="220"/>
      <c r="AD7" s="220"/>
      <c r="AE7" s="220"/>
      <c r="AF7" s="221"/>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20"/>
      <c r="X8" s="220"/>
      <c r="Y8" s="220"/>
      <c r="Z8" s="221"/>
      <c r="AB8" s="80"/>
      <c r="AC8" s="220"/>
      <c r="AD8" s="220"/>
      <c r="AE8" s="220"/>
      <c r="AF8" s="221"/>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20"/>
      <c r="X9" s="220"/>
      <c r="Y9" s="220"/>
      <c r="Z9" s="221"/>
      <c r="AB9" s="95"/>
      <c r="AC9" s="220"/>
      <c r="AD9" s="220"/>
      <c r="AE9" s="220"/>
      <c r="AF9" s="221"/>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20"/>
      <c r="X10" s="220"/>
      <c r="Y10" s="220"/>
      <c r="Z10" s="221"/>
      <c r="AB10" s="80"/>
      <c r="AC10" s="220"/>
      <c r="AD10" s="220"/>
      <c r="AE10" s="220"/>
      <c r="AF10" s="221"/>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20"/>
      <c r="X11" s="220"/>
      <c r="Y11" s="220"/>
      <c r="Z11" s="221"/>
      <c r="AB11" s="95" t="s">
        <v>130</v>
      </c>
      <c r="AC11" s="220"/>
      <c r="AD11" s="220"/>
      <c r="AE11" s="220"/>
      <c r="AF11" s="221"/>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20"/>
      <c r="X12" s="220"/>
      <c r="Y12" s="220"/>
      <c r="Z12" s="221"/>
      <c r="AB12" s="95"/>
      <c r="AC12" s="220"/>
      <c r="AD12" s="220"/>
      <c r="AE12" s="220"/>
      <c r="AF12" s="221"/>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20"/>
      <c r="X13" s="220"/>
      <c r="Y13" s="220"/>
      <c r="Z13" s="221"/>
      <c r="AB13" s="80"/>
      <c r="AC13" s="220"/>
      <c r="AD13" s="220"/>
      <c r="AE13" s="220"/>
      <c r="AF13" s="221"/>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20"/>
      <c r="X14" s="220"/>
      <c r="Y14" s="220"/>
      <c r="Z14" s="221"/>
      <c r="AB14" s="80"/>
      <c r="AC14" s="220"/>
      <c r="AD14" s="220"/>
      <c r="AE14" s="220"/>
      <c r="AF14" s="221"/>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20"/>
      <c r="X15" s="220"/>
      <c r="Y15" s="220"/>
      <c r="Z15" s="221"/>
      <c r="AB15" s="95"/>
      <c r="AC15" s="220"/>
      <c r="AD15" s="220"/>
      <c r="AE15" s="220"/>
      <c r="AF15" s="221"/>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20"/>
      <c r="X16" s="220"/>
      <c r="Y16" s="220"/>
      <c r="Z16" s="221"/>
      <c r="AB16" s="95" t="s">
        <v>130</v>
      </c>
      <c r="AC16" s="220"/>
      <c r="AD16" s="220"/>
      <c r="AE16" s="220"/>
      <c r="AF16" s="221"/>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20"/>
      <c r="X17" s="220"/>
      <c r="Y17" s="220"/>
      <c r="Z17" s="221"/>
      <c r="AB17" s="80"/>
      <c r="AC17" s="220"/>
      <c r="AD17" s="220"/>
      <c r="AE17" s="220"/>
      <c r="AF17" s="221"/>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20"/>
      <c r="X18" s="220"/>
      <c r="Y18" s="220"/>
      <c r="Z18" s="221"/>
      <c r="AB18" s="95"/>
      <c r="AC18" s="220"/>
      <c r="AD18" s="220"/>
      <c r="AE18" s="220"/>
      <c r="AF18" s="221"/>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20"/>
      <c r="X19" s="220"/>
      <c r="Y19" s="220"/>
      <c r="Z19" s="221"/>
      <c r="AB19" s="80"/>
      <c r="AC19" s="220"/>
      <c r="AD19" s="220"/>
      <c r="AE19" s="220"/>
      <c r="AF19" s="221"/>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20"/>
      <c r="X20" s="220"/>
      <c r="Y20" s="220"/>
      <c r="Z20" s="221"/>
      <c r="AB20" s="80"/>
      <c r="AC20" s="220"/>
      <c r="AD20" s="220"/>
      <c r="AE20" s="220"/>
      <c r="AF20" s="221"/>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20"/>
      <c r="X21" s="220"/>
      <c r="Y21" s="220"/>
      <c r="Z21" s="221"/>
      <c r="AB21" s="95"/>
      <c r="AC21" s="220"/>
      <c r="AD21" s="220"/>
      <c r="AE21" s="220"/>
      <c r="AF21" s="221"/>
    </row>
    <row r="22" spans="2:32" ht="13.8" thickBot="1" x14ac:dyDescent="0.3">
      <c r="B22" s="5">
        <v>18</v>
      </c>
      <c r="C22" s="13" t="s">
        <v>75</v>
      </c>
      <c r="D22" s="14" t="s">
        <v>53</v>
      </c>
      <c r="F22" s="250" t="s">
        <v>118</v>
      </c>
      <c r="G22" s="251"/>
      <c r="H22" s="252" t="s">
        <v>118</v>
      </c>
      <c r="I22" s="251"/>
      <c r="J22" s="252" t="s">
        <v>118</v>
      </c>
      <c r="K22" s="251"/>
      <c r="L22" s="252" t="s">
        <v>118</v>
      </c>
      <c r="M22" s="251"/>
      <c r="N22" s="252" t="s">
        <v>118</v>
      </c>
      <c r="O22" s="251"/>
      <c r="P22" s="252" t="s">
        <v>118</v>
      </c>
      <c r="Q22" s="251"/>
      <c r="R22" s="252" t="s">
        <v>119</v>
      </c>
      <c r="S22" s="263"/>
      <c r="T22" s="79" t="s">
        <v>88</v>
      </c>
      <c r="V22" s="4"/>
      <c r="W22" s="220"/>
      <c r="X22" s="220"/>
      <c r="Y22" s="220"/>
      <c r="Z22" s="221"/>
      <c r="AB22" s="4"/>
      <c r="AC22" s="220"/>
      <c r="AD22" s="220"/>
      <c r="AE22" s="220"/>
      <c r="AF22" s="221"/>
    </row>
    <row r="23" spans="2:32" ht="13.2" customHeight="1" thickBot="1" x14ac:dyDescent="0.3">
      <c r="B23" s="5">
        <v>19</v>
      </c>
      <c r="C23" s="77" t="s">
        <v>76</v>
      </c>
      <c r="D23" s="78" t="s">
        <v>54</v>
      </c>
      <c r="V23" s="4"/>
      <c r="W23" s="220"/>
      <c r="X23" s="220"/>
      <c r="Y23" s="220"/>
      <c r="Z23" s="221"/>
      <c r="AB23" s="4"/>
      <c r="AC23" s="220"/>
      <c r="AD23" s="220"/>
      <c r="AE23" s="220"/>
      <c r="AF23" s="221"/>
    </row>
    <row r="24" spans="2:32" ht="13.2" customHeight="1" x14ac:dyDescent="0.25">
      <c r="B24" s="5">
        <v>20</v>
      </c>
      <c r="C24" s="13" t="s">
        <v>77</v>
      </c>
      <c r="D24" s="14" t="s">
        <v>55</v>
      </c>
      <c r="F24" s="22" t="s">
        <v>22</v>
      </c>
      <c r="G24" s="233">
        <v>46150</v>
      </c>
      <c r="H24" s="234"/>
      <c r="J24" s="235" t="s">
        <v>99</v>
      </c>
      <c r="K24" s="236"/>
      <c r="L24" s="236"/>
      <c r="M24" s="236"/>
      <c r="N24" s="236"/>
      <c r="O24" s="236"/>
      <c r="P24" s="236"/>
      <c r="Q24" s="237"/>
      <c r="V24" s="4" t="s">
        <v>123</v>
      </c>
      <c r="W24" s="220"/>
      <c r="X24" s="220"/>
      <c r="Y24" s="220"/>
      <c r="Z24" s="221"/>
      <c r="AB24" s="95"/>
      <c r="AC24" s="220"/>
      <c r="AD24" s="220"/>
      <c r="AE24" s="220"/>
      <c r="AF24" s="221"/>
    </row>
    <row r="25" spans="2:32" ht="13.2" customHeight="1" x14ac:dyDescent="0.25">
      <c r="B25" s="5">
        <v>21</v>
      </c>
      <c r="C25" s="77" t="s">
        <v>78</v>
      </c>
      <c r="D25" s="78" t="s">
        <v>56</v>
      </c>
      <c r="F25" s="23" t="s">
        <v>30</v>
      </c>
      <c r="G25" s="261" t="s">
        <v>86</v>
      </c>
      <c r="H25" s="262"/>
      <c r="J25" s="238" t="s">
        <v>98</v>
      </c>
      <c r="K25" s="239"/>
      <c r="L25" s="239"/>
      <c r="M25" s="239"/>
      <c r="N25" s="239"/>
      <c r="O25" s="239"/>
      <c r="P25" s="239"/>
      <c r="Q25" s="240"/>
      <c r="V25" s="4"/>
      <c r="W25" s="220"/>
      <c r="X25" s="220"/>
      <c r="Y25" s="220"/>
      <c r="Z25" s="221"/>
      <c r="AB25" s="4"/>
      <c r="AC25" s="220"/>
      <c r="AD25" s="220"/>
      <c r="AE25" s="220"/>
      <c r="AF25" s="221"/>
    </row>
    <row r="26" spans="2:32" ht="13.2" customHeight="1" thickBot="1" x14ac:dyDescent="0.3">
      <c r="B26" s="5">
        <v>22</v>
      </c>
      <c r="C26" s="13" t="s">
        <v>79</v>
      </c>
      <c r="D26" s="14" t="s">
        <v>57</v>
      </c>
      <c r="F26" s="23" t="s">
        <v>21</v>
      </c>
      <c r="G26" s="261" t="s">
        <v>87</v>
      </c>
      <c r="H26" s="262"/>
      <c r="J26" s="241" t="s">
        <v>137</v>
      </c>
      <c r="K26" s="242"/>
      <c r="L26" s="242"/>
      <c r="M26" s="242"/>
      <c r="N26" s="242"/>
      <c r="O26" s="242"/>
      <c r="P26" s="242"/>
      <c r="Q26" s="243"/>
      <c r="V26" s="4"/>
      <c r="W26" s="220"/>
      <c r="X26" s="220"/>
      <c r="Y26" s="220"/>
      <c r="Z26" s="221"/>
      <c r="AB26" s="4"/>
      <c r="AC26" s="220"/>
      <c r="AD26" s="220"/>
      <c r="AE26" s="220"/>
      <c r="AF26" s="221"/>
    </row>
    <row r="27" spans="2:32" ht="13.2" customHeight="1" thickBot="1" x14ac:dyDescent="0.3">
      <c r="B27" s="5">
        <v>23</v>
      </c>
      <c r="C27" s="77" t="s">
        <v>80</v>
      </c>
      <c r="D27" s="78" t="s">
        <v>53</v>
      </c>
      <c r="F27" s="23" t="s">
        <v>126</v>
      </c>
      <c r="G27" s="261" t="s">
        <v>132</v>
      </c>
      <c r="H27" s="262"/>
      <c r="I27" s="94" t="s">
        <v>88</v>
      </c>
      <c r="V27" s="4"/>
      <c r="W27" s="220"/>
      <c r="X27" s="220"/>
      <c r="Y27" s="220"/>
      <c r="Z27" s="221"/>
      <c r="AB27" s="4"/>
      <c r="AC27" s="220"/>
      <c r="AD27" s="220"/>
      <c r="AE27" s="220"/>
      <c r="AF27" s="221"/>
    </row>
    <row r="28" spans="2:32" ht="13.2" customHeight="1" thickBot="1" x14ac:dyDescent="0.3">
      <c r="B28" s="5">
        <v>24</v>
      </c>
      <c r="C28" s="13"/>
      <c r="D28" s="14"/>
      <c r="F28" s="24" t="s">
        <v>127</v>
      </c>
      <c r="G28" s="264" t="s">
        <v>133</v>
      </c>
      <c r="H28" s="265"/>
      <c r="I28" s="94" t="s">
        <v>88</v>
      </c>
      <c r="N28" s="266" t="s">
        <v>128</v>
      </c>
      <c r="O28" s="267"/>
      <c r="P28" s="267"/>
      <c r="Q28" s="268"/>
      <c r="V28" s="4"/>
      <c r="W28" s="220"/>
      <c r="X28" s="220"/>
      <c r="Y28" s="220"/>
      <c r="Z28" s="221"/>
      <c r="AB28" s="4"/>
      <c r="AC28" s="220"/>
      <c r="AD28" s="220"/>
      <c r="AE28" s="220"/>
      <c r="AF28" s="221"/>
    </row>
    <row r="29" spans="2:32" ht="13.2" customHeight="1" thickBot="1" x14ac:dyDescent="0.3">
      <c r="B29" s="5">
        <v>25</v>
      </c>
      <c r="C29" s="77"/>
      <c r="D29" s="78"/>
      <c r="N29" s="269"/>
      <c r="O29" s="270"/>
      <c r="P29" s="270"/>
      <c r="Q29" s="271"/>
      <c r="V29" s="92"/>
      <c r="W29" s="222"/>
      <c r="X29" s="222"/>
      <c r="Y29" s="222"/>
      <c r="Z29" s="223"/>
      <c r="AB29" s="92"/>
      <c r="AC29" s="222"/>
      <c r="AD29" s="222"/>
      <c r="AE29" s="222"/>
      <c r="AF29" s="223"/>
    </row>
    <row r="30" spans="2:32" ht="13.2" customHeight="1" thickBot="1" x14ac:dyDescent="0.3">
      <c r="B30" s="5">
        <v>26</v>
      </c>
      <c r="C30" s="13"/>
      <c r="D30" s="14"/>
    </row>
    <row r="31" spans="2:32" ht="13.2" customHeight="1" x14ac:dyDescent="0.25">
      <c r="B31" s="5">
        <v>27</v>
      </c>
      <c r="C31" s="77"/>
      <c r="D31" s="78"/>
      <c r="F31" s="224" t="s">
        <v>97</v>
      </c>
      <c r="G31" s="225"/>
      <c r="H31" s="225"/>
      <c r="I31" s="225"/>
      <c r="J31" s="225"/>
      <c r="K31" s="225"/>
      <c r="L31" s="225"/>
      <c r="M31" s="225"/>
      <c r="N31" s="225"/>
      <c r="O31" s="225"/>
      <c r="P31" s="225"/>
      <c r="Q31" s="226"/>
    </row>
    <row r="32" spans="2:32" ht="13.2" customHeight="1" x14ac:dyDescent="0.25">
      <c r="B32" s="5">
        <v>28</v>
      </c>
      <c r="C32" s="13"/>
      <c r="D32" s="14"/>
      <c r="F32" s="227"/>
      <c r="G32" s="228"/>
      <c r="H32" s="228"/>
      <c r="I32" s="228"/>
      <c r="J32" s="228"/>
      <c r="K32" s="228"/>
      <c r="L32" s="228"/>
      <c r="M32" s="228"/>
      <c r="N32" s="228"/>
      <c r="O32" s="228"/>
      <c r="P32" s="228"/>
      <c r="Q32" s="229"/>
    </row>
    <row r="33" spans="2:25" ht="13.2" customHeight="1" x14ac:dyDescent="0.25">
      <c r="B33" s="5">
        <v>29</v>
      </c>
      <c r="C33" s="77"/>
      <c r="D33" s="78"/>
      <c r="F33" s="227"/>
      <c r="G33" s="228"/>
      <c r="H33" s="228"/>
      <c r="I33" s="228"/>
      <c r="J33" s="228"/>
      <c r="K33" s="228"/>
      <c r="L33" s="228"/>
      <c r="M33" s="228"/>
      <c r="N33" s="228"/>
      <c r="O33" s="228"/>
      <c r="P33" s="228"/>
      <c r="Q33" s="229"/>
    </row>
    <row r="34" spans="2:25" ht="13.2" customHeight="1" x14ac:dyDescent="0.25">
      <c r="B34" s="5">
        <v>30</v>
      </c>
      <c r="C34" s="13"/>
      <c r="D34" s="14"/>
      <c r="F34" s="227"/>
      <c r="G34" s="228"/>
      <c r="H34" s="228"/>
      <c r="I34" s="228"/>
      <c r="J34" s="228"/>
      <c r="K34" s="228"/>
      <c r="L34" s="228"/>
      <c r="M34" s="228"/>
      <c r="N34" s="228"/>
      <c r="O34" s="228"/>
      <c r="P34" s="228"/>
      <c r="Q34" s="229"/>
    </row>
    <row r="35" spans="2:25" ht="13.2" customHeight="1" x14ac:dyDescent="0.25">
      <c r="B35" s="5">
        <v>31</v>
      </c>
      <c r="C35" s="77"/>
      <c r="D35" s="78"/>
      <c r="F35" s="227"/>
      <c r="G35" s="228"/>
      <c r="H35" s="228"/>
      <c r="I35" s="228"/>
      <c r="J35" s="228"/>
      <c r="K35" s="228"/>
      <c r="L35" s="228"/>
      <c r="M35" s="228"/>
      <c r="N35" s="228"/>
      <c r="O35" s="228"/>
      <c r="P35" s="228"/>
      <c r="Q35" s="229"/>
    </row>
    <row r="36" spans="2:25" ht="13.2" customHeight="1" x14ac:dyDescent="0.25">
      <c r="B36" s="5">
        <v>32</v>
      </c>
      <c r="C36" s="13"/>
      <c r="D36" s="14"/>
      <c r="F36" s="227"/>
      <c r="G36" s="228"/>
      <c r="H36" s="228"/>
      <c r="I36" s="228"/>
      <c r="J36" s="228"/>
      <c r="K36" s="228"/>
      <c r="L36" s="228"/>
      <c r="M36" s="228"/>
      <c r="N36" s="228"/>
      <c r="O36" s="228"/>
      <c r="P36" s="228"/>
      <c r="Q36" s="229"/>
    </row>
    <row r="37" spans="2:25" ht="13.2" customHeight="1" thickBot="1" x14ac:dyDescent="0.3">
      <c r="B37" s="5">
        <v>33</v>
      </c>
      <c r="C37" s="77"/>
      <c r="D37" s="78"/>
      <c r="F37" s="227"/>
      <c r="G37" s="228"/>
      <c r="H37" s="228"/>
      <c r="I37" s="228"/>
      <c r="J37" s="228"/>
      <c r="K37" s="228"/>
      <c r="L37" s="228"/>
      <c r="M37" s="228"/>
      <c r="N37" s="228"/>
      <c r="O37" s="228"/>
      <c r="P37" s="228"/>
      <c r="Q37" s="229"/>
    </row>
    <row r="38" spans="2:25" ht="13.2" customHeight="1" x14ac:dyDescent="0.25">
      <c r="B38" s="5">
        <v>34</v>
      </c>
      <c r="C38" s="13"/>
      <c r="D38" s="14"/>
      <c r="F38" s="227"/>
      <c r="G38" s="228"/>
      <c r="H38" s="228"/>
      <c r="I38" s="228"/>
      <c r="J38" s="228"/>
      <c r="K38" s="228"/>
      <c r="L38" s="228"/>
      <c r="M38" s="228"/>
      <c r="N38" s="228"/>
      <c r="O38" s="228"/>
      <c r="P38" s="228"/>
      <c r="Q38" s="229"/>
      <c r="V38" s="272" t="s">
        <v>134</v>
      </c>
      <c r="W38" s="273"/>
      <c r="X38" s="273"/>
      <c r="Y38" s="274"/>
    </row>
    <row r="39" spans="2:25" ht="13.2" customHeight="1" x14ac:dyDescent="0.25">
      <c r="B39" s="5">
        <v>35</v>
      </c>
      <c r="C39" s="77"/>
      <c r="D39" s="78"/>
      <c r="F39" s="227"/>
      <c r="G39" s="228"/>
      <c r="H39" s="228"/>
      <c r="I39" s="228"/>
      <c r="J39" s="228"/>
      <c r="K39" s="228"/>
      <c r="L39" s="228"/>
      <c r="M39" s="228"/>
      <c r="N39" s="228"/>
      <c r="O39" s="228"/>
      <c r="P39" s="228"/>
      <c r="Q39" s="229"/>
      <c r="V39" s="275"/>
      <c r="W39" s="276"/>
      <c r="X39" s="276"/>
      <c r="Y39" s="277"/>
    </row>
    <row r="40" spans="2:25" ht="13.2" customHeight="1" x14ac:dyDescent="0.25">
      <c r="B40" s="5">
        <v>36</v>
      </c>
      <c r="C40" s="13"/>
      <c r="D40" s="14"/>
      <c r="F40" s="227"/>
      <c r="G40" s="228"/>
      <c r="H40" s="228"/>
      <c r="I40" s="228"/>
      <c r="J40" s="228"/>
      <c r="K40" s="228"/>
      <c r="L40" s="228"/>
      <c r="M40" s="228"/>
      <c r="N40" s="228"/>
      <c r="O40" s="228"/>
      <c r="P40" s="228"/>
      <c r="Q40" s="229"/>
      <c r="V40" s="98">
        <v>1</v>
      </c>
      <c r="W40" s="278" t="s">
        <v>135</v>
      </c>
      <c r="X40" s="278"/>
      <c r="Y40" s="279"/>
    </row>
    <row r="41" spans="2:25" ht="13.2" customHeight="1" x14ac:dyDescent="0.25">
      <c r="B41" s="5">
        <v>37</v>
      </c>
      <c r="C41" s="77"/>
      <c r="D41" s="78"/>
      <c r="F41" s="227"/>
      <c r="G41" s="228"/>
      <c r="H41" s="228"/>
      <c r="I41" s="228"/>
      <c r="J41" s="228"/>
      <c r="K41" s="228"/>
      <c r="L41" s="228"/>
      <c r="M41" s="228"/>
      <c r="N41" s="228"/>
      <c r="O41" s="228"/>
      <c r="P41" s="228"/>
      <c r="Q41" s="229"/>
      <c r="V41" s="98">
        <v>1</v>
      </c>
      <c r="W41" s="278" t="s">
        <v>136</v>
      </c>
      <c r="X41" s="278"/>
      <c r="Y41" s="279"/>
    </row>
    <row r="42" spans="2:25" ht="13.2" customHeight="1" x14ac:dyDescent="0.25">
      <c r="B42" s="5">
        <v>38</v>
      </c>
      <c r="C42" s="13"/>
      <c r="D42" s="14"/>
      <c r="F42" s="227"/>
      <c r="G42" s="228"/>
      <c r="H42" s="228"/>
      <c r="I42" s="228"/>
      <c r="J42" s="228"/>
      <c r="K42" s="228"/>
      <c r="L42" s="228"/>
      <c r="M42" s="228"/>
      <c r="N42" s="228"/>
      <c r="O42" s="228"/>
      <c r="P42" s="228"/>
      <c r="Q42" s="229"/>
      <c r="V42" s="96"/>
      <c r="W42" s="280"/>
      <c r="X42" s="280"/>
      <c r="Y42" s="281"/>
    </row>
    <row r="43" spans="2:25" ht="13.2" customHeight="1" x14ac:dyDescent="0.25">
      <c r="B43" s="5">
        <v>39</v>
      </c>
      <c r="C43" s="77"/>
      <c r="D43" s="78"/>
      <c r="F43" s="227"/>
      <c r="G43" s="228"/>
      <c r="H43" s="228"/>
      <c r="I43" s="228"/>
      <c r="J43" s="228"/>
      <c r="K43" s="228"/>
      <c r="L43" s="228"/>
      <c r="M43" s="228"/>
      <c r="N43" s="228"/>
      <c r="O43" s="228"/>
      <c r="P43" s="228"/>
      <c r="Q43" s="229"/>
      <c r="V43" s="96"/>
      <c r="W43" s="280"/>
      <c r="X43" s="280"/>
      <c r="Y43" s="281"/>
    </row>
    <row r="44" spans="2:25" ht="13.2" customHeight="1" thickBot="1" x14ac:dyDescent="0.3">
      <c r="B44" s="6">
        <v>40</v>
      </c>
      <c r="C44" s="15"/>
      <c r="D44" s="16"/>
      <c r="F44" s="230"/>
      <c r="G44" s="231"/>
      <c r="H44" s="231"/>
      <c r="I44" s="231"/>
      <c r="J44" s="231"/>
      <c r="K44" s="231"/>
      <c r="L44" s="231"/>
      <c r="M44" s="231"/>
      <c r="N44" s="231"/>
      <c r="O44" s="231"/>
      <c r="P44" s="231"/>
      <c r="Q44" s="232"/>
      <c r="V44" s="97"/>
      <c r="W44" s="253"/>
      <c r="X44" s="253"/>
      <c r="Y44" s="254"/>
    </row>
    <row r="45" spans="2:25" x14ac:dyDescent="0.25">
      <c r="C45" s="10">
        <f>COUNTA(C5:C44)</f>
        <v>23</v>
      </c>
    </row>
  </sheetData>
  <sheetProtection sheet="1" objects="1" scenario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24" t="s">
        <v>32</v>
      </c>
      <c r="H2" s="225"/>
      <c r="I2" s="225"/>
      <c r="J2" s="225"/>
      <c r="K2" s="225"/>
      <c r="L2" s="226"/>
    </row>
    <row r="3" spans="2:15" x14ac:dyDescent="0.25">
      <c r="B3" s="35">
        <v>0</v>
      </c>
      <c r="C3" s="36">
        <v>0</v>
      </c>
      <c r="D3" s="37">
        <v>6</v>
      </c>
      <c r="E3" s="27" t="str">
        <f>IF(AND($C3=$C4,$C4&lt;$C5),"+",IF($C3&lt;$C4,"++",""))</f>
        <v/>
      </c>
      <c r="F3" s="31"/>
      <c r="G3" s="227"/>
      <c r="H3" s="228"/>
      <c r="I3" s="228"/>
      <c r="J3" s="228"/>
      <c r="K3" s="228"/>
      <c r="L3" s="229"/>
    </row>
    <row r="4" spans="2:15" x14ac:dyDescent="0.25">
      <c r="B4" s="38">
        <v>0.5</v>
      </c>
      <c r="C4" s="39">
        <v>0</v>
      </c>
      <c r="D4" s="40">
        <v>6</v>
      </c>
      <c r="E4" s="27" t="str">
        <f>IF(AND($C4=$C5,$C5&lt;$C6),"+",IF($C4&lt;$C5,"++",""))</f>
        <v/>
      </c>
      <c r="F4" s="31"/>
      <c r="G4" s="227"/>
      <c r="H4" s="228"/>
      <c r="I4" s="228"/>
      <c r="J4" s="228"/>
      <c r="K4" s="228"/>
      <c r="L4" s="229"/>
    </row>
    <row r="5" spans="2:15" x14ac:dyDescent="0.25">
      <c r="B5" s="38">
        <v>1</v>
      </c>
      <c r="C5" s="39">
        <v>0</v>
      </c>
      <c r="D5" s="40">
        <v>6</v>
      </c>
      <c r="E5" s="27" t="str">
        <f t="shared" ref="E5:E50" si="0">IF(AND($C5=$C6,$C6&lt;$C7),"+",IF($C5&lt;$C6,"++",IF(AND($C5=$C4,$C4&gt;$C3),"-",IF($C5&gt;$C4,"--",""))))</f>
        <v/>
      </c>
      <c r="F5" s="31"/>
      <c r="G5" s="227"/>
      <c r="H5" s="228"/>
      <c r="I5" s="228"/>
      <c r="J5" s="228"/>
      <c r="K5" s="228"/>
      <c r="L5" s="229"/>
    </row>
    <row r="6" spans="2:15" x14ac:dyDescent="0.25">
      <c r="B6" s="38">
        <v>1.5</v>
      </c>
      <c r="C6" s="39">
        <v>0</v>
      </c>
      <c r="D6" s="40">
        <v>6</v>
      </c>
      <c r="E6" s="27" t="str">
        <f t="shared" si="0"/>
        <v/>
      </c>
      <c r="F6" s="31"/>
      <c r="G6" s="227"/>
      <c r="H6" s="228"/>
      <c r="I6" s="228"/>
      <c r="J6" s="228"/>
      <c r="K6" s="228"/>
      <c r="L6" s="229"/>
    </row>
    <row r="7" spans="2:15" x14ac:dyDescent="0.25">
      <c r="B7" s="38">
        <v>2</v>
      </c>
      <c r="C7" s="39">
        <v>0</v>
      </c>
      <c r="D7" s="40">
        <v>6</v>
      </c>
      <c r="E7" s="27" t="str">
        <f t="shared" si="0"/>
        <v/>
      </c>
      <c r="F7" s="31"/>
      <c r="G7" s="227"/>
      <c r="H7" s="228"/>
      <c r="I7" s="228"/>
      <c r="J7" s="228"/>
      <c r="K7" s="228"/>
      <c r="L7" s="229"/>
    </row>
    <row r="8" spans="2:15" ht="12.75" customHeight="1" x14ac:dyDescent="0.25">
      <c r="B8" s="38">
        <v>2.5</v>
      </c>
      <c r="C8" s="39">
        <v>0</v>
      </c>
      <c r="D8" s="40">
        <v>6</v>
      </c>
      <c r="E8" s="27" t="str">
        <f t="shared" si="0"/>
        <v/>
      </c>
      <c r="F8" s="31"/>
      <c r="G8" s="227"/>
      <c r="H8" s="228"/>
      <c r="I8" s="228"/>
      <c r="J8" s="228"/>
      <c r="K8" s="228"/>
      <c r="L8" s="229"/>
      <c r="M8" s="32"/>
      <c r="N8" s="32"/>
      <c r="O8" s="32"/>
    </row>
    <row r="9" spans="2:15" x14ac:dyDescent="0.25">
      <c r="B9" s="38">
        <v>3</v>
      </c>
      <c r="C9" s="39">
        <v>0</v>
      </c>
      <c r="D9" s="40">
        <v>6</v>
      </c>
      <c r="E9" s="27" t="str">
        <f t="shared" si="0"/>
        <v/>
      </c>
      <c r="F9" s="31"/>
      <c r="G9" s="227"/>
      <c r="H9" s="228"/>
      <c r="I9" s="228"/>
      <c r="J9" s="228"/>
      <c r="K9" s="228"/>
      <c r="L9" s="229"/>
      <c r="M9" s="32"/>
      <c r="N9" s="32"/>
      <c r="O9" s="32"/>
    </row>
    <row r="10" spans="2:15" x14ac:dyDescent="0.25">
      <c r="B10" s="38">
        <v>3.5</v>
      </c>
      <c r="C10" s="39">
        <v>0</v>
      </c>
      <c r="D10" s="40">
        <v>6</v>
      </c>
      <c r="E10" s="27" t="str">
        <f t="shared" si="0"/>
        <v/>
      </c>
      <c r="F10" s="31"/>
      <c r="G10" s="227"/>
      <c r="H10" s="228"/>
      <c r="I10" s="228"/>
      <c r="J10" s="228"/>
      <c r="K10" s="228"/>
      <c r="L10" s="229"/>
      <c r="M10" s="32"/>
      <c r="N10" s="32"/>
      <c r="O10" s="32"/>
    </row>
    <row r="11" spans="2:15" x14ac:dyDescent="0.25">
      <c r="B11" s="38">
        <v>4</v>
      </c>
      <c r="C11" s="39">
        <v>0</v>
      </c>
      <c r="D11" s="40">
        <v>6</v>
      </c>
      <c r="E11" s="27" t="str">
        <f t="shared" si="0"/>
        <v/>
      </c>
      <c r="G11" s="227"/>
      <c r="H11" s="228"/>
      <c r="I11" s="228"/>
      <c r="J11" s="228"/>
      <c r="K11" s="228"/>
      <c r="L11" s="229"/>
      <c r="M11" s="32"/>
      <c r="N11" s="32"/>
      <c r="O11" s="32"/>
    </row>
    <row r="12" spans="2:15" x14ac:dyDescent="0.25">
      <c r="B12" s="38">
        <v>4.5</v>
      </c>
      <c r="C12" s="39">
        <v>0</v>
      </c>
      <c r="D12" s="40">
        <v>6</v>
      </c>
      <c r="E12" s="27" t="str">
        <f t="shared" si="0"/>
        <v/>
      </c>
      <c r="F12" s="31"/>
      <c r="G12" s="227"/>
      <c r="H12" s="228"/>
      <c r="I12" s="228"/>
      <c r="J12" s="228"/>
      <c r="K12" s="228"/>
      <c r="L12" s="229"/>
      <c r="M12" s="32"/>
      <c r="N12" s="32"/>
      <c r="O12" s="32"/>
    </row>
    <row r="13" spans="2:15" x14ac:dyDescent="0.25">
      <c r="B13" s="38">
        <v>5</v>
      </c>
      <c r="C13" s="39">
        <v>0</v>
      </c>
      <c r="D13" s="40">
        <v>6</v>
      </c>
      <c r="E13" s="27" t="str">
        <f t="shared" si="0"/>
        <v/>
      </c>
      <c r="F13" s="31"/>
      <c r="G13" s="227"/>
      <c r="H13" s="228"/>
      <c r="I13" s="228"/>
      <c r="J13" s="228"/>
      <c r="K13" s="228"/>
      <c r="L13" s="229"/>
      <c r="M13" s="32"/>
      <c r="N13" s="32"/>
      <c r="O13" s="32"/>
    </row>
    <row r="14" spans="2:15" x14ac:dyDescent="0.25">
      <c r="B14" s="38">
        <v>5.5</v>
      </c>
      <c r="C14" s="39">
        <v>0</v>
      </c>
      <c r="D14" s="40">
        <v>6</v>
      </c>
      <c r="E14" s="27" t="str">
        <f t="shared" si="0"/>
        <v/>
      </c>
      <c r="F14" s="31"/>
      <c r="G14" s="227"/>
      <c r="H14" s="228"/>
      <c r="I14" s="228"/>
      <c r="J14" s="228"/>
      <c r="K14" s="228"/>
      <c r="L14" s="229"/>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2026-05-08T20:59:11Z</dcterms:modified>
</cp:coreProperties>
</file>