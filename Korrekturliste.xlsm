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4EBC22E4-FCB0-4D58-B2F2-7B3326206765}" xr6:coauthVersionLast="47" xr6:coauthVersionMax="47" xr10:uidLastSave="{00000000-0000-0000-0000-000000000000}"/>
  <bookViews>
    <workbookView xWindow="-108" yWindow="-108" windowWidth="30936" windowHeight="16776" activeTab="9" xr2:uid="{00000000-000D-0000-FFFF-FFFF00000000}"/>
  </bookViews>
  <sheets>
    <sheet name="Noten" sheetId="2994" r:id="rId1"/>
    <sheet name="Analysis A" sheetId="2987" r:id="rId2"/>
    <sheet name="Analysis B" sheetId="2988" r:id="rId3"/>
    <sheet name="Stochastik A" sheetId="2989" r:id="rId4"/>
    <sheet name="Stochastik B" sheetId="2990" r:id="rId5"/>
    <sheet name="Geometrie A" sheetId="2991" r:id="rId6"/>
    <sheet name="Geometrie B" sheetId="2992" r:id="rId7"/>
    <sheet name="Wahlaufgaben" sheetId="2993" r:id="rId8"/>
    <sheet name="ConfigW" sheetId="2995"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A'!$C$7:$J$29</definedName>
    <definedName name="PupilBlock" localSheetId="2">'Analysis B'!$C$7:$N$29</definedName>
    <definedName name="PupilBlock" localSheetId="5">'Geometrie A'!$C$7:$F$29</definedName>
    <definedName name="PupilBlock" localSheetId="6">'Geometrie B'!$C$7:$I$29</definedName>
    <definedName name="PupilBlock" localSheetId="3">'Stochastik A'!$C$7:$E$29</definedName>
    <definedName name="PupilBlock" localSheetId="4">'Stochastik B'!$C$7:$I$29</definedName>
    <definedName name="PupilBlock" localSheetId="7">Wahlaufgaben!$C$7:$I$29</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994" l="1"/>
  <c r="C7" i="2987"/>
  <c r="J7" i="2987"/>
  <c r="D7" i="2994"/>
  <c r="C7" i="2988"/>
  <c r="N7" i="2988"/>
  <c r="E7" i="2994"/>
  <c r="C7" i="2989"/>
  <c r="E7" i="2989"/>
  <c r="F7" i="2994"/>
  <c r="C7" i="2990"/>
  <c r="I7" i="2990"/>
  <c r="G7" i="2994"/>
  <c r="C7" i="2993"/>
  <c r="I7" i="2993"/>
  <c r="J7" i="2994"/>
  <c r="C7" i="2992"/>
  <c r="I7" i="2992"/>
  <c r="I7" i="2994"/>
  <c r="C7" i="2991"/>
  <c r="F7" i="2991"/>
  <c r="H7" i="2994"/>
  <c r="K7" i="2994"/>
  <c r="L7" i="2994"/>
  <c r="C8" i="2994"/>
  <c r="C8" i="2987"/>
  <c r="J8" i="2987"/>
  <c r="D8" i="2994"/>
  <c r="C8" i="2988"/>
  <c r="N8" i="2988"/>
  <c r="E8" i="2994"/>
  <c r="C8" i="2989"/>
  <c r="E8" i="2989"/>
  <c r="F8" i="2994"/>
  <c r="C8" i="2990"/>
  <c r="I8" i="2990"/>
  <c r="G8" i="2994"/>
  <c r="C8" i="2993"/>
  <c r="I8" i="2993"/>
  <c r="J8" i="2994"/>
  <c r="C8" i="2992"/>
  <c r="I8" i="2992"/>
  <c r="I8" i="2994"/>
  <c r="C8" i="2991"/>
  <c r="F8" i="2991"/>
  <c r="H8" i="2994"/>
  <c r="K8" i="2994"/>
  <c r="L8" i="2994"/>
  <c r="C9" i="2994"/>
  <c r="C9" i="2987"/>
  <c r="J9" i="2987"/>
  <c r="D9" i="2994"/>
  <c r="C9" i="2988"/>
  <c r="N9" i="2988"/>
  <c r="E9" i="2994"/>
  <c r="C9" i="2989"/>
  <c r="E9" i="2989"/>
  <c r="F9" i="2994"/>
  <c r="C9" i="2990"/>
  <c r="I9" i="2990"/>
  <c r="G9" i="2994"/>
  <c r="C9" i="2993"/>
  <c r="I9" i="2993"/>
  <c r="J9" i="2994"/>
  <c r="C9" i="2992"/>
  <c r="I9" i="2992"/>
  <c r="I9" i="2994"/>
  <c r="C9" i="2991"/>
  <c r="F9" i="2991"/>
  <c r="H9" i="2994"/>
  <c r="K9" i="2994"/>
  <c r="L9" i="2994"/>
  <c r="C10" i="2994"/>
  <c r="C10" i="2987"/>
  <c r="J10" i="2987"/>
  <c r="D10" i="2994"/>
  <c r="C10" i="2988"/>
  <c r="N10" i="2988"/>
  <c r="E10" i="2994"/>
  <c r="C10" i="2989"/>
  <c r="E10" i="2989"/>
  <c r="F10" i="2994"/>
  <c r="C10" i="2990"/>
  <c r="I10" i="2990"/>
  <c r="G10" i="2994"/>
  <c r="C10" i="2993"/>
  <c r="I10" i="2993"/>
  <c r="J10" i="2994"/>
  <c r="C10" i="2992"/>
  <c r="I10" i="2992"/>
  <c r="I10" i="2994"/>
  <c r="C10" i="2991"/>
  <c r="F10" i="2991"/>
  <c r="H10" i="2994"/>
  <c r="K10" i="2994"/>
  <c r="L10" i="2994"/>
  <c r="C29" i="2994"/>
  <c r="C11" i="2987"/>
  <c r="C12" i="2987"/>
  <c r="C13" i="2987"/>
  <c r="J29" i="2987"/>
  <c r="C29" i="2987"/>
  <c r="J28" i="2987"/>
  <c r="C28" i="2987"/>
  <c r="J27" i="2987"/>
  <c r="C27" i="2987"/>
  <c r="J26" i="2987"/>
  <c r="C26" i="2987"/>
  <c r="J25" i="2987"/>
  <c r="C25" i="2987"/>
  <c r="J24" i="2987"/>
  <c r="C24" i="2987"/>
  <c r="J23" i="2987"/>
  <c r="C23" i="2987"/>
  <c r="J22" i="2987"/>
  <c r="C22" i="2987"/>
  <c r="J21" i="2987"/>
  <c r="C21" i="2987"/>
  <c r="J20" i="2987"/>
  <c r="C20" i="2987"/>
  <c r="J19" i="2987"/>
  <c r="C19" i="2987"/>
  <c r="J18" i="2987"/>
  <c r="C18" i="2987"/>
  <c r="J17" i="2987"/>
  <c r="C17" i="2987"/>
  <c r="J16" i="2987"/>
  <c r="C16" i="2987"/>
  <c r="J15" i="2987"/>
  <c r="C15" i="2987"/>
  <c r="J14" i="2987"/>
  <c r="C14" i="2987"/>
  <c r="J13" i="2987"/>
  <c r="J12" i="2987"/>
  <c r="J11" i="2987"/>
  <c r="D29" i="2994"/>
  <c r="C11" i="2988"/>
  <c r="C12" i="2988"/>
  <c r="C13" i="2988"/>
  <c r="C14" i="2988"/>
  <c r="N29" i="2988"/>
  <c r="C29" i="2988"/>
  <c r="N28" i="2988"/>
  <c r="C28" i="2988"/>
  <c r="N27" i="2988"/>
  <c r="C27" i="2988"/>
  <c r="N26" i="2988"/>
  <c r="C26" i="2988"/>
  <c r="N25" i="2988"/>
  <c r="C25" i="2988"/>
  <c r="N24" i="2988"/>
  <c r="C24" i="2988"/>
  <c r="N23" i="2988"/>
  <c r="C23" i="2988"/>
  <c r="N22" i="2988"/>
  <c r="C22" i="2988"/>
  <c r="N21" i="2988"/>
  <c r="C21" i="2988"/>
  <c r="N20" i="2988"/>
  <c r="C20" i="2988"/>
  <c r="N19" i="2988"/>
  <c r="C19" i="2988"/>
  <c r="N18" i="2988"/>
  <c r="C18" i="2988"/>
  <c r="N17" i="2988"/>
  <c r="C17" i="2988"/>
  <c r="N16" i="2988"/>
  <c r="C16" i="2988"/>
  <c r="N15" i="2988"/>
  <c r="C15" i="2988"/>
  <c r="N14" i="2988"/>
  <c r="N13" i="2988"/>
  <c r="N12" i="2988"/>
  <c r="N11" i="2988"/>
  <c r="E29" i="2994"/>
  <c r="C11" i="2989"/>
  <c r="C12" i="2989"/>
  <c r="C13" i="2989"/>
  <c r="C14" i="2989"/>
  <c r="E29" i="2989"/>
  <c r="C29" i="2989"/>
  <c r="E28" i="2989"/>
  <c r="C28" i="2989"/>
  <c r="E27" i="2989"/>
  <c r="C27" i="2989"/>
  <c r="E26" i="2989"/>
  <c r="C26" i="2989"/>
  <c r="E25" i="2989"/>
  <c r="C25" i="2989"/>
  <c r="E24" i="2989"/>
  <c r="C24" i="2989"/>
  <c r="E23" i="2989"/>
  <c r="C23" i="2989"/>
  <c r="E22" i="2989"/>
  <c r="C22" i="2989"/>
  <c r="E21" i="2989"/>
  <c r="C21" i="2989"/>
  <c r="E20" i="2989"/>
  <c r="C20" i="2989"/>
  <c r="E19" i="2989"/>
  <c r="C19" i="2989"/>
  <c r="E18" i="2989"/>
  <c r="C18" i="2989"/>
  <c r="E17" i="2989"/>
  <c r="C17" i="2989"/>
  <c r="E16" i="2989"/>
  <c r="C16" i="2989"/>
  <c r="E15" i="2989"/>
  <c r="C15" i="2989"/>
  <c r="E14" i="2989"/>
  <c r="E13" i="2989"/>
  <c r="E12" i="2989"/>
  <c r="E11" i="2989"/>
  <c r="F29" i="2994"/>
  <c r="C11" i="2990"/>
  <c r="C12" i="2990"/>
  <c r="C13" i="2990"/>
  <c r="C14" i="2990"/>
  <c r="I29" i="2990"/>
  <c r="C29" i="2990"/>
  <c r="I28" i="2990"/>
  <c r="C28" i="2990"/>
  <c r="I27" i="2990"/>
  <c r="C27" i="2990"/>
  <c r="I26" i="2990"/>
  <c r="C26" i="2990"/>
  <c r="I25" i="2990"/>
  <c r="C25" i="2990"/>
  <c r="I24" i="2990"/>
  <c r="C24" i="2990"/>
  <c r="I23" i="2990"/>
  <c r="C23" i="2990"/>
  <c r="I22" i="2990"/>
  <c r="C22" i="2990"/>
  <c r="I21" i="2990"/>
  <c r="C21" i="2990"/>
  <c r="I20" i="2990"/>
  <c r="C20" i="2990"/>
  <c r="I19" i="2990"/>
  <c r="C19" i="2990"/>
  <c r="I18" i="2990"/>
  <c r="C18" i="2990"/>
  <c r="I17" i="2990"/>
  <c r="C17" i="2990"/>
  <c r="I16" i="2990"/>
  <c r="C16" i="2990"/>
  <c r="I15" i="2990"/>
  <c r="C15" i="2990"/>
  <c r="I14" i="2990"/>
  <c r="I13" i="2990"/>
  <c r="I12" i="2990"/>
  <c r="I11" i="2990"/>
  <c r="G29" i="2994"/>
  <c r="C11" i="2993"/>
  <c r="C12" i="2993"/>
  <c r="C13" i="2993"/>
  <c r="C14" i="2993"/>
  <c r="I29" i="2993"/>
  <c r="C29" i="2993"/>
  <c r="I28" i="2993"/>
  <c r="C28" i="2993"/>
  <c r="I27" i="2993"/>
  <c r="C27" i="2993"/>
  <c r="I26" i="2993"/>
  <c r="C26" i="2993"/>
  <c r="I25" i="2993"/>
  <c r="C25" i="2993"/>
  <c r="I24" i="2993"/>
  <c r="C24" i="2993"/>
  <c r="I23" i="2993"/>
  <c r="C23" i="2993"/>
  <c r="I22" i="2993"/>
  <c r="C22" i="2993"/>
  <c r="I21" i="2993"/>
  <c r="C21" i="2993"/>
  <c r="I20" i="2993"/>
  <c r="C20" i="2993"/>
  <c r="I19" i="2993"/>
  <c r="C19" i="2993"/>
  <c r="I18" i="2993"/>
  <c r="C18" i="2993"/>
  <c r="I17" i="2993"/>
  <c r="C17" i="2993"/>
  <c r="I16" i="2993"/>
  <c r="C16" i="2993"/>
  <c r="I15" i="2993"/>
  <c r="C15" i="2993"/>
  <c r="I14" i="2993"/>
  <c r="I13" i="2993"/>
  <c r="I12" i="2993"/>
  <c r="I11" i="2993"/>
  <c r="J29" i="2994"/>
  <c r="C11" i="2992"/>
  <c r="C12" i="2992"/>
  <c r="C13" i="2992"/>
  <c r="C14" i="2992"/>
  <c r="I29" i="2992"/>
  <c r="C29" i="2992"/>
  <c r="I28" i="2992"/>
  <c r="C28" i="2992"/>
  <c r="I27" i="2992"/>
  <c r="C27" i="2992"/>
  <c r="I26" i="2992"/>
  <c r="C26" i="2992"/>
  <c r="I25" i="2992"/>
  <c r="C25" i="2992"/>
  <c r="I24" i="2992"/>
  <c r="C24" i="2992"/>
  <c r="I23" i="2992"/>
  <c r="C23" i="2992"/>
  <c r="I22" i="2992"/>
  <c r="C22" i="2992"/>
  <c r="I21" i="2992"/>
  <c r="C21" i="2992"/>
  <c r="I20" i="2992"/>
  <c r="C20" i="2992"/>
  <c r="I19" i="2992"/>
  <c r="C19" i="2992"/>
  <c r="I18" i="2992"/>
  <c r="C18" i="2992"/>
  <c r="I17" i="2992"/>
  <c r="C17" i="2992"/>
  <c r="I16" i="2992"/>
  <c r="C16" i="2992"/>
  <c r="I15" i="2992"/>
  <c r="C15" i="2992"/>
  <c r="I14" i="2992"/>
  <c r="I13" i="2992"/>
  <c r="I12" i="2992"/>
  <c r="I11" i="2992"/>
  <c r="I29" i="2994"/>
  <c r="C11" i="2991"/>
  <c r="C12" i="2991"/>
  <c r="C13" i="2991"/>
  <c r="C14" i="2991"/>
  <c r="F29" i="2991"/>
  <c r="C29" i="2991"/>
  <c r="F28" i="2991"/>
  <c r="C28" i="2991"/>
  <c r="F27" i="2991"/>
  <c r="C27" i="2991"/>
  <c r="F26" i="2991"/>
  <c r="C26" i="2991"/>
  <c r="F25" i="2991"/>
  <c r="C25" i="2991"/>
  <c r="F24" i="2991"/>
  <c r="C24" i="2991"/>
  <c r="F23" i="2991"/>
  <c r="C23" i="2991"/>
  <c r="F22" i="2991"/>
  <c r="C22" i="2991"/>
  <c r="F21" i="2991"/>
  <c r="C21" i="2991"/>
  <c r="F20" i="2991"/>
  <c r="C20" i="2991"/>
  <c r="F19" i="2991"/>
  <c r="C19" i="2991"/>
  <c r="F18" i="2991"/>
  <c r="C18" i="2991"/>
  <c r="F17" i="2991"/>
  <c r="C17" i="2991"/>
  <c r="F16" i="2991"/>
  <c r="C16" i="2991"/>
  <c r="F15" i="2991"/>
  <c r="C15" i="2991"/>
  <c r="F14" i="2991"/>
  <c r="F13" i="2991"/>
  <c r="F12" i="2991"/>
  <c r="F11" i="2991"/>
  <c r="H29" i="2994"/>
  <c r="K29" i="2994"/>
  <c r="L29" i="2994"/>
  <c r="C28" i="2994"/>
  <c r="D28" i="2994"/>
  <c r="E28" i="2994"/>
  <c r="F28" i="2994"/>
  <c r="G28" i="2994"/>
  <c r="J28" i="2994"/>
  <c r="I28" i="2994"/>
  <c r="H28" i="2994"/>
  <c r="K28" i="2994"/>
  <c r="L28" i="2994"/>
  <c r="C27" i="2994"/>
  <c r="D27" i="2994"/>
  <c r="E27" i="2994"/>
  <c r="F27" i="2994"/>
  <c r="G27" i="2994"/>
  <c r="J27" i="2994"/>
  <c r="I27" i="2994"/>
  <c r="H27" i="2994"/>
  <c r="K27" i="2994"/>
  <c r="L27" i="2994"/>
  <c r="C26" i="2994"/>
  <c r="D26" i="2994"/>
  <c r="E26" i="2994"/>
  <c r="F26" i="2994"/>
  <c r="G26" i="2994"/>
  <c r="J26" i="2994"/>
  <c r="I26" i="2994"/>
  <c r="H26" i="2994"/>
  <c r="K26" i="2994"/>
  <c r="L26" i="2994"/>
  <c r="C25" i="2994"/>
  <c r="D25" i="2994"/>
  <c r="E25" i="2994"/>
  <c r="F25" i="2994"/>
  <c r="G25" i="2994"/>
  <c r="J25" i="2994"/>
  <c r="I25" i="2994"/>
  <c r="H25" i="2994"/>
  <c r="K25" i="2994"/>
  <c r="L25" i="2994"/>
  <c r="C24" i="2994"/>
  <c r="D24" i="2994"/>
  <c r="E24" i="2994"/>
  <c r="F24" i="2994"/>
  <c r="G24" i="2994"/>
  <c r="J24" i="2994"/>
  <c r="I24" i="2994"/>
  <c r="H24" i="2994"/>
  <c r="K24" i="2994"/>
  <c r="L24" i="2994"/>
  <c r="C23" i="2994"/>
  <c r="D23" i="2994"/>
  <c r="E23" i="2994"/>
  <c r="F23" i="2994"/>
  <c r="G23" i="2994"/>
  <c r="J23" i="2994"/>
  <c r="I23" i="2994"/>
  <c r="H23" i="2994"/>
  <c r="K23" i="2994"/>
  <c r="L23" i="2994"/>
  <c r="C22" i="2994"/>
  <c r="D22" i="2994"/>
  <c r="E22" i="2994"/>
  <c r="F22" i="2994"/>
  <c r="G22" i="2994"/>
  <c r="J22" i="2994"/>
  <c r="I22" i="2994"/>
  <c r="H22" i="2994"/>
  <c r="K22" i="2994"/>
  <c r="L22" i="2994"/>
  <c r="C21" i="2994"/>
  <c r="D21" i="2994"/>
  <c r="E21" i="2994"/>
  <c r="F21" i="2994"/>
  <c r="G21" i="2994"/>
  <c r="J21" i="2994"/>
  <c r="I21" i="2994"/>
  <c r="H21" i="2994"/>
  <c r="K21" i="2994"/>
  <c r="L21" i="2994"/>
  <c r="C20" i="2994"/>
  <c r="D20" i="2994"/>
  <c r="E20" i="2994"/>
  <c r="F20" i="2994"/>
  <c r="G20" i="2994"/>
  <c r="J20" i="2994"/>
  <c r="I20" i="2994"/>
  <c r="H20" i="2994"/>
  <c r="K20" i="2994"/>
  <c r="L20" i="2994"/>
  <c r="C19" i="2994"/>
  <c r="D19" i="2994"/>
  <c r="E19" i="2994"/>
  <c r="F19" i="2994"/>
  <c r="G19" i="2994"/>
  <c r="J19" i="2994"/>
  <c r="I19" i="2994"/>
  <c r="H19" i="2994"/>
  <c r="K19" i="2994"/>
  <c r="L19" i="2994"/>
  <c r="C18" i="2994"/>
  <c r="D18" i="2994"/>
  <c r="E18" i="2994"/>
  <c r="F18" i="2994"/>
  <c r="G18" i="2994"/>
  <c r="J18" i="2994"/>
  <c r="I18" i="2994"/>
  <c r="H18" i="2994"/>
  <c r="K18" i="2994"/>
  <c r="L18" i="2994"/>
  <c r="C17" i="2994"/>
  <c r="D17" i="2994"/>
  <c r="E17" i="2994"/>
  <c r="F17" i="2994"/>
  <c r="G17" i="2994"/>
  <c r="J17" i="2994"/>
  <c r="I17" i="2994"/>
  <c r="H17" i="2994"/>
  <c r="K17" i="2994"/>
  <c r="L17" i="2994"/>
  <c r="C16" i="2994"/>
  <c r="D16" i="2994"/>
  <c r="E16" i="2994"/>
  <c r="F16" i="2994"/>
  <c r="G16" i="2994"/>
  <c r="J16" i="2994"/>
  <c r="I16" i="2994"/>
  <c r="H16" i="2994"/>
  <c r="K16" i="2994"/>
  <c r="L16" i="2994"/>
  <c r="C15" i="2994"/>
  <c r="D15" i="2994"/>
  <c r="E15" i="2994"/>
  <c r="F15" i="2994"/>
  <c r="G15" i="2994"/>
  <c r="J15" i="2994"/>
  <c r="I15" i="2994"/>
  <c r="H15" i="2994"/>
  <c r="K15" i="2994"/>
  <c r="L15" i="2994"/>
  <c r="C14" i="2994"/>
  <c r="D14" i="2994"/>
  <c r="E14" i="2994"/>
  <c r="F14" i="2994"/>
  <c r="G14" i="2994"/>
  <c r="J14" i="2994"/>
  <c r="I14" i="2994"/>
  <c r="H14" i="2994"/>
  <c r="K14" i="2994"/>
  <c r="L14" i="2994"/>
  <c r="C13" i="2994"/>
  <c r="D13" i="2994"/>
  <c r="E13" i="2994"/>
  <c r="F13" i="2994"/>
  <c r="G13" i="2994"/>
  <c r="J13" i="2994"/>
  <c r="I13" i="2994"/>
  <c r="H13" i="2994"/>
  <c r="K13" i="2994"/>
  <c r="L13" i="2994"/>
  <c r="C12" i="2994"/>
  <c r="D12" i="2994"/>
  <c r="E12" i="2994"/>
  <c r="F12" i="2994"/>
  <c r="G12" i="2994"/>
  <c r="J12" i="2994"/>
  <c r="I12" i="2994"/>
  <c r="H12" i="2994"/>
  <c r="K12" i="2994"/>
  <c r="L12" i="2994"/>
  <c r="C11" i="2994"/>
  <c r="D11" i="2994"/>
  <c r="E11" i="2994"/>
  <c r="F11" i="2994"/>
  <c r="G11" i="2994"/>
  <c r="J11" i="2994"/>
  <c r="I11" i="2994"/>
  <c r="H11" i="2994"/>
  <c r="K11" i="2994"/>
  <c r="L11" i="2994"/>
  <c r="L30" i="2994"/>
  <c r="G21" i="14"/>
  <c r="I21" i="14"/>
  <c r="K21" i="14"/>
  <c r="M21" i="14"/>
  <c r="Q21" i="14"/>
  <c r="O21" i="14"/>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E3" i="11"/>
  <c r="E26" i="11"/>
  <c r="E71" i="11"/>
  <c r="E76" i="11"/>
  <c r="E102" i="11"/>
  <c r="E120" i="11"/>
  <c r="E136" i="11"/>
  <c r="E134" i="11"/>
  <c r="E133" i="11"/>
  <c r="E131" i="11"/>
  <c r="E129" i="11"/>
  <c r="N7" i="2994"/>
  <c r="E21" i="11"/>
  <c r="E56" i="11"/>
  <c r="E66" i="11"/>
  <c r="E80" i="11"/>
  <c r="E87" i="11"/>
  <c r="E105" i="11"/>
  <c r="E119" i="11"/>
  <c r="E121" i="11"/>
  <c r="N8" i="2994"/>
  <c r="E24" i="11"/>
  <c r="E47" i="11"/>
  <c r="E52" i="11"/>
  <c r="E68" i="11"/>
  <c r="E77" i="11"/>
  <c r="N9" i="2994"/>
  <c r="E28" i="11"/>
  <c r="E74" i="11"/>
  <c r="E79" i="11"/>
  <c r="E97" i="11"/>
  <c r="E104" i="11"/>
  <c r="E143" i="11"/>
  <c r="N10" i="2994"/>
  <c r="E31" i="11"/>
  <c r="E88" i="11"/>
  <c r="E95" i="11"/>
  <c r="N11" i="2994"/>
  <c r="E94" i="11"/>
  <c r="E100" i="11"/>
  <c r="E130" i="11"/>
  <c r="E164" i="11"/>
  <c r="E180" i="11"/>
  <c r="N12" i="2994"/>
  <c r="E73" i="11"/>
  <c r="E83" i="11"/>
  <c r="E109" i="11"/>
  <c r="E139" i="11"/>
  <c r="E153" i="11"/>
  <c r="N13" i="2994"/>
  <c r="E54" i="11"/>
  <c r="E64" i="11"/>
  <c r="E81" i="11"/>
  <c r="E89" i="11"/>
  <c r="E115" i="11"/>
  <c r="N14" i="2994"/>
  <c r="E23" i="11"/>
  <c r="E60" i="11"/>
  <c r="E86" i="11"/>
  <c r="E103" i="11"/>
  <c r="N15" i="2994"/>
  <c r="E9" i="11"/>
  <c r="E44" i="11"/>
  <c r="E46" i="11"/>
  <c r="E63" i="11"/>
  <c r="N16" i="2994"/>
  <c r="E16" i="11"/>
  <c r="E43" i="11"/>
  <c r="E90" i="11"/>
  <c r="N17" i="2994"/>
  <c r="E85" i="11"/>
  <c r="E96" i="11"/>
  <c r="E123" i="11"/>
  <c r="E135" i="11"/>
  <c r="N18" i="2994"/>
  <c r="E72" i="11"/>
  <c r="E82" i="11"/>
  <c r="E93" i="11"/>
  <c r="E108" i="11"/>
  <c r="E124" i="11"/>
  <c r="N19" i="2994"/>
  <c r="E30" i="11"/>
  <c r="E61" i="11"/>
  <c r="E138" i="11"/>
  <c r="N20" i="2994"/>
  <c r="E27" i="11"/>
  <c r="E118" i="11"/>
  <c r="E126" i="11"/>
  <c r="N21" i="2994"/>
  <c r="E18" i="11"/>
  <c r="E62" i="11"/>
  <c r="N22" i="2994"/>
  <c r="E5" i="11"/>
  <c r="E53" i="11"/>
  <c r="N23" i="2994"/>
  <c r="E55" i="11"/>
  <c r="N24" i="2994"/>
  <c r="E22" i="11"/>
  <c r="E51" i="11"/>
  <c r="E75" i="11"/>
  <c r="E106" i="11"/>
  <c r="E122" i="11"/>
  <c r="N25" i="2994"/>
  <c r="E91" i="11"/>
  <c r="E125" i="11"/>
  <c r="E145" i="11"/>
  <c r="N26" i="2994"/>
  <c r="E113" i="11"/>
  <c r="E165" i="11"/>
  <c r="N27" i="2994"/>
  <c r="E65" i="11"/>
  <c r="N28" i="2994"/>
  <c r="E17" i="11"/>
  <c r="E49" i="11"/>
  <c r="E59" i="11"/>
  <c r="E98" i="11"/>
  <c r="E114" i="11"/>
  <c r="N29" i="2994"/>
  <c r="D6" i="2994"/>
  <c r="D30" i="2994"/>
  <c r="E6" i="2994"/>
  <c r="E30" i="2994"/>
  <c r="F6" i="2994"/>
  <c r="F30" i="2994"/>
  <c r="G6" i="2994"/>
  <c r="G30" i="2994"/>
  <c r="H6" i="2994"/>
  <c r="H30" i="299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30" i="2993"/>
  <c r="E6" i="2993"/>
  <c r="E30" i="2993"/>
  <c r="F6" i="2993"/>
  <c r="F30" i="2993"/>
  <c r="G6" i="2993"/>
  <c r="G30" i="2993"/>
  <c r="H6" i="2993"/>
  <c r="H30" i="2993"/>
  <c r="I6" i="2993"/>
  <c r="D5" i="2993"/>
  <c r="E5" i="2993"/>
  <c r="F5" i="2993"/>
  <c r="G5" i="2993"/>
  <c r="H5" i="2993"/>
  <c r="I2" i="2993"/>
  <c r="B2" i="2993"/>
  <c r="D6" i="2992"/>
  <c r="D30" i="2992"/>
  <c r="E6" i="2992"/>
  <c r="E30" i="2992"/>
  <c r="F6" i="2992"/>
  <c r="F30" i="2992"/>
  <c r="G6" i="2992"/>
  <c r="G30" i="2992"/>
  <c r="H6" i="2992"/>
  <c r="H30" i="2992"/>
  <c r="I6" i="2992"/>
  <c r="D5" i="2992"/>
  <c r="E5" i="2992"/>
  <c r="F5" i="2992"/>
  <c r="G5" i="2992"/>
  <c r="H5" i="2992"/>
  <c r="I2" i="2992"/>
  <c r="B2" i="2992"/>
  <c r="D6" i="2991"/>
  <c r="D30" i="2991"/>
  <c r="E6" i="2991"/>
  <c r="E30" i="2991"/>
  <c r="F6" i="2991"/>
  <c r="D5" i="2991"/>
  <c r="E5" i="2991"/>
  <c r="F2" i="2991"/>
  <c r="B2" i="2991"/>
  <c r="D6" i="2990"/>
  <c r="D30" i="2990"/>
  <c r="E6" i="2990"/>
  <c r="E30" i="2990"/>
  <c r="F6" i="2990"/>
  <c r="F30" i="2990"/>
  <c r="G6" i="2990"/>
  <c r="G30" i="2990"/>
  <c r="H6" i="2990"/>
  <c r="H30" i="2990"/>
  <c r="I6" i="2990"/>
  <c r="D5" i="2990"/>
  <c r="E5" i="2990"/>
  <c r="F5" i="2990"/>
  <c r="G5" i="2990"/>
  <c r="H5" i="2990"/>
  <c r="I2" i="2990"/>
  <c r="B2" i="2990"/>
  <c r="D6" i="2989"/>
  <c r="D30" i="2989"/>
  <c r="E6" i="2989"/>
  <c r="D5" i="2989"/>
  <c r="E2" i="2989"/>
  <c r="B2" i="2989"/>
  <c r="D6" i="2988"/>
  <c r="D30" i="2988"/>
  <c r="E6" i="2988"/>
  <c r="E30" i="2988"/>
  <c r="F6" i="2988"/>
  <c r="F30" i="2988"/>
  <c r="G6" i="2988"/>
  <c r="G30" i="2988"/>
  <c r="H6" i="2988"/>
  <c r="H30" i="2988"/>
  <c r="I6" i="2988"/>
  <c r="I30" i="2988"/>
  <c r="J6" i="2988"/>
  <c r="J30" i="2988"/>
  <c r="K6" i="2988"/>
  <c r="K30" i="2988"/>
  <c r="L6" i="2988"/>
  <c r="L30" i="2988"/>
  <c r="M6" i="2988"/>
  <c r="M30" i="2988"/>
  <c r="N6" i="2988"/>
  <c r="D5" i="2988"/>
  <c r="E5" i="2988"/>
  <c r="F5" i="2988"/>
  <c r="G5" i="2988"/>
  <c r="H5" i="2988"/>
  <c r="I5" i="2988"/>
  <c r="J5" i="2988"/>
  <c r="K5" i="2988"/>
  <c r="L5" i="2988"/>
  <c r="M5" i="2988"/>
  <c r="N2" i="2988"/>
  <c r="B2" i="2988"/>
  <c r="D6" i="2987"/>
  <c r="D30" i="2987"/>
  <c r="E6" i="2987"/>
  <c r="E30" i="2987"/>
  <c r="F6" i="2987"/>
  <c r="F30" i="2987"/>
  <c r="G6" i="2987"/>
  <c r="G30" i="2987"/>
  <c r="H6" i="2987"/>
  <c r="H30" i="2987"/>
  <c r="I6" i="2987"/>
  <c r="I30"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<sst xmlns="http://schemas.openxmlformats.org/spreadsheetml/2006/main" count="474" uniqueCount="138">
  <si>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</si>
  <si>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</si>
  <si>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</si>
  <si>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</si>
  <si>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</si>
  <si>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</si>
  <si>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</si>
  <si>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</si>
  <si>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</si>
  <si>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</si>
  <si>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</si>
  <si>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</si>
  <si>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</si>
  <si>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</si>
  <si>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</si>
  <si>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</si>
  <si>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</si>
  <si>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</si>
  <si>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</si>
  <si>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</si>
  <si>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</si>
  <si>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</si>
  <si>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</si>
  <si>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</si>
  <si>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</si>
  <si>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</si>
  <si>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</si>
  <si>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</si>
  <si>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</si>
  <si>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</si>
  <si>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</si>
  <si>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</si>
  <si>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</si>
  <si>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</si>
  <si>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</si>
  <si>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</si>
  <si>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</si>
  <si>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</si>
  <si>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</si>
  <si>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</si>
  <si>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</si>
  <si>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</si>
  <si>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</si>
  <si>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</si>
  <si>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</si>
  <si>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</si>
  <si>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</si>
  <si>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</si>
  <si>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</si>
  <si>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</si>
  <si>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</si>
  <si>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</si>
  <si>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</si>
  <si>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</si>
  <si>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</si>
  <si>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</si>
  <si>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</si>
  <si>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</si>
  <si>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</si>
  <si>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</si>
  <si>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</si>
  <si>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</si>
  <si>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</si>
  <si>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</si>
  <si>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</si>
  <si>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</si>
  <si>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</si>
  <si>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</si>
  <si>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</si>
  <si>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</si>
  <si>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</si>
  <si>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</si>
  <si>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</si>
  <si>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</si>
  <si>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</si>
  <si>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</si>
  <si>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</si>
  <si>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</si>
  <si>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</si>
  <si>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</si>
  <si>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</si>
  <si>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</si>
  <si>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</si>
  <si>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</si>
  <si>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</si>
  <si>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</si>
  <si>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</si>
  <si>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</si>
  <si>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</si>
  <si>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</si>
  <si>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</si>
  <si>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</si>
  <si>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</si>
  <si>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</si>
  <si>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</si>
  <si>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</si>
  <si>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</si>
  <si>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</si>
  <si>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</si>
  <si>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</si>
  <si>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</si>
  <si>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</si>
  <si>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</si>
  <si>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</si>
  <si>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</si>
  <si>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</si>
  <si>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</si>
  <si>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</si>
  <si>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</si>
  <si>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</si>
  <si>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</si>
  <si>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</si>
  <si>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</si>
  <si>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</si>
  <si>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</si>
  <si>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</si>
  <si>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</si>
  <si>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</si>
  <si>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</si>
  <si>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</si>
  <si>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</si>
  <si>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</si>
  <si>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</si>
  <si>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</si>
  <si>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</si>
  <si>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</si>
  <si>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</si>
  <si>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</si>
  <si>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</si>
  <si>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</si>
  <si>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</si>
  <si>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</si>
  <si>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</si>
  <si>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</si>
  <si>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</si>
  <si>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</si>
  <si>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</si>
  <si>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Pre-Release! v2.2.0-beta3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</si>
</sst>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6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top style="thin">
        <color indexed="8"/>
      </top>
      <bottom style="thin">
        <color indexed="8"/>
      </bottom>
      <diagonal/>
    </border>
    <border>
      <left style="thin">
        <color indexed="8"/>
      </left>
      <right/>
      <top style="medium">
        <color indexed="8"/>
      </top>
      <bottom style="thin">
        <color indexed="8"/>
      </bottom>
      <diagonal/>
    </border>
    <border>
      <left style="medium">
        <color indexed="8"/>
      </left>
      <right style="medium">
        <color indexed="8"/>
      </right>
      <top style="medium">
        <color indexed="8"/>
      </top>
      <bottom style="thin">
        <color indexed="8"/>
      </bottom>
      <diagonal/>
    </border>
    <border>
      <left style="medium">
        <color indexed="8"/>
      </left>
      <right style="medium">
        <color indexed="8"/>
      </right>
      <top style="thin">
        <color indexed="8"/>
      </top>
      <bottom style="thin">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47">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2" fillId="13" borderId="41" xfId="0" applyFont="1" applyFill="1" applyBorder="1" applyAlignment="1" applyProtection="1">
      <alignment horizontal="center" vertical="center"/>
      <protection locked="0"/>
    </xf>
    <xf numFmtId="0" fontId="2" fillId="13" borderId="57" xfId="0" applyFont="1" applyFill="1" applyBorder="1" applyAlignment="1" applyProtection="1">
      <alignment horizontal="center" vertical="center"/>
      <protection locked="0"/>
    </xf>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4" borderId="36" xfId="0" applyFill="1" applyBorder="1"/>
    <xf numFmtId="0" fontId="0" fillId="12" borderId="37" xfId="0" applyFill="1" applyBorder="1" applyAlignment="1">
      <alignment horizontal="center" vertical="center"/>
    </xf>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2" borderId="58"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60" xfId="0" applyFont="1" applyFill="1" applyBorder="1" applyAlignment="1" applyProtection="1">
      <alignment horizontal="center" vertical="center"/>
      <protection locked="0"/>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9" xfId="0" applyFont="1" applyFill="1" applyBorder="1" applyAlignment="1">
      <alignment horizontal="left"/>
    </xf>
    <xf numFmtId="0" fontId="4" fillId="4" borderId="61"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2" fillId="12" borderId="41" xfId="0" applyFont="1" applyFill="1" applyBorder="1" applyAlignment="1" applyProtection="1">
      <alignment horizontal="center" vertical="center"/>
    </xf>
    <xf numFmtId="0" fontId="2" fillId="12" borderId="57" xfId="0" applyFont="1" applyFill="1" applyBorder="1" applyAlignment="1" applyProtection="1">
      <alignment horizontal="center" vertical="center"/>
    </xf>
    <xf numFmtId="0" fontId="2" fillId="13" borderId="38" xfId="0" applyFont="1" applyFill="1" applyBorder="1" applyAlignment="1" applyProtection="1">
      <alignment horizontal="center" vertical="center"/>
      <protection locked="0"/>
    </xf>
    <xf numFmtId="0" fontId="2" fillId="13" borderId="63" xfId="0" applyFont="1" applyFill="1" applyBorder="1" applyAlignment="1" applyProtection="1">
      <alignment horizontal="center" vertical="center"/>
      <protection locked="0"/>
    </xf>
    <xf numFmtId="0" fontId="0" fillId="12" borderId="64" xfId="0" applyFill="1" applyBorder="1" applyAlignment="1">
      <alignment horizontal="center" vertical="center"/>
    </xf>
    <xf numFmtId="0" fontId="2" fillId="13" borderId="36" xfId="0" applyFont="1" applyFill="1" applyBorder="1" applyAlignment="1" applyProtection="1">
      <alignment horizontal="center" vertical="center"/>
      <protection locked="0"/>
    </xf>
    <xf numFmtId="0" fontId="2" fillId="13" borderId="62" xfId="0" applyFont="1" applyFill="1" applyBorder="1" applyAlignment="1" applyProtection="1">
      <alignment horizontal="center" vertical="center"/>
      <protection locked="0"/>
    </xf>
    <xf numFmtId="0" fontId="0" fillId="14" borderId="65" xfId="0" applyFill="1" applyBorder="1" applyAlignment="1">
      <alignment horizontal="center" vertical="center"/>
    </xf>
    <xf numFmtId="0" fontId="0" fillId="12" borderId="65" xfId="0" applyFill="1" applyBorder="1" applyAlignment="1">
      <alignment horizontal="center" vertical="center"/>
    </xf>
    <xf numFmtId="0" fontId="2" fillId="12" borderId="38" xfId="0" applyFont="1" applyFill="1" applyBorder="1" applyAlignment="1" applyProtection="1">
      <alignment horizontal="center" vertical="center"/>
    </xf>
    <xf numFmtId="0" fontId="2" fillId="12" borderId="63" xfId="0" applyFont="1" applyFill="1" applyBorder="1" applyAlignment="1" applyProtection="1">
      <alignment horizontal="center" vertical="center"/>
    </xf>
    <xf numFmtId="0" fontId="2" fillId="14" borderId="36" xfId="0" applyFont="1" applyFill="1" applyBorder="1" applyAlignment="1" applyProtection="1">
      <alignment horizontal="center" vertical="center"/>
    </xf>
    <xf numFmtId="0" fontId="2" fillId="14" borderId="62" xfId="0" applyFont="1" applyFill="1" applyBorder="1" applyAlignment="1" applyProtection="1">
      <alignment horizontal="center" vertical="center"/>
    </xf>
    <xf numFmtId="0" fontId="2" fillId="12" borderId="36" xfId="0" applyFont="1" applyFill="1" applyBorder="1" applyAlignment="1" applyProtection="1">
      <alignment horizontal="center" vertical="center"/>
    </xf>
    <xf numFmtId="0" fontId="2" fillId="12" borderId="62" xfId="0" applyFont="1" applyFill="1" applyBorder="1" applyAlignment="1" applyProtection="1">
      <alignment horizontal="center" vertical="center"/>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092" name="Cross_D13">
          <a:extLst>
            <a:ext uri="{FF2B5EF4-FFF2-40B4-BE49-F238E27FC236}">
              <a16:creationId xmlns:a16="http://schemas.microsoft.com/office/drawing/2014/main" id="{1E466AF8-E7F0-16AD-C2D0-7DD7A504811C}"/>
            </a:ext>
          </a:extLst>
        </xdr:cNvPr>
        <xdr:cNvGrpSpPr/>
      </xdr:nvGrpSpPr>
      <xdr:grpSpPr>
        <a:xfrm>
          <a:off x="2232660" y="1828800"/>
          <a:ext cx="594360" cy="228600"/>
          <a:chOff x="2232660" y="2499360"/>
          <a:chExt cx="594360" cy="228600"/>
        </a:xfrm>
      </xdr:grpSpPr>
      <xdr:cxnSp macro="">
        <xdr:nvCxnSpPr>
          <xdr:cNvPr id="4090" name="Gerader Verbinder 4089">
            <a:extLst>
              <a:ext uri="{FF2B5EF4-FFF2-40B4-BE49-F238E27FC236}">
                <a16:creationId xmlns:a16="http://schemas.microsoft.com/office/drawing/2014/main" id="{FD22F92A-E26E-B735-F66F-4895030A655A}"/>
              </a:ext>
            </a:extLst>
          </xdr:cNvPr>
          <xdr:cNvCxnSpPr/>
        </xdr:nvCxnSpPr>
        <xdr:spPr>
          <a:xfrm>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91" name="Gerader Verbinder 4090">
            <a:extLst>
              <a:ext uri="{FF2B5EF4-FFF2-40B4-BE49-F238E27FC236}">
                <a16:creationId xmlns:a16="http://schemas.microsoft.com/office/drawing/2014/main" id="{75D484CB-F09E-656F-7295-05B0B238F35F}"/>
              </a:ext>
            </a:extLst>
          </xdr:cNvPr>
          <xdr:cNvCxnSpPr/>
        </xdr:nvCxnSpPr>
        <xdr:spPr>
          <a:xfrm flipH="1">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3589" name="Cross_D22">
          <a:extLst>
            <a:ext uri="{FF2B5EF4-FFF2-40B4-BE49-F238E27FC236}">
              <a16:creationId xmlns:a16="http://schemas.microsoft.com/office/drawing/2014/main" id="{CE194842-7BD3-DD68-9C3A-CE2A4206BA24}"/>
            </a:ext>
          </a:extLst>
        </xdr:cNvPr>
        <xdr:cNvGrpSpPr/>
      </xdr:nvGrpSpPr>
      <xdr:grpSpPr>
        <a:xfrm>
          <a:off x="2232660" y="2514600"/>
          <a:ext cx="594360" cy="228600"/>
          <a:chOff x="2232660" y="4191000"/>
          <a:chExt cx="594360" cy="228600"/>
        </a:xfrm>
      </xdr:grpSpPr>
      <xdr:cxnSp macro="">
        <xdr:nvCxnSpPr>
          <xdr:cNvPr id="3587" name="Gerader Verbinder 3586">
            <a:extLst>
              <a:ext uri="{FF2B5EF4-FFF2-40B4-BE49-F238E27FC236}">
                <a16:creationId xmlns:a16="http://schemas.microsoft.com/office/drawing/2014/main" id="{D92E1D34-64FC-D845-6208-7F2AEBE1166F}"/>
              </a:ext>
            </a:extLst>
          </xdr:cNvPr>
          <xdr:cNvCxnSpPr/>
        </xdr:nvCxnSpPr>
        <xdr:spPr>
          <a:xfrm>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88" name="Gerader Verbinder 3587">
            <a:extLst>
              <a:ext uri="{FF2B5EF4-FFF2-40B4-BE49-F238E27FC236}">
                <a16:creationId xmlns:a16="http://schemas.microsoft.com/office/drawing/2014/main" id="{7BF30997-FBDE-0C38-5DF4-C7C74C093F20}"/>
              </a:ext>
            </a:extLst>
          </xdr:cNvPr>
          <xdr:cNvCxnSpPr/>
        </xdr:nvCxnSpPr>
        <xdr:spPr>
          <a:xfrm flipH="1">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3598" name="Cross_D25">
          <a:extLst>
            <a:ext uri="{FF2B5EF4-FFF2-40B4-BE49-F238E27FC236}">
              <a16:creationId xmlns:a16="http://schemas.microsoft.com/office/drawing/2014/main" id="{28AB97DE-8AA8-0C39-8680-F3B9970AEDE8}"/>
            </a:ext>
          </a:extLst>
        </xdr:cNvPr>
        <xdr:cNvGrpSpPr/>
      </xdr:nvGrpSpPr>
      <xdr:grpSpPr>
        <a:xfrm>
          <a:off x="2232660" y="2743200"/>
          <a:ext cx="594360" cy="228600"/>
          <a:chOff x="2232660" y="4754880"/>
          <a:chExt cx="594360" cy="228600"/>
        </a:xfrm>
      </xdr:grpSpPr>
      <xdr:cxnSp macro="">
        <xdr:nvCxnSpPr>
          <xdr:cNvPr id="3596" name="Gerader Verbinder 3595">
            <a:extLst>
              <a:ext uri="{FF2B5EF4-FFF2-40B4-BE49-F238E27FC236}">
                <a16:creationId xmlns:a16="http://schemas.microsoft.com/office/drawing/2014/main" id="{89F81B3A-5202-21B6-8AFA-FDD7CCC07279}"/>
              </a:ext>
            </a:extLst>
          </xdr:cNvPr>
          <xdr:cNvCxnSpPr/>
        </xdr:nvCxnSpPr>
        <xdr:spPr>
          <a:xfrm>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97" name="Gerader Verbinder 3596">
            <a:extLst>
              <a:ext uri="{FF2B5EF4-FFF2-40B4-BE49-F238E27FC236}">
                <a16:creationId xmlns:a16="http://schemas.microsoft.com/office/drawing/2014/main" id="{425A4ADA-1911-9445-7DB3-65310B90D263}"/>
              </a:ext>
            </a:extLst>
          </xdr:cNvPr>
          <xdr:cNvCxnSpPr/>
        </xdr:nvCxnSpPr>
        <xdr:spPr>
          <a:xfrm flipH="1">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3607" name="Cross_D28">
          <a:extLst>
            <a:ext uri="{FF2B5EF4-FFF2-40B4-BE49-F238E27FC236}">
              <a16:creationId xmlns:a16="http://schemas.microsoft.com/office/drawing/2014/main" id="{F557FF9F-43E5-8D5E-DEFD-044D6F4C3277}"/>
            </a:ext>
          </a:extLst>
        </xdr:cNvPr>
        <xdr:cNvGrpSpPr/>
      </xdr:nvGrpSpPr>
      <xdr:grpSpPr>
        <a:xfrm>
          <a:off x="2232660" y="2971800"/>
          <a:ext cx="594360" cy="228600"/>
          <a:chOff x="2232660" y="5318760"/>
          <a:chExt cx="594360" cy="228600"/>
        </a:xfrm>
      </xdr:grpSpPr>
      <xdr:cxnSp macro="">
        <xdr:nvCxnSpPr>
          <xdr:cNvPr id="3605" name="Gerader Verbinder 3604">
            <a:extLst>
              <a:ext uri="{FF2B5EF4-FFF2-40B4-BE49-F238E27FC236}">
                <a16:creationId xmlns:a16="http://schemas.microsoft.com/office/drawing/2014/main" id="{838791A3-1612-1156-E4AD-BA8E59A628C0}"/>
              </a:ext>
            </a:extLst>
          </xdr:cNvPr>
          <xdr:cNvCxnSpPr/>
        </xdr:nvCxnSpPr>
        <xdr:spPr>
          <a:xfrm>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6" name="Gerader Verbinder 3605">
            <a:extLst>
              <a:ext uri="{FF2B5EF4-FFF2-40B4-BE49-F238E27FC236}">
                <a16:creationId xmlns:a16="http://schemas.microsoft.com/office/drawing/2014/main" id="{9F0881C6-8CDF-7496-F8F9-98B0E0EA236C}"/>
              </a:ext>
            </a:extLst>
          </xdr:cNvPr>
          <xdr:cNvCxnSpPr/>
        </xdr:nvCxnSpPr>
        <xdr:spPr>
          <a:xfrm flipH="1">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3616" name="Cross_D34">
          <a:extLst>
            <a:ext uri="{FF2B5EF4-FFF2-40B4-BE49-F238E27FC236}">
              <a16:creationId xmlns:a16="http://schemas.microsoft.com/office/drawing/2014/main" id="{6EC3DF8F-E9A0-1894-EB6B-9614C8DB61F1}"/>
            </a:ext>
          </a:extLst>
        </xdr:cNvPr>
        <xdr:cNvGrpSpPr/>
      </xdr:nvGrpSpPr>
      <xdr:grpSpPr>
        <a:xfrm>
          <a:off x="2232660" y="3429000"/>
          <a:ext cx="594360" cy="228600"/>
          <a:chOff x="2232660" y="6446520"/>
          <a:chExt cx="594360" cy="228600"/>
        </a:xfrm>
      </xdr:grpSpPr>
      <xdr:cxnSp macro="">
        <xdr:nvCxnSpPr>
          <xdr:cNvPr id="3614" name="Gerader Verbinder 3613">
            <a:extLst>
              <a:ext uri="{FF2B5EF4-FFF2-40B4-BE49-F238E27FC236}">
                <a16:creationId xmlns:a16="http://schemas.microsoft.com/office/drawing/2014/main" id="{7B7C5DB3-D447-D04D-EC84-19DA877D98C6}"/>
              </a:ext>
            </a:extLst>
          </xdr:cNvPr>
          <xdr:cNvCxnSpPr/>
        </xdr:nvCxnSpPr>
        <xdr:spPr>
          <a:xfrm>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15" name="Gerader Verbinder 3614">
            <a:extLst>
              <a:ext uri="{FF2B5EF4-FFF2-40B4-BE49-F238E27FC236}">
                <a16:creationId xmlns:a16="http://schemas.microsoft.com/office/drawing/2014/main" id="{3C28EBD5-5AEE-C8DD-E639-5A6EA3C08E0B}"/>
              </a:ext>
            </a:extLst>
          </xdr:cNvPr>
          <xdr:cNvCxnSpPr/>
        </xdr:nvCxnSpPr>
        <xdr:spPr>
          <a:xfrm flipH="1">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3625" name="Cross_D46">
          <a:extLst>
            <a:ext uri="{FF2B5EF4-FFF2-40B4-BE49-F238E27FC236}">
              <a16:creationId xmlns:a16="http://schemas.microsoft.com/office/drawing/2014/main" id="{F0BA3DC3-4EC3-DC8E-8C66-E1D37919BD90}"/>
            </a:ext>
          </a:extLst>
        </xdr:cNvPr>
        <xdr:cNvGrpSpPr/>
      </xdr:nvGrpSpPr>
      <xdr:grpSpPr>
        <a:xfrm>
          <a:off x="2232660" y="4343400"/>
          <a:ext cx="594360" cy="228600"/>
          <a:chOff x="2232660" y="8702040"/>
          <a:chExt cx="594360" cy="228600"/>
        </a:xfrm>
      </xdr:grpSpPr>
      <xdr:cxnSp macro="">
        <xdr:nvCxnSpPr>
          <xdr:cNvPr id="3623" name="Gerader Verbinder 3622">
            <a:extLst>
              <a:ext uri="{FF2B5EF4-FFF2-40B4-BE49-F238E27FC236}">
                <a16:creationId xmlns:a16="http://schemas.microsoft.com/office/drawing/2014/main" id="{02DCE79F-DE9E-C507-8C6D-E9DB96D6F3EF}"/>
              </a:ext>
            </a:extLst>
          </xdr:cNvPr>
          <xdr:cNvCxnSpPr/>
        </xdr:nvCxnSpPr>
        <xdr:spPr>
          <a:xfrm>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24" name="Gerader Verbinder 3623">
            <a:extLst>
              <a:ext uri="{FF2B5EF4-FFF2-40B4-BE49-F238E27FC236}">
                <a16:creationId xmlns:a16="http://schemas.microsoft.com/office/drawing/2014/main" id="{83EA41CB-F968-CB59-7056-ACA9B10D249C}"/>
              </a:ext>
            </a:extLst>
          </xdr:cNvPr>
          <xdr:cNvCxnSpPr/>
        </xdr:nvCxnSpPr>
        <xdr:spPr>
          <a:xfrm flipH="1">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3094" name="Cross_D49">
          <a:extLst>
            <a:ext uri="{FF2B5EF4-FFF2-40B4-BE49-F238E27FC236}">
              <a16:creationId xmlns:a16="http://schemas.microsoft.com/office/drawing/2014/main" id="{A65359B9-0AA6-0CD7-9926-1F33D566683E}"/>
            </a:ext>
          </a:extLst>
        </xdr:cNvPr>
        <xdr:cNvGrpSpPr/>
      </xdr:nvGrpSpPr>
      <xdr:grpSpPr>
        <a:xfrm>
          <a:off x="2232660" y="4572000"/>
          <a:ext cx="594360" cy="228600"/>
          <a:chOff x="2232660" y="9265920"/>
          <a:chExt cx="594360" cy="228600"/>
        </a:xfrm>
      </xdr:grpSpPr>
      <xdr:cxnSp macro="">
        <xdr:nvCxnSpPr>
          <xdr:cNvPr id="3632" name="Gerader Verbinder 3631">
            <a:extLst>
              <a:ext uri="{FF2B5EF4-FFF2-40B4-BE49-F238E27FC236}">
                <a16:creationId xmlns:a16="http://schemas.microsoft.com/office/drawing/2014/main" id="{573880EA-7489-AD4D-D2B0-B59B512F7E74}"/>
              </a:ext>
            </a:extLst>
          </xdr:cNvPr>
          <xdr:cNvCxnSpPr/>
        </xdr:nvCxnSpPr>
        <xdr:spPr>
          <a:xfrm>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3" name="Gerader Verbinder 3632">
            <a:extLst>
              <a:ext uri="{FF2B5EF4-FFF2-40B4-BE49-F238E27FC236}">
                <a16:creationId xmlns:a16="http://schemas.microsoft.com/office/drawing/2014/main" id="{00A7427A-7905-E851-54EB-D6FEB8E24D5B}"/>
              </a:ext>
            </a:extLst>
          </xdr:cNvPr>
          <xdr:cNvCxnSpPr/>
        </xdr:nvCxnSpPr>
        <xdr:spPr>
          <a:xfrm flipH="1">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3103" name="Cross_D52">
          <a:extLst>
            <a:ext uri="{FF2B5EF4-FFF2-40B4-BE49-F238E27FC236}">
              <a16:creationId xmlns:a16="http://schemas.microsoft.com/office/drawing/2014/main" id="{CD813813-C7E8-CDA4-9CD2-F04ED2A181E5}"/>
            </a:ext>
          </a:extLst>
        </xdr:cNvPr>
        <xdr:cNvGrpSpPr/>
      </xdr:nvGrpSpPr>
      <xdr:grpSpPr>
        <a:xfrm>
          <a:off x="2232660" y="4800600"/>
          <a:ext cx="594360" cy="228600"/>
          <a:chOff x="2232660" y="9829800"/>
          <a:chExt cx="594360" cy="228600"/>
        </a:xfrm>
      </xdr:grpSpPr>
      <xdr:cxnSp macro="">
        <xdr:nvCxnSpPr>
          <xdr:cNvPr id="3101" name="Gerader Verbinder 3100">
            <a:extLst>
              <a:ext uri="{FF2B5EF4-FFF2-40B4-BE49-F238E27FC236}">
                <a16:creationId xmlns:a16="http://schemas.microsoft.com/office/drawing/2014/main" id="{E50AD07B-4B65-989E-E77F-2D6B6227B8EC}"/>
              </a:ext>
            </a:extLst>
          </xdr:cNvPr>
          <xdr:cNvCxnSpPr/>
        </xdr:nvCxnSpPr>
        <xdr:spPr>
          <a:xfrm>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02" name="Gerader Verbinder 3101">
            <a:extLst>
              <a:ext uri="{FF2B5EF4-FFF2-40B4-BE49-F238E27FC236}">
                <a16:creationId xmlns:a16="http://schemas.microsoft.com/office/drawing/2014/main" id="{A20D7AD8-2FE0-B512-3D9D-6B22EE1C3E2D}"/>
              </a:ext>
            </a:extLst>
          </xdr:cNvPr>
          <xdr:cNvCxnSpPr/>
        </xdr:nvCxnSpPr>
        <xdr:spPr>
          <a:xfrm flipH="1">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3112" name="Cross_D58">
          <a:extLst>
            <a:ext uri="{FF2B5EF4-FFF2-40B4-BE49-F238E27FC236}">
              <a16:creationId xmlns:a16="http://schemas.microsoft.com/office/drawing/2014/main" id="{4A707FFD-E6B1-9E3B-951B-F4C7F354743F}"/>
            </a:ext>
          </a:extLst>
        </xdr:cNvPr>
        <xdr:cNvGrpSpPr/>
      </xdr:nvGrpSpPr>
      <xdr:grpSpPr>
        <a:xfrm>
          <a:off x="2232660" y="5257800"/>
          <a:ext cx="594360" cy="228600"/>
          <a:chOff x="2232660" y="10957560"/>
          <a:chExt cx="594360" cy="228600"/>
        </a:xfrm>
      </xdr:grpSpPr>
      <xdr:cxnSp macro="">
        <xdr:nvCxnSpPr>
          <xdr:cNvPr id="3110" name="Gerader Verbinder 3109">
            <a:extLst>
              <a:ext uri="{FF2B5EF4-FFF2-40B4-BE49-F238E27FC236}">
                <a16:creationId xmlns:a16="http://schemas.microsoft.com/office/drawing/2014/main" id="{3AC99CB8-AACD-C8DB-247C-A8C469B2228F}"/>
              </a:ext>
            </a:extLst>
          </xdr:cNvPr>
          <xdr:cNvCxnSpPr/>
        </xdr:nvCxnSpPr>
        <xdr:spPr>
          <a:xfrm>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11" name="Gerader Verbinder 3110">
            <a:extLst>
              <a:ext uri="{FF2B5EF4-FFF2-40B4-BE49-F238E27FC236}">
                <a16:creationId xmlns:a16="http://schemas.microsoft.com/office/drawing/2014/main" id="{F82A418A-D866-0907-89F3-5DB4298A79EC}"/>
              </a:ext>
            </a:extLst>
          </xdr:cNvPr>
          <xdr:cNvCxnSpPr/>
        </xdr:nvCxnSpPr>
        <xdr:spPr>
          <a:xfrm flipH="1">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121" name="Cross_D61">
          <a:extLst>
            <a:ext uri="{FF2B5EF4-FFF2-40B4-BE49-F238E27FC236}">
              <a16:creationId xmlns:a16="http://schemas.microsoft.com/office/drawing/2014/main" id="{8C5FAAED-C14A-FCE6-75BA-671451688689}"/>
            </a:ext>
          </a:extLst>
        </xdr:cNvPr>
        <xdr:cNvGrpSpPr/>
      </xdr:nvGrpSpPr>
      <xdr:grpSpPr>
        <a:xfrm>
          <a:off x="2232660" y="5486400"/>
          <a:ext cx="594360" cy="228600"/>
          <a:chOff x="2232660" y="11521440"/>
          <a:chExt cx="594360" cy="228600"/>
        </a:xfrm>
      </xdr:grpSpPr>
      <xdr:cxnSp macro="">
        <xdr:nvCxnSpPr>
          <xdr:cNvPr id="3119" name="Gerader Verbinder 3118">
            <a:extLst>
              <a:ext uri="{FF2B5EF4-FFF2-40B4-BE49-F238E27FC236}">
                <a16:creationId xmlns:a16="http://schemas.microsoft.com/office/drawing/2014/main" id="{2F98F710-32A4-257A-5A28-93F366625439}"/>
              </a:ext>
            </a:extLst>
          </xdr:cNvPr>
          <xdr:cNvCxnSpPr/>
        </xdr:nvCxnSpPr>
        <xdr:spPr>
          <a:xfrm>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0" name="Gerader Verbinder 3119">
            <a:extLst>
              <a:ext uri="{FF2B5EF4-FFF2-40B4-BE49-F238E27FC236}">
                <a16:creationId xmlns:a16="http://schemas.microsoft.com/office/drawing/2014/main" id="{2332C5BE-0111-F6D6-4781-B7A13CA98BAF}"/>
              </a:ext>
            </a:extLst>
          </xdr:cNvPr>
          <xdr:cNvCxnSpPr/>
        </xdr:nvCxnSpPr>
        <xdr:spPr>
          <a:xfrm flipH="1">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3130" name="Cross_E10">
          <a:extLst>
            <a:ext uri="{FF2B5EF4-FFF2-40B4-BE49-F238E27FC236}">
              <a16:creationId xmlns:a16="http://schemas.microsoft.com/office/drawing/2014/main" id="{860B34DE-1601-FC73-34F7-9C5EC1A75532}"/>
            </a:ext>
          </a:extLst>
        </xdr:cNvPr>
        <xdr:cNvGrpSpPr/>
      </xdr:nvGrpSpPr>
      <xdr:grpSpPr>
        <a:xfrm>
          <a:off x="2827020" y="1600200"/>
          <a:ext cx="594360" cy="228600"/>
          <a:chOff x="2827020" y="1935480"/>
          <a:chExt cx="594360" cy="228600"/>
        </a:xfrm>
      </xdr:grpSpPr>
      <xdr:cxnSp macro="">
        <xdr:nvCxnSpPr>
          <xdr:cNvPr id="3128" name="Gerader Verbinder 3127">
            <a:extLst>
              <a:ext uri="{FF2B5EF4-FFF2-40B4-BE49-F238E27FC236}">
                <a16:creationId xmlns:a16="http://schemas.microsoft.com/office/drawing/2014/main" id="{EE56BCF1-BA01-A665-5E27-B0C21EEDF879}"/>
              </a:ext>
            </a:extLst>
          </xdr:cNvPr>
          <xdr:cNvCxnSpPr/>
        </xdr:nvCxnSpPr>
        <xdr:spPr>
          <a:xfrm>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9" name="Gerader Verbinder 3128">
            <a:extLst>
              <a:ext uri="{FF2B5EF4-FFF2-40B4-BE49-F238E27FC236}">
                <a16:creationId xmlns:a16="http://schemas.microsoft.com/office/drawing/2014/main" id="{0D7D4EB3-4A01-0020-B659-90D7BFAAE251}"/>
              </a:ext>
            </a:extLst>
          </xdr:cNvPr>
          <xdr:cNvCxnSpPr/>
        </xdr:nvCxnSpPr>
        <xdr:spPr>
          <a:xfrm flipH="1">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4099" name="Cross_E13">
          <a:extLst>
            <a:ext uri="{FF2B5EF4-FFF2-40B4-BE49-F238E27FC236}">
              <a16:creationId xmlns:a16="http://schemas.microsoft.com/office/drawing/2014/main" id="{2CFF6C73-619B-749E-9D9C-B1A681C23E58}"/>
            </a:ext>
          </a:extLst>
        </xdr:cNvPr>
        <xdr:cNvGrpSpPr/>
      </xdr:nvGrpSpPr>
      <xdr:grpSpPr>
        <a:xfrm>
          <a:off x="2827020" y="1828800"/>
          <a:ext cx="594360" cy="228600"/>
          <a:chOff x="2827020" y="2499360"/>
          <a:chExt cx="594360" cy="228600"/>
        </a:xfrm>
      </xdr:grpSpPr>
      <xdr:cxnSp macro="">
        <xdr:nvCxnSpPr>
          <xdr:cNvPr id="4097" name="Gerader Verbinder 4096">
            <a:extLst>
              <a:ext uri="{FF2B5EF4-FFF2-40B4-BE49-F238E27FC236}">
                <a16:creationId xmlns:a16="http://schemas.microsoft.com/office/drawing/2014/main" id="{D42E413F-D9A8-3D99-F94C-79E2648A978F}"/>
              </a:ext>
            </a:extLst>
          </xdr:cNvPr>
          <xdr:cNvCxnSpPr/>
        </xdr:nvCxnSpPr>
        <xdr:spPr>
          <a:xfrm>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98" name="Gerader Verbinder 4097">
            <a:extLst>
              <a:ext uri="{FF2B5EF4-FFF2-40B4-BE49-F238E27FC236}">
                <a16:creationId xmlns:a16="http://schemas.microsoft.com/office/drawing/2014/main" id="{8D1C6434-3F1A-5B26-F46C-A42C97F34758}"/>
              </a:ext>
            </a:extLst>
          </xdr:cNvPr>
          <xdr:cNvCxnSpPr/>
        </xdr:nvCxnSpPr>
        <xdr:spPr>
          <a:xfrm flipH="1">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4108" name="Cross_E19">
          <a:extLst>
            <a:ext uri="{FF2B5EF4-FFF2-40B4-BE49-F238E27FC236}">
              <a16:creationId xmlns:a16="http://schemas.microsoft.com/office/drawing/2014/main" id="{B758FF61-046D-EEB2-FE28-4741C8B014F0}"/>
            </a:ext>
          </a:extLst>
        </xdr:cNvPr>
        <xdr:cNvGrpSpPr/>
      </xdr:nvGrpSpPr>
      <xdr:grpSpPr>
        <a:xfrm>
          <a:off x="2827020" y="2286000"/>
          <a:ext cx="594360" cy="228600"/>
          <a:chOff x="2827020" y="3627120"/>
          <a:chExt cx="594360" cy="228600"/>
        </a:xfrm>
      </xdr:grpSpPr>
      <xdr:cxnSp macro="">
        <xdr:nvCxnSpPr>
          <xdr:cNvPr id="4106" name="Gerader Verbinder 4105">
            <a:extLst>
              <a:ext uri="{FF2B5EF4-FFF2-40B4-BE49-F238E27FC236}">
                <a16:creationId xmlns:a16="http://schemas.microsoft.com/office/drawing/2014/main" id="{EC92551F-10C4-439A-EDE3-9B9EDC897CB3}"/>
              </a:ext>
            </a:extLst>
          </xdr:cNvPr>
          <xdr:cNvCxnSpPr/>
        </xdr:nvCxnSpPr>
        <xdr:spPr>
          <a:xfrm>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07" name="Gerader Verbinder 4106">
            <a:extLst>
              <a:ext uri="{FF2B5EF4-FFF2-40B4-BE49-F238E27FC236}">
                <a16:creationId xmlns:a16="http://schemas.microsoft.com/office/drawing/2014/main" id="{9DE9E3C8-D99E-B2A9-1E23-70D64ED404BF}"/>
              </a:ext>
            </a:extLst>
          </xdr:cNvPr>
          <xdr:cNvCxnSpPr/>
        </xdr:nvCxnSpPr>
        <xdr:spPr>
          <a:xfrm flipH="1">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4117" name="Cross_E28">
          <a:extLst>
            <a:ext uri="{FF2B5EF4-FFF2-40B4-BE49-F238E27FC236}">
              <a16:creationId xmlns:a16="http://schemas.microsoft.com/office/drawing/2014/main" id="{026F3656-ED4F-2FFE-E4ED-9FC630D4596C}"/>
            </a:ext>
          </a:extLst>
        </xdr:cNvPr>
        <xdr:cNvGrpSpPr/>
      </xdr:nvGrpSpPr>
      <xdr:grpSpPr>
        <a:xfrm>
          <a:off x="2827020" y="2971800"/>
          <a:ext cx="594360" cy="228600"/>
          <a:chOff x="2827020" y="5318760"/>
          <a:chExt cx="594360" cy="228600"/>
        </a:xfrm>
      </xdr:grpSpPr>
      <xdr:cxnSp macro="">
        <xdr:nvCxnSpPr>
          <xdr:cNvPr id="4115" name="Gerader Verbinder 4114">
            <a:extLst>
              <a:ext uri="{FF2B5EF4-FFF2-40B4-BE49-F238E27FC236}">
                <a16:creationId xmlns:a16="http://schemas.microsoft.com/office/drawing/2014/main" id="{7DDC9DA6-DA94-D32E-A3E1-C224E116C902}"/>
              </a:ext>
            </a:extLst>
          </xdr:cNvPr>
          <xdr:cNvCxnSpPr/>
        </xdr:nvCxnSpPr>
        <xdr:spPr>
          <a:xfrm>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6" name="Gerader Verbinder 4115">
            <a:extLst>
              <a:ext uri="{FF2B5EF4-FFF2-40B4-BE49-F238E27FC236}">
                <a16:creationId xmlns:a16="http://schemas.microsoft.com/office/drawing/2014/main" id="{F14DB7C7-ACC4-B395-F4C9-F87584C988D3}"/>
              </a:ext>
            </a:extLst>
          </xdr:cNvPr>
          <xdr:cNvCxnSpPr/>
        </xdr:nvCxnSpPr>
        <xdr:spPr>
          <a:xfrm flipH="1">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4126" name="Cross_E37">
          <a:extLst>
            <a:ext uri="{FF2B5EF4-FFF2-40B4-BE49-F238E27FC236}">
              <a16:creationId xmlns:a16="http://schemas.microsoft.com/office/drawing/2014/main" id="{CA44A546-C3E7-6974-1E51-87A5C22B3FDA}"/>
            </a:ext>
          </a:extLst>
        </xdr:cNvPr>
        <xdr:cNvGrpSpPr/>
      </xdr:nvGrpSpPr>
      <xdr:grpSpPr>
        <a:xfrm>
          <a:off x="2827020" y="3657600"/>
          <a:ext cx="594360" cy="228600"/>
          <a:chOff x="2827020" y="7010400"/>
          <a:chExt cx="594360" cy="228600"/>
        </a:xfrm>
      </xdr:grpSpPr>
      <xdr:cxnSp macro="">
        <xdr:nvCxnSpPr>
          <xdr:cNvPr id="4124" name="Gerader Verbinder 4123">
            <a:extLst>
              <a:ext uri="{FF2B5EF4-FFF2-40B4-BE49-F238E27FC236}">
                <a16:creationId xmlns:a16="http://schemas.microsoft.com/office/drawing/2014/main" id="{AB9E1532-799B-B0C5-0700-C746AE1FA0A6}"/>
              </a:ext>
            </a:extLst>
          </xdr:cNvPr>
          <xdr:cNvCxnSpPr/>
        </xdr:nvCxnSpPr>
        <xdr:spPr>
          <a:xfrm>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25" name="Gerader Verbinder 4124">
            <a:extLst>
              <a:ext uri="{FF2B5EF4-FFF2-40B4-BE49-F238E27FC236}">
                <a16:creationId xmlns:a16="http://schemas.microsoft.com/office/drawing/2014/main" id="{A1ED6057-A1A6-B4E4-3A6E-8A46374B7F3D}"/>
              </a:ext>
            </a:extLst>
          </xdr:cNvPr>
          <xdr:cNvCxnSpPr/>
        </xdr:nvCxnSpPr>
        <xdr:spPr>
          <a:xfrm flipH="1">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4135" name="Cross_E40">
          <a:extLst>
            <a:ext uri="{FF2B5EF4-FFF2-40B4-BE49-F238E27FC236}">
              <a16:creationId xmlns:a16="http://schemas.microsoft.com/office/drawing/2014/main" id="{3DDFD764-2BD8-DFE4-3F08-5B48A836AC34}"/>
            </a:ext>
          </a:extLst>
        </xdr:cNvPr>
        <xdr:cNvGrpSpPr/>
      </xdr:nvGrpSpPr>
      <xdr:grpSpPr>
        <a:xfrm>
          <a:off x="2827020" y="3886200"/>
          <a:ext cx="594360" cy="228600"/>
          <a:chOff x="2827020" y="7574280"/>
          <a:chExt cx="594360" cy="228600"/>
        </a:xfrm>
      </xdr:grpSpPr>
      <xdr:cxnSp macro="">
        <xdr:nvCxnSpPr>
          <xdr:cNvPr id="4133" name="Gerader Verbinder 4132">
            <a:extLst>
              <a:ext uri="{FF2B5EF4-FFF2-40B4-BE49-F238E27FC236}">
                <a16:creationId xmlns:a16="http://schemas.microsoft.com/office/drawing/2014/main" id="{033DDB3C-0E42-26E2-1EEB-0DC6802A5EDD}"/>
              </a:ext>
            </a:extLst>
          </xdr:cNvPr>
          <xdr:cNvCxnSpPr/>
        </xdr:nvCxnSpPr>
        <xdr:spPr>
          <a:xfrm>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34" name="Gerader Verbinder 4133">
            <a:extLst>
              <a:ext uri="{FF2B5EF4-FFF2-40B4-BE49-F238E27FC236}">
                <a16:creationId xmlns:a16="http://schemas.microsoft.com/office/drawing/2014/main" id="{3584FF98-F8E7-5EC6-1C17-E2577EA62CB3}"/>
              </a:ext>
            </a:extLst>
          </xdr:cNvPr>
          <xdr:cNvCxnSpPr/>
        </xdr:nvCxnSpPr>
        <xdr:spPr>
          <a:xfrm flipH="1">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4144" name="Cross_E43">
          <a:extLst>
            <a:ext uri="{FF2B5EF4-FFF2-40B4-BE49-F238E27FC236}">
              <a16:creationId xmlns:a16="http://schemas.microsoft.com/office/drawing/2014/main" id="{AB09A185-AB69-5E06-8F20-EA024576DB78}"/>
            </a:ext>
          </a:extLst>
        </xdr:cNvPr>
        <xdr:cNvGrpSpPr/>
      </xdr:nvGrpSpPr>
      <xdr:grpSpPr>
        <a:xfrm>
          <a:off x="2827020" y="4114800"/>
          <a:ext cx="594360" cy="228600"/>
          <a:chOff x="2827020" y="8138160"/>
          <a:chExt cx="594360" cy="228600"/>
        </a:xfrm>
      </xdr:grpSpPr>
      <xdr:cxnSp macro="">
        <xdr:nvCxnSpPr>
          <xdr:cNvPr id="4142" name="Gerader Verbinder 4141">
            <a:extLst>
              <a:ext uri="{FF2B5EF4-FFF2-40B4-BE49-F238E27FC236}">
                <a16:creationId xmlns:a16="http://schemas.microsoft.com/office/drawing/2014/main" id="{BBEE86D2-33C7-5E15-5785-551785AEFBB2}"/>
              </a:ext>
            </a:extLst>
          </xdr:cNvPr>
          <xdr:cNvCxnSpPr/>
        </xdr:nvCxnSpPr>
        <xdr:spPr>
          <a:xfrm>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3" name="Gerader Verbinder 4142">
            <a:extLst>
              <a:ext uri="{FF2B5EF4-FFF2-40B4-BE49-F238E27FC236}">
                <a16:creationId xmlns:a16="http://schemas.microsoft.com/office/drawing/2014/main" id="{C830734C-6BEA-FFBF-BFB9-5B269A9B9071}"/>
              </a:ext>
            </a:extLst>
          </xdr:cNvPr>
          <xdr:cNvCxnSpPr/>
        </xdr:nvCxnSpPr>
        <xdr:spPr>
          <a:xfrm flipH="1">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4153" name="Cross_E46">
          <a:extLst>
            <a:ext uri="{FF2B5EF4-FFF2-40B4-BE49-F238E27FC236}">
              <a16:creationId xmlns:a16="http://schemas.microsoft.com/office/drawing/2014/main" id="{E8F7463A-C899-48CF-FE8C-2D27189C4065}"/>
            </a:ext>
          </a:extLst>
        </xdr:cNvPr>
        <xdr:cNvGrpSpPr/>
      </xdr:nvGrpSpPr>
      <xdr:grpSpPr>
        <a:xfrm>
          <a:off x="2827020" y="4343400"/>
          <a:ext cx="594360" cy="228600"/>
          <a:chOff x="2827020" y="8702040"/>
          <a:chExt cx="594360" cy="228600"/>
        </a:xfrm>
      </xdr:grpSpPr>
      <xdr:cxnSp macro="">
        <xdr:nvCxnSpPr>
          <xdr:cNvPr id="4151" name="Gerader Verbinder 4150">
            <a:extLst>
              <a:ext uri="{FF2B5EF4-FFF2-40B4-BE49-F238E27FC236}">
                <a16:creationId xmlns:a16="http://schemas.microsoft.com/office/drawing/2014/main" id="{D677D133-5C3D-F252-ED08-01232B74BE3C}"/>
              </a:ext>
            </a:extLst>
          </xdr:cNvPr>
          <xdr:cNvCxnSpPr/>
        </xdr:nvCxnSpPr>
        <xdr:spPr>
          <a:xfrm>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52" name="Gerader Verbinder 4151">
            <a:extLst>
              <a:ext uri="{FF2B5EF4-FFF2-40B4-BE49-F238E27FC236}">
                <a16:creationId xmlns:a16="http://schemas.microsoft.com/office/drawing/2014/main" id="{6DAC2020-2424-896D-A7F1-337DF99CC9EF}"/>
              </a:ext>
            </a:extLst>
          </xdr:cNvPr>
          <xdr:cNvCxnSpPr/>
        </xdr:nvCxnSpPr>
        <xdr:spPr>
          <a:xfrm flipH="1">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4162" name="Cross_E55">
          <a:extLst>
            <a:ext uri="{FF2B5EF4-FFF2-40B4-BE49-F238E27FC236}">
              <a16:creationId xmlns:a16="http://schemas.microsoft.com/office/drawing/2014/main" id="{3E1EFD5B-3323-48B2-27E3-E89AF6F39434}"/>
            </a:ext>
          </a:extLst>
        </xdr:cNvPr>
        <xdr:cNvGrpSpPr/>
      </xdr:nvGrpSpPr>
      <xdr:grpSpPr>
        <a:xfrm>
          <a:off x="2827020" y="5029200"/>
          <a:ext cx="594360" cy="228600"/>
          <a:chOff x="2827020" y="10393680"/>
          <a:chExt cx="594360" cy="228600"/>
        </a:xfrm>
      </xdr:grpSpPr>
      <xdr:cxnSp macro="">
        <xdr:nvCxnSpPr>
          <xdr:cNvPr id="4160" name="Gerader Verbinder 4159">
            <a:extLst>
              <a:ext uri="{FF2B5EF4-FFF2-40B4-BE49-F238E27FC236}">
                <a16:creationId xmlns:a16="http://schemas.microsoft.com/office/drawing/2014/main" id="{D4C994AF-61C9-6DFD-E16E-889B8D6504BB}"/>
              </a:ext>
            </a:extLst>
          </xdr:cNvPr>
          <xdr:cNvCxnSpPr/>
        </xdr:nvCxnSpPr>
        <xdr:spPr>
          <a:xfrm>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61" name="Gerader Verbinder 4160">
            <a:extLst>
              <a:ext uri="{FF2B5EF4-FFF2-40B4-BE49-F238E27FC236}">
                <a16:creationId xmlns:a16="http://schemas.microsoft.com/office/drawing/2014/main" id="{6313560C-3306-827C-48CF-99F22C6498B0}"/>
              </a:ext>
            </a:extLst>
          </xdr:cNvPr>
          <xdr:cNvCxnSpPr/>
        </xdr:nvCxnSpPr>
        <xdr:spPr>
          <a:xfrm flipH="1">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4171" name="Cross_E58">
          <a:extLst>
            <a:ext uri="{FF2B5EF4-FFF2-40B4-BE49-F238E27FC236}">
              <a16:creationId xmlns:a16="http://schemas.microsoft.com/office/drawing/2014/main" id="{D89C7BB9-2005-8700-5F43-D0A818B7B23A}"/>
            </a:ext>
          </a:extLst>
        </xdr:cNvPr>
        <xdr:cNvGrpSpPr/>
      </xdr:nvGrpSpPr>
      <xdr:grpSpPr>
        <a:xfrm>
          <a:off x="2827020" y="5257800"/>
          <a:ext cx="594360" cy="228600"/>
          <a:chOff x="2827020" y="10957560"/>
          <a:chExt cx="594360" cy="228600"/>
        </a:xfrm>
      </xdr:grpSpPr>
      <xdr:cxnSp macro="">
        <xdr:nvCxnSpPr>
          <xdr:cNvPr id="4169" name="Gerader Verbinder 4168">
            <a:extLst>
              <a:ext uri="{FF2B5EF4-FFF2-40B4-BE49-F238E27FC236}">
                <a16:creationId xmlns:a16="http://schemas.microsoft.com/office/drawing/2014/main" id="{6F7492AD-3A2B-7F9E-4E34-7E35613107DA}"/>
              </a:ext>
            </a:extLst>
          </xdr:cNvPr>
          <xdr:cNvCxnSpPr/>
        </xdr:nvCxnSpPr>
        <xdr:spPr>
          <a:xfrm>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0" name="Gerader Verbinder 4169">
            <a:extLst>
              <a:ext uri="{FF2B5EF4-FFF2-40B4-BE49-F238E27FC236}">
                <a16:creationId xmlns:a16="http://schemas.microsoft.com/office/drawing/2014/main" id="{1C6279B6-49CB-C556-C4CB-5FCEBD85037D}"/>
              </a:ext>
            </a:extLst>
          </xdr:cNvPr>
          <xdr:cNvCxnSpPr/>
        </xdr:nvCxnSpPr>
        <xdr:spPr>
          <a:xfrm flipH="1">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4180" name="Cross_E61">
          <a:extLst>
            <a:ext uri="{FF2B5EF4-FFF2-40B4-BE49-F238E27FC236}">
              <a16:creationId xmlns:a16="http://schemas.microsoft.com/office/drawing/2014/main" id="{AE97DE49-476E-7AA8-6D17-A13AE0183D56}"/>
            </a:ext>
          </a:extLst>
        </xdr:cNvPr>
        <xdr:cNvGrpSpPr/>
      </xdr:nvGrpSpPr>
      <xdr:grpSpPr>
        <a:xfrm>
          <a:off x="2827020" y="5486400"/>
          <a:ext cx="594360" cy="228600"/>
          <a:chOff x="2827020" y="11521440"/>
          <a:chExt cx="594360" cy="228600"/>
        </a:xfrm>
      </xdr:grpSpPr>
      <xdr:cxnSp macro="">
        <xdr:nvCxnSpPr>
          <xdr:cNvPr id="4178" name="Gerader Verbinder 4177">
            <a:extLst>
              <a:ext uri="{FF2B5EF4-FFF2-40B4-BE49-F238E27FC236}">
                <a16:creationId xmlns:a16="http://schemas.microsoft.com/office/drawing/2014/main" id="{A3570B21-C8A0-7CDE-296C-FB1560EA3063}"/>
              </a:ext>
            </a:extLst>
          </xdr:cNvPr>
          <xdr:cNvCxnSpPr/>
        </xdr:nvCxnSpPr>
        <xdr:spPr>
          <a:xfrm>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9" name="Gerader Verbinder 4178">
            <a:extLst>
              <a:ext uri="{FF2B5EF4-FFF2-40B4-BE49-F238E27FC236}">
                <a16:creationId xmlns:a16="http://schemas.microsoft.com/office/drawing/2014/main" id="{435744AB-E814-9CE0-79C9-1CDCDB07600F}"/>
              </a:ext>
            </a:extLst>
          </xdr:cNvPr>
          <xdr:cNvCxnSpPr/>
        </xdr:nvCxnSpPr>
        <xdr:spPr>
          <a:xfrm flipH="1">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4189" name="Cross_E70">
          <a:extLst>
            <a:ext uri="{FF2B5EF4-FFF2-40B4-BE49-F238E27FC236}">
              <a16:creationId xmlns:a16="http://schemas.microsoft.com/office/drawing/2014/main" id="{AB3FF4DA-709F-87C2-3C6F-D47DAA5FE393}"/>
            </a:ext>
          </a:extLst>
        </xdr:cNvPr>
        <xdr:cNvGrpSpPr/>
      </xdr:nvGrpSpPr>
      <xdr:grpSpPr>
        <a:xfrm>
          <a:off x="2827020" y="6172200"/>
          <a:ext cx="594360" cy="228600"/>
          <a:chOff x="2827020" y="13213080"/>
          <a:chExt cx="594360" cy="228600"/>
        </a:xfrm>
      </xdr:grpSpPr>
      <xdr:cxnSp macro="">
        <xdr:nvCxnSpPr>
          <xdr:cNvPr id="4187" name="Gerader Verbinder 4186">
            <a:extLst>
              <a:ext uri="{FF2B5EF4-FFF2-40B4-BE49-F238E27FC236}">
                <a16:creationId xmlns:a16="http://schemas.microsoft.com/office/drawing/2014/main" id="{22880F65-1C50-E66B-1A3C-91FA139C582D}"/>
              </a:ext>
            </a:extLst>
          </xdr:cNvPr>
          <xdr:cNvCxnSpPr/>
        </xdr:nvCxnSpPr>
        <xdr:spPr>
          <a:xfrm>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88" name="Gerader Verbinder 4187">
            <a:extLst>
              <a:ext uri="{FF2B5EF4-FFF2-40B4-BE49-F238E27FC236}">
                <a16:creationId xmlns:a16="http://schemas.microsoft.com/office/drawing/2014/main" id="{BB53C9DC-7BFF-C750-8840-89A8680FA9DD}"/>
              </a:ext>
            </a:extLst>
          </xdr:cNvPr>
          <xdr:cNvCxnSpPr/>
        </xdr:nvCxnSpPr>
        <xdr:spPr>
          <a:xfrm flipH="1">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28</xdr:row>
      <xdr:rowOff>1</xdr:rowOff>
    </xdr:to>
    <xdr:grpSp>
      <xdr:nvGrpSpPr>
        <xdr:cNvPr id="4195" name="Cross_E72">
          <a:extLst>
            <a:ext uri="{FF2B5EF4-FFF2-40B4-BE49-F238E27FC236}">
              <a16:creationId xmlns:a16="http://schemas.microsoft.com/office/drawing/2014/main" id="{620218A7-43CF-0A8D-A859-F981DDAE3DA5}"/>
            </a:ext>
          </a:extLst>
        </xdr:cNvPr>
        <xdr:cNvGrpSpPr/>
      </xdr:nvGrpSpPr>
      <xdr:grpSpPr>
        <a:xfrm>
          <a:off x="2827020" y="6400800"/>
          <a:ext cx="594360" cy="1"/>
          <a:chOff x="2827020" y="13609320"/>
          <a:chExt cx="594360" cy="167641"/>
        </a:xfrm>
      </xdr:grpSpPr>
      <xdr:cxnSp macro="">
        <xdr:nvCxnSpPr>
          <xdr:cNvPr id="4193" name="Gerader Verbinder 4192">
            <a:extLst>
              <a:ext uri="{FF2B5EF4-FFF2-40B4-BE49-F238E27FC236}">
                <a16:creationId xmlns:a16="http://schemas.microsoft.com/office/drawing/2014/main" id="{C7EDA2D2-3B71-91E0-54EA-ECF02EC75F92}"/>
              </a:ext>
            </a:extLst>
          </xdr:cNvPr>
          <xdr:cNvCxnSpPr/>
        </xdr:nvCxnSpPr>
        <xdr:spPr>
          <a:xfrm>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94" name="Gerader Verbinder 4193">
            <a:extLst>
              <a:ext uri="{FF2B5EF4-FFF2-40B4-BE49-F238E27FC236}">
                <a16:creationId xmlns:a16="http://schemas.microsoft.com/office/drawing/2014/main" id="{DC559C65-39D5-7221-E333-168FED2B0D39}"/>
              </a:ext>
            </a:extLst>
          </xdr:cNvPr>
          <xdr:cNvCxnSpPr/>
        </xdr:nvCxnSpPr>
        <xdr:spPr>
          <a:xfrm flipH="1">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1</xdr:rowOff>
    </xdr:from>
    <xdr:to>
      <xdr:col>5</xdr:col>
      <xdr:colOff>0</xdr:colOff>
      <xdr:row>29</xdr:row>
      <xdr:rowOff>0</xdr:rowOff>
    </xdr:to>
    <xdr:grpSp>
      <xdr:nvGrpSpPr>
        <xdr:cNvPr id="4198" name="Cross_E73">
          <a:extLst>
            <a:ext uri="{FF2B5EF4-FFF2-40B4-BE49-F238E27FC236}">
              <a16:creationId xmlns:a16="http://schemas.microsoft.com/office/drawing/2014/main" id="{868312FA-6C78-EEE8-F9DA-196D58D612FB}"/>
            </a:ext>
          </a:extLst>
        </xdr:cNvPr>
        <xdr:cNvGrpSpPr/>
      </xdr:nvGrpSpPr>
      <xdr:grpSpPr>
        <a:xfrm>
          <a:off x="2827020" y="6400801"/>
          <a:ext cx="594360" cy="228599"/>
          <a:chOff x="2827020" y="13776961"/>
          <a:chExt cx="594360" cy="228600"/>
        </a:xfrm>
      </xdr:grpSpPr>
      <xdr:cxnSp macro="">
        <xdr:nvCxnSpPr>
          <xdr:cNvPr id="4196" name="Gerader Verbinder 4195">
            <a:extLst>
              <a:ext uri="{FF2B5EF4-FFF2-40B4-BE49-F238E27FC236}">
                <a16:creationId xmlns:a16="http://schemas.microsoft.com/office/drawing/2014/main" id="{4BC6AEEA-3B94-5776-7260-75610A0D085F}"/>
              </a:ext>
            </a:extLst>
          </xdr:cNvPr>
          <xdr:cNvCxnSpPr/>
        </xdr:nvCxnSpPr>
        <xdr:spPr>
          <a:xfrm>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97" name="Gerader Verbinder 4196">
            <a:extLst>
              <a:ext uri="{FF2B5EF4-FFF2-40B4-BE49-F238E27FC236}">
                <a16:creationId xmlns:a16="http://schemas.microsoft.com/office/drawing/2014/main" id="{17131192-5B0F-25E2-EA25-536613ACFC30}"/>
              </a:ext>
            </a:extLst>
          </xdr:cNvPr>
          <xdr:cNvCxnSpPr/>
        </xdr:nvCxnSpPr>
        <xdr:spPr>
          <a:xfrm flipH="1">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4207" name="Cross_F10">
          <a:extLst>
            <a:ext uri="{FF2B5EF4-FFF2-40B4-BE49-F238E27FC236}">
              <a16:creationId xmlns:a16="http://schemas.microsoft.com/office/drawing/2014/main" id="{2BFC337A-6EE4-EBD5-1C65-4DCB5EB96152}"/>
            </a:ext>
          </a:extLst>
        </xdr:cNvPr>
        <xdr:cNvGrpSpPr/>
      </xdr:nvGrpSpPr>
      <xdr:grpSpPr>
        <a:xfrm>
          <a:off x="3421380" y="1600200"/>
          <a:ext cx="594360" cy="228600"/>
          <a:chOff x="3421380" y="1935480"/>
          <a:chExt cx="594360" cy="228600"/>
        </a:xfrm>
      </xdr:grpSpPr>
      <xdr:cxnSp macro="">
        <xdr:nvCxnSpPr>
          <xdr:cNvPr id="4205" name="Gerader Verbinder 4204">
            <a:extLst>
              <a:ext uri="{FF2B5EF4-FFF2-40B4-BE49-F238E27FC236}">
                <a16:creationId xmlns:a16="http://schemas.microsoft.com/office/drawing/2014/main" id="{8E251FCE-2593-4F7D-DBF9-39684E4891DA}"/>
              </a:ext>
            </a:extLst>
          </xdr:cNvPr>
          <xdr:cNvCxnSpPr/>
        </xdr:nvCxnSpPr>
        <xdr:spPr>
          <a:xfrm>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6" name="Gerader Verbinder 4205">
            <a:extLst>
              <a:ext uri="{FF2B5EF4-FFF2-40B4-BE49-F238E27FC236}">
                <a16:creationId xmlns:a16="http://schemas.microsoft.com/office/drawing/2014/main" id="{1AC24D9F-BDB1-C7E4-4267-8C039AAB67C4}"/>
              </a:ext>
            </a:extLst>
          </xdr:cNvPr>
          <xdr:cNvCxnSpPr/>
        </xdr:nvCxnSpPr>
        <xdr:spPr>
          <a:xfrm flipH="1">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4216" name="Cross_F13">
          <a:extLst>
            <a:ext uri="{FF2B5EF4-FFF2-40B4-BE49-F238E27FC236}">
              <a16:creationId xmlns:a16="http://schemas.microsoft.com/office/drawing/2014/main" id="{10BE363D-6EA3-1724-AB47-C42CEE65C406}"/>
            </a:ext>
          </a:extLst>
        </xdr:cNvPr>
        <xdr:cNvGrpSpPr/>
      </xdr:nvGrpSpPr>
      <xdr:grpSpPr>
        <a:xfrm>
          <a:off x="3421380" y="1828800"/>
          <a:ext cx="594360" cy="228600"/>
          <a:chOff x="3421380" y="2499360"/>
          <a:chExt cx="594360" cy="228600"/>
        </a:xfrm>
      </xdr:grpSpPr>
      <xdr:cxnSp macro="">
        <xdr:nvCxnSpPr>
          <xdr:cNvPr id="4214" name="Gerader Verbinder 4213">
            <a:extLst>
              <a:ext uri="{FF2B5EF4-FFF2-40B4-BE49-F238E27FC236}">
                <a16:creationId xmlns:a16="http://schemas.microsoft.com/office/drawing/2014/main" id="{4E6A84BF-F2A7-A77C-122F-8D543818E2D4}"/>
              </a:ext>
            </a:extLst>
          </xdr:cNvPr>
          <xdr:cNvCxnSpPr/>
        </xdr:nvCxnSpPr>
        <xdr:spPr>
          <a:xfrm>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15" name="Gerader Verbinder 4214">
            <a:extLst>
              <a:ext uri="{FF2B5EF4-FFF2-40B4-BE49-F238E27FC236}">
                <a16:creationId xmlns:a16="http://schemas.microsoft.com/office/drawing/2014/main" id="{98F4DE60-F32A-BFCE-912D-950D8658F256}"/>
              </a:ext>
            </a:extLst>
          </xdr:cNvPr>
          <xdr:cNvCxnSpPr/>
        </xdr:nvCxnSpPr>
        <xdr:spPr>
          <a:xfrm flipH="1">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4225" name="Cross_F19">
          <a:extLst>
            <a:ext uri="{FF2B5EF4-FFF2-40B4-BE49-F238E27FC236}">
              <a16:creationId xmlns:a16="http://schemas.microsoft.com/office/drawing/2014/main" id="{F5E69D8A-A6F2-53AC-1678-99852ABC910A}"/>
            </a:ext>
          </a:extLst>
        </xdr:cNvPr>
        <xdr:cNvGrpSpPr/>
      </xdr:nvGrpSpPr>
      <xdr:grpSpPr>
        <a:xfrm>
          <a:off x="3421380" y="2286000"/>
          <a:ext cx="594360" cy="228600"/>
          <a:chOff x="3421380" y="3627120"/>
          <a:chExt cx="594360" cy="228600"/>
        </a:xfrm>
      </xdr:grpSpPr>
      <xdr:cxnSp macro="">
        <xdr:nvCxnSpPr>
          <xdr:cNvPr id="4223" name="Gerader Verbinder 4222">
            <a:extLst>
              <a:ext uri="{FF2B5EF4-FFF2-40B4-BE49-F238E27FC236}">
                <a16:creationId xmlns:a16="http://schemas.microsoft.com/office/drawing/2014/main" id="{689C10E6-3877-3678-4114-676DACB31382}"/>
              </a:ext>
            </a:extLst>
          </xdr:cNvPr>
          <xdr:cNvCxnSpPr/>
        </xdr:nvCxnSpPr>
        <xdr:spPr>
          <a:xfrm>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24" name="Gerader Verbinder 4223">
            <a:extLst>
              <a:ext uri="{FF2B5EF4-FFF2-40B4-BE49-F238E27FC236}">
                <a16:creationId xmlns:a16="http://schemas.microsoft.com/office/drawing/2014/main" id="{00089C65-A3B5-BBC8-BA89-E04211AC7749}"/>
              </a:ext>
            </a:extLst>
          </xdr:cNvPr>
          <xdr:cNvCxnSpPr/>
        </xdr:nvCxnSpPr>
        <xdr:spPr>
          <a:xfrm flipH="1">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4234" name="Cross_F28">
          <a:extLst>
            <a:ext uri="{FF2B5EF4-FFF2-40B4-BE49-F238E27FC236}">
              <a16:creationId xmlns:a16="http://schemas.microsoft.com/office/drawing/2014/main" id="{D05E19D4-6C56-15CF-919A-DA2994E41DF5}"/>
            </a:ext>
          </a:extLst>
        </xdr:cNvPr>
        <xdr:cNvGrpSpPr/>
      </xdr:nvGrpSpPr>
      <xdr:grpSpPr>
        <a:xfrm>
          <a:off x="3421380" y="2971800"/>
          <a:ext cx="594360" cy="228600"/>
          <a:chOff x="3421380" y="5318760"/>
          <a:chExt cx="594360" cy="228600"/>
        </a:xfrm>
      </xdr:grpSpPr>
      <xdr:cxnSp macro="">
        <xdr:nvCxnSpPr>
          <xdr:cNvPr id="4232" name="Gerader Verbinder 4231">
            <a:extLst>
              <a:ext uri="{FF2B5EF4-FFF2-40B4-BE49-F238E27FC236}">
                <a16:creationId xmlns:a16="http://schemas.microsoft.com/office/drawing/2014/main" id="{B6C6CD0E-F7C9-C433-183E-73F34182B9D1}"/>
              </a:ext>
            </a:extLst>
          </xdr:cNvPr>
          <xdr:cNvCxnSpPr/>
        </xdr:nvCxnSpPr>
        <xdr:spPr>
          <a:xfrm>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3" name="Gerader Verbinder 4232">
            <a:extLst>
              <a:ext uri="{FF2B5EF4-FFF2-40B4-BE49-F238E27FC236}">
                <a16:creationId xmlns:a16="http://schemas.microsoft.com/office/drawing/2014/main" id="{AC481807-D678-CFED-21B2-51212C68F0C5}"/>
              </a:ext>
            </a:extLst>
          </xdr:cNvPr>
          <xdr:cNvCxnSpPr/>
        </xdr:nvCxnSpPr>
        <xdr:spPr>
          <a:xfrm flipH="1">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4243" name="Cross_F37">
          <a:extLst>
            <a:ext uri="{FF2B5EF4-FFF2-40B4-BE49-F238E27FC236}">
              <a16:creationId xmlns:a16="http://schemas.microsoft.com/office/drawing/2014/main" id="{A50CC5AE-EB9A-AD0B-4DB4-F360464420F4}"/>
            </a:ext>
          </a:extLst>
        </xdr:cNvPr>
        <xdr:cNvGrpSpPr/>
      </xdr:nvGrpSpPr>
      <xdr:grpSpPr>
        <a:xfrm>
          <a:off x="3421380" y="3657600"/>
          <a:ext cx="594360" cy="228600"/>
          <a:chOff x="3421380" y="7010400"/>
          <a:chExt cx="594360" cy="228600"/>
        </a:xfrm>
      </xdr:grpSpPr>
      <xdr:cxnSp macro="">
        <xdr:nvCxnSpPr>
          <xdr:cNvPr id="4241" name="Gerader Verbinder 4240">
            <a:extLst>
              <a:ext uri="{FF2B5EF4-FFF2-40B4-BE49-F238E27FC236}">
                <a16:creationId xmlns:a16="http://schemas.microsoft.com/office/drawing/2014/main" id="{C3DDC406-E2E6-0772-15E5-44AC7ED8D68C}"/>
              </a:ext>
            </a:extLst>
          </xdr:cNvPr>
          <xdr:cNvCxnSpPr/>
        </xdr:nvCxnSpPr>
        <xdr:spPr>
          <a:xfrm>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42" name="Gerader Verbinder 4241">
            <a:extLst>
              <a:ext uri="{FF2B5EF4-FFF2-40B4-BE49-F238E27FC236}">
                <a16:creationId xmlns:a16="http://schemas.microsoft.com/office/drawing/2014/main" id="{C7C721FF-67EE-2EBF-3EC8-A3A3BAC1A03E}"/>
              </a:ext>
            </a:extLst>
          </xdr:cNvPr>
          <xdr:cNvCxnSpPr/>
        </xdr:nvCxnSpPr>
        <xdr:spPr>
          <a:xfrm flipH="1">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4252" name="Cross_F40">
          <a:extLst>
            <a:ext uri="{FF2B5EF4-FFF2-40B4-BE49-F238E27FC236}">
              <a16:creationId xmlns:a16="http://schemas.microsoft.com/office/drawing/2014/main" id="{3AD0CDCA-04FD-DE5B-1E05-5C86B9B10942}"/>
            </a:ext>
          </a:extLst>
        </xdr:cNvPr>
        <xdr:cNvGrpSpPr/>
      </xdr:nvGrpSpPr>
      <xdr:grpSpPr>
        <a:xfrm>
          <a:off x="3421380" y="3886200"/>
          <a:ext cx="594360" cy="228600"/>
          <a:chOff x="3421380" y="7574280"/>
          <a:chExt cx="594360" cy="228600"/>
        </a:xfrm>
      </xdr:grpSpPr>
      <xdr:cxnSp macro="">
        <xdr:nvCxnSpPr>
          <xdr:cNvPr id="4250" name="Gerader Verbinder 4249">
            <a:extLst>
              <a:ext uri="{FF2B5EF4-FFF2-40B4-BE49-F238E27FC236}">
                <a16:creationId xmlns:a16="http://schemas.microsoft.com/office/drawing/2014/main" id="{700D4501-8501-3134-7BE2-B3CF25B5F009}"/>
              </a:ext>
            </a:extLst>
          </xdr:cNvPr>
          <xdr:cNvCxnSpPr/>
        </xdr:nvCxnSpPr>
        <xdr:spPr>
          <a:xfrm>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51" name="Gerader Verbinder 4250">
            <a:extLst>
              <a:ext uri="{FF2B5EF4-FFF2-40B4-BE49-F238E27FC236}">
                <a16:creationId xmlns:a16="http://schemas.microsoft.com/office/drawing/2014/main" id="{17037A2E-50AB-2AFA-3D34-3ABDF13AE7BF}"/>
              </a:ext>
            </a:extLst>
          </xdr:cNvPr>
          <xdr:cNvCxnSpPr/>
        </xdr:nvCxnSpPr>
        <xdr:spPr>
          <a:xfrm flipH="1">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4261" name="Cross_F43">
          <a:extLst>
            <a:ext uri="{FF2B5EF4-FFF2-40B4-BE49-F238E27FC236}">
              <a16:creationId xmlns:a16="http://schemas.microsoft.com/office/drawing/2014/main" id="{8BF3CC07-7ED2-2B22-05CF-DD7721C3359C}"/>
            </a:ext>
          </a:extLst>
        </xdr:cNvPr>
        <xdr:cNvGrpSpPr/>
      </xdr:nvGrpSpPr>
      <xdr:grpSpPr>
        <a:xfrm>
          <a:off x="3421380" y="4114800"/>
          <a:ext cx="594360" cy="228600"/>
          <a:chOff x="3421380" y="8138160"/>
          <a:chExt cx="594360" cy="228600"/>
        </a:xfrm>
      </xdr:grpSpPr>
      <xdr:cxnSp macro="">
        <xdr:nvCxnSpPr>
          <xdr:cNvPr id="4259" name="Gerader Verbinder 4258">
            <a:extLst>
              <a:ext uri="{FF2B5EF4-FFF2-40B4-BE49-F238E27FC236}">
                <a16:creationId xmlns:a16="http://schemas.microsoft.com/office/drawing/2014/main" id="{46B183E3-8CE7-E3AD-3C3E-501D63C43FFE}"/>
              </a:ext>
            </a:extLst>
          </xdr:cNvPr>
          <xdr:cNvCxnSpPr/>
        </xdr:nvCxnSpPr>
        <xdr:spPr>
          <a:xfrm>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0" name="Gerader Verbinder 4259">
            <a:extLst>
              <a:ext uri="{FF2B5EF4-FFF2-40B4-BE49-F238E27FC236}">
                <a16:creationId xmlns:a16="http://schemas.microsoft.com/office/drawing/2014/main" id="{26DE97F9-334C-9CBA-E998-9CC7FFCB6E1F}"/>
              </a:ext>
            </a:extLst>
          </xdr:cNvPr>
          <xdr:cNvCxnSpPr/>
        </xdr:nvCxnSpPr>
        <xdr:spPr>
          <a:xfrm flipH="1">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4270" name="Cross_F46">
          <a:extLst>
            <a:ext uri="{FF2B5EF4-FFF2-40B4-BE49-F238E27FC236}">
              <a16:creationId xmlns:a16="http://schemas.microsoft.com/office/drawing/2014/main" id="{E9CDC3F1-3C45-CEA8-2FD3-88B407CE3ED6}"/>
            </a:ext>
          </a:extLst>
        </xdr:cNvPr>
        <xdr:cNvGrpSpPr/>
      </xdr:nvGrpSpPr>
      <xdr:grpSpPr>
        <a:xfrm>
          <a:off x="3421380" y="4343400"/>
          <a:ext cx="594360" cy="228600"/>
          <a:chOff x="3421380" y="8702040"/>
          <a:chExt cx="594360" cy="228600"/>
        </a:xfrm>
      </xdr:grpSpPr>
      <xdr:cxnSp macro="">
        <xdr:nvCxnSpPr>
          <xdr:cNvPr id="4268" name="Gerader Verbinder 4267">
            <a:extLst>
              <a:ext uri="{FF2B5EF4-FFF2-40B4-BE49-F238E27FC236}">
                <a16:creationId xmlns:a16="http://schemas.microsoft.com/office/drawing/2014/main" id="{A5BC1015-A22E-EED2-026B-B739225EC937}"/>
              </a:ext>
            </a:extLst>
          </xdr:cNvPr>
          <xdr:cNvCxnSpPr/>
        </xdr:nvCxnSpPr>
        <xdr:spPr>
          <a:xfrm>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9" name="Gerader Verbinder 4268">
            <a:extLst>
              <a:ext uri="{FF2B5EF4-FFF2-40B4-BE49-F238E27FC236}">
                <a16:creationId xmlns:a16="http://schemas.microsoft.com/office/drawing/2014/main" id="{6E3FF20C-2F7C-203B-73B0-2C6CBD45D938}"/>
              </a:ext>
            </a:extLst>
          </xdr:cNvPr>
          <xdr:cNvCxnSpPr/>
        </xdr:nvCxnSpPr>
        <xdr:spPr>
          <a:xfrm flipH="1">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4279" name="Cross_F55">
          <a:extLst>
            <a:ext uri="{FF2B5EF4-FFF2-40B4-BE49-F238E27FC236}">
              <a16:creationId xmlns:a16="http://schemas.microsoft.com/office/drawing/2014/main" id="{9EA2D86D-A9C9-4FB4-EF87-31A0A2DBF927}"/>
            </a:ext>
          </a:extLst>
        </xdr:cNvPr>
        <xdr:cNvGrpSpPr/>
      </xdr:nvGrpSpPr>
      <xdr:grpSpPr>
        <a:xfrm>
          <a:off x="3421380" y="5029200"/>
          <a:ext cx="594360" cy="228600"/>
          <a:chOff x="3421380" y="10393680"/>
          <a:chExt cx="594360" cy="228600"/>
        </a:xfrm>
      </xdr:grpSpPr>
      <xdr:cxnSp macro="">
        <xdr:nvCxnSpPr>
          <xdr:cNvPr id="4277" name="Gerader Verbinder 4276">
            <a:extLst>
              <a:ext uri="{FF2B5EF4-FFF2-40B4-BE49-F238E27FC236}">
                <a16:creationId xmlns:a16="http://schemas.microsoft.com/office/drawing/2014/main" id="{9188040C-A45B-85E2-9307-A0EB9257A398}"/>
              </a:ext>
            </a:extLst>
          </xdr:cNvPr>
          <xdr:cNvCxnSpPr/>
        </xdr:nvCxnSpPr>
        <xdr:spPr>
          <a:xfrm>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78" name="Gerader Verbinder 4277">
            <a:extLst>
              <a:ext uri="{FF2B5EF4-FFF2-40B4-BE49-F238E27FC236}">
                <a16:creationId xmlns:a16="http://schemas.microsoft.com/office/drawing/2014/main" id="{AE6C8BBD-26DF-D2BD-C821-C7CAF321FE97}"/>
              </a:ext>
            </a:extLst>
          </xdr:cNvPr>
          <xdr:cNvCxnSpPr/>
        </xdr:nvCxnSpPr>
        <xdr:spPr>
          <a:xfrm flipH="1">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4288" name="Cross_F58">
          <a:extLst>
            <a:ext uri="{FF2B5EF4-FFF2-40B4-BE49-F238E27FC236}">
              <a16:creationId xmlns:a16="http://schemas.microsoft.com/office/drawing/2014/main" id="{74E0F72D-6B30-BD78-1781-D097E8DA4AF9}"/>
            </a:ext>
          </a:extLst>
        </xdr:cNvPr>
        <xdr:cNvGrpSpPr/>
      </xdr:nvGrpSpPr>
      <xdr:grpSpPr>
        <a:xfrm>
          <a:off x="3421380" y="5257800"/>
          <a:ext cx="594360" cy="228600"/>
          <a:chOff x="3421380" y="10957560"/>
          <a:chExt cx="594360" cy="228600"/>
        </a:xfrm>
      </xdr:grpSpPr>
      <xdr:cxnSp macro="">
        <xdr:nvCxnSpPr>
          <xdr:cNvPr id="4286" name="Gerader Verbinder 4285">
            <a:extLst>
              <a:ext uri="{FF2B5EF4-FFF2-40B4-BE49-F238E27FC236}">
                <a16:creationId xmlns:a16="http://schemas.microsoft.com/office/drawing/2014/main" id="{381CEA3D-297C-FDEA-73E7-62FFA81615B1}"/>
              </a:ext>
            </a:extLst>
          </xdr:cNvPr>
          <xdr:cNvCxnSpPr/>
        </xdr:nvCxnSpPr>
        <xdr:spPr>
          <a:xfrm>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87" name="Gerader Verbinder 4286">
            <a:extLst>
              <a:ext uri="{FF2B5EF4-FFF2-40B4-BE49-F238E27FC236}">
                <a16:creationId xmlns:a16="http://schemas.microsoft.com/office/drawing/2014/main" id="{D6CCAC83-57C2-0675-79A2-4E2CAFF158AB}"/>
              </a:ext>
            </a:extLst>
          </xdr:cNvPr>
          <xdr:cNvCxnSpPr/>
        </xdr:nvCxnSpPr>
        <xdr:spPr>
          <a:xfrm flipH="1">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4297" name="Cross_F61">
          <a:extLst>
            <a:ext uri="{FF2B5EF4-FFF2-40B4-BE49-F238E27FC236}">
              <a16:creationId xmlns:a16="http://schemas.microsoft.com/office/drawing/2014/main" id="{C4D1ED92-E7E8-1738-4180-9B6956DF0B7F}"/>
            </a:ext>
          </a:extLst>
        </xdr:cNvPr>
        <xdr:cNvGrpSpPr/>
      </xdr:nvGrpSpPr>
      <xdr:grpSpPr>
        <a:xfrm>
          <a:off x="3421380" y="5486400"/>
          <a:ext cx="594360" cy="228600"/>
          <a:chOff x="3421380" y="11521440"/>
          <a:chExt cx="594360" cy="228600"/>
        </a:xfrm>
      </xdr:grpSpPr>
      <xdr:cxnSp macro="">
        <xdr:nvCxnSpPr>
          <xdr:cNvPr id="4295" name="Gerader Verbinder 4294">
            <a:extLst>
              <a:ext uri="{FF2B5EF4-FFF2-40B4-BE49-F238E27FC236}">
                <a16:creationId xmlns:a16="http://schemas.microsoft.com/office/drawing/2014/main" id="{64B94407-9A35-3C31-C811-7263A7864E39}"/>
              </a:ext>
            </a:extLst>
          </xdr:cNvPr>
          <xdr:cNvCxnSpPr/>
        </xdr:nvCxnSpPr>
        <xdr:spPr>
          <a:xfrm>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6" name="Gerader Verbinder 4295">
            <a:extLst>
              <a:ext uri="{FF2B5EF4-FFF2-40B4-BE49-F238E27FC236}">
                <a16:creationId xmlns:a16="http://schemas.microsoft.com/office/drawing/2014/main" id="{21EA790D-79E5-D6E8-9B5C-163D61C1CB17}"/>
              </a:ext>
            </a:extLst>
          </xdr:cNvPr>
          <xdr:cNvCxnSpPr/>
        </xdr:nvCxnSpPr>
        <xdr:spPr>
          <a:xfrm flipH="1">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4306" name="Cross_F70">
          <a:extLst>
            <a:ext uri="{FF2B5EF4-FFF2-40B4-BE49-F238E27FC236}">
              <a16:creationId xmlns:a16="http://schemas.microsoft.com/office/drawing/2014/main" id="{59ECE50B-C2A6-6789-EABC-9023C6B4DCC2}"/>
            </a:ext>
          </a:extLst>
        </xdr:cNvPr>
        <xdr:cNvGrpSpPr/>
      </xdr:nvGrpSpPr>
      <xdr:grpSpPr>
        <a:xfrm>
          <a:off x="3421380" y="6172200"/>
          <a:ext cx="594360" cy="228600"/>
          <a:chOff x="3421380" y="13213080"/>
          <a:chExt cx="594360" cy="228600"/>
        </a:xfrm>
      </xdr:grpSpPr>
      <xdr:cxnSp macro="">
        <xdr:nvCxnSpPr>
          <xdr:cNvPr id="4304" name="Gerader Verbinder 4303">
            <a:extLst>
              <a:ext uri="{FF2B5EF4-FFF2-40B4-BE49-F238E27FC236}">
                <a16:creationId xmlns:a16="http://schemas.microsoft.com/office/drawing/2014/main" id="{FD6CB095-2863-A2E8-F655-526B10585828}"/>
              </a:ext>
            </a:extLst>
          </xdr:cNvPr>
          <xdr:cNvCxnSpPr/>
        </xdr:nvCxnSpPr>
        <xdr:spPr>
          <a:xfrm>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05" name="Gerader Verbinder 4304">
            <a:extLst>
              <a:ext uri="{FF2B5EF4-FFF2-40B4-BE49-F238E27FC236}">
                <a16:creationId xmlns:a16="http://schemas.microsoft.com/office/drawing/2014/main" id="{30070D22-BA5B-6E2F-F6CB-190A8F13083D}"/>
              </a:ext>
            </a:extLst>
          </xdr:cNvPr>
          <xdr:cNvCxnSpPr/>
        </xdr:nvCxnSpPr>
        <xdr:spPr>
          <a:xfrm flipH="1">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28</xdr:row>
      <xdr:rowOff>1</xdr:rowOff>
    </xdr:to>
    <xdr:grpSp>
      <xdr:nvGrpSpPr>
        <xdr:cNvPr id="4312" name="Cross_F72">
          <a:extLst>
            <a:ext uri="{FF2B5EF4-FFF2-40B4-BE49-F238E27FC236}">
              <a16:creationId xmlns:a16="http://schemas.microsoft.com/office/drawing/2014/main" id="{50C06A30-7144-59D5-94BE-7A8452724D9C}"/>
            </a:ext>
          </a:extLst>
        </xdr:cNvPr>
        <xdr:cNvGrpSpPr/>
      </xdr:nvGrpSpPr>
      <xdr:grpSpPr>
        <a:xfrm>
          <a:off x="3421380" y="6400800"/>
          <a:ext cx="594360" cy="1"/>
          <a:chOff x="3421380" y="13609320"/>
          <a:chExt cx="594360" cy="167641"/>
        </a:xfrm>
      </xdr:grpSpPr>
      <xdr:cxnSp macro="">
        <xdr:nvCxnSpPr>
          <xdr:cNvPr id="4310" name="Gerader Verbinder 4309">
            <a:extLst>
              <a:ext uri="{FF2B5EF4-FFF2-40B4-BE49-F238E27FC236}">
                <a16:creationId xmlns:a16="http://schemas.microsoft.com/office/drawing/2014/main" id="{8352D7BD-CC84-40CF-98EE-B1A421C64F89}"/>
              </a:ext>
            </a:extLst>
          </xdr:cNvPr>
          <xdr:cNvCxnSpPr/>
        </xdr:nvCxnSpPr>
        <xdr:spPr>
          <a:xfrm>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11" name="Gerader Verbinder 4310">
            <a:extLst>
              <a:ext uri="{FF2B5EF4-FFF2-40B4-BE49-F238E27FC236}">
                <a16:creationId xmlns:a16="http://schemas.microsoft.com/office/drawing/2014/main" id="{2097CADE-80C7-4032-237C-141D312BFB1B}"/>
              </a:ext>
            </a:extLst>
          </xdr:cNvPr>
          <xdr:cNvCxnSpPr/>
        </xdr:nvCxnSpPr>
        <xdr:spPr>
          <a:xfrm flipH="1">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1</xdr:rowOff>
    </xdr:from>
    <xdr:to>
      <xdr:col>6</xdr:col>
      <xdr:colOff>0</xdr:colOff>
      <xdr:row>29</xdr:row>
      <xdr:rowOff>0</xdr:rowOff>
    </xdr:to>
    <xdr:grpSp>
      <xdr:nvGrpSpPr>
        <xdr:cNvPr id="4315" name="Cross_F73">
          <a:extLst>
            <a:ext uri="{FF2B5EF4-FFF2-40B4-BE49-F238E27FC236}">
              <a16:creationId xmlns:a16="http://schemas.microsoft.com/office/drawing/2014/main" id="{28328342-75F8-4EF9-4817-A38ED289EE05}"/>
            </a:ext>
          </a:extLst>
        </xdr:cNvPr>
        <xdr:cNvGrpSpPr/>
      </xdr:nvGrpSpPr>
      <xdr:grpSpPr>
        <a:xfrm>
          <a:off x="3421380" y="6400801"/>
          <a:ext cx="594360" cy="228599"/>
          <a:chOff x="3421380" y="13776961"/>
          <a:chExt cx="594360" cy="228600"/>
        </a:xfrm>
      </xdr:grpSpPr>
      <xdr:cxnSp macro="">
        <xdr:nvCxnSpPr>
          <xdr:cNvPr id="4313" name="Gerader Verbinder 4312">
            <a:extLst>
              <a:ext uri="{FF2B5EF4-FFF2-40B4-BE49-F238E27FC236}">
                <a16:creationId xmlns:a16="http://schemas.microsoft.com/office/drawing/2014/main" id="{DA797E85-A4B7-60F0-DF74-9B5DCE83C4F1}"/>
              </a:ext>
            </a:extLst>
          </xdr:cNvPr>
          <xdr:cNvCxnSpPr/>
        </xdr:nvCxnSpPr>
        <xdr:spPr>
          <a:xfrm>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14" name="Gerader Verbinder 4313">
            <a:extLst>
              <a:ext uri="{FF2B5EF4-FFF2-40B4-BE49-F238E27FC236}">
                <a16:creationId xmlns:a16="http://schemas.microsoft.com/office/drawing/2014/main" id="{5C713407-B91A-D001-4852-43DBC788FDF2}"/>
              </a:ext>
            </a:extLst>
          </xdr:cNvPr>
          <xdr:cNvCxnSpPr/>
        </xdr:nvCxnSpPr>
        <xdr:spPr>
          <a:xfrm flipH="1">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4324" name="Cross_G7">
          <a:extLst>
            <a:ext uri="{FF2B5EF4-FFF2-40B4-BE49-F238E27FC236}">
              <a16:creationId xmlns:a16="http://schemas.microsoft.com/office/drawing/2014/main" id="{5739CC1C-30E2-E4C2-2330-BC5F9BD31729}"/>
            </a:ext>
          </a:extLst>
        </xdr:cNvPr>
        <xdr:cNvGrpSpPr/>
      </xdr:nvGrpSpPr>
      <xdr:grpSpPr>
        <a:xfrm>
          <a:off x="4015740" y="1371600"/>
          <a:ext cx="594360" cy="228600"/>
          <a:chOff x="4015740" y="1371600"/>
          <a:chExt cx="594360" cy="228600"/>
        </a:xfrm>
      </xdr:grpSpPr>
      <xdr:cxnSp macro="">
        <xdr:nvCxnSpPr>
          <xdr:cNvPr id="4322" name="Gerader Verbinder 4321">
            <a:extLst>
              <a:ext uri="{FF2B5EF4-FFF2-40B4-BE49-F238E27FC236}">
                <a16:creationId xmlns:a16="http://schemas.microsoft.com/office/drawing/2014/main" id="{9CF732C7-55C5-3544-B40B-20E69EF63102}"/>
              </a:ext>
            </a:extLst>
          </xdr:cNvPr>
          <xdr:cNvCxnSpPr/>
        </xdr:nvCxnSpPr>
        <xdr:spPr>
          <a:xfrm>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3" name="Gerader Verbinder 4322">
            <a:extLst>
              <a:ext uri="{FF2B5EF4-FFF2-40B4-BE49-F238E27FC236}">
                <a16:creationId xmlns:a16="http://schemas.microsoft.com/office/drawing/2014/main" id="{C2092DAA-7493-D38F-D88B-174EBDAAEFA1}"/>
              </a:ext>
            </a:extLst>
          </xdr:cNvPr>
          <xdr:cNvCxnSpPr/>
        </xdr:nvCxnSpPr>
        <xdr:spPr>
          <a:xfrm flipH="1">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4333" name="Cross_G16">
          <a:extLst>
            <a:ext uri="{FF2B5EF4-FFF2-40B4-BE49-F238E27FC236}">
              <a16:creationId xmlns:a16="http://schemas.microsoft.com/office/drawing/2014/main" id="{0B245240-3D20-200D-542A-00DA89B206B2}"/>
            </a:ext>
          </a:extLst>
        </xdr:cNvPr>
        <xdr:cNvGrpSpPr/>
      </xdr:nvGrpSpPr>
      <xdr:grpSpPr>
        <a:xfrm>
          <a:off x="4015740" y="2057400"/>
          <a:ext cx="594360" cy="228600"/>
          <a:chOff x="4015740" y="3063240"/>
          <a:chExt cx="594360" cy="228600"/>
        </a:xfrm>
      </xdr:grpSpPr>
      <xdr:cxnSp macro="">
        <xdr:nvCxnSpPr>
          <xdr:cNvPr id="4331" name="Gerader Verbinder 4330">
            <a:extLst>
              <a:ext uri="{FF2B5EF4-FFF2-40B4-BE49-F238E27FC236}">
                <a16:creationId xmlns:a16="http://schemas.microsoft.com/office/drawing/2014/main" id="{77BD6E6A-5B25-1337-B5DC-E1D29DF305F9}"/>
              </a:ext>
            </a:extLst>
          </xdr:cNvPr>
          <xdr:cNvCxnSpPr/>
        </xdr:nvCxnSpPr>
        <xdr:spPr>
          <a:xfrm>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32" name="Gerader Verbinder 4331">
            <a:extLst>
              <a:ext uri="{FF2B5EF4-FFF2-40B4-BE49-F238E27FC236}">
                <a16:creationId xmlns:a16="http://schemas.microsoft.com/office/drawing/2014/main" id="{E4413782-D06B-A63C-B434-72F280CC5628}"/>
              </a:ext>
            </a:extLst>
          </xdr:cNvPr>
          <xdr:cNvCxnSpPr/>
        </xdr:nvCxnSpPr>
        <xdr:spPr>
          <a:xfrm flipH="1">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4342" name="Cross_G25">
          <a:extLst>
            <a:ext uri="{FF2B5EF4-FFF2-40B4-BE49-F238E27FC236}">
              <a16:creationId xmlns:a16="http://schemas.microsoft.com/office/drawing/2014/main" id="{376E00CB-3196-FC5A-BC91-03A45DA9B96A}"/>
            </a:ext>
          </a:extLst>
        </xdr:cNvPr>
        <xdr:cNvGrpSpPr/>
      </xdr:nvGrpSpPr>
      <xdr:grpSpPr>
        <a:xfrm>
          <a:off x="4015740" y="2743200"/>
          <a:ext cx="594360" cy="228600"/>
          <a:chOff x="4015740" y="4754880"/>
          <a:chExt cx="594360" cy="228600"/>
        </a:xfrm>
      </xdr:grpSpPr>
      <xdr:cxnSp macro="">
        <xdr:nvCxnSpPr>
          <xdr:cNvPr id="4340" name="Gerader Verbinder 4339">
            <a:extLst>
              <a:ext uri="{FF2B5EF4-FFF2-40B4-BE49-F238E27FC236}">
                <a16:creationId xmlns:a16="http://schemas.microsoft.com/office/drawing/2014/main" id="{747C5392-1144-4A60-8D83-A97F7920660A}"/>
              </a:ext>
            </a:extLst>
          </xdr:cNvPr>
          <xdr:cNvCxnSpPr/>
        </xdr:nvCxnSpPr>
        <xdr:spPr>
          <a:xfrm>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41" name="Gerader Verbinder 4340">
            <a:extLst>
              <a:ext uri="{FF2B5EF4-FFF2-40B4-BE49-F238E27FC236}">
                <a16:creationId xmlns:a16="http://schemas.microsoft.com/office/drawing/2014/main" id="{0C273C27-FFAC-0FFA-B7F2-1191F396A169}"/>
              </a:ext>
            </a:extLst>
          </xdr:cNvPr>
          <xdr:cNvCxnSpPr/>
        </xdr:nvCxnSpPr>
        <xdr:spPr>
          <a:xfrm flipH="1">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4351" name="Cross_G31">
          <a:extLst>
            <a:ext uri="{FF2B5EF4-FFF2-40B4-BE49-F238E27FC236}">
              <a16:creationId xmlns:a16="http://schemas.microsoft.com/office/drawing/2014/main" id="{4B44079C-F2CB-98F7-B814-164F741B9740}"/>
            </a:ext>
          </a:extLst>
        </xdr:cNvPr>
        <xdr:cNvGrpSpPr/>
      </xdr:nvGrpSpPr>
      <xdr:grpSpPr>
        <a:xfrm>
          <a:off x="4015740" y="3200400"/>
          <a:ext cx="594360" cy="228600"/>
          <a:chOff x="4015740" y="5882640"/>
          <a:chExt cx="594360" cy="228600"/>
        </a:xfrm>
      </xdr:grpSpPr>
      <xdr:cxnSp macro="">
        <xdr:nvCxnSpPr>
          <xdr:cNvPr id="4349" name="Gerader Verbinder 4348">
            <a:extLst>
              <a:ext uri="{FF2B5EF4-FFF2-40B4-BE49-F238E27FC236}">
                <a16:creationId xmlns:a16="http://schemas.microsoft.com/office/drawing/2014/main" id="{35855507-46CB-DB02-5677-38320A316CB5}"/>
              </a:ext>
            </a:extLst>
          </xdr:cNvPr>
          <xdr:cNvCxnSpPr/>
        </xdr:nvCxnSpPr>
        <xdr:spPr>
          <a:xfrm>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0" name="Gerader Verbinder 4349">
            <a:extLst>
              <a:ext uri="{FF2B5EF4-FFF2-40B4-BE49-F238E27FC236}">
                <a16:creationId xmlns:a16="http://schemas.microsoft.com/office/drawing/2014/main" id="{44963AE6-1923-53C0-EC61-4B8E2E89AF0A}"/>
              </a:ext>
            </a:extLst>
          </xdr:cNvPr>
          <xdr:cNvCxnSpPr/>
        </xdr:nvCxnSpPr>
        <xdr:spPr>
          <a:xfrm flipH="1">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4360" name="Cross_G43">
          <a:extLst>
            <a:ext uri="{FF2B5EF4-FFF2-40B4-BE49-F238E27FC236}">
              <a16:creationId xmlns:a16="http://schemas.microsoft.com/office/drawing/2014/main" id="{DE051BBE-F64C-19FE-00A5-C05C110C9E42}"/>
            </a:ext>
          </a:extLst>
        </xdr:cNvPr>
        <xdr:cNvGrpSpPr/>
      </xdr:nvGrpSpPr>
      <xdr:grpSpPr>
        <a:xfrm>
          <a:off x="4015740" y="4114800"/>
          <a:ext cx="594360" cy="228600"/>
          <a:chOff x="4015740" y="8138160"/>
          <a:chExt cx="594360" cy="228600"/>
        </a:xfrm>
      </xdr:grpSpPr>
      <xdr:cxnSp macro="">
        <xdr:nvCxnSpPr>
          <xdr:cNvPr id="4358" name="Gerader Verbinder 4357">
            <a:extLst>
              <a:ext uri="{FF2B5EF4-FFF2-40B4-BE49-F238E27FC236}">
                <a16:creationId xmlns:a16="http://schemas.microsoft.com/office/drawing/2014/main" id="{ECFCA467-9B41-EE91-783C-F0C5EE1293FB}"/>
              </a:ext>
            </a:extLst>
          </xdr:cNvPr>
          <xdr:cNvCxnSpPr/>
        </xdr:nvCxnSpPr>
        <xdr:spPr>
          <a:xfrm>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9" name="Gerader Verbinder 4358">
            <a:extLst>
              <a:ext uri="{FF2B5EF4-FFF2-40B4-BE49-F238E27FC236}">
                <a16:creationId xmlns:a16="http://schemas.microsoft.com/office/drawing/2014/main" id="{B66E0A5C-ED77-0441-C290-84D5C4FE9DD0}"/>
              </a:ext>
            </a:extLst>
          </xdr:cNvPr>
          <xdr:cNvCxnSpPr/>
        </xdr:nvCxnSpPr>
        <xdr:spPr>
          <a:xfrm flipH="1">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4369" name="Cross_G49">
          <a:extLst>
            <a:ext uri="{FF2B5EF4-FFF2-40B4-BE49-F238E27FC236}">
              <a16:creationId xmlns:a16="http://schemas.microsoft.com/office/drawing/2014/main" id="{AB582E9F-481B-790F-5C05-BE86D7D66B3B}"/>
            </a:ext>
          </a:extLst>
        </xdr:cNvPr>
        <xdr:cNvGrpSpPr/>
      </xdr:nvGrpSpPr>
      <xdr:grpSpPr>
        <a:xfrm>
          <a:off x="4015740" y="4572000"/>
          <a:ext cx="594360" cy="228600"/>
          <a:chOff x="4015740" y="9265920"/>
          <a:chExt cx="594360" cy="228600"/>
        </a:xfrm>
      </xdr:grpSpPr>
      <xdr:cxnSp macro="">
        <xdr:nvCxnSpPr>
          <xdr:cNvPr id="4367" name="Gerader Verbinder 4366">
            <a:extLst>
              <a:ext uri="{FF2B5EF4-FFF2-40B4-BE49-F238E27FC236}">
                <a16:creationId xmlns:a16="http://schemas.microsoft.com/office/drawing/2014/main" id="{209E94C4-7A86-381F-1C29-683C2A37F162}"/>
              </a:ext>
            </a:extLst>
          </xdr:cNvPr>
          <xdr:cNvCxnSpPr/>
        </xdr:nvCxnSpPr>
        <xdr:spPr>
          <a:xfrm>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68" name="Gerader Verbinder 4367">
            <a:extLst>
              <a:ext uri="{FF2B5EF4-FFF2-40B4-BE49-F238E27FC236}">
                <a16:creationId xmlns:a16="http://schemas.microsoft.com/office/drawing/2014/main" id="{1148CB16-F6F2-FD6C-90E8-00507CE08C0F}"/>
              </a:ext>
            </a:extLst>
          </xdr:cNvPr>
          <xdr:cNvCxnSpPr/>
        </xdr:nvCxnSpPr>
        <xdr:spPr>
          <a:xfrm flipH="1">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4378" name="Cross_G64">
          <a:extLst>
            <a:ext uri="{FF2B5EF4-FFF2-40B4-BE49-F238E27FC236}">
              <a16:creationId xmlns:a16="http://schemas.microsoft.com/office/drawing/2014/main" id="{B76C056F-0D7B-FE78-59D9-5B71220A973B}"/>
            </a:ext>
          </a:extLst>
        </xdr:cNvPr>
        <xdr:cNvGrpSpPr/>
      </xdr:nvGrpSpPr>
      <xdr:grpSpPr>
        <a:xfrm>
          <a:off x="4015740" y="5715000"/>
          <a:ext cx="594360" cy="228600"/>
          <a:chOff x="4015740" y="12085320"/>
          <a:chExt cx="594360" cy="228600"/>
        </a:xfrm>
      </xdr:grpSpPr>
      <xdr:cxnSp macro="">
        <xdr:nvCxnSpPr>
          <xdr:cNvPr id="4376" name="Gerader Verbinder 4375">
            <a:extLst>
              <a:ext uri="{FF2B5EF4-FFF2-40B4-BE49-F238E27FC236}">
                <a16:creationId xmlns:a16="http://schemas.microsoft.com/office/drawing/2014/main" id="{A2B44288-4A41-5935-1D93-472DA3ACCC2B}"/>
              </a:ext>
            </a:extLst>
          </xdr:cNvPr>
          <xdr:cNvCxnSpPr/>
        </xdr:nvCxnSpPr>
        <xdr:spPr>
          <a:xfrm>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77" name="Gerader Verbinder 4376">
            <a:extLst>
              <a:ext uri="{FF2B5EF4-FFF2-40B4-BE49-F238E27FC236}">
                <a16:creationId xmlns:a16="http://schemas.microsoft.com/office/drawing/2014/main" id="{D62859C3-815A-2617-E4F5-E74F69345947}"/>
              </a:ext>
            </a:extLst>
          </xdr:cNvPr>
          <xdr:cNvCxnSpPr/>
        </xdr:nvCxnSpPr>
        <xdr:spPr>
          <a:xfrm flipH="1">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4387" name="Cross_G67">
          <a:extLst>
            <a:ext uri="{FF2B5EF4-FFF2-40B4-BE49-F238E27FC236}">
              <a16:creationId xmlns:a16="http://schemas.microsoft.com/office/drawing/2014/main" id="{B71156AF-EC3C-C018-31A4-F7953119C585}"/>
            </a:ext>
          </a:extLst>
        </xdr:cNvPr>
        <xdr:cNvGrpSpPr/>
      </xdr:nvGrpSpPr>
      <xdr:grpSpPr>
        <a:xfrm>
          <a:off x="4015740" y="5943600"/>
          <a:ext cx="594360" cy="228600"/>
          <a:chOff x="4015740" y="12649200"/>
          <a:chExt cx="594360" cy="228600"/>
        </a:xfrm>
      </xdr:grpSpPr>
      <xdr:cxnSp macro="">
        <xdr:nvCxnSpPr>
          <xdr:cNvPr id="4385" name="Gerader Verbinder 4384">
            <a:extLst>
              <a:ext uri="{FF2B5EF4-FFF2-40B4-BE49-F238E27FC236}">
                <a16:creationId xmlns:a16="http://schemas.microsoft.com/office/drawing/2014/main" id="{D3CA428E-C491-8251-2AE5-4F0375BC44FA}"/>
              </a:ext>
            </a:extLst>
          </xdr:cNvPr>
          <xdr:cNvCxnSpPr/>
        </xdr:nvCxnSpPr>
        <xdr:spPr>
          <a:xfrm>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6" name="Gerader Verbinder 4385">
            <a:extLst>
              <a:ext uri="{FF2B5EF4-FFF2-40B4-BE49-F238E27FC236}">
                <a16:creationId xmlns:a16="http://schemas.microsoft.com/office/drawing/2014/main" id="{9AE1BFCC-6167-623A-D637-569BD689F9F6}"/>
              </a:ext>
            </a:extLst>
          </xdr:cNvPr>
          <xdr:cNvCxnSpPr/>
        </xdr:nvCxnSpPr>
        <xdr:spPr>
          <a:xfrm flipH="1">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4396" name="Cross_G70">
          <a:extLst>
            <a:ext uri="{FF2B5EF4-FFF2-40B4-BE49-F238E27FC236}">
              <a16:creationId xmlns:a16="http://schemas.microsoft.com/office/drawing/2014/main" id="{54669430-EAB0-CD89-C19F-EEAF456D9302}"/>
            </a:ext>
          </a:extLst>
        </xdr:cNvPr>
        <xdr:cNvGrpSpPr/>
      </xdr:nvGrpSpPr>
      <xdr:grpSpPr>
        <a:xfrm>
          <a:off x="4015740" y="6172200"/>
          <a:ext cx="594360" cy="228600"/>
          <a:chOff x="4015740" y="13213080"/>
          <a:chExt cx="594360" cy="228600"/>
        </a:xfrm>
      </xdr:grpSpPr>
      <xdr:cxnSp macro="">
        <xdr:nvCxnSpPr>
          <xdr:cNvPr id="4394" name="Gerader Verbinder 4393">
            <a:extLst>
              <a:ext uri="{FF2B5EF4-FFF2-40B4-BE49-F238E27FC236}">
                <a16:creationId xmlns:a16="http://schemas.microsoft.com/office/drawing/2014/main" id="{6BB72743-A371-751A-030C-5803257B99DA}"/>
              </a:ext>
            </a:extLst>
          </xdr:cNvPr>
          <xdr:cNvCxnSpPr/>
        </xdr:nvCxnSpPr>
        <xdr:spPr>
          <a:xfrm>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95" name="Gerader Verbinder 4394">
            <a:extLst>
              <a:ext uri="{FF2B5EF4-FFF2-40B4-BE49-F238E27FC236}">
                <a16:creationId xmlns:a16="http://schemas.microsoft.com/office/drawing/2014/main" id="{D42E2A98-6759-A817-BF8A-FDF60A6522D0}"/>
              </a:ext>
            </a:extLst>
          </xdr:cNvPr>
          <xdr:cNvCxnSpPr/>
        </xdr:nvCxnSpPr>
        <xdr:spPr>
          <a:xfrm flipH="1">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28</xdr:row>
      <xdr:rowOff>0</xdr:rowOff>
    </xdr:from>
    <xdr:to>
      <xdr:col>7</xdr:col>
      <xdr:colOff>0</xdr:colOff>
      <xdr:row>28</xdr:row>
      <xdr:rowOff>1</xdr:rowOff>
    </xdr:to>
    <xdr:grpSp>
      <xdr:nvGrpSpPr>
        <xdr:cNvPr id="4402" name="Cross_G72">
          <a:extLst>
            <a:ext uri="{FF2B5EF4-FFF2-40B4-BE49-F238E27FC236}">
              <a16:creationId xmlns:a16="http://schemas.microsoft.com/office/drawing/2014/main" id="{283F9CF1-A5EA-8C74-5B36-870980B63992}"/>
            </a:ext>
          </a:extLst>
        </xdr:cNvPr>
        <xdr:cNvGrpSpPr/>
      </xdr:nvGrpSpPr>
      <xdr:grpSpPr>
        <a:xfrm>
          <a:off x="4015740" y="6400800"/>
          <a:ext cx="594360" cy="1"/>
          <a:chOff x="4015740" y="13609320"/>
          <a:chExt cx="594360" cy="167641"/>
        </a:xfrm>
      </xdr:grpSpPr>
      <xdr:cxnSp macro="">
        <xdr:nvCxnSpPr>
          <xdr:cNvPr id="4400" name="Gerader Verbinder 4399">
            <a:extLst>
              <a:ext uri="{FF2B5EF4-FFF2-40B4-BE49-F238E27FC236}">
                <a16:creationId xmlns:a16="http://schemas.microsoft.com/office/drawing/2014/main" id="{D2A8D919-A0A8-4FD4-6A9E-EAF68C1D0D92}"/>
              </a:ext>
            </a:extLst>
          </xdr:cNvPr>
          <xdr:cNvCxnSpPr/>
        </xdr:nvCxnSpPr>
        <xdr:spPr>
          <a:xfrm>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01" name="Gerader Verbinder 4400">
            <a:extLst>
              <a:ext uri="{FF2B5EF4-FFF2-40B4-BE49-F238E27FC236}">
                <a16:creationId xmlns:a16="http://schemas.microsoft.com/office/drawing/2014/main" id="{D3FB4E5B-E380-948C-CC94-D12C6E621930}"/>
              </a:ext>
            </a:extLst>
          </xdr:cNvPr>
          <xdr:cNvCxnSpPr/>
        </xdr:nvCxnSpPr>
        <xdr:spPr>
          <a:xfrm flipH="1">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4405" name="Cross_H7">
          <a:extLst>
            <a:ext uri="{FF2B5EF4-FFF2-40B4-BE49-F238E27FC236}">
              <a16:creationId xmlns:a16="http://schemas.microsoft.com/office/drawing/2014/main" id="{F4C8104D-E1D0-BB16-6582-5F377DDEDC41}"/>
            </a:ext>
          </a:extLst>
        </xdr:cNvPr>
        <xdr:cNvGrpSpPr/>
      </xdr:nvGrpSpPr>
      <xdr:grpSpPr>
        <a:xfrm>
          <a:off x="4610100" y="1371600"/>
          <a:ext cx="594360" cy="228600"/>
          <a:chOff x="4610100" y="1371600"/>
          <a:chExt cx="594360" cy="228600"/>
        </a:xfrm>
      </xdr:grpSpPr>
      <xdr:cxnSp macro="">
        <xdr:nvCxnSpPr>
          <xdr:cNvPr id="4403" name="Gerader Verbinder 4402">
            <a:extLst>
              <a:ext uri="{FF2B5EF4-FFF2-40B4-BE49-F238E27FC236}">
                <a16:creationId xmlns:a16="http://schemas.microsoft.com/office/drawing/2014/main" id="{62E26E72-7C27-4DF1-CB45-BE7AF4F6B73C}"/>
              </a:ext>
            </a:extLst>
          </xdr:cNvPr>
          <xdr:cNvCxnSpPr/>
        </xdr:nvCxnSpPr>
        <xdr:spPr>
          <a:xfrm>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04" name="Gerader Verbinder 4403">
            <a:extLst>
              <a:ext uri="{FF2B5EF4-FFF2-40B4-BE49-F238E27FC236}">
                <a16:creationId xmlns:a16="http://schemas.microsoft.com/office/drawing/2014/main" id="{6F0036C9-0DFF-A6CA-13EC-C8C17C522D93}"/>
              </a:ext>
            </a:extLst>
          </xdr:cNvPr>
          <xdr:cNvCxnSpPr/>
        </xdr:nvCxnSpPr>
        <xdr:spPr>
          <a:xfrm flipH="1">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4414" name="Cross_H10">
          <a:extLst>
            <a:ext uri="{FF2B5EF4-FFF2-40B4-BE49-F238E27FC236}">
              <a16:creationId xmlns:a16="http://schemas.microsoft.com/office/drawing/2014/main" id="{4513804D-62E7-C3F8-454E-1AA91E64D778}"/>
            </a:ext>
          </a:extLst>
        </xdr:cNvPr>
        <xdr:cNvGrpSpPr/>
      </xdr:nvGrpSpPr>
      <xdr:grpSpPr>
        <a:xfrm>
          <a:off x="4610100" y="1600200"/>
          <a:ext cx="594360" cy="228600"/>
          <a:chOff x="4610100" y="1935480"/>
          <a:chExt cx="594360" cy="228600"/>
        </a:xfrm>
      </xdr:grpSpPr>
      <xdr:cxnSp macro="">
        <xdr:nvCxnSpPr>
          <xdr:cNvPr id="4412" name="Gerader Verbinder 4411">
            <a:extLst>
              <a:ext uri="{FF2B5EF4-FFF2-40B4-BE49-F238E27FC236}">
                <a16:creationId xmlns:a16="http://schemas.microsoft.com/office/drawing/2014/main" id="{412709F3-31C7-AABF-2883-73F86D4889A2}"/>
              </a:ext>
            </a:extLst>
          </xdr:cNvPr>
          <xdr:cNvCxnSpPr/>
        </xdr:nvCxnSpPr>
        <xdr:spPr>
          <a:xfrm>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3" name="Gerader Verbinder 4412">
            <a:extLst>
              <a:ext uri="{FF2B5EF4-FFF2-40B4-BE49-F238E27FC236}">
                <a16:creationId xmlns:a16="http://schemas.microsoft.com/office/drawing/2014/main" id="{3C09EB59-91E6-4E16-CCCE-83F6A2372F7C}"/>
              </a:ext>
            </a:extLst>
          </xdr:cNvPr>
          <xdr:cNvCxnSpPr/>
        </xdr:nvCxnSpPr>
        <xdr:spPr>
          <a:xfrm flipH="1">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4423" name="Cross_H16">
          <a:extLst>
            <a:ext uri="{FF2B5EF4-FFF2-40B4-BE49-F238E27FC236}">
              <a16:creationId xmlns:a16="http://schemas.microsoft.com/office/drawing/2014/main" id="{79DB2BE7-AF12-776B-FC29-6F67706679A3}"/>
            </a:ext>
          </a:extLst>
        </xdr:cNvPr>
        <xdr:cNvGrpSpPr/>
      </xdr:nvGrpSpPr>
      <xdr:grpSpPr>
        <a:xfrm>
          <a:off x="4610100" y="2057400"/>
          <a:ext cx="594360" cy="228600"/>
          <a:chOff x="4610100" y="3063240"/>
          <a:chExt cx="594360" cy="228600"/>
        </a:xfrm>
      </xdr:grpSpPr>
      <xdr:cxnSp macro="">
        <xdr:nvCxnSpPr>
          <xdr:cNvPr id="4421" name="Gerader Verbinder 4420">
            <a:extLst>
              <a:ext uri="{FF2B5EF4-FFF2-40B4-BE49-F238E27FC236}">
                <a16:creationId xmlns:a16="http://schemas.microsoft.com/office/drawing/2014/main" id="{C63F5C51-8400-9645-77F9-25CB5AB01AF4}"/>
              </a:ext>
            </a:extLst>
          </xdr:cNvPr>
          <xdr:cNvCxnSpPr/>
        </xdr:nvCxnSpPr>
        <xdr:spPr>
          <a:xfrm>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22" name="Gerader Verbinder 4421">
            <a:extLst>
              <a:ext uri="{FF2B5EF4-FFF2-40B4-BE49-F238E27FC236}">
                <a16:creationId xmlns:a16="http://schemas.microsoft.com/office/drawing/2014/main" id="{63D0332B-9427-D424-85CA-DB39D6F41745}"/>
              </a:ext>
            </a:extLst>
          </xdr:cNvPr>
          <xdr:cNvCxnSpPr/>
        </xdr:nvCxnSpPr>
        <xdr:spPr>
          <a:xfrm flipH="1">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4432" name="Cross_H19">
          <a:extLst>
            <a:ext uri="{FF2B5EF4-FFF2-40B4-BE49-F238E27FC236}">
              <a16:creationId xmlns:a16="http://schemas.microsoft.com/office/drawing/2014/main" id="{CF9F73FD-C29B-554A-BD28-D377838B7859}"/>
            </a:ext>
          </a:extLst>
        </xdr:cNvPr>
        <xdr:cNvGrpSpPr/>
      </xdr:nvGrpSpPr>
      <xdr:grpSpPr>
        <a:xfrm>
          <a:off x="4610100" y="2286000"/>
          <a:ext cx="594360" cy="228600"/>
          <a:chOff x="4610100" y="3627120"/>
          <a:chExt cx="594360" cy="228600"/>
        </a:xfrm>
      </xdr:grpSpPr>
      <xdr:cxnSp macro="">
        <xdr:nvCxnSpPr>
          <xdr:cNvPr id="4430" name="Gerader Verbinder 4429">
            <a:extLst>
              <a:ext uri="{FF2B5EF4-FFF2-40B4-BE49-F238E27FC236}">
                <a16:creationId xmlns:a16="http://schemas.microsoft.com/office/drawing/2014/main" id="{0AA27939-B131-8DEE-B063-415898756532}"/>
              </a:ext>
            </a:extLst>
          </xdr:cNvPr>
          <xdr:cNvCxnSpPr/>
        </xdr:nvCxnSpPr>
        <xdr:spPr>
          <a:xfrm>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31" name="Gerader Verbinder 4430">
            <a:extLst>
              <a:ext uri="{FF2B5EF4-FFF2-40B4-BE49-F238E27FC236}">
                <a16:creationId xmlns:a16="http://schemas.microsoft.com/office/drawing/2014/main" id="{A7505A7F-E5AC-94D3-A96E-F14C804EB72D}"/>
              </a:ext>
            </a:extLst>
          </xdr:cNvPr>
          <xdr:cNvCxnSpPr/>
        </xdr:nvCxnSpPr>
        <xdr:spPr>
          <a:xfrm flipH="1">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4441" name="Cross_H22">
          <a:extLst>
            <a:ext uri="{FF2B5EF4-FFF2-40B4-BE49-F238E27FC236}">
              <a16:creationId xmlns:a16="http://schemas.microsoft.com/office/drawing/2014/main" id="{C4BDF605-FD1F-854C-8C1C-A0E7367368F7}"/>
            </a:ext>
          </a:extLst>
        </xdr:cNvPr>
        <xdr:cNvGrpSpPr/>
      </xdr:nvGrpSpPr>
      <xdr:grpSpPr>
        <a:xfrm>
          <a:off x="4610100" y="2514600"/>
          <a:ext cx="594360" cy="228600"/>
          <a:chOff x="4610100" y="4191000"/>
          <a:chExt cx="594360" cy="228600"/>
        </a:xfrm>
      </xdr:grpSpPr>
      <xdr:cxnSp macro="">
        <xdr:nvCxnSpPr>
          <xdr:cNvPr id="4439" name="Gerader Verbinder 4438">
            <a:extLst>
              <a:ext uri="{FF2B5EF4-FFF2-40B4-BE49-F238E27FC236}">
                <a16:creationId xmlns:a16="http://schemas.microsoft.com/office/drawing/2014/main" id="{7F6F1825-424D-A12A-8E38-7EEDD681C2AA}"/>
              </a:ext>
            </a:extLst>
          </xdr:cNvPr>
          <xdr:cNvCxnSpPr/>
        </xdr:nvCxnSpPr>
        <xdr:spPr>
          <a:xfrm>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0" name="Gerader Verbinder 4439">
            <a:extLst>
              <a:ext uri="{FF2B5EF4-FFF2-40B4-BE49-F238E27FC236}">
                <a16:creationId xmlns:a16="http://schemas.microsoft.com/office/drawing/2014/main" id="{85D037AD-C9D5-0197-B151-62544F194C6B}"/>
              </a:ext>
            </a:extLst>
          </xdr:cNvPr>
          <xdr:cNvCxnSpPr/>
        </xdr:nvCxnSpPr>
        <xdr:spPr>
          <a:xfrm flipH="1">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4450" name="Cross_H31">
          <a:extLst>
            <a:ext uri="{FF2B5EF4-FFF2-40B4-BE49-F238E27FC236}">
              <a16:creationId xmlns:a16="http://schemas.microsoft.com/office/drawing/2014/main" id="{F5B4EEEC-9496-DDC9-35E2-50AA658D9911}"/>
            </a:ext>
          </a:extLst>
        </xdr:cNvPr>
        <xdr:cNvGrpSpPr/>
      </xdr:nvGrpSpPr>
      <xdr:grpSpPr>
        <a:xfrm>
          <a:off x="4610100" y="3200400"/>
          <a:ext cx="594360" cy="228600"/>
          <a:chOff x="4610100" y="5882640"/>
          <a:chExt cx="594360" cy="228600"/>
        </a:xfrm>
      </xdr:grpSpPr>
      <xdr:cxnSp macro="">
        <xdr:nvCxnSpPr>
          <xdr:cNvPr id="4448" name="Gerader Verbinder 4447">
            <a:extLst>
              <a:ext uri="{FF2B5EF4-FFF2-40B4-BE49-F238E27FC236}">
                <a16:creationId xmlns:a16="http://schemas.microsoft.com/office/drawing/2014/main" id="{D4AF95F9-020F-82C8-0800-A6F23E53DFA6}"/>
              </a:ext>
            </a:extLst>
          </xdr:cNvPr>
          <xdr:cNvCxnSpPr/>
        </xdr:nvCxnSpPr>
        <xdr:spPr>
          <a:xfrm>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9" name="Gerader Verbinder 4448">
            <a:extLst>
              <a:ext uri="{FF2B5EF4-FFF2-40B4-BE49-F238E27FC236}">
                <a16:creationId xmlns:a16="http://schemas.microsoft.com/office/drawing/2014/main" id="{63516D61-A57B-6DA2-462F-E5431F5FA02A}"/>
              </a:ext>
            </a:extLst>
          </xdr:cNvPr>
          <xdr:cNvCxnSpPr/>
        </xdr:nvCxnSpPr>
        <xdr:spPr>
          <a:xfrm flipH="1">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4459" name="Cross_H34">
          <a:extLst>
            <a:ext uri="{FF2B5EF4-FFF2-40B4-BE49-F238E27FC236}">
              <a16:creationId xmlns:a16="http://schemas.microsoft.com/office/drawing/2014/main" id="{A86BB377-FD51-9ED0-069D-FFEB723FBF15}"/>
            </a:ext>
          </a:extLst>
        </xdr:cNvPr>
        <xdr:cNvGrpSpPr/>
      </xdr:nvGrpSpPr>
      <xdr:grpSpPr>
        <a:xfrm>
          <a:off x="4610100" y="3429000"/>
          <a:ext cx="594360" cy="228600"/>
          <a:chOff x="4610100" y="6446520"/>
          <a:chExt cx="594360" cy="228600"/>
        </a:xfrm>
      </xdr:grpSpPr>
      <xdr:cxnSp macro="">
        <xdr:nvCxnSpPr>
          <xdr:cNvPr id="4457" name="Gerader Verbinder 4456">
            <a:extLst>
              <a:ext uri="{FF2B5EF4-FFF2-40B4-BE49-F238E27FC236}">
                <a16:creationId xmlns:a16="http://schemas.microsoft.com/office/drawing/2014/main" id="{E0D0BDD8-04B4-A606-CA2F-9D3FC36D05A5}"/>
              </a:ext>
            </a:extLst>
          </xdr:cNvPr>
          <xdr:cNvCxnSpPr/>
        </xdr:nvCxnSpPr>
        <xdr:spPr>
          <a:xfrm>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58" name="Gerader Verbinder 4457">
            <a:extLst>
              <a:ext uri="{FF2B5EF4-FFF2-40B4-BE49-F238E27FC236}">
                <a16:creationId xmlns:a16="http://schemas.microsoft.com/office/drawing/2014/main" id="{C07874AE-7B9E-7ACB-3759-CF88D8F0B176}"/>
              </a:ext>
            </a:extLst>
          </xdr:cNvPr>
          <xdr:cNvCxnSpPr/>
        </xdr:nvCxnSpPr>
        <xdr:spPr>
          <a:xfrm flipH="1">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4468" name="Cross_H37">
          <a:extLst>
            <a:ext uri="{FF2B5EF4-FFF2-40B4-BE49-F238E27FC236}">
              <a16:creationId xmlns:a16="http://schemas.microsoft.com/office/drawing/2014/main" id="{34C53A4B-E229-9D20-B47F-19A34F56C47A}"/>
            </a:ext>
          </a:extLst>
        </xdr:cNvPr>
        <xdr:cNvGrpSpPr/>
      </xdr:nvGrpSpPr>
      <xdr:grpSpPr>
        <a:xfrm>
          <a:off x="4610100" y="3657600"/>
          <a:ext cx="594360" cy="228600"/>
          <a:chOff x="4610100" y="7010400"/>
          <a:chExt cx="594360" cy="228600"/>
        </a:xfrm>
      </xdr:grpSpPr>
      <xdr:cxnSp macro="">
        <xdr:nvCxnSpPr>
          <xdr:cNvPr id="4466" name="Gerader Verbinder 4465">
            <a:extLst>
              <a:ext uri="{FF2B5EF4-FFF2-40B4-BE49-F238E27FC236}">
                <a16:creationId xmlns:a16="http://schemas.microsoft.com/office/drawing/2014/main" id="{9FE94B9E-844E-5A28-19FD-4223C1881425}"/>
              </a:ext>
            </a:extLst>
          </xdr:cNvPr>
          <xdr:cNvCxnSpPr/>
        </xdr:nvCxnSpPr>
        <xdr:spPr>
          <a:xfrm>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67" name="Gerader Verbinder 4466">
            <a:extLst>
              <a:ext uri="{FF2B5EF4-FFF2-40B4-BE49-F238E27FC236}">
                <a16:creationId xmlns:a16="http://schemas.microsoft.com/office/drawing/2014/main" id="{BA5E69A3-6877-FE27-0009-A820E095B996}"/>
              </a:ext>
            </a:extLst>
          </xdr:cNvPr>
          <xdr:cNvCxnSpPr/>
        </xdr:nvCxnSpPr>
        <xdr:spPr>
          <a:xfrm flipH="1">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4477" name="Cross_H40">
          <a:extLst>
            <a:ext uri="{FF2B5EF4-FFF2-40B4-BE49-F238E27FC236}">
              <a16:creationId xmlns:a16="http://schemas.microsoft.com/office/drawing/2014/main" id="{256EC1D0-09F3-3839-655D-B9C864204CF1}"/>
            </a:ext>
          </a:extLst>
        </xdr:cNvPr>
        <xdr:cNvGrpSpPr/>
      </xdr:nvGrpSpPr>
      <xdr:grpSpPr>
        <a:xfrm>
          <a:off x="4610100" y="3886200"/>
          <a:ext cx="594360" cy="228600"/>
          <a:chOff x="4610100" y="7574280"/>
          <a:chExt cx="594360" cy="228600"/>
        </a:xfrm>
      </xdr:grpSpPr>
      <xdr:cxnSp macro="">
        <xdr:nvCxnSpPr>
          <xdr:cNvPr id="4475" name="Gerader Verbinder 4474">
            <a:extLst>
              <a:ext uri="{FF2B5EF4-FFF2-40B4-BE49-F238E27FC236}">
                <a16:creationId xmlns:a16="http://schemas.microsoft.com/office/drawing/2014/main" id="{572294C6-E734-10E9-2EA9-271248C02069}"/>
              </a:ext>
            </a:extLst>
          </xdr:cNvPr>
          <xdr:cNvCxnSpPr/>
        </xdr:nvCxnSpPr>
        <xdr:spPr>
          <a:xfrm>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6" name="Gerader Verbinder 4475">
            <a:extLst>
              <a:ext uri="{FF2B5EF4-FFF2-40B4-BE49-F238E27FC236}">
                <a16:creationId xmlns:a16="http://schemas.microsoft.com/office/drawing/2014/main" id="{8D9AC5E8-79B9-BE92-7DDD-B4D3062D4E61}"/>
              </a:ext>
            </a:extLst>
          </xdr:cNvPr>
          <xdr:cNvCxnSpPr/>
        </xdr:nvCxnSpPr>
        <xdr:spPr>
          <a:xfrm flipH="1">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4486" name="Cross_H52">
          <a:extLst>
            <a:ext uri="{FF2B5EF4-FFF2-40B4-BE49-F238E27FC236}">
              <a16:creationId xmlns:a16="http://schemas.microsoft.com/office/drawing/2014/main" id="{C10FCDE9-4134-BC1E-7365-56A8C13A1771}"/>
            </a:ext>
          </a:extLst>
        </xdr:cNvPr>
        <xdr:cNvGrpSpPr/>
      </xdr:nvGrpSpPr>
      <xdr:grpSpPr>
        <a:xfrm>
          <a:off x="4610100" y="4800600"/>
          <a:ext cx="594360" cy="228600"/>
          <a:chOff x="4610100" y="9829800"/>
          <a:chExt cx="594360" cy="228600"/>
        </a:xfrm>
      </xdr:grpSpPr>
      <xdr:cxnSp macro="">
        <xdr:nvCxnSpPr>
          <xdr:cNvPr id="4484" name="Gerader Verbinder 4483">
            <a:extLst>
              <a:ext uri="{FF2B5EF4-FFF2-40B4-BE49-F238E27FC236}">
                <a16:creationId xmlns:a16="http://schemas.microsoft.com/office/drawing/2014/main" id="{A926027B-9C32-4D68-09C7-1E9737E0D8D3}"/>
              </a:ext>
            </a:extLst>
          </xdr:cNvPr>
          <xdr:cNvCxnSpPr/>
        </xdr:nvCxnSpPr>
        <xdr:spPr>
          <a:xfrm>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85" name="Gerader Verbinder 4484">
            <a:extLst>
              <a:ext uri="{FF2B5EF4-FFF2-40B4-BE49-F238E27FC236}">
                <a16:creationId xmlns:a16="http://schemas.microsoft.com/office/drawing/2014/main" id="{A32E5E27-8784-D2E4-A1A0-00AB5333E7E8}"/>
              </a:ext>
            </a:extLst>
          </xdr:cNvPr>
          <xdr:cNvCxnSpPr/>
        </xdr:nvCxnSpPr>
        <xdr:spPr>
          <a:xfrm flipH="1">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4495" name="Cross_H55">
          <a:extLst>
            <a:ext uri="{FF2B5EF4-FFF2-40B4-BE49-F238E27FC236}">
              <a16:creationId xmlns:a16="http://schemas.microsoft.com/office/drawing/2014/main" id="{F5572315-018B-CD0F-0C83-0D45C28B6FE4}"/>
            </a:ext>
          </a:extLst>
        </xdr:cNvPr>
        <xdr:cNvGrpSpPr/>
      </xdr:nvGrpSpPr>
      <xdr:grpSpPr>
        <a:xfrm>
          <a:off x="4610100" y="5029200"/>
          <a:ext cx="594360" cy="228600"/>
          <a:chOff x="4610100" y="10393680"/>
          <a:chExt cx="594360" cy="228600"/>
        </a:xfrm>
      </xdr:grpSpPr>
      <xdr:cxnSp macro="">
        <xdr:nvCxnSpPr>
          <xdr:cNvPr id="4493" name="Gerader Verbinder 4492">
            <a:extLst>
              <a:ext uri="{FF2B5EF4-FFF2-40B4-BE49-F238E27FC236}">
                <a16:creationId xmlns:a16="http://schemas.microsoft.com/office/drawing/2014/main" id="{096A8975-0D20-F4D8-74B5-348FDAEBBB39}"/>
              </a:ext>
            </a:extLst>
          </xdr:cNvPr>
          <xdr:cNvCxnSpPr/>
        </xdr:nvCxnSpPr>
        <xdr:spPr>
          <a:xfrm>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94" name="Gerader Verbinder 4493">
            <a:extLst>
              <a:ext uri="{FF2B5EF4-FFF2-40B4-BE49-F238E27FC236}">
                <a16:creationId xmlns:a16="http://schemas.microsoft.com/office/drawing/2014/main" id="{2661A2F0-A555-0051-20AB-A05F443749A8}"/>
              </a:ext>
            </a:extLst>
          </xdr:cNvPr>
          <xdr:cNvCxnSpPr/>
        </xdr:nvCxnSpPr>
        <xdr:spPr>
          <a:xfrm flipH="1">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4504" name="Cross_H64">
          <a:extLst>
            <a:ext uri="{FF2B5EF4-FFF2-40B4-BE49-F238E27FC236}">
              <a16:creationId xmlns:a16="http://schemas.microsoft.com/office/drawing/2014/main" id="{883FAC4D-EA96-FC7F-E578-81358222594A}"/>
            </a:ext>
          </a:extLst>
        </xdr:cNvPr>
        <xdr:cNvGrpSpPr/>
      </xdr:nvGrpSpPr>
      <xdr:grpSpPr>
        <a:xfrm>
          <a:off x="4610100" y="5715000"/>
          <a:ext cx="594360" cy="228600"/>
          <a:chOff x="4610100" y="12085320"/>
          <a:chExt cx="594360" cy="228600"/>
        </a:xfrm>
      </xdr:grpSpPr>
      <xdr:cxnSp macro="">
        <xdr:nvCxnSpPr>
          <xdr:cNvPr id="4502" name="Gerader Verbinder 4501">
            <a:extLst>
              <a:ext uri="{FF2B5EF4-FFF2-40B4-BE49-F238E27FC236}">
                <a16:creationId xmlns:a16="http://schemas.microsoft.com/office/drawing/2014/main" id="{DA862C2E-AAC2-978A-2D88-133A72419CFC}"/>
              </a:ext>
            </a:extLst>
          </xdr:cNvPr>
          <xdr:cNvCxnSpPr/>
        </xdr:nvCxnSpPr>
        <xdr:spPr>
          <a:xfrm>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3" name="Gerader Verbinder 4502">
            <a:extLst>
              <a:ext uri="{FF2B5EF4-FFF2-40B4-BE49-F238E27FC236}">
                <a16:creationId xmlns:a16="http://schemas.microsoft.com/office/drawing/2014/main" id="{09023204-0438-E9E1-C32A-C1DA58048145}"/>
              </a:ext>
            </a:extLst>
          </xdr:cNvPr>
          <xdr:cNvCxnSpPr/>
        </xdr:nvCxnSpPr>
        <xdr:spPr>
          <a:xfrm flipH="1">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4513" name="Cross_H67">
          <a:extLst>
            <a:ext uri="{FF2B5EF4-FFF2-40B4-BE49-F238E27FC236}">
              <a16:creationId xmlns:a16="http://schemas.microsoft.com/office/drawing/2014/main" id="{823D6359-073D-0E28-C79A-9E67EAE1C9F4}"/>
            </a:ext>
          </a:extLst>
        </xdr:cNvPr>
        <xdr:cNvGrpSpPr/>
      </xdr:nvGrpSpPr>
      <xdr:grpSpPr>
        <a:xfrm>
          <a:off x="4610100" y="5943600"/>
          <a:ext cx="594360" cy="228600"/>
          <a:chOff x="4610100" y="12649200"/>
          <a:chExt cx="594360" cy="228600"/>
        </a:xfrm>
      </xdr:grpSpPr>
      <xdr:cxnSp macro="">
        <xdr:nvCxnSpPr>
          <xdr:cNvPr id="4511" name="Gerader Verbinder 4510">
            <a:extLst>
              <a:ext uri="{FF2B5EF4-FFF2-40B4-BE49-F238E27FC236}">
                <a16:creationId xmlns:a16="http://schemas.microsoft.com/office/drawing/2014/main" id="{A50FD7F5-F160-AFE6-A89C-47227667016D}"/>
              </a:ext>
            </a:extLst>
          </xdr:cNvPr>
          <xdr:cNvCxnSpPr/>
        </xdr:nvCxnSpPr>
        <xdr:spPr>
          <a:xfrm>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12" name="Gerader Verbinder 4511">
            <a:extLst>
              <a:ext uri="{FF2B5EF4-FFF2-40B4-BE49-F238E27FC236}">
                <a16:creationId xmlns:a16="http://schemas.microsoft.com/office/drawing/2014/main" id="{DE5D8EB8-F856-0CF9-5066-E1590DE3AC8C}"/>
              </a:ext>
            </a:extLst>
          </xdr:cNvPr>
          <xdr:cNvCxnSpPr/>
        </xdr:nvCxnSpPr>
        <xdr:spPr>
          <a:xfrm flipH="1">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1</xdr:rowOff>
    </xdr:from>
    <xdr:to>
      <xdr:col>8</xdr:col>
      <xdr:colOff>0</xdr:colOff>
      <xdr:row>29</xdr:row>
      <xdr:rowOff>0</xdr:rowOff>
    </xdr:to>
    <xdr:grpSp>
      <xdr:nvGrpSpPr>
        <xdr:cNvPr id="4522" name="Cross_H73">
          <a:extLst>
            <a:ext uri="{FF2B5EF4-FFF2-40B4-BE49-F238E27FC236}">
              <a16:creationId xmlns:a16="http://schemas.microsoft.com/office/drawing/2014/main" id="{DB3FE20D-D3F0-EF3D-E9EE-887EF688014C}"/>
            </a:ext>
          </a:extLst>
        </xdr:cNvPr>
        <xdr:cNvGrpSpPr/>
      </xdr:nvGrpSpPr>
      <xdr:grpSpPr>
        <a:xfrm>
          <a:off x="4610100" y="6400801"/>
          <a:ext cx="594360" cy="228599"/>
          <a:chOff x="4610100" y="13776961"/>
          <a:chExt cx="594360" cy="228600"/>
        </a:xfrm>
      </xdr:grpSpPr>
      <xdr:cxnSp macro="">
        <xdr:nvCxnSpPr>
          <xdr:cNvPr id="4520" name="Gerader Verbinder 4519">
            <a:extLst>
              <a:ext uri="{FF2B5EF4-FFF2-40B4-BE49-F238E27FC236}">
                <a16:creationId xmlns:a16="http://schemas.microsoft.com/office/drawing/2014/main" id="{8B138846-3B6A-27BD-B963-FD5493B91B63}"/>
              </a:ext>
            </a:extLst>
          </xdr:cNvPr>
          <xdr:cNvCxnSpPr/>
        </xdr:nvCxnSpPr>
        <xdr:spPr>
          <a:xfrm>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21" name="Gerader Verbinder 4520">
            <a:extLst>
              <a:ext uri="{FF2B5EF4-FFF2-40B4-BE49-F238E27FC236}">
                <a16:creationId xmlns:a16="http://schemas.microsoft.com/office/drawing/2014/main" id="{127951F3-3654-A6D5-AD1A-93EE592B4175}"/>
              </a:ext>
            </a:extLst>
          </xdr:cNvPr>
          <xdr:cNvCxnSpPr/>
        </xdr:nvCxnSpPr>
        <xdr:spPr>
          <a:xfrm flipH="1">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2.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9">
    <tabColor rgb="FF00B0F0"/>
  </sheetPr>
  <dimension ref="B1:N100"/>
  <sheetViews>
    <sheetView workbookViewId="0"/>
  </sheetViews>
  <sheetFormatPr baseColWidth="10" defaultColWidth="11.5546875" defaultRowHeight="13.2" x14ac:dyDescent="0.25"/>
  <cols>
    <col min="1" max="2" width="3.44140625" style="98" customWidth="1"/>
    <col min="3" max="3" width="25.6640625" style="98" customWidth="1"/>
    <col min="4" max="10" width="11.6640625" style="98" customWidth="1"/>
    <col min="11" max="13" width="8.6640625" style="98" customWidth="1"/>
    <col min="14" max="14" width="8.6640625" style="98" hidden="1" customWidth="1"/>
    <col min="15" max="16384" width="11.5546875" style="98"/>
  </cols>
  <sheetData>
    <row r="1" spans="2:14" ht="18" customHeight="1" thickBot="1" x14ac:dyDescent="0.3"/>
    <row r="2" spans="2:14" ht="18" customHeight="1" x14ac:dyDescent="0.25">
      <c r="B2" s="99" t="str">
        <f>Config!F2&amp;" "&amp;YEAR(Config!G24)</f>
        <v>Mathe Abitur 2026</v>
      </c>
      <c r="C2" s="100"/>
      <c r="D2" s="100"/>
      <c r="E2" s="100"/>
      <c r="F2" s="101"/>
      <c r="G2" s="101"/>
      <c r="H2" s="101"/>
      <c r="I2" s="101"/>
      <c r="J2" s="101"/>
      <c r="K2" s="101"/>
      <c r="L2" s="101"/>
      <c r="M2" s="102" t="str">
        <f>"Kurs "&amp;Config!G26</f>
        <v>Kurs K1</v>
      </c>
    </row>
    <row r="3" spans="2:14" ht="18" customHeight="1" x14ac:dyDescent="0.25">
      <c r="B3" s="103" t="s">
        <v>83</v>
      </c>
      <c r="C3" s="104"/>
      <c r="D3" s="104"/>
      <c r="E3" s="104"/>
      <c r="F3" s="104"/>
      <c r="G3" s="104"/>
      <c r="H3" s="104"/>
      <c r="I3" s="104"/>
      <c r="J3" s="104"/>
      <c r="K3" s="104"/>
      <c r="L3" s="104"/>
      <c r="M3" s="105"/>
    </row>
    <row r="4" spans="2:14" ht="18" customHeight="1" thickBot="1" x14ac:dyDescent="0.3">
      <c r="B4" s="103"/>
      <c r="C4" s="104"/>
      <c r="D4" s="106"/>
      <c r="E4" s="106"/>
      <c r="F4" s="106"/>
      <c r="G4" s="106"/>
      <c r="H4" s="106"/>
      <c r="I4" s="106"/>
      <c r="J4" s="106"/>
      <c r="K4" s="106"/>
      <c r="L4" s="104"/>
      <c r="M4" s="105"/>
    </row>
    <row r="5" spans="2:14" ht="18" customHeight="1" thickBot="1" x14ac:dyDescent="0.3">
      <c r="B5" s="108"/>
      <c r="C5" s="110"/>
      <c r="D5" s="114" t="s">
        <v>9</v>
      </c>
      <c r="E5" s="114" t="s">
        <v>10</v>
      </c>
      <c r="F5" s="114" t="s">
        <v>11</v>
      </c>
      <c r="G5" s="114" t="s">
        <v>12</v>
      </c>
      <c r="H5" s="114" t="s">
        <v>13</v>
      </c>
      <c r="I5" s="114" t="s">
        <v>14</v>
      </c>
      <c r="J5" s="114" t="s">
        <v>112</v>
      </c>
      <c r="K5" s="126" t="s">
        <v>82</v>
      </c>
      <c r="L5" s="125"/>
      <c r="M5" s="127"/>
    </row>
    <row r="6" spans="2:14" ht="18" customHeight="1" thickBot="1" x14ac:dyDescent="0.3">
      <c r="B6" s="109"/>
      <c r="C6" s="111" t="s">
        <v>81</v>
      </c>
      <c r="D6" s="124">
        <f>Config!G21</f>
        <v>15</v>
      </c>
      <c r="E6" s="124">
        <f>Config!I21</f>
        <v>30</v>
      </c>
      <c r="F6" s="124">
        <f>Config!K21</f>
        <v>5</v>
      </c>
      <c r="G6" s="124">
        <f>Config!M21</f>
        <v>17</v>
      </c>
      <c r="H6" s="124">
        <f>Config!O21</f>
        <v>5</v>
      </c>
      <c r="I6" s="124">
        <f>Config!Q21</f>
        <v>18</v>
      </c>
      <c r="J6" s="124">
        <f>Config!S21</f>
        <v>10</v>
      </c>
      <c r="K6" s="142">
        <f t="shared" ref="K6:K29" si="0">SUM(D6:J6)</f>
        <v>100</v>
      </c>
      <c r="L6" s="112" t="s">
        <v>0</v>
      </c>
      <c r="M6" s="128" t="s">
        <v>1</v>
      </c>
      <c r="N6" s="98" t="s">
        <v>84</v>
      </c>
    </row>
    <row r="7" spans="2:14" ht="18" customHeight="1" thickBot="1" x14ac:dyDescent="0.3">
      <c r="B7" s="138">
        <v>1</v>
      </c>
      <c r="C7" s="135" t="str">
        <f>Config!C5&amp;", "&amp;Config!D5</f>
        <v>Höfer, Simon</v>
      </c>
      <c r="D7" s="130">
        <f>VLOOKUP(C7,'Analysis A'!PupilBlock,8,0)</f>
        <v>11</v>
      </c>
      <c r="E7" s="130">
        <f>VLOOKUP(C7,'Analysis B'!PupilBlock,12,0)</f>
        <v>22.5</v>
      </c>
      <c r="F7" s="130">
        <f>VLOOKUP(C7,'Stochastik A'!PupilBlock,3,0)</f>
        <v>2.5</v>
      </c>
      <c r="G7" s="130">
        <f>VLOOKUP(C7,'Stochastik B'!PupilBlock,7,0)</f>
        <v>13</v>
      </c>
      <c r="H7" s="130">
        <f>VLOOKUP(C7,'Geometrie A'!PupilBlock,4,0)</f>
        <v>0</v>
      </c>
      <c r="I7" s="130">
        <f>VLOOKUP(C7,'Geometrie B'!PupilBlock,7,0)</f>
        <v>9</v>
      </c>
      <c r="J7" s="130">
        <f>VLOOKUP(C7,Wahlaufgaben!PupilBlock,7,0)</f>
        <v>7</v>
      </c>
      <c r="K7" s="117">
        <f t="shared" si="0"/>
        <v>65</v>
      </c>
      <c r="L7" s="145">
        <f>VLOOKUP(VALUE(K7),Notenspiegel!$B$3:$C$302,2,0)</f>
        <v>9</v>
      </c>
      <c r="M7" s="146" t="str">
        <f>VLOOKUP(VALUE(K7),Notenspiegel!$B$3:$D$302,3,0)</f>
        <v>3+</v>
      </c>
      <c r="N7" s="98" t="str">
        <f>VLOOKUP(VALUE(K7),Notenspiegel!$B$3:$E$302,4,0)</f>
        <v>--</v>
      </c>
    </row>
    <row r="8" spans="2:14" ht="18" customHeight="1" thickBot="1" x14ac:dyDescent="0.3">
      <c r="B8" s="139">
        <v>2</v>
      </c>
      <c r="C8" s="116" t="str">
        <f>Config!C6&amp;", "&amp;Config!D6</f>
        <v>Töpfer, Lilian</v>
      </c>
      <c r="D8" s="131">
        <f>VLOOKUP(C8,'Analysis A'!PupilBlock,8,0)</f>
        <v>9</v>
      </c>
      <c r="E8" s="131">
        <f>VLOOKUP(C8,'Analysis B'!PupilBlock,12,0)</f>
        <v>17.5</v>
      </c>
      <c r="F8" s="131">
        <f>VLOOKUP(C8,'Stochastik A'!PupilBlock,3,0)</f>
        <v>5</v>
      </c>
      <c r="G8" s="131">
        <f>VLOOKUP(C8,'Stochastik B'!PupilBlock,7,0)</f>
        <v>7</v>
      </c>
      <c r="H8" s="131">
        <f>VLOOKUP(C8,'Geometrie A'!PupilBlock,4,0)</f>
        <v>3.5</v>
      </c>
      <c r="I8" s="131">
        <f>VLOOKUP(C8,'Geometrie B'!PupilBlock,7,0)</f>
        <v>9</v>
      </c>
      <c r="J8" s="131">
        <f>VLOOKUP(C8,Wahlaufgaben!PupilBlock,7,0)</f>
        <v>8</v>
      </c>
      <c r="K8" s="132">
        <f t="shared" si="0"/>
        <v>59</v>
      </c>
      <c r="L8" s="147">
        <f>VLOOKUP(VALUE(K8),Notenspiegel!$B$3:$C$302,2,0)</f>
        <v>7</v>
      </c>
      <c r="M8" s="148" t="str">
        <f>VLOOKUP(VALUE(K8),Notenspiegel!$B$3:$D$302,3,0)</f>
        <v>3-</v>
      </c>
      <c r="N8" s="98" t="str">
        <f>VLOOKUP(VALUE(K8),Notenspiegel!$B$3:$E$302,4,0)</f>
        <v>+</v>
      </c>
    </row>
    <row r="9" spans="2:14" ht="18" customHeight="1" thickBot="1" x14ac:dyDescent="0.3">
      <c r="B9" s="140">
        <v>3</v>
      </c>
      <c r="C9" s="115" t="str">
        <f>Config!C7&amp;", "&amp;Config!D7</f>
        <v>Fleischmann, Leonie</v>
      </c>
      <c r="D9" s="129">
        <f>VLOOKUP(C9,'Analysis A'!PupilBlock,8,0)</f>
        <v>10.5</v>
      </c>
      <c r="E9" s="129">
        <f>VLOOKUP(C9,'Analysis B'!PupilBlock,12,0)</f>
        <v>11.5</v>
      </c>
      <c r="F9" s="129">
        <f>VLOOKUP(C9,'Stochastik A'!PupilBlock,3,0)</f>
        <v>2.5</v>
      </c>
      <c r="G9" s="129">
        <f>VLOOKUP(C9,'Stochastik B'!PupilBlock,7,0)</f>
        <v>8</v>
      </c>
      <c r="H9" s="129">
        <f>VLOOKUP(C9,'Geometrie A'!PupilBlock,4,0)</f>
        <v>4.5</v>
      </c>
      <c r="I9" s="129">
        <f>VLOOKUP(C9,'Geometrie B'!PupilBlock,7,0)</f>
        <v>14</v>
      </c>
      <c r="J9" s="129">
        <f>VLOOKUP(C9,Wahlaufgaben!PupilBlock,7,0)</f>
        <v>8</v>
      </c>
      <c r="K9" s="117">
        <f t="shared" si="0"/>
        <v>59</v>
      </c>
      <c r="L9" s="147">
        <f>VLOOKUP(VALUE(K9),Notenspiegel!$B$3:$C$302,2,0)</f>
        <v>7</v>
      </c>
      <c r="M9" s="148" t="str">
        <f>VLOOKUP(VALUE(K9),Notenspiegel!$B$3:$D$302,3,0)</f>
        <v>3-</v>
      </c>
      <c r="N9" s="98" t="str">
        <f>VLOOKUP(VALUE(K9),Notenspiegel!$B$3:$E$302,4,0)</f>
        <v>+</v>
      </c>
    </row>
    <row r="10" spans="2:14" ht="18" customHeight="1" thickBot="1" x14ac:dyDescent="0.3">
      <c r="B10" s="139">
        <v>4</v>
      </c>
      <c r="C10" s="116" t="str">
        <f>Config!C8&amp;", "&amp;Config!D8</f>
        <v>Drescher, Cedric</v>
      </c>
      <c r="D10" s="131">
        <f>VLOOKUP(C10,'Analysis A'!PupilBlock,8,0)</f>
        <v>12.5</v>
      </c>
      <c r="E10" s="131">
        <f>VLOOKUP(C10,'Analysis B'!PupilBlock,12,0)</f>
        <v>23</v>
      </c>
      <c r="F10" s="131">
        <f>VLOOKUP(C10,'Stochastik A'!PupilBlock,3,0)</f>
        <v>2.5</v>
      </c>
      <c r="G10" s="131">
        <f>VLOOKUP(C10,'Stochastik B'!PupilBlock,7,0)</f>
        <v>9</v>
      </c>
      <c r="H10" s="131">
        <f>VLOOKUP(C10,'Geometrie A'!PupilBlock,4,0)</f>
        <v>3.5</v>
      </c>
      <c r="I10" s="131">
        <f>VLOOKUP(C10,'Geometrie B'!PupilBlock,7,0)</f>
        <v>13.5</v>
      </c>
      <c r="J10" s="131">
        <f>VLOOKUP(C10,Wahlaufgaben!PupilBlock,7,0)</f>
        <v>6</v>
      </c>
      <c r="K10" s="132">
        <f t="shared" si="0"/>
        <v>70</v>
      </c>
      <c r="L10" s="145">
        <f>VLOOKUP(VALUE(K10),Notenspiegel!$B$3:$C$302,2,0)</f>
        <v>10</v>
      </c>
      <c r="M10" s="146" t="str">
        <f>VLOOKUP(VALUE(K10),Notenspiegel!$B$3:$D$302,3,0)</f>
        <v>2-</v>
      </c>
      <c r="N10" s="98" t="str">
        <f>VLOOKUP(VALUE(K10),Notenspiegel!$B$3:$E$302,4,0)</f>
        <v>--</v>
      </c>
    </row>
    <row r="11" spans="2:14" ht="18" customHeight="1" thickBot="1" x14ac:dyDescent="0.3">
      <c r="B11" s="140">
        <v>5</v>
      </c>
      <c r="C11" s="115" t="str">
        <f>Config!C9&amp;", "&amp;Config!D9</f>
        <v>Baumgarten, Annabell</v>
      </c>
      <c r="D11" s="129">
        <f>VLOOKUP(C11,'Analysis A'!PupilBlock,8,0)</f>
        <v>14</v>
      </c>
      <c r="E11" s="129">
        <f>VLOOKUP(C11,'Analysis B'!PupilBlock,12,0)</f>
        <v>21.5</v>
      </c>
      <c r="F11" s="129">
        <f>VLOOKUP(C11,'Stochastik A'!PupilBlock,3,0)</f>
        <v>2.5</v>
      </c>
      <c r="G11" s="129">
        <f>VLOOKUP(C11,'Stochastik B'!PupilBlock,7,0)</f>
        <v>4.5</v>
      </c>
      <c r="H11" s="129">
        <f>VLOOKUP(C11,'Geometrie A'!PupilBlock,4,0)</f>
        <v>3.5</v>
      </c>
      <c r="I11" s="129">
        <f>VLOOKUP(C11,'Geometrie B'!PupilBlock,7,0)</f>
        <v>12</v>
      </c>
      <c r="J11" s="129">
        <f>VLOOKUP(C11,Wahlaufgaben!PupilBlock,7,0)</f>
        <v>6</v>
      </c>
      <c r="K11" s="117">
        <f t="shared" si="0"/>
        <v>64</v>
      </c>
      <c r="L11" s="147">
        <f>VLOOKUP(VALUE(K11),Notenspiegel!$B$3:$C$302,2,0)</f>
        <v>8</v>
      </c>
      <c r="M11" s="148" t="str">
        <f>VLOOKUP(VALUE(K11),Notenspiegel!$B$3:$D$302,3,0)</f>
        <v>3</v>
      </c>
      <c r="N11" s="98" t="str">
        <f>VLOOKUP(VALUE(K11),Notenspiegel!$B$3:$E$302,4,0)</f>
        <v>+</v>
      </c>
    </row>
    <row r="12" spans="2:14" ht="18" customHeight="1" thickBot="1" x14ac:dyDescent="0.3">
      <c r="B12" s="139">
        <v>6</v>
      </c>
      <c r="C12" s="116" t="str">
        <f>Config!C10&amp;", "&amp;Config!D10</f>
        <v>Traut, Stefanie</v>
      </c>
      <c r="D12" s="131">
        <f>VLOOKUP(C12,'Analysis A'!PupilBlock,8,0)</f>
        <v>12.5</v>
      </c>
      <c r="E12" s="131">
        <f>VLOOKUP(C12,'Analysis B'!PupilBlock,12,0)</f>
        <v>33</v>
      </c>
      <c r="F12" s="131">
        <f>VLOOKUP(C12,'Stochastik A'!PupilBlock,3,0)</f>
        <v>3</v>
      </c>
      <c r="G12" s="131">
        <f>VLOOKUP(C12,'Stochastik B'!PupilBlock,7,0)</f>
        <v>10.5</v>
      </c>
      <c r="H12" s="131">
        <f>VLOOKUP(C12,'Geometrie A'!PupilBlock,4,0)</f>
        <v>4.5</v>
      </c>
      <c r="I12" s="131">
        <f>VLOOKUP(C12,'Geometrie B'!PupilBlock,7,0)</f>
        <v>17</v>
      </c>
      <c r="J12" s="131">
        <f>VLOOKUP(C12,Wahlaufgaben!PupilBlock,7,0)</f>
        <v>8</v>
      </c>
      <c r="K12" s="132">
        <f t="shared" si="0"/>
        <v>88.5</v>
      </c>
      <c r="L12" s="134">
        <f>VLOOKUP(VALUE(K12),Notenspiegel!$B$3:$C$302,2,0)</f>
        <v>13</v>
      </c>
      <c r="M12" s="122" t="str">
        <f>VLOOKUP(VALUE(K12),Notenspiegel!$B$3:$D$302,3,0)</f>
        <v>1-</v>
      </c>
      <c r="N12" s="98" t="str">
        <f>VLOOKUP(VALUE(K12),Notenspiegel!$B$3:$E$302,4,0)</f>
        <v/>
      </c>
    </row>
    <row r="13" spans="2:14" ht="18" customHeight="1" thickBot="1" x14ac:dyDescent="0.3">
      <c r="B13" s="140">
        <v>7</v>
      </c>
      <c r="C13" s="115" t="str">
        <f>Config!C11&amp;", "&amp;Config!D11</f>
        <v>Menke, Damian</v>
      </c>
      <c r="D13" s="129">
        <f>VLOOKUP(C13,'Analysis A'!PupilBlock,8,0)</f>
        <v>12.5</v>
      </c>
      <c r="E13" s="129">
        <f>VLOOKUP(C13,'Analysis B'!PupilBlock,12,0)</f>
        <v>22.5</v>
      </c>
      <c r="F13" s="129">
        <f>VLOOKUP(C13,'Stochastik A'!PupilBlock,3,0)</f>
        <v>5</v>
      </c>
      <c r="G13" s="129">
        <f>VLOOKUP(C13,'Stochastik B'!PupilBlock,7,0)</f>
        <v>8.5</v>
      </c>
      <c r="H13" s="129">
        <f>VLOOKUP(C13,'Geometrie A'!PupilBlock,4,0)</f>
        <v>4.5</v>
      </c>
      <c r="I13" s="129">
        <f>VLOOKUP(C13,'Geometrie B'!PupilBlock,7,0)</f>
        <v>15</v>
      </c>
      <c r="J13" s="129">
        <f>VLOOKUP(C13,Wahlaufgaben!PupilBlock,7,0)</f>
        <v>7</v>
      </c>
      <c r="K13" s="117">
        <f t="shared" si="0"/>
        <v>75</v>
      </c>
      <c r="L13" s="145">
        <f>VLOOKUP(VALUE(K13),Notenspiegel!$B$3:$C$302,2,0)</f>
        <v>11</v>
      </c>
      <c r="M13" s="146" t="str">
        <f>VLOOKUP(VALUE(K13),Notenspiegel!$B$3:$D$302,3,0)</f>
        <v>2</v>
      </c>
      <c r="N13" s="98" t="str">
        <f>VLOOKUP(VALUE(K13),Notenspiegel!$B$3:$E$302,4,0)</f>
        <v>--</v>
      </c>
    </row>
    <row r="14" spans="2:14" ht="18" customHeight="1" thickBot="1" x14ac:dyDescent="0.3">
      <c r="B14" s="139">
        <v>8</v>
      </c>
      <c r="C14" s="116" t="str">
        <f>Config!C12&amp;", "&amp;Config!D12</f>
        <v>Carroll, Meik</v>
      </c>
      <c r="D14" s="131">
        <f>VLOOKUP(C14,'Analysis A'!PupilBlock,8,0)</f>
        <v>9</v>
      </c>
      <c r="E14" s="131">
        <f>VLOOKUP(C14,'Analysis B'!PupilBlock,12,0)</f>
        <v>16.5</v>
      </c>
      <c r="F14" s="131">
        <f>VLOOKUP(C14,'Stochastik A'!PupilBlock,3,0)</f>
        <v>5</v>
      </c>
      <c r="G14" s="131">
        <f>VLOOKUP(C14,'Stochastik B'!PupilBlock,7,0)</f>
        <v>8.5</v>
      </c>
      <c r="H14" s="131">
        <f>VLOOKUP(C14,'Geometrie A'!PupilBlock,4,0)</f>
        <v>4</v>
      </c>
      <c r="I14" s="131">
        <f>VLOOKUP(C14,'Geometrie B'!PupilBlock,7,0)</f>
        <v>13</v>
      </c>
      <c r="J14" s="131">
        <f>VLOOKUP(C14,Wahlaufgaben!PupilBlock,7,0)</f>
        <v>7</v>
      </c>
      <c r="K14" s="132">
        <f t="shared" si="0"/>
        <v>63</v>
      </c>
      <c r="L14" s="134">
        <f>VLOOKUP(VALUE(K14),Notenspiegel!$B$3:$C$302,2,0)</f>
        <v>8</v>
      </c>
      <c r="M14" s="122" t="str">
        <f>VLOOKUP(VALUE(K14),Notenspiegel!$B$3:$D$302,3,0)</f>
        <v>3</v>
      </c>
      <c r="N14" s="98" t="str">
        <f>VLOOKUP(VALUE(K14),Notenspiegel!$B$3:$E$302,4,0)</f>
        <v/>
      </c>
    </row>
    <row r="15" spans="2:14" ht="18" customHeight="1" thickBot="1" x14ac:dyDescent="0.3">
      <c r="B15" s="140">
        <v>9</v>
      </c>
      <c r="C15" s="115" t="str">
        <f>Config!C13&amp;", "&amp;Config!D13</f>
        <v>Hennings, Tomas</v>
      </c>
      <c r="D15" s="129">
        <f>VLOOKUP(C15,'Analysis A'!PupilBlock,8,0)</f>
        <v>10</v>
      </c>
      <c r="E15" s="129">
        <f>VLOOKUP(C15,'Analysis B'!PupilBlock,12,0)</f>
        <v>14.5</v>
      </c>
      <c r="F15" s="129">
        <f>VLOOKUP(C15,'Stochastik A'!PupilBlock,3,0)</f>
        <v>4</v>
      </c>
      <c r="G15" s="129">
        <f>VLOOKUP(C15,'Stochastik B'!PupilBlock,7,0)</f>
        <v>13</v>
      </c>
      <c r="H15" s="129">
        <f>VLOOKUP(C15,'Geometrie A'!PupilBlock,4,0)</f>
        <v>4.5</v>
      </c>
      <c r="I15" s="129">
        <f>VLOOKUP(C15,'Geometrie B'!PupilBlock,7,0)</f>
        <v>4</v>
      </c>
      <c r="J15" s="129">
        <f>VLOOKUP(C15,Wahlaufgaben!PupilBlock,7,0)</f>
        <v>8</v>
      </c>
      <c r="K15" s="117">
        <f t="shared" si="0"/>
        <v>58</v>
      </c>
      <c r="L15" s="133">
        <f>VLOOKUP(VALUE(K15),Notenspiegel!$B$3:$C$302,2,0)</f>
        <v>7</v>
      </c>
      <c r="M15" s="121" t="str">
        <f>VLOOKUP(VALUE(K15),Notenspiegel!$B$3:$D$302,3,0)</f>
        <v>3-</v>
      </c>
      <c r="N15" s="98" t="str">
        <f>VLOOKUP(VALUE(K15),Notenspiegel!$B$3:$E$302,4,0)</f>
        <v/>
      </c>
    </row>
    <row r="16" spans="2:14" ht="18" customHeight="1" thickBot="1" x14ac:dyDescent="0.3">
      <c r="B16" s="139">
        <v>10</v>
      </c>
      <c r="C16" s="116" t="str">
        <f>Config!C14&amp;", "&amp;Config!D14</f>
        <v>Walters, Linn</v>
      </c>
      <c r="D16" s="131">
        <f>VLOOKUP(C16,'Analysis A'!PupilBlock,8,0)</f>
        <v>3</v>
      </c>
      <c r="E16" s="131">
        <f>VLOOKUP(C16,'Analysis B'!PupilBlock,12,0)</f>
        <v>7</v>
      </c>
      <c r="F16" s="131">
        <f>VLOOKUP(C16,'Stochastik A'!PupilBlock,3,0)</f>
        <v>2.5</v>
      </c>
      <c r="G16" s="131">
        <f>VLOOKUP(C16,'Stochastik B'!PupilBlock,7,0)</f>
        <v>8</v>
      </c>
      <c r="H16" s="131">
        <f>VLOOKUP(C16,'Geometrie A'!PupilBlock,4,0)</f>
        <v>1</v>
      </c>
      <c r="I16" s="131">
        <f>VLOOKUP(C16,'Geometrie B'!PupilBlock,7,0)</f>
        <v>8.5</v>
      </c>
      <c r="J16" s="131">
        <f>VLOOKUP(C16,Wahlaufgaben!PupilBlock,7,0)</f>
        <v>8</v>
      </c>
      <c r="K16" s="132">
        <f t="shared" si="0"/>
        <v>38</v>
      </c>
      <c r="L16" s="134">
        <f>VLOOKUP(VALUE(K16),Notenspiegel!$B$3:$C$302,2,0)</f>
        <v>3</v>
      </c>
      <c r="M16" s="122" t="str">
        <f>VLOOKUP(VALUE(K16),Notenspiegel!$B$3:$D$302,3,0)</f>
        <v>5+</v>
      </c>
      <c r="N16" s="98" t="str">
        <f>VLOOKUP(VALUE(K16),Notenspiegel!$B$3:$E$302,4,0)</f>
        <v/>
      </c>
    </row>
    <row r="17" spans="2:14" ht="18" customHeight="1" thickBot="1" x14ac:dyDescent="0.3">
      <c r="B17" s="140">
        <v>11</v>
      </c>
      <c r="C17" s="115" t="str">
        <f>Config!C15&amp;", "&amp;Config!D15</f>
        <v>Junker, Amely</v>
      </c>
      <c r="D17" s="129">
        <f>VLOOKUP(C17,'Analysis A'!PupilBlock,8,0)</f>
        <v>6.5</v>
      </c>
      <c r="E17" s="129">
        <f>VLOOKUP(C17,'Analysis B'!PupilBlock,12,0)</f>
        <v>13.5</v>
      </c>
      <c r="F17" s="129">
        <f>VLOOKUP(C17,'Stochastik A'!PupilBlock,3,0)</f>
        <v>2</v>
      </c>
      <c r="G17" s="129">
        <f>VLOOKUP(C17,'Stochastik B'!PupilBlock,7,0)</f>
        <v>6.5</v>
      </c>
      <c r="H17" s="129">
        <f>VLOOKUP(C17,'Geometrie A'!PupilBlock,4,0)</f>
        <v>2</v>
      </c>
      <c r="I17" s="129">
        <f>VLOOKUP(C17,'Geometrie B'!PupilBlock,7,0)</f>
        <v>13</v>
      </c>
      <c r="J17" s="129">
        <f>VLOOKUP(C17,Wahlaufgaben!PupilBlock,7,0)</f>
        <v>6</v>
      </c>
      <c r="K17" s="117">
        <f t="shared" si="0"/>
        <v>49.5</v>
      </c>
      <c r="L17" s="149">
        <f>VLOOKUP(VALUE(K17),Notenspiegel!$B$3:$C$302,2,0)</f>
        <v>5</v>
      </c>
      <c r="M17" s="150" t="str">
        <f>VLOOKUP(VALUE(K17),Notenspiegel!$B$3:$D$302,3,0)</f>
        <v>4</v>
      </c>
      <c r="N17" s="98" t="str">
        <f>VLOOKUP(VALUE(K17),Notenspiegel!$B$3:$E$302,4,0)</f>
        <v>++</v>
      </c>
    </row>
    <row r="18" spans="2:14" ht="18" customHeight="1" thickBot="1" x14ac:dyDescent="0.3">
      <c r="B18" s="139">
        <v>12</v>
      </c>
      <c r="C18" s="116" t="str">
        <f>Config!C16&amp;", "&amp;Config!D16</f>
        <v>Stephens, Melvin</v>
      </c>
      <c r="D18" s="131">
        <f>VLOOKUP(C18,'Analysis A'!PupilBlock,8,0)</f>
        <v>11.5</v>
      </c>
      <c r="E18" s="131">
        <f>VLOOKUP(C18,'Analysis B'!PupilBlock,12,0)</f>
        <v>27</v>
      </c>
      <c r="F18" s="131">
        <f>VLOOKUP(C18,'Stochastik A'!PupilBlock,3,0)</f>
        <v>2.5</v>
      </c>
      <c r="G18" s="131">
        <f>VLOOKUP(C18,'Stochastik B'!PupilBlock,7,0)</f>
        <v>5.5</v>
      </c>
      <c r="H18" s="131">
        <f>VLOOKUP(C18,'Geometrie A'!PupilBlock,4,0)</f>
        <v>0.5</v>
      </c>
      <c r="I18" s="131">
        <f>VLOOKUP(C18,'Geometrie B'!PupilBlock,7,0)</f>
        <v>13</v>
      </c>
      <c r="J18" s="131">
        <f>VLOOKUP(C18,Wahlaufgaben!PupilBlock,7,0)</f>
        <v>6</v>
      </c>
      <c r="K18" s="132">
        <f t="shared" si="0"/>
        <v>66</v>
      </c>
      <c r="L18" s="134">
        <f>VLOOKUP(VALUE(K18),Notenspiegel!$B$3:$C$302,2,0)</f>
        <v>9</v>
      </c>
      <c r="M18" s="122" t="str">
        <f>VLOOKUP(VALUE(K18),Notenspiegel!$B$3:$D$302,3,0)</f>
        <v>3+</v>
      </c>
      <c r="N18" s="98" t="str">
        <f>VLOOKUP(VALUE(K18),Notenspiegel!$B$3:$E$302,4,0)</f>
        <v/>
      </c>
    </row>
    <row r="19" spans="2:14" ht="18" customHeight="1" thickBot="1" x14ac:dyDescent="0.3">
      <c r="B19" s="140">
        <v>13</v>
      </c>
      <c r="C19" s="115" t="str">
        <f>Config!C17&amp;", "&amp;Config!D17</f>
        <v>Cremer, Marvin</v>
      </c>
      <c r="D19" s="129">
        <f>VLOOKUP(C19,'Analysis A'!PupilBlock,8,0)</f>
        <v>12.5</v>
      </c>
      <c r="E19" s="129">
        <f>VLOOKUP(C19,'Analysis B'!PupilBlock,12,0)</f>
        <v>22</v>
      </c>
      <c r="F19" s="129">
        <f>VLOOKUP(C19,'Stochastik A'!PupilBlock,3,0)</f>
        <v>5</v>
      </c>
      <c r="G19" s="129">
        <f>VLOOKUP(C19,'Stochastik B'!PupilBlock,7,0)</f>
        <v>5.5</v>
      </c>
      <c r="H19" s="129">
        <f>VLOOKUP(C19,'Geometrie A'!PupilBlock,4,0)</f>
        <v>4.5</v>
      </c>
      <c r="I19" s="129">
        <f>VLOOKUP(C19,'Geometrie B'!PupilBlock,7,0)</f>
        <v>3</v>
      </c>
      <c r="J19" s="129">
        <f>VLOOKUP(C19,Wahlaufgaben!PupilBlock,7,0)</f>
        <v>8</v>
      </c>
      <c r="K19" s="117">
        <f t="shared" si="0"/>
        <v>60.5</v>
      </c>
      <c r="L19" s="151">
        <f>VLOOKUP(VALUE(K19),Notenspiegel!$B$3:$C$302,2,0)</f>
        <v>8</v>
      </c>
      <c r="M19" s="152" t="str">
        <f>VLOOKUP(VALUE(K19),Notenspiegel!$B$3:$D$302,3,0)</f>
        <v>3</v>
      </c>
      <c r="N19" s="98" t="str">
        <f>VLOOKUP(VALUE(K19),Notenspiegel!$B$3:$E$302,4,0)</f>
        <v>-</v>
      </c>
    </row>
    <row r="20" spans="2:14" ht="18" customHeight="1" thickBot="1" x14ac:dyDescent="0.3">
      <c r="B20" s="139">
        <v>14</v>
      </c>
      <c r="C20" s="116" t="str">
        <f>Config!C18&amp;", "&amp;Config!D18</f>
        <v>Nash, Jean</v>
      </c>
      <c r="D20" s="131">
        <f>VLOOKUP(C20,'Analysis A'!PupilBlock,8,0)</f>
        <v>13.5</v>
      </c>
      <c r="E20" s="131">
        <f>VLOOKUP(C20,'Analysis B'!PupilBlock,12,0)</f>
        <v>15.5</v>
      </c>
      <c r="F20" s="131">
        <f>VLOOKUP(C20,'Stochastik A'!PupilBlock,3,0)</f>
        <v>5</v>
      </c>
      <c r="G20" s="131">
        <f>VLOOKUP(C20,'Stochastik B'!PupilBlock,7,0)</f>
        <v>8</v>
      </c>
      <c r="H20" s="131">
        <f>VLOOKUP(C20,'Geometrie A'!PupilBlock,4,0)</f>
        <v>4</v>
      </c>
      <c r="I20" s="131">
        <f>VLOOKUP(C20,'Geometrie B'!PupilBlock,7,0)</f>
        <v>14.5</v>
      </c>
      <c r="J20" s="131">
        <f>VLOOKUP(C20,Wahlaufgaben!PupilBlock,7,0)</f>
        <v>7</v>
      </c>
      <c r="K20" s="132">
        <f t="shared" si="0"/>
        <v>67.5</v>
      </c>
      <c r="L20" s="134">
        <f>VLOOKUP(VALUE(K20),Notenspiegel!$B$3:$C$302,2,0)</f>
        <v>9</v>
      </c>
      <c r="M20" s="122" t="str">
        <f>VLOOKUP(VALUE(K20),Notenspiegel!$B$3:$D$302,3,0)</f>
        <v>3+</v>
      </c>
      <c r="N20" s="98" t="str">
        <f>VLOOKUP(VALUE(K20),Notenspiegel!$B$3:$E$302,4,0)</f>
        <v/>
      </c>
    </row>
    <row r="21" spans="2:14" ht="18" customHeight="1" thickBot="1" x14ac:dyDescent="0.3">
      <c r="B21" s="140">
        <v>15</v>
      </c>
      <c r="C21" s="115" t="str">
        <f>Config!C19&amp;", "&amp;Config!D19</f>
        <v>Schön, Leonardo</v>
      </c>
      <c r="D21" s="129">
        <f>VLOOKUP(C21,'Analysis A'!PupilBlock,8,0)</f>
        <v>12</v>
      </c>
      <c r="E21" s="129">
        <f>VLOOKUP(C21,'Analysis B'!PupilBlock,12,0)</f>
        <v>23.5</v>
      </c>
      <c r="F21" s="129">
        <f>VLOOKUP(C21,'Stochastik A'!PupilBlock,3,0)</f>
        <v>2.5</v>
      </c>
      <c r="G21" s="129">
        <f>VLOOKUP(C21,'Stochastik B'!PupilBlock,7,0)</f>
        <v>8</v>
      </c>
      <c r="H21" s="129">
        <f>VLOOKUP(C21,'Geometrie A'!PupilBlock,4,0)</f>
        <v>5</v>
      </c>
      <c r="I21" s="129">
        <f>VLOOKUP(C21,'Geometrie B'!PupilBlock,7,0)</f>
        <v>6.5</v>
      </c>
      <c r="J21" s="129">
        <f>VLOOKUP(C21,Wahlaufgaben!PupilBlock,7,0)</f>
        <v>4</v>
      </c>
      <c r="K21" s="117">
        <f t="shared" si="0"/>
        <v>61.5</v>
      </c>
      <c r="L21" s="133">
        <f>VLOOKUP(VALUE(K21),Notenspiegel!$B$3:$C$302,2,0)</f>
        <v>8</v>
      </c>
      <c r="M21" s="121" t="str">
        <f>VLOOKUP(VALUE(K21),Notenspiegel!$B$3:$D$302,3,0)</f>
        <v>3</v>
      </c>
      <c r="N21" s="98" t="str">
        <f>VLOOKUP(VALUE(K21),Notenspiegel!$B$3:$E$302,4,0)</f>
        <v/>
      </c>
    </row>
    <row r="22" spans="2:14" ht="18" customHeight="1" thickBot="1" x14ac:dyDescent="0.3">
      <c r="B22" s="139">
        <v>16</v>
      </c>
      <c r="C22" s="116" t="str">
        <f>Config!C20&amp;", "&amp;Config!D20</f>
        <v>Sigl, Nicholas</v>
      </c>
      <c r="D22" s="131">
        <f>VLOOKUP(C22,'Analysis A'!PupilBlock,8,0)</f>
        <v>7.5</v>
      </c>
      <c r="E22" s="131">
        <f>VLOOKUP(C22,'Analysis B'!PupilBlock,12,0)</f>
        <v>22</v>
      </c>
      <c r="F22" s="131">
        <f>VLOOKUP(C22,'Stochastik A'!PupilBlock,3,0)</f>
        <v>5</v>
      </c>
      <c r="G22" s="131">
        <f>VLOOKUP(C22,'Stochastik B'!PupilBlock,7,0)</f>
        <v>0</v>
      </c>
      <c r="H22" s="131">
        <f>VLOOKUP(C22,'Geometrie A'!PupilBlock,4,0)</f>
        <v>4.5</v>
      </c>
      <c r="I22" s="131">
        <f>VLOOKUP(C22,'Geometrie B'!PupilBlock,7,0)</f>
        <v>6</v>
      </c>
      <c r="J22" s="131">
        <f>VLOOKUP(C22,Wahlaufgaben!PupilBlock,7,0)</f>
        <v>8</v>
      </c>
      <c r="K22" s="132">
        <f t="shared" si="0"/>
        <v>53</v>
      </c>
      <c r="L22" s="134">
        <f>VLOOKUP(VALUE(K22),Notenspiegel!$B$3:$C$302,2,0)</f>
        <v>6</v>
      </c>
      <c r="M22" s="122" t="str">
        <f>VLOOKUP(VALUE(K22),Notenspiegel!$B$3:$D$302,3,0)</f>
        <v>4+</v>
      </c>
      <c r="N22" s="98" t="str">
        <f>VLOOKUP(VALUE(K22),Notenspiegel!$B$3:$E$302,4,0)</f>
        <v/>
      </c>
    </row>
    <row r="23" spans="2:14" ht="18" customHeight="1" thickBot="1" x14ac:dyDescent="0.3">
      <c r="B23" s="140">
        <v>17</v>
      </c>
      <c r="C23" s="115" t="str">
        <f>Config!C21&amp;", "&amp;Config!D21</f>
        <v>Kainz, Vivienne</v>
      </c>
      <c r="D23" s="129">
        <f>VLOOKUP(C23,'Analysis A'!PupilBlock,8,0)</f>
        <v>1</v>
      </c>
      <c r="E23" s="129">
        <f>VLOOKUP(C23,'Analysis B'!PupilBlock,12,0)</f>
        <v>6.5</v>
      </c>
      <c r="F23" s="129">
        <f>VLOOKUP(C23,'Stochastik A'!PupilBlock,3,0)</f>
        <v>5</v>
      </c>
      <c r="G23" s="129">
        <f>VLOOKUP(C23,'Stochastik B'!PupilBlock,7,0)</f>
        <v>7.5</v>
      </c>
      <c r="H23" s="129">
        <f>VLOOKUP(C23,'Geometrie A'!PupilBlock,4,0)</f>
        <v>5</v>
      </c>
      <c r="I23" s="129">
        <f>VLOOKUP(C23,'Geometrie B'!PupilBlock,7,0)</f>
        <v>4.5</v>
      </c>
      <c r="J23" s="129">
        <f>VLOOKUP(C23,Wahlaufgaben!PupilBlock,7,0)</f>
        <v>10</v>
      </c>
      <c r="K23" s="117">
        <f t="shared" si="0"/>
        <v>39.5</v>
      </c>
      <c r="L23" s="149">
        <f>VLOOKUP(VALUE(K23),Notenspiegel!$B$3:$C$302,2,0)</f>
        <v>3</v>
      </c>
      <c r="M23" s="150" t="str">
        <f>VLOOKUP(VALUE(K23),Notenspiegel!$B$3:$D$302,3,0)</f>
        <v>5+</v>
      </c>
      <c r="N23" s="98" t="str">
        <f>VLOOKUP(VALUE(K23),Notenspiegel!$B$3:$E$302,4,0)</f>
        <v>++</v>
      </c>
    </row>
    <row r="24" spans="2:14" ht="18" customHeight="1" thickBot="1" x14ac:dyDescent="0.3">
      <c r="B24" s="139">
        <v>18</v>
      </c>
      <c r="C24" s="116" t="str">
        <f>Config!C22&amp;", "&amp;Config!D22</f>
        <v>Hartmann, Mads</v>
      </c>
      <c r="D24" s="131">
        <f>VLOOKUP(C24,'Analysis A'!PupilBlock,8,0)</f>
        <v>10</v>
      </c>
      <c r="E24" s="131">
        <f>VLOOKUP(C24,'Analysis B'!PupilBlock,12,0)</f>
        <v>16</v>
      </c>
      <c r="F24" s="131">
        <f>VLOOKUP(C24,'Stochastik A'!PupilBlock,3,0)</f>
        <v>2.5</v>
      </c>
      <c r="G24" s="131">
        <f>VLOOKUP(C24,'Stochastik B'!PupilBlock,7,0)</f>
        <v>7</v>
      </c>
      <c r="H24" s="131">
        <f>VLOOKUP(C24,'Geometrie A'!PupilBlock,4,0)</f>
        <v>1</v>
      </c>
      <c r="I24" s="131">
        <f>VLOOKUP(C24,'Geometrie B'!PupilBlock,7,0)</f>
        <v>14</v>
      </c>
      <c r="J24" s="131">
        <f>VLOOKUP(C24,Wahlaufgaben!PupilBlock,7,0)</f>
        <v>7</v>
      </c>
      <c r="K24" s="132">
        <f t="shared" si="0"/>
        <v>57.5</v>
      </c>
      <c r="L24" s="134">
        <f>VLOOKUP(VALUE(K24),Notenspiegel!$B$3:$C$302,2,0)</f>
        <v>7</v>
      </c>
      <c r="M24" s="122" t="str">
        <f>VLOOKUP(VALUE(K24),Notenspiegel!$B$3:$D$302,3,0)</f>
        <v>3-</v>
      </c>
      <c r="N24" s="98" t="str">
        <f>VLOOKUP(VALUE(K24),Notenspiegel!$B$3:$E$302,4,0)</f>
        <v/>
      </c>
    </row>
    <row r="25" spans="2:14" ht="18" customHeight="1" thickBot="1" x14ac:dyDescent="0.3">
      <c r="B25" s="140">
        <v>19</v>
      </c>
      <c r="C25" s="115" t="str">
        <f>Config!C23&amp;", "&amp;Config!D23</f>
        <v>Ullmann, Raphael</v>
      </c>
      <c r="D25" s="129">
        <f>VLOOKUP(C25,'Analysis A'!PupilBlock,8,0)</f>
        <v>9.5</v>
      </c>
      <c r="E25" s="129">
        <f>VLOOKUP(C25,'Analysis B'!PupilBlock,12,0)</f>
        <v>14.5</v>
      </c>
      <c r="F25" s="129">
        <f>VLOOKUP(C25,'Stochastik A'!PupilBlock,3,0)</f>
        <v>5</v>
      </c>
      <c r="G25" s="129">
        <f>VLOOKUP(C25,'Stochastik B'!PupilBlock,7,0)</f>
        <v>7</v>
      </c>
      <c r="H25" s="129">
        <f>VLOOKUP(C25,'Geometrie A'!PupilBlock,4,0)</f>
        <v>2</v>
      </c>
      <c r="I25" s="129">
        <f>VLOOKUP(C25,'Geometrie B'!PupilBlock,7,0)</f>
        <v>13.5</v>
      </c>
      <c r="J25" s="129">
        <f>VLOOKUP(C25,Wahlaufgaben!PupilBlock,7,0)</f>
        <v>8</v>
      </c>
      <c r="K25" s="117">
        <f t="shared" si="0"/>
        <v>59.5</v>
      </c>
      <c r="L25" s="149">
        <f>VLOOKUP(VALUE(K25),Notenspiegel!$B$3:$C$302,2,0)</f>
        <v>7</v>
      </c>
      <c r="M25" s="150" t="str">
        <f>VLOOKUP(VALUE(K25),Notenspiegel!$B$3:$D$302,3,0)</f>
        <v>3-</v>
      </c>
      <c r="N25" s="98" t="str">
        <f>VLOOKUP(VALUE(K25),Notenspiegel!$B$3:$E$302,4,0)</f>
        <v>++</v>
      </c>
    </row>
    <row r="26" spans="2:14" ht="18" customHeight="1" thickBot="1" x14ac:dyDescent="0.3">
      <c r="B26" s="139">
        <v>20</v>
      </c>
      <c r="C26" s="116" t="str">
        <f>Config!C24&amp;", "&amp;Config!D24</f>
        <v>Hartl, Emmely</v>
      </c>
      <c r="D26" s="131">
        <f>VLOOKUP(C26,'Analysis A'!PupilBlock,8,0)</f>
        <v>13.5</v>
      </c>
      <c r="E26" s="131">
        <f>VLOOKUP(C26,'Analysis B'!PupilBlock,12,0)</f>
        <v>23</v>
      </c>
      <c r="F26" s="131">
        <f>VLOOKUP(C26,'Stochastik A'!PupilBlock,3,0)</f>
        <v>3</v>
      </c>
      <c r="G26" s="131">
        <f>VLOOKUP(C26,'Stochastik B'!PupilBlock,7,0)</f>
        <v>4.5</v>
      </c>
      <c r="H26" s="131">
        <f>VLOOKUP(C26,'Geometrie A'!PupilBlock,4,0)</f>
        <v>2</v>
      </c>
      <c r="I26" s="131">
        <f>VLOOKUP(C26,'Geometrie B'!PupilBlock,7,0)</f>
        <v>15</v>
      </c>
      <c r="J26" s="131">
        <f>VLOOKUP(C26,Wahlaufgaben!PupilBlock,7,0)</f>
        <v>10</v>
      </c>
      <c r="K26" s="132">
        <f t="shared" si="0"/>
        <v>71</v>
      </c>
      <c r="L26" s="134">
        <f>VLOOKUP(VALUE(K26),Notenspiegel!$B$3:$C$302,2,0)</f>
        <v>10</v>
      </c>
      <c r="M26" s="122" t="str">
        <f>VLOOKUP(VALUE(K26),Notenspiegel!$B$3:$D$302,3,0)</f>
        <v>2-</v>
      </c>
      <c r="N26" s="98" t="str">
        <f>VLOOKUP(VALUE(K26),Notenspiegel!$B$3:$E$302,4,0)</f>
        <v/>
      </c>
    </row>
    <row r="27" spans="2:14" ht="18" customHeight="1" thickBot="1" x14ac:dyDescent="0.3">
      <c r="B27" s="140">
        <v>21</v>
      </c>
      <c r="C27" s="115" t="str">
        <f>Config!C25&amp;", "&amp;Config!D25</f>
        <v>Klotz, Karin</v>
      </c>
      <c r="D27" s="129">
        <f>VLOOKUP(C27,'Analysis A'!PupilBlock,8,0)</f>
        <v>13.5</v>
      </c>
      <c r="E27" s="129">
        <f>VLOOKUP(C27,'Analysis B'!PupilBlock,12,0)</f>
        <v>26.5</v>
      </c>
      <c r="F27" s="129">
        <f>VLOOKUP(C27,'Stochastik A'!PupilBlock,3,0)</f>
        <v>4</v>
      </c>
      <c r="G27" s="129">
        <f>VLOOKUP(C27,'Stochastik B'!PupilBlock,7,0)</f>
        <v>6</v>
      </c>
      <c r="H27" s="129">
        <f>VLOOKUP(C27,'Geometrie A'!PupilBlock,4,0)</f>
        <v>5</v>
      </c>
      <c r="I27" s="129">
        <f>VLOOKUP(C27,'Geometrie B'!PupilBlock,7,0)</f>
        <v>16</v>
      </c>
      <c r="J27" s="129">
        <f>VLOOKUP(C27,Wahlaufgaben!PupilBlock,7,0)</f>
        <v>10</v>
      </c>
      <c r="K27" s="117">
        <f t="shared" si="0"/>
        <v>81</v>
      </c>
      <c r="L27" s="133">
        <f>VLOOKUP(VALUE(K27),Notenspiegel!$B$3:$C$302,2,0)</f>
        <v>12</v>
      </c>
      <c r="M27" s="121" t="str">
        <f>VLOOKUP(VALUE(K27),Notenspiegel!$B$3:$D$302,3,0)</f>
        <v>2+</v>
      </c>
      <c r="N27" s="98" t="str">
        <f>VLOOKUP(VALUE(K27),Notenspiegel!$B$3:$E$302,4,0)</f>
        <v/>
      </c>
    </row>
    <row r="28" spans="2:14" ht="18" customHeight="1" thickBot="1" x14ac:dyDescent="0.3">
      <c r="B28" s="139">
        <v>22</v>
      </c>
      <c r="C28" s="116" t="str">
        <f>Config!C26&amp;", "&amp;Config!D26</f>
        <v>Ehlers, Ingo</v>
      </c>
      <c r="D28" s="131">
        <f>VLOOKUP(C28,'Analysis A'!PupilBlock,8,0)</f>
        <v>10</v>
      </c>
      <c r="E28" s="131">
        <f>VLOOKUP(C28,'Analysis B'!PupilBlock,12,0)</f>
        <v>21</v>
      </c>
      <c r="F28" s="131">
        <f>VLOOKUP(C28,'Stochastik A'!PupilBlock,3,0)</f>
        <v>5</v>
      </c>
      <c r="G28" s="131">
        <f>VLOOKUP(C28,'Stochastik B'!PupilBlock,7,0)</f>
        <v>5.5</v>
      </c>
      <c r="H28" s="131">
        <f>VLOOKUP(C28,'Geometrie A'!PupilBlock,4,0)</f>
        <v>5</v>
      </c>
      <c r="I28" s="131">
        <f>VLOOKUP(C28,'Geometrie B'!PupilBlock,7,0)</f>
        <v>14.5</v>
      </c>
      <c r="J28" s="131">
        <f>VLOOKUP(C28,Wahlaufgaben!PupilBlock,7,0)</f>
        <v>7</v>
      </c>
      <c r="K28" s="132">
        <f t="shared" si="0"/>
        <v>68</v>
      </c>
      <c r="L28" s="134">
        <f>VLOOKUP(VALUE(K28),Notenspiegel!$B$3:$C$302,2,0)</f>
        <v>9</v>
      </c>
      <c r="M28" s="122" t="str">
        <f>VLOOKUP(VALUE(K28),Notenspiegel!$B$3:$D$302,3,0)</f>
        <v>3+</v>
      </c>
      <c r="N28" s="98" t="str">
        <f>VLOOKUP(VALUE(K28),Notenspiegel!$B$3:$E$302,4,0)</f>
        <v/>
      </c>
    </row>
    <row r="29" spans="2:14" ht="18" customHeight="1" thickBot="1" x14ac:dyDescent="0.3">
      <c r="B29" s="141">
        <v>23</v>
      </c>
      <c r="C29" s="136" t="str">
        <f>Config!C27&amp;", "&amp;Config!D27</f>
        <v>Lindemann, Mads</v>
      </c>
      <c r="D29" s="137">
        <f>VLOOKUP(C29,'Analysis A'!PupilBlock,8,0)</f>
        <v>7</v>
      </c>
      <c r="E29" s="137">
        <f>VLOOKUP(C29,'Analysis B'!PupilBlock,12,0)</f>
        <v>16</v>
      </c>
      <c r="F29" s="137">
        <f>VLOOKUP(C29,'Stochastik A'!PupilBlock,3,0)</f>
        <v>5</v>
      </c>
      <c r="G29" s="137">
        <f>VLOOKUP(C29,'Stochastik B'!PupilBlock,7,0)</f>
        <v>10</v>
      </c>
      <c r="H29" s="137">
        <f>VLOOKUP(C29,'Geometrie A'!PupilBlock,4,0)</f>
        <v>3</v>
      </c>
      <c r="I29" s="137">
        <f>VLOOKUP(C29,'Geometrie B'!PupilBlock,7,0)</f>
        <v>6.5</v>
      </c>
      <c r="J29" s="137">
        <f>VLOOKUP(C29,Wahlaufgaben!PupilBlock,7,0)</f>
        <v>8</v>
      </c>
      <c r="K29" s="117">
        <f t="shared" si="0"/>
        <v>55.5</v>
      </c>
      <c r="L29" s="153">
        <f>VLOOKUP(VALUE(K29),Notenspiegel!$B$3:$C$302,2,0)</f>
        <v>7</v>
      </c>
      <c r="M29" s="154" t="str">
        <f>VLOOKUP(VALUE(K29),Notenspiegel!$B$3:$D$302,3,0)</f>
        <v>3-</v>
      </c>
      <c r="N29" s="98" t="str">
        <f>VLOOKUP(VALUE(K29),Notenspiegel!$B$3:$E$302,4,0)</f>
        <v>-</v>
      </c>
    </row>
    <row r="30" spans="2:14" ht="18" customHeight="1" thickBot="1" x14ac:dyDescent="0.3">
      <c r="B30" s="68"/>
      <c r="C30" s="69"/>
      <c r="D30" s="69">
        <f t="shared" ref="D30:J30" si="1">SUM(D7:D29)/(23*D6)</f>
        <v>0.672463768115942</v>
      </c>
      <c r="E30" s="69">
        <f t="shared" si="1"/>
        <v>0.63260869565217392</v>
      </c>
      <c r="F30" s="69">
        <f t="shared" si="1"/>
        <v>0.74782608695652175</v>
      </c>
      <c r="G30" s="69">
        <f t="shared" si="1"/>
        <v>0.4373401534526854</v>
      </c>
      <c r="H30" s="69">
        <f t="shared" si="1"/>
        <v>0.66956521739130437</v>
      </c>
      <c r="I30" s="69">
        <f t="shared" si="1"/>
        <v>0.61594202898550721</v>
      </c>
      <c r="J30" s="69">
        <f t="shared" si="1"/>
        <v>0.74782608695652175</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Consolidate/>
  <pageMargins left="0.7" right="0.7" top="0.78740157499999996" bottom="0.78740157499999996"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54"/>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10" width="8.6640625" style="98" customWidth="1"/>
    <col min="11" max="16384" width="11.5546875" style="98"/>
  </cols>
  <sheetData>
    <row r="1" spans="2:10" ht="18" customHeight="1" thickBot="1" x14ac:dyDescent="0.3"/>
    <row r="2" spans="2:10" ht="18" customHeight="1" x14ac:dyDescent="0.25">
      <c r="B2" s="99" t="str">
        <f>Config!F2&amp;" "&amp;YEAR(Config!G24)</f>
        <v>Mathe Abitur 2026</v>
      </c>
      <c r="C2" s="100"/>
      <c r="D2" s="100"/>
      <c r="E2" s="100"/>
      <c r="F2" s="100"/>
      <c r="G2" s="101"/>
      <c r="H2" s="101"/>
      <c r="I2" s="101"/>
      <c r="J2" s="102" t="str">
        <f>"Kurs "&amp;Config!G26</f>
        <v>Kurs K1</v>
      </c>
    </row>
    <row r="3" spans="2:10" ht="18" customHeight="1" x14ac:dyDescent="0.25">
      <c r="B3" s="103" t="s">
        <v>9</v>
      </c>
      <c r="C3" s="104"/>
      <c r="D3" s="104"/>
      <c r="E3" s="104"/>
      <c r="F3" s="104"/>
      <c r="G3" s="104"/>
      <c r="H3" s="104"/>
      <c r="I3" s="104"/>
      <c r="J3" s="105"/>
    </row>
    <row r="4" spans="2:10" ht="18" customHeight="1" thickBot="1" x14ac:dyDescent="0.3">
      <c r="B4" s="103"/>
      <c r="C4" s="104"/>
      <c r="D4" s="106"/>
      <c r="E4" s="106"/>
      <c r="F4" s="106"/>
      <c r="G4" s="106"/>
      <c r="H4" s="106"/>
      <c r="I4" s="106"/>
      <c r="J4" s="107"/>
    </row>
    <row r="5" spans="2:10" ht="18" customHeight="1" thickBot="1" x14ac:dyDescent="0.3">
      <c r="B5" s="108"/>
      <c r="C5" s="110"/>
      <c r="D5" s="123" t="str">
        <f>Config!F6</f>
        <v>1a</v>
      </c>
      <c r="E5" s="123" t="str">
        <f>Config!F7</f>
        <v>1b</v>
      </c>
      <c r="F5" s="123" t="str">
        <f>Config!F8</f>
        <v>2</v>
      </c>
      <c r="G5" s="123" t="str">
        <f>Config!F9</f>
        <v>3</v>
      </c>
      <c r="H5" s="123" t="str">
        <f>Config!F10</f>
        <v>4a</v>
      </c>
      <c r="I5" s="123" t="str">
        <f>Config!F11</f>
        <v>4b</v>
      </c>
      <c r="J5" s="114" t="s">
        <v>82</v>
      </c>
    </row>
    <row r="6" spans="2:10" ht="18" customHeight="1" thickBot="1" x14ac:dyDescent="0.3">
      <c r="B6" s="109"/>
      <c r="C6" s="111" t="s">
        <v>81</v>
      </c>
      <c r="D6" s="113">
        <f>Config!G6</f>
        <v>2</v>
      </c>
      <c r="E6" s="113">
        <f>Config!G7</f>
        <v>2</v>
      </c>
      <c r="F6" s="113">
        <f>Config!G8</f>
        <v>3</v>
      </c>
      <c r="G6" s="113">
        <f>Config!G9</f>
        <v>3</v>
      </c>
      <c r="H6" s="113">
        <f>Config!G10</f>
        <v>3</v>
      </c>
      <c r="I6" s="113">
        <f>Config!G11</f>
        <v>2</v>
      </c>
      <c r="J6" s="124">
        <f>Config!G21</f>
        <v>15</v>
      </c>
    </row>
    <row r="7" spans="2:10" ht="18" customHeight="1" x14ac:dyDescent="0.25">
      <c r="B7" s="138">
        <v>1</v>
      </c>
      <c r="C7" s="135" t="str">
        <f>Config!C5&amp;", "&amp;Config!D5</f>
        <v>Höfer, Simon</v>
      </c>
      <c r="D7" s="234">
        <v>1</v>
      </c>
      <c r="E7" s="234">
        <v>1</v>
      </c>
      <c r="F7" s="234">
        <v>1.5</v>
      </c>
      <c r="G7" s="234">
        <v>2.5</v>
      </c>
      <c r="H7" s="234">
        <v>3</v>
      </c>
      <c r="I7" s="235">
        <v>2</v>
      </c>
      <c r="J7" s="236">
        <f t="shared" ref="J7:J17" si="0">SUM(D7:I7)</f>
        <v>11</v>
      </c>
    </row>
    <row r="8" spans="2:10" ht="18" customHeight="1" x14ac:dyDescent="0.25">
      <c r="B8" s="139">
        <v>2</v>
      </c>
      <c r="C8" s="116" t="str">
        <f>Config!C6&amp;", "&amp;Config!D6</f>
        <v>Töpfer, Lilian</v>
      </c>
      <c r="D8" s="237">
        <v>1.5</v>
      </c>
      <c r="E8" s="237">
        <v>2</v>
      </c>
      <c r="F8" s="237">
        <v>0.5</v>
      </c>
      <c r="G8" s="237">
        <v>1</v>
      </c>
      <c r="H8" s="237">
        <v>2</v>
      </c>
      <c r="I8" s="238">
        <v>2</v>
      </c>
      <c r="J8" s="239">
        <f t="shared" si="0"/>
        <v>9</v>
      </c>
    </row>
    <row r="9" spans="2:10" ht="18" customHeight="1" x14ac:dyDescent="0.25">
      <c r="B9" s="140">
        <v>3</v>
      </c>
      <c r="C9" s="115" t="str">
        <f>Config!C7&amp;", "&amp;Config!D7</f>
        <v>Fleischmann, Leonie</v>
      </c>
      <c r="D9" s="237">
        <v>0.5</v>
      </c>
      <c r="E9" s="237">
        <v>1.5</v>
      </c>
      <c r="F9" s="237">
        <v>1.5</v>
      </c>
      <c r="G9" s="237">
        <v>3</v>
      </c>
      <c r="H9" s="237">
        <v>3</v>
      </c>
      <c r="I9" s="238">
        <v>1</v>
      </c>
      <c r="J9" s="240">
        <f t="shared" si="0"/>
        <v>10.5</v>
      </c>
    </row>
    <row r="10" spans="2:10" ht="18" customHeight="1" x14ac:dyDescent="0.25">
      <c r="B10" s="139">
        <v>4</v>
      </c>
      <c r="C10" s="116" t="str">
        <f>Config!C8&amp;", "&amp;Config!D8</f>
        <v>Drescher, Cedric</v>
      </c>
      <c r="D10" s="237">
        <v>2</v>
      </c>
      <c r="E10" s="237">
        <v>2</v>
      </c>
      <c r="F10" s="237">
        <v>1</v>
      </c>
      <c r="G10" s="237">
        <v>3</v>
      </c>
      <c r="H10" s="237">
        <v>2.5</v>
      </c>
      <c r="I10" s="238">
        <v>2</v>
      </c>
      <c r="J10" s="239">
        <f t="shared" si="0"/>
        <v>12.5</v>
      </c>
    </row>
    <row r="11" spans="2:10" ht="18" customHeight="1" x14ac:dyDescent="0.25">
      <c r="B11" s="140">
        <v>5</v>
      </c>
      <c r="C11" s="115" t="str">
        <f>Config!C9&amp;", "&amp;Config!D9</f>
        <v>Baumgarten, Annabell</v>
      </c>
      <c r="D11" s="237">
        <v>2</v>
      </c>
      <c r="E11" s="237">
        <v>2</v>
      </c>
      <c r="F11" s="237">
        <v>2.5</v>
      </c>
      <c r="G11" s="237">
        <v>3</v>
      </c>
      <c r="H11" s="237">
        <v>2.5</v>
      </c>
      <c r="I11" s="238">
        <v>2</v>
      </c>
      <c r="J11" s="240">
        <f t="shared" si="0"/>
        <v>14</v>
      </c>
    </row>
    <row r="12" spans="2:10" ht="18" customHeight="1" x14ac:dyDescent="0.25">
      <c r="B12" s="139">
        <v>6</v>
      </c>
      <c r="C12" s="116" t="str">
        <f>Config!C10&amp;", "&amp;Config!D10</f>
        <v>Traut, Stefanie</v>
      </c>
      <c r="D12" s="237">
        <v>2</v>
      </c>
      <c r="E12" s="237">
        <v>2</v>
      </c>
      <c r="F12" s="237">
        <v>2</v>
      </c>
      <c r="G12" s="237">
        <v>2</v>
      </c>
      <c r="H12" s="237">
        <v>2.5</v>
      </c>
      <c r="I12" s="238">
        <v>2</v>
      </c>
      <c r="J12" s="239">
        <f t="shared" si="0"/>
        <v>12.5</v>
      </c>
    </row>
    <row r="13" spans="2:10" ht="18" customHeight="1" x14ac:dyDescent="0.25">
      <c r="B13" s="140">
        <v>7</v>
      </c>
      <c r="C13" s="115" t="str">
        <f>Config!C11&amp;", "&amp;Config!D11</f>
        <v>Menke, Damian</v>
      </c>
      <c r="D13" s="237">
        <v>1</v>
      </c>
      <c r="E13" s="237">
        <v>1.5</v>
      </c>
      <c r="F13" s="237">
        <v>3</v>
      </c>
      <c r="G13" s="237">
        <v>3</v>
      </c>
      <c r="H13" s="237">
        <v>3</v>
      </c>
      <c r="I13" s="238">
        <v>1</v>
      </c>
      <c r="J13" s="240">
        <f t="shared" si="0"/>
        <v>12.5</v>
      </c>
    </row>
    <row r="14" spans="2:10" ht="18" customHeight="1" x14ac:dyDescent="0.25">
      <c r="B14" s="139">
        <v>8</v>
      </c>
      <c r="C14" s="116" t="str">
        <f>Config!C12&amp;", "&amp;Config!D12</f>
        <v>Carroll, Meik</v>
      </c>
      <c r="D14" s="237">
        <v>0.5</v>
      </c>
      <c r="E14" s="237">
        <v>2</v>
      </c>
      <c r="F14" s="237">
        <v>1.5</v>
      </c>
      <c r="G14" s="237">
        <v>1</v>
      </c>
      <c r="H14" s="237">
        <v>3</v>
      </c>
      <c r="I14" s="238">
        <v>1</v>
      </c>
      <c r="J14" s="239">
        <f t="shared" si="0"/>
        <v>9</v>
      </c>
    </row>
    <row r="15" spans="2:10" ht="18" customHeight="1" x14ac:dyDescent="0.25">
      <c r="B15" s="140">
        <v>9</v>
      </c>
      <c r="C15" s="115" t="str">
        <f>Config!C13&amp;", "&amp;Config!D13</f>
        <v>Hennings, Tomas</v>
      </c>
      <c r="D15" s="237">
        <v>1.5</v>
      </c>
      <c r="E15" s="237">
        <v>2</v>
      </c>
      <c r="F15" s="237">
        <v>1.5</v>
      </c>
      <c r="G15" s="237">
        <v>1</v>
      </c>
      <c r="H15" s="237">
        <v>2</v>
      </c>
      <c r="I15" s="238">
        <v>2</v>
      </c>
      <c r="J15" s="240">
        <f t="shared" si="0"/>
        <v>10</v>
      </c>
    </row>
    <row r="16" spans="2:10" ht="18" customHeight="1" x14ac:dyDescent="0.25">
      <c r="B16" s="139">
        <v>10</v>
      </c>
      <c r="C16" s="116" t="str">
        <f>Config!C14&amp;", "&amp;Config!D14</f>
        <v>Walters, Linn</v>
      </c>
      <c r="D16" s="237">
        <v>0.5</v>
      </c>
      <c r="E16" s="237">
        <v>1</v>
      </c>
      <c r="F16" s="237">
        <v>0</v>
      </c>
      <c r="G16" s="237">
        <v>1</v>
      </c>
      <c r="H16" s="237">
        <v>0.5</v>
      </c>
      <c r="I16" s="238">
        <v>0</v>
      </c>
      <c r="J16" s="239">
        <f t="shared" si="0"/>
        <v>3</v>
      </c>
    </row>
    <row r="17" spans="2:10" ht="18" customHeight="1" x14ac:dyDescent="0.25">
      <c r="B17" s="140">
        <v>11</v>
      </c>
      <c r="C17" s="115" t="str">
        <f>Config!C15&amp;", "&amp;Config!D15</f>
        <v>Junker, Amely</v>
      </c>
      <c r="D17" s="237">
        <v>0.5</v>
      </c>
      <c r="E17" s="237">
        <v>2</v>
      </c>
      <c r="F17" s="237">
        <v>1.5</v>
      </c>
      <c r="G17" s="237">
        <v>0</v>
      </c>
      <c r="H17" s="237">
        <v>1.5</v>
      </c>
      <c r="I17" s="238">
        <v>1</v>
      </c>
      <c r="J17" s="240">
        <f t="shared" si="0"/>
        <v>6.5</v>
      </c>
    </row>
    <row r="18" spans="2:10" ht="18" customHeight="1" x14ac:dyDescent="0.25">
      <c r="B18" s="139">
        <v>12</v>
      </c>
      <c r="C18" s="116" t="str">
        <f>Config!C16&amp;", "&amp;Config!D16</f>
        <v>Stephens, Melvin</v>
      </c>
      <c r="D18" s="237">
        <v>2</v>
      </c>
      <c r="E18" s="237">
        <v>2</v>
      </c>
      <c r="F18" s="237">
        <v>1</v>
      </c>
      <c r="G18" s="237">
        <v>3</v>
      </c>
      <c r="H18" s="237">
        <v>1.5</v>
      </c>
      <c r="I18" s="238">
        <v>2</v>
      </c>
      <c r="J18" s="239">
        <f t="shared" ref="J18:J28" si="1">SUM(D18:I18)</f>
        <v>11.5</v>
      </c>
    </row>
    <row r="19" spans="2:10" ht="18" customHeight="1" x14ac:dyDescent="0.25">
      <c r="B19" s="140">
        <v>13</v>
      </c>
      <c r="C19" s="115" t="str">
        <f>Config!C17&amp;", "&amp;Config!D17</f>
        <v>Cremer, Marvin</v>
      </c>
      <c r="D19" s="237">
        <v>1.5</v>
      </c>
      <c r="E19" s="237">
        <v>2</v>
      </c>
      <c r="F19" s="237">
        <v>1.5</v>
      </c>
      <c r="G19" s="237">
        <v>3</v>
      </c>
      <c r="H19" s="237">
        <v>3</v>
      </c>
      <c r="I19" s="238">
        <v>1.5</v>
      </c>
      <c r="J19" s="240">
        <f t="shared" si="1"/>
        <v>12.5</v>
      </c>
    </row>
    <row r="20" spans="2:10" ht="18" customHeight="1" x14ac:dyDescent="0.25">
      <c r="B20" s="139">
        <v>14</v>
      </c>
      <c r="C20" s="116" t="str">
        <f>Config!C18&amp;", "&amp;Config!D18</f>
        <v>Nash, Jean</v>
      </c>
      <c r="D20" s="237">
        <v>2</v>
      </c>
      <c r="E20" s="237">
        <v>2</v>
      </c>
      <c r="F20" s="237">
        <v>1.5</v>
      </c>
      <c r="G20" s="237">
        <v>3</v>
      </c>
      <c r="H20" s="237">
        <v>3</v>
      </c>
      <c r="I20" s="238">
        <v>2</v>
      </c>
      <c r="J20" s="239">
        <f t="shared" si="1"/>
        <v>13.5</v>
      </c>
    </row>
    <row r="21" spans="2:10" ht="18" customHeight="1" x14ac:dyDescent="0.25">
      <c r="B21" s="140">
        <v>15</v>
      </c>
      <c r="C21" s="115" t="str">
        <f>Config!C19&amp;", "&amp;Config!D19</f>
        <v>Schön, Leonardo</v>
      </c>
      <c r="D21" s="237">
        <v>1</v>
      </c>
      <c r="E21" s="237">
        <v>2</v>
      </c>
      <c r="F21" s="237">
        <v>1.5</v>
      </c>
      <c r="G21" s="237">
        <v>3</v>
      </c>
      <c r="H21" s="237">
        <v>2.5</v>
      </c>
      <c r="I21" s="238">
        <v>2</v>
      </c>
      <c r="J21" s="240">
        <f t="shared" si="1"/>
        <v>12</v>
      </c>
    </row>
    <row r="22" spans="2:10" ht="18" customHeight="1" x14ac:dyDescent="0.25">
      <c r="B22" s="139">
        <v>16</v>
      </c>
      <c r="C22" s="116" t="str">
        <f>Config!C20&amp;", "&amp;Config!D20</f>
        <v>Sigl, Nicholas</v>
      </c>
      <c r="D22" s="237">
        <v>2</v>
      </c>
      <c r="E22" s="237">
        <v>0</v>
      </c>
      <c r="F22" s="237">
        <v>1</v>
      </c>
      <c r="G22" s="237">
        <v>1.5</v>
      </c>
      <c r="H22" s="237">
        <v>2</v>
      </c>
      <c r="I22" s="238">
        <v>1</v>
      </c>
      <c r="J22" s="239">
        <f t="shared" si="1"/>
        <v>7.5</v>
      </c>
    </row>
    <row r="23" spans="2:10" ht="18" customHeight="1" x14ac:dyDescent="0.25">
      <c r="B23" s="140">
        <v>17</v>
      </c>
      <c r="C23" s="115" t="str">
        <f>Config!C21&amp;", "&amp;Config!D21</f>
        <v>Kainz, Vivienne</v>
      </c>
      <c r="D23" s="237">
        <v>0.5</v>
      </c>
      <c r="E23" s="237">
        <v>0</v>
      </c>
      <c r="F23" s="237">
        <v>0</v>
      </c>
      <c r="G23" s="237">
        <v>0</v>
      </c>
      <c r="H23" s="237">
        <v>0.5</v>
      </c>
      <c r="I23" s="238">
        <v>0</v>
      </c>
      <c r="J23" s="240">
        <f t="shared" si="1"/>
        <v>1</v>
      </c>
    </row>
    <row r="24" spans="2:10" ht="18" customHeight="1" x14ac:dyDescent="0.25">
      <c r="B24" s="139">
        <v>18</v>
      </c>
      <c r="C24" s="116" t="str">
        <f>Config!C22&amp;", "&amp;Config!D22</f>
        <v>Hartmann, Mads</v>
      </c>
      <c r="D24" s="237">
        <v>2</v>
      </c>
      <c r="E24" s="237">
        <v>2</v>
      </c>
      <c r="F24" s="237">
        <v>1</v>
      </c>
      <c r="G24" s="237">
        <v>1</v>
      </c>
      <c r="H24" s="237">
        <v>3</v>
      </c>
      <c r="I24" s="238">
        <v>1</v>
      </c>
      <c r="J24" s="239">
        <f t="shared" si="1"/>
        <v>10</v>
      </c>
    </row>
    <row r="25" spans="2:10" ht="18" customHeight="1" x14ac:dyDescent="0.25">
      <c r="B25" s="140">
        <v>19</v>
      </c>
      <c r="C25" s="115" t="str">
        <f>Config!C23&amp;", "&amp;Config!D23</f>
        <v>Ullmann, Raphael</v>
      </c>
      <c r="D25" s="237">
        <v>0.5</v>
      </c>
      <c r="E25" s="237">
        <v>2</v>
      </c>
      <c r="F25" s="237">
        <v>1</v>
      </c>
      <c r="G25" s="237">
        <v>2.5</v>
      </c>
      <c r="H25" s="237">
        <v>1.5</v>
      </c>
      <c r="I25" s="238">
        <v>2</v>
      </c>
      <c r="J25" s="240">
        <f t="shared" si="1"/>
        <v>9.5</v>
      </c>
    </row>
    <row r="26" spans="2:10" ht="18" customHeight="1" x14ac:dyDescent="0.25">
      <c r="B26" s="139">
        <v>20</v>
      </c>
      <c r="C26" s="116" t="str">
        <f>Config!C24&amp;", "&amp;Config!D24</f>
        <v>Hartl, Emmely</v>
      </c>
      <c r="D26" s="237">
        <v>1</v>
      </c>
      <c r="E26" s="237">
        <v>2</v>
      </c>
      <c r="F26" s="237">
        <v>2.5</v>
      </c>
      <c r="G26" s="237">
        <v>3</v>
      </c>
      <c r="H26" s="237">
        <v>3</v>
      </c>
      <c r="I26" s="238">
        <v>2</v>
      </c>
      <c r="J26" s="239">
        <f t="shared" si="1"/>
        <v>13.5</v>
      </c>
    </row>
    <row r="27" spans="2:10" ht="18" customHeight="1" x14ac:dyDescent="0.25">
      <c r="B27" s="140">
        <v>21</v>
      </c>
      <c r="C27" s="115" t="str">
        <f>Config!C25&amp;", "&amp;Config!D25</f>
        <v>Klotz, Karin</v>
      </c>
      <c r="D27" s="237">
        <v>2</v>
      </c>
      <c r="E27" s="237">
        <v>2</v>
      </c>
      <c r="F27" s="237">
        <v>1.5</v>
      </c>
      <c r="G27" s="237">
        <v>3</v>
      </c>
      <c r="H27" s="237">
        <v>3</v>
      </c>
      <c r="I27" s="238">
        <v>2</v>
      </c>
      <c r="J27" s="240">
        <f t="shared" si="1"/>
        <v>13.5</v>
      </c>
    </row>
    <row r="28" spans="2:10" ht="18" customHeight="1" x14ac:dyDescent="0.25">
      <c r="B28" s="139">
        <v>22</v>
      </c>
      <c r="C28" s="116" t="str">
        <f>Config!C26&amp;", "&amp;Config!D26</f>
        <v>Ehlers, Ingo</v>
      </c>
      <c r="D28" s="237">
        <v>0.5</v>
      </c>
      <c r="E28" s="237">
        <v>1.5</v>
      </c>
      <c r="F28" s="237">
        <v>1</v>
      </c>
      <c r="G28" s="237">
        <v>3</v>
      </c>
      <c r="H28" s="237">
        <v>3</v>
      </c>
      <c r="I28" s="238">
        <v>1</v>
      </c>
      <c r="J28" s="239">
        <f t="shared" si="1"/>
        <v>10</v>
      </c>
    </row>
    <row r="29" spans="2:10" ht="18" customHeight="1" thickBot="1" x14ac:dyDescent="0.3">
      <c r="B29" s="141">
        <v>23</v>
      </c>
      <c r="C29" s="136" t="str">
        <f>Config!C27&amp;", "&amp;Config!D27</f>
        <v>Lindemann, Mads</v>
      </c>
      <c r="D29" s="95">
        <v>0.5</v>
      </c>
      <c r="E29" s="95">
        <v>2</v>
      </c>
      <c r="F29" s="95">
        <v>1.5</v>
      </c>
      <c r="G29" s="95">
        <v>0.5</v>
      </c>
      <c r="H29" s="95">
        <v>1.5</v>
      </c>
      <c r="I29" s="96">
        <v>1</v>
      </c>
      <c r="J29" s="144">
        <f t="shared" ref="J29" si="2">SUM(D29:I29)</f>
        <v>7</v>
      </c>
    </row>
    <row r="30" spans="2:10" ht="18" customHeight="1" thickBot="1" x14ac:dyDescent="0.3">
      <c r="B30" s="118"/>
      <c r="C30" s="119"/>
      <c r="D30" s="119">
        <f>IF(COUNTIFS(D7:D29,"&lt;&gt;",C7:C29,"&lt;&gt;ZK",C7:C29,"&lt;&gt;DK")&lt;&gt;0,SUMIFS(D7:D29,C7:C29,"&lt;&gt;ZK",C7:C29,"&lt;&gt;DK")/(COUNTIFS(D7:D29,"&lt;&gt;",C7:C29,"&lt;&gt;ZK",C7:C29,"&lt;&gt;DK")*D6),0)</f>
        <v>0.61956521739130432</v>
      </c>
      <c r="E30" s="119">
        <f>IF(COUNTIFS(E7:E29,"&lt;&gt;",C7:C29,"&lt;&gt;ZK",C7:C29,"&lt;&gt;DK")&lt;&gt;0,SUMIFS(E7:E29,C7:C29,"&lt;&gt;ZK",C7:C29,"&lt;&gt;DK")/(COUNTIFS(E7:E29,"&lt;&gt;",C7:C29,"&lt;&gt;ZK",C7:C29,"&lt;&gt;DK")*E6),0)</f>
        <v>0.83695652173913049</v>
      </c>
      <c r="F30" s="119">
        <f>IF(COUNTIFS(F7:F29,"&lt;&gt;",C7:C29,"&lt;&gt;ZK",C7:C29,"&lt;&gt;DK")&lt;&gt;0,SUMIFS(F7:F29,C7:C29,"&lt;&gt;ZK",C7:C29,"&lt;&gt;DK")/(COUNTIFS(F7:F29,"&lt;&gt;",C7:C29,"&lt;&gt;ZK",C7:C29,"&lt;&gt;DK")*F6),0)</f>
        <v>0.45652173913043476</v>
      </c>
      <c r="G30" s="119">
        <f>IF(COUNTIFS(G7:G29,"&lt;&gt;",C7:C29,"&lt;&gt;ZK",C7:C29,"&lt;&gt;DK")&lt;&gt;0,SUMIFS(G7:G29,C7:C29,"&lt;&gt;ZK",C7:C29,"&lt;&gt;DK")/(COUNTIFS(G7:G29,"&lt;&gt;",C7:C29,"&lt;&gt;ZK",C7:C29,"&lt;&gt;DK")*G6),0)</f>
        <v>0.6811594202898551</v>
      </c>
      <c r="H30" s="119">
        <f>IF(COUNTIFS(H7:H29,"&lt;&gt;",C7:C29,"&lt;&gt;ZK",C7:C29,"&lt;&gt;DK")&lt;&gt;0,SUMIFS(H7:H29,C7:C29,"&lt;&gt;ZK",C7:C29,"&lt;&gt;DK")/(COUNTIFS(H7:H29,"&lt;&gt;",C7:C29,"&lt;&gt;ZK",C7:C29,"&lt;&gt;DK")*H6),0)</f>
        <v>0.76811594202898548</v>
      </c>
      <c r="I30" s="119">
        <f>IF(COUNTIFS(I7:I29,"&lt;&gt;",C7:C29,"&lt;&gt;ZK",C7:C29,"&lt;&gt;DK")&lt;&gt;0,SUMIFS(I7:I29,C7:C29,"&lt;&gt;ZK",C7:C29,"&lt;&gt;DK")/(COUNTIFS(I7:I29,"&lt;&gt;",C7:C29,"&lt;&gt;ZK",C7:C29,"&lt;&gt;DK")*I6),0)</f>
        <v>0.72826086956521741</v>
      </c>
      <c r="J30" s="120"/>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6">
    <dataValidation type="decimal" allowBlank="1" showErrorMessage="1" sqref="D7:D29" xr:uid="{C1050670-11B5-440D-85F9-03995A0882AE}">
      <formula1>0</formula1>
      <formula2>$D$6</formula2>
    </dataValidation>
    <dataValidation type="decimal" allowBlank="1" showErrorMessage="1" sqref="E7:E29" xr:uid="{6C2145EB-03D1-4ABC-9492-C8342DA4D4F1}">
      <formula1>0</formula1>
      <formula2>$E$6</formula2>
    </dataValidation>
    <dataValidation type="decimal" allowBlank="1" showErrorMessage="1" sqref="F7:F29" xr:uid="{EBD5F72F-109F-4169-9680-7F883DF8B1B9}">
      <formula1>0</formula1>
      <formula2>$F$6</formula2>
    </dataValidation>
    <dataValidation type="decimal" allowBlank="1" showErrorMessage="1" sqref="G7:G29" xr:uid="{60DA7E16-8BBF-4602-BD4A-414CBABACFBE}">
      <formula1>0</formula1>
      <formula2>$G$6</formula2>
    </dataValidation>
    <dataValidation type="decimal" allowBlank="1" showErrorMessage="1" sqref="H7:H29" xr:uid="{B1D7B81D-DD83-410A-8966-7545066D183D}">
      <formula1>0</formula1>
      <formula2>$H$6</formula2>
    </dataValidation>
    <dataValidation type="decimal" allowBlank="1" showErrorMessage="1" sqref="I7:I29" xr:uid="{AD9C44C9-50F7-4857-93DD-0E15B54A72D1}">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54"/>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14" width="8.6640625" style="98" customWidth="1"/>
    <col min="15" max="16384" width="11.5546875" style="98"/>
  </cols>
  <sheetData>
    <row r="1" spans="2:14" ht="18" customHeight="1" thickBot="1" x14ac:dyDescent="0.3"/>
    <row r="2" spans="2:14" ht="18" customHeight="1" x14ac:dyDescent="0.25">
      <c r="B2" s="99" t="str">
        <f>Config!F2&amp;" "&amp;YEAR(Config!G24)</f>
        <v>Mathe Abitur 2026</v>
      </c>
      <c r="C2" s="100"/>
      <c r="D2" s="100"/>
      <c r="E2" s="100"/>
      <c r="F2" s="100"/>
      <c r="G2" s="100"/>
      <c r="H2" s="100"/>
      <c r="I2" s="101"/>
      <c r="J2" s="101"/>
      <c r="K2" s="101"/>
      <c r="L2" s="101"/>
      <c r="M2" s="101"/>
      <c r="N2" s="102" t="str">
        <f>"Kurs "&amp;Config!G26</f>
        <v>Kurs K1</v>
      </c>
    </row>
    <row r="3" spans="2:14" ht="18" customHeight="1" x14ac:dyDescent="0.25">
      <c r="B3" s="103" t="s">
        <v>10</v>
      </c>
      <c r="C3" s="104"/>
      <c r="D3" s="104"/>
      <c r="E3" s="104"/>
      <c r="F3" s="104"/>
      <c r="G3" s="104"/>
      <c r="H3" s="104"/>
      <c r="I3" s="104"/>
      <c r="J3" s="104"/>
      <c r="K3" s="104"/>
      <c r="L3" s="104"/>
      <c r="M3" s="104"/>
      <c r="N3" s="105"/>
    </row>
    <row r="4" spans="2:14" ht="18" customHeight="1" thickBot="1" x14ac:dyDescent="0.3">
      <c r="B4" s="103"/>
      <c r="C4" s="104"/>
      <c r="D4" s="106"/>
      <c r="E4" s="106"/>
      <c r="F4" s="106"/>
      <c r="G4" s="106"/>
      <c r="H4" s="106"/>
      <c r="I4" s="106"/>
      <c r="J4" s="106"/>
      <c r="K4" s="106"/>
      <c r="L4" s="106"/>
      <c r="M4" s="106"/>
      <c r="N4" s="107"/>
    </row>
    <row r="5" spans="2:14" ht="18" customHeight="1" thickBot="1" x14ac:dyDescent="0.3">
      <c r="B5" s="108"/>
      <c r="C5" s="110"/>
      <c r="D5" s="123" t="str">
        <f>Config!H6</f>
        <v>1a</v>
      </c>
      <c r="E5" s="123" t="str">
        <f>Config!H7</f>
        <v>1b</v>
      </c>
      <c r="F5" s="123" t="str">
        <f>Config!H8</f>
        <v>1c</v>
      </c>
      <c r="G5" s="123" t="str">
        <f>Config!H9</f>
        <v>1d</v>
      </c>
      <c r="H5" s="123" t="str">
        <f>Config!H10</f>
        <v>1e</v>
      </c>
      <c r="I5" s="123" t="str">
        <f>Config!H11</f>
        <v>1f</v>
      </c>
      <c r="J5" s="123" t="str">
        <f>Config!H12</f>
        <v>1g</v>
      </c>
      <c r="K5" s="123" t="str">
        <f>Config!H13</f>
        <v>1h</v>
      </c>
      <c r="L5" s="123" t="str">
        <f>Config!H14</f>
        <v>2a</v>
      </c>
      <c r="M5" s="123" t="str">
        <f>Config!H15</f>
        <v>2b</v>
      </c>
      <c r="N5" s="114" t="s">
        <v>82</v>
      </c>
    </row>
    <row r="6" spans="2:14" ht="18" customHeight="1" thickBot="1" x14ac:dyDescent="0.3">
      <c r="B6" s="109"/>
      <c r="C6" s="111" t="s">
        <v>81</v>
      </c>
      <c r="D6" s="113">
        <f>Config!I6</f>
        <v>2</v>
      </c>
      <c r="E6" s="113">
        <f>Config!I7</f>
        <v>3</v>
      </c>
      <c r="F6" s="113">
        <f>Config!I8</f>
        <v>4</v>
      </c>
      <c r="G6" s="113">
        <f>Config!I9</f>
        <v>3</v>
      </c>
      <c r="H6" s="113">
        <f>Config!I10</f>
        <v>3</v>
      </c>
      <c r="I6" s="113">
        <f>Config!I11</f>
        <v>4</v>
      </c>
      <c r="J6" s="113">
        <f>Config!I12</f>
        <v>3</v>
      </c>
      <c r="K6" s="113">
        <f>Config!I13</f>
        <v>4</v>
      </c>
      <c r="L6" s="113">
        <f>Config!I14</f>
        <v>2</v>
      </c>
      <c r="M6" s="113">
        <f>Config!I15</f>
        <v>2</v>
      </c>
      <c r="N6" s="124">
        <f>Config!I21</f>
        <v>30</v>
      </c>
    </row>
    <row r="7" spans="2:14" ht="18" customHeight="1" x14ac:dyDescent="0.25">
      <c r="B7" s="138">
        <v>1</v>
      </c>
      <c r="C7" s="135" t="str">
        <f>Config!C5&amp;", "&amp;Config!D5</f>
        <v>Höfer, Simon</v>
      </c>
      <c r="D7" s="234">
        <v>1.5</v>
      </c>
      <c r="E7" s="234">
        <v>3</v>
      </c>
      <c r="F7" s="234">
        <v>3</v>
      </c>
      <c r="G7" s="234">
        <v>3</v>
      </c>
      <c r="H7" s="234">
        <v>3</v>
      </c>
      <c r="I7" s="234">
        <v>4</v>
      </c>
      <c r="J7" s="234">
        <v>3</v>
      </c>
      <c r="K7" s="234">
        <v>0</v>
      </c>
      <c r="L7" s="234">
        <v>2</v>
      </c>
      <c r="M7" s="235">
        <v>0</v>
      </c>
      <c r="N7" s="236">
        <f t="shared" ref="N7:N17" si="0">SUM(D7:M7)</f>
        <v>22.5</v>
      </c>
    </row>
    <row r="8" spans="2:14" ht="18" customHeight="1" x14ac:dyDescent="0.25">
      <c r="B8" s="139">
        <v>2</v>
      </c>
      <c r="C8" s="116" t="str">
        <f>Config!C6&amp;", "&amp;Config!D6</f>
        <v>Töpfer, Lilian</v>
      </c>
      <c r="D8" s="237">
        <v>0.5</v>
      </c>
      <c r="E8" s="237">
        <v>2.5</v>
      </c>
      <c r="F8" s="237">
        <v>3</v>
      </c>
      <c r="G8" s="237">
        <v>3</v>
      </c>
      <c r="H8" s="237">
        <v>3</v>
      </c>
      <c r="I8" s="237">
        <v>4</v>
      </c>
      <c r="J8" s="237">
        <v>0</v>
      </c>
      <c r="K8" s="237">
        <v>0</v>
      </c>
      <c r="L8" s="237">
        <v>1.5</v>
      </c>
      <c r="M8" s="238">
        <v>0</v>
      </c>
      <c r="N8" s="239">
        <f t="shared" si="0"/>
        <v>17.5</v>
      </c>
    </row>
    <row r="9" spans="2:14" ht="18" customHeight="1" x14ac:dyDescent="0.25">
      <c r="B9" s="140">
        <v>3</v>
      </c>
      <c r="C9" s="115" t="str">
        <f>Config!C7&amp;", "&amp;Config!D7</f>
        <v>Fleischmann, Leonie</v>
      </c>
      <c r="D9" s="237">
        <v>1</v>
      </c>
      <c r="E9" s="237">
        <v>2</v>
      </c>
      <c r="F9" s="237">
        <v>0</v>
      </c>
      <c r="G9" s="237">
        <v>1</v>
      </c>
      <c r="H9" s="237">
        <v>3</v>
      </c>
      <c r="I9" s="237">
        <v>2.5</v>
      </c>
      <c r="J9" s="237">
        <v>0</v>
      </c>
      <c r="K9" s="237">
        <v>0</v>
      </c>
      <c r="L9" s="237">
        <v>0</v>
      </c>
      <c r="M9" s="238">
        <v>2</v>
      </c>
      <c r="N9" s="240">
        <f t="shared" si="0"/>
        <v>11.5</v>
      </c>
    </row>
    <row r="10" spans="2:14" ht="18" customHeight="1" x14ac:dyDescent="0.25">
      <c r="B10" s="139">
        <v>4</v>
      </c>
      <c r="C10" s="116" t="str">
        <f>Config!C8&amp;", "&amp;Config!D8</f>
        <v>Drescher, Cedric</v>
      </c>
      <c r="D10" s="237">
        <v>1</v>
      </c>
      <c r="E10" s="237">
        <v>3</v>
      </c>
      <c r="F10" s="237">
        <v>3</v>
      </c>
      <c r="G10" s="237">
        <v>3</v>
      </c>
      <c r="H10" s="237">
        <v>3</v>
      </c>
      <c r="I10" s="237">
        <v>4</v>
      </c>
      <c r="J10" s="237">
        <v>1.5</v>
      </c>
      <c r="K10" s="237">
        <v>0</v>
      </c>
      <c r="L10" s="237">
        <v>1.5</v>
      </c>
      <c r="M10" s="238">
        <v>3</v>
      </c>
      <c r="N10" s="239">
        <f t="shared" si="0"/>
        <v>23</v>
      </c>
    </row>
    <row r="11" spans="2:14" ht="18" customHeight="1" x14ac:dyDescent="0.25">
      <c r="B11" s="140">
        <v>5</v>
      </c>
      <c r="C11" s="115" t="str">
        <f>Config!C9&amp;", "&amp;Config!D9</f>
        <v>Baumgarten, Annabell</v>
      </c>
      <c r="D11" s="237">
        <v>2</v>
      </c>
      <c r="E11" s="237">
        <v>2</v>
      </c>
      <c r="F11" s="237">
        <v>3.5</v>
      </c>
      <c r="G11" s="237">
        <v>2.5</v>
      </c>
      <c r="H11" s="237">
        <v>2</v>
      </c>
      <c r="I11" s="237">
        <v>1</v>
      </c>
      <c r="J11" s="237">
        <v>0.5</v>
      </c>
      <c r="K11" s="237">
        <v>2.5</v>
      </c>
      <c r="L11" s="237">
        <v>2</v>
      </c>
      <c r="M11" s="238">
        <v>3.5</v>
      </c>
      <c r="N11" s="240">
        <f t="shared" si="0"/>
        <v>21.5</v>
      </c>
    </row>
    <row r="12" spans="2:14" ht="18" customHeight="1" x14ac:dyDescent="0.25">
      <c r="B12" s="139">
        <v>6</v>
      </c>
      <c r="C12" s="116" t="str">
        <f>Config!C10&amp;", "&amp;Config!D10</f>
        <v>Traut, Stefanie</v>
      </c>
      <c r="D12" s="237">
        <v>2</v>
      </c>
      <c r="E12" s="237">
        <v>3</v>
      </c>
      <c r="F12" s="237">
        <v>4</v>
      </c>
      <c r="G12" s="237">
        <v>3</v>
      </c>
      <c r="H12" s="237">
        <v>3</v>
      </c>
      <c r="I12" s="237">
        <v>4</v>
      </c>
      <c r="J12" s="237">
        <v>3</v>
      </c>
      <c r="K12" s="237">
        <v>4</v>
      </c>
      <c r="L12" s="237">
        <v>2</v>
      </c>
      <c r="M12" s="238">
        <v>5</v>
      </c>
      <c r="N12" s="239">
        <f t="shared" si="0"/>
        <v>33</v>
      </c>
    </row>
    <row r="13" spans="2:14" ht="18" customHeight="1" x14ac:dyDescent="0.25">
      <c r="B13" s="140">
        <v>7</v>
      </c>
      <c r="C13" s="115" t="str">
        <f>Config!C11&amp;", "&amp;Config!D11</f>
        <v>Menke, Damian</v>
      </c>
      <c r="D13" s="237">
        <v>1.5</v>
      </c>
      <c r="E13" s="237">
        <v>2.5</v>
      </c>
      <c r="F13" s="237">
        <v>4</v>
      </c>
      <c r="G13" s="237">
        <v>2</v>
      </c>
      <c r="H13" s="237">
        <v>2</v>
      </c>
      <c r="I13" s="237">
        <v>2.5</v>
      </c>
      <c r="J13" s="237">
        <v>0.5</v>
      </c>
      <c r="K13" s="237">
        <v>3</v>
      </c>
      <c r="L13" s="237">
        <v>1</v>
      </c>
      <c r="M13" s="238">
        <v>3.5</v>
      </c>
      <c r="N13" s="240">
        <f t="shared" si="0"/>
        <v>22.5</v>
      </c>
    </row>
    <row r="14" spans="2:14" ht="18" customHeight="1" x14ac:dyDescent="0.25">
      <c r="B14" s="139">
        <v>8</v>
      </c>
      <c r="C14" s="116" t="str">
        <f>Config!C12&amp;", "&amp;Config!D12</f>
        <v>Carroll, Meik</v>
      </c>
      <c r="D14" s="237">
        <v>1.5</v>
      </c>
      <c r="E14" s="237">
        <v>1</v>
      </c>
      <c r="F14" s="237">
        <v>2.5</v>
      </c>
      <c r="G14" s="237">
        <v>3</v>
      </c>
      <c r="H14" s="237">
        <v>3</v>
      </c>
      <c r="I14" s="237">
        <v>3.5</v>
      </c>
      <c r="J14" s="237">
        <v>0</v>
      </c>
      <c r="K14" s="237">
        <v>0</v>
      </c>
      <c r="L14" s="237">
        <v>2</v>
      </c>
      <c r="M14" s="238">
        <v>0</v>
      </c>
      <c r="N14" s="239">
        <f t="shared" si="0"/>
        <v>16.5</v>
      </c>
    </row>
    <row r="15" spans="2:14" ht="18" customHeight="1" x14ac:dyDescent="0.25">
      <c r="B15" s="140">
        <v>9</v>
      </c>
      <c r="C15" s="115" t="str">
        <f>Config!C13&amp;", "&amp;Config!D13</f>
        <v>Hennings, Tomas</v>
      </c>
      <c r="D15" s="237">
        <v>1.5</v>
      </c>
      <c r="E15" s="237">
        <v>3</v>
      </c>
      <c r="F15" s="237">
        <v>4</v>
      </c>
      <c r="G15" s="237">
        <v>3</v>
      </c>
      <c r="H15" s="237">
        <v>2</v>
      </c>
      <c r="I15" s="237">
        <v>1</v>
      </c>
      <c r="J15" s="237">
        <v>0</v>
      </c>
      <c r="K15" s="237">
        <v>0</v>
      </c>
      <c r="L15" s="237">
        <v>0</v>
      </c>
      <c r="M15" s="238">
        <v>0</v>
      </c>
      <c r="N15" s="240">
        <f t="shared" si="0"/>
        <v>14.5</v>
      </c>
    </row>
    <row r="16" spans="2:14" ht="18" customHeight="1" x14ac:dyDescent="0.25">
      <c r="B16" s="139">
        <v>10</v>
      </c>
      <c r="C16" s="116" t="str">
        <f>Config!C14&amp;", "&amp;Config!D14</f>
        <v>Walters, Linn</v>
      </c>
      <c r="D16" s="237">
        <v>0</v>
      </c>
      <c r="E16" s="237">
        <v>1.5</v>
      </c>
      <c r="F16" s="237">
        <v>2.5</v>
      </c>
      <c r="G16" s="237">
        <v>0</v>
      </c>
      <c r="H16" s="237">
        <v>1</v>
      </c>
      <c r="I16" s="237">
        <v>1</v>
      </c>
      <c r="J16" s="237">
        <v>0</v>
      </c>
      <c r="K16" s="237">
        <v>0</v>
      </c>
      <c r="L16" s="237">
        <v>1</v>
      </c>
      <c r="M16" s="238">
        <v>0</v>
      </c>
      <c r="N16" s="239">
        <f t="shared" si="0"/>
        <v>7</v>
      </c>
    </row>
    <row r="17" spans="2:14" ht="18" customHeight="1" x14ac:dyDescent="0.25">
      <c r="B17" s="140">
        <v>11</v>
      </c>
      <c r="C17" s="115" t="str">
        <f>Config!C15&amp;", "&amp;Config!D15</f>
        <v>Junker, Amely</v>
      </c>
      <c r="D17" s="237">
        <v>1</v>
      </c>
      <c r="E17" s="237">
        <v>1.5</v>
      </c>
      <c r="F17" s="237">
        <v>4</v>
      </c>
      <c r="G17" s="237">
        <v>1.5</v>
      </c>
      <c r="H17" s="237">
        <v>2</v>
      </c>
      <c r="I17" s="237">
        <v>3.5</v>
      </c>
      <c r="J17" s="237">
        <v>0</v>
      </c>
      <c r="K17" s="237">
        <v>0</v>
      </c>
      <c r="L17" s="237">
        <v>0</v>
      </c>
      <c r="M17" s="238">
        <v>0</v>
      </c>
      <c r="N17" s="240">
        <f t="shared" si="0"/>
        <v>13.5</v>
      </c>
    </row>
    <row r="18" spans="2:14" ht="18" customHeight="1" x14ac:dyDescent="0.25">
      <c r="B18" s="139">
        <v>12</v>
      </c>
      <c r="C18" s="116" t="str">
        <f>Config!C16&amp;", "&amp;Config!D16</f>
        <v>Stephens, Melvin</v>
      </c>
      <c r="D18" s="237">
        <v>2</v>
      </c>
      <c r="E18" s="237">
        <v>3</v>
      </c>
      <c r="F18" s="237">
        <v>4</v>
      </c>
      <c r="G18" s="237">
        <v>3</v>
      </c>
      <c r="H18" s="237">
        <v>3</v>
      </c>
      <c r="I18" s="237">
        <v>4</v>
      </c>
      <c r="J18" s="237">
        <v>3</v>
      </c>
      <c r="K18" s="237">
        <v>0</v>
      </c>
      <c r="L18" s="237">
        <v>2</v>
      </c>
      <c r="M18" s="238">
        <v>3</v>
      </c>
      <c r="N18" s="239">
        <f t="shared" ref="N18:N28" si="1">SUM(D18:M18)</f>
        <v>27</v>
      </c>
    </row>
    <row r="19" spans="2:14" ht="18" customHeight="1" x14ac:dyDescent="0.25">
      <c r="B19" s="140">
        <v>13</v>
      </c>
      <c r="C19" s="115" t="str">
        <f>Config!C17&amp;", "&amp;Config!D17</f>
        <v>Cremer, Marvin</v>
      </c>
      <c r="D19" s="237">
        <v>0.5</v>
      </c>
      <c r="E19" s="237">
        <v>1.5</v>
      </c>
      <c r="F19" s="237">
        <v>4</v>
      </c>
      <c r="G19" s="237">
        <v>3</v>
      </c>
      <c r="H19" s="237">
        <v>3</v>
      </c>
      <c r="I19" s="237">
        <v>3.5</v>
      </c>
      <c r="J19" s="237">
        <v>0</v>
      </c>
      <c r="K19" s="237">
        <v>0</v>
      </c>
      <c r="L19" s="237">
        <v>2</v>
      </c>
      <c r="M19" s="238">
        <v>4.5</v>
      </c>
      <c r="N19" s="240">
        <f t="shared" si="1"/>
        <v>22</v>
      </c>
    </row>
    <row r="20" spans="2:14" ht="18" customHeight="1" x14ac:dyDescent="0.25">
      <c r="B20" s="139">
        <v>14</v>
      </c>
      <c r="C20" s="116" t="str">
        <f>Config!C18&amp;", "&amp;Config!D18</f>
        <v>Nash, Jean</v>
      </c>
      <c r="D20" s="237">
        <v>1.5</v>
      </c>
      <c r="E20" s="237">
        <v>2.5</v>
      </c>
      <c r="F20" s="237">
        <v>3</v>
      </c>
      <c r="G20" s="237">
        <v>2.5</v>
      </c>
      <c r="H20" s="237">
        <v>2</v>
      </c>
      <c r="I20" s="237">
        <v>4</v>
      </c>
      <c r="J20" s="237">
        <v>0</v>
      </c>
      <c r="K20" s="237">
        <v>0</v>
      </c>
      <c r="L20" s="237">
        <v>0</v>
      </c>
      <c r="M20" s="238">
        <v>0</v>
      </c>
      <c r="N20" s="239">
        <f t="shared" si="1"/>
        <v>15.5</v>
      </c>
    </row>
    <row r="21" spans="2:14" ht="18" customHeight="1" x14ac:dyDescent="0.25">
      <c r="B21" s="140">
        <v>15</v>
      </c>
      <c r="C21" s="115" t="str">
        <f>Config!C19&amp;", "&amp;Config!D19</f>
        <v>Schön, Leonardo</v>
      </c>
      <c r="D21" s="237">
        <v>1.5</v>
      </c>
      <c r="E21" s="237">
        <v>3</v>
      </c>
      <c r="F21" s="237">
        <v>4</v>
      </c>
      <c r="G21" s="237">
        <v>3</v>
      </c>
      <c r="H21" s="237">
        <v>2.5</v>
      </c>
      <c r="I21" s="237">
        <v>3.5</v>
      </c>
      <c r="J21" s="237">
        <v>0.5</v>
      </c>
      <c r="K21" s="237">
        <v>0</v>
      </c>
      <c r="L21" s="237">
        <v>2</v>
      </c>
      <c r="M21" s="238">
        <v>3.5</v>
      </c>
      <c r="N21" s="240">
        <f t="shared" si="1"/>
        <v>23.5</v>
      </c>
    </row>
    <row r="22" spans="2:14" ht="18" customHeight="1" x14ac:dyDescent="0.25">
      <c r="B22" s="139">
        <v>16</v>
      </c>
      <c r="C22" s="116" t="str">
        <f>Config!C20&amp;", "&amp;Config!D20</f>
        <v>Sigl, Nicholas</v>
      </c>
      <c r="D22" s="237">
        <v>1.5</v>
      </c>
      <c r="E22" s="237">
        <v>3</v>
      </c>
      <c r="F22" s="237">
        <v>4</v>
      </c>
      <c r="G22" s="237">
        <v>3</v>
      </c>
      <c r="H22" s="237">
        <v>3</v>
      </c>
      <c r="I22" s="237">
        <v>4</v>
      </c>
      <c r="J22" s="237">
        <v>0</v>
      </c>
      <c r="K22" s="237">
        <v>1.5</v>
      </c>
      <c r="L22" s="237">
        <v>0</v>
      </c>
      <c r="M22" s="238">
        <v>2</v>
      </c>
      <c r="N22" s="239">
        <f t="shared" si="1"/>
        <v>22</v>
      </c>
    </row>
    <row r="23" spans="2:14" ht="18" customHeight="1" x14ac:dyDescent="0.25">
      <c r="B23" s="140">
        <v>17</v>
      </c>
      <c r="C23" s="115" t="str">
        <f>Config!C21&amp;", "&amp;Config!D21</f>
        <v>Kainz, Vivienne</v>
      </c>
      <c r="D23" s="237">
        <v>1.5</v>
      </c>
      <c r="E23" s="237">
        <v>1.5</v>
      </c>
      <c r="F23" s="237">
        <v>0</v>
      </c>
      <c r="G23" s="237">
        <v>1.5</v>
      </c>
      <c r="H23" s="237">
        <v>1</v>
      </c>
      <c r="I23" s="237">
        <v>1</v>
      </c>
      <c r="J23" s="237">
        <v>0</v>
      </c>
      <c r="K23" s="237">
        <v>0</v>
      </c>
      <c r="L23" s="237">
        <v>0</v>
      </c>
      <c r="M23" s="238">
        <v>0</v>
      </c>
      <c r="N23" s="240">
        <f t="shared" si="1"/>
        <v>6.5</v>
      </c>
    </row>
    <row r="24" spans="2:14" ht="18" customHeight="1" x14ac:dyDescent="0.25">
      <c r="B24" s="139">
        <v>18</v>
      </c>
      <c r="C24" s="116" t="str">
        <f>Config!C22&amp;", "&amp;Config!D22</f>
        <v>Hartmann, Mads</v>
      </c>
      <c r="D24" s="237">
        <v>1</v>
      </c>
      <c r="E24" s="237">
        <v>2.5</v>
      </c>
      <c r="F24" s="237">
        <v>2</v>
      </c>
      <c r="G24" s="237">
        <v>3</v>
      </c>
      <c r="H24" s="237">
        <v>2.5</v>
      </c>
      <c r="I24" s="237">
        <v>3.5</v>
      </c>
      <c r="J24" s="237">
        <v>0</v>
      </c>
      <c r="K24" s="237">
        <v>0</v>
      </c>
      <c r="L24" s="237">
        <v>1.5</v>
      </c>
      <c r="M24" s="238">
        <v>0</v>
      </c>
      <c r="N24" s="239">
        <f t="shared" si="1"/>
        <v>16</v>
      </c>
    </row>
    <row r="25" spans="2:14" ht="18" customHeight="1" x14ac:dyDescent="0.25">
      <c r="B25" s="140">
        <v>19</v>
      </c>
      <c r="C25" s="115" t="str">
        <f>Config!C23&amp;", "&amp;Config!D23</f>
        <v>Ullmann, Raphael</v>
      </c>
      <c r="D25" s="237">
        <v>1.5</v>
      </c>
      <c r="E25" s="237">
        <v>2</v>
      </c>
      <c r="F25" s="237">
        <v>3</v>
      </c>
      <c r="G25" s="237">
        <v>0.5</v>
      </c>
      <c r="H25" s="237">
        <v>1</v>
      </c>
      <c r="I25" s="237">
        <v>4</v>
      </c>
      <c r="J25" s="237">
        <v>0.5</v>
      </c>
      <c r="K25" s="237">
        <v>0</v>
      </c>
      <c r="L25" s="237">
        <v>2</v>
      </c>
      <c r="M25" s="238">
        <v>0</v>
      </c>
      <c r="N25" s="240">
        <f t="shared" si="1"/>
        <v>14.5</v>
      </c>
    </row>
    <row r="26" spans="2:14" ht="18" customHeight="1" x14ac:dyDescent="0.25">
      <c r="B26" s="139">
        <v>20</v>
      </c>
      <c r="C26" s="116" t="str">
        <f>Config!C24&amp;", "&amp;Config!D24</f>
        <v>Hartl, Emmely</v>
      </c>
      <c r="D26" s="237">
        <v>1.5</v>
      </c>
      <c r="E26" s="237">
        <v>3</v>
      </c>
      <c r="F26" s="237">
        <v>3.5</v>
      </c>
      <c r="G26" s="237">
        <v>2.5</v>
      </c>
      <c r="H26" s="237">
        <v>2</v>
      </c>
      <c r="I26" s="237">
        <v>3.5</v>
      </c>
      <c r="J26" s="237">
        <v>2</v>
      </c>
      <c r="K26" s="237">
        <v>0</v>
      </c>
      <c r="L26" s="237">
        <v>1.5</v>
      </c>
      <c r="M26" s="238">
        <v>3.5</v>
      </c>
      <c r="N26" s="239">
        <f t="shared" si="1"/>
        <v>23</v>
      </c>
    </row>
    <row r="27" spans="2:14" ht="18" customHeight="1" x14ac:dyDescent="0.25">
      <c r="B27" s="140">
        <v>21</v>
      </c>
      <c r="C27" s="115" t="str">
        <f>Config!C25&amp;", "&amp;Config!D25</f>
        <v>Klotz, Karin</v>
      </c>
      <c r="D27" s="237">
        <v>2</v>
      </c>
      <c r="E27" s="237">
        <v>2.5</v>
      </c>
      <c r="F27" s="237">
        <v>4</v>
      </c>
      <c r="G27" s="237">
        <v>3</v>
      </c>
      <c r="H27" s="237">
        <v>2.5</v>
      </c>
      <c r="I27" s="237">
        <v>3</v>
      </c>
      <c r="J27" s="237">
        <v>3</v>
      </c>
      <c r="K27" s="237">
        <v>0</v>
      </c>
      <c r="L27" s="237">
        <v>2</v>
      </c>
      <c r="M27" s="238">
        <v>4.5</v>
      </c>
      <c r="N27" s="240">
        <f t="shared" si="1"/>
        <v>26.5</v>
      </c>
    </row>
    <row r="28" spans="2:14" ht="18" customHeight="1" x14ac:dyDescent="0.25">
      <c r="B28" s="139">
        <v>22</v>
      </c>
      <c r="C28" s="116" t="str">
        <f>Config!C26&amp;", "&amp;Config!D26</f>
        <v>Ehlers, Ingo</v>
      </c>
      <c r="D28" s="237">
        <v>0.5</v>
      </c>
      <c r="E28" s="237">
        <v>3</v>
      </c>
      <c r="F28" s="237">
        <v>4</v>
      </c>
      <c r="G28" s="237">
        <v>2</v>
      </c>
      <c r="H28" s="237">
        <v>2.5</v>
      </c>
      <c r="I28" s="237">
        <v>3</v>
      </c>
      <c r="J28" s="237">
        <v>1.5</v>
      </c>
      <c r="K28" s="237">
        <v>0</v>
      </c>
      <c r="L28" s="237">
        <v>2</v>
      </c>
      <c r="M28" s="238">
        <v>2.5</v>
      </c>
      <c r="N28" s="239">
        <f t="shared" si="1"/>
        <v>21</v>
      </c>
    </row>
    <row r="29" spans="2:14" ht="18" customHeight="1" thickBot="1" x14ac:dyDescent="0.3">
      <c r="B29" s="141">
        <v>23</v>
      </c>
      <c r="C29" s="136" t="str">
        <f>Config!C27&amp;", "&amp;Config!D27</f>
        <v>Lindemann, Mads</v>
      </c>
      <c r="D29" s="95">
        <v>1</v>
      </c>
      <c r="E29" s="95">
        <v>2.5</v>
      </c>
      <c r="F29" s="95">
        <v>3.5</v>
      </c>
      <c r="G29" s="95">
        <v>3</v>
      </c>
      <c r="H29" s="95">
        <v>2</v>
      </c>
      <c r="I29" s="95">
        <v>4</v>
      </c>
      <c r="J29" s="95">
        <v>0</v>
      </c>
      <c r="K29" s="95">
        <v>0</v>
      </c>
      <c r="L29" s="95">
        <v>0</v>
      </c>
      <c r="M29" s="96">
        <v>0</v>
      </c>
      <c r="N29" s="144">
        <f t="shared" ref="N29" si="2">SUM(D29:M29)</f>
        <v>16</v>
      </c>
    </row>
    <row r="30" spans="2:14" ht="18" customHeight="1" thickBot="1" x14ac:dyDescent="0.3">
      <c r="B30" s="118"/>
      <c r="C30" s="119"/>
      <c r="D30" s="119">
        <f>IF(COUNTIFS(D7:D29,"&lt;&gt;",C7:C29,"&lt;&gt;ZK",C7:C29,"&lt;&gt;DK")&lt;&gt;0,SUMIFS(D7:D29,C7:C29,"&lt;&gt;ZK",C7:C29,"&lt;&gt;DK")/(COUNTIFS(D7:D29,"&lt;&gt;",C7:C29,"&lt;&gt;ZK",C7:C29,"&lt;&gt;DK")*D6),0)</f>
        <v>0.64130434782608692</v>
      </c>
      <c r="E30" s="119">
        <f>IF(COUNTIFS(E7:E29,"&lt;&gt;",C7:C29,"&lt;&gt;ZK",C7:C29,"&lt;&gt;DK")&lt;&gt;0,SUMIFS(E7:E29,C7:C29,"&lt;&gt;ZK",C7:C29,"&lt;&gt;DK")/(COUNTIFS(E7:E29,"&lt;&gt;",C7:C29,"&lt;&gt;ZK",C7:C29,"&lt;&gt;DK")*E6),0)</f>
        <v>0.79710144927536231</v>
      </c>
      <c r="F30" s="119">
        <f>IF(COUNTIFS(F7:F29,"&lt;&gt;",C7:C29,"&lt;&gt;ZK",C7:C29,"&lt;&gt;DK")&lt;&gt;0,SUMIFS(F7:F29,C7:C29,"&lt;&gt;ZK",C7:C29,"&lt;&gt;DK")/(COUNTIFS(F7:F29,"&lt;&gt;",C7:C29,"&lt;&gt;ZK",C7:C29,"&lt;&gt;DK")*F6),0)</f>
        <v>0.78804347826086951</v>
      </c>
      <c r="G30" s="119">
        <f>IF(COUNTIFS(G7:G29,"&lt;&gt;",C7:C29,"&lt;&gt;ZK",C7:C29,"&lt;&gt;DK")&lt;&gt;0,SUMIFS(G7:G29,C7:C29,"&lt;&gt;ZK",C7:C29,"&lt;&gt;DK")/(COUNTIFS(G7:G29,"&lt;&gt;",C7:C29,"&lt;&gt;ZK",C7:C29,"&lt;&gt;DK")*G6),0)</f>
        <v>0.79710144927536231</v>
      </c>
      <c r="H30" s="119">
        <f>IF(COUNTIFS(H7:H29,"&lt;&gt;",C7:C29,"&lt;&gt;ZK",C7:C29,"&lt;&gt;DK")&lt;&gt;0,SUMIFS(H7:H29,C7:C29,"&lt;&gt;ZK",C7:C29,"&lt;&gt;DK")/(COUNTIFS(H7:H29,"&lt;&gt;",C7:C29,"&lt;&gt;ZK",C7:C29,"&lt;&gt;DK")*H6),0)</f>
        <v>0.78260869565217395</v>
      </c>
      <c r="I30" s="119">
        <f>IF(COUNTIFS(I7:I29,"&lt;&gt;",C7:C29,"&lt;&gt;ZK",C7:C29,"&lt;&gt;DK")&lt;&gt;0,SUMIFS(I7:I29,C7:C29,"&lt;&gt;ZK",C7:C29,"&lt;&gt;DK")/(COUNTIFS(I7:I29,"&lt;&gt;",C7:C29,"&lt;&gt;ZK",C7:C29,"&lt;&gt;DK")*I6),0)</f>
        <v>0.78260869565217395</v>
      </c>
      <c r="J30" s="119">
        <f>IF(COUNTIFS(J7:J29,"&lt;&gt;",C7:C29,"&lt;&gt;ZK",C7:C29,"&lt;&gt;DK")&lt;&gt;0,SUMIFS(J7:J29,C7:C29,"&lt;&gt;ZK",C7:C29,"&lt;&gt;DK")/(COUNTIFS(J7:J29,"&lt;&gt;",C7:C29,"&lt;&gt;ZK",C7:C29,"&lt;&gt;DK")*J6),0)</f>
        <v>0.27536231884057971</v>
      </c>
      <c r="K30" s="119">
        <f>IF(COUNTIFS(K7:K29,"&lt;&gt;",C7:C29,"&lt;&gt;ZK",C7:C29,"&lt;&gt;DK")&lt;&gt;0,SUMIFS(K7:K29,C7:C29,"&lt;&gt;ZK",C7:C29,"&lt;&gt;DK")/(COUNTIFS(K7:K29,"&lt;&gt;",C7:C29,"&lt;&gt;ZK",C7:C29,"&lt;&gt;DK")*K6),0)</f>
        <v>0.11956521739130435</v>
      </c>
      <c r="L30" s="119">
        <f>IF(COUNTIFS(L7:L29,"&lt;&gt;",C7:C29,"&lt;&gt;ZK",C7:C29,"&lt;&gt;DK")&lt;&gt;0,SUMIFS(L7:L29,C7:C29,"&lt;&gt;ZK",C7:C29,"&lt;&gt;DK")/(COUNTIFS(L7:L29,"&lt;&gt;",C7:C29,"&lt;&gt;ZK",C7:C29,"&lt;&gt;DK")*L6),0)</f>
        <v>0.60869565217391308</v>
      </c>
      <c r="M30" s="119">
        <f>IF(COUNTIFS(M7:M29,"&lt;&gt;",C7:C29,"&lt;&gt;ZK",C7:C29,"&lt;&gt;DK")&lt;&gt;0,SUMIFS(M7:M29,C7:C29,"&lt;&gt;ZK",C7:C29,"&lt;&gt;DK")/(COUNTIFS(M7:M29,"&lt;&gt;",C7:C29,"&lt;&gt;ZK",C7:C29,"&lt;&gt;DK")*M6),0)</f>
        <v>0.88043478260869568</v>
      </c>
      <c r="N30" s="120"/>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10">
    <dataValidation type="decimal" allowBlank="1" showErrorMessage="1" sqref="D7:D29" xr:uid="{874FF4F8-71DB-4466-9E1A-83C9EA8DDFEB}">
      <formula1>0</formula1>
      <formula2>$D$6</formula2>
    </dataValidation>
    <dataValidation type="decimal" allowBlank="1" showErrorMessage="1" sqref="E7:E29" xr:uid="{F3A0D915-4705-4ABA-BD91-B132DBCE0A61}">
      <formula1>0</formula1>
      <formula2>$E$6</formula2>
    </dataValidation>
    <dataValidation type="decimal" allowBlank="1" showErrorMessage="1" sqref="F7:F29" xr:uid="{7B036392-1682-4521-825A-07496D5B3ADB}">
      <formula1>0</formula1>
      <formula2>$F$6</formula2>
    </dataValidation>
    <dataValidation type="decimal" allowBlank="1" showErrorMessage="1" sqref="G7:G29" xr:uid="{CD0793F8-0346-43AF-8C03-704DE4DCBA03}">
      <formula1>0</formula1>
      <formula2>$G$6</formula2>
    </dataValidation>
    <dataValidation type="decimal" allowBlank="1" showErrorMessage="1" sqref="H7:H29" xr:uid="{C704A20F-A292-403F-BAD9-64981909BDB3}">
      <formula1>0</formula1>
      <formula2>$H$6</formula2>
    </dataValidation>
    <dataValidation type="decimal" allowBlank="1" showErrorMessage="1" sqref="I7:I29" xr:uid="{3A6793CA-2AF9-46E1-83FD-FC313595831C}">
      <formula1>0</formula1>
      <formula2>$I$6</formula2>
    </dataValidation>
    <dataValidation type="decimal" allowBlank="1" showErrorMessage="1" sqref="J7:J29" xr:uid="{BC54545C-D409-4C6C-A4E8-E9AFA70F1020}">
      <formula1>0</formula1>
      <formula2>$J$6</formula2>
    </dataValidation>
    <dataValidation type="decimal" allowBlank="1" showErrorMessage="1" sqref="K7:K29" xr:uid="{3BD50FA4-C62D-474F-B0F2-1C40E9384FD9}">
      <formula1>0</formula1>
      <formula2>$K$6</formula2>
    </dataValidation>
    <dataValidation type="decimal" allowBlank="1" showErrorMessage="1" sqref="L7:L29" xr:uid="{8A0F86E8-ED57-4817-952B-FFCC43664586}">
      <formula1>0</formula1>
      <formula2>$L$6</formula2>
    </dataValidation>
    <dataValidation type="decimal" allowBlank="1" showErrorMessage="1" sqref="M7:M29" xr:uid="{8B0B83C4-26DC-4AD0-95D4-60EC74F155B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54"/>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5" width="8.6640625" style="98" customWidth="1"/>
    <col min="6" max="16384" width="11.5546875" style="98"/>
  </cols>
  <sheetData>
    <row r="1" spans="2:5" ht="18" customHeight="1" thickBot="1" x14ac:dyDescent="0.3"/>
    <row r="2" spans="2:5" ht="18" customHeight="1" x14ac:dyDescent="0.25">
      <c r="B2" s="99" t="str">
        <f>Config!F2&amp;" "&amp;YEAR(Config!G24)</f>
        <v>Mathe Abitur 2026</v>
      </c>
      <c r="C2" s="100"/>
      <c r="D2" s="101"/>
      <c r="E2" s="102" t="str">
        <f>"Kurs "&amp;Config!G26</f>
        <v>Kurs K1</v>
      </c>
    </row>
    <row r="3" spans="2:5" ht="18" customHeight="1" x14ac:dyDescent="0.25">
      <c r="B3" s="103" t="s">
        <v>11</v>
      </c>
      <c r="C3" s="104"/>
      <c r="D3" s="104"/>
      <c r="E3" s="105"/>
    </row>
    <row r="4" spans="2:5" ht="18" customHeight="1" thickBot="1" x14ac:dyDescent="0.3">
      <c r="B4" s="103"/>
      <c r="C4" s="104"/>
      <c r="D4" s="106"/>
      <c r="E4" s="107"/>
    </row>
    <row r="5" spans="2:5" ht="18" customHeight="1" thickBot="1" x14ac:dyDescent="0.3">
      <c r="B5" s="108"/>
      <c r="C5" s="110"/>
      <c r="D5" s="123" t="str">
        <f>Config!J6</f>
        <v>1</v>
      </c>
      <c r="E5" s="114" t="s">
        <v>82</v>
      </c>
    </row>
    <row r="6" spans="2:5" ht="18" customHeight="1" thickBot="1" x14ac:dyDescent="0.3">
      <c r="B6" s="109"/>
      <c r="C6" s="111" t="s">
        <v>81</v>
      </c>
      <c r="D6" s="113">
        <f>Config!K6</f>
        <v>5</v>
      </c>
      <c r="E6" s="124">
        <f>Config!K21</f>
        <v>5</v>
      </c>
    </row>
    <row r="7" spans="2:5" ht="18" customHeight="1" x14ac:dyDescent="0.25">
      <c r="B7" s="138">
        <v>1</v>
      </c>
      <c r="C7" s="135" t="str">
        <f>Config!C5&amp;", "&amp;Config!D5</f>
        <v>Höfer, Simon</v>
      </c>
      <c r="D7" s="235">
        <v>2.5</v>
      </c>
      <c r="E7" s="236">
        <f t="shared" ref="E7:E17" si="0">SUM(D7:D7)</f>
        <v>2.5</v>
      </c>
    </row>
    <row r="8" spans="2:5" ht="18" customHeight="1" x14ac:dyDescent="0.25">
      <c r="B8" s="139">
        <v>2</v>
      </c>
      <c r="C8" s="116" t="str">
        <f>Config!C6&amp;", "&amp;Config!D6</f>
        <v>Töpfer, Lilian</v>
      </c>
      <c r="D8" s="238">
        <v>5</v>
      </c>
      <c r="E8" s="239">
        <f t="shared" si="0"/>
        <v>5</v>
      </c>
    </row>
    <row r="9" spans="2:5" ht="18" customHeight="1" x14ac:dyDescent="0.25">
      <c r="B9" s="140">
        <v>3</v>
      </c>
      <c r="C9" s="115" t="str">
        <f>Config!C7&amp;", "&amp;Config!D7</f>
        <v>Fleischmann, Leonie</v>
      </c>
      <c r="D9" s="238">
        <v>2.5</v>
      </c>
      <c r="E9" s="240">
        <f t="shared" si="0"/>
        <v>2.5</v>
      </c>
    </row>
    <row r="10" spans="2:5" ht="18" customHeight="1" x14ac:dyDescent="0.25">
      <c r="B10" s="139">
        <v>4</v>
      </c>
      <c r="C10" s="116" t="str">
        <f>Config!C8&amp;", "&amp;Config!D8</f>
        <v>Drescher, Cedric</v>
      </c>
      <c r="D10" s="238">
        <v>2.5</v>
      </c>
      <c r="E10" s="239">
        <f t="shared" si="0"/>
        <v>2.5</v>
      </c>
    </row>
    <row r="11" spans="2:5" ht="18" customHeight="1" x14ac:dyDescent="0.25">
      <c r="B11" s="140">
        <v>5</v>
      </c>
      <c r="C11" s="115" t="str">
        <f>Config!C9&amp;", "&amp;Config!D9</f>
        <v>Baumgarten, Annabell</v>
      </c>
      <c r="D11" s="238">
        <v>2.5</v>
      </c>
      <c r="E11" s="240">
        <f t="shared" si="0"/>
        <v>2.5</v>
      </c>
    </row>
    <row r="12" spans="2:5" ht="18" customHeight="1" x14ac:dyDescent="0.25">
      <c r="B12" s="139">
        <v>6</v>
      </c>
      <c r="C12" s="116" t="str">
        <f>Config!C10&amp;", "&amp;Config!D10</f>
        <v>Traut, Stefanie</v>
      </c>
      <c r="D12" s="238">
        <v>3</v>
      </c>
      <c r="E12" s="239">
        <f t="shared" si="0"/>
        <v>3</v>
      </c>
    </row>
    <row r="13" spans="2:5" ht="18" customHeight="1" x14ac:dyDescent="0.25">
      <c r="B13" s="140">
        <v>7</v>
      </c>
      <c r="C13" s="115" t="str">
        <f>Config!C11&amp;", "&amp;Config!D11</f>
        <v>Menke, Damian</v>
      </c>
      <c r="D13" s="238">
        <v>5</v>
      </c>
      <c r="E13" s="240">
        <f t="shared" si="0"/>
        <v>5</v>
      </c>
    </row>
    <row r="14" spans="2:5" ht="18" customHeight="1" x14ac:dyDescent="0.25">
      <c r="B14" s="139">
        <v>8</v>
      </c>
      <c r="C14" s="116" t="str">
        <f>Config!C12&amp;", "&amp;Config!D12</f>
        <v>Carroll, Meik</v>
      </c>
      <c r="D14" s="238">
        <v>5</v>
      </c>
      <c r="E14" s="239">
        <f t="shared" si="0"/>
        <v>5</v>
      </c>
    </row>
    <row r="15" spans="2:5" ht="18" customHeight="1" x14ac:dyDescent="0.25">
      <c r="B15" s="140">
        <v>9</v>
      </c>
      <c r="C15" s="115" t="str">
        <f>Config!C13&amp;", "&amp;Config!D13</f>
        <v>Hennings, Tomas</v>
      </c>
      <c r="D15" s="238">
        <v>4</v>
      </c>
      <c r="E15" s="240">
        <f t="shared" si="0"/>
        <v>4</v>
      </c>
    </row>
    <row r="16" spans="2:5" ht="18" customHeight="1" x14ac:dyDescent="0.25">
      <c r="B16" s="139">
        <v>10</v>
      </c>
      <c r="C16" s="116" t="str">
        <f>Config!C14&amp;", "&amp;Config!D14</f>
        <v>Walters, Linn</v>
      </c>
      <c r="D16" s="238">
        <v>2.5</v>
      </c>
      <c r="E16" s="239">
        <f t="shared" si="0"/>
        <v>2.5</v>
      </c>
    </row>
    <row r="17" spans="2:5" ht="18" customHeight="1" x14ac:dyDescent="0.25">
      <c r="B17" s="140">
        <v>11</v>
      </c>
      <c r="C17" s="115" t="str">
        <f>Config!C15&amp;", "&amp;Config!D15</f>
        <v>Junker, Amely</v>
      </c>
      <c r="D17" s="238">
        <v>2</v>
      </c>
      <c r="E17" s="240">
        <f t="shared" si="0"/>
        <v>2</v>
      </c>
    </row>
    <row r="18" spans="2:5" ht="18" customHeight="1" x14ac:dyDescent="0.25">
      <c r="B18" s="139">
        <v>12</v>
      </c>
      <c r="C18" s="116" t="str">
        <f>Config!C16&amp;", "&amp;Config!D16</f>
        <v>Stephens, Melvin</v>
      </c>
      <c r="D18" s="238">
        <v>2.5</v>
      </c>
      <c r="E18" s="239">
        <f t="shared" ref="E18:E28" si="1">SUM(D18:D18)</f>
        <v>2.5</v>
      </c>
    </row>
    <row r="19" spans="2:5" ht="18" customHeight="1" x14ac:dyDescent="0.25">
      <c r="B19" s="140">
        <v>13</v>
      </c>
      <c r="C19" s="115" t="str">
        <f>Config!C17&amp;", "&amp;Config!D17</f>
        <v>Cremer, Marvin</v>
      </c>
      <c r="D19" s="238">
        <v>5</v>
      </c>
      <c r="E19" s="240">
        <f t="shared" si="1"/>
        <v>5</v>
      </c>
    </row>
    <row r="20" spans="2:5" ht="18" customHeight="1" x14ac:dyDescent="0.25">
      <c r="B20" s="139">
        <v>14</v>
      </c>
      <c r="C20" s="116" t="str">
        <f>Config!C18&amp;", "&amp;Config!D18</f>
        <v>Nash, Jean</v>
      </c>
      <c r="D20" s="238">
        <v>5</v>
      </c>
      <c r="E20" s="239">
        <f t="shared" si="1"/>
        <v>5</v>
      </c>
    </row>
    <row r="21" spans="2:5" ht="18" customHeight="1" x14ac:dyDescent="0.25">
      <c r="B21" s="140">
        <v>15</v>
      </c>
      <c r="C21" s="115" t="str">
        <f>Config!C19&amp;", "&amp;Config!D19</f>
        <v>Schön, Leonardo</v>
      </c>
      <c r="D21" s="238">
        <v>2.5</v>
      </c>
      <c r="E21" s="240">
        <f t="shared" si="1"/>
        <v>2.5</v>
      </c>
    </row>
    <row r="22" spans="2:5" ht="18" customHeight="1" x14ac:dyDescent="0.25">
      <c r="B22" s="139">
        <v>16</v>
      </c>
      <c r="C22" s="116" t="str">
        <f>Config!C20&amp;", "&amp;Config!D20</f>
        <v>Sigl, Nicholas</v>
      </c>
      <c r="D22" s="238">
        <v>5</v>
      </c>
      <c r="E22" s="239">
        <f t="shared" si="1"/>
        <v>5</v>
      </c>
    </row>
    <row r="23" spans="2:5" ht="18" customHeight="1" x14ac:dyDescent="0.25">
      <c r="B23" s="140">
        <v>17</v>
      </c>
      <c r="C23" s="115" t="str">
        <f>Config!C21&amp;", "&amp;Config!D21</f>
        <v>Kainz, Vivienne</v>
      </c>
      <c r="D23" s="238">
        <v>5</v>
      </c>
      <c r="E23" s="240">
        <f t="shared" si="1"/>
        <v>5</v>
      </c>
    </row>
    <row r="24" spans="2:5" ht="18" customHeight="1" x14ac:dyDescent="0.25">
      <c r="B24" s="139">
        <v>18</v>
      </c>
      <c r="C24" s="116" t="str">
        <f>Config!C22&amp;", "&amp;Config!D22</f>
        <v>Hartmann, Mads</v>
      </c>
      <c r="D24" s="238">
        <v>2.5</v>
      </c>
      <c r="E24" s="239">
        <f t="shared" si="1"/>
        <v>2.5</v>
      </c>
    </row>
    <row r="25" spans="2:5" ht="18" customHeight="1" x14ac:dyDescent="0.25">
      <c r="B25" s="140">
        <v>19</v>
      </c>
      <c r="C25" s="115" t="str">
        <f>Config!C23&amp;", "&amp;Config!D23</f>
        <v>Ullmann, Raphael</v>
      </c>
      <c r="D25" s="238">
        <v>5</v>
      </c>
      <c r="E25" s="240">
        <f t="shared" si="1"/>
        <v>5</v>
      </c>
    </row>
    <row r="26" spans="2:5" ht="18" customHeight="1" x14ac:dyDescent="0.25">
      <c r="B26" s="139">
        <v>20</v>
      </c>
      <c r="C26" s="116" t="str">
        <f>Config!C24&amp;", "&amp;Config!D24</f>
        <v>Hartl, Emmely</v>
      </c>
      <c r="D26" s="238">
        <v>3</v>
      </c>
      <c r="E26" s="239">
        <f t="shared" si="1"/>
        <v>3</v>
      </c>
    </row>
    <row r="27" spans="2:5" ht="18" customHeight="1" x14ac:dyDescent="0.25">
      <c r="B27" s="140">
        <v>21</v>
      </c>
      <c r="C27" s="115" t="str">
        <f>Config!C25&amp;", "&amp;Config!D25</f>
        <v>Klotz, Karin</v>
      </c>
      <c r="D27" s="238">
        <v>4</v>
      </c>
      <c r="E27" s="240">
        <f t="shared" si="1"/>
        <v>4</v>
      </c>
    </row>
    <row r="28" spans="2:5" ht="18" customHeight="1" x14ac:dyDescent="0.25">
      <c r="B28" s="139">
        <v>22</v>
      </c>
      <c r="C28" s="116" t="str">
        <f>Config!C26&amp;", "&amp;Config!D26</f>
        <v>Ehlers, Ingo</v>
      </c>
      <c r="D28" s="238">
        <v>5</v>
      </c>
      <c r="E28" s="239">
        <f t="shared" si="1"/>
        <v>5</v>
      </c>
    </row>
    <row r="29" spans="2:5" ht="18" customHeight="1" thickBot="1" x14ac:dyDescent="0.3">
      <c r="B29" s="141">
        <v>23</v>
      </c>
      <c r="C29" s="136" t="str">
        <f>Config!C27&amp;", "&amp;Config!D27</f>
        <v>Lindemann, Mads</v>
      </c>
      <c r="D29" s="96">
        <v>5</v>
      </c>
      <c r="E29" s="144">
        <f t="shared" ref="E29" si="2">SUM(D29:D29)</f>
        <v>5</v>
      </c>
    </row>
    <row r="30" spans="2:5" ht="18" customHeight="1" thickBot="1" x14ac:dyDescent="0.3">
      <c r="B30" s="118"/>
      <c r="C30" s="119"/>
      <c r="D30" s="119">
        <f>IF(COUNTIFS(D7:D29,"&lt;&gt;",C7:C29,"&lt;&gt;ZK",C7:C29,"&lt;&gt;DK")&lt;&gt;0,SUMIFS(D7:D29,C7:C29,"&lt;&gt;ZK",C7:C29,"&lt;&gt;DK")/(COUNTIFS(D7:D29,"&lt;&gt;",C7:C29,"&lt;&gt;ZK",C7:C29,"&lt;&gt;DK")*D6),0)</f>
        <v>0.74782608695652175</v>
      </c>
      <c r="E30" s="120"/>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1">
    <dataValidation type="decimal" allowBlank="1" showErrorMessage="1" sqref="D7:D29" xr:uid="{4118106A-3701-44F6-BA20-381781B9B05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54"/>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12</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3" t="str">
        <f>Config!L6</f>
        <v>1a</v>
      </c>
      <c r="E5" s="123" t="str">
        <f>Config!L7</f>
        <v>1b</v>
      </c>
      <c r="F5" s="123" t="str">
        <f>Config!L8</f>
        <v>1c</v>
      </c>
      <c r="G5" s="123" t="str">
        <f>Config!L9</f>
        <v>1d</v>
      </c>
      <c r="H5" s="123" t="str">
        <f>Config!L10</f>
        <v>2</v>
      </c>
      <c r="I5" s="114" t="s">
        <v>82</v>
      </c>
    </row>
    <row r="6" spans="2:9" ht="18" customHeight="1" thickBot="1" x14ac:dyDescent="0.3">
      <c r="B6" s="109"/>
      <c r="C6" s="111" t="s">
        <v>81</v>
      </c>
      <c r="D6" s="113">
        <f>Config!M6</f>
        <v>2</v>
      </c>
      <c r="E6" s="113">
        <f>Config!M7</f>
        <v>2</v>
      </c>
      <c r="F6" s="113">
        <f>Config!M8</f>
        <v>2</v>
      </c>
      <c r="G6" s="113">
        <f>Config!M9</f>
        <v>4</v>
      </c>
      <c r="H6" s="113">
        <f>Config!M10</f>
        <v>7</v>
      </c>
      <c r="I6" s="124">
        <f>Config!M21</f>
        <v>17</v>
      </c>
    </row>
    <row r="7" spans="2:9" ht="18" customHeight="1" x14ac:dyDescent="0.25">
      <c r="B7" s="138">
        <v>1</v>
      </c>
      <c r="C7" s="135" t="str">
        <f>Config!C5&amp;", "&amp;Config!D5</f>
        <v>Höfer, Simon</v>
      </c>
      <c r="D7" s="234">
        <v>2</v>
      </c>
      <c r="E7" s="234">
        <v>2</v>
      </c>
      <c r="F7" s="234">
        <v>2</v>
      </c>
      <c r="G7" s="234">
        <v>4</v>
      </c>
      <c r="H7" s="235">
        <v>3</v>
      </c>
      <c r="I7" s="236">
        <f t="shared" ref="I7:I17" si="0">SUM(D7:H7)</f>
        <v>13</v>
      </c>
    </row>
    <row r="8" spans="2:9" ht="18" customHeight="1" x14ac:dyDescent="0.25">
      <c r="B8" s="139">
        <v>2</v>
      </c>
      <c r="C8" s="116" t="str">
        <f>Config!C6&amp;", "&amp;Config!D6</f>
        <v>Töpfer, Lilian</v>
      </c>
      <c r="D8" s="237">
        <v>1</v>
      </c>
      <c r="E8" s="237">
        <v>2</v>
      </c>
      <c r="F8" s="237">
        <v>1</v>
      </c>
      <c r="G8" s="237">
        <v>2</v>
      </c>
      <c r="H8" s="238">
        <v>1</v>
      </c>
      <c r="I8" s="239">
        <f t="shared" si="0"/>
        <v>7</v>
      </c>
    </row>
    <row r="9" spans="2:9" ht="18" customHeight="1" x14ac:dyDescent="0.25">
      <c r="B9" s="140">
        <v>3</v>
      </c>
      <c r="C9" s="115" t="str">
        <f>Config!C7&amp;", "&amp;Config!D7</f>
        <v>Fleischmann, Leonie</v>
      </c>
      <c r="D9" s="237">
        <v>2</v>
      </c>
      <c r="E9" s="237">
        <v>2</v>
      </c>
      <c r="F9" s="237">
        <v>1</v>
      </c>
      <c r="G9" s="237">
        <v>3</v>
      </c>
      <c r="H9" s="238">
        <v>0</v>
      </c>
      <c r="I9" s="240">
        <f t="shared" si="0"/>
        <v>8</v>
      </c>
    </row>
    <row r="10" spans="2:9" ht="18" customHeight="1" x14ac:dyDescent="0.25">
      <c r="B10" s="139">
        <v>4</v>
      </c>
      <c r="C10" s="116" t="str">
        <f>Config!C8&amp;", "&amp;Config!D8</f>
        <v>Drescher, Cedric</v>
      </c>
      <c r="D10" s="237">
        <v>2</v>
      </c>
      <c r="E10" s="237">
        <v>2</v>
      </c>
      <c r="F10" s="237">
        <v>1</v>
      </c>
      <c r="G10" s="237">
        <v>4</v>
      </c>
      <c r="H10" s="238">
        <v>0</v>
      </c>
      <c r="I10" s="239">
        <f t="shared" si="0"/>
        <v>9</v>
      </c>
    </row>
    <row r="11" spans="2:9" ht="18" customHeight="1" x14ac:dyDescent="0.25">
      <c r="B11" s="140">
        <v>5</v>
      </c>
      <c r="C11" s="115" t="str">
        <f>Config!C9&amp;", "&amp;Config!D9</f>
        <v>Baumgarten, Annabell</v>
      </c>
      <c r="D11" s="237">
        <v>1</v>
      </c>
      <c r="E11" s="237">
        <v>1</v>
      </c>
      <c r="F11" s="237">
        <v>1</v>
      </c>
      <c r="G11" s="237">
        <v>1.5</v>
      </c>
      <c r="H11" s="238">
        <v>0</v>
      </c>
      <c r="I11" s="240">
        <f t="shared" si="0"/>
        <v>4.5</v>
      </c>
    </row>
    <row r="12" spans="2:9" ht="18" customHeight="1" x14ac:dyDescent="0.25">
      <c r="B12" s="139">
        <v>6</v>
      </c>
      <c r="C12" s="116" t="str">
        <f>Config!C10&amp;", "&amp;Config!D10</f>
        <v>Traut, Stefanie</v>
      </c>
      <c r="D12" s="237">
        <v>2</v>
      </c>
      <c r="E12" s="237">
        <v>0.5</v>
      </c>
      <c r="F12" s="237">
        <v>1</v>
      </c>
      <c r="G12" s="237">
        <v>4</v>
      </c>
      <c r="H12" s="238">
        <v>3</v>
      </c>
      <c r="I12" s="239">
        <f t="shared" si="0"/>
        <v>10.5</v>
      </c>
    </row>
    <row r="13" spans="2:9" ht="18" customHeight="1" x14ac:dyDescent="0.25">
      <c r="B13" s="140">
        <v>7</v>
      </c>
      <c r="C13" s="115" t="str">
        <f>Config!C11&amp;", "&amp;Config!D11</f>
        <v>Menke, Damian</v>
      </c>
      <c r="D13" s="237">
        <v>2</v>
      </c>
      <c r="E13" s="237">
        <v>2</v>
      </c>
      <c r="F13" s="237">
        <v>2</v>
      </c>
      <c r="G13" s="237">
        <v>2.5</v>
      </c>
      <c r="H13" s="238">
        <v>0</v>
      </c>
      <c r="I13" s="240">
        <f t="shared" si="0"/>
        <v>8.5</v>
      </c>
    </row>
    <row r="14" spans="2:9" ht="18" customHeight="1" x14ac:dyDescent="0.25">
      <c r="B14" s="139">
        <v>8</v>
      </c>
      <c r="C14" s="116" t="str">
        <f>Config!C12&amp;", "&amp;Config!D12</f>
        <v>Carroll, Meik</v>
      </c>
      <c r="D14" s="237">
        <v>2</v>
      </c>
      <c r="E14" s="237">
        <v>2</v>
      </c>
      <c r="F14" s="237">
        <v>2</v>
      </c>
      <c r="G14" s="237">
        <v>2</v>
      </c>
      <c r="H14" s="238">
        <v>0.5</v>
      </c>
      <c r="I14" s="239">
        <f t="shared" si="0"/>
        <v>8.5</v>
      </c>
    </row>
    <row r="15" spans="2:9" ht="18" customHeight="1" x14ac:dyDescent="0.25">
      <c r="B15" s="140">
        <v>9</v>
      </c>
      <c r="C15" s="115" t="str">
        <f>Config!C13&amp;", "&amp;Config!D13</f>
        <v>Hennings, Tomas</v>
      </c>
      <c r="D15" s="237">
        <v>2</v>
      </c>
      <c r="E15" s="237">
        <v>2</v>
      </c>
      <c r="F15" s="237">
        <v>2</v>
      </c>
      <c r="G15" s="237">
        <v>4</v>
      </c>
      <c r="H15" s="238">
        <v>3</v>
      </c>
      <c r="I15" s="240">
        <f t="shared" si="0"/>
        <v>13</v>
      </c>
    </row>
    <row r="16" spans="2:9" ht="18" customHeight="1" x14ac:dyDescent="0.25">
      <c r="B16" s="139">
        <v>10</v>
      </c>
      <c r="C16" s="116" t="str">
        <f>Config!C14&amp;", "&amp;Config!D14</f>
        <v>Walters, Linn</v>
      </c>
      <c r="D16" s="237">
        <v>2</v>
      </c>
      <c r="E16" s="237">
        <v>2</v>
      </c>
      <c r="F16" s="237">
        <v>2</v>
      </c>
      <c r="G16" s="237">
        <v>2</v>
      </c>
      <c r="H16" s="238">
        <v>0</v>
      </c>
      <c r="I16" s="239">
        <f t="shared" si="0"/>
        <v>8</v>
      </c>
    </row>
    <row r="17" spans="2:9" ht="18" customHeight="1" x14ac:dyDescent="0.25">
      <c r="B17" s="140">
        <v>11</v>
      </c>
      <c r="C17" s="115" t="str">
        <f>Config!C15&amp;", "&amp;Config!D15</f>
        <v>Junker, Amely</v>
      </c>
      <c r="D17" s="237">
        <v>1</v>
      </c>
      <c r="E17" s="237">
        <v>0</v>
      </c>
      <c r="F17" s="237">
        <v>2</v>
      </c>
      <c r="G17" s="237">
        <v>1.5</v>
      </c>
      <c r="H17" s="238">
        <v>2</v>
      </c>
      <c r="I17" s="240">
        <f t="shared" si="0"/>
        <v>6.5</v>
      </c>
    </row>
    <row r="18" spans="2:9" ht="18" customHeight="1" x14ac:dyDescent="0.25">
      <c r="B18" s="139">
        <v>12</v>
      </c>
      <c r="C18" s="116" t="str">
        <f>Config!C16&amp;", "&amp;Config!D16</f>
        <v>Stephens, Melvin</v>
      </c>
      <c r="D18" s="237">
        <v>2</v>
      </c>
      <c r="E18" s="237">
        <v>2</v>
      </c>
      <c r="F18" s="237">
        <v>1</v>
      </c>
      <c r="G18" s="237">
        <v>0.5</v>
      </c>
      <c r="H18" s="238">
        <v>0</v>
      </c>
      <c r="I18" s="239">
        <f t="shared" ref="I18:I28" si="1">SUM(D18:H18)</f>
        <v>5.5</v>
      </c>
    </row>
    <row r="19" spans="2:9" ht="18" customHeight="1" x14ac:dyDescent="0.25">
      <c r="B19" s="140">
        <v>13</v>
      </c>
      <c r="C19" s="115" t="str">
        <f>Config!C17&amp;", "&amp;Config!D17</f>
        <v>Cremer, Marvin</v>
      </c>
      <c r="D19" s="237">
        <v>2</v>
      </c>
      <c r="E19" s="237">
        <v>0</v>
      </c>
      <c r="F19" s="237">
        <v>1.5</v>
      </c>
      <c r="G19" s="237">
        <v>0</v>
      </c>
      <c r="H19" s="238">
        <v>2</v>
      </c>
      <c r="I19" s="240">
        <f t="shared" si="1"/>
        <v>5.5</v>
      </c>
    </row>
    <row r="20" spans="2:9" ht="18" customHeight="1" x14ac:dyDescent="0.25">
      <c r="B20" s="139">
        <v>14</v>
      </c>
      <c r="C20" s="116" t="str">
        <f>Config!C18&amp;", "&amp;Config!D18</f>
        <v>Nash, Jean</v>
      </c>
      <c r="D20" s="237">
        <v>2</v>
      </c>
      <c r="E20" s="237">
        <v>0</v>
      </c>
      <c r="F20" s="237">
        <v>1</v>
      </c>
      <c r="G20" s="237">
        <v>2</v>
      </c>
      <c r="H20" s="238">
        <v>3</v>
      </c>
      <c r="I20" s="239">
        <f t="shared" si="1"/>
        <v>8</v>
      </c>
    </row>
    <row r="21" spans="2:9" ht="18" customHeight="1" x14ac:dyDescent="0.25">
      <c r="B21" s="140">
        <v>15</v>
      </c>
      <c r="C21" s="115" t="str">
        <f>Config!C19&amp;", "&amp;Config!D19</f>
        <v>Schön, Leonardo</v>
      </c>
      <c r="D21" s="237">
        <v>2</v>
      </c>
      <c r="E21" s="237">
        <v>0.5</v>
      </c>
      <c r="F21" s="237">
        <v>1.5</v>
      </c>
      <c r="G21" s="237">
        <v>3</v>
      </c>
      <c r="H21" s="238">
        <v>1</v>
      </c>
      <c r="I21" s="240">
        <f t="shared" si="1"/>
        <v>8</v>
      </c>
    </row>
    <row r="22" spans="2:9" ht="18" customHeight="1" x14ac:dyDescent="0.25">
      <c r="B22" s="139">
        <v>16</v>
      </c>
      <c r="C22" s="116" t="str">
        <f>Config!C20&amp;", "&amp;Config!D20</f>
        <v>Sigl, Nicholas</v>
      </c>
      <c r="D22" s="237">
        <v>0</v>
      </c>
      <c r="E22" s="237">
        <v>0</v>
      </c>
      <c r="F22" s="237">
        <v>0</v>
      </c>
      <c r="G22" s="237">
        <v>0</v>
      </c>
      <c r="H22" s="238">
        <v>0</v>
      </c>
      <c r="I22" s="239">
        <f t="shared" si="1"/>
        <v>0</v>
      </c>
    </row>
    <row r="23" spans="2:9" ht="18" customHeight="1" x14ac:dyDescent="0.25">
      <c r="B23" s="140">
        <v>17</v>
      </c>
      <c r="C23" s="115" t="str">
        <f>Config!C21&amp;", "&amp;Config!D21</f>
        <v>Kainz, Vivienne</v>
      </c>
      <c r="D23" s="237">
        <v>1</v>
      </c>
      <c r="E23" s="237">
        <v>1</v>
      </c>
      <c r="F23" s="237">
        <v>1.5</v>
      </c>
      <c r="G23" s="237">
        <v>1</v>
      </c>
      <c r="H23" s="238">
        <v>3</v>
      </c>
      <c r="I23" s="240">
        <f t="shared" si="1"/>
        <v>7.5</v>
      </c>
    </row>
    <row r="24" spans="2:9" ht="18" customHeight="1" x14ac:dyDescent="0.25">
      <c r="B24" s="139">
        <v>18</v>
      </c>
      <c r="C24" s="116" t="str">
        <f>Config!C22&amp;", "&amp;Config!D22</f>
        <v>Hartmann, Mads</v>
      </c>
      <c r="D24" s="237">
        <v>2</v>
      </c>
      <c r="E24" s="237">
        <v>2</v>
      </c>
      <c r="F24" s="237">
        <v>1</v>
      </c>
      <c r="G24" s="237">
        <v>2</v>
      </c>
      <c r="H24" s="238">
        <v>0</v>
      </c>
      <c r="I24" s="239">
        <f t="shared" si="1"/>
        <v>7</v>
      </c>
    </row>
    <row r="25" spans="2:9" ht="18" customHeight="1" x14ac:dyDescent="0.25">
      <c r="B25" s="140">
        <v>19</v>
      </c>
      <c r="C25" s="115" t="str">
        <f>Config!C23&amp;", "&amp;Config!D23</f>
        <v>Ullmann, Raphael</v>
      </c>
      <c r="D25" s="237">
        <v>2</v>
      </c>
      <c r="E25" s="237">
        <v>0.5</v>
      </c>
      <c r="F25" s="237">
        <v>1.5</v>
      </c>
      <c r="G25" s="237">
        <v>2</v>
      </c>
      <c r="H25" s="238">
        <v>1</v>
      </c>
      <c r="I25" s="240">
        <f t="shared" si="1"/>
        <v>7</v>
      </c>
    </row>
    <row r="26" spans="2:9" ht="18" customHeight="1" x14ac:dyDescent="0.25">
      <c r="B26" s="139">
        <v>20</v>
      </c>
      <c r="C26" s="116" t="str">
        <f>Config!C24&amp;", "&amp;Config!D24</f>
        <v>Hartl, Emmely</v>
      </c>
      <c r="D26" s="237">
        <v>2</v>
      </c>
      <c r="E26" s="237">
        <v>0.5</v>
      </c>
      <c r="F26" s="237">
        <v>2</v>
      </c>
      <c r="G26" s="237">
        <v>0</v>
      </c>
      <c r="H26" s="238">
        <v>0</v>
      </c>
      <c r="I26" s="239">
        <f t="shared" si="1"/>
        <v>4.5</v>
      </c>
    </row>
    <row r="27" spans="2:9" ht="18" customHeight="1" x14ac:dyDescent="0.25">
      <c r="B27" s="140">
        <v>21</v>
      </c>
      <c r="C27" s="115" t="str">
        <f>Config!C25&amp;", "&amp;Config!D25</f>
        <v>Klotz, Karin</v>
      </c>
      <c r="D27" s="237">
        <v>1</v>
      </c>
      <c r="E27" s="237">
        <v>2</v>
      </c>
      <c r="F27" s="237">
        <v>1</v>
      </c>
      <c r="G27" s="237">
        <v>2</v>
      </c>
      <c r="H27" s="238">
        <v>0</v>
      </c>
      <c r="I27" s="240">
        <f t="shared" si="1"/>
        <v>6</v>
      </c>
    </row>
    <row r="28" spans="2:9" ht="18" customHeight="1" x14ac:dyDescent="0.25">
      <c r="B28" s="139">
        <v>22</v>
      </c>
      <c r="C28" s="116" t="str">
        <f>Config!C26&amp;", "&amp;Config!D26</f>
        <v>Ehlers, Ingo</v>
      </c>
      <c r="D28" s="237">
        <v>2</v>
      </c>
      <c r="E28" s="237">
        <v>0</v>
      </c>
      <c r="F28" s="237">
        <v>2</v>
      </c>
      <c r="G28" s="237">
        <v>1.5</v>
      </c>
      <c r="H28" s="238">
        <v>0</v>
      </c>
      <c r="I28" s="239">
        <f t="shared" si="1"/>
        <v>5.5</v>
      </c>
    </row>
    <row r="29" spans="2:9" ht="18" customHeight="1" thickBot="1" x14ac:dyDescent="0.3">
      <c r="B29" s="141">
        <v>23</v>
      </c>
      <c r="C29" s="136" t="str">
        <f>Config!C27&amp;", "&amp;Config!D27</f>
        <v>Lindemann, Mads</v>
      </c>
      <c r="D29" s="95">
        <v>2</v>
      </c>
      <c r="E29" s="95">
        <v>2</v>
      </c>
      <c r="F29" s="95">
        <v>2</v>
      </c>
      <c r="G29" s="95">
        <v>4</v>
      </c>
      <c r="H29" s="96">
        <v>0</v>
      </c>
      <c r="I29" s="144">
        <f t="shared" ref="I29" si="2">SUM(D29:H29)</f>
        <v>10</v>
      </c>
    </row>
    <row r="30" spans="2:9" ht="18" customHeight="1" thickBot="1" x14ac:dyDescent="0.3">
      <c r="B30" s="118"/>
      <c r="C30" s="119"/>
      <c r="D30" s="119">
        <f>IF(COUNTIFS(D7:D29,"&lt;&gt;",C7:C29,"&lt;&gt;ZK",C7:C29,"&lt;&gt;DK")&lt;&gt;0,SUMIFS(D7:D29,C7:C29,"&lt;&gt;ZK",C7:C29,"&lt;&gt;DK")/(COUNTIFS(D7:D29,"&lt;&gt;",C7:C29,"&lt;&gt;ZK",C7:C29,"&lt;&gt;DK")*D6),0)</f>
        <v>0.84782608695652173</v>
      </c>
      <c r="E30" s="119">
        <f>IF(COUNTIFS(E7:E29,"&lt;&gt;",C7:C29,"&lt;&gt;ZK",C7:C29,"&lt;&gt;DK")&lt;&gt;0,SUMIFS(E7:E29,C7:C29,"&lt;&gt;ZK",C7:C29,"&lt;&gt;DK")/(COUNTIFS(E7:E29,"&lt;&gt;",C7:C29,"&lt;&gt;ZK",C7:C29,"&lt;&gt;DK")*E6),0)</f>
        <v>0.60869565217391308</v>
      </c>
      <c r="F30" s="119">
        <f>IF(COUNTIFS(F7:F29,"&lt;&gt;",C7:C29,"&lt;&gt;ZK",C7:C29,"&lt;&gt;DK")&lt;&gt;0,SUMIFS(F7:F29,C7:C29,"&lt;&gt;ZK",C7:C29,"&lt;&gt;DK")/(COUNTIFS(F7:F29,"&lt;&gt;",C7:C29,"&lt;&gt;ZK",C7:C29,"&lt;&gt;DK")*F6),0)</f>
        <v>0.71739130434782605</v>
      </c>
      <c r="G30" s="119">
        <f>IF(COUNTIFS(G7:G29,"&lt;&gt;",C7:C29,"&lt;&gt;ZK",C7:C29,"&lt;&gt;DK")&lt;&gt;0,SUMIFS(G7:G29,C7:C29,"&lt;&gt;ZK",C7:C29,"&lt;&gt;DK")/(COUNTIFS(G7:G29,"&lt;&gt;",C7:C29,"&lt;&gt;ZK",C7:C29,"&lt;&gt;DK")*G6),0)</f>
        <v>0.52717391304347827</v>
      </c>
      <c r="H30" s="119">
        <f>IF(COUNTIFS(H7:H29,"&lt;&gt;",C7:C29,"&lt;&gt;ZK",C7:C29,"&lt;&gt;DK")&lt;&gt;0,SUMIFS(H7:H29,C7:C29,"&lt;&gt;ZK",C7:C29,"&lt;&gt;DK")/(COUNTIFS(H7:H29,"&lt;&gt;",C7:C29,"&lt;&gt;ZK",C7:C29,"&lt;&gt;DK")*H6),0)</f>
        <v>0.13975155279503104</v>
      </c>
      <c r="I30" s="12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5">
    <dataValidation type="decimal" allowBlank="1" showErrorMessage="1" sqref="D7:D29" xr:uid="{227C5B74-5567-4EEF-81FC-93E5F19A9E41}">
      <formula1>0</formula1>
      <formula2>$D$6</formula2>
    </dataValidation>
    <dataValidation type="decimal" allowBlank="1" showErrorMessage="1" sqref="E7:E29" xr:uid="{C9262354-9CD1-4D00-86A2-C8802C99F699}">
      <formula1>0</formula1>
      <formula2>$E$6</formula2>
    </dataValidation>
    <dataValidation type="decimal" allowBlank="1" showErrorMessage="1" sqref="F7:F29" xr:uid="{F7DF0CBE-F581-4B85-B01B-A59C3A238E73}">
      <formula1>0</formula1>
      <formula2>$F$6</formula2>
    </dataValidation>
    <dataValidation type="decimal" allowBlank="1" showErrorMessage="1" sqref="G7:G29" xr:uid="{0D5D8469-C246-44F8-8445-32FFB3C92F51}">
      <formula1>0</formula1>
      <formula2>$G$6</formula2>
    </dataValidation>
    <dataValidation type="decimal" allowBlank="1" showErrorMessage="1" sqref="H7:H29" xr:uid="{7356ED7F-7F80-4D0C-8034-CF4D3DD9A798}">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54"/>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6" width="8.6640625" style="98" customWidth="1"/>
    <col min="7" max="16384" width="11.5546875" style="98"/>
  </cols>
  <sheetData>
    <row r="1" spans="2:6" ht="18" customHeight="1" thickBot="1" x14ac:dyDescent="0.3"/>
    <row r="2" spans="2:6" ht="18" customHeight="1" x14ac:dyDescent="0.25">
      <c r="B2" s="99" t="str">
        <f>Config!F2&amp;" "&amp;YEAR(Config!G24)</f>
        <v>Mathe Abitur 2026</v>
      </c>
      <c r="C2" s="100"/>
      <c r="D2" s="100"/>
      <c r="E2" s="101"/>
      <c r="F2" s="102" t="str">
        <f>"Kurs "&amp;Config!G26</f>
        <v>Kurs K1</v>
      </c>
    </row>
    <row r="3" spans="2:6" ht="18" customHeight="1" x14ac:dyDescent="0.25">
      <c r="B3" s="103" t="s">
        <v>13</v>
      </c>
      <c r="C3" s="104"/>
      <c r="D3" s="104"/>
      <c r="E3" s="104"/>
      <c r="F3" s="105"/>
    </row>
    <row r="4" spans="2:6" ht="18" customHeight="1" thickBot="1" x14ac:dyDescent="0.3">
      <c r="B4" s="103"/>
      <c r="C4" s="104"/>
      <c r="D4" s="106"/>
      <c r="E4" s="106"/>
      <c r="F4" s="107"/>
    </row>
    <row r="5" spans="2:6" ht="18" customHeight="1" thickBot="1" x14ac:dyDescent="0.3">
      <c r="B5" s="108"/>
      <c r="C5" s="110"/>
      <c r="D5" s="123" t="str">
        <f>Config!N6</f>
        <v>1a</v>
      </c>
      <c r="E5" s="123" t="str">
        <f>Config!N7</f>
        <v>1b</v>
      </c>
      <c r="F5" s="114" t="s">
        <v>82</v>
      </c>
    </row>
    <row r="6" spans="2:6" ht="18" customHeight="1" thickBot="1" x14ac:dyDescent="0.3">
      <c r="B6" s="109"/>
      <c r="C6" s="111" t="s">
        <v>81</v>
      </c>
      <c r="D6" s="113">
        <f>Config!O6</f>
        <v>2</v>
      </c>
      <c r="E6" s="113">
        <f>Config!O7</f>
        <v>3</v>
      </c>
      <c r="F6" s="124">
        <f>Config!O21</f>
        <v>5</v>
      </c>
    </row>
    <row r="7" spans="2:6" ht="18" customHeight="1" x14ac:dyDescent="0.25">
      <c r="B7" s="138">
        <v>1</v>
      </c>
      <c r="C7" s="135" t="str">
        <f>Config!C5&amp;", "&amp;Config!D5</f>
        <v>Höfer, Simon</v>
      </c>
      <c r="D7" s="234">
        <v>0</v>
      </c>
      <c r="E7" s="235">
        <v>0</v>
      </c>
      <c r="F7" s="236">
        <f t="shared" ref="F7:F17" si="0">SUM(D7:E7)</f>
        <v>0</v>
      </c>
    </row>
    <row r="8" spans="2:6" ht="18" customHeight="1" x14ac:dyDescent="0.25">
      <c r="B8" s="139">
        <v>2</v>
      </c>
      <c r="C8" s="116" t="str">
        <f>Config!C6&amp;", "&amp;Config!D6</f>
        <v>Töpfer, Lilian</v>
      </c>
      <c r="D8" s="237">
        <v>1.5</v>
      </c>
      <c r="E8" s="238">
        <v>2</v>
      </c>
      <c r="F8" s="239">
        <f t="shared" si="0"/>
        <v>3.5</v>
      </c>
    </row>
    <row r="9" spans="2:6" ht="18" customHeight="1" x14ac:dyDescent="0.25">
      <c r="B9" s="140">
        <v>3</v>
      </c>
      <c r="C9" s="115" t="str">
        <f>Config!C7&amp;", "&amp;Config!D7</f>
        <v>Fleischmann, Leonie</v>
      </c>
      <c r="D9" s="237">
        <v>2</v>
      </c>
      <c r="E9" s="238">
        <v>2.5</v>
      </c>
      <c r="F9" s="240">
        <f t="shared" si="0"/>
        <v>4.5</v>
      </c>
    </row>
    <row r="10" spans="2:6" ht="18" customHeight="1" x14ac:dyDescent="0.25">
      <c r="B10" s="139">
        <v>4</v>
      </c>
      <c r="C10" s="116" t="str">
        <f>Config!C8&amp;", "&amp;Config!D8</f>
        <v>Drescher, Cedric</v>
      </c>
      <c r="D10" s="237">
        <v>2</v>
      </c>
      <c r="E10" s="238">
        <v>1.5</v>
      </c>
      <c r="F10" s="239">
        <f t="shared" si="0"/>
        <v>3.5</v>
      </c>
    </row>
    <row r="11" spans="2:6" ht="18" customHeight="1" x14ac:dyDescent="0.25">
      <c r="B11" s="140">
        <v>5</v>
      </c>
      <c r="C11" s="115" t="str">
        <f>Config!C9&amp;", "&amp;Config!D9</f>
        <v>Baumgarten, Annabell</v>
      </c>
      <c r="D11" s="237">
        <v>1.5</v>
      </c>
      <c r="E11" s="238">
        <v>2</v>
      </c>
      <c r="F11" s="240">
        <f t="shared" si="0"/>
        <v>3.5</v>
      </c>
    </row>
    <row r="12" spans="2:6" ht="18" customHeight="1" x14ac:dyDescent="0.25">
      <c r="B12" s="139">
        <v>6</v>
      </c>
      <c r="C12" s="116" t="str">
        <f>Config!C10&amp;", "&amp;Config!D10</f>
        <v>Traut, Stefanie</v>
      </c>
      <c r="D12" s="237">
        <v>1.5</v>
      </c>
      <c r="E12" s="238">
        <v>3</v>
      </c>
      <c r="F12" s="239">
        <f t="shared" si="0"/>
        <v>4.5</v>
      </c>
    </row>
    <row r="13" spans="2:6" ht="18" customHeight="1" x14ac:dyDescent="0.25">
      <c r="B13" s="140">
        <v>7</v>
      </c>
      <c r="C13" s="115" t="str">
        <f>Config!C11&amp;", "&amp;Config!D11</f>
        <v>Menke, Damian</v>
      </c>
      <c r="D13" s="237">
        <v>2</v>
      </c>
      <c r="E13" s="238">
        <v>2.5</v>
      </c>
      <c r="F13" s="240">
        <f t="shared" si="0"/>
        <v>4.5</v>
      </c>
    </row>
    <row r="14" spans="2:6" ht="18" customHeight="1" x14ac:dyDescent="0.25">
      <c r="B14" s="139">
        <v>8</v>
      </c>
      <c r="C14" s="116" t="str">
        <f>Config!C12&amp;", "&amp;Config!D12</f>
        <v>Carroll, Meik</v>
      </c>
      <c r="D14" s="237">
        <v>2</v>
      </c>
      <c r="E14" s="238">
        <v>2</v>
      </c>
      <c r="F14" s="239">
        <f t="shared" si="0"/>
        <v>4</v>
      </c>
    </row>
    <row r="15" spans="2:6" ht="18" customHeight="1" x14ac:dyDescent="0.25">
      <c r="B15" s="140">
        <v>9</v>
      </c>
      <c r="C15" s="115" t="str">
        <f>Config!C13&amp;", "&amp;Config!D13</f>
        <v>Hennings, Tomas</v>
      </c>
      <c r="D15" s="237">
        <v>1.5</v>
      </c>
      <c r="E15" s="238">
        <v>3</v>
      </c>
      <c r="F15" s="240">
        <f t="shared" si="0"/>
        <v>4.5</v>
      </c>
    </row>
    <row r="16" spans="2:6" ht="18" customHeight="1" x14ac:dyDescent="0.25">
      <c r="B16" s="139">
        <v>10</v>
      </c>
      <c r="C16" s="116" t="str">
        <f>Config!C14&amp;", "&amp;Config!D14</f>
        <v>Walters, Linn</v>
      </c>
      <c r="D16" s="237">
        <v>1</v>
      </c>
      <c r="E16" s="238">
        <v>0</v>
      </c>
      <c r="F16" s="239">
        <f t="shared" si="0"/>
        <v>1</v>
      </c>
    </row>
    <row r="17" spans="2:6" ht="18" customHeight="1" x14ac:dyDescent="0.25">
      <c r="B17" s="140">
        <v>11</v>
      </c>
      <c r="C17" s="115" t="str">
        <f>Config!C15&amp;", "&amp;Config!D15</f>
        <v>Junker, Amely</v>
      </c>
      <c r="D17" s="237">
        <v>2</v>
      </c>
      <c r="E17" s="238">
        <v>0</v>
      </c>
      <c r="F17" s="240">
        <f t="shared" si="0"/>
        <v>2</v>
      </c>
    </row>
    <row r="18" spans="2:6" ht="18" customHeight="1" x14ac:dyDescent="0.25">
      <c r="B18" s="139">
        <v>12</v>
      </c>
      <c r="C18" s="116" t="str">
        <f>Config!C16&amp;", "&amp;Config!D16</f>
        <v>Stephens, Melvin</v>
      </c>
      <c r="D18" s="237">
        <v>0.5</v>
      </c>
      <c r="E18" s="238">
        <v>0</v>
      </c>
      <c r="F18" s="239">
        <f t="shared" ref="F18:F28" si="1">SUM(D18:E18)</f>
        <v>0.5</v>
      </c>
    </row>
    <row r="19" spans="2:6" ht="18" customHeight="1" x14ac:dyDescent="0.25">
      <c r="B19" s="140">
        <v>13</v>
      </c>
      <c r="C19" s="115" t="str">
        <f>Config!C17&amp;", "&amp;Config!D17</f>
        <v>Cremer, Marvin</v>
      </c>
      <c r="D19" s="237">
        <v>1.5</v>
      </c>
      <c r="E19" s="238">
        <v>3</v>
      </c>
      <c r="F19" s="240">
        <f t="shared" si="1"/>
        <v>4.5</v>
      </c>
    </row>
    <row r="20" spans="2:6" ht="18" customHeight="1" x14ac:dyDescent="0.25">
      <c r="B20" s="139">
        <v>14</v>
      </c>
      <c r="C20" s="116" t="str">
        <f>Config!C18&amp;", "&amp;Config!D18</f>
        <v>Nash, Jean</v>
      </c>
      <c r="D20" s="237">
        <v>2</v>
      </c>
      <c r="E20" s="238">
        <v>2</v>
      </c>
      <c r="F20" s="239">
        <f t="shared" si="1"/>
        <v>4</v>
      </c>
    </row>
    <row r="21" spans="2:6" ht="18" customHeight="1" x14ac:dyDescent="0.25">
      <c r="B21" s="140">
        <v>15</v>
      </c>
      <c r="C21" s="115" t="str">
        <f>Config!C19&amp;", "&amp;Config!D19</f>
        <v>Schön, Leonardo</v>
      </c>
      <c r="D21" s="237">
        <v>2</v>
      </c>
      <c r="E21" s="238">
        <v>3</v>
      </c>
      <c r="F21" s="240">
        <f t="shared" si="1"/>
        <v>5</v>
      </c>
    </row>
    <row r="22" spans="2:6" ht="18" customHeight="1" x14ac:dyDescent="0.25">
      <c r="B22" s="139">
        <v>16</v>
      </c>
      <c r="C22" s="116" t="str">
        <f>Config!C20&amp;", "&amp;Config!D20</f>
        <v>Sigl, Nicholas</v>
      </c>
      <c r="D22" s="237">
        <v>2</v>
      </c>
      <c r="E22" s="238">
        <v>2.5</v>
      </c>
      <c r="F22" s="239">
        <f t="shared" si="1"/>
        <v>4.5</v>
      </c>
    </row>
    <row r="23" spans="2:6" ht="18" customHeight="1" x14ac:dyDescent="0.25">
      <c r="B23" s="140">
        <v>17</v>
      </c>
      <c r="C23" s="115" t="str">
        <f>Config!C21&amp;", "&amp;Config!D21</f>
        <v>Kainz, Vivienne</v>
      </c>
      <c r="D23" s="237">
        <v>2</v>
      </c>
      <c r="E23" s="238">
        <v>3</v>
      </c>
      <c r="F23" s="240">
        <f t="shared" si="1"/>
        <v>5</v>
      </c>
    </row>
    <row r="24" spans="2:6" ht="18" customHeight="1" x14ac:dyDescent="0.25">
      <c r="B24" s="139">
        <v>18</v>
      </c>
      <c r="C24" s="116" t="str">
        <f>Config!C22&amp;", "&amp;Config!D22</f>
        <v>Hartmann, Mads</v>
      </c>
      <c r="D24" s="237">
        <v>1</v>
      </c>
      <c r="E24" s="238">
        <v>0</v>
      </c>
      <c r="F24" s="239">
        <f t="shared" si="1"/>
        <v>1</v>
      </c>
    </row>
    <row r="25" spans="2:6" ht="18" customHeight="1" x14ac:dyDescent="0.25">
      <c r="B25" s="140">
        <v>19</v>
      </c>
      <c r="C25" s="115" t="str">
        <f>Config!C23&amp;", "&amp;Config!D23</f>
        <v>Ullmann, Raphael</v>
      </c>
      <c r="D25" s="237">
        <v>2</v>
      </c>
      <c r="E25" s="238">
        <v>0</v>
      </c>
      <c r="F25" s="240">
        <f t="shared" si="1"/>
        <v>2</v>
      </c>
    </row>
    <row r="26" spans="2:6" ht="18" customHeight="1" x14ac:dyDescent="0.25">
      <c r="B26" s="139">
        <v>20</v>
      </c>
      <c r="C26" s="116" t="str">
        <f>Config!C24&amp;", "&amp;Config!D24</f>
        <v>Hartl, Emmely</v>
      </c>
      <c r="D26" s="237">
        <v>2</v>
      </c>
      <c r="E26" s="238">
        <v>0</v>
      </c>
      <c r="F26" s="239">
        <f t="shared" si="1"/>
        <v>2</v>
      </c>
    </row>
    <row r="27" spans="2:6" ht="18" customHeight="1" x14ac:dyDescent="0.25">
      <c r="B27" s="140">
        <v>21</v>
      </c>
      <c r="C27" s="115" t="str">
        <f>Config!C25&amp;", "&amp;Config!D25</f>
        <v>Klotz, Karin</v>
      </c>
      <c r="D27" s="237">
        <v>2</v>
      </c>
      <c r="E27" s="238">
        <v>3</v>
      </c>
      <c r="F27" s="240">
        <f t="shared" si="1"/>
        <v>5</v>
      </c>
    </row>
    <row r="28" spans="2:6" ht="18" customHeight="1" x14ac:dyDescent="0.25">
      <c r="B28" s="139">
        <v>22</v>
      </c>
      <c r="C28" s="116" t="str">
        <f>Config!C26&amp;", "&amp;Config!D26</f>
        <v>Ehlers, Ingo</v>
      </c>
      <c r="D28" s="237">
        <v>2</v>
      </c>
      <c r="E28" s="238">
        <v>3</v>
      </c>
      <c r="F28" s="239">
        <f t="shared" si="1"/>
        <v>5</v>
      </c>
    </row>
    <row r="29" spans="2:6" ht="18" customHeight="1" thickBot="1" x14ac:dyDescent="0.3">
      <c r="B29" s="141">
        <v>23</v>
      </c>
      <c r="C29" s="136" t="str">
        <f>Config!C27&amp;", "&amp;Config!D27</f>
        <v>Lindemann, Mads</v>
      </c>
      <c r="D29" s="95">
        <v>2</v>
      </c>
      <c r="E29" s="96">
        <v>1</v>
      </c>
      <c r="F29" s="144">
        <f t="shared" ref="F29" si="2">SUM(D29:E29)</f>
        <v>3</v>
      </c>
    </row>
    <row r="30" spans="2:6" ht="18" customHeight="1" thickBot="1" x14ac:dyDescent="0.3">
      <c r="B30" s="118"/>
      <c r="C30" s="119"/>
      <c r="D30" s="119">
        <f>IF(COUNTIFS(D7:D29,"&lt;&gt;",C7:C29,"&lt;&gt;ZK",C7:C29,"&lt;&gt;DK")&lt;&gt;0,SUMIFS(D7:D29,C7:C29,"&lt;&gt;ZK",C7:C29,"&lt;&gt;DK")/(COUNTIFS(D7:D29,"&lt;&gt;",C7:C29,"&lt;&gt;ZK",C7:C29,"&lt;&gt;DK")*D6),0)</f>
        <v>0.82608695652173914</v>
      </c>
      <c r="E30" s="119">
        <f>IF(COUNTIFS(E7:E29,"&lt;&gt;",C7:C29,"&lt;&gt;ZK",C7:C29,"&lt;&gt;DK")&lt;&gt;0,SUMIFS(E7:E29,C7:C29,"&lt;&gt;ZK",C7:C29,"&lt;&gt;DK")/(COUNTIFS(E7:E29,"&lt;&gt;",C7:C29,"&lt;&gt;ZK",C7:C29,"&lt;&gt;DK")*E6),0)</f>
        <v>0.56521739130434778</v>
      </c>
      <c r="F30" s="120"/>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2">
    <dataValidation type="decimal" allowBlank="1" showErrorMessage="1" sqref="D7:D29" xr:uid="{175966EB-922B-4F8F-BFB8-2A65D8B0B098}">
      <formula1>0</formula1>
      <formula2>$D$6</formula2>
    </dataValidation>
    <dataValidation type="decimal" allowBlank="1" showErrorMessage="1" sqref="E7:E29" xr:uid="{8DF27EE0-5EB9-4A8B-948A-C8DAE9D847E4}">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54"/>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14</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3" t="str">
        <f>Config!P6</f>
        <v>1a</v>
      </c>
      <c r="E5" s="123" t="str">
        <f>Config!P7</f>
        <v>1b</v>
      </c>
      <c r="F5" s="123" t="str">
        <f>Config!P8</f>
        <v>1c</v>
      </c>
      <c r="G5" s="123" t="str">
        <f>Config!P9</f>
        <v>1d</v>
      </c>
      <c r="H5" s="123" t="str">
        <f>Config!P10</f>
        <v>1e</v>
      </c>
      <c r="I5" s="114" t="s">
        <v>82</v>
      </c>
    </row>
    <row r="6" spans="2:9" ht="18" customHeight="1" thickBot="1" x14ac:dyDescent="0.3">
      <c r="B6" s="109"/>
      <c r="C6" s="111" t="s">
        <v>81</v>
      </c>
      <c r="D6" s="113">
        <f>Config!Q6</f>
        <v>4</v>
      </c>
      <c r="E6" s="113">
        <f>Config!Q7</f>
        <v>3</v>
      </c>
      <c r="F6" s="113">
        <f>Config!Q8</f>
        <v>4</v>
      </c>
      <c r="G6" s="113">
        <f>Config!Q9</f>
        <v>3</v>
      </c>
      <c r="H6" s="113">
        <f>Config!Q10</f>
        <v>4</v>
      </c>
      <c r="I6" s="124">
        <f>Config!Q21</f>
        <v>18</v>
      </c>
    </row>
    <row r="7" spans="2:9" ht="18" customHeight="1" x14ac:dyDescent="0.25">
      <c r="B7" s="138">
        <v>1</v>
      </c>
      <c r="C7" s="135" t="str">
        <f>Config!C5&amp;", "&amp;Config!D5</f>
        <v>Höfer, Simon</v>
      </c>
      <c r="D7" s="234">
        <v>4</v>
      </c>
      <c r="E7" s="234">
        <v>2</v>
      </c>
      <c r="F7" s="234">
        <v>2</v>
      </c>
      <c r="G7" s="234">
        <v>0.5</v>
      </c>
      <c r="H7" s="235">
        <v>0.5</v>
      </c>
      <c r="I7" s="236">
        <f t="shared" ref="I7:I17" si="0">SUM(D7:H7)</f>
        <v>9</v>
      </c>
    </row>
    <row r="8" spans="2:9" ht="18" customHeight="1" x14ac:dyDescent="0.25">
      <c r="B8" s="139">
        <v>2</v>
      </c>
      <c r="C8" s="116" t="str">
        <f>Config!C6&amp;", "&amp;Config!D6</f>
        <v>Töpfer, Lilian</v>
      </c>
      <c r="D8" s="237">
        <v>4</v>
      </c>
      <c r="E8" s="237">
        <v>0</v>
      </c>
      <c r="F8" s="237">
        <v>2.5</v>
      </c>
      <c r="G8" s="237">
        <v>0.5</v>
      </c>
      <c r="H8" s="238">
        <v>2</v>
      </c>
      <c r="I8" s="239">
        <f t="shared" si="0"/>
        <v>9</v>
      </c>
    </row>
    <row r="9" spans="2:9" ht="18" customHeight="1" x14ac:dyDescent="0.25">
      <c r="B9" s="140">
        <v>3</v>
      </c>
      <c r="C9" s="115" t="str">
        <f>Config!C7&amp;", "&amp;Config!D7</f>
        <v>Fleischmann, Leonie</v>
      </c>
      <c r="D9" s="237">
        <v>4</v>
      </c>
      <c r="E9" s="237">
        <v>2</v>
      </c>
      <c r="F9" s="237">
        <v>3</v>
      </c>
      <c r="G9" s="237">
        <v>2</v>
      </c>
      <c r="H9" s="238">
        <v>3</v>
      </c>
      <c r="I9" s="240">
        <f t="shared" si="0"/>
        <v>14</v>
      </c>
    </row>
    <row r="10" spans="2:9" ht="18" customHeight="1" x14ac:dyDescent="0.25">
      <c r="B10" s="139">
        <v>4</v>
      </c>
      <c r="C10" s="116" t="str">
        <f>Config!C8&amp;", "&amp;Config!D8</f>
        <v>Drescher, Cedric</v>
      </c>
      <c r="D10" s="237">
        <v>4</v>
      </c>
      <c r="E10" s="237">
        <v>2</v>
      </c>
      <c r="F10" s="237">
        <v>3.5</v>
      </c>
      <c r="G10" s="237">
        <v>0</v>
      </c>
      <c r="H10" s="238">
        <v>4</v>
      </c>
      <c r="I10" s="239">
        <f t="shared" si="0"/>
        <v>13.5</v>
      </c>
    </row>
    <row r="11" spans="2:9" ht="18" customHeight="1" x14ac:dyDescent="0.25">
      <c r="B11" s="140">
        <v>5</v>
      </c>
      <c r="C11" s="115" t="str">
        <f>Config!C9&amp;", "&amp;Config!D9</f>
        <v>Baumgarten, Annabell</v>
      </c>
      <c r="D11" s="237">
        <v>4</v>
      </c>
      <c r="E11" s="237">
        <v>2</v>
      </c>
      <c r="F11" s="237">
        <v>3</v>
      </c>
      <c r="G11" s="237">
        <v>0</v>
      </c>
      <c r="H11" s="238">
        <v>3</v>
      </c>
      <c r="I11" s="240">
        <f t="shared" si="0"/>
        <v>12</v>
      </c>
    </row>
    <row r="12" spans="2:9" ht="18" customHeight="1" x14ac:dyDescent="0.25">
      <c r="B12" s="139">
        <v>6</v>
      </c>
      <c r="C12" s="116" t="str">
        <f>Config!C10&amp;", "&amp;Config!D10</f>
        <v>Traut, Stefanie</v>
      </c>
      <c r="D12" s="237">
        <v>4</v>
      </c>
      <c r="E12" s="237">
        <v>3</v>
      </c>
      <c r="F12" s="237">
        <v>4</v>
      </c>
      <c r="G12" s="237">
        <v>2</v>
      </c>
      <c r="H12" s="238">
        <v>4</v>
      </c>
      <c r="I12" s="239">
        <f t="shared" si="0"/>
        <v>17</v>
      </c>
    </row>
    <row r="13" spans="2:9" ht="18" customHeight="1" x14ac:dyDescent="0.25">
      <c r="B13" s="140">
        <v>7</v>
      </c>
      <c r="C13" s="115" t="str">
        <f>Config!C11&amp;", "&amp;Config!D11</f>
        <v>Menke, Damian</v>
      </c>
      <c r="D13" s="237">
        <v>4</v>
      </c>
      <c r="E13" s="237">
        <v>3</v>
      </c>
      <c r="F13" s="237">
        <v>3.5</v>
      </c>
      <c r="G13" s="237">
        <v>0.5</v>
      </c>
      <c r="H13" s="238">
        <v>4</v>
      </c>
      <c r="I13" s="240">
        <f t="shared" si="0"/>
        <v>15</v>
      </c>
    </row>
    <row r="14" spans="2:9" ht="18" customHeight="1" x14ac:dyDescent="0.25">
      <c r="B14" s="139">
        <v>8</v>
      </c>
      <c r="C14" s="116" t="str">
        <f>Config!C12&amp;", "&amp;Config!D12</f>
        <v>Carroll, Meik</v>
      </c>
      <c r="D14" s="237">
        <v>3.5</v>
      </c>
      <c r="E14" s="237">
        <v>2</v>
      </c>
      <c r="F14" s="237">
        <v>3.5</v>
      </c>
      <c r="G14" s="237">
        <v>2</v>
      </c>
      <c r="H14" s="238">
        <v>2</v>
      </c>
      <c r="I14" s="239">
        <f t="shared" si="0"/>
        <v>13</v>
      </c>
    </row>
    <row r="15" spans="2:9" ht="18" customHeight="1" x14ac:dyDescent="0.25">
      <c r="B15" s="140">
        <v>9</v>
      </c>
      <c r="C15" s="115" t="str">
        <f>Config!C13&amp;", "&amp;Config!D13</f>
        <v>Hennings, Tomas</v>
      </c>
      <c r="D15" s="237">
        <v>2</v>
      </c>
      <c r="E15" s="237">
        <v>0</v>
      </c>
      <c r="F15" s="237">
        <v>1</v>
      </c>
      <c r="G15" s="237">
        <v>1</v>
      </c>
      <c r="H15" s="238">
        <v>0</v>
      </c>
      <c r="I15" s="240">
        <f t="shared" si="0"/>
        <v>4</v>
      </c>
    </row>
    <row r="16" spans="2:9" ht="18" customHeight="1" x14ac:dyDescent="0.25">
      <c r="B16" s="139">
        <v>10</v>
      </c>
      <c r="C16" s="116" t="str">
        <f>Config!C14&amp;", "&amp;Config!D14</f>
        <v>Walters, Linn</v>
      </c>
      <c r="D16" s="237">
        <v>2.5</v>
      </c>
      <c r="E16" s="237">
        <v>1</v>
      </c>
      <c r="F16" s="237">
        <v>3</v>
      </c>
      <c r="G16" s="237">
        <v>2</v>
      </c>
      <c r="H16" s="238">
        <v>0</v>
      </c>
      <c r="I16" s="239">
        <f t="shared" si="0"/>
        <v>8.5</v>
      </c>
    </row>
    <row r="17" spans="2:9" ht="18" customHeight="1" x14ac:dyDescent="0.25">
      <c r="B17" s="140">
        <v>11</v>
      </c>
      <c r="C17" s="115" t="str">
        <f>Config!C15&amp;", "&amp;Config!D15</f>
        <v>Junker, Amely</v>
      </c>
      <c r="D17" s="237">
        <v>4</v>
      </c>
      <c r="E17" s="237">
        <v>3</v>
      </c>
      <c r="F17" s="237">
        <v>2</v>
      </c>
      <c r="G17" s="237">
        <v>2</v>
      </c>
      <c r="H17" s="238">
        <v>2</v>
      </c>
      <c r="I17" s="240">
        <f t="shared" si="0"/>
        <v>13</v>
      </c>
    </row>
    <row r="18" spans="2:9" ht="18" customHeight="1" x14ac:dyDescent="0.25">
      <c r="B18" s="139">
        <v>12</v>
      </c>
      <c r="C18" s="116" t="str">
        <f>Config!C16&amp;", "&amp;Config!D16</f>
        <v>Stephens, Melvin</v>
      </c>
      <c r="D18" s="237">
        <v>4</v>
      </c>
      <c r="E18" s="237">
        <v>2</v>
      </c>
      <c r="F18" s="237">
        <v>3</v>
      </c>
      <c r="G18" s="237">
        <v>2</v>
      </c>
      <c r="H18" s="238">
        <v>2</v>
      </c>
      <c r="I18" s="239">
        <f t="shared" ref="I18:I28" si="1">SUM(D18:H18)</f>
        <v>13</v>
      </c>
    </row>
    <row r="19" spans="2:9" ht="18" customHeight="1" x14ac:dyDescent="0.25">
      <c r="B19" s="140">
        <v>13</v>
      </c>
      <c r="C19" s="115" t="str">
        <f>Config!C17&amp;", "&amp;Config!D17</f>
        <v>Cremer, Marvin</v>
      </c>
      <c r="D19" s="237">
        <v>3</v>
      </c>
      <c r="E19" s="237">
        <v>0</v>
      </c>
      <c r="F19" s="237">
        <v>0</v>
      </c>
      <c r="G19" s="237">
        <v>0</v>
      </c>
      <c r="H19" s="238">
        <v>0</v>
      </c>
      <c r="I19" s="240">
        <f t="shared" si="1"/>
        <v>3</v>
      </c>
    </row>
    <row r="20" spans="2:9" ht="18" customHeight="1" x14ac:dyDescent="0.25">
      <c r="B20" s="139">
        <v>14</v>
      </c>
      <c r="C20" s="116" t="str">
        <f>Config!C18&amp;", "&amp;Config!D18</f>
        <v>Nash, Jean</v>
      </c>
      <c r="D20" s="237">
        <v>4</v>
      </c>
      <c r="E20" s="237">
        <v>3</v>
      </c>
      <c r="F20" s="237">
        <v>2</v>
      </c>
      <c r="G20" s="237">
        <v>2</v>
      </c>
      <c r="H20" s="238">
        <v>3.5</v>
      </c>
      <c r="I20" s="239">
        <f t="shared" si="1"/>
        <v>14.5</v>
      </c>
    </row>
    <row r="21" spans="2:9" ht="18" customHeight="1" x14ac:dyDescent="0.25">
      <c r="B21" s="140">
        <v>15</v>
      </c>
      <c r="C21" s="115" t="str">
        <f>Config!C19&amp;", "&amp;Config!D19</f>
        <v>Schön, Leonardo</v>
      </c>
      <c r="D21" s="237">
        <v>4</v>
      </c>
      <c r="E21" s="237">
        <v>1</v>
      </c>
      <c r="F21" s="237">
        <v>1</v>
      </c>
      <c r="G21" s="237">
        <v>0.5</v>
      </c>
      <c r="H21" s="238">
        <v>0</v>
      </c>
      <c r="I21" s="240">
        <f t="shared" si="1"/>
        <v>6.5</v>
      </c>
    </row>
    <row r="22" spans="2:9" ht="18" customHeight="1" x14ac:dyDescent="0.25">
      <c r="B22" s="139">
        <v>16</v>
      </c>
      <c r="C22" s="116" t="str">
        <f>Config!C20&amp;", "&amp;Config!D20</f>
        <v>Sigl, Nicholas</v>
      </c>
      <c r="D22" s="237">
        <v>4</v>
      </c>
      <c r="E22" s="237">
        <v>0.5</v>
      </c>
      <c r="F22" s="237">
        <v>1</v>
      </c>
      <c r="G22" s="237">
        <v>0.5</v>
      </c>
      <c r="H22" s="238">
        <v>0</v>
      </c>
      <c r="I22" s="239">
        <f t="shared" si="1"/>
        <v>6</v>
      </c>
    </row>
    <row r="23" spans="2:9" ht="18" customHeight="1" x14ac:dyDescent="0.25">
      <c r="B23" s="140">
        <v>17</v>
      </c>
      <c r="C23" s="115" t="str">
        <f>Config!C21&amp;", "&amp;Config!D21</f>
        <v>Kainz, Vivienne</v>
      </c>
      <c r="D23" s="237">
        <v>2</v>
      </c>
      <c r="E23" s="237">
        <v>0</v>
      </c>
      <c r="F23" s="237">
        <v>1</v>
      </c>
      <c r="G23" s="237">
        <v>1.5</v>
      </c>
      <c r="H23" s="238">
        <v>0</v>
      </c>
      <c r="I23" s="240">
        <f t="shared" si="1"/>
        <v>4.5</v>
      </c>
    </row>
    <row r="24" spans="2:9" ht="18" customHeight="1" x14ac:dyDescent="0.25">
      <c r="B24" s="139">
        <v>18</v>
      </c>
      <c r="C24" s="116" t="str">
        <f>Config!C22&amp;", "&amp;Config!D22</f>
        <v>Hartmann, Mads</v>
      </c>
      <c r="D24" s="237">
        <v>4</v>
      </c>
      <c r="E24" s="237">
        <v>3</v>
      </c>
      <c r="F24" s="237">
        <v>3</v>
      </c>
      <c r="G24" s="237">
        <v>0</v>
      </c>
      <c r="H24" s="238">
        <v>4</v>
      </c>
      <c r="I24" s="239">
        <f t="shared" si="1"/>
        <v>14</v>
      </c>
    </row>
    <row r="25" spans="2:9" ht="18" customHeight="1" x14ac:dyDescent="0.25">
      <c r="B25" s="140">
        <v>19</v>
      </c>
      <c r="C25" s="115" t="str">
        <f>Config!C23&amp;", "&amp;Config!D23</f>
        <v>Ullmann, Raphael</v>
      </c>
      <c r="D25" s="237">
        <v>4</v>
      </c>
      <c r="E25" s="237">
        <v>1</v>
      </c>
      <c r="F25" s="237">
        <v>3</v>
      </c>
      <c r="G25" s="237">
        <v>2</v>
      </c>
      <c r="H25" s="238">
        <v>3.5</v>
      </c>
      <c r="I25" s="240">
        <f t="shared" si="1"/>
        <v>13.5</v>
      </c>
    </row>
    <row r="26" spans="2:9" ht="18" customHeight="1" x14ac:dyDescent="0.25">
      <c r="B26" s="139">
        <v>20</v>
      </c>
      <c r="C26" s="116" t="str">
        <f>Config!C24&amp;", "&amp;Config!D24</f>
        <v>Hartl, Emmely</v>
      </c>
      <c r="D26" s="237">
        <v>4</v>
      </c>
      <c r="E26" s="237">
        <v>2</v>
      </c>
      <c r="F26" s="237">
        <v>3</v>
      </c>
      <c r="G26" s="237">
        <v>2</v>
      </c>
      <c r="H26" s="238">
        <v>4</v>
      </c>
      <c r="I26" s="239">
        <f t="shared" si="1"/>
        <v>15</v>
      </c>
    </row>
    <row r="27" spans="2:9" ht="18" customHeight="1" x14ac:dyDescent="0.25">
      <c r="B27" s="140">
        <v>21</v>
      </c>
      <c r="C27" s="115" t="str">
        <f>Config!C25&amp;", "&amp;Config!D25</f>
        <v>Klotz, Karin</v>
      </c>
      <c r="D27" s="237">
        <v>4</v>
      </c>
      <c r="E27" s="237">
        <v>3</v>
      </c>
      <c r="F27" s="237">
        <v>4</v>
      </c>
      <c r="G27" s="237">
        <v>2</v>
      </c>
      <c r="H27" s="238">
        <v>3</v>
      </c>
      <c r="I27" s="240">
        <f t="shared" si="1"/>
        <v>16</v>
      </c>
    </row>
    <row r="28" spans="2:9" ht="18" customHeight="1" x14ac:dyDescent="0.25">
      <c r="B28" s="139">
        <v>22</v>
      </c>
      <c r="C28" s="116" t="str">
        <f>Config!C26&amp;", "&amp;Config!D26</f>
        <v>Ehlers, Ingo</v>
      </c>
      <c r="D28" s="237">
        <v>4</v>
      </c>
      <c r="E28" s="237">
        <v>2</v>
      </c>
      <c r="F28" s="237">
        <v>4</v>
      </c>
      <c r="G28" s="237">
        <v>2</v>
      </c>
      <c r="H28" s="238">
        <v>2.5</v>
      </c>
      <c r="I28" s="239">
        <f t="shared" si="1"/>
        <v>14.5</v>
      </c>
    </row>
    <row r="29" spans="2:9" ht="18" customHeight="1" thickBot="1" x14ac:dyDescent="0.3">
      <c r="B29" s="141">
        <v>23</v>
      </c>
      <c r="C29" s="136" t="str">
        <f>Config!C27&amp;", "&amp;Config!D27</f>
        <v>Lindemann, Mads</v>
      </c>
      <c r="D29" s="95">
        <v>4</v>
      </c>
      <c r="E29" s="95">
        <v>0</v>
      </c>
      <c r="F29" s="95">
        <v>2</v>
      </c>
      <c r="G29" s="95">
        <v>0.5</v>
      </c>
      <c r="H29" s="96">
        <v>0</v>
      </c>
      <c r="I29" s="144">
        <f t="shared" ref="I29" si="2">SUM(D29:H29)</f>
        <v>6.5</v>
      </c>
    </row>
    <row r="30" spans="2:9" ht="18" customHeight="1" thickBot="1" x14ac:dyDescent="0.3">
      <c r="B30" s="118"/>
      <c r="C30" s="119"/>
      <c r="D30" s="119">
        <f>IF(COUNTIFS(D7:D29,"&lt;&gt;",C7:C29,"&lt;&gt;ZK",C7:C29,"&lt;&gt;DK")&lt;&gt;0,SUMIFS(D7:D29,C7:C29,"&lt;&gt;ZK",C7:C29,"&lt;&gt;DK")/(COUNTIFS(D7:D29,"&lt;&gt;",C7:C29,"&lt;&gt;ZK",C7:C29,"&lt;&gt;DK")*D6),0)</f>
        <v>0.92391304347826086</v>
      </c>
      <c r="E30" s="119">
        <f>IF(COUNTIFS(E7:E29,"&lt;&gt;",C7:C29,"&lt;&gt;ZK",C7:C29,"&lt;&gt;DK")&lt;&gt;0,SUMIFS(E7:E29,C7:C29,"&lt;&gt;ZK",C7:C29,"&lt;&gt;DK")/(COUNTIFS(E7:E29,"&lt;&gt;",C7:C29,"&lt;&gt;ZK",C7:C29,"&lt;&gt;DK")*E6),0)</f>
        <v>0.54347826086956519</v>
      </c>
      <c r="F30" s="119">
        <f>IF(COUNTIFS(F7:F29,"&lt;&gt;",C7:C29,"&lt;&gt;ZK",C7:C29,"&lt;&gt;DK")&lt;&gt;0,SUMIFS(F7:F29,C7:C29,"&lt;&gt;ZK",C7:C29,"&lt;&gt;DK")/(COUNTIFS(F7:F29,"&lt;&gt;",C7:C29,"&lt;&gt;ZK",C7:C29,"&lt;&gt;DK")*F6),0)</f>
        <v>0.63043478260869568</v>
      </c>
      <c r="G30" s="119">
        <f>IF(COUNTIFS(G7:G29,"&lt;&gt;",C7:C29,"&lt;&gt;ZK",C7:C29,"&lt;&gt;DK")&lt;&gt;0,SUMIFS(G7:G29,C7:C29,"&lt;&gt;ZK",C7:C29,"&lt;&gt;DK")/(COUNTIFS(G7:G29,"&lt;&gt;",C7:C29,"&lt;&gt;ZK",C7:C29,"&lt;&gt;DK")*G6),0)</f>
        <v>0.39855072463768115</v>
      </c>
      <c r="H30" s="119">
        <f>IF(COUNTIFS(H7:H29,"&lt;&gt;",C7:C29,"&lt;&gt;ZK",C7:C29,"&lt;&gt;DK")&lt;&gt;0,SUMIFS(H7:H29,C7:C29,"&lt;&gt;ZK",C7:C29,"&lt;&gt;DK")/(COUNTIFS(H7:H29,"&lt;&gt;",C7:C29,"&lt;&gt;ZK",C7:C29,"&lt;&gt;DK")*H6),0)</f>
        <v>0.51086956521739135</v>
      </c>
      <c r="I30" s="12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5">
    <dataValidation type="decimal" allowBlank="1" showErrorMessage="1" sqref="D7:D29" xr:uid="{7539F855-6E01-4600-B5E2-33D2E0346948}">
      <formula1>0</formula1>
      <formula2>$D$6</formula2>
    </dataValidation>
    <dataValidation type="decimal" allowBlank="1" showErrorMessage="1" sqref="E7:E29" xr:uid="{38B35D7C-C11B-4394-AFAE-2ED2E6F8C8D6}">
      <formula1>0</formula1>
      <formula2>$E$6</formula2>
    </dataValidation>
    <dataValidation type="decimal" allowBlank="1" showErrorMessage="1" sqref="F7:F29" xr:uid="{C1CD3525-9CC7-4225-9DA9-ECB9F9CFD959}">
      <formula1>0</formula1>
      <formula2>$F$6</formula2>
    </dataValidation>
    <dataValidation type="decimal" allowBlank="1" showErrorMessage="1" sqref="G7:G29" xr:uid="{02447C01-EE5D-437A-AA75-2A8BD4B0DF58}">
      <formula1>0</formula1>
      <formula2>$G$6</formula2>
    </dataValidation>
    <dataValidation type="decimal" allowBlank="1" showErrorMessage="1" sqref="H7:H29" xr:uid="{296A63BE-03AE-4D7D-A18C-94B27708607F}">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54"/>
  <sheetViews>
    <sheetView workbookViewId="0">
      <selection activeCell="G17" sqref="G17"/>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112</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3" t="str">
        <f>Config!R6</f>
        <v>6</v>
      </c>
      <c r="E5" s="123" t="str">
        <f>Config!R7</f>
        <v>7a</v>
      </c>
      <c r="F5" s="123" t="str">
        <f>Config!R8</f>
        <v>7b</v>
      </c>
      <c r="G5" s="123" t="str">
        <f>Config!R9</f>
        <v>8</v>
      </c>
      <c r="H5" s="123" t="str">
        <f>Config!R10</f>
        <v>9</v>
      </c>
      <c r="I5" s="114" t="s">
        <v>82</v>
      </c>
    </row>
    <row r="6" spans="2:9" ht="18" customHeight="1" thickBot="1" x14ac:dyDescent="0.3">
      <c r="B6" s="109"/>
      <c r="C6" s="111" t="s">
        <v>81</v>
      </c>
      <c r="D6" s="113">
        <f>Config!S6</f>
        <v>5</v>
      </c>
      <c r="E6" s="113">
        <f>Config!S7</f>
        <v>2</v>
      </c>
      <c r="F6" s="113">
        <f>Config!S8</f>
        <v>3</v>
      </c>
      <c r="G6" s="113">
        <f>Config!S9</f>
        <v>5</v>
      </c>
      <c r="H6" s="113">
        <f>Config!S10</f>
        <v>5</v>
      </c>
      <c r="I6" s="124">
        <f>Config!S21</f>
        <v>10</v>
      </c>
    </row>
    <row r="7" spans="2:9" ht="18" customHeight="1" x14ac:dyDescent="0.25">
      <c r="B7" s="138">
        <v>1</v>
      </c>
      <c r="C7" s="135" t="str">
        <f>Config!C5&amp;", "&amp;Config!D5</f>
        <v>Höfer, Simon</v>
      </c>
      <c r="D7" s="234">
        <v>3</v>
      </c>
      <c r="E7" s="234">
        <v>2</v>
      </c>
      <c r="F7" s="234">
        <v>2</v>
      </c>
      <c r="G7" s="241"/>
      <c r="H7" s="242"/>
      <c r="I7" s="236">
        <f t="shared" ref="I7:I17" si="0">SUM(D7:H7)</f>
        <v>7</v>
      </c>
    </row>
    <row r="8" spans="2:9" ht="18" customHeight="1" x14ac:dyDescent="0.25">
      <c r="B8" s="139">
        <v>2</v>
      </c>
      <c r="C8" s="116" t="str">
        <f>Config!C6&amp;", "&amp;Config!D6</f>
        <v>Töpfer, Lilian</v>
      </c>
      <c r="D8" s="237">
        <v>4</v>
      </c>
      <c r="E8" s="243"/>
      <c r="F8" s="243"/>
      <c r="G8" s="237">
        <v>4</v>
      </c>
      <c r="H8" s="244"/>
      <c r="I8" s="239">
        <f t="shared" si="0"/>
        <v>8</v>
      </c>
    </row>
    <row r="9" spans="2:9" ht="18" customHeight="1" x14ac:dyDescent="0.25">
      <c r="B9" s="140">
        <v>3</v>
      </c>
      <c r="C9" s="115" t="str">
        <f>Config!C7&amp;", "&amp;Config!D7</f>
        <v>Fleischmann, Leonie</v>
      </c>
      <c r="D9" s="245"/>
      <c r="E9" s="245"/>
      <c r="F9" s="245"/>
      <c r="G9" s="237">
        <v>5</v>
      </c>
      <c r="H9" s="238">
        <v>3</v>
      </c>
      <c r="I9" s="240">
        <f t="shared" si="0"/>
        <v>8</v>
      </c>
    </row>
    <row r="10" spans="2:9" ht="18" customHeight="1" x14ac:dyDescent="0.25">
      <c r="B10" s="139">
        <v>4</v>
      </c>
      <c r="C10" s="116" t="str">
        <f>Config!C8&amp;", "&amp;Config!D8</f>
        <v>Drescher, Cedric</v>
      </c>
      <c r="D10" s="237">
        <v>1</v>
      </c>
      <c r="E10" s="237">
        <v>2</v>
      </c>
      <c r="F10" s="237">
        <v>3</v>
      </c>
      <c r="G10" s="243"/>
      <c r="H10" s="244"/>
      <c r="I10" s="239">
        <f t="shared" si="0"/>
        <v>6</v>
      </c>
    </row>
    <row r="11" spans="2:9" ht="18" customHeight="1" x14ac:dyDescent="0.25">
      <c r="B11" s="140">
        <v>5</v>
      </c>
      <c r="C11" s="115" t="str">
        <f>Config!C9&amp;", "&amp;Config!D9</f>
        <v>Baumgarten, Annabell</v>
      </c>
      <c r="D11" s="237">
        <v>1</v>
      </c>
      <c r="E11" s="245"/>
      <c r="F11" s="245"/>
      <c r="G11" s="237">
        <v>5</v>
      </c>
      <c r="H11" s="246"/>
      <c r="I11" s="240">
        <f t="shared" si="0"/>
        <v>6</v>
      </c>
    </row>
    <row r="12" spans="2:9" ht="18" customHeight="1" x14ac:dyDescent="0.25">
      <c r="B12" s="139">
        <v>6</v>
      </c>
      <c r="C12" s="116" t="str">
        <f>Config!C10&amp;", "&amp;Config!D10</f>
        <v>Traut, Stefanie</v>
      </c>
      <c r="D12" s="243"/>
      <c r="E12" s="237">
        <v>2</v>
      </c>
      <c r="F12" s="237">
        <v>3</v>
      </c>
      <c r="G12" s="237">
        <v>3</v>
      </c>
      <c r="H12" s="244"/>
      <c r="I12" s="239">
        <f t="shared" si="0"/>
        <v>8</v>
      </c>
    </row>
    <row r="13" spans="2:9" ht="18" customHeight="1" x14ac:dyDescent="0.25">
      <c r="B13" s="140">
        <v>7</v>
      </c>
      <c r="C13" s="115" t="str">
        <f>Config!C11&amp;", "&amp;Config!D11</f>
        <v>Menke, Damian</v>
      </c>
      <c r="D13" s="245"/>
      <c r="E13" s="237">
        <v>1</v>
      </c>
      <c r="F13" s="237">
        <v>2</v>
      </c>
      <c r="G13" s="245"/>
      <c r="H13" s="238">
        <v>4</v>
      </c>
      <c r="I13" s="240">
        <f t="shared" si="0"/>
        <v>7</v>
      </c>
    </row>
    <row r="14" spans="2:9" ht="18" customHeight="1" x14ac:dyDescent="0.25">
      <c r="B14" s="139">
        <v>8</v>
      </c>
      <c r="C14" s="116" t="str">
        <f>Config!C12&amp;", "&amp;Config!D12</f>
        <v>Carroll, Meik</v>
      </c>
      <c r="D14" s="243"/>
      <c r="E14" s="243"/>
      <c r="F14" s="243"/>
      <c r="G14" s="237">
        <v>4</v>
      </c>
      <c r="H14" s="238">
        <v>3</v>
      </c>
      <c r="I14" s="239">
        <f t="shared" si="0"/>
        <v>7</v>
      </c>
    </row>
    <row r="15" spans="2:9" ht="18" customHeight="1" x14ac:dyDescent="0.25">
      <c r="B15" s="140">
        <v>9</v>
      </c>
      <c r="C15" s="115" t="str">
        <f>Config!C13&amp;", "&amp;Config!D13</f>
        <v>Hennings, Tomas</v>
      </c>
      <c r="D15" s="237">
        <v>5</v>
      </c>
      <c r="E15" s="237">
        <v>2</v>
      </c>
      <c r="F15" s="237">
        <v>1</v>
      </c>
      <c r="G15" s="245"/>
      <c r="H15" s="246"/>
      <c r="I15" s="240">
        <f t="shared" si="0"/>
        <v>8</v>
      </c>
    </row>
    <row r="16" spans="2:9" ht="18" customHeight="1" x14ac:dyDescent="0.25">
      <c r="B16" s="139">
        <v>10</v>
      </c>
      <c r="C16" s="116" t="str">
        <f>Config!C14&amp;", "&amp;Config!D14</f>
        <v>Walters, Linn</v>
      </c>
      <c r="D16" s="243"/>
      <c r="E16" s="237">
        <v>1</v>
      </c>
      <c r="F16" s="237">
        <v>2</v>
      </c>
      <c r="G16" s="237">
        <v>5</v>
      </c>
      <c r="H16" s="244"/>
      <c r="I16" s="239">
        <f t="shared" si="0"/>
        <v>8</v>
      </c>
    </row>
    <row r="17" spans="2:9" ht="18" customHeight="1" x14ac:dyDescent="0.25">
      <c r="B17" s="140">
        <v>11</v>
      </c>
      <c r="C17" s="115" t="str">
        <f>Config!C15&amp;", "&amp;Config!D15</f>
        <v>Junker, Amely</v>
      </c>
      <c r="D17" s="237">
        <v>2</v>
      </c>
      <c r="E17" s="245"/>
      <c r="F17" s="245"/>
      <c r="G17" s="237">
        <v>4</v>
      </c>
      <c r="H17" s="246"/>
      <c r="I17" s="240">
        <f t="shared" si="0"/>
        <v>6</v>
      </c>
    </row>
    <row r="18" spans="2:9" ht="18" customHeight="1" x14ac:dyDescent="0.25">
      <c r="B18" s="139">
        <v>12</v>
      </c>
      <c r="C18" s="116" t="str">
        <f>Config!C16&amp;", "&amp;Config!D16</f>
        <v>Stephens, Melvin</v>
      </c>
      <c r="D18" s="237">
        <v>5</v>
      </c>
      <c r="E18" s="243"/>
      <c r="F18" s="243"/>
      <c r="G18" s="237">
        <v>1</v>
      </c>
      <c r="H18" s="244"/>
      <c r="I18" s="239">
        <f t="shared" ref="I18:I28" si="1">SUM(D18:H18)</f>
        <v>6</v>
      </c>
    </row>
    <row r="19" spans="2:9" ht="18" customHeight="1" x14ac:dyDescent="0.25">
      <c r="B19" s="140">
        <v>13</v>
      </c>
      <c r="C19" s="115" t="str">
        <f>Config!C17&amp;", "&amp;Config!D17</f>
        <v>Cremer, Marvin</v>
      </c>
      <c r="D19" s="237">
        <v>3</v>
      </c>
      <c r="E19" s="245"/>
      <c r="F19" s="245"/>
      <c r="G19" s="245"/>
      <c r="H19" s="238">
        <v>5</v>
      </c>
      <c r="I19" s="240">
        <f t="shared" si="1"/>
        <v>8</v>
      </c>
    </row>
    <row r="20" spans="2:9" ht="18" customHeight="1" x14ac:dyDescent="0.25">
      <c r="B20" s="139">
        <v>14</v>
      </c>
      <c r="C20" s="116" t="str">
        <f>Config!C18&amp;", "&amp;Config!D18</f>
        <v>Nash, Jean</v>
      </c>
      <c r="D20" s="243"/>
      <c r="E20" s="243"/>
      <c r="F20" s="243"/>
      <c r="G20" s="237">
        <v>4</v>
      </c>
      <c r="H20" s="238">
        <v>3</v>
      </c>
      <c r="I20" s="239">
        <f t="shared" si="1"/>
        <v>7</v>
      </c>
    </row>
    <row r="21" spans="2:9" ht="18" customHeight="1" x14ac:dyDescent="0.25">
      <c r="B21" s="140">
        <v>15</v>
      </c>
      <c r="C21" s="115" t="str">
        <f>Config!C19&amp;", "&amp;Config!D19</f>
        <v>Schön, Leonardo</v>
      </c>
      <c r="D21" s="245"/>
      <c r="E21" s="237">
        <v>1</v>
      </c>
      <c r="F21" s="237">
        <v>2</v>
      </c>
      <c r="G21" s="245"/>
      <c r="H21" s="238">
        <v>1</v>
      </c>
      <c r="I21" s="240">
        <f t="shared" si="1"/>
        <v>4</v>
      </c>
    </row>
    <row r="22" spans="2:9" ht="18" customHeight="1" x14ac:dyDescent="0.25">
      <c r="B22" s="139">
        <v>16</v>
      </c>
      <c r="C22" s="116" t="str">
        <f>Config!C20&amp;", "&amp;Config!D20</f>
        <v>Sigl, Nicholas</v>
      </c>
      <c r="D22" s="243"/>
      <c r="E22" s="237">
        <v>1</v>
      </c>
      <c r="F22" s="237">
        <v>2</v>
      </c>
      <c r="G22" s="237">
        <v>5</v>
      </c>
      <c r="H22" s="244"/>
      <c r="I22" s="239">
        <f t="shared" si="1"/>
        <v>8</v>
      </c>
    </row>
    <row r="23" spans="2:9" ht="18" customHeight="1" x14ac:dyDescent="0.25">
      <c r="B23" s="140">
        <v>17</v>
      </c>
      <c r="C23" s="115" t="str">
        <f>Config!C21&amp;", "&amp;Config!D21</f>
        <v>Kainz, Vivienne</v>
      </c>
      <c r="D23" s="237">
        <v>5</v>
      </c>
      <c r="E23" s="245"/>
      <c r="F23" s="245"/>
      <c r="G23" s="237">
        <v>5</v>
      </c>
      <c r="H23" s="246"/>
      <c r="I23" s="240">
        <f t="shared" si="1"/>
        <v>10</v>
      </c>
    </row>
    <row r="24" spans="2:9" ht="18" customHeight="1" x14ac:dyDescent="0.25">
      <c r="B24" s="139">
        <v>18</v>
      </c>
      <c r="C24" s="116" t="str">
        <f>Config!C22&amp;", "&amp;Config!D22</f>
        <v>Hartmann, Mads</v>
      </c>
      <c r="D24" s="243"/>
      <c r="E24" s="243"/>
      <c r="F24" s="243"/>
      <c r="G24" s="237">
        <v>3</v>
      </c>
      <c r="H24" s="238">
        <v>4</v>
      </c>
      <c r="I24" s="239">
        <f t="shared" si="1"/>
        <v>7</v>
      </c>
    </row>
    <row r="25" spans="2:9" ht="18" customHeight="1" x14ac:dyDescent="0.25">
      <c r="B25" s="140">
        <v>19</v>
      </c>
      <c r="C25" s="115" t="str">
        <f>Config!C23&amp;", "&amp;Config!D23</f>
        <v>Ullmann, Raphael</v>
      </c>
      <c r="D25" s="245"/>
      <c r="E25" s="245"/>
      <c r="F25" s="245"/>
      <c r="G25" s="237">
        <v>5</v>
      </c>
      <c r="H25" s="238">
        <v>3</v>
      </c>
      <c r="I25" s="240">
        <f t="shared" si="1"/>
        <v>8</v>
      </c>
    </row>
    <row r="26" spans="2:9" ht="18" customHeight="1" x14ac:dyDescent="0.25">
      <c r="B26" s="139">
        <v>20</v>
      </c>
      <c r="C26" s="116" t="str">
        <f>Config!C24&amp;", "&amp;Config!D24</f>
        <v>Hartl, Emmely</v>
      </c>
      <c r="D26" s="237">
        <v>5</v>
      </c>
      <c r="E26" s="237">
        <v>2</v>
      </c>
      <c r="F26" s="237">
        <v>3</v>
      </c>
      <c r="G26" s="243"/>
      <c r="H26" s="244"/>
      <c r="I26" s="239">
        <f t="shared" si="1"/>
        <v>10</v>
      </c>
    </row>
    <row r="27" spans="2:9" ht="18" customHeight="1" x14ac:dyDescent="0.25">
      <c r="B27" s="140">
        <v>21</v>
      </c>
      <c r="C27" s="115" t="str">
        <f>Config!C25&amp;", "&amp;Config!D25</f>
        <v>Klotz, Karin</v>
      </c>
      <c r="D27" s="237">
        <v>5</v>
      </c>
      <c r="E27" s="237">
        <v>2</v>
      </c>
      <c r="F27" s="237">
        <v>3</v>
      </c>
      <c r="G27" s="245"/>
      <c r="H27" s="246"/>
      <c r="I27" s="240">
        <f t="shared" si="1"/>
        <v>10</v>
      </c>
    </row>
    <row r="28" spans="2:9" ht="18" customHeight="1" x14ac:dyDescent="0.25">
      <c r="B28" s="139">
        <v>22</v>
      </c>
      <c r="C28" s="116" t="str">
        <f>Config!C26&amp;", "&amp;Config!D26</f>
        <v>Ehlers, Ingo</v>
      </c>
      <c r="D28" s="237">
        <v>2</v>
      </c>
      <c r="E28" s="243"/>
      <c r="F28" s="243"/>
      <c r="G28" s="243"/>
      <c r="H28" s="238">
        <v>5</v>
      </c>
      <c r="I28" s="239">
        <f t="shared" si="1"/>
        <v>7</v>
      </c>
    </row>
    <row r="29" spans="2:9" ht="18" customHeight="1" thickBot="1" x14ac:dyDescent="0.3">
      <c r="B29" s="141">
        <v>23</v>
      </c>
      <c r="C29" s="136" t="str">
        <f>Config!C27&amp;", "&amp;Config!D27</f>
        <v>Lindemann, Mads</v>
      </c>
      <c r="D29" s="95">
        <v>3</v>
      </c>
      <c r="E29" s="232"/>
      <c r="F29" s="232"/>
      <c r="G29" s="95">
        <v>5</v>
      </c>
      <c r="H29" s="233"/>
      <c r="I29" s="144">
        <f t="shared" ref="I29" si="2">SUM(D29:H29)</f>
        <v>8</v>
      </c>
    </row>
    <row r="30" spans="2:9" ht="18" customHeight="1" thickBot="1" x14ac:dyDescent="0.3">
      <c r="B30" s="118"/>
      <c r="C30" s="119"/>
      <c r="D30" s="119">
        <f>IF(COUNTIFS(D7:D29,"&lt;&gt;",C7:C29,"&lt;&gt;ZK",C7:C29,"&lt;&gt;DK")&lt;&gt;0,SUMIFS(D7:D29,C7:C29,"&lt;&gt;ZK",C7:C29,"&lt;&gt;DK")/(COUNTIFS(D7:D29,"&lt;&gt;",C7:C29,"&lt;&gt;ZK",C7:C29,"&lt;&gt;DK")*D6),0)</f>
        <v>0.67692307692307696</v>
      </c>
      <c r="E30" s="119">
        <f>IF(COUNTIFS(E7:E29,"&lt;&gt;",C7:C29,"&lt;&gt;ZK",C7:C29,"&lt;&gt;DK")&lt;&gt;0,SUMIFS(E7:E29,C7:C29,"&lt;&gt;ZK",C7:C29,"&lt;&gt;DK")/(COUNTIFS(E7:E29,"&lt;&gt;",C7:C29,"&lt;&gt;ZK",C7:C29,"&lt;&gt;DK")*E6),0)</f>
        <v>0.8</v>
      </c>
      <c r="F30" s="119">
        <f>IF(COUNTIFS(F7:F29,"&lt;&gt;",C7:C29,"&lt;&gt;ZK",C7:C29,"&lt;&gt;DK")&lt;&gt;0,SUMIFS(F7:F29,C7:C29,"&lt;&gt;ZK",C7:C29,"&lt;&gt;DK")/(COUNTIFS(F7:F29,"&lt;&gt;",C7:C29,"&lt;&gt;ZK",C7:C29,"&lt;&gt;DK")*F6),0)</f>
        <v>0.76666666666666672</v>
      </c>
      <c r="G30" s="119">
        <f>IF(COUNTIFS(G7:G29,"&lt;&gt;",C7:C29,"&lt;&gt;ZK",C7:C29,"&lt;&gt;DK")&lt;&gt;0,SUMIFS(G7:G29,C7:C29,"&lt;&gt;ZK",C7:C29,"&lt;&gt;DK")/(COUNTIFS(G7:G29,"&lt;&gt;",C7:C29,"&lt;&gt;ZK",C7:C29,"&lt;&gt;DK")*G6),0)</f>
        <v>0.82857142857142863</v>
      </c>
      <c r="H30" s="119">
        <f>IF(COUNTIFS(H7:H29,"&lt;&gt;",C7:C29,"&lt;&gt;ZK",C7:C29,"&lt;&gt;DK")&lt;&gt;0,SUMIFS(H7:H29,C7:C29,"&lt;&gt;ZK",C7:C29,"&lt;&gt;DK")/(COUNTIFS(H7:H29,"&lt;&gt;",C7:C29,"&lt;&gt;ZK",C7:C29,"&lt;&gt;DK")*H6),0)</f>
        <v>0.68888888888888888</v>
      </c>
      <c r="I30" s="12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5">
    <dataValidation type="decimal" allowBlank="1" showErrorMessage="1" sqref="D7:D29" xr:uid="{4F62F5DB-D8C2-481B-A265-48E8D8602C1E}">
      <formula1>0</formula1>
      <formula2>$D$6</formula2>
    </dataValidation>
    <dataValidation type="decimal" allowBlank="1" showErrorMessage="1" sqref="E7:E29" xr:uid="{8FD7501C-FD13-40B7-93A1-58A41815F2D5}">
      <formula1>0</formula1>
      <formula2>$E$6</formula2>
    </dataValidation>
    <dataValidation type="decimal" allowBlank="1" showErrorMessage="1" sqref="F7:F29" xr:uid="{BBB6BDAD-2BE3-44B3-A851-53771BC6FFF7}">
      <formula1>0</formula1>
      <formula2>$F$6</formula2>
    </dataValidation>
    <dataValidation type="decimal" allowBlank="1" showErrorMessage="1" sqref="G7:G29" xr:uid="{3AE333DF-6560-459A-847B-F6AD2F7DDA55}">
      <formula1>0</formula1>
      <formula2>$G$6</formula2>
    </dataValidation>
    <dataValidation type="decimal" allowBlank="1" showErrorMessage="1" sqref="H7:H29" xr:uid="{F3DE39C4-F935-4727-8260-53E3050D961E}">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workbookViewId="0">
      <selection activeCell="D28" sqref="D28"/>
    </sheetView>
  </sheetViews>
  <sheetFormatPr baseColWidth="10" defaultColWidth="11.5546875" defaultRowHeight="13.2" x14ac:dyDescent="0.25"/>
  <cols>
    <col min="1" max="2" width="3.44140625" style="98" customWidth="1"/>
    <col min="3" max="3" width="25.6640625" style="98" customWidth="1"/>
    <col min="4" max="8" width="4.6640625" style="98" customWidth="1"/>
    <col min="9" max="9" width="2.6640625" style="98" customWidth="1"/>
    <col min="10" max="16384" width="11.5546875" style="98"/>
  </cols>
  <sheetData>
    <row r="1" spans="2:14" ht="18" customHeight="1" thickBot="1" x14ac:dyDescent="0.3"/>
    <row r="2" spans="2:14" ht="18" customHeight="1" x14ac:dyDescent="0.25">
      <c r="B2" s="99" t="str">
        <f>Config!F2&amp;" "&amp;YEAR(Config!G24)</f>
        <v>Mathe Abitur 2026</v>
      </c>
      <c r="C2" s="100"/>
      <c r="D2" s="100"/>
      <c r="E2" s="100"/>
      <c r="F2" s="101"/>
      <c r="G2" s="101"/>
      <c r="H2" s="102" t="str">
        <f>"Kurs "&amp;Config!G26</f>
        <v>Kurs K1</v>
      </c>
    </row>
    <row r="3" spans="2:14" ht="18" customHeight="1" x14ac:dyDescent="0.25">
      <c r="B3" s="103" t="s">
        <v>124</v>
      </c>
      <c r="C3" s="104"/>
      <c r="D3" s="104"/>
      <c r="E3" s="104"/>
      <c r="F3" s="104"/>
      <c r="G3" s="104"/>
      <c r="H3" s="105"/>
    </row>
    <row r="4" spans="2:14" ht="18" customHeight="1" thickBot="1" x14ac:dyDescent="0.3">
      <c r="B4" s="103"/>
      <c r="C4" s="104"/>
      <c r="D4" s="106"/>
      <c r="E4" s="106"/>
      <c r="F4" s="106"/>
      <c r="G4" s="106"/>
      <c r="H4" s="107"/>
    </row>
    <row r="5" spans="2:14" ht="18" customHeight="1" thickBot="1" x14ac:dyDescent="0.3">
      <c r="B5" s="108"/>
      <c r="C5" s="110"/>
      <c r="D5" s="123" t="str">
        <f>Config!R6</f>
        <v>6</v>
      </c>
      <c r="E5" s="123" t="str">
        <f>Config!R7</f>
        <v>7a</v>
      </c>
      <c r="F5" s="123" t="str">
        <f>Config!R8</f>
        <v>7b</v>
      </c>
      <c r="G5" s="123" t="str">
        <f>Config!R9</f>
        <v>8</v>
      </c>
      <c r="H5" s="123" t="str">
        <f>Config!R10</f>
        <v>9</v>
      </c>
    </row>
    <row r="6" spans="2:14" ht="18" customHeight="1" thickBot="1" x14ac:dyDescent="0.3">
      <c r="B6" s="109"/>
      <c r="C6" s="111" t="s">
        <v>81</v>
      </c>
      <c r="D6" s="143" t="s">
        <v>112</v>
      </c>
      <c r="E6" s="143" t="s">
        <v>112</v>
      </c>
      <c r="F6" s="143" t="s">
        <v>112</v>
      </c>
      <c r="G6" s="143" t="s">
        <v>112</v>
      </c>
      <c r="H6" s="143" t="s">
        <v>112</v>
      </c>
      <c r="J6" s="158" t="s">
        <v>125</v>
      </c>
      <c r="K6" s="159"/>
      <c r="L6" s="159"/>
      <c r="M6" s="159"/>
      <c r="N6" s="160"/>
    </row>
    <row r="7" spans="2:14" ht="18" customHeight="1" x14ac:dyDescent="0.25">
      <c r="B7" s="138">
        <v>1</v>
      </c>
      <c r="C7" s="135" t="str">
        <f>Config!C5&amp;", "&amp;Config!D5</f>
        <v>Höfer, Simon</v>
      </c>
      <c r="D7" s="63" t="s">
        <v>120</v>
      </c>
      <c r="E7" s="63" t="s">
        <v>120</v>
      </c>
      <c r="F7" s="63" t="s">
        <v>120</v>
      </c>
      <c r="G7" s="63"/>
      <c r="H7" s="64"/>
      <c r="J7" s="161"/>
      <c r="K7" s="162"/>
      <c r="L7" s="162"/>
      <c r="M7" s="162"/>
      <c r="N7" s="163"/>
    </row>
    <row r="8" spans="2:14" ht="18" customHeight="1" thickBot="1" x14ac:dyDescent="0.3">
      <c r="B8" s="140">
        <v>2</v>
      </c>
      <c r="C8" s="115" t="str">
        <f>Config!C6&amp;", "&amp;Config!D6</f>
        <v>Töpfer, Lilian</v>
      </c>
      <c r="D8" s="62" t="s">
        <v>120</v>
      </c>
      <c r="E8" s="62"/>
      <c r="F8" s="62"/>
      <c r="G8" s="62" t="s">
        <v>120</v>
      </c>
      <c r="H8" s="65"/>
      <c r="J8" s="164"/>
      <c r="K8" s="165"/>
      <c r="L8" s="165"/>
      <c r="M8" s="165"/>
      <c r="N8" s="166"/>
    </row>
    <row r="9" spans="2:14" ht="18" customHeight="1" x14ac:dyDescent="0.25">
      <c r="B9" s="140">
        <v>3</v>
      </c>
      <c r="C9" s="115" t="str">
        <f>Config!C7&amp;", "&amp;Config!D7</f>
        <v>Fleischmann, Leonie</v>
      </c>
      <c r="D9" s="62"/>
      <c r="E9" s="62"/>
      <c r="F9" s="62"/>
      <c r="G9" s="62" t="s">
        <v>120</v>
      </c>
      <c r="H9" s="65" t="s">
        <v>120</v>
      </c>
    </row>
    <row r="10" spans="2:14" ht="18" customHeight="1" x14ac:dyDescent="0.25">
      <c r="B10" s="140">
        <v>4</v>
      </c>
      <c r="C10" s="115" t="str">
        <f>Config!C8&amp;", "&amp;Config!D8</f>
        <v>Drescher, Cedric</v>
      </c>
      <c r="D10" s="62" t="s">
        <v>120</v>
      </c>
      <c r="E10" s="62" t="s">
        <v>120</v>
      </c>
      <c r="F10" s="62" t="s">
        <v>120</v>
      </c>
      <c r="G10" s="62"/>
      <c r="H10" s="65"/>
    </row>
    <row r="11" spans="2:14" ht="18" customHeight="1" x14ac:dyDescent="0.25">
      <c r="B11" s="140">
        <v>5</v>
      </c>
      <c r="C11" s="115" t="str">
        <f>Config!C9&amp;", "&amp;Config!D9</f>
        <v>Baumgarten, Annabell</v>
      </c>
      <c r="D11" s="62" t="s">
        <v>120</v>
      </c>
      <c r="E11" s="62"/>
      <c r="F11" s="62"/>
      <c r="G11" s="62" t="s">
        <v>120</v>
      </c>
      <c r="H11" s="65"/>
    </row>
    <row r="12" spans="2:14" ht="18" customHeight="1" x14ac:dyDescent="0.25">
      <c r="B12" s="140">
        <v>6</v>
      </c>
      <c r="C12" s="115" t="str">
        <f>Config!C10&amp;", "&amp;Config!D10</f>
        <v>Traut, Stefanie</v>
      </c>
      <c r="D12" s="62"/>
      <c r="E12" s="62" t="s">
        <v>120</v>
      </c>
      <c r="F12" s="62" t="s">
        <v>120</v>
      </c>
      <c r="G12" s="62" t="s">
        <v>120</v>
      </c>
      <c r="H12" s="65"/>
    </row>
    <row r="13" spans="2:14" ht="18" customHeight="1" x14ac:dyDescent="0.25">
      <c r="B13" s="140">
        <v>7</v>
      </c>
      <c r="C13" s="115" t="str">
        <f>Config!C11&amp;", "&amp;Config!D11</f>
        <v>Menke, Damian</v>
      </c>
      <c r="D13" s="62"/>
      <c r="E13" s="62" t="s">
        <v>120</v>
      </c>
      <c r="F13" s="62" t="s">
        <v>120</v>
      </c>
      <c r="G13" s="62"/>
      <c r="H13" s="65" t="s">
        <v>120</v>
      </c>
    </row>
    <row r="14" spans="2:14" ht="18" customHeight="1" x14ac:dyDescent="0.25">
      <c r="B14" s="140">
        <v>8</v>
      </c>
      <c r="C14" s="115" t="str">
        <f>Config!C12&amp;", "&amp;Config!D12</f>
        <v>Carroll, Meik</v>
      </c>
      <c r="D14" s="62"/>
      <c r="E14" s="62"/>
      <c r="F14" s="62"/>
      <c r="G14" s="62" t="s">
        <v>120</v>
      </c>
      <c r="H14" s="65" t="s">
        <v>120</v>
      </c>
    </row>
    <row r="15" spans="2:14" ht="18" customHeight="1" x14ac:dyDescent="0.25">
      <c r="B15" s="140">
        <v>9</v>
      </c>
      <c r="C15" s="115" t="str">
        <f>Config!C13&amp;", "&amp;Config!D13</f>
        <v>Hennings, Tomas</v>
      </c>
      <c r="D15" s="62" t="s">
        <v>120</v>
      </c>
      <c r="E15" s="62" t="s">
        <v>120</v>
      </c>
      <c r="F15" s="62" t="s">
        <v>120</v>
      </c>
      <c r="G15" s="62"/>
      <c r="H15" s="65"/>
    </row>
    <row r="16" spans="2:14" ht="18" customHeight="1" x14ac:dyDescent="0.25">
      <c r="B16" s="140">
        <v>10</v>
      </c>
      <c r="C16" s="115" t="str">
        <f>Config!C14&amp;", "&amp;Config!D14</f>
        <v>Walters, Linn</v>
      </c>
      <c r="D16" s="62"/>
      <c r="E16" s="62" t="s">
        <v>120</v>
      </c>
      <c r="F16" s="62" t="s">
        <v>120</v>
      </c>
      <c r="G16" s="62" t="s">
        <v>120</v>
      </c>
      <c r="H16" s="65"/>
    </row>
    <row r="17" spans="2:8" ht="18" customHeight="1" x14ac:dyDescent="0.25">
      <c r="B17" s="140">
        <v>11</v>
      </c>
      <c r="C17" s="115" t="str">
        <f>Config!C15&amp;", "&amp;Config!D15</f>
        <v>Junker, Amely</v>
      </c>
      <c r="D17" s="62" t="s">
        <v>120</v>
      </c>
      <c r="E17" s="62"/>
      <c r="F17" s="62"/>
      <c r="G17" s="62" t="s">
        <v>120</v>
      </c>
      <c r="H17" s="65"/>
    </row>
    <row r="18" spans="2:8" ht="18" customHeight="1" x14ac:dyDescent="0.25">
      <c r="B18" s="140">
        <v>12</v>
      </c>
      <c r="C18" s="115" t="str">
        <f>Config!C16&amp;", "&amp;Config!D16</f>
        <v>Stephens, Melvin</v>
      </c>
      <c r="D18" s="62" t="s">
        <v>120</v>
      </c>
      <c r="E18" s="62"/>
      <c r="F18" s="62"/>
      <c r="G18" s="62" t="s">
        <v>120</v>
      </c>
      <c r="H18" s="65"/>
    </row>
    <row r="19" spans="2:8" ht="18" customHeight="1" x14ac:dyDescent="0.25">
      <c r="B19" s="140">
        <v>13</v>
      </c>
      <c r="C19" s="115" t="str">
        <f>Config!C17&amp;", "&amp;Config!D17</f>
        <v>Cremer, Marvin</v>
      </c>
      <c r="D19" s="62" t="s">
        <v>120</v>
      </c>
      <c r="E19" s="62"/>
      <c r="F19" s="62"/>
      <c r="G19" s="62"/>
      <c r="H19" s="65" t="s">
        <v>120</v>
      </c>
    </row>
    <row r="20" spans="2:8" ht="18" customHeight="1" x14ac:dyDescent="0.25">
      <c r="B20" s="140">
        <v>14</v>
      </c>
      <c r="C20" s="115" t="str">
        <f>Config!C18&amp;", "&amp;Config!D18</f>
        <v>Nash, Jean</v>
      </c>
      <c r="D20" s="62"/>
      <c r="E20" s="62"/>
      <c r="F20" s="62"/>
      <c r="G20" s="62" t="s">
        <v>120</v>
      </c>
      <c r="H20" s="65" t="s">
        <v>120</v>
      </c>
    </row>
    <row r="21" spans="2:8" ht="18" customHeight="1" x14ac:dyDescent="0.25">
      <c r="B21" s="140">
        <v>15</v>
      </c>
      <c r="C21" s="115" t="str">
        <f>Config!C19&amp;", "&amp;Config!D19</f>
        <v>Schön, Leonardo</v>
      </c>
      <c r="D21" s="62"/>
      <c r="E21" s="62" t="s">
        <v>120</v>
      </c>
      <c r="F21" s="62" t="s">
        <v>120</v>
      </c>
      <c r="G21" s="62"/>
      <c r="H21" s="65" t="s">
        <v>120</v>
      </c>
    </row>
    <row r="22" spans="2:8" ht="18" customHeight="1" x14ac:dyDescent="0.25">
      <c r="B22" s="140">
        <v>16</v>
      </c>
      <c r="C22" s="115" t="str">
        <f>Config!C20&amp;", "&amp;Config!D20</f>
        <v>Sigl, Nicholas</v>
      </c>
      <c r="D22" s="62"/>
      <c r="E22" s="62" t="s">
        <v>120</v>
      </c>
      <c r="F22" s="62" t="s">
        <v>120</v>
      </c>
      <c r="G22" s="62" t="s">
        <v>120</v>
      </c>
      <c r="H22" s="65"/>
    </row>
    <row r="23" spans="2:8" ht="18" customHeight="1" x14ac:dyDescent="0.25">
      <c r="B23" s="140">
        <v>17</v>
      </c>
      <c r="C23" s="115" t="str">
        <f>Config!C21&amp;", "&amp;Config!D21</f>
        <v>Kainz, Vivienne</v>
      </c>
      <c r="D23" s="62" t="s">
        <v>120</v>
      </c>
      <c r="E23" s="62"/>
      <c r="F23" s="62"/>
      <c r="G23" s="62" t="s">
        <v>120</v>
      </c>
      <c r="H23" s="65"/>
    </row>
    <row r="24" spans="2:8" ht="18" customHeight="1" x14ac:dyDescent="0.25">
      <c r="B24" s="140">
        <v>18</v>
      </c>
      <c r="C24" s="115" t="str">
        <f>Config!C22&amp;", "&amp;Config!D22</f>
        <v>Hartmann, Mads</v>
      </c>
      <c r="D24" s="62"/>
      <c r="E24" s="62"/>
      <c r="F24" s="62"/>
      <c r="G24" s="62" t="s">
        <v>120</v>
      </c>
      <c r="H24" s="65" t="s">
        <v>120</v>
      </c>
    </row>
    <row r="25" spans="2:8" ht="18" customHeight="1" x14ac:dyDescent="0.25">
      <c r="B25" s="140">
        <v>19</v>
      </c>
      <c r="C25" s="115" t="str">
        <f>Config!C23&amp;", "&amp;Config!D23</f>
        <v>Ullmann, Raphael</v>
      </c>
      <c r="D25" s="62"/>
      <c r="E25" s="62"/>
      <c r="F25" s="62"/>
      <c r="G25" s="62" t="s">
        <v>120</v>
      </c>
      <c r="H25" s="65" t="s">
        <v>120</v>
      </c>
    </row>
    <row r="26" spans="2:8" ht="18" customHeight="1" x14ac:dyDescent="0.25">
      <c r="B26" s="140">
        <v>20</v>
      </c>
      <c r="C26" s="115" t="str">
        <f>Config!C24&amp;", "&amp;Config!D24</f>
        <v>Hartl, Emmely</v>
      </c>
      <c r="D26" s="62" t="s">
        <v>120</v>
      </c>
      <c r="E26" s="62" t="s">
        <v>120</v>
      </c>
      <c r="F26" s="62" t="s">
        <v>120</v>
      </c>
      <c r="G26" s="62"/>
      <c r="H26" s="65"/>
    </row>
    <row r="27" spans="2:8" ht="18" customHeight="1" x14ac:dyDescent="0.25">
      <c r="B27" s="140">
        <v>21</v>
      </c>
      <c r="C27" s="115" t="str">
        <f>Config!C25&amp;", "&amp;Config!D25</f>
        <v>Klotz, Karin</v>
      </c>
      <c r="D27" s="62" t="s">
        <v>120</v>
      </c>
      <c r="E27" s="62" t="s">
        <v>120</v>
      </c>
      <c r="F27" s="62" t="s">
        <v>120</v>
      </c>
      <c r="G27" s="62"/>
      <c r="H27" s="65"/>
    </row>
    <row r="28" spans="2:8" ht="18" customHeight="1" x14ac:dyDescent="0.25">
      <c r="B28" s="140">
        <v>22</v>
      </c>
      <c r="C28" s="115" t="str">
        <f>Config!C26&amp;", "&amp;Config!D26</f>
        <v>Ehlers, Ingo</v>
      </c>
      <c r="D28" s="62" t="s">
        <v>120</v>
      </c>
      <c r="E28" s="62"/>
      <c r="F28" s="62"/>
      <c r="G28" s="62"/>
      <c r="H28" s="65" t="s">
        <v>120</v>
      </c>
    </row>
    <row r="29" spans="2:8" ht="18" customHeight="1" thickBot="1" x14ac:dyDescent="0.3">
      <c r="B29" s="141">
        <v>23</v>
      </c>
      <c r="C29" s="136"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05" t="s">
        <v>6</v>
      </c>
      <c r="C2" s="206"/>
      <c r="D2" s="207"/>
      <c r="F2" s="194" t="s">
        <v>96</v>
      </c>
      <c r="G2" s="195"/>
      <c r="H2" s="195"/>
      <c r="I2" s="195"/>
      <c r="J2" s="195"/>
      <c r="K2" s="195"/>
      <c r="L2" s="195"/>
      <c r="M2" s="195"/>
      <c r="N2" s="195"/>
      <c r="O2" s="195"/>
      <c r="P2" s="195"/>
      <c r="Q2" s="195"/>
      <c r="R2" s="195"/>
      <c r="S2" s="196"/>
      <c r="T2" s="79" t="s">
        <v>88</v>
      </c>
      <c r="V2" s="167" t="s">
        <v>89</v>
      </c>
      <c r="W2" s="168"/>
      <c r="X2" s="168"/>
      <c r="Y2" s="168"/>
      <c r="Z2" s="169"/>
      <c r="AB2" s="167" t="s">
        <v>129</v>
      </c>
      <c r="AC2" s="168"/>
      <c r="AD2" s="168"/>
      <c r="AE2" s="168"/>
      <c r="AF2" s="169"/>
    </row>
    <row r="3" spans="2:32" ht="13.2" customHeight="1" x14ac:dyDescent="0.25">
      <c r="B3" s="208"/>
      <c r="C3" s="209"/>
      <c r="D3" s="210"/>
      <c r="F3" s="197"/>
      <c r="G3" s="198"/>
      <c r="H3" s="198"/>
      <c r="I3" s="198"/>
      <c r="J3" s="198"/>
      <c r="K3" s="198"/>
      <c r="L3" s="198"/>
      <c r="M3" s="198"/>
      <c r="N3" s="198"/>
      <c r="O3" s="198"/>
      <c r="P3" s="198"/>
      <c r="Q3" s="198"/>
      <c r="R3" s="198"/>
      <c r="S3" s="199"/>
      <c r="V3" s="80" t="s">
        <v>90</v>
      </c>
      <c r="W3" s="170" t="s">
        <v>122</v>
      </c>
      <c r="X3" s="170"/>
      <c r="Y3" s="170"/>
      <c r="Z3" s="171"/>
      <c r="AB3" s="97" t="s">
        <v>130</v>
      </c>
      <c r="AC3" s="170" t="s">
        <v>131</v>
      </c>
      <c r="AD3" s="170"/>
      <c r="AE3" s="170"/>
      <c r="AF3" s="171"/>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70"/>
      <c r="X4" s="170"/>
      <c r="Y4" s="170"/>
      <c r="Z4" s="171"/>
      <c r="AB4" s="80"/>
      <c r="AC4" s="170"/>
      <c r="AD4" s="170"/>
      <c r="AE4" s="170"/>
      <c r="AF4" s="171"/>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70"/>
      <c r="X5" s="170"/>
      <c r="Y5" s="170"/>
      <c r="Z5" s="171"/>
      <c r="AB5" s="80"/>
      <c r="AC5" s="170"/>
      <c r="AD5" s="170"/>
      <c r="AE5" s="170"/>
      <c r="AF5" s="171"/>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70"/>
      <c r="X6" s="170"/>
      <c r="Y6" s="170"/>
      <c r="Z6" s="171"/>
      <c r="AB6" s="97" t="s">
        <v>130</v>
      </c>
      <c r="AC6" s="170"/>
      <c r="AD6" s="170"/>
      <c r="AE6" s="170"/>
      <c r="AF6" s="171"/>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70"/>
      <c r="X7" s="170"/>
      <c r="Y7" s="170"/>
      <c r="Z7" s="171"/>
      <c r="AB7" s="80"/>
      <c r="AC7" s="170"/>
      <c r="AD7" s="170"/>
      <c r="AE7" s="170"/>
      <c r="AF7" s="171"/>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70"/>
      <c r="X8" s="170"/>
      <c r="Y8" s="170"/>
      <c r="Z8" s="171"/>
      <c r="AB8" s="80"/>
      <c r="AC8" s="170"/>
      <c r="AD8" s="170"/>
      <c r="AE8" s="170"/>
      <c r="AF8" s="171"/>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70"/>
      <c r="X9" s="170"/>
      <c r="Y9" s="170"/>
      <c r="Z9" s="171"/>
      <c r="AB9" s="97"/>
      <c r="AC9" s="170"/>
      <c r="AD9" s="170"/>
      <c r="AE9" s="170"/>
      <c r="AF9" s="171"/>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70"/>
      <c r="X10" s="170"/>
      <c r="Y10" s="170"/>
      <c r="Z10" s="171"/>
      <c r="AB10" s="80"/>
      <c r="AC10" s="170"/>
      <c r="AD10" s="170"/>
      <c r="AE10" s="170"/>
      <c r="AF10" s="171"/>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70"/>
      <c r="X11" s="170"/>
      <c r="Y11" s="170"/>
      <c r="Z11" s="171"/>
      <c r="AB11" s="97" t="s">
        <v>130</v>
      </c>
      <c r="AC11" s="170"/>
      <c r="AD11" s="170"/>
      <c r="AE11" s="170"/>
      <c r="AF11" s="171"/>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70"/>
      <c r="X12" s="170"/>
      <c r="Y12" s="170"/>
      <c r="Z12" s="171"/>
      <c r="AB12" s="97"/>
      <c r="AC12" s="170"/>
      <c r="AD12" s="170"/>
      <c r="AE12" s="170"/>
      <c r="AF12" s="171"/>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70"/>
      <c r="X13" s="170"/>
      <c r="Y13" s="170"/>
      <c r="Z13" s="171"/>
      <c r="AB13" s="80"/>
      <c r="AC13" s="170"/>
      <c r="AD13" s="170"/>
      <c r="AE13" s="170"/>
      <c r="AF13" s="171"/>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70"/>
      <c r="X14" s="170"/>
      <c r="Y14" s="170"/>
      <c r="Z14" s="171"/>
      <c r="AB14" s="80"/>
      <c r="AC14" s="170"/>
      <c r="AD14" s="170"/>
      <c r="AE14" s="170"/>
      <c r="AF14" s="171"/>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70"/>
      <c r="X15" s="170"/>
      <c r="Y15" s="170"/>
      <c r="Z15" s="171"/>
      <c r="AB15" s="97"/>
      <c r="AC15" s="170"/>
      <c r="AD15" s="170"/>
      <c r="AE15" s="170"/>
      <c r="AF15" s="171"/>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170"/>
      <c r="X16" s="170"/>
      <c r="Y16" s="170"/>
      <c r="Z16" s="171"/>
      <c r="AB16" s="97" t="s">
        <v>130</v>
      </c>
      <c r="AC16" s="170"/>
      <c r="AD16" s="170"/>
      <c r="AE16" s="170"/>
      <c r="AF16" s="171"/>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170"/>
      <c r="X17" s="170"/>
      <c r="Y17" s="170"/>
      <c r="Z17" s="171"/>
      <c r="AB17" s="80"/>
      <c r="AC17" s="170"/>
      <c r="AD17" s="170"/>
      <c r="AE17" s="170"/>
      <c r="AF17" s="171"/>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70"/>
      <c r="X18" s="170"/>
      <c r="Y18" s="170"/>
      <c r="Z18" s="171"/>
      <c r="AB18" s="97"/>
      <c r="AC18" s="170"/>
      <c r="AD18" s="170"/>
      <c r="AE18" s="170"/>
      <c r="AF18" s="171"/>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170"/>
      <c r="X19" s="170"/>
      <c r="Y19" s="170"/>
      <c r="Z19" s="171"/>
      <c r="AB19" s="80"/>
      <c r="AC19" s="170"/>
      <c r="AD19" s="170"/>
      <c r="AE19" s="170"/>
      <c r="AF19" s="171"/>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170"/>
      <c r="X20" s="170"/>
      <c r="Y20" s="170"/>
      <c r="Z20" s="171"/>
      <c r="AB20" s="80"/>
      <c r="AC20" s="170"/>
      <c r="AD20" s="170"/>
      <c r="AE20" s="170"/>
      <c r="AF20" s="171"/>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70"/>
      <c r="X21" s="170"/>
      <c r="Y21" s="170"/>
      <c r="Z21" s="171"/>
      <c r="AB21" s="97"/>
      <c r="AC21" s="170"/>
      <c r="AD21" s="170"/>
      <c r="AE21" s="170"/>
      <c r="AF21" s="171"/>
    </row>
    <row r="22" spans="2:32" ht="13.8" thickBot="1" x14ac:dyDescent="0.3">
      <c r="B22" s="5">
        <v>18</v>
      </c>
      <c r="C22" s="13" t="s">
        <v>75</v>
      </c>
      <c r="D22" s="14" t="s">
        <v>53</v>
      </c>
      <c r="F22" s="200" t="s">
        <v>118</v>
      </c>
      <c r="G22" s="201"/>
      <c r="H22" s="202" t="s">
        <v>118</v>
      </c>
      <c r="I22" s="201"/>
      <c r="J22" s="202" t="s">
        <v>118</v>
      </c>
      <c r="K22" s="201"/>
      <c r="L22" s="202" t="s">
        <v>118</v>
      </c>
      <c r="M22" s="201"/>
      <c r="N22" s="202" t="s">
        <v>118</v>
      </c>
      <c r="O22" s="201"/>
      <c r="P22" s="202" t="s">
        <v>118</v>
      </c>
      <c r="Q22" s="201"/>
      <c r="R22" s="202" t="s">
        <v>119</v>
      </c>
      <c r="S22" s="213"/>
      <c r="T22" s="79" t="s">
        <v>88</v>
      </c>
      <c r="V22" s="4"/>
      <c r="W22" s="170"/>
      <c r="X22" s="170"/>
      <c r="Y22" s="170"/>
      <c r="Z22" s="171"/>
      <c r="AB22" s="4"/>
      <c r="AC22" s="170"/>
      <c r="AD22" s="170"/>
      <c r="AE22" s="170"/>
      <c r="AF22" s="171"/>
    </row>
    <row r="23" spans="2:32" ht="13.2" customHeight="1" thickBot="1" x14ac:dyDescent="0.3">
      <c r="B23" s="5">
        <v>19</v>
      </c>
      <c r="C23" s="77" t="s">
        <v>76</v>
      </c>
      <c r="D23" s="78" t="s">
        <v>54</v>
      </c>
      <c r="V23" s="4"/>
      <c r="W23" s="170"/>
      <c r="X23" s="170"/>
      <c r="Y23" s="170"/>
      <c r="Z23" s="171"/>
      <c r="AB23" s="4"/>
      <c r="AC23" s="170"/>
      <c r="AD23" s="170"/>
      <c r="AE23" s="170"/>
      <c r="AF23" s="171"/>
    </row>
    <row r="24" spans="2:32" ht="13.2" customHeight="1" x14ac:dyDescent="0.25">
      <c r="B24" s="5">
        <v>20</v>
      </c>
      <c r="C24" s="13" t="s">
        <v>77</v>
      </c>
      <c r="D24" s="14" t="s">
        <v>55</v>
      </c>
      <c r="F24" s="22" t="s">
        <v>22</v>
      </c>
      <c r="G24" s="183">
        <v>46150</v>
      </c>
      <c r="H24" s="184"/>
      <c r="J24" s="185" t="s">
        <v>99</v>
      </c>
      <c r="K24" s="186"/>
      <c r="L24" s="186"/>
      <c r="M24" s="186"/>
      <c r="N24" s="186"/>
      <c r="O24" s="186"/>
      <c r="P24" s="186"/>
      <c r="Q24" s="187"/>
      <c r="V24" s="4" t="s">
        <v>123</v>
      </c>
      <c r="W24" s="170"/>
      <c r="X24" s="170"/>
      <c r="Y24" s="170"/>
      <c r="Z24" s="171"/>
      <c r="AB24" s="97"/>
      <c r="AC24" s="170"/>
      <c r="AD24" s="170"/>
      <c r="AE24" s="170"/>
      <c r="AF24" s="171"/>
    </row>
    <row r="25" spans="2:32" ht="13.2" customHeight="1" x14ac:dyDescent="0.25">
      <c r="B25" s="5">
        <v>21</v>
      </c>
      <c r="C25" s="77" t="s">
        <v>78</v>
      </c>
      <c r="D25" s="78" t="s">
        <v>56</v>
      </c>
      <c r="F25" s="23" t="s">
        <v>30</v>
      </c>
      <c r="G25" s="211" t="s">
        <v>86</v>
      </c>
      <c r="H25" s="212"/>
      <c r="J25" s="188" t="s">
        <v>98</v>
      </c>
      <c r="K25" s="189"/>
      <c r="L25" s="189"/>
      <c r="M25" s="189"/>
      <c r="N25" s="189"/>
      <c r="O25" s="189"/>
      <c r="P25" s="189"/>
      <c r="Q25" s="190"/>
      <c r="V25" s="4"/>
      <c r="W25" s="170"/>
      <c r="X25" s="170"/>
      <c r="Y25" s="170"/>
      <c r="Z25" s="171"/>
      <c r="AB25" s="4"/>
      <c r="AC25" s="170"/>
      <c r="AD25" s="170"/>
      <c r="AE25" s="170"/>
      <c r="AF25" s="171"/>
    </row>
    <row r="26" spans="2:32" ht="13.2" customHeight="1" thickBot="1" x14ac:dyDescent="0.3">
      <c r="B26" s="5">
        <v>22</v>
      </c>
      <c r="C26" s="13" t="s">
        <v>79</v>
      </c>
      <c r="D26" s="14" t="s">
        <v>57</v>
      </c>
      <c r="F26" s="23" t="s">
        <v>21</v>
      </c>
      <c r="G26" s="211" t="s">
        <v>87</v>
      </c>
      <c r="H26" s="212"/>
      <c r="J26" s="191" t="s">
        <v>137</v>
      </c>
      <c r="K26" s="192"/>
      <c r="L26" s="192"/>
      <c r="M26" s="192"/>
      <c r="N26" s="192"/>
      <c r="O26" s="192"/>
      <c r="P26" s="192"/>
      <c r="Q26" s="193"/>
      <c r="V26" s="4"/>
      <c r="W26" s="170"/>
      <c r="X26" s="170"/>
      <c r="Y26" s="170"/>
      <c r="Z26" s="171"/>
      <c r="AB26" s="4"/>
      <c r="AC26" s="170"/>
      <c r="AD26" s="170"/>
      <c r="AE26" s="170"/>
      <c r="AF26" s="171"/>
    </row>
    <row r="27" spans="2:32" ht="13.2" customHeight="1" thickBot="1" x14ac:dyDescent="0.3">
      <c r="B27" s="5">
        <v>23</v>
      </c>
      <c r="C27" s="77" t="s">
        <v>80</v>
      </c>
      <c r="D27" s="78" t="s">
        <v>53</v>
      </c>
      <c r="F27" s="23" t="s">
        <v>126</v>
      </c>
      <c r="G27" s="211" t="s">
        <v>132</v>
      </c>
      <c r="H27" s="212"/>
      <c r="I27" s="94" t="s">
        <v>88</v>
      </c>
      <c r="V27" s="4"/>
      <c r="W27" s="170"/>
      <c r="X27" s="170"/>
      <c r="Y27" s="170"/>
      <c r="Z27" s="171"/>
      <c r="AB27" s="4"/>
      <c r="AC27" s="170"/>
      <c r="AD27" s="170"/>
      <c r="AE27" s="170"/>
      <c r="AF27" s="171"/>
    </row>
    <row r="28" spans="2:32" ht="13.2" customHeight="1" thickBot="1" x14ac:dyDescent="0.3">
      <c r="B28" s="5">
        <v>24</v>
      </c>
      <c r="C28" s="13"/>
      <c r="D28" s="14"/>
      <c r="F28" s="24" t="s">
        <v>127</v>
      </c>
      <c r="G28" s="214" t="s">
        <v>133</v>
      </c>
      <c r="H28" s="215"/>
      <c r="I28" s="94" t="s">
        <v>88</v>
      </c>
      <c r="N28" s="216" t="s">
        <v>128</v>
      </c>
      <c r="O28" s="217"/>
      <c r="P28" s="217"/>
      <c r="Q28" s="218"/>
      <c r="V28" s="4"/>
      <c r="W28" s="170"/>
      <c r="X28" s="170"/>
      <c r="Y28" s="170"/>
      <c r="Z28" s="171"/>
      <c r="AB28" s="4"/>
      <c r="AC28" s="170"/>
      <c r="AD28" s="170"/>
      <c r="AE28" s="170"/>
      <c r="AF28" s="171"/>
    </row>
    <row r="29" spans="2:32" ht="13.2" customHeight="1" thickBot="1" x14ac:dyDescent="0.3">
      <c r="B29" s="5">
        <v>25</v>
      </c>
      <c r="C29" s="77"/>
      <c r="D29" s="78"/>
      <c r="N29" s="219"/>
      <c r="O29" s="220"/>
      <c r="P29" s="220"/>
      <c r="Q29" s="221"/>
      <c r="V29" s="92"/>
      <c r="W29" s="172"/>
      <c r="X29" s="172"/>
      <c r="Y29" s="172"/>
      <c r="Z29" s="173"/>
      <c r="AB29" s="92"/>
      <c r="AC29" s="172"/>
      <c r="AD29" s="172"/>
      <c r="AE29" s="172"/>
      <c r="AF29" s="173"/>
    </row>
    <row r="30" spans="2:32" ht="13.2" customHeight="1" thickBot="1" x14ac:dyDescent="0.3">
      <c r="B30" s="5">
        <v>26</v>
      </c>
      <c r="C30" s="13"/>
      <c r="D30" s="14"/>
    </row>
    <row r="31" spans="2:32" ht="13.2" customHeight="1" x14ac:dyDescent="0.25">
      <c r="B31" s="5">
        <v>27</v>
      </c>
      <c r="C31" s="77"/>
      <c r="D31" s="78"/>
      <c r="F31" s="174" t="s">
        <v>97</v>
      </c>
      <c r="G31" s="175"/>
      <c r="H31" s="175"/>
      <c r="I31" s="175"/>
      <c r="J31" s="175"/>
      <c r="K31" s="175"/>
      <c r="L31" s="175"/>
      <c r="M31" s="175"/>
      <c r="N31" s="175"/>
      <c r="O31" s="175"/>
      <c r="P31" s="175"/>
      <c r="Q31" s="176"/>
    </row>
    <row r="32" spans="2:32" ht="13.2" customHeight="1" x14ac:dyDescent="0.25">
      <c r="B32" s="5">
        <v>28</v>
      </c>
      <c r="C32" s="13"/>
      <c r="D32" s="14"/>
      <c r="F32" s="177"/>
      <c r="G32" s="178"/>
      <c r="H32" s="178"/>
      <c r="I32" s="178"/>
      <c r="J32" s="178"/>
      <c r="K32" s="178"/>
      <c r="L32" s="178"/>
      <c r="M32" s="178"/>
      <c r="N32" s="178"/>
      <c r="O32" s="178"/>
      <c r="P32" s="178"/>
      <c r="Q32" s="179"/>
    </row>
    <row r="33" spans="2:25" ht="13.2" customHeight="1" x14ac:dyDescent="0.25">
      <c r="B33" s="5">
        <v>29</v>
      </c>
      <c r="C33" s="77"/>
      <c r="D33" s="78"/>
      <c r="F33" s="177"/>
      <c r="G33" s="178"/>
      <c r="H33" s="178"/>
      <c r="I33" s="178"/>
      <c r="J33" s="178"/>
      <c r="K33" s="178"/>
      <c r="L33" s="178"/>
      <c r="M33" s="178"/>
      <c r="N33" s="178"/>
      <c r="O33" s="178"/>
      <c r="P33" s="178"/>
      <c r="Q33" s="179"/>
    </row>
    <row r="34" spans="2:25" ht="13.2" customHeight="1" x14ac:dyDescent="0.25">
      <c r="B34" s="5">
        <v>30</v>
      </c>
      <c r="C34" s="13"/>
      <c r="D34" s="14"/>
      <c r="F34" s="177"/>
      <c r="G34" s="178"/>
      <c r="H34" s="178"/>
      <c r="I34" s="178"/>
      <c r="J34" s="178"/>
      <c r="K34" s="178"/>
      <c r="L34" s="178"/>
      <c r="M34" s="178"/>
      <c r="N34" s="178"/>
      <c r="O34" s="178"/>
      <c r="P34" s="178"/>
      <c r="Q34" s="179"/>
    </row>
    <row r="35" spans="2:25" ht="13.2" customHeight="1" x14ac:dyDescent="0.25">
      <c r="B35" s="5">
        <v>31</v>
      </c>
      <c r="C35" s="77"/>
      <c r="D35" s="78"/>
      <c r="F35" s="177"/>
      <c r="G35" s="178"/>
      <c r="H35" s="178"/>
      <c r="I35" s="178"/>
      <c r="J35" s="178"/>
      <c r="K35" s="178"/>
      <c r="L35" s="178"/>
      <c r="M35" s="178"/>
      <c r="N35" s="178"/>
      <c r="O35" s="178"/>
      <c r="P35" s="178"/>
      <c r="Q35" s="179"/>
    </row>
    <row r="36" spans="2:25" ht="13.2" customHeight="1" x14ac:dyDescent="0.25">
      <c r="B36" s="5">
        <v>32</v>
      </c>
      <c r="C36" s="13"/>
      <c r="D36" s="14"/>
      <c r="F36" s="177"/>
      <c r="G36" s="178"/>
      <c r="H36" s="178"/>
      <c r="I36" s="178"/>
      <c r="J36" s="178"/>
      <c r="K36" s="178"/>
      <c r="L36" s="178"/>
      <c r="M36" s="178"/>
      <c r="N36" s="178"/>
      <c r="O36" s="178"/>
      <c r="P36" s="178"/>
      <c r="Q36" s="179"/>
    </row>
    <row r="37" spans="2:25" ht="13.2" customHeight="1" thickBot="1" x14ac:dyDescent="0.3">
      <c r="B37" s="5">
        <v>33</v>
      </c>
      <c r="C37" s="77"/>
      <c r="D37" s="78"/>
      <c r="F37" s="177"/>
      <c r="G37" s="178"/>
      <c r="H37" s="178"/>
      <c r="I37" s="178"/>
      <c r="J37" s="178"/>
      <c r="K37" s="178"/>
      <c r="L37" s="178"/>
      <c r="M37" s="178"/>
      <c r="N37" s="178"/>
      <c r="O37" s="178"/>
      <c r="P37" s="178"/>
      <c r="Q37" s="179"/>
    </row>
    <row r="38" spans="2:25" ht="13.2" customHeight="1" x14ac:dyDescent="0.25">
      <c r="B38" s="5">
        <v>34</v>
      </c>
      <c r="C38" s="13"/>
      <c r="D38" s="14"/>
      <c r="F38" s="177"/>
      <c r="G38" s="178"/>
      <c r="H38" s="178"/>
      <c r="I38" s="178"/>
      <c r="J38" s="178"/>
      <c r="K38" s="178"/>
      <c r="L38" s="178"/>
      <c r="M38" s="178"/>
      <c r="N38" s="178"/>
      <c r="O38" s="178"/>
      <c r="P38" s="178"/>
      <c r="Q38" s="179"/>
      <c r="V38" s="222" t="s">
        <v>134</v>
      </c>
      <c r="W38" s="223"/>
      <c r="X38" s="223"/>
      <c r="Y38" s="224"/>
    </row>
    <row r="39" spans="2:25" ht="13.2" customHeight="1" x14ac:dyDescent="0.25">
      <c r="B39" s="5">
        <v>35</v>
      </c>
      <c r="C39" s="77"/>
      <c r="D39" s="78"/>
      <c r="F39" s="177"/>
      <c r="G39" s="178"/>
      <c r="H39" s="178"/>
      <c r="I39" s="178"/>
      <c r="J39" s="178"/>
      <c r="K39" s="178"/>
      <c r="L39" s="178"/>
      <c r="M39" s="178"/>
      <c r="N39" s="178"/>
      <c r="O39" s="178"/>
      <c r="P39" s="178"/>
      <c r="Q39" s="179"/>
      <c r="V39" s="225"/>
      <c r="W39" s="226"/>
      <c r="X39" s="226"/>
      <c r="Y39" s="227"/>
    </row>
    <row r="40" spans="2:25" ht="13.2" customHeight="1" x14ac:dyDescent="0.25">
      <c r="B40" s="5">
        <v>36</v>
      </c>
      <c r="C40" s="13"/>
      <c r="D40" s="14"/>
      <c r="F40" s="177"/>
      <c r="G40" s="178"/>
      <c r="H40" s="178"/>
      <c r="I40" s="178"/>
      <c r="J40" s="178"/>
      <c r="K40" s="178"/>
      <c r="L40" s="178"/>
      <c r="M40" s="178"/>
      <c r="N40" s="178"/>
      <c r="O40" s="178"/>
      <c r="P40" s="178"/>
      <c r="Q40" s="179"/>
      <c r="V40" s="157">
        <v>1</v>
      </c>
      <c r="W40" s="228" t="s">
        <v>135</v>
      </c>
      <c r="X40" s="228"/>
      <c r="Y40" s="229"/>
    </row>
    <row r="41" spans="2:25" ht="13.2" customHeight="1" x14ac:dyDescent="0.25">
      <c r="B41" s="5">
        <v>37</v>
      </c>
      <c r="C41" s="77"/>
      <c r="D41" s="78"/>
      <c r="F41" s="177"/>
      <c r="G41" s="178"/>
      <c r="H41" s="178"/>
      <c r="I41" s="178"/>
      <c r="J41" s="178"/>
      <c r="K41" s="178"/>
      <c r="L41" s="178"/>
      <c r="M41" s="178"/>
      <c r="N41" s="178"/>
      <c r="O41" s="178"/>
      <c r="P41" s="178"/>
      <c r="Q41" s="179"/>
      <c r="V41" s="157">
        <v>1</v>
      </c>
      <c r="W41" s="228" t="s">
        <v>136</v>
      </c>
      <c r="X41" s="228"/>
      <c r="Y41" s="229"/>
    </row>
    <row r="42" spans="2:25" ht="13.2" customHeight="1" x14ac:dyDescent="0.25">
      <c r="B42" s="5">
        <v>38</v>
      </c>
      <c r="C42" s="13"/>
      <c r="D42" s="14"/>
      <c r="F42" s="177"/>
      <c r="G42" s="178"/>
      <c r="H42" s="178"/>
      <c r="I42" s="178"/>
      <c r="J42" s="178"/>
      <c r="K42" s="178"/>
      <c r="L42" s="178"/>
      <c r="M42" s="178"/>
      <c r="N42" s="178"/>
      <c r="O42" s="178"/>
      <c r="P42" s="178"/>
      <c r="Q42" s="179"/>
      <c r="V42" s="155"/>
      <c r="W42" s="230"/>
      <c r="X42" s="230"/>
      <c r="Y42" s="231"/>
    </row>
    <row r="43" spans="2:25" ht="13.2" customHeight="1" x14ac:dyDescent="0.25">
      <c r="B43" s="5">
        <v>39</v>
      </c>
      <c r="C43" s="77"/>
      <c r="D43" s="78"/>
      <c r="F43" s="177"/>
      <c r="G43" s="178"/>
      <c r="H43" s="178"/>
      <c r="I43" s="178"/>
      <c r="J43" s="178"/>
      <c r="K43" s="178"/>
      <c r="L43" s="178"/>
      <c r="M43" s="178"/>
      <c r="N43" s="178"/>
      <c r="O43" s="178"/>
      <c r="P43" s="178"/>
      <c r="Q43" s="179"/>
      <c r="V43" s="155"/>
      <c r="W43" s="230"/>
      <c r="X43" s="230"/>
      <c r="Y43" s="231"/>
    </row>
    <row r="44" spans="2:25" ht="13.2" customHeight="1" thickBot="1" x14ac:dyDescent="0.3">
      <c r="B44" s="6">
        <v>40</v>
      </c>
      <c r="C44" s="15"/>
      <c r="D44" s="16"/>
      <c r="F44" s="180"/>
      <c r="G44" s="181"/>
      <c r="H44" s="181"/>
      <c r="I44" s="181"/>
      <c r="J44" s="181"/>
      <c r="K44" s="181"/>
      <c r="L44" s="181"/>
      <c r="M44" s="181"/>
      <c r="N44" s="181"/>
      <c r="O44" s="181"/>
      <c r="P44" s="181"/>
      <c r="Q44" s="182"/>
      <c r="V44" s="156"/>
      <c r="W44" s="203"/>
      <c r="X44" s="203"/>
      <c r="Y44" s="204"/>
    </row>
    <row r="45" spans="2:25" x14ac:dyDescent="0.25">
      <c r="C45" s="10">
        <f>COUNTA(C5:C44)</f>
        <v>23</v>
      </c>
    </row>
  </sheetData>
  <sheetProtection sheet="1" object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74" t="s">
        <v>32</v>
      </c>
      <c r="H2" s="175"/>
      <c r="I2" s="175"/>
      <c r="J2" s="175"/>
      <c r="K2" s="175"/>
      <c r="L2" s="176"/>
    </row>
    <row r="3" spans="2:15" x14ac:dyDescent="0.25">
      <c r="B3" s="35">
        <v>0</v>
      </c>
      <c r="C3" s="36">
        <v>0</v>
      </c>
      <c r="D3" s="37">
        <v>6</v>
      </c>
      <c r="E3" s="27" t="str">
        <f>IF(AND($C3=$C4,$C4&lt;$C5),"+",IF($C3&lt;$C4,"++",""))</f>
        <v/>
      </c>
      <c r="F3" s="31"/>
      <c r="G3" s="177"/>
      <c r="H3" s="178"/>
      <c r="I3" s="178"/>
      <c r="J3" s="178"/>
      <c r="K3" s="178"/>
      <c r="L3" s="179"/>
    </row>
    <row r="4" spans="2:15" x14ac:dyDescent="0.25">
      <c r="B4" s="38">
        <v>0.5</v>
      </c>
      <c r="C4" s="39">
        <v>0</v>
      </c>
      <c r="D4" s="40">
        <v>6</v>
      </c>
      <c r="E4" s="27" t="str">
        <f>IF(AND($C4=$C5,$C5&lt;$C6),"+",IF($C4&lt;$C5,"++",""))</f>
        <v/>
      </c>
      <c r="F4" s="31"/>
      <c r="G4" s="177"/>
      <c r="H4" s="178"/>
      <c r="I4" s="178"/>
      <c r="J4" s="178"/>
      <c r="K4" s="178"/>
      <c r="L4" s="179"/>
    </row>
    <row r="5" spans="2:15" x14ac:dyDescent="0.25">
      <c r="B5" s="38">
        <v>1</v>
      </c>
      <c r="C5" s="39">
        <v>0</v>
      </c>
      <c r="D5" s="40">
        <v>6</v>
      </c>
      <c r="E5" s="27" t="str">
        <f t="shared" ref="E5:E50" si="0">IF(AND($C5=$C6,$C6&lt;$C7),"+",IF($C5&lt;$C6,"++",IF(AND($C5=$C4,$C4&gt;$C3),"-",IF($C5&gt;$C4,"--",""))))</f>
        <v/>
      </c>
      <c r="F5" s="31"/>
      <c r="G5" s="177"/>
      <c r="H5" s="178"/>
      <c r="I5" s="178"/>
      <c r="J5" s="178"/>
      <c r="K5" s="178"/>
      <c r="L5" s="179"/>
    </row>
    <row r="6" spans="2:15" x14ac:dyDescent="0.25">
      <c r="B6" s="38">
        <v>1.5</v>
      </c>
      <c r="C6" s="39">
        <v>0</v>
      </c>
      <c r="D6" s="40">
        <v>6</v>
      </c>
      <c r="E6" s="27" t="str">
        <f t="shared" si="0"/>
        <v/>
      </c>
      <c r="F6" s="31"/>
      <c r="G6" s="177"/>
      <c r="H6" s="178"/>
      <c r="I6" s="178"/>
      <c r="J6" s="178"/>
      <c r="K6" s="178"/>
      <c r="L6" s="179"/>
    </row>
    <row r="7" spans="2:15" x14ac:dyDescent="0.25">
      <c r="B7" s="38">
        <v>2</v>
      </c>
      <c r="C7" s="39">
        <v>0</v>
      </c>
      <c r="D7" s="40">
        <v>6</v>
      </c>
      <c r="E7" s="27" t="str">
        <f t="shared" si="0"/>
        <v/>
      </c>
      <c r="F7" s="31"/>
      <c r="G7" s="177"/>
      <c r="H7" s="178"/>
      <c r="I7" s="178"/>
      <c r="J7" s="178"/>
      <c r="K7" s="178"/>
      <c r="L7" s="179"/>
    </row>
    <row r="8" spans="2:15" ht="12.75" customHeight="1" x14ac:dyDescent="0.25">
      <c r="B8" s="38">
        <v>2.5</v>
      </c>
      <c r="C8" s="39">
        <v>0</v>
      </c>
      <c r="D8" s="40">
        <v>6</v>
      </c>
      <c r="E8" s="27" t="str">
        <f t="shared" si="0"/>
        <v/>
      </c>
      <c r="F8" s="31"/>
      <c r="G8" s="177"/>
      <c r="H8" s="178"/>
      <c r="I8" s="178"/>
      <c r="J8" s="178"/>
      <c r="K8" s="178"/>
      <c r="L8" s="179"/>
      <c r="M8" s="32"/>
      <c r="N8" s="32"/>
      <c r="O8" s="32"/>
    </row>
    <row r="9" spans="2:15" x14ac:dyDescent="0.25">
      <c r="B9" s="38">
        <v>3</v>
      </c>
      <c r="C9" s="39">
        <v>0</v>
      </c>
      <c r="D9" s="40">
        <v>6</v>
      </c>
      <c r="E9" s="27" t="str">
        <f t="shared" si="0"/>
        <v/>
      </c>
      <c r="F9" s="31"/>
      <c r="G9" s="177"/>
      <c r="H9" s="178"/>
      <c r="I9" s="178"/>
      <c r="J9" s="178"/>
      <c r="K9" s="178"/>
      <c r="L9" s="179"/>
      <c r="M9" s="32"/>
      <c r="N9" s="32"/>
      <c r="O9" s="32"/>
    </row>
    <row r="10" spans="2:15" x14ac:dyDescent="0.25">
      <c r="B10" s="38">
        <v>3.5</v>
      </c>
      <c r="C10" s="39">
        <v>0</v>
      </c>
      <c r="D10" s="40">
        <v>6</v>
      </c>
      <c r="E10" s="27" t="str">
        <f t="shared" si="0"/>
        <v/>
      </c>
      <c r="F10" s="31"/>
      <c r="G10" s="177"/>
      <c r="H10" s="178"/>
      <c r="I10" s="178"/>
      <c r="J10" s="178"/>
      <c r="K10" s="178"/>
      <c r="L10" s="179"/>
      <c r="M10" s="32"/>
      <c r="N10" s="32"/>
      <c r="O10" s="32"/>
    </row>
    <row r="11" spans="2:15" x14ac:dyDescent="0.25">
      <c r="B11" s="38">
        <v>4</v>
      </c>
      <c r="C11" s="39">
        <v>0</v>
      </c>
      <c r="D11" s="40">
        <v>6</v>
      </c>
      <c r="E11" s="27" t="str">
        <f t="shared" si="0"/>
        <v/>
      </c>
      <c r="G11" s="177"/>
      <c r="H11" s="178"/>
      <c r="I11" s="178"/>
      <c r="J11" s="178"/>
      <c r="K11" s="178"/>
      <c r="L11" s="179"/>
      <c r="M11" s="32"/>
      <c r="N11" s="32"/>
      <c r="O11" s="32"/>
    </row>
    <row r="12" spans="2:15" x14ac:dyDescent="0.25">
      <c r="B12" s="38">
        <v>4.5</v>
      </c>
      <c r="C12" s="39">
        <v>0</v>
      </c>
      <c r="D12" s="40">
        <v>6</v>
      </c>
      <c r="E12" s="27" t="str">
        <f t="shared" si="0"/>
        <v/>
      </c>
      <c r="F12" s="31"/>
      <c r="G12" s="177"/>
      <c r="H12" s="178"/>
      <c r="I12" s="178"/>
      <c r="J12" s="178"/>
      <c r="K12" s="178"/>
      <c r="L12" s="179"/>
      <c r="M12" s="32"/>
      <c r="N12" s="32"/>
      <c r="O12" s="32"/>
    </row>
    <row r="13" spans="2:15" x14ac:dyDescent="0.25">
      <c r="B13" s="38">
        <v>5</v>
      </c>
      <c r="C13" s="39">
        <v>0</v>
      </c>
      <c r="D13" s="40">
        <v>6</v>
      </c>
      <c r="E13" s="27" t="str">
        <f t="shared" si="0"/>
        <v/>
      </c>
      <c r="F13" s="31"/>
      <c r="G13" s="177"/>
      <c r="H13" s="178"/>
      <c r="I13" s="178"/>
      <c r="J13" s="178"/>
      <c r="K13" s="178"/>
      <c r="L13" s="179"/>
      <c r="M13" s="32"/>
      <c r="N13" s="32"/>
      <c r="O13" s="32"/>
    </row>
    <row r="14" spans="2:15" x14ac:dyDescent="0.25">
      <c r="B14" s="38">
        <v>5.5</v>
      </c>
      <c r="C14" s="39">
        <v>0</v>
      </c>
      <c r="D14" s="40">
        <v>6</v>
      </c>
      <c r="E14" s="27" t="str">
        <f t="shared" si="0"/>
        <v/>
      </c>
      <c r="F14" s="31"/>
      <c r="G14" s="177"/>
      <c r="H14" s="178"/>
      <c r="I14" s="178"/>
      <c r="J14" s="178"/>
      <c r="K14" s="178"/>
      <c r="L14" s="179"/>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2026-05-05T19:40:01Z</cp:lastPrinted>
  <dcterms:created xsi:type="dcterms:W3CDTF">2006-06-24T21:29:52Z</dcterms:created>
  <dcterms:modified xsi:type="dcterms:W3CDTF">2026-05-05T20:09:54Z</dcterms:modified>
</cp:coreProperties>
</file>