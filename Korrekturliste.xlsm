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6278948D-B326-42B8-BECE-5D2C547B825C}" xr6:coauthVersionLast="47" xr6:coauthVersionMax="47" xr10:uidLastSave="{00000000-0000-0000-0000-000000000000}"/>
  <bookViews>
    <workbookView xWindow="-120" yWindow="-120" windowWidth="29040" windowHeight="17520" firstSheet="2" activeTab="9" xr2:uid="{00000000-000D-0000-FFFF-FFFF00000000}"/>
  </bookViews>
  <sheets>
    <sheet name="Noten" sheetId="2620" r:id="rId1"/>
    <sheet name="Analysis A" sheetId="2613" r:id="rId2"/>
    <sheet name="Analysis B" sheetId="2614" r:id="rId3"/>
    <sheet name="Stochastik A" sheetId="2615" r:id="rId4"/>
    <sheet name="Stochastik B" sheetId="2616" r:id="rId5"/>
    <sheet name="Geometrie A" sheetId="2617" r:id="rId6"/>
    <sheet name="Geometrie B" sheetId="2618" r:id="rId7"/>
    <sheet name="Wahlaufgaben" sheetId="2619" r:id="rId8"/>
    <sheet name="ConfigW" sheetId="2621" r:id="rId9"/>
    <sheet name="Config" sheetId="14" r:id="rId10"/>
    <sheet name="Notenspiegel" sheetId="11" r:id="rId11"/>
    <sheet name="TestData" sheetId="1707" state="hidden" r:id="rId12"/>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 i="2621" l="1"/>
  <c r="G5" i="2621"/>
  <c r="F5" i="2621"/>
  <c r="E5" i="2621"/>
  <c r="D5" i="2621"/>
  <c r="C29" i="2621"/>
  <c r="C28" i="2621"/>
  <c r="C27" i="2621"/>
  <c r="C26" i="2621"/>
  <c r="C25" i="2621"/>
  <c r="C24" i="2621"/>
  <c r="C23" i="2621"/>
  <c r="C22" i="2621"/>
  <c r="C21" i="2621"/>
  <c r="C20" i="2621"/>
  <c r="C19" i="2621"/>
  <c r="C18" i="2621"/>
  <c r="C17" i="2621"/>
  <c r="C16" i="2621"/>
  <c r="C15" i="2621"/>
  <c r="C14" i="2621"/>
  <c r="C13" i="2621"/>
  <c r="C12" i="2621"/>
  <c r="C11" i="2621"/>
  <c r="C10" i="2621"/>
  <c r="C9" i="2621"/>
  <c r="C8" i="2621"/>
  <c r="C7" i="2621"/>
  <c r="B2" i="2621"/>
  <c r="C29" i="2620"/>
  <c r="C7" i="2613"/>
  <c r="C8" i="2613"/>
  <c r="C9" i="2613"/>
  <c r="J7" i="2613"/>
  <c r="J8" i="2613"/>
  <c r="J9" i="2613"/>
  <c r="C10" i="2613"/>
  <c r="J10" i="2613"/>
  <c r="C11" i="2613"/>
  <c r="J11" i="2613"/>
  <c r="C12" i="2613"/>
  <c r="J12" i="2613"/>
  <c r="C13" i="2613"/>
  <c r="J13" i="2613"/>
  <c r="C14" i="2613"/>
  <c r="J14" i="2613"/>
  <c r="C15" i="2613"/>
  <c r="J15" i="2613"/>
  <c r="C16" i="2613"/>
  <c r="J16" i="2613"/>
  <c r="C17" i="2613"/>
  <c r="J17" i="2613"/>
  <c r="C18" i="2613"/>
  <c r="J18" i="2613"/>
  <c r="C19" i="2613"/>
  <c r="J19" i="2613"/>
  <c r="C20" i="2613"/>
  <c r="J20" i="2613"/>
  <c r="C21" i="2613"/>
  <c r="J21" i="2613"/>
  <c r="C22" i="2613"/>
  <c r="J22" i="2613"/>
  <c r="C23" i="2613"/>
  <c r="J23" i="2613"/>
  <c r="C24" i="2613"/>
  <c r="J24" i="2613"/>
  <c r="C25" i="2613"/>
  <c r="J25" i="2613"/>
  <c r="C26" i="2613"/>
  <c r="J26" i="2613"/>
  <c r="C27" i="2613"/>
  <c r="J27" i="2613"/>
  <c r="C28" i="2613"/>
  <c r="J28" i="2613"/>
  <c r="C29" i="2613"/>
  <c r="J29" i="2613"/>
  <c r="D29" i="2620"/>
  <c r="C7" i="2614"/>
  <c r="C8" i="2614"/>
  <c r="C9" i="2614"/>
  <c r="C10" i="2614"/>
  <c r="N7" i="2614"/>
  <c r="N8" i="2614"/>
  <c r="N9" i="2614"/>
  <c r="N10" i="2614"/>
  <c r="C11" i="2614"/>
  <c r="N11" i="2614"/>
  <c r="C12" i="2614"/>
  <c r="N12" i="2614"/>
  <c r="C13" i="2614"/>
  <c r="N13" i="2614"/>
  <c r="C14" i="2614"/>
  <c r="N14" i="2614"/>
  <c r="C15" i="2614"/>
  <c r="N15" i="2614"/>
  <c r="C16" i="2614"/>
  <c r="N16" i="2614"/>
  <c r="C17" i="2614"/>
  <c r="N17" i="2614"/>
  <c r="C18" i="2614"/>
  <c r="N18" i="2614"/>
  <c r="C19" i="2614"/>
  <c r="N19" i="2614"/>
  <c r="C20" i="2614"/>
  <c r="N20" i="2614"/>
  <c r="C21" i="2614"/>
  <c r="N21" i="2614"/>
  <c r="C22" i="2614"/>
  <c r="N22" i="2614"/>
  <c r="C23" i="2614"/>
  <c r="N23" i="2614"/>
  <c r="C24" i="2614"/>
  <c r="N24" i="2614"/>
  <c r="C25" i="2614"/>
  <c r="N25" i="2614"/>
  <c r="C26" i="2614"/>
  <c r="N26" i="2614"/>
  <c r="C27" i="2614"/>
  <c r="N27" i="2614"/>
  <c r="C28" i="2614"/>
  <c r="N28" i="2614"/>
  <c r="C29" i="2614"/>
  <c r="N29" i="2614"/>
  <c r="E29" i="2620"/>
  <c r="C7" i="2615"/>
  <c r="C8" i="2615"/>
  <c r="C9" i="2615"/>
  <c r="C10" i="2615"/>
  <c r="E7" i="2615"/>
  <c r="E8" i="2615"/>
  <c r="E9" i="2615"/>
  <c r="E10" i="2615"/>
  <c r="C11" i="2615"/>
  <c r="E11" i="2615"/>
  <c r="C12" i="2615"/>
  <c r="E12" i="2615"/>
  <c r="C13" i="2615"/>
  <c r="E13" i="2615"/>
  <c r="C14" i="2615"/>
  <c r="E14" i="2615"/>
  <c r="C15" i="2615"/>
  <c r="E15" i="2615"/>
  <c r="C16" i="2615"/>
  <c r="E16" i="2615"/>
  <c r="C17" i="2615"/>
  <c r="E17" i="2615"/>
  <c r="C18" i="2615"/>
  <c r="E18" i="2615"/>
  <c r="C19" i="2615"/>
  <c r="E19" i="2615"/>
  <c r="C20" i="2615"/>
  <c r="E20" i="2615"/>
  <c r="C21" i="2615"/>
  <c r="E21" i="2615"/>
  <c r="C22" i="2615"/>
  <c r="E22" i="2615"/>
  <c r="C23" i="2615"/>
  <c r="E23" i="2615"/>
  <c r="C24" i="2615"/>
  <c r="E24" i="2615"/>
  <c r="C25" i="2615"/>
  <c r="E25" i="2615"/>
  <c r="C26" i="2615"/>
  <c r="E26" i="2615"/>
  <c r="C27" i="2615"/>
  <c r="E27" i="2615"/>
  <c r="C28" i="2615"/>
  <c r="E28" i="2615"/>
  <c r="C29" i="2615"/>
  <c r="E29" i="2615"/>
  <c r="F29" i="2620"/>
  <c r="C7" i="2616"/>
  <c r="C8" i="2616"/>
  <c r="C9" i="2616"/>
  <c r="C10" i="2616"/>
  <c r="I7" i="2616"/>
  <c r="I8" i="2616"/>
  <c r="I9" i="2616"/>
  <c r="I10" i="2616"/>
  <c r="C11" i="2616"/>
  <c r="I11" i="2616"/>
  <c r="C12" i="2616"/>
  <c r="I12" i="2616"/>
  <c r="C13" i="2616"/>
  <c r="I13" i="2616"/>
  <c r="C14" i="2616"/>
  <c r="I14" i="2616"/>
  <c r="C15" i="2616"/>
  <c r="I15" i="2616"/>
  <c r="C16" i="2616"/>
  <c r="I16" i="2616"/>
  <c r="C17" i="2616"/>
  <c r="I17" i="2616"/>
  <c r="C18" i="2616"/>
  <c r="I18" i="2616"/>
  <c r="C19" i="2616"/>
  <c r="I19" i="2616"/>
  <c r="C20" i="2616"/>
  <c r="I20" i="2616"/>
  <c r="C21" i="2616"/>
  <c r="I21" i="2616"/>
  <c r="C22" i="2616"/>
  <c r="I22" i="2616"/>
  <c r="C23" i="2616"/>
  <c r="I23" i="2616"/>
  <c r="C24" i="2616"/>
  <c r="I24" i="2616"/>
  <c r="C25" i="2616"/>
  <c r="I25" i="2616"/>
  <c r="C26" i="2616"/>
  <c r="I26" i="2616"/>
  <c r="C27" i="2616"/>
  <c r="I27" i="2616"/>
  <c r="C28" i="2616"/>
  <c r="I28" i="2616"/>
  <c r="C29" i="2616"/>
  <c r="I29" i="2616"/>
  <c r="G29" i="2620"/>
  <c r="C7" i="2617"/>
  <c r="C8" i="2617"/>
  <c r="C9" i="2617"/>
  <c r="C10" i="2617"/>
  <c r="F7" i="2617"/>
  <c r="F8" i="2617"/>
  <c r="F9" i="2617"/>
  <c r="F10" i="2617"/>
  <c r="C11" i="2617"/>
  <c r="F11" i="2617"/>
  <c r="C12" i="2617"/>
  <c r="F12" i="2617"/>
  <c r="C13" i="2617"/>
  <c r="F13" i="2617"/>
  <c r="C14" i="2617"/>
  <c r="F14" i="2617"/>
  <c r="C15" i="2617"/>
  <c r="F15" i="2617"/>
  <c r="C16" i="2617"/>
  <c r="F16" i="2617"/>
  <c r="C17" i="2617"/>
  <c r="F17" i="2617"/>
  <c r="C18" i="2617"/>
  <c r="F18" i="2617"/>
  <c r="C19" i="2617"/>
  <c r="F19" i="2617"/>
  <c r="C20" i="2617"/>
  <c r="F20" i="2617"/>
  <c r="C21" i="2617"/>
  <c r="F21" i="2617"/>
  <c r="C22" i="2617"/>
  <c r="F22" i="2617"/>
  <c r="C23" i="2617"/>
  <c r="F23" i="2617"/>
  <c r="C24" i="2617"/>
  <c r="F24" i="2617"/>
  <c r="C25" i="2617"/>
  <c r="F25" i="2617"/>
  <c r="C26" i="2617"/>
  <c r="F26" i="2617"/>
  <c r="C27" i="2617"/>
  <c r="F27" i="2617"/>
  <c r="C28" i="2617"/>
  <c r="F28" i="2617"/>
  <c r="C29" i="2617"/>
  <c r="F29" i="2617"/>
  <c r="H29" i="2620"/>
  <c r="C7" i="2618"/>
  <c r="C8" i="2618"/>
  <c r="C9" i="2618"/>
  <c r="C10" i="2618"/>
  <c r="I7" i="2618"/>
  <c r="I8" i="2618"/>
  <c r="I9" i="2618"/>
  <c r="I10" i="2618"/>
  <c r="C11" i="2618"/>
  <c r="I11" i="2618"/>
  <c r="C12" i="2618"/>
  <c r="I12" i="2618"/>
  <c r="C13" i="2618"/>
  <c r="I13" i="2618"/>
  <c r="C14" i="2618"/>
  <c r="I14" i="2618"/>
  <c r="C15" i="2618"/>
  <c r="I15" i="2618"/>
  <c r="C16" i="2618"/>
  <c r="I16" i="2618"/>
  <c r="C17" i="2618"/>
  <c r="I17" i="2618"/>
  <c r="C18" i="2618"/>
  <c r="I18" i="2618"/>
  <c r="C19" i="2618"/>
  <c r="I19" i="2618"/>
  <c r="C20" i="2618"/>
  <c r="I20" i="2618"/>
  <c r="C21" i="2618"/>
  <c r="I21" i="2618"/>
  <c r="C22" i="2618"/>
  <c r="I22" i="2618"/>
  <c r="C23" i="2618"/>
  <c r="I23" i="2618"/>
  <c r="C24" i="2618"/>
  <c r="I24" i="2618"/>
  <c r="C25" i="2618"/>
  <c r="I25" i="2618"/>
  <c r="C26" i="2618"/>
  <c r="I26" i="2618"/>
  <c r="C27" i="2618"/>
  <c r="I27" i="2618"/>
  <c r="C28" i="2618"/>
  <c r="I28" i="2618"/>
  <c r="C29" i="2618"/>
  <c r="I29" i="2618"/>
  <c r="I29" i="2620"/>
  <c r="C7" i="2619"/>
  <c r="C8" i="2619"/>
  <c r="C9" i="2619"/>
  <c r="C10" i="2619"/>
  <c r="I7" i="2619"/>
  <c r="I8" i="2619"/>
  <c r="I9" i="2619"/>
  <c r="I10" i="2619"/>
  <c r="C11" i="2619"/>
  <c r="I11" i="2619"/>
  <c r="C12" i="2619"/>
  <c r="I12" i="2619"/>
  <c r="C13" i="2619"/>
  <c r="I13" i="2619"/>
  <c r="C14" i="2619"/>
  <c r="I14" i="2619"/>
  <c r="C15" i="2619"/>
  <c r="I15" i="2619"/>
  <c r="C16" i="2619"/>
  <c r="I16" i="2619"/>
  <c r="C17" i="2619"/>
  <c r="I17" i="2619"/>
  <c r="C18" i="2619"/>
  <c r="I18" i="2619"/>
  <c r="C19" i="2619"/>
  <c r="I19" i="2619"/>
  <c r="C20" i="2619"/>
  <c r="I20" i="2619"/>
  <c r="C21" i="2619"/>
  <c r="I21" i="2619"/>
  <c r="C22" i="2619"/>
  <c r="I22" i="2619"/>
  <c r="C23" i="2619"/>
  <c r="I23" i="2619"/>
  <c r="C24" i="2619"/>
  <c r="I24" i="2619"/>
  <c r="C25" i="2619"/>
  <c r="I25" i="2619"/>
  <c r="C26" i="2619"/>
  <c r="I26" i="2619"/>
  <c r="C27" i="2619"/>
  <c r="I27" i="2619"/>
  <c r="C28" i="2619"/>
  <c r="I28" i="2619"/>
  <c r="C29" i="2619"/>
  <c r="I29" i="2619"/>
  <c r="J29" i="2620"/>
  <c r="K29" i="2620"/>
  <c r="E3" i="11"/>
  <c r="E17" i="11"/>
  <c r="E49" i="11"/>
  <c r="E59" i="11"/>
  <c r="E79" i="11"/>
  <c r="E85" i="11"/>
  <c r="E98" i="11"/>
  <c r="E114" i="11"/>
  <c r="N29" i="2620"/>
  <c r="C28" i="2620"/>
  <c r="D28" i="2620"/>
  <c r="E28" i="2620"/>
  <c r="F28" i="2620"/>
  <c r="G28" i="2620"/>
  <c r="H28" i="2620"/>
  <c r="I28" i="2620"/>
  <c r="J28" i="2620"/>
  <c r="K28" i="2620"/>
  <c r="E23" i="11"/>
  <c r="E65" i="11"/>
  <c r="E75" i="11"/>
  <c r="E86" i="11"/>
  <c r="E96" i="11"/>
  <c r="E125" i="11"/>
  <c r="E139" i="11"/>
  <c r="N28" i="2620"/>
  <c r="C27" i="2620"/>
  <c r="D27" i="2620"/>
  <c r="E27" i="2620"/>
  <c r="F27" i="2620"/>
  <c r="G27" i="2620"/>
  <c r="H27" i="2620"/>
  <c r="I27" i="2620"/>
  <c r="J27" i="2620"/>
  <c r="K27" i="2620"/>
  <c r="E30" i="11"/>
  <c r="E83" i="11"/>
  <c r="E91" i="11"/>
  <c r="E103" i="11"/>
  <c r="E113" i="11"/>
  <c r="E145" i="11"/>
  <c r="E165" i="11"/>
  <c r="N27" i="2620"/>
  <c r="C26" i="2620"/>
  <c r="D26" i="2620"/>
  <c r="E26" i="2620"/>
  <c r="F26" i="2620"/>
  <c r="G26" i="2620"/>
  <c r="H26" i="2620"/>
  <c r="I26" i="2620"/>
  <c r="J26" i="2620"/>
  <c r="K26" i="2620"/>
  <c r="E76" i="11"/>
  <c r="E82" i="11"/>
  <c r="E95" i="11"/>
  <c r="N26" i="2620"/>
  <c r="C25" i="2620"/>
  <c r="D25" i="2620"/>
  <c r="E25" i="2620"/>
  <c r="F25" i="2620"/>
  <c r="G25" i="2620"/>
  <c r="H25" i="2620"/>
  <c r="I25" i="2620"/>
  <c r="J25" i="2620"/>
  <c r="K25" i="2620"/>
  <c r="E22" i="11"/>
  <c r="E51" i="11"/>
  <c r="E61" i="11"/>
  <c r="E106" i="11"/>
  <c r="E122" i="11"/>
  <c r="N25" i="2620"/>
  <c r="C24" i="2620"/>
  <c r="D24" i="2620"/>
  <c r="E24" i="2620"/>
  <c r="F24" i="2620"/>
  <c r="G24" i="2620"/>
  <c r="H24" i="2620"/>
  <c r="I24" i="2620"/>
  <c r="J24" i="2620"/>
  <c r="K24" i="2620"/>
  <c r="E55" i="11"/>
  <c r="E60" i="11"/>
  <c r="E74" i="11"/>
  <c r="E104" i="11"/>
  <c r="E118" i="11"/>
  <c r="N24" i="2620"/>
  <c r="C23" i="2620"/>
  <c r="D23" i="2620"/>
  <c r="E23" i="2620"/>
  <c r="F23" i="2620"/>
  <c r="G23" i="2620"/>
  <c r="H23" i="2620"/>
  <c r="I23" i="2620"/>
  <c r="J23" i="2620"/>
  <c r="K23" i="2620"/>
  <c r="E5" i="11"/>
  <c r="E18" i="11"/>
  <c r="E28" i="11"/>
  <c r="E43" i="11"/>
  <c r="E53" i="11"/>
  <c r="E62" i="11"/>
  <c r="N23" i="2620"/>
  <c r="C22" i="2620"/>
  <c r="D22" i="2620"/>
  <c r="E22" i="2620"/>
  <c r="F22" i="2620"/>
  <c r="G22" i="2620"/>
  <c r="H22" i="2620"/>
  <c r="I22" i="2620"/>
  <c r="J22" i="2620"/>
  <c r="K22" i="2620"/>
  <c r="E72" i="11"/>
  <c r="E81" i="11"/>
  <c r="E93" i="11"/>
  <c r="E109" i="11"/>
  <c r="N22" i="2620"/>
  <c r="C21" i="2620"/>
  <c r="D21" i="2620"/>
  <c r="E21" i="2620"/>
  <c r="F21" i="2620"/>
  <c r="G21" i="2620"/>
  <c r="H21" i="2620"/>
  <c r="I21" i="2620"/>
  <c r="J21" i="2620"/>
  <c r="K21" i="2620"/>
  <c r="E27" i="11"/>
  <c r="E105" i="11"/>
  <c r="E126" i="11"/>
  <c r="N21" i="2620"/>
  <c r="C20" i="2620"/>
  <c r="D20" i="2620"/>
  <c r="E20" i="2620"/>
  <c r="F20" i="2620"/>
  <c r="G20" i="2620"/>
  <c r="H20" i="2620"/>
  <c r="I20" i="2620"/>
  <c r="J20" i="2620"/>
  <c r="K20" i="2620"/>
  <c r="E71" i="11"/>
  <c r="E87" i="11"/>
  <c r="E124" i="11"/>
  <c r="E138" i="11"/>
  <c r="N20" i="2620"/>
  <c r="C19" i="2620"/>
  <c r="D19" i="2620"/>
  <c r="E19" i="2620"/>
  <c r="F19" i="2620"/>
  <c r="G19" i="2620"/>
  <c r="H19" i="2620"/>
  <c r="I19" i="2620"/>
  <c r="J19" i="2620"/>
  <c r="K19" i="2620"/>
  <c r="E102" i="11"/>
  <c r="E108" i="11"/>
  <c r="N19" i="2620"/>
  <c r="C18" i="2620"/>
  <c r="D18" i="2620"/>
  <c r="E18" i="2620"/>
  <c r="F18" i="2620"/>
  <c r="G18" i="2620"/>
  <c r="H18" i="2620"/>
  <c r="I18" i="2620"/>
  <c r="J18" i="2620"/>
  <c r="K18" i="2620"/>
  <c r="E26" i="11"/>
  <c r="E80" i="11"/>
  <c r="E97" i="11"/>
  <c r="E123" i="11"/>
  <c r="E135" i="11"/>
  <c r="N18" i="2620"/>
  <c r="C17" i="2620"/>
  <c r="D17" i="2620"/>
  <c r="E17" i="2620"/>
  <c r="F17" i="2620"/>
  <c r="G17" i="2620"/>
  <c r="H17" i="2620"/>
  <c r="I17" i="2620"/>
  <c r="J17" i="2620"/>
  <c r="K17" i="2620"/>
  <c r="E16" i="11"/>
  <c r="E47" i="11"/>
  <c r="E64" i="11"/>
  <c r="E90" i="11"/>
  <c r="N17" i="2620"/>
  <c r="C16" i="2620"/>
  <c r="D16" i="2620"/>
  <c r="E16" i="2620"/>
  <c r="F16" i="2620"/>
  <c r="G16" i="2620"/>
  <c r="H16" i="2620"/>
  <c r="I16" i="2620"/>
  <c r="J16" i="2620"/>
  <c r="K16" i="2620"/>
  <c r="E9" i="11"/>
  <c r="E44" i="11"/>
  <c r="E46" i="11"/>
  <c r="E63" i="11"/>
  <c r="N16" i="2620"/>
  <c r="C15" i="2620"/>
  <c r="D15" i="2620"/>
  <c r="E15" i="2620"/>
  <c r="F15" i="2620"/>
  <c r="G15" i="2620"/>
  <c r="H15" i="2620"/>
  <c r="I15" i="2620"/>
  <c r="J15" i="2620"/>
  <c r="K15" i="2620"/>
  <c r="E52" i="11"/>
  <c r="E119" i="11"/>
  <c r="N15" i="2620"/>
  <c r="C14" i="2620"/>
  <c r="D14" i="2620"/>
  <c r="E14" i="2620"/>
  <c r="F14" i="2620"/>
  <c r="G14" i="2620"/>
  <c r="H14" i="2620"/>
  <c r="I14" i="2620"/>
  <c r="J14" i="2620"/>
  <c r="K14" i="2620"/>
  <c r="E21" i="11"/>
  <c r="E54" i="11"/>
  <c r="E89" i="11"/>
  <c r="E115" i="11"/>
  <c r="E129" i="11"/>
  <c r="N14" i="2620"/>
  <c r="C13" i="2620"/>
  <c r="D13" i="2620"/>
  <c r="E13" i="2620"/>
  <c r="F13" i="2620"/>
  <c r="G13" i="2620"/>
  <c r="H13" i="2620"/>
  <c r="I13" i="2620"/>
  <c r="J13" i="2620"/>
  <c r="K13" i="2620"/>
  <c r="E73" i="11"/>
  <c r="E100" i="11"/>
  <c r="E153" i="11"/>
  <c r="N13" i="2620"/>
  <c r="C12" i="2620"/>
  <c r="D12" i="2620"/>
  <c r="E12" i="2620"/>
  <c r="F12" i="2620"/>
  <c r="G12" i="2620"/>
  <c r="H12" i="2620"/>
  <c r="I12" i="2620"/>
  <c r="J12" i="2620"/>
  <c r="K12" i="2620"/>
  <c r="E94" i="11"/>
  <c r="E121" i="11"/>
  <c r="E130" i="11"/>
  <c r="E164" i="11"/>
  <c r="E180" i="11"/>
  <c r="N12" i="2620"/>
  <c r="C11" i="2620"/>
  <c r="D11" i="2620"/>
  <c r="E11" i="2620"/>
  <c r="F11" i="2620"/>
  <c r="G11" i="2620"/>
  <c r="H11" i="2620"/>
  <c r="I11" i="2620"/>
  <c r="J11" i="2620"/>
  <c r="K11" i="2620"/>
  <c r="E31" i="11"/>
  <c r="E88" i="11"/>
  <c r="E131" i="11"/>
  <c r="N11" i="2620"/>
  <c r="C10" i="2620"/>
  <c r="D10" i="2620"/>
  <c r="E10" i="2620"/>
  <c r="F10" i="2620"/>
  <c r="G10" i="2620"/>
  <c r="H10" i="2620"/>
  <c r="I10" i="2620"/>
  <c r="J10" i="2620"/>
  <c r="K10" i="2620"/>
  <c r="E143" i="11"/>
  <c r="N10" i="2620"/>
  <c r="C9" i="2620"/>
  <c r="D9" i="2620"/>
  <c r="E9" i="2620"/>
  <c r="F9" i="2620"/>
  <c r="G9" i="2620"/>
  <c r="H9" i="2620"/>
  <c r="I9" i="2620"/>
  <c r="J9" i="2620"/>
  <c r="K9" i="2620"/>
  <c r="E24" i="11"/>
  <c r="E68" i="11"/>
  <c r="E77" i="11"/>
  <c r="N9" i="2620"/>
  <c r="C8" i="2620"/>
  <c r="D8" i="2620"/>
  <c r="E8" i="2620"/>
  <c r="F8" i="2620"/>
  <c r="G8" i="2620"/>
  <c r="H8" i="2620"/>
  <c r="I8" i="2620"/>
  <c r="J8" i="2620"/>
  <c r="K8" i="2620"/>
  <c r="E56" i="11"/>
  <c r="E66" i="11"/>
  <c r="N8" i="2620"/>
  <c r="C7" i="2620"/>
  <c r="D7" i="2620"/>
  <c r="E7" i="2620"/>
  <c r="F7" i="2620"/>
  <c r="G7" i="2620"/>
  <c r="H7" i="2620"/>
  <c r="I7" i="2620"/>
  <c r="J7" i="2620"/>
  <c r="K7" i="2620"/>
  <c r="E120" i="11"/>
  <c r="E136" i="11"/>
  <c r="E134" i="11"/>
  <c r="N7" i="2620"/>
  <c r="L7" i="2620"/>
  <c r="L8" i="2620"/>
  <c r="L9" i="2620"/>
  <c r="L10" i="2620"/>
  <c r="L11" i="2620"/>
  <c r="L12" i="2620"/>
  <c r="L13" i="2620"/>
  <c r="L14" i="2620"/>
  <c r="L15" i="2620"/>
  <c r="L16" i="2620"/>
  <c r="L17" i="2620"/>
  <c r="L18" i="2620"/>
  <c r="L19" i="2620"/>
  <c r="L20" i="2620"/>
  <c r="L21" i="2620"/>
  <c r="L22" i="2620"/>
  <c r="L23" i="2620"/>
  <c r="L24" i="2620"/>
  <c r="L25" i="2620"/>
  <c r="L26" i="2620"/>
  <c r="L27" i="2620"/>
  <c r="L28" i="2620"/>
  <c r="L29" i="2620"/>
  <c r="L30" i="2620"/>
  <c r="J6" i="2620"/>
  <c r="J30" i="2620"/>
  <c r="Q21" i="14"/>
  <c r="I6" i="2620"/>
  <c r="I30" i="2620"/>
  <c r="O21" i="14"/>
  <c r="H6" i="2620"/>
  <c r="H30" i="2620"/>
  <c r="M21" i="14"/>
  <c r="G6" i="2620"/>
  <c r="G30" i="2620"/>
  <c r="K21" i="14"/>
  <c r="F6" i="2620"/>
  <c r="F30" i="2620"/>
  <c r="I21" i="14"/>
  <c r="E6" i="2620"/>
  <c r="E30" i="2620"/>
  <c r="G21" i="14"/>
  <c r="D6" i="2620"/>
  <c r="D30" i="2620"/>
  <c r="M29" i="2620"/>
  <c r="M28" i="2620"/>
  <c r="M27" i="2620"/>
  <c r="M26" i="2620"/>
  <c r="M25" i="2620"/>
  <c r="M24" i="2620"/>
  <c r="M23" i="2620"/>
  <c r="M22" i="2620"/>
  <c r="M21" i="2620"/>
  <c r="M20" i="2620"/>
  <c r="M19" i="2620"/>
  <c r="M18" i="2620"/>
  <c r="M17" i="2620"/>
  <c r="M16" i="2620"/>
  <c r="M15" i="2620"/>
  <c r="M14" i="2620"/>
  <c r="M13" i="2620"/>
  <c r="M12" i="2620"/>
  <c r="M11" i="2620"/>
  <c r="M10" i="2620"/>
  <c r="M9" i="2620"/>
  <c r="M8" i="2620"/>
  <c r="M7" i="2620"/>
  <c r="K6" i="2620"/>
  <c r="M2" i="2620"/>
  <c r="B2" i="2620"/>
  <c r="H6" i="2619"/>
  <c r="H30" i="2619"/>
  <c r="G6" i="2619"/>
  <c r="G30" i="2619"/>
  <c r="F6" i="2619"/>
  <c r="F30" i="2619"/>
  <c r="E6" i="2619"/>
  <c r="E30" i="2619"/>
  <c r="D6" i="2619"/>
  <c r="D30" i="2619"/>
  <c r="I6" i="2619"/>
  <c r="H5" i="2619"/>
  <c r="G5" i="2619"/>
  <c r="F5" i="2619"/>
  <c r="E5" i="2619"/>
  <c r="D5" i="2619"/>
  <c r="I2" i="2619"/>
  <c r="B2" i="2619"/>
  <c r="H6" i="2618"/>
  <c r="H30" i="2618"/>
  <c r="G6" i="2618"/>
  <c r="G30" i="2618"/>
  <c r="F6" i="2618"/>
  <c r="F30" i="2618"/>
  <c r="E6" i="2618"/>
  <c r="E30" i="2618"/>
  <c r="D6" i="2618"/>
  <c r="D30" i="2618"/>
  <c r="I6" i="2618"/>
  <c r="H5" i="2618"/>
  <c r="G5" i="2618"/>
  <c r="F5" i="2618"/>
  <c r="E5" i="2618"/>
  <c r="D5" i="2618"/>
  <c r="I2" i="2618"/>
  <c r="B2" i="2618"/>
  <c r="E6" i="2617"/>
  <c r="E30" i="2617"/>
  <c r="D6" i="2617"/>
  <c r="D30" i="2617"/>
  <c r="F6" i="2617"/>
  <c r="E5" i="2617"/>
  <c r="D5" i="2617"/>
  <c r="F2" i="2617"/>
  <c r="B2" i="2617"/>
  <c r="H6" i="2616"/>
  <c r="H30" i="2616"/>
  <c r="G6" i="2616"/>
  <c r="G30" i="2616"/>
  <c r="F6" i="2616"/>
  <c r="F30" i="2616"/>
  <c r="E6" i="2616"/>
  <c r="E30" i="2616"/>
  <c r="D6" i="2616"/>
  <c r="D30" i="2616"/>
  <c r="I6" i="2616"/>
  <c r="H5" i="2616"/>
  <c r="G5" i="2616"/>
  <c r="F5" i="2616"/>
  <c r="E5" i="2616"/>
  <c r="D5" i="2616"/>
  <c r="I2" i="2616"/>
  <c r="B2" i="2616"/>
  <c r="D6" i="2615"/>
  <c r="D30" i="2615"/>
  <c r="E6" i="2615"/>
  <c r="D5" i="2615"/>
  <c r="E2" i="2615"/>
  <c r="B2" i="2615"/>
  <c r="M6" i="2614"/>
  <c r="M30" i="2614"/>
  <c r="L6" i="2614"/>
  <c r="L30" i="2614"/>
  <c r="K6" i="2614"/>
  <c r="K30" i="2614"/>
  <c r="J6" i="2614"/>
  <c r="J30" i="2614"/>
  <c r="I6" i="2614"/>
  <c r="I30" i="2614"/>
  <c r="H6" i="2614"/>
  <c r="H30" i="2614"/>
  <c r="G6" i="2614"/>
  <c r="G30" i="2614"/>
  <c r="F6" i="2614"/>
  <c r="F30" i="2614"/>
  <c r="E6" i="2614"/>
  <c r="E30" i="2614"/>
  <c r="D6" i="2614"/>
  <c r="D30" i="2614"/>
  <c r="N6" i="2614"/>
  <c r="M5" i="2614"/>
  <c r="L5" i="2614"/>
  <c r="K5" i="2614"/>
  <c r="J5" i="2614"/>
  <c r="I5" i="2614"/>
  <c r="H5" i="2614"/>
  <c r="G5" i="2614"/>
  <c r="F5" i="2614"/>
  <c r="E5" i="2614"/>
  <c r="D5" i="2614"/>
  <c r="N2" i="2614"/>
  <c r="B2" i="2614"/>
  <c r="I6" i="2613"/>
  <c r="I30" i="2613"/>
  <c r="H6" i="2613"/>
  <c r="H30" i="2613"/>
  <c r="G6" i="2613"/>
  <c r="G30" i="2613"/>
  <c r="F6" i="2613"/>
  <c r="F30" i="2613"/>
  <c r="E6" i="2613"/>
  <c r="E30" i="2613"/>
  <c r="D6" i="2613"/>
  <c r="D30" i="2613"/>
  <c r="J6" i="2613"/>
  <c r="I5" i="2613"/>
  <c r="H5" i="2613"/>
  <c r="G5" i="2613"/>
  <c r="F5" i="2613"/>
  <c r="E5" i="2613"/>
  <c r="D5" i="2613"/>
  <c r="J2" i="2613"/>
  <c r="B2" i="2613"/>
  <c r="E99" i="11"/>
  <c r="E112" i="11"/>
  <c r="E29" i="11"/>
  <c r="E92" i="11"/>
  <c r="E15" i="11"/>
  <c r="E42" i="11"/>
  <c r="E157" i="11"/>
  <c r="E107" i="11"/>
  <c r="E137" i="11"/>
  <c r="E57" i="11"/>
  <c r="E67" i="11"/>
  <c r="E110" i="11"/>
  <c r="E11" i="11"/>
  <c r="E34" i="11"/>
  <c r="E84" i="11"/>
  <c r="E39" i="11"/>
  <c r="E117" i="11"/>
  <c r="E36" i="11"/>
  <c r="E101" i="11"/>
  <c r="E78" i="11"/>
  <c r="E32" i="11"/>
  <c r="E70" i="11"/>
  <c r="E35" i="11"/>
  <c r="E40" i="11"/>
  <c r="E58" i="11"/>
  <c r="E151" i="11"/>
  <c r="E133" i="11"/>
  <c r="E142" i="11"/>
  <c r="E176" i="11"/>
  <c r="E37" i="11"/>
  <c r="E116" i="11"/>
  <c r="E111" i="11"/>
  <c r="E38" i="11"/>
  <c r="E132" i="11"/>
  <c r="E128" i="11"/>
  <c r="E13" i="11"/>
  <c r="R21" i="14"/>
  <c r="E7" i="11"/>
  <c r="E146" i="11"/>
  <c r="E181" i="11"/>
  <c r="E160" i="11"/>
  <c r="E198" i="11"/>
  <c r="E149" i="11"/>
  <c r="E25" i="11"/>
  <c r="E69" i="11"/>
  <c r="E148" i="11"/>
  <c r="E147" i="11"/>
  <c r="E161" i="11"/>
  <c r="E20" i="11"/>
  <c r="E127" i="11"/>
  <c r="E159" i="11"/>
  <c r="E33"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141" i="11"/>
  <c r="E50" i="11"/>
  <c r="E48" i="11"/>
  <c r="E45" i="11"/>
  <c r="E41" i="11"/>
  <c r="E19" i="11"/>
  <c r="E14" i="11"/>
  <c r="E12" i="11"/>
  <c r="E10" i="11"/>
  <c r="E8" i="11"/>
  <c r="E6" i="11"/>
  <c r="N21" i="14"/>
  <c r="J21" i="14"/>
  <c r="L21" i="14"/>
  <c r="C45" i="14"/>
  <c r="M30" i="2620" a="1"/>
  <c r="M30" i="26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List>
</comments>
</file>

<file path=xl/sharedStrings.xml><?xml version="1.0" encoding="utf-8"?>
<sst xmlns="http://schemas.openxmlformats.org/spreadsheetml/2006/main" count="456" uniqueCount="126">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</sst>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color theme="0" tint="-0.14999847407452621"/>
      <name val="Arial"/>
      <family val="2"/>
    </font>
    <font>
      <sz val="10"/>
      <name val="Arial"/>
    </font>
    <font>
      <sz val="9"/>
      <color indexed="81"/>
      <name val="Segoe UI"/>
      <family val="2"/>
    </font>
    <font>
      <b/>
      <sz val="10"/>
      <color rgb="FFFF0000"/>
      <name val="Arial"/>
      <family val="2"/>
    </font>
    <font>
      <u/>
      <sz val="10"/>
      <color theme="10"/>
      <name val="Arial"/>
    </font>
    <font>
      <sz val="8"/>
      <name val="Arial"/>
    </font>
    <font>
      <b/>
      <sz val="8"/>
      <color rgb="FF00B0F0"/>
      <name val="Arial"/>
      <family val="2"/>
    </font>
    <font>
      <b/>
      <sz val="10"/>
      <color rgb="FFAF5000"/>
      <name val="Arial"/>
      <family val="2"/>
    </font>
  </fonts>
  <fills count="14">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s>
  <borders count="54">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s>
  <cellStyleXfs count="3">
    <xf numFmtId="0" fontId="0" fillId="0" borderId="0"/>
    <xf numFmtId="9" fontId="7" fillId="0" borderId="0" applyFont="0" applyFill="0" applyBorder="0" applyAlignment="0" applyProtection="0"/>
    <xf numFmtId="0" fontId="10" fillId="0" borderId="0" applyNumberFormat="0" applyFill="0" applyBorder="0" applyAlignment="0" applyProtection="0"/>
  </cellStyleXfs>
  <cellXfs count="204">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6" fillId="4" borderId="0" xfId="0" applyFont="1" applyFill="1"/>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0" fontId="0" fillId="13" borderId="43"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7" xfId="0" applyFont="1" applyFill="1" applyBorder="1" applyAlignment="1">
      <alignment horizontal="center"/>
    </xf>
    <xf numFmtId="1" fontId="4" fillId="4" borderId="25" xfId="0" applyNumberFormat="1" applyFont="1" applyFill="1" applyBorder="1" applyAlignment="1">
      <alignment horizontal="center"/>
    </xf>
    <xf numFmtId="49" fontId="2" fillId="3" borderId="50" xfId="0" applyNumberFormat="1" applyFont="1" applyFill="1" applyBorder="1" applyAlignment="1" applyProtection="1">
      <alignment horizontal="center"/>
      <protection locked="0"/>
    </xf>
    <xf numFmtId="0" fontId="2" fillId="3" borderId="51" xfId="0" applyFont="1" applyFill="1" applyBorder="1" applyAlignment="1" applyProtection="1">
      <alignment horizontal="center"/>
      <protection locked="0"/>
    </xf>
    <xf numFmtId="49" fontId="2" fillId="3" borderId="52" xfId="0" applyNumberFormat="1" applyFont="1" applyFill="1" applyBorder="1" applyAlignment="1" applyProtection="1">
      <alignment horizontal="center"/>
      <protection locked="0"/>
    </xf>
    <xf numFmtId="0" fontId="2" fillId="3" borderId="53" xfId="0" applyFont="1" applyFill="1" applyBorder="1" applyAlignment="1" applyProtection="1">
      <alignment horizontal="center"/>
      <protection locked="0"/>
    </xf>
    <xf numFmtId="0" fontId="0" fillId="5" borderId="23" xfId="0" applyFill="1" applyBorder="1"/>
    <xf numFmtId="1" fontId="12" fillId="3" borderId="6" xfId="0" applyNumberFormat="1" applyFont="1" applyFill="1" applyBorder="1" applyAlignment="1" applyProtection="1">
      <alignment horizontal="center"/>
      <protection locked="0"/>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0" fillId="12" borderId="30" xfId="0" applyFill="1" applyBorder="1" applyAlignment="1">
      <alignment horizontal="center" vertical="center"/>
    </xf>
    <xf numFmtId="0" fontId="0" fillId="12" borderId="37" xfId="0" applyFill="1" applyBorder="1" applyAlignment="1">
      <alignment horizontal="center" vertical="center"/>
    </xf>
    <xf numFmtId="0" fontId="0" fillId="12" borderId="38" xfId="0" applyFill="1" applyBorder="1" applyAlignment="1">
      <alignment horizontal="center" vertical="center"/>
    </xf>
    <xf numFmtId="9" fontId="0" fillId="12" borderId="38" xfId="0" applyNumberFormat="1" applyFill="1" applyBorder="1" applyAlignment="1">
      <alignment horizontal="center" vertical="center"/>
    </xf>
    <xf numFmtId="0" fontId="0" fillId="12" borderId="39" xfId="0" applyFill="1" applyBorder="1"/>
    <xf numFmtId="0" fontId="0" fillId="12" borderId="42" xfId="0" applyFill="1" applyBorder="1"/>
    <xf numFmtId="0" fontId="0" fillId="12" borderId="44" xfId="0" applyFill="1" applyBorder="1"/>
    <xf numFmtId="0" fontId="0" fillId="12" borderId="45" xfId="0" applyFill="1" applyBorder="1"/>
    <xf numFmtId="0" fontId="0" fillId="12" borderId="46" xfId="0" applyFill="1" applyBorder="1"/>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49" fontId="0" fillId="12" borderId="35" xfId="0" applyNumberFormat="1" applyFill="1" applyBorder="1" applyAlignment="1">
      <alignment horizontal="center"/>
    </xf>
    <xf numFmtId="1" fontId="0" fillId="12" borderId="35"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44" xfId="0" applyFill="1" applyBorder="1" applyAlignment="1">
      <alignment horizontal="center" vertical="center"/>
    </xf>
    <xf numFmtId="0" fontId="0" fillId="12" borderId="39" xfId="0" applyFill="1" applyBorder="1" applyAlignment="1">
      <alignment horizontal="center" vertical="center"/>
    </xf>
    <xf numFmtId="0" fontId="0" fillId="12" borderId="45" xfId="0" applyFill="1" applyBorder="1" applyAlignment="1">
      <alignment horizontal="center" vertical="center"/>
    </xf>
    <xf numFmtId="0" fontId="0" fillId="12" borderId="40" xfId="0" applyFill="1" applyBorder="1" applyAlignment="1">
      <alignment horizontal="center" vertical="center"/>
    </xf>
    <xf numFmtId="0" fontId="0" fillId="12" borderId="41" xfId="0" applyFill="1" applyBorder="1" applyAlignment="1">
      <alignment horizontal="center" vertical="center"/>
    </xf>
    <xf numFmtId="0" fontId="0" fillId="12" borderId="46" xfId="0" applyFill="1" applyBorder="1" applyAlignment="1">
      <alignment horizontal="center" vertical="center"/>
    </xf>
    <xf numFmtId="0" fontId="0" fillId="12" borderId="43" xfId="0" applyFill="1" applyBorder="1" applyAlignment="1">
      <alignment horizontal="center" vertical="center"/>
    </xf>
    <xf numFmtId="0" fontId="0" fillId="12" borderId="42" xfId="0" applyFill="1" applyBorder="1" applyAlignment="1">
      <alignment horizontal="center" vertical="center"/>
    </xf>
    <xf numFmtId="1" fontId="0" fillId="12" borderId="34" xfId="0" applyNumberFormat="1" applyFill="1" applyBorder="1" applyAlignment="1">
      <alignment horizontal="center"/>
    </xf>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10" borderId="36" xfId="0" applyFill="1" applyBorder="1" applyAlignment="1">
      <alignment horizontal="center" vertical="center"/>
    </xf>
    <xf numFmtId="0" fontId="0" fillId="10" borderId="42" xfId="0" applyFill="1" applyBorder="1" applyAlignment="1">
      <alignment horizontal="center" vertical="center"/>
    </xf>
    <xf numFmtId="0" fontId="0" fillId="10" borderId="39" xfId="0" applyFill="1" applyBorder="1" applyAlignment="1">
      <alignment horizontal="center" vertical="center"/>
    </xf>
    <xf numFmtId="0" fontId="0" fillId="10" borderId="40" xfId="0" applyFill="1" applyBorder="1" applyAlignment="1">
      <alignment horizontal="center" vertical="center"/>
    </xf>
    <xf numFmtId="0" fontId="0" fillId="10" borderId="41" xfId="0" applyFill="1" applyBorder="1" applyAlignment="1">
      <alignment horizontal="center" vertical="center"/>
    </xf>
    <xf numFmtId="0" fontId="0" fillId="10" borderId="43" xfId="0" applyFill="1" applyBorder="1" applyAlignment="1">
      <alignment horizontal="center" vertical="center"/>
    </xf>
    <xf numFmtId="49" fontId="4" fillId="4" borderId="48" xfId="0" applyNumberFormat="1" applyFont="1" applyFill="1" applyBorder="1" applyAlignment="1">
      <alignment horizontal="center"/>
    </xf>
    <xf numFmtId="49" fontId="4" fillId="4" borderId="22" xfId="0" applyNumberFormat="1" applyFont="1" applyFill="1" applyBorder="1" applyAlignment="1">
      <alignment horizont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10" fillId="5" borderId="2" xfId="2" applyFill="1" applyBorder="1" applyAlignment="1" applyProtection="1">
      <alignment horizontal="center"/>
      <protection locked="0"/>
    </xf>
    <xf numFmtId="0" fontId="10" fillId="5" borderId="3" xfId="2" applyFill="1" applyBorder="1" applyAlignment="1" applyProtection="1">
      <alignment horizontal="center"/>
      <protection locked="0"/>
    </xf>
    <xf numFmtId="0" fontId="10" fillId="5" borderId="4" xfId="2" applyFill="1" applyBorder="1" applyAlignment="1" applyProtection="1">
      <alignment horizontal="center"/>
      <protection locked="0"/>
    </xf>
    <xf numFmtId="0" fontId="10" fillId="5" borderId="5" xfId="2" applyFill="1" applyBorder="1" applyAlignment="1" applyProtection="1">
      <alignment horizontal="center"/>
      <protection locked="0"/>
    </xf>
    <xf numFmtId="0" fontId="10" fillId="5" borderId="0" xfId="2" applyFill="1" applyBorder="1" applyAlignment="1" applyProtection="1">
      <alignment horizontal="center"/>
      <protection locked="0"/>
    </xf>
    <xf numFmtId="0" fontId="10" fillId="5" borderId="6" xfId="2" applyFill="1" applyBorder="1" applyAlignment="1" applyProtection="1">
      <alignment horizontal="center"/>
      <protection locked="0"/>
    </xf>
    <xf numFmtId="0" fontId="13"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9" xfId="0" applyNumberFormat="1" applyFont="1" applyFill="1" applyBorder="1" applyAlignment="1">
      <alignment horizont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cellXfs>
  <cellStyles count="3">
    <cellStyle name="Link" xfId="2" builtinId="8"/>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0</xdr:colOff>
      <xdr:row>8</xdr:row>
      <xdr:rowOff>0</xdr:rowOff>
    </xdr:from>
    <xdr:to>
      <xdr:col>4</xdr:col>
      <xdr:colOff>0</xdr:colOff>
      <xdr:row>9</xdr:row>
      <xdr:rowOff>0</xdr:rowOff>
    </xdr:to>
    <xdr:grpSp>
      <xdr:nvGrpSpPr>
        <xdr:cNvPr id="4" name="Cross_D9">
          <a:extLst>
            <a:ext uri="{FF2B5EF4-FFF2-40B4-BE49-F238E27FC236}">
              <a16:creationId xmlns:a16="http://schemas.microsoft.com/office/drawing/2014/main" id="{D2F412F8-27B5-1348-2F8E-2D528B6B0EEE}"/>
            </a:ext>
          </a:extLst>
        </xdr:cNvPr>
        <xdr:cNvGrpSpPr/>
      </xdr:nvGrpSpPr>
      <xdr:grpSpPr>
        <a:xfrm>
          <a:off x="2171700" y="1828800"/>
          <a:ext cx="581025" cy="228600"/>
          <a:chOff x="2171700" y="1828800"/>
          <a:chExt cx="581025" cy="228600"/>
        </a:xfrm>
      </xdr:grpSpPr>
      <xdr:cxnSp macro="">
        <xdr:nvCxnSpPr>
          <xdr:cNvPr id="2" name="Gerader Verbinder 1">
            <a:extLst>
              <a:ext uri="{FF2B5EF4-FFF2-40B4-BE49-F238E27FC236}">
                <a16:creationId xmlns:a16="http://schemas.microsoft.com/office/drawing/2014/main" id="{CF27AD70-B266-DD74-AF0E-AB7182E0AE6E}"/>
              </a:ext>
            </a:extLst>
          </xdr:cNvPr>
          <xdr:cNvCxnSpPr/>
        </xdr:nvCxnSpPr>
        <xdr:spPr>
          <a:xfrm>
            <a:off x="217170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 name="Gerader Verbinder 2">
            <a:extLst>
              <a:ext uri="{FF2B5EF4-FFF2-40B4-BE49-F238E27FC236}">
                <a16:creationId xmlns:a16="http://schemas.microsoft.com/office/drawing/2014/main" id="{9ED997ED-ECFC-B9DE-42E0-F4C1CC5E1641}"/>
              </a:ext>
            </a:extLst>
          </xdr:cNvPr>
          <xdr:cNvCxnSpPr/>
        </xdr:nvCxnSpPr>
        <xdr:spPr>
          <a:xfrm flipH="1">
            <a:off x="217170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11</xdr:row>
      <xdr:rowOff>0</xdr:rowOff>
    </xdr:from>
    <xdr:to>
      <xdr:col>4</xdr:col>
      <xdr:colOff>0</xdr:colOff>
      <xdr:row>12</xdr:row>
      <xdr:rowOff>0</xdr:rowOff>
    </xdr:to>
    <xdr:grpSp>
      <xdr:nvGrpSpPr>
        <xdr:cNvPr id="7" name="Cross_D12">
          <a:extLst>
            <a:ext uri="{FF2B5EF4-FFF2-40B4-BE49-F238E27FC236}">
              <a16:creationId xmlns:a16="http://schemas.microsoft.com/office/drawing/2014/main" id="{1DABD768-9553-2444-0F1C-34C276EE0ADF}"/>
            </a:ext>
          </a:extLst>
        </xdr:cNvPr>
        <xdr:cNvGrpSpPr/>
      </xdr:nvGrpSpPr>
      <xdr:grpSpPr>
        <a:xfrm>
          <a:off x="2171700" y="2514600"/>
          <a:ext cx="581025" cy="228600"/>
          <a:chOff x="2171700" y="2514600"/>
          <a:chExt cx="581025" cy="228600"/>
        </a:xfrm>
      </xdr:grpSpPr>
      <xdr:cxnSp macro="">
        <xdr:nvCxnSpPr>
          <xdr:cNvPr id="5" name="Gerader Verbinder 4">
            <a:extLst>
              <a:ext uri="{FF2B5EF4-FFF2-40B4-BE49-F238E27FC236}">
                <a16:creationId xmlns:a16="http://schemas.microsoft.com/office/drawing/2014/main" id="{E675888E-3D7A-A298-5A32-548B98B02231}"/>
              </a:ext>
            </a:extLst>
          </xdr:cNvPr>
          <xdr:cNvCxnSpPr/>
        </xdr:nvCxnSpPr>
        <xdr:spPr>
          <a:xfrm>
            <a:off x="21717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 name="Gerader Verbinder 5">
            <a:extLst>
              <a:ext uri="{FF2B5EF4-FFF2-40B4-BE49-F238E27FC236}">
                <a16:creationId xmlns:a16="http://schemas.microsoft.com/office/drawing/2014/main" id="{301CD108-019F-E7CE-BDE1-DD48C655DA6C}"/>
              </a:ext>
            </a:extLst>
          </xdr:cNvPr>
          <xdr:cNvCxnSpPr/>
        </xdr:nvCxnSpPr>
        <xdr:spPr>
          <a:xfrm flipH="1">
            <a:off x="21717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12</xdr:row>
      <xdr:rowOff>0</xdr:rowOff>
    </xdr:from>
    <xdr:to>
      <xdr:col>4</xdr:col>
      <xdr:colOff>0</xdr:colOff>
      <xdr:row>13</xdr:row>
      <xdr:rowOff>0</xdr:rowOff>
    </xdr:to>
    <xdr:grpSp>
      <xdr:nvGrpSpPr>
        <xdr:cNvPr id="10" name="Cross_D13">
          <a:extLst>
            <a:ext uri="{FF2B5EF4-FFF2-40B4-BE49-F238E27FC236}">
              <a16:creationId xmlns:a16="http://schemas.microsoft.com/office/drawing/2014/main" id="{15F4C71D-3373-0BD6-0853-93A354234F96}"/>
            </a:ext>
          </a:extLst>
        </xdr:cNvPr>
        <xdr:cNvGrpSpPr/>
      </xdr:nvGrpSpPr>
      <xdr:grpSpPr>
        <a:xfrm>
          <a:off x="2171700" y="2743200"/>
          <a:ext cx="581025" cy="228600"/>
          <a:chOff x="2171700" y="2743200"/>
          <a:chExt cx="581025" cy="228600"/>
        </a:xfrm>
      </xdr:grpSpPr>
      <xdr:cxnSp macro="">
        <xdr:nvCxnSpPr>
          <xdr:cNvPr id="8" name="Gerader Verbinder 7">
            <a:extLst>
              <a:ext uri="{FF2B5EF4-FFF2-40B4-BE49-F238E27FC236}">
                <a16:creationId xmlns:a16="http://schemas.microsoft.com/office/drawing/2014/main" id="{1642D0C1-0137-6EF1-B1BA-CD9FE2781D9F}"/>
              </a:ext>
            </a:extLst>
          </xdr:cNvPr>
          <xdr:cNvCxnSpPr/>
        </xdr:nvCxnSpPr>
        <xdr:spPr>
          <a:xfrm>
            <a:off x="2171700"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Gerader Verbinder 8">
            <a:extLst>
              <a:ext uri="{FF2B5EF4-FFF2-40B4-BE49-F238E27FC236}">
                <a16:creationId xmlns:a16="http://schemas.microsoft.com/office/drawing/2014/main" id="{953B4B79-50D0-0736-4FE3-355E7E48A2A8}"/>
              </a:ext>
            </a:extLst>
          </xdr:cNvPr>
          <xdr:cNvCxnSpPr/>
        </xdr:nvCxnSpPr>
        <xdr:spPr>
          <a:xfrm flipH="1">
            <a:off x="2171700"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13" name="Cross_D14">
          <a:extLst>
            <a:ext uri="{FF2B5EF4-FFF2-40B4-BE49-F238E27FC236}">
              <a16:creationId xmlns:a16="http://schemas.microsoft.com/office/drawing/2014/main" id="{69BC209E-13E0-C69C-4A6B-0213A9E86E66}"/>
            </a:ext>
          </a:extLst>
        </xdr:cNvPr>
        <xdr:cNvGrpSpPr/>
      </xdr:nvGrpSpPr>
      <xdr:grpSpPr>
        <a:xfrm>
          <a:off x="2171700" y="2971800"/>
          <a:ext cx="581025" cy="228600"/>
          <a:chOff x="2171700" y="2971800"/>
          <a:chExt cx="581025" cy="228600"/>
        </a:xfrm>
      </xdr:grpSpPr>
      <xdr:cxnSp macro="">
        <xdr:nvCxnSpPr>
          <xdr:cNvPr id="11" name="Gerader Verbinder 10">
            <a:extLst>
              <a:ext uri="{FF2B5EF4-FFF2-40B4-BE49-F238E27FC236}">
                <a16:creationId xmlns:a16="http://schemas.microsoft.com/office/drawing/2014/main" id="{2CD0295A-F41C-D365-0781-154143B79828}"/>
              </a:ext>
            </a:extLst>
          </xdr:cNvPr>
          <xdr:cNvCxnSpPr/>
        </xdr:nvCxnSpPr>
        <xdr:spPr>
          <a:xfrm>
            <a:off x="217170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Gerader Verbinder 11">
            <a:extLst>
              <a:ext uri="{FF2B5EF4-FFF2-40B4-BE49-F238E27FC236}">
                <a16:creationId xmlns:a16="http://schemas.microsoft.com/office/drawing/2014/main" id="{37719BDC-1CD8-8BCD-3B5B-8E07BB1D9DD4}"/>
              </a:ext>
            </a:extLst>
          </xdr:cNvPr>
          <xdr:cNvCxnSpPr/>
        </xdr:nvCxnSpPr>
        <xdr:spPr>
          <a:xfrm flipH="1">
            <a:off x="217170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15</xdr:row>
      <xdr:rowOff>0</xdr:rowOff>
    </xdr:from>
    <xdr:to>
      <xdr:col>4</xdr:col>
      <xdr:colOff>0</xdr:colOff>
      <xdr:row>16</xdr:row>
      <xdr:rowOff>0</xdr:rowOff>
    </xdr:to>
    <xdr:grpSp>
      <xdr:nvGrpSpPr>
        <xdr:cNvPr id="16" name="Cross_D16">
          <a:extLst>
            <a:ext uri="{FF2B5EF4-FFF2-40B4-BE49-F238E27FC236}">
              <a16:creationId xmlns:a16="http://schemas.microsoft.com/office/drawing/2014/main" id="{CC57BECA-FBD8-1CF3-E9EA-7A6B96B359B1}"/>
            </a:ext>
          </a:extLst>
        </xdr:cNvPr>
        <xdr:cNvGrpSpPr/>
      </xdr:nvGrpSpPr>
      <xdr:grpSpPr>
        <a:xfrm>
          <a:off x="2171700" y="3429000"/>
          <a:ext cx="581025" cy="228600"/>
          <a:chOff x="2171700" y="3429000"/>
          <a:chExt cx="581025" cy="228600"/>
        </a:xfrm>
      </xdr:grpSpPr>
      <xdr:cxnSp macro="">
        <xdr:nvCxnSpPr>
          <xdr:cNvPr id="14" name="Gerader Verbinder 13">
            <a:extLst>
              <a:ext uri="{FF2B5EF4-FFF2-40B4-BE49-F238E27FC236}">
                <a16:creationId xmlns:a16="http://schemas.microsoft.com/office/drawing/2014/main" id="{3B5E853D-B37E-AFAC-BA8B-056684831570}"/>
              </a:ext>
            </a:extLst>
          </xdr:cNvPr>
          <xdr:cNvCxnSpPr/>
        </xdr:nvCxnSpPr>
        <xdr:spPr>
          <a:xfrm>
            <a:off x="21717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Gerader Verbinder 14">
            <a:extLst>
              <a:ext uri="{FF2B5EF4-FFF2-40B4-BE49-F238E27FC236}">
                <a16:creationId xmlns:a16="http://schemas.microsoft.com/office/drawing/2014/main" id="{8F2EB3E0-4131-49D6-88C8-BC8D488B2541}"/>
              </a:ext>
            </a:extLst>
          </xdr:cNvPr>
          <xdr:cNvCxnSpPr/>
        </xdr:nvCxnSpPr>
        <xdr:spPr>
          <a:xfrm flipH="1">
            <a:off x="21717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19</xdr:row>
      <xdr:rowOff>0</xdr:rowOff>
    </xdr:from>
    <xdr:to>
      <xdr:col>4</xdr:col>
      <xdr:colOff>0</xdr:colOff>
      <xdr:row>20</xdr:row>
      <xdr:rowOff>0</xdr:rowOff>
    </xdr:to>
    <xdr:grpSp>
      <xdr:nvGrpSpPr>
        <xdr:cNvPr id="19" name="Cross_D20">
          <a:extLst>
            <a:ext uri="{FF2B5EF4-FFF2-40B4-BE49-F238E27FC236}">
              <a16:creationId xmlns:a16="http://schemas.microsoft.com/office/drawing/2014/main" id="{B37B9885-D95A-E854-99B1-2A1B192B4A8B}"/>
            </a:ext>
          </a:extLst>
        </xdr:cNvPr>
        <xdr:cNvGrpSpPr/>
      </xdr:nvGrpSpPr>
      <xdr:grpSpPr>
        <a:xfrm>
          <a:off x="2171700" y="4343400"/>
          <a:ext cx="581025" cy="228600"/>
          <a:chOff x="2171700" y="4343400"/>
          <a:chExt cx="581025" cy="228600"/>
        </a:xfrm>
      </xdr:grpSpPr>
      <xdr:cxnSp macro="">
        <xdr:nvCxnSpPr>
          <xdr:cNvPr id="17" name="Gerader Verbinder 16">
            <a:extLst>
              <a:ext uri="{FF2B5EF4-FFF2-40B4-BE49-F238E27FC236}">
                <a16:creationId xmlns:a16="http://schemas.microsoft.com/office/drawing/2014/main" id="{EE02FACE-88BB-3643-CF4D-1B82BC35C6C1}"/>
              </a:ext>
            </a:extLst>
          </xdr:cNvPr>
          <xdr:cNvCxnSpPr/>
        </xdr:nvCxnSpPr>
        <xdr:spPr>
          <a:xfrm>
            <a:off x="217170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 name="Gerader Verbinder 17">
            <a:extLst>
              <a:ext uri="{FF2B5EF4-FFF2-40B4-BE49-F238E27FC236}">
                <a16:creationId xmlns:a16="http://schemas.microsoft.com/office/drawing/2014/main" id="{4F633C9F-A15C-B7C3-5C2B-35B6E33680E8}"/>
              </a:ext>
            </a:extLst>
          </xdr:cNvPr>
          <xdr:cNvCxnSpPr/>
        </xdr:nvCxnSpPr>
        <xdr:spPr>
          <a:xfrm flipH="1">
            <a:off x="217170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20</xdr:row>
      <xdr:rowOff>0</xdr:rowOff>
    </xdr:from>
    <xdr:to>
      <xdr:col>4</xdr:col>
      <xdr:colOff>0</xdr:colOff>
      <xdr:row>21</xdr:row>
      <xdr:rowOff>0</xdr:rowOff>
    </xdr:to>
    <xdr:grpSp>
      <xdr:nvGrpSpPr>
        <xdr:cNvPr id="22" name="Cross_D21">
          <a:extLst>
            <a:ext uri="{FF2B5EF4-FFF2-40B4-BE49-F238E27FC236}">
              <a16:creationId xmlns:a16="http://schemas.microsoft.com/office/drawing/2014/main" id="{FFF88171-E00D-41D8-977C-E528E0271513}"/>
            </a:ext>
          </a:extLst>
        </xdr:cNvPr>
        <xdr:cNvGrpSpPr/>
      </xdr:nvGrpSpPr>
      <xdr:grpSpPr>
        <a:xfrm>
          <a:off x="2171700" y="4572000"/>
          <a:ext cx="581025" cy="228600"/>
          <a:chOff x="2171700" y="4572000"/>
          <a:chExt cx="581025" cy="228600"/>
        </a:xfrm>
      </xdr:grpSpPr>
      <xdr:cxnSp macro="">
        <xdr:nvCxnSpPr>
          <xdr:cNvPr id="20" name="Gerader Verbinder 19">
            <a:extLst>
              <a:ext uri="{FF2B5EF4-FFF2-40B4-BE49-F238E27FC236}">
                <a16:creationId xmlns:a16="http://schemas.microsoft.com/office/drawing/2014/main" id="{8A18DB19-845D-6182-4195-9F66A3FC41D4}"/>
              </a:ext>
            </a:extLst>
          </xdr:cNvPr>
          <xdr:cNvCxnSpPr/>
        </xdr:nvCxnSpPr>
        <xdr:spPr>
          <a:xfrm>
            <a:off x="2171700"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Gerader Verbinder 20">
            <a:extLst>
              <a:ext uri="{FF2B5EF4-FFF2-40B4-BE49-F238E27FC236}">
                <a16:creationId xmlns:a16="http://schemas.microsoft.com/office/drawing/2014/main" id="{BFBD6A8B-BE8C-AD9E-9B9F-FA036619E2D3}"/>
              </a:ext>
            </a:extLst>
          </xdr:cNvPr>
          <xdr:cNvCxnSpPr/>
        </xdr:nvCxnSpPr>
        <xdr:spPr>
          <a:xfrm flipH="1">
            <a:off x="2171700"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25" name="Cross_D22">
          <a:extLst>
            <a:ext uri="{FF2B5EF4-FFF2-40B4-BE49-F238E27FC236}">
              <a16:creationId xmlns:a16="http://schemas.microsoft.com/office/drawing/2014/main" id="{7769C685-6679-D891-810A-D1DFF9586F3B}"/>
            </a:ext>
          </a:extLst>
        </xdr:cNvPr>
        <xdr:cNvGrpSpPr/>
      </xdr:nvGrpSpPr>
      <xdr:grpSpPr>
        <a:xfrm>
          <a:off x="2171700" y="4800600"/>
          <a:ext cx="581025" cy="228600"/>
          <a:chOff x="2171700" y="4800600"/>
          <a:chExt cx="581025" cy="228600"/>
        </a:xfrm>
      </xdr:grpSpPr>
      <xdr:cxnSp macro="">
        <xdr:nvCxnSpPr>
          <xdr:cNvPr id="23" name="Gerader Verbinder 22">
            <a:extLst>
              <a:ext uri="{FF2B5EF4-FFF2-40B4-BE49-F238E27FC236}">
                <a16:creationId xmlns:a16="http://schemas.microsoft.com/office/drawing/2014/main" id="{BD1A375A-7CBE-B682-BDFE-AB183BB6E0E5}"/>
              </a:ext>
            </a:extLst>
          </xdr:cNvPr>
          <xdr:cNvCxnSpPr/>
        </xdr:nvCxnSpPr>
        <xdr:spPr>
          <a:xfrm>
            <a:off x="21717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 name="Gerader Verbinder 23">
            <a:extLst>
              <a:ext uri="{FF2B5EF4-FFF2-40B4-BE49-F238E27FC236}">
                <a16:creationId xmlns:a16="http://schemas.microsoft.com/office/drawing/2014/main" id="{C0788EB7-92BE-10E0-CADC-723B48B997D0}"/>
              </a:ext>
            </a:extLst>
          </xdr:cNvPr>
          <xdr:cNvCxnSpPr/>
        </xdr:nvCxnSpPr>
        <xdr:spPr>
          <a:xfrm flipH="1">
            <a:off x="21717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28" name="Cross_D24">
          <a:extLst>
            <a:ext uri="{FF2B5EF4-FFF2-40B4-BE49-F238E27FC236}">
              <a16:creationId xmlns:a16="http://schemas.microsoft.com/office/drawing/2014/main" id="{7D015B50-A515-58BE-45E9-2CEB36C0F357}"/>
            </a:ext>
          </a:extLst>
        </xdr:cNvPr>
        <xdr:cNvGrpSpPr/>
      </xdr:nvGrpSpPr>
      <xdr:grpSpPr>
        <a:xfrm>
          <a:off x="2171700" y="5257800"/>
          <a:ext cx="581025" cy="228600"/>
          <a:chOff x="2171700" y="5257800"/>
          <a:chExt cx="581025" cy="228600"/>
        </a:xfrm>
      </xdr:grpSpPr>
      <xdr:cxnSp macro="">
        <xdr:nvCxnSpPr>
          <xdr:cNvPr id="26" name="Gerader Verbinder 25">
            <a:extLst>
              <a:ext uri="{FF2B5EF4-FFF2-40B4-BE49-F238E27FC236}">
                <a16:creationId xmlns:a16="http://schemas.microsoft.com/office/drawing/2014/main" id="{A0326691-4230-8EC4-E2C6-48BD59538A31}"/>
              </a:ext>
            </a:extLst>
          </xdr:cNvPr>
          <xdr:cNvCxnSpPr/>
        </xdr:nvCxnSpPr>
        <xdr:spPr>
          <a:xfrm>
            <a:off x="217170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 name="Gerader Verbinder 26">
            <a:extLst>
              <a:ext uri="{FF2B5EF4-FFF2-40B4-BE49-F238E27FC236}">
                <a16:creationId xmlns:a16="http://schemas.microsoft.com/office/drawing/2014/main" id="{9B8D1257-90F1-08F9-BCC0-82CD4C8269D6}"/>
              </a:ext>
            </a:extLst>
          </xdr:cNvPr>
          <xdr:cNvCxnSpPr/>
        </xdr:nvCxnSpPr>
        <xdr:spPr>
          <a:xfrm flipH="1">
            <a:off x="217170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31" name="Cross_D25">
          <a:extLst>
            <a:ext uri="{FF2B5EF4-FFF2-40B4-BE49-F238E27FC236}">
              <a16:creationId xmlns:a16="http://schemas.microsoft.com/office/drawing/2014/main" id="{AFB24939-DDE1-006D-5B3F-3EB624A4C1DF}"/>
            </a:ext>
          </a:extLst>
        </xdr:cNvPr>
        <xdr:cNvGrpSpPr/>
      </xdr:nvGrpSpPr>
      <xdr:grpSpPr>
        <a:xfrm>
          <a:off x="2171700" y="5486400"/>
          <a:ext cx="581025" cy="228600"/>
          <a:chOff x="2171700" y="5486400"/>
          <a:chExt cx="581025" cy="228600"/>
        </a:xfrm>
      </xdr:grpSpPr>
      <xdr:cxnSp macro="">
        <xdr:nvCxnSpPr>
          <xdr:cNvPr id="29" name="Gerader Verbinder 28">
            <a:extLst>
              <a:ext uri="{FF2B5EF4-FFF2-40B4-BE49-F238E27FC236}">
                <a16:creationId xmlns:a16="http://schemas.microsoft.com/office/drawing/2014/main" id="{14C1F075-2337-114F-ADD5-84F92CDC39D1}"/>
              </a:ext>
            </a:extLst>
          </xdr:cNvPr>
          <xdr:cNvCxnSpPr/>
        </xdr:nvCxnSpPr>
        <xdr:spPr>
          <a:xfrm>
            <a:off x="217170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 name="Gerader Verbinder 29">
            <a:extLst>
              <a:ext uri="{FF2B5EF4-FFF2-40B4-BE49-F238E27FC236}">
                <a16:creationId xmlns:a16="http://schemas.microsoft.com/office/drawing/2014/main" id="{2F4044BC-8379-D42F-901B-F0E98EC2585A}"/>
              </a:ext>
            </a:extLst>
          </xdr:cNvPr>
          <xdr:cNvCxnSpPr/>
        </xdr:nvCxnSpPr>
        <xdr:spPr>
          <a:xfrm flipH="1">
            <a:off x="217170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xdr:row>
      <xdr:rowOff>0</xdr:rowOff>
    </xdr:from>
    <xdr:to>
      <xdr:col>5</xdr:col>
      <xdr:colOff>0</xdr:colOff>
      <xdr:row>7</xdr:row>
      <xdr:rowOff>0</xdr:rowOff>
    </xdr:to>
    <xdr:grpSp>
      <xdr:nvGrpSpPr>
        <xdr:cNvPr id="34" name="Cross_E7">
          <a:extLst>
            <a:ext uri="{FF2B5EF4-FFF2-40B4-BE49-F238E27FC236}">
              <a16:creationId xmlns:a16="http://schemas.microsoft.com/office/drawing/2014/main" id="{33188BAB-4131-F23F-3A1D-124D2AA7421F}"/>
            </a:ext>
          </a:extLst>
        </xdr:cNvPr>
        <xdr:cNvGrpSpPr/>
      </xdr:nvGrpSpPr>
      <xdr:grpSpPr>
        <a:xfrm>
          <a:off x="2752725" y="1371600"/>
          <a:ext cx="581025" cy="228600"/>
          <a:chOff x="2752725" y="1371600"/>
          <a:chExt cx="581025" cy="228600"/>
        </a:xfrm>
      </xdr:grpSpPr>
      <xdr:cxnSp macro="">
        <xdr:nvCxnSpPr>
          <xdr:cNvPr id="32" name="Gerader Verbinder 31">
            <a:extLst>
              <a:ext uri="{FF2B5EF4-FFF2-40B4-BE49-F238E27FC236}">
                <a16:creationId xmlns:a16="http://schemas.microsoft.com/office/drawing/2014/main" id="{F0A2FA57-D1A8-26A6-010E-5B623545B570}"/>
              </a:ext>
            </a:extLst>
          </xdr:cNvPr>
          <xdr:cNvCxnSpPr/>
        </xdr:nvCxnSpPr>
        <xdr:spPr>
          <a:xfrm>
            <a:off x="275272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 name="Gerader Verbinder 32">
            <a:extLst>
              <a:ext uri="{FF2B5EF4-FFF2-40B4-BE49-F238E27FC236}">
                <a16:creationId xmlns:a16="http://schemas.microsoft.com/office/drawing/2014/main" id="{3A344566-732C-AC25-5F5F-73FBB73A1490}"/>
              </a:ext>
            </a:extLst>
          </xdr:cNvPr>
          <xdr:cNvCxnSpPr/>
        </xdr:nvCxnSpPr>
        <xdr:spPr>
          <a:xfrm flipH="1">
            <a:off x="275272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xdr:row>
      <xdr:rowOff>0</xdr:rowOff>
    </xdr:from>
    <xdr:to>
      <xdr:col>5</xdr:col>
      <xdr:colOff>0</xdr:colOff>
      <xdr:row>8</xdr:row>
      <xdr:rowOff>0</xdr:rowOff>
    </xdr:to>
    <xdr:grpSp>
      <xdr:nvGrpSpPr>
        <xdr:cNvPr id="37" name="Cross_E8">
          <a:extLst>
            <a:ext uri="{FF2B5EF4-FFF2-40B4-BE49-F238E27FC236}">
              <a16:creationId xmlns:a16="http://schemas.microsoft.com/office/drawing/2014/main" id="{2EF31F1F-2641-35CB-C612-F54E1E96ECAB}"/>
            </a:ext>
          </a:extLst>
        </xdr:cNvPr>
        <xdr:cNvGrpSpPr/>
      </xdr:nvGrpSpPr>
      <xdr:grpSpPr>
        <a:xfrm>
          <a:off x="2752725" y="1600200"/>
          <a:ext cx="581025" cy="228600"/>
          <a:chOff x="2752725" y="1600200"/>
          <a:chExt cx="581025" cy="228600"/>
        </a:xfrm>
      </xdr:grpSpPr>
      <xdr:cxnSp macro="">
        <xdr:nvCxnSpPr>
          <xdr:cNvPr id="35" name="Gerader Verbinder 34">
            <a:extLst>
              <a:ext uri="{FF2B5EF4-FFF2-40B4-BE49-F238E27FC236}">
                <a16:creationId xmlns:a16="http://schemas.microsoft.com/office/drawing/2014/main" id="{8133E221-D227-7DEC-E7BA-EFC8289C1806}"/>
              </a:ext>
            </a:extLst>
          </xdr:cNvPr>
          <xdr:cNvCxnSpPr/>
        </xdr:nvCxnSpPr>
        <xdr:spPr>
          <a:xfrm>
            <a:off x="2752725"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 name="Gerader Verbinder 35">
            <a:extLst>
              <a:ext uri="{FF2B5EF4-FFF2-40B4-BE49-F238E27FC236}">
                <a16:creationId xmlns:a16="http://schemas.microsoft.com/office/drawing/2014/main" id="{C288743A-18F0-FA2B-1BBF-C4C10E98C32F}"/>
              </a:ext>
            </a:extLst>
          </xdr:cNvPr>
          <xdr:cNvCxnSpPr/>
        </xdr:nvCxnSpPr>
        <xdr:spPr>
          <a:xfrm flipH="1">
            <a:off x="2752725"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8</xdr:row>
      <xdr:rowOff>0</xdr:rowOff>
    </xdr:from>
    <xdr:to>
      <xdr:col>5</xdr:col>
      <xdr:colOff>0</xdr:colOff>
      <xdr:row>9</xdr:row>
      <xdr:rowOff>0</xdr:rowOff>
    </xdr:to>
    <xdr:grpSp>
      <xdr:nvGrpSpPr>
        <xdr:cNvPr id="40" name="Cross_E9">
          <a:extLst>
            <a:ext uri="{FF2B5EF4-FFF2-40B4-BE49-F238E27FC236}">
              <a16:creationId xmlns:a16="http://schemas.microsoft.com/office/drawing/2014/main" id="{FBB68A46-4618-1DC6-86C8-E8C56A903E89}"/>
            </a:ext>
          </a:extLst>
        </xdr:cNvPr>
        <xdr:cNvGrpSpPr/>
      </xdr:nvGrpSpPr>
      <xdr:grpSpPr>
        <a:xfrm>
          <a:off x="2752725" y="1828800"/>
          <a:ext cx="581025" cy="228600"/>
          <a:chOff x="2752725" y="1828800"/>
          <a:chExt cx="581025" cy="228600"/>
        </a:xfrm>
      </xdr:grpSpPr>
      <xdr:cxnSp macro="">
        <xdr:nvCxnSpPr>
          <xdr:cNvPr id="38" name="Gerader Verbinder 37">
            <a:extLst>
              <a:ext uri="{FF2B5EF4-FFF2-40B4-BE49-F238E27FC236}">
                <a16:creationId xmlns:a16="http://schemas.microsoft.com/office/drawing/2014/main" id="{B2467448-DF80-4C86-3B2F-532132C91134}"/>
              </a:ext>
            </a:extLst>
          </xdr:cNvPr>
          <xdr:cNvCxnSpPr/>
        </xdr:nvCxnSpPr>
        <xdr:spPr>
          <a:xfrm>
            <a:off x="2752725"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 name="Gerader Verbinder 38">
            <a:extLst>
              <a:ext uri="{FF2B5EF4-FFF2-40B4-BE49-F238E27FC236}">
                <a16:creationId xmlns:a16="http://schemas.microsoft.com/office/drawing/2014/main" id="{B7D445D1-464B-D47E-44B8-8E50E0CA6F86}"/>
              </a:ext>
            </a:extLst>
          </xdr:cNvPr>
          <xdr:cNvCxnSpPr/>
        </xdr:nvCxnSpPr>
        <xdr:spPr>
          <a:xfrm flipH="1">
            <a:off x="2752725"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43" name="Cross_E11">
          <a:extLst>
            <a:ext uri="{FF2B5EF4-FFF2-40B4-BE49-F238E27FC236}">
              <a16:creationId xmlns:a16="http://schemas.microsoft.com/office/drawing/2014/main" id="{6CDA7A59-4036-0613-2646-7E73949C546C}"/>
            </a:ext>
          </a:extLst>
        </xdr:cNvPr>
        <xdr:cNvGrpSpPr/>
      </xdr:nvGrpSpPr>
      <xdr:grpSpPr>
        <a:xfrm>
          <a:off x="2752725" y="2286000"/>
          <a:ext cx="581025" cy="228600"/>
          <a:chOff x="2752725" y="2286000"/>
          <a:chExt cx="581025" cy="228600"/>
        </a:xfrm>
      </xdr:grpSpPr>
      <xdr:cxnSp macro="">
        <xdr:nvCxnSpPr>
          <xdr:cNvPr id="41" name="Gerader Verbinder 40">
            <a:extLst>
              <a:ext uri="{FF2B5EF4-FFF2-40B4-BE49-F238E27FC236}">
                <a16:creationId xmlns:a16="http://schemas.microsoft.com/office/drawing/2014/main" id="{01C37FB6-5BE5-A120-F349-421D908185B1}"/>
              </a:ext>
            </a:extLst>
          </xdr:cNvPr>
          <xdr:cNvCxnSpPr/>
        </xdr:nvCxnSpPr>
        <xdr:spPr>
          <a:xfrm>
            <a:off x="2752725"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 name="Gerader Verbinder 41">
            <a:extLst>
              <a:ext uri="{FF2B5EF4-FFF2-40B4-BE49-F238E27FC236}">
                <a16:creationId xmlns:a16="http://schemas.microsoft.com/office/drawing/2014/main" id="{4196201C-870A-085F-5723-8C59E59DD01F}"/>
              </a:ext>
            </a:extLst>
          </xdr:cNvPr>
          <xdr:cNvCxnSpPr/>
        </xdr:nvCxnSpPr>
        <xdr:spPr>
          <a:xfrm flipH="1">
            <a:off x="2752725"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46" name="Cross_E14">
          <a:extLst>
            <a:ext uri="{FF2B5EF4-FFF2-40B4-BE49-F238E27FC236}">
              <a16:creationId xmlns:a16="http://schemas.microsoft.com/office/drawing/2014/main" id="{BC53398A-347A-1537-56A8-5915B22F673F}"/>
            </a:ext>
          </a:extLst>
        </xdr:cNvPr>
        <xdr:cNvGrpSpPr/>
      </xdr:nvGrpSpPr>
      <xdr:grpSpPr>
        <a:xfrm>
          <a:off x="2752725" y="2971800"/>
          <a:ext cx="581025" cy="228600"/>
          <a:chOff x="2752725" y="2971800"/>
          <a:chExt cx="581025" cy="228600"/>
        </a:xfrm>
      </xdr:grpSpPr>
      <xdr:cxnSp macro="">
        <xdr:nvCxnSpPr>
          <xdr:cNvPr id="44" name="Gerader Verbinder 43">
            <a:extLst>
              <a:ext uri="{FF2B5EF4-FFF2-40B4-BE49-F238E27FC236}">
                <a16:creationId xmlns:a16="http://schemas.microsoft.com/office/drawing/2014/main" id="{20B4354A-9356-FDD6-FA69-96507FB9DA9B}"/>
              </a:ext>
            </a:extLst>
          </xdr:cNvPr>
          <xdr:cNvCxnSpPr/>
        </xdr:nvCxnSpPr>
        <xdr:spPr>
          <a:xfrm>
            <a:off x="2752725"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 name="Gerader Verbinder 44">
            <a:extLst>
              <a:ext uri="{FF2B5EF4-FFF2-40B4-BE49-F238E27FC236}">
                <a16:creationId xmlns:a16="http://schemas.microsoft.com/office/drawing/2014/main" id="{9F2B0417-CA79-EAF7-F7D7-363801C48C03}"/>
              </a:ext>
            </a:extLst>
          </xdr:cNvPr>
          <xdr:cNvCxnSpPr/>
        </xdr:nvCxnSpPr>
        <xdr:spPr>
          <a:xfrm flipH="1">
            <a:off x="2752725"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16</xdr:row>
      <xdr:rowOff>0</xdr:rowOff>
    </xdr:from>
    <xdr:to>
      <xdr:col>5</xdr:col>
      <xdr:colOff>0</xdr:colOff>
      <xdr:row>17</xdr:row>
      <xdr:rowOff>0</xdr:rowOff>
    </xdr:to>
    <xdr:grpSp>
      <xdr:nvGrpSpPr>
        <xdr:cNvPr id="49" name="Cross_E17">
          <a:extLst>
            <a:ext uri="{FF2B5EF4-FFF2-40B4-BE49-F238E27FC236}">
              <a16:creationId xmlns:a16="http://schemas.microsoft.com/office/drawing/2014/main" id="{541707FB-E825-AB63-076D-527AC36ECEE7}"/>
            </a:ext>
          </a:extLst>
        </xdr:cNvPr>
        <xdr:cNvGrpSpPr/>
      </xdr:nvGrpSpPr>
      <xdr:grpSpPr>
        <a:xfrm>
          <a:off x="2752725" y="3657600"/>
          <a:ext cx="581025" cy="228600"/>
          <a:chOff x="2752725" y="3657600"/>
          <a:chExt cx="581025" cy="228600"/>
        </a:xfrm>
      </xdr:grpSpPr>
      <xdr:cxnSp macro="">
        <xdr:nvCxnSpPr>
          <xdr:cNvPr id="47" name="Gerader Verbinder 46">
            <a:extLst>
              <a:ext uri="{FF2B5EF4-FFF2-40B4-BE49-F238E27FC236}">
                <a16:creationId xmlns:a16="http://schemas.microsoft.com/office/drawing/2014/main" id="{3CC7B43A-2876-53BB-FC19-03C8CEBE66CC}"/>
              </a:ext>
            </a:extLst>
          </xdr:cNvPr>
          <xdr:cNvCxnSpPr/>
        </xdr:nvCxnSpPr>
        <xdr:spPr>
          <a:xfrm>
            <a:off x="2752725"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 name="Gerader Verbinder 47">
            <a:extLst>
              <a:ext uri="{FF2B5EF4-FFF2-40B4-BE49-F238E27FC236}">
                <a16:creationId xmlns:a16="http://schemas.microsoft.com/office/drawing/2014/main" id="{436A048D-64DF-EDBB-4793-B58C5648BC46}"/>
              </a:ext>
            </a:extLst>
          </xdr:cNvPr>
          <xdr:cNvCxnSpPr/>
        </xdr:nvCxnSpPr>
        <xdr:spPr>
          <a:xfrm flipH="1">
            <a:off x="2752725"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xdr:row>
      <xdr:rowOff>0</xdr:rowOff>
    </xdr:from>
    <xdr:to>
      <xdr:col>5</xdr:col>
      <xdr:colOff>0</xdr:colOff>
      <xdr:row>18</xdr:row>
      <xdr:rowOff>0</xdr:rowOff>
    </xdr:to>
    <xdr:grpSp>
      <xdr:nvGrpSpPr>
        <xdr:cNvPr id="52" name="Cross_E18">
          <a:extLst>
            <a:ext uri="{FF2B5EF4-FFF2-40B4-BE49-F238E27FC236}">
              <a16:creationId xmlns:a16="http://schemas.microsoft.com/office/drawing/2014/main" id="{1313A92C-F711-2153-623F-E1BD814FFE75}"/>
            </a:ext>
          </a:extLst>
        </xdr:cNvPr>
        <xdr:cNvGrpSpPr/>
      </xdr:nvGrpSpPr>
      <xdr:grpSpPr>
        <a:xfrm>
          <a:off x="2752725" y="3886200"/>
          <a:ext cx="581025" cy="228600"/>
          <a:chOff x="2752725" y="3886200"/>
          <a:chExt cx="581025" cy="228600"/>
        </a:xfrm>
      </xdr:grpSpPr>
      <xdr:cxnSp macro="">
        <xdr:nvCxnSpPr>
          <xdr:cNvPr id="50" name="Gerader Verbinder 49">
            <a:extLst>
              <a:ext uri="{FF2B5EF4-FFF2-40B4-BE49-F238E27FC236}">
                <a16:creationId xmlns:a16="http://schemas.microsoft.com/office/drawing/2014/main" id="{58962562-05DC-807E-9E58-EDBBFEC195BA}"/>
              </a:ext>
            </a:extLst>
          </xdr:cNvPr>
          <xdr:cNvCxnSpPr/>
        </xdr:nvCxnSpPr>
        <xdr:spPr>
          <a:xfrm>
            <a:off x="2752725"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 name="Gerader Verbinder 50">
            <a:extLst>
              <a:ext uri="{FF2B5EF4-FFF2-40B4-BE49-F238E27FC236}">
                <a16:creationId xmlns:a16="http://schemas.microsoft.com/office/drawing/2014/main" id="{292B6D57-F43E-D66A-15CD-77DF683707B8}"/>
              </a:ext>
            </a:extLst>
          </xdr:cNvPr>
          <xdr:cNvCxnSpPr/>
        </xdr:nvCxnSpPr>
        <xdr:spPr>
          <a:xfrm flipH="1">
            <a:off x="2752725"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55" name="Cross_E19">
          <a:extLst>
            <a:ext uri="{FF2B5EF4-FFF2-40B4-BE49-F238E27FC236}">
              <a16:creationId xmlns:a16="http://schemas.microsoft.com/office/drawing/2014/main" id="{658F8816-DCB6-537A-4034-B14C3EE49A35}"/>
            </a:ext>
          </a:extLst>
        </xdr:cNvPr>
        <xdr:cNvGrpSpPr/>
      </xdr:nvGrpSpPr>
      <xdr:grpSpPr>
        <a:xfrm>
          <a:off x="2752725" y="4114800"/>
          <a:ext cx="581025" cy="228600"/>
          <a:chOff x="2752725" y="4114800"/>
          <a:chExt cx="581025" cy="228600"/>
        </a:xfrm>
      </xdr:grpSpPr>
      <xdr:cxnSp macro="">
        <xdr:nvCxnSpPr>
          <xdr:cNvPr id="53" name="Gerader Verbinder 52">
            <a:extLst>
              <a:ext uri="{FF2B5EF4-FFF2-40B4-BE49-F238E27FC236}">
                <a16:creationId xmlns:a16="http://schemas.microsoft.com/office/drawing/2014/main" id="{91AC27A6-ECB9-5F61-696E-6D7A1916E034}"/>
              </a:ext>
            </a:extLst>
          </xdr:cNvPr>
          <xdr:cNvCxnSpPr/>
        </xdr:nvCxnSpPr>
        <xdr:spPr>
          <a:xfrm>
            <a:off x="275272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 name="Gerader Verbinder 53">
            <a:extLst>
              <a:ext uri="{FF2B5EF4-FFF2-40B4-BE49-F238E27FC236}">
                <a16:creationId xmlns:a16="http://schemas.microsoft.com/office/drawing/2014/main" id="{C54672E8-4D2C-AAA3-93BB-1ACFF1CEB627}"/>
              </a:ext>
            </a:extLst>
          </xdr:cNvPr>
          <xdr:cNvCxnSpPr/>
        </xdr:nvCxnSpPr>
        <xdr:spPr>
          <a:xfrm flipH="1">
            <a:off x="275272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58" name="Cross_E20">
          <a:extLst>
            <a:ext uri="{FF2B5EF4-FFF2-40B4-BE49-F238E27FC236}">
              <a16:creationId xmlns:a16="http://schemas.microsoft.com/office/drawing/2014/main" id="{F91A7A5A-D098-5078-3160-C45B8211C9E3}"/>
            </a:ext>
          </a:extLst>
        </xdr:cNvPr>
        <xdr:cNvGrpSpPr/>
      </xdr:nvGrpSpPr>
      <xdr:grpSpPr>
        <a:xfrm>
          <a:off x="2752725" y="4343400"/>
          <a:ext cx="581025" cy="228600"/>
          <a:chOff x="2752725" y="4343400"/>
          <a:chExt cx="581025" cy="228600"/>
        </a:xfrm>
      </xdr:grpSpPr>
      <xdr:cxnSp macro="">
        <xdr:nvCxnSpPr>
          <xdr:cNvPr id="56" name="Gerader Verbinder 55">
            <a:extLst>
              <a:ext uri="{FF2B5EF4-FFF2-40B4-BE49-F238E27FC236}">
                <a16:creationId xmlns:a16="http://schemas.microsoft.com/office/drawing/2014/main" id="{1711C486-B949-C987-753F-7B688DEA642D}"/>
              </a:ext>
            </a:extLst>
          </xdr:cNvPr>
          <xdr:cNvCxnSpPr/>
        </xdr:nvCxnSpPr>
        <xdr:spPr>
          <a:xfrm>
            <a:off x="2752725"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 name="Gerader Verbinder 56">
            <a:extLst>
              <a:ext uri="{FF2B5EF4-FFF2-40B4-BE49-F238E27FC236}">
                <a16:creationId xmlns:a16="http://schemas.microsoft.com/office/drawing/2014/main" id="{7B64739F-6D79-514B-35D5-3A24101387E6}"/>
              </a:ext>
            </a:extLst>
          </xdr:cNvPr>
          <xdr:cNvCxnSpPr/>
        </xdr:nvCxnSpPr>
        <xdr:spPr>
          <a:xfrm flipH="1">
            <a:off x="2752725"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22</xdr:row>
      <xdr:rowOff>0</xdr:rowOff>
    </xdr:from>
    <xdr:to>
      <xdr:col>5</xdr:col>
      <xdr:colOff>0</xdr:colOff>
      <xdr:row>23</xdr:row>
      <xdr:rowOff>0</xdr:rowOff>
    </xdr:to>
    <xdr:grpSp>
      <xdr:nvGrpSpPr>
        <xdr:cNvPr id="61" name="Cross_E23">
          <a:extLst>
            <a:ext uri="{FF2B5EF4-FFF2-40B4-BE49-F238E27FC236}">
              <a16:creationId xmlns:a16="http://schemas.microsoft.com/office/drawing/2014/main" id="{AB281BB3-13DB-F1B3-E2B0-823B340178AE}"/>
            </a:ext>
          </a:extLst>
        </xdr:cNvPr>
        <xdr:cNvGrpSpPr/>
      </xdr:nvGrpSpPr>
      <xdr:grpSpPr>
        <a:xfrm>
          <a:off x="2752725" y="5029200"/>
          <a:ext cx="581025" cy="228600"/>
          <a:chOff x="2752725" y="5029200"/>
          <a:chExt cx="581025" cy="228600"/>
        </a:xfrm>
      </xdr:grpSpPr>
      <xdr:cxnSp macro="">
        <xdr:nvCxnSpPr>
          <xdr:cNvPr id="59" name="Gerader Verbinder 58">
            <a:extLst>
              <a:ext uri="{FF2B5EF4-FFF2-40B4-BE49-F238E27FC236}">
                <a16:creationId xmlns:a16="http://schemas.microsoft.com/office/drawing/2014/main" id="{1FFA3FFD-7B63-46D9-443B-8896EAC28C01}"/>
              </a:ext>
            </a:extLst>
          </xdr:cNvPr>
          <xdr:cNvCxnSpPr/>
        </xdr:nvCxnSpPr>
        <xdr:spPr>
          <a:xfrm>
            <a:off x="2752725"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 name="Gerader Verbinder 59">
            <a:extLst>
              <a:ext uri="{FF2B5EF4-FFF2-40B4-BE49-F238E27FC236}">
                <a16:creationId xmlns:a16="http://schemas.microsoft.com/office/drawing/2014/main" id="{CFF4ECEF-E569-14EB-9107-1F3C6B7CEFC2}"/>
              </a:ext>
            </a:extLst>
          </xdr:cNvPr>
          <xdr:cNvCxnSpPr/>
        </xdr:nvCxnSpPr>
        <xdr:spPr>
          <a:xfrm flipH="1">
            <a:off x="2752725"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23</xdr:row>
      <xdr:rowOff>0</xdr:rowOff>
    </xdr:from>
    <xdr:to>
      <xdr:col>5</xdr:col>
      <xdr:colOff>0</xdr:colOff>
      <xdr:row>24</xdr:row>
      <xdr:rowOff>0</xdr:rowOff>
    </xdr:to>
    <xdr:grpSp>
      <xdr:nvGrpSpPr>
        <xdr:cNvPr id="64" name="Cross_E24">
          <a:extLst>
            <a:ext uri="{FF2B5EF4-FFF2-40B4-BE49-F238E27FC236}">
              <a16:creationId xmlns:a16="http://schemas.microsoft.com/office/drawing/2014/main" id="{91B9B33B-4DF6-41D6-9DFA-68DC0D5C186E}"/>
            </a:ext>
          </a:extLst>
        </xdr:cNvPr>
        <xdr:cNvGrpSpPr/>
      </xdr:nvGrpSpPr>
      <xdr:grpSpPr>
        <a:xfrm>
          <a:off x="2752725" y="5257800"/>
          <a:ext cx="581025" cy="228600"/>
          <a:chOff x="2752725" y="5257800"/>
          <a:chExt cx="581025" cy="228600"/>
        </a:xfrm>
      </xdr:grpSpPr>
      <xdr:cxnSp macro="">
        <xdr:nvCxnSpPr>
          <xdr:cNvPr id="62" name="Gerader Verbinder 61">
            <a:extLst>
              <a:ext uri="{FF2B5EF4-FFF2-40B4-BE49-F238E27FC236}">
                <a16:creationId xmlns:a16="http://schemas.microsoft.com/office/drawing/2014/main" id="{6247655E-90A3-F677-5F61-675625585FD5}"/>
              </a:ext>
            </a:extLst>
          </xdr:cNvPr>
          <xdr:cNvCxnSpPr/>
        </xdr:nvCxnSpPr>
        <xdr:spPr>
          <a:xfrm>
            <a:off x="2752725"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 name="Gerader Verbinder 62">
            <a:extLst>
              <a:ext uri="{FF2B5EF4-FFF2-40B4-BE49-F238E27FC236}">
                <a16:creationId xmlns:a16="http://schemas.microsoft.com/office/drawing/2014/main" id="{C0DF5877-1C27-C8CF-DE67-3136FA177CAF}"/>
              </a:ext>
            </a:extLst>
          </xdr:cNvPr>
          <xdr:cNvCxnSpPr/>
        </xdr:nvCxnSpPr>
        <xdr:spPr>
          <a:xfrm flipH="1">
            <a:off x="2752725"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24</xdr:row>
      <xdr:rowOff>0</xdr:rowOff>
    </xdr:from>
    <xdr:to>
      <xdr:col>5</xdr:col>
      <xdr:colOff>0</xdr:colOff>
      <xdr:row>25</xdr:row>
      <xdr:rowOff>0</xdr:rowOff>
    </xdr:to>
    <xdr:grpSp>
      <xdr:nvGrpSpPr>
        <xdr:cNvPr id="67" name="Cross_E25">
          <a:extLst>
            <a:ext uri="{FF2B5EF4-FFF2-40B4-BE49-F238E27FC236}">
              <a16:creationId xmlns:a16="http://schemas.microsoft.com/office/drawing/2014/main" id="{E463A277-A548-D960-F0A0-FC792E190315}"/>
            </a:ext>
          </a:extLst>
        </xdr:cNvPr>
        <xdr:cNvGrpSpPr/>
      </xdr:nvGrpSpPr>
      <xdr:grpSpPr>
        <a:xfrm>
          <a:off x="2752725" y="5486400"/>
          <a:ext cx="581025" cy="228600"/>
          <a:chOff x="2752725" y="5486400"/>
          <a:chExt cx="581025" cy="228600"/>
        </a:xfrm>
      </xdr:grpSpPr>
      <xdr:cxnSp macro="">
        <xdr:nvCxnSpPr>
          <xdr:cNvPr id="65" name="Gerader Verbinder 64">
            <a:extLst>
              <a:ext uri="{FF2B5EF4-FFF2-40B4-BE49-F238E27FC236}">
                <a16:creationId xmlns:a16="http://schemas.microsoft.com/office/drawing/2014/main" id="{2CAE4DE2-8E26-7ED9-46FB-4A0E2BD7E002}"/>
              </a:ext>
            </a:extLst>
          </xdr:cNvPr>
          <xdr:cNvCxnSpPr/>
        </xdr:nvCxnSpPr>
        <xdr:spPr>
          <a:xfrm>
            <a:off x="2752725"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 name="Gerader Verbinder 65">
            <a:extLst>
              <a:ext uri="{FF2B5EF4-FFF2-40B4-BE49-F238E27FC236}">
                <a16:creationId xmlns:a16="http://schemas.microsoft.com/office/drawing/2014/main" id="{20B36BE7-507D-8D51-3970-C68A5FC1E479}"/>
              </a:ext>
            </a:extLst>
          </xdr:cNvPr>
          <xdr:cNvCxnSpPr/>
        </xdr:nvCxnSpPr>
        <xdr:spPr>
          <a:xfrm flipH="1">
            <a:off x="2752725"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70" name="Cross_E28">
          <a:extLst>
            <a:ext uri="{FF2B5EF4-FFF2-40B4-BE49-F238E27FC236}">
              <a16:creationId xmlns:a16="http://schemas.microsoft.com/office/drawing/2014/main" id="{3C06FB71-90E9-5415-9651-63D65038F152}"/>
            </a:ext>
          </a:extLst>
        </xdr:cNvPr>
        <xdr:cNvGrpSpPr/>
      </xdr:nvGrpSpPr>
      <xdr:grpSpPr>
        <a:xfrm>
          <a:off x="2752725" y="6172200"/>
          <a:ext cx="581025" cy="228600"/>
          <a:chOff x="2752725" y="6172200"/>
          <a:chExt cx="581025" cy="228600"/>
        </a:xfrm>
      </xdr:grpSpPr>
      <xdr:cxnSp macro="">
        <xdr:nvCxnSpPr>
          <xdr:cNvPr id="68" name="Gerader Verbinder 67">
            <a:extLst>
              <a:ext uri="{FF2B5EF4-FFF2-40B4-BE49-F238E27FC236}">
                <a16:creationId xmlns:a16="http://schemas.microsoft.com/office/drawing/2014/main" id="{FA4D7657-659B-DE56-55CD-B5D0E087CC75}"/>
              </a:ext>
            </a:extLst>
          </xdr:cNvPr>
          <xdr:cNvCxnSpPr/>
        </xdr:nvCxnSpPr>
        <xdr:spPr>
          <a:xfrm>
            <a:off x="275272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 name="Gerader Verbinder 68">
            <a:extLst>
              <a:ext uri="{FF2B5EF4-FFF2-40B4-BE49-F238E27FC236}">
                <a16:creationId xmlns:a16="http://schemas.microsoft.com/office/drawing/2014/main" id="{C871885D-EA03-899E-72F6-B5848067943D}"/>
              </a:ext>
            </a:extLst>
          </xdr:cNvPr>
          <xdr:cNvCxnSpPr/>
        </xdr:nvCxnSpPr>
        <xdr:spPr>
          <a:xfrm flipH="1">
            <a:off x="275272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73" name="Cross_E29">
          <a:extLst>
            <a:ext uri="{FF2B5EF4-FFF2-40B4-BE49-F238E27FC236}">
              <a16:creationId xmlns:a16="http://schemas.microsoft.com/office/drawing/2014/main" id="{C4F030A7-15FE-C507-338A-225C51B59358}"/>
            </a:ext>
          </a:extLst>
        </xdr:cNvPr>
        <xdr:cNvGrpSpPr/>
      </xdr:nvGrpSpPr>
      <xdr:grpSpPr>
        <a:xfrm>
          <a:off x="2752725" y="6400800"/>
          <a:ext cx="581025" cy="228600"/>
          <a:chOff x="2752725" y="6400800"/>
          <a:chExt cx="581025" cy="228600"/>
        </a:xfrm>
      </xdr:grpSpPr>
      <xdr:cxnSp macro="">
        <xdr:nvCxnSpPr>
          <xdr:cNvPr id="71" name="Gerader Verbinder 70">
            <a:extLst>
              <a:ext uri="{FF2B5EF4-FFF2-40B4-BE49-F238E27FC236}">
                <a16:creationId xmlns:a16="http://schemas.microsoft.com/office/drawing/2014/main" id="{6770478C-BDA3-2D78-9773-1AFFE4E62238}"/>
              </a:ext>
            </a:extLst>
          </xdr:cNvPr>
          <xdr:cNvCxnSpPr/>
        </xdr:nvCxnSpPr>
        <xdr:spPr>
          <a:xfrm>
            <a:off x="2752725"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 name="Gerader Verbinder 71">
            <a:extLst>
              <a:ext uri="{FF2B5EF4-FFF2-40B4-BE49-F238E27FC236}">
                <a16:creationId xmlns:a16="http://schemas.microsoft.com/office/drawing/2014/main" id="{537E26E7-4ECC-6397-6C43-D3CD59CD72A7}"/>
              </a:ext>
            </a:extLst>
          </xdr:cNvPr>
          <xdr:cNvCxnSpPr/>
        </xdr:nvCxnSpPr>
        <xdr:spPr>
          <a:xfrm flipH="1">
            <a:off x="2752725"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xdr:row>
      <xdr:rowOff>0</xdr:rowOff>
    </xdr:from>
    <xdr:to>
      <xdr:col>6</xdr:col>
      <xdr:colOff>0</xdr:colOff>
      <xdr:row>8</xdr:row>
      <xdr:rowOff>0</xdr:rowOff>
    </xdr:to>
    <xdr:grpSp>
      <xdr:nvGrpSpPr>
        <xdr:cNvPr id="76" name="Cross_F8">
          <a:extLst>
            <a:ext uri="{FF2B5EF4-FFF2-40B4-BE49-F238E27FC236}">
              <a16:creationId xmlns:a16="http://schemas.microsoft.com/office/drawing/2014/main" id="{B4CCA569-BC9D-5320-6A02-163060AF17D7}"/>
            </a:ext>
          </a:extLst>
        </xdr:cNvPr>
        <xdr:cNvGrpSpPr/>
      </xdr:nvGrpSpPr>
      <xdr:grpSpPr>
        <a:xfrm>
          <a:off x="3333750" y="1600200"/>
          <a:ext cx="581025" cy="228600"/>
          <a:chOff x="3333750" y="1600200"/>
          <a:chExt cx="581025" cy="228600"/>
        </a:xfrm>
      </xdr:grpSpPr>
      <xdr:cxnSp macro="">
        <xdr:nvCxnSpPr>
          <xdr:cNvPr id="74" name="Gerader Verbinder 73">
            <a:extLst>
              <a:ext uri="{FF2B5EF4-FFF2-40B4-BE49-F238E27FC236}">
                <a16:creationId xmlns:a16="http://schemas.microsoft.com/office/drawing/2014/main" id="{CD7253CD-7316-22BF-A507-64215954458D}"/>
              </a:ext>
            </a:extLst>
          </xdr:cNvPr>
          <xdr:cNvCxnSpPr/>
        </xdr:nvCxnSpPr>
        <xdr:spPr>
          <a:xfrm>
            <a:off x="333375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 name="Gerader Verbinder 74">
            <a:extLst>
              <a:ext uri="{FF2B5EF4-FFF2-40B4-BE49-F238E27FC236}">
                <a16:creationId xmlns:a16="http://schemas.microsoft.com/office/drawing/2014/main" id="{014DE168-9D05-B589-6F2C-AFDB7B34E01E}"/>
              </a:ext>
            </a:extLst>
          </xdr:cNvPr>
          <xdr:cNvCxnSpPr/>
        </xdr:nvCxnSpPr>
        <xdr:spPr>
          <a:xfrm flipH="1">
            <a:off x="333375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8</xdr:row>
      <xdr:rowOff>0</xdr:rowOff>
    </xdr:from>
    <xdr:to>
      <xdr:col>6</xdr:col>
      <xdr:colOff>0</xdr:colOff>
      <xdr:row>9</xdr:row>
      <xdr:rowOff>0</xdr:rowOff>
    </xdr:to>
    <xdr:grpSp>
      <xdr:nvGrpSpPr>
        <xdr:cNvPr id="79" name="Cross_F9">
          <a:extLst>
            <a:ext uri="{FF2B5EF4-FFF2-40B4-BE49-F238E27FC236}">
              <a16:creationId xmlns:a16="http://schemas.microsoft.com/office/drawing/2014/main" id="{A7984223-A99C-B933-143B-09EE3CEFE243}"/>
            </a:ext>
          </a:extLst>
        </xdr:cNvPr>
        <xdr:cNvGrpSpPr/>
      </xdr:nvGrpSpPr>
      <xdr:grpSpPr>
        <a:xfrm>
          <a:off x="3333750" y="1828800"/>
          <a:ext cx="581025" cy="228600"/>
          <a:chOff x="3333750" y="1828800"/>
          <a:chExt cx="581025" cy="228600"/>
        </a:xfrm>
      </xdr:grpSpPr>
      <xdr:cxnSp macro="">
        <xdr:nvCxnSpPr>
          <xdr:cNvPr id="77" name="Gerader Verbinder 76">
            <a:extLst>
              <a:ext uri="{FF2B5EF4-FFF2-40B4-BE49-F238E27FC236}">
                <a16:creationId xmlns:a16="http://schemas.microsoft.com/office/drawing/2014/main" id="{288DA250-89A9-A39D-4DFC-B90A2A60FC93}"/>
              </a:ext>
            </a:extLst>
          </xdr:cNvPr>
          <xdr:cNvCxnSpPr/>
        </xdr:nvCxnSpPr>
        <xdr:spPr>
          <a:xfrm>
            <a:off x="333375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8" name="Gerader Verbinder 77">
            <a:extLst>
              <a:ext uri="{FF2B5EF4-FFF2-40B4-BE49-F238E27FC236}">
                <a16:creationId xmlns:a16="http://schemas.microsoft.com/office/drawing/2014/main" id="{2984CDD0-E4B7-066A-0EE3-010690F8F332}"/>
              </a:ext>
            </a:extLst>
          </xdr:cNvPr>
          <xdr:cNvCxnSpPr/>
        </xdr:nvCxnSpPr>
        <xdr:spPr>
          <a:xfrm flipH="1">
            <a:off x="333375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82" name="Cross_F11">
          <a:extLst>
            <a:ext uri="{FF2B5EF4-FFF2-40B4-BE49-F238E27FC236}">
              <a16:creationId xmlns:a16="http://schemas.microsoft.com/office/drawing/2014/main" id="{EAC98609-E7FE-23FE-0846-32EA4D6CA0F2}"/>
            </a:ext>
          </a:extLst>
        </xdr:cNvPr>
        <xdr:cNvGrpSpPr/>
      </xdr:nvGrpSpPr>
      <xdr:grpSpPr>
        <a:xfrm>
          <a:off x="3333750" y="2286000"/>
          <a:ext cx="581025" cy="228600"/>
          <a:chOff x="3333750" y="2286000"/>
          <a:chExt cx="581025" cy="228600"/>
        </a:xfrm>
      </xdr:grpSpPr>
      <xdr:cxnSp macro="">
        <xdr:nvCxnSpPr>
          <xdr:cNvPr id="80" name="Gerader Verbinder 79">
            <a:extLst>
              <a:ext uri="{FF2B5EF4-FFF2-40B4-BE49-F238E27FC236}">
                <a16:creationId xmlns:a16="http://schemas.microsoft.com/office/drawing/2014/main" id="{F8D6B102-57A0-B728-58E1-B86DF0D59338}"/>
              </a:ext>
            </a:extLst>
          </xdr:cNvPr>
          <xdr:cNvCxnSpPr/>
        </xdr:nvCxnSpPr>
        <xdr:spPr>
          <a:xfrm>
            <a:off x="333375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1" name="Gerader Verbinder 80">
            <a:extLst>
              <a:ext uri="{FF2B5EF4-FFF2-40B4-BE49-F238E27FC236}">
                <a16:creationId xmlns:a16="http://schemas.microsoft.com/office/drawing/2014/main" id="{7A9C3136-5E5C-D60A-1E1C-E085894FCFC7}"/>
              </a:ext>
            </a:extLst>
          </xdr:cNvPr>
          <xdr:cNvCxnSpPr/>
        </xdr:nvCxnSpPr>
        <xdr:spPr>
          <a:xfrm flipH="1">
            <a:off x="333375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85" name="Cross_F14">
          <a:extLst>
            <a:ext uri="{FF2B5EF4-FFF2-40B4-BE49-F238E27FC236}">
              <a16:creationId xmlns:a16="http://schemas.microsoft.com/office/drawing/2014/main" id="{A224A841-0442-888D-A039-9169EAB28CCD}"/>
            </a:ext>
          </a:extLst>
        </xdr:cNvPr>
        <xdr:cNvGrpSpPr/>
      </xdr:nvGrpSpPr>
      <xdr:grpSpPr>
        <a:xfrm>
          <a:off x="3333750" y="2971800"/>
          <a:ext cx="581025" cy="228600"/>
          <a:chOff x="3333750" y="2971800"/>
          <a:chExt cx="581025" cy="228600"/>
        </a:xfrm>
      </xdr:grpSpPr>
      <xdr:cxnSp macro="">
        <xdr:nvCxnSpPr>
          <xdr:cNvPr id="83" name="Gerader Verbinder 82">
            <a:extLst>
              <a:ext uri="{FF2B5EF4-FFF2-40B4-BE49-F238E27FC236}">
                <a16:creationId xmlns:a16="http://schemas.microsoft.com/office/drawing/2014/main" id="{5A9AE7DE-F869-F13A-AD36-C4127CC5AA30}"/>
              </a:ext>
            </a:extLst>
          </xdr:cNvPr>
          <xdr:cNvCxnSpPr/>
        </xdr:nvCxnSpPr>
        <xdr:spPr>
          <a:xfrm>
            <a:off x="333375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4" name="Gerader Verbinder 83">
            <a:extLst>
              <a:ext uri="{FF2B5EF4-FFF2-40B4-BE49-F238E27FC236}">
                <a16:creationId xmlns:a16="http://schemas.microsoft.com/office/drawing/2014/main" id="{469FB03F-3435-4308-565F-6C8BB73C2E12}"/>
              </a:ext>
            </a:extLst>
          </xdr:cNvPr>
          <xdr:cNvCxnSpPr/>
        </xdr:nvCxnSpPr>
        <xdr:spPr>
          <a:xfrm flipH="1">
            <a:off x="333375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16</xdr:row>
      <xdr:rowOff>0</xdr:rowOff>
    </xdr:from>
    <xdr:to>
      <xdr:col>6</xdr:col>
      <xdr:colOff>0</xdr:colOff>
      <xdr:row>17</xdr:row>
      <xdr:rowOff>0</xdr:rowOff>
    </xdr:to>
    <xdr:grpSp>
      <xdr:nvGrpSpPr>
        <xdr:cNvPr id="88" name="Cross_F17">
          <a:extLst>
            <a:ext uri="{FF2B5EF4-FFF2-40B4-BE49-F238E27FC236}">
              <a16:creationId xmlns:a16="http://schemas.microsoft.com/office/drawing/2014/main" id="{29092F71-CB4B-7AAB-F8E1-EC5E97A50B37}"/>
            </a:ext>
          </a:extLst>
        </xdr:cNvPr>
        <xdr:cNvGrpSpPr/>
      </xdr:nvGrpSpPr>
      <xdr:grpSpPr>
        <a:xfrm>
          <a:off x="3333750" y="3657600"/>
          <a:ext cx="581025" cy="228600"/>
          <a:chOff x="3333750" y="3657600"/>
          <a:chExt cx="581025" cy="228600"/>
        </a:xfrm>
      </xdr:grpSpPr>
      <xdr:cxnSp macro="">
        <xdr:nvCxnSpPr>
          <xdr:cNvPr id="86" name="Gerader Verbinder 85">
            <a:extLst>
              <a:ext uri="{FF2B5EF4-FFF2-40B4-BE49-F238E27FC236}">
                <a16:creationId xmlns:a16="http://schemas.microsoft.com/office/drawing/2014/main" id="{DEBE47F8-AC84-C11D-0E12-6B99B114AE4F}"/>
              </a:ext>
            </a:extLst>
          </xdr:cNvPr>
          <xdr:cNvCxnSpPr/>
        </xdr:nvCxnSpPr>
        <xdr:spPr>
          <a:xfrm>
            <a:off x="333375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 name="Gerader Verbinder 86">
            <a:extLst>
              <a:ext uri="{FF2B5EF4-FFF2-40B4-BE49-F238E27FC236}">
                <a16:creationId xmlns:a16="http://schemas.microsoft.com/office/drawing/2014/main" id="{B8F26412-3510-909F-353E-2900C6316816}"/>
              </a:ext>
            </a:extLst>
          </xdr:cNvPr>
          <xdr:cNvCxnSpPr/>
        </xdr:nvCxnSpPr>
        <xdr:spPr>
          <a:xfrm flipH="1">
            <a:off x="333375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17</xdr:row>
      <xdr:rowOff>0</xdr:rowOff>
    </xdr:from>
    <xdr:to>
      <xdr:col>6</xdr:col>
      <xdr:colOff>0</xdr:colOff>
      <xdr:row>18</xdr:row>
      <xdr:rowOff>0</xdr:rowOff>
    </xdr:to>
    <xdr:grpSp>
      <xdr:nvGrpSpPr>
        <xdr:cNvPr id="91" name="Cross_F18">
          <a:extLst>
            <a:ext uri="{FF2B5EF4-FFF2-40B4-BE49-F238E27FC236}">
              <a16:creationId xmlns:a16="http://schemas.microsoft.com/office/drawing/2014/main" id="{43F80E24-9209-5113-D09B-D059C82FE995}"/>
            </a:ext>
          </a:extLst>
        </xdr:cNvPr>
        <xdr:cNvGrpSpPr/>
      </xdr:nvGrpSpPr>
      <xdr:grpSpPr>
        <a:xfrm>
          <a:off x="3333750" y="3886200"/>
          <a:ext cx="581025" cy="228600"/>
          <a:chOff x="3333750" y="3886200"/>
          <a:chExt cx="581025" cy="228600"/>
        </a:xfrm>
      </xdr:grpSpPr>
      <xdr:cxnSp macro="">
        <xdr:nvCxnSpPr>
          <xdr:cNvPr id="89" name="Gerader Verbinder 88">
            <a:extLst>
              <a:ext uri="{FF2B5EF4-FFF2-40B4-BE49-F238E27FC236}">
                <a16:creationId xmlns:a16="http://schemas.microsoft.com/office/drawing/2014/main" id="{2E840249-A9EF-E77E-40F2-1ECAD917FB1C}"/>
              </a:ext>
            </a:extLst>
          </xdr:cNvPr>
          <xdr:cNvCxnSpPr/>
        </xdr:nvCxnSpPr>
        <xdr:spPr>
          <a:xfrm>
            <a:off x="333375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 name="Gerader Verbinder 89">
            <a:extLst>
              <a:ext uri="{FF2B5EF4-FFF2-40B4-BE49-F238E27FC236}">
                <a16:creationId xmlns:a16="http://schemas.microsoft.com/office/drawing/2014/main" id="{6F87D2BB-B222-51C6-FB8E-93C20C889555}"/>
              </a:ext>
            </a:extLst>
          </xdr:cNvPr>
          <xdr:cNvCxnSpPr/>
        </xdr:nvCxnSpPr>
        <xdr:spPr>
          <a:xfrm flipH="1">
            <a:off x="333375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94" name="Cross_F19">
          <a:extLst>
            <a:ext uri="{FF2B5EF4-FFF2-40B4-BE49-F238E27FC236}">
              <a16:creationId xmlns:a16="http://schemas.microsoft.com/office/drawing/2014/main" id="{80B7B5E9-1714-B10E-3D28-59BCA15E92F9}"/>
            </a:ext>
          </a:extLst>
        </xdr:cNvPr>
        <xdr:cNvGrpSpPr/>
      </xdr:nvGrpSpPr>
      <xdr:grpSpPr>
        <a:xfrm>
          <a:off x="3333750" y="4114800"/>
          <a:ext cx="581025" cy="228600"/>
          <a:chOff x="3333750" y="4114800"/>
          <a:chExt cx="581025" cy="228600"/>
        </a:xfrm>
      </xdr:grpSpPr>
      <xdr:cxnSp macro="">
        <xdr:nvCxnSpPr>
          <xdr:cNvPr id="92" name="Gerader Verbinder 91">
            <a:extLst>
              <a:ext uri="{FF2B5EF4-FFF2-40B4-BE49-F238E27FC236}">
                <a16:creationId xmlns:a16="http://schemas.microsoft.com/office/drawing/2014/main" id="{D01EC755-FF33-0328-56F0-CA8948FB153D}"/>
              </a:ext>
            </a:extLst>
          </xdr:cNvPr>
          <xdr:cNvCxnSpPr/>
        </xdr:nvCxnSpPr>
        <xdr:spPr>
          <a:xfrm>
            <a:off x="3333750"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3" name="Gerader Verbinder 92">
            <a:extLst>
              <a:ext uri="{FF2B5EF4-FFF2-40B4-BE49-F238E27FC236}">
                <a16:creationId xmlns:a16="http://schemas.microsoft.com/office/drawing/2014/main" id="{5E697ADC-9054-7E95-3CDB-2313B7B3296F}"/>
              </a:ext>
            </a:extLst>
          </xdr:cNvPr>
          <xdr:cNvCxnSpPr/>
        </xdr:nvCxnSpPr>
        <xdr:spPr>
          <a:xfrm flipH="1">
            <a:off x="3333750"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97" name="Cross_F20">
          <a:extLst>
            <a:ext uri="{FF2B5EF4-FFF2-40B4-BE49-F238E27FC236}">
              <a16:creationId xmlns:a16="http://schemas.microsoft.com/office/drawing/2014/main" id="{90AFE959-531D-48B8-0492-35105D8E5056}"/>
            </a:ext>
          </a:extLst>
        </xdr:cNvPr>
        <xdr:cNvGrpSpPr/>
      </xdr:nvGrpSpPr>
      <xdr:grpSpPr>
        <a:xfrm>
          <a:off x="3333750" y="4343400"/>
          <a:ext cx="581025" cy="228600"/>
          <a:chOff x="3333750" y="4343400"/>
          <a:chExt cx="581025" cy="228600"/>
        </a:xfrm>
      </xdr:grpSpPr>
      <xdr:cxnSp macro="">
        <xdr:nvCxnSpPr>
          <xdr:cNvPr id="95" name="Gerader Verbinder 94">
            <a:extLst>
              <a:ext uri="{FF2B5EF4-FFF2-40B4-BE49-F238E27FC236}">
                <a16:creationId xmlns:a16="http://schemas.microsoft.com/office/drawing/2014/main" id="{EA6179B2-62DD-D4C1-AB73-EA50613CC6D0}"/>
              </a:ext>
            </a:extLst>
          </xdr:cNvPr>
          <xdr:cNvCxnSpPr/>
        </xdr:nvCxnSpPr>
        <xdr:spPr>
          <a:xfrm>
            <a:off x="333375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6" name="Gerader Verbinder 95">
            <a:extLst>
              <a:ext uri="{FF2B5EF4-FFF2-40B4-BE49-F238E27FC236}">
                <a16:creationId xmlns:a16="http://schemas.microsoft.com/office/drawing/2014/main" id="{479BBB11-66EB-B913-6B33-499D835ED227}"/>
              </a:ext>
            </a:extLst>
          </xdr:cNvPr>
          <xdr:cNvCxnSpPr/>
        </xdr:nvCxnSpPr>
        <xdr:spPr>
          <a:xfrm flipH="1">
            <a:off x="333375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22</xdr:row>
      <xdr:rowOff>0</xdr:rowOff>
    </xdr:from>
    <xdr:to>
      <xdr:col>6</xdr:col>
      <xdr:colOff>0</xdr:colOff>
      <xdr:row>23</xdr:row>
      <xdr:rowOff>0</xdr:rowOff>
    </xdr:to>
    <xdr:grpSp>
      <xdr:nvGrpSpPr>
        <xdr:cNvPr id="100" name="Cross_F23">
          <a:extLst>
            <a:ext uri="{FF2B5EF4-FFF2-40B4-BE49-F238E27FC236}">
              <a16:creationId xmlns:a16="http://schemas.microsoft.com/office/drawing/2014/main" id="{50D203CD-D319-DF28-C530-41AD861D8408}"/>
            </a:ext>
          </a:extLst>
        </xdr:cNvPr>
        <xdr:cNvGrpSpPr/>
      </xdr:nvGrpSpPr>
      <xdr:grpSpPr>
        <a:xfrm>
          <a:off x="3333750" y="5029200"/>
          <a:ext cx="581025" cy="228600"/>
          <a:chOff x="3333750" y="5029200"/>
          <a:chExt cx="581025" cy="228600"/>
        </a:xfrm>
      </xdr:grpSpPr>
      <xdr:cxnSp macro="">
        <xdr:nvCxnSpPr>
          <xdr:cNvPr id="98" name="Gerader Verbinder 97">
            <a:extLst>
              <a:ext uri="{FF2B5EF4-FFF2-40B4-BE49-F238E27FC236}">
                <a16:creationId xmlns:a16="http://schemas.microsoft.com/office/drawing/2014/main" id="{4E07CB85-8E66-647A-4772-05D43185F24C}"/>
              </a:ext>
            </a:extLst>
          </xdr:cNvPr>
          <xdr:cNvCxnSpPr/>
        </xdr:nvCxnSpPr>
        <xdr:spPr>
          <a:xfrm>
            <a:off x="333375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9" name="Gerader Verbinder 98">
            <a:extLst>
              <a:ext uri="{FF2B5EF4-FFF2-40B4-BE49-F238E27FC236}">
                <a16:creationId xmlns:a16="http://schemas.microsoft.com/office/drawing/2014/main" id="{56DF032D-3CF2-26A3-4330-F38C29093BB9}"/>
              </a:ext>
            </a:extLst>
          </xdr:cNvPr>
          <xdr:cNvCxnSpPr/>
        </xdr:nvCxnSpPr>
        <xdr:spPr>
          <a:xfrm flipH="1">
            <a:off x="333375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23</xdr:row>
      <xdr:rowOff>0</xdr:rowOff>
    </xdr:from>
    <xdr:to>
      <xdr:col>6</xdr:col>
      <xdr:colOff>0</xdr:colOff>
      <xdr:row>24</xdr:row>
      <xdr:rowOff>0</xdr:rowOff>
    </xdr:to>
    <xdr:grpSp>
      <xdr:nvGrpSpPr>
        <xdr:cNvPr id="103" name="Cross_F24">
          <a:extLst>
            <a:ext uri="{FF2B5EF4-FFF2-40B4-BE49-F238E27FC236}">
              <a16:creationId xmlns:a16="http://schemas.microsoft.com/office/drawing/2014/main" id="{1B73F280-1F2D-3881-2F29-D2929B5F5EF7}"/>
            </a:ext>
          </a:extLst>
        </xdr:cNvPr>
        <xdr:cNvGrpSpPr/>
      </xdr:nvGrpSpPr>
      <xdr:grpSpPr>
        <a:xfrm>
          <a:off x="3333750" y="5257800"/>
          <a:ext cx="581025" cy="228600"/>
          <a:chOff x="3333750" y="5257800"/>
          <a:chExt cx="581025" cy="228600"/>
        </a:xfrm>
      </xdr:grpSpPr>
      <xdr:cxnSp macro="">
        <xdr:nvCxnSpPr>
          <xdr:cNvPr id="101" name="Gerader Verbinder 100">
            <a:extLst>
              <a:ext uri="{FF2B5EF4-FFF2-40B4-BE49-F238E27FC236}">
                <a16:creationId xmlns:a16="http://schemas.microsoft.com/office/drawing/2014/main" id="{1101DC76-E3E3-2B7D-711F-AE4E5CE5BD8A}"/>
              </a:ext>
            </a:extLst>
          </xdr:cNvPr>
          <xdr:cNvCxnSpPr/>
        </xdr:nvCxnSpPr>
        <xdr:spPr>
          <a:xfrm>
            <a:off x="333375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 name="Gerader Verbinder 101">
            <a:extLst>
              <a:ext uri="{FF2B5EF4-FFF2-40B4-BE49-F238E27FC236}">
                <a16:creationId xmlns:a16="http://schemas.microsoft.com/office/drawing/2014/main" id="{F1725E9F-B9A0-CA00-DC44-A661B341BA1D}"/>
              </a:ext>
            </a:extLst>
          </xdr:cNvPr>
          <xdr:cNvCxnSpPr/>
        </xdr:nvCxnSpPr>
        <xdr:spPr>
          <a:xfrm flipH="1">
            <a:off x="333375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24</xdr:row>
      <xdr:rowOff>0</xdr:rowOff>
    </xdr:from>
    <xdr:to>
      <xdr:col>6</xdr:col>
      <xdr:colOff>0</xdr:colOff>
      <xdr:row>25</xdr:row>
      <xdr:rowOff>0</xdr:rowOff>
    </xdr:to>
    <xdr:grpSp>
      <xdr:nvGrpSpPr>
        <xdr:cNvPr id="106" name="Cross_F25">
          <a:extLst>
            <a:ext uri="{FF2B5EF4-FFF2-40B4-BE49-F238E27FC236}">
              <a16:creationId xmlns:a16="http://schemas.microsoft.com/office/drawing/2014/main" id="{39ED1A40-BD5D-FF86-79A1-8506506AC0BB}"/>
            </a:ext>
          </a:extLst>
        </xdr:cNvPr>
        <xdr:cNvGrpSpPr/>
      </xdr:nvGrpSpPr>
      <xdr:grpSpPr>
        <a:xfrm>
          <a:off x="3333750" y="5486400"/>
          <a:ext cx="581025" cy="228600"/>
          <a:chOff x="3333750" y="5486400"/>
          <a:chExt cx="581025" cy="228600"/>
        </a:xfrm>
      </xdr:grpSpPr>
      <xdr:cxnSp macro="">
        <xdr:nvCxnSpPr>
          <xdr:cNvPr id="104" name="Gerader Verbinder 103">
            <a:extLst>
              <a:ext uri="{FF2B5EF4-FFF2-40B4-BE49-F238E27FC236}">
                <a16:creationId xmlns:a16="http://schemas.microsoft.com/office/drawing/2014/main" id="{8F847C9E-B42D-367C-00F0-0DAFD83E7BA8}"/>
              </a:ext>
            </a:extLst>
          </xdr:cNvPr>
          <xdr:cNvCxnSpPr/>
        </xdr:nvCxnSpPr>
        <xdr:spPr>
          <a:xfrm>
            <a:off x="333375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 name="Gerader Verbinder 104">
            <a:extLst>
              <a:ext uri="{FF2B5EF4-FFF2-40B4-BE49-F238E27FC236}">
                <a16:creationId xmlns:a16="http://schemas.microsoft.com/office/drawing/2014/main" id="{5C28D454-22D6-986E-AF09-7607A4230D58}"/>
              </a:ext>
            </a:extLst>
          </xdr:cNvPr>
          <xdr:cNvCxnSpPr/>
        </xdr:nvCxnSpPr>
        <xdr:spPr>
          <a:xfrm flipH="1">
            <a:off x="333375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109" name="Cross_F28">
          <a:extLst>
            <a:ext uri="{FF2B5EF4-FFF2-40B4-BE49-F238E27FC236}">
              <a16:creationId xmlns:a16="http://schemas.microsoft.com/office/drawing/2014/main" id="{8B300D3A-D4B1-CC4C-37CE-5163458FC2F8}"/>
            </a:ext>
          </a:extLst>
        </xdr:cNvPr>
        <xdr:cNvGrpSpPr/>
      </xdr:nvGrpSpPr>
      <xdr:grpSpPr>
        <a:xfrm>
          <a:off x="3333750" y="6172200"/>
          <a:ext cx="581025" cy="228600"/>
          <a:chOff x="3333750" y="6172200"/>
          <a:chExt cx="581025" cy="228600"/>
        </a:xfrm>
      </xdr:grpSpPr>
      <xdr:cxnSp macro="">
        <xdr:nvCxnSpPr>
          <xdr:cNvPr id="107" name="Gerader Verbinder 106">
            <a:extLst>
              <a:ext uri="{FF2B5EF4-FFF2-40B4-BE49-F238E27FC236}">
                <a16:creationId xmlns:a16="http://schemas.microsoft.com/office/drawing/2014/main" id="{C4F3318E-8EF0-038B-168F-F907A57DD109}"/>
              </a:ext>
            </a:extLst>
          </xdr:cNvPr>
          <xdr:cNvCxnSpPr/>
        </xdr:nvCxnSpPr>
        <xdr:spPr>
          <a:xfrm>
            <a:off x="3333750"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 name="Gerader Verbinder 107">
            <a:extLst>
              <a:ext uri="{FF2B5EF4-FFF2-40B4-BE49-F238E27FC236}">
                <a16:creationId xmlns:a16="http://schemas.microsoft.com/office/drawing/2014/main" id="{29408F54-B8AC-F7E5-4803-8A1DCE521E55}"/>
              </a:ext>
            </a:extLst>
          </xdr:cNvPr>
          <xdr:cNvCxnSpPr/>
        </xdr:nvCxnSpPr>
        <xdr:spPr>
          <a:xfrm flipH="1">
            <a:off x="3333750"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112" name="Cross_F29">
          <a:extLst>
            <a:ext uri="{FF2B5EF4-FFF2-40B4-BE49-F238E27FC236}">
              <a16:creationId xmlns:a16="http://schemas.microsoft.com/office/drawing/2014/main" id="{680D2842-3DBB-7226-D152-982FBA2811AE}"/>
            </a:ext>
          </a:extLst>
        </xdr:cNvPr>
        <xdr:cNvGrpSpPr/>
      </xdr:nvGrpSpPr>
      <xdr:grpSpPr>
        <a:xfrm>
          <a:off x="3333750" y="6400800"/>
          <a:ext cx="581025" cy="228600"/>
          <a:chOff x="3333750" y="6400800"/>
          <a:chExt cx="581025" cy="228600"/>
        </a:xfrm>
      </xdr:grpSpPr>
      <xdr:cxnSp macro="">
        <xdr:nvCxnSpPr>
          <xdr:cNvPr id="110" name="Gerader Verbinder 109">
            <a:extLst>
              <a:ext uri="{FF2B5EF4-FFF2-40B4-BE49-F238E27FC236}">
                <a16:creationId xmlns:a16="http://schemas.microsoft.com/office/drawing/2014/main" id="{C58C5103-4933-9483-D961-37BB985E3EE7}"/>
              </a:ext>
            </a:extLst>
          </xdr:cNvPr>
          <xdr:cNvCxnSpPr/>
        </xdr:nvCxnSpPr>
        <xdr:spPr>
          <a:xfrm>
            <a:off x="333375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 name="Gerader Verbinder 110">
            <a:extLst>
              <a:ext uri="{FF2B5EF4-FFF2-40B4-BE49-F238E27FC236}">
                <a16:creationId xmlns:a16="http://schemas.microsoft.com/office/drawing/2014/main" id="{7E33C5BA-01FF-56DA-F1AC-D1F1FB4A8998}"/>
              </a:ext>
            </a:extLst>
          </xdr:cNvPr>
          <xdr:cNvCxnSpPr/>
        </xdr:nvCxnSpPr>
        <xdr:spPr>
          <a:xfrm flipH="1">
            <a:off x="333375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115" name="Cross_G7">
          <a:extLst>
            <a:ext uri="{FF2B5EF4-FFF2-40B4-BE49-F238E27FC236}">
              <a16:creationId xmlns:a16="http://schemas.microsoft.com/office/drawing/2014/main" id="{A61F1792-6749-0879-6142-A2135726AE90}"/>
            </a:ext>
          </a:extLst>
        </xdr:cNvPr>
        <xdr:cNvGrpSpPr/>
      </xdr:nvGrpSpPr>
      <xdr:grpSpPr>
        <a:xfrm>
          <a:off x="3914775" y="1371600"/>
          <a:ext cx="581025" cy="228600"/>
          <a:chOff x="3914775" y="1371600"/>
          <a:chExt cx="581025" cy="228600"/>
        </a:xfrm>
      </xdr:grpSpPr>
      <xdr:cxnSp macro="">
        <xdr:nvCxnSpPr>
          <xdr:cNvPr id="113" name="Gerader Verbinder 112">
            <a:extLst>
              <a:ext uri="{FF2B5EF4-FFF2-40B4-BE49-F238E27FC236}">
                <a16:creationId xmlns:a16="http://schemas.microsoft.com/office/drawing/2014/main" id="{91B5AC9C-EBE7-8A02-F712-E99C871302F4}"/>
              </a:ext>
            </a:extLst>
          </xdr:cNvPr>
          <xdr:cNvCxnSpPr/>
        </xdr:nvCxnSpPr>
        <xdr:spPr>
          <a:xfrm>
            <a:off x="391477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 name="Gerader Verbinder 113">
            <a:extLst>
              <a:ext uri="{FF2B5EF4-FFF2-40B4-BE49-F238E27FC236}">
                <a16:creationId xmlns:a16="http://schemas.microsoft.com/office/drawing/2014/main" id="{47FE6A57-5826-6C35-4A44-BC980EB0F62D}"/>
              </a:ext>
            </a:extLst>
          </xdr:cNvPr>
          <xdr:cNvCxnSpPr/>
        </xdr:nvCxnSpPr>
        <xdr:spPr>
          <a:xfrm flipH="1">
            <a:off x="391477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9</xdr:row>
      <xdr:rowOff>0</xdr:rowOff>
    </xdr:from>
    <xdr:to>
      <xdr:col>7</xdr:col>
      <xdr:colOff>0</xdr:colOff>
      <xdr:row>10</xdr:row>
      <xdr:rowOff>0</xdr:rowOff>
    </xdr:to>
    <xdr:grpSp>
      <xdr:nvGrpSpPr>
        <xdr:cNvPr id="118" name="Cross_G10">
          <a:extLst>
            <a:ext uri="{FF2B5EF4-FFF2-40B4-BE49-F238E27FC236}">
              <a16:creationId xmlns:a16="http://schemas.microsoft.com/office/drawing/2014/main" id="{921DD85E-B5B9-BB40-6963-428F83BE7638}"/>
            </a:ext>
          </a:extLst>
        </xdr:cNvPr>
        <xdr:cNvGrpSpPr/>
      </xdr:nvGrpSpPr>
      <xdr:grpSpPr>
        <a:xfrm>
          <a:off x="3914775" y="2057400"/>
          <a:ext cx="581025" cy="228600"/>
          <a:chOff x="3914775" y="2057400"/>
          <a:chExt cx="581025" cy="228600"/>
        </a:xfrm>
      </xdr:grpSpPr>
      <xdr:cxnSp macro="">
        <xdr:nvCxnSpPr>
          <xdr:cNvPr id="116" name="Gerader Verbinder 115">
            <a:extLst>
              <a:ext uri="{FF2B5EF4-FFF2-40B4-BE49-F238E27FC236}">
                <a16:creationId xmlns:a16="http://schemas.microsoft.com/office/drawing/2014/main" id="{0AD1B98A-4480-5F22-16D8-42C043BBB853}"/>
              </a:ext>
            </a:extLst>
          </xdr:cNvPr>
          <xdr:cNvCxnSpPr/>
        </xdr:nvCxnSpPr>
        <xdr:spPr>
          <a:xfrm>
            <a:off x="3914775"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 name="Gerader Verbinder 116">
            <a:extLst>
              <a:ext uri="{FF2B5EF4-FFF2-40B4-BE49-F238E27FC236}">
                <a16:creationId xmlns:a16="http://schemas.microsoft.com/office/drawing/2014/main" id="{5D91D78B-8668-5B60-AB57-564B835B2FF8}"/>
              </a:ext>
            </a:extLst>
          </xdr:cNvPr>
          <xdr:cNvCxnSpPr/>
        </xdr:nvCxnSpPr>
        <xdr:spPr>
          <a:xfrm flipH="1">
            <a:off x="3914775"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12</xdr:row>
      <xdr:rowOff>0</xdr:rowOff>
    </xdr:from>
    <xdr:to>
      <xdr:col>7</xdr:col>
      <xdr:colOff>0</xdr:colOff>
      <xdr:row>13</xdr:row>
      <xdr:rowOff>0</xdr:rowOff>
    </xdr:to>
    <xdr:grpSp>
      <xdr:nvGrpSpPr>
        <xdr:cNvPr id="121" name="Cross_G13">
          <a:extLst>
            <a:ext uri="{FF2B5EF4-FFF2-40B4-BE49-F238E27FC236}">
              <a16:creationId xmlns:a16="http://schemas.microsoft.com/office/drawing/2014/main" id="{0ED91906-B9E7-5079-EAF6-5D775F981D3E}"/>
            </a:ext>
          </a:extLst>
        </xdr:cNvPr>
        <xdr:cNvGrpSpPr/>
      </xdr:nvGrpSpPr>
      <xdr:grpSpPr>
        <a:xfrm>
          <a:off x="3914775" y="2743200"/>
          <a:ext cx="581025" cy="228600"/>
          <a:chOff x="3914775" y="2743200"/>
          <a:chExt cx="581025" cy="228600"/>
        </a:xfrm>
      </xdr:grpSpPr>
      <xdr:cxnSp macro="">
        <xdr:nvCxnSpPr>
          <xdr:cNvPr id="119" name="Gerader Verbinder 118">
            <a:extLst>
              <a:ext uri="{FF2B5EF4-FFF2-40B4-BE49-F238E27FC236}">
                <a16:creationId xmlns:a16="http://schemas.microsoft.com/office/drawing/2014/main" id="{46F3308B-D8EC-BDA1-588A-51E58585C194}"/>
              </a:ext>
            </a:extLst>
          </xdr:cNvPr>
          <xdr:cNvCxnSpPr/>
        </xdr:nvCxnSpPr>
        <xdr:spPr>
          <a:xfrm>
            <a:off x="3914775"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 name="Gerader Verbinder 119">
            <a:extLst>
              <a:ext uri="{FF2B5EF4-FFF2-40B4-BE49-F238E27FC236}">
                <a16:creationId xmlns:a16="http://schemas.microsoft.com/office/drawing/2014/main" id="{09A01447-DCEB-A856-0E26-5BDF17A3A8B6}"/>
              </a:ext>
            </a:extLst>
          </xdr:cNvPr>
          <xdr:cNvCxnSpPr/>
        </xdr:nvCxnSpPr>
        <xdr:spPr>
          <a:xfrm flipH="1">
            <a:off x="3914775"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14</xdr:row>
      <xdr:rowOff>0</xdr:rowOff>
    </xdr:from>
    <xdr:to>
      <xdr:col>7</xdr:col>
      <xdr:colOff>0</xdr:colOff>
      <xdr:row>15</xdr:row>
      <xdr:rowOff>0</xdr:rowOff>
    </xdr:to>
    <xdr:grpSp>
      <xdr:nvGrpSpPr>
        <xdr:cNvPr id="124" name="Cross_G15">
          <a:extLst>
            <a:ext uri="{FF2B5EF4-FFF2-40B4-BE49-F238E27FC236}">
              <a16:creationId xmlns:a16="http://schemas.microsoft.com/office/drawing/2014/main" id="{DFB61B63-EEAC-3411-8A98-8BC94F90A9BA}"/>
            </a:ext>
          </a:extLst>
        </xdr:cNvPr>
        <xdr:cNvGrpSpPr/>
      </xdr:nvGrpSpPr>
      <xdr:grpSpPr>
        <a:xfrm>
          <a:off x="3914775" y="3200400"/>
          <a:ext cx="581025" cy="228600"/>
          <a:chOff x="3914775" y="3200400"/>
          <a:chExt cx="581025" cy="228600"/>
        </a:xfrm>
      </xdr:grpSpPr>
      <xdr:cxnSp macro="">
        <xdr:nvCxnSpPr>
          <xdr:cNvPr id="122" name="Gerader Verbinder 121">
            <a:extLst>
              <a:ext uri="{FF2B5EF4-FFF2-40B4-BE49-F238E27FC236}">
                <a16:creationId xmlns:a16="http://schemas.microsoft.com/office/drawing/2014/main" id="{ABCD3B58-0FAC-5842-C3AD-445202D44EA9}"/>
              </a:ext>
            </a:extLst>
          </xdr:cNvPr>
          <xdr:cNvCxnSpPr/>
        </xdr:nvCxnSpPr>
        <xdr:spPr>
          <a:xfrm>
            <a:off x="3914775"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 name="Gerader Verbinder 122">
            <a:extLst>
              <a:ext uri="{FF2B5EF4-FFF2-40B4-BE49-F238E27FC236}">
                <a16:creationId xmlns:a16="http://schemas.microsoft.com/office/drawing/2014/main" id="{8F1FD28F-E2E7-2F29-2DF8-B94E98B16DFD}"/>
              </a:ext>
            </a:extLst>
          </xdr:cNvPr>
          <xdr:cNvCxnSpPr/>
        </xdr:nvCxnSpPr>
        <xdr:spPr>
          <a:xfrm flipH="1">
            <a:off x="3914775"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18</xdr:row>
      <xdr:rowOff>0</xdr:rowOff>
    </xdr:from>
    <xdr:to>
      <xdr:col>7</xdr:col>
      <xdr:colOff>0</xdr:colOff>
      <xdr:row>19</xdr:row>
      <xdr:rowOff>0</xdr:rowOff>
    </xdr:to>
    <xdr:grpSp>
      <xdr:nvGrpSpPr>
        <xdr:cNvPr id="127" name="Cross_G19">
          <a:extLst>
            <a:ext uri="{FF2B5EF4-FFF2-40B4-BE49-F238E27FC236}">
              <a16:creationId xmlns:a16="http://schemas.microsoft.com/office/drawing/2014/main" id="{704C3937-11DE-C21E-29ED-B83D7AFC95E2}"/>
            </a:ext>
          </a:extLst>
        </xdr:cNvPr>
        <xdr:cNvGrpSpPr/>
      </xdr:nvGrpSpPr>
      <xdr:grpSpPr>
        <a:xfrm>
          <a:off x="3914775" y="4114800"/>
          <a:ext cx="581025" cy="228600"/>
          <a:chOff x="3914775" y="4114800"/>
          <a:chExt cx="581025" cy="228600"/>
        </a:xfrm>
      </xdr:grpSpPr>
      <xdr:cxnSp macro="">
        <xdr:nvCxnSpPr>
          <xdr:cNvPr id="125" name="Gerader Verbinder 124">
            <a:extLst>
              <a:ext uri="{FF2B5EF4-FFF2-40B4-BE49-F238E27FC236}">
                <a16:creationId xmlns:a16="http://schemas.microsoft.com/office/drawing/2014/main" id="{5E16AA43-B33F-B228-FAB8-C080B927A908}"/>
              </a:ext>
            </a:extLst>
          </xdr:cNvPr>
          <xdr:cNvCxnSpPr/>
        </xdr:nvCxnSpPr>
        <xdr:spPr>
          <a:xfrm>
            <a:off x="391477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6" name="Gerader Verbinder 125">
            <a:extLst>
              <a:ext uri="{FF2B5EF4-FFF2-40B4-BE49-F238E27FC236}">
                <a16:creationId xmlns:a16="http://schemas.microsoft.com/office/drawing/2014/main" id="{AB2C1709-29F8-7F1E-675F-77250281503B}"/>
              </a:ext>
            </a:extLst>
          </xdr:cNvPr>
          <xdr:cNvCxnSpPr/>
        </xdr:nvCxnSpPr>
        <xdr:spPr>
          <a:xfrm flipH="1">
            <a:off x="391477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20</xdr:row>
      <xdr:rowOff>0</xdr:rowOff>
    </xdr:from>
    <xdr:to>
      <xdr:col>7</xdr:col>
      <xdr:colOff>0</xdr:colOff>
      <xdr:row>21</xdr:row>
      <xdr:rowOff>0</xdr:rowOff>
    </xdr:to>
    <xdr:grpSp>
      <xdr:nvGrpSpPr>
        <xdr:cNvPr id="130" name="Cross_G21">
          <a:extLst>
            <a:ext uri="{FF2B5EF4-FFF2-40B4-BE49-F238E27FC236}">
              <a16:creationId xmlns:a16="http://schemas.microsoft.com/office/drawing/2014/main" id="{BE2ABDD6-E745-21E0-60A9-F0255A815142}"/>
            </a:ext>
          </a:extLst>
        </xdr:cNvPr>
        <xdr:cNvGrpSpPr/>
      </xdr:nvGrpSpPr>
      <xdr:grpSpPr>
        <a:xfrm>
          <a:off x="3914775" y="4572000"/>
          <a:ext cx="581025" cy="228600"/>
          <a:chOff x="3914775" y="4572000"/>
          <a:chExt cx="581025" cy="228600"/>
        </a:xfrm>
      </xdr:grpSpPr>
      <xdr:cxnSp macro="">
        <xdr:nvCxnSpPr>
          <xdr:cNvPr id="128" name="Gerader Verbinder 127">
            <a:extLst>
              <a:ext uri="{FF2B5EF4-FFF2-40B4-BE49-F238E27FC236}">
                <a16:creationId xmlns:a16="http://schemas.microsoft.com/office/drawing/2014/main" id="{81362F2F-4EA2-312C-A0B1-EACE86A4AA71}"/>
              </a:ext>
            </a:extLst>
          </xdr:cNvPr>
          <xdr:cNvCxnSpPr/>
        </xdr:nvCxnSpPr>
        <xdr:spPr>
          <a:xfrm>
            <a:off x="3914775"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9" name="Gerader Verbinder 128">
            <a:extLst>
              <a:ext uri="{FF2B5EF4-FFF2-40B4-BE49-F238E27FC236}">
                <a16:creationId xmlns:a16="http://schemas.microsoft.com/office/drawing/2014/main" id="{ED32685E-2AEF-FFDC-5DC1-D9854E6E227A}"/>
              </a:ext>
            </a:extLst>
          </xdr:cNvPr>
          <xdr:cNvCxnSpPr/>
        </xdr:nvCxnSpPr>
        <xdr:spPr>
          <a:xfrm flipH="1">
            <a:off x="3914775"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133" name="Cross_G26">
          <a:extLst>
            <a:ext uri="{FF2B5EF4-FFF2-40B4-BE49-F238E27FC236}">
              <a16:creationId xmlns:a16="http://schemas.microsoft.com/office/drawing/2014/main" id="{DF7D2833-BC87-F4D2-2379-C1BE2138F373}"/>
            </a:ext>
          </a:extLst>
        </xdr:cNvPr>
        <xdr:cNvGrpSpPr/>
      </xdr:nvGrpSpPr>
      <xdr:grpSpPr>
        <a:xfrm>
          <a:off x="3914775" y="5715000"/>
          <a:ext cx="581025" cy="228600"/>
          <a:chOff x="3914775" y="5715000"/>
          <a:chExt cx="581025" cy="228600"/>
        </a:xfrm>
      </xdr:grpSpPr>
      <xdr:cxnSp macro="">
        <xdr:nvCxnSpPr>
          <xdr:cNvPr id="131" name="Gerader Verbinder 130">
            <a:extLst>
              <a:ext uri="{FF2B5EF4-FFF2-40B4-BE49-F238E27FC236}">
                <a16:creationId xmlns:a16="http://schemas.microsoft.com/office/drawing/2014/main" id="{3F65BFE2-35A2-90A2-79D9-D012789B6F9C}"/>
              </a:ext>
            </a:extLst>
          </xdr:cNvPr>
          <xdr:cNvCxnSpPr/>
        </xdr:nvCxnSpPr>
        <xdr:spPr>
          <a:xfrm>
            <a:off x="3914775"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2" name="Gerader Verbinder 131">
            <a:extLst>
              <a:ext uri="{FF2B5EF4-FFF2-40B4-BE49-F238E27FC236}">
                <a16:creationId xmlns:a16="http://schemas.microsoft.com/office/drawing/2014/main" id="{A1238832-2AB4-5EE1-1C07-4EEC7B2440A0}"/>
              </a:ext>
            </a:extLst>
          </xdr:cNvPr>
          <xdr:cNvCxnSpPr/>
        </xdr:nvCxnSpPr>
        <xdr:spPr>
          <a:xfrm flipH="1">
            <a:off x="3914775"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136" name="Cross_G27">
          <a:extLst>
            <a:ext uri="{FF2B5EF4-FFF2-40B4-BE49-F238E27FC236}">
              <a16:creationId xmlns:a16="http://schemas.microsoft.com/office/drawing/2014/main" id="{61E775CC-A731-3BDB-3425-C121F0B5BEC1}"/>
            </a:ext>
          </a:extLst>
        </xdr:cNvPr>
        <xdr:cNvGrpSpPr/>
      </xdr:nvGrpSpPr>
      <xdr:grpSpPr>
        <a:xfrm>
          <a:off x="3914775" y="5943600"/>
          <a:ext cx="581025" cy="228600"/>
          <a:chOff x="3914775" y="5943600"/>
          <a:chExt cx="581025" cy="228600"/>
        </a:xfrm>
      </xdr:grpSpPr>
      <xdr:cxnSp macro="">
        <xdr:nvCxnSpPr>
          <xdr:cNvPr id="134" name="Gerader Verbinder 133">
            <a:extLst>
              <a:ext uri="{FF2B5EF4-FFF2-40B4-BE49-F238E27FC236}">
                <a16:creationId xmlns:a16="http://schemas.microsoft.com/office/drawing/2014/main" id="{4541A64D-69B3-CE34-F468-D3FD8AE5BAC5}"/>
              </a:ext>
            </a:extLst>
          </xdr:cNvPr>
          <xdr:cNvCxnSpPr/>
        </xdr:nvCxnSpPr>
        <xdr:spPr>
          <a:xfrm>
            <a:off x="3914775"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5" name="Gerader Verbinder 134">
            <a:extLst>
              <a:ext uri="{FF2B5EF4-FFF2-40B4-BE49-F238E27FC236}">
                <a16:creationId xmlns:a16="http://schemas.microsoft.com/office/drawing/2014/main" id="{02E607DF-8FE4-D4C8-083C-D3DC0F6EF342}"/>
              </a:ext>
            </a:extLst>
          </xdr:cNvPr>
          <xdr:cNvCxnSpPr/>
        </xdr:nvCxnSpPr>
        <xdr:spPr>
          <a:xfrm flipH="1">
            <a:off x="3914775"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27</xdr:row>
      <xdr:rowOff>0</xdr:rowOff>
    </xdr:from>
    <xdr:to>
      <xdr:col>7</xdr:col>
      <xdr:colOff>0</xdr:colOff>
      <xdr:row>28</xdr:row>
      <xdr:rowOff>0</xdr:rowOff>
    </xdr:to>
    <xdr:grpSp>
      <xdr:nvGrpSpPr>
        <xdr:cNvPr id="139" name="Cross_G28">
          <a:extLst>
            <a:ext uri="{FF2B5EF4-FFF2-40B4-BE49-F238E27FC236}">
              <a16:creationId xmlns:a16="http://schemas.microsoft.com/office/drawing/2014/main" id="{18C2C907-16E6-FD93-FFD4-D708AFF1999F}"/>
            </a:ext>
          </a:extLst>
        </xdr:cNvPr>
        <xdr:cNvGrpSpPr/>
      </xdr:nvGrpSpPr>
      <xdr:grpSpPr>
        <a:xfrm>
          <a:off x="3914775" y="6172200"/>
          <a:ext cx="581025" cy="228600"/>
          <a:chOff x="3914775" y="6172200"/>
          <a:chExt cx="581025" cy="228600"/>
        </a:xfrm>
      </xdr:grpSpPr>
      <xdr:cxnSp macro="">
        <xdr:nvCxnSpPr>
          <xdr:cNvPr id="137" name="Gerader Verbinder 136">
            <a:extLst>
              <a:ext uri="{FF2B5EF4-FFF2-40B4-BE49-F238E27FC236}">
                <a16:creationId xmlns:a16="http://schemas.microsoft.com/office/drawing/2014/main" id="{D2E443A1-58DA-92E5-1936-E52513EDCAA7}"/>
              </a:ext>
            </a:extLst>
          </xdr:cNvPr>
          <xdr:cNvCxnSpPr/>
        </xdr:nvCxnSpPr>
        <xdr:spPr>
          <a:xfrm>
            <a:off x="391477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8" name="Gerader Verbinder 137">
            <a:extLst>
              <a:ext uri="{FF2B5EF4-FFF2-40B4-BE49-F238E27FC236}">
                <a16:creationId xmlns:a16="http://schemas.microsoft.com/office/drawing/2014/main" id="{C3963A98-7AA4-6036-292E-24E37ACF8446}"/>
              </a:ext>
            </a:extLst>
          </xdr:cNvPr>
          <xdr:cNvCxnSpPr/>
        </xdr:nvCxnSpPr>
        <xdr:spPr>
          <a:xfrm flipH="1">
            <a:off x="391477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142" name="Cross_H7">
          <a:extLst>
            <a:ext uri="{FF2B5EF4-FFF2-40B4-BE49-F238E27FC236}">
              <a16:creationId xmlns:a16="http://schemas.microsoft.com/office/drawing/2014/main" id="{500E05BA-AE4B-139C-87FF-C040D79984EB}"/>
            </a:ext>
          </a:extLst>
        </xdr:cNvPr>
        <xdr:cNvGrpSpPr/>
      </xdr:nvGrpSpPr>
      <xdr:grpSpPr>
        <a:xfrm>
          <a:off x="4495800" y="1371600"/>
          <a:ext cx="581025" cy="228600"/>
          <a:chOff x="4495800" y="1371600"/>
          <a:chExt cx="581025" cy="228600"/>
        </a:xfrm>
      </xdr:grpSpPr>
      <xdr:cxnSp macro="">
        <xdr:nvCxnSpPr>
          <xdr:cNvPr id="140" name="Gerader Verbinder 139">
            <a:extLst>
              <a:ext uri="{FF2B5EF4-FFF2-40B4-BE49-F238E27FC236}">
                <a16:creationId xmlns:a16="http://schemas.microsoft.com/office/drawing/2014/main" id="{DAD86F32-21AD-BF72-3025-813B4BF04D26}"/>
              </a:ext>
            </a:extLst>
          </xdr:cNvPr>
          <xdr:cNvCxnSpPr/>
        </xdr:nvCxnSpPr>
        <xdr:spPr>
          <a:xfrm>
            <a:off x="4495800"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1" name="Gerader Verbinder 140">
            <a:extLst>
              <a:ext uri="{FF2B5EF4-FFF2-40B4-BE49-F238E27FC236}">
                <a16:creationId xmlns:a16="http://schemas.microsoft.com/office/drawing/2014/main" id="{CFB0B7C5-A4F2-1C4A-EB3C-AC328A7F5FF6}"/>
              </a:ext>
            </a:extLst>
          </xdr:cNvPr>
          <xdr:cNvCxnSpPr/>
        </xdr:nvCxnSpPr>
        <xdr:spPr>
          <a:xfrm flipH="1">
            <a:off x="4495800"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145" name="Cross_H8">
          <a:extLst>
            <a:ext uri="{FF2B5EF4-FFF2-40B4-BE49-F238E27FC236}">
              <a16:creationId xmlns:a16="http://schemas.microsoft.com/office/drawing/2014/main" id="{2BE5805E-754D-9333-F302-D5BC8B1E2FCD}"/>
            </a:ext>
          </a:extLst>
        </xdr:cNvPr>
        <xdr:cNvGrpSpPr/>
      </xdr:nvGrpSpPr>
      <xdr:grpSpPr>
        <a:xfrm>
          <a:off x="4495800" y="1600200"/>
          <a:ext cx="581025" cy="228600"/>
          <a:chOff x="4495800" y="1600200"/>
          <a:chExt cx="581025" cy="228600"/>
        </a:xfrm>
      </xdr:grpSpPr>
      <xdr:cxnSp macro="">
        <xdr:nvCxnSpPr>
          <xdr:cNvPr id="143" name="Gerader Verbinder 142">
            <a:extLst>
              <a:ext uri="{FF2B5EF4-FFF2-40B4-BE49-F238E27FC236}">
                <a16:creationId xmlns:a16="http://schemas.microsoft.com/office/drawing/2014/main" id="{3A2B8101-6573-F4A9-CAB1-67AC8DD79B75}"/>
              </a:ext>
            </a:extLst>
          </xdr:cNvPr>
          <xdr:cNvCxnSpPr/>
        </xdr:nvCxnSpPr>
        <xdr:spPr>
          <a:xfrm>
            <a:off x="449580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4" name="Gerader Verbinder 143">
            <a:extLst>
              <a:ext uri="{FF2B5EF4-FFF2-40B4-BE49-F238E27FC236}">
                <a16:creationId xmlns:a16="http://schemas.microsoft.com/office/drawing/2014/main" id="{1930BE16-A18B-552A-C9FA-82F56ADBA99A}"/>
              </a:ext>
            </a:extLst>
          </xdr:cNvPr>
          <xdr:cNvCxnSpPr/>
        </xdr:nvCxnSpPr>
        <xdr:spPr>
          <a:xfrm flipH="1">
            <a:off x="449580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148" name="Cross_H10">
          <a:extLst>
            <a:ext uri="{FF2B5EF4-FFF2-40B4-BE49-F238E27FC236}">
              <a16:creationId xmlns:a16="http://schemas.microsoft.com/office/drawing/2014/main" id="{E9AFF284-B5C0-6283-694D-897BF7994425}"/>
            </a:ext>
          </a:extLst>
        </xdr:cNvPr>
        <xdr:cNvGrpSpPr/>
      </xdr:nvGrpSpPr>
      <xdr:grpSpPr>
        <a:xfrm>
          <a:off x="4495800" y="2057400"/>
          <a:ext cx="581025" cy="228600"/>
          <a:chOff x="4495800" y="2057400"/>
          <a:chExt cx="581025" cy="228600"/>
        </a:xfrm>
      </xdr:grpSpPr>
      <xdr:cxnSp macro="">
        <xdr:nvCxnSpPr>
          <xdr:cNvPr id="146" name="Gerader Verbinder 145">
            <a:extLst>
              <a:ext uri="{FF2B5EF4-FFF2-40B4-BE49-F238E27FC236}">
                <a16:creationId xmlns:a16="http://schemas.microsoft.com/office/drawing/2014/main" id="{210A790E-3DA3-16BC-EE60-CFD910299156}"/>
              </a:ext>
            </a:extLst>
          </xdr:cNvPr>
          <xdr:cNvCxnSpPr/>
        </xdr:nvCxnSpPr>
        <xdr:spPr>
          <a:xfrm>
            <a:off x="4495800"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7" name="Gerader Verbinder 146">
            <a:extLst>
              <a:ext uri="{FF2B5EF4-FFF2-40B4-BE49-F238E27FC236}">
                <a16:creationId xmlns:a16="http://schemas.microsoft.com/office/drawing/2014/main" id="{CA3AE0C0-8894-9F99-4449-1E05FB1C6C8F}"/>
              </a:ext>
            </a:extLst>
          </xdr:cNvPr>
          <xdr:cNvCxnSpPr/>
        </xdr:nvCxnSpPr>
        <xdr:spPr>
          <a:xfrm flipH="1">
            <a:off x="4495800"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151" name="Cross_H11">
          <a:extLst>
            <a:ext uri="{FF2B5EF4-FFF2-40B4-BE49-F238E27FC236}">
              <a16:creationId xmlns:a16="http://schemas.microsoft.com/office/drawing/2014/main" id="{3A7689C2-E568-21B5-C57E-68D5E0DB9AE1}"/>
            </a:ext>
          </a:extLst>
        </xdr:cNvPr>
        <xdr:cNvGrpSpPr/>
      </xdr:nvGrpSpPr>
      <xdr:grpSpPr>
        <a:xfrm>
          <a:off x="4495800" y="2286000"/>
          <a:ext cx="581025" cy="228600"/>
          <a:chOff x="4495800" y="2286000"/>
          <a:chExt cx="581025" cy="228600"/>
        </a:xfrm>
      </xdr:grpSpPr>
      <xdr:cxnSp macro="">
        <xdr:nvCxnSpPr>
          <xdr:cNvPr id="149" name="Gerader Verbinder 148">
            <a:extLst>
              <a:ext uri="{FF2B5EF4-FFF2-40B4-BE49-F238E27FC236}">
                <a16:creationId xmlns:a16="http://schemas.microsoft.com/office/drawing/2014/main" id="{764A045D-54C1-9C7D-EDB3-FF8644980A30}"/>
              </a:ext>
            </a:extLst>
          </xdr:cNvPr>
          <xdr:cNvCxnSpPr/>
        </xdr:nvCxnSpPr>
        <xdr:spPr>
          <a:xfrm>
            <a:off x="449580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0" name="Gerader Verbinder 149">
            <a:extLst>
              <a:ext uri="{FF2B5EF4-FFF2-40B4-BE49-F238E27FC236}">
                <a16:creationId xmlns:a16="http://schemas.microsoft.com/office/drawing/2014/main" id="{04F1E74E-254C-18B6-1814-9DEECAFF6AAC}"/>
              </a:ext>
            </a:extLst>
          </xdr:cNvPr>
          <xdr:cNvCxnSpPr/>
        </xdr:nvCxnSpPr>
        <xdr:spPr>
          <a:xfrm flipH="1">
            <a:off x="449580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154" name="Cross_H12">
          <a:extLst>
            <a:ext uri="{FF2B5EF4-FFF2-40B4-BE49-F238E27FC236}">
              <a16:creationId xmlns:a16="http://schemas.microsoft.com/office/drawing/2014/main" id="{54A13B1F-32DA-180A-A57B-2C7882084933}"/>
            </a:ext>
          </a:extLst>
        </xdr:cNvPr>
        <xdr:cNvGrpSpPr/>
      </xdr:nvGrpSpPr>
      <xdr:grpSpPr>
        <a:xfrm>
          <a:off x="4495800" y="2514600"/>
          <a:ext cx="581025" cy="228600"/>
          <a:chOff x="4495800" y="2514600"/>
          <a:chExt cx="581025" cy="228600"/>
        </a:xfrm>
      </xdr:grpSpPr>
      <xdr:cxnSp macro="">
        <xdr:nvCxnSpPr>
          <xdr:cNvPr id="152" name="Gerader Verbinder 151">
            <a:extLst>
              <a:ext uri="{FF2B5EF4-FFF2-40B4-BE49-F238E27FC236}">
                <a16:creationId xmlns:a16="http://schemas.microsoft.com/office/drawing/2014/main" id="{2EEB01C5-59DE-3017-67D7-5C88DD6738A6}"/>
              </a:ext>
            </a:extLst>
          </xdr:cNvPr>
          <xdr:cNvCxnSpPr/>
        </xdr:nvCxnSpPr>
        <xdr:spPr>
          <a:xfrm>
            <a:off x="44958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3" name="Gerader Verbinder 152">
            <a:extLst>
              <a:ext uri="{FF2B5EF4-FFF2-40B4-BE49-F238E27FC236}">
                <a16:creationId xmlns:a16="http://schemas.microsoft.com/office/drawing/2014/main" id="{41D6237B-195D-921D-C82D-74765C57BD11}"/>
              </a:ext>
            </a:extLst>
          </xdr:cNvPr>
          <xdr:cNvCxnSpPr/>
        </xdr:nvCxnSpPr>
        <xdr:spPr>
          <a:xfrm flipH="1">
            <a:off x="44958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14</xdr:row>
      <xdr:rowOff>0</xdr:rowOff>
    </xdr:from>
    <xdr:to>
      <xdr:col>8</xdr:col>
      <xdr:colOff>0</xdr:colOff>
      <xdr:row>15</xdr:row>
      <xdr:rowOff>0</xdr:rowOff>
    </xdr:to>
    <xdr:grpSp>
      <xdr:nvGrpSpPr>
        <xdr:cNvPr id="157" name="Cross_H15">
          <a:extLst>
            <a:ext uri="{FF2B5EF4-FFF2-40B4-BE49-F238E27FC236}">
              <a16:creationId xmlns:a16="http://schemas.microsoft.com/office/drawing/2014/main" id="{04C4CB96-6B2E-CA60-E8F0-2F899CD0538A}"/>
            </a:ext>
          </a:extLst>
        </xdr:cNvPr>
        <xdr:cNvGrpSpPr/>
      </xdr:nvGrpSpPr>
      <xdr:grpSpPr>
        <a:xfrm>
          <a:off x="4495800" y="3200400"/>
          <a:ext cx="581025" cy="228600"/>
          <a:chOff x="4495800" y="3200400"/>
          <a:chExt cx="581025" cy="228600"/>
        </a:xfrm>
      </xdr:grpSpPr>
      <xdr:cxnSp macro="">
        <xdr:nvCxnSpPr>
          <xdr:cNvPr id="155" name="Gerader Verbinder 154">
            <a:extLst>
              <a:ext uri="{FF2B5EF4-FFF2-40B4-BE49-F238E27FC236}">
                <a16:creationId xmlns:a16="http://schemas.microsoft.com/office/drawing/2014/main" id="{F638E188-9F8C-8167-7085-7C71BCE6FF63}"/>
              </a:ext>
            </a:extLst>
          </xdr:cNvPr>
          <xdr:cNvCxnSpPr/>
        </xdr:nvCxnSpPr>
        <xdr:spPr>
          <a:xfrm>
            <a:off x="4495800"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6" name="Gerader Verbinder 155">
            <a:extLst>
              <a:ext uri="{FF2B5EF4-FFF2-40B4-BE49-F238E27FC236}">
                <a16:creationId xmlns:a16="http://schemas.microsoft.com/office/drawing/2014/main" id="{D328F0AD-A31A-0A6B-9ED8-8DA22363BF98}"/>
              </a:ext>
            </a:extLst>
          </xdr:cNvPr>
          <xdr:cNvCxnSpPr/>
        </xdr:nvCxnSpPr>
        <xdr:spPr>
          <a:xfrm flipH="1">
            <a:off x="4495800"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160" name="Cross_H16">
          <a:extLst>
            <a:ext uri="{FF2B5EF4-FFF2-40B4-BE49-F238E27FC236}">
              <a16:creationId xmlns:a16="http://schemas.microsoft.com/office/drawing/2014/main" id="{172411D7-0999-AC7D-F1A6-40D5F0E52D9A}"/>
            </a:ext>
          </a:extLst>
        </xdr:cNvPr>
        <xdr:cNvGrpSpPr/>
      </xdr:nvGrpSpPr>
      <xdr:grpSpPr>
        <a:xfrm>
          <a:off x="4495800" y="3429000"/>
          <a:ext cx="581025" cy="228600"/>
          <a:chOff x="4495800" y="3429000"/>
          <a:chExt cx="581025" cy="228600"/>
        </a:xfrm>
      </xdr:grpSpPr>
      <xdr:cxnSp macro="">
        <xdr:nvCxnSpPr>
          <xdr:cNvPr id="158" name="Gerader Verbinder 157">
            <a:extLst>
              <a:ext uri="{FF2B5EF4-FFF2-40B4-BE49-F238E27FC236}">
                <a16:creationId xmlns:a16="http://schemas.microsoft.com/office/drawing/2014/main" id="{B7F9F9D4-2009-56F8-9942-B200428EA1D1}"/>
              </a:ext>
            </a:extLst>
          </xdr:cNvPr>
          <xdr:cNvCxnSpPr/>
        </xdr:nvCxnSpPr>
        <xdr:spPr>
          <a:xfrm>
            <a:off x="44958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9" name="Gerader Verbinder 158">
            <a:extLst>
              <a:ext uri="{FF2B5EF4-FFF2-40B4-BE49-F238E27FC236}">
                <a16:creationId xmlns:a16="http://schemas.microsoft.com/office/drawing/2014/main" id="{B2E3975F-E77B-D5D5-D7B2-560DB329CBC6}"/>
              </a:ext>
            </a:extLst>
          </xdr:cNvPr>
          <xdr:cNvCxnSpPr/>
        </xdr:nvCxnSpPr>
        <xdr:spPr>
          <a:xfrm flipH="1">
            <a:off x="44958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163" name="Cross_H17">
          <a:extLst>
            <a:ext uri="{FF2B5EF4-FFF2-40B4-BE49-F238E27FC236}">
              <a16:creationId xmlns:a16="http://schemas.microsoft.com/office/drawing/2014/main" id="{3C73CCD4-1B08-CE41-184B-C559B13EB009}"/>
            </a:ext>
          </a:extLst>
        </xdr:cNvPr>
        <xdr:cNvGrpSpPr/>
      </xdr:nvGrpSpPr>
      <xdr:grpSpPr>
        <a:xfrm>
          <a:off x="4495800" y="3657600"/>
          <a:ext cx="581025" cy="228600"/>
          <a:chOff x="4495800" y="3657600"/>
          <a:chExt cx="581025" cy="228600"/>
        </a:xfrm>
      </xdr:grpSpPr>
      <xdr:cxnSp macro="">
        <xdr:nvCxnSpPr>
          <xdr:cNvPr id="161" name="Gerader Verbinder 160">
            <a:extLst>
              <a:ext uri="{FF2B5EF4-FFF2-40B4-BE49-F238E27FC236}">
                <a16:creationId xmlns:a16="http://schemas.microsoft.com/office/drawing/2014/main" id="{F5F88430-52FE-EF3E-A1B6-B65C9D852523}"/>
              </a:ext>
            </a:extLst>
          </xdr:cNvPr>
          <xdr:cNvCxnSpPr/>
        </xdr:nvCxnSpPr>
        <xdr:spPr>
          <a:xfrm>
            <a:off x="449580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2" name="Gerader Verbinder 161">
            <a:extLst>
              <a:ext uri="{FF2B5EF4-FFF2-40B4-BE49-F238E27FC236}">
                <a16:creationId xmlns:a16="http://schemas.microsoft.com/office/drawing/2014/main" id="{5EC1F92C-C9C6-597F-B472-209F0BCB4F9E}"/>
              </a:ext>
            </a:extLst>
          </xdr:cNvPr>
          <xdr:cNvCxnSpPr/>
        </xdr:nvCxnSpPr>
        <xdr:spPr>
          <a:xfrm flipH="1">
            <a:off x="449580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166" name="Cross_H18">
          <a:extLst>
            <a:ext uri="{FF2B5EF4-FFF2-40B4-BE49-F238E27FC236}">
              <a16:creationId xmlns:a16="http://schemas.microsoft.com/office/drawing/2014/main" id="{65B7C99A-3161-CE52-CC60-47AE92435F57}"/>
            </a:ext>
          </a:extLst>
        </xdr:cNvPr>
        <xdr:cNvGrpSpPr/>
      </xdr:nvGrpSpPr>
      <xdr:grpSpPr>
        <a:xfrm>
          <a:off x="4495800" y="3886200"/>
          <a:ext cx="581025" cy="228600"/>
          <a:chOff x="4495800" y="3886200"/>
          <a:chExt cx="581025" cy="228600"/>
        </a:xfrm>
      </xdr:grpSpPr>
      <xdr:cxnSp macro="">
        <xdr:nvCxnSpPr>
          <xdr:cNvPr id="164" name="Gerader Verbinder 163">
            <a:extLst>
              <a:ext uri="{FF2B5EF4-FFF2-40B4-BE49-F238E27FC236}">
                <a16:creationId xmlns:a16="http://schemas.microsoft.com/office/drawing/2014/main" id="{A9A52089-82B3-602B-BA7D-C69314255115}"/>
              </a:ext>
            </a:extLst>
          </xdr:cNvPr>
          <xdr:cNvCxnSpPr/>
        </xdr:nvCxnSpPr>
        <xdr:spPr>
          <a:xfrm>
            <a:off x="449580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5" name="Gerader Verbinder 164">
            <a:extLst>
              <a:ext uri="{FF2B5EF4-FFF2-40B4-BE49-F238E27FC236}">
                <a16:creationId xmlns:a16="http://schemas.microsoft.com/office/drawing/2014/main" id="{C3D17B31-B752-B9C7-5DE4-0F4BE832EB7E}"/>
              </a:ext>
            </a:extLst>
          </xdr:cNvPr>
          <xdr:cNvCxnSpPr/>
        </xdr:nvCxnSpPr>
        <xdr:spPr>
          <a:xfrm flipH="1">
            <a:off x="449580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169" name="Cross_H22">
          <a:extLst>
            <a:ext uri="{FF2B5EF4-FFF2-40B4-BE49-F238E27FC236}">
              <a16:creationId xmlns:a16="http://schemas.microsoft.com/office/drawing/2014/main" id="{509F179C-3C3F-BD2C-FBAC-1293AC7EED8E}"/>
            </a:ext>
          </a:extLst>
        </xdr:cNvPr>
        <xdr:cNvGrpSpPr/>
      </xdr:nvGrpSpPr>
      <xdr:grpSpPr>
        <a:xfrm>
          <a:off x="4495800" y="4800600"/>
          <a:ext cx="581025" cy="228600"/>
          <a:chOff x="4495800" y="4800600"/>
          <a:chExt cx="581025" cy="228600"/>
        </a:xfrm>
      </xdr:grpSpPr>
      <xdr:cxnSp macro="">
        <xdr:nvCxnSpPr>
          <xdr:cNvPr id="167" name="Gerader Verbinder 166">
            <a:extLst>
              <a:ext uri="{FF2B5EF4-FFF2-40B4-BE49-F238E27FC236}">
                <a16:creationId xmlns:a16="http://schemas.microsoft.com/office/drawing/2014/main" id="{D169F2A7-A85B-5B01-AE05-4852A3A6FE39}"/>
              </a:ext>
            </a:extLst>
          </xdr:cNvPr>
          <xdr:cNvCxnSpPr/>
        </xdr:nvCxnSpPr>
        <xdr:spPr>
          <a:xfrm>
            <a:off x="44958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8" name="Gerader Verbinder 167">
            <a:extLst>
              <a:ext uri="{FF2B5EF4-FFF2-40B4-BE49-F238E27FC236}">
                <a16:creationId xmlns:a16="http://schemas.microsoft.com/office/drawing/2014/main" id="{E44AEF05-EB2C-5E6B-DFF8-C5C41978774B}"/>
              </a:ext>
            </a:extLst>
          </xdr:cNvPr>
          <xdr:cNvCxnSpPr/>
        </xdr:nvCxnSpPr>
        <xdr:spPr>
          <a:xfrm flipH="1">
            <a:off x="44958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172" name="Cross_H23">
          <a:extLst>
            <a:ext uri="{FF2B5EF4-FFF2-40B4-BE49-F238E27FC236}">
              <a16:creationId xmlns:a16="http://schemas.microsoft.com/office/drawing/2014/main" id="{24541C60-D25D-9F7E-F35D-37BED72CCDC9}"/>
            </a:ext>
          </a:extLst>
        </xdr:cNvPr>
        <xdr:cNvGrpSpPr/>
      </xdr:nvGrpSpPr>
      <xdr:grpSpPr>
        <a:xfrm>
          <a:off x="4495800" y="5029200"/>
          <a:ext cx="581025" cy="228600"/>
          <a:chOff x="4495800" y="5029200"/>
          <a:chExt cx="581025" cy="228600"/>
        </a:xfrm>
      </xdr:grpSpPr>
      <xdr:cxnSp macro="">
        <xdr:nvCxnSpPr>
          <xdr:cNvPr id="170" name="Gerader Verbinder 169">
            <a:extLst>
              <a:ext uri="{FF2B5EF4-FFF2-40B4-BE49-F238E27FC236}">
                <a16:creationId xmlns:a16="http://schemas.microsoft.com/office/drawing/2014/main" id="{B4BCD33A-C6C4-C4ED-E9AC-8081025996FB}"/>
              </a:ext>
            </a:extLst>
          </xdr:cNvPr>
          <xdr:cNvCxnSpPr/>
        </xdr:nvCxnSpPr>
        <xdr:spPr>
          <a:xfrm>
            <a:off x="449580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1" name="Gerader Verbinder 170">
            <a:extLst>
              <a:ext uri="{FF2B5EF4-FFF2-40B4-BE49-F238E27FC236}">
                <a16:creationId xmlns:a16="http://schemas.microsoft.com/office/drawing/2014/main" id="{B4DC777D-537D-EA25-222A-47CC23C49617}"/>
              </a:ext>
            </a:extLst>
          </xdr:cNvPr>
          <xdr:cNvCxnSpPr/>
        </xdr:nvCxnSpPr>
        <xdr:spPr>
          <a:xfrm flipH="1">
            <a:off x="449580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25</xdr:row>
      <xdr:rowOff>0</xdr:rowOff>
    </xdr:from>
    <xdr:to>
      <xdr:col>8</xdr:col>
      <xdr:colOff>0</xdr:colOff>
      <xdr:row>26</xdr:row>
      <xdr:rowOff>0</xdr:rowOff>
    </xdr:to>
    <xdr:grpSp>
      <xdr:nvGrpSpPr>
        <xdr:cNvPr id="175" name="Cross_H26">
          <a:extLst>
            <a:ext uri="{FF2B5EF4-FFF2-40B4-BE49-F238E27FC236}">
              <a16:creationId xmlns:a16="http://schemas.microsoft.com/office/drawing/2014/main" id="{C1BA3A82-A67C-12E9-781D-4D348961EC00}"/>
            </a:ext>
          </a:extLst>
        </xdr:cNvPr>
        <xdr:cNvGrpSpPr/>
      </xdr:nvGrpSpPr>
      <xdr:grpSpPr>
        <a:xfrm>
          <a:off x="4495800" y="5715000"/>
          <a:ext cx="581025" cy="228600"/>
          <a:chOff x="4495800" y="5715000"/>
          <a:chExt cx="581025" cy="228600"/>
        </a:xfrm>
      </xdr:grpSpPr>
      <xdr:cxnSp macro="">
        <xdr:nvCxnSpPr>
          <xdr:cNvPr id="173" name="Gerader Verbinder 172">
            <a:extLst>
              <a:ext uri="{FF2B5EF4-FFF2-40B4-BE49-F238E27FC236}">
                <a16:creationId xmlns:a16="http://schemas.microsoft.com/office/drawing/2014/main" id="{EDB24A97-C41D-9C53-637A-37921D3EA3F3}"/>
              </a:ext>
            </a:extLst>
          </xdr:cNvPr>
          <xdr:cNvCxnSpPr/>
        </xdr:nvCxnSpPr>
        <xdr:spPr>
          <a:xfrm>
            <a:off x="4495800"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4" name="Gerader Verbinder 173">
            <a:extLst>
              <a:ext uri="{FF2B5EF4-FFF2-40B4-BE49-F238E27FC236}">
                <a16:creationId xmlns:a16="http://schemas.microsoft.com/office/drawing/2014/main" id="{32444BA0-36D4-AAB3-3705-6341A4B8E399}"/>
              </a:ext>
            </a:extLst>
          </xdr:cNvPr>
          <xdr:cNvCxnSpPr/>
        </xdr:nvCxnSpPr>
        <xdr:spPr>
          <a:xfrm flipH="1">
            <a:off x="4495800"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26</xdr:row>
      <xdr:rowOff>0</xdr:rowOff>
    </xdr:from>
    <xdr:to>
      <xdr:col>8</xdr:col>
      <xdr:colOff>0</xdr:colOff>
      <xdr:row>27</xdr:row>
      <xdr:rowOff>0</xdr:rowOff>
    </xdr:to>
    <xdr:grpSp>
      <xdr:nvGrpSpPr>
        <xdr:cNvPr id="178" name="Cross_H27">
          <a:extLst>
            <a:ext uri="{FF2B5EF4-FFF2-40B4-BE49-F238E27FC236}">
              <a16:creationId xmlns:a16="http://schemas.microsoft.com/office/drawing/2014/main" id="{ECF44C0E-991D-335E-60E2-E068882671CC}"/>
            </a:ext>
          </a:extLst>
        </xdr:cNvPr>
        <xdr:cNvGrpSpPr/>
      </xdr:nvGrpSpPr>
      <xdr:grpSpPr>
        <a:xfrm>
          <a:off x="4495800" y="5943600"/>
          <a:ext cx="581025" cy="228600"/>
          <a:chOff x="4495800" y="5943600"/>
          <a:chExt cx="581025" cy="228600"/>
        </a:xfrm>
      </xdr:grpSpPr>
      <xdr:cxnSp macro="">
        <xdr:nvCxnSpPr>
          <xdr:cNvPr id="176" name="Gerader Verbinder 175">
            <a:extLst>
              <a:ext uri="{FF2B5EF4-FFF2-40B4-BE49-F238E27FC236}">
                <a16:creationId xmlns:a16="http://schemas.microsoft.com/office/drawing/2014/main" id="{B3BE68F6-1285-90E3-5BC0-152813B30673}"/>
              </a:ext>
            </a:extLst>
          </xdr:cNvPr>
          <xdr:cNvCxnSpPr/>
        </xdr:nvCxnSpPr>
        <xdr:spPr>
          <a:xfrm>
            <a:off x="4495800"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7" name="Gerader Verbinder 176">
            <a:extLst>
              <a:ext uri="{FF2B5EF4-FFF2-40B4-BE49-F238E27FC236}">
                <a16:creationId xmlns:a16="http://schemas.microsoft.com/office/drawing/2014/main" id="{35D3415B-4351-9FBB-C9DB-218570FC6E7B}"/>
              </a:ext>
            </a:extLst>
          </xdr:cNvPr>
          <xdr:cNvCxnSpPr/>
        </xdr:nvCxnSpPr>
        <xdr:spPr>
          <a:xfrm flipH="1">
            <a:off x="4495800"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28</xdr:row>
      <xdr:rowOff>0</xdr:rowOff>
    </xdr:from>
    <xdr:to>
      <xdr:col>8</xdr:col>
      <xdr:colOff>0</xdr:colOff>
      <xdr:row>29</xdr:row>
      <xdr:rowOff>0</xdr:rowOff>
    </xdr:to>
    <xdr:grpSp>
      <xdr:nvGrpSpPr>
        <xdr:cNvPr id="181" name="Cross_H29">
          <a:extLst>
            <a:ext uri="{FF2B5EF4-FFF2-40B4-BE49-F238E27FC236}">
              <a16:creationId xmlns:a16="http://schemas.microsoft.com/office/drawing/2014/main" id="{B09DDEA8-4378-966B-EACC-2B071362D6C7}"/>
            </a:ext>
          </a:extLst>
        </xdr:cNvPr>
        <xdr:cNvGrpSpPr/>
      </xdr:nvGrpSpPr>
      <xdr:grpSpPr>
        <a:xfrm>
          <a:off x="4495800" y="6400800"/>
          <a:ext cx="581025" cy="228600"/>
          <a:chOff x="4495800" y="6400800"/>
          <a:chExt cx="581025" cy="228600"/>
        </a:xfrm>
      </xdr:grpSpPr>
      <xdr:cxnSp macro="">
        <xdr:nvCxnSpPr>
          <xdr:cNvPr id="179" name="Gerader Verbinder 178">
            <a:extLst>
              <a:ext uri="{FF2B5EF4-FFF2-40B4-BE49-F238E27FC236}">
                <a16:creationId xmlns:a16="http://schemas.microsoft.com/office/drawing/2014/main" id="{CC66AFD4-647B-675D-8119-170217B9EE68}"/>
              </a:ext>
            </a:extLst>
          </xdr:cNvPr>
          <xdr:cNvCxnSpPr/>
        </xdr:nvCxnSpPr>
        <xdr:spPr>
          <a:xfrm>
            <a:off x="449580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 name="Gerader Verbinder 179">
            <a:extLst>
              <a:ext uri="{FF2B5EF4-FFF2-40B4-BE49-F238E27FC236}">
                <a16:creationId xmlns:a16="http://schemas.microsoft.com/office/drawing/2014/main" id="{00C0C662-49A4-7473-E6A0-113E3C786D0B}"/>
              </a:ext>
            </a:extLst>
          </xdr:cNvPr>
          <xdr:cNvCxnSpPr/>
        </xdr:nvCxnSpPr>
        <xdr:spPr>
          <a:xfrm flipH="1">
            <a:off x="449580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0</xdr:colOff>
          <xdr:row>22</xdr:row>
          <xdr:rowOff>66675</xdr:rowOff>
        </xdr:from>
        <xdr:to>
          <xdr:col>8</xdr:col>
          <xdr:colOff>28575</xdr:colOff>
          <xdr:row>25</xdr:row>
          <xdr:rowOff>85725</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95250</xdr:colOff>
          <xdr:row>22</xdr:row>
          <xdr:rowOff>66675</xdr:rowOff>
        </xdr:from>
        <xdr:to>
          <xdr:col>11</xdr:col>
          <xdr:colOff>123825</xdr:colOff>
          <xdr:row>25</xdr:row>
          <xdr:rowOff>85725</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19050</xdr:colOff>
          <xdr:row>29</xdr:row>
          <xdr:rowOff>76200</xdr:rowOff>
        </xdr:from>
        <xdr:to>
          <xdr:col>24</xdr:col>
          <xdr:colOff>628650</xdr:colOff>
          <xdr:row>32</xdr:row>
          <xdr:rowOff>114300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0</xdr:colOff>
          <xdr:row>22</xdr:row>
          <xdr:rowOff>66675</xdr:rowOff>
        </xdr:from>
        <xdr:to>
          <xdr:col>19</xdr:col>
          <xdr:colOff>9525</xdr:colOff>
          <xdr:row>25</xdr:row>
          <xdr:rowOff>85725</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3" Type="http://schemas.openxmlformats.org/officeDocument/2006/relationships/printerSettings" Target="../printerSettings/printerSettings1.bin"/><Relationship Id="rId7" Type="http://schemas.openxmlformats.org/officeDocument/2006/relationships/image" Target="../media/image1.emf"/><Relationship Id="rId12" Type="http://schemas.openxmlformats.org/officeDocument/2006/relationships/control" Target="../activeX/activeX4.xml"/><Relationship Id="rId2" Type="http://schemas.openxmlformats.org/officeDocument/2006/relationships/hyperlink" Target="https://github.com/bee-eater/EXCEL-Korrekturliste-Mathe-ABI/blob/master/LICENSE" TargetMode="External"/><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0" Type="http://schemas.openxmlformats.org/officeDocument/2006/relationships/control" Target="../activeX/activeX3.xml"/><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432C0-DCDF-42D4-AC29-03150E57FD59}">
  <sheetPr codeName="Tabelle19">
    <tabColor rgb="FF00B0F0"/>
  </sheetPr>
  <dimension ref="B1:N100"/>
  <sheetViews>
    <sheetView workbookViewId="0"/>
  </sheetViews>
  <sheetFormatPr baseColWidth="10" defaultRowHeight="12.75" x14ac:dyDescent="0.2"/>
  <cols>
    <col min="1" max="2" width="3.42578125" style="95" customWidth="1"/>
    <col min="3" max="3" width="25.7109375" style="95" customWidth="1"/>
    <col min="4" max="10" width="11.7109375" style="95" customWidth="1"/>
    <col min="11" max="13" width="8.7109375" style="95" customWidth="1"/>
    <col min="14" max="14" width="8.7109375" style="95" hidden="1" customWidth="1"/>
    <col min="15" max="16384" width="11.42578125" style="95"/>
  </cols>
  <sheetData>
    <row r="1" spans="2:14" ht="18" customHeight="1" thickBot="1" x14ac:dyDescent="0.25"/>
    <row r="2" spans="2:14" ht="18" customHeight="1" x14ac:dyDescent="0.2">
      <c r="B2" s="96" t="str">
        <f>Config!F2&amp;" "&amp;YEAR(Config!G27)</f>
        <v>Mathe Abitur 2026</v>
      </c>
      <c r="C2" s="97"/>
      <c r="D2" s="97"/>
      <c r="E2" s="97"/>
      <c r="F2" s="98"/>
      <c r="G2" s="98"/>
      <c r="H2" s="98"/>
      <c r="I2" s="98"/>
      <c r="J2" s="98"/>
      <c r="K2" s="98"/>
      <c r="L2" s="98"/>
      <c r="M2" s="99" t="str">
        <f>"Kurs "&amp;Config!G29</f>
        <v>Kurs K1</v>
      </c>
    </row>
    <row r="3" spans="2:14" ht="18" customHeight="1" x14ac:dyDescent="0.2">
      <c r="B3" s="100" t="s">
        <v>83</v>
      </c>
      <c r="C3" s="101"/>
      <c r="D3" s="101"/>
      <c r="E3" s="101"/>
      <c r="F3" s="101"/>
      <c r="G3" s="101"/>
      <c r="H3" s="101"/>
      <c r="I3" s="101"/>
      <c r="J3" s="101"/>
      <c r="K3" s="101"/>
      <c r="L3" s="101"/>
      <c r="M3" s="102"/>
    </row>
    <row r="4" spans="2:14" ht="18" customHeight="1" thickBot="1" x14ac:dyDescent="0.25">
      <c r="B4" s="100"/>
      <c r="C4" s="101"/>
      <c r="D4" s="103"/>
      <c r="E4" s="103"/>
      <c r="F4" s="103"/>
      <c r="G4" s="103"/>
      <c r="H4" s="103"/>
      <c r="I4" s="103"/>
      <c r="J4" s="103"/>
      <c r="K4" s="103"/>
      <c r="L4" s="101"/>
      <c r="M4" s="102"/>
    </row>
    <row r="5" spans="2:14" ht="18" customHeight="1" thickBot="1" x14ac:dyDescent="0.25">
      <c r="B5" s="105"/>
      <c r="C5" s="107"/>
      <c r="D5" s="111" t="s">
        <v>9</v>
      </c>
      <c r="E5" s="111" t="s">
        <v>10</v>
      </c>
      <c r="F5" s="111" t="s">
        <v>11</v>
      </c>
      <c r="G5" s="111" t="s">
        <v>12</v>
      </c>
      <c r="H5" s="111" t="s">
        <v>13</v>
      </c>
      <c r="I5" s="111" t="s">
        <v>14</v>
      </c>
      <c r="J5" s="111" t="s">
        <v>112</v>
      </c>
      <c r="K5" s="127" t="s">
        <v>82</v>
      </c>
      <c r="L5" s="126"/>
      <c r="M5" s="128"/>
    </row>
    <row r="6" spans="2:14" ht="18" customHeight="1" thickBot="1" x14ac:dyDescent="0.25">
      <c r="B6" s="106"/>
      <c r="C6" s="108" t="s">
        <v>81</v>
      </c>
      <c r="D6" s="139">
        <f>Config!G21</f>
        <v>15</v>
      </c>
      <c r="E6" s="139">
        <f>Config!I21</f>
        <v>30</v>
      </c>
      <c r="F6" s="139">
        <f>Config!K21</f>
        <v>5</v>
      </c>
      <c r="G6" s="139">
        <f>Config!M21</f>
        <v>17</v>
      </c>
      <c r="H6" s="139">
        <f>Config!O21</f>
        <v>5</v>
      </c>
      <c r="I6" s="139">
        <f>Config!Q21</f>
        <v>18</v>
      </c>
      <c r="J6" s="139">
        <f>Config!S21</f>
        <v>10</v>
      </c>
      <c r="K6" s="140">
        <f t="shared" ref="K6:K29" si="0">SUM(D6:J6)</f>
        <v>100</v>
      </c>
      <c r="L6" s="109" t="s">
        <v>0</v>
      </c>
      <c r="M6" s="129" t="s">
        <v>1</v>
      </c>
      <c r="N6" s="95" t="s">
        <v>84</v>
      </c>
    </row>
    <row r="7" spans="2:14" ht="18" customHeight="1" thickBot="1" x14ac:dyDescent="0.25">
      <c r="B7" s="119">
        <v>1</v>
      </c>
      <c r="C7" s="117" t="str">
        <f>Config!C5&amp;", "&amp;Config!D5</f>
        <v>Höfer, Simon</v>
      </c>
      <c r="D7" s="132">
        <f>VLOOKUP(C7,'Analysis A'!C$7:$J29,8,0)</f>
        <v>11.5</v>
      </c>
      <c r="E7" s="132">
        <f>VLOOKUP(C7,'Analysis B'!C$7:$N29,12,0)</f>
        <v>22.5</v>
      </c>
      <c r="F7" s="132">
        <f>VLOOKUP(C7,'Stochastik A'!C$7:$E29,3,0)</f>
        <v>2.5</v>
      </c>
      <c r="G7" s="132">
        <f>VLOOKUP(C7,'Stochastik B'!C$7:$I29,7,0)</f>
        <v>13</v>
      </c>
      <c r="H7" s="132">
        <f>VLOOKUP(C7,'Geometrie A'!C$7:$F29,4,0)</f>
        <v>0</v>
      </c>
      <c r="I7" s="132">
        <f>VLOOKUP(C7,'Geometrie B'!C$7:$I29,7,0)</f>
        <v>9</v>
      </c>
      <c r="J7" s="132">
        <f>VLOOKUP(C7,Wahlaufgaben!C$7:$I29,7,0)</f>
        <v>7</v>
      </c>
      <c r="K7" s="114">
        <f t="shared" si="0"/>
        <v>65.5</v>
      </c>
      <c r="L7" s="131">
        <f>VLOOKUP(VALUE(K7),Notenspiegel!$B$3:$C$302,2,0)</f>
        <v>9</v>
      </c>
      <c r="M7" s="134" t="str">
        <f>VLOOKUP(VALUE(K7),Notenspiegel!$B$3:$D$302,3,0)</f>
        <v>3+</v>
      </c>
      <c r="N7" s="95" t="str">
        <f>VLOOKUP(VALUE(K7),Notenspiegel!$B$3:$E$302,4,0)</f>
        <v>-</v>
      </c>
    </row>
    <row r="8" spans="2:14" ht="18" customHeight="1" thickBot="1" x14ac:dyDescent="0.25">
      <c r="B8" s="120">
        <v>2</v>
      </c>
      <c r="C8" s="112" t="str">
        <f>Config!C6&amp;", "&amp;Config!D6</f>
        <v>Töpfer, Lilian</v>
      </c>
      <c r="D8" s="130">
        <f>VLOOKUP(C8,'Analysis A'!C$7:$J29,8,0)</f>
        <v>9</v>
      </c>
      <c r="E8" s="130">
        <f>VLOOKUP(C8,'Analysis B'!C$7:$N29,12,0)</f>
        <v>17.5</v>
      </c>
      <c r="F8" s="130">
        <f>VLOOKUP(C8,'Stochastik A'!C$7:$E29,3,0)</f>
        <v>5</v>
      </c>
      <c r="G8" s="130">
        <f>VLOOKUP(C8,'Stochastik B'!C$7:$I29,7,0)</f>
        <v>7</v>
      </c>
      <c r="H8" s="130">
        <f>VLOOKUP(C8,'Geometrie A'!C$7:$F29,4,0)</f>
        <v>3.5</v>
      </c>
      <c r="I8" s="130">
        <f>VLOOKUP(C8,'Geometrie B'!C$7:$I29,7,0)</f>
        <v>9</v>
      </c>
      <c r="J8" s="130">
        <f>VLOOKUP(C8,Wahlaufgaben!C$7:$I29,7,0)</f>
        <v>7</v>
      </c>
      <c r="K8" s="114">
        <f t="shared" si="0"/>
        <v>58</v>
      </c>
      <c r="L8" s="133">
        <f>VLOOKUP(VALUE(K8),Notenspiegel!$B$3:$C$302,2,0)</f>
        <v>7</v>
      </c>
      <c r="M8" s="135" t="str">
        <f>VLOOKUP(VALUE(K8),Notenspiegel!$B$3:$D$302,3,0)</f>
        <v>3-</v>
      </c>
      <c r="N8" s="95" t="str">
        <f>VLOOKUP(VALUE(K8),Notenspiegel!$B$3:$E$302,4,0)</f>
        <v/>
      </c>
    </row>
    <row r="9" spans="2:14" ht="18" customHeight="1" thickBot="1" x14ac:dyDescent="0.25">
      <c r="B9" s="120">
        <v>3</v>
      </c>
      <c r="C9" s="112" t="str">
        <f>Config!C7&amp;", "&amp;Config!D7</f>
        <v>Fleischmann, Leonie</v>
      </c>
      <c r="D9" s="130">
        <f>VLOOKUP(C9,'Analysis A'!C$7:$J29,8,0)</f>
        <v>10.5</v>
      </c>
      <c r="E9" s="130">
        <f>VLOOKUP(C9,'Analysis B'!C$7:$N29,12,0)</f>
        <v>11.5</v>
      </c>
      <c r="F9" s="130">
        <f>VLOOKUP(C9,'Stochastik A'!C$7:$E29,3,0)</f>
        <v>2.5</v>
      </c>
      <c r="G9" s="130">
        <f>VLOOKUP(C9,'Stochastik B'!C$7:$I29,7,0)</f>
        <v>8</v>
      </c>
      <c r="H9" s="130">
        <f>VLOOKUP(C9,'Geometrie A'!C$7:$F29,4,0)</f>
        <v>4.5</v>
      </c>
      <c r="I9" s="130">
        <f>VLOOKUP(C9,'Geometrie B'!C$7:$I29,7,0)</f>
        <v>14</v>
      </c>
      <c r="J9" s="130">
        <f>VLOOKUP(C9,Wahlaufgaben!C$7:$I29,7,0)</f>
        <v>8</v>
      </c>
      <c r="K9" s="114">
        <f t="shared" si="0"/>
        <v>59</v>
      </c>
      <c r="L9" s="133">
        <f>VLOOKUP(VALUE(K9),Notenspiegel!$B$3:$C$302,2,0)</f>
        <v>7</v>
      </c>
      <c r="M9" s="135" t="str">
        <f>VLOOKUP(VALUE(K9),Notenspiegel!$B$3:$D$302,3,0)</f>
        <v>3-</v>
      </c>
      <c r="N9" s="95" t="str">
        <f>VLOOKUP(VALUE(K9),Notenspiegel!$B$3:$E$302,4,0)</f>
        <v>+</v>
      </c>
    </row>
    <row r="10" spans="2:14" ht="18" customHeight="1" thickBot="1" x14ac:dyDescent="0.25">
      <c r="B10" s="120">
        <v>4</v>
      </c>
      <c r="C10" s="112" t="str">
        <f>Config!C8&amp;", "&amp;Config!D8</f>
        <v>Drescher, Cedric</v>
      </c>
      <c r="D10" s="130">
        <f>VLOOKUP(C10,'Analysis A'!C$7:$J29,8,0)</f>
        <v>12.5</v>
      </c>
      <c r="E10" s="130">
        <f>VLOOKUP(C10,'Analysis B'!C$7:$N29,12,0)</f>
        <v>23</v>
      </c>
      <c r="F10" s="130">
        <f>VLOOKUP(C10,'Stochastik A'!C$7:$E29,3,0)</f>
        <v>2.5</v>
      </c>
      <c r="G10" s="130">
        <f>VLOOKUP(C10,'Stochastik B'!C$7:$I29,7,0)</f>
        <v>9</v>
      </c>
      <c r="H10" s="130">
        <f>VLOOKUP(C10,'Geometrie A'!C$7:$F29,4,0)</f>
        <v>3.5</v>
      </c>
      <c r="I10" s="130">
        <f>VLOOKUP(C10,'Geometrie B'!C$7:$I29,7,0)</f>
        <v>13.5</v>
      </c>
      <c r="J10" s="130">
        <f>VLOOKUP(C10,Wahlaufgaben!C$7:$I29,7,0)</f>
        <v>6</v>
      </c>
      <c r="K10" s="114">
        <f t="shared" si="0"/>
        <v>70</v>
      </c>
      <c r="L10" s="133">
        <f>VLOOKUP(VALUE(K10),Notenspiegel!$B$3:$C$302,2,0)</f>
        <v>10</v>
      </c>
      <c r="M10" s="135" t="str">
        <f>VLOOKUP(VALUE(K10),Notenspiegel!$B$3:$D$302,3,0)</f>
        <v>2-</v>
      </c>
      <c r="N10" s="95" t="str">
        <f>VLOOKUP(VALUE(K10),Notenspiegel!$B$3:$E$302,4,0)</f>
        <v>--</v>
      </c>
    </row>
    <row r="11" spans="2:14" ht="18" customHeight="1" thickBot="1" x14ac:dyDescent="0.25">
      <c r="B11" s="120">
        <v>5</v>
      </c>
      <c r="C11" s="112" t="str">
        <f>Config!C9&amp;", "&amp;Config!D9</f>
        <v>Baumgarten, Annabell</v>
      </c>
      <c r="D11" s="130">
        <f>VLOOKUP(C11,'Analysis A'!C$7:$J29,8,0)</f>
        <v>14</v>
      </c>
      <c r="E11" s="130">
        <f>VLOOKUP(C11,'Analysis B'!C$7:$N29,12,0)</f>
        <v>21.5</v>
      </c>
      <c r="F11" s="130">
        <f>VLOOKUP(C11,'Stochastik A'!C$7:$E29,3,0)</f>
        <v>2.5</v>
      </c>
      <c r="G11" s="130">
        <f>VLOOKUP(C11,'Stochastik B'!C$7:$I29,7,0)</f>
        <v>4.5</v>
      </c>
      <c r="H11" s="130">
        <f>VLOOKUP(C11,'Geometrie A'!C$7:$F29,4,0)</f>
        <v>3.5</v>
      </c>
      <c r="I11" s="130">
        <f>VLOOKUP(C11,'Geometrie B'!C$7:$I29,7,0)</f>
        <v>12</v>
      </c>
      <c r="J11" s="130">
        <f>VLOOKUP(C11,Wahlaufgaben!C$7:$I29,7,0)</f>
        <v>6</v>
      </c>
      <c r="K11" s="114">
        <f t="shared" si="0"/>
        <v>64</v>
      </c>
      <c r="L11" s="133">
        <f>VLOOKUP(VALUE(K11),Notenspiegel!$B$3:$C$302,2,0)</f>
        <v>8</v>
      </c>
      <c r="M11" s="135" t="str">
        <f>VLOOKUP(VALUE(K11),Notenspiegel!$B$3:$D$302,3,0)</f>
        <v>3</v>
      </c>
      <c r="N11" s="95" t="str">
        <f>VLOOKUP(VALUE(K11),Notenspiegel!$B$3:$E$302,4,0)</f>
        <v>+</v>
      </c>
    </row>
    <row r="12" spans="2:14" ht="18" customHeight="1" thickBot="1" x14ac:dyDescent="0.25">
      <c r="B12" s="120">
        <v>6</v>
      </c>
      <c r="C12" s="112" t="str">
        <f>Config!C10&amp;", "&amp;Config!D10</f>
        <v>Traut, Stefanie</v>
      </c>
      <c r="D12" s="130">
        <f>VLOOKUP(C12,'Analysis A'!C$7:$J29,8,0)</f>
        <v>12.5</v>
      </c>
      <c r="E12" s="130">
        <f>VLOOKUP(C12,'Analysis B'!C$7:$N29,12,0)</f>
        <v>33</v>
      </c>
      <c r="F12" s="130">
        <f>VLOOKUP(C12,'Stochastik A'!C$7:$E29,3,0)</f>
        <v>3</v>
      </c>
      <c r="G12" s="130">
        <f>VLOOKUP(C12,'Stochastik B'!C$7:$I29,7,0)</f>
        <v>10.5</v>
      </c>
      <c r="H12" s="130">
        <f>VLOOKUP(C12,'Geometrie A'!C$7:$F29,4,0)</f>
        <v>4.5</v>
      </c>
      <c r="I12" s="130">
        <f>VLOOKUP(C12,'Geometrie B'!C$7:$I29,7,0)</f>
        <v>17</v>
      </c>
      <c r="J12" s="130">
        <f>VLOOKUP(C12,Wahlaufgaben!C$7:$I29,7,0)</f>
        <v>8</v>
      </c>
      <c r="K12" s="114">
        <f t="shared" si="0"/>
        <v>88.5</v>
      </c>
      <c r="L12" s="133">
        <f>VLOOKUP(VALUE(K12),Notenspiegel!$B$3:$C$302,2,0)</f>
        <v>13</v>
      </c>
      <c r="M12" s="135" t="str">
        <f>VLOOKUP(VALUE(K12),Notenspiegel!$B$3:$D$302,3,0)</f>
        <v>1-</v>
      </c>
      <c r="N12" s="95" t="str">
        <f>VLOOKUP(VALUE(K12),Notenspiegel!$B$3:$E$302,4,0)</f>
        <v/>
      </c>
    </row>
    <row r="13" spans="2:14" ht="18" customHeight="1" thickBot="1" x14ac:dyDescent="0.25">
      <c r="B13" s="120">
        <v>7</v>
      </c>
      <c r="C13" s="112" t="str">
        <f>Config!C11&amp;", "&amp;Config!D11</f>
        <v>Menke, Damian</v>
      </c>
      <c r="D13" s="130">
        <f>VLOOKUP(C13,'Analysis A'!C$7:$J29,8,0)</f>
        <v>12.5</v>
      </c>
      <c r="E13" s="130">
        <f>VLOOKUP(C13,'Analysis B'!C$7:$N29,12,0)</f>
        <v>22.5</v>
      </c>
      <c r="F13" s="130">
        <f>VLOOKUP(C13,'Stochastik A'!C$7:$E29,3,0)</f>
        <v>5</v>
      </c>
      <c r="G13" s="130">
        <f>VLOOKUP(C13,'Stochastik B'!C$7:$I29,7,0)</f>
        <v>8.5</v>
      </c>
      <c r="H13" s="130">
        <f>VLOOKUP(C13,'Geometrie A'!C$7:$F29,4,0)</f>
        <v>4.5</v>
      </c>
      <c r="I13" s="130">
        <f>VLOOKUP(C13,'Geometrie B'!C$7:$I29,7,0)</f>
        <v>15</v>
      </c>
      <c r="J13" s="130">
        <f>VLOOKUP(C13,Wahlaufgaben!C$7:$I29,7,0)</f>
        <v>7</v>
      </c>
      <c r="K13" s="114">
        <f t="shared" si="0"/>
        <v>75</v>
      </c>
      <c r="L13" s="133">
        <f>VLOOKUP(VALUE(K13),Notenspiegel!$B$3:$C$302,2,0)</f>
        <v>11</v>
      </c>
      <c r="M13" s="135" t="str">
        <f>VLOOKUP(VALUE(K13),Notenspiegel!$B$3:$D$302,3,0)</f>
        <v>2</v>
      </c>
      <c r="N13" s="95" t="str">
        <f>VLOOKUP(VALUE(K13),Notenspiegel!$B$3:$E$302,4,0)</f>
        <v>--</v>
      </c>
    </row>
    <row r="14" spans="2:14" ht="18" customHeight="1" thickBot="1" x14ac:dyDescent="0.25">
      <c r="B14" s="120">
        <v>8</v>
      </c>
      <c r="C14" s="112" t="str">
        <f>Config!C12&amp;", "&amp;Config!D12</f>
        <v>Carroll, Meik</v>
      </c>
      <c r="D14" s="130">
        <f>VLOOKUP(C14,'Analysis A'!C$7:$J29,8,0)</f>
        <v>9</v>
      </c>
      <c r="E14" s="130">
        <f>VLOOKUP(C14,'Analysis B'!C$7:$N29,12,0)</f>
        <v>16.5</v>
      </c>
      <c r="F14" s="130">
        <f>VLOOKUP(C14,'Stochastik A'!C$7:$E29,3,0)</f>
        <v>5</v>
      </c>
      <c r="G14" s="130">
        <f>VLOOKUP(C14,'Stochastik B'!C$7:$I29,7,0)</f>
        <v>8.5</v>
      </c>
      <c r="H14" s="130">
        <f>VLOOKUP(C14,'Geometrie A'!C$7:$F29,4,0)</f>
        <v>4</v>
      </c>
      <c r="I14" s="130">
        <f>VLOOKUP(C14,'Geometrie B'!C$7:$I29,7,0)</f>
        <v>13</v>
      </c>
      <c r="J14" s="130">
        <f>VLOOKUP(C14,Wahlaufgaben!C$7:$I29,7,0)</f>
        <v>7</v>
      </c>
      <c r="K14" s="114">
        <f t="shared" si="0"/>
        <v>63</v>
      </c>
      <c r="L14" s="133">
        <f>VLOOKUP(VALUE(K14),Notenspiegel!$B$3:$C$302,2,0)</f>
        <v>8</v>
      </c>
      <c r="M14" s="135" t="str">
        <f>VLOOKUP(VALUE(K14),Notenspiegel!$B$3:$D$302,3,0)</f>
        <v>3</v>
      </c>
      <c r="N14" s="95" t="str">
        <f>VLOOKUP(VALUE(K14),Notenspiegel!$B$3:$E$302,4,0)</f>
        <v/>
      </c>
    </row>
    <row r="15" spans="2:14" ht="18" customHeight="1" thickBot="1" x14ac:dyDescent="0.25">
      <c r="B15" s="120">
        <v>9</v>
      </c>
      <c r="C15" s="112" t="str">
        <f>Config!C13&amp;", "&amp;Config!D13</f>
        <v>Hennings, Tomas</v>
      </c>
      <c r="D15" s="130">
        <f>VLOOKUP(C15,'Analysis A'!C$7:$J29,8,0)</f>
        <v>10</v>
      </c>
      <c r="E15" s="130">
        <f>VLOOKUP(C15,'Analysis B'!C$7:$N29,12,0)</f>
        <v>14.5</v>
      </c>
      <c r="F15" s="130">
        <f>VLOOKUP(C15,'Stochastik A'!C$7:$E29,3,0)</f>
        <v>4</v>
      </c>
      <c r="G15" s="130">
        <f>VLOOKUP(C15,'Stochastik B'!C$7:$I29,7,0)</f>
        <v>13</v>
      </c>
      <c r="H15" s="130">
        <f>VLOOKUP(C15,'Geometrie A'!C$7:$F29,4,0)</f>
        <v>4.5</v>
      </c>
      <c r="I15" s="130">
        <f>VLOOKUP(C15,'Geometrie B'!C$7:$I29,7,0)</f>
        <v>4</v>
      </c>
      <c r="J15" s="130">
        <f>VLOOKUP(C15,Wahlaufgaben!C$7:$I29,7,0)</f>
        <v>8</v>
      </c>
      <c r="K15" s="114">
        <f t="shared" si="0"/>
        <v>58</v>
      </c>
      <c r="L15" s="133">
        <f>VLOOKUP(VALUE(K15),Notenspiegel!$B$3:$C$302,2,0)</f>
        <v>7</v>
      </c>
      <c r="M15" s="135" t="str">
        <f>VLOOKUP(VALUE(K15),Notenspiegel!$B$3:$D$302,3,0)</f>
        <v>3-</v>
      </c>
      <c r="N15" s="95" t="str">
        <f>VLOOKUP(VALUE(K15),Notenspiegel!$B$3:$E$302,4,0)</f>
        <v/>
      </c>
    </row>
    <row r="16" spans="2:14" ht="18" customHeight="1" thickBot="1" x14ac:dyDescent="0.25">
      <c r="B16" s="120">
        <v>10</v>
      </c>
      <c r="C16" s="112" t="str">
        <f>Config!C14&amp;", "&amp;Config!D14</f>
        <v>Walters, Linn</v>
      </c>
      <c r="D16" s="130">
        <f>VLOOKUP(C16,'Analysis A'!C$7:$J29,8,0)</f>
        <v>3</v>
      </c>
      <c r="E16" s="130">
        <f>VLOOKUP(C16,'Analysis B'!C$7:$N29,12,0)</f>
        <v>7</v>
      </c>
      <c r="F16" s="130">
        <f>VLOOKUP(C16,'Stochastik A'!C$7:$E29,3,0)</f>
        <v>2.5</v>
      </c>
      <c r="G16" s="130">
        <f>VLOOKUP(C16,'Stochastik B'!C$7:$I29,7,0)</f>
        <v>8</v>
      </c>
      <c r="H16" s="130">
        <f>VLOOKUP(C16,'Geometrie A'!C$7:$F29,4,0)</f>
        <v>1</v>
      </c>
      <c r="I16" s="130">
        <f>VLOOKUP(C16,'Geometrie B'!C$7:$I29,7,0)</f>
        <v>8.5</v>
      </c>
      <c r="J16" s="130">
        <f>VLOOKUP(C16,Wahlaufgaben!C$7:$I29,7,0)</f>
        <v>8</v>
      </c>
      <c r="K16" s="114">
        <f t="shared" si="0"/>
        <v>38</v>
      </c>
      <c r="L16" s="133">
        <f>VLOOKUP(VALUE(K16),Notenspiegel!$B$3:$C$302,2,0)</f>
        <v>3</v>
      </c>
      <c r="M16" s="135" t="str">
        <f>VLOOKUP(VALUE(K16),Notenspiegel!$B$3:$D$302,3,0)</f>
        <v>5+</v>
      </c>
      <c r="N16" s="95" t="str">
        <f>VLOOKUP(VALUE(K16),Notenspiegel!$B$3:$E$302,4,0)</f>
        <v/>
      </c>
    </row>
    <row r="17" spans="2:14" ht="18" customHeight="1" thickBot="1" x14ac:dyDescent="0.25">
      <c r="B17" s="120">
        <v>11</v>
      </c>
      <c r="C17" s="112" t="str">
        <f>Config!C15&amp;", "&amp;Config!D15</f>
        <v>Junker, Amely</v>
      </c>
      <c r="D17" s="130">
        <f>VLOOKUP(C17,'Analysis A'!C$7:$J29,8,0)</f>
        <v>6.5</v>
      </c>
      <c r="E17" s="130">
        <f>VLOOKUP(C17,'Analysis B'!C$7:$N29,12,0)</f>
        <v>13.5</v>
      </c>
      <c r="F17" s="130">
        <f>VLOOKUP(C17,'Stochastik A'!C$7:$E29,3,0)</f>
        <v>2</v>
      </c>
      <c r="G17" s="130">
        <f>VLOOKUP(C17,'Stochastik B'!C$7:$I29,7,0)</f>
        <v>6.5</v>
      </c>
      <c r="H17" s="130">
        <f>VLOOKUP(C17,'Geometrie A'!C$7:$F29,4,0)</f>
        <v>2</v>
      </c>
      <c r="I17" s="130">
        <f>VLOOKUP(C17,'Geometrie B'!C$7:$I29,7,0)</f>
        <v>13</v>
      </c>
      <c r="J17" s="130">
        <f>VLOOKUP(C17,Wahlaufgaben!C$7:$I29,7,0)</f>
        <v>6</v>
      </c>
      <c r="K17" s="114">
        <f t="shared" si="0"/>
        <v>49.5</v>
      </c>
      <c r="L17" s="133">
        <f>VLOOKUP(VALUE(K17),Notenspiegel!$B$3:$C$302,2,0)</f>
        <v>5</v>
      </c>
      <c r="M17" s="135" t="str">
        <f>VLOOKUP(VALUE(K17),Notenspiegel!$B$3:$D$302,3,0)</f>
        <v>4</v>
      </c>
      <c r="N17" s="95" t="str">
        <f>VLOOKUP(VALUE(K17),Notenspiegel!$B$3:$E$302,4,0)</f>
        <v>++</v>
      </c>
    </row>
    <row r="18" spans="2:14" ht="18" customHeight="1" thickBot="1" x14ac:dyDescent="0.25">
      <c r="B18" s="120">
        <v>12</v>
      </c>
      <c r="C18" s="112" t="str">
        <f>Config!C16&amp;", "&amp;Config!D16</f>
        <v>Stephens, Melvin</v>
      </c>
      <c r="D18" s="130">
        <f>VLOOKUP(C18,'Analysis A'!C$7:$J29,8,0)</f>
        <v>11.5</v>
      </c>
      <c r="E18" s="130">
        <f>VLOOKUP(C18,'Analysis B'!C$7:$N29,12,0)</f>
        <v>27</v>
      </c>
      <c r="F18" s="130">
        <f>VLOOKUP(C18,'Stochastik A'!C$7:$E29,3,0)</f>
        <v>2.5</v>
      </c>
      <c r="G18" s="130">
        <f>VLOOKUP(C18,'Stochastik B'!C$7:$I29,7,0)</f>
        <v>5.5</v>
      </c>
      <c r="H18" s="130">
        <f>VLOOKUP(C18,'Geometrie A'!C$7:$F29,4,0)</f>
        <v>0.5</v>
      </c>
      <c r="I18" s="130">
        <f>VLOOKUP(C18,'Geometrie B'!C$7:$I29,7,0)</f>
        <v>13</v>
      </c>
      <c r="J18" s="130">
        <f>VLOOKUP(C18,Wahlaufgaben!C$7:$I29,7,0)</f>
        <v>6</v>
      </c>
      <c r="K18" s="114">
        <f t="shared" si="0"/>
        <v>66</v>
      </c>
      <c r="L18" s="133">
        <f>VLOOKUP(VALUE(K18),Notenspiegel!$B$3:$C$302,2,0)</f>
        <v>9</v>
      </c>
      <c r="M18" s="135" t="str">
        <f>VLOOKUP(VALUE(K18),Notenspiegel!$B$3:$D$302,3,0)</f>
        <v>3+</v>
      </c>
      <c r="N18" s="95" t="str">
        <f>VLOOKUP(VALUE(K18),Notenspiegel!$B$3:$E$302,4,0)</f>
        <v/>
      </c>
    </row>
    <row r="19" spans="2:14" ht="18" customHeight="1" thickBot="1" x14ac:dyDescent="0.25">
      <c r="B19" s="120">
        <v>13</v>
      </c>
      <c r="C19" s="112" t="str">
        <f>Config!C17&amp;", "&amp;Config!D17</f>
        <v>Cremer, Marvin</v>
      </c>
      <c r="D19" s="130">
        <f>VLOOKUP(C19,'Analysis A'!C$7:$J29,8,0)</f>
        <v>12.5</v>
      </c>
      <c r="E19" s="130">
        <f>VLOOKUP(C19,'Analysis B'!C$7:$N29,12,0)</f>
        <v>22</v>
      </c>
      <c r="F19" s="130">
        <f>VLOOKUP(C19,'Stochastik A'!C$7:$E29,3,0)</f>
        <v>5</v>
      </c>
      <c r="G19" s="130">
        <f>VLOOKUP(C19,'Stochastik B'!C$7:$I29,7,0)</f>
        <v>5.5</v>
      </c>
      <c r="H19" s="130">
        <f>VLOOKUP(C19,'Geometrie A'!C$7:$F29,4,0)</f>
        <v>4.5</v>
      </c>
      <c r="I19" s="130">
        <f>VLOOKUP(C19,'Geometrie B'!C$7:$I29,7,0)</f>
        <v>3</v>
      </c>
      <c r="J19" s="130">
        <f>VLOOKUP(C19,Wahlaufgaben!C$7:$I29,7,0)</f>
        <v>8</v>
      </c>
      <c r="K19" s="114">
        <f t="shared" si="0"/>
        <v>60.5</v>
      </c>
      <c r="L19" s="133">
        <f>VLOOKUP(VALUE(K19),Notenspiegel!$B$3:$C$302,2,0)</f>
        <v>8</v>
      </c>
      <c r="M19" s="135" t="str">
        <f>VLOOKUP(VALUE(K19),Notenspiegel!$B$3:$D$302,3,0)</f>
        <v>3</v>
      </c>
      <c r="N19" s="95" t="str">
        <f>VLOOKUP(VALUE(K19),Notenspiegel!$B$3:$E$302,4,0)</f>
        <v>-</v>
      </c>
    </row>
    <row r="20" spans="2:14" ht="18" customHeight="1" thickBot="1" x14ac:dyDescent="0.25">
      <c r="B20" s="120">
        <v>14</v>
      </c>
      <c r="C20" s="112" t="str">
        <f>Config!C18&amp;", "&amp;Config!D18</f>
        <v>Nash, Jean</v>
      </c>
      <c r="D20" s="130">
        <f>VLOOKUP(C20,'Analysis A'!C$7:$J29,8,0)</f>
        <v>13.5</v>
      </c>
      <c r="E20" s="130">
        <f>VLOOKUP(C20,'Analysis B'!C$7:$N29,12,0)</f>
        <v>15.5</v>
      </c>
      <c r="F20" s="130">
        <f>VLOOKUP(C20,'Stochastik A'!C$7:$E29,3,0)</f>
        <v>5</v>
      </c>
      <c r="G20" s="130">
        <f>VLOOKUP(C20,'Stochastik B'!C$7:$I29,7,0)</f>
        <v>8</v>
      </c>
      <c r="H20" s="130">
        <f>VLOOKUP(C20,'Geometrie A'!C$7:$F29,4,0)</f>
        <v>4</v>
      </c>
      <c r="I20" s="130">
        <f>VLOOKUP(C20,'Geometrie B'!C$7:$I29,7,0)</f>
        <v>14.5</v>
      </c>
      <c r="J20" s="130">
        <f>VLOOKUP(C20,Wahlaufgaben!C$7:$I29,7,0)</f>
        <v>7</v>
      </c>
      <c r="K20" s="114">
        <f t="shared" si="0"/>
        <v>67.5</v>
      </c>
      <c r="L20" s="133">
        <f>VLOOKUP(VALUE(K20),Notenspiegel!$B$3:$C$302,2,0)</f>
        <v>9</v>
      </c>
      <c r="M20" s="135" t="str">
        <f>VLOOKUP(VALUE(K20),Notenspiegel!$B$3:$D$302,3,0)</f>
        <v>3+</v>
      </c>
      <c r="N20" s="95" t="str">
        <f>VLOOKUP(VALUE(K20),Notenspiegel!$B$3:$E$302,4,0)</f>
        <v/>
      </c>
    </row>
    <row r="21" spans="2:14" ht="18" customHeight="1" thickBot="1" x14ac:dyDescent="0.25">
      <c r="B21" s="120">
        <v>15</v>
      </c>
      <c r="C21" s="112" t="str">
        <f>Config!C19&amp;", "&amp;Config!D19</f>
        <v>Schön, Leonardo</v>
      </c>
      <c r="D21" s="130">
        <f>VLOOKUP(C21,'Analysis A'!C$7:$J29,8,0)</f>
        <v>12</v>
      </c>
      <c r="E21" s="130">
        <f>VLOOKUP(C21,'Analysis B'!C$7:$N29,12,0)</f>
        <v>23.5</v>
      </c>
      <c r="F21" s="130">
        <f>VLOOKUP(C21,'Stochastik A'!C$7:$E29,3,0)</f>
        <v>2.5</v>
      </c>
      <c r="G21" s="130">
        <f>VLOOKUP(C21,'Stochastik B'!C$7:$I29,7,0)</f>
        <v>8</v>
      </c>
      <c r="H21" s="130">
        <f>VLOOKUP(C21,'Geometrie A'!C$7:$F29,4,0)</f>
        <v>5</v>
      </c>
      <c r="I21" s="130">
        <f>VLOOKUP(C21,'Geometrie B'!C$7:$I29,7,0)</f>
        <v>6.5</v>
      </c>
      <c r="J21" s="130">
        <f>VLOOKUP(C21,Wahlaufgaben!C$7:$I29,7,0)</f>
        <v>4</v>
      </c>
      <c r="K21" s="114">
        <f t="shared" si="0"/>
        <v>61.5</v>
      </c>
      <c r="L21" s="133">
        <f>VLOOKUP(VALUE(K21),Notenspiegel!$B$3:$C$302,2,0)</f>
        <v>8</v>
      </c>
      <c r="M21" s="135" t="str">
        <f>VLOOKUP(VALUE(K21),Notenspiegel!$B$3:$D$302,3,0)</f>
        <v>3</v>
      </c>
      <c r="N21" s="95" t="str">
        <f>VLOOKUP(VALUE(K21),Notenspiegel!$B$3:$E$302,4,0)</f>
        <v/>
      </c>
    </row>
    <row r="22" spans="2:14" ht="18" customHeight="1" thickBot="1" x14ac:dyDescent="0.25">
      <c r="B22" s="120">
        <v>16</v>
      </c>
      <c r="C22" s="112" t="str">
        <f>Config!C20&amp;", "&amp;Config!D20</f>
        <v>Sigl, Nicholas</v>
      </c>
      <c r="D22" s="130">
        <f>VLOOKUP(C22,'Analysis A'!C$7:$J29,8,0)</f>
        <v>7.5</v>
      </c>
      <c r="E22" s="130">
        <f>VLOOKUP(C22,'Analysis B'!C$7:$N29,12,0)</f>
        <v>22</v>
      </c>
      <c r="F22" s="130">
        <f>VLOOKUP(C22,'Stochastik A'!C$7:$E29,3,0)</f>
        <v>5</v>
      </c>
      <c r="G22" s="130">
        <f>VLOOKUP(C22,'Stochastik B'!C$7:$I29,7,0)</f>
        <v>0</v>
      </c>
      <c r="H22" s="130">
        <f>VLOOKUP(C22,'Geometrie A'!C$7:$F29,4,0)</f>
        <v>4.5</v>
      </c>
      <c r="I22" s="130">
        <f>VLOOKUP(C22,'Geometrie B'!C$7:$I29,7,0)</f>
        <v>6</v>
      </c>
      <c r="J22" s="130">
        <f>VLOOKUP(C22,Wahlaufgaben!C$7:$I29,7,0)</f>
        <v>8</v>
      </c>
      <c r="K22" s="114">
        <f t="shared" si="0"/>
        <v>53</v>
      </c>
      <c r="L22" s="133">
        <f>VLOOKUP(VALUE(K22),Notenspiegel!$B$3:$C$302,2,0)</f>
        <v>6</v>
      </c>
      <c r="M22" s="135" t="str">
        <f>VLOOKUP(VALUE(K22),Notenspiegel!$B$3:$D$302,3,0)</f>
        <v>4+</v>
      </c>
      <c r="N22" s="95" t="str">
        <f>VLOOKUP(VALUE(K22),Notenspiegel!$B$3:$E$302,4,0)</f>
        <v/>
      </c>
    </row>
    <row r="23" spans="2:14" ht="18" customHeight="1" thickBot="1" x14ac:dyDescent="0.25">
      <c r="B23" s="120">
        <v>17</v>
      </c>
      <c r="C23" s="112" t="str">
        <f>Config!C21&amp;", "&amp;Config!D21</f>
        <v>Kainz, Vivienne</v>
      </c>
      <c r="D23" s="130">
        <f>VLOOKUP(C23,'Analysis A'!C$7:$J29,8,0)</f>
        <v>1</v>
      </c>
      <c r="E23" s="130">
        <f>VLOOKUP(C23,'Analysis B'!C$7:$N29,12,0)</f>
        <v>6.5</v>
      </c>
      <c r="F23" s="130">
        <f>VLOOKUP(C23,'Stochastik A'!C$7:$E29,3,0)</f>
        <v>5</v>
      </c>
      <c r="G23" s="130">
        <f>VLOOKUP(C23,'Stochastik B'!C$7:$I29,7,0)</f>
        <v>7.5</v>
      </c>
      <c r="H23" s="130">
        <f>VLOOKUP(C23,'Geometrie A'!C$7:$F29,4,0)</f>
        <v>5</v>
      </c>
      <c r="I23" s="130">
        <f>VLOOKUP(C23,'Geometrie B'!C$7:$I29,7,0)</f>
        <v>4.5</v>
      </c>
      <c r="J23" s="130">
        <f>VLOOKUP(C23,Wahlaufgaben!C$7:$I29,7,0)</f>
        <v>10</v>
      </c>
      <c r="K23" s="114">
        <f t="shared" si="0"/>
        <v>39.5</v>
      </c>
      <c r="L23" s="133">
        <f>VLOOKUP(VALUE(K23),Notenspiegel!$B$3:$C$302,2,0)</f>
        <v>3</v>
      </c>
      <c r="M23" s="135" t="str">
        <f>VLOOKUP(VALUE(K23),Notenspiegel!$B$3:$D$302,3,0)</f>
        <v>5+</v>
      </c>
      <c r="N23" s="95" t="str">
        <f>VLOOKUP(VALUE(K23),Notenspiegel!$B$3:$E$302,4,0)</f>
        <v>++</v>
      </c>
    </row>
    <row r="24" spans="2:14" ht="18" customHeight="1" thickBot="1" x14ac:dyDescent="0.25">
      <c r="B24" s="120">
        <v>18</v>
      </c>
      <c r="C24" s="112" t="str">
        <f>Config!C22&amp;", "&amp;Config!D22</f>
        <v>Hartmann, Mads</v>
      </c>
      <c r="D24" s="130">
        <f>VLOOKUP(C24,'Analysis A'!C$7:$J29,8,0)</f>
        <v>10</v>
      </c>
      <c r="E24" s="130">
        <f>VLOOKUP(C24,'Analysis B'!C$7:$N29,12,0)</f>
        <v>16</v>
      </c>
      <c r="F24" s="130">
        <f>VLOOKUP(C24,'Stochastik A'!C$7:$E29,3,0)</f>
        <v>2.5</v>
      </c>
      <c r="G24" s="130">
        <f>VLOOKUP(C24,'Stochastik B'!C$7:$I29,7,0)</f>
        <v>7</v>
      </c>
      <c r="H24" s="130">
        <f>VLOOKUP(C24,'Geometrie A'!C$7:$F29,4,0)</f>
        <v>1</v>
      </c>
      <c r="I24" s="130">
        <f>VLOOKUP(C24,'Geometrie B'!C$7:$I29,7,0)</f>
        <v>14</v>
      </c>
      <c r="J24" s="130">
        <f>VLOOKUP(C24,Wahlaufgaben!C$7:$I29,7,0)</f>
        <v>7</v>
      </c>
      <c r="K24" s="114">
        <f t="shared" si="0"/>
        <v>57.5</v>
      </c>
      <c r="L24" s="133">
        <f>VLOOKUP(VALUE(K24),Notenspiegel!$B$3:$C$302,2,0)</f>
        <v>7</v>
      </c>
      <c r="M24" s="135" t="str">
        <f>VLOOKUP(VALUE(K24),Notenspiegel!$B$3:$D$302,3,0)</f>
        <v>3-</v>
      </c>
      <c r="N24" s="95" t="str">
        <f>VLOOKUP(VALUE(K24),Notenspiegel!$B$3:$E$302,4,0)</f>
        <v/>
      </c>
    </row>
    <row r="25" spans="2:14" ht="18" customHeight="1" thickBot="1" x14ac:dyDescent="0.25">
      <c r="B25" s="120">
        <v>19</v>
      </c>
      <c r="C25" s="112" t="str">
        <f>Config!C23&amp;", "&amp;Config!D23</f>
        <v>Ullmann, Raphael</v>
      </c>
      <c r="D25" s="130">
        <f>VLOOKUP(C25,'Analysis A'!C$7:$J29,8,0)</f>
        <v>9.5</v>
      </c>
      <c r="E25" s="130">
        <f>VLOOKUP(C25,'Analysis B'!C$7:$N29,12,0)</f>
        <v>14.5</v>
      </c>
      <c r="F25" s="130">
        <f>VLOOKUP(C25,'Stochastik A'!C$7:$E29,3,0)</f>
        <v>5</v>
      </c>
      <c r="G25" s="130">
        <f>VLOOKUP(C25,'Stochastik B'!C$7:$I29,7,0)</f>
        <v>7</v>
      </c>
      <c r="H25" s="130">
        <f>VLOOKUP(C25,'Geometrie A'!C$7:$F29,4,0)</f>
        <v>2</v>
      </c>
      <c r="I25" s="130">
        <f>VLOOKUP(C25,'Geometrie B'!C$7:$I29,7,0)</f>
        <v>13.5</v>
      </c>
      <c r="J25" s="130">
        <f>VLOOKUP(C25,Wahlaufgaben!C$7:$I29,7,0)</f>
        <v>8</v>
      </c>
      <c r="K25" s="114">
        <f t="shared" si="0"/>
        <v>59.5</v>
      </c>
      <c r="L25" s="133">
        <f>VLOOKUP(VALUE(K25),Notenspiegel!$B$3:$C$302,2,0)</f>
        <v>7</v>
      </c>
      <c r="M25" s="135" t="str">
        <f>VLOOKUP(VALUE(K25),Notenspiegel!$B$3:$D$302,3,0)</f>
        <v>3-</v>
      </c>
      <c r="N25" s="95" t="str">
        <f>VLOOKUP(VALUE(K25),Notenspiegel!$B$3:$E$302,4,0)</f>
        <v>++</v>
      </c>
    </row>
    <row r="26" spans="2:14" ht="18" customHeight="1" thickBot="1" x14ac:dyDescent="0.25">
      <c r="B26" s="120">
        <v>20</v>
      </c>
      <c r="C26" s="112" t="str">
        <f>Config!C24&amp;", "&amp;Config!D24</f>
        <v>Hartl, Emmely</v>
      </c>
      <c r="D26" s="130">
        <f>VLOOKUP(C26,'Analysis A'!C$7:$J29,8,0)</f>
        <v>13.5</v>
      </c>
      <c r="E26" s="130">
        <f>VLOOKUP(C26,'Analysis B'!C$7:$N29,12,0)</f>
        <v>23</v>
      </c>
      <c r="F26" s="130">
        <f>VLOOKUP(C26,'Stochastik A'!C$7:$E29,3,0)</f>
        <v>3</v>
      </c>
      <c r="G26" s="130">
        <f>VLOOKUP(C26,'Stochastik B'!C$7:$I29,7,0)</f>
        <v>4.5</v>
      </c>
      <c r="H26" s="130">
        <f>VLOOKUP(C26,'Geometrie A'!C$7:$F29,4,0)</f>
        <v>2</v>
      </c>
      <c r="I26" s="130">
        <f>VLOOKUP(C26,'Geometrie B'!C$7:$I29,7,0)</f>
        <v>15</v>
      </c>
      <c r="J26" s="130">
        <f>VLOOKUP(C26,Wahlaufgaben!C$7:$I29,7,0)</f>
        <v>10</v>
      </c>
      <c r="K26" s="114">
        <f t="shared" si="0"/>
        <v>71</v>
      </c>
      <c r="L26" s="133">
        <f>VLOOKUP(VALUE(K26),Notenspiegel!$B$3:$C$302,2,0)</f>
        <v>10</v>
      </c>
      <c r="M26" s="135" t="str">
        <f>VLOOKUP(VALUE(K26),Notenspiegel!$B$3:$D$302,3,0)</f>
        <v>2-</v>
      </c>
      <c r="N26" s="95" t="str">
        <f>VLOOKUP(VALUE(K26),Notenspiegel!$B$3:$E$302,4,0)</f>
        <v/>
      </c>
    </row>
    <row r="27" spans="2:14" ht="18" customHeight="1" thickBot="1" x14ac:dyDescent="0.25">
      <c r="B27" s="120">
        <v>21</v>
      </c>
      <c r="C27" s="112" t="str">
        <f>Config!C25&amp;", "&amp;Config!D25</f>
        <v>Klotz, Karin</v>
      </c>
      <c r="D27" s="130">
        <f>VLOOKUP(C27,'Analysis A'!C$7:$J29,8,0)</f>
        <v>13.5</v>
      </c>
      <c r="E27" s="130">
        <f>VLOOKUP(C27,'Analysis B'!C$7:$N29,12,0)</f>
        <v>26.5</v>
      </c>
      <c r="F27" s="130">
        <f>VLOOKUP(C27,'Stochastik A'!C$7:$E29,3,0)</f>
        <v>4</v>
      </c>
      <c r="G27" s="130">
        <f>VLOOKUP(C27,'Stochastik B'!C$7:$I29,7,0)</f>
        <v>6</v>
      </c>
      <c r="H27" s="130">
        <f>VLOOKUP(C27,'Geometrie A'!C$7:$F29,4,0)</f>
        <v>5</v>
      </c>
      <c r="I27" s="130">
        <f>VLOOKUP(C27,'Geometrie B'!C$7:$I29,7,0)</f>
        <v>16</v>
      </c>
      <c r="J27" s="130">
        <f>VLOOKUP(C27,Wahlaufgaben!C$7:$I29,7,0)</f>
        <v>10</v>
      </c>
      <c r="K27" s="114">
        <f t="shared" si="0"/>
        <v>81</v>
      </c>
      <c r="L27" s="133">
        <f>VLOOKUP(VALUE(K27),Notenspiegel!$B$3:$C$302,2,0)</f>
        <v>12</v>
      </c>
      <c r="M27" s="135" t="str">
        <f>VLOOKUP(VALUE(K27),Notenspiegel!$B$3:$D$302,3,0)</f>
        <v>2+</v>
      </c>
      <c r="N27" s="95" t="str">
        <f>VLOOKUP(VALUE(K27),Notenspiegel!$B$3:$E$302,4,0)</f>
        <v/>
      </c>
    </row>
    <row r="28" spans="2:14" ht="18" customHeight="1" thickBot="1" x14ac:dyDescent="0.25">
      <c r="B28" s="120">
        <v>22</v>
      </c>
      <c r="C28" s="112" t="str">
        <f>Config!C26&amp;", "&amp;Config!D26</f>
        <v>Ehlers, Ingo</v>
      </c>
      <c r="D28" s="130">
        <f>VLOOKUP(C28,'Analysis A'!C$7:$J29,8,0)</f>
        <v>10</v>
      </c>
      <c r="E28" s="130">
        <f>VLOOKUP(C28,'Analysis B'!C$7:$N29,12,0)</f>
        <v>21</v>
      </c>
      <c r="F28" s="130">
        <f>VLOOKUP(C28,'Stochastik A'!C$7:$E29,3,0)</f>
        <v>5</v>
      </c>
      <c r="G28" s="130">
        <f>VLOOKUP(C28,'Stochastik B'!C$7:$I29,7,0)</f>
        <v>5.5</v>
      </c>
      <c r="H28" s="130">
        <f>VLOOKUP(C28,'Geometrie A'!C$7:$F29,4,0)</f>
        <v>5</v>
      </c>
      <c r="I28" s="130">
        <f>VLOOKUP(C28,'Geometrie B'!C$7:$I29,7,0)</f>
        <v>14.5</v>
      </c>
      <c r="J28" s="130">
        <f>VLOOKUP(C28,Wahlaufgaben!C$7:$I29,7,0)</f>
        <v>7</v>
      </c>
      <c r="K28" s="114">
        <f t="shared" si="0"/>
        <v>68</v>
      </c>
      <c r="L28" s="133">
        <f>VLOOKUP(VALUE(K28),Notenspiegel!$B$3:$C$302,2,0)</f>
        <v>9</v>
      </c>
      <c r="M28" s="135" t="str">
        <f>VLOOKUP(VALUE(K28),Notenspiegel!$B$3:$D$302,3,0)</f>
        <v>3+</v>
      </c>
      <c r="N28" s="95" t="str">
        <f>VLOOKUP(VALUE(K28),Notenspiegel!$B$3:$E$302,4,0)</f>
        <v/>
      </c>
    </row>
    <row r="29" spans="2:14" ht="18" customHeight="1" thickBot="1" x14ac:dyDescent="0.25">
      <c r="B29" s="121">
        <v>23</v>
      </c>
      <c r="C29" s="118" t="str">
        <f>Config!C27&amp;", "&amp;Config!D27</f>
        <v>Lindemann, Mads</v>
      </c>
      <c r="D29" s="138">
        <f>VLOOKUP(C29,'Analysis A'!C$7:$J29,8,0)</f>
        <v>7</v>
      </c>
      <c r="E29" s="138">
        <f>VLOOKUP(C29,'Analysis B'!C$7:$N29,12,0)</f>
        <v>16</v>
      </c>
      <c r="F29" s="138">
        <f>VLOOKUP(C29,'Stochastik A'!C$7:$E29,3,0)</f>
        <v>5</v>
      </c>
      <c r="G29" s="138">
        <f>VLOOKUP(C29,'Stochastik B'!C$7:$I29,7,0)</f>
        <v>10</v>
      </c>
      <c r="H29" s="138">
        <f>VLOOKUP(C29,'Geometrie A'!C$7:$F29,4,0)</f>
        <v>3</v>
      </c>
      <c r="I29" s="138">
        <f>VLOOKUP(C29,'Geometrie B'!C$7:$I29,7,0)</f>
        <v>6.5</v>
      </c>
      <c r="J29" s="138">
        <f>VLOOKUP(C29,Wahlaufgaben!C$7:$I29,7,0)</f>
        <v>8</v>
      </c>
      <c r="K29" s="114">
        <f t="shared" si="0"/>
        <v>55.5</v>
      </c>
      <c r="L29" s="136">
        <f>VLOOKUP(VALUE(K29),Notenspiegel!$B$3:$C$302,2,0)</f>
        <v>7</v>
      </c>
      <c r="M29" s="137" t="str">
        <f>VLOOKUP(VALUE(K29),Notenspiegel!$B$3:$D$302,3,0)</f>
        <v>3-</v>
      </c>
      <c r="N29" s="95" t="str">
        <f>VLOOKUP(VALUE(K29),Notenspiegel!$B$3:$E$302,4,0)</f>
        <v>-</v>
      </c>
    </row>
    <row r="30" spans="2:14" ht="18" customHeight="1" thickBot="1" x14ac:dyDescent="0.25">
      <c r="B30" s="69"/>
      <c r="C30" s="70"/>
      <c r="D30" s="70">
        <f t="shared" ref="D30:J30" si="1">SUM(D7:D29)/(23*D6)</f>
        <v>0.67391304347826086</v>
      </c>
      <c r="E30" s="70">
        <f t="shared" si="1"/>
        <v>0.63260869565217392</v>
      </c>
      <c r="F30" s="70">
        <f t="shared" si="1"/>
        <v>0.74782608695652175</v>
      </c>
      <c r="G30" s="70">
        <f t="shared" si="1"/>
        <v>0.4373401534526854</v>
      </c>
      <c r="H30" s="70">
        <f t="shared" si="1"/>
        <v>0.66956521739130437</v>
      </c>
      <c r="I30" s="70">
        <f t="shared" si="1"/>
        <v>0.61594202898550721</v>
      </c>
      <c r="J30" s="70">
        <f t="shared" si="1"/>
        <v>0.74347826086956526</v>
      </c>
      <c r="K30" s="70" t="s">
        <v>85</v>
      </c>
      <c r="L30" s="71">
        <f>AVERAGE(L7:L29)</f>
        <v>7.9565217391304346</v>
      </c>
      <c r="M30" s="82">
        <f t="array" ref="M30">AVERAGE(SUBSTITUTE(SUBSTITUTE(M7:M29,"+",""),"-","")*1)</f>
        <v>3</v>
      </c>
    </row>
    <row r="31" spans="2:14" ht="18" customHeight="1" x14ac:dyDescent="0.2"/>
    <row r="32" spans="2:14"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4325-C013-4FFA-8324-AA7507568007}">
  <sheetPr codeName="Tabelle12">
    <tabColor rgb="FF92D050"/>
  </sheetPr>
  <dimension ref="B1:J100"/>
  <sheetViews>
    <sheetView workbookViewId="0">
      <selection activeCell="D7" sqref="D7"/>
    </sheetView>
  </sheetViews>
  <sheetFormatPr baseColWidth="10" defaultRowHeight="12.75" x14ac:dyDescent="0.2"/>
  <cols>
    <col min="1" max="2" width="3.42578125" style="95" customWidth="1"/>
    <col min="3" max="3" width="25.7109375" style="95" customWidth="1"/>
    <col min="4" max="10" width="8.7109375" style="95" customWidth="1"/>
    <col min="11" max="16384" width="11.42578125" style="95"/>
  </cols>
  <sheetData>
    <row r="1" spans="2:10" ht="18" customHeight="1" thickBot="1" x14ac:dyDescent="0.25"/>
    <row r="2" spans="2:10" ht="18" customHeight="1" x14ac:dyDescent="0.2">
      <c r="B2" s="96" t="str">
        <f>Config!F2&amp;" "&amp;YEAR(Config!G27)</f>
        <v>Mathe Abitur 2026</v>
      </c>
      <c r="C2" s="97"/>
      <c r="D2" s="97"/>
      <c r="E2" s="97"/>
      <c r="F2" s="97"/>
      <c r="G2" s="98"/>
      <c r="H2" s="98"/>
      <c r="I2" s="98"/>
      <c r="J2" s="99" t="str">
        <f>"Kurs "&amp;Config!G29</f>
        <v>Kurs K1</v>
      </c>
    </row>
    <row r="3" spans="2:10" ht="18" customHeight="1" x14ac:dyDescent="0.2">
      <c r="B3" s="100" t="s">
        <v>9</v>
      </c>
      <c r="C3" s="101"/>
      <c r="D3" s="101"/>
      <c r="E3" s="101"/>
      <c r="F3" s="101"/>
      <c r="G3" s="101"/>
      <c r="H3" s="101"/>
      <c r="I3" s="101"/>
      <c r="J3" s="102"/>
    </row>
    <row r="4" spans="2:10" ht="18" customHeight="1" thickBot="1" x14ac:dyDescent="0.25">
      <c r="B4" s="100"/>
      <c r="C4" s="101"/>
      <c r="D4" s="103"/>
      <c r="E4" s="103"/>
      <c r="F4" s="103"/>
      <c r="G4" s="103"/>
      <c r="H4" s="103"/>
      <c r="I4" s="103"/>
      <c r="J4" s="104"/>
    </row>
    <row r="5" spans="2:10" ht="18" customHeight="1" thickBot="1" x14ac:dyDescent="0.25">
      <c r="B5" s="105"/>
      <c r="C5" s="107"/>
      <c r="D5" s="124" t="str">
        <f>Config!F6</f>
        <v>1a</v>
      </c>
      <c r="E5" s="124" t="str">
        <f>Config!F7</f>
        <v>1b</v>
      </c>
      <c r="F5" s="124" t="str">
        <f>Config!F8</f>
        <v>2</v>
      </c>
      <c r="G5" s="124" t="str">
        <f>Config!F9</f>
        <v>3</v>
      </c>
      <c r="H5" s="124" t="str">
        <f>Config!F10</f>
        <v>4a</v>
      </c>
      <c r="I5" s="124" t="str">
        <f>Config!F11</f>
        <v>4b</v>
      </c>
      <c r="J5" s="111" t="s">
        <v>82</v>
      </c>
    </row>
    <row r="6" spans="2:10" ht="18" customHeight="1" thickBot="1" x14ac:dyDescent="0.25">
      <c r="B6" s="106"/>
      <c r="C6" s="108" t="s">
        <v>81</v>
      </c>
      <c r="D6" s="110">
        <f>Config!G6</f>
        <v>2</v>
      </c>
      <c r="E6" s="110">
        <f>Config!G7</f>
        <v>2</v>
      </c>
      <c r="F6" s="110">
        <f>Config!G8</f>
        <v>3</v>
      </c>
      <c r="G6" s="110">
        <f>Config!G9</f>
        <v>3</v>
      </c>
      <c r="H6" s="110">
        <f>Config!G10</f>
        <v>3</v>
      </c>
      <c r="I6" s="110">
        <f>Config!G11</f>
        <v>2</v>
      </c>
      <c r="J6" s="125">
        <f>Config!G21</f>
        <v>15</v>
      </c>
    </row>
    <row r="7" spans="2:10" ht="18" customHeight="1" thickBot="1" x14ac:dyDescent="0.25">
      <c r="B7" s="119">
        <v>1</v>
      </c>
      <c r="C7" s="117" t="str">
        <f>Config!C5&amp;", "&amp;Config!D5</f>
        <v>Höfer, Simon</v>
      </c>
      <c r="D7" s="64">
        <v>0.5</v>
      </c>
      <c r="E7" s="64">
        <v>2</v>
      </c>
      <c r="F7" s="64">
        <v>1.5</v>
      </c>
      <c r="G7" s="64">
        <v>2.5</v>
      </c>
      <c r="H7" s="64">
        <v>3</v>
      </c>
      <c r="I7" s="65">
        <v>2</v>
      </c>
      <c r="J7" s="115">
        <f t="shared" ref="J7:J29" si="0">SUM(D7:I7)</f>
        <v>11.5</v>
      </c>
    </row>
    <row r="8" spans="2:10" ht="18" customHeight="1" thickBot="1" x14ac:dyDescent="0.25">
      <c r="B8" s="120">
        <v>2</v>
      </c>
      <c r="C8" s="112" t="str">
        <f>Config!C6&amp;", "&amp;Config!D6</f>
        <v>Töpfer, Lilian</v>
      </c>
      <c r="D8" s="63">
        <v>1.5</v>
      </c>
      <c r="E8" s="63">
        <v>2</v>
      </c>
      <c r="F8" s="63">
        <v>0.5</v>
      </c>
      <c r="G8" s="63">
        <v>1</v>
      </c>
      <c r="H8" s="63">
        <v>2</v>
      </c>
      <c r="I8" s="66">
        <v>2</v>
      </c>
      <c r="J8" s="115">
        <f t="shared" si="0"/>
        <v>9</v>
      </c>
    </row>
    <row r="9" spans="2:10" ht="18" customHeight="1" thickBot="1" x14ac:dyDescent="0.25">
      <c r="B9" s="120">
        <v>3</v>
      </c>
      <c r="C9" s="112" t="str">
        <f>Config!C7&amp;", "&amp;Config!D7</f>
        <v>Fleischmann, Leonie</v>
      </c>
      <c r="D9" s="63">
        <v>0.5</v>
      </c>
      <c r="E9" s="63">
        <v>1.5</v>
      </c>
      <c r="F9" s="63">
        <v>1.5</v>
      </c>
      <c r="G9" s="63">
        <v>3</v>
      </c>
      <c r="H9" s="63">
        <v>3</v>
      </c>
      <c r="I9" s="66">
        <v>1</v>
      </c>
      <c r="J9" s="115">
        <f t="shared" si="0"/>
        <v>10.5</v>
      </c>
    </row>
    <row r="10" spans="2:10" ht="18" customHeight="1" thickBot="1" x14ac:dyDescent="0.25">
      <c r="B10" s="120">
        <v>4</v>
      </c>
      <c r="C10" s="112" t="str">
        <f>Config!C8&amp;", "&amp;Config!D8</f>
        <v>Drescher, Cedric</v>
      </c>
      <c r="D10" s="63">
        <v>2</v>
      </c>
      <c r="E10" s="63">
        <v>2</v>
      </c>
      <c r="F10" s="63">
        <v>1</v>
      </c>
      <c r="G10" s="63">
        <v>3</v>
      </c>
      <c r="H10" s="63">
        <v>2.5</v>
      </c>
      <c r="I10" s="66">
        <v>2</v>
      </c>
      <c r="J10" s="115">
        <f t="shared" si="0"/>
        <v>12.5</v>
      </c>
    </row>
    <row r="11" spans="2:10" ht="18" customHeight="1" thickBot="1" x14ac:dyDescent="0.25">
      <c r="B11" s="120">
        <v>5</v>
      </c>
      <c r="C11" s="112" t="str">
        <f>Config!C9&amp;", "&amp;Config!D9</f>
        <v>Baumgarten, Annabell</v>
      </c>
      <c r="D11" s="63">
        <v>2</v>
      </c>
      <c r="E11" s="63">
        <v>2</v>
      </c>
      <c r="F11" s="63">
        <v>2.5</v>
      </c>
      <c r="G11" s="63">
        <v>3</v>
      </c>
      <c r="H11" s="63">
        <v>2.5</v>
      </c>
      <c r="I11" s="66">
        <v>2</v>
      </c>
      <c r="J11" s="115">
        <f t="shared" si="0"/>
        <v>14</v>
      </c>
    </row>
    <row r="12" spans="2:10" ht="18" customHeight="1" thickBot="1" x14ac:dyDescent="0.25">
      <c r="B12" s="120">
        <v>6</v>
      </c>
      <c r="C12" s="112" t="str">
        <f>Config!C10&amp;", "&amp;Config!D10</f>
        <v>Traut, Stefanie</v>
      </c>
      <c r="D12" s="63">
        <v>2</v>
      </c>
      <c r="E12" s="63">
        <v>2</v>
      </c>
      <c r="F12" s="63">
        <v>2</v>
      </c>
      <c r="G12" s="63">
        <v>2</v>
      </c>
      <c r="H12" s="63">
        <v>2.5</v>
      </c>
      <c r="I12" s="66">
        <v>2</v>
      </c>
      <c r="J12" s="115">
        <f t="shared" si="0"/>
        <v>12.5</v>
      </c>
    </row>
    <row r="13" spans="2:10" ht="18" customHeight="1" thickBot="1" x14ac:dyDescent="0.25">
      <c r="B13" s="120">
        <v>7</v>
      </c>
      <c r="C13" s="112" t="str">
        <f>Config!C11&amp;", "&amp;Config!D11</f>
        <v>Menke, Damian</v>
      </c>
      <c r="D13" s="63">
        <v>1</v>
      </c>
      <c r="E13" s="63">
        <v>1.5</v>
      </c>
      <c r="F13" s="63">
        <v>3</v>
      </c>
      <c r="G13" s="63">
        <v>3</v>
      </c>
      <c r="H13" s="63">
        <v>3</v>
      </c>
      <c r="I13" s="66">
        <v>1</v>
      </c>
      <c r="J13" s="115">
        <f t="shared" si="0"/>
        <v>12.5</v>
      </c>
    </row>
    <row r="14" spans="2:10" ht="18" customHeight="1" thickBot="1" x14ac:dyDescent="0.25">
      <c r="B14" s="120">
        <v>8</v>
      </c>
      <c r="C14" s="112" t="str">
        <f>Config!C12&amp;", "&amp;Config!D12</f>
        <v>Carroll, Meik</v>
      </c>
      <c r="D14" s="63">
        <v>0.5</v>
      </c>
      <c r="E14" s="63">
        <v>2</v>
      </c>
      <c r="F14" s="63">
        <v>1.5</v>
      </c>
      <c r="G14" s="63">
        <v>1</v>
      </c>
      <c r="H14" s="63">
        <v>3</v>
      </c>
      <c r="I14" s="66">
        <v>1</v>
      </c>
      <c r="J14" s="115">
        <f t="shared" si="0"/>
        <v>9</v>
      </c>
    </row>
    <row r="15" spans="2:10" ht="18" customHeight="1" thickBot="1" x14ac:dyDescent="0.25">
      <c r="B15" s="120">
        <v>9</v>
      </c>
      <c r="C15" s="112" t="str">
        <f>Config!C13&amp;", "&amp;Config!D13</f>
        <v>Hennings, Tomas</v>
      </c>
      <c r="D15" s="63">
        <v>1.5</v>
      </c>
      <c r="E15" s="63">
        <v>2</v>
      </c>
      <c r="F15" s="63">
        <v>1.5</v>
      </c>
      <c r="G15" s="63">
        <v>1</v>
      </c>
      <c r="H15" s="63">
        <v>2</v>
      </c>
      <c r="I15" s="66">
        <v>2</v>
      </c>
      <c r="J15" s="115">
        <f t="shared" si="0"/>
        <v>10</v>
      </c>
    </row>
    <row r="16" spans="2:10" ht="18" customHeight="1" thickBot="1" x14ac:dyDescent="0.25">
      <c r="B16" s="120">
        <v>10</v>
      </c>
      <c r="C16" s="112" t="str">
        <f>Config!C14&amp;", "&amp;Config!D14</f>
        <v>Walters, Linn</v>
      </c>
      <c r="D16" s="63">
        <v>0.5</v>
      </c>
      <c r="E16" s="63">
        <v>1</v>
      </c>
      <c r="F16" s="63">
        <v>0</v>
      </c>
      <c r="G16" s="63">
        <v>1</v>
      </c>
      <c r="H16" s="63">
        <v>0.5</v>
      </c>
      <c r="I16" s="66">
        <v>0</v>
      </c>
      <c r="J16" s="115">
        <f t="shared" si="0"/>
        <v>3</v>
      </c>
    </row>
    <row r="17" spans="2:10" ht="18" customHeight="1" thickBot="1" x14ac:dyDescent="0.25">
      <c r="B17" s="120">
        <v>11</v>
      </c>
      <c r="C17" s="112" t="str">
        <f>Config!C15&amp;", "&amp;Config!D15</f>
        <v>Junker, Amely</v>
      </c>
      <c r="D17" s="63">
        <v>0.5</v>
      </c>
      <c r="E17" s="63">
        <v>2</v>
      </c>
      <c r="F17" s="63">
        <v>1.5</v>
      </c>
      <c r="G17" s="63">
        <v>0</v>
      </c>
      <c r="H17" s="63">
        <v>1.5</v>
      </c>
      <c r="I17" s="66">
        <v>1</v>
      </c>
      <c r="J17" s="115">
        <f t="shared" si="0"/>
        <v>6.5</v>
      </c>
    </row>
    <row r="18" spans="2:10" ht="18" customHeight="1" thickBot="1" x14ac:dyDescent="0.25">
      <c r="B18" s="120">
        <v>12</v>
      </c>
      <c r="C18" s="112" t="str">
        <f>Config!C16&amp;", "&amp;Config!D16</f>
        <v>Stephens, Melvin</v>
      </c>
      <c r="D18" s="63">
        <v>2</v>
      </c>
      <c r="E18" s="63">
        <v>2</v>
      </c>
      <c r="F18" s="63">
        <v>1</v>
      </c>
      <c r="G18" s="63">
        <v>3</v>
      </c>
      <c r="H18" s="63">
        <v>1.5</v>
      </c>
      <c r="I18" s="66">
        <v>2</v>
      </c>
      <c r="J18" s="115">
        <f t="shared" si="0"/>
        <v>11.5</v>
      </c>
    </row>
    <row r="19" spans="2:10" ht="18" customHeight="1" thickBot="1" x14ac:dyDescent="0.25">
      <c r="B19" s="120">
        <v>13</v>
      </c>
      <c r="C19" s="112" t="str">
        <f>Config!C17&amp;", "&amp;Config!D17</f>
        <v>Cremer, Marvin</v>
      </c>
      <c r="D19" s="63">
        <v>1.5</v>
      </c>
      <c r="E19" s="63">
        <v>2</v>
      </c>
      <c r="F19" s="63">
        <v>1.5</v>
      </c>
      <c r="G19" s="63">
        <v>3</v>
      </c>
      <c r="H19" s="63">
        <v>3</v>
      </c>
      <c r="I19" s="66">
        <v>1.5</v>
      </c>
      <c r="J19" s="115">
        <f t="shared" si="0"/>
        <v>12.5</v>
      </c>
    </row>
    <row r="20" spans="2:10" ht="18" customHeight="1" thickBot="1" x14ac:dyDescent="0.25">
      <c r="B20" s="120">
        <v>14</v>
      </c>
      <c r="C20" s="112" t="str">
        <f>Config!C18&amp;", "&amp;Config!D18</f>
        <v>Nash, Jean</v>
      </c>
      <c r="D20" s="63">
        <v>2</v>
      </c>
      <c r="E20" s="63">
        <v>2</v>
      </c>
      <c r="F20" s="63">
        <v>1.5</v>
      </c>
      <c r="G20" s="63">
        <v>3</v>
      </c>
      <c r="H20" s="63">
        <v>3</v>
      </c>
      <c r="I20" s="66">
        <v>2</v>
      </c>
      <c r="J20" s="115">
        <f t="shared" si="0"/>
        <v>13.5</v>
      </c>
    </row>
    <row r="21" spans="2:10" ht="18" customHeight="1" thickBot="1" x14ac:dyDescent="0.25">
      <c r="B21" s="120">
        <v>15</v>
      </c>
      <c r="C21" s="112" t="str">
        <f>Config!C19&amp;", "&amp;Config!D19</f>
        <v>Schön, Leonardo</v>
      </c>
      <c r="D21" s="63">
        <v>1</v>
      </c>
      <c r="E21" s="63">
        <v>2</v>
      </c>
      <c r="F21" s="63">
        <v>1.5</v>
      </c>
      <c r="G21" s="63">
        <v>3</v>
      </c>
      <c r="H21" s="63">
        <v>2.5</v>
      </c>
      <c r="I21" s="66">
        <v>2</v>
      </c>
      <c r="J21" s="115">
        <f t="shared" si="0"/>
        <v>12</v>
      </c>
    </row>
    <row r="22" spans="2:10" ht="18" customHeight="1" thickBot="1" x14ac:dyDescent="0.25">
      <c r="B22" s="120">
        <v>16</v>
      </c>
      <c r="C22" s="112" t="str">
        <f>Config!C20&amp;", "&amp;Config!D20</f>
        <v>Sigl, Nicholas</v>
      </c>
      <c r="D22" s="63">
        <v>2</v>
      </c>
      <c r="E22" s="63">
        <v>0</v>
      </c>
      <c r="F22" s="63">
        <v>1</v>
      </c>
      <c r="G22" s="63">
        <v>1.5</v>
      </c>
      <c r="H22" s="63">
        <v>2</v>
      </c>
      <c r="I22" s="66">
        <v>1</v>
      </c>
      <c r="J22" s="115">
        <f t="shared" si="0"/>
        <v>7.5</v>
      </c>
    </row>
    <row r="23" spans="2:10" ht="18" customHeight="1" thickBot="1" x14ac:dyDescent="0.25">
      <c r="B23" s="120">
        <v>17</v>
      </c>
      <c r="C23" s="112" t="str">
        <f>Config!C21&amp;", "&amp;Config!D21</f>
        <v>Kainz, Vivienne</v>
      </c>
      <c r="D23" s="63">
        <v>0.5</v>
      </c>
      <c r="E23" s="63">
        <v>0</v>
      </c>
      <c r="F23" s="63">
        <v>0</v>
      </c>
      <c r="G23" s="63">
        <v>0</v>
      </c>
      <c r="H23" s="63">
        <v>0.5</v>
      </c>
      <c r="I23" s="66">
        <v>0</v>
      </c>
      <c r="J23" s="115">
        <f t="shared" si="0"/>
        <v>1</v>
      </c>
    </row>
    <row r="24" spans="2:10" ht="18" customHeight="1" thickBot="1" x14ac:dyDescent="0.25">
      <c r="B24" s="120">
        <v>18</v>
      </c>
      <c r="C24" s="112" t="str">
        <f>Config!C22&amp;", "&amp;Config!D22</f>
        <v>Hartmann, Mads</v>
      </c>
      <c r="D24" s="63">
        <v>2</v>
      </c>
      <c r="E24" s="63">
        <v>2</v>
      </c>
      <c r="F24" s="63">
        <v>1</v>
      </c>
      <c r="G24" s="63">
        <v>1</v>
      </c>
      <c r="H24" s="63">
        <v>3</v>
      </c>
      <c r="I24" s="66">
        <v>1</v>
      </c>
      <c r="J24" s="115">
        <f t="shared" si="0"/>
        <v>10</v>
      </c>
    </row>
    <row r="25" spans="2:10" ht="18" customHeight="1" thickBot="1" x14ac:dyDescent="0.25">
      <c r="B25" s="120">
        <v>19</v>
      </c>
      <c r="C25" s="112" t="str">
        <f>Config!C23&amp;", "&amp;Config!D23</f>
        <v>Ullmann, Raphael</v>
      </c>
      <c r="D25" s="63">
        <v>0.5</v>
      </c>
      <c r="E25" s="63">
        <v>2</v>
      </c>
      <c r="F25" s="63">
        <v>1</v>
      </c>
      <c r="G25" s="63">
        <v>2.5</v>
      </c>
      <c r="H25" s="63">
        <v>1.5</v>
      </c>
      <c r="I25" s="66">
        <v>2</v>
      </c>
      <c r="J25" s="115">
        <f t="shared" si="0"/>
        <v>9.5</v>
      </c>
    </row>
    <row r="26" spans="2:10" ht="18" customHeight="1" thickBot="1" x14ac:dyDescent="0.25">
      <c r="B26" s="120">
        <v>20</v>
      </c>
      <c r="C26" s="112" t="str">
        <f>Config!C24&amp;", "&amp;Config!D24</f>
        <v>Hartl, Emmely</v>
      </c>
      <c r="D26" s="63">
        <v>1</v>
      </c>
      <c r="E26" s="63">
        <v>2</v>
      </c>
      <c r="F26" s="63">
        <v>2.5</v>
      </c>
      <c r="G26" s="63">
        <v>3</v>
      </c>
      <c r="H26" s="63">
        <v>3</v>
      </c>
      <c r="I26" s="66">
        <v>2</v>
      </c>
      <c r="J26" s="115">
        <f t="shared" si="0"/>
        <v>13.5</v>
      </c>
    </row>
    <row r="27" spans="2:10" ht="18" customHeight="1" thickBot="1" x14ac:dyDescent="0.25">
      <c r="B27" s="120">
        <v>21</v>
      </c>
      <c r="C27" s="112" t="str">
        <f>Config!C25&amp;", "&amp;Config!D25</f>
        <v>Klotz, Karin</v>
      </c>
      <c r="D27" s="63">
        <v>2</v>
      </c>
      <c r="E27" s="63">
        <v>2</v>
      </c>
      <c r="F27" s="63">
        <v>1.5</v>
      </c>
      <c r="G27" s="63">
        <v>3</v>
      </c>
      <c r="H27" s="63">
        <v>3</v>
      </c>
      <c r="I27" s="66">
        <v>2</v>
      </c>
      <c r="J27" s="115">
        <f t="shared" si="0"/>
        <v>13.5</v>
      </c>
    </row>
    <row r="28" spans="2:10" ht="18" customHeight="1" thickBot="1" x14ac:dyDescent="0.25">
      <c r="B28" s="120">
        <v>22</v>
      </c>
      <c r="C28" s="112" t="str">
        <f>Config!C26&amp;", "&amp;Config!D26</f>
        <v>Ehlers, Ingo</v>
      </c>
      <c r="D28" s="63">
        <v>0.5</v>
      </c>
      <c r="E28" s="63">
        <v>1.5</v>
      </c>
      <c r="F28" s="63">
        <v>1</v>
      </c>
      <c r="G28" s="63">
        <v>3</v>
      </c>
      <c r="H28" s="63">
        <v>3</v>
      </c>
      <c r="I28" s="66">
        <v>1</v>
      </c>
      <c r="J28" s="115">
        <f t="shared" si="0"/>
        <v>10</v>
      </c>
    </row>
    <row r="29" spans="2:10" ht="18" customHeight="1" thickBot="1" x14ac:dyDescent="0.25">
      <c r="B29" s="121">
        <v>23</v>
      </c>
      <c r="C29" s="118" t="str">
        <f>Config!C27&amp;", "&amp;Config!D27</f>
        <v>Lindemann, Mads</v>
      </c>
      <c r="D29" s="67">
        <v>0.5</v>
      </c>
      <c r="E29" s="67">
        <v>2</v>
      </c>
      <c r="F29" s="67">
        <v>1.5</v>
      </c>
      <c r="G29" s="67">
        <v>0.5</v>
      </c>
      <c r="H29" s="67">
        <v>1.5</v>
      </c>
      <c r="I29" s="68">
        <v>1</v>
      </c>
      <c r="J29" s="113">
        <f t="shared" si="0"/>
        <v>7</v>
      </c>
    </row>
    <row r="30" spans="2:10" ht="18" customHeight="1" thickBot="1" x14ac:dyDescent="0.25">
      <c r="B30" s="122"/>
      <c r="C30" s="123"/>
      <c r="D30" s="123">
        <f t="shared" ref="D30:I30" si="1">IF(COUNTIF(D7:D29,"&lt;&gt;")&lt;&gt;0,SUM(D7:D29)/(COUNTIF(D7:D29,"&lt;&gt;")*D6),0)</f>
        <v>0.60869565217391308</v>
      </c>
      <c r="E30" s="123">
        <f t="shared" si="1"/>
        <v>0.85869565217391308</v>
      </c>
      <c r="F30" s="123">
        <f t="shared" si="1"/>
        <v>0.45652173913043476</v>
      </c>
      <c r="G30" s="123">
        <f t="shared" si="1"/>
        <v>0.6811594202898551</v>
      </c>
      <c r="H30" s="123">
        <f t="shared" si="1"/>
        <v>0.76811594202898548</v>
      </c>
      <c r="I30" s="123">
        <f t="shared" si="1"/>
        <v>0.72826086956521741</v>
      </c>
      <c r="J30" s="116"/>
    </row>
    <row r="31" spans="2:10" ht="18" customHeight="1" x14ac:dyDescent="0.2"/>
    <row r="32" spans="2:10"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6">
    <dataValidation type="decimal" allowBlank="1" showErrorMessage="1" sqref="D7:D29" xr:uid="{0CA020B0-E554-493F-B561-E27A01180034}">
      <formula1>0</formula1>
      <formula2>$D$6</formula2>
    </dataValidation>
    <dataValidation type="decimal" allowBlank="1" showErrorMessage="1" sqref="E7:E29" xr:uid="{094CB491-B144-4555-9454-55318FC3FEBF}">
      <formula1>0</formula1>
      <formula2>$E$6</formula2>
    </dataValidation>
    <dataValidation type="decimal" allowBlank="1" showErrorMessage="1" sqref="F7:F29" xr:uid="{D0F82FB7-CB40-4B81-8D2C-405D6E034F09}">
      <formula1>0</formula1>
      <formula2>$F$6</formula2>
    </dataValidation>
    <dataValidation type="decimal" allowBlank="1" showErrorMessage="1" sqref="G7:G29" xr:uid="{F57CA227-A5E8-47ED-9788-6E1B123CD48A}">
      <formula1>0</formula1>
      <formula2>$G$6</formula2>
    </dataValidation>
    <dataValidation type="decimal" allowBlank="1" showErrorMessage="1" sqref="H7:H29" xr:uid="{3EBDD47F-E0A9-4892-BCF9-AE6F077DD07F}">
      <formula1>0</formula1>
      <formula2>$H$6</formula2>
    </dataValidation>
    <dataValidation type="decimal" allowBlank="1" showErrorMessage="1" sqref="I7:I29" xr:uid="{C417352F-EA50-486B-B83F-135087AF0428}">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7EE3-968A-4E9A-A76C-35E2A15824B6}">
  <sheetPr codeName="Tabelle13">
    <tabColor rgb="FF92D050"/>
  </sheetPr>
  <dimension ref="B1:N100"/>
  <sheetViews>
    <sheetView workbookViewId="0">
      <selection activeCell="D7" sqref="D7"/>
    </sheetView>
  </sheetViews>
  <sheetFormatPr baseColWidth="10" defaultRowHeight="12.75" x14ac:dyDescent="0.2"/>
  <cols>
    <col min="1" max="2" width="3.42578125" style="95" customWidth="1"/>
    <col min="3" max="3" width="25.7109375" style="95" customWidth="1"/>
    <col min="4" max="14" width="8.7109375" style="95" customWidth="1"/>
    <col min="15" max="16384" width="11.42578125" style="95"/>
  </cols>
  <sheetData>
    <row r="1" spans="2:14" ht="18" customHeight="1" thickBot="1" x14ac:dyDescent="0.25"/>
    <row r="2" spans="2:14" ht="18" customHeight="1" x14ac:dyDescent="0.2">
      <c r="B2" s="96" t="str">
        <f>Config!F2&amp;" "&amp;YEAR(Config!G27)</f>
        <v>Mathe Abitur 2026</v>
      </c>
      <c r="C2" s="97"/>
      <c r="D2" s="97"/>
      <c r="E2" s="97"/>
      <c r="F2" s="97"/>
      <c r="G2" s="97"/>
      <c r="H2" s="97"/>
      <c r="I2" s="98"/>
      <c r="J2" s="98"/>
      <c r="K2" s="98"/>
      <c r="L2" s="98"/>
      <c r="M2" s="98"/>
      <c r="N2" s="99" t="str">
        <f>"Kurs "&amp;Config!G29</f>
        <v>Kurs K1</v>
      </c>
    </row>
    <row r="3" spans="2:14" ht="18" customHeight="1" x14ac:dyDescent="0.2">
      <c r="B3" s="100" t="s">
        <v>10</v>
      </c>
      <c r="C3" s="101"/>
      <c r="D3" s="101"/>
      <c r="E3" s="101"/>
      <c r="F3" s="101"/>
      <c r="G3" s="101"/>
      <c r="H3" s="101"/>
      <c r="I3" s="101"/>
      <c r="J3" s="101"/>
      <c r="K3" s="101"/>
      <c r="L3" s="101"/>
      <c r="M3" s="101"/>
      <c r="N3" s="102"/>
    </row>
    <row r="4" spans="2:14" ht="18" customHeight="1" thickBot="1" x14ac:dyDescent="0.25">
      <c r="B4" s="100"/>
      <c r="C4" s="101"/>
      <c r="D4" s="103"/>
      <c r="E4" s="103"/>
      <c r="F4" s="103"/>
      <c r="G4" s="103"/>
      <c r="H4" s="103"/>
      <c r="I4" s="103"/>
      <c r="J4" s="103"/>
      <c r="K4" s="103"/>
      <c r="L4" s="103"/>
      <c r="M4" s="103"/>
      <c r="N4" s="104"/>
    </row>
    <row r="5" spans="2:14" ht="18" customHeight="1" thickBot="1" x14ac:dyDescent="0.25">
      <c r="B5" s="105"/>
      <c r="C5" s="107"/>
      <c r="D5" s="124" t="str">
        <f>Config!H6</f>
        <v>1a</v>
      </c>
      <c r="E5" s="124" t="str">
        <f>Config!H7</f>
        <v>1b</v>
      </c>
      <c r="F5" s="124" t="str">
        <f>Config!H8</f>
        <v>1c</v>
      </c>
      <c r="G5" s="124" t="str">
        <f>Config!H9</f>
        <v>1d</v>
      </c>
      <c r="H5" s="124" t="str">
        <f>Config!H10</f>
        <v>1e</v>
      </c>
      <c r="I5" s="124" t="str">
        <f>Config!H11</f>
        <v>1f</v>
      </c>
      <c r="J5" s="124" t="str">
        <f>Config!H12</f>
        <v>1g</v>
      </c>
      <c r="K5" s="124" t="str">
        <f>Config!H13</f>
        <v>1h</v>
      </c>
      <c r="L5" s="124" t="str">
        <f>Config!H14</f>
        <v>2a</v>
      </c>
      <c r="M5" s="124" t="str">
        <f>Config!H15</f>
        <v>2b</v>
      </c>
      <c r="N5" s="111" t="s">
        <v>82</v>
      </c>
    </row>
    <row r="6" spans="2:14" ht="18" customHeight="1" thickBot="1" x14ac:dyDescent="0.25">
      <c r="B6" s="106"/>
      <c r="C6" s="108" t="s">
        <v>81</v>
      </c>
      <c r="D6" s="110">
        <f>Config!I6</f>
        <v>2</v>
      </c>
      <c r="E6" s="110">
        <f>Config!I7</f>
        <v>3</v>
      </c>
      <c r="F6" s="110">
        <f>Config!I8</f>
        <v>4</v>
      </c>
      <c r="G6" s="110">
        <f>Config!I9</f>
        <v>3</v>
      </c>
      <c r="H6" s="110">
        <f>Config!I10</f>
        <v>3</v>
      </c>
      <c r="I6" s="110">
        <f>Config!I11</f>
        <v>4</v>
      </c>
      <c r="J6" s="110">
        <f>Config!I12</f>
        <v>3</v>
      </c>
      <c r="K6" s="110">
        <f>Config!I13</f>
        <v>4</v>
      </c>
      <c r="L6" s="110">
        <f>Config!I14</f>
        <v>2</v>
      </c>
      <c r="M6" s="110">
        <f>Config!I15</f>
        <v>2</v>
      </c>
      <c r="N6" s="125">
        <f>Config!I21</f>
        <v>30</v>
      </c>
    </row>
    <row r="7" spans="2:14" ht="18" customHeight="1" thickBot="1" x14ac:dyDescent="0.25">
      <c r="B7" s="119">
        <v>1</v>
      </c>
      <c r="C7" s="117" t="str">
        <f>Config!C5&amp;", "&amp;Config!D5</f>
        <v>Höfer, Simon</v>
      </c>
      <c r="D7" s="64">
        <v>1.5</v>
      </c>
      <c r="E7" s="64">
        <v>3</v>
      </c>
      <c r="F7" s="64">
        <v>3</v>
      </c>
      <c r="G7" s="64">
        <v>3</v>
      </c>
      <c r="H7" s="64">
        <v>3</v>
      </c>
      <c r="I7" s="64">
        <v>4</v>
      </c>
      <c r="J7" s="64">
        <v>3</v>
      </c>
      <c r="K7" s="64">
        <v>0</v>
      </c>
      <c r="L7" s="64">
        <v>2</v>
      </c>
      <c r="M7" s="65">
        <v>0</v>
      </c>
      <c r="N7" s="115">
        <f t="shared" ref="N7:N29" si="0">SUM(D7:M7)</f>
        <v>22.5</v>
      </c>
    </row>
    <row r="8" spans="2:14" ht="18" customHeight="1" thickBot="1" x14ac:dyDescent="0.25">
      <c r="B8" s="120">
        <v>2</v>
      </c>
      <c r="C8" s="112" t="str">
        <f>Config!C6&amp;", "&amp;Config!D6</f>
        <v>Töpfer, Lilian</v>
      </c>
      <c r="D8" s="63">
        <v>0.5</v>
      </c>
      <c r="E8" s="63">
        <v>2.5</v>
      </c>
      <c r="F8" s="63">
        <v>3</v>
      </c>
      <c r="G8" s="63">
        <v>3</v>
      </c>
      <c r="H8" s="63">
        <v>3</v>
      </c>
      <c r="I8" s="63">
        <v>4</v>
      </c>
      <c r="J8" s="63">
        <v>0</v>
      </c>
      <c r="K8" s="63">
        <v>0</v>
      </c>
      <c r="L8" s="63">
        <v>1.5</v>
      </c>
      <c r="M8" s="66">
        <v>0</v>
      </c>
      <c r="N8" s="115">
        <f t="shared" si="0"/>
        <v>17.5</v>
      </c>
    </row>
    <row r="9" spans="2:14" ht="18" customHeight="1" thickBot="1" x14ac:dyDescent="0.25">
      <c r="B9" s="120">
        <v>3</v>
      </c>
      <c r="C9" s="112" t="str">
        <f>Config!C7&amp;", "&amp;Config!D7</f>
        <v>Fleischmann, Leonie</v>
      </c>
      <c r="D9" s="63">
        <v>1</v>
      </c>
      <c r="E9" s="63">
        <v>2</v>
      </c>
      <c r="F9" s="63">
        <v>0</v>
      </c>
      <c r="G9" s="63">
        <v>1</v>
      </c>
      <c r="H9" s="63">
        <v>3</v>
      </c>
      <c r="I9" s="63">
        <v>2.5</v>
      </c>
      <c r="J9" s="63">
        <v>0</v>
      </c>
      <c r="K9" s="63">
        <v>0</v>
      </c>
      <c r="L9" s="63">
        <v>0</v>
      </c>
      <c r="M9" s="66">
        <v>2</v>
      </c>
      <c r="N9" s="115">
        <f t="shared" si="0"/>
        <v>11.5</v>
      </c>
    </row>
    <row r="10" spans="2:14" ht="18" customHeight="1" thickBot="1" x14ac:dyDescent="0.25">
      <c r="B10" s="120">
        <v>4</v>
      </c>
      <c r="C10" s="112" t="str">
        <f>Config!C8&amp;", "&amp;Config!D8</f>
        <v>Drescher, Cedric</v>
      </c>
      <c r="D10" s="63">
        <v>1</v>
      </c>
      <c r="E10" s="63">
        <v>3</v>
      </c>
      <c r="F10" s="63">
        <v>3</v>
      </c>
      <c r="G10" s="63">
        <v>3</v>
      </c>
      <c r="H10" s="63">
        <v>3</v>
      </c>
      <c r="I10" s="63">
        <v>4</v>
      </c>
      <c r="J10" s="63">
        <v>1.5</v>
      </c>
      <c r="K10" s="63">
        <v>0</v>
      </c>
      <c r="L10" s="63">
        <v>1.5</v>
      </c>
      <c r="M10" s="66">
        <v>3</v>
      </c>
      <c r="N10" s="115">
        <f t="shared" si="0"/>
        <v>23</v>
      </c>
    </row>
    <row r="11" spans="2:14" ht="18" customHeight="1" thickBot="1" x14ac:dyDescent="0.25">
      <c r="B11" s="120">
        <v>5</v>
      </c>
      <c r="C11" s="112" t="str">
        <f>Config!C9&amp;", "&amp;Config!D9</f>
        <v>Baumgarten, Annabell</v>
      </c>
      <c r="D11" s="63">
        <v>2</v>
      </c>
      <c r="E11" s="63">
        <v>2</v>
      </c>
      <c r="F11" s="63">
        <v>3.5</v>
      </c>
      <c r="G11" s="63">
        <v>2.5</v>
      </c>
      <c r="H11" s="63">
        <v>2</v>
      </c>
      <c r="I11" s="63">
        <v>1</v>
      </c>
      <c r="J11" s="63">
        <v>0.5</v>
      </c>
      <c r="K11" s="63">
        <v>2.5</v>
      </c>
      <c r="L11" s="63">
        <v>2</v>
      </c>
      <c r="M11" s="66">
        <v>3.5</v>
      </c>
      <c r="N11" s="115">
        <f t="shared" si="0"/>
        <v>21.5</v>
      </c>
    </row>
    <row r="12" spans="2:14" ht="18" customHeight="1" thickBot="1" x14ac:dyDescent="0.25">
      <c r="B12" s="120">
        <v>6</v>
      </c>
      <c r="C12" s="112" t="str">
        <f>Config!C10&amp;", "&amp;Config!D10</f>
        <v>Traut, Stefanie</v>
      </c>
      <c r="D12" s="63">
        <v>2</v>
      </c>
      <c r="E12" s="63">
        <v>3</v>
      </c>
      <c r="F12" s="63">
        <v>4</v>
      </c>
      <c r="G12" s="63">
        <v>3</v>
      </c>
      <c r="H12" s="63">
        <v>3</v>
      </c>
      <c r="I12" s="63">
        <v>4</v>
      </c>
      <c r="J12" s="63">
        <v>3</v>
      </c>
      <c r="K12" s="63">
        <v>4</v>
      </c>
      <c r="L12" s="63">
        <v>2</v>
      </c>
      <c r="M12" s="66">
        <v>5</v>
      </c>
      <c r="N12" s="115">
        <f t="shared" si="0"/>
        <v>33</v>
      </c>
    </row>
    <row r="13" spans="2:14" ht="18" customHeight="1" thickBot="1" x14ac:dyDescent="0.25">
      <c r="B13" s="120">
        <v>7</v>
      </c>
      <c r="C13" s="112" t="str">
        <f>Config!C11&amp;", "&amp;Config!D11</f>
        <v>Menke, Damian</v>
      </c>
      <c r="D13" s="63">
        <v>1.5</v>
      </c>
      <c r="E13" s="63">
        <v>2.5</v>
      </c>
      <c r="F13" s="63">
        <v>4</v>
      </c>
      <c r="G13" s="63">
        <v>2</v>
      </c>
      <c r="H13" s="63">
        <v>2</v>
      </c>
      <c r="I13" s="63">
        <v>2.5</v>
      </c>
      <c r="J13" s="63">
        <v>0.5</v>
      </c>
      <c r="K13" s="63">
        <v>3</v>
      </c>
      <c r="L13" s="63">
        <v>1</v>
      </c>
      <c r="M13" s="66">
        <v>3.5</v>
      </c>
      <c r="N13" s="115">
        <f t="shared" si="0"/>
        <v>22.5</v>
      </c>
    </row>
    <row r="14" spans="2:14" ht="18" customHeight="1" thickBot="1" x14ac:dyDescent="0.25">
      <c r="B14" s="120">
        <v>8</v>
      </c>
      <c r="C14" s="112" t="str">
        <f>Config!C12&amp;", "&amp;Config!D12</f>
        <v>Carroll, Meik</v>
      </c>
      <c r="D14" s="63">
        <v>1.5</v>
      </c>
      <c r="E14" s="63">
        <v>1</v>
      </c>
      <c r="F14" s="63">
        <v>2.5</v>
      </c>
      <c r="G14" s="63">
        <v>3</v>
      </c>
      <c r="H14" s="63">
        <v>3</v>
      </c>
      <c r="I14" s="63">
        <v>3.5</v>
      </c>
      <c r="J14" s="63">
        <v>0</v>
      </c>
      <c r="K14" s="63">
        <v>0</v>
      </c>
      <c r="L14" s="63">
        <v>2</v>
      </c>
      <c r="M14" s="66">
        <v>0</v>
      </c>
      <c r="N14" s="115">
        <f t="shared" si="0"/>
        <v>16.5</v>
      </c>
    </row>
    <row r="15" spans="2:14" ht="18" customHeight="1" thickBot="1" x14ac:dyDescent="0.25">
      <c r="B15" s="120">
        <v>9</v>
      </c>
      <c r="C15" s="112" t="str">
        <f>Config!C13&amp;", "&amp;Config!D13</f>
        <v>Hennings, Tomas</v>
      </c>
      <c r="D15" s="63">
        <v>1.5</v>
      </c>
      <c r="E15" s="63">
        <v>3</v>
      </c>
      <c r="F15" s="63">
        <v>4</v>
      </c>
      <c r="G15" s="63">
        <v>3</v>
      </c>
      <c r="H15" s="63">
        <v>2</v>
      </c>
      <c r="I15" s="63">
        <v>1</v>
      </c>
      <c r="J15" s="63">
        <v>0</v>
      </c>
      <c r="K15" s="63">
        <v>0</v>
      </c>
      <c r="L15" s="63">
        <v>0</v>
      </c>
      <c r="M15" s="66">
        <v>0</v>
      </c>
      <c r="N15" s="115">
        <f t="shared" si="0"/>
        <v>14.5</v>
      </c>
    </row>
    <row r="16" spans="2:14" ht="18" customHeight="1" thickBot="1" x14ac:dyDescent="0.25">
      <c r="B16" s="120">
        <v>10</v>
      </c>
      <c r="C16" s="112" t="str">
        <f>Config!C14&amp;", "&amp;Config!D14</f>
        <v>Walters, Linn</v>
      </c>
      <c r="D16" s="63">
        <v>0</v>
      </c>
      <c r="E16" s="63">
        <v>1.5</v>
      </c>
      <c r="F16" s="63">
        <v>2.5</v>
      </c>
      <c r="G16" s="63">
        <v>0</v>
      </c>
      <c r="H16" s="63">
        <v>1</v>
      </c>
      <c r="I16" s="63">
        <v>1</v>
      </c>
      <c r="J16" s="63">
        <v>0</v>
      </c>
      <c r="K16" s="63">
        <v>0</v>
      </c>
      <c r="L16" s="63">
        <v>1</v>
      </c>
      <c r="M16" s="66">
        <v>0</v>
      </c>
      <c r="N16" s="115">
        <f t="shared" si="0"/>
        <v>7</v>
      </c>
    </row>
    <row r="17" spans="2:14" ht="18" customHeight="1" thickBot="1" x14ac:dyDescent="0.25">
      <c r="B17" s="120">
        <v>11</v>
      </c>
      <c r="C17" s="112" t="str">
        <f>Config!C15&amp;", "&amp;Config!D15</f>
        <v>Junker, Amely</v>
      </c>
      <c r="D17" s="63">
        <v>1</v>
      </c>
      <c r="E17" s="63">
        <v>1.5</v>
      </c>
      <c r="F17" s="63">
        <v>4</v>
      </c>
      <c r="G17" s="63">
        <v>1.5</v>
      </c>
      <c r="H17" s="63">
        <v>2</v>
      </c>
      <c r="I17" s="63">
        <v>3.5</v>
      </c>
      <c r="J17" s="63">
        <v>0</v>
      </c>
      <c r="K17" s="63">
        <v>0</v>
      </c>
      <c r="L17" s="63">
        <v>0</v>
      </c>
      <c r="M17" s="66">
        <v>0</v>
      </c>
      <c r="N17" s="115">
        <f t="shared" si="0"/>
        <v>13.5</v>
      </c>
    </row>
    <row r="18" spans="2:14" ht="18" customHeight="1" thickBot="1" x14ac:dyDescent="0.25">
      <c r="B18" s="120">
        <v>12</v>
      </c>
      <c r="C18" s="112" t="str">
        <f>Config!C16&amp;", "&amp;Config!D16</f>
        <v>Stephens, Melvin</v>
      </c>
      <c r="D18" s="63">
        <v>2</v>
      </c>
      <c r="E18" s="63">
        <v>3</v>
      </c>
      <c r="F18" s="63">
        <v>4</v>
      </c>
      <c r="G18" s="63">
        <v>3</v>
      </c>
      <c r="H18" s="63">
        <v>3</v>
      </c>
      <c r="I18" s="63">
        <v>4</v>
      </c>
      <c r="J18" s="63">
        <v>3</v>
      </c>
      <c r="K18" s="63">
        <v>0</v>
      </c>
      <c r="L18" s="63">
        <v>2</v>
      </c>
      <c r="M18" s="66">
        <v>3</v>
      </c>
      <c r="N18" s="115">
        <f t="shared" si="0"/>
        <v>27</v>
      </c>
    </row>
    <row r="19" spans="2:14" ht="18" customHeight="1" thickBot="1" x14ac:dyDescent="0.25">
      <c r="B19" s="120">
        <v>13</v>
      </c>
      <c r="C19" s="112" t="str">
        <f>Config!C17&amp;", "&amp;Config!D17</f>
        <v>Cremer, Marvin</v>
      </c>
      <c r="D19" s="63">
        <v>0.5</v>
      </c>
      <c r="E19" s="63">
        <v>1.5</v>
      </c>
      <c r="F19" s="63">
        <v>4</v>
      </c>
      <c r="G19" s="63">
        <v>3</v>
      </c>
      <c r="H19" s="63">
        <v>3</v>
      </c>
      <c r="I19" s="63">
        <v>3.5</v>
      </c>
      <c r="J19" s="63">
        <v>0</v>
      </c>
      <c r="K19" s="63">
        <v>0</v>
      </c>
      <c r="L19" s="63">
        <v>2</v>
      </c>
      <c r="M19" s="66">
        <v>4.5</v>
      </c>
      <c r="N19" s="115">
        <f t="shared" si="0"/>
        <v>22</v>
      </c>
    </row>
    <row r="20" spans="2:14" ht="18" customHeight="1" thickBot="1" x14ac:dyDescent="0.25">
      <c r="B20" s="120">
        <v>14</v>
      </c>
      <c r="C20" s="112" t="str">
        <f>Config!C18&amp;", "&amp;Config!D18</f>
        <v>Nash, Jean</v>
      </c>
      <c r="D20" s="63">
        <v>1.5</v>
      </c>
      <c r="E20" s="63">
        <v>2.5</v>
      </c>
      <c r="F20" s="63">
        <v>3</v>
      </c>
      <c r="G20" s="63">
        <v>2.5</v>
      </c>
      <c r="H20" s="63">
        <v>2</v>
      </c>
      <c r="I20" s="63">
        <v>4</v>
      </c>
      <c r="J20" s="63">
        <v>0</v>
      </c>
      <c r="K20" s="63">
        <v>0</v>
      </c>
      <c r="L20" s="63">
        <v>0</v>
      </c>
      <c r="M20" s="66">
        <v>0</v>
      </c>
      <c r="N20" s="115">
        <f t="shared" si="0"/>
        <v>15.5</v>
      </c>
    </row>
    <row r="21" spans="2:14" ht="18" customHeight="1" thickBot="1" x14ac:dyDescent="0.25">
      <c r="B21" s="120">
        <v>15</v>
      </c>
      <c r="C21" s="112" t="str">
        <f>Config!C19&amp;", "&amp;Config!D19</f>
        <v>Schön, Leonardo</v>
      </c>
      <c r="D21" s="63">
        <v>1.5</v>
      </c>
      <c r="E21" s="63">
        <v>3</v>
      </c>
      <c r="F21" s="63">
        <v>4</v>
      </c>
      <c r="G21" s="63">
        <v>3</v>
      </c>
      <c r="H21" s="63">
        <v>2.5</v>
      </c>
      <c r="I21" s="63">
        <v>3.5</v>
      </c>
      <c r="J21" s="63">
        <v>0.5</v>
      </c>
      <c r="K21" s="63">
        <v>0</v>
      </c>
      <c r="L21" s="63">
        <v>2</v>
      </c>
      <c r="M21" s="66">
        <v>3.5</v>
      </c>
      <c r="N21" s="115">
        <f t="shared" si="0"/>
        <v>23.5</v>
      </c>
    </row>
    <row r="22" spans="2:14" ht="18" customHeight="1" thickBot="1" x14ac:dyDescent="0.25">
      <c r="B22" s="120">
        <v>16</v>
      </c>
      <c r="C22" s="112" t="str">
        <f>Config!C20&amp;", "&amp;Config!D20</f>
        <v>Sigl, Nicholas</v>
      </c>
      <c r="D22" s="63">
        <v>1.5</v>
      </c>
      <c r="E22" s="63">
        <v>3</v>
      </c>
      <c r="F22" s="63">
        <v>4</v>
      </c>
      <c r="G22" s="63">
        <v>3</v>
      </c>
      <c r="H22" s="63">
        <v>3</v>
      </c>
      <c r="I22" s="63">
        <v>4</v>
      </c>
      <c r="J22" s="63">
        <v>0</v>
      </c>
      <c r="K22" s="63">
        <v>1.5</v>
      </c>
      <c r="L22" s="63">
        <v>0</v>
      </c>
      <c r="M22" s="66">
        <v>2</v>
      </c>
      <c r="N22" s="115">
        <f t="shared" si="0"/>
        <v>22</v>
      </c>
    </row>
    <row r="23" spans="2:14" ht="18" customHeight="1" thickBot="1" x14ac:dyDescent="0.25">
      <c r="B23" s="120">
        <v>17</v>
      </c>
      <c r="C23" s="112" t="str">
        <f>Config!C21&amp;", "&amp;Config!D21</f>
        <v>Kainz, Vivienne</v>
      </c>
      <c r="D23" s="63">
        <v>1.5</v>
      </c>
      <c r="E23" s="63">
        <v>1.5</v>
      </c>
      <c r="F23" s="63">
        <v>0</v>
      </c>
      <c r="G23" s="63">
        <v>1.5</v>
      </c>
      <c r="H23" s="63">
        <v>1</v>
      </c>
      <c r="I23" s="63">
        <v>1</v>
      </c>
      <c r="J23" s="63">
        <v>0</v>
      </c>
      <c r="K23" s="63">
        <v>0</v>
      </c>
      <c r="L23" s="63">
        <v>0</v>
      </c>
      <c r="M23" s="66">
        <v>0</v>
      </c>
      <c r="N23" s="115">
        <f t="shared" si="0"/>
        <v>6.5</v>
      </c>
    </row>
    <row r="24" spans="2:14" ht="18" customHeight="1" thickBot="1" x14ac:dyDescent="0.25">
      <c r="B24" s="120">
        <v>18</v>
      </c>
      <c r="C24" s="112" t="str">
        <f>Config!C22&amp;", "&amp;Config!D22</f>
        <v>Hartmann, Mads</v>
      </c>
      <c r="D24" s="63">
        <v>1</v>
      </c>
      <c r="E24" s="63">
        <v>2.5</v>
      </c>
      <c r="F24" s="63">
        <v>2</v>
      </c>
      <c r="G24" s="63">
        <v>3</v>
      </c>
      <c r="H24" s="63">
        <v>2.5</v>
      </c>
      <c r="I24" s="63">
        <v>3.5</v>
      </c>
      <c r="J24" s="63">
        <v>0</v>
      </c>
      <c r="K24" s="63">
        <v>0</v>
      </c>
      <c r="L24" s="63">
        <v>1.5</v>
      </c>
      <c r="M24" s="66">
        <v>0</v>
      </c>
      <c r="N24" s="115">
        <f t="shared" si="0"/>
        <v>16</v>
      </c>
    </row>
    <row r="25" spans="2:14" ht="18" customHeight="1" thickBot="1" x14ac:dyDescent="0.25">
      <c r="B25" s="120">
        <v>19</v>
      </c>
      <c r="C25" s="112" t="str">
        <f>Config!C23&amp;", "&amp;Config!D23</f>
        <v>Ullmann, Raphael</v>
      </c>
      <c r="D25" s="63">
        <v>1.5</v>
      </c>
      <c r="E25" s="63">
        <v>2</v>
      </c>
      <c r="F25" s="63">
        <v>3</v>
      </c>
      <c r="G25" s="63">
        <v>0.5</v>
      </c>
      <c r="H25" s="63">
        <v>1</v>
      </c>
      <c r="I25" s="63">
        <v>4</v>
      </c>
      <c r="J25" s="63">
        <v>0.5</v>
      </c>
      <c r="K25" s="63">
        <v>0</v>
      </c>
      <c r="L25" s="63">
        <v>2</v>
      </c>
      <c r="M25" s="66">
        <v>0</v>
      </c>
      <c r="N25" s="115">
        <f t="shared" si="0"/>
        <v>14.5</v>
      </c>
    </row>
    <row r="26" spans="2:14" ht="18" customHeight="1" thickBot="1" x14ac:dyDescent="0.25">
      <c r="B26" s="120">
        <v>20</v>
      </c>
      <c r="C26" s="112" t="str">
        <f>Config!C24&amp;", "&amp;Config!D24</f>
        <v>Hartl, Emmely</v>
      </c>
      <c r="D26" s="63">
        <v>1.5</v>
      </c>
      <c r="E26" s="63">
        <v>3</v>
      </c>
      <c r="F26" s="63">
        <v>3.5</v>
      </c>
      <c r="G26" s="63">
        <v>2.5</v>
      </c>
      <c r="H26" s="63">
        <v>2</v>
      </c>
      <c r="I26" s="63">
        <v>3.5</v>
      </c>
      <c r="J26" s="63">
        <v>2</v>
      </c>
      <c r="K26" s="63">
        <v>0</v>
      </c>
      <c r="L26" s="63">
        <v>1.5</v>
      </c>
      <c r="M26" s="66">
        <v>3.5</v>
      </c>
      <c r="N26" s="115">
        <f t="shared" si="0"/>
        <v>23</v>
      </c>
    </row>
    <row r="27" spans="2:14" ht="18" customHeight="1" thickBot="1" x14ac:dyDescent="0.25">
      <c r="B27" s="120">
        <v>21</v>
      </c>
      <c r="C27" s="112" t="str">
        <f>Config!C25&amp;", "&amp;Config!D25</f>
        <v>Klotz, Karin</v>
      </c>
      <c r="D27" s="63">
        <v>2</v>
      </c>
      <c r="E27" s="63">
        <v>2.5</v>
      </c>
      <c r="F27" s="63">
        <v>4</v>
      </c>
      <c r="G27" s="63">
        <v>3</v>
      </c>
      <c r="H27" s="63">
        <v>2.5</v>
      </c>
      <c r="I27" s="63">
        <v>3</v>
      </c>
      <c r="J27" s="63">
        <v>3</v>
      </c>
      <c r="K27" s="63">
        <v>0</v>
      </c>
      <c r="L27" s="63">
        <v>2</v>
      </c>
      <c r="M27" s="66">
        <v>4.5</v>
      </c>
      <c r="N27" s="115">
        <f t="shared" si="0"/>
        <v>26.5</v>
      </c>
    </row>
    <row r="28" spans="2:14" ht="18" customHeight="1" thickBot="1" x14ac:dyDescent="0.25">
      <c r="B28" s="120">
        <v>22</v>
      </c>
      <c r="C28" s="112" t="str">
        <f>Config!C26&amp;", "&amp;Config!D26</f>
        <v>Ehlers, Ingo</v>
      </c>
      <c r="D28" s="63">
        <v>0.5</v>
      </c>
      <c r="E28" s="63">
        <v>3</v>
      </c>
      <c r="F28" s="63">
        <v>4</v>
      </c>
      <c r="G28" s="63">
        <v>2</v>
      </c>
      <c r="H28" s="63">
        <v>2.5</v>
      </c>
      <c r="I28" s="63">
        <v>3</v>
      </c>
      <c r="J28" s="63">
        <v>1.5</v>
      </c>
      <c r="K28" s="63">
        <v>0</v>
      </c>
      <c r="L28" s="63">
        <v>2</v>
      </c>
      <c r="M28" s="66">
        <v>2.5</v>
      </c>
      <c r="N28" s="115">
        <f t="shared" si="0"/>
        <v>21</v>
      </c>
    </row>
    <row r="29" spans="2:14" ht="18" customHeight="1" thickBot="1" x14ac:dyDescent="0.25">
      <c r="B29" s="121">
        <v>23</v>
      </c>
      <c r="C29" s="118" t="str">
        <f>Config!C27&amp;", "&amp;Config!D27</f>
        <v>Lindemann, Mads</v>
      </c>
      <c r="D29" s="67">
        <v>1</v>
      </c>
      <c r="E29" s="67">
        <v>2.5</v>
      </c>
      <c r="F29" s="67">
        <v>3.5</v>
      </c>
      <c r="G29" s="67">
        <v>3</v>
      </c>
      <c r="H29" s="67">
        <v>2</v>
      </c>
      <c r="I29" s="67">
        <v>4</v>
      </c>
      <c r="J29" s="67">
        <v>0</v>
      </c>
      <c r="K29" s="67">
        <v>0</v>
      </c>
      <c r="L29" s="67">
        <v>0</v>
      </c>
      <c r="M29" s="68">
        <v>0</v>
      </c>
      <c r="N29" s="113">
        <f t="shared" si="0"/>
        <v>16</v>
      </c>
    </row>
    <row r="30" spans="2:14" ht="18" customHeight="1" thickBot="1" x14ac:dyDescent="0.25">
      <c r="B30" s="122"/>
      <c r="C30" s="123"/>
      <c r="D30" s="123">
        <f t="shared" ref="D30:M30" si="1">IF(COUNTIF(D7:D29,"&lt;&gt;")&lt;&gt;0,SUM(D7:D29)/(COUNTIF(D7:D29,"&lt;&gt;")*D6),0)</f>
        <v>0.64130434782608692</v>
      </c>
      <c r="E30" s="123">
        <f t="shared" si="1"/>
        <v>0.79710144927536231</v>
      </c>
      <c r="F30" s="123">
        <f t="shared" si="1"/>
        <v>0.78804347826086951</v>
      </c>
      <c r="G30" s="123">
        <f t="shared" si="1"/>
        <v>0.79710144927536231</v>
      </c>
      <c r="H30" s="123">
        <f t="shared" si="1"/>
        <v>0.78260869565217395</v>
      </c>
      <c r="I30" s="123">
        <f t="shared" si="1"/>
        <v>0.78260869565217395</v>
      </c>
      <c r="J30" s="123">
        <f t="shared" si="1"/>
        <v>0.27536231884057971</v>
      </c>
      <c r="K30" s="123">
        <f t="shared" si="1"/>
        <v>0.11956521739130435</v>
      </c>
      <c r="L30" s="123">
        <f t="shared" si="1"/>
        <v>0.60869565217391308</v>
      </c>
      <c r="M30" s="123">
        <f t="shared" si="1"/>
        <v>0.88043478260869568</v>
      </c>
      <c r="N30" s="116"/>
    </row>
    <row r="31" spans="2:14" ht="18" customHeight="1" x14ac:dyDescent="0.2"/>
    <row r="32" spans="2:14"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10">
    <dataValidation type="decimal" allowBlank="1" showErrorMessage="1" sqref="D7:D29" xr:uid="{E9EE184B-DB45-4E6B-A3DA-BF627DB1ED06}">
      <formula1>0</formula1>
      <formula2>$D$6</formula2>
    </dataValidation>
    <dataValidation type="decimal" allowBlank="1" showErrorMessage="1" sqref="E7:E29" xr:uid="{A8E97D1D-5937-4383-A2AB-2F5AD37DBEEC}">
      <formula1>0</formula1>
      <formula2>$E$6</formula2>
    </dataValidation>
    <dataValidation type="decimal" allowBlank="1" showErrorMessage="1" sqref="F7:F29" xr:uid="{B9049C2A-571D-4919-B57B-16E7B1D42925}">
      <formula1>0</formula1>
      <formula2>$F$6</formula2>
    </dataValidation>
    <dataValidation type="decimal" allowBlank="1" showErrorMessage="1" sqref="G7:G29" xr:uid="{F25F1A4B-CECD-424E-82E5-39670D4488BE}">
      <formula1>0</formula1>
      <formula2>$G$6</formula2>
    </dataValidation>
    <dataValidation type="decimal" allowBlank="1" showErrorMessage="1" sqref="H7:H29" xr:uid="{A1C9081F-CA21-4072-BE31-13E8B05EEF93}">
      <formula1>0</formula1>
      <formula2>$H$6</formula2>
    </dataValidation>
    <dataValidation type="decimal" allowBlank="1" showErrorMessage="1" sqref="I7:I29" xr:uid="{D00F8898-16FD-4099-8D5F-D4006F41B806}">
      <formula1>0</formula1>
      <formula2>$I$6</formula2>
    </dataValidation>
    <dataValidation type="decimal" allowBlank="1" showErrorMessage="1" sqref="J7:J29" xr:uid="{5C17E8A6-8239-40FE-8DF8-19FC9C6096D4}">
      <formula1>0</formula1>
      <formula2>$J$6</formula2>
    </dataValidation>
    <dataValidation type="decimal" allowBlank="1" showErrorMessage="1" sqref="K7:K29" xr:uid="{F2A6508D-9115-49A3-BBEC-AE52E6F3FCC9}">
      <formula1>0</formula1>
      <formula2>$K$6</formula2>
    </dataValidation>
    <dataValidation type="decimal" allowBlank="1" showErrorMessage="1" sqref="L7:L29" xr:uid="{051D96E1-6292-4345-B1FC-F2A6CACC5F5D}">
      <formula1>0</formula1>
      <formula2>$L$6</formula2>
    </dataValidation>
    <dataValidation type="decimal" allowBlank="1" showErrorMessage="1" sqref="M7:M29" xr:uid="{E7B0AE4B-A66A-496C-A5C5-06D44E83D824}">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994BC-B6D8-424B-9E3E-A0394089348E}">
  <sheetPr codeName="Tabelle14">
    <tabColor rgb="FF92D050"/>
  </sheetPr>
  <dimension ref="B1:E100"/>
  <sheetViews>
    <sheetView workbookViewId="0">
      <selection activeCell="D7" sqref="D7"/>
    </sheetView>
  </sheetViews>
  <sheetFormatPr baseColWidth="10" defaultRowHeight="12.75" x14ac:dyDescent="0.2"/>
  <cols>
    <col min="1" max="2" width="3.42578125" style="95" customWidth="1"/>
    <col min="3" max="3" width="25.7109375" style="95" customWidth="1"/>
    <col min="4" max="5" width="8.7109375" style="95" customWidth="1"/>
    <col min="6" max="16384" width="11.42578125" style="95"/>
  </cols>
  <sheetData>
    <row r="1" spans="2:5" ht="18" customHeight="1" thickBot="1" x14ac:dyDescent="0.25"/>
    <row r="2" spans="2:5" ht="18" customHeight="1" x14ac:dyDescent="0.2">
      <c r="B2" s="96" t="str">
        <f>Config!F2&amp;" "&amp;YEAR(Config!G27)</f>
        <v>Mathe Abitur 2026</v>
      </c>
      <c r="C2" s="97"/>
      <c r="D2" s="98"/>
      <c r="E2" s="99" t="str">
        <f>"Kurs "&amp;Config!G29</f>
        <v>Kurs K1</v>
      </c>
    </row>
    <row r="3" spans="2:5" ht="18" customHeight="1" x14ac:dyDescent="0.2">
      <c r="B3" s="100" t="s">
        <v>11</v>
      </c>
      <c r="C3" s="101"/>
      <c r="D3" s="101"/>
      <c r="E3" s="102"/>
    </row>
    <row r="4" spans="2:5" ht="18" customHeight="1" thickBot="1" x14ac:dyDescent="0.25">
      <c r="B4" s="100"/>
      <c r="C4" s="101"/>
      <c r="D4" s="103"/>
      <c r="E4" s="104"/>
    </row>
    <row r="5" spans="2:5" ht="18" customHeight="1" thickBot="1" x14ac:dyDescent="0.25">
      <c r="B5" s="105"/>
      <c r="C5" s="107"/>
      <c r="D5" s="124" t="str">
        <f>Config!J6</f>
        <v>1</v>
      </c>
      <c r="E5" s="111" t="s">
        <v>82</v>
      </c>
    </row>
    <row r="6" spans="2:5" ht="18" customHeight="1" thickBot="1" x14ac:dyDescent="0.25">
      <c r="B6" s="106"/>
      <c r="C6" s="108" t="s">
        <v>81</v>
      </c>
      <c r="D6" s="110">
        <f>Config!K6</f>
        <v>5</v>
      </c>
      <c r="E6" s="125">
        <f>Config!K21</f>
        <v>5</v>
      </c>
    </row>
    <row r="7" spans="2:5" ht="18" customHeight="1" thickBot="1" x14ac:dyDescent="0.25">
      <c r="B7" s="119">
        <v>1</v>
      </c>
      <c r="C7" s="117" t="str">
        <f>Config!C5&amp;", "&amp;Config!D5</f>
        <v>Höfer, Simon</v>
      </c>
      <c r="D7" s="65">
        <v>2.5</v>
      </c>
      <c r="E7" s="115">
        <f t="shared" ref="E7:E29" si="0">SUM(D7:D7)</f>
        <v>2.5</v>
      </c>
    </row>
    <row r="8" spans="2:5" ht="18" customHeight="1" thickBot="1" x14ac:dyDescent="0.25">
      <c r="B8" s="120">
        <v>2</v>
      </c>
      <c r="C8" s="112" t="str">
        <f>Config!C6&amp;", "&amp;Config!D6</f>
        <v>Töpfer, Lilian</v>
      </c>
      <c r="D8" s="66">
        <v>5</v>
      </c>
      <c r="E8" s="115">
        <f t="shared" si="0"/>
        <v>5</v>
      </c>
    </row>
    <row r="9" spans="2:5" ht="18" customHeight="1" thickBot="1" x14ac:dyDescent="0.25">
      <c r="B9" s="120">
        <v>3</v>
      </c>
      <c r="C9" s="112" t="str">
        <f>Config!C7&amp;", "&amp;Config!D7</f>
        <v>Fleischmann, Leonie</v>
      </c>
      <c r="D9" s="66">
        <v>2.5</v>
      </c>
      <c r="E9" s="115">
        <f t="shared" si="0"/>
        <v>2.5</v>
      </c>
    </row>
    <row r="10" spans="2:5" ht="18" customHeight="1" thickBot="1" x14ac:dyDescent="0.25">
      <c r="B10" s="120">
        <v>4</v>
      </c>
      <c r="C10" s="112" t="str">
        <f>Config!C8&amp;", "&amp;Config!D8</f>
        <v>Drescher, Cedric</v>
      </c>
      <c r="D10" s="66">
        <v>2.5</v>
      </c>
      <c r="E10" s="115">
        <f t="shared" si="0"/>
        <v>2.5</v>
      </c>
    </row>
    <row r="11" spans="2:5" ht="18" customHeight="1" thickBot="1" x14ac:dyDescent="0.25">
      <c r="B11" s="120">
        <v>5</v>
      </c>
      <c r="C11" s="112" t="str">
        <f>Config!C9&amp;", "&amp;Config!D9</f>
        <v>Baumgarten, Annabell</v>
      </c>
      <c r="D11" s="66">
        <v>2.5</v>
      </c>
      <c r="E11" s="115">
        <f t="shared" si="0"/>
        <v>2.5</v>
      </c>
    </row>
    <row r="12" spans="2:5" ht="18" customHeight="1" thickBot="1" x14ac:dyDescent="0.25">
      <c r="B12" s="120">
        <v>6</v>
      </c>
      <c r="C12" s="112" t="str">
        <f>Config!C10&amp;", "&amp;Config!D10</f>
        <v>Traut, Stefanie</v>
      </c>
      <c r="D12" s="66">
        <v>3</v>
      </c>
      <c r="E12" s="115">
        <f t="shared" si="0"/>
        <v>3</v>
      </c>
    </row>
    <row r="13" spans="2:5" ht="18" customHeight="1" thickBot="1" x14ac:dyDescent="0.25">
      <c r="B13" s="120">
        <v>7</v>
      </c>
      <c r="C13" s="112" t="str">
        <f>Config!C11&amp;", "&amp;Config!D11</f>
        <v>Menke, Damian</v>
      </c>
      <c r="D13" s="66">
        <v>5</v>
      </c>
      <c r="E13" s="115">
        <f t="shared" si="0"/>
        <v>5</v>
      </c>
    </row>
    <row r="14" spans="2:5" ht="18" customHeight="1" thickBot="1" x14ac:dyDescent="0.25">
      <c r="B14" s="120">
        <v>8</v>
      </c>
      <c r="C14" s="112" t="str">
        <f>Config!C12&amp;", "&amp;Config!D12</f>
        <v>Carroll, Meik</v>
      </c>
      <c r="D14" s="66">
        <v>5</v>
      </c>
      <c r="E14" s="115">
        <f t="shared" si="0"/>
        <v>5</v>
      </c>
    </row>
    <row r="15" spans="2:5" ht="18" customHeight="1" thickBot="1" x14ac:dyDescent="0.25">
      <c r="B15" s="120">
        <v>9</v>
      </c>
      <c r="C15" s="112" t="str">
        <f>Config!C13&amp;", "&amp;Config!D13</f>
        <v>Hennings, Tomas</v>
      </c>
      <c r="D15" s="66">
        <v>4</v>
      </c>
      <c r="E15" s="115">
        <f t="shared" si="0"/>
        <v>4</v>
      </c>
    </row>
    <row r="16" spans="2:5" ht="18" customHeight="1" thickBot="1" x14ac:dyDescent="0.25">
      <c r="B16" s="120">
        <v>10</v>
      </c>
      <c r="C16" s="112" t="str">
        <f>Config!C14&amp;", "&amp;Config!D14</f>
        <v>Walters, Linn</v>
      </c>
      <c r="D16" s="66">
        <v>2.5</v>
      </c>
      <c r="E16" s="115">
        <f t="shared" si="0"/>
        <v>2.5</v>
      </c>
    </row>
    <row r="17" spans="2:5" ht="18" customHeight="1" thickBot="1" x14ac:dyDescent="0.25">
      <c r="B17" s="120">
        <v>11</v>
      </c>
      <c r="C17" s="112" t="str">
        <f>Config!C15&amp;", "&amp;Config!D15</f>
        <v>Junker, Amely</v>
      </c>
      <c r="D17" s="66">
        <v>2</v>
      </c>
      <c r="E17" s="115">
        <f t="shared" si="0"/>
        <v>2</v>
      </c>
    </row>
    <row r="18" spans="2:5" ht="18" customHeight="1" thickBot="1" x14ac:dyDescent="0.25">
      <c r="B18" s="120">
        <v>12</v>
      </c>
      <c r="C18" s="112" t="str">
        <f>Config!C16&amp;", "&amp;Config!D16</f>
        <v>Stephens, Melvin</v>
      </c>
      <c r="D18" s="66">
        <v>2.5</v>
      </c>
      <c r="E18" s="115">
        <f t="shared" si="0"/>
        <v>2.5</v>
      </c>
    </row>
    <row r="19" spans="2:5" ht="18" customHeight="1" thickBot="1" x14ac:dyDescent="0.25">
      <c r="B19" s="120">
        <v>13</v>
      </c>
      <c r="C19" s="112" t="str">
        <f>Config!C17&amp;", "&amp;Config!D17</f>
        <v>Cremer, Marvin</v>
      </c>
      <c r="D19" s="66">
        <v>5</v>
      </c>
      <c r="E19" s="115">
        <f t="shared" si="0"/>
        <v>5</v>
      </c>
    </row>
    <row r="20" spans="2:5" ht="18" customHeight="1" thickBot="1" x14ac:dyDescent="0.25">
      <c r="B20" s="120">
        <v>14</v>
      </c>
      <c r="C20" s="112" t="str">
        <f>Config!C18&amp;", "&amp;Config!D18</f>
        <v>Nash, Jean</v>
      </c>
      <c r="D20" s="66">
        <v>5</v>
      </c>
      <c r="E20" s="115">
        <f t="shared" si="0"/>
        <v>5</v>
      </c>
    </row>
    <row r="21" spans="2:5" ht="18" customHeight="1" thickBot="1" x14ac:dyDescent="0.25">
      <c r="B21" s="120">
        <v>15</v>
      </c>
      <c r="C21" s="112" t="str">
        <f>Config!C19&amp;", "&amp;Config!D19</f>
        <v>Schön, Leonardo</v>
      </c>
      <c r="D21" s="66">
        <v>2.5</v>
      </c>
      <c r="E21" s="115">
        <f t="shared" si="0"/>
        <v>2.5</v>
      </c>
    </row>
    <row r="22" spans="2:5" ht="18" customHeight="1" thickBot="1" x14ac:dyDescent="0.25">
      <c r="B22" s="120">
        <v>16</v>
      </c>
      <c r="C22" s="112" t="str">
        <f>Config!C20&amp;", "&amp;Config!D20</f>
        <v>Sigl, Nicholas</v>
      </c>
      <c r="D22" s="66">
        <v>5</v>
      </c>
      <c r="E22" s="115">
        <f t="shared" si="0"/>
        <v>5</v>
      </c>
    </row>
    <row r="23" spans="2:5" ht="18" customHeight="1" thickBot="1" x14ac:dyDescent="0.25">
      <c r="B23" s="120">
        <v>17</v>
      </c>
      <c r="C23" s="112" t="str">
        <f>Config!C21&amp;", "&amp;Config!D21</f>
        <v>Kainz, Vivienne</v>
      </c>
      <c r="D23" s="66">
        <v>5</v>
      </c>
      <c r="E23" s="115">
        <f t="shared" si="0"/>
        <v>5</v>
      </c>
    </row>
    <row r="24" spans="2:5" ht="18" customHeight="1" thickBot="1" x14ac:dyDescent="0.25">
      <c r="B24" s="120">
        <v>18</v>
      </c>
      <c r="C24" s="112" t="str">
        <f>Config!C22&amp;", "&amp;Config!D22</f>
        <v>Hartmann, Mads</v>
      </c>
      <c r="D24" s="66">
        <v>2.5</v>
      </c>
      <c r="E24" s="115">
        <f t="shared" si="0"/>
        <v>2.5</v>
      </c>
    </row>
    <row r="25" spans="2:5" ht="18" customHeight="1" thickBot="1" x14ac:dyDescent="0.25">
      <c r="B25" s="120">
        <v>19</v>
      </c>
      <c r="C25" s="112" t="str">
        <f>Config!C23&amp;", "&amp;Config!D23</f>
        <v>Ullmann, Raphael</v>
      </c>
      <c r="D25" s="66">
        <v>5</v>
      </c>
      <c r="E25" s="115">
        <f t="shared" si="0"/>
        <v>5</v>
      </c>
    </row>
    <row r="26" spans="2:5" ht="18" customHeight="1" thickBot="1" x14ac:dyDescent="0.25">
      <c r="B26" s="120">
        <v>20</v>
      </c>
      <c r="C26" s="112" t="str">
        <f>Config!C24&amp;", "&amp;Config!D24</f>
        <v>Hartl, Emmely</v>
      </c>
      <c r="D26" s="66">
        <v>3</v>
      </c>
      <c r="E26" s="115">
        <f t="shared" si="0"/>
        <v>3</v>
      </c>
    </row>
    <row r="27" spans="2:5" ht="18" customHeight="1" thickBot="1" x14ac:dyDescent="0.25">
      <c r="B27" s="120">
        <v>21</v>
      </c>
      <c r="C27" s="112" t="str">
        <f>Config!C25&amp;", "&amp;Config!D25</f>
        <v>Klotz, Karin</v>
      </c>
      <c r="D27" s="66">
        <v>4</v>
      </c>
      <c r="E27" s="115">
        <f t="shared" si="0"/>
        <v>4</v>
      </c>
    </row>
    <row r="28" spans="2:5" ht="18" customHeight="1" thickBot="1" x14ac:dyDescent="0.25">
      <c r="B28" s="120">
        <v>22</v>
      </c>
      <c r="C28" s="112" t="str">
        <f>Config!C26&amp;", "&amp;Config!D26</f>
        <v>Ehlers, Ingo</v>
      </c>
      <c r="D28" s="66">
        <v>5</v>
      </c>
      <c r="E28" s="115">
        <f t="shared" si="0"/>
        <v>5</v>
      </c>
    </row>
    <row r="29" spans="2:5" ht="18" customHeight="1" thickBot="1" x14ac:dyDescent="0.25">
      <c r="B29" s="121">
        <v>23</v>
      </c>
      <c r="C29" s="118" t="str">
        <f>Config!C27&amp;", "&amp;Config!D27</f>
        <v>Lindemann, Mads</v>
      </c>
      <c r="D29" s="68">
        <v>5</v>
      </c>
      <c r="E29" s="113">
        <f t="shared" si="0"/>
        <v>5</v>
      </c>
    </row>
    <row r="30" spans="2:5" ht="18" customHeight="1" thickBot="1" x14ac:dyDescent="0.25">
      <c r="B30" s="122"/>
      <c r="C30" s="123"/>
      <c r="D30" s="123">
        <f>IF(COUNTIF(D7:D29,"&lt;&gt;")&lt;&gt;0,SUM(D7:D29)/(COUNTIF(D7:D29,"&lt;&gt;")*D6),0)</f>
        <v>0.74782608695652175</v>
      </c>
      <c r="E30" s="116"/>
    </row>
    <row r="31" spans="2:5" ht="18" customHeight="1" x14ac:dyDescent="0.2"/>
    <row r="32" spans="2:5"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1">
    <dataValidation type="decimal" allowBlank="1" showErrorMessage="1" sqref="D7:D29" xr:uid="{F794C4DD-286B-4B41-A2C7-BE595A67362E}">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8FB5C-2C78-4D65-96E3-FD984A4FD8CF}">
  <sheetPr codeName="Tabelle15">
    <tabColor rgb="FF92D050"/>
  </sheetPr>
  <dimension ref="B1:I100"/>
  <sheetViews>
    <sheetView workbookViewId="0">
      <selection activeCell="D7" sqref="D7"/>
    </sheetView>
  </sheetViews>
  <sheetFormatPr baseColWidth="10" defaultRowHeight="12.75" x14ac:dyDescent="0.2"/>
  <cols>
    <col min="1" max="2" width="3.42578125" style="95" customWidth="1"/>
    <col min="3" max="3" width="25.7109375" style="95" customWidth="1"/>
    <col min="4" max="9" width="8.7109375" style="95" customWidth="1"/>
    <col min="10" max="16384" width="11.42578125" style="95"/>
  </cols>
  <sheetData>
    <row r="1" spans="2:9" ht="18" customHeight="1" thickBot="1" x14ac:dyDescent="0.25"/>
    <row r="2" spans="2:9" ht="18" customHeight="1" x14ac:dyDescent="0.2">
      <c r="B2" s="96" t="str">
        <f>Config!F2&amp;" "&amp;YEAR(Config!G27)</f>
        <v>Mathe Abitur 2026</v>
      </c>
      <c r="C2" s="97"/>
      <c r="D2" s="97"/>
      <c r="E2" s="97"/>
      <c r="F2" s="98"/>
      <c r="G2" s="98"/>
      <c r="H2" s="98"/>
      <c r="I2" s="99" t="str">
        <f>"Kurs "&amp;Config!G29</f>
        <v>Kurs K1</v>
      </c>
    </row>
    <row r="3" spans="2:9" ht="18" customHeight="1" x14ac:dyDescent="0.2">
      <c r="B3" s="100" t="s">
        <v>12</v>
      </c>
      <c r="C3" s="101"/>
      <c r="D3" s="101"/>
      <c r="E3" s="101"/>
      <c r="F3" s="101"/>
      <c r="G3" s="101"/>
      <c r="H3" s="101"/>
      <c r="I3" s="102"/>
    </row>
    <row r="4" spans="2:9" ht="18" customHeight="1" thickBot="1" x14ac:dyDescent="0.25">
      <c r="B4" s="100"/>
      <c r="C4" s="101"/>
      <c r="D4" s="103"/>
      <c r="E4" s="103"/>
      <c r="F4" s="103"/>
      <c r="G4" s="103"/>
      <c r="H4" s="103"/>
      <c r="I4" s="104"/>
    </row>
    <row r="5" spans="2:9" ht="18" customHeight="1" thickBot="1" x14ac:dyDescent="0.25">
      <c r="B5" s="105"/>
      <c r="C5" s="107"/>
      <c r="D5" s="124" t="str">
        <f>Config!L6</f>
        <v>1a</v>
      </c>
      <c r="E5" s="124" t="str">
        <f>Config!L7</f>
        <v>1b</v>
      </c>
      <c r="F5" s="124" t="str">
        <f>Config!L8</f>
        <v>1c</v>
      </c>
      <c r="G5" s="124" t="str">
        <f>Config!L9</f>
        <v>1d</v>
      </c>
      <c r="H5" s="124" t="str">
        <f>Config!L10</f>
        <v>2</v>
      </c>
      <c r="I5" s="111" t="s">
        <v>82</v>
      </c>
    </row>
    <row r="6" spans="2:9" ht="18" customHeight="1" thickBot="1" x14ac:dyDescent="0.25">
      <c r="B6" s="106"/>
      <c r="C6" s="108" t="s">
        <v>81</v>
      </c>
      <c r="D6" s="110">
        <f>Config!M6</f>
        <v>2</v>
      </c>
      <c r="E6" s="110">
        <f>Config!M7</f>
        <v>2</v>
      </c>
      <c r="F6" s="110">
        <f>Config!M8</f>
        <v>2</v>
      </c>
      <c r="G6" s="110">
        <f>Config!M9</f>
        <v>4</v>
      </c>
      <c r="H6" s="110">
        <f>Config!M10</f>
        <v>7</v>
      </c>
      <c r="I6" s="125">
        <f>Config!M21</f>
        <v>17</v>
      </c>
    </row>
    <row r="7" spans="2:9" ht="18" customHeight="1" thickBot="1" x14ac:dyDescent="0.25">
      <c r="B7" s="119">
        <v>1</v>
      </c>
      <c r="C7" s="117" t="str">
        <f>Config!C5&amp;", "&amp;Config!D5</f>
        <v>Höfer, Simon</v>
      </c>
      <c r="D7" s="64">
        <v>2</v>
      </c>
      <c r="E7" s="64">
        <v>2</v>
      </c>
      <c r="F7" s="64">
        <v>2</v>
      </c>
      <c r="G7" s="64">
        <v>4</v>
      </c>
      <c r="H7" s="65">
        <v>3</v>
      </c>
      <c r="I7" s="115">
        <f t="shared" ref="I7:I29" si="0">SUM(D7:H7)</f>
        <v>13</v>
      </c>
    </row>
    <row r="8" spans="2:9" ht="18" customHeight="1" thickBot="1" x14ac:dyDescent="0.25">
      <c r="B8" s="120">
        <v>2</v>
      </c>
      <c r="C8" s="112" t="str">
        <f>Config!C6&amp;", "&amp;Config!D6</f>
        <v>Töpfer, Lilian</v>
      </c>
      <c r="D8" s="63">
        <v>1</v>
      </c>
      <c r="E8" s="63">
        <v>2</v>
      </c>
      <c r="F8" s="63">
        <v>1</v>
      </c>
      <c r="G8" s="63">
        <v>2</v>
      </c>
      <c r="H8" s="66">
        <v>1</v>
      </c>
      <c r="I8" s="115">
        <f t="shared" si="0"/>
        <v>7</v>
      </c>
    </row>
    <row r="9" spans="2:9" ht="18" customHeight="1" thickBot="1" x14ac:dyDescent="0.25">
      <c r="B9" s="120">
        <v>3</v>
      </c>
      <c r="C9" s="112" t="str">
        <f>Config!C7&amp;", "&amp;Config!D7</f>
        <v>Fleischmann, Leonie</v>
      </c>
      <c r="D9" s="63">
        <v>2</v>
      </c>
      <c r="E9" s="63">
        <v>2</v>
      </c>
      <c r="F9" s="63">
        <v>1</v>
      </c>
      <c r="G9" s="63">
        <v>3</v>
      </c>
      <c r="H9" s="66">
        <v>0</v>
      </c>
      <c r="I9" s="115">
        <f t="shared" si="0"/>
        <v>8</v>
      </c>
    </row>
    <row r="10" spans="2:9" ht="18" customHeight="1" thickBot="1" x14ac:dyDescent="0.25">
      <c r="B10" s="120">
        <v>4</v>
      </c>
      <c r="C10" s="112" t="str">
        <f>Config!C8&amp;", "&amp;Config!D8</f>
        <v>Drescher, Cedric</v>
      </c>
      <c r="D10" s="63">
        <v>2</v>
      </c>
      <c r="E10" s="63">
        <v>2</v>
      </c>
      <c r="F10" s="63">
        <v>1</v>
      </c>
      <c r="G10" s="63">
        <v>4</v>
      </c>
      <c r="H10" s="66">
        <v>0</v>
      </c>
      <c r="I10" s="115">
        <f t="shared" si="0"/>
        <v>9</v>
      </c>
    </row>
    <row r="11" spans="2:9" ht="18" customHeight="1" thickBot="1" x14ac:dyDescent="0.25">
      <c r="B11" s="120">
        <v>5</v>
      </c>
      <c r="C11" s="112" t="str">
        <f>Config!C9&amp;", "&amp;Config!D9</f>
        <v>Baumgarten, Annabell</v>
      </c>
      <c r="D11" s="63">
        <v>1</v>
      </c>
      <c r="E11" s="63">
        <v>1</v>
      </c>
      <c r="F11" s="63">
        <v>1</v>
      </c>
      <c r="G11" s="63">
        <v>1.5</v>
      </c>
      <c r="H11" s="66">
        <v>0</v>
      </c>
      <c r="I11" s="115">
        <f t="shared" si="0"/>
        <v>4.5</v>
      </c>
    </row>
    <row r="12" spans="2:9" ht="18" customHeight="1" thickBot="1" x14ac:dyDescent="0.25">
      <c r="B12" s="120">
        <v>6</v>
      </c>
      <c r="C12" s="112" t="str">
        <f>Config!C10&amp;", "&amp;Config!D10</f>
        <v>Traut, Stefanie</v>
      </c>
      <c r="D12" s="63">
        <v>2</v>
      </c>
      <c r="E12" s="63">
        <v>0.5</v>
      </c>
      <c r="F12" s="63">
        <v>1</v>
      </c>
      <c r="G12" s="63">
        <v>4</v>
      </c>
      <c r="H12" s="66">
        <v>3</v>
      </c>
      <c r="I12" s="115">
        <f t="shared" si="0"/>
        <v>10.5</v>
      </c>
    </row>
    <row r="13" spans="2:9" ht="18" customHeight="1" thickBot="1" x14ac:dyDescent="0.25">
      <c r="B13" s="120">
        <v>7</v>
      </c>
      <c r="C13" s="112" t="str">
        <f>Config!C11&amp;", "&amp;Config!D11</f>
        <v>Menke, Damian</v>
      </c>
      <c r="D13" s="63">
        <v>2</v>
      </c>
      <c r="E13" s="63">
        <v>2</v>
      </c>
      <c r="F13" s="63">
        <v>2</v>
      </c>
      <c r="G13" s="63">
        <v>2.5</v>
      </c>
      <c r="H13" s="66">
        <v>0</v>
      </c>
      <c r="I13" s="115">
        <f t="shared" si="0"/>
        <v>8.5</v>
      </c>
    </row>
    <row r="14" spans="2:9" ht="18" customHeight="1" thickBot="1" x14ac:dyDescent="0.25">
      <c r="B14" s="120">
        <v>8</v>
      </c>
      <c r="C14" s="112" t="str">
        <f>Config!C12&amp;", "&amp;Config!D12</f>
        <v>Carroll, Meik</v>
      </c>
      <c r="D14" s="63">
        <v>2</v>
      </c>
      <c r="E14" s="63">
        <v>2</v>
      </c>
      <c r="F14" s="63">
        <v>2</v>
      </c>
      <c r="G14" s="63">
        <v>2</v>
      </c>
      <c r="H14" s="66">
        <v>0.5</v>
      </c>
      <c r="I14" s="115">
        <f t="shared" si="0"/>
        <v>8.5</v>
      </c>
    </row>
    <row r="15" spans="2:9" ht="18" customHeight="1" thickBot="1" x14ac:dyDescent="0.25">
      <c r="B15" s="120">
        <v>9</v>
      </c>
      <c r="C15" s="112" t="str">
        <f>Config!C13&amp;", "&amp;Config!D13</f>
        <v>Hennings, Tomas</v>
      </c>
      <c r="D15" s="63">
        <v>2</v>
      </c>
      <c r="E15" s="63">
        <v>2</v>
      </c>
      <c r="F15" s="63">
        <v>2</v>
      </c>
      <c r="G15" s="63">
        <v>4</v>
      </c>
      <c r="H15" s="66">
        <v>3</v>
      </c>
      <c r="I15" s="115">
        <f t="shared" si="0"/>
        <v>13</v>
      </c>
    </row>
    <row r="16" spans="2:9" ht="18" customHeight="1" thickBot="1" x14ac:dyDescent="0.25">
      <c r="B16" s="120">
        <v>10</v>
      </c>
      <c r="C16" s="112" t="str">
        <f>Config!C14&amp;", "&amp;Config!D14</f>
        <v>Walters, Linn</v>
      </c>
      <c r="D16" s="63">
        <v>2</v>
      </c>
      <c r="E16" s="63">
        <v>2</v>
      </c>
      <c r="F16" s="63">
        <v>2</v>
      </c>
      <c r="G16" s="63">
        <v>2</v>
      </c>
      <c r="H16" s="66">
        <v>0</v>
      </c>
      <c r="I16" s="115">
        <f t="shared" si="0"/>
        <v>8</v>
      </c>
    </row>
    <row r="17" spans="2:9" ht="18" customHeight="1" thickBot="1" x14ac:dyDescent="0.25">
      <c r="B17" s="120">
        <v>11</v>
      </c>
      <c r="C17" s="112" t="str">
        <f>Config!C15&amp;", "&amp;Config!D15</f>
        <v>Junker, Amely</v>
      </c>
      <c r="D17" s="63">
        <v>1</v>
      </c>
      <c r="E17" s="63">
        <v>0</v>
      </c>
      <c r="F17" s="63">
        <v>2</v>
      </c>
      <c r="G17" s="63">
        <v>1.5</v>
      </c>
      <c r="H17" s="66">
        <v>2</v>
      </c>
      <c r="I17" s="115">
        <f t="shared" si="0"/>
        <v>6.5</v>
      </c>
    </row>
    <row r="18" spans="2:9" ht="18" customHeight="1" thickBot="1" x14ac:dyDescent="0.25">
      <c r="B18" s="120">
        <v>12</v>
      </c>
      <c r="C18" s="112" t="str">
        <f>Config!C16&amp;", "&amp;Config!D16</f>
        <v>Stephens, Melvin</v>
      </c>
      <c r="D18" s="63">
        <v>2</v>
      </c>
      <c r="E18" s="63">
        <v>2</v>
      </c>
      <c r="F18" s="63">
        <v>1</v>
      </c>
      <c r="G18" s="63">
        <v>0.5</v>
      </c>
      <c r="H18" s="66">
        <v>0</v>
      </c>
      <c r="I18" s="115">
        <f t="shared" si="0"/>
        <v>5.5</v>
      </c>
    </row>
    <row r="19" spans="2:9" ht="18" customHeight="1" thickBot="1" x14ac:dyDescent="0.25">
      <c r="B19" s="120">
        <v>13</v>
      </c>
      <c r="C19" s="112" t="str">
        <f>Config!C17&amp;", "&amp;Config!D17</f>
        <v>Cremer, Marvin</v>
      </c>
      <c r="D19" s="63">
        <v>2</v>
      </c>
      <c r="E19" s="63">
        <v>0</v>
      </c>
      <c r="F19" s="63">
        <v>1.5</v>
      </c>
      <c r="G19" s="63">
        <v>0</v>
      </c>
      <c r="H19" s="66">
        <v>2</v>
      </c>
      <c r="I19" s="115">
        <f t="shared" si="0"/>
        <v>5.5</v>
      </c>
    </row>
    <row r="20" spans="2:9" ht="18" customHeight="1" thickBot="1" x14ac:dyDescent="0.25">
      <c r="B20" s="120">
        <v>14</v>
      </c>
      <c r="C20" s="112" t="str">
        <f>Config!C18&amp;", "&amp;Config!D18</f>
        <v>Nash, Jean</v>
      </c>
      <c r="D20" s="63">
        <v>2</v>
      </c>
      <c r="E20" s="63">
        <v>0</v>
      </c>
      <c r="F20" s="63">
        <v>1</v>
      </c>
      <c r="G20" s="63">
        <v>2</v>
      </c>
      <c r="H20" s="66">
        <v>3</v>
      </c>
      <c r="I20" s="115">
        <f t="shared" si="0"/>
        <v>8</v>
      </c>
    </row>
    <row r="21" spans="2:9" ht="18" customHeight="1" thickBot="1" x14ac:dyDescent="0.25">
      <c r="B21" s="120">
        <v>15</v>
      </c>
      <c r="C21" s="112" t="str">
        <f>Config!C19&amp;", "&amp;Config!D19</f>
        <v>Schön, Leonardo</v>
      </c>
      <c r="D21" s="63">
        <v>2</v>
      </c>
      <c r="E21" s="63">
        <v>0.5</v>
      </c>
      <c r="F21" s="63">
        <v>1.5</v>
      </c>
      <c r="G21" s="63">
        <v>3</v>
      </c>
      <c r="H21" s="66">
        <v>1</v>
      </c>
      <c r="I21" s="115">
        <f t="shared" si="0"/>
        <v>8</v>
      </c>
    </row>
    <row r="22" spans="2:9" ht="18" customHeight="1" thickBot="1" x14ac:dyDescent="0.25">
      <c r="B22" s="120">
        <v>16</v>
      </c>
      <c r="C22" s="112" t="str">
        <f>Config!C20&amp;", "&amp;Config!D20</f>
        <v>Sigl, Nicholas</v>
      </c>
      <c r="D22" s="63">
        <v>0</v>
      </c>
      <c r="E22" s="63">
        <v>0</v>
      </c>
      <c r="F22" s="63">
        <v>0</v>
      </c>
      <c r="G22" s="63">
        <v>0</v>
      </c>
      <c r="H22" s="66">
        <v>0</v>
      </c>
      <c r="I22" s="115">
        <f t="shared" si="0"/>
        <v>0</v>
      </c>
    </row>
    <row r="23" spans="2:9" ht="18" customHeight="1" thickBot="1" x14ac:dyDescent="0.25">
      <c r="B23" s="120">
        <v>17</v>
      </c>
      <c r="C23" s="112" t="str">
        <f>Config!C21&amp;", "&amp;Config!D21</f>
        <v>Kainz, Vivienne</v>
      </c>
      <c r="D23" s="63">
        <v>1</v>
      </c>
      <c r="E23" s="63">
        <v>1</v>
      </c>
      <c r="F23" s="63">
        <v>1.5</v>
      </c>
      <c r="G23" s="63">
        <v>1</v>
      </c>
      <c r="H23" s="66">
        <v>3</v>
      </c>
      <c r="I23" s="115">
        <f t="shared" si="0"/>
        <v>7.5</v>
      </c>
    </row>
    <row r="24" spans="2:9" ht="18" customHeight="1" thickBot="1" x14ac:dyDescent="0.25">
      <c r="B24" s="120">
        <v>18</v>
      </c>
      <c r="C24" s="112" t="str">
        <f>Config!C22&amp;", "&amp;Config!D22</f>
        <v>Hartmann, Mads</v>
      </c>
      <c r="D24" s="63">
        <v>2</v>
      </c>
      <c r="E24" s="63">
        <v>2</v>
      </c>
      <c r="F24" s="63">
        <v>1</v>
      </c>
      <c r="G24" s="63">
        <v>2</v>
      </c>
      <c r="H24" s="66">
        <v>0</v>
      </c>
      <c r="I24" s="115">
        <f t="shared" si="0"/>
        <v>7</v>
      </c>
    </row>
    <row r="25" spans="2:9" ht="18" customHeight="1" thickBot="1" x14ac:dyDescent="0.25">
      <c r="B25" s="120">
        <v>19</v>
      </c>
      <c r="C25" s="112" t="str">
        <f>Config!C23&amp;", "&amp;Config!D23</f>
        <v>Ullmann, Raphael</v>
      </c>
      <c r="D25" s="63">
        <v>2</v>
      </c>
      <c r="E25" s="63">
        <v>0.5</v>
      </c>
      <c r="F25" s="63">
        <v>1.5</v>
      </c>
      <c r="G25" s="63">
        <v>2</v>
      </c>
      <c r="H25" s="66">
        <v>1</v>
      </c>
      <c r="I25" s="115">
        <f t="shared" si="0"/>
        <v>7</v>
      </c>
    </row>
    <row r="26" spans="2:9" ht="18" customHeight="1" thickBot="1" x14ac:dyDescent="0.25">
      <c r="B26" s="120">
        <v>20</v>
      </c>
      <c r="C26" s="112" t="str">
        <f>Config!C24&amp;", "&amp;Config!D24</f>
        <v>Hartl, Emmely</v>
      </c>
      <c r="D26" s="63">
        <v>2</v>
      </c>
      <c r="E26" s="63">
        <v>0.5</v>
      </c>
      <c r="F26" s="63">
        <v>2</v>
      </c>
      <c r="G26" s="63">
        <v>0</v>
      </c>
      <c r="H26" s="66">
        <v>0</v>
      </c>
      <c r="I26" s="115">
        <f t="shared" si="0"/>
        <v>4.5</v>
      </c>
    </row>
    <row r="27" spans="2:9" ht="18" customHeight="1" thickBot="1" x14ac:dyDescent="0.25">
      <c r="B27" s="120">
        <v>21</v>
      </c>
      <c r="C27" s="112" t="str">
        <f>Config!C25&amp;", "&amp;Config!D25</f>
        <v>Klotz, Karin</v>
      </c>
      <c r="D27" s="63">
        <v>1</v>
      </c>
      <c r="E27" s="63">
        <v>2</v>
      </c>
      <c r="F27" s="63">
        <v>1</v>
      </c>
      <c r="G27" s="63">
        <v>2</v>
      </c>
      <c r="H27" s="66">
        <v>0</v>
      </c>
      <c r="I27" s="115">
        <f t="shared" si="0"/>
        <v>6</v>
      </c>
    </row>
    <row r="28" spans="2:9" ht="18" customHeight="1" thickBot="1" x14ac:dyDescent="0.25">
      <c r="B28" s="120">
        <v>22</v>
      </c>
      <c r="C28" s="112" t="str">
        <f>Config!C26&amp;", "&amp;Config!D26</f>
        <v>Ehlers, Ingo</v>
      </c>
      <c r="D28" s="63">
        <v>2</v>
      </c>
      <c r="E28" s="63">
        <v>0</v>
      </c>
      <c r="F28" s="63">
        <v>2</v>
      </c>
      <c r="G28" s="63">
        <v>1.5</v>
      </c>
      <c r="H28" s="66">
        <v>0</v>
      </c>
      <c r="I28" s="115">
        <f t="shared" si="0"/>
        <v>5.5</v>
      </c>
    </row>
    <row r="29" spans="2:9" ht="18" customHeight="1" thickBot="1" x14ac:dyDescent="0.25">
      <c r="B29" s="121">
        <v>23</v>
      </c>
      <c r="C29" s="118" t="str">
        <f>Config!C27&amp;", "&amp;Config!D27</f>
        <v>Lindemann, Mads</v>
      </c>
      <c r="D29" s="67">
        <v>2</v>
      </c>
      <c r="E29" s="67">
        <v>2</v>
      </c>
      <c r="F29" s="67">
        <v>2</v>
      </c>
      <c r="G29" s="67">
        <v>4</v>
      </c>
      <c r="H29" s="68">
        <v>0</v>
      </c>
      <c r="I29" s="113">
        <f t="shared" si="0"/>
        <v>10</v>
      </c>
    </row>
    <row r="30" spans="2:9" ht="18" customHeight="1" thickBot="1" x14ac:dyDescent="0.25">
      <c r="B30" s="122"/>
      <c r="C30" s="123"/>
      <c r="D30" s="123">
        <f>IF(COUNTIF(D7:D29,"&lt;&gt;")&lt;&gt;0,SUM(D7:D29)/(COUNTIF(D7:D29,"&lt;&gt;")*D6),0)</f>
        <v>0.84782608695652173</v>
      </c>
      <c r="E30" s="123">
        <f>IF(COUNTIF(E7:E29,"&lt;&gt;")&lt;&gt;0,SUM(E7:E29)/(COUNTIF(E7:E29,"&lt;&gt;")*E6),0)</f>
        <v>0.60869565217391308</v>
      </c>
      <c r="F30" s="123">
        <f>IF(COUNTIF(F7:F29,"&lt;&gt;")&lt;&gt;0,SUM(F7:F29)/(COUNTIF(F7:F29,"&lt;&gt;")*F6),0)</f>
        <v>0.71739130434782605</v>
      </c>
      <c r="G30" s="123">
        <f>IF(COUNTIF(G7:G29,"&lt;&gt;")&lt;&gt;0,SUM(G7:G29)/(COUNTIF(G7:G29,"&lt;&gt;")*G6),0)</f>
        <v>0.52717391304347827</v>
      </c>
      <c r="H30" s="123">
        <f>IF(COUNTIF(H7:H29,"&lt;&gt;")&lt;&gt;0,SUM(H7:H29)/(COUNTIF(H7:H29,"&lt;&gt;")*H6),0)</f>
        <v>0.13975155279503104</v>
      </c>
      <c r="I30" s="116"/>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2CA0B570-2FD3-4B42-BA7B-A9EF93AE9527}">
      <formula1>0</formula1>
      <formula2>$D$6</formula2>
    </dataValidation>
    <dataValidation type="decimal" allowBlank="1" showErrorMessage="1" sqref="E7:E29" xr:uid="{2AF21B3B-34E7-4DF0-BC82-EE80B977E857}">
      <formula1>0</formula1>
      <formula2>$E$6</formula2>
    </dataValidation>
    <dataValidation type="decimal" allowBlank="1" showErrorMessage="1" sqref="F7:F29" xr:uid="{53927B84-39E1-411C-9420-02F45B2302E8}">
      <formula1>0</formula1>
      <formula2>$F$6</formula2>
    </dataValidation>
    <dataValidation type="decimal" allowBlank="1" showErrorMessage="1" sqref="G7:G29" xr:uid="{5D2F1CAC-6385-4FEB-AE09-EC23E51F3348}">
      <formula1>0</formula1>
      <formula2>$G$6</formula2>
    </dataValidation>
    <dataValidation type="decimal" allowBlank="1" showErrorMessage="1" sqref="H7:H29" xr:uid="{8A238ECB-13FD-4C5B-AB0C-751D7D163376}">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8C887-FC23-41AA-AD9A-4FDDD6331E9C}">
  <sheetPr codeName="Tabelle16">
    <tabColor rgb="FF92D050"/>
  </sheetPr>
  <dimension ref="B1:F100"/>
  <sheetViews>
    <sheetView workbookViewId="0">
      <selection activeCell="D7" sqref="D7"/>
    </sheetView>
  </sheetViews>
  <sheetFormatPr baseColWidth="10" defaultRowHeight="12.75" x14ac:dyDescent="0.2"/>
  <cols>
    <col min="1" max="2" width="3.42578125" style="95" customWidth="1"/>
    <col min="3" max="3" width="25.7109375" style="95" customWidth="1"/>
    <col min="4" max="6" width="8.7109375" style="95" customWidth="1"/>
    <col min="7" max="16384" width="11.42578125" style="95"/>
  </cols>
  <sheetData>
    <row r="1" spans="2:6" ht="18" customHeight="1" thickBot="1" x14ac:dyDescent="0.25"/>
    <row r="2" spans="2:6" ht="18" customHeight="1" x14ac:dyDescent="0.2">
      <c r="B2" s="96" t="str">
        <f>Config!F2&amp;" "&amp;YEAR(Config!G27)</f>
        <v>Mathe Abitur 2026</v>
      </c>
      <c r="C2" s="97"/>
      <c r="D2" s="97"/>
      <c r="E2" s="98"/>
      <c r="F2" s="99" t="str">
        <f>"Kurs "&amp;Config!G29</f>
        <v>Kurs K1</v>
      </c>
    </row>
    <row r="3" spans="2:6" ht="18" customHeight="1" x14ac:dyDescent="0.2">
      <c r="B3" s="100" t="s">
        <v>13</v>
      </c>
      <c r="C3" s="101"/>
      <c r="D3" s="101"/>
      <c r="E3" s="101"/>
      <c r="F3" s="102"/>
    </row>
    <row r="4" spans="2:6" ht="18" customHeight="1" thickBot="1" x14ac:dyDescent="0.25">
      <c r="B4" s="100"/>
      <c r="C4" s="101"/>
      <c r="D4" s="103"/>
      <c r="E4" s="103"/>
      <c r="F4" s="104"/>
    </row>
    <row r="5" spans="2:6" ht="18" customHeight="1" thickBot="1" x14ac:dyDescent="0.25">
      <c r="B5" s="105"/>
      <c r="C5" s="107"/>
      <c r="D5" s="124" t="str">
        <f>Config!N6</f>
        <v>1a</v>
      </c>
      <c r="E5" s="124" t="str">
        <f>Config!N7</f>
        <v>1b</v>
      </c>
      <c r="F5" s="111" t="s">
        <v>82</v>
      </c>
    </row>
    <row r="6" spans="2:6" ht="18" customHeight="1" thickBot="1" x14ac:dyDescent="0.25">
      <c r="B6" s="106"/>
      <c r="C6" s="108" t="s">
        <v>81</v>
      </c>
      <c r="D6" s="110">
        <f>Config!O6</f>
        <v>2</v>
      </c>
      <c r="E6" s="110">
        <f>Config!O7</f>
        <v>3</v>
      </c>
      <c r="F6" s="125">
        <f>Config!O21</f>
        <v>5</v>
      </c>
    </row>
    <row r="7" spans="2:6" ht="18" customHeight="1" thickBot="1" x14ac:dyDescent="0.25">
      <c r="B7" s="119">
        <v>1</v>
      </c>
      <c r="C7" s="117" t="str">
        <f>Config!C5&amp;", "&amp;Config!D5</f>
        <v>Höfer, Simon</v>
      </c>
      <c r="D7" s="64">
        <v>0</v>
      </c>
      <c r="E7" s="65">
        <v>0</v>
      </c>
      <c r="F7" s="115">
        <f t="shared" ref="F7:F29" si="0">SUM(D7:E7)</f>
        <v>0</v>
      </c>
    </row>
    <row r="8" spans="2:6" ht="18" customHeight="1" thickBot="1" x14ac:dyDescent="0.25">
      <c r="B8" s="120">
        <v>2</v>
      </c>
      <c r="C8" s="112" t="str">
        <f>Config!C6&amp;", "&amp;Config!D6</f>
        <v>Töpfer, Lilian</v>
      </c>
      <c r="D8" s="63">
        <v>1.5</v>
      </c>
      <c r="E8" s="66">
        <v>2</v>
      </c>
      <c r="F8" s="115">
        <f t="shared" si="0"/>
        <v>3.5</v>
      </c>
    </row>
    <row r="9" spans="2:6" ht="18" customHeight="1" thickBot="1" x14ac:dyDescent="0.25">
      <c r="B9" s="120">
        <v>3</v>
      </c>
      <c r="C9" s="112" t="str">
        <f>Config!C7&amp;", "&amp;Config!D7</f>
        <v>Fleischmann, Leonie</v>
      </c>
      <c r="D9" s="63">
        <v>2</v>
      </c>
      <c r="E9" s="66">
        <v>2.5</v>
      </c>
      <c r="F9" s="115">
        <f t="shared" si="0"/>
        <v>4.5</v>
      </c>
    </row>
    <row r="10" spans="2:6" ht="18" customHeight="1" thickBot="1" x14ac:dyDescent="0.25">
      <c r="B10" s="120">
        <v>4</v>
      </c>
      <c r="C10" s="112" t="str">
        <f>Config!C8&amp;", "&amp;Config!D8</f>
        <v>Drescher, Cedric</v>
      </c>
      <c r="D10" s="63">
        <v>2</v>
      </c>
      <c r="E10" s="66">
        <v>1.5</v>
      </c>
      <c r="F10" s="115">
        <f t="shared" si="0"/>
        <v>3.5</v>
      </c>
    </row>
    <row r="11" spans="2:6" ht="18" customHeight="1" thickBot="1" x14ac:dyDescent="0.25">
      <c r="B11" s="120">
        <v>5</v>
      </c>
      <c r="C11" s="112" t="str">
        <f>Config!C9&amp;", "&amp;Config!D9</f>
        <v>Baumgarten, Annabell</v>
      </c>
      <c r="D11" s="63">
        <v>1.5</v>
      </c>
      <c r="E11" s="66">
        <v>2</v>
      </c>
      <c r="F11" s="115">
        <f t="shared" si="0"/>
        <v>3.5</v>
      </c>
    </row>
    <row r="12" spans="2:6" ht="18" customHeight="1" thickBot="1" x14ac:dyDescent="0.25">
      <c r="B12" s="120">
        <v>6</v>
      </c>
      <c r="C12" s="112" t="str">
        <f>Config!C10&amp;", "&amp;Config!D10</f>
        <v>Traut, Stefanie</v>
      </c>
      <c r="D12" s="63">
        <v>1.5</v>
      </c>
      <c r="E12" s="66">
        <v>3</v>
      </c>
      <c r="F12" s="115">
        <f t="shared" si="0"/>
        <v>4.5</v>
      </c>
    </row>
    <row r="13" spans="2:6" ht="18" customHeight="1" thickBot="1" x14ac:dyDescent="0.25">
      <c r="B13" s="120">
        <v>7</v>
      </c>
      <c r="C13" s="112" t="str">
        <f>Config!C11&amp;", "&amp;Config!D11</f>
        <v>Menke, Damian</v>
      </c>
      <c r="D13" s="63">
        <v>2</v>
      </c>
      <c r="E13" s="66">
        <v>2.5</v>
      </c>
      <c r="F13" s="115">
        <f t="shared" si="0"/>
        <v>4.5</v>
      </c>
    </row>
    <row r="14" spans="2:6" ht="18" customHeight="1" thickBot="1" x14ac:dyDescent="0.25">
      <c r="B14" s="120">
        <v>8</v>
      </c>
      <c r="C14" s="112" t="str">
        <f>Config!C12&amp;", "&amp;Config!D12</f>
        <v>Carroll, Meik</v>
      </c>
      <c r="D14" s="63">
        <v>2</v>
      </c>
      <c r="E14" s="66">
        <v>2</v>
      </c>
      <c r="F14" s="115">
        <f t="shared" si="0"/>
        <v>4</v>
      </c>
    </row>
    <row r="15" spans="2:6" ht="18" customHeight="1" thickBot="1" x14ac:dyDescent="0.25">
      <c r="B15" s="120">
        <v>9</v>
      </c>
      <c r="C15" s="112" t="str">
        <f>Config!C13&amp;", "&amp;Config!D13</f>
        <v>Hennings, Tomas</v>
      </c>
      <c r="D15" s="63">
        <v>1.5</v>
      </c>
      <c r="E15" s="66">
        <v>3</v>
      </c>
      <c r="F15" s="115">
        <f t="shared" si="0"/>
        <v>4.5</v>
      </c>
    </row>
    <row r="16" spans="2:6" ht="18" customHeight="1" thickBot="1" x14ac:dyDescent="0.25">
      <c r="B16" s="120">
        <v>10</v>
      </c>
      <c r="C16" s="112" t="str">
        <f>Config!C14&amp;", "&amp;Config!D14</f>
        <v>Walters, Linn</v>
      </c>
      <c r="D16" s="63">
        <v>1</v>
      </c>
      <c r="E16" s="66">
        <v>0</v>
      </c>
      <c r="F16" s="115">
        <f t="shared" si="0"/>
        <v>1</v>
      </c>
    </row>
    <row r="17" spans="2:6" ht="18" customHeight="1" thickBot="1" x14ac:dyDescent="0.25">
      <c r="B17" s="120">
        <v>11</v>
      </c>
      <c r="C17" s="112" t="str">
        <f>Config!C15&amp;", "&amp;Config!D15</f>
        <v>Junker, Amely</v>
      </c>
      <c r="D17" s="63">
        <v>2</v>
      </c>
      <c r="E17" s="66">
        <v>0</v>
      </c>
      <c r="F17" s="115">
        <f t="shared" si="0"/>
        <v>2</v>
      </c>
    </row>
    <row r="18" spans="2:6" ht="18" customHeight="1" thickBot="1" x14ac:dyDescent="0.25">
      <c r="B18" s="120">
        <v>12</v>
      </c>
      <c r="C18" s="112" t="str">
        <f>Config!C16&amp;", "&amp;Config!D16</f>
        <v>Stephens, Melvin</v>
      </c>
      <c r="D18" s="63">
        <v>0.5</v>
      </c>
      <c r="E18" s="66">
        <v>0</v>
      </c>
      <c r="F18" s="115">
        <f t="shared" si="0"/>
        <v>0.5</v>
      </c>
    </row>
    <row r="19" spans="2:6" ht="18" customHeight="1" thickBot="1" x14ac:dyDescent="0.25">
      <c r="B19" s="120">
        <v>13</v>
      </c>
      <c r="C19" s="112" t="str">
        <f>Config!C17&amp;", "&amp;Config!D17</f>
        <v>Cremer, Marvin</v>
      </c>
      <c r="D19" s="63">
        <v>1.5</v>
      </c>
      <c r="E19" s="66">
        <v>3</v>
      </c>
      <c r="F19" s="115">
        <f t="shared" si="0"/>
        <v>4.5</v>
      </c>
    </row>
    <row r="20" spans="2:6" ht="18" customHeight="1" thickBot="1" x14ac:dyDescent="0.25">
      <c r="B20" s="120">
        <v>14</v>
      </c>
      <c r="C20" s="112" t="str">
        <f>Config!C18&amp;", "&amp;Config!D18</f>
        <v>Nash, Jean</v>
      </c>
      <c r="D20" s="63">
        <v>2</v>
      </c>
      <c r="E20" s="66">
        <v>2</v>
      </c>
      <c r="F20" s="115">
        <f t="shared" si="0"/>
        <v>4</v>
      </c>
    </row>
    <row r="21" spans="2:6" ht="18" customHeight="1" thickBot="1" x14ac:dyDescent="0.25">
      <c r="B21" s="120">
        <v>15</v>
      </c>
      <c r="C21" s="112" t="str">
        <f>Config!C19&amp;", "&amp;Config!D19</f>
        <v>Schön, Leonardo</v>
      </c>
      <c r="D21" s="63">
        <v>2</v>
      </c>
      <c r="E21" s="66">
        <v>3</v>
      </c>
      <c r="F21" s="115">
        <f t="shared" si="0"/>
        <v>5</v>
      </c>
    </row>
    <row r="22" spans="2:6" ht="18" customHeight="1" thickBot="1" x14ac:dyDescent="0.25">
      <c r="B22" s="120">
        <v>16</v>
      </c>
      <c r="C22" s="112" t="str">
        <f>Config!C20&amp;", "&amp;Config!D20</f>
        <v>Sigl, Nicholas</v>
      </c>
      <c r="D22" s="63">
        <v>2</v>
      </c>
      <c r="E22" s="66">
        <v>2.5</v>
      </c>
      <c r="F22" s="115">
        <f t="shared" si="0"/>
        <v>4.5</v>
      </c>
    </row>
    <row r="23" spans="2:6" ht="18" customHeight="1" thickBot="1" x14ac:dyDescent="0.25">
      <c r="B23" s="120">
        <v>17</v>
      </c>
      <c r="C23" s="112" t="str">
        <f>Config!C21&amp;", "&amp;Config!D21</f>
        <v>Kainz, Vivienne</v>
      </c>
      <c r="D23" s="63">
        <v>2</v>
      </c>
      <c r="E23" s="66">
        <v>3</v>
      </c>
      <c r="F23" s="115">
        <f t="shared" si="0"/>
        <v>5</v>
      </c>
    </row>
    <row r="24" spans="2:6" ht="18" customHeight="1" thickBot="1" x14ac:dyDescent="0.25">
      <c r="B24" s="120">
        <v>18</v>
      </c>
      <c r="C24" s="112" t="str">
        <f>Config!C22&amp;", "&amp;Config!D22</f>
        <v>Hartmann, Mads</v>
      </c>
      <c r="D24" s="63">
        <v>1</v>
      </c>
      <c r="E24" s="66">
        <v>0</v>
      </c>
      <c r="F24" s="115">
        <f t="shared" si="0"/>
        <v>1</v>
      </c>
    </row>
    <row r="25" spans="2:6" ht="18" customHeight="1" thickBot="1" x14ac:dyDescent="0.25">
      <c r="B25" s="120">
        <v>19</v>
      </c>
      <c r="C25" s="112" t="str">
        <f>Config!C23&amp;", "&amp;Config!D23</f>
        <v>Ullmann, Raphael</v>
      </c>
      <c r="D25" s="63">
        <v>2</v>
      </c>
      <c r="E25" s="66">
        <v>0</v>
      </c>
      <c r="F25" s="115">
        <f t="shared" si="0"/>
        <v>2</v>
      </c>
    </row>
    <row r="26" spans="2:6" ht="18" customHeight="1" thickBot="1" x14ac:dyDescent="0.25">
      <c r="B26" s="120">
        <v>20</v>
      </c>
      <c r="C26" s="112" t="str">
        <f>Config!C24&amp;", "&amp;Config!D24</f>
        <v>Hartl, Emmely</v>
      </c>
      <c r="D26" s="63">
        <v>2</v>
      </c>
      <c r="E26" s="66">
        <v>0</v>
      </c>
      <c r="F26" s="115">
        <f t="shared" si="0"/>
        <v>2</v>
      </c>
    </row>
    <row r="27" spans="2:6" ht="18" customHeight="1" thickBot="1" x14ac:dyDescent="0.25">
      <c r="B27" s="120">
        <v>21</v>
      </c>
      <c r="C27" s="112" t="str">
        <f>Config!C25&amp;", "&amp;Config!D25</f>
        <v>Klotz, Karin</v>
      </c>
      <c r="D27" s="63">
        <v>2</v>
      </c>
      <c r="E27" s="66">
        <v>3</v>
      </c>
      <c r="F27" s="115">
        <f t="shared" si="0"/>
        <v>5</v>
      </c>
    </row>
    <row r="28" spans="2:6" ht="18" customHeight="1" thickBot="1" x14ac:dyDescent="0.25">
      <c r="B28" s="120">
        <v>22</v>
      </c>
      <c r="C28" s="112" t="str">
        <f>Config!C26&amp;", "&amp;Config!D26</f>
        <v>Ehlers, Ingo</v>
      </c>
      <c r="D28" s="63">
        <v>2</v>
      </c>
      <c r="E28" s="66">
        <v>3</v>
      </c>
      <c r="F28" s="115">
        <f t="shared" si="0"/>
        <v>5</v>
      </c>
    </row>
    <row r="29" spans="2:6" ht="18" customHeight="1" thickBot="1" x14ac:dyDescent="0.25">
      <c r="B29" s="121">
        <v>23</v>
      </c>
      <c r="C29" s="118" t="str">
        <f>Config!C27&amp;", "&amp;Config!D27</f>
        <v>Lindemann, Mads</v>
      </c>
      <c r="D29" s="67">
        <v>2</v>
      </c>
      <c r="E29" s="68">
        <v>1</v>
      </c>
      <c r="F29" s="113">
        <f t="shared" si="0"/>
        <v>3</v>
      </c>
    </row>
    <row r="30" spans="2:6" ht="18" customHeight="1" thickBot="1" x14ac:dyDescent="0.25">
      <c r="B30" s="122"/>
      <c r="C30" s="123"/>
      <c r="D30" s="123">
        <f>IF(COUNTIF(D7:D29,"&lt;&gt;")&lt;&gt;0,SUM(D7:D29)/(COUNTIF(D7:D29,"&lt;&gt;")*D6),0)</f>
        <v>0.82608695652173914</v>
      </c>
      <c r="E30" s="123">
        <f>IF(COUNTIF(E7:E29,"&lt;&gt;")&lt;&gt;0,SUM(E7:E29)/(COUNTIF(E7:E29,"&lt;&gt;")*E6),0)</f>
        <v>0.56521739130434778</v>
      </c>
      <c r="F30" s="116"/>
    </row>
    <row r="31" spans="2:6" ht="18" customHeight="1" x14ac:dyDescent="0.2"/>
    <row r="32" spans="2:6"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2">
    <dataValidation type="decimal" allowBlank="1" showErrorMessage="1" sqref="D7:D29" xr:uid="{88DFDC6D-D4DB-4CC3-A363-02D09C755E41}">
      <formula1>0</formula1>
      <formula2>$D$6</formula2>
    </dataValidation>
    <dataValidation type="decimal" allowBlank="1" showErrorMessage="1" sqref="E7:E29" xr:uid="{0147666E-EE07-4DE4-B89B-1BACC94CFDBE}">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E7184-7B37-48D4-A24A-CC9BD642ADAD}">
  <sheetPr codeName="Tabelle17">
    <tabColor rgb="FF92D050"/>
  </sheetPr>
  <dimension ref="B1:I100"/>
  <sheetViews>
    <sheetView workbookViewId="0">
      <selection activeCell="D7" sqref="D7"/>
    </sheetView>
  </sheetViews>
  <sheetFormatPr baseColWidth="10" defaultRowHeight="12.75" x14ac:dyDescent="0.2"/>
  <cols>
    <col min="1" max="2" width="3.42578125" style="95" customWidth="1"/>
    <col min="3" max="3" width="25.7109375" style="95" customWidth="1"/>
    <col min="4" max="9" width="8.7109375" style="95" customWidth="1"/>
    <col min="10" max="16384" width="11.42578125" style="95"/>
  </cols>
  <sheetData>
    <row r="1" spans="2:9" ht="18" customHeight="1" thickBot="1" x14ac:dyDescent="0.25"/>
    <row r="2" spans="2:9" ht="18" customHeight="1" x14ac:dyDescent="0.2">
      <c r="B2" s="96" t="str">
        <f>Config!F2&amp;" "&amp;YEAR(Config!G27)</f>
        <v>Mathe Abitur 2026</v>
      </c>
      <c r="C2" s="97"/>
      <c r="D2" s="97"/>
      <c r="E2" s="97"/>
      <c r="F2" s="98"/>
      <c r="G2" s="98"/>
      <c r="H2" s="98"/>
      <c r="I2" s="99" t="str">
        <f>"Kurs "&amp;Config!G29</f>
        <v>Kurs K1</v>
      </c>
    </row>
    <row r="3" spans="2:9" ht="18" customHeight="1" x14ac:dyDescent="0.2">
      <c r="B3" s="100" t="s">
        <v>14</v>
      </c>
      <c r="C3" s="101"/>
      <c r="D3" s="101"/>
      <c r="E3" s="101"/>
      <c r="F3" s="101"/>
      <c r="G3" s="101"/>
      <c r="H3" s="101"/>
      <c r="I3" s="102"/>
    </row>
    <row r="4" spans="2:9" ht="18" customHeight="1" thickBot="1" x14ac:dyDescent="0.25">
      <c r="B4" s="100"/>
      <c r="C4" s="101"/>
      <c r="D4" s="103"/>
      <c r="E4" s="103"/>
      <c r="F4" s="103"/>
      <c r="G4" s="103"/>
      <c r="H4" s="103"/>
      <c r="I4" s="104"/>
    </row>
    <row r="5" spans="2:9" ht="18" customHeight="1" thickBot="1" x14ac:dyDescent="0.25">
      <c r="B5" s="105"/>
      <c r="C5" s="107"/>
      <c r="D5" s="124" t="str">
        <f>Config!P6</f>
        <v>1a</v>
      </c>
      <c r="E5" s="124" t="str">
        <f>Config!P7</f>
        <v>1b</v>
      </c>
      <c r="F5" s="124" t="str">
        <f>Config!P8</f>
        <v>1c</v>
      </c>
      <c r="G5" s="124" t="str">
        <f>Config!P9</f>
        <v>1d</v>
      </c>
      <c r="H5" s="124" t="str">
        <f>Config!P10</f>
        <v>1e</v>
      </c>
      <c r="I5" s="111" t="s">
        <v>82</v>
      </c>
    </row>
    <row r="6" spans="2:9" ht="18" customHeight="1" thickBot="1" x14ac:dyDescent="0.25">
      <c r="B6" s="106"/>
      <c r="C6" s="108" t="s">
        <v>81</v>
      </c>
      <c r="D6" s="110">
        <f>Config!Q6</f>
        <v>4</v>
      </c>
      <c r="E6" s="110">
        <f>Config!Q7</f>
        <v>3</v>
      </c>
      <c r="F6" s="110">
        <f>Config!Q8</f>
        <v>4</v>
      </c>
      <c r="G6" s="110">
        <f>Config!Q9</f>
        <v>3</v>
      </c>
      <c r="H6" s="110">
        <f>Config!Q10</f>
        <v>4</v>
      </c>
      <c r="I6" s="125">
        <f>Config!Q21</f>
        <v>18</v>
      </c>
    </row>
    <row r="7" spans="2:9" ht="18" customHeight="1" thickBot="1" x14ac:dyDescent="0.25">
      <c r="B7" s="119">
        <v>1</v>
      </c>
      <c r="C7" s="117" t="str">
        <f>Config!C5&amp;", "&amp;Config!D5</f>
        <v>Höfer, Simon</v>
      </c>
      <c r="D7" s="64">
        <v>4</v>
      </c>
      <c r="E7" s="64">
        <v>2</v>
      </c>
      <c r="F7" s="64">
        <v>2</v>
      </c>
      <c r="G7" s="64">
        <v>0.5</v>
      </c>
      <c r="H7" s="65">
        <v>0.5</v>
      </c>
      <c r="I7" s="115">
        <f t="shared" ref="I7:I29" si="0">SUM(D7:H7)</f>
        <v>9</v>
      </c>
    </row>
    <row r="8" spans="2:9" ht="18" customHeight="1" thickBot="1" x14ac:dyDescent="0.25">
      <c r="B8" s="120">
        <v>2</v>
      </c>
      <c r="C8" s="112" t="str">
        <f>Config!C6&amp;", "&amp;Config!D6</f>
        <v>Töpfer, Lilian</v>
      </c>
      <c r="D8" s="63">
        <v>4</v>
      </c>
      <c r="E8" s="63">
        <v>0</v>
      </c>
      <c r="F8" s="63">
        <v>2.5</v>
      </c>
      <c r="G8" s="63">
        <v>0.5</v>
      </c>
      <c r="H8" s="66">
        <v>2</v>
      </c>
      <c r="I8" s="115">
        <f t="shared" si="0"/>
        <v>9</v>
      </c>
    </row>
    <row r="9" spans="2:9" ht="18" customHeight="1" thickBot="1" x14ac:dyDescent="0.25">
      <c r="B9" s="120">
        <v>3</v>
      </c>
      <c r="C9" s="112" t="str">
        <f>Config!C7&amp;", "&amp;Config!D7</f>
        <v>Fleischmann, Leonie</v>
      </c>
      <c r="D9" s="63">
        <v>4</v>
      </c>
      <c r="E9" s="63">
        <v>2</v>
      </c>
      <c r="F9" s="63">
        <v>3</v>
      </c>
      <c r="G9" s="63">
        <v>2</v>
      </c>
      <c r="H9" s="66">
        <v>3</v>
      </c>
      <c r="I9" s="115">
        <f t="shared" si="0"/>
        <v>14</v>
      </c>
    </row>
    <row r="10" spans="2:9" ht="18" customHeight="1" thickBot="1" x14ac:dyDescent="0.25">
      <c r="B10" s="120">
        <v>4</v>
      </c>
      <c r="C10" s="112" t="str">
        <f>Config!C8&amp;", "&amp;Config!D8</f>
        <v>Drescher, Cedric</v>
      </c>
      <c r="D10" s="63">
        <v>4</v>
      </c>
      <c r="E10" s="63">
        <v>2</v>
      </c>
      <c r="F10" s="63">
        <v>3.5</v>
      </c>
      <c r="G10" s="63">
        <v>0</v>
      </c>
      <c r="H10" s="66">
        <v>4</v>
      </c>
      <c r="I10" s="115">
        <f t="shared" si="0"/>
        <v>13.5</v>
      </c>
    </row>
    <row r="11" spans="2:9" ht="18" customHeight="1" thickBot="1" x14ac:dyDescent="0.25">
      <c r="B11" s="120">
        <v>5</v>
      </c>
      <c r="C11" s="112" t="str">
        <f>Config!C9&amp;", "&amp;Config!D9</f>
        <v>Baumgarten, Annabell</v>
      </c>
      <c r="D11" s="63">
        <v>4</v>
      </c>
      <c r="E11" s="63">
        <v>2</v>
      </c>
      <c r="F11" s="63">
        <v>3</v>
      </c>
      <c r="G11" s="63">
        <v>0</v>
      </c>
      <c r="H11" s="66">
        <v>3</v>
      </c>
      <c r="I11" s="115">
        <f t="shared" si="0"/>
        <v>12</v>
      </c>
    </row>
    <row r="12" spans="2:9" ht="18" customHeight="1" thickBot="1" x14ac:dyDescent="0.25">
      <c r="B12" s="120">
        <v>6</v>
      </c>
      <c r="C12" s="112" t="str">
        <f>Config!C10&amp;", "&amp;Config!D10</f>
        <v>Traut, Stefanie</v>
      </c>
      <c r="D12" s="63">
        <v>4</v>
      </c>
      <c r="E12" s="63">
        <v>3</v>
      </c>
      <c r="F12" s="63">
        <v>4</v>
      </c>
      <c r="G12" s="63">
        <v>2</v>
      </c>
      <c r="H12" s="66">
        <v>4</v>
      </c>
      <c r="I12" s="115">
        <f t="shared" si="0"/>
        <v>17</v>
      </c>
    </row>
    <row r="13" spans="2:9" ht="18" customHeight="1" thickBot="1" x14ac:dyDescent="0.25">
      <c r="B13" s="120">
        <v>7</v>
      </c>
      <c r="C13" s="112" t="str">
        <f>Config!C11&amp;", "&amp;Config!D11</f>
        <v>Menke, Damian</v>
      </c>
      <c r="D13" s="63">
        <v>4</v>
      </c>
      <c r="E13" s="63">
        <v>3</v>
      </c>
      <c r="F13" s="63">
        <v>3.5</v>
      </c>
      <c r="G13" s="63">
        <v>0.5</v>
      </c>
      <c r="H13" s="66">
        <v>4</v>
      </c>
      <c r="I13" s="115">
        <f t="shared" si="0"/>
        <v>15</v>
      </c>
    </row>
    <row r="14" spans="2:9" ht="18" customHeight="1" thickBot="1" x14ac:dyDescent="0.25">
      <c r="B14" s="120">
        <v>8</v>
      </c>
      <c r="C14" s="112" t="str">
        <f>Config!C12&amp;", "&amp;Config!D12</f>
        <v>Carroll, Meik</v>
      </c>
      <c r="D14" s="63">
        <v>3.5</v>
      </c>
      <c r="E14" s="63">
        <v>2</v>
      </c>
      <c r="F14" s="63">
        <v>3.5</v>
      </c>
      <c r="G14" s="63">
        <v>2</v>
      </c>
      <c r="H14" s="66">
        <v>2</v>
      </c>
      <c r="I14" s="115">
        <f t="shared" si="0"/>
        <v>13</v>
      </c>
    </row>
    <row r="15" spans="2:9" ht="18" customHeight="1" thickBot="1" x14ac:dyDescent="0.25">
      <c r="B15" s="120">
        <v>9</v>
      </c>
      <c r="C15" s="112" t="str">
        <f>Config!C13&amp;", "&amp;Config!D13</f>
        <v>Hennings, Tomas</v>
      </c>
      <c r="D15" s="63">
        <v>2</v>
      </c>
      <c r="E15" s="63">
        <v>0</v>
      </c>
      <c r="F15" s="63">
        <v>1</v>
      </c>
      <c r="G15" s="63">
        <v>1</v>
      </c>
      <c r="H15" s="66">
        <v>0</v>
      </c>
      <c r="I15" s="115">
        <f t="shared" si="0"/>
        <v>4</v>
      </c>
    </row>
    <row r="16" spans="2:9" ht="18" customHeight="1" thickBot="1" x14ac:dyDescent="0.25">
      <c r="B16" s="120">
        <v>10</v>
      </c>
      <c r="C16" s="112" t="str">
        <f>Config!C14&amp;", "&amp;Config!D14</f>
        <v>Walters, Linn</v>
      </c>
      <c r="D16" s="63">
        <v>2.5</v>
      </c>
      <c r="E16" s="63">
        <v>1</v>
      </c>
      <c r="F16" s="63">
        <v>3</v>
      </c>
      <c r="G16" s="63">
        <v>2</v>
      </c>
      <c r="H16" s="66">
        <v>0</v>
      </c>
      <c r="I16" s="115">
        <f t="shared" si="0"/>
        <v>8.5</v>
      </c>
    </row>
    <row r="17" spans="2:9" ht="18" customHeight="1" thickBot="1" x14ac:dyDescent="0.25">
      <c r="B17" s="120">
        <v>11</v>
      </c>
      <c r="C17" s="112" t="str">
        <f>Config!C15&amp;", "&amp;Config!D15</f>
        <v>Junker, Amely</v>
      </c>
      <c r="D17" s="63">
        <v>4</v>
      </c>
      <c r="E17" s="63">
        <v>3</v>
      </c>
      <c r="F17" s="63">
        <v>2</v>
      </c>
      <c r="G17" s="63">
        <v>2</v>
      </c>
      <c r="H17" s="66">
        <v>2</v>
      </c>
      <c r="I17" s="115">
        <f t="shared" si="0"/>
        <v>13</v>
      </c>
    </row>
    <row r="18" spans="2:9" ht="18" customHeight="1" thickBot="1" x14ac:dyDescent="0.25">
      <c r="B18" s="120">
        <v>12</v>
      </c>
      <c r="C18" s="112" t="str">
        <f>Config!C16&amp;", "&amp;Config!D16</f>
        <v>Stephens, Melvin</v>
      </c>
      <c r="D18" s="63">
        <v>4</v>
      </c>
      <c r="E18" s="63">
        <v>2</v>
      </c>
      <c r="F18" s="63">
        <v>3</v>
      </c>
      <c r="G18" s="63">
        <v>2</v>
      </c>
      <c r="H18" s="66">
        <v>2</v>
      </c>
      <c r="I18" s="115">
        <f t="shared" si="0"/>
        <v>13</v>
      </c>
    </row>
    <row r="19" spans="2:9" ht="18" customHeight="1" thickBot="1" x14ac:dyDescent="0.25">
      <c r="B19" s="120">
        <v>13</v>
      </c>
      <c r="C19" s="112" t="str">
        <f>Config!C17&amp;", "&amp;Config!D17</f>
        <v>Cremer, Marvin</v>
      </c>
      <c r="D19" s="63">
        <v>3</v>
      </c>
      <c r="E19" s="63">
        <v>0</v>
      </c>
      <c r="F19" s="63">
        <v>0</v>
      </c>
      <c r="G19" s="63">
        <v>0</v>
      </c>
      <c r="H19" s="66">
        <v>0</v>
      </c>
      <c r="I19" s="115">
        <f t="shared" si="0"/>
        <v>3</v>
      </c>
    </row>
    <row r="20" spans="2:9" ht="18" customHeight="1" thickBot="1" x14ac:dyDescent="0.25">
      <c r="B20" s="120">
        <v>14</v>
      </c>
      <c r="C20" s="112" t="str">
        <f>Config!C18&amp;", "&amp;Config!D18</f>
        <v>Nash, Jean</v>
      </c>
      <c r="D20" s="63">
        <v>4</v>
      </c>
      <c r="E20" s="63">
        <v>3</v>
      </c>
      <c r="F20" s="63">
        <v>2</v>
      </c>
      <c r="G20" s="63">
        <v>2</v>
      </c>
      <c r="H20" s="66">
        <v>3.5</v>
      </c>
      <c r="I20" s="115">
        <f t="shared" si="0"/>
        <v>14.5</v>
      </c>
    </row>
    <row r="21" spans="2:9" ht="18" customHeight="1" thickBot="1" x14ac:dyDescent="0.25">
      <c r="B21" s="120">
        <v>15</v>
      </c>
      <c r="C21" s="112" t="str">
        <f>Config!C19&amp;", "&amp;Config!D19</f>
        <v>Schön, Leonardo</v>
      </c>
      <c r="D21" s="63">
        <v>4</v>
      </c>
      <c r="E21" s="63">
        <v>1</v>
      </c>
      <c r="F21" s="63">
        <v>1</v>
      </c>
      <c r="G21" s="63">
        <v>0.5</v>
      </c>
      <c r="H21" s="66">
        <v>0</v>
      </c>
      <c r="I21" s="115">
        <f t="shared" si="0"/>
        <v>6.5</v>
      </c>
    </row>
    <row r="22" spans="2:9" ht="18" customHeight="1" thickBot="1" x14ac:dyDescent="0.25">
      <c r="B22" s="120">
        <v>16</v>
      </c>
      <c r="C22" s="112" t="str">
        <f>Config!C20&amp;", "&amp;Config!D20</f>
        <v>Sigl, Nicholas</v>
      </c>
      <c r="D22" s="63">
        <v>4</v>
      </c>
      <c r="E22" s="63">
        <v>0.5</v>
      </c>
      <c r="F22" s="63">
        <v>1</v>
      </c>
      <c r="G22" s="63">
        <v>0.5</v>
      </c>
      <c r="H22" s="66">
        <v>0</v>
      </c>
      <c r="I22" s="115">
        <f t="shared" si="0"/>
        <v>6</v>
      </c>
    </row>
    <row r="23" spans="2:9" ht="18" customHeight="1" thickBot="1" x14ac:dyDescent="0.25">
      <c r="B23" s="120">
        <v>17</v>
      </c>
      <c r="C23" s="112" t="str">
        <f>Config!C21&amp;", "&amp;Config!D21</f>
        <v>Kainz, Vivienne</v>
      </c>
      <c r="D23" s="63">
        <v>2</v>
      </c>
      <c r="E23" s="63">
        <v>0</v>
      </c>
      <c r="F23" s="63">
        <v>1</v>
      </c>
      <c r="G23" s="63">
        <v>1.5</v>
      </c>
      <c r="H23" s="66">
        <v>0</v>
      </c>
      <c r="I23" s="115">
        <f t="shared" si="0"/>
        <v>4.5</v>
      </c>
    </row>
    <row r="24" spans="2:9" ht="18" customHeight="1" thickBot="1" x14ac:dyDescent="0.25">
      <c r="B24" s="120">
        <v>18</v>
      </c>
      <c r="C24" s="112" t="str">
        <f>Config!C22&amp;", "&amp;Config!D22</f>
        <v>Hartmann, Mads</v>
      </c>
      <c r="D24" s="63">
        <v>4</v>
      </c>
      <c r="E24" s="63">
        <v>3</v>
      </c>
      <c r="F24" s="63">
        <v>3</v>
      </c>
      <c r="G24" s="63">
        <v>0</v>
      </c>
      <c r="H24" s="66">
        <v>4</v>
      </c>
      <c r="I24" s="115">
        <f t="shared" si="0"/>
        <v>14</v>
      </c>
    </row>
    <row r="25" spans="2:9" ht="18" customHeight="1" thickBot="1" x14ac:dyDescent="0.25">
      <c r="B25" s="120">
        <v>19</v>
      </c>
      <c r="C25" s="112" t="str">
        <f>Config!C23&amp;", "&amp;Config!D23</f>
        <v>Ullmann, Raphael</v>
      </c>
      <c r="D25" s="63">
        <v>4</v>
      </c>
      <c r="E25" s="63">
        <v>1</v>
      </c>
      <c r="F25" s="63">
        <v>3</v>
      </c>
      <c r="G25" s="63">
        <v>2</v>
      </c>
      <c r="H25" s="66">
        <v>3.5</v>
      </c>
      <c r="I25" s="115">
        <f t="shared" si="0"/>
        <v>13.5</v>
      </c>
    </row>
    <row r="26" spans="2:9" ht="18" customHeight="1" thickBot="1" x14ac:dyDescent="0.25">
      <c r="B26" s="120">
        <v>20</v>
      </c>
      <c r="C26" s="112" t="str">
        <f>Config!C24&amp;", "&amp;Config!D24</f>
        <v>Hartl, Emmely</v>
      </c>
      <c r="D26" s="63">
        <v>4</v>
      </c>
      <c r="E26" s="63">
        <v>2</v>
      </c>
      <c r="F26" s="63">
        <v>3</v>
      </c>
      <c r="G26" s="63">
        <v>2</v>
      </c>
      <c r="H26" s="66">
        <v>4</v>
      </c>
      <c r="I26" s="115">
        <f t="shared" si="0"/>
        <v>15</v>
      </c>
    </row>
    <row r="27" spans="2:9" ht="18" customHeight="1" thickBot="1" x14ac:dyDescent="0.25">
      <c r="B27" s="120">
        <v>21</v>
      </c>
      <c r="C27" s="112" t="str">
        <f>Config!C25&amp;", "&amp;Config!D25</f>
        <v>Klotz, Karin</v>
      </c>
      <c r="D27" s="63">
        <v>4</v>
      </c>
      <c r="E27" s="63">
        <v>3</v>
      </c>
      <c r="F27" s="63">
        <v>4</v>
      </c>
      <c r="G27" s="63">
        <v>2</v>
      </c>
      <c r="H27" s="66">
        <v>3</v>
      </c>
      <c r="I27" s="115">
        <f t="shared" si="0"/>
        <v>16</v>
      </c>
    </row>
    <row r="28" spans="2:9" ht="18" customHeight="1" thickBot="1" x14ac:dyDescent="0.25">
      <c r="B28" s="120">
        <v>22</v>
      </c>
      <c r="C28" s="112" t="str">
        <f>Config!C26&amp;", "&amp;Config!D26</f>
        <v>Ehlers, Ingo</v>
      </c>
      <c r="D28" s="63">
        <v>4</v>
      </c>
      <c r="E28" s="63">
        <v>2</v>
      </c>
      <c r="F28" s="63">
        <v>4</v>
      </c>
      <c r="G28" s="63">
        <v>2</v>
      </c>
      <c r="H28" s="66">
        <v>2.5</v>
      </c>
      <c r="I28" s="115">
        <f t="shared" si="0"/>
        <v>14.5</v>
      </c>
    </row>
    <row r="29" spans="2:9" ht="18" customHeight="1" thickBot="1" x14ac:dyDescent="0.25">
      <c r="B29" s="121">
        <v>23</v>
      </c>
      <c r="C29" s="118" t="str">
        <f>Config!C27&amp;", "&amp;Config!D27</f>
        <v>Lindemann, Mads</v>
      </c>
      <c r="D29" s="67">
        <v>4</v>
      </c>
      <c r="E29" s="67">
        <v>0</v>
      </c>
      <c r="F29" s="67">
        <v>2</v>
      </c>
      <c r="G29" s="67">
        <v>0.5</v>
      </c>
      <c r="H29" s="68">
        <v>0</v>
      </c>
      <c r="I29" s="113">
        <f t="shared" si="0"/>
        <v>6.5</v>
      </c>
    </row>
    <row r="30" spans="2:9" ht="18" customHeight="1" thickBot="1" x14ac:dyDescent="0.25">
      <c r="B30" s="122"/>
      <c r="C30" s="123"/>
      <c r="D30" s="123">
        <f>IF(COUNTIF(D7:D29,"&lt;&gt;")&lt;&gt;0,SUM(D7:D29)/(COUNTIF(D7:D29,"&lt;&gt;")*D6),0)</f>
        <v>0.92391304347826086</v>
      </c>
      <c r="E30" s="123">
        <f>IF(COUNTIF(E7:E29,"&lt;&gt;")&lt;&gt;0,SUM(E7:E29)/(COUNTIF(E7:E29,"&lt;&gt;")*E6),0)</f>
        <v>0.54347826086956519</v>
      </c>
      <c r="F30" s="123">
        <f>IF(COUNTIF(F7:F29,"&lt;&gt;")&lt;&gt;0,SUM(F7:F29)/(COUNTIF(F7:F29,"&lt;&gt;")*F6),0)</f>
        <v>0.63043478260869568</v>
      </c>
      <c r="G30" s="123">
        <f>IF(COUNTIF(G7:G29,"&lt;&gt;")&lt;&gt;0,SUM(G7:G29)/(COUNTIF(G7:G29,"&lt;&gt;")*G6),0)</f>
        <v>0.39855072463768115</v>
      </c>
      <c r="H30" s="123">
        <f>IF(COUNTIF(H7:H29,"&lt;&gt;")&lt;&gt;0,SUM(H7:H29)/(COUNTIF(H7:H29,"&lt;&gt;")*H6),0)</f>
        <v>0.51086956521739135</v>
      </c>
      <c r="I30" s="116"/>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9D728047-FCD8-4638-A7F5-F47864507572}">
      <formula1>0</formula1>
      <formula2>$D$6</formula2>
    </dataValidation>
    <dataValidation type="decimal" allowBlank="1" showErrorMessage="1" sqref="E7:E29" xr:uid="{9F7F17A5-4A8F-4532-BDB1-5E352E360FC0}">
      <formula1>0</formula1>
      <formula2>$E$6</formula2>
    </dataValidation>
    <dataValidation type="decimal" allowBlank="1" showErrorMessage="1" sqref="F7:F29" xr:uid="{D8B2926F-13DE-4AD4-9CF8-6AFD73EA574C}">
      <formula1>0</formula1>
      <formula2>$F$6</formula2>
    </dataValidation>
    <dataValidation type="decimal" allowBlank="1" showErrorMessage="1" sqref="G7:G29" xr:uid="{59A3AB15-361B-4B82-B3D7-5A0023E5A832}">
      <formula1>0</formula1>
      <formula2>$G$6</formula2>
    </dataValidation>
    <dataValidation type="decimal" allowBlank="1" showErrorMessage="1" sqref="H7:H29" xr:uid="{2F1C38CB-30BE-4028-AC82-9AF5AFAD991B}">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6AAB6-34AF-4F15-B4E8-F6091FD834B2}">
  <sheetPr codeName="Tabelle18">
    <tabColor rgb="FF92D050"/>
  </sheetPr>
  <dimension ref="B1:I100"/>
  <sheetViews>
    <sheetView workbookViewId="0">
      <selection activeCell="H34" sqref="H34"/>
    </sheetView>
  </sheetViews>
  <sheetFormatPr baseColWidth="10" defaultRowHeight="12.75" x14ac:dyDescent="0.2"/>
  <cols>
    <col min="1" max="2" width="3.42578125" style="95" customWidth="1"/>
    <col min="3" max="3" width="25.7109375" style="95" customWidth="1"/>
    <col min="4" max="9" width="8.7109375" style="95" customWidth="1"/>
    <col min="10" max="16384" width="11.42578125" style="95"/>
  </cols>
  <sheetData>
    <row r="1" spans="2:9" ht="18" customHeight="1" thickBot="1" x14ac:dyDescent="0.25"/>
    <row r="2" spans="2:9" ht="18" customHeight="1" x14ac:dyDescent="0.2">
      <c r="B2" s="96" t="str">
        <f>Config!F2&amp;" "&amp;YEAR(Config!G27)</f>
        <v>Mathe Abitur 2026</v>
      </c>
      <c r="C2" s="97"/>
      <c r="D2" s="97"/>
      <c r="E2" s="97"/>
      <c r="F2" s="98"/>
      <c r="G2" s="98"/>
      <c r="H2" s="98"/>
      <c r="I2" s="99" t="str">
        <f>"Kurs "&amp;Config!G29</f>
        <v>Kurs K1</v>
      </c>
    </row>
    <row r="3" spans="2:9" ht="18" customHeight="1" x14ac:dyDescent="0.2">
      <c r="B3" s="100" t="s">
        <v>112</v>
      </c>
      <c r="C3" s="101"/>
      <c r="D3" s="101"/>
      <c r="E3" s="101"/>
      <c r="F3" s="101"/>
      <c r="G3" s="101"/>
      <c r="H3" s="101"/>
      <c r="I3" s="102"/>
    </row>
    <row r="4" spans="2:9" ht="18" customHeight="1" thickBot="1" x14ac:dyDescent="0.25">
      <c r="B4" s="100"/>
      <c r="C4" s="101"/>
      <c r="D4" s="103"/>
      <c r="E4" s="103"/>
      <c r="F4" s="103"/>
      <c r="G4" s="103"/>
      <c r="H4" s="103"/>
      <c r="I4" s="104"/>
    </row>
    <row r="5" spans="2:9" ht="18" customHeight="1" thickBot="1" x14ac:dyDescent="0.25">
      <c r="B5" s="105"/>
      <c r="C5" s="107"/>
      <c r="D5" s="124" t="str">
        <f>Config!R6</f>
        <v>6</v>
      </c>
      <c r="E5" s="124" t="str">
        <f>Config!R7</f>
        <v>7a</v>
      </c>
      <c r="F5" s="124" t="str">
        <f>Config!R8</f>
        <v>7b</v>
      </c>
      <c r="G5" s="124" t="str">
        <f>Config!R9</f>
        <v>8</v>
      </c>
      <c r="H5" s="124" t="str">
        <f>Config!R10</f>
        <v>9</v>
      </c>
      <c r="I5" s="111" t="s">
        <v>82</v>
      </c>
    </row>
    <row r="6" spans="2:9" ht="18" customHeight="1" thickBot="1" x14ac:dyDescent="0.25">
      <c r="B6" s="106"/>
      <c r="C6" s="108" t="s">
        <v>81</v>
      </c>
      <c r="D6" s="110">
        <f>Config!S6</f>
        <v>5</v>
      </c>
      <c r="E6" s="110">
        <f>Config!S7</f>
        <v>2</v>
      </c>
      <c r="F6" s="110">
        <f>Config!S8</f>
        <v>3</v>
      </c>
      <c r="G6" s="110">
        <f>Config!S9</f>
        <v>5</v>
      </c>
      <c r="H6" s="110">
        <f>Config!S10</f>
        <v>5</v>
      </c>
      <c r="I6" s="125">
        <f>Config!S21</f>
        <v>10</v>
      </c>
    </row>
    <row r="7" spans="2:9" ht="18" customHeight="1" thickBot="1" x14ac:dyDescent="0.25">
      <c r="B7" s="119">
        <v>1</v>
      </c>
      <c r="C7" s="117" t="str">
        <f>Config!C5&amp;", "&amp;Config!D5</f>
        <v>Höfer, Simon</v>
      </c>
      <c r="D7" s="64">
        <v>4</v>
      </c>
      <c r="E7" s="144"/>
      <c r="F7" s="64">
        <v>3</v>
      </c>
      <c r="G7" s="144"/>
      <c r="H7" s="145"/>
      <c r="I7" s="115">
        <f t="shared" ref="I7:I29" si="0">SUM(D7:H7)</f>
        <v>7</v>
      </c>
    </row>
    <row r="8" spans="2:9" ht="18" customHeight="1" thickBot="1" x14ac:dyDescent="0.25">
      <c r="B8" s="120">
        <v>2</v>
      </c>
      <c r="C8" s="112" t="str">
        <f>Config!C6&amp;", "&amp;Config!D6</f>
        <v>Töpfer, Lilian</v>
      </c>
      <c r="D8" s="63">
        <v>3</v>
      </c>
      <c r="E8" s="142"/>
      <c r="F8" s="142"/>
      <c r="G8" s="63">
        <v>4</v>
      </c>
      <c r="H8" s="146"/>
      <c r="I8" s="115">
        <f t="shared" si="0"/>
        <v>7</v>
      </c>
    </row>
    <row r="9" spans="2:9" ht="18" customHeight="1" thickBot="1" x14ac:dyDescent="0.25">
      <c r="B9" s="120">
        <v>3</v>
      </c>
      <c r="C9" s="112" t="str">
        <f>Config!C7&amp;", "&amp;Config!D7</f>
        <v>Fleischmann, Leonie</v>
      </c>
      <c r="D9" s="142"/>
      <c r="E9" s="142"/>
      <c r="F9" s="142"/>
      <c r="G9" s="63">
        <v>5</v>
      </c>
      <c r="H9" s="66">
        <v>3</v>
      </c>
      <c r="I9" s="115">
        <f t="shared" si="0"/>
        <v>8</v>
      </c>
    </row>
    <row r="10" spans="2:9" ht="18" customHeight="1" thickBot="1" x14ac:dyDescent="0.25">
      <c r="B10" s="120">
        <v>4</v>
      </c>
      <c r="C10" s="112" t="str">
        <f>Config!C8&amp;", "&amp;Config!D8</f>
        <v>Drescher, Cedric</v>
      </c>
      <c r="D10" s="63">
        <v>1</v>
      </c>
      <c r="E10" s="63">
        <v>2</v>
      </c>
      <c r="F10" s="63">
        <v>3</v>
      </c>
      <c r="G10" s="142"/>
      <c r="H10" s="146"/>
      <c r="I10" s="115">
        <f t="shared" si="0"/>
        <v>6</v>
      </c>
    </row>
    <row r="11" spans="2:9" ht="18" customHeight="1" thickBot="1" x14ac:dyDescent="0.25">
      <c r="B11" s="120">
        <v>5</v>
      </c>
      <c r="C11" s="112" t="str">
        <f>Config!C9&amp;", "&amp;Config!D9</f>
        <v>Baumgarten, Annabell</v>
      </c>
      <c r="D11" s="63">
        <v>1</v>
      </c>
      <c r="E11" s="142"/>
      <c r="F11" s="142"/>
      <c r="G11" s="63">
        <v>5</v>
      </c>
      <c r="H11" s="146"/>
      <c r="I11" s="115">
        <f t="shared" si="0"/>
        <v>6</v>
      </c>
    </row>
    <row r="12" spans="2:9" ht="18" customHeight="1" thickBot="1" x14ac:dyDescent="0.25">
      <c r="B12" s="120">
        <v>6</v>
      </c>
      <c r="C12" s="112" t="str">
        <f>Config!C10&amp;", "&amp;Config!D10</f>
        <v>Traut, Stefanie</v>
      </c>
      <c r="D12" s="142"/>
      <c r="E12" s="63">
        <v>2</v>
      </c>
      <c r="F12" s="63">
        <v>3</v>
      </c>
      <c r="G12" s="63">
        <v>3</v>
      </c>
      <c r="H12" s="146"/>
      <c r="I12" s="115">
        <f t="shared" si="0"/>
        <v>8</v>
      </c>
    </row>
    <row r="13" spans="2:9" ht="18" customHeight="1" thickBot="1" x14ac:dyDescent="0.25">
      <c r="B13" s="120">
        <v>7</v>
      </c>
      <c r="C13" s="112" t="str">
        <f>Config!C11&amp;", "&amp;Config!D11</f>
        <v>Menke, Damian</v>
      </c>
      <c r="D13" s="142"/>
      <c r="E13" s="63">
        <v>1</v>
      </c>
      <c r="F13" s="63">
        <v>2</v>
      </c>
      <c r="G13" s="142"/>
      <c r="H13" s="66">
        <v>4</v>
      </c>
      <c r="I13" s="115">
        <f t="shared" si="0"/>
        <v>7</v>
      </c>
    </row>
    <row r="14" spans="2:9" ht="18" customHeight="1" thickBot="1" x14ac:dyDescent="0.25">
      <c r="B14" s="120">
        <v>8</v>
      </c>
      <c r="C14" s="112" t="str">
        <f>Config!C12&amp;", "&amp;Config!D12</f>
        <v>Carroll, Meik</v>
      </c>
      <c r="D14" s="142"/>
      <c r="E14" s="142"/>
      <c r="F14" s="142"/>
      <c r="G14" s="63">
        <v>4</v>
      </c>
      <c r="H14" s="66">
        <v>3</v>
      </c>
      <c r="I14" s="115">
        <f t="shared" si="0"/>
        <v>7</v>
      </c>
    </row>
    <row r="15" spans="2:9" ht="18" customHeight="1" thickBot="1" x14ac:dyDescent="0.25">
      <c r="B15" s="120">
        <v>9</v>
      </c>
      <c r="C15" s="112" t="str">
        <f>Config!C13&amp;", "&amp;Config!D13</f>
        <v>Hennings, Tomas</v>
      </c>
      <c r="D15" s="63">
        <v>5</v>
      </c>
      <c r="E15" s="63">
        <v>2</v>
      </c>
      <c r="F15" s="63">
        <v>1</v>
      </c>
      <c r="G15" s="142"/>
      <c r="H15" s="146"/>
      <c r="I15" s="115">
        <f t="shared" si="0"/>
        <v>8</v>
      </c>
    </row>
    <row r="16" spans="2:9" ht="18" customHeight="1" thickBot="1" x14ac:dyDescent="0.25">
      <c r="B16" s="120">
        <v>10</v>
      </c>
      <c r="C16" s="112" t="str">
        <f>Config!C14&amp;", "&amp;Config!D14</f>
        <v>Walters, Linn</v>
      </c>
      <c r="D16" s="142"/>
      <c r="E16" s="63">
        <v>1</v>
      </c>
      <c r="F16" s="63">
        <v>2</v>
      </c>
      <c r="G16" s="63">
        <v>5</v>
      </c>
      <c r="H16" s="146"/>
      <c r="I16" s="115">
        <f t="shared" si="0"/>
        <v>8</v>
      </c>
    </row>
    <row r="17" spans="2:9" ht="18" customHeight="1" thickBot="1" x14ac:dyDescent="0.25">
      <c r="B17" s="120">
        <v>11</v>
      </c>
      <c r="C17" s="112" t="str">
        <f>Config!C15&amp;", "&amp;Config!D15</f>
        <v>Junker, Amely</v>
      </c>
      <c r="D17" s="63">
        <v>2</v>
      </c>
      <c r="E17" s="142"/>
      <c r="F17" s="142"/>
      <c r="G17" s="63">
        <v>4</v>
      </c>
      <c r="H17" s="146"/>
      <c r="I17" s="115">
        <f t="shared" si="0"/>
        <v>6</v>
      </c>
    </row>
    <row r="18" spans="2:9" ht="18" customHeight="1" thickBot="1" x14ac:dyDescent="0.25">
      <c r="B18" s="120">
        <v>12</v>
      </c>
      <c r="C18" s="112" t="str">
        <f>Config!C16&amp;", "&amp;Config!D16</f>
        <v>Stephens, Melvin</v>
      </c>
      <c r="D18" s="63">
        <v>5</v>
      </c>
      <c r="E18" s="142"/>
      <c r="F18" s="142"/>
      <c r="G18" s="63">
        <v>1</v>
      </c>
      <c r="H18" s="146"/>
      <c r="I18" s="115">
        <f t="shared" si="0"/>
        <v>6</v>
      </c>
    </row>
    <row r="19" spans="2:9" ht="18" customHeight="1" thickBot="1" x14ac:dyDescent="0.25">
      <c r="B19" s="120">
        <v>13</v>
      </c>
      <c r="C19" s="112" t="str">
        <f>Config!C17&amp;", "&amp;Config!D17</f>
        <v>Cremer, Marvin</v>
      </c>
      <c r="D19" s="63">
        <v>3</v>
      </c>
      <c r="E19" s="142"/>
      <c r="F19" s="142"/>
      <c r="G19" s="142"/>
      <c r="H19" s="66">
        <v>5</v>
      </c>
      <c r="I19" s="115">
        <f t="shared" si="0"/>
        <v>8</v>
      </c>
    </row>
    <row r="20" spans="2:9" ht="18" customHeight="1" thickBot="1" x14ac:dyDescent="0.25">
      <c r="B20" s="120">
        <v>14</v>
      </c>
      <c r="C20" s="112" t="str">
        <f>Config!C18&amp;", "&amp;Config!D18</f>
        <v>Nash, Jean</v>
      </c>
      <c r="D20" s="142"/>
      <c r="E20" s="142"/>
      <c r="F20" s="142"/>
      <c r="G20" s="63">
        <v>4</v>
      </c>
      <c r="H20" s="66">
        <v>3</v>
      </c>
      <c r="I20" s="115">
        <f t="shared" si="0"/>
        <v>7</v>
      </c>
    </row>
    <row r="21" spans="2:9" ht="18" customHeight="1" thickBot="1" x14ac:dyDescent="0.25">
      <c r="B21" s="120">
        <v>15</v>
      </c>
      <c r="C21" s="112" t="str">
        <f>Config!C19&amp;", "&amp;Config!D19</f>
        <v>Schön, Leonardo</v>
      </c>
      <c r="D21" s="142"/>
      <c r="E21" s="63">
        <v>1</v>
      </c>
      <c r="F21" s="63">
        <v>2</v>
      </c>
      <c r="G21" s="142"/>
      <c r="H21" s="66">
        <v>1</v>
      </c>
      <c r="I21" s="115">
        <f t="shared" si="0"/>
        <v>4</v>
      </c>
    </row>
    <row r="22" spans="2:9" ht="18" customHeight="1" thickBot="1" x14ac:dyDescent="0.25">
      <c r="B22" s="120">
        <v>16</v>
      </c>
      <c r="C22" s="112" t="str">
        <f>Config!C20&amp;", "&amp;Config!D20</f>
        <v>Sigl, Nicholas</v>
      </c>
      <c r="D22" s="142"/>
      <c r="E22" s="63">
        <v>1</v>
      </c>
      <c r="F22" s="63">
        <v>2</v>
      </c>
      <c r="G22" s="63">
        <v>5</v>
      </c>
      <c r="H22" s="146"/>
      <c r="I22" s="115">
        <f t="shared" si="0"/>
        <v>8</v>
      </c>
    </row>
    <row r="23" spans="2:9" ht="18" customHeight="1" thickBot="1" x14ac:dyDescent="0.25">
      <c r="B23" s="120">
        <v>17</v>
      </c>
      <c r="C23" s="112" t="str">
        <f>Config!C21&amp;", "&amp;Config!D21</f>
        <v>Kainz, Vivienne</v>
      </c>
      <c r="D23" s="63">
        <v>5</v>
      </c>
      <c r="E23" s="142"/>
      <c r="F23" s="142"/>
      <c r="G23" s="63">
        <v>5</v>
      </c>
      <c r="H23" s="146"/>
      <c r="I23" s="115">
        <f t="shared" si="0"/>
        <v>10</v>
      </c>
    </row>
    <row r="24" spans="2:9" ht="18" customHeight="1" thickBot="1" x14ac:dyDescent="0.25">
      <c r="B24" s="120">
        <v>18</v>
      </c>
      <c r="C24" s="112" t="str">
        <f>Config!C22&amp;", "&amp;Config!D22</f>
        <v>Hartmann, Mads</v>
      </c>
      <c r="D24" s="142"/>
      <c r="E24" s="142"/>
      <c r="F24" s="142"/>
      <c r="G24" s="63">
        <v>3</v>
      </c>
      <c r="H24" s="66">
        <v>4</v>
      </c>
      <c r="I24" s="115">
        <f t="shared" si="0"/>
        <v>7</v>
      </c>
    </row>
    <row r="25" spans="2:9" ht="18" customHeight="1" thickBot="1" x14ac:dyDescent="0.25">
      <c r="B25" s="120">
        <v>19</v>
      </c>
      <c r="C25" s="112" t="str">
        <f>Config!C23&amp;", "&amp;Config!D23</f>
        <v>Ullmann, Raphael</v>
      </c>
      <c r="D25" s="142"/>
      <c r="E25" s="142"/>
      <c r="F25" s="142"/>
      <c r="G25" s="63">
        <v>5</v>
      </c>
      <c r="H25" s="66">
        <v>3</v>
      </c>
      <c r="I25" s="115">
        <f t="shared" si="0"/>
        <v>8</v>
      </c>
    </row>
    <row r="26" spans="2:9" ht="18" customHeight="1" thickBot="1" x14ac:dyDescent="0.25">
      <c r="B26" s="120">
        <v>20</v>
      </c>
      <c r="C26" s="112" t="str">
        <f>Config!C24&amp;", "&amp;Config!D24</f>
        <v>Hartl, Emmely</v>
      </c>
      <c r="D26" s="63">
        <v>5</v>
      </c>
      <c r="E26" s="63">
        <v>2</v>
      </c>
      <c r="F26" s="63">
        <v>3</v>
      </c>
      <c r="G26" s="142"/>
      <c r="H26" s="146"/>
      <c r="I26" s="115">
        <f t="shared" si="0"/>
        <v>10</v>
      </c>
    </row>
    <row r="27" spans="2:9" ht="18" customHeight="1" thickBot="1" x14ac:dyDescent="0.25">
      <c r="B27" s="120">
        <v>21</v>
      </c>
      <c r="C27" s="112" t="str">
        <f>Config!C25&amp;", "&amp;Config!D25</f>
        <v>Klotz, Karin</v>
      </c>
      <c r="D27" s="63">
        <v>5</v>
      </c>
      <c r="E27" s="63">
        <v>2</v>
      </c>
      <c r="F27" s="63">
        <v>3</v>
      </c>
      <c r="G27" s="142"/>
      <c r="H27" s="146"/>
      <c r="I27" s="115">
        <f t="shared" si="0"/>
        <v>10</v>
      </c>
    </row>
    <row r="28" spans="2:9" ht="18" customHeight="1" thickBot="1" x14ac:dyDescent="0.25">
      <c r="B28" s="120">
        <v>22</v>
      </c>
      <c r="C28" s="112" t="str">
        <f>Config!C26&amp;", "&amp;Config!D26</f>
        <v>Ehlers, Ingo</v>
      </c>
      <c r="D28" s="63">
        <v>2</v>
      </c>
      <c r="E28" s="142"/>
      <c r="F28" s="142"/>
      <c r="G28" s="142"/>
      <c r="H28" s="66">
        <v>5</v>
      </c>
      <c r="I28" s="115">
        <f t="shared" si="0"/>
        <v>7</v>
      </c>
    </row>
    <row r="29" spans="2:9" ht="18" customHeight="1" thickBot="1" x14ac:dyDescent="0.25">
      <c r="B29" s="121">
        <v>23</v>
      </c>
      <c r="C29" s="118" t="str">
        <f>Config!C27&amp;", "&amp;Config!D27</f>
        <v>Lindemann, Mads</v>
      </c>
      <c r="D29" s="67">
        <v>3</v>
      </c>
      <c r="E29" s="143"/>
      <c r="F29" s="143"/>
      <c r="G29" s="67">
        <v>5</v>
      </c>
      <c r="H29" s="147"/>
      <c r="I29" s="113">
        <f t="shared" si="0"/>
        <v>8</v>
      </c>
    </row>
    <row r="30" spans="2:9" ht="18" customHeight="1" thickBot="1" x14ac:dyDescent="0.25">
      <c r="B30" s="122"/>
      <c r="C30" s="123"/>
      <c r="D30" s="123">
        <f>IF(COUNTIF(D7:D29,"&lt;&gt;")&lt;&gt;0,SUM(D7:D29)/(COUNTIF(D7:D29,"&lt;&gt;")*D6),0)</f>
        <v>0.67692307692307696</v>
      </c>
      <c r="E30" s="123">
        <f>IF(COUNTIF(E7:E29,"&lt;&gt;")&lt;&gt;0,SUM(E7:E29)/(COUNTIF(E7:E29,"&lt;&gt;")*E6),0)</f>
        <v>0.77777777777777779</v>
      </c>
      <c r="F30" s="123">
        <f>IF(COUNTIF(F7:F29,"&lt;&gt;")&lt;&gt;0,SUM(F7:F29)/(COUNTIF(F7:F29,"&lt;&gt;")*F6),0)</f>
        <v>0.8</v>
      </c>
      <c r="G30" s="123">
        <f>IF(COUNTIF(G7:G29,"&lt;&gt;")&lt;&gt;0,SUM(G7:G29)/(COUNTIF(G7:G29,"&lt;&gt;")*G6),0)</f>
        <v>0.82857142857142863</v>
      </c>
      <c r="H30" s="123">
        <f>IF(COUNTIF(H7:H29,"&lt;&gt;")&lt;&gt;0,SUM(H7:H29)/(COUNTIF(H7:H29,"&lt;&gt;")*H6),0)</f>
        <v>0.68888888888888888</v>
      </c>
      <c r="I30" s="116"/>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4E8DB341-CC3A-483D-895B-916F45CA3C2F}">
      <formula1>0</formula1>
      <formula2>$D$6</formula2>
    </dataValidation>
    <dataValidation type="decimal" allowBlank="1" showErrorMessage="1" sqref="E7:E29" xr:uid="{BF95252F-4DAF-4EA0-8B4C-4090C4907400}">
      <formula1>0</formula1>
      <formula2>$E$6</formula2>
    </dataValidation>
    <dataValidation type="decimal" allowBlank="1" showErrorMessage="1" sqref="F7:F29" xr:uid="{F30779AD-A860-4B88-B925-299B2DBC9F03}">
      <formula1>0</formula1>
      <formula2>$F$6</formula2>
    </dataValidation>
    <dataValidation type="decimal" allowBlank="1" showErrorMessage="1" sqref="G7:G29" xr:uid="{E67259C3-88C4-4360-AB98-F1604CFFA354}">
      <formula1>0</formula1>
      <formula2>$G$6</formula2>
    </dataValidation>
    <dataValidation type="decimal" allowBlank="1" showErrorMessage="1" sqref="H7:H29" xr:uid="{043EA378-F336-44AD-B955-F35A79D30861}">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2CB7E-A73C-4A08-8D7D-2FE347DDB626}">
  <sheetPr codeName="Tabelle20">
    <tabColor rgb="FFFFC000"/>
  </sheetPr>
  <dimension ref="B1:N100"/>
  <sheetViews>
    <sheetView workbookViewId="0">
      <selection activeCell="K15" sqref="K15"/>
    </sheetView>
  </sheetViews>
  <sheetFormatPr baseColWidth="10" defaultRowHeight="12.75" x14ac:dyDescent="0.2"/>
  <cols>
    <col min="1" max="2" width="3.42578125" style="95" customWidth="1"/>
    <col min="3" max="3" width="25.7109375" style="95" customWidth="1"/>
    <col min="4" max="8" width="4.7109375" style="95" customWidth="1"/>
    <col min="9" max="9" width="2.7109375" style="95" customWidth="1"/>
    <col min="10" max="16384" width="11.42578125" style="95"/>
  </cols>
  <sheetData>
    <row r="1" spans="2:14" ht="18" customHeight="1" thickBot="1" x14ac:dyDescent="0.25"/>
    <row r="2" spans="2:14" ht="18" customHeight="1" x14ac:dyDescent="0.2">
      <c r="B2" s="96" t="str">
        <f>"Kurs "&amp;Config!G29</f>
        <v>Kurs K1</v>
      </c>
      <c r="C2" s="97"/>
      <c r="D2" s="97"/>
      <c r="E2" s="97"/>
      <c r="F2" s="98"/>
      <c r="G2" s="98"/>
      <c r="H2" s="99"/>
    </row>
    <row r="3" spans="2:14" ht="18" customHeight="1" x14ac:dyDescent="0.2">
      <c r="B3" s="100" t="s">
        <v>124</v>
      </c>
      <c r="C3" s="101"/>
      <c r="D3" s="101"/>
      <c r="E3" s="101"/>
      <c r="F3" s="101"/>
      <c r="G3" s="101"/>
      <c r="H3" s="102"/>
    </row>
    <row r="4" spans="2:14" ht="18" customHeight="1" thickBot="1" x14ac:dyDescent="0.25">
      <c r="B4" s="100"/>
      <c r="C4" s="101"/>
      <c r="D4" s="103"/>
      <c r="E4" s="103"/>
      <c r="F4" s="103"/>
      <c r="G4" s="103"/>
      <c r="H4" s="104"/>
    </row>
    <row r="5" spans="2:14" ht="18" customHeight="1" thickBot="1" x14ac:dyDescent="0.25">
      <c r="B5" s="105"/>
      <c r="C5" s="107"/>
      <c r="D5" s="124" t="str">
        <f>Config!R6</f>
        <v>6</v>
      </c>
      <c r="E5" s="124" t="str">
        <f>Config!R7</f>
        <v>7a</v>
      </c>
      <c r="F5" s="124" t="str">
        <f>Config!R8</f>
        <v>7b</v>
      </c>
      <c r="G5" s="124" t="str">
        <f>Config!R9</f>
        <v>8</v>
      </c>
      <c r="H5" s="124" t="str">
        <f>Config!R10</f>
        <v>9</v>
      </c>
    </row>
    <row r="6" spans="2:14" ht="18" customHeight="1" thickBot="1" x14ac:dyDescent="0.25">
      <c r="B6" s="106"/>
      <c r="C6" s="108" t="s">
        <v>81</v>
      </c>
      <c r="D6" s="141" t="s">
        <v>112</v>
      </c>
      <c r="E6" s="141" t="s">
        <v>112</v>
      </c>
      <c r="F6" s="141" t="s">
        <v>112</v>
      </c>
      <c r="G6" s="141" t="s">
        <v>112</v>
      </c>
      <c r="H6" s="141" t="s">
        <v>112</v>
      </c>
      <c r="J6" s="195" t="s">
        <v>125</v>
      </c>
      <c r="K6" s="196"/>
      <c r="L6" s="196"/>
      <c r="M6" s="196"/>
      <c r="N6" s="197"/>
    </row>
    <row r="7" spans="2:14" ht="18" customHeight="1" x14ac:dyDescent="0.2">
      <c r="B7" s="119">
        <v>1</v>
      </c>
      <c r="C7" s="117" t="str">
        <f>Config!C5&amp;", "&amp;Config!D5</f>
        <v>Höfer, Simon</v>
      </c>
      <c r="D7" s="64" t="s">
        <v>120</v>
      </c>
      <c r="E7" s="64"/>
      <c r="F7" s="64" t="s">
        <v>120</v>
      </c>
      <c r="G7" s="64"/>
      <c r="H7" s="65"/>
      <c r="J7" s="198"/>
      <c r="K7" s="199"/>
      <c r="L7" s="199"/>
      <c r="M7" s="199"/>
      <c r="N7" s="200"/>
    </row>
    <row r="8" spans="2:14" ht="18" customHeight="1" thickBot="1" x14ac:dyDescent="0.25">
      <c r="B8" s="120">
        <v>2</v>
      </c>
      <c r="C8" s="112" t="str">
        <f>Config!C6&amp;", "&amp;Config!D6</f>
        <v>Töpfer, Lilian</v>
      </c>
      <c r="D8" s="63" t="s">
        <v>120</v>
      </c>
      <c r="E8" s="63"/>
      <c r="F8" s="63"/>
      <c r="G8" s="63" t="s">
        <v>120</v>
      </c>
      <c r="H8" s="66"/>
      <c r="J8" s="201"/>
      <c r="K8" s="202"/>
      <c r="L8" s="202"/>
      <c r="M8" s="202"/>
      <c r="N8" s="203"/>
    </row>
    <row r="9" spans="2:14" ht="18" customHeight="1" x14ac:dyDescent="0.2">
      <c r="B9" s="120">
        <v>3</v>
      </c>
      <c r="C9" s="112" t="str">
        <f>Config!C7&amp;", "&amp;Config!D7</f>
        <v>Fleischmann, Leonie</v>
      </c>
      <c r="D9" s="63"/>
      <c r="E9" s="63"/>
      <c r="F9" s="63"/>
      <c r="G9" s="63" t="s">
        <v>120</v>
      </c>
      <c r="H9" s="66" t="s">
        <v>120</v>
      </c>
    </row>
    <row r="10" spans="2:14" ht="18" customHeight="1" x14ac:dyDescent="0.2">
      <c r="B10" s="120">
        <v>4</v>
      </c>
      <c r="C10" s="112" t="str">
        <f>Config!C8&amp;", "&amp;Config!D8</f>
        <v>Drescher, Cedric</v>
      </c>
      <c r="D10" s="63" t="s">
        <v>120</v>
      </c>
      <c r="E10" s="63" t="s">
        <v>120</v>
      </c>
      <c r="F10" s="63" t="s">
        <v>120</v>
      </c>
      <c r="G10" s="63"/>
      <c r="H10" s="66"/>
    </row>
    <row r="11" spans="2:14" ht="18" customHeight="1" x14ac:dyDescent="0.2">
      <c r="B11" s="120">
        <v>5</v>
      </c>
      <c r="C11" s="112" t="str">
        <f>Config!C9&amp;", "&amp;Config!D9</f>
        <v>Baumgarten, Annabell</v>
      </c>
      <c r="D11" s="63" t="s">
        <v>120</v>
      </c>
      <c r="E11" s="63"/>
      <c r="F11" s="63"/>
      <c r="G11" s="63" t="s">
        <v>120</v>
      </c>
      <c r="H11" s="66"/>
    </row>
    <row r="12" spans="2:14" ht="18" customHeight="1" x14ac:dyDescent="0.2">
      <c r="B12" s="120">
        <v>6</v>
      </c>
      <c r="C12" s="112" t="str">
        <f>Config!C10&amp;", "&amp;Config!D10</f>
        <v>Traut, Stefanie</v>
      </c>
      <c r="D12" s="63"/>
      <c r="E12" s="63" t="s">
        <v>120</v>
      </c>
      <c r="F12" s="63" t="s">
        <v>120</v>
      </c>
      <c r="G12" s="63" t="s">
        <v>120</v>
      </c>
      <c r="H12" s="66"/>
    </row>
    <row r="13" spans="2:14" ht="18" customHeight="1" x14ac:dyDescent="0.2">
      <c r="B13" s="120">
        <v>7</v>
      </c>
      <c r="C13" s="112" t="str">
        <f>Config!C11&amp;", "&amp;Config!D11</f>
        <v>Menke, Damian</v>
      </c>
      <c r="D13" s="63"/>
      <c r="E13" s="63" t="s">
        <v>120</v>
      </c>
      <c r="F13" s="63" t="s">
        <v>120</v>
      </c>
      <c r="G13" s="63"/>
      <c r="H13" s="66" t="s">
        <v>120</v>
      </c>
    </row>
    <row r="14" spans="2:14" ht="18" customHeight="1" x14ac:dyDescent="0.2">
      <c r="B14" s="120">
        <v>8</v>
      </c>
      <c r="C14" s="112" t="str">
        <f>Config!C12&amp;", "&amp;Config!D12</f>
        <v>Carroll, Meik</v>
      </c>
      <c r="D14" s="63"/>
      <c r="E14" s="63"/>
      <c r="F14" s="63"/>
      <c r="G14" s="63" t="s">
        <v>120</v>
      </c>
      <c r="H14" s="66" t="s">
        <v>120</v>
      </c>
    </row>
    <row r="15" spans="2:14" ht="18" customHeight="1" x14ac:dyDescent="0.2">
      <c r="B15" s="120">
        <v>9</v>
      </c>
      <c r="C15" s="112" t="str">
        <f>Config!C13&amp;", "&amp;Config!D13</f>
        <v>Hennings, Tomas</v>
      </c>
      <c r="D15" s="63" t="s">
        <v>120</v>
      </c>
      <c r="E15" s="63" t="s">
        <v>120</v>
      </c>
      <c r="F15" s="63" t="s">
        <v>120</v>
      </c>
      <c r="G15" s="63"/>
      <c r="H15" s="66"/>
    </row>
    <row r="16" spans="2:14" ht="18" customHeight="1" x14ac:dyDescent="0.2">
      <c r="B16" s="120">
        <v>10</v>
      </c>
      <c r="C16" s="112" t="str">
        <f>Config!C14&amp;", "&amp;Config!D14</f>
        <v>Walters, Linn</v>
      </c>
      <c r="D16" s="63"/>
      <c r="E16" s="63" t="s">
        <v>120</v>
      </c>
      <c r="F16" s="63" t="s">
        <v>120</v>
      </c>
      <c r="G16" s="63" t="s">
        <v>120</v>
      </c>
      <c r="H16" s="66"/>
    </row>
    <row r="17" spans="2:8" ht="18" customHeight="1" x14ac:dyDescent="0.2">
      <c r="B17" s="120">
        <v>11</v>
      </c>
      <c r="C17" s="112" t="str">
        <f>Config!C15&amp;", "&amp;Config!D15</f>
        <v>Junker, Amely</v>
      </c>
      <c r="D17" s="63" t="s">
        <v>120</v>
      </c>
      <c r="E17" s="63"/>
      <c r="F17" s="63"/>
      <c r="G17" s="63" t="s">
        <v>120</v>
      </c>
      <c r="H17" s="66"/>
    </row>
    <row r="18" spans="2:8" ht="18" customHeight="1" x14ac:dyDescent="0.2">
      <c r="B18" s="120">
        <v>12</v>
      </c>
      <c r="C18" s="112" t="str">
        <f>Config!C16&amp;", "&amp;Config!D16</f>
        <v>Stephens, Melvin</v>
      </c>
      <c r="D18" s="63" t="s">
        <v>120</v>
      </c>
      <c r="E18" s="63"/>
      <c r="F18" s="63"/>
      <c r="G18" s="63" t="s">
        <v>120</v>
      </c>
      <c r="H18" s="66"/>
    </row>
    <row r="19" spans="2:8" ht="18" customHeight="1" x14ac:dyDescent="0.2">
      <c r="B19" s="120">
        <v>13</v>
      </c>
      <c r="C19" s="112" t="str">
        <f>Config!C17&amp;", "&amp;Config!D17</f>
        <v>Cremer, Marvin</v>
      </c>
      <c r="D19" s="63" t="s">
        <v>120</v>
      </c>
      <c r="E19" s="63"/>
      <c r="F19" s="63"/>
      <c r="G19" s="63"/>
      <c r="H19" s="66" t="s">
        <v>120</v>
      </c>
    </row>
    <row r="20" spans="2:8" ht="18" customHeight="1" x14ac:dyDescent="0.2">
      <c r="B20" s="120">
        <v>14</v>
      </c>
      <c r="C20" s="112" t="str">
        <f>Config!C18&amp;", "&amp;Config!D18</f>
        <v>Nash, Jean</v>
      </c>
      <c r="D20" s="63"/>
      <c r="E20" s="63"/>
      <c r="F20" s="63"/>
      <c r="G20" s="63" t="s">
        <v>120</v>
      </c>
      <c r="H20" s="66" t="s">
        <v>120</v>
      </c>
    </row>
    <row r="21" spans="2:8" ht="18" customHeight="1" x14ac:dyDescent="0.2">
      <c r="B21" s="120">
        <v>15</v>
      </c>
      <c r="C21" s="112" t="str">
        <f>Config!C19&amp;", "&amp;Config!D19</f>
        <v>Schön, Leonardo</v>
      </c>
      <c r="D21" s="63"/>
      <c r="E21" s="63" t="s">
        <v>120</v>
      </c>
      <c r="F21" s="63" t="s">
        <v>120</v>
      </c>
      <c r="G21" s="63"/>
      <c r="H21" s="66" t="s">
        <v>120</v>
      </c>
    </row>
    <row r="22" spans="2:8" ht="18" customHeight="1" x14ac:dyDescent="0.2">
      <c r="B22" s="120">
        <v>16</v>
      </c>
      <c r="C22" s="112" t="str">
        <f>Config!C20&amp;", "&amp;Config!D20</f>
        <v>Sigl, Nicholas</v>
      </c>
      <c r="D22" s="63"/>
      <c r="E22" s="63" t="s">
        <v>120</v>
      </c>
      <c r="F22" s="63" t="s">
        <v>120</v>
      </c>
      <c r="G22" s="63" t="s">
        <v>120</v>
      </c>
      <c r="H22" s="66"/>
    </row>
    <row r="23" spans="2:8" ht="18" customHeight="1" x14ac:dyDescent="0.2">
      <c r="B23" s="120">
        <v>17</v>
      </c>
      <c r="C23" s="112" t="str">
        <f>Config!C21&amp;", "&amp;Config!D21</f>
        <v>Kainz, Vivienne</v>
      </c>
      <c r="D23" s="63" t="s">
        <v>120</v>
      </c>
      <c r="E23" s="63"/>
      <c r="F23" s="63"/>
      <c r="G23" s="63" t="s">
        <v>120</v>
      </c>
      <c r="H23" s="66"/>
    </row>
    <row r="24" spans="2:8" ht="18" customHeight="1" x14ac:dyDescent="0.2">
      <c r="B24" s="120">
        <v>18</v>
      </c>
      <c r="C24" s="112" t="str">
        <f>Config!C22&amp;", "&amp;Config!D22</f>
        <v>Hartmann, Mads</v>
      </c>
      <c r="D24" s="63"/>
      <c r="E24" s="63"/>
      <c r="F24" s="63"/>
      <c r="G24" s="63" t="s">
        <v>120</v>
      </c>
      <c r="H24" s="66" t="s">
        <v>120</v>
      </c>
    </row>
    <row r="25" spans="2:8" ht="18" customHeight="1" x14ac:dyDescent="0.2">
      <c r="B25" s="120">
        <v>19</v>
      </c>
      <c r="C25" s="112" t="str">
        <f>Config!C23&amp;", "&amp;Config!D23</f>
        <v>Ullmann, Raphael</v>
      </c>
      <c r="D25" s="63"/>
      <c r="E25" s="63"/>
      <c r="F25" s="63"/>
      <c r="G25" s="63" t="s">
        <v>120</v>
      </c>
      <c r="H25" s="66" t="s">
        <v>120</v>
      </c>
    </row>
    <row r="26" spans="2:8" ht="18" customHeight="1" x14ac:dyDescent="0.2">
      <c r="B26" s="120">
        <v>20</v>
      </c>
      <c r="C26" s="112" t="str">
        <f>Config!C24&amp;", "&amp;Config!D24</f>
        <v>Hartl, Emmely</v>
      </c>
      <c r="D26" s="63" t="s">
        <v>120</v>
      </c>
      <c r="E26" s="63" t="s">
        <v>120</v>
      </c>
      <c r="F26" s="63" t="s">
        <v>120</v>
      </c>
      <c r="G26" s="63"/>
      <c r="H26" s="66"/>
    </row>
    <row r="27" spans="2:8" ht="18" customHeight="1" x14ac:dyDescent="0.2">
      <c r="B27" s="120">
        <v>21</v>
      </c>
      <c r="C27" s="112" t="str">
        <f>Config!C25&amp;", "&amp;Config!D25</f>
        <v>Klotz, Karin</v>
      </c>
      <c r="D27" s="63" t="s">
        <v>120</v>
      </c>
      <c r="E27" s="63" t="s">
        <v>120</v>
      </c>
      <c r="F27" s="63" t="s">
        <v>120</v>
      </c>
      <c r="G27" s="63"/>
      <c r="H27" s="66"/>
    </row>
    <row r="28" spans="2:8" ht="18" customHeight="1" x14ac:dyDescent="0.2">
      <c r="B28" s="120">
        <v>22</v>
      </c>
      <c r="C28" s="112" t="str">
        <f>Config!C26&amp;", "&amp;Config!D26</f>
        <v>Ehlers, Ingo</v>
      </c>
      <c r="D28" s="63" t="s">
        <v>120</v>
      </c>
      <c r="E28" s="63"/>
      <c r="F28" s="63"/>
      <c r="G28" s="63"/>
      <c r="H28" s="66" t="s">
        <v>120</v>
      </c>
    </row>
    <row r="29" spans="2:8" ht="18" customHeight="1" thickBot="1" x14ac:dyDescent="0.25">
      <c r="B29" s="121">
        <v>23</v>
      </c>
      <c r="C29" s="118" t="str">
        <f>Config!C27&amp;", "&amp;Config!D27</f>
        <v>Lindemann, Mads</v>
      </c>
      <c r="D29" s="67" t="s">
        <v>120</v>
      </c>
      <c r="E29" s="67"/>
      <c r="F29" s="67"/>
      <c r="G29" s="67" t="s">
        <v>120</v>
      </c>
      <c r="H29" s="68"/>
    </row>
    <row r="30" spans="2:8" ht="18" customHeight="1" x14ac:dyDescent="0.2"/>
    <row r="31" spans="2:8" ht="18" customHeight="1" x14ac:dyDescent="0.2"/>
    <row r="32" spans="2:8"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mergeCells count="1">
    <mergeCell ref="J6:N8"/>
  </mergeCells>
  <dataValidations count="1">
    <dataValidation type="list" allowBlank="1" showDropDown="1" showInputMessage="1" showErrorMessage="1" sqref="D7:H29" xr:uid="{EA1198CE-703F-475A-8072-AEA94C26C1DC}">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Z45"/>
  <sheetViews>
    <sheetView tabSelected="1" zoomScaleNormal="100" workbookViewId="0">
      <selection activeCell="C5" sqref="C5"/>
    </sheetView>
  </sheetViews>
  <sheetFormatPr baseColWidth="10" defaultColWidth="11.42578125" defaultRowHeight="12.75" x14ac:dyDescent="0.2"/>
  <cols>
    <col min="1" max="2" width="3.42578125" style="3" customWidth="1"/>
    <col min="3" max="4" width="17.5703125" style="3" customWidth="1"/>
    <col min="5" max="5" width="4.42578125" style="3" customWidth="1"/>
    <col min="6" max="19" width="6.7109375" style="3" customWidth="1"/>
    <col min="20" max="20" width="2.5703125" style="3" customWidth="1"/>
    <col min="21" max="21" width="2.42578125" style="3" customWidth="1"/>
    <col min="22" max="22" width="2.5703125" style="3" customWidth="1"/>
    <col min="23" max="25" width="11.42578125" style="3"/>
    <col min="26" max="26" width="11.42578125" style="3" customWidth="1"/>
    <col min="27" max="16384" width="11.42578125" style="3"/>
  </cols>
  <sheetData>
    <row r="1" spans="2:26" ht="13.5" thickBot="1" x14ac:dyDescent="0.25"/>
    <row r="2" spans="2:26" ht="13.15" customHeight="1" x14ac:dyDescent="0.2">
      <c r="B2" s="150" t="s">
        <v>6</v>
      </c>
      <c r="C2" s="151"/>
      <c r="D2" s="152"/>
      <c r="F2" s="179" t="s">
        <v>96</v>
      </c>
      <c r="G2" s="180"/>
      <c r="H2" s="180"/>
      <c r="I2" s="180"/>
      <c r="J2" s="180"/>
      <c r="K2" s="180"/>
      <c r="L2" s="180"/>
      <c r="M2" s="180"/>
      <c r="N2" s="180"/>
      <c r="O2" s="180"/>
      <c r="P2" s="180"/>
      <c r="Q2" s="180"/>
      <c r="R2" s="180"/>
      <c r="S2" s="181"/>
      <c r="T2" s="80" t="s">
        <v>88</v>
      </c>
      <c r="V2" s="165" t="s">
        <v>89</v>
      </c>
      <c r="W2" s="166"/>
      <c r="X2" s="166"/>
      <c r="Y2" s="166"/>
      <c r="Z2" s="167"/>
    </row>
    <row r="3" spans="2:26" ht="13.15" customHeight="1" x14ac:dyDescent="0.2">
      <c r="B3" s="153"/>
      <c r="C3" s="154"/>
      <c r="D3" s="155"/>
      <c r="F3" s="182"/>
      <c r="G3" s="183"/>
      <c r="H3" s="183"/>
      <c r="I3" s="183"/>
      <c r="J3" s="183"/>
      <c r="K3" s="183"/>
      <c r="L3" s="183"/>
      <c r="M3" s="183"/>
      <c r="N3" s="183"/>
      <c r="O3" s="183"/>
      <c r="P3" s="183"/>
      <c r="Q3" s="183"/>
      <c r="R3" s="183"/>
      <c r="S3" s="184"/>
      <c r="V3" s="81" t="s">
        <v>90</v>
      </c>
      <c r="W3" s="187" t="s">
        <v>122</v>
      </c>
      <c r="X3" s="187"/>
      <c r="Y3" s="187"/>
      <c r="Z3" s="188"/>
    </row>
    <row r="4" spans="2:26" ht="13.15" customHeight="1" x14ac:dyDescent="0.2">
      <c r="B4" s="4"/>
      <c r="C4" s="17" t="s">
        <v>7</v>
      </c>
      <c r="D4" s="18" t="s">
        <v>8</v>
      </c>
      <c r="F4" s="26" t="s">
        <v>9</v>
      </c>
      <c r="G4" s="21"/>
      <c r="H4" s="84" t="s">
        <v>10</v>
      </c>
      <c r="I4" s="21"/>
      <c r="J4" s="84" t="s">
        <v>11</v>
      </c>
      <c r="K4" s="21"/>
      <c r="L4" s="84" t="s">
        <v>12</v>
      </c>
      <c r="M4" s="21"/>
      <c r="N4" s="84" t="s">
        <v>13</v>
      </c>
      <c r="O4" s="25"/>
      <c r="P4" s="84" t="s">
        <v>14</v>
      </c>
      <c r="Q4" s="25"/>
      <c r="R4" s="84" t="s">
        <v>112</v>
      </c>
      <c r="S4" s="19"/>
      <c r="T4" s="80" t="s">
        <v>88</v>
      </c>
      <c r="V4" s="81"/>
      <c r="W4" s="187"/>
      <c r="X4" s="187"/>
      <c r="Y4" s="187"/>
      <c r="Z4" s="188"/>
    </row>
    <row r="5" spans="2:26" ht="13.15" customHeight="1" x14ac:dyDescent="0.2">
      <c r="B5" s="5">
        <v>1</v>
      </c>
      <c r="C5" s="76" t="s">
        <v>58</v>
      </c>
      <c r="D5" s="77"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1"/>
      <c r="W5" s="187"/>
      <c r="X5" s="187"/>
      <c r="Y5" s="187"/>
      <c r="Z5" s="188"/>
    </row>
    <row r="6" spans="2:26" ht="13.15" customHeight="1" x14ac:dyDescent="0.2">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80" t="s">
        <v>88</v>
      </c>
      <c r="V6" s="81" t="s">
        <v>91</v>
      </c>
      <c r="W6" s="187"/>
      <c r="X6" s="187"/>
      <c r="Y6" s="187"/>
      <c r="Z6" s="188"/>
    </row>
    <row r="7" spans="2:26" ht="13.15" customHeight="1" x14ac:dyDescent="0.2">
      <c r="B7" s="5">
        <v>3</v>
      </c>
      <c r="C7" s="78" t="s">
        <v>60</v>
      </c>
      <c r="D7" s="79" t="s">
        <v>39</v>
      </c>
      <c r="F7" s="72" t="s">
        <v>16</v>
      </c>
      <c r="G7" s="73">
        <v>2</v>
      </c>
      <c r="H7" s="74" t="s">
        <v>16</v>
      </c>
      <c r="I7" s="73">
        <v>3</v>
      </c>
      <c r="J7" s="74"/>
      <c r="K7" s="73"/>
      <c r="L7" s="74" t="s">
        <v>16</v>
      </c>
      <c r="M7" s="73">
        <v>2</v>
      </c>
      <c r="N7" s="74" t="s">
        <v>16</v>
      </c>
      <c r="O7" s="73">
        <v>3</v>
      </c>
      <c r="P7" s="74" t="s">
        <v>16</v>
      </c>
      <c r="Q7" s="73">
        <v>3</v>
      </c>
      <c r="R7" s="74" t="s">
        <v>114</v>
      </c>
      <c r="S7" s="75">
        <v>2</v>
      </c>
      <c r="V7" s="81"/>
      <c r="W7" s="187"/>
      <c r="X7" s="187"/>
      <c r="Y7" s="187"/>
      <c r="Z7" s="188"/>
    </row>
    <row r="8" spans="2:26" ht="13.15" customHeight="1" x14ac:dyDescent="0.2">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1"/>
      <c r="W8" s="187"/>
      <c r="X8" s="187"/>
      <c r="Y8" s="187"/>
      <c r="Z8" s="188"/>
    </row>
    <row r="9" spans="2:26" ht="13.15" customHeight="1" x14ac:dyDescent="0.2">
      <c r="B9" s="5">
        <v>5</v>
      </c>
      <c r="C9" s="78" t="s">
        <v>62</v>
      </c>
      <c r="D9" s="79" t="s">
        <v>41</v>
      </c>
      <c r="F9" s="72" t="s">
        <v>18</v>
      </c>
      <c r="G9" s="73">
        <v>3</v>
      </c>
      <c r="H9" s="74" t="s">
        <v>24</v>
      </c>
      <c r="I9" s="73">
        <v>3</v>
      </c>
      <c r="J9" s="74"/>
      <c r="K9" s="73"/>
      <c r="L9" s="74" t="s">
        <v>24</v>
      </c>
      <c r="M9" s="73">
        <v>4</v>
      </c>
      <c r="N9" s="74"/>
      <c r="O9" s="73"/>
      <c r="P9" s="74" t="s">
        <v>24</v>
      </c>
      <c r="Q9" s="73">
        <v>3</v>
      </c>
      <c r="R9" s="74" t="s">
        <v>116</v>
      </c>
      <c r="S9" s="75">
        <v>5</v>
      </c>
      <c r="V9" s="81" t="s">
        <v>92</v>
      </c>
      <c r="W9" s="187"/>
      <c r="X9" s="187"/>
      <c r="Y9" s="187"/>
      <c r="Z9" s="188"/>
    </row>
    <row r="10" spans="2:26" ht="13.15" customHeight="1" x14ac:dyDescent="0.2">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1"/>
      <c r="W10" s="187"/>
      <c r="X10" s="187"/>
      <c r="Y10" s="187"/>
      <c r="Z10" s="188"/>
    </row>
    <row r="11" spans="2:26" ht="13.15" customHeight="1" x14ac:dyDescent="0.2">
      <c r="B11" s="5">
        <v>7</v>
      </c>
      <c r="C11" s="78" t="s">
        <v>64</v>
      </c>
      <c r="D11" s="79" t="s">
        <v>43</v>
      </c>
      <c r="F11" s="72" t="s">
        <v>4</v>
      </c>
      <c r="G11" s="73">
        <v>2</v>
      </c>
      <c r="H11" s="74" t="s">
        <v>26</v>
      </c>
      <c r="I11" s="73">
        <v>4</v>
      </c>
      <c r="J11" s="74"/>
      <c r="K11" s="73"/>
      <c r="L11" s="74"/>
      <c r="M11" s="73"/>
      <c r="N11" s="74"/>
      <c r="O11" s="73"/>
      <c r="P11" s="74"/>
      <c r="Q11" s="73"/>
      <c r="R11" s="74"/>
      <c r="S11" s="75"/>
      <c r="V11" s="81"/>
      <c r="W11" s="187"/>
      <c r="X11" s="187"/>
      <c r="Y11" s="187"/>
      <c r="Z11" s="188"/>
    </row>
    <row r="12" spans="2:26" ht="13.15" customHeight="1" x14ac:dyDescent="0.2">
      <c r="B12" s="5">
        <v>8</v>
      </c>
      <c r="C12" s="13" t="s">
        <v>65</v>
      </c>
      <c r="D12" s="14" t="s">
        <v>44</v>
      </c>
      <c r="F12" s="11"/>
      <c r="G12" s="33"/>
      <c r="H12" s="12" t="s">
        <v>27</v>
      </c>
      <c r="I12" s="33">
        <v>3</v>
      </c>
      <c r="J12" s="12"/>
      <c r="K12" s="33"/>
      <c r="L12" s="12"/>
      <c r="M12" s="33"/>
      <c r="N12" s="12"/>
      <c r="O12" s="33"/>
      <c r="P12" s="12"/>
      <c r="Q12" s="33"/>
      <c r="R12" s="12"/>
      <c r="S12" s="34"/>
      <c r="V12" s="81" t="s">
        <v>93</v>
      </c>
      <c r="W12" s="187"/>
      <c r="X12" s="187"/>
      <c r="Y12" s="187"/>
      <c r="Z12" s="188"/>
    </row>
    <row r="13" spans="2:26" ht="13.15" customHeight="1" x14ac:dyDescent="0.2">
      <c r="B13" s="5">
        <v>9</v>
      </c>
      <c r="C13" s="78" t="s">
        <v>66</v>
      </c>
      <c r="D13" s="79" t="s">
        <v>45</v>
      </c>
      <c r="F13" s="72"/>
      <c r="G13" s="73"/>
      <c r="H13" s="74" t="s">
        <v>28</v>
      </c>
      <c r="I13" s="73">
        <v>4</v>
      </c>
      <c r="J13" s="74"/>
      <c r="K13" s="73"/>
      <c r="L13" s="74"/>
      <c r="M13" s="73"/>
      <c r="N13" s="74"/>
      <c r="O13" s="73"/>
      <c r="P13" s="74"/>
      <c r="Q13" s="73"/>
      <c r="R13" s="74"/>
      <c r="S13" s="75"/>
      <c r="V13" s="81"/>
      <c r="W13" s="187"/>
      <c r="X13" s="187"/>
      <c r="Y13" s="187"/>
      <c r="Z13" s="188"/>
    </row>
    <row r="14" spans="2:26" ht="13.15" customHeight="1" x14ac:dyDescent="0.2">
      <c r="B14" s="5">
        <v>10</v>
      </c>
      <c r="C14" s="13" t="s">
        <v>67</v>
      </c>
      <c r="D14" s="14" t="s">
        <v>46</v>
      </c>
      <c r="F14" s="11"/>
      <c r="G14" s="33"/>
      <c r="H14" s="12" t="s">
        <v>5</v>
      </c>
      <c r="I14" s="33">
        <v>2</v>
      </c>
      <c r="J14" s="12"/>
      <c r="K14" s="33"/>
      <c r="L14" s="12"/>
      <c r="M14" s="33"/>
      <c r="N14" s="12"/>
      <c r="O14" s="33"/>
      <c r="P14" s="12"/>
      <c r="Q14" s="33"/>
      <c r="R14" s="12"/>
      <c r="S14" s="34"/>
      <c r="V14" s="81"/>
      <c r="W14" s="187"/>
      <c r="X14" s="187"/>
      <c r="Y14" s="187"/>
      <c r="Z14" s="188"/>
    </row>
    <row r="15" spans="2:26" ht="13.15" customHeight="1" x14ac:dyDescent="0.2">
      <c r="B15" s="5">
        <v>11</v>
      </c>
      <c r="C15" s="78" t="s">
        <v>68</v>
      </c>
      <c r="D15" s="79" t="s">
        <v>47</v>
      </c>
      <c r="F15" s="72"/>
      <c r="G15" s="73"/>
      <c r="H15" s="74" t="s">
        <v>29</v>
      </c>
      <c r="I15" s="73">
        <v>2</v>
      </c>
      <c r="J15" s="74"/>
      <c r="K15" s="73"/>
      <c r="L15" s="74"/>
      <c r="M15" s="73"/>
      <c r="N15" s="74"/>
      <c r="O15" s="73"/>
      <c r="P15" s="74"/>
      <c r="Q15" s="73"/>
      <c r="R15" s="74"/>
      <c r="S15" s="75"/>
      <c r="V15" s="81" t="s">
        <v>94</v>
      </c>
      <c r="W15" s="187"/>
      <c r="X15" s="187"/>
      <c r="Y15" s="187"/>
      <c r="Z15" s="188"/>
    </row>
    <row r="16" spans="2:26" ht="13.15" customHeight="1" x14ac:dyDescent="0.2">
      <c r="B16" s="5">
        <v>12</v>
      </c>
      <c r="C16" s="13" t="s">
        <v>69</v>
      </c>
      <c r="D16" s="14" t="s">
        <v>48</v>
      </c>
      <c r="F16" s="11"/>
      <c r="G16" s="33"/>
      <c r="H16" s="12"/>
      <c r="I16" s="33"/>
      <c r="J16" s="12"/>
      <c r="K16" s="33"/>
      <c r="L16" s="12"/>
      <c r="M16" s="33"/>
      <c r="N16" s="12"/>
      <c r="O16" s="33"/>
      <c r="P16" s="12"/>
      <c r="Q16" s="33"/>
      <c r="R16" s="12"/>
      <c r="S16" s="34"/>
      <c r="V16" s="81"/>
      <c r="W16" s="187"/>
      <c r="X16" s="187"/>
      <c r="Y16" s="187"/>
      <c r="Z16" s="188"/>
    </row>
    <row r="17" spans="2:26" ht="13.15" customHeight="1" x14ac:dyDescent="0.2">
      <c r="B17" s="5">
        <v>13</v>
      </c>
      <c r="C17" s="78" t="s">
        <v>70</v>
      </c>
      <c r="D17" s="79" t="s">
        <v>20</v>
      </c>
      <c r="F17" s="72"/>
      <c r="G17" s="73"/>
      <c r="H17" s="74"/>
      <c r="I17" s="73"/>
      <c r="J17" s="74"/>
      <c r="K17" s="73"/>
      <c r="L17" s="74"/>
      <c r="M17" s="73"/>
      <c r="N17" s="74"/>
      <c r="O17" s="73"/>
      <c r="P17" s="74"/>
      <c r="Q17" s="73"/>
      <c r="R17" s="74"/>
      <c r="S17" s="75"/>
      <c r="V17" s="81"/>
      <c r="W17" s="187"/>
      <c r="X17" s="187"/>
      <c r="Y17" s="187"/>
      <c r="Z17" s="188"/>
    </row>
    <row r="18" spans="2:26" ht="13.15" customHeight="1" x14ac:dyDescent="0.2">
      <c r="B18" s="5">
        <v>14</v>
      </c>
      <c r="C18" s="13" t="s">
        <v>71</v>
      </c>
      <c r="D18" s="14" t="s">
        <v>49</v>
      </c>
      <c r="F18" s="11"/>
      <c r="G18" s="33"/>
      <c r="H18" s="12"/>
      <c r="I18" s="33"/>
      <c r="J18" s="12"/>
      <c r="K18" s="33"/>
      <c r="L18" s="12"/>
      <c r="M18" s="33"/>
      <c r="N18" s="12"/>
      <c r="O18" s="33"/>
      <c r="P18" s="12"/>
      <c r="Q18" s="33"/>
      <c r="R18" s="12"/>
      <c r="S18" s="34"/>
      <c r="V18" s="81" t="s">
        <v>95</v>
      </c>
      <c r="W18" s="187"/>
      <c r="X18" s="187"/>
      <c r="Y18" s="187"/>
      <c r="Z18" s="188"/>
    </row>
    <row r="19" spans="2:26" ht="13.15" customHeight="1" x14ac:dyDescent="0.2">
      <c r="B19" s="5">
        <v>15</v>
      </c>
      <c r="C19" s="78" t="s">
        <v>72</v>
      </c>
      <c r="D19" s="79" t="s">
        <v>50</v>
      </c>
      <c r="F19" s="72"/>
      <c r="G19" s="73"/>
      <c r="H19" s="74"/>
      <c r="I19" s="73"/>
      <c r="J19" s="74"/>
      <c r="K19" s="73"/>
      <c r="L19" s="74"/>
      <c r="M19" s="73"/>
      <c r="N19" s="74"/>
      <c r="O19" s="73"/>
      <c r="P19" s="74"/>
      <c r="Q19" s="73"/>
      <c r="R19" s="74"/>
      <c r="S19" s="75"/>
      <c r="V19" s="81"/>
      <c r="W19" s="187"/>
      <c r="X19" s="187"/>
      <c r="Y19" s="187"/>
      <c r="Z19" s="188"/>
    </row>
    <row r="20" spans="2:26" ht="13.15" customHeight="1" x14ac:dyDescent="0.2">
      <c r="B20" s="5">
        <v>16</v>
      </c>
      <c r="C20" s="13" t="s">
        <v>73</v>
      </c>
      <c r="D20" s="14" t="s">
        <v>51</v>
      </c>
      <c r="F20" s="89"/>
      <c r="G20" s="90"/>
      <c r="H20" s="91"/>
      <c r="I20" s="90"/>
      <c r="J20" s="91"/>
      <c r="K20" s="90"/>
      <c r="L20" s="91"/>
      <c r="M20" s="90"/>
      <c r="N20" s="91"/>
      <c r="O20" s="90"/>
      <c r="P20" s="91"/>
      <c r="Q20" s="90"/>
      <c r="R20" s="91"/>
      <c r="S20" s="92"/>
      <c r="V20" s="81"/>
      <c r="W20" s="187"/>
      <c r="X20" s="187"/>
      <c r="Y20" s="187"/>
      <c r="Z20" s="188"/>
    </row>
    <row r="21" spans="2:26" ht="13.15" customHeight="1" x14ac:dyDescent="0.2">
      <c r="B21" s="5">
        <v>17</v>
      </c>
      <c r="C21" s="78" t="s">
        <v>74</v>
      </c>
      <c r="D21" s="79" t="s">
        <v>52</v>
      </c>
      <c r="F21" s="86">
        <f>COUNTA(F6:F20)</f>
        <v>6</v>
      </c>
      <c r="G21" s="83">
        <f>SUM(G6:G20)</f>
        <v>15</v>
      </c>
      <c r="H21" s="87">
        <f>COUNTA(H6:H20)</f>
        <v>10</v>
      </c>
      <c r="I21" s="88">
        <f>SUM(I6:I20)</f>
        <v>30</v>
      </c>
      <c r="J21" s="87">
        <f>COUNTA(J6:J20)</f>
        <v>1</v>
      </c>
      <c r="K21" s="88">
        <f>SUM(K6:K20)</f>
        <v>5</v>
      </c>
      <c r="L21" s="87">
        <f>COUNTA(L6:L20)</f>
        <v>5</v>
      </c>
      <c r="M21" s="88">
        <f>SUM(M6:M20)</f>
        <v>17</v>
      </c>
      <c r="N21" s="87">
        <f>COUNTA(N6:N20)</f>
        <v>2</v>
      </c>
      <c r="O21" s="88">
        <f>SUM(O6:O20)</f>
        <v>5</v>
      </c>
      <c r="P21" s="87">
        <f>COUNTA(P6:P20)</f>
        <v>5</v>
      </c>
      <c r="Q21" s="88">
        <f>SUM(Q6:Q20)</f>
        <v>18</v>
      </c>
      <c r="R21" s="85">
        <f>COUNTA(R6:R20)</f>
        <v>5</v>
      </c>
      <c r="S21" s="94">
        <v>10</v>
      </c>
      <c r="T21" s="80"/>
      <c r="V21" s="81" t="s">
        <v>121</v>
      </c>
      <c r="W21" s="187"/>
      <c r="X21" s="187"/>
      <c r="Y21" s="187"/>
      <c r="Z21" s="188"/>
    </row>
    <row r="22" spans="2:26" ht="13.5" thickBot="1" x14ac:dyDescent="0.25">
      <c r="B22" s="5">
        <v>18</v>
      </c>
      <c r="C22" s="13" t="s">
        <v>75</v>
      </c>
      <c r="D22" s="14" t="s">
        <v>53</v>
      </c>
      <c r="F22" s="185" t="s">
        <v>118</v>
      </c>
      <c r="G22" s="186"/>
      <c r="H22" s="148" t="s">
        <v>118</v>
      </c>
      <c r="I22" s="186"/>
      <c r="J22" s="148" t="s">
        <v>118</v>
      </c>
      <c r="K22" s="186"/>
      <c r="L22" s="148" t="s">
        <v>118</v>
      </c>
      <c r="M22" s="186"/>
      <c r="N22" s="148" t="s">
        <v>118</v>
      </c>
      <c r="O22" s="186"/>
      <c r="P22" s="148" t="s">
        <v>118</v>
      </c>
      <c r="Q22" s="186"/>
      <c r="R22" s="148" t="s">
        <v>119</v>
      </c>
      <c r="S22" s="149"/>
      <c r="T22" s="80" t="s">
        <v>88</v>
      </c>
      <c r="V22" s="4"/>
      <c r="W22" s="187"/>
      <c r="X22" s="187"/>
      <c r="Y22" s="187"/>
      <c r="Z22" s="188"/>
    </row>
    <row r="23" spans="2:26" ht="13.15" customHeight="1" x14ac:dyDescent="0.2">
      <c r="B23" s="5">
        <v>19</v>
      </c>
      <c r="C23" s="78" t="s">
        <v>76</v>
      </c>
      <c r="D23" s="79" t="s">
        <v>54</v>
      </c>
      <c r="V23" s="4"/>
      <c r="W23" s="187"/>
      <c r="X23" s="187"/>
      <c r="Y23" s="187"/>
      <c r="Z23" s="188"/>
    </row>
    <row r="24" spans="2:26" ht="13.15" customHeight="1" x14ac:dyDescent="0.2">
      <c r="B24" s="5">
        <v>20</v>
      </c>
      <c r="C24" s="13" t="s">
        <v>77</v>
      </c>
      <c r="D24" s="14" t="s">
        <v>55</v>
      </c>
      <c r="M24" s="48"/>
      <c r="V24" s="4" t="s">
        <v>123</v>
      </c>
      <c r="W24" s="187"/>
      <c r="X24" s="187"/>
      <c r="Y24" s="187"/>
      <c r="Z24" s="188"/>
    </row>
    <row r="25" spans="2:26" ht="13.15" customHeight="1" x14ac:dyDescent="0.2">
      <c r="B25" s="5">
        <v>21</v>
      </c>
      <c r="C25" s="78" t="s">
        <v>78</v>
      </c>
      <c r="D25" s="79" t="s">
        <v>56</v>
      </c>
      <c r="V25" s="4"/>
      <c r="W25" s="187"/>
      <c r="X25" s="187"/>
      <c r="Y25" s="187"/>
      <c r="Z25" s="188"/>
    </row>
    <row r="26" spans="2:26" ht="13.15" customHeight="1" thickBot="1" x14ac:dyDescent="0.25">
      <c r="B26" s="5">
        <v>22</v>
      </c>
      <c r="C26" s="13" t="s">
        <v>79</v>
      </c>
      <c r="D26" s="14" t="s">
        <v>57</v>
      </c>
      <c r="V26" s="4"/>
      <c r="W26" s="187"/>
      <c r="X26" s="187"/>
      <c r="Y26" s="187"/>
      <c r="Z26" s="188"/>
    </row>
    <row r="27" spans="2:26" ht="13.15" customHeight="1" x14ac:dyDescent="0.2">
      <c r="B27" s="5">
        <v>23</v>
      </c>
      <c r="C27" s="78" t="s">
        <v>80</v>
      </c>
      <c r="D27" s="79" t="s">
        <v>53</v>
      </c>
      <c r="F27" s="22" t="s">
        <v>22</v>
      </c>
      <c r="G27" s="168">
        <v>46150</v>
      </c>
      <c r="H27" s="169"/>
      <c r="J27" s="170" t="s">
        <v>99</v>
      </c>
      <c r="K27" s="171"/>
      <c r="L27" s="171"/>
      <c r="M27" s="171"/>
      <c r="N27" s="171"/>
      <c r="O27" s="171"/>
      <c r="P27" s="171"/>
      <c r="Q27" s="172"/>
      <c r="V27" s="4"/>
      <c r="W27" s="187"/>
      <c r="X27" s="187"/>
      <c r="Y27" s="187"/>
      <c r="Z27" s="188"/>
    </row>
    <row r="28" spans="2:26" ht="13.15" customHeight="1" x14ac:dyDescent="0.2">
      <c r="B28" s="5">
        <v>24</v>
      </c>
      <c r="C28" s="13"/>
      <c r="D28" s="14"/>
      <c r="F28" s="23" t="s">
        <v>30</v>
      </c>
      <c r="G28" s="191" t="s">
        <v>86</v>
      </c>
      <c r="H28" s="192"/>
      <c r="J28" s="173" t="s">
        <v>98</v>
      </c>
      <c r="K28" s="174"/>
      <c r="L28" s="174"/>
      <c r="M28" s="174"/>
      <c r="N28" s="174"/>
      <c r="O28" s="174"/>
      <c r="P28" s="174"/>
      <c r="Q28" s="175"/>
      <c r="V28" s="4"/>
      <c r="W28" s="187"/>
      <c r="X28" s="187"/>
      <c r="Y28" s="187"/>
      <c r="Z28" s="188"/>
    </row>
    <row r="29" spans="2:26" ht="13.15" customHeight="1" thickBot="1" x14ac:dyDescent="0.25">
      <c r="B29" s="5">
        <v>25</v>
      </c>
      <c r="C29" s="78"/>
      <c r="D29" s="79"/>
      <c r="F29" s="24" t="s">
        <v>21</v>
      </c>
      <c r="G29" s="193" t="s">
        <v>87</v>
      </c>
      <c r="H29" s="194"/>
      <c r="J29" s="176"/>
      <c r="K29" s="177"/>
      <c r="L29" s="177"/>
      <c r="M29" s="177"/>
      <c r="N29" s="177"/>
      <c r="O29" s="177"/>
      <c r="P29" s="177"/>
      <c r="Q29" s="178"/>
      <c r="V29" s="93"/>
      <c r="W29" s="189"/>
      <c r="X29" s="189"/>
      <c r="Y29" s="189"/>
      <c r="Z29" s="190"/>
    </row>
    <row r="30" spans="2:26" ht="13.15" customHeight="1" thickBot="1" x14ac:dyDescent="0.25">
      <c r="B30" s="5">
        <v>26</v>
      </c>
      <c r="C30" s="13"/>
      <c r="D30" s="14"/>
    </row>
    <row r="31" spans="2:26" ht="13.15" customHeight="1" x14ac:dyDescent="0.2">
      <c r="B31" s="5">
        <v>27</v>
      </c>
      <c r="C31" s="78"/>
      <c r="D31" s="79"/>
      <c r="F31" s="156" t="s">
        <v>97</v>
      </c>
      <c r="G31" s="157"/>
      <c r="H31" s="157"/>
      <c r="I31" s="157"/>
      <c r="J31" s="157"/>
      <c r="K31" s="157"/>
      <c r="L31" s="157"/>
      <c r="M31" s="157"/>
      <c r="N31" s="157"/>
      <c r="O31" s="157"/>
      <c r="P31" s="157"/>
      <c r="Q31" s="158"/>
    </row>
    <row r="32" spans="2:26" ht="13.15" customHeight="1" x14ac:dyDescent="0.2">
      <c r="B32" s="5">
        <v>28</v>
      </c>
      <c r="C32" s="13"/>
      <c r="D32" s="14"/>
      <c r="F32" s="159"/>
      <c r="G32" s="160"/>
      <c r="H32" s="160"/>
      <c r="I32" s="160"/>
      <c r="J32" s="160"/>
      <c r="K32" s="160"/>
      <c r="L32" s="160"/>
      <c r="M32" s="160"/>
      <c r="N32" s="160"/>
      <c r="O32" s="160"/>
      <c r="P32" s="160"/>
      <c r="Q32" s="161"/>
    </row>
    <row r="33" spans="2:17" ht="13.15" customHeight="1" x14ac:dyDescent="0.2">
      <c r="B33" s="5">
        <v>29</v>
      </c>
      <c r="C33" s="78"/>
      <c r="D33" s="79"/>
      <c r="F33" s="159"/>
      <c r="G33" s="160"/>
      <c r="H33" s="160"/>
      <c r="I33" s="160"/>
      <c r="J33" s="160"/>
      <c r="K33" s="160"/>
      <c r="L33" s="160"/>
      <c r="M33" s="160"/>
      <c r="N33" s="160"/>
      <c r="O33" s="160"/>
      <c r="P33" s="160"/>
      <c r="Q33" s="161"/>
    </row>
    <row r="34" spans="2:17" ht="13.15" customHeight="1" x14ac:dyDescent="0.2">
      <c r="B34" s="5">
        <v>30</v>
      </c>
      <c r="C34" s="13"/>
      <c r="D34" s="14"/>
      <c r="F34" s="159"/>
      <c r="G34" s="160"/>
      <c r="H34" s="160"/>
      <c r="I34" s="160"/>
      <c r="J34" s="160"/>
      <c r="K34" s="160"/>
      <c r="L34" s="160"/>
      <c r="M34" s="160"/>
      <c r="N34" s="160"/>
      <c r="O34" s="160"/>
      <c r="P34" s="160"/>
      <c r="Q34" s="161"/>
    </row>
    <row r="35" spans="2:17" ht="13.15" customHeight="1" x14ac:dyDescent="0.2">
      <c r="B35" s="5">
        <v>31</v>
      </c>
      <c r="C35" s="78"/>
      <c r="D35" s="79"/>
      <c r="F35" s="159"/>
      <c r="G35" s="160"/>
      <c r="H35" s="160"/>
      <c r="I35" s="160"/>
      <c r="J35" s="160"/>
      <c r="K35" s="160"/>
      <c r="L35" s="160"/>
      <c r="M35" s="160"/>
      <c r="N35" s="160"/>
      <c r="O35" s="160"/>
      <c r="P35" s="160"/>
      <c r="Q35" s="161"/>
    </row>
    <row r="36" spans="2:17" ht="13.15" customHeight="1" x14ac:dyDescent="0.2">
      <c r="B36" s="5">
        <v>32</v>
      </c>
      <c r="C36" s="13"/>
      <c r="D36" s="14"/>
      <c r="F36" s="159"/>
      <c r="G36" s="160"/>
      <c r="H36" s="160"/>
      <c r="I36" s="160"/>
      <c r="J36" s="160"/>
      <c r="K36" s="160"/>
      <c r="L36" s="160"/>
      <c r="M36" s="160"/>
      <c r="N36" s="160"/>
      <c r="O36" s="160"/>
      <c r="P36" s="160"/>
      <c r="Q36" s="161"/>
    </row>
    <row r="37" spans="2:17" ht="13.15" customHeight="1" x14ac:dyDescent="0.2">
      <c r="B37" s="5">
        <v>33</v>
      </c>
      <c r="C37" s="78"/>
      <c r="D37" s="79"/>
      <c r="F37" s="159"/>
      <c r="G37" s="160"/>
      <c r="H37" s="160"/>
      <c r="I37" s="160"/>
      <c r="J37" s="160"/>
      <c r="K37" s="160"/>
      <c r="L37" s="160"/>
      <c r="M37" s="160"/>
      <c r="N37" s="160"/>
      <c r="O37" s="160"/>
      <c r="P37" s="160"/>
      <c r="Q37" s="161"/>
    </row>
    <row r="38" spans="2:17" ht="13.15" customHeight="1" x14ac:dyDescent="0.2">
      <c r="B38" s="5">
        <v>34</v>
      </c>
      <c r="C38" s="13"/>
      <c r="D38" s="14"/>
      <c r="F38" s="159"/>
      <c r="G38" s="160"/>
      <c r="H38" s="160"/>
      <c r="I38" s="160"/>
      <c r="J38" s="160"/>
      <c r="K38" s="160"/>
      <c r="L38" s="160"/>
      <c r="M38" s="160"/>
      <c r="N38" s="160"/>
      <c r="O38" s="160"/>
      <c r="P38" s="160"/>
      <c r="Q38" s="161"/>
    </row>
    <row r="39" spans="2:17" ht="13.15" customHeight="1" x14ac:dyDescent="0.2">
      <c r="B39" s="5">
        <v>35</v>
      </c>
      <c r="C39" s="78"/>
      <c r="D39" s="79"/>
      <c r="F39" s="159"/>
      <c r="G39" s="160"/>
      <c r="H39" s="160"/>
      <c r="I39" s="160"/>
      <c r="J39" s="160"/>
      <c r="K39" s="160"/>
      <c r="L39" s="160"/>
      <c r="M39" s="160"/>
      <c r="N39" s="160"/>
      <c r="O39" s="160"/>
      <c r="P39" s="160"/>
      <c r="Q39" s="161"/>
    </row>
    <row r="40" spans="2:17" ht="13.15" customHeight="1" x14ac:dyDescent="0.2">
      <c r="B40" s="5">
        <v>36</v>
      </c>
      <c r="C40" s="13"/>
      <c r="D40" s="14"/>
      <c r="F40" s="159"/>
      <c r="G40" s="160"/>
      <c r="H40" s="160"/>
      <c r="I40" s="160"/>
      <c r="J40" s="160"/>
      <c r="K40" s="160"/>
      <c r="L40" s="160"/>
      <c r="M40" s="160"/>
      <c r="N40" s="160"/>
      <c r="O40" s="160"/>
      <c r="P40" s="160"/>
      <c r="Q40" s="161"/>
    </row>
    <row r="41" spans="2:17" ht="13.15" customHeight="1" x14ac:dyDescent="0.2">
      <c r="B41" s="5">
        <v>37</v>
      </c>
      <c r="C41" s="78"/>
      <c r="D41" s="79"/>
      <c r="F41" s="159"/>
      <c r="G41" s="160"/>
      <c r="H41" s="160"/>
      <c r="I41" s="160"/>
      <c r="J41" s="160"/>
      <c r="K41" s="160"/>
      <c r="L41" s="160"/>
      <c r="M41" s="160"/>
      <c r="N41" s="160"/>
      <c r="O41" s="160"/>
      <c r="P41" s="160"/>
      <c r="Q41" s="161"/>
    </row>
    <row r="42" spans="2:17" ht="13.15" customHeight="1" x14ac:dyDescent="0.2">
      <c r="B42" s="5">
        <v>38</v>
      </c>
      <c r="C42" s="13"/>
      <c r="D42" s="14"/>
      <c r="F42" s="159"/>
      <c r="G42" s="160"/>
      <c r="H42" s="160"/>
      <c r="I42" s="160"/>
      <c r="J42" s="160"/>
      <c r="K42" s="160"/>
      <c r="L42" s="160"/>
      <c r="M42" s="160"/>
      <c r="N42" s="160"/>
      <c r="O42" s="160"/>
      <c r="P42" s="160"/>
      <c r="Q42" s="161"/>
    </row>
    <row r="43" spans="2:17" ht="13.15" customHeight="1" x14ac:dyDescent="0.2">
      <c r="B43" s="5">
        <v>39</v>
      </c>
      <c r="C43" s="78"/>
      <c r="D43" s="79"/>
      <c r="F43" s="159"/>
      <c r="G43" s="160"/>
      <c r="H43" s="160"/>
      <c r="I43" s="160"/>
      <c r="J43" s="160"/>
      <c r="K43" s="160"/>
      <c r="L43" s="160"/>
      <c r="M43" s="160"/>
      <c r="N43" s="160"/>
      <c r="O43" s="160"/>
      <c r="P43" s="160"/>
      <c r="Q43" s="161"/>
    </row>
    <row r="44" spans="2:17" ht="13.15" customHeight="1" thickBot="1" x14ac:dyDescent="0.25">
      <c r="B44" s="6">
        <v>40</v>
      </c>
      <c r="C44" s="15"/>
      <c r="D44" s="16"/>
      <c r="F44" s="162"/>
      <c r="G44" s="163"/>
      <c r="H44" s="163"/>
      <c r="I44" s="163"/>
      <c r="J44" s="163"/>
      <c r="K44" s="163"/>
      <c r="L44" s="163"/>
      <c r="M44" s="163"/>
      <c r="N44" s="163"/>
      <c r="O44" s="163"/>
      <c r="P44" s="163"/>
      <c r="Q44" s="164"/>
    </row>
    <row r="45" spans="2:17" x14ac:dyDescent="0.2">
      <c r="C45" s="10">
        <f>COUNTA(C5:C44)</f>
        <v>23</v>
      </c>
    </row>
  </sheetData>
  <sheetProtection sheet="1" objects="1" scenarios="1" selectLockedCells="1"/>
  <mergeCells count="18">
    <mergeCell ref="G28:H28"/>
    <mergeCell ref="G29:H29"/>
    <mergeCell ref="R22:S22"/>
    <mergeCell ref="B2:D3"/>
    <mergeCell ref="F31:Q44"/>
    <mergeCell ref="V2:Z2"/>
    <mergeCell ref="G27:H27"/>
    <mergeCell ref="J27:Q27"/>
    <mergeCell ref="J28:Q28"/>
    <mergeCell ref="J29:Q29"/>
    <mergeCell ref="F2:S3"/>
    <mergeCell ref="F22:G22"/>
    <mergeCell ref="H22:I22"/>
    <mergeCell ref="J22:K22"/>
    <mergeCell ref="L22:M22"/>
    <mergeCell ref="N22:O22"/>
    <mergeCell ref="P22:Q22"/>
    <mergeCell ref="W3:Z29"/>
  </mergeCells>
  <dataValidations count="2">
    <dataValidation type="custom" showInputMessage="1" showErrorMessage="1" sqref="J27:S29" xr:uid="{C85A5DCF-A5EF-4D06-8770-728CD61BE72F}">
      <formula1>"&lt;0&gt;0"</formula1>
    </dataValidation>
    <dataValidation type="list" allowBlank="1" showInputMessage="1" showErrorMessage="1" sqref="J22:R22 F22 H22" xr:uid="{F4A9CAD1-0480-4ADA-93BE-D2D9C0DD371C}">
      <formula1>"Nein,Ja"</formula1>
    </dataValidation>
  </dataValidations>
  <hyperlinks>
    <hyperlink ref="J28:Q28" r:id="rId1" display="GitHub Link" xr:uid="{A973A2A7-B95C-4AE9-8B6C-E5EA47EE1315}"/>
    <hyperlink ref="J27:Q27"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46" r:id="rId6" name="cmdClearAll">
          <controlPr defaultSize="0" autoLine="0" r:id="rId7">
            <anchor>
              <from>
                <xdr:col>23</xdr:col>
                <xdr:colOff>19050</xdr:colOff>
                <xdr:row>29</xdr:row>
                <xdr:rowOff>76200</xdr:rowOff>
              </from>
              <to>
                <xdr:col>24</xdr:col>
                <xdr:colOff>628650</xdr:colOff>
                <xdr:row>32</xdr:row>
                <xdr:rowOff>114300</xdr:rowOff>
              </to>
            </anchor>
          </controlPr>
        </control>
      </mc:Choice>
      <mc:Fallback>
        <control shapeId="10246" r:id="rId6" name="cmdClearAll"/>
      </mc:Fallback>
    </mc:AlternateContent>
    <mc:AlternateContent xmlns:mc="http://schemas.openxmlformats.org/markup-compatibility/2006">
      <mc:Choice Requires="x14">
        <control shapeId="10243" r:id="rId8" name="cmdCreateTables">
          <controlPr defaultSize="0" autoLine="0" r:id="rId9">
            <anchor>
              <from>
                <xdr:col>5</xdr:col>
                <xdr:colOff>0</xdr:colOff>
                <xdr:row>22</xdr:row>
                <xdr:rowOff>66675</xdr:rowOff>
              </from>
              <to>
                <xdr:col>8</xdr:col>
                <xdr:colOff>28575</xdr:colOff>
                <xdr:row>25</xdr:row>
                <xdr:rowOff>85725</xdr:rowOff>
              </to>
            </anchor>
          </controlPr>
        </control>
      </mc:Choice>
      <mc:Fallback>
        <control shapeId="10243" r:id="rId8" name="cmdCreateTables"/>
      </mc:Fallback>
    </mc:AlternateContent>
    <mc:AlternateContent xmlns:mc="http://schemas.openxmlformats.org/markup-compatibility/2006">
      <mc:Choice Requires="x14">
        <control shapeId="10244" r:id="rId10" name="cmdCreateResults">
          <controlPr defaultSize="0" autoLine="0" r:id="rId11">
            <anchor>
              <from>
                <xdr:col>8</xdr:col>
                <xdr:colOff>95250</xdr:colOff>
                <xdr:row>22</xdr:row>
                <xdr:rowOff>66675</xdr:rowOff>
              </from>
              <to>
                <xdr:col>11</xdr:col>
                <xdr:colOff>123825</xdr:colOff>
                <xdr:row>25</xdr:row>
                <xdr:rowOff>85725</xdr:rowOff>
              </to>
            </anchor>
          </controlPr>
        </control>
      </mc:Choice>
      <mc:Fallback>
        <control shapeId="10244" r:id="rId10" name="cmdCreateResults"/>
      </mc:Fallback>
    </mc:AlternateContent>
    <mc:AlternateContent xmlns:mc="http://schemas.openxmlformats.org/markup-compatibility/2006">
      <mc:Choice Requires="x14">
        <control shapeId="10276" r:id="rId12" name="btnSelExUpdate">
          <controlPr defaultSize="0" print="0" autoLine="0" r:id="rId13">
            <anchor>
              <from>
                <xdr:col>16</xdr:col>
                <xdr:colOff>0</xdr:colOff>
                <xdr:row>22</xdr:row>
                <xdr:rowOff>66675</xdr:rowOff>
              </from>
              <to>
                <xdr:col>19</xdr:col>
                <xdr:colOff>9525</xdr:colOff>
                <xdr:row>25</xdr:row>
                <xdr:rowOff>85725</xdr:rowOff>
              </to>
            </anchor>
          </controlPr>
        </control>
      </mc:Choice>
      <mc:Fallback>
        <control shapeId="10276" r:id="rId12" name="btnSelExUpdate"/>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B3" sqref="B3"/>
    </sheetView>
  </sheetViews>
  <sheetFormatPr baseColWidth="10" defaultRowHeight="12.75" x14ac:dyDescent="0.2"/>
  <cols>
    <col min="1" max="1" width="2.85546875" customWidth="1"/>
    <col min="2" max="2" width="9.140625" style="1" customWidth="1"/>
    <col min="3" max="3" width="9.140625" style="2" customWidth="1"/>
    <col min="4" max="4" width="9.140625" style="1" customWidth="1"/>
    <col min="5" max="5" width="3.140625" style="2" hidden="1" customWidth="1"/>
    <col min="6" max="6" width="3.42578125" customWidth="1"/>
    <col min="7" max="8" width="11.42578125" customWidth="1"/>
  </cols>
  <sheetData>
    <row r="1" spans="2:15" ht="13.5" thickBot="1" x14ac:dyDescent="0.25"/>
    <row r="2" spans="2:15" ht="13.5" customHeight="1" thickBot="1" x14ac:dyDescent="0.25">
      <c r="B2" s="28" t="s">
        <v>0</v>
      </c>
      <c r="C2" s="29" t="s">
        <v>31</v>
      </c>
      <c r="D2" s="30" t="s">
        <v>1</v>
      </c>
      <c r="F2" s="31"/>
      <c r="G2" s="156" t="s">
        <v>32</v>
      </c>
      <c r="H2" s="157"/>
      <c r="I2" s="157"/>
      <c r="J2" s="157"/>
      <c r="K2" s="157"/>
      <c r="L2" s="158"/>
    </row>
    <row r="3" spans="2:15" x14ac:dyDescent="0.2">
      <c r="B3" s="35">
        <v>0</v>
      </c>
      <c r="C3" s="36">
        <v>0</v>
      </c>
      <c r="D3" s="37">
        <v>6</v>
      </c>
      <c r="E3" s="27" t="str">
        <f>IF(AND($C3=$C4,$C4&lt;$C5),"+",IF($C3&lt;$C4,"++",""))</f>
        <v/>
      </c>
      <c r="F3" s="31"/>
      <c r="G3" s="159"/>
      <c r="H3" s="160"/>
      <c r="I3" s="160"/>
      <c r="J3" s="160"/>
      <c r="K3" s="160"/>
      <c r="L3" s="161"/>
    </row>
    <row r="4" spans="2:15" x14ac:dyDescent="0.2">
      <c r="B4" s="38">
        <v>0.5</v>
      </c>
      <c r="C4" s="39">
        <v>0</v>
      </c>
      <c r="D4" s="40">
        <v>6</v>
      </c>
      <c r="E4" s="27" t="str">
        <f>IF(AND($C4=$C5,$C5&lt;$C6),"+",IF($C4&lt;$C5,"++",""))</f>
        <v/>
      </c>
      <c r="F4" s="31"/>
      <c r="G4" s="159"/>
      <c r="H4" s="160"/>
      <c r="I4" s="160"/>
      <c r="J4" s="160"/>
      <c r="K4" s="160"/>
      <c r="L4" s="161"/>
    </row>
    <row r="5" spans="2:15" x14ac:dyDescent="0.2">
      <c r="B5" s="38">
        <v>1</v>
      </c>
      <c r="C5" s="39">
        <v>0</v>
      </c>
      <c r="D5" s="40">
        <v>6</v>
      </c>
      <c r="E5" s="27" t="str">
        <f t="shared" ref="E5:E50" si="0">IF(AND($C5=$C6,$C6&lt;$C7),"+",IF($C5&lt;$C6,"++",IF(AND($C5=$C4,$C4&gt;$C3),"-",IF($C5&gt;$C4,"--",""))))</f>
        <v/>
      </c>
      <c r="F5" s="31"/>
      <c r="G5" s="159"/>
      <c r="H5" s="160"/>
      <c r="I5" s="160"/>
      <c r="J5" s="160"/>
      <c r="K5" s="160"/>
      <c r="L5" s="161"/>
    </row>
    <row r="6" spans="2:15" x14ac:dyDescent="0.2">
      <c r="B6" s="38">
        <v>1.5</v>
      </c>
      <c r="C6" s="39">
        <v>0</v>
      </c>
      <c r="D6" s="40">
        <v>6</v>
      </c>
      <c r="E6" s="27" t="str">
        <f t="shared" si="0"/>
        <v/>
      </c>
      <c r="F6" s="31"/>
      <c r="G6" s="159"/>
      <c r="H6" s="160"/>
      <c r="I6" s="160"/>
      <c r="J6" s="160"/>
      <c r="K6" s="160"/>
      <c r="L6" s="161"/>
    </row>
    <row r="7" spans="2:15" x14ac:dyDescent="0.2">
      <c r="B7" s="38">
        <v>2</v>
      </c>
      <c r="C7" s="39">
        <v>0</v>
      </c>
      <c r="D7" s="40">
        <v>6</v>
      </c>
      <c r="E7" s="27" t="str">
        <f t="shared" si="0"/>
        <v/>
      </c>
      <c r="F7" s="31"/>
      <c r="G7" s="159"/>
      <c r="H7" s="160"/>
      <c r="I7" s="160"/>
      <c r="J7" s="160"/>
      <c r="K7" s="160"/>
      <c r="L7" s="161"/>
    </row>
    <row r="8" spans="2:15" ht="12.75" customHeight="1" x14ac:dyDescent="0.2">
      <c r="B8" s="38">
        <v>2.5</v>
      </c>
      <c r="C8" s="39">
        <v>0</v>
      </c>
      <c r="D8" s="40">
        <v>6</v>
      </c>
      <c r="E8" s="27" t="str">
        <f t="shared" si="0"/>
        <v/>
      </c>
      <c r="F8" s="31"/>
      <c r="G8" s="159"/>
      <c r="H8" s="160"/>
      <c r="I8" s="160"/>
      <c r="J8" s="160"/>
      <c r="K8" s="160"/>
      <c r="L8" s="161"/>
      <c r="M8" s="32"/>
      <c r="N8" s="32"/>
      <c r="O8" s="32"/>
    </row>
    <row r="9" spans="2:15" x14ac:dyDescent="0.2">
      <c r="B9" s="38">
        <v>3</v>
      </c>
      <c r="C9" s="39">
        <v>0</v>
      </c>
      <c r="D9" s="40">
        <v>6</v>
      </c>
      <c r="E9" s="27" t="str">
        <f t="shared" si="0"/>
        <v/>
      </c>
      <c r="F9" s="31"/>
      <c r="G9" s="159"/>
      <c r="H9" s="160"/>
      <c r="I9" s="160"/>
      <c r="J9" s="160"/>
      <c r="K9" s="160"/>
      <c r="L9" s="161"/>
      <c r="M9" s="32"/>
      <c r="N9" s="32"/>
      <c r="O9" s="32"/>
    </row>
    <row r="10" spans="2:15" x14ac:dyDescent="0.2">
      <c r="B10" s="38">
        <v>3.5</v>
      </c>
      <c r="C10" s="39">
        <v>0</v>
      </c>
      <c r="D10" s="40">
        <v>6</v>
      </c>
      <c r="E10" s="27" t="str">
        <f t="shared" si="0"/>
        <v/>
      </c>
      <c r="F10" s="31"/>
      <c r="G10" s="159"/>
      <c r="H10" s="160"/>
      <c r="I10" s="160"/>
      <c r="J10" s="160"/>
      <c r="K10" s="160"/>
      <c r="L10" s="161"/>
      <c r="M10" s="32"/>
      <c r="N10" s="32"/>
      <c r="O10" s="32"/>
    </row>
    <row r="11" spans="2:15" x14ac:dyDescent="0.2">
      <c r="B11" s="38">
        <v>4</v>
      </c>
      <c r="C11" s="39">
        <v>0</v>
      </c>
      <c r="D11" s="40">
        <v>6</v>
      </c>
      <c r="E11" s="27" t="str">
        <f t="shared" si="0"/>
        <v/>
      </c>
      <c r="G11" s="159"/>
      <c r="H11" s="160"/>
      <c r="I11" s="160"/>
      <c r="J11" s="160"/>
      <c r="K11" s="160"/>
      <c r="L11" s="161"/>
      <c r="M11" s="32"/>
      <c r="N11" s="32"/>
      <c r="O11" s="32"/>
    </row>
    <row r="12" spans="2:15" x14ac:dyDescent="0.2">
      <c r="B12" s="38">
        <v>4.5</v>
      </c>
      <c r="C12" s="39">
        <v>0</v>
      </c>
      <c r="D12" s="40">
        <v>6</v>
      </c>
      <c r="E12" s="27" t="str">
        <f t="shared" si="0"/>
        <v/>
      </c>
      <c r="F12" s="31"/>
      <c r="G12" s="159"/>
      <c r="H12" s="160"/>
      <c r="I12" s="160"/>
      <c r="J12" s="160"/>
      <c r="K12" s="160"/>
      <c r="L12" s="161"/>
      <c r="M12" s="32"/>
      <c r="N12" s="32"/>
      <c r="O12" s="32"/>
    </row>
    <row r="13" spans="2:15" x14ac:dyDescent="0.2">
      <c r="B13" s="38">
        <v>5</v>
      </c>
      <c r="C13" s="39">
        <v>0</v>
      </c>
      <c r="D13" s="40">
        <v>6</v>
      </c>
      <c r="E13" s="27" t="str">
        <f t="shared" si="0"/>
        <v/>
      </c>
      <c r="F13" s="31"/>
      <c r="G13" s="159"/>
      <c r="H13" s="160"/>
      <c r="I13" s="160"/>
      <c r="J13" s="160"/>
      <c r="K13" s="160"/>
      <c r="L13" s="161"/>
      <c r="M13" s="32"/>
      <c r="N13" s="32"/>
      <c r="O13" s="32"/>
    </row>
    <row r="14" spans="2:15" x14ac:dyDescent="0.2">
      <c r="B14" s="38">
        <v>5.5</v>
      </c>
      <c r="C14" s="39">
        <v>0</v>
      </c>
      <c r="D14" s="40">
        <v>6</v>
      </c>
      <c r="E14" s="27" t="str">
        <f t="shared" si="0"/>
        <v/>
      </c>
      <c r="F14" s="31"/>
      <c r="G14" s="159"/>
      <c r="H14" s="160"/>
      <c r="I14" s="160"/>
      <c r="J14" s="160"/>
      <c r="K14" s="160"/>
      <c r="L14" s="161"/>
      <c r="M14" s="32"/>
      <c r="N14" s="32"/>
      <c r="O14" s="32"/>
    </row>
    <row r="15" spans="2:15" x14ac:dyDescent="0.2">
      <c r="B15" s="38">
        <v>6</v>
      </c>
      <c r="C15" s="39">
        <v>0</v>
      </c>
      <c r="D15" s="40">
        <v>6</v>
      </c>
      <c r="E15" s="27" t="str">
        <f t="shared" si="0"/>
        <v/>
      </c>
      <c r="F15" s="31"/>
      <c r="G15" s="49"/>
      <c r="H15" s="50"/>
      <c r="I15" s="50"/>
      <c r="J15" s="50"/>
      <c r="K15" s="50"/>
      <c r="L15" s="51"/>
      <c r="M15" s="32"/>
      <c r="N15" s="32"/>
      <c r="O15" s="32"/>
    </row>
    <row r="16" spans="2:15" x14ac:dyDescent="0.2">
      <c r="B16" s="38">
        <v>6.5</v>
      </c>
      <c r="C16" s="39">
        <v>0</v>
      </c>
      <c r="D16" s="40">
        <v>6</v>
      </c>
      <c r="E16" s="27" t="str">
        <f t="shared" si="0"/>
        <v/>
      </c>
      <c r="F16" s="31"/>
      <c r="G16" s="59"/>
      <c r="H16" s="52" t="s">
        <v>33</v>
      </c>
      <c r="I16" s="52"/>
      <c r="J16" s="52"/>
      <c r="K16" s="52"/>
      <c r="L16" s="54"/>
      <c r="M16" s="32"/>
      <c r="N16" s="32"/>
      <c r="O16" s="32"/>
    </row>
    <row r="17" spans="2:15" x14ac:dyDescent="0.2">
      <c r="B17" s="38">
        <v>7</v>
      </c>
      <c r="C17" s="39">
        <v>0</v>
      </c>
      <c r="D17" s="40">
        <v>6</v>
      </c>
      <c r="E17" s="27" t="str">
        <f t="shared" si="0"/>
        <v/>
      </c>
      <c r="F17" s="31"/>
      <c r="G17" s="60"/>
      <c r="H17" s="52" t="s">
        <v>34</v>
      </c>
      <c r="I17" s="52"/>
      <c r="J17" s="52"/>
      <c r="K17" s="52"/>
      <c r="L17" s="54"/>
      <c r="M17" s="32"/>
      <c r="N17" s="32"/>
      <c r="O17" s="32"/>
    </row>
    <row r="18" spans="2:15" x14ac:dyDescent="0.2">
      <c r="B18" s="38">
        <v>7.5</v>
      </c>
      <c r="C18" s="39">
        <v>0</v>
      </c>
      <c r="D18" s="40">
        <v>6</v>
      </c>
      <c r="E18" s="27" t="str">
        <f t="shared" si="0"/>
        <v/>
      </c>
      <c r="F18" s="31"/>
      <c r="G18" s="53"/>
      <c r="H18" s="52" t="s">
        <v>35</v>
      </c>
      <c r="I18" s="52"/>
      <c r="J18" s="52"/>
      <c r="K18" s="52"/>
      <c r="L18" s="54"/>
      <c r="M18" s="32"/>
      <c r="N18" s="32"/>
      <c r="O18" s="32"/>
    </row>
    <row r="19" spans="2:15" x14ac:dyDescent="0.2">
      <c r="B19" s="38">
        <v>8</v>
      </c>
      <c r="C19" s="39">
        <v>0</v>
      </c>
      <c r="D19" s="40">
        <v>6</v>
      </c>
      <c r="E19" s="27" t="str">
        <f t="shared" si="0"/>
        <v/>
      </c>
      <c r="F19" s="31"/>
      <c r="G19" s="55"/>
      <c r="H19" s="52" t="s">
        <v>36</v>
      </c>
      <c r="I19" s="52"/>
      <c r="J19" s="52"/>
      <c r="K19" s="52"/>
      <c r="L19" s="54"/>
      <c r="M19" s="32"/>
      <c r="N19" s="32"/>
      <c r="O19" s="32"/>
    </row>
    <row r="20" spans="2:15" ht="13.5" thickBot="1" x14ac:dyDescent="0.25">
      <c r="B20" s="38">
        <v>8.5</v>
      </c>
      <c r="C20" s="39">
        <v>0</v>
      </c>
      <c r="D20" s="40">
        <v>6</v>
      </c>
      <c r="E20" s="27" t="str">
        <f t="shared" si="0"/>
        <v/>
      </c>
      <c r="F20" s="31"/>
      <c r="G20" s="56"/>
      <c r="H20" s="57"/>
      <c r="I20" s="57"/>
      <c r="J20" s="57"/>
      <c r="K20" s="57"/>
      <c r="L20" s="58"/>
      <c r="M20" s="32"/>
      <c r="N20" s="32"/>
      <c r="O20" s="32"/>
    </row>
    <row r="21" spans="2:15" x14ac:dyDescent="0.2">
      <c r="B21" s="38">
        <v>9</v>
      </c>
      <c r="C21" s="39">
        <v>0</v>
      </c>
      <c r="D21" s="40">
        <v>6</v>
      </c>
      <c r="E21" s="27" t="str">
        <f t="shared" si="0"/>
        <v/>
      </c>
      <c r="G21" s="61"/>
      <c r="H21" s="61"/>
      <c r="I21" s="61"/>
      <c r="J21" s="61"/>
      <c r="K21" s="61"/>
      <c r="L21" s="61"/>
      <c r="M21" s="32"/>
      <c r="N21" s="32"/>
      <c r="O21" s="32"/>
    </row>
    <row r="22" spans="2:15" x14ac:dyDescent="0.2">
      <c r="B22" s="38">
        <v>9.5</v>
      </c>
      <c r="C22" s="39">
        <v>0</v>
      </c>
      <c r="D22" s="40">
        <v>6</v>
      </c>
      <c r="E22" s="27" t="str">
        <f t="shared" si="0"/>
        <v/>
      </c>
      <c r="G22" s="61"/>
      <c r="H22" s="61"/>
      <c r="I22" s="61"/>
      <c r="J22" s="61"/>
      <c r="K22" s="61"/>
      <c r="L22" s="61"/>
    </row>
    <row r="23" spans="2:15" x14ac:dyDescent="0.2">
      <c r="B23" s="38">
        <v>10</v>
      </c>
      <c r="C23" s="39">
        <v>0</v>
      </c>
      <c r="D23" s="40">
        <v>6</v>
      </c>
      <c r="E23" s="27" t="str">
        <f t="shared" si="0"/>
        <v/>
      </c>
      <c r="G23" s="61"/>
      <c r="H23" s="61"/>
      <c r="I23" s="61"/>
      <c r="J23" s="61"/>
      <c r="K23" s="61"/>
      <c r="L23" s="61"/>
    </row>
    <row r="24" spans="2:15" x14ac:dyDescent="0.2">
      <c r="B24" s="38">
        <v>10.5</v>
      </c>
      <c r="C24" s="39">
        <v>0</v>
      </c>
      <c r="D24" s="40">
        <v>6</v>
      </c>
      <c r="E24" s="27" t="str">
        <f t="shared" si="0"/>
        <v/>
      </c>
      <c r="G24" s="61"/>
      <c r="H24" s="61"/>
      <c r="I24" s="61"/>
      <c r="J24" s="61"/>
      <c r="K24" s="61"/>
      <c r="L24" s="61"/>
    </row>
    <row r="25" spans="2:15" x14ac:dyDescent="0.2">
      <c r="B25" s="38">
        <v>11</v>
      </c>
      <c r="C25" s="39">
        <v>0</v>
      </c>
      <c r="D25" s="40">
        <v>6</v>
      </c>
      <c r="E25" s="27" t="str">
        <f t="shared" si="0"/>
        <v/>
      </c>
    </row>
    <row r="26" spans="2:15" x14ac:dyDescent="0.2">
      <c r="B26" s="38">
        <v>11.5</v>
      </c>
      <c r="C26" s="39">
        <v>0</v>
      </c>
      <c r="D26" s="40">
        <v>6</v>
      </c>
      <c r="E26" s="27" t="str">
        <f t="shared" si="0"/>
        <v/>
      </c>
      <c r="G26" s="31"/>
      <c r="H26" s="31"/>
      <c r="I26" s="31"/>
      <c r="J26" s="31"/>
      <c r="K26" s="31"/>
      <c r="L26" s="31"/>
    </row>
    <row r="27" spans="2:15" x14ac:dyDescent="0.2">
      <c r="B27" s="38">
        <v>12</v>
      </c>
      <c r="C27" s="39">
        <v>0</v>
      </c>
      <c r="D27" s="40">
        <v>6</v>
      </c>
      <c r="E27" s="27" t="str">
        <f t="shared" si="0"/>
        <v/>
      </c>
      <c r="G27" s="31"/>
      <c r="H27" s="31"/>
      <c r="I27" s="31"/>
      <c r="J27" s="31"/>
      <c r="K27" s="31"/>
      <c r="L27" s="31"/>
    </row>
    <row r="28" spans="2:15" x14ac:dyDescent="0.2">
      <c r="B28" s="38">
        <v>12.5</v>
      </c>
      <c r="C28" s="39">
        <v>0</v>
      </c>
      <c r="D28" s="40">
        <v>6</v>
      </c>
      <c r="E28" s="27" t="str">
        <f t="shared" si="0"/>
        <v/>
      </c>
      <c r="G28" s="31"/>
      <c r="H28" s="31"/>
      <c r="I28" s="31"/>
      <c r="J28" s="31"/>
      <c r="K28" s="31"/>
      <c r="L28" s="31"/>
    </row>
    <row r="29" spans="2:15" x14ac:dyDescent="0.2">
      <c r="B29" s="38">
        <v>13</v>
      </c>
      <c r="C29" s="39">
        <v>0</v>
      </c>
      <c r="D29" s="40">
        <v>6</v>
      </c>
      <c r="E29" s="27" t="str">
        <f t="shared" si="0"/>
        <v/>
      </c>
      <c r="G29" s="31"/>
      <c r="H29" s="31"/>
      <c r="I29" s="31"/>
      <c r="J29" s="31"/>
      <c r="K29" s="31"/>
      <c r="L29" s="31"/>
    </row>
    <row r="30" spans="2:15" x14ac:dyDescent="0.2">
      <c r="B30" s="38">
        <v>13.5</v>
      </c>
      <c r="C30" s="39">
        <v>0</v>
      </c>
      <c r="D30" s="40">
        <v>6</v>
      </c>
      <c r="E30" s="27" t="str">
        <f t="shared" si="0"/>
        <v/>
      </c>
      <c r="G30" s="31"/>
      <c r="H30" s="31"/>
      <c r="I30" s="31"/>
      <c r="J30" s="31"/>
      <c r="K30" s="31"/>
      <c r="L30" s="31"/>
    </row>
    <row r="31" spans="2:15" x14ac:dyDescent="0.2">
      <c r="B31" s="38">
        <v>14</v>
      </c>
      <c r="C31" s="39">
        <v>0</v>
      </c>
      <c r="D31" s="40">
        <v>6</v>
      </c>
      <c r="E31" s="27" t="str">
        <f t="shared" si="0"/>
        <v/>
      </c>
      <c r="G31" s="31"/>
      <c r="H31" s="31"/>
      <c r="I31" s="31"/>
      <c r="J31" s="31"/>
      <c r="K31" s="31"/>
      <c r="L31" s="31"/>
    </row>
    <row r="32" spans="2:15" x14ac:dyDescent="0.2">
      <c r="B32" s="38">
        <v>14.5</v>
      </c>
      <c r="C32" s="39">
        <v>0</v>
      </c>
      <c r="D32" s="40">
        <v>6</v>
      </c>
      <c r="E32" s="27" t="str">
        <f t="shared" si="0"/>
        <v/>
      </c>
      <c r="G32" s="31"/>
      <c r="H32" s="31"/>
      <c r="I32" s="31"/>
      <c r="J32" s="31"/>
      <c r="K32" s="31"/>
      <c r="L32" s="31"/>
    </row>
    <row r="33" spans="2:12" x14ac:dyDescent="0.2">
      <c r="B33" s="38">
        <v>15</v>
      </c>
      <c r="C33" s="39">
        <v>0</v>
      </c>
      <c r="D33" s="40">
        <v>6</v>
      </c>
      <c r="E33" s="27" t="str">
        <f t="shared" si="0"/>
        <v/>
      </c>
      <c r="G33" s="31"/>
      <c r="H33" s="31"/>
      <c r="I33" s="31"/>
      <c r="J33" s="31"/>
      <c r="K33" s="31"/>
      <c r="L33" s="31"/>
    </row>
    <row r="34" spans="2:12" x14ac:dyDescent="0.2">
      <c r="B34" s="38">
        <v>15.5</v>
      </c>
      <c r="C34" s="39">
        <v>0</v>
      </c>
      <c r="D34" s="40">
        <v>6</v>
      </c>
      <c r="E34" s="27" t="str">
        <f t="shared" si="0"/>
        <v/>
      </c>
      <c r="G34" s="31"/>
      <c r="H34" s="31"/>
      <c r="I34" s="31"/>
      <c r="J34" s="31"/>
      <c r="K34" s="31"/>
      <c r="L34" s="31"/>
    </row>
    <row r="35" spans="2:12" x14ac:dyDescent="0.2">
      <c r="B35" s="38">
        <v>16</v>
      </c>
      <c r="C35" s="39">
        <v>0</v>
      </c>
      <c r="D35" s="40">
        <v>6</v>
      </c>
      <c r="E35" s="27" t="str">
        <f t="shared" si="0"/>
        <v/>
      </c>
    </row>
    <row r="36" spans="2:12" x14ac:dyDescent="0.2">
      <c r="B36" s="38">
        <v>16.5</v>
      </c>
      <c r="C36" s="39">
        <v>0</v>
      </c>
      <c r="D36" s="40">
        <v>6</v>
      </c>
      <c r="E36" s="27" t="str">
        <f t="shared" si="0"/>
        <v/>
      </c>
    </row>
    <row r="37" spans="2:12" x14ac:dyDescent="0.2">
      <c r="B37" s="38">
        <v>17</v>
      </c>
      <c r="C37" s="39">
        <v>0</v>
      </c>
      <c r="D37" s="40">
        <v>6</v>
      </c>
      <c r="E37" s="27" t="str">
        <f t="shared" si="0"/>
        <v/>
      </c>
    </row>
    <row r="38" spans="2:12" x14ac:dyDescent="0.2">
      <c r="B38" s="38">
        <v>17.5</v>
      </c>
      <c r="C38" s="39">
        <v>0</v>
      </c>
      <c r="D38" s="40">
        <v>6</v>
      </c>
      <c r="E38" s="27" t="str">
        <f t="shared" si="0"/>
        <v/>
      </c>
    </row>
    <row r="39" spans="2:12" x14ac:dyDescent="0.2">
      <c r="B39" s="38">
        <v>18</v>
      </c>
      <c r="C39" s="39">
        <v>0</v>
      </c>
      <c r="D39" s="40">
        <v>6</v>
      </c>
      <c r="E39" s="27" t="str">
        <f t="shared" si="0"/>
        <v/>
      </c>
    </row>
    <row r="40" spans="2:12" x14ac:dyDescent="0.2">
      <c r="B40" s="38">
        <v>18.5</v>
      </c>
      <c r="C40" s="39">
        <v>0</v>
      </c>
      <c r="D40" s="40">
        <v>6</v>
      </c>
      <c r="E40" s="27" t="str">
        <f t="shared" si="0"/>
        <v/>
      </c>
    </row>
    <row r="41" spans="2:12" x14ac:dyDescent="0.2">
      <c r="B41" s="38">
        <v>19</v>
      </c>
      <c r="C41" s="39">
        <v>0</v>
      </c>
      <c r="D41" s="40">
        <v>6</v>
      </c>
      <c r="E41" s="27" t="str">
        <f t="shared" si="0"/>
        <v>+</v>
      </c>
    </row>
    <row r="42" spans="2:12" x14ac:dyDescent="0.2">
      <c r="B42" s="38">
        <v>19.5</v>
      </c>
      <c r="C42" s="39">
        <v>0</v>
      </c>
      <c r="D42" s="40">
        <v>6</v>
      </c>
      <c r="E42" s="27" t="str">
        <f t="shared" si="0"/>
        <v>++</v>
      </c>
    </row>
    <row r="43" spans="2:12" x14ac:dyDescent="0.2">
      <c r="B43" s="38">
        <v>20</v>
      </c>
      <c r="C43" s="39">
        <v>1</v>
      </c>
      <c r="D43" s="40" t="s">
        <v>100</v>
      </c>
      <c r="E43" s="27" t="str">
        <f t="shared" si="0"/>
        <v>--</v>
      </c>
    </row>
    <row r="44" spans="2:12" x14ac:dyDescent="0.2">
      <c r="B44" s="38">
        <v>20.5</v>
      </c>
      <c r="C44" s="39">
        <v>1</v>
      </c>
      <c r="D44" s="40" t="s">
        <v>100</v>
      </c>
      <c r="E44" s="27" t="str">
        <f t="shared" si="0"/>
        <v>-</v>
      </c>
    </row>
    <row r="45" spans="2:12" x14ac:dyDescent="0.2">
      <c r="B45" s="38">
        <v>21</v>
      </c>
      <c r="C45" s="39">
        <v>1</v>
      </c>
      <c r="D45" s="40" t="s">
        <v>100</v>
      </c>
      <c r="E45" s="27" t="str">
        <f t="shared" si="0"/>
        <v/>
      </c>
    </row>
    <row r="46" spans="2:12" x14ac:dyDescent="0.2">
      <c r="B46" s="38">
        <v>21.5</v>
      </c>
      <c r="C46" s="39">
        <v>1</v>
      </c>
      <c r="D46" s="40" t="s">
        <v>100</v>
      </c>
      <c r="E46" s="27" t="str">
        <f t="shared" si="0"/>
        <v/>
      </c>
    </row>
    <row r="47" spans="2:12" x14ac:dyDescent="0.2">
      <c r="B47" s="38">
        <v>22</v>
      </c>
      <c r="C47" s="39">
        <v>1</v>
      </c>
      <c r="D47" s="40" t="s">
        <v>100</v>
      </c>
      <c r="E47" s="27" t="str">
        <f t="shared" si="0"/>
        <v/>
      </c>
    </row>
    <row r="48" spans="2:12" x14ac:dyDescent="0.2">
      <c r="B48" s="38">
        <v>22.5</v>
      </c>
      <c r="C48" s="39">
        <v>1</v>
      </c>
      <c r="D48" s="40" t="s">
        <v>100</v>
      </c>
      <c r="E48" s="27" t="str">
        <f t="shared" si="0"/>
        <v/>
      </c>
    </row>
    <row r="49" spans="2:5" x14ac:dyDescent="0.2">
      <c r="B49" s="38">
        <v>23</v>
      </c>
      <c r="C49" s="39">
        <v>1</v>
      </c>
      <c r="D49" s="40" t="s">
        <v>100</v>
      </c>
      <c r="E49" s="27" t="str">
        <f t="shared" si="0"/>
        <v/>
      </c>
    </row>
    <row r="50" spans="2:5" x14ac:dyDescent="0.2">
      <c r="B50" s="38">
        <v>23.5</v>
      </c>
      <c r="C50" s="39">
        <v>1</v>
      </c>
      <c r="D50" s="40" t="s">
        <v>100</v>
      </c>
      <c r="E50" s="27" t="str">
        <f t="shared" si="0"/>
        <v/>
      </c>
    </row>
    <row r="51" spans="2:5" x14ac:dyDescent="0.2">
      <c r="B51" s="38">
        <v>24</v>
      </c>
      <c r="C51" s="39">
        <v>1</v>
      </c>
      <c r="D51" s="40" t="s">
        <v>100</v>
      </c>
      <c r="E51" s="27" t="str">
        <f>IF(AND($C51=$C52,$C52&lt;$C53),"+",IF($C51&lt;$C52,"++",IF(AND($C51=$C50,$C50&gt;$C49),"-",IF($C51&gt;$C50,"--",""))))</f>
        <v/>
      </c>
    </row>
    <row r="52" spans="2:5" x14ac:dyDescent="0.2">
      <c r="B52" s="38">
        <v>24.5</v>
      </c>
      <c r="C52" s="39">
        <v>1</v>
      </c>
      <c r="D52" s="40" t="s">
        <v>100</v>
      </c>
      <c r="E52" s="27" t="str">
        <f t="shared" ref="E52:E115" si="1">IF(AND($C52=$C53,$C53&lt;$C54),"+",IF($C52&lt;$C53,"++",IF(AND($C52=$C51,$C51&gt;$C50),"-",IF($C52&gt;$C51,"--",""))))</f>
        <v/>
      </c>
    </row>
    <row r="53" spans="2:5" x14ac:dyDescent="0.2">
      <c r="B53" s="38">
        <v>25</v>
      </c>
      <c r="C53" s="39">
        <v>1</v>
      </c>
      <c r="D53" s="41" t="s">
        <v>100</v>
      </c>
      <c r="E53" s="27" t="str">
        <f t="shared" si="1"/>
        <v/>
      </c>
    </row>
    <row r="54" spans="2:5" x14ac:dyDescent="0.2">
      <c r="B54" s="38">
        <v>25.5</v>
      </c>
      <c r="C54" s="39">
        <v>1</v>
      </c>
      <c r="D54" s="41" t="s">
        <v>100</v>
      </c>
      <c r="E54" s="27" t="str">
        <f t="shared" si="1"/>
        <v/>
      </c>
    </row>
    <row r="55" spans="2:5" x14ac:dyDescent="0.2">
      <c r="B55" s="38">
        <v>26</v>
      </c>
      <c r="C55" s="39">
        <v>1</v>
      </c>
      <c r="D55" s="41" t="s">
        <v>100</v>
      </c>
      <c r="E55" s="27" t="str">
        <f t="shared" si="1"/>
        <v>+</v>
      </c>
    </row>
    <row r="56" spans="2:5" x14ac:dyDescent="0.2">
      <c r="B56" s="38">
        <v>26.5</v>
      </c>
      <c r="C56" s="39">
        <v>1</v>
      </c>
      <c r="D56" s="41" t="s">
        <v>100</v>
      </c>
      <c r="E56" s="27" t="str">
        <f t="shared" si="1"/>
        <v>++</v>
      </c>
    </row>
    <row r="57" spans="2:5" x14ac:dyDescent="0.2">
      <c r="B57" s="38">
        <v>27</v>
      </c>
      <c r="C57" s="39">
        <v>2</v>
      </c>
      <c r="D57" s="41" t="s">
        <v>101</v>
      </c>
      <c r="E57" s="27" t="str">
        <f t="shared" si="1"/>
        <v>--</v>
      </c>
    </row>
    <row r="58" spans="2:5" x14ac:dyDescent="0.2">
      <c r="B58" s="38">
        <v>27.5</v>
      </c>
      <c r="C58" s="39">
        <v>2</v>
      </c>
      <c r="D58" s="41" t="s">
        <v>101</v>
      </c>
      <c r="E58" s="27" t="str">
        <f t="shared" si="1"/>
        <v>-</v>
      </c>
    </row>
    <row r="59" spans="2:5" x14ac:dyDescent="0.2">
      <c r="B59" s="38">
        <v>28</v>
      </c>
      <c r="C59" s="39">
        <v>2</v>
      </c>
      <c r="D59" s="41" t="s">
        <v>101</v>
      </c>
      <c r="E59" s="27" t="str">
        <f t="shared" si="1"/>
        <v/>
      </c>
    </row>
    <row r="60" spans="2:5" x14ac:dyDescent="0.2">
      <c r="B60" s="38">
        <v>28.5</v>
      </c>
      <c r="C60" s="39">
        <v>2</v>
      </c>
      <c r="D60" s="41" t="s">
        <v>101</v>
      </c>
      <c r="E60" s="27" t="str">
        <f t="shared" si="1"/>
        <v/>
      </c>
    </row>
    <row r="61" spans="2:5" x14ac:dyDescent="0.2">
      <c r="B61" s="38">
        <v>29</v>
      </c>
      <c r="C61" s="39">
        <v>2</v>
      </c>
      <c r="D61" s="41" t="s">
        <v>101</v>
      </c>
      <c r="E61" s="27" t="str">
        <f t="shared" si="1"/>
        <v/>
      </c>
    </row>
    <row r="62" spans="2:5" x14ac:dyDescent="0.2">
      <c r="B62" s="38">
        <v>29.5</v>
      </c>
      <c r="C62" s="39">
        <v>2</v>
      </c>
      <c r="D62" s="41" t="s">
        <v>101</v>
      </c>
      <c r="E62" s="27" t="str">
        <f t="shared" si="1"/>
        <v/>
      </c>
    </row>
    <row r="63" spans="2:5" x14ac:dyDescent="0.2">
      <c r="B63" s="38">
        <v>30</v>
      </c>
      <c r="C63" s="39">
        <v>2</v>
      </c>
      <c r="D63" s="41" t="s">
        <v>101</v>
      </c>
      <c r="E63" s="27" t="str">
        <f t="shared" si="1"/>
        <v/>
      </c>
    </row>
    <row r="64" spans="2:5" x14ac:dyDescent="0.2">
      <c r="B64" s="38">
        <v>30.5</v>
      </c>
      <c r="C64" s="39">
        <v>2</v>
      </c>
      <c r="D64" s="41" t="s">
        <v>101</v>
      </c>
      <c r="E64" s="27" t="str">
        <f t="shared" si="1"/>
        <v/>
      </c>
    </row>
    <row r="65" spans="2:5" x14ac:dyDescent="0.2">
      <c r="B65" s="38">
        <v>31</v>
      </c>
      <c r="C65" s="39">
        <v>2</v>
      </c>
      <c r="D65" s="41" t="s">
        <v>101</v>
      </c>
      <c r="E65" s="27" t="str">
        <f t="shared" si="1"/>
        <v/>
      </c>
    </row>
    <row r="66" spans="2:5" x14ac:dyDescent="0.2">
      <c r="B66" s="38">
        <v>31.5</v>
      </c>
      <c r="C66" s="39">
        <v>2</v>
      </c>
      <c r="D66" s="41" t="s">
        <v>101</v>
      </c>
      <c r="E66" s="27" t="str">
        <f t="shared" si="1"/>
        <v/>
      </c>
    </row>
    <row r="67" spans="2:5" x14ac:dyDescent="0.2">
      <c r="B67" s="38">
        <v>32</v>
      </c>
      <c r="C67" s="39">
        <v>2</v>
      </c>
      <c r="D67" s="41" t="s">
        <v>101</v>
      </c>
      <c r="E67" s="27" t="str">
        <f t="shared" si="1"/>
        <v>+</v>
      </c>
    </row>
    <row r="68" spans="2:5" x14ac:dyDescent="0.2">
      <c r="B68" s="38">
        <v>32.5</v>
      </c>
      <c r="C68" s="39">
        <v>2</v>
      </c>
      <c r="D68" s="41" t="s">
        <v>101</v>
      </c>
      <c r="E68" s="27" t="str">
        <f t="shared" si="1"/>
        <v>++</v>
      </c>
    </row>
    <row r="69" spans="2:5" x14ac:dyDescent="0.2">
      <c r="B69" s="38">
        <v>33</v>
      </c>
      <c r="C69" s="39">
        <v>3</v>
      </c>
      <c r="D69" s="40" t="s">
        <v>102</v>
      </c>
      <c r="E69" s="27" t="str">
        <f t="shared" si="1"/>
        <v>--</v>
      </c>
    </row>
    <row r="70" spans="2:5" x14ac:dyDescent="0.2">
      <c r="B70" s="38">
        <v>33.5</v>
      </c>
      <c r="C70" s="39">
        <v>3</v>
      </c>
      <c r="D70" s="40" t="s">
        <v>102</v>
      </c>
      <c r="E70" s="27" t="str">
        <f t="shared" si="1"/>
        <v>-</v>
      </c>
    </row>
    <row r="71" spans="2:5" x14ac:dyDescent="0.2">
      <c r="B71" s="38">
        <v>34</v>
      </c>
      <c r="C71" s="39">
        <v>3</v>
      </c>
      <c r="D71" s="40" t="s">
        <v>102</v>
      </c>
      <c r="E71" s="27" t="str">
        <f t="shared" si="1"/>
        <v/>
      </c>
    </row>
    <row r="72" spans="2:5" x14ac:dyDescent="0.2">
      <c r="B72" s="38">
        <v>34.5</v>
      </c>
      <c r="C72" s="39">
        <v>3</v>
      </c>
      <c r="D72" s="40" t="s">
        <v>102</v>
      </c>
      <c r="E72" s="27" t="str">
        <f t="shared" si="1"/>
        <v/>
      </c>
    </row>
    <row r="73" spans="2:5" x14ac:dyDescent="0.2">
      <c r="B73" s="38">
        <v>35</v>
      </c>
      <c r="C73" s="39">
        <v>3</v>
      </c>
      <c r="D73" s="40" t="s">
        <v>102</v>
      </c>
      <c r="E73" s="27" t="str">
        <f t="shared" si="1"/>
        <v/>
      </c>
    </row>
    <row r="74" spans="2:5" x14ac:dyDescent="0.2">
      <c r="B74" s="38">
        <v>35.5</v>
      </c>
      <c r="C74" s="39">
        <v>3</v>
      </c>
      <c r="D74" s="40" t="s">
        <v>102</v>
      </c>
      <c r="E74" s="27" t="str">
        <f t="shared" si="1"/>
        <v/>
      </c>
    </row>
    <row r="75" spans="2:5" x14ac:dyDescent="0.2">
      <c r="B75" s="38">
        <v>36</v>
      </c>
      <c r="C75" s="39">
        <v>3</v>
      </c>
      <c r="D75" s="40" t="s">
        <v>102</v>
      </c>
      <c r="E75" s="27" t="str">
        <f t="shared" si="1"/>
        <v/>
      </c>
    </row>
    <row r="76" spans="2:5" x14ac:dyDescent="0.2">
      <c r="B76" s="38">
        <v>36.5</v>
      </c>
      <c r="C76" s="39">
        <v>3</v>
      </c>
      <c r="D76" s="40" t="s">
        <v>102</v>
      </c>
      <c r="E76" s="27" t="str">
        <f t="shared" si="1"/>
        <v/>
      </c>
    </row>
    <row r="77" spans="2:5" x14ac:dyDescent="0.2">
      <c r="B77" s="38">
        <v>37</v>
      </c>
      <c r="C77" s="39">
        <v>3</v>
      </c>
      <c r="D77" s="40" t="s">
        <v>102</v>
      </c>
      <c r="E77" s="27" t="str">
        <f t="shared" si="1"/>
        <v/>
      </c>
    </row>
    <row r="78" spans="2:5" x14ac:dyDescent="0.2">
      <c r="B78" s="38">
        <v>37.5</v>
      </c>
      <c r="C78" s="39">
        <v>3</v>
      </c>
      <c r="D78" s="40" t="s">
        <v>102</v>
      </c>
      <c r="E78" s="27" t="str">
        <f t="shared" si="1"/>
        <v/>
      </c>
    </row>
    <row r="79" spans="2:5" x14ac:dyDescent="0.2">
      <c r="B79" s="38">
        <v>38</v>
      </c>
      <c r="C79" s="39">
        <v>3</v>
      </c>
      <c r="D79" s="40" t="s">
        <v>102</v>
      </c>
      <c r="E79" s="27" t="str">
        <f t="shared" si="1"/>
        <v/>
      </c>
    </row>
    <row r="80" spans="2:5" x14ac:dyDescent="0.2">
      <c r="B80" s="38">
        <v>38.5</v>
      </c>
      <c r="C80" s="39">
        <v>3</v>
      </c>
      <c r="D80" s="40" t="s">
        <v>102</v>
      </c>
      <c r="E80" s="27" t="str">
        <f t="shared" si="1"/>
        <v/>
      </c>
    </row>
    <row r="81" spans="2:5" x14ac:dyDescent="0.2">
      <c r="B81" s="38">
        <v>39</v>
      </c>
      <c r="C81" s="39">
        <v>3</v>
      </c>
      <c r="D81" s="40" t="s">
        <v>102</v>
      </c>
      <c r="E81" s="27" t="str">
        <f t="shared" si="1"/>
        <v>+</v>
      </c>
    </row>
    <row r="82" spans="2:5" x14ac:dyDescent="0.2">
      <c r="B82" s="38">
        <v>39.5</v>
      </c>
      <c r="C82" s="39">
        <v>3</v>
      </c>
      <c r="D82" s="40" t="s">
        <v>102</v>
      </c>
      <c r="E82" s="27" t="str">
        <f t="shared" si="1"/>
        <v>++</v>
      </c>
    </row>
    <row r="83" spans="2:5" x14ac:dyDescent="0.2">
      <c r="B83" s="38">
        <v>40</v>
      </c>
      <c r="C83" s="39">
        <v>4</v>
      </c>
      <c r="D83" s="40" t="s">
        <v>103</v>
      </c>
      <c r="E83" s="27" t="str">
        <f t="shared" si="1"/>
        <v>--</v>
      </c>
    </row>
    <row r="84" spans="2:5" x14ac:dyDescent="0.2">
      <c r="B84" s="38">
        <v>40.5</v>
      </c>
      <c r="C84" s="39">
        <v>4</v>
      </c>
      <c r="D84" s="40" t="s">
        <v>103</v>
      </c>
      <c r="E84" s="27" t="str">
        <f t="shared" si="1"/>
        <v>-</v>
      </c>
    </row>
    <row r="85" spans="2:5" x14ac:dyDescent="0.2">
      <c r="B85" s="38">
        <v>41</v>
      </c>
      <c r="C85" s="39">
        <v>4</v>
      </c>
      <c r="D85" s="42" t="s">
        <v>103</v>
      </c>
      <c r="E85" s="27" t="str">
        <f t="shared" si="1"/>
        <v/>
      </c>
    </row>
    <row r="86" spans="2:5" x14ac:dyDescent="0.2">
      <c r="B86" s="38">
        <v>41.5</v>
      </c>
      <c r="C86" s="39">
        <v>4</v>
      </c>
      <c r="D86" s="42" t="s">
        <v>103</v>
      </c>
      <c r="E86" s="27" t="str">
        <f t="shared" si="1"/>
        <v/>
      </c>
    </row>
    <row r="87" spans="2:5" x14ac:dyDescent="0.2">
      <c r="B87" s="38">
        <v>42</v>
      </c>
      <c r="C87" s="39">
        <v>4</v>
      </c>
      <c r="D87" s="42" t="s">
        <v>103</v>
      </c>
      <c r="E87" s="27" t="str">
        <f t="shared" si="1"/>
        <v/>
      </c>
    </row>
    <row r="88" spans="2:5" x14ac:dyDescent="0.2">
      <c r="B88" s="38">
        <v>42.5</v>
      </c>
      <c r="C88" s="39">
        <v>4</v>
      </c>
      <c r="D88" s="42" t="s">
        <v>103</v>
      </c>
      <c r="E88" s="27" t="str">
        <f t="shared" si="1"/>
        <v/>
      </c>
    </row>
    <row r="89" spans="2:5" x14ac:dyDescent="0.2">
      <c r="B89" s="38">
        <v>43</v>
      </c>
      <c r="C89" s="39">
        <v>4</v>
      </c>
      <c r="D89" s="42" t="s">
        <v>103</v>
      </c>
      <c r="E89" s="27" t="str">
        <f t="shared" si="1"/>
        <v/>
      </c>
    </row>
    <row r="90" spans="2:5" x14ac:dyDescent="0.2">
      <c r="B90" s="38">
        <v>43.5</v>
      </c>
      <c r="C90" s="39">
        <v>4</v>
      </c>
      <c r="D90" s="42" t="s">
        <v>103</v>
      </c>
      <c r="E90" s="27" t="str">
        <f t="shared" si="1"/>
        <v/>
      </c>
    </row>
    <row r="91" spans="2:5" x14ac:dyDescent="0.2">
      <c r="B91" s="38">
        <v>44</v>
      </c>
      <c r="C91" s="39">
        <v>4</v>
      </c>
      <c r="D91" s="42" t="s">
        <v>103</v>
      </c>
      <c r="E91" s="27" t="str">
        <f t="shared" si="1"/>
        <v>+</v>
      </c>
    </row>
    <row r="92" spans="2:5" x14ac:dyDescent="0.2">
      <c r="B92" s="38">
        <v>44.5</v>
      </c>
      <c r="C92" s="39">
        <v>4</v>
      </c>
      <c r="D92" s="42" t="s">
        <v>103</v>
      </c>
      <c r="E92" s="27" t="str">
        <f t="shared" si="1"/>
        <v>++</v>
      </c>
    </row>
    <row r="93" spans="2:5" x14ac:dyDescent="0.2">
      <c r="B93" s="38">
        <v>45</v>
      </c>
      <c r="C93" s="39">
        <v>5</v>
      </c>
      <c r="D93" s="42" t="s">
        <v>104</v>
      </c>
      <c r="E93" s="27" t="str">
        <f t="shared" si="1"/>
        <v>--</v>
      </c>
    </row>
    <row r="94" spans="2:5" x14ac:dyDescent="0.2">
      <c r="B94" s="38">
        <v>45.5</v>
      </c>
      <c r="C94" s="39">
        <v>5</v>
      </c>
      <c r="D94" s="42" t="s">
        <v>104</v>
      </c>
      <c r="E94" s="27" t="str">
        <f t="shared" si="1"/>
        <v>-</v>
      </c>
    </row>
    <row r="95" spans="2:5" x14ac:dyDescent="0.2">
      <c r="B95" s="38">
        <v>46</v>
      </c>
      <c r="C95" s="39">
        <v>5</v>
      </c>
      <c r="D95" s="42" t="s">
        <v>104</v>
      </c>
      <c r="E95" s="27" t="str">
        <f t="shared" si="1"/>
        <v/>
      </c>
    </row>
    <row r="96" spans="2:5" x14ac:dyDescent="0.2">
      <c r="B96" s="38">
        <v>46.5</v>
      </c>
      <c r="C96" s="39">
        <v>5</v>
      </c>
      <c r="D96" s="42" t="s">
        <v>104</v>
      </c>
      <c r="E96" s="27" t="str">
        <f t="shared" si="1"/>
        <v/>
      </c>
    </row>
    <row r="97" spans="2:5" x14ac:dyDescent="0.2">
      <c r="B97" s="38">
        <v>47</v>
      </c>
      <c r="C97" s="39">
        <v>5</v>
      </c>
      <c r="D97" s="42" t="s">
        <v>104</v>
      </c>
      <c r="E97" s="27" t="str">
        <f t="shared" si="1"/>
        <v/>
      </c>
    </row>
    <row r="98" spans="2:5" x14ac:dyDescent="0.2">
      <c r="B98" s="38">
        <v>47.5</v>
      </c>
      <c r="C98" s="39">
        <v>5</v>
      </c>
      <c r="D98" s="42" t="s">
        <v>104</v>
      </c>
      <c r="E98" s="27" t="str">
        <f t="shared" si="1"/>
        <v/>
      </c>
    </row>
    <row r="99" spans="2:5" x14ac:dyDescent="0.2">
      <c r="B99" s="38">
        <v>48</v>
      </c>
      <c r="C99" s="39">
        <v>5</v>
      </c>
      <c r="D99" s="42" t="s">
        <v>104</v>
      </c>
      <c r="E99" s="27" t="str">
        <f t="shared" si="1"/>
        <v/>
      </c>
    </row>
    <row r="100" spans="2:5" x14ac:dyDescent="0.2">
      <c r="B100" s="38">
        <v>48.5</v>
      </c>
      <c r="C100" s="39">
        <v>5</v>
      </c>
      <c r="D100" s="42" t="s">
        <v>104</v>
      </c>
      <c r="E100" s="27" t="str">
        <f t="shared" si="1"/>
        <v/>
      </c>
    </row>
    <row r="101" spans="2:5" x14ac:dyDescent="0.2">
      <c r="B101" s="38">
        <v>49</v>
      </c>
      <c r="C101" s="39">
        <v>5</v>
      </c>
      <c r="D101" s="41" t="s">
        <v>104</v>
      </c>
      <c r="E101" s="27" t="str">
        <f t="shared" si="1"/>
        <v>+</v>
      </c>
    </row>
    <row r="102" spans="2:5" x14ac:dyDescent="0.2">
      <c r="B102" s="38">
        <v>49.5</v>
      </c>
      <c r="C102" s="39">
        <v>5</v>
      </c>
      <c r="D102" s="41" t="s">
        <v>104</v>
      </c>
      <c r="E102" s="27" t="str">
        <f t="shared" si="1"/>
        <v>++</v>
      </c>
    </row>
    <row r="103" spans="2:5" x14ac:dyDescent="0.2">
      <c r="B103" s="38">
        <v>50</v>
      </c>
      <c r="C103" s="39">
        <v>6</v>
      </c>
      <c r="D103" s="41" t="s">
        <v>105</v>
      </c>
      <c r="E103" s="27" t="str">
        <f t="shared" si="1"/>
        <v>--</v>
      </c>
    </row>
    <row r="104" spans="2:5" x14ac:dyDescent="0.2">
      <c r="B104" s="38">
        <v>50.5</v>
      </c>
      <c r="C104" s="39">
        <v>6</v>
      </c>
      <c r="D104" s="41" t="s">
        <v>105</v>
      </c>
      <c r="E104" s="27" t="str">
        <f t="shared" si="1"/>
        <v>-</v>
      </c>
    </row>
    <row r="105" spans="2:5" x14ac:dyDescent="0.2">
      <c r="B105" s="38">
        <v>51</v>
      </c>
      <c r="C105" s="39">
        <v>6</v>
      </c>
      <c r="D105" s="41" t="s">
        <v>105</v>
      </c>
      <c r="E105" s="27" t="str">
        <f t="shared" si="1"/>
        <v/>
      </c>
    </row>
    <row r="106" spans="2:5" x14ac:dyDescent="0.2">
      <c r="B106" s="38">
        <v>51.5</v>
      </c>
      <c r="C106" s="39">
        <v>6</v>
      </c>
      <c r="D106" s="41" t="s">
        <v>105</v>
      </c>
      <c r="E106" s="27" t="str">
        <f t="shared" si="1"/>
        <v/>
      </c>
    </row>
    <row r="107" spans="2:5" x14ac:dyDescent="0.2">
      <c r="B107" s="38">
        <v>52</v>
      </c>
      <c r="C107" s="39">
        <v>6</v>
      </c>
      <c r="D107" s="41" t="s">
        <v>105</v>
      </c>
      <c r="E107" s="27" t="str">
        <f t="shared" si="1"/>
        <v/>
      </c>
    </row>
    <row r="108" spans="2:5" x14ac:dyDescent="0.2">
      <c r="B108" s="38">
        <v>52.5</v>
      </c>
      <c r="C108" s="39">
        <v>6</v>
      </c>
      <c r="D108" s="41" t="s">
        <v>105</v>
      </c>
      <c r="E108" s="27" t="str">
        <f t="shared" si="1"/>
        <v/>
      </c>
    </row>
    <row r="109" spans="2:5" x14ac:dyDescent="0.2">
      <c r="B109" s="38">
        <v>53</v>
      </c>
      <c r="C109" s="39">
        <v>6</v>
      </c>
      <c r="D109" s="41" t="s">
        <v>105</v>
      </c>
      <c r="E109" s="27" t="str">
        <f t="shared" si="1"/>
        <v/>
      </c>
    </row>
    <row r="110" spans="2:5" x14ac:dyDescent="0.2">
      <c r="B110" s="38">
        <v>53.5</v>
      </c>
      <c r="C110" s="39">
        <v>6</v>
      </c>
      <c r="D110" s="41" t="s">
        <v>105</v>
      </c>
      <c r="E110" s="27" t="str">
        <f t="shared" si="1"/>
        <v/>
      </c>
    </row>
    <row r="111" spans="2:5" x14ac:dyDescent="0.2">
      <c r="B111" s="38">
        <v>54</v>
      </c>
      <c r="C111" s="39">
        <v>6</v>
      </c>
      <c r="D111" s="41" t="s">
        <v>105</v>
      </c>
      <c r="E111" s="27" t="str">
        <f t="shared" si="1"/>
        <v>+</v>
      </c>
    </row>
    <row r="112" spans="2:5" x14ac:dyDescent="0.2">
      <c r="B112" s="38">
        <v>54.5</v>
      </c>
      <c r="C112" s="39">
        <v>6</v>
      </c>
      <c r="D112" s="41" t="s">
        <v>105</v>
      </c>
      <c r="E112" s="27" t="str">
        <f t="shared" si="1"/>
        <v>++</v>
      </c>
    </row>
    <row r="113" spans="2:5" x14ac:dyDescent="0.2">
      <c r="B113" s="38">
        <v>55</v>
      </c>
      <c r="C113" s="39">
        <v>7</v>
      </c>
      <c r="D113" s="40" t="s">
        <v>106</v>
      </c>
      <c r="E113" s="27" t="str">
        <f t="shared" si="1"/>
        <v>--</v>
      </c>
    </row>
    <row r="114" spans="2:5" x14ac:dyDescent="0.2">
      <c r="B114" s="38">
        <v>55.5</v>
      </c>
      <c r="C114" s="39">
        <v>7</v>
      </c>
      <c r="D114" s="40" t="s">
        <v>106</v>
      </c>
      <c r="E114" s="27" t="str">
        <f t="shared" si="1"/>
        <v>-</v>
      </c>
    </row>
    <row r="115" spans="2:5" x14ac:dyDescent="0.2">
      <c r="B115" s="38">
        <v>56</v>
      </c>
      <c r="C115" s="39">
        <v>7</v>
      </c>
      <c r="D115" s="40" t="s">
        <v>106</v>
      </c>
      <c r="E115" s="27" t="str">
        <f t="shared" si="1"/>
        <v/>
      </c>
    </row>
    <row r="116" spans="2:5" x14ac:dyDescent="0.2">
      <c r="B116" s="38">
        <v>56.5</v>
      </c>
      <c r="C116" s="39">
        <v>7</v>
      </c>
      <c r="D116" s="40" t="s">
        <v>106</v>
      </c>
      <c r="E116" s="27" t="str">
        <f t="shared" ref="E116:E179" si="2">IF(AND($C116=$C117,$C117&lt;$C118),"+",IF($C116&lt;$C117,"++",IF(AND($C116=$C115,$C115&gt;$C114),"-",IF($C116&gt;$C115,"--",""))))</f>
        <v/>
      </c>
    </row>
    <row r="117" spans="2:5" x14ac:dyDescent="0.2">
      <c r="B117" s="38">
        <v>57</v>
      </c>
      <c r="C117" s="39">
        <v>7</v>
      </c>
      <c r="D117" s="40" t="s">
        <v>106</v>
      </c>
      <c r="E117" s="27" t="str">
        <f t="shared" si="2"/>
        <v/>
      </c>
    </row>
    <row r="118" spans="2:5" x14ac:dyDescent="0.2">
      <c r="B118" s="38">
        <v>57.5</v>
      </c>
      <c r="C118" s="39">
        <v>7</v>
      </c>
      <c r="D118" s="40" t="s">
        <v>106</v>
      </c>
      <c r="E118" s="27" t="str">
        <f t="shared" si="2"/>
        <v/>
      </c>
    </row>
    <row r="119" spans="2:5" x14ac:dyDescent="0.2">
      <c r="B119" s="38">
        <v>58</v>
      </c>
      <c r="C119" s="39">
        <v>7</v>
      </c>
      <c r="D119" s="40" t="s">
        <v>106</v>
      </c>
      <c r="E119" s="27" t="str">
        <f t="shared" si="2"/>
        <v/>
      </c>
    </row>
    <row r="120" spans="2:5" x14ac:dyDescent="0.2">
      <c r="B120" s="38">
        <v>58.5</v>
      </c>
      <c r="C120" s="39">
        <v>7</v>
      </c>
      <c r="D120" s="40" t="s">
        <v>106</v>
      </c>
      <c r="E120" s="27" t="str">
        <f t="shared" si="2"/>
        <v/>
      </c>
    </row>
    <row r="121" spans="2:5" x14ac:dyDescent="0.2">
      <c r="B121" s="38">
        <v>59</v>
      </c>
      <c r="C121" s="39">
        <v>7</v>
      </c>
      <c r="D121" s="40" t="s">
        <v>106</v>
      </c>
      <c r="E121" s="27" t="str">
        <f t="shared" si="2"/>
        <v>+</v>
      </c>
    </row>
    <row r="122" spans="2:5" x14ac:dyDescent="0.2">
      <c r="B122" s="38">
        <v>59.5</v>
      </c>
      <c r="C122" s="39">
        <v>7</v>
      </c>
      <c r="D122" s="40" t="s">
        <v>106</v>
      </c>
      <c r="E122" s="27" t="str">
        <f t="shared" si="2"/>
        <v>++</v>
      </c>
    </row>
    <row r="123" spans="2:5" x14ac:dyDescent="0.2">
      <c r="B123" s="38">
        <v>60</v>
      </c>
      <c r="C123" s="39">
        <v>8</v>
      </c>
      <c r="D123" s="40" t="s">
        <v>18</v>
      </c>
      <c r="E123" s="27" t="str">
        <f t="shared" si="2"/>
        <v>--</v>
      </c>
    </row>
    <row r="124" spans="2:5" x14ac:dyDescent="0.2">
      <c r="B124" s="38">
        <v>60.5</v>
      </c>
      <c r="C124" s="39">
        <v>8</v>
      </c>
      <c r="D124" s="40" t="s">
        <v>18</v>
      </c>
      <c r="E124" s="27" t="str">
        <f t="shared" si="2"/>
        <v>-</v>
      </c>
    </row>
    <row r="125" spans="2:5" x14ac:dyDescent="0.2">
      <c r="B125" s="38">
        <v>61</v>
      </c>
      <c r="C125" s="39">
        <v>8</v>
      </c>
      <c r="D125" s="42" t="s">
        <v>18</v>
      </c>
      <c r="E125" s="27" t="str">
        <f t="shared" si="2"/>
        <v/>
      </c>
    </row>
    <row r="126" spans="2:5" x14ac:dyDescent="0.2">
      <c r="B126" s="38">
        <v>61.5</v>
      </c>
      <c r="C126" s="39">
        <v>8</v>
      </c>
      <c r="D126" s="42" t="s">
        <v>18</v>
      </c>
      <c r="E126" s="27" t="str">
        <f t="shared" si="2"/>
        <v/>
      </c>
    </row>
    <row r="127" spans="2:5" x14ac:dyDescent="0.2">
      <c r="B127" s="38">
        <v>62</v>
      </c>
      <c r="C127" s="39">
        <v>8</v>
      </c>
      <c r="D127" s="42" t="s">
        <v>18</v>
      </c>
      <c r="E127" s="27" t="str">
        <f t="shared" si="2"/>
        <v/>
      </c>
    </row>
    <row r="128" spans="2:5" x14ac:dyDescent="0.2">
      <c r="B128" s="38">
        <v>62.5</v>
      </c>
      <c r="C128" s="39">
        <v>8</v>
      </c>
      <c r="D128" s="42" t="s">
        <v>18</v>
      </c>
      <c r="E128" s="27" t="str">
        <f t="shared" si="2"/>
        <v/>
      </c>
    </row>
    <row r="129" spans="2:5" x14ac:dyDescent="0.2">
      <c r="B129" s="38">
        <v>63</v>
      </c>
      <c r="C129" s="39">
        <v>8</v>
      </c>
      <c r="D129" s="42" t="s">
        <v>18</v>
      </c>
      <c r="E129" s="27" t="str">
        <f t="shared" si="2"/>
        <v/>
      </c>
    </row>
    <row r="130" spans="2:5" x14ac:dyDescent="0.2">
      <c r="B130" s="38">
        <v>63.5</v>
      </c>
      <c r="C130" s="39">
        <v>8</v>
      </c>
      <c r="D130" s="42" t="s">
        <v>18</v>
      </c>
      <c r="E130" s="27" t="str">
        <f t="shared" si="2"/>
        <v/>
      </c>
    </row>
    <row r="131" spans="2:5" x14ac:dyDescent="0.2">
      <c r="B131" s="38">
        <v>64</v>
      </c>
      <c r="C131" s="39">
        <v>8</v>
      </c>
      <c r="D131" s="42" t="s">
        <v>18</v>
      </c>
      <c r="E131" s="27" t="str">
        <f t="shared" si="2"/>
        <v>+</v>
      </c>
    </row>
    <row r="132" spans="2:5" x14ac:dyDescent="0.2">
      <c r="B132" s="38">
        <v>64.5</v>
      </c>
      <c r="C132" s="39">
        <v>8</v>
      </c>
      <c r="D132" s="42" t="s">
        <v>18</v>
      </c>
      <c r="E132" s="27" t="str">
        <f t="shared" si="2"/>
        <v>++</v>
      </c>
    </row>
    <row r="133" spans="2:5" x14ac:dyDescent="0.2">
      <c r="B133" s="38">
        <v>65</v>
      </c>
      <c r="C133" s="39">
        <v>9</v>
      </c>
      <c r="D133" s="42" t="s">
        <v>107</v>
      </c>
      <c r="E133" s="27" t="str">
        <f t="shared" si="2"/>
        <v>--</v>
      </c>
    </row>
    <row r="134" spans="2:5" x14ac:dyDescent="0.2">
      <c r="B134" s="38">
        <v>65.5</v>
      </c>
      <c r="C134" s="39">
        <v>9</v>
      </c>
      <c r="D134" s="42" t="s">
        <v>107</v>
      </c>
      <c r="E134" s="27" t="str">
        <f t="shared" si="2"/>
        <v>-</v>
      </c>
    </row>
    <row r="135" spans="2:5" x14ac:dyDescent="0.2">
      <c r="B135" s="38">
        <v>66</v>
      </c>
      <c r="C135" s="39">
        <v>9</v>
      </c>
      <c r="D135" s="42" t="s">
        <v>107</v>
      </c>
      <c r="E135" s="27" t="str">
        <f t="shared" si="2"/>
        <v/>
      </c>
    </row>
    <row r="136" spans="2:5" x14ac:dyDescent="0.2">
      <c r="B136" s="38">
        <v>66.5</v>
      </c>
      <c r="C136" s="39">
        <v>9</v>
      </c>
      <c r="D136" s="42" t="s">
        <v>107</v>
      </c>
      <c r="E136" s="27" t="str">
        <f t="shared" si="2"/>
        <v/>
      </c>
    </row>
    <row r="137" spans="2:5" x14ac:dyDescent="0.2">
      <c r="B137" s="38">
        <v>67</v>
      </c>
      <c r="C137" s="39">
        <v>9</v>
      </c>
      <c r="D137" s="41" t="s">
        <v>107</v>
      </c>
      <c r="E137" s="27" t="str">
        <f t="shared" si="2"/>
        <v/>
      </c>
    </row>
    <row r="138" spans="2:5" x14ac:dyDescent="0.2">
      <c r="B138" s="38">
        <v>67.5</v>
      </c>
      <c r="C138" s="39">
        <v>9</v>
      </c>
      <c r="D138" s="41" t="s">
        <v>107</v>
      </c>
      <c r="E138" s="27" t="str">
        <f t="shared" si="2"/>
        <v/>
      </c>
    </row>
    <row r="139" spans="2:5" x14ac:dyDescent="0.2">
      <c r="B139" s="38">
        <v>68</v>
      </c>
      <c r="C139" s="39">
        <v>9</v>
      </c>
      <c r="D139" s="41" t="s">
        <v>107</v>
      </c>
      <c r="E139" s="27" t="str">
        <f t="shared" si="2"/>
        <v/>
      </c>
    </row>
    <row r="140" spans="2:5" x14ac:dyDescent="0.2">
      <c r="B140" s="38">
        <v>68.5</v>
      </c>
      <c r="C140" s="39">
        <v>9</v>
      </c>
      <c r="D140" s="41" t="s">
        <v>107</v>
      </c>
      <c r="E140" s="27" t="str">
        <f t="shared" si="2"/>
        <v/>
      </c>
    </row>
    <row r="141" spans="2:5" x14ac:dyDescent="0.2">
      <c r="B141" s="38">
        <v>69</v>
      </c>
      <c r="C141" s="39">
        <v>9</v>
      </c>
      <c r="D141" s="41" t="s">
        <v>107</v>
      </c>
      <c r="E141" s="27" t="str">
        <f t="shared" si="2"/>
        <v>+</v>
      </c>
    </row>
    <row r="142" spans="2:5" x14ac:dyDescent="0.2">
      <c r="B142" s="38">
        <v>69.5</v>
      </c>
      <c r="C142" s="39">
        <v>9</v>
      </c>
      <c r="D142" s="41" t="s">
        <v>107</v>
      </c>
      <c r="E142" s="27" t="str">
        <f t="shared" si="2"/>
        <v>++</v>
      </c>
    </row>
    <row r="143" spans="2:5" x14ac:dyDescent="0.2">
      <c r="B143" s="38">
        <v>70</v>
      </c>
      <c r="C143" s="39">
        <v>10</v>
      </c>
      <c r="D143" s="41" t="s">
        <v>108</v>
      </c>
      <c r="E143" s="27" t="str">
        <f t="shared" si="2"/>
        <v>--</v>
      </c>
    </row>
    <row r="144" spans="2:5" x14ac:dyDescent="0.2">
      <c r="B144" s="38">
        <v>70.5</v>
      </c>
      <c r="C144" s="39">
        <v>10</v>
      </c>
      <c r="D144" s="41" t="s">
        <v>108</v>
      </c>
      <c r="E144" s="27" t="str">
        <f t="shared" si="2"/>
        <v>-</v>
      </c>
    </row>
    <row r="145" spans="2:5" x14ac:dyDescent="0.2">
      <c r="B145" s="38">
        <v>71</v>
      </c>
      <c r="C145" s="39">
        <v>10</v>
      </c>
      <c r="D145" s="41" t="s">
        <v>108</v>
      </c>
      <c r="E145" s="27" t="str">
        <f t="shared" si="2"/>
        <v/>
      </c>
    </row>
    <row r="146" spans="2:5" x14ac:dyDescent="0.2">
      <c r="B146" s="38">
        <v>71.5</v>
      </c>
      <c r="C146" s="39">
        <v>10</v>
      </c>
      <c r="D146" s="41" t="s">
        <v>108</v>
      </c>
      <c r="E146" s="27" t="str">
        <f t="shared" si="2"/>
        <v/>
      </c>
    </row>
    <row r="147" spans="2:5" x14ac:dyDescent="0.2">
      <c r="B147" s="38">
        <v>72</v>
      </c>
      <c r="C147" s="39">
        <v>10</v>
      </c>
      <c r="D147" s="41" t="s">
        <v>108</v>
      </c>
      <c r="E147" s="27" t="str">
        <f t="shared" si="2"/>
        <v/>
      </c>
    </row>
    <row r="148" spans="2:5" x14ac:dyDescent="0.2">
      <c r="B148" s="38">
        <v>72.5</v>
      </c>
      <c r="C148" s="39">
        <v>10</v>
      </c>
      <c r="D148" s="41" t="s">
        <v>108</v>
      </c>
      <c r="E148" s="27" t="str">
        <f t="shared" si="2"/>
        <v/>
      </c>
    </row>
    <row r="149" spans="2:5" x14ac:dyDescent="0.2">
      <c r="B149" s="38">
        <v>73</v>
      </c>
      <c r="C149" s="39">
        <v>10</v>
      </c>
      <c r="D149" s="40" t="s">
        <v>108</v>
      </c>
      <c r="E149" s="27" t="str">
        <f t="shared" si="2"/>
        <v/>
      </c>
    </row>
    <row r="150" spans="2:5" x14ac:dyDescent="0.2">
      <c r="B150" s="38">
        <v>73.5</v>
      </c>
      <c r="C150" s="39">
        <v>10</v>
      </c>
      <c r="D150" s="40" t="s">
        <v>108</v>
      </c>
      <c r="E150" s="27" t="str">
        <f t="shared" si="2"/>
        <v/>
      </c>
    </row>
    <row r="151" spans="2:5" x14ac:dyDescent="0.2">
      <c r="B151" s="38">
        <v>74</v>
      </c>
      <c r="C151" s="39">
        <v>10</v>
      </c>
      <c r="D151" s="40" t="s">
        <v>108</v>
      </c>
      <c r="E151" s="27" t="str">
        <f t="shared" si="2"/>
        <v>+</v>
      </c>
    </row>
    <row r="152" spans="2:5" x14ac:dyDescent="0.2">
      <c r="B152" s="38">
        <v>74.5</v>
      </c>
      <c r="C152" s="39">
        <v>10</v>
      </c>
      <c r="D152" s="40" t="s">
        <v>108</v>
      </c>
      <c r="E152" s="27" t="str">
        <f t="shared" si="2"/>
        <v>++</v>
      </c>
    </row>
    <row r="153" spans="2:5" x14ac:dyDescent="0.2">
      <c r="B153" s="38">
        <v>75</v>
      </c>
      <c r="C153" s="39">
        <v>11</v>
      </c>
      <c r="D153" s="40" t="s">
        <v>17</v>
      </c>
      <c r="E153" s="27" t="str">
        <f t="shared" si="2"/>
        <v>--</v>
      </c>
    </row>
    <row r="154" spans="2:5" x14ac:dyDescent="0.2">
      <c r="B154" s="38">
        <v>75.5</v>
      </c>
      <c r="C154" s="39">
        <v>11</v>
      </c>
      <c r="D154" s="40" t="s">
        <v>17</v>
      </c>
      <c r="E154" s="27" t="str">
        <f t="shared" si="2"/>
        <v>-</v>
      </c>
    </row>
    <row r="155" spans="2:5" x14ac:dyDescent="0.2">
      <c r="B155" s="38">
        <v>76</v>
      </c>
      <c r="C155" s="39">
        <v>11</v>
      </c>
      <c r="D155" s="40" t="s">
        <v>17</v>
      </c>
      <c r="E155" s="27" t="str">
        <f t="shared" si="2"/>
        <v/>
      </c>
    </row>
    <row r="156" spans="2:5" x14ac:dyDescent="0.2">
      <c r="B156" s="38">
        <v>76.5</v>
      </c>
      <c r="C156" s="39">
        <v>11</v>
      </c>
      <c r="D156" s="40" t="s">
        <v>17</v>
      </c>
      <c r="E156" s="27" t="str">
        <f t="shared" si="2"/>
        <v/>
      </c>
    </row>
    <row r="157" spans="2:5" x14ac:dyDescent="0.2">
      <c r="B157" s="38">
        <v>77</v>
      </c>
      <c r="C157" s="39">
        <v>11</v>
      </c>
      <c r="D157" s="40" t="s">
        <v>17</v>
      </c>
      <c r="E157" s="27" t="str">
        <f t="shared" si="2"/>
        <v/>
      </c>
    </row>
    <row r="158" spans="2:5" x14ac:dyDescent="0.2">
      <c r="B158" s="38">
        <v>77.5</v>
      </c>
      <c r="C158" s="39">
        <v>11</v>
      </c>
      <c r="D158" s="40" t="s">
        <v>17</v>
      </c>
      <c r="E158" s="27" t="str">
        <f t="shared" si="2"/>
        <v/>
      </c>
    </row>
    <row r="159" spans="2:5" x14ac:dyDescent="0.2">
      <c r="B159" s="38">
        <v>78</v>
      </c>
      <c r="C159" s="39">
        <v>11</v>
      </c>
      <c r="D159" s="40" t="s">
        <v>17</v>
      </c>
      <c r="E159" s="27" t="str">
        <f t="shared" si="2"/>
        <v/>
      </c>
    </row>
    <row r="160" spans="2:5" x14ac:dyDescent="0.2">
      <c r="B160" s="38">
        <v>78.5</v>
      </c>
      <c r="C160" s="39">
        <v>11</v>
      </c>
      <c r="D160" s="40" t="s">
        <v>17</v>
      </c>
      <c r="E160" s="27" t="str">
        <f t="shared" si="2"/>
        <v/>
      </c>
    </row>
    <row r="161" spans="2:5" x14ac:dyDescent="0.2">
      <c r="B161" s="38">
        <v>79</v>
      </c>
      <c r="C161" s="39">
        <v>11</v>
      </c>
      <c r="D161" s="42" t="s">
        <v>17</v>
      </c>
      <c r="E161" s="27" t="str">
        <f t="shared" si="2"/>
        <v>+</v>
      </c>
    </row>
    <row r="162" spans="2:5" x14ac:dyDescent="0.2">
      <c r="B162" s="38">
        <v>79.5</v>
      </c>
      <c r="C162" s="39">
        <v>11</v>
      </c>
      <c r="D162" s="42" t="s">
        <v>17</v>
      </c>
      <c r="E162" s="27" t="str">
        <f t="shared" si="2"/>
        <v>++</v>
      </c>
    </row>
    <row r="163" spans="2:5" x14ac:dyDescent="0.2">
      <c r="B163" s="38">
        <v>80</v>
      </c>
      <c r="C163" s="39">
        <v>12</v>
      </c>
      <c r="D163" s="42" t="s">
        <v>109</v>
      </c>
      <c r="E163" s="27" t="str">
        <f t="shared" si="2"/>
        <v>--</v>
      </c>
    </row>
    <row r="164" spans="2:5" x14ac:dyDescent="0.2">
      <c r="B164" s="38">
        <v>80.5</v>
      </c>
      <c r="C164" s="39">
        <v>12</v>
      </c>
      <c r="D164" s="42" t="s">
        <v>109</v>
      </c>
      <c r="E164" s="27" t="str">
        <f t="shared" si="2"/>
        <v>-</v>
      </c>
    </row>
    <row r="165" spans="2:5" x14ac:dyDescent="0.2">
      <c r="B165" s="38">
        <v>81</v>
      </c>
      <c r="C165" s="39">
        <v>12</v>
      </c>
      <c r="D165" s="42" t="s">
        <v>109</v>
      </c>
      <c r="E165" s="27" t="str">
        <f t="shared" si="2"/>
        <v/>
      </c>
    </row>
    <row r="166" spans="2:5" x14ac:dyDescent="0.2">
      <c r="B166" s="38">
        <v>81.5</v>
      </c>
      <c r="C166" s="39">
        <v>12</v>
      </c>
      <c r="D166" s="42" t="s">
        <v>109</v>
      </c>
      <c r="E166" s="27" t="str">
        <f t="shared" si="2"/>
        <v/>
      </c>
    </row>
    <row r="167" spans="2:5" x14ac:dyDescent="0.2">
      <c r="B167" s="38">
        <v>82</v>
      </c>
      <c r="C167" s="39">
        <v>12</v>
      </c>
      <c r="D167" s="42" t="s">
        <v>109</v>
      </c>
      <c r="E167" s="27" t="str">
        <f t="shared" si="2"/>
        <v/>
      </c>
    </row>
    <row r="168" spans="2:5" x14ac:dyDescent="0.2">
      <c r="B168" s="38">
        <v>82.5</v>
      </c>
      <c r="C168" s="39">
        <v>12</v>
      </c>
      <c r="D168" s="42" t="s">
        <v>109</v>
      </c>
      <c r="E168" s="27" t="str">
        <f t="shared" si="2"/>
        <v/>
      </c>
    </row>
    <row r="169" spans="2:5" x14ac:dyDescent="0.2">
      <c r="B169" s="38">
        <v>83</v>
      </c>
      <c r="C169" s="39">
        <v>12</v>
      </c>
      <c r="D169" s="42" t="s">
        <v>109</v>
      </c>
      <c r="E169" s="27" t="str">
        <f t="shared" si="2"/>
        <v/>
      </c>
    </row>
    <row r="170" spans="2:5" x14ac:dyDescent="0.2">
      <c r="B170" s="38">
        <v>83.5</v>
      </c>
      <c r="C170" s="39">
        <v>12</v>
      </c>
      <c r="D170" s="42" t="s">
        <v>109</v>
      </c>
      <c r="E170" s="27" t="str">
        <f t="shared" si="2"/>
        <v/>
      </c>
    </row>
    <row r="171" spans="2:5" x14ac:dyDescent="0.2">
      <c r="B171" s="38">
        <v>84</v>
      </c>
      <c r="C171" s="39">
        <v>12</v>
      </c>
      <c r="D171" s="42" t="s">
        <v>109</v>
      </c>
      <c r="E171" s="27" t="str">
        <f t="shared" si="2"/>
        <v>+</v>
      </c>
    </row>
    <row r="172" spans="2:5" x14ac:dyDescent="0.2">
      <c r="B172" s="38">
        <v>84.5</v>
      </c>
      <c r="C172" s="39">
        <v>12</v>
      </c>
      <c r="D172" s="42" t="s">
        <v>109</v>
      </c>
      <c r="E172" s="27" t="str">
        <f t="shared" si="2"/>
        <v>++</v>
      </c>
    </row>
    <row r="173" spans="2:5" x14ac:dyDescent="0.2">
      <c r="B173" s="38">
        <v>85</v>
      </c>
      <c r="C173" s="39">
        <v>13</v>
      </c>
      <c r="D173" s="41" t="s">
        <v>110</v>
      </c>
      <c r="E173" s="27" t="str">
        <f t="shared" si="2"/>
        <v>--</v>
      </c>
    </row>
    <row r="174" spans="2:5" x14ac:dyDescent="0.2">
      <c r="B174" s="38">
        <v>85.5</v>
      </c>
      <c r="C174" s="39">
        <v>13</v>
      </c>
      <c r="D174" s="41" t="s">
        <v>110</v>
      </c>
      <c r="E174" s="27" t="str">
        <f t="shared" si="2"/>
        <v>-</v>
      </c>
    </row>
    <row r="175" spans="2:5" x14ac:dyDescent="0.2">
      <c r="B175" s="38">
        <v>86</v>
      </c>
      <c r="C175" s="39">
        <v>13</v>
      </c>
      <c r="D175" s="41" t="s">
        <v>110</v>
      </c>
      <c r="E175" s="27" t="str">
        <f t="shared" si="2"/>
        <v/>
      </c>
    </row>
    <row r="176" spans="2:5" x14ac:dyDescent="0.2">
      <c r="B176" s="38">
        <v>86.5</v>
      </c>
      <c r="C176" s="39">
        <v>13</v>
      </c>
      <c r="D176" s="41" t="s">
        <v>110</v>
      </c>
      <c r="E176" s="27" t="str">
        <f t="shared" si="2"/>
        <v/>
      </c>
    </row>
    <row r="177" spans="2:5" x14ac:dyDescent="0.2">
      <c r="B177" s="38">
        <v>87</v>
      </c>
      <c r="C177" s="39">
        <v>13</v>
      </c>
      <c r="D177" s="41" t="s">
        <v>110</v>
      </c>
      <c r="E177" s="27" t="str">
        <f t="shared" si="2"/>
        <v/>
      </c>
    </row>
    <row r="178" spans="2:5" x14ac:dyDescent="0.2">
      <c r="B178" s="38">
        <v>87.5</v>
      </c>
      <c r="C178" s="39">
        <v>13</v>
      </c>
      <c r="D178" s="41" t="s">
        <v>110</v>
      </c>
      <c r="E178" s="27" t="str">
        <f t="shared" si="2"/>
        <v/>
      </c>
    </row>
    <row r="179" spans="2:5" x14ac:dyDescent="0.2">
      <c r="B179" s="38">
        <v>88</v>
      </c>
      <c r="C179" s="39">
        <v>13</v>
      </c>
      <c r="D179" s="41" t="s">
        <v>110</v>
      </c>
      <c r="E179" s="27" t="str">
        <f t="shared" si="2"/>
        <v/>
      </c>
    </row>
    <row r="180" spans="2:5" x14ac:dyDescent="0.2">
      <c r="B180" s="38">
        <v>88.5</v>
      </c>
      <c r="C180" s="39">
        <v>13</v>
      </c>
      <c r="D180" s="41" t="s">
        <v>110</v>
      </c>
      <c r="E180" s="27" t="str">
        <f t="shared" ref="E180:E244" si="3">IF(AND($C180=$C181,$C181&lt;$C182),"+",IF($C180&lt;$C181,"++",IF(AND($C180=$C179,$C179&gt;$C178),"-",IF($C180&gt;$C179,"--",""))))</f>
        <v/>
      </c>
    </row>
    <row r="181" spans="2:5" x14ac:dyDescent="0.2">
      <c r="B181" s="38">
        <v>89</v>
      </c>
      <c r="C181" s="39">
        <v>13</v>
      </c>
      <c r="D181" s="41" t="s">
        <v>110</v>
      </c>
      <c r="E181" s="27" t="str">
        <f t="shared" si="3"/>
        <v>+</v>
      </c>
    </row>
    <row r="182" spans="2:5" x14ac:dyDescent="0.2">
      <c r="B182" s="38">
        <v>89.5</v>
      </c>
      <c r="C182" s="39">
        <v>13</v>
      </c>
      <c r="D182" s="41" t="s">
        <v>110</v>
      </c>
      <c r="E182" s="27" t="str">
        <f t="shared" si="3"/>
        <v>++</v>
      </c>
    </row>
    <row r="183" spans="2:5" x14ac:dyDescent="0.2">
      <c r="B183" s="38">
        <v>90</v>
      </c>
      <c r="C183" s="39">
        <v>14</v>
      </c>
      <c r="D183" s="41" t="s">
        <v>19</v>
      </c>
      <c r="E183" s="27" t="str">
        <f t="shared" si="3"/>
        <v>--</v>
      </c>
    </row>
    <row r="184" spans="2:5" x14ac:dyDescent="0.2">
      <c r="B184" s="38">
        <v>90.5</v>
      </c>
      <c r="C184" s="39">
        <v>14</v>
      </c>
      <c r="D184" s="41" t="s">
        <v>19</v>
      </c>
      <c r="E184" s="27" t="str">
        <f t="shared" si="3"/>
        <v>-</v>
      </c>
    </row>
    <row r="185" spans="2:5" x14ac:dyDescent="0.2">
      <c r="B185" s="38">
        <v>91</v>
      </c>
      <c r="C185" s="39">
        <v>14</v>
      </c>
      <c r="D185" s="40" t="s">
        <v>19</v>
      </c>
      <c r="E185" s="27" t="str">
        <f t="shared" si="3"/>
        <v/>
      </c>
    </row>
    <row r="186" spans="2:5" x14ac:dyDescent="0.2">
      <c r="B186" s="38">
        <v>91.5</v>
      </c>
      <c r="C186" s="39">
        <v>14</v>
      </c>
      <c r="D186" s="40" t="s">
        <v>19</v>
      </c>
      <c r="E186" s="27" t="str">
        <f t="shared" si="3"/>
        <v/>
      </c>
    </row>
    <row r="187" spans="2:5" x14ac:dyDescent="0.2">
      <c r="B187" s="38">
        <v>92</v>
      </c>
      <c r="C187" s="39">
        <v>14</v>
      </c>
      <c r="D187" s="40" t="s">
        <v>19</v>
      </c>
      <c r="E187" s="27" t="str">
        <f t="shared" si="3"/>
        <v/>
      </c>
    </row>
    <row r="188" spans="2:5" x14ac:dyDescent="0.2">
      <c r="B188" s="38">
        <v>92.5</v>
      </c>
      <c r="C188" s="39">
        <v>14</v>
      </c>
      <c r="D188" s="40" t="s">
        <v>19</v>
      </c>
      <c r="E188" s="27" t="str">
        <f t="shared" si="3"/>
        <v/>
      </c>
    </row>
    <row r="189" spans="2:5" x14ac:dyDescent="0.2">
      <c r="B189" s="38">
        <v>93</v>
      </c>
      <c r="C189" s="39">
        <v>14</v>
      </c>
      <c r="D189" s="40" t="s">
        <v>19</v>
      </c>
      <c r="E189" s="27" t="str">
        <f t="shared" si="3"/>
        <v/>
      </c>
    </row>
    <row r="190" spans="2:5" x14ac:dyDescent="0.2">
      <c r="B190" s="38">
        <v>93.5</v>
      </c>
      <c r="C190" s="39">
        <v>14</v>
      </c>
      <c r="D190" s="40" t="s">
        <v>19</v>
      </c>
      <c r="E190" s="27" t="str">
        <f t="shared" si="3"/>
        <v/>
      </c>
    </row>
    <row r="191" spans="2:5" x14ac:dyDescent="0.2">
      <c r="B191" s="38">
        <v>94</v>
      </c>
      <c r="C191" s="39">
        <v>14</v>
      </c>
      <c r="D191" s="40" t="s">
        <v>19</v>
      </c>
      <c r="E191" s="27" t="str">
        <f t="shared" si="3"/>
        <v>+</v>
      </c>
    </row>
    <row r="192" spans="2:5" x14ac:dyDescent="0.2">
      <c r="B192" s="38">
        <v>94.5</v>
      </c>
      <c r="C192" s="39">
        <v>14</v>
      </c>
      <c r="D192" s="40" t="s">
        <v>19</v>
      </c>
      <c r="E192" s="27" t="str">
        <f t="shared" si="3"/>
        <v>++</v>
      </c>
    </row>
    <row r="193" spans="2:5" x14ac:dyDescent="0.2">
      <c r="B193" s="38">
        <v>95</v>
      </c>
      <c r="C193" s="39">
        <v>15</v>
      </c>
      <c r="D193" s="40" t="s">
        <v>111</v>
      </c>
      <c r="E193" s="27" t="str">
        <f t="shared" si="3"/>
        <v>--</v>
      </c>
    </row>
    <row r="194" spans="2:5" x14ac:dyDescent="0.2">
      <c r="B194" s="38">
        <v>95.5</v>
      </c>
      <c r="C194" s="39">
        <v>15</v>
      </c>
      <c r="D194" s="40" t="s">
        <v>111</v>
      </c>
      <c r="E194" s="27" t="str">
        <f t="shared" si="3"/>
        <v>-</v>
      </c>
    </row>
    <row r="195" spans="2:5" x14ac:dyDescent="0.2">
      <c r="B195" s="38">
        <v>96</v>
      </c>
      <c r="C195" s="39">
        <v>15</v>
      </c>
      <c r="D195" s="40" t="s">
        <v>111</v>
      </c>
      <c r="E195" s="27" t="str">
        <f t="shared" si="3"/>
        <v/>
      </c>
    </row>
    <row r="196" spans="2:5" x14ac:dyDescent="0.2">
      <c r="B196" s="38">
        <v>96.5</v>
      </c>
      <c r="C196" s="39">
        <v>15</v>
      </c>
      <c r="D196" s="42" t="s">
        <v>111</v>
      </c>
      <c r="E196" s="27" t="str">
        <f t="shared" si="3"/>
        <v/>
      </c>
    </row>
    <row r="197" spans="2:5" x14ac:dyDescent="0.2">
      <c r="B197" s="38">
        <v>97</v>
      </c>
      <c r="C197" s="39">
        <v>15</v>
      </c>
      <c r="D197" s="42" t="s">
        <v>111</v>
      </c>
      <c r="E197" s="27" t="str">
        <f t="shared" si="3"/>
        <v/>
      </c>
    </row>
    <row r="198" spans="2:5" x14ac:dyDescent="0.2">
      <c r="B198" s="38">
        <v>97.5</v>
      </c>
      <c r="C198" s="39">
        <v>15</v>
      </c>
      <c r="D198" s="42" t="s">
        <v>111</v>
      </c>
      <c r="E198" s="27" t="str">
        <f t="shared" si="3"/>
        <v/>
      </c>
    </row>
    <row r="199" spans="2:5" x14ac:dyDescent="0.2">
      <c r="B199" s="38">
        <v>98</v>
      </c>
      <c r="C199" s="39">
        <v>15</v>
      </c>
      <c r="D199" s="42" t="s">
        <v>111</v>
      </c>
      <c r="E199" s="27" t="str">
        <f t="shared" si="3"/>
        <v/>
      </c>
    </row>
    <row r="200" spans="2:5" x14ac:dyDescent="0.2">
      <c r="B200" s="38">
        <v>98.5</v>
      </c>
      <c r="C200" s="39">
        <v>15</v>
      </c>
      <c r="D200" s="42" t="s">
        <v>111</v>
      </c>
      <c r="E200" s="27" t="str">
        <f t="shared" si="3"/>
        <v/>
      </c>
    </row>
    <row r="201" spans="2:5" x14ac:dyDescent="0.2">
      <c r="B201" s="38">
        <v>99</v>
      </c>
      <c r="C201" s="39">
        <v>15</v>
      </c>
      <c r="D201" s="42" t="s">
        <v>111</v>
      </c>
      <c r="E201" s="27" t="str">
        <f t="shared" si="3"/>
        <v/>
      </c>
    </row>
    <row r="202" spans="2:5" x14ac:dyDescent="0.2">
      <c r="B202" s="38">
        <v>99.5</v>
      </c>
      <c r="C202" s="39">
        <v>15</v>
      </c>
      <c r="D202" s="42" t="s">
        <v>111</v>
      </c>
      <c r="E202" s="27" t="str">
        <f t="shared" si="3"/>
        <v/>
      </c>
    </row>
    <row r="203" spans="2:5" x14ac:dyDescent="0.2">
      <c r="B203" s="38">
        <v>100</v>
      </c>
      <c r="C203" s="39">
        <v>15</v>
      </c>
      <c r="D203" s="42" t="s">
        <v>111</v>
      </c>
      <c r="E203" s="27" t="str">
        <f t="shared" si="3"/>
        <v/>
      </c>
    </row>
    <row r="204" spans="2:5" x14ac:dyDescent="0.2">
      <c r="B204" s="38"/>
      <c r="C204" s="39"/>
      <c r="D204" s="42"/>
      <c r="E204" s="27" t="str">
        <f t="shared" si="3"/>
        <v/>
      </c>
    </row>
    <row r="205" spans="2:5" x14ac:dyDescent="0.2">
      <c r="B205" s="38"/>
      <c r="C205" s="39"/>
      <c r="D205" s="42"/>
      <c r="E205" s="27" t="str">
        <f t="shared" si="3"/>
        <v/>
      </c>
    </row>
    <row r="206" spans="2:5" x14ac:dyDescent="0.2">
      <c r="B206" s="38"/>
      <c r="C206" s="39"/>
      <c r="D206" s="42"/>
      <c r="E206" s="27" t="str">
        <f t="shared" si="3"/>
        <v/>
      </c>
    </row>
    <row r="207" spans="2:5" x14ac:dyDescent="0.2">
      <c r="B207" s="38"/>
      <c r="C207" s="39"/>
      <c r="D207" s="42"/>
      <c r="E207" s="27" t="str">
        <f t="shared" si="3"/>
        <v/>
      </c>
    </row>
    <row r="208" spans="2:5" x14ac:dyDescent="0.2">
      <c r="B208" s="38"/>
      <c r="C208" s="39"/>
      <c r="D208" s="42"/>
      <c r="E208" s="27" t="str">
        <f t="shared" si="3"/>
        <v/>
      </c>
    </row>
    <row r="209" spans="2:5" x14ac:dyDescent="0.2">
      <c r="B209" s="38"/>
      <c r="C209" s="39"/>
      <c r="D209" s="41"/>
      <c r="E209" s="27" t="str">
        <f t="shared" si="3"/>
        <v/>
      </c>
    </row>
    <row r="210" spans="2:5" x14ac:dyDescent="0.2">
      <c r="B210" s="38"/>
      <c r="C210" s="39"/>
      <c r="D210" s="41"/>
      <c r="E210" s="27" t="str">
        <f t="shared" si="3"/>
        <v/>
      </c>
    </row>
    <row r="211" spans="2:5" x14ac:dyDescent="0.2">
      <c r="B211" s="38"/>
      <c r="C211" s="39"/>
      <c r="D211" s="41"/>
      <c r="E211" s="27" t="str">
        <f t="shared" si="3"/>
        <v/>
      </c>
    </row>
    <row r="212" spans="2:5" x14ac:dyDescent="0.2">
      <c r="B212" s="38"/>
      <c r="C212" s="39"/>
      <c r="D212" s="41"/>
      <c r="E212" s="27" t="str">
        <f t="shared" si="3"/>
        <v/>
      </c>
    </row>
    <row r="213" spans="2:5" x14ac:dyDescent="0.2">
      <c r="B213" s="38"/>
      <c r="C213" s="39"/>
      <c r="D213" s="41"/>
      <c r="E213" s="27" t="str">
        <f t="shared" si="3"/>
        <v/>
      </c>
    </row>
    <row r="214" spans="2:5" x14ac:dyDescent="0.2">
      <c r="B214" s="38"/>
      <c r="C214" s="39"/>
      <c r="D214" s="41"/>
      <c r="E214" s="27" t="str">
        <f t="shared" si="3"/>
        <v/>
      </c>
    </row>
    <row r="215" spans="2:5" x14ac:dyDescent="0.2">
      <c r="B215" s="38"/>
      <c r="C215" s="39"/>
      <c r="D215" s="41"/>
      <c r="E215" s="27" t="str">
        <f t="shared" si="3"/>
        <v/>
      </c>
    </row>
    <row r="216" spans="2:5" x14ac:dyDescent="0.2">
      <c r="B216" s="38"/>
      <c r="C216" s="39"/>
      <c r="D216" s="41"/>
      <c r="E216" s="27" t="str">
        <f t="shared" si="3"/>
        <v/>
      </c>
    </row>
    <row r="217" spans="2:5" x14ac:dyDescent="0.2">
      <c r="B217" s="38"/>
      <c r="C217" s="39"/>
      <c r="D217" s="41"/>
      <c r="E217" s="27" t="str">
        <f t="shared" si="3"/>
        <v/>
      </c>
    </row>
    <row r="218" spans="2:5" x14ac:dyDescent="0.2">
      <c r="B218" s="38"/>
      <c r="C218" s="39"/>
      <c r="D218" s="41"/>
      <c r="E218" s="27" t="str">
        <f t="shared" si="3"/>
        <v/>
      </c>
    </row>
    <row r="219" spans="2:5" x14ac:dyDescent="0.2">
      <c r="B219" s="38"/>
      <c r="C219" s="39"/>
      <c r="D219" s="41"/>
      <c r="E219" s="27" t="str">
        <f t="shared" si="3"/>
        <v/>
      </c>
    </row>
    <row r="220" spans="2:5" x14ac:dyDescent="0.2">
      <c r="B220" s="38"/>
      <c r="C220" s="39"/>
      <c r="D220" s="41"/>
      <c r="E220" s="27" t="str">
        <f t="shared" si="3"/>
        <v/>
      </c>
    </row>
    <row r="221" spans="2:5" x14ac:dyDescent="0.2">
      <c r="B221" s="38"/>
      <c r="C221" s="39"/>
      <c r="D221" s="40"/>
      <c r="E221" s="27" t="str">
        <f t="shared" si="3"/>
        <v/>
      </c>
    </row>
    <row r="222" spans="2:5" x14ac:dyDescent="0.2">
      <c r="B222" s="38"/>
      <c r="C222" s="39"/>
      <c r="D222" s="40"/>
      <c r="E222" s="27" t="str">
        <f t="shared" si="3"/>
        <v/>
      </c>
    </row>
    <row r="223" spans="2:5" x14ac:dyDescent="0.2">
      <c r="B223" s="38"/>
      <c r="C223" s="39"/>
      <c r="D223" s="40"/>
      <c r="E223" s="27" t="str">
        <f t="shared" si="3"/>
        <v/>
      </c>
    </row>
    <row r="224" spans="2:5" x14ac:dyDescent="0.2">
      <c r="B224" s="38"/>
      <c r="C224" s="39"/>
      <c r="D224" s="40"/>
      <c r="E224" s="27" t="str">
        <f t="shared" si="3"/>
        <v/>
      </c>
    </row>
    <row r="225" spans="2:5" x14ac:dyDescent="0.2">
      <c r="B225" s="38"/>
      <c r="C225" s="39"/>
      <c r="D225" s="40"/>
      <c r="E225" s="27" t="str">
        <f t="shared" si="3"/>
        <v/>
      </c>
    </row>
    <row r="226" spans="2:5" x14ac:dyDescent="0.2">
      <c r="B226" s="38"/>
      <c r="C226" s="39"/>
      <c r="D226" s="40"/>
      <c r="E226" s="27" t="str">
        <f t="shared" si="3"/>
        <v/>
      </c>
    </row>
    <row r="227" spans="2:5" x14ac:dyDescent="0.2">
      <c r="B227" s="38"/>
      <c r="C227" s="39"/>
      <c r="D227" s="40"/>
      <c r="E227" s="27" t="str">
        <f t="shared" si="3"/>
        <v/>
      </c>
    </row>
    <row r="228" spans="2:5" x14ac:dyDescent="0.2">
      <c r="B228" s="38"/>
      <c r="C228" s="39"/>
      <c r="D228" s="40"/>
      <c r="E228" s="27" t="str">
        <f t="shared" si="3"/>
        <v/>
      </c>
    </row>
    <row r="229" spans="2:5" x14ac:dyDescent="0.2">
      <c r="B229" s="38"/>
      <c r="C229" s="39"/>
      <c r="D229" s="40"/>
      <c r="E229" s="27" t="str">
        <f t="shared" si="3"/>
        <v/>
      </c>
    </row>
    <row r="230" spans="2:5" x14ac:dyDescent="0.2">
      <c r="B230" s="38"/>
      <c r="C230" s="39"/>
      <c r="D230" s="40"/>
      <c r="E230" s="27" t="str">
        <f t="shared" si="3"/>
        <v/>
      </c>
    </row>
    <row r="231" spans="2:5" x14ac:dyDescent="0.2">
      <c r="B231" s="38"/>
      <c r="C231" s="39"/>
      <c r="D231" s="40"/>
      <c r="E231" s="27" t="str">
        <f t="shared" si="3"/>
        <v/>
      </c>
    </row>
    <row r="232" spans="2:5" x14ac:dyDescent="0.2">
      <c r="B232" s="38"/>
      <c r="C232" s="39"/>
      <c r="D232" s="40"/>
      <c r="E232" s="27" t="str">
        <f t="shared" si="3"/>
        <v/>
      </c>
    </row>
    <row r="233" spans="2:5" x14ac:dyDescent="0.2">
      <c r="B233" s="38"/>
      <c r="C233" s="39"/>
      <c r="D233" s="42"/>
      <c r="E233" s="27" t="str">
        <f t="shared" si="3"/>
        <v/>
      </c>
    </row>
    <row r="234" spans="2:5" x14ac:dyDescent="0.2">
      <c r="B234" s="38"/>
      <c r="C234" s="39"/>
      <c r="D234" s="42"/>
      <c r="E234" s="27" t="str">
        <f t="shared" si="3"/>
        <v/>
      </c>
    </row>
    <row r="235" spans="2:5" x14ac:dyDescent="0.2">
      <c r="B235" s="38"/>
      <c r="C235" s="39"/>
      <c r="D235" s="42"/>
      <c r="E235" s="27" t="str">
        <f t="shared" si="3"/>
        <v/>
      </c>
    </row>
    <row r="236" spans="2:5" x14ac:dyDescent="0.2">
      <c r="B236" s="38"/>
      <c r="C236" s="39"/>
      <c r="D236" s="42"/>
      <c r="E236" s="27" t="str">
        <f t="shared" si="3"/>
        <v/>
      </c>
    </row>
    <row r="237" spans="2:5" x14ac:dyDescent="0.2">
      <c r="B237" s="38"/>
      <c r="C237" s="39"/>
      <c r="D237" s="42"/>
      <c r="E237" s="27" t="str">
        <f t="shared" si="3"/>
        <v/>
      </c>
    </row>
    <row r="238" spans="2:5" x14ac:dyDescent="0.2">
      <c r="B238" s="38"/>
      <c r="C238" s="39"/>
      <c r="D238" s="42"/>
      <c r="E238" s="27" t="str">
        <f t="shared" si="3"/>
        <v/>
      </c>
    </row>
    <row r="239" spans="2:5" x14ac:dyDescent="0.2">
      <c r="B239" s="38"/>
      <c r="C239" s="39"/>
      <c r="D239" s="42"/>
      <c r="E239" s="27" t="str">
        <f t="shared" si="3"/>
        <v/>
      </c>
    </row>
    <row r="240" spans="2:5" x14ac:dyDescent="0.2">
      <c r="B240" s="38"/>
      <c r="C240" s="39"/>
      <c r="D240" s="42"/>
      <c r="E240" s="27" t="str">
        <f t="shared" si="3"/>
        <v/>
      </c>
    </row>
    <row r="241" spans="2:5" x14ac:dyDescent="0.2">
      <c r="B241" s="38"/>
      <c r="C241" s="39"/>
      <c r="D241" s="42"/>
      <c r="E241" s="27" t="str">
        <f t="shared" si="3"/>
        <v/>
      </c>
    </row>
    <row r="242" spans="2:5" x14ac:dyDescent="0.2">
      <c r="B242" s="38"/>
      <c r="C242" s="39"/>
      <c r="D242" s="42"/>
      <c r="E242" s="27" t="str">
        <f t="shared" si="3"/>
        <v/>
      </c>
    </row>
    <row r="243" spans="2:5" x14ac:dyDescent="0.2">
      <c r="B243" s="38"/>
      <c r="C243" s="39"/>
      <c r="D243" s="42"/>
      <c r="E243" s="27" t="str">
        <f t="shared" si="3"/>
        <v/>
      </c>
    </row>
    <row r="244" spans="2:5" x14ac:dyDescent="0.2">
      <c r="B244" s="38"/>
      <c r="C244" s="43"/>
      <c r="D244" s="44"/>
      <c r="E244" s="27" t="str">
        <f t="shared" si="3"/>
        <v/>
      </c>
    </row>
    <row r="245" spans="2:5" x14ac:dyDescent="0.2">
      <c r="B245" s="38"/>
      <c r="C245" s="43"/>
      <c r="D245" s="44"/>
      <c r="E245" s="27" t="str">
        <f t="shared" ref="E245:E293" si="4">IF(AND($C245=$C246,$C246&lt;$C247),"+",IF($C245&lt;$C246,"++",IF(AND($C245=$C244,$C244&gt;$C243),"-",IF($C245&gt;$C244,"--",""))))</f>
        <v/>
      </c>
    </row>
    <row r="246" spans="2:5" x14ac:dyDescent="0.2">
      <c r="B246" s="38"/>
      <c r="C246" s="43"/>
      <c r="D246" s="44"/>
      <c r="E246" s="27" t="str">
        <f t="shared" si="4"/>
        <v/>
      </c>
    </row>
    <row r="247" spans="2:5" x14ac:dyDescent="0.2">
      <c r="B247" s="38"/>
      <c r="C247" s="43"/>
      <c r="D247" s="44"/>
      <c r="E247" s="27" t="str">
        <f t="shared" si="4"/>
        <v/>
      </c>
    </row>
    <row r="248" spans="2:5" x14ac:dyDescent="0.2">
      <c r="B248" s="38"/>
      <c r="C248" s="43"/>
      <c r="D248" s="44"/>
      <c r="E248" s="27" t="str">
        <f t="shared" si="4"/>
        <v/>
      </c>
    </row>
    <row r="249" spans="2:5" x14ac:dyDescent="0.2">
      <c r="B249" s="38"/>
      <c r="C249" s="43"/>
      <c r="D249" s="44"/>
      <c r="E249" s="27" t="str">
        <f t="shared" si="4"/>
        <v/>
      </c>
    </row>
    <row r="250" spans="2:5" x14ac:dyDescent="0.2">
      <c r="B250" s="38"/>
      <c r="C250" s="43"/>
      <c r="D250" s="44"/>
      <c r="E250" s="27" t="str">
        <f t="shared" si="4"/>
        <v/>
      </c>
    </row>
    <row r="251" spans="2:5" x14ac:dyDescent="0.2">
      <c r="B251" s="38"/>
      <c r="C251" s="43"/>
      <c r="D251" s="44"/>
      <c r="E251" s="27" t="str">
        <f t="shared" si="4"/>
        <v/>
      </c>
    </row>
    <row r="252" spans="2:5" x14ac:dyDescent="0.2">
      <c r="B252" s="38"/>
      <c r="C252" s="43"/>
      <c r="D252" s="44"/>
      <c r="E252" s="27" t="str">
        <f t="shared" si="4"/>
        <v/>
      </c>
    </row>
    <row r="253" spans="2:5" x14ac:dyDescent="0.2">
      <c r="B253" s="38"/>
      <c r="C253" s="43"/>
      <c r="D253" s="44"/>
      <c r="E253" s="27" t="str">
        <f t="shared" si="4"/>
        <v/>
      </c>
    </row>
    <row r="254" spans="2:5" x14ac:dyDescent="0.2">
      <c r="B254" s="38"/>
      <c r="C254" s="43"/>
      <c r="D254" s="44"/>
      <c r="E254" s="27" t="str">
        <f t="shared" si="4"/>
        <v/>
      </c>
    </row>
    <row r="255" spans="2:5" x14ac:dyDescent="0.2">
      <c r="B255" s="38"/>
      <c r="C255" s="43"/>
      <c r="D255" s="44"/>
      <c r="E255" s="27" t="str">
        <f t="shared" si="4"/>
        <v/>
      </c>
    </row>
    <row r="256" spans="2:5" x14ac:dyDescent="0.2">
      <c r="B256" s="38"/>
      <c r="C256" s="43"/>
      <c r="D256" s="44"/>
      <c r="E256" s="27" t="str">
        <f t="shared" si="4"/>
        <v/>
      </c>
    </row>
    <row r="257" spans="2:5" x14ac:dyDescent="0.2">
      <c r="B257" s="38"/>
      <c r="C257" s="43"/>
      <c r="D257" s="44"/>
      <c r="E257" s="27" t="str">
        <f t="shared" si="4"/>
        <v/>
      </c>
    </row>
    <row r="258" spans="2:5" x14ac:dyDescent="0.2">
      <c r="B258" s="38"/>
      <c r="C258" s="43"/>
      <c r="D258" s="44"/>
      <c r="E258" s="27" t="str">
        <f t="shared" si="4"/>
        <v/>
      </c>
    </row>
    <row r="259" spans="2:5" x14ac:dyDescent="0.2">
      <c r="B259" s="38"/>
      <c r="C259" s="43"/>
      <c r="D259" s="44"/>
      <c r="E259" s="27" t="str">
        <f t="shared" si="4"/>
        <v/>
      </c>
    </row>
    <row r="260" spans="2:5" x14ac:dyDescent="0.2">
      <c r="B260" s="38"/>
      <c r="C260" s="43"/>
      <c r="D260" s="44"/>
      <c r="E260" s="27" t="str">
        <f t="shared" si="4"/>
        <v/>
      </c>
    </row>
    <row r="261" spans="2:5" x14ac:dyDescent="0.2">
      <c r="B261" s="38"/>
      <c r="C261" s="43"/>
      <c r="D261" s="44"/>
      <c r="E261" s="27" t="str">
        <f t="shared" si="4"/>
        <v/>
      </c>
    </row>
    <row r="262" spans="2:5" x14ac:dyDescent="0.2">
      <c r="B262" s="38"/>
      <c r="C262" s="43"/>
      <c r="D262" s="44"/>
      <c r="E262" s="27" t="str">
        <f t="shared" si="4"/>
        <v/>
      </c>
    </row>
    <row r="263" spans="2:5" x14ac:dyDescent="0.2">
      <c r="B263" s="38"/>
      <c r="C263" s="43"/>
      <c r="D263" s="44"/>
      <c r="E263" s="27" t="str">
        <f t="shared" si="4"/>
        <v/>
      </c>
    </row>
    <row r="264" spans="2:5" x14ac:dyDescent="0.2">
      <c r="B264" s="38"/>
      <c r="C264" s="43"/>
      <c r="D264" s="44"/>
      <c r="E264" s="27" t="str">
        <f t="shared" si="4"/>
        <v/>
      </c>
    </row>
    <row r="265" spans="2:5" x14ac:dyDescent="0.2">
      <c r="B265" s="38"/>
      <c r="C265" s="43"/>
      <c r="D265" s="44"/>
      <c r="E265" s="27" t="str">
        <f t="shared" si="4"/>
        <v/>
      </c>
    </row>
    <row r="266" spans="2:5" x14ac:dyDescent="0.2">
      <c r="B266" s="38"/>
      <c r="C266" s="43"/>
      <c r="D266" s="44"/>
      <c r="E266" s="27" t="str">
        <f t="shared" si="4"/>
        <v/>
      </c>
    </row>
    <row r="267" spans="2:5" x14ac:dyDescent="0.2">
      <c r="B267" s="38"/>
      <c r="C267" s="43"/>
      <c r="D267" s="44"/>
      <c r="E267" s="27" t="str">
        <f t="shared" si="4"/>
        <v/>
      </c>
    </row>
    <row r="268" spans="2:5" x14ac:dyDescent="0.2">
      <c r="B268" s="38"/>
      <c r="C268" s="43"/>
      <c r="D268" s="44"/>
      <c r="E268" s="27" t="str">
        <f t="shared" si="4"/>
        <v/>
      </c>
    </row>
    <row r="269" spans="2:5" x14ac:dyDescent="0.2">
      <c r="B269" s="38"/>
      <c r="C269" s="43"/>
      <c r="D269" s="44"/>
      <c r="E269" s="27" t="str">
        <f t="shared" si="4"/>
        <v/>
      </c>
    </row>
    <row r="270" spans="2:5" x14ac:dyDescent="0.2">
      <c r="B270" s="38"/>
      <c r="C270" s="43"/>
      <c r="D270" s="44"/>
      <c r="E270" s="27" t="str">
        <f t="shared" si="4"/>
        <v/>
      </c>
    </row>
    <row r="271" spans="2:5" x14ac:dyDescent="0.2">
      <c r="B271" s="38"/>
      <c r="C271" s="43"/>
      <c r="D271" s="44"/>
      <c r="E271" s="27" t="str">
        <f t="shared" si="4"/>
        <v/>
      </c>
    </row>
    <row r="272" spans="2:5" x14ac:dyDescent="0.2">
      <c r="B272" s="38"/>
      <c r="C272" s="43"/>
      <c r="D272" s="44"/>
      <c r="E272" s="27" t="str">
        <f t="shared" si="4"/>
        <v/>
      </c>
    </row>
    <row r="273" spans="2:5" x14ac:dyDescent="0.2">
      <c r="B273" s="38"/>
      <c r="C273" s="43"/>
      <c r="D273" s="44"/>
      <c r="E273" s="27" t="str">
        <f t="shared" si="4"/>
        <v/>
      </c>
    </row>
    <row r="274" spans="2:5" x14ac:dyDescent="0.2">
      <c r="B274" s="38"/>
      <c r="C274" s="43"/>
      <c r="D274" s="44"/>
      <c r="E274" s="27" t="str">
        <f t="shared" si="4"/>
        <v/>
      </c>
    </row>
    <row r="275" spans="2:5" x14ac:dyDescent="0.2">
      <c r="B275" s="38"/>
      <c r="C275" s="43"/>
      <c r="D275" s="44"/>
      <c r="E275" s="27" t="str">
        <f t="shared" si="4"/>
        <v/>
      </c>
    </row>
    <row r="276" spans="2:5" x14ac:dyDescent="0.2">
      <c r="B276" s="38"/>
      <c r="C276" s="43"/>
      <c r="D276" s="44"/>
      <c r="E276" s="27" t="str">
        <f t="shared" si="4"/>
        <v/>
      </c>
    </row>
    <row r="277" spans="2:5" x14ac:dyDescent="0.2">
      <c r="B277" s="38"/>
      <c r="C277" s="43"/>
      <c r="D277" s="44"/>
      <c r="E277" s="27" t="str">
        <f t="shared" si="4"/>
        <v/>
      </c>
    </row>
    <row r="278" spans="2:5" x14ac:dyDescent="0.2">
      <c r="B278" s="38"/>
      <c r="C278" s="43"/>
      <c r="D278" s="44"/>
      <c r="E278" s="27" t="str">
        <f t="shared" si="4"/>
        <v/>
      </c>
    </row>
    <row r="279" spans="2:5" x14ac:dyDescent="0.2">
      <c r="B279" s="38"/>
      <c r="C279" s="43"/>
      <c r="D279" s="44"/>
      <c r="E279" s="27" t="str">
        <f t="shared" si="4"/>
        <v/>
      </c>
    </row>
    <row r="280" spans="2:5" x14ac:dyDescent="0.2">
      <c r="B280" s="38"/>
      <c r="C280" s="43"/>
      <c r="D280" s="44"/>
      <c r="E280" s="27" t="str">
        <f t="shared" si="4"/>
        <v/>
      </c>
    </row>
    <row r="281" spans="2:5" x14ac:dyDescent="0.2">
      <c r="B281" s="38"/>
      <c r="C281" s="43"/>
      <c r="D281" s="44"/>
      <c r="E281" s="27" t="str">
        <f t="shared" si="4"/>
        <v/>
      </c>
    </row>
    <row r="282" spans="2:5" x14ac:dyDescent="0.2">
      <c r="B282" s="38"/>
      <c r="C282" s="43"/>
      <c r="D282" s="44"/>
      <c r="E282" s="27" t="str">
        <f t="shared" si="4"/>
        <v/>
      </c>
    </row>
    <row r="283" spans="2:5" x14ac:dyDescent="0.2">
      <c r="B283" s="38"/>
      <c r="C283" s="43"/>
      <c r="D283" s="44"/>
      <c r="E283" s="27" t="str">
        <f t="shared" si="4"/>
        <v/>
      </c>
    </row>
    <row r="284" spans="2:5" x14ac:dyDescent="0.2">
      <c r="B284" s="38"/>
      <c r="C284" s="43"/>
      <c r="D284" s="44"/>
      <c r="E284" s="27" t="str">
        <f t="shared" si="4"/>
        <v/>
      </c>
    </row>
    <row r="285" spans="2:5" x14ac:dyDescent="0.2">
      <c r="B285" s="38"/>
      <c r="C285" s="43"/>
      <c r="D285" s="44"/>
      <c r="E285" s="27" t="str">
        <f t="shared" si="4"/>
        <v/>
      </c>
    </row>
    <row r="286" spans="2:5" x14ac:dyDescent="0.2">
      <c r="B286" s="38"/>
      <c r="C286" s="43"/>
      <c r="D286" s="44"/>
      <c r="E286" s="27" t="str">
        <f t="shared" si="4"/>
        <v/>
      </c>
    </row>
    <row r="287" spans="2:5" x14ac:dyDescent="0.2">
      <c r="B287" s="38"/>
      <c r="C287" s="43"/>
      <c r="D287" s="44"/>
      <c r="E287" s="27" t="str">
        <f t="shared" si="4"/>
        <v/>
      </c>
    </row>
    <row r="288" spans="2:5" x14ac:dyDescent="0.2">
      <c r="B288" s="38"/>
      <c r="C288" s="43"/>
      <c r="D288" s="44"/>
      <c r="E288" s="27" t="str">
        <f t="shared" si="4"/>
        <v/>
      </c>
    </row>
    <row r="289" spans="2:5" x14ac:dyDescent="0.2">
      <c r="B289" s="38"/>
      <c r="C289" s="43"/>
      <c r="D289" s="44"/>
      <c r="E289" s="27" t="str">
        <f t="shared" si="4"/>
        <v/>
      </c>
    </row>
    <row r="290" spans="2:5" x14ac:dyDescent="0.2">
      <c r="B290" s="38"/>
      <c r="C290" s="43"/>
      <c r="D290" s="44"/>
      <c r="E290" s="27" t="str">
        <f t="shared" si="4"/>
        <v/>
      </c>
    </row>
    <row r="291" spans="2:5" x14ac:dyDescent="0.2">
      <c r="B291" s="38"/>
      <c r="C291" s="43"/>
      <c r="D291" s="44"/>
      <c r="E291" s="27" t="str">
        <f t="shared" si="4"/>
        <v/>
      </c>
    </row>
    <row r="292" spans="2:5" x14ac:dyDescent="0.2">
      <c r="B292" s="38"/>
      <c r="C292" s="43"/>
      <c r="D292" s="44"/>
      <c r="E292" s="27" t="str">
        <f t="shared" si="4"/>
        <v/>
      </c>
    </row>
    <row r="293" spans="2:5" x14ac:dyDescent="0.2">
      <c r="B293" s="38"/>
      <c r="C293" s="43"/>
      <c r="D293" s="44"/>
      <c r="E293" s="27" t="str">
        <f t="shared" si="4"/>
        <v/>
      </c>
    </row>
    <row r="294" spans="2:5" x14ac:dyDescent="0.2">
      <c r="B294" s="38"/>
      <c r="C294" s="43"/>
      <c r="D294" s="44"/>
    </row>
    <row r="295" spans="2:5" x14ac:dyDescent="0.2">
      <c r="B295" s="38"/>
      <c r="C295" s="43"/>
      <c r="D295" s="44"/>
    </row>
    <row r="296" spans="2:5" x14ac:dyDescent="0.2">
      <c r="B296" s="38"/>
      <c r="C296" s="43"/>
      <c r="D296" s="44"/>
    </row>
    <row r="297" spans="2:5" x14ac:dyDescent="0.2">
      <c r="B297" s="38"/>
      <c r="C297" s="43"/>
      <c r="D297" s="44"/>
    </row>
    <row r="298" spans="2:5" x14ac:dyDescent="0.2">
      <c r="B298" s="38"/>
      <c r="C298" s="43"/>
      <c r="D298" s="44"/>
    </row>
    <row r="299" spans="2:5" x14ac:dyDescent="0.2">
      <c r="B299" s="38"/>
      <c r="C299" s="43"/>
      <c r="D299" s="44"/>
    </row>
    <row r="300" spans="2:5" x14ac:dyDescent="0.2">
      <c r="B300" s="38"/>
      <c r="C300" s="43"/>
      <c r="D300" s="44"/>
    </row>
    <row r="301" spans="2:5" x14ac:dyDescent="0.2">
      <c r="B301" s="38"/>
      <c r="C301" s="43"/>
      <c r="D301" s="44"/>
    </row>
    <row r="302" spans="2:5" ht="13.5" thickBot="1" x14ac:dyDescent="0.25">
      <c r="B302" s="45"/>
      <c r="C302" s="46"/>
      <c r="D302" s="47"/>
    </row>
  </sheetData>
  <sheetProtection sheet="1" objects="1" scenarios="1" selectLockedCells="1"/>
  <mergeCells count="1">
    <mergeCell ref="G2:L14"/>
  </mergeCells>
  <phoneticPr fontId="11"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48" zoomScaleNormal="100" workbookViewId="0">
      <selection activeCell="A173" sqref="A173:E195"/>
    </sheetView>
  </sheetViews>
  <sheetFormatPr baseColWidth="10" defaultColWidth="11.42578125" defaultRowHeight="12.75" x14ac:dyDescent="0.2"/>
  <cols>
    <col min="1" max="16384" width="11.42578125" style="62"/>
  </cols>
  <sheetData>
    <row r="1" spans="1:6" x14ac:dyDescent="0.2">
      <c r="A1" s="62">
        <v>0.5</v>
      </c>
      <c r="B1" s="62">
        <v>2</v>
      </c>
      <c r="C1" s="62">
        <v>1.5</v>
      </c>
      <c r="D1" s="62">
        <v>2.5</v>
      </c>
      <c r="E1" s="62">
        <v>3</v>
      </c>
      <c r="F1" s="62">
        <v>2</v>
      </c>
    </row>
    <row r="2" spans="1:6" x14ac:dyDescent="0.2">
      <c r="A2" s="62">
        <v>1.5</v>
      </c>
      <c r="B2" s="62">
        <v>2</v>
      </c>
      <c r="C2" s="62">
        <v>0.5</v>
      </c>
      <c r="D2" s="62">
        <v>1</v>
      </c>
      <c r="E2" s="62">
        <v>2</v>
      </c>
      <c r="F2" s="62">
        <v>2</v>
      </c>
    </row>
    <row r="3" spans="1:6" x14ac:dyDescent="0.2">
      <c r="A3" s="62">
        <v>0.5</v>
      </c>
      <c r="B3" s="62">
        <v>1.5</v>
      </c>
      <c r="C3" s="62">
        <v>1.5</v>
      </c>
      <c r="D3" s="62">
        <v>3</v>
      </c>
      <c r="E3" s="62">
        <v>3</v>
      </c>
      <c r="F3" s="62">
        <v>1</v>
      </c>
    </row>
    <row r="4" spans="1:6" x14ac:dyDescent="0.2">
      <c r="A4" s="62">
        <v>2</v>
      </c>
      <c r="B4" s="62">
        <v>2</v>
      </c>
      <c r="C4" s="62">
        <v>1</v>
      </c>
      <c r="D4" s="62">
        <v>3</v>
      </c>
      <c r="E4" s="62">
        <v>2.5</v>
      </c>
      <c r="F4" s="62">
        <v>2</v>
      </c>
    </row>
    <row r="5" spans="1:6" x14ac:dyDescent="0.2">
      <c r="A5" s="62">
        <v>2</v>
      </c>
      <c r="B5" s="62">
        <v>2</v>
      </c>
      <c r="C5" s="62">
        <v>2.5</v>
      </c>
      <c r="D5" s="62">
        <v>3</v>
      </c>
      <c r="E5" s="62">
        <v>2.5</v>
      </c>
      <c r="F5" s="62">
        <v>2</v>
      </c>
    </row>
    <row r="6" spans="1:6" x14ac:dyDescent="0.2">
      <c r="A6" s="62">
        <v>2</v>
      </c>
      <c r="B6" s="62">
        <v>2</v>
      </c>
      <c r="C6" s="62">
        <v>2</v>
      </c>
      <c r="D6" s="62">
        <v>2</v>
      </c>
      <c r="E6" s="62">
        <v>2.5</v>
      </c>
      <c r="F6" s="62">
        <v>2</v>
      </c>
    </row>
    <row r="7" spans="1:6" x14ac:dyDescent="0.2">
      <c r="A7" s="62">
        <v>1</v>
      </c>
      <c r="B7" s="62">
        <v>1.5</v>
      </c>
      <c r="C7" s="62">
        <v>3</v>
      </c>
      <c r="D7" s="62">
        <v>3</v>
      </c>
      <c r="E7" s="62">
        <v>3</v>
      </c>
      <c r="F7" s="62">
        <v>1</v>
      </c>
    </row>
    <row r="8" spans="1:6" x14ac:dyDescent="0.2">
      <c r="A8" s="62">
        <v>0.5</v>
      </c>
      <c r="B8" s="62">
        <v>2</v>
      </c>
      <c r="C8" s="62">
        <v>1.5</v>
      </c>
      <c r="D8" s="62">
        <v>1</v>
      </c>
      <c r="E8" s="62">
        <v>3</v>
      </c>
      <c r="F8" s="62">
        <v>1</v>
      </c>
    </row>
    <row r="9" spans="1:6" x14ac:dyDescent="0.2">
      <c r="A9" s="62">
        <v>1.5</v>
      </c>
      <c r="B9" s="62">
        <v>2</v>
      </c>
      <c r="C9" s="62">
        <v>1.5</v>
      </c>
      <c r="D9" s="62">
        <v>1</v>
      </c>
      <c r="E9" s="62">
        <v>2</v>
      </c>
      <c r="F9" s="62">
        <v>2</v>
      </c>
    </row>
    <row r="10" spans="1:6" x14ac:dyDescent="0.2">
      <c r="A10" s="62">
        <v>0.5</v>
      </c>
      <c r="B10" s="62">
        <v>1</v>
      </c>
      <c r="C10" s="62">
        <v>0</v>
      </c>
      <c r="D10" s="62">
        <v>1</v>
      </c>
      <c r="E10" s="62">
        <v>0.5</v>
      </c>
      <c r="F10" s="62">
        <v>0</v>
      </c>
    </row>
    <row r="11" spans="1:6" x14ac:dyDescent="0.2">
      <c r="A11" s="62">
        <v>0.5</v>
      </c>
      <c r="B11" s="62">
        <v>2</v>
      </c>
      <c r="C11" s="62">
        <v>1.5</v>
      </c>
      <c r="D11" s="62">
        <v>0</v>
      </c>
      <c r="E11" s="62">
        <v>1.5</v>
      </c>
      <c r="F11" s="62">
        <v>1</v>
      </c>
    </row>
    <row r="12" spans="1:6" x14ac:dyDescent="0.2">
      <c r="A12" s="62">
        <v>2</v>
      </c>
      <c r="B12" s="62">
        <v>2</v>
      </c>
      <c r="C12" s="62">
        <v>1</v>
      </c>
      <c r="D12" s="62">
        <v>3</v>
      </c>
      <c r="E12" s="62">
        <v>1.5</v>
      </c>
      <c r="F12" s="62">
        <v>2</v>
      </c>
    </row>
    <row r="13" spans="1:6" x14ac:dyDescent="0.2">
      <c r="A13" s="62">
        <v>1.5</v>
      </c>
      <c r="B13" s="62">
        <v>2</v>
      </c>
      <c r="C13" s="62">
        <v>1.5</v>
      </c>
      <c r="D13" s="62">
        <v>3</v>
      </c>
      <c r="E13" s="62">
        <v>3</v>
      </c>
      <c r="F13" s="62">
        <v>1.5</v>
      </c>
    </row>
    <row r="14" spans="1:6" x14ac:dyDescent="0.2">
      <c r="A14" s="62">
        <v>2</v>
      </c>
      <c r="B14" s="62">
        <v>2</v>
      </c>
      <c r="C14" s="62">
        <v>1.5</v>
      </c>
      <c r="D14" s="62">
        <v>3</v>
      </c>
      <c r="E14" s="62">
        <v>3</v>
      </c>
      <c r="F14" s="62">
        <v>2</v>
      </c>
    </row>
    <row r="15" spans="1:6" x14ac:dyDescent="0.2">
      <c r="A15" s="62">
        <v>1</v>
      </c>
      <c r="B15" s="62">
        <v>2</v>
      </c>
      <c r="C15" s="62">
        <v>1.5</v>
      </c>
      <c r="D15" s="62">
        <v>3</v>
      </c>
      <c r="E15" s="62">
        <v>2.5</v>
      </c>
      <c r="F15" s="62">
        <v>2</v>
      </c>
    </row>
    <row r="16" spans="1:6" x14ac:dyDescent="0.2">
      <c r="A16" s="62">
        <v>2</v>
      </c>
      <c r="B16" s="62">
        <v>0</v>
      </c>
      <c r="C16" s="62">
        <v>1</v>
      </c>
      <c r="D16" s="62">
        <v>1.5</v>
      </c>
      <c r="E16" s="62">
        <v>2</v>
      </c>
      <c r="F16" s="62">
        <v>1</v>
      </c>
    </row>
    <row r="17" spans="1:12" x14ac:dyDescent="0.2">
      <c r="A17" s="62">
        <v>0.5</v>
      </c>
      <c r="B17" s="62">
        <v>0</v>
      </c>
      <c r="C17" s="62">
        <v>0</v>
      </c>
      <c r="D17" s="62">
        <v>0</v>
      </c>
      <c r="E17" s="62">
        <v>0.5</v>
      </c>
      <c r="F17" s="62">
        <v>0</v>
      </c>
    </row>
    <row r="18" spans="1:12" x14ac:dyDescent="0.2">
      <c r="A18" s="62">
        <v>2</v>
      </c>
      <c r="B18" s="62">
        <v>2</v>
      </c>
      <c r="C18" s="62">
        <v>1</v>
      </c>
      <c r="D18" s="62">
        <v>1</v>
      </c>
      <c r="E18" s="62">
        <v>3</v>
      </c>
      <c r="F18" s="62">
        <v>1</v>
      </c>
    </row>
    <row r="19" spans="1:12" x14ac:dyDescent="0.2">
      <c r="A19" s="62">
        <v>0.5</v>
      </c>
      <c r="B19" s="62">
        <v>2</v>
      </c>
      <c r="C19" s="62">
        <v>1</v>
      </c>
      <c r="D19" s="62">
        <v>2.5</v>
      </c>
      <c r="E19" s="62">
        <v>1.5</v>
      </c>
      <c r="F19" s="62">
        <v>2</v>
      </c>
    </row>
    <row r="20" spans="1:12" x14ac:dyDescent="0.2">
      <c r="A20" s="62">
        <v>1</v>
      </c>
      <c r="B20" s="62">
        <v>2</v>
      </c>
      <c r="C20" s="62">
        <v>2.5</v>
      </c>
      <c r="D20" s="62">
        <v>3</v>
      </c>
      <c r="E20" s="62">
        <v>3</v>
      </c>
      <c r="F20" s="62">
        <v>2</v>
      </c>
    </row>
    <row r="21" spans="1:12" x14ac:dyDescent="0.2">
      <c r="A21" s="62">
        <v>2</v>
      </c>
      <c r="B21" s="62">
        <v>2</v>
      </c>
      <c r="C21" s="62">
        <v>1.5</v>
      </c>
      <c r="D21" s="62">
        <v>3</v>
      </c>
      <c r="E21" s="62">
        <v>3</v>
      </c>
      <c r="F21" s="62">
        <v>2</v>
      </c>
    </row>
    <row r="22" spans="1:12" x14ac:dyDescent="0.2">
      <c r="A22" s="62">
        <v>0.5</v>
      </c>
      <c r="B22" s="62">
        <v>1.5</v>
      </c>
      <c r="C22" s="62">
        <v>1</v>
      </c>
      <c r="D22" s="62">
        <v>3</v>
      </c>
      <c r="E22" s="62">
        <v>3</v>
      </c>
      <c r="F22" s="62">
        <v>1</v>
      </c>
    </row>
    <row r="23" spans="1:12" x14ac:dyDescent="0.2">
      <c r="A23" s="62">
        <v>0.5</v>
      </c>
      <c r="B23" s="62">
        <v>2</v>
      </c>
      <c r="C23" s="62">
        <v>1.5</v>
      </c>
      <c r="D23" s="62">
        <v>0.5</v>
      </c>
      <c r="E23" s="62">
        <v>1.5</v>
      </c>
      <c r="F23" s="62">
        <v>1</v>
      </c>
    </row>
    <row r="25" spans="1:12" x14ac:dyDescent="0.2">
      <c r="A25" s="62">
        <v>1.5</v>
      </c>
      <c r="B25" s="62">
        <v>3</v>
      </c>
      <c r="C25" s="62">
        <v>3</v>
      </c>
      <c r="D25" s="62">
        <v>3</v>
      </c>
      <c r="E25" s="62">
        <v>3</v>
      </c>
      <c r="F25" s="62">
        <v>4</v>
      </c>
      <c r="G25" s="62">
        <v>3</v>
      </c>
      <c r="H25" s="62">
        <v>0</v>
      </c>
      <c r="I25" s="62">
        <v>2</v>
      </c>
      <c r="J25" s="62">
        <v>0</v>
      </c>
      <c r="K25" s="62">
        <v>4</v>
      </c>
      <c r="L25" s="62">
        <v>2.5</v>
      </c>
    </row>
    <row r="26" spans="1:12" x14ac:dyDescent="0.2">
      <c r="A26" s="62">
        <v>0.5</v>
      </c>
      <c r="B26" s="62">
        <v>2.5</v>
      </c>
      <c r="C26" s="62">
        <v>3</v>
      </c>
      <c r="D26" s="62">
        <v>3</v>
      </c>
      <c r="E26" s="62">
        <v>3</v>
      </c>
      <c r="F26" s="62">
        <v>4</v>
      </c>
      <c r="G26" s="62">
        <v>0</v>
      </c>
      <c r="H26" s="62">
        <v>0</v>
      </c>
      <c r="I26" s="62">
        <v>1.5</v>
      </c>
      <c r="J26" s="62">
        <v>0</v>
      </c>
      <c r="K26" s="62">
        <v>1</v>
      </c>
      <c r="L26" s="62">
        <v>2</v>
      </c>
    </row>
    <row r="27" spans="1:12" x14ac:dyDescent="0.2">
      <c r="A27" s="62">
        <v>1</v>
      </c>
      <c r="B27" s="62">
        <v>2</v>
      </c>
      <c r="C27" s="62">
        <v>0</v>
      </c>
      <c r="D27" s="62">
        <v>1</v>
      </c>
      <c r="E27" s="62">
        <v>3</v>
      </c>
      <c r="F27" s="62">
        <v>2.5</v>
      </c>
      <c r="G27" s="62">
        <v>0</v>
      </c>
      <c r="H27" s="62">
        <v>0</v>
      </c>
      <c r="I27" s="62">
        <v>0</v>
      </c>
      <c r="J27" s="62">
        <v>2</v>
      </c>
      <c r="K27" s="62">
        <v>0</v>
      </c>
      <c r="L27" s="62">
        <v>0</v>
      </c>
    </row>
    <row r="28" spans="1:12" x14ac:dyDescent="0.2">
      <c r="A28" s="62">
        <v>1</v>
      </c>
      <c r="B28" s="62">
        <v>3</v>
      </c>
      <c r="C28" s="62">
        <v>3</v>
      </c>
      <c r="D28" s="62">
        <v>3</v>
      </c>
      <c r="E28" s="62">
        <v>3</v>
      </c>
      <c r="F28" s="62">
        <v>4</v>
      </c>
      <c r="G28" s="62">
        <v>1.5</v>
      </c>
      <c r="H28" s="62">
        <v>0</v>
      </c>
      <c r="I28" s="62">
        <v>1.5</v>
      </c>
      <c r="J28" s="62">
        <v>3</v>
      </c>
      <c r="K28" s="62">
        <v>3</v>
      </c>
      <c r="L28" s="62">
        <v>0</v>
      </c>
    </row>
    <row r="29" spans="1:12" x14ac:dyDescent="0.2">
      <c r="A29" s="62">
        <v>2</v>
      </c>
      <c r="B29" s="62">
        <v>2</v>
      </c>
      <c r="C29" s="62">
        <v>3.5</v>
      </c>
      <c r="D29" s="62">
        <v>2.5</v>
      </c>
      <c r="E29" s="62">
        <v>2</v>
      </c>
      <c r="F29" s="62">
        <v>1</v>
      </c>
      <c r="G29" s="62">
        <v>0.5</v>
      </c>
      <c r="H29" s="62">
        <v>2.5</v>
      </c>
      <c r="I29" s="62">
        <v>2</v>
      </c>
      <c r="J29" s="62">
        <v>3.5</v>
      </c>
      <c r="K29" s="62">
        <v>3</v>
      </c>
      <c r="L29" s="62">
        <v>2.5</v>
      </c>
    </row>
    <row r="30" spans="1:12" x14ac:dyDescent="0.2">
      <c r="A30" s="62">
        <v>2</v>
      </c>
      <c r="B30" s="62">
        <v>3</v>
      </c>
      <c r="C30" s="62">
        <v>4</v>
      </c>
      <c r="D30" s="62">
        <v>3</v>
      </c>
      <c r="E30" s="62">
        <v>3</v>
      </c>
      <c r="F30" s="62">
        <v>4</v>
      </c>
      <c r="G30" s="62">
        <v>3</v>
      </c>
      <c r="H30" s="62">
        <v>4</v>
      </c>
      <c r="I30" s="62">
        <v>2</v>
      </c>
      <c r="J30" s="62">
        <v>5</v>
      </c>
      <c r="K30" s="62">
        <v>4</v>
      </c>
      <c r="L30" s="62">
        <v>3</v>
      </c>
    </row>
    <row r="31" spans="1:12" x14ac:dyDescent="0.2">
      <c r="A31" s="62">
        <v>1.5</v>
      </c>
      <c r="B31" s="62">
        <v>2.5</v>
      </c>
      <c r="C31" s="62">
        <v>4</v>
      </c>
      <c r="D31" s="62">
        <v>2</v>
      </c>
      <c r="E31" s="62">
        <v>2</v>
      </c>
      <c r="F31" s="62">
        <v>2.5</v>
      </c>
      <c r="G31" s="62">
        <v>0.5</v>
      </c>
      <c r="H31" s="62">
        <v>3</v>
      </c>
      <c r="I31" s="62">
        <v>1</v>
      </c>
      <c r="J31" s="62">
        <v>3.5</v>
      </c>
      <c r="K31" s="62">
        <v>2</v>
      </c>
      <c r="L31" s="62">
        <v>1.5</v>
      </c>
    </row>
    <row r="32" spans="1:12" x14ac:dyDescent="0.2">
      <c r="A32" s="62">
        <v>1.5</v>
      </c>
      <c r="B32" s="62">
        <v>1</v>
      </c>
      <c r="C32" s="62">
        <v>2.5</v>
      </c>
      <c r="D32" s="62">
        <v>3</v>
      </c>
      <c r="E32" s="62">
        <v>3</v>
      </c>
      <c r="F32" s="62">
        <v>3.5</v>
      </c>
      <c r="G32" s="62">
        <v>0</v>
      </c>
      <c r="H32" s="62">
        <v>0</v>
      </c>
      <c r="I32" s="62">
        <v>2</v>
      </c>
      <c r="J32" s="62">
        <v>0</v>
      </c>
      <c r="K32" s="62">
        <v>0</v>
      </c>
      <c r="L32" s="62">
        <v>0</v>
      </c>
    </row>
    <row r="33" spans="1:12" x14ac:dyDescent="0.2">
      <c r="A33" s="62">
        <v>1.5</v>
      </c>
      <c r="B33" s="62">
        <v>3</v>
      </c>
      <c r="C33" s="62">
        <v>4</v>
      </c>
      <c r="D33" s="62">
        <v>3</v>
      </c>
      <c r="E33" s="62">
        <v>2</v>
      </c>
      <c r="F33" s="62">
        <v>1</v>
      </c>
      <c r="G33" s="62">
        <v>0</v>
      </c>
      <c r="H33" s="62">
        <v>0</v>
      </c>
      <c r="I33" s="62">
        <v>0</v>
      </c>
      <c r="J33" s="62">
        <v>0</v>
      </c>
      <c r="K33" s="62">
        <v>0</v>
      </c>
      <c r="L33" s="62">
        <v>0</v>
      </c>
    </row>
    <row r="34" spans="1:12" x14ac:dyDescent="0.2">
      <c r="A34" s="62">
        <v>0</v>
      </c>
      <c r="B34" s="62">
        <v>1.5</v>
      </c>
      <c r="C34" s="62">
        <v>2.5</v>
      </c>
      <c r="D34" s="62">
        <v>0</v>
      </c>
      <c r="E34" s="62">
        <v>1</v>
      </c>
      <c r="F34" s="62">
        <v>1</v>
      </c>
      <c r="G34" s="62">
        <v>0</v>
      </c>
      <c r="H34" s="62">
        <v>0</v>
      </c>
      <c r="I34" s="62">
        <v>1</v>
      </c>
      <c r="J34" s="62">
        <v>0</v>
      </c>
      <c r="K34" s="62">
        <v>1</v>
      </c>
      <c r="L34" s="62">
        <v>0.5</v>
      </c>
    </row>
    <row r="35" spans="1:12" x14ac:dyDescent="0.2">
      <c r="A35" s="62">
        <v>1</v>
      </c>
      <c r="B35" s="62">
        <v>1.5</v>
      </c>
      <c r="C35" s="62">
        <v>4</v>
      </c>
      <c r="D35" s="62">
        <v>1.5</v>
      </c>
      <c r="E35" s="62">
        <v>2</v>
      </c>
      <c r="F35" s="62">
        <v>3.5</v>
      </c>
      <c r="G35" s="62">
        <v>0</v>
      </c>
      <c r="H35" s="62">
        <v>0</v>
      </c>
      <c r="I35" s="62">
        <v>0</v>
      </c>
      <c r="J35" s="62">
        <v>0</v>
      </c>
      <c r="K35" s="62">
        <v>1</v>
      </c>
      <c r="L35" s="62">
        <v>0</v>
      </c>
    </row>
    <row r="36" spans="1:12" x14ac:dyDescent="0.2">
      <c r="A36" s="62">
        <v>2</v>
      </c>
      <c r="B36" s="62">
        <v>3</v>
      </c>
      <c r="C36" s="62">
        <v>4</v>
      </c>
      <c r="D36" s="62">
        <v>3</v>
      </c>
      <c r="E36" s="62">
        <v>3</v>
      </c>
      <c r="F36" s="62">
        <v>4</v>
      </c>
      <c r="G36" s="62">
        <v>3</v>
      </c>
      <c r="H36" s="62">
        <v>0</v>
      </c>
      <c r="I36" s="62">
        <v>2</v>
      </c>
      <c r="J36" s="62">
        <v>3</v>
      </c>
      <c r="K36" s="62">
        <v>3</v>
      </c>
      <c r="L36" s="62">
        <v>2</v>
      </c>
    </row>
    <row r="37" spans="1:12" x14ac:dyDescent="0.2">
      <c r="A37" s="62">
        <v>0.5</v>
      </c>
      <c r="B37" s="62">
        <v>1.5</v>
      </c>
      <c r="C37" s="62">
        <v>4</v>
      </c>
      <c r="D37" s="62">
        <v>3</v>
      </c>
      <c r="E37" s="62">
        <v>3</v>
      </c>
      <c r="F37" s="62">
        <v>3.5</v>
      </c>
      <c r="G37" s="62">
        <v>0</v>
      </c>
      <c r="H37" s="62">
        <v>0</v>
      </c>
      <c r="I37" s="62">
        <v>2</v>
      </c>
      <c r="J37" s="62">
        <v>4.5</v>
      </c>
      <c r="K37" s="62">
        <v>0</v>
      </c>
      <c r="L37" s="62">
        <v>0</v>
      </c>
    </row>
    <row r="38" spans="1:12" x14ac:dyDescent="0.2">
      <c r="A38" s="62">
        <v>1.5</v>
      </c>
      <c r="B38" s="62">
        <v>2.5</v>
      </c>
      <c r="C38" s="62">
        <v>3</v>
      </c>
      <c r="D38" s="62">
        <v>2.5</v>
      </c>
      <c r="E38" s="62">
        <v>2</v>
      </c>
      <c r="F38" s="62">
        <v>4</v>
      </c>
      <c r="G38" s="62">
        <v>0</v>
      </c>
      <c r="H38" s="62">
        <v>0</v>
      </c>
      <c r="I38" s="62">
        <v>0</v>
      </c>
      <c r="J38" s="62">
        <v>0</v>
      </c>
      <c r="K38" s="62">
        <v>1</v>
      </c>
      <c r="L38" s="62">
        <v>0</v>
      </c>
    </row>
    <row r="39" spans="1:12" x14ac:dyDescent="0.2">
      <c r="A39" s="62">
        <v>1.5</v>
      </c>
      <c r="B39" s="62">
        <v>3</v>
      </c>
      <c r="C39" s="62">
        <v>4</v>
      </c>
      <c r="D39" s="62">
        <v>3</v>
      </c>
      <c r="E39" s="62">
        <v>2.5</v>
      </c>
      <c r="F39" s="62">
        <v>3.5</v>
      </c>
      <c r="G39" s="62">
        <v>0.5</v>
      </c>
      <c r="H39" s="62">
        <v>0</v>
      </c>
      <c r="I39" s="62">
        <v>2</v>
      </c>
      <c r="J39" s="62">
        <v>3.5</v>
      </c>
      <c r="K39" s="62">
        <v>3.5</v>
      </c>
      <c r="L39" s="62">
        <v>0.5</v>
      </c>
    </row>
    <row r="40" spans="1:12" x14ac:dyDescent="0.2">
      <c r="A40" s="62">
        <v>1.5</v>
      </c>
      <c r="B40" s="62">
        <v>3</v>
      </c>
      <c r="C40" s="62">
        <v>4</v>
      </c>
      <c r="D40" s="62">
        <v>3</v>
      </c>
      <c r="E40" s="62">
        <v>3</v>
      </c>
      <c r="F40" s="62">
        <v>4</v>
      </c>
      <c r="G40" s="62">
        <v>0</v>
      </c>
      <c r="H40" s="62">
        <v>1.5</v>
      </c>
      <c r="I40" s="62">
        <v>0</v>
      </c>
      <c r="J40" s="62">
        <v>2</v>
      </c>
      <c r="K40" s="62">
        <v>0</v>
      </c>
      <c r="L40" s="62">
        <v>0</v>
      </c>
    </row>
    <row r="41" spans="1:12" x14ac:dyDescent="0.2">
      <c r="A41" s="62">
        <v>1.5</v>
      </c>
      <c r="B41" s="62">
        <v>1.5</v>
      </c>
      <c r="C41" s="62">
        <v>0</v>
      </c>
      <c r="D41" s="62">
        <v>1.5</v>
      </c>
      <c r="E41" s="62">
        <v>1</v>
      </c>
      <c r="F41" s="62">
        <v>1</v>
      </c>
      <c r="G41" s="62">
        <v>0</v>
      </c>
      <c r="H41" s="62">
        <v>0</v>
      </c>
      <c r="I41" s="62">
        <v>0</v>
      </c>
      <c r="J41" s="62">
        <v>0</v>
      </c>
      <c r="K41" s="62">
        <v>0</v>
      </c>
      <c r="L41" s="62">
        <v>0</v>
      </c>
    </row>
    <row r="42" spans="1:12" x14ac:dyDescent="0.2">
      <c r="A42" s="62">
        <v>1</v>
      </c>
      <c r="B42" s="62">
        <v>2.5</v>
      </c>
      <c r="C42" s="62">
        <v>2</v>
      </c>
      <c r="D42" s="62">
        <v>3</v>
      </c>
      <c r="E42" s="62">
        <v>2.5</v>
      </c>
      <c r="F42" s="62">
        <v>3.5</v>
      </c>
      <c r="G42" s="62">
        <v>0</v>
      </c>
      <c r="H42" s="62">
        <v>0</v>
      </c>
      <c r="I42" s="62">
        <v>1.5</v>
      </c>
      <c r="J42" s="62">
        <v>0</v>
      </c>
      <c r="K42" s="62">
        <v>0</v>
      </c>
      <c r="L42" s="62">
        <v>0</v>
      </c>
    </row>
    <row r="43" spans="1:12" x14ac:dyDescent="0.2">
      <c r="A43" s="62">
        <v>1.5</v>
      </c>
      <c r="B43" s="62">
        <v>2</v>
      </c>
      <c r="C43" s="62">
        <v>3</v>
      </c>
      <c r="D43" s="62">
        <v>0.5</v>
      </c>
      <c r="E43" s="62">
        <v>1</v>
      </c>
      <c r="F43" s="62">
        <v>4</v>
      </c>
      <c r="G43" s="62">
        <v>0.5</v>
      </c>
      <c r="H43" s="62">
        <v>0</v>
      </c>
      <c r="I43" s="62">
        <v>2</v>
      </c>
      <c r="J43" s="62">
        <v>0</v>
      </c>
      <c r="K43" s="62">
        <v>2</v>
      </c>
      <c r="L43" s="62">
        <v>0</v>
      </c>
    </row>
    <row r="44" spans="1:12" x14ac:dyDescent="0.2">
      <c r="A44" s="62">
        <v>1.5</v>
      </c>
      <c r="B44" s="62">
        <v>3</v>
      </c>
      <c r="C44" s="62">
        <v>3.5</v>
      </c>
      <c r="D44" s="62">
        <v>2.5</v>
      </c>
      <c r="E44" s="62">
        <v>2</v>
      </c>
      <c r="F44" s="62">
        <v>3.5</v>
      </c>
      <c r="G44" s="62">
        <v>2</v>
      </c>
      <c r="H44" s="62">
        <v>0</v>
      </c>
      <c r="I44" s="62">
        <v>1.5</v>
      </c>
      <c r="J44" s="62">
        <v>3.5</v>
      </c>
      <c r="K44" s="62">
        <v>3</v>
      </c>
      <c r="L44" s="62">
        <v>0</v>
      </c>
    </row>
    <row r="45" spans="1:12" x14ac:dyDescent="0.2">
      <c r="A45" s="62">
        <v>2</v>
      </c>
      <c r="B45" s="62">
        <v>2.5</v>
      </c>
      <c r="C45" s="62">
        <v>4</v>
      </c>
      <c r="D45" s="62">
        <v>3</v>
      </c>
      <c r="E45" s="62">
        <v>2.5</v>
      </c>
      <c r="F45" s="62">
        <v>3</v>
      </c>
      <c r="G45" s="62">
        <v>3</v>
      </c>
      <c r="H45" s="62">
        <v>0</v>
      </c>
      <c r="I45" s="62">
        <v>2</v>
      </c>
      <c r="J45" s="62">
        <v>4.5</v>
      </c>
      <c r="K45" s="62">
        <v>3</v>
      </c>
      <c r="L45" s="62">
        <v>3</v>
      </c>
    </row>
    <row r="46" spans="1:12" x14ac:dyDescent="0.2">
      <c r="A46" s="62">
        <v>0.5</v>
      </c>
      <c r="B46" s="62">
        <v>3</v>
      </c>
      <c r="C46" s="62">
        <v>4</v>
      </c>
      <c r="D46" s="62">
        <v>2</v>
      </c>
      <c r="E46" s="62">
        <v>2.5</v>
      </c>
      <c r="F46" s="62">
        <v>3</v>
      </c>
      <c r="G46" s="62">
        <v>1.5</v>
      </c>
      <c r="H46" s="62">
        <v>0</v>
      </c>
      <c r="I46" s="62">
        <v>2</v>
      </c>
      <c r="J46" s="62">
        <v>2.5</v>
      </c>
      <c r="K46" s="62">
        <v>2.5</v>
      </c>
      <c r="L46" s="62">
        <v>2.5</v>
      </c>
    </row>
    <row r="47" spans="1:12" x14ac:dyDescent="0.2">
      <c r="A47" s="62">
        <v>1</v>
      </c>
      <c r="B47" s="62">
        <v>2.5</v>
      </c>
      <c r="C47" s="62">
        <v>3.5</v>
      </c>
      <c r="D47" s="62">
        <v>3</v>
      </c>
      <c r="E47" s="62">
        <v>2</v>
      </c>
      <c r="F47" s="62">
        <v>4</v>
      </c>
      <c r="G47" s="62">
        <v>0</v>
      </c>
      <c r="H47" s="62">
        <v>0</v>
      </c>
      <c r="I47" s="62">
        <v>0</v>
      </c>
      <c r="J47" s="62">
        <v>0</v>
      </c>
      <c r="K47" s="62">
        <v>1</v>
      </c>
      <c r="L47" s="62">
        <v>0</v>
      </c>
    </row>
    <row r="49" spans="1:3" x14ac:dyDescent="0.2">
      <c r="A49" s="62">
        <v>2.5</v>
      </c>
      <c r="B49" s="62">
        <v>1</v>
      </c>
      <c r="C49" s="62">
        <v>0.5</v>
      </c>
    </row>
    <row r="50" spans="1:3" x14ac:dyDescent="0.2">
      <c r="A50" s="62">
        <v>5</v>
      </c>
      <c r="B50" s="62">
        <v>1.5</v>
      </c>
      <c r="C50" s="62">
        <v>1</v>
      </c>
    </row>
    <row r="51" spans="1:3" x14ac:dyDescent="0.2">
      <c r="A51" s="62">
        <v>2.5</v>
      </c>
      <c r="B51" s="62">
        <v>0</v>
      </c>
      <c r="C51" s="62">
        <v>1</v>
      </c>
    </row>
    <row r="52" spans="1:3" x14ac:dyDescent="0.2">
      <c r="A52" s="62">
        <v>2.5</v>
      </c>
      <c r="B52" s="62">
        <v>1</v>
      </c>
      <c r="C52" s="62">
        <v>1</v>
      </c>
    </row>
    <row r="53" spans="1:3" x14ac:dyDescent="0.2">
      <c r="A53" s="62">
        <v>2.5</v>
      </c>
      <c r="B53" s="62">
        <v>2</v>
      </c>
      <c r="C53" s="62">
        <v>3</v>
      </c>
    </row>
    <row r="54" spans="1:3" x14ac:dyDescent="0.2">
      <c r="A54" s="62">
        <v>3</v>
      </c>
      <c r="B54" s="62">
        <v>2</v>
      </c>
      <c r="C54" s="62">
        <v>3</v>
      </c>
    </row>
    <row r="55" spans="1:3" x14ac:dyDescent="0.2">
      <c r="A55" s="62">
        <v>5</v>
      </c>
      <c r="B55" s="62">
        <v>2</v>
      </c>
      <c r="C55" s="62">
        <v>3</v>
      </c>
    </row>
    <row r="56" spans="1:3" x14ac:dyDescent="0.2">
      <c r="A56" s="62">
        <v>5</v>
      </c>
      <c r="B56" s="62">
        <v>2</v>
      </c>
      <c r="C56" s="62">
        <v>3</v>
      </c>
    </row>
    <row r="57" spans="1:3" x14ac:dyDescent="0.2">
      <c r="A57" s="62">
        <v>4</v>
      </c>
      <c r="B57" s="62">
        <v>0</v>
      </c>
      <c r="C57" s="62">
        <v>3</v>
      </c>
    </row>
    <row r="58" spans="1:3" x14ac:dyDescent="0.2">
      <c r="A58" s="62">
        <v>2.5</v>
      </c>
      <c r="B58" s="62">
        <v>2</v>
      </c>
      <c r="C58" s="62">
        <v>0</v>
      </c>
    </row>
    <row r="59" spans="1:3" x14ac:dyDescent="0.2">
      <c r="A59" s="62">
        <v>2</v>
      </c>
      <c r="B59" s="62">
        <v>0</v>
      </c>
      <c r="C59" s="62">
        <v>0</v>
      </c>
    </row>
    <row r="60" spans="1:3" x14ac:dyDescent="0.2">
      <c r="A60" s="62">
        <v>2.5</v>
      </c>
      <c r="B60" s="62">
        <v>0</v>
      </c>
      <c r="C60" s="62">
        <v>2</v>
      </c>
    </row>
    <row r="61" spans="1:3" x14ac:dyDescent="0.2">
      <c r="A61" s="62">
        <v>5</v>
      </c>
      <c r="B61" s="62">
        <v>1</v>
      </c>
      <c r="C61" s="62">
        <v>3</v>
      </c>
    </row>
    <row r="62" spans="1:3" x14ac:dyDescent="0.2">
      <c r="A62" s="62">
        <v>5</v>
      </c>
      <c r="B62" s="62">
        <v>1.5</v>
      </c>
      <c r="C62" s="62">
        <v>0.5</v>
      </c>
    </row>
    <row r="63" spans="1:3" x14ac:dyDescent="0.2">
      <c r="A63" s="62">
        <v>2.5</v>
      </c>
      <c r="B63" s="62">
        <v>0</v>
      </c>
      <c r="C63" s="62">
        <v>1</v>
      </c>
    </row>
    <row r="64" spans="1:3" x14ac:dyDescent="0.2">
      <c r="A64" s="62">
        <v>5</v>
      </c>
      <c r="B64" s="62">
        <v>1</v>
      </c>
      <c r="C64" s="62">
        <v>1</v>
      </c>
    </row>
    <row r="65" spans="1:6" x14ac:dyDescent="0.2">
      <c r="A65" s="62">
        <v>5</v>
      </c>
      <c r="B65" s="62">
        <v>1</v>
      </c>
      <c r="C65" s="62">
        <v>3</v>
      </c>
    </row>
    <row r="66" spans="1:6" x14ac:dyDescent="0.2">
      <c r="A66" s="62">
        <v>2.5</v>
      </c>
      <c r="B66" s="62">
        <v>1</v>
      </c>
      <c r="C66" s="62">
        <v>1</v>
      </c>
    </row>
    <row r="67" spans="1:6" x14ac:dyDescent="0.2">
      <c r="A67" s="62">
        <v>5</v>
      </c>
      <c r="B67" s="62">
        <v>0</v>
      </c>
      <c r="C67" s="62">
        <v>0.5</v>
      </c>
    </row>
    <row r="68" spans="1:6" x14ac:dyDescent="0.2">
      <c r="A68" s="62">
        <v>3</v>
      </c>
      <c r="B68" s="62">
        <v>0</v>
      </c>
      <c r="C68" s="62">
        <v>0</v>
      </c>
    </row>
    <row r="69" spans="1:6" x14ac:dyDescent="0.2">
      <c r="A69" s="62">
        <v>4</v>
      </c>
      <c r="B69" s="62">
        <v>1</v>
      </c>
      <c r="C69" s="62">
        <v>1</v>
      </c>
    </row>
    <row r="70" spans="1:6" x14ac:dyDescent="0.2">
      <c r="A70" s="62">
        <v>5</v>
      </c>
      <c r="B70" s="62">
        <v>2</v>
      </c>
      <c r="C70" s="62">
        <v>3</v>
      </c>
    </row>
    <row r="71" spans="1:6" x14ac:dyDescent="0.2">
      <c r="A71" s="62">
        <v>5</v>
      </c>
      <c r="B71" s="62">
        <v>2</v>
      </c>
      <c r="C71" s="62">
        <v>1</v>
      </c>
    </row>
    <row r="73" spans="1:6" x14ac:dyDescent="0.2">
      <c r="A73" s="62">
        <v>2</v>
      </c>
      <c r="B73" s="62">
        <v>2</v>
      </c>
      <c r="C73" s="62">
        <v>2</v>
      </c>
      <c r="D73" s="62">
        <v>4</v>
      </c>
      <c r="E73" s="62">
        <v>3</v>
      </c>
      <c r="F73" s="62">
        <v>7</v>
      </c>
    </row>
    <row r="74" spans="1:6" x14ac:dyDescent="0.2">
      <c r="A74" s="62">
        <v>1</v>
      </c>
      <c r="B74" s="62">
        <v>2</v>
      </c>
      <c r="C74" s="62">
        <v>1</v>
      </c>
      <c r="D74" s="62">
        <v>2</v>
      </c>
      <c r="E74" s="62">
        <v>1</v>
      </c>
      <c r="F74" s="62">
        <v>7</v>
      </c>
    </row>
    <row r="75" spans="1:6" x14ac:dyDescent="0.2">
      <c r="A75" s="62">
        <v>2</v>
      </c>
      <c r="B75" s="62">
        <v>2</v>
      </c>
      <c r="C75" s="62">
        <v>1</v>
      </c>
      <c r="D75" s="62">
        <v>3</v>
      </c>
      <c r="E75" s="62">
        <v>0</v>
      </c>
      <c r="F75" s="62">
        <v>5</v>
      </c>
    </row>
    <row r="76" spans="1:6" x14ac:dyDescent="0.2">
      <c r="A76" s="62">
        <v>2</v>
      </c>
      <c r="B76" s="62">
        <v>2</v>
      </c>
      <c r="C76" s="62">
        <v>1</v>
      </c>
      <c r="D76" s="62">
        <v>4</v>
      </c>
      <c r="E76" s="62">
        <v>0</v>
      </c>
      <c r="F76" s="62">
        <v>6.5</v>
      </c>
    </row>
    <row r="77" spans="1:6" x14ac:dyDescent="0.2">
      <c r="A77" s="62">
        <v>1</v>
      </c>
      <c r="B77" s="62">
        <v>1</v>
      </c>
      <c r="C77" s="62">
        <v>1</v>
      </c>
      <c r="D77" s="62">
        <v>1.5</v>
      </c>
      <c r="E77" s="62">
        <v>0</v>
      </c>
      <c r="F77" s="62">
        <v>4</v>
      </c>
    </row>
    <row r="78" spans="1:6" x14ac:dyDescent="0.2">
      <c r="A78" s="62">
        <v>2</v>
      </c>
      <c r="B78" s="62">
        <v>0.5</v>
      </c>
      <c r="C78" s="62">
        <v>1</v>
      </c>
      <c r="D78" s="62">
        <v>4</v>
      </c>
      <c r="E78" s="62">
        <v>3</v>
      </c>
      <c r="F78" s="62">
        <v>6</v>
      </c>
    </row>
    <row r="79" spans="1:6" x14ac:dyDescent="0.2">
      <c r="A79" s="62">
        <v>2</v>
      </c>
      <c r="B79" s="62">
        <v>2</v>
      </c>
      <c r="C79" s="62">
        <v>2</v>
      </c>
      <c r="D79" s="62">
        <v>2.5</v>
      </c>
      <c r="E79" s="62">
        <v>0</v>
      </c>
      <c r="F79" s="62">
        <v>0.5</v>
      </c>
    </row>
    <row r="80" spans="1:6" x14ac:dyDescent="0.2">
      <c r="A80" s="62">
        <v>2</v>
      </c>
      <c r="B80" s="62">
        <v>2</v>
      </c>
      <c r="C80" s="62">
        <v>2</v>
      </c>
      <c r="D80" s="62">
        <v>2</v>
      </c>
      <c r="E80" s="62">
        <v>0.5</v>
      </c>
      <c r="F80" s="62">
        <v>7</v>
      </c>
    </row>
    <row r="81" spans="1:6" x14ac:dyDescent="0.2">
      <c r="A81" s="62">
        <v>2</v>
      </c>
      <c r="B81" s="62">
        <v>2</v>
      </c>
      <c r="C81" s="62">
        <v>2</v>
      </c>
      <c r="D81" s="62">
        <v>4</v>
      </c>
      <c r="E81" s="62">
        <v>3</v>
      </c>
      <c r="F81" s="62">
        <v>7</v>
      </c>
    </row>
    <row r="82" spans="1:6" x14ac:dyDescent="0.2">
      <c r="A82" s="62">
        <v>2</v>
      </c>
      <c r="B82" s="62">
        <v>2</v>
      </c>
      <c r="C82" s="62">
        <v>2</v>
      </c>
      <c r="D82" s="62">
        <v>2</v>
      </c>
      <c r="E82" s="62">
        <v>0</v>
      </c>
      <c r="F82" s="62">
        <v>7</v>
      </c>
    </row>
    <row r="83" spans="1:6" x14ac:dyDescent="0.2">
      <c r="A83" s="62">
        <v>1</v>
      </c>
      <c r="B83" s="62">
        <v>0</v>
      </c>
      <c r="C83" s="62">
        <v>2</v>
      </c>
      <c r="D83" s="62">
        <v>1.5</v>
      </c>
      <c r="E83" s="62">
        <v>2</v>
      </c>
      <c r="F83" s="62">
        <v>3</v>
      </c>
    </row>
    <row r="84" spans="1:6" x14ac:dyDescent="0.2">
      <c r="A84" s="62">
        <v>2</v>
      </c>
      <c r="B84" s="62">
        <v>2</v>
      </c>
      <c r="C84" s="62">
        <v>1</v>
      </c>
      <c r="D84" s="62">
        <v>0.5</v>
      </c>
      <c r="E84" s="62">
        <v>0</v>
      </c>
      <c r="F84" s="62">
        <v>2</v>
      </c>
    </row>
    <row r="85" spans="1:6" x14ac:dyDescent="0.2">
      <c r="A85" s="62">
        <v>2</v>
      </c>
      <c r="B85" s="62">
        <v>0</v>
      </c>
      <c r="C85" s="62">
        <v>1.5</v>
      </c>
      <c r="D85" s="62">
        <v>0</v>
      </c>
      <c r="E85" s="62">
        <v>2</v>
      </c>
      <c r="F85" s="62">
        <v>0</v>
      </c>
    </row>
    <row r="86" spans="1:6" x14ac:dyDescent="0.2">
      <c r="A86" s="62">
        <v>2</v>
      </c>
      <c r="B86" s="62">
        <v>0</v>
      </c>
      <c r="C86" s="62">
        <v>1</v>
      </c>
      <c r="D86" s="62">
        <v>2</v>
      </c>
      <c r="E86" s="62">
        <v>3</v>
      </c>
      <c r="F86" s="62">
        <v>0</v>
      </c>
    </row>
    <row r="87" spans="1:6" x14ac:dyDescent="0.2">
      <c r="A87" s="62">
        <v>2</v>
      </c>
      <c r="B87" s="62">
        <v>0.5</v>
      </c>
      <c r="C87" s="62">
        <v>1.5</v>
      </c>
      <c r="D87" s="62">
        <v>3</v>
      </c>
      <c r="E87" s="62">
        <v>1</v>
      </c>
      <c r="F87" s="62">
        <v>7</v>
      </c>
    </row>
    <row r="88" spans="1:6" x14ac:dyDescent="0.2">
      <c r="A88" s="62">
        <v>0</v>
      </c>
      <c r="B88" s="62">
        <v>0</v>
      </c>
      <c r="C88" s="62">
        <v>0</v>
      </c>
      <c r="D88" s="62">
        <v>0</v>
      </c>
      <c r="E88" s="62">
        <v>0</v>
      </c>
      <c r="F88" s="62">
        <v>0</v>
      </c>
    </row>
    <row r="89" spans="1:6" x14ac:dyDescent="0.2">
      <c r="A89" s="62">
        <v>1</v>
      </c>
      <c r="B89" s="62">
        <v>1</v>
      </c>
      <c r="C89" s="62">
        <v>1.5</v>
      </c>
      <c r="D89" s="62">
        <v>1</v>
      </c>
      <c r="E89" s="62">
        <v>3</v>
      </c>
      <c r="F89" s="62">
        <v>3</v>
      </c>
    </row>
    <row r="90" spans="1:6" x14ac:dyDescent="0.2">
      <c r="A90" s="62">
        <v>2</v>
      </c>
      <c r="B90" s="62">
        <v>2</v>
      </c>
      <c r="C90" s="62">
        <v>1</v>
      </c>
      <c r="D90" s="62">
        <v>2</v>
      </c>
      <c r="E90" s="62">
        <v>0</v>
      </c>
      <c r="F90" s="62">
        <v>6</v>
      </c>
    </row>
    <row r="91" spans="1:6" x14ac:dyDescent="0.2">
      <c r="A91" s="62">
        <v>2</v>
      </c>
      <c r="B91" s="62">
        <v>0.5</v>
      </c>
      <c r="C91" s="62">
        <v>1.5</v>
      </c>
      <c r="D91" s="62">
        <v>2</v>
      </c>
      <c r="E91" s="62">
        <v>1</v>
      </c>
      <c r="F91" s="62">
        <v>5</v>
      </c>
    </row>
    <row r="92" spans="1:6" x14ac:dyDescent="0.2">
      <c r="A92" s="62">
        <v>2</v>
      </c>
      <c r="B92" s="62">
        <v>0.5</v>
      </c>
      <c r="C92" s="62">
        <v>2</v>
      </c>
      <c r="D92" s="62">
        <v>0</v>
      </c>
      <c r="E92" s="62">
        <v>0</v>
      </c>
      <c r="F92" s="62">
        <v>0</v>
      </c>
    </row>
    <row r="93" spans="1:6" x14ac:dyDescent="0.2">
      <c r="A93" s="62">
        <v>1</v>
      </c>
      <c r="B93" s="62">
        <v>2</v>
      </c>
      <c r="C93" s="62">
        <v>1</v>
      </c>
      <c r="D93" s="62">
        <v>2</v>
      </c>
      <c r="E93" s="62">
        <v>0</v>
      </c>
      <c r="F93" s="62">
        <v>7</v>
      </c>
    </row>
    <row r="94" spans="1:6" x14ac:dyDescent="0.2">
      <c r="A94" s="62">
        <v>2</v>
      </c>
      <c r="B94" s="62">
        <v>0</v>
      </c>
      <c r="C94" s="62">
        <v>2</v>
      </c>
      <c r="D94" s="62">
        <v>1.5</v>
      </c>
      <c r="E94" s="62">
        <v>0</v>
      </c>
      <c r="F94" s="62">
        <v>6</v>
      </c>
    </row>
    <row r="95" spans="1:6" x14ac:dyDescent="0.2">
      <c r="A95" s="62">
        <v>2</v>
      </c>
      <c r="B95" s="62">
        <v>2</v>
      </c>
      <c r="C95" s="62">
        <v>2</v>
      </c>
      <c r="D95" s="62">
        <v>4</v>
      </c>
      <c r="E95" s="62">
        <v>0</v>
      </c>
      <c r="F95" s="62">
        <v>6</v>
      </c>
    </row>
    <row r="97" spans="1:4" x14ac:dyDescent="0.2">
      <c r="A97" s="62">
        <v>0</v>
      </c>
      <c r="B97" s="62">
        <v>0</v>
      </c>
      <c r="C97" s="62">
        <v>1</v>
      </c>
      <c r="D97" s="62">
        <v>0</v>
      </c>
    </row>
    <row r="98" spans="1:4" x14ac:dyDescent="0.2">
      <c r="A98" s="62">
        <v>1.5</v>
      </c>
      <c r="B98" s="62">
        <v>2</v>
      </c>
      <c r="C98" s="62">
        <v>1.5</v>
      </c>
      <c r="D98" s="62">
        <v>2</v>
      </c>
    </row>
    <row r="99" spans="1:4" x14ac:dyDescent="0.2">
      <c r="A99" s="62">
        <v>2</v>
      </c>
      <c r="B99" s="62">
        <v>2.5</v>
      </c>
      <c r="C99" s="62">
        <v>2</v>
      </c>
      <c r="D99" s="62">
        <v>0</v>
      </c>
    </row>
    <row r="100" spans="1:4" x14ac:dyDescent="0.2">
      <c r="A100" s="62">
        <v>2</v>
      </c>
      <c r="B100" s="62">
        <v>1.5</v>
      </c>
      <c r="C100" s="62">
        <v>2</v>
      </c>
      <c r="D100" s="62">
        <v>1</v>
      </c>
    </row>
    <row r="101" spans="1:4" x14ac:dyDescent="0.2">
      <c r="A101" s="62">
        <v>1.5</v>
      </c>
      <c r="B101" s="62">
        <v>2</v>
      </c>
      <c r="C101" s="62">
        <v>2</v>
      </c>
      <c r="D101" s="62">
        <v>2</v>
      </c>
    </row>
    <row r="102" spans="1:4" x14ac:dyDescent="0.2">
      <c r="A102" s="62">
        <v>1.5</v>
      </c>
      <c r="B102" s="62">
        <v>3</v>
      </c>
      <c r="C102" s="62">
        <v>1.5</v>
      </c>
      <c r="D102" s="62">
        <v>2</v>
      </c>
    </row>
    <row r="103" spans="1:4" x14ac:dyDescent="0.2">
      <c r="A103" s="62">
        <v>2</v>
      </c>
      <c r="B103" s="62">
        <v>2.5</v>
      </c>
      <c r="C103" s="62">
        <v>2</v>
      </c>
      <c r="D103" s="62">
        <v>3</v>
      </c>
    </row>
    <row r="104" spans="1:4" x14ac:dyDescent="0.2">
      <c r="A104" s="62">
        <v>2</v>
      </c>
      <c r="B104" s="62">
        <v>2</v>
      </c>
      <c r="C104" s="62">
        <v>2</v>
      </c>
      <c r="D104" s="62">
        <v>3</v>
      </c>
    </row>
    <row r="105" spans="1:4" x14ac:dyDescent="0.2">
      <c r="A105" s="62">
        <v>1.5</v>
      </c>
      <c r="B105" s="62">
        <v>3</v>
      </c>
      <c r="C105" s="62">
        <v>1.5</v>
      </c>
      <c r="D105" s="62">
        <v>1</v>
      </c>
    </row>
    <row r="106" spans="1:4" x14ac:dyDescent="0.2">
      <c r="A106" s="62">
        <v>1</v>
      </c>
      <c r="B106" s="62">
        <v>0</v>
      </c>
      <c r="C106" s="62">
        <v>2</v>
      </c>
      <c r="D106" s="62">
        <v>0.5</v>
      </c>
    </row>
    <row r="107" spans="1:4" x14ac:dyDescent="0.2">
      <c r="A107" s="62">
        <v>2</v>
      </c>
      <c r="B107" s="62">
        <v>0</v>
      </c>
      <c r="C107" s="62">
        <v>2</v>
      </c>
      <c r="D107" s="62">
        <v>0</v>
      </c>
    </row>
    <row r="108" spans="1:4" x14ac:dyDescent="0.2">
      <c r="A108" s="62">
        <v>0.5</v>
      </c>
      <c r="B108" s="62">
        <v>0</v>
      </c>
      <c r="C108" s="62">
        <v>2</v>
      </c>
      <c r="D108" s="62">
        <v>0</v>
      </c>
    </row>
    <row r="109" spans="1:4" x14ac:dyDescent="0.2">
      <c r="A109" s="62">
        <v>1.5</v>
      </c>
      <c r="B109" s="62">
        <v>3</v>
      </c>
      <c r="C109" s="62">
        <v>0</v>
      </c>
      <c r="D109" s="62">
        <v>2</v>
      </c>
    </row>
    <row r="110" spans="1:4" x14ac:dyDescent="0.2">
      <c r="A110" s="62">
        <v>2</v>
      </c>
      <c r="B110" s="62">
        <v>2</v>
      </c>
      <c r="C110" s="62">
        <v>1.5</v>
      </c>
      <c r="D110" s="62">
        <v>2</v>
      </c>
    </row>
    <row r="111" spans="1:4" x14ac:dyDescent="0.2">
      <c r="A111" s="62">
        <v>2</v>
      </c>
      <c r="B111" s="62">
        <v>3</v>
      </c>
      <c r="C111" s="62">
        <v>1.5</v>
      </c>
      <c r="D111" s="62">
        <v>3</v>
      </c>
    </row>
    <row r="112" spans="1:4" x14ac:dyDescent="0.2">
      <c r="A112" s="62">
        <v>2</v>
      </c>
      <c r="B112" s="62">
        <v>2.5</v>
      </c>
      <c r="C112" s="62">
        <v>2</v>
      </c>
      <c r="D112" s="62">
        <v>2</v>
      </c>
    </row>
    <row r="113" spans="1:6" x14ac:dyDescent="0.2">
      <c r="A113" s="62">
        <v>2</v>
      </c>
      <c r="B113" s="62">
        <v>3</v>
      </c>
      <c r="C113" s="62">
        <v>1.5</v>
      </c>
      <c r="D113" s="62">
        <v>0</v>
      </c>
    </row>
    <row r="114" spans="1:6" x14ac:dyDescent="0.2">
      <c r="A114" s="62">
        <v>1</v>
      </c>
      <c r="B114" s="62">
        <v>0</v>
      </c>
      <c r="C114" s="62">
        <v>1</v>
      </c>
      <c r="D114" s="62">
        <v>0</v>
      </c>
    </row>
    <row r="115" spans="1:6" x14ac:dyDescent="0.2">
      <c r="A115" s="62">
        <v>2</v>
      </c>
      <c r="B115" s="62">
        <v>0</v>
      </c>
      <c r="C115" s="62">
        <v>2</v>
      </c>
      <c r="D115" s="62">
        <v>0.5</v>
      </c>
    </row>
    <row r="116" spans="1:6" x14ac:dyDescent="0.2">
      <c r="A116" s="62">
        <v>2</v>
      </c>
      <c r="B116" s="62">
        <v>0</v>
      </c>
      <c r="C116" s="62">
        <v>2</v>
      </c>
      <c r="D116" s="62">
        <v>1</v>
      </c>
    </row>
    <row r="117" spans="1:6" x14ac:dyDescent="0.2">
      <c r="A117" s="62">
        <v>2</v>
      </c>
      <c r="B117" s="62">
        <v>3</v>
      </c>
      <c r="C117" s="62">
        <v>2</v>
      </c>
      <c r="D117" s="62">
        <v>1.5</v>
      </c>
    </row>
    <row r="118" spans="1:6" x14ac:dyDescent="0.2">
      <c r="A118" s="62">
        <v>2</v>
      </c>
      <c r="B118" s="62">
        <v>3</v>
      </c>
      <c r="C118" s="62">
        <v>2</v>
      </c>
      <c r="D118" s="62">
        <v>3</v>
      </c>
    </row>
    <row r="119" spans="1:6" x14ac:dyDescent="0.2">
      <c r="A119" s="62">
        <v>2</v>
      </c>
      <c r="B119" s="62">
        <v>1</v>
      </c>
      <c r="C119" s="62">
        <v>1</v>
      </c>
      <c r="D119" s="62">
        <v>1.5</v>
      </c>
    </row>
    <row r="121" spans="1:6" x14ac:dyDescent="0.2">
      <c r="A121" s="62">
        <v>4</v>
      </c>
      <c r="B121" s="62">
        <v>2</v>
      </c>
      <c r="C121" s="62">
        <v>2</v>
      </c>
      <c r="D121" s="62">
        <v>0.5</v>
      </c>
      <c r="E121" s="62">
        <v>0.5</v>
      </c>
      <c r="F121" s="62">
        <v>0.5</v>
      </c>
    </row>
    <row r="122" spans="1:6" x14ac:dyDescent="0.2">
      <c r="A122" s="62">
        <v>4</v>
      </c>
      <c r="B122" s="62">
        <v>0</v>
      </c>
      <c r="C122" s="62">
        <v>2.5</v>
      </c>
      <c r="D122" s="62">
        <v>0.5</v>
      </c>
      <c r="E122" s="62">
        <v>2</v>
      </c>
      <c r="F122" s="62">
        <v>3</v>
      </c>
    </row>
    <row r="123" spans="1:6" x14ac:dyDescent="0.2">
      <c r="A123" s="62">
        <v>4</v>
      </c>
      <c r="B123" s="62">
        <v>2</v>
      </c>
      <c r="C123" s="62">
        <v>3</v>
      </c>
      <c r="D123" s="62">
        <v>2</v>
      </c>
      <c r="E123" s="62">
        <v>3</v>
      </c>
      <c r="F123" s="62">
        <v>1.5</v>
      </c>
    </row>
    <row r="124" spans="1:6" x14ac:dyDescent="0.2">
      <c r="A124" s="62">
        <v>4</v>
      </c>
      <c r="B124" s="62">
        <v>2</v>
      </c>
      <c r="C124" s="62">
        <v>3.5</v>
      </c>
      <c r="D124" s="62">
        <v>0</v>
      </c>
      <c r="E124" s="62">
        <v>4</v>
      </c>
      <c r="F124" s="62">
        <v>2</v>
      </c>
    </row>
    <row r="125" spans="1:6" x14ac:dyDescent="0.2">
      <c r="A125" s="62">
        <v>4</v>
      </c>
      <c r="B125" s="62">
        <v>2</v>
      </c>
      <c r="C125" s="62">
        <v>3</v>
      </c>
      <c r="D125" s="62">
        <v>0</v>
      </c>
      <c r="E125" s="62">
        <v>3</v>
      </c>
      <c r="F125" s="62">
        <v>2.5</v>
      </c>
    </row>
    <row r="126" spans="1:6" x14ac:dyDescent="0.2">
      <c r="A126" s="62">
        <v>4</v>
      </c>
      <c r="B126" s="62">
        <v>3</v>
      </c>
      <c r="C126" s="62">
        <v>4</v>
      </c>
      <c r="D126" s="62">
        <v>2</v>
      </c>
      <c r="E126" s="62">
        <v>4</v>
      </c>
      <c r="F126" s="62">
        <v>3</v>
      </c>
    </row>
    <row r="127" spans="1:6" x14ac:dyDescent="0.2">
      <c r="A127" s="62">
        <v>4</v>
      </c>
      <c r="B127" s="62">
        <v>3</v>
      </c>
      <c r="C127" s="62">
        <v>3.5</v>
      </c>
      <c r="D127" s="62">
        <v>0.5</v>
      </c>
      <c r="E127" s="62">
        <v>4</v>
      </c>
      <c r="F127" s="62">
        <v>1</v>
      </c>
    </row>
    <row r="128" spans="1:6" x14ac:dyDescent="0.2">
      <c r="A128" s="62">
        <v>3.5</v>
      </c>
      <c r="B128" s="62">
        <v>2</v>
      </c>
      <c r="C128" s="62">
        <v>3.5</v>
      </c>
      <c r="D128" s="62">
        <v>2</v>
      </c>
      <c r="E128" s="62">
        <v>2</v>
      </c>
      <c r="F128" s="62">
        <v>3</v>
      </c>
    </row>
    <row r="129" spans="1:6" x14ac:dyDescent="0.2">
      <c r="A129" s="62">
        <v>2</v>
      </c>
      <c r="B129" s="62">
        <v>0</v>
      </c>
      <c r="C129" s="62">
        <v>1</v>
      </c>
      <c r="D129" s="62">
        <v>1</v>
      </c>
      <c r="E129" s="62">
        <v>0</v>
      </c>
      <c r="F129" s="62">
        <v>2</v>
      </c>
    </row>
    <row r="130" spans="1:6" x14ac:dyDescent="0.2">
      <c r="A130" s="62">
        <v>2.5</v>
      </c>
      <c r="B130" s="62">
        <v>1</v>
      </c>
      <c r="C130" s="62">
        <v>3</v>
      </c>
      <c r="D130" s="62">
        <v>2</v>
      </c>
      <c r="E130" s="62">
        <v>0</v>
      </c>
      <c r="F130" s="62">
        <v>0.5</v>
      </c>
    </row>
    <row r="131" spans="1:6" x14ac:dyDescent="0.2">
      <c r="A131" s="62">
        <v>4</v>
      </c>
      <c r="B131" s="62">
        <v>3</v>
      </c>
      <c r="C131" s="62">
        <v>2</v>
      </c>
      <c r="D131" s="62">
        <v>2</v>
      </c>
      <c r="E131" s="62">
        <v>2</v>
      </c>
      <c r="F131" s="62">
        <v>3</v>
      </c>
    </row>
    <row r="132" spans="1:6" x14ac:dyDescent="0.2">
      <c r="A132" s="62">
        <v>4</v>
      </c>
      <c r="B132" s="62">
        <v>2</v>
      </c>
      <c r="C132" s="62">
        <v>3</v>
      </c>
      <c r="D132" s="62">
        <v>2</v>
      </c>
      <c r="E132" s="62">
        <v>2</v>
      </c>
      <c r="F132" s="62">
        <v>3</v>
      </c>
    </row>
    <row r="133" spans="1:6" x14ac:dyDescent="0.2">
      <c r="A133" s="62">
        <v>3</v>
      </c>
      <c r="B133" s="62">
        <v>0</v>
      </c>
      <c r="C133" s="62">
        <v>0</v>
      </c>
      <c r="D133" s="62">
        <v>0</v>
      </c>
      <c r="E133" s="62">
        <v>0</v>
      </c>
      <c r="F133" s="62">
        <v>0</v>
      </c>
    </row>
    <row r="134" spans="1:6" x14ac:dyDescent="0.2">
      <c r="A134" s="62">
        <v>4</v>
      </c>
      <c r="B134" s="62">
        <v>3</v>
      </c>
      <c r="C134" s="62">
        <v>2</v>
      </c>
      <c r="D134" s="62">
        <v>2</v>
      </c>
      <c r="E134" s="62">
        <v>3.5</v>
      </c>
      <c r="F134" s="62">
        <v>2.5</v>
      </c>
    </row>
    <row r="135" spans="1:6" x14ac:dyDescent="0.2">
      <c r="A135" s="62">
        <v>4</v>
      </c>
      <c r="B135" s="62">
        <v>1</v>
      </c>
      <c r="C135" s="62">
        <v>1</v>
      </c>
      <c r="D135" s="62">
        <v>0.5</v>
      </c>
      <c r="E135" s="62">
        <v>0</v>
      </c>
      <c r="F135" s="62">
        <v>1.5</v>
      </c>
    </row>
    <row r="136" spans="1:6" x14ac:dyDescent="0.2">
      <c r="A136" s="62">
        <v>4</v>
      </c>
      <c r="B136" s="62">
        <v>0.5</v>
      </c>
      <c r="C136" s="62">
        <v>1</v>
      </c>
      <c r="D136" s="62">
        <v>0.5</v>
      </c>
      <c r="E136" s="62">
        <v>0</v>
      </c>
      <c r="F136" s="62">
        <v>0.5</v>
      </c>
    </row>
    <row r="137" spans="1:6" x14ac:dyDescent="0.2">
      <c r="A137" s="62">
        <v>2</v>
      </c>
      <c r="B137" s="62">
        <v>0</v>
      </c>
      <c r="C137" s="62">
        <v>1</v>
      </c>
      <c r="D137" s="62">
        <v>1.5</v>
      </c>
      <c r="E137" s="62">
        <v>0</v>
      </c>
      <c r="F137" s="62">
        <v>0</v>
      </c>
    </row>
    <row r="138" spans="1:6" x14ac:dyDescent="0.2">
      <c r="A138" s="62">
        <v>4</v>
      </c>
      <c r="B138" s="62">
        <v>3</v>
      </c>
      <c r="C138" s="62">
        <v>3</v>
      </c>
      <c r="D138" s="62">
        <v>0</v>
      </c>
      <c r="E138" s="62">
        <v>4</v>
      </c>
      <c r="F138" s="62">
        <v>0</v>
      </c>
    </row>
    <row r="139" spans="1:6" x14ac:dyDescent="0.2">
      <c r="A139" s="62">
        <v>4</v>
      </c>
      <c r="B139" s="62">
        <v>1</v>
      </c>
      <c r="C139" s="62">
        <v>3</v>
      </c>
      <c r="D139" s="62">
        <v>2</v>
      </c>
      <c r="E139" s="62">
        <v>3.5</v>
      </c>
      <c r="F139" s="62">
        <v>2</v>
      </c>
    </row>
    <row r="140" spans="1:6" x14ac:dyDescent="0.2">
      <c r="A140" s="62">
        <v>4</v>
      </c>
      <c r="B140" s="62">
        <v>2</v>
      </c>
      <c r="C140" s="62">
        <v>3</v>
      </c>
      <c r="D140" s="62">
        <v>2</v>
      </c>
      <c r="E140" s="62">
        <v>4</v>
      </c>
      <c r="F140" s="62">
        <v>2</v>
      </c>
    </row>
    <row r="141" spans="1:6" x14ac:dyDescent="0.2">
      <c r="A141" s="62">
        <v>4</v>
      </c>
      <c r="B141" s="62">
        <v>3</v>
      </c>
      <c r="C141" s="62">
        <v>4</v>
      </c>
      <c r="D141" s="62">
        <v>2</v>
      </c>
      <c r="E141" s="62">
        <v>3</v>
      </c>
      <c r="F141" s="62">
        <v>3</v>
      </c>
    </row>
    <row r="142" spans="1:6" x14ac:dyDescent="0.2">
      <c r="A142" s="62">
        <v>4</v>
      </c>
      <c r="B142" s="62">
        <v>2</v>
      </c>
      <c r="C142" s="62">
        <v>4</v>
      </c>
      <c r="D142" s="62">
        <v>2</v>
      </c>
      <c r="E142" s="62">
        <v>2.5</v>
      </c>
      <c r="F142" s="62">
        <v>3</v>
      </c>
    </row>
    <row r="143" spans="1:6" x14ac:dyDescent="0.2">
      <c r="A143" s="62">
        <v>4</v>
      </c>
      <c r="B143" s="62">
        <v>0</v>
      </c>
      <c r="C143" s="62">
        <v>2</v>
      </c>
      <c r="D143" s="62">
        <v>0.5</v>
      </c>
      <c r="E143" s="62">
        <v>0</v>
      </c>
      <c r="F143" s="62">
        <v>0</v>
      </c>
    </row>
    <row r="147" spans="1:5" x14ac:dyDescent="0.2">
      <c r="A147" s="62" t="s">
        <v>120</v>
      </c>
      <c r="C147" s="62" t="s">
        <v>120</v>
      </c>
    </row>
    <row r="148" spans="1:5" x14ac:dyDescent="0.2">
      <c r="A148" s="62" t="s">
        <v>120</v>
      </c>
      <c r="D148" s="62" t="s">
        <v>120</v>
      </c>
    </row>
    <row r="149" spans="1:5" x14ac:dyDescent="0.2">
      <c r="D149" s="62" t="s">
        <v>120</v>
      </c>
      <c r="E149" s="62" t="s">
        <v>120</v>
      </c>
    </row>
    <row r="150" spans="1:5" x14ac:dyDescent="0.2">
      <c r="A150" s="62" t="s">
        <v>120</v>
      </c>
      <c r="B150" s="62" t="s">
        <v>120</v>
      </c>
      <c r="C150" s="62" t="s">
        <v>120</v>
      </c>
    </row>
    <row r="151" spans="1:5" x14ac:dyDescent="0.2">
      <c r="A151" s="62" t="s">
        <v>120</v>
      </c>
      <c r="D151" s="62" t="s">
        <v>120</v>
      </c>
    </row>
    <row r="152" spans="1:5" x14ac:dyDescent="0.2">
      <c r="B152" s="62" t="s">
        <v>120</v>
      </c>
      <c r="C152" s="62" t="s">
        <v>120</v>
      </c>
      <c r="D152" s="62" t="s">
        <v>120</v>
      </c>
    </row>
    <row r="153" spans="1:5" x14ac:dyDescent="0.2">
      <c r="B153" s="62" t="s">
        <v>120</v>
      </c>
      <c r="C153" s="62" t="s">
        <v>120</v>
      </c>
      <c r="E153" s="62" t="s">
        <v>120</v>
      </c>
    </row>
    <row r="154" spans="1:5" x14ac:dyDescent="0.2">
      <c r="D154" s="62" t="s">
        <v>120</v>
      </c>
      <c r="E154" s="62" t="s">
        <v>120</v>
      </c>
    </row>
    <row r="155" spans="1:5" x14ac:dyDescent="0.2">
      <c r="A155" s="62" t="s">
        <v>120</v>
      </c>
      <c r="B155" s="62" t="s">
        <v>120</v>
      </c>
      <c r="C155" s="62" t="s">
        <v>120</v>
      </c>
    </row>
    <row r="156" spans="1:5" x14ac:dyDescent="0.2">
      <c r="B156" s="62" t="s">
        <v>120</v>
      </c>
      <c r="C156" s="62" t="s">
        <v>120</v>
      </c>
      <c r="D156" s="62" t="s">
        <v>120</v>
      </c>
    </row>
    <row r="157" spans="1:5" x14ac:dyDescent="0.2">
      <c r="A157" s="62" t="s">
        <v>120</v>
      </c>
      <c r="D157" s="62" t="s">
        <v>120</v>
      </c>
    </row>
    <row r="158" spans="1:5" x14ac:dyDescent="0.2">
      <c r="A158" s="62" t="s">
        <v>120</v>
      </c>
      <c r="D158" s="62" t="s">
        <v>120</v>
      </c>
    </row>
    <row r="159" spans="1:5" x14ac:dyDescent="0.2">
      <c r="A159" s="62" t="s">
        <v>120</v>
      </c>
      <c r="E159" s="62" t="s">
        <v>120</v>
      </c>
    </row>
    <row r="160" spans="1:5" x14ac:dyDescent="0.2">
      <c r="D160" s="62" t="s">
        <v>120</v>
      </c>
      <c r="E160" s="62" t="s">
        <v>120</v>
      </c>
    </row>
    <row r="161" spans="1:5" x14ac:dyDescent="0.2">
      <c r="B161" s="62" t="s">
        <v>120</v>
      </c>
      <c r="C161" s="62" t="s">
        <v>120</v>
      </c>
      <c r="E161" s="62" t="s">
        <v>120</v>
      </c>
    </row>
    <row r="162" spans="1:5" x14ac:dyDescent="0.2">
      <c r="B162" s="62" t="s">
        <v>120</v>
      </c>
      <c r="C162" s="62" t="s">
        <v>120</v>
      </c>
      <c r="D162" s="62" t="s">
        <v>120</v>
      </c>
    </row>
    <row r="163" spans="1:5" x14ac:dyDescent="0.2">
      <c r="A163" s="62" t="s">
        <v>120</v>
      </c>
      <c r="D163" s="62" t="s">
        <v>120</v>
      </c>
    </row>
    <row r="164" spans="1:5" x14ac:dyDescent="0.2">
      <c r="D164" s="62" t="s">
        <v>120</v>
      </c>
      <c r="E164" s="62" t="s">
        <v>120</v>
      </c>
    </row>
    <row r="165" spans="1:5" x14ac:dyDescent="0.2">
      <c r="D165" s="62" t="s">
        <v>120</v>
      </c>
      <c r="E165" s="62" t="s">
        <v>120</v>
      </c>
    </row>
    <row r="166" spans="1:5" x14ac:dyDescent="0.2">
      <c r="A166" s="62" t="s">
        <v>120</v>
      </c>
      <c r="B166" s="62" t="s">
        <v>120</v>
      </c>
      <c r="C166" s="62" t="s">
        <v>120</v>
      </c>
    </row>
    <row r="167" spans="1:5" x14ac:dyDescent="0.2">
      <c r="A167" s="62" t="s">
        <v>120</v>
      </c>
      <c r="B167" s="62" t="s">
        <v>120</v>
      </c>
      <c r="C167" s="62" t="s">
        <v>120</v>
      </c>
    </row>
    <row r="168" spans="1:5" x14ac:dyDescent="0.2">
      <c r="A168" s="62" t="s">
        <v>120</v>
      </c>
      <c r="E168" s="62" t="s">
        <v>120</v>
      </c>
    </row>
    <row r="169" spans="1:5" x14ac:dyDescent="0.2">
      <c r="A169" s="62" t="s">
        <v>120</v>
      </c>
      <c r="D169" s="62" t="s">
        <v>120</v>
      </c>
    </row>
    <row r="173" spans="1:5" x14ac:dyDescent="0.2">
      <c r="A173" s="62">
        <v>4</v>
      </c>
      <c r="B173" s="62">
        <v>1</v>
      </c>
      <c r="C173" s="62">
        <v>3</v>
      </c>
    </row>
    <row r="174" spans="1:5" x14ac:dyDescent="0.2">
      <c r="A174" s="62">
        <v>3</v>
      </c>
      <c r="D174" s="62">
        <v>4</v>
      </c>
    </row>
    <row r="175" spans="1:5" x14ac:dyDescent="0.2">
      <c r="D175" s="62">
        <v>5</v>
      </c>
      <c r="E175" s="62">
        <v>3</v>
      </c>
    </row>
    <row r="176" spans="1:5" x14ac:dyDescent="0.2">
      <c r="A176" s="62">
        <v>1</v>
      </c>
      <c r="B176" s="62">
        <v>2</v>
      </c>
      <c r="C176" s="62">
        <v>3</v>
      </c>
    </row>
    <row r="177" spans="1:5" x14ac:dyDescent="0.2">
      <c r="A177" s="62">
        <v>1</v>
      </c>
      <c r="D177" s="62">
        <v>5</v>
      </c>
    </row>
    <row r="178" spans="1:5" x14ac:dyDescent="0.2">
      <c r="B178" s="62">
        <v>2</v>
      </c>
      <c r="C178" s="62">
        <v>3</v>
      </c>
      <c r="D178" s="62">
        <v>3</v>
      </c>
    </row>
    <row r="179" spans="1:5" x14ac:dyDescent="0.2">
      <c r="B179" s="62">
        <v>1</v>
      </c>
      <c r="C179" s="62">
        <v>2</v>
      </c>
      <c r="E179" s="62">
        <v>4</v>
      </c>
    </row>
    <row r="180" spans="1:5" x14ac:dyDescent="0.2">
      <c r="D180" s="62">
        <v>4</v>
      </c>
      <c r="E180" s="62">
        <v>3</v>
      </c>
    </row>
    <row r="181" spans="1:5" x14ac:dyDescent="0.2">
      <c r="A181" s="62">
        <v>5</v>
      </c>
      <c r="B181" s="62">
        <v>2</v>
      </c>
      <c r="C181" s="62">
        <v>1</v>
      </c>
    </row>
    <row r="182" spans="1:5" x14ac:dyDescent="0.2">
      <c r="B182" s="62">
        <v>1</v>
      </c>
      <c r="C182" s="62">
        <v>2</v>
      </c>
      <c r="D182" s="62">
        <v>5</v>
      </c>
    </row>
    <row r="183" spans="1:5" x14ac:dyDescent="0.2">
      <c r="A183" s="62">
        <v>2</v>
      </c>
      <c r="D183" s="62">
        <v>4</v>
      </c>
    </row>
    <row r="184" spans="1:5" x14ac:dyDescent="0.2">
      <c r="A184" s="62">
        <v>5</v>
      </c>
      <c r="D184" s="62">
        <v>1</v>
      </c>
    </row>
    <row r="185" spans="1:5" x14ac:dyDescent="0.2">
      <c r="A185" s="62">
        <v>3</v>
      </c>
      <c r="E185" s="62">
        <v>5</v>
      </c>
    </row>
    <row r="186" spans="1:5" x14ac:dyDescent="0.2">
      <c r="D186" s="62">
        <v>4</v>
      </c>
      <c r="E186" s="62">
        <v>3</v>
      </c>
    </row>
    <row r="187" spans="1:5" x14ac:dyDescent="0.2">
      <c r="B187" s="62">
        <v>1</v>
      </c>
      <c r="C187" s="62">
        <v>2</v>
      </c>
      <c r="E187" s="62">
        <v>1</v>
      </c>
    </row>
    <row r="188" spans="1:5" x14ac:dyDescent="0.2">
      <c r="B188" s="62">
        <v>1</v>
      </c>
      <c r="C188" s="62">
        <v>2</v>
      </c>
      <c r="D188" s="62">
        <v>5</v>
      </c>
    </row>
    <row r="189" spans="1:5" x14ac:dyDescent="0.2">
      <c r="A189" s="62">
        <v>5</v>
      </c>
      <c r="D189" s="62">
        <v>5</v>
      </c>
    </row>
    <row r="190" spans="1:5" x14ac:dyDescent="0.2">
      <c r="D190" s="62">
        <v>3</v>
      </c>
      <c r="E190" s="62">
        <v>4</v>
      </c>
    </row>
    <row r="191" spans="1:5" x14ac:dyDescent="0.2">
      <c r="D191" s="62">
        <v>5</v>
      </c>
      <c r="E191" s="62">
        <v>3</v>
      </c>
    </row>
    <row r="192" spans="1:5" x14ac:dyDescent="0.2">
      <c r="A192" s="62">
        <v>5</v>
      </c>
      <c r="B192" s="62">
        <v>2</v>
      </c>
      <c r="C192" s="62">
        <v>3</v>
      </c>
    </row>
    <row r="193" spans="1:5" x14ac:dyDescent="0.2">
      <c r="A193" s="62">
        <v>5</v>
      </c>
      <c r="B193" s="62">
        <v>2</v>
      </c>
      <c r="C193" s="62">
        <v>3</v>
      </c>
    </row>
    <row r="194" spans="1:5" x14ac:dyDescent="0.2">
      <c r="A194" s="62">
        <v>2</v>
      </c>
      <c r="E194" s="62">
        <v>5</v>
      </c>
    </row>
    <row r="195" spans="1:5" x14ac:dyDescent="0.2">
      <c r="A195" s="62">
        <v>3</v>
      </c>
      <c r="D195" s="62">
        <v>5</v>
      </c>
    </row>
  </sheetData>
  <sheetProtection sheet="1" objects="1" scenario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2026-03-29T21:52:00Z</cp:lastPrinted>
  <dcterms:created xsi:type="dcterms:W3CDTF">2006-06-24T21:29:52Z</dcterms:created>
  <dcterms:modified xsi:type="dcterms:W3CDTF">2026-03-30T12:08:34Z</dcterms:modified>
</cp:coreProperties>
</file>